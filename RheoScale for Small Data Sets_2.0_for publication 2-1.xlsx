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7E6516FC-9A1E-4A57-9244-7D5BA9DC41B9}" xr6:coauthVersionLast="47" xr6:coauthVersionMax="47" xr10:uidLastSave="{00000000-0000-0000-0000-000000000000}"/>
  <bookViews>
    <workbookView xWindow="-28920" yWindow="-120" windowWidth="29040" windowHeight="15720" tabRatio="695"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AE7" i="17" l="1"/>
  <c r="AE8" i="17"/>
  <c r="AE9" i="17"/>
  <c r="AE10" i="17"/>
  <c r="AE11" i="17"/>
  <c r="AE12" i="17"/>
  <c r="AE13" i="17"/>
  <c r="AE14" i="17"/>
  <c r="AE15" i="17"/>
  <c r="AE16" i="17"/>
  <c r="AE17" i="17"/>
  <c r="AE18" i="17"/>
  <c r="AE19" i="17"/>
  <c r="AE20" i="17"/>
  <c r="AE21" i="17"/>
  <c r="AE22" i="17"/>
  <c r="AE23" i="17"/>
  <c r="AE24" i="17"/>
  <c r="AE25" i="17"/>
  <c r="AE6" i="17"/>
  <c r="V7" i="17" l="1" a="1"/>
  <c r="V7" i="17" s="1"/>
  <c r="V8" i="17" a="1"/>
  <c r="V8" i="17"/>
  <c r="V9" i="17" a="1"/>
  <c r="V9" i="17" s="1"/>
  <c r="V10" i="17" a="1"/>
  <c r="V10" i="17"/>
  <c r="V11" i="17" a="1"/>
  <c r="V11" i="17" s="1"/>
  <c r="V12" i="17" a="1"/>
  <c r="V12" i="17"/>
  <c r="V13" i="17" a="1"/>
  <c r="V13" i="17" s="1"/>
  <c r="V14" i="17" a="1"/>
  <c r="V14" i="17"/>
  <c r="V15" i="17" a="1"/>
  <c r="V15" i="17" s="1"/>
  <c r="V16" i="17" a="1"/>
  <c r="V16" i="17"/>
  <c r="V17" i="17" a="1"/>
  <c r="V17" i="17" s="1"/>
  <c r="V18" i="17" a="1"/>
  <c r="V18" i="17"/>
  <c r="V19" i="17" a="1"/>
  <c r="V19" i="17" s="1"/>
  <c r="V20" i="17" a="1"/>
  <c r="V20" i="17"/>
  <c r="V21" i="17" a="1"/>
  <c r="V21" i="17" s="1"/>
  <c r="V22" i="17" a="1"/>
  <c r="V22" i="17" s="1"/>
  <c r="V23" i="17" a="1"/>
  <c r="V23" i="17" s="1"/>
  <c r="V24" i="17" a="1"/>
  <c r="V24" i="17" s="1"/>
  <c r="V25" i="17" a="1"/>
  <c r="V25" i="17" s="1"/>
  <c r="V6" i="17" a="1"/>
  <c r="V6" i="17" s="1"/>
  <c r="X9" i="2" l="1"/>
  <c r="W25" i="2"/>
  <c r="U25" i="2"/>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A63" i="4" s="1" a="1"/>
  <c r="A63" i="4" s="1"/>
  <c r="G15" i="2"/>
  <c r="A45" i="4" a="1"/>
  <c r="A45" i="4" s="1"/>
  <c r="A238" i="4" a="1"/>
  <c r="A238" i="4" s="1"/>
  <c r="A211" i="4" a="1"/>
  <c r="A211" i="4" s="1"/>
  <c r="A404" i="4" a="1"/>
  <c r="A404" i="4" s="1"/>
  <c r="A69" i="4" a="1"/>
  <c r="A69" i="4" s="1"/>
  <c r="A334" i="4" a="1"/>
  <c r="A334" i="4" s="1"/>
  <c r="A406" i="4" a="1"/>
  <c r="A406" i="4" s="1"/>
  <c r="A70" i="4" a="1"/>
  <c r="A70" i="4" s="1"/>
  <c r="A90" i="4" a="1"/>
  <c r="A90" i="4" s="1"/>
  <c r="A502" i="4" a="1"/>
  <c r="A502"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118" i="4" a="1"/>
  <c r="A118"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241" i="4" l="1"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I15" i="3"/>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I17" i="3"/>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K24" i="3" s="1"/>
  <c r="O24" i="3" s="1"/>
  <c r="C96" i="4"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I18" i="3"/>
  <c r="G358" i="4" a="1"/>
  <c r="G358" i="4" s="1"/>
  <c r="H358" i="4" s="1"/>
  <c r="G95" i="4" a="1"/>
  <c r="G95" i="4" s="1"/>
  <c r="H95" i="4" s="1"/>
  <c r="G334" i="4" a="1"/>
  <c r="G334" i="4" s="1"/>
  <c r="H334" i="4" s="1"/>
  <c r="G190" i="4" a="1"/>
  <c r="G190" i="4" s="1"/>
  <c r="H190" i="4" s="1"/>
  <c r="F167" i="4"/>
  <c r="G166" i="4" a="1"/>
  <c r="G166" i="4" s="1"/>
  <c r="H166" i="4" s="1"/>
  <c r="F71" i="4"/>
  <c r="F479" i="4"/>
  <c r="F359" i="4"/>
  <c r="F335" i="4"/>
  <c r="H25" i="3" l="1"/>
  <c r="I25" i="3" s="1"/>
  <c r="K25" i="3" s="1"/>
  <c r="O25" i="3" s="1"/>
  <c r="H51" i="3"/>
  <c r="C312" i="4"/>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C409" i="4"/>
  <c r="C145" i="4"/>
  <c r="C289" i="4"/>
  <c r="C193" i="4"/>
  <c r="C313" i="4"/>
  <c r="C121" i="4"/>
  <c r="C481" i="4"/>
  <c r="C361" i="4"/>
  <c r="C97" i="4"/>
  <c r="C505" i="4"/>
  <c r="C337" i="4"/>
  <c r="C73" i="4"/>
  <c r="C433" i="4"/>
  <c r="C265" i="4"/>
  <c r="C49" i="4"/>
  <c r="C457" i="4"/>
  <c r="C385" i="4"/>
  <c r="C217" i="4"/>
  <c r="C241" i="4"/>
  <c r="C25" i="4"/>
  <c r="C169"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H72" i="4" l="1"/>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K20" i="3" l="1"/>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Q23" i="17"/>
  <c r="O8" i="17"/>
  <c r="Q6" i="17"/>
  <c r="W6" i="17" s="1"/>
  <c r="O19" i="17"/>
  <c r="Q13" i="17"/>
  <c r="W13" i="17" s="1"/>
  <c r="Q20" i="17"/>
  <c r="O9" i="17"/>
  <c r="O12" i="17"/>
  <c r="Q16" i="17"/>
  <c r="Q10" i="17"/>
  <c r="O21" i="17"/>
  <c r="Q7" i="17"/>
  <c r="W7" i="17" s="1"/>
  <c r="Q14" i="17"/>
  <c r="Q22" i="17"/>
  <c r="O18" i="17"/>
  <c r="O11" i="17"/>
  <c r="O17" i="17"/>
  <c r="O24" i="17"/>
  <c r="Q17" i="17"/>
  <c r="W15" i="17" l="1"/>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<sst xmlns="http://schemas.openxmlformats.org/spreadsheetml/2006/main" count="455" uniqueCount="149">
  <si>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</si>
  <si>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</si>
  <si>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</si>
  <si>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</si>
  <si>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</si>
  <si>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</si>
  <si>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</si>
  <si>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</si>
  <si>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</si>
  <si>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</si>
  <si>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</si>
  <si>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</si>
  <si>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</si>
  <si>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</si>
  <si>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</si>
  <si>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</si>
  <si>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</si>
  <si>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</si>
  <si>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</si>
  <si>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</si>
  <si>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</si>
  <si>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</si>
  <si>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</si>
  <si>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</si>
  <si>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</si>
  <si>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</si>
  <si>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</si>
  <si>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</si>
  <si>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</si>
  <si>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</si>
  <si>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</si>
  <si>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</si>
  <si>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</si>
  <si>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</si>
  <si>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</si>
  <si>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</si>
  <si>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</si>
  <si>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</si>
  <si>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</si>
  <si>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</si>
  <si>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</si>
  <si>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</si>
  <si>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</si>
  <si>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</si>
  <si>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</si>
  <si>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</si>
  <si>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</si>
  <si>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</si>
  <si>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</si>
  <si>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</si>
  <si>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</si>
  <si>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</si>
  <si>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</si>
  <si>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</si>
  <si>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</si>
  <si>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</si>
  <si>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</si>
  <si>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</si>
  <si>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</si>
  <si>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</si>
  <si>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</si>
  <si>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</si>
  <si>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</si>
  <si>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</si>
  <si>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</si>
  <si>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</si>
  <si>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</si>
  <si>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</si>
  <si>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</si>
  <si>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</si>
  <si>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</si>
  <si>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</si>
  <si>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</si>
  <si>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</si>
  <si>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Nonfunctional protein value ("Dead")</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</si>
  <si>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</si>
  <si>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</si>
  <si>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</si>
  <si>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</si>
  <si>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</si>
  <si>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</si>
  <si>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</si>
  <si>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</si>
  <si>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</si>
  <si>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</si>
  <si>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</si>
  <si>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</si>
  <si>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</si>
  <si>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</si>
  <si>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</si>
  <si>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</si>
  <si>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</si>
  <si>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</si>
  <si>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</si>
  <si>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</si>
  <si>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</si>
  <si>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</si>
  <si>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</si>
  <si>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</si>
  <si>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</si>
  <si>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</si>
  <si>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</si>
  <si>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</si>
  <si>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</si>
  <si>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</si>
  <si>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</si>
  <si>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</si>
  <si>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</si>
  <si>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</si>
  <si>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</si>
  <si>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</si>
  <si>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</si>
  <si>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</si>
  <si>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</si>
  <si>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</si>
  <si>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</si>
  <si>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</si>
  <si>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</si>
  <si>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</si>
  <si>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</si>
  <si>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</si>
  <si>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</si>
  <si>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</si>
  <si>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</si>
  <si>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</si>
  <si>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</si>
  <si>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</si>
  <si>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</si>
  <si>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</si>
  <si>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</si>
  <si>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</si>
  <si>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</si>
  <si>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</si>
  <si>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</si>
  <si>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</si>
  <si>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</si>
  <si>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</si>
  <si>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</si>
  <si>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</si>
  <si>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</si>
  <si>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</si>
  <si>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10% of range</t>
  </si>
  <si>
    <t>Neutral Score assignment</t>
  </si>
  <si>
    <t>This worksheet is a good place to keep track of why and how the values were chosen for WT and "dead", as well as any other analysis parameters.</t>
  </si>
  <si>
    <t>the WT aa</t>
  </si>
  <si>
    <t>for each</t>
  </si>
  <si>
    <t>subsitution</t>
  </si>
  <si>
    <t xml:space="preserve">could go in </t>
  </si>
  <si>
    <t>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</si>
</sst>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5">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0" xfId="0"/>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
                <c:pt idx="0">
                  <c:v>#NUM!</c:v>
                </c:pt>
              </c:strCache>
            </c:strRef>
          </c:cat>
          <c:val>
            <c:numRef>
              <c:f>'Bin Analysis and Plots'!$K$6:$K$25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
                <c:pt idx="0">
                  <c:v>#NUM!</c:v>
                </c:pt>
              </c:strCache>
            </c:strRef>
          </c:cat>
          <c:val>
            <c:numRef>
              <c:f>'Bin Analysis and Plots'!$E$6:$E$25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
                <c:pt idx="0">
                  <c:v>#NUM!</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
                <c:pt idx="0">
                  <c:v>#NUM!</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129</xdr:row>
      <xdr:rowOff>0</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71672" cy="25224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2025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Reference:</a:t>
          </a:r>
          <a:r>
            <a:rPr lang="en-US" sz="1100" baseline="0">
              <a:solidFill>
                <a:schemeClr val="dk1"/>
              </a:solidFill>
              <a:latin typeface="+mn-lt"/>
              <a:ea typeface="+mn-ea"/>
              <a:cs typeface="+mn-cs"/>
            </a:rPr>
            <a:t> </a:t>
          </a:r>
          <a:r>
            <a:rPr lang="en-US" sz="11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1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100" baseline="0">
              <a:solidFill>
                <a:srgbClr val="00B0F0"/>
              </a:solidFill>
              <a:effectLst/>
              <a:latin typeface="+mn-lt"/>
              <a:ea typeface="+mn-ea"/>
              <a:cs typeface="+mn-cs"/>
            </a:rPr>
            <a:t>blue</a:t>
          </a:r>
          <a:r>
            <a:rPr lang="en-US" sz="1100" baseline="0">
              <a:solidFill>
                <a:srgbClr val="FF0000"/>
              </a:solidFill>
              <a:effectLst/>
              <a:latin typeface="+mn-lt"/>
              <a:ea typeface="+mn-ea"/>
              <a:cs typeface="+mn-cs"/>
            </a:rPr>
            <a:t>, indicating that a manual inspection of the data is needed to determine the best position class.</a:t>
          </a:r>
          <a:endParaRPr lang="en-US" sz="11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1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1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100" baseline="0">
              <a:solidFill>
                <a:srgbClr val="00B0F0"/>
              </a:solidFill>
              <a:effectLst/>
              <a:latin typeface="+mn-lt"/>
              <a:ea typeface="+mn-ea"/>
              <a:cs typeface="+mn-cs"/>
            </a:rPr>
            <a:t>blue</a:t>
          </a:r>
          <a:r>
            <a:rPr lang="en-US" sz="1100" baseline="0">
              <a:solidFill>
                <a:srgbClr val="FF0000"/>
              </a:solidFill>
              <a:effectLst/>
              <a:latin typeface="+mn-lt"/>
              <a:ea typeface="+mn-ea"/>
              <a:cs typeface="+mn-cs"/>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Sreenivasan, S., Fontes, J. D., and Swint-Kruse, L</a:t>
          </a:r>
          <a:r>
            <a:rPr lang="en-US" sz="1100" b="0">
              <a:solidFill>
                <a:schemeClr val="dk1"/>
              </a:solidFill>
              <a:latin typeface="+mn-lt"/>
              <a:ea typeface="+mn-ea"/>
              <a:cs typeface="+mn-cs"/>
            </a:rPr>
            <a:t>. 2025. 'Dissecting the effects of single amino acid substitutions in SARS-CoV-2 Mpro', </a:t>
          </a:r>
          <a:r>
            <a:rPr lang="en-US" sz="11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Miller, M., Y. Bromberg, and L. Swint-Kruse. 2017. 'Computational predictors fail to identify amino acid substitution effects at rheostat positions', </a:t>
          </a:r>
          <a:r>
            <a:rPr lang="en-US" sz="11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1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tabSelected="1" zoomScaleNormal="100" workbookViewId="0"/>
  </sheetViews>
  <sheetFormatPr defaultColWidth="11" defaultRowHeight="15.75"/>
  <sheetData>
    <row r="5" spans="16:16">
      <c r="P5" s="11"/>
    </row>
    <row r="43" spans="13:14">
      <c r="M43" t="s">
        <v>96</v>
      </c>
    </row>
    <row r="46" spans="13:14">
      <c r="N46" t="s">
        <v>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zoomScale="69" zoomScaleNormal="70" workbookViewId="0">
      <selection activeCell="A22" sqref="A22"/>
    </sheetView>
  </sheetViews>
  <sheetFormatPr defaultColWidth="11" defaultRowHeight="15.75"/>
  <cols>
    <col min="1" max="1" width="13.375" customWidth="1"/>
    <col min="4" max="4" width="14.625" customWidth="1"/>
    <col min="9" max="9" width="37.625" customWidth="1"/>
    <col min="10" max="10" width="9.375" customWidth="1"/>
    <col min="11" max="11" width="11.875" bestFit="1" customWidth="1"/>
    <col min="12" max="12" width="7.5" bestFit="1" customWidth="1"/>
    <col min="13" max="13" width="11.875" bestFit="1" customWidth="1"/>
    <col min="14" max="14" width="8.125" bestFit="1" customWidth="1"/>
    <col min="15" max="15" width="18.875" bestFit="1" customWidth="1"/>
    <col min="16" max="16" width="16.875" bestFit="1" customWidth="1"/>
    <col min="17" max="17" width="16.875" customWidth="1"/>
    <col min="21" max="21" width="17" bestFit="1" customWidth="1"/>
    <col min="22" max="22" width="16.375" bestFit="1" customWidth="1"/>
    <col min="23" max="23" width="14" bestFit="1" customWidth="1"/>
  </cols>
  <sheetData>
    <row r="1" spans="1:23" ht="16.5" thickBot="1"/>
    <row r="2" spans="1:23" ht="16.5" thickBot="1">
      <c r="A2" s="49" t="s">
        <v>73</v>
      </c>
      <c r="B2" s="84"/>
      <c r="C2" s="85"/>
      <c r="D2" s="85"/>
      <c r="E2" s="85"/>
      <c r="F2" s="86"/>
    </row>
    <row r="3" spans="1:23" ht="16.5" thickBot="1"/>
    <row r="4" spans="1:23" ht="21.75" thickBot="1">
      <c r="B4" s="49" t="s">
        <v>0</v>
      </c>
      <c r="C4" s="49" t="s">
        <v>1</v>
      </c>
      <c r="D4" s="49" t="s">
        <v>91</v>
      </c>
      <c r="E4" s="49" t="s">
        <v>3</v>
      </c>
      <c r="G4" s="49" t="s">
        <v>4</v>
      </c>
      <c r="I4" s="50" t="s">
        <v>66</v>
      </c>
      <c r="J4" s="1" t="s">
        <v>61</v>
      </c>
      <c r="L4" s="87" t="s">
        <v>52</v>
      </c>
      <c r="M4" s="88"/>
      <c r="N4" s="88"/>
      <c r="O4" s="88"/>
      <c r="P4" s="88"/>
      <c r="Q4" s="88"/>
      <c r="R4" s="88"/>
      <c r="S4" s="88"/>
      <c r="T4" s="88"/>
      <c r="U4" s="88"/>
      <c r="V4" s="89"/>
    </row>
    <row r="5" spans="1:23" ht="16.5" thickBot="1">
      <c r="A5" s="11" t="s">
        <v>5</v>
      </c>
      <c r="B5" s="11" t="s">
        <v>6</v>
      </c>
      <c r="C5" s="11" t="s">
        <v>6</v>
      </c>
      <c r="D5" s="48"/>
      <c r="E5" s="51"/>
      <c r="L5" s="74" t="s">
        <v>0</v>
      </c>
      <c r="M5" s="75" t="s">
        <v>65</v>
      </c>
      <c r="N5" s="75" t="s">
        <v>105</v>
      </c>
      <c r="O5" s="75" t="s">
        <v>53</v>
      </c>
      <c r="P5" s="75" t="s">
        <v>54</v>
      </c>
      <c r="Q5" s="75" t="s">
        <v>55</v>
      </c>
      <c r="R5" s="75" t="s">
        <v>56</v>
      </c>
      <c r="S5" s="75" t="s">
        <v>81</v>
      </c>
      <c r="T5" s="76" t="s">
        <v>106</v>
      </c>
      <c r="U5" s="76" t="s">
        <v>107</v>
      </c>
      <c r="V5" s="77" t="s">
        <v>110</v>
      </c>
      <c r="W5" s="79"/>
    </row>
    <row r="6" spans="1:23" ht="16.5" thickBot="1">
      <c r="A6" s="40" t="s">
        <v>71</v>
      </c>
      <c r="B6" s="17">
        <v>45</v>
      </c>
      <c r="C6" s="17" t="s">
        <v>9</v>
      </c>
      <c r="D6" s="17">
        <v>0.56299999999999994</v>
      </c>
      <c r="E6" s="17">
        <v>3.3999999999999998E-3</v>
      </c>
      <c r="I6" s="49" t="s">
        <v>29</v>
      </c>
      <c r="L6" s="71" t="s">
        <v>28</v>
      </c>
      <c r="M6" s="72" t="b">
        <f>INDEX('Bin Analysis and Plots'!$E$3:$U$505,MATCH($L6,'Bin Analysis and Plots'!$N$3:$N$505,0),MATCH(M$5,'Bin Analysis and Plots'!$E$2:$U$2,0))</f>
        <v>0</v>
      </c>
      <c r="N6" s="70">
        <f>INDEX('Bin Analysis and Plots'!$E$3:$U$505,MATCH($L6,'Bin Analysis and Plots'!$N$3:$N$505,0),MATCH(N$5,'Bin Analysis and Plots'!$E$2:$U$2,0))</f>
        <v>0</v>
      </c>
      <c r="O6" s="70" t="e">
        <f>INDEX('Bin Analysis and Plots'!$E$3:$U$505,MATCH($L6,'Bin Analysis and Plots'!$N$3:$N$505,0),MATCH(O$5,'Bin Analysis and Plots'!$E$2:$U$2,0))</f>
        <v>#N/A</v>
      </c>
      <c r="P6" s="70" t="e">
        <f>INDEX('Bin Analysis and Plots'!$E$3:$U$505,MATCH($L6,'Bin Analysis and Plots'!$N$3:$N$505,0),MATCH(P$5,'Bin Analysis and Plots'!$E$2:$U$2,0))</f>
        <v>#N/A</v>
      </c>
      <c r="Q6" s="70" t="e">
        <f>INDEX('Bin Analysis and Plots'!$E$3:$U$505,MATCH($L6,'Bin Analysis and Plots'!$N$3:$N$505,0),MATCH(Q$5,'Bin Analysis and Plots'!$E$2:$U$2,0))</f>
        <v>#N/A</v>
      </c>
      <c r="R6" s="70" t="e">
        <f>INDEX('Bin Analysis and Plots'!$E$3:$U$505,MATCH($L6,'Bin Analysis and Plots'!$N$3:$N$505,0),MATCH(R$5,'Bin Analysis and Plots'!$E$2:$U$2,0))</f>
        <v>#N/A</v>
      </c>
      <c r="S6" s="70" t="e">
        <f>INDEX('Bin Analysis and Plots'!$E$3:$U$505,MATCH($L6,'Bin Analysis and Plots'!$N$3:$N$505,0),MATCH(S$5,'Bin Analysis and Plots'!$E$2:$U$2,0))</f>
        <v>#N/A</v>
      </c>
      <c r="T6" s="70" t="str" cm="1">
        <f t="array" ref="T6:T26">Assignments!K5:K25</f>
        <v/>
      </c>
      <c r="U6" s="70" t="str" cm="1">
        <f t="array" ref="U6:U26">Assignments!L5:L25</f>
        <v/>
      </c>
      <c r="V6" s="73"/>
    </row>
    <row r="7" spans="1:23">
      <c r="A7" s="83" t="s">
        <v>144</v>
      </c>
      <c r="B7" s="82"/>
      <c r="C7" s="4"/>
      <c r="D7" s="4"/>
      <c r="E7" s="53"/>
      <c r="I7" t="s">
        <v>14</v>
      </c>
      <c r="J7">
        <f>IF($J$4="yes",10^('Data Transformation'!R3),'Data Transformation'!R3)</f>
        <v>1</v>
      </c>
      <c r="L7" s="20" t="str">
        <f t="shared" ref="L7:L26" si="0">$G8</f>
        <v xml:space="preserve"> </v>
      </c>
      <c r="M7" s="21" t="str">
        <f>IF(L7=" "," ",(IF($L7&gt;0,INDEX('Bin Analysis and Plots'!$E$3:$U$505,MATCH($L7,'Bin Analysis and Plots'!$N$3:$N$505,0),MATCH(M$5,'Bin Analysis and Plots'!$E$2:$U$2,0))," ")))</f>
        <v xml:space="preserve"> </v>
      </c>
      <c r="N7" s="22" t="str">
        <f>IF($L7=" "," ",(IF($M7=FALSE," ",(IF($M7&gt;0,INDEX('Bin Analysis and Plots'!$E$3:$U$505,MATCH($L7,'Bin Analysis and Plots'!$N$3:$N$505,0),MATCH(N$5,'Bin Analysis and Plots'!$E$2:$U$2,0))," ")))))</f>
        <v xml:space="preserve"> </v>
      </c>
      <c r="O7" s="22" t="str">
        <f>IF($L7=" "," ",(IF($M7=FALSE," ",(IF($M7&gt;0,INDEX('Bin Analysis and Plots'!$E$3:$U$505,MATCH($L7,'Bin Analysis and Plots'!$N$3:$N$505,0),MATCH(O$5,'Bin Analysis and Plots'!$E$2:$U$2,0))," ")))))</f>
        <v xml:space="preserve"> </v>
      </c>
      <c r="P7" s="22" t="str">
        <f>IF($L7=" "," ",(IF($M7=FALSE," ",(IF($M7&gt;0,INDEX('Bin Analysis and Plots'!$E$3:$U$505,MATCH($L7,'Bin Analysis and Plots'!$N$3:$N$505,0),MATCH(P$5,'Bin Analysis and Plots'!$E$2:$U$2,0))," ")))))</f>
        <v xml:space="preserve"> </v>
      </c>
      <c r="Q7" s="22" t="str">
        <f>IF($L7=" "," ",(IF($M7=FALSE," ",(IF($M7&gt;0,INDEX('Bin Analysis and Plots'!$E$3:$U$505,MATCH($L7,'Bin Analysis and Plots'!$N$3:$N$505,0),MATCH(Q$5,'Bin Analysis and Plots'!$E$2:$U$2,0))," ")))))</f>
        <v xml:space="preserve"> </v>
      </c>
      <c r="R7" s="22" t="str">
        <f>IF($L7=" "," ",(IF($M7=FALSE," ",(IF($M7&gt;0,INDEX('Bin Analysis and Plots'!$E$3:$U$505,MATCH($L7,'Bin Analysis and Plots'!$N$3:$N$505,0),MATCH(R$5,'Bin Analysis and Plots'!$E$2:$U$2,0))," ")))))</f>
        <v xml:space="preserve"> </v>
      </c>
      <c r="S7" s="22" t="str">
        <f>IF($L7=" "," ",(IF($M7=FALSE," ",(IF($M7&gt;0,INDEX('Bin Analysis and Plots'!$E$3:$U$505,MATCH($L7,'Bin Analysis and Plots'!$N$3:$N$505,0),MATCH(S$5,'Bin Analysis and Plots'!$E$2:$U$2,0))," ")))))</f>
        <v xml:space="preserve"> </v>
      </c>
      <c r="T7" s="22" t="str">
        <v/>
      </c>
      <c r="U7" s="22" t="str">
        <v/>
      </c>
      <c r="V7" s="63" t="str" cm="1">
        <f t="array" ref="V7:V26">Assignments!V6:V25</f>
        <v/>
      </c>
    </row>
    <row r="8" spans="1:23">
      <c r="A8" s="83" t="s">
        <v>145</v>
      </c>
      <c r="B8" s="42"/>
      <c r="E8" s="56"/>
      <c r="G8" s="26" t="str">
        <f>IFERROR('Data Transformation'!M6," ")</f>
        <v xml:space="preserve"> </v>
      </c>
      <c r="I8" t="s">
        <v>15</v>
      </c>
      <c r="J8">
        <f>IF($J$4="yes",10^('Data Transformation'!R4),'Data Transformation'!R4)</f>
        <v>1</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A9" s="83" t="s">
        <v>146</v>
      </c>
      <c r="B9" s="42"/>
      <c r="E9" s="56"/>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5" thickBot="1">
      <c r="A10" s="83" t="s">
        <v>147</v>
      </c>
      <c r="B10" s="42"/>
      <c r="E10" s="56"/>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5" thickBot="1">
      <c r="A11" s="83" t="s">
        <v>148</v>
      </c>
      <c r="B11" s="42"/>
      <c r="E11" s="56"/>
      <c r="G11" s="27" t="str">
        <f>IFERROR('Data Transformation'!M9," ")</f>
        <v xml:space="preserve"> </v>
      </c>
      <c r="I11" t="s">
        <v>14</v>
      </c>
      <c r="J11" s="1"/>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5" thickBot="1">
      <c r="B12" s="42"/>
      <c r="E12" s="56"/>
      <c r="G12" s="27" t="str">
        <f>IFERROR('Data Transformation'!M10," ")</f>
        <v xml:space="preserve"> </v>
      </c>
      <c r="I12" t="s">
        <v>15</v>
      </c>
      <c r="J12" s="1"/>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c r="E13" s="56"/>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c r="E14" s="56"/>
      <c r="G14" s="27" t="str">
        <f>IFERROR('Data Transformation'!M12," ")</f>
        <v xml:space="preserve"> </v>
      </c>
      <c r="I14" t="s">
        <v>97</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5" thickBot="1">
      <c r="B15" s="42"/>
      <c r="E15" s="56"/>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5" thickBot="1">
      <c r="B16" s="42"/>
      <c r="E16" s="56"/>
      <c r="G16" s="27" t="str">
        <f>IFERROR('Data Transformation'!M14," ")</f>
        <v xml:space="preserve"> </v>
      </c>
      <c r="I16" s="50" t="s">
        <v>74</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c r="E17" s="56"/>
      <c r="G17" s="27" t="str">
        <f>IFERROR('Data Transformation'!M15," ")</f>
        <v xml:space="preserve"> </v>
      </c>
      <c r="J17">
        <f>IF(J16="maximum",'Data Transformation'!U9,'Data Transformation'!U8)</f>
        <v>1</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5" thickBot="1">
      <c r="B18" s="42"/>
      <c r="E18" s="56"/>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5" thickBot="1">
      <c r="B19" s="42"/>
      <c r="E19" s="56"/>
      <c r="G19" s="27" t="str">
        <f>IFERROR('Data Transformation'!M17," ")</f>
        <v xml:space="preserve"> </v>
      </c>
      <c r="I19" s="49" t="s">
        <v>93</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c r="E20" s="56"/>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c r="E21" s="56"/>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5" thickBot="1">
      <c r="B22" s="42"/>
      <c r="E22" s="56"/>
      <c r="G22" s="27" t="str">
        <f>IFERROR('Data Transformation'!M20," ")</f>
        <v xml:space="preserve"> </v>
      </c>
      <c r="I22" s="50" t="s">
        <v>7</v>
      </c>
      <c r="J22" s="12" t="e">
        <f>'Data Transformation'!R23</f>
        <v>#DIV/0!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5" thickBot="1">
      <c r="B23" s="42"/>
      <c r="E23" s="56"/>
      <c r="G23" s="27" t="str">
        <f>IFERROR('Data Transformation'!M21," ")</f>
        <v xml:space="preserve"> </v>
      </c>
      <c r="I23" s="37" t="s">
        <v>31</v>
      </c>
      <c r="J23" s="1"/>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c r="E24" s="56"/>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c r="E25" s="56"/>
      <c r="G25" s="27" t="str">
        <f>IFERROR('Data Transformation'!M23," ")</f>
        <v xml:space="preserve"> </v>
      </c>
      <c r="I25" t="s">
        <v>120</v>
      </c>
      <c r="J25" t="e">
        <f>'Data Transformation'!R25</f>
        <v>#DIV/0!</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5"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5" thickBot="1">
      <c r="B27" s="42"/>
      <c r="E27" s="56"/>
      <c r="G27" s="28" t="str">
        <f>IFERROR('Data Transformation'!M25," ")</f>
        <v xml:space="preserve"> </v>
      </c>
      <c r="I27" s="49" t="s">
        <v>115</v>
      </c>
      <c r="J27" s="1"/>
    </row>
    <row r="28" spans="2:22">
      <c r="B28" s="42"/>
      <c r="E28" s="56"/>
      <c r="I28" t="s">
        <v>119</v>
      </c>
      <c r="J28" t="e">
        <f>'Data Transformation'!U25</f>
        <v>#DIV/0!</v>
      </c>
    </row>
    <row r="29" spans="2:22" ht="16.5" thickBot="1">
      <c r="B29" s="42"/>
      <c r="E29" s="56"/>
    </row>
    <row r="30" spans="2:22" ht="16.5" thickBot="1">
      <c r="B30" s="42"/>
      <c r="E30" s="56"/>
      <c r="I30" s="49" t="s">
        <v>123</v>
      </c>
      <c r="J30" s="1"/>
    </row>
    <row r="31" spans="2:22">
      <c r="B31" s="42"/>
      <c r="E31" s="56"/>
      <c r="I31" t="s">
        <v>124</v>
      </c>
      <c r="J31">
        <v>0.8</v>
      </c>
    </row>
    <row r="32" spans="2:22" ht="16.5" thickBot="1">
      <c r="B32" s="42"/>
      <c r="E32" s="56"/>
    </row>
    <row r="33" spans="2:21" ht="16.5" thickBot="1">
      <c r="B33" s="42"/>
      <c r="E33" s="56"/>
      <c r="I33" s="49" t="s">
        <v>142</v>
      </c>
      <c r="J33" s="1"/>
      <c r="U33" t="s">
        <v>92</v>
      </c>
    </row>
    <row r="34" spans="2:21">
      <c r="B34" s="42"/>
      <c r="E34" s="56"/>
      <c r="I34" t="s">
        <v>126</v>
      </c>
      <c r="J34">
        <v>0.7</v>
      </c>
    </row>
    <row r="35" spans="2:21" ht="16.5" thickBot="1">
      <c r="B35" s="42"/>
      <c r="E35" s="56"/>
    </row>
    <row r="36" spans="2:21" ht="16.5" thickBot="1">
      <c r="B36" s="42"/>
      <c r="E36" s="56"/>
      <c r="I36" s="49" t="s">
        <v>122</v>
      </c>
      <c r="J36" s="1"/>
    </row>
    <row r="37" spans="2:21">
      <c r="B37" s="42"/>
      <c r="E37" s="56"/>
      <c r="I37" t="s">
        <v>127</v>
      </c>
      <c r="J37">
        <v>0.5</v>
      </c>
    </row>
    <row r="38" spans="2:21" ht="16.5" thickBot="1">
      <c r="B38" s="42"/>
      <c r="E38" s="56"/>
    </row>
    <row r="39" spans="2:21" ht="16.5" thickBot="1">
      <c r="B39" s="42"/>
      <c r="E39" s="56"/>
      <c r="I39" s="49" t="s">
        <v>121</v>
      </c>
      <c r="J39" s="1"/>
    </row>
    <row r="40" spans="2:21">
      <c r="B40" s="42"/>
      <c r="E40" s="56"/>
      <c r="I40" t="s">
        <v>125</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5"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00000000-0002-0000-0100-000008000000}"/>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election activeCell="G26" sqref="G26"/>
    </sheetView>
  </sheetViews>
  <sheetFormatPr defaultRowHeight="15.75"/>
  <sheetData>
    <row r="1" spans="1:1">
      <c r="A1" s="83"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75"/>
  <sheetData>
    <row r="1" spans="1:16">
      <c r="A1" t="s">
        <v>80</v>
      </c>
      <c r="J1" s="2" t="s">
        <v>12</v>
      </c>
      <c r="K1" s="2"/>
      <c r="O1" s="2" t="s">
        <v>79</v>
      </c>
    </row>
    <row r="2" spans="1:16" ht="16.5" thickBot="1">
      <c r="B2" t="s">
        <v>0</v>
      </c>
      <c r="C2" t="s">
        <v>1</v>
      </c>
      <c r="D2" t="s">
        <v>2</v>
      </c>
      <c r="E2" t="s">
        <v>3</v>
      </c>
      <c r="F2" t="s">
        <v>76</v>
      </c>
      <c r="G2" t="s">
        <v>77</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78</v>
      </c>
      <c r="I4004" t="s">
        <v>78</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5"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404"/>
  <sheetViews>
    <sheetView zoomScale="69" workbookViewId="0">
      <selection activeCell="B1" sqref="B1"/>
    </sheetView>
  </sheetViews>
  <sheetFormatPr defaultColWidth="11" defaultRowHeight="15.75"/>
  <cols>
    <col min="6" max="6" width="15" bestFit="1" customWidth="1"/>
    <col min="7" max="7" width="17.125" bestFit="1" customWidth="1"/>
    <col min="17" max="17" width="18.625" bestFit="1" customWidth="1"/>
    <col min="20" max="20" width="25.375" bestFit="1" customWidth="1"/>
  </cols>
  <sheetData>
    <row r="1" spans="1:24">
      <c r="B1" s="2" t="s">
        <v>2</v>
      </c>
      <c r="J1" s="2" t="s">
        <v>12</v>
      </c>
      <c r="K1" s="2"/>
      <c r="L1" s="2"/>
      <c r="M1" s="2"/>
      <c r="Q1" s="2" t="s">
        <v>13</v>
      </c>
      <c r="T1" s="2" t="s">
        <v>62</v>
      </c>
    </row>
    <row r="2" spans="1:24">
      <c r="B2" t="s">
        <v>0</v>
      </c>
      <c r="C2" t="s">
        <v>2</v>
      </c>
      <c r="D2" t="s">
        <v>3</v>
      </c>
      <c r="E2" t="s">
        <v>10</v>
      </c>
      <c r="F2" t="s">
        <v>11</v>
      </c>
      <c r="G2" t="s">
        <v>24</v>
      </c>
      <c r="H2" t="s">
        <v>25</v>
      </c>
      <c r="O2" t="s">
        <v>58</v>
      </c>
    </row>
    <row r="3" spans="1:24">
      <c r="A3" s="13" t="s">
        <v>27</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60</v>
      </c>
      <c r="M3" t="s">
        <v>59</v>
      </c>
      <c r="N3" t="s">
        <v>57</v>
      </c>
      <c r="O3" t="s">
        <v>65</v>
      </c>
      <c r="Q3" t="s">
        <v>14</v>
      </c>
      <c r="R3">
        <f>MIN(G4:G404)</f>
        <v>0</v>
      </c>
      <c r="T3" t="s">
        <v>69</v>
      </c>
    </row>
    <row r="4" spans="1:24">
      <c r="A4" t="s">
        <v>27</v>
      </c>
      <c r="B4" t="str">
        <f>'Input and Summary Results'!G$8</f>
        <v xml:space="preserve"> </v>
      </c>
      <c r="C4" t="b">
        <f>IF(B4=0,FALSE,IF(ISNUMBER('Input and Summary Results'!$D$5),'Input and Summary Results'!$D$5,FALSE))</f>
        <v>0</v>
      </c>
      <c r="D4">
        <f>IF(B4=0,FALSE,'Input and Summary Results'!$E$5)</f>
        <v>0</v>
      </c>
      <c r="E4" t="b">
        <f t="shared" ref="E4:E67" si="0">IF(C4=FALSE,FALSE,LOG10(C4))</f>
        <v>0</v>
      </c>
      <c r="F4" t="e">
        <f>IF(D4=FALSE, FALSE,0.434*D4/C4)</f>
        <v>#DIV/0!</v>
      </c>
      <c r="G4" t="b">
        <f>IF(B4=" ",FALSE,(IF('Input and Summary Results'!$J$4="yes",'Data Transformation'!E4,'Data Transformation'!C4)))</f>
        <v>0</v>
      </c>
      <c r="H4" t="b">
        <f>IF(B4=" ",FALSE,(IF('Input and Summary Results'!$J$4="yes",'Data Transformation'!F4,'Data Transformation'!D4)))</f>
        <v>0</v>
      </c>
      <c r="J4" t="s">
        <v>28</v>
      </c>
      <c r="M4" t="str">
        <f>J4</f>
        <v>all</v>
      </c>
      <c r="N4">
        <f>COUNTIF(B24:B404,"&gt;0")+COUNTIF(B4,"&gt;0")</f>
        <v>0</v>
      </c>
      <c r="O4" t="b">
        <f t="shared" ref="O4:O25" si="1">IF(N4&gt;4,N4,FALSE)</f>
        <v>0</v>
      </c>
      <c r="Q4" t="s">
        <v>15</v>
      </c>
      <c r="R4">
        <f>IF('Input and Summary Results'!J4="yes",MAX('Data Transformation'!E24:E404),MAX(C24:C404))</f>
        <v>0</v>
      </c>
      <c r="T4" t="s">
        <v>61</v>
      </c>
    </row>
    <row r="5" spans="1:24">
      <c r="A5" t="s">
        <v>27</v>
      </c>
      <c r="B5" t="str">
        <f>'Input and Summary Results'!$G9</f>
        <v xml:space="preserve"> </v>
      </c>
      <c r="C5" t="b">
        <f>IF(B5=0,FALSE,IF(ISNUMBER('Input and Summary Results'!$D$5),'Input and Summary Results'!$D$5,FALSE))</f>
        <v>0</v>
      </c>
      <c r="D5">
        <f>IF(B5=0,FALSE,'Input and Summary Results'!$E$5)</f>
        <v>0</v>
      </c>
      <c r="E5" t="b">
        <f t="shared" si="0"/>
        <v>0</v>
      </c>
      <c r="F5" t="e">
        <f t="shared" ref="F5:F67" si="2">IF(D5=FALSE, FALSE,0.434*D5/C5)</f>
        <v>#DIV/0!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t="e">
        <f>$G$3</f>
        <v>#NUM!</v>
      </c>
      <c r="T5" t="s">
        <v>63</v>
      </c>
    </row>
    <row r="6" spans="1:24">
      <c r="A6" t="s">
        <v>27</v>
      </c>
      <c r="B6" t="str">
        <f>'Input and Summary Results'!$G10</f>
        <v xml:space="preserve"> </v>
      </c>
      <c r="C6" t="b">
        <f>IF(B6=0,FALSE,IF(ISNUMBER('Input and Summary Results'!$D$5),'Input and Summary Results'!$D$5,FALSE))</f>
        <v>0</v>
      </c>
      <c r="D6">
        <f>IF(B6=0,FALSE,'Input and Summary Results'!$E$5)</f>
        <v>0</v>
      </c>
      <c r="E6" t="b">
        <f t="shared" si="0"/>
        <v>0</v>
      </c>
      <c r="F6" t="e">
        <f t="shared" si="2"/>
        <v>#DIV/0!</v>
      </c>
      <c r="G6" t="b">
        <f>IF(B6=" ",FALSE,(IF('Input and Summary Results'!$J$4="yes",'Data Transformation'!E6,'Data Transformation'!C6)))</f>
        <v>0</v>
      </c>
      <c r="H6" t="b">
        <f>IF(B6=" ",FALSE,(IF('Input and Summary Results'!$J$4="yes",'Data Transformation'!F6,'Data Transformation'!D6)))</f>
        <v>0</v>
      </c>
      <c r="J6" s="18" t="e">
        <f>LOOKUP(2,1/(COUNTIF($J$4:J5,'Input and Summary Results'!$B$7:$B$404)=0),'Input and Summary Results'!$B$7:$B$404)</f>
        <v>#N/A</v>
      </c>
      <c r="K6" s="18" t="str">
        <f t="shared" ref="K6:K25" si="3">IFERROR(J6," ")</f>
        <v xml:space="preserve"> </v>
      </c>
      <c r="L6" s="18">
        <v>1</v>
      </c>
      <c r="M6" t="e">
        <f>SMALL($K$6:$K$25,L6)</f>
        <v>#NUM!</v>
      </c>
      <c r="N6">
        <f>COUNTIF($B$4:$B$404,$M6)</f>
        <v>0</v>
      </c>
      <c r="O6" t="b">
        <f t="shared" si="1"/>
        <v>0</v>
      </c>
      <c r="Q6" t="s">
        <v>16</v>
      </c>
      <c r="R6" s="52">
        <f>IF('Input and Summary Results'!J4="yes",LOG('Input and Summary Results'!J17,10),'Input and Summary Results'!J17)</f>
        <v>0</v>
      </c>
    </row>
    <row r="7" spans="1:24">
      <c r="A7" t="s">
        <v>27</v>
      </c>
      <c r="B7" t="str">
        <f>'Input and Summary Results'!$G11</f>
        <v xml:space="preserve"> </v>
      </c>
      <c r="C7" t="b">
        <f>IF(B7=0,FALSE,IF(ISNUMBER('Input and Summary Results'!$D$5),'Input and Summary Results'!$D$5,FALSE))</f>
        <v>0</v>
      </c>
      <c r="D7">
        <f>IF(B7=0,FALSE,'Input and Summary Results'!$E$5)</f>
        <v>0</v>
      </c>
      <c r="E7" t="b">
        <f t="shared" si="0"/>
        <v>0</v>
      </c>
      <c r="F7" t="e">
        <f t="shared" si="2"/>
        <v>#DIV/0!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4">
      <c r="A8" t="s">
        <v>27</v>
      </c>
      <c r="B8" t="str">
        <f>'Input and Summary Results'!$G12</f>
        <v xml:space="preserve"> </v>
      </c>
      <c r="C8" t="b">
        <f>IF(B8=0,FALSE,IF(ISNUMBER('Input and Summary Results'!$D$5),'Input and Summary Results'!$D$5,FALSE))</f>
        <v>0</v>
      </c>
      <c r="D8">
        <f>IF(B8=0,FALSE,'Input and Summary Results'!$E$5)</f>
        <v>0</v>
      </c>
      <c r="E8" t="b">
        <f t="shared" si="0"/>
        <v>0</v>
      </c>
      <c r="F8" t="e">
        <f t="shared" si="2"/>
        <v>#DIV/0!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1</v>
      </c>
    </row>
    <row r="9" spans="1:24">
      <c r="A9" t="s">
        <v>27</v>
      </c>
      <c r="B9" t="str">
        <f>'Input and Summary Results'!$G13</f>
        <v xml:space="preserve"> </v>
      </c>
      <c r="C9" t="b">
        <f>IF(B9=0,FALSE,IF(ISNUMBER('Input and Summary Results'!$D$5),'Input and Summary Results'!$D$5,FALSE))</f>
        <v>0</v>
      </c>
      <c r="D9">
        <f>IF(B9=0,FALSE,'Input and Summary Results'!$E$5)</f>
        <v>0</v>
      </c>
      <c r="E9" t="b">
        <f t="shared" si="0"/>
        <v>0</v>
      </c>
      <c r="F9" t="e">
        <f t="shared" si="2"/>
        <v>#DIV/0!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v>
      </c>
      <c r="T9" t="s">
        <v>89</v>
      </c>
      <c r="U9">
        <f>IF('Input and Summary Results'!J4="yes",10^R10,R10)</f>
        <v>1</v>
      </c>
      <c r="W9" t="s">
        <v>141</v>
      </c>
      <c r="X9">
        <f>(R10-R9)*0.1</f>
        <v>0</v>
      </c>
    </row>
    <row r="10" spans="1:24">
      <c r="A10" t="s">
        <v>27</v>
      </c>
      <c r="B10" t="str">
        <f>'Input and Summary Results'!$G14</f>
        <v xml:space="preserve"> </v>
      </c>
      <c r="C10" t="b">
        <f>IF(B10=0,FALSE,IF(ISNUMBER('Input and Summary Results'!$D$5),'Input and Summary Results'!$D$5,FALSE))</f>
        <v>0</v>
      </c>
      <c r="D10">
        <f>IF(B10=0,FALSE,'Input and Summary Results'!$E$5)</f>
        <v>0</v>
      </c>
      <c r="E10" t="b">
        <f t="shared" si="0"/>
        <v>0</v>
      </c>
      <c r="F10" t="e">
        <f t="shared" si="2"/>
        <v>#DIV/0!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0</v>
      </c>
    </row>
    <row r="11" spans="1:24">
      <c r="A11" t="s">
        <v>27</v>
      </c>
      <c r="B11" t="str">
        <f>'Input and Summary Results'!$G15</f>
        <v xml:space="preserve"> </v>
      </c>
      <c r="C11" t="b">
        <f>IF(B11=0,FALSE,IF(ISNUMBER('Input and Summary Results'!$D$5),'Input and Summary Results'!$D$5,FALSE))</f>
        <v>0</v>
      </c>
      <c r="D11">
        <f>IF(B11=0,FALSE,'Input and Summary Results'!$E$5)</f>
        <v>0</v>
      </c>
      <c r="E11" t="b">
        <f t="shared" si="0"/>
        <v>0</v>
      </c>
      <c r="F11" t="e">
        <f t="shared" si="2"/>
        <v>#DIV/0!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111</v>
      </c>
      <c r="U11" t="e">
        <f>'Data Transformation'!$G$3+0.5*'Data Transformation'!$U$25</f>
        <v>#NUM!</v>
      </c>
    </row>
    <row r="12" spans="1:24">
      <c r="A12" t="s">
        <v>27</v>
      </c>
      <c r="B12" t="str">
        <f>'Input and Summary Results'!$G16</f>
        <v xml:space="preserve"> </v>
      </c>
      <c r="C12" t="b">
        <f>IF(B12=0,FALSE,IF(ISNUMBER('Input and Summary Results'!$D$5),'Input and Summary Results'!$D$5,FALSE))</f>
        <v>0</v>
      </c>
      <c r="D12">
        <f>IF(B12=0,FALSE,'Input and Summary Results'!$E$5)</f>
        <v>0</v>
      </c>
      <c r="E12" t="b">
        <f t="shared" si="0"/>
        <v>0</v>
      </c>
      <c r="F12" t="e">
        <f t="shared" si="2"/>
        <v>#DIV/0!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114</v>
      </c>
      <c r="U12" t="e">
        <f>U11-U25</f>
        <v>#NUM!</v>
      </c>
    </row>
    <row r="13" spans="1:24">
      <c r="A13" t="s">
        <v>27</v>
      </c>
      <c r="B13" t="str">
        <f>'Input and Summary Results'!$G17</f>
        <v xml:space="preserve"> </v>
      </c>
      <c r="C13" t="b">
        <f>IF(B13=0,FALSE,IF(ISNUMBER('Input and Summary Results'!$D$5),'Input and Summary Results'!$D$5,FALSE))</f>
        <v>0</v>
      </c>
      <c r="D13">
        <f>IF(B13=0,FALSE,'Input and Summary Results'!$E$5)</f>
        <v>0</v>
      </c>
      <c r="E13" t="b">
        <f t="shared" si="0"/>
        <v>0</v>
      </c>
      <c r="F13" t="e">
        <f t="shared" si="2"/>
        <v>#DIV/0!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4">
      <c r="A14" t="s">
        <v>27</v>
      </c>
      <c r="B14" t="str">
        <f>'Input and Summary Results'!$G18</f>
        <v xml:space="preserve"> </v>
      </c>
      <c r="C14" t="b">
        <f>IF(B14=0,FALSE,IF(ISNUMBER('Input and Summary Results'!$D$5),'Input and Summary Results'!$D$5,FALSE))</f>
        <v>0</v>
      </c>
      <c r="D14">
        <f>IF(B14=0,FALSE,'Input and Summary Results'!$E$5)</f>
        <v>0</v>
      </c>
      <c r="E14" t="b">
        <f t="shared" si="0"/>
        <v>0</v>
      </c>
      <c r="F14" t="e">
        <f t="shared" si="2"/>
        <v>#DIV/0!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94</v>
      </c>
      <c r="R14" t="e">
        <f>_xlfn.AGGREGATE(1,6,H3,H24:H404)</f>
        <v>#DIV/0!</v>
      </c>
    </row>
    <row r="15" spans="1:24">
      <c r="A15" t="s">
        <v>27</v>
      </c>
      <c r="B15" t="str">
        <f>'Input and Summary Results'!$G19</f>
        <v xml:space="preserve"> </v>
      </c>
      <c r="C15" t="b">
        <f>IF(B15=0,FALSE,IF(ISNUMBER('Input and Summary Results'!$D$5),'Input and Summary Results'!$D$5,FALSE))</f>
        <v>0</v>
      </c>
      <c r="D15">
        <f>IF(B15=0,FALSE,'Input and Summary Results'!$E$5)</f>
        <v>0</v>
      </c>
      <c r="E15" t="b">
        <f t="shared" si="0"/>
        <v>0</v>
      </c>
      <c r="F15" t="e">
        <f t="shared" si="2"/>
        <v>#DIV/0!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95</v>
      </c>
      <c r="R15" t="e">
        <f>IF('Input and Summary Results'!J19="",'Data Transformation'!R14,(IF('Input and Summary Results'!J4="yes",'Input and Summary Results'!J19*0.434/C3,'Input and Summary Results'!J19)))</f>
        <v>#DIV/0!</v>
      </c>
    </row>
    <row r="16" spans="1:24">
      <c r="A16" t="s">
        <v>27</v>
      </c>
      <c r="B16" t="str">
        <f>'Input and Summary Results'!$G20</f>
        <v xml:space="preserve"> </v>
      </c>
      <c r="C16" t="b">
        <f>IF(B16=0,FALSE,IF(ISNUMBER('Input and Summary Results'!$D$5),'Input and Summary Results'!$D$5,FALSE))</f>
        <v>0</v>
      </c>
      <c r="D16">
        <f>IF(B16=0,FALSE,'Input and Summary Results'!$E$5)</f>
        <v>0</v>
      </c>
      <c r="E16" t="b">
        <f t="shared" si="0"/>
        <v>0</v>
      </c>
      <c r="F16" t="e">
        <f t="shared" si="2"/>
        <v>#DIV/0!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104</v>
      </c>
      <c r="R16" t="e">
        <f>R15*2</f>
        <v>#DIV/0!</v>
      </c>
    </row>
    <row r="17" spans="1:23">
      <c r="A17" t="s">
        <v>27</v>
      </c>
      <c r="B17" t="str">
        <f>'Input and Summary Results'!$G21</f>
        <v xml:space="preserve"> </v>
      </c>
      <c r="C17" t="b">
        <f>IF(B17=0,FALSE,IF(ISNUMBER('Input and Summary Results'!$D$5),'Input and Summary Results'!$D$5,FALSE))</f>
        <v>0</v>
      </c>
      <c r="D17">
        <f>IF(B17=0,FALSE,'Input and Summary Results'!$E$5)</f>
        <v>0</v>
      </c>
      <c r="E17" t="b">
        <f t="shared" si="0"/>
        <v>0</v>
      </c>
      <c r="F17" t="e">
        <f t="shared" si="2"/>
        <v>#DIV/0!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t="b">
        <f>IF(B18=0,FALSE,IF(ISNUMBER('Input and Summary Results'!$D$5),'Input and Summary Results'!$D$5,FALSE))</f>
        <v>0</v>
      </c>
      <c r="D18">
        <f>IF(B18=0,FALSE,'Input and Summary Results'!$E$5)</f>
        <v>0</v>
      </c>
      <c r="E18" t="b">
        <f t="shared" si="0"/>
        <v>0</v>
      </c>
      <c r="F18" t="e">
        <f t="shared" si="2"/>
        <v>#DIV/0!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t="b">
        <f>IF(B19=0,FALSE,IF(ISNUMBER('Input and Summary Results'!$D$5),'Input and Summary Results'!$D$5,FALSE))</f>
        <v>0</v>
      </c>
      <c r="D19">
        <f>IF(B19=0,FALSE,'Input and Summary Results'!$E$5)</f>
        <v>0</v>
      </c>
      <c r="E19" t="b">
        <f t="shared" si="0"/>
        <v>0</v>
      </c>
      <c r="F19" t="e">
        <f t="shared" si="2"/>
        <v>#DIV/0!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t="e">
        <f>(R10-R9)/R16</f>
        <v>#DIV/0!</v>
      </c>
    </row>
    <row r="20" spans="1:23">
      <c r="A20" t="s">
        <v>27</v>
      </c>
      <c r="B20" t="str">
        <f>'Input and Summary Results'!$G24</f>
        <v xml:space="preserve"> </v>
      </c>
      <c r="C20" t="b">
        <f>IF(B20=0,FALSE,IF(ISNUMBER('Input and Summary Results'!$D$5),'Input and Summary Results'!$D$5,FALSE))</f>
        <v>0</v>
      </c>
      <c r="D20">
        <f>IF(B20=0,FALSE,'Input and Summary Results'!$E$5)</f>
        <v>0</v>
      </c>
      <c r="E20" t="b">
        <f t="shared" si="0"/>
        <v>0</v>
      </c>
      <c r="F20" t="e">
        <f t="shared" si="2"/>
        <v>#DIV/0!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t="e">
        <f>AVERAGE(O5:O24)</f>
        <v>#DIV/0!</v>
      </c>
    </row>
    <row r="21" spans="1:23">
      <c r="A21" t="s">
        <v>27</v>
      </c>
      <c r="B21" t="str">
        <f>'Input and Summary Results'!$G25</f>
        <v xml:space="preserve"> </v>
      </c>
      <c r="C21" t="b">
        <f>IF(B21=0,FALSE,IF(ISNUMBER('Input and Summary Results'!$D$5),'Input and Summary Results'!$D$5,FALSE))</f>
        <v>0</v>
      </c>
      <c r="D21">
        <f>IF(B21=0,FALSE,'Input and Summary Results'!$E$5)</f>
        <v>0</v>
      </c>
      <c r="E21" t="b">
        <f t="shared" si="0"/>
        <v>0</v>
      </c>
      <c r="F21" t="e">
        <f t="shared" si="2"/>
        <v>#DIV/0!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t="e">
        <f>MEDIAN(O5:O24)</f>
        <v>#NUM!</v>
      </c>
    </row>
    <row r="22" spans="1:23">
      <c r="A22" t="s">
        <v>27</v>
      </c>
      <c r="B22" t="str">
        <f>'Input and Summary Results'!$G26</f>
        <v xml:space="preserve"> </v>
      </c>
      <c r="C22" t="b">
        <f>IF(B22=0,FALSE,IF(ISNUMBER('Input and Summary Results'!$D$5),'Input and Summary Results'!$D$5,FALSE))</f>
        <v>0</v>
      </c>
      <c r="D22">
        <f>IF(B22=0,FALSE,'Input and Summary Results'!$E$5)</f>
        <v>0</v>
      </c>
      <c r="E22" t="b">
        <f t="shared" si="0"/>
        <v>0</v>
      </c>
      <c r="F22" t="e">
        <f t="shared" si="2"/>
        <v>#DIV/0!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t="b">
        <f>IF(B23=0,FALSE,IF(ISNUMBER('Input and Summary Results'!$D$5),'Input and Summary Results'!$D$5,FALSE))</f>
        <v>0</v>
      </c>
      <c r="D23">
        <f>IF(B23=0,FALSE,'Input and Summary Results'!$E$5)</f>
        <v>0</v>
      </c>
      <c r="E23" t="b">
        <f t="shared" si="0"/>
        <v>0</v>
      </c>
      <c r="F23" t="e">
        <f t="shared" si="2"/>
        <v>#DIV/0!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t="e">
        <f>ROUNDDOWN(MIN(R19:R21),0)</f>
        <v>#DIV/0!</v>
      </c>
    </row>
    <row r="24" spans="1:23">
      <c r="B24" t="b">
        <f>IF('Input and Summary Results'!D7="",FALSE,'Input and Summary Results'!$B7)</f>
        <v>0</v>
      </c>
      <c r="C24" t="b">
        <f>IF(OR(B24=0,'Input and Summary Results'!D7=0,'Input and Summary Results'!D7=""),FALSE,'Input and Summary Results'!$D7)</f>
        <v>0</v>
      </c>
      <c r="D24" t="b">
        <f>IF(OR(B24=0,'Input and Summary Results'!E7=0),FALSE,'Input and Summary Results'!$E7)</f>
        <v>0</v>
      </c>
      <c r="E24" t="b">
        <f t="shared" si="0"/>
        <v>0</v>
      </c>
      <c r="F24" t="b">
        <f t="shared" si="2"/>
        <v>0</v>
      </c>
      <c r="G24" t="b">
        <f>IF('Input and Summary Results'!$J$4="yes",IF(C24=FALSE,FALSE,IF(E24&lt;$R$10,'Data Transformation'!E24,$R$10)),IF(C24=FALSE,FALSE,IF('Data Transformation'!C24&lt;$R$10,C24,$R$10)))</f>
        <v>0</v>
      </c>
      <c r="H24" t="b">
        <f>IF('Input and Summary Results'!$J$4="yes",'Data Transformation'!F24,'Data Transformation'!D24)</f>
        <v>0</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t="e">
        <f>IF('Input and Summary Results'!J23&gt;0,(ROUNDDOWN('Input and Summary Results'!J23,0)),'Data Transformation'!R23)</f>
        <v>#DIV/0!</v>
      </c>
    </row>
    <row r="25" spans="1:23">
      <c r="B25" t="b">
        <f>IF('Input and Summary Results'!D8="",FALSE,'Input and Summary Results'!$B8)</f>
        <v>0</v>
      </c>
      <c r="C25" t="b">
        <f>IF(OR(B25=0,'Input and Summary Results'!D8=0,'Input and Summary Results'!D8=""),FALSE,'Input and Summary Results'!$D8)</f>
        <v>0</v>
      </c>
      <c r="D25" t="b">
        <f>IF(OR(B25=0,'Input and Summary Results'!E8=0),FALSE,'Input and Summary Results'!$E8)</f>
        <v>0</v>
      </c>
      <c r="E25" t="b">
        <f t="shared" si="0"/>
        <v>0</v>
      </c>
      <c r="F25" t="b">
        <f t="shared" si="2"/>
        <v>0</v>
      </c>
      <c r="G25" t="b">
        <f>IF('Input and Summary Results'!$J$4="yes",IF(C25=FALSE,FALSE,IF(E25&lt;$R$10,'Data Transformation'!E25,$R$10)),IF(C25=FALSE,FALSE,IF('Data Transformation'!C25&lt;$R$10,C25,$R$10)))</f>
        <v>0</v>
      </c>
      <c r="H25" t="b">
        <f>IF('Input and Summary Results'!$J$4="yes",'Data Transformation'!F25,'Data Transformation'!D25)</f>
        <v>0</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t="e">
        <f>(R10-R9)/R24</f>
        <v>#DIV/0!</v>
      </c>
      <c r="T25" t="s">
        <v>116</v>
      </c>
      <c r="U25" t="e">
        <f>IF(ISNUMBER('Input and Summary Results'!J27),'Input and Summary Results'!J27,IF(OR(ISNUMBER('Input and Summary Results'!E5),ISNUMBER('Input and Summary Results'!J19),),'Data Transformation'!W25*4,'Data Transformation'!U26))</f>
        <v>#DIV/0!</v>
      </c>
      <c r="V25" t="s">
        <v>140</v>
      </c>
      <c r="W25">
        <f>IF(ISNUMBER('Input and Summary Results'!J19),'Data Transformation'!R15,IF(ISNUMBER('Input and Summary Results'!E5),'Data Transformation'!H3,))</f>
        <v>0</v>
      </c>
    </row>
    <row r="26" spans="1:23">
      <c r="B26" t="b">
        <f>IF('Input and Summary Results'!D9="",FALSE,'Input and Summary Results'!$B9)</f>
        <v>0</v>
      </c>
      <c r="C26" t="b">
        <f>IF(OR(B26=0,'Input and Summary Results'!D9=0,'Input and Summary Results'!D9=""),FALSE,'Input and Summary Results'!$D9)</f>
        <v>0</v>
      </c>
      <c r="D26" t="b">
        <f>IF(OR(B26=0,'Input and Summary Results'!E9=0),FALSE,'Input and Summary Results'!$E9)</f>
        <v>0</v>
      </c>
      <c r="E26" t="b">
        <f t="shared" si="0"/>
        <v>0</v>
      </c>
      <c r="F26" t="b">
        <f t="shared" si="2"/>
        <v>0</v>
      </c>
      <c r="G26" t="b">
        <f>IF('Input and Summary Results'!$J$4="yes",IF(C26=FALSE,FALSE,IF(E26&lt;$R$10,'Data Transformation'!E26,$R$10)),IF(C26=FALSE,FALSE,IF('Data Transformation'!C26&lt;$R$10,C26,$R$10)))</f>
        <v>0</v>
      </c>
      <c r="H26" t="b">
        <f>IF('Input and Summary Results'!$J$4="yes",'Data Transformation'!F26,'Data Transformation'!D26)</f>
        <v>0</v>
      </c>
      <c r="J26" t="s">
        <v>30</v>
      </c>
      <c r="N26">
        <f>SUM(N5:N25)</f>
        <v>0</v>
      </c>
      <c r="Q26" t="s">
        <v>90</v>
      </c>
      <c r="R26" t="e">
        <f>10^R25</f>
        <v>#DIV/0!</v>
      </c>
      <c r="T26" t="s">
        <v>109</v>
      </c>
      <c r="U26" t="e">
        <f>R25*2</f>
        <v>#DIV/0!</v>
      </c>
    </row>
    <row r="27" spans="1:23">
      <c r="B27" t="b">
        <f>IF('Input and Summary Results'!D10="",FALSE,'Input and Summary Results'!$B10)</f>
        <v>0</v>
      </c>
      <c r="C27" t="b">
        <f>IF(OR(B27=0,'Input and Summary Results'!D10=0,'Input and Summary Results'!D10=""),FALSE,'Input and Summary Results'!$D10)</f>
        <v>0</v>
      </c>
      <c r="D27" t="b">
        <f>IF(OR(B27=0,'Input and Summary Results'!E10=0),FALSE,'Input and Summary Results'!$E10)</f>
        <v>0</v>
      </c>
      <c r="E27" t="b">
        <f t="shared" si="0"/>
        <v>0</v>
      </c>
      <c r="F27" t="b">
        <f t="shared" si="2"/>
        <v>0</v>
      </c>
      <c r="G27" t="b">
        <f>IF('Input and Summary Results'!$J$4="yes",IF(C27=FALSE,FALSE,IF(E27&lt;$R$10,'Data Transformation'!E27,$R$10)),IF(C27=FALSE,FALSE,IF('Data Transformation'!C27&lt;$R$10,C27,$R$10)))</f>
        <v>0</v>
      </c>
      <c r="H27" t="b">
        <f>IF('Input and Summary Results'!$J$4="yes",'Data Transformation'!F27,'Data Transformation'!D27)</f>
        <v>0</v>
      </c>
    </row>
    <row r="28" spans="1:23">
      <c r="B28" t="b">
        <f>IF('Input and Summary Results'!D11="",FALSE,'Input and Summary Results'!$B11)</f>
        <v>0</v>
      </c>
      <c r="C28" t="b">
        <f>IF(OR(B28=0,'Input and Summary Results'!D11=0,'Input and Summary Results'!D11=""),FALSE,'Input and Summary Results'!$D11)</f>
        <v>0</v>
      </c>
      <c r="D28" t="b">
        <f>IF(OR(B28=0,'Input and Summary Results'!E11=0),FALSE,'Input and Summary Results'!$E11)</f>
        <v>0</v>
      </c>
      <c r="E28" t="b">
        <f t="shared" si="0"/>
        <v>0</v>
      </c>
      <c r="F28" t="b">
        <f t="shared" si="2"/>
        <v>0</v>
      </c>
      <c r="G28" t="b">
        <f>IF('Input and Summary Results'!$J$4="yes",IF(C28=FALSE,FALSE,IF(E28&lt;$R$10,'Data Transformation'!E28,$R$10)),IF(C28=FALSE,FALSE,IF('Data Transformation'!C28&lt;$R$10,C28,$R$10)))</f>
        <v>0</v>
      </c>
      <c r="H28" t="b">
        <f>IF('Input and Summary Results'!$J$4="yes",'Data Transformation'!F28,'Data Transformation'!D28)</f>
        <v>0</v>
      </c>
      <c r="Q28" t="s">
        <v>128</v>
      </c>
      <c r="R28">
        <f>IF(ISNUMBER('Input and Summary Results'!J36),'Input and Summary Results'!J36,'Input and Summary Results'!J37)</f>
        <v>0.5</v>
      </c>
    </row>
    <row r="29" spans="1:23">
      <c r="B29" t="b">
        <f>IF('Input and Summary Results'!D12="",FALSE,'Input and Summary Results'!$B12)</f>
        <v>0</v>
      </c>
      <c r="C29" t="b">
        <f>IF(OR(B29=0,'Input and Summary Results'!D12=0,'Input and Summary Results'!D12=""),FALSE,'Input and Summary Results'!$D12)</f>
        <v>0</v>
      </c>
      <c r="D29" t="b">
        <f>IF(OR(B29=0,'Input and Summary Results'!E12=0),FALSE,'Input and Summary Results'!$E12)</f>
        <v>0</v>
      </c>
      <c r="E29" t="b">
        <f t="shared" si="0"/>
        <v>0</v>
      </c>
      <c r="F29" t="b">
        <f t="shared" si="2"/>
        <v>0</v>
      </c>
      <c r="G29" t="b">
        <f>IF('Input and Summary Results'!$J$4="yes",IF(C29=FALSE,FALSE,IF(E29&lt;$R$10,'Data Transformation'!E29,$R$10)),IF(C29=FALSE,FALSE,IF('Data Transformation'!C29&lt;$R$10,C29,$R$10)))</f>
        <v>0</v>
      </c>
      <c r="H29" t="b">
        <f>IF('Input and Summary Results'!$J$4="yes",'Data Transformation'!F29,'Data Transformation'!D29)</f>
        <v>0</v>
      </c>
      <c r="Q29" t="s">
        <v>129</v>
      </c>
      <c r="R29">
        <f>IF(ISNUMBER('Input and Summary Results'!J33),'Input and Summary Results'!J33,'Input and Summary Results'!J34)</f>
        <v>0.7</v>
      </c>
    </row>
    <row r="30" spans="1:23">
      <c r="B30" t="b">
        <f>IF('Input and Summary Results'!D13="",FALSE,'Input and Summary Results'!$B13)</f>
        <v>0</v>
      </c>
      <c r="C30" t="b">
        <f>IF(OR(B30=0,'Input and Summary Results'!D13=0,'Input and Summary Results'!D13=""),FALSE,'Input and Summary Results'!$D13)</f>
        <v>0</v>
      </c>
      <c r="D30" t="b">
        <f>IF(OR(B30=0,'Input and Summary Results'!E13=0),FALSE,'Input and Summary Results'!$E13)</f>
        <v>0</v>
      </c>
      <c r="E30" t="b">
        <f t="shared" si="0"/>
        <v>0</v>
      </c>
      <c r="F30" t="b">
        <f t="shared" si="2"/>
        <v>0</v>
      </c>
      <c r="G30" t="b">
        <f>IF('Input and Summary Results'!$J$4="yes",IF(C30=FALSE,FALSE,IF(E30&lt;$R$10,'Data Transformation'!E30,$R$10)),IF(C30=FALSE,FALSE,IF('Data Transformation'!C30&lt;$R$10,C30,$R$10)))</f>
        <v>0</v>
      </c>
      <c r="H30" t="b">
        <f>IF('Input and Summary Results'!$J$4="yes",'Data Transformation'!F30,'Data Transformation'!D30)</f>
        <v>0</v>
      </c>
      <c r="Q30" t="s">
        <v>130</v>
      </c>
      <c r="R30">
        <f>IF(ISNUMBER('Input and Summary Results'!J39),'Input and Summary Results'!J39,'Input and Summary Results'!J40)</f>
        <v>0.64</v>
      </c>
    </row>
    <row r="31" spans="1:23">
      <c r="B31" t="b">
        <f>IF('Input and Summary Results'!D14="",FALSE,'Input and Summary Results'!$B14)</f>
        <v>0</v>
      </c>
      <c r="C31" t="b">
        <f>IF(OR(B31=0,'Input and Summary Results'!D14=0,'Input and Summary Results'!D14=""),FALSE,'Input and Summary Results'!$D14)</f>
        <v>0</v>
      </c>
      <c r="D31" t="b">
        <f>IF(OR(B31=0,'Input and Summary Results'!E14=0),FALSE,'Input and Summary Results'!$E14)</f>
        <v>0</v>
      </c>
      <c r="E31" t="b">
        <f t="shared" si="0"/>
        <v>0</v>
      </c>
      <c r="F31" t="b">
        <f t="shared" si="2"/>
        <v>0</v>
      </c>
      <c r="G31" t="b">
        <f>IF('Input and Summary Results'!$J$4="yes",IF(C31=FALSE,FALSE,IF(E31&lt;$R$10,'Data Transformation'!E31,$R$10)),IF(C31=FALSE,FALSE,IF('Data Transformation'!C31&lt;$R$10,C31,$R$10)))</f>
        <v>0</v>
      </c>
      <c r="H31" t="b">
        <f>IF('Input and Summary Results'!$J$4="yes",'Data Transformation'!F31,'Data Transformation'!D31)</f>
        <v>0</v>
      </c>
      <c r="Q31" t="s">
        <v>131</v>
      </c>
      <c r="R31">
        <f>IF(ISNUMBER('Input and Summary Results'!J30),'Input and Summary Results'!J30,'Input and Summary Results'!J31)</f>
        <v>0.8</v>
      </c>
    </row>
    <row r="32" spans="1:23">
      <c r="B32" t="b">
        <f>IF('Input and Summary Results'!D15="",FALSE,'Input and Summary Results'!$B15)</f>
        <v>0</v>
      </c>
      <c r="C32" t="b">
        <f>IF(OR(B32=0,'Input and Summary Results'!D15=0,'Input and Summary Results'!D15=""),FALSE,'Input and Summary Results'!$D15)</f>
        <v>0</v>
      </c>
      <c r="D32" t="b">
        <f>IF(OR(B32=0,'Input and Summary Results'!E15=0),FALSE,'Input and Summary Results'!$E15)</f>
        <v>0</v>
      </c>
      <c r="E32" t="b">
        <f t="shared" si="0"/>
        <v>0</v>
      </c>
      <c r="F32" t="b">
        <f t="shared" si="2"/>
        <v>0</v>
      </c>
      <c r="G32" t="b">
        <f>IF('Input and Summary Results'!$J$4="yes",IF(C32=FALSE,FALSE,IF(E32&lt;$R$10,'Data Transformation'!E32,$R$10)),IF(C32=FALSE,FALSE,IF('Data Transformation'!C32&lt;$R$10,C32,$R$10)))</f>
        <v>0</v>
      </c>
      <c r="H32" t="b">
        <f>IF('Input and Summary Results'!$J$4="yes",'Data Transformation'!F32,'Data Transformation'!D32)</f>
        <v>0</v>
      </c>
    </row>
    <row r="33" spans="2:8">
      <c r="B33" t="b">
        <f>IF('Input and Summary Results'!D16="",FALSE,'Input and Summary Results'!$B16)</f>
        <v>0</v>
      </c>
      <c r="C33" t="b">
        <f>IF(OR(B33=0,'Input and Summary Results'!D16=0,'Input and Summary Results'!D16=""),FALSE,'Input and Summary Results'!$D16)</f>
        <v>0</v>
      </c>
      <c r="D33" t="b">
        <f>IF(OR(B33=0,'Input and Summary Results'!E16=0),FALSE,'Input and Summary Results'!$E16)</f>
        <v>0</v>
      </c>
      <c r="E33" t="b">
        <f t="shared" si="0"/>
        <v>0</v>
      </c>
      <c r="F33" t="b">
        <f t="shared" si="2"/>
        <v>0</v>
      </c>
      <c r="G33" t="b">
        <f>IF('Input and Summary Results'!$J$4="yes",IF(C33=FALSE,FALSE,IF(E33&lt;$R$10,'Data Transformation'!E33,$R$10)),IF(C33=FALSE,FALSE,IF('Data Transformation'!C33&lt;$R$10,C33,$R$10)))</f>
        <v>0</v>
      </c>
      <c r="H33" t="b">
        <f>IF('Input and Summary Results'!$J$4="yes",'Data Transformation'!F33,'Data Transformation'!D33)</f>
        <v>0</v>
      </c>
    </row>
    <row r="34" spans="2:8">
      <c r="B34" t="b">
        <f>IF('Input and Summary Results'!D17="",FALSE,'Input and Summary Results'!$B17)</f>
        <v>0</v>
      </c>
      <c r="C34" t="b">
        <f>IF(OR(B34=0,'Input and Summary Results'!D17=0,'Input and Summary Results'!D17=""),FALSE,'Input and Summary Results'!$D17)</f>
        <v>0</v>
      </c>
      <c r="D34" t="b">
        <f>IF(OR(B34=0,'Input and Summary Results'!E17=0),FALSE,'Input and Summary Results'!$E17)</f>
        <v>0</v>
      </c>
      <c r="E34" t="b">
        <f t="shared" si="0"/>
        <v>0</v>
      </c>
      <c r="F34" t="b">
        <f t="shared" si="2"/>
        <v>0</v>
      </c>
      <c r="G34" t="b">
        <f>IF('Input and Summary Results'!$J$4="yes",IF(C34=FALSE,FALSE,IF(E34&lt;$R$10,'Data Transformation'!E34,$R$10)),IF(C34=FALSE,FALSE,IF('Data Transformation'!C34&lt;$R$10,C34,$R$10)))</f>
        <v>0</v>
      </c>
      <c r="H34" t="b">
        <f>IF('Input and Summary Results'!$J$4="yes",'Data Transformation'!F34,'Data Transformation'!D34)</f>
        <v>0</v>
      </c>
    </row>
    <row r="35" spans="2:8">
      <c r="B35" t="b">
        <f>IF('Input and Summary Results'!D18="",FALSE,'Input and Summary Results'!$B18)</f>
        <v>0</v>
      </c>
      <c r="C35" t="b">
        <f>IF(OR(B35=0,'Input and Summary Results'!D18=0,'Input and Summary Results'!D18=""),FALSE,'Input and Summary Results'!$D18)</f>
        <v>0</v>
      </c>
      <c r="D35" t="b">
        <f>IF(OR(B35=0,'Input and Summary Results'!E18=0),FALSE,'Input and Summary Results'!$E18)</f>
        <v>0</v>
      </c>
      <c r="E35" t="b">
        <f t="shared" si="0"/>
        <v>0</v>
      </c>
      <c r="F35" t="b">
        <f t="shared" si="2"/>
        <v>0</v>
      </c>
      <c r="G35" t="b">
        <f>IF('Input and Summary Results'!$J$4="yes",IF(C35=FALSE,FALSE,IF(E35&lt;$R$10,'Data Transformation'!E35,$R$10)),IF(C35=FALSE,FALSE,IF('Data Transformation'!C35&lt;$R$10,C35,$R$10)))</f>
        <v>0</v>
      </c>
      <c r="H35" t="b">
        <f>IF('Input and Summary Results'!$J$4="yes",'Data Transformation'!F35,'Data Transformation'!D35)</f>
        <v>0</v>
      </c>
    </row>
    <row r="36" spans="2:8">
      <c r="B36" t="b">
        <f>IF('Input and Summary Results'!D19="",FALSE,'Input and Summary Results'!$B19)</f>
        <v>0</v>
      </c>
      <c r="C36" t="b">
        <f>IF(OR(B36=0,'Input and Summary Results'!D19=0,'Input and Summary Results'!D19=""),FALSE,'Input and Summary Results'!$D19)</f>
        <v>0</v>
      </c>
      <c r="D36" t="b">
        <f>IF(OR(B36=0,'Input and Summary Results'!E19=0),FALSE,'Input and Summary Results'!$E19)</f>
        <v>0</v>
      </c>
      <c r="E36" t="b">
        <f t="shared" si="0"/>
        <v>0</v>
      </c>
      <c r="F36" t="b">
        <f t="shared" si="2"/>
        <v>0</v>
      </c>
      <c r="G36" t="b">
        <f>IF('Input and Summary Results'!$J$4="yes",IF(C36=FALSE,FALSE,IF(E36&lt;$R$10,'Data Transformation'!E36,$R$10)),IF(C36=FALSE,FALSE,IF('Data Transformation'!C36&lt;$R$10,C36,$R$10)))</f>
        <v>0</v>
      </c>
      <c r="H36" t="b">
        <f>IF('Input and Summary Results'!$J$4="yes",'Data Transformation'!F36,'Data Transformation'!D36)</f>
        <v>0</v>
      </c>
    </row>
    <row r="37" spans="2:8">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t="e">
        <f>IF('Input and Summary Results'!$J$4="yes",'Data Transformation'!F178,'Data Transformation'!D178)</f>
        <v>#DIV/0!</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5"/>
  <cols>
    <col min="1" max="1" width="17" customWidth="1"/>
    <col min="2" max="2" width="12.625" bestFit="1" customWidth="1"/>
    <col min="3" max="3" width="19.625" bestFit="1" customWidth="1"/>
    <col min="4" max="4" width="5" customWidth="1"/>
    <col min="5" max="5" width="5.625" customWidth="1"/>
    <col min="6" max="6" width="4.625" customWidth="1"/>
    <col min="7" max="7" width="6.875" customWidth="1"/>
    <col min="11" max="11" width="13" bestFit="1" customWidth="1"/>
    <col min="12" max="12" width="4.125" customWidth="1"/>
    <col min="13" max="13" width="6.875" customWidth="1"/>
    <col min="14" max="14" width="9" customWidth="1"/>
    <col min="16" max="16" width="10.875" customWidth="1"/>
    <col min="17" max="17" width="22" bestFit="1" customWidth="1"/>
  </cols>
  <sheetData>
    <row r="1" spans="1:22" ht="63">
      <c r="A1" s="44" t="s">
        <v>82</v>
      </c>
      <c r="B1" t="str">
        <f>IF('Input and Summary Results'!J17&gt;'Input and Summary Results'!D5,"yes","no")</f>
        <v>yes</v>
      </c>
    </row>
    <row r="2" spans="1:22" ht="21">
      <c r="A2" s="43" t="s">
        <v>84</v>
      </c>
    </row>
    <row r="3" spans="1:22">
      <c r="B3" t="s">
        <v>50</v>
      </c>
      <c r="C3" t="s">
        <v>101</v>
      </c>
      <c r="D3" s="90" t="s">
        <v>41</v>
      </c>
      <c r="E3" s="90"/>
      <c r="F3" s="90" t="s">
        <v>42</v>
      </c>
      <c r="G3" s="90"/>
      <c r="H3" s="91" t="s">
        <v>40</v>
      </c>
      <c r="I3" s="91"/>
      <c r="J3" s="91"/>
      <c r="K3" s="91"/>
      <c r="L3" s="90" t="s">
        <v>46</v>
      </c>
      <c r="M3" s="90"/>
      <c r="N3" s="90"/>
      <c r="O3" s="2" t="s">
        <v>47</v>
      </c>
    </row>
    <row r="4" spans="1:22">
      <c r="A4" s="2" t="s">
        <v>19</v>
      </c>
      <c r="B4" s="16" t="e">
        <f>'Data Transformation'!$R$24</f>
        <v>#DIV/0!</v>
      </c>
      <c r="C4" s="16"/>
      <c r="D4" t="s">
        <v>34</v>
      </c>
      <c r="E4" t="s">
        <v>35</v>
      </c>
      <c r="F4" t="s">
        <v>34</v>
      </c>
      <c r="G4" t="s">
        <v>35</v>
      </c>
      <c r="H4" s="14" t="s">
        <v>37</v>
      </c>
      <c r="I4" s="14" t="s">
        <v>38</v>
      </c>
      <c r="J4" s="14" t="s">
        <v>39</v>
      </c>
      <c r="K4" s="14" t="s">
        <v>45</v>
      </c>
      <c r="L4" t="s">
        <v>34</v>
      </c>
      <c r="M4" t="s">
        <v>35</v>
      </c>
      <c r="N4" t="s">
        <v>36</v>
      </c>
      <c r="T4" s="49" t="s">
        <v>88</v>
      </c>
      <c r="V4" t="s">
        <v>83</v>
      </c>
    </row>
    <row r="5" spans="1:22" ht="16.5" thickBot="1">
      <c r="A5" t="s">
        <v>33</v>
      </c>
      <c r="B5">
        <f>'Data Transformation'!$R$9</f>
        <v>0</v>
      </c>
      <c r="C5" t="e">
        <f>IF(AND('Data Transformation'!$R$10&gt;=Weighting!B5,'Data Transformation'!$R$10&lt;Weighting!B6),B5+0.00001,B5)</f>
        <v>#DIV/0!</v>
      </c>
      <c r="Q5" s="2" t="s">
        <v>44</v>
      </c>
      <c r="R5" s="15">
        <f>IF(B1="yes",COUNTIF(O6:O25,"&gt;0"),COUNTIF(O32:O51,"&gt;0"))</f>
        <v>0</v>
      </c>
    </row>
    <row r="6" spans="1:22">
      <c r="B6" t="e">
        <f>B5+'Data Transformation'!$R$25</f>
        <v>#DIV/0!</v>
      </c>
      <c r="C6" t="e">
        <f>IF(AND('Data Transformation'!$R$10&gt;=Weighting!B6,'Data Transformation'!$R$10&lt;Weighting!B7),B6+0.00001,B6)</f>
        <v>#DIV/0!</v>
      </c>
      <c r="D6" t="e">
        <f>IF(FREQUENCY('Data Transformation'!$R$5,$C6),1,0)</f>
        <v>#NUM!</v>
      </c>
      <c r="E6" t="e">
        <f>D6-D5</f>
        <v>#NUM!</v>
      </c>
      <c r="F6">
        <f>IF(FREQUENCY('Data Transformation'!$R$6,$C6),1,0)</f>
        <v>1</v>
      </c>
      <c r="G6">
        <f>F6-F5</f>
        <v>1</v>
      </c>
      <c r="H6" t="e">
        <f>IF(D6=1,H5+1,E6)</f>
        <v>#NUM!</v>
      </c>
      <c r="I6" t="e">
        <f>IF(H6=0,I7+1,H6)</f>
        <v>#NUM!</v>
      </c>
      <c r="J6">
        <f t="shared" ref="J6:J24" si="0">IF(F6=1,1,J7+1)</f>
        <v>1</v>
      </c>
      <c r="K6" t="e">
        <f t="shared" ref="K6:K25" si="1">IF(MIN(I6,J6)&gt;3,3,MIN(I6,J6))</f>
        <v>#NUM!</v>
      </c>
      <c r="L6">
        <f>IF(FREQUENCY('Data Transformation'!$R$10,$C6),1,0)</f>
        <v>1</v>
      </c>
      <c r="M6">
        <f>L6-L5</f>
        <v>1</v>
      </c>
      <c r="N6">
        <f>N5+1*M5</f>
        <v>0</v>
      </c>
      <c r="O6" t="e">
        <f>IF(N6=0,K6,0)</f>
        <v>#NUM!</v>
      </c>
      <c r="Q6" s="2" t="s">
        <v>43</v>
      </c>
      <c r="R6" t="e">
        <f>IF(B1="yes",SUM(O6:O25),SUM(O32:O51))</f>
        <v>#NUM!</v>
      </c>
      <c r="T6" s="45"/>
      <c r="V6" t="e">
        <f t="shared" ref="V6:V25" si="2">IF(T6="",IF($B$1="yes",O6,O32),T6)</f>
        <v>#NUM!</v>
      </c>
    </row>
    <row r="7" spans="1:22">
      <c r="B7" t="e">
        <f>B6+'Data Transformation'!$R$25</f>
        <v>#DIV/0!</v>
      </c>
      <c r="C7" t="e">
        <f>IF(AND('Data Transformation'!$R$10&gt;=Weighting!B7,'Data Transformation'!$R$10&lt;Weighting!B8),B7+0.00001,B7)</f>
        <v>#DIV/0!</v>
      </c>
      <c r="D7" t="e">
        <f>IF(FREQUENCY('Data Transformation'!$R$5,$C7),1,0)</f>
        <v>#NUM!</v>
      </c>
      <c r="E7" t="e">
        <f t="shared" ref="E7:E25" si="3">D7-D6</f>
        <v>#NUM!</v>
      </c>
      <c r="F7">
        <f>IF(FREQUENCY('Data Transformation'!$R$6,$C7),1,0)</f>
        <v>1</v>
      </c>
      <c r="G7">
        <f t="shared" ref="G7:G25" si="4">F7-F6</f>
        <v>0</v>
      </c>
      <c r="H7" t="e">
        <f t="shared" ref="H7:H15" si="5">IF(D7=1,H6+1,E7)</f>
        <v>#NUM!</v>
      </c>
      <c r="I7" t="e">
        <f t="shared" ref="I7:I14" si="6">IF(H7=0,I8+1,H7)</f>
        <v>#NUM!</v>
      </c>
      <c r="J7">
        <f t="shared" si="0"/>
        <v>1</v>
      </c>
      <c r="K7" t="e">
        <f t="shared" si="1"/>
        <v>#NUM!</v>
      </c>
      <c r="L7">
        <f>IF(FREQUENCY('Data Transformation'!$R$10,$C7),1,0)</f>
        <v>1</v>
      </c>
      <c r="M7">
        <f t="shared" ref="M7:M25" si="7">L7-L6</f>
        <v>0</v>
      </c>
      <c r="N7">
        <f t="shared" ref="N7:N25" si="8">N6+1*M6</f>
        <v>1</v>
      </c>
      <c r="O7">
        <f t="shared" ref="O7:O25" si="9">IF(N7=0,K7,0)</f>
        <v>0</v>
      </c>
      <c r="T7" s="46"/>
      <c r="V7">
        <f t="shared" si="2"/>
        <v>0</v>
      </c>
    </row>
    <row r="8" spans="1:22">
      <c r="B8" t="e">
        <f>B7+'Data Transformation'!$R$25</f>
        <v>#DIV/0!</v>
      </c>
      <c r="C8" t="e">
        <f>IF(AND('Data Transformation'!$R$10&gt;=Weighting!B8,'Data Transformation'!$R$10&lt;Weighting!B9),B8+0.00001,B8)</f>
        <v>#DIV/0!</v>
      </c>
      <c r="D8" t="e">
        <f>IF(FREQUENCY('Data Transformation'!$R$5,$C8),1,0)</f>
        <v>#NUM!</v>
      </c>
      <c r="E8" t="e">
        <f t="shared" si="3"/>
        <v>#NUM!</v>
      </c>
      <c r="F8">
        <f>IF(FREQUENCY('Data Transformation'!$R$6,$C8),1,0)</f>
        <v>1</v>
      </c>
      <c r="G8">
        <f t="shared" si="4"/>
        <v>0</v>
      </c>
      <c r="H8" t="e">
        <f t="shared" si="5"/>
        <v>#NUM!</v>
      </c>
      <c r="I8" t="e">
        <f t="shared" si="6"/>
        <v>#NUM!</v>
      </c>
      <c r="J8">
        <f t="shared" si="0"/>
        <v>1</v>
      </c>
      <c r="K8" t="e">
        <f t="shared" si="1"/>
        <v>#NUM!</v>
      </c>
      <c r="L8">
        <f>IF(FREQUENCY('Data Transformation'!$R$10,$C8),1,0)</f>
        <v>1</v>
      </c>
      <c r="M8">
        <f t="shared" si="7"/>
        <v>0</v>
      </c>
      <c r="N8">
        <f t="shared" si="8"/>
        <v>1</v>
      </c>
      <c r="O8">
        <f t="shared" si="9"/>
        <v>0</v>
      </c>
      <c r="T8" s="46"/>
      <c r="V8">
        <f t="shared" si="2"/>
        <v>0</v>
      </c>
    </row>
    <row r="9" spans="1:22">
      <c r="B9" t="e">
        <f>B8+'Data Transformation'!$R$25</f>
        <v>#DIV/0!</v>
      </c>
      <c r="C9" t="e">
        <f>IF(AND('Data Transformation'!$R$10&gt;=Weighting!B9,'Data Transformation'!$R$10&lt;Weighting!B10),B9+0.00001,B9)</f>
        <v>#DIV/0!</v>
      </c>
      <c r="D9" t="e">
        <f>IF(FREQUENCY('Data Transformation'!$R$5,$C9),1,0)</f>
        <v>#NUM!</v>
      </c>
      <c r="E9" t="e">
        <f t="shared" si="3"/>
        <v>#NUM!</v>
      </c>
      <c r="F9">
        <f>IF(FREQUENCY('Data Transformation'!$R$6,$C9),1,0)</f>
        <v>1</v>
      </c>
      <c r="G9">
        <f t="shared" si="4"/>
        <v>0</v>
      </c>
      <c r="H9" t="e">
        <f t="shared" si="5"/>
        <v>#NUM!</v>
      </c>
      <c r="I9" t="e">
        <f t="shared" si="6"/>
        <v>#NUM!</v>
      </c>
      <c r="J9">
        <f t="shared" si="0"/>
        <v>1</v>
      </c>
      <c r="K9" t="e">
        <f t="shared" si="1"/>
        <v>#NUM!</v>
      </c>
      <c r="L9">
        <f>IF(FREQUENCY('Data Transformation'!$R$10,$C9),1,0)</f>
        <v>1</v>
      </c>
      <c r="M9">
        <f t="shared" si="7"/>
        <v>0</v>
      </c>
      <c r="N9">
        <f t="shared" si="8"/>
        <v>1</v>
      </c>
      <c r="O9">
        <f t="shared" si="9"/>
        <v>0</v>
      </c>
      <c r="T9" s="46"/>
      <c r="V9">
        <f t="shared" si="2"/>
        <v>0</v>
      </c>
    </row>
    <row r="10" spans="1:22">
      <c r="B10" t="e">
        <f>B9+'Data Transformation'!$R$25</f>
        <v>#DIV/0!</v>
      </c>
      <c r="C10" t="e">
        <f>IF(AND('Data Transformation'!$R$10&gt;=Weighting!B10,'Data Transformation'!$R$10&lt;Weighting!B11),B10+0.00001,B10)</f>
        <v>#DIV/0!</v>
      </c>
      <c r="D10" t="e">
        <f>IF(FREQUENCY('Data Transformation'!$R$5,$C10),1,0)</f>
        <v>#NUM!</v>
      </c>
      <c r="E10" t="e">
        <f t="shared" si="3"/>
        <v>#NUM!</v>
      </c>
      <c r="F10">
        <f>IF(FREQUENCY('Data Transformation'!$R$6,$C10),1,0)</f>
        <v>1</v>
      </c>
      <c r="G10">
        <f t="shared" si="4"/>
        <v>0</v>
      </c>
      <c r="H10" t="e">
        <f t="shared" si="5"/>
        <v>#NUM!</v>
      </c>
      <c r="I10" t="e">
        <f t="shared" si="6"/>
        <v>#NUM!</v>
      </c>
      <c r="J10">
        <f t="shared" si="0"/>
        <v>1</v>
      </c>
      <c r="K10" t="e">
        <f t="shared" si="1"/>
        <v>#NUM!</v>
      </c>
      <c r="L10">
        <f>IF(FREQUENCY('Data Transformation'!$R$10,$C10),1,0)</f>
        <v>1</v>
      </c>
      <c r="M10">
        <f t="shared" si="7"/>
        <v>0</v>
      </c>
      <c r="N10">
        <f t="shared" si="8"/>
        <v>1</v>
      </c>
      <c r="O10">
        <f t="shared" si="9"/>
        <v>0</v>
      </c>
      <c r="T10" s="46"/>
      <c r="V10">
        <f t="shared" si="2"/>
        <v>0</v>
      </c>
    </row>
    <row r="11" spans="1:22" ht="23.25">
      <c r="B11" t="e">
        <f>B10+'Data Transformation'!$R$25</f>
        <v>#DIV/0!</v>
      </c>
      <c r="C11" t="e">
        <f>IF(AND('Data Transformation'!$R$10&gt;=Weighting!B11,'Data Transformation'!$R$10&lt;Weighting!B12),B11+0.00001,B11)</f>
        <v>#DIV/0!</v>
      </c>
      <c r="D11" t="e">
        <f>IF(FREQUENCY('Data Transformation'!$R$5,$C11),1,0)</f>
        <v>#NUM!</v>
      </c>
      <c r="E11" t="e">
        <f t="shared" si="3"/>
        <v>#NUM!</v>
      </c>
      <c r="F11">
        <f>IF(FREQUENCY('Data Transformation'!$R$6,$C11),1,0)</f>
        <v>1</v>
      </c>
      <c r="G11">
        <f t="shared" si="4"/>
        <v>0</v>
      </c>
      <c r="H11" t="e">
        <f t="shared" si="5"/>
        <v>#NUM!</v>
      </c>
      <c r="I11" t="e">
        <f t="shared" si="6"/>
        <v>#NUM!</v>
      </c>
      <c r="J11">
        <f t="shared" si="0"/>
        <v>1</v>
      </c>
      <c r="K11" t="e">
        <f t="shared" si="1"/>
        <v>#NUM!</v>
      </c>
      <c r="L11">
        <f>IF(FREQUENCY('Data Transformation'!$R$10,$C11),1,0)</f>
        <v>1</v>
      </c>
      <c r="M11">
        <f t="shared" si="7"/>
        <v>0</v>
      </c>
      <c r="N11">
        <f t="shared" si="8"/>
        <v>1</v>
      </c>
      <c r="O11">
        <f t="shared" si="9"/>
        <v>0</v>
      </c>
      <c r="Q11" s="38"/>
      <c r="T11" s="46"/>
      <c r="V11">
        <f t="shared" si="2"/>
        <v>0</v>
      </c>
    </row>
    <row r="12" spans="1:22">
      <c r="B12" t="e">
        <f>B11+'Data Transformation'!$R$25</f>
        <v>#DIV/0!</v>
      </c>
      <c r="C12" t="e">
        <f>IF(AND('Data Transformation'!$R$10&gt;=Weighting!B12,'Data Transformation'!$R$10&lt;Weighting!B13),B12+0.00001,B12)</f>
        <v>#DIV/0!</v>
      </c>
      <c r="D12" t="e">
        <f>IF(FREQUENCY('Data Transformation'!$R$5,$C12),1,0)</f>
        <v>#NUM!</v>
      </c>
      <c r="E12" t="e">
        <f t="shared" si="3"/>
        <v>#NUM!</v>
      </c>
      <c r="F12">
        <f>IF(FREQUENCY('Data Transformation'!$R$6,$C12),1,0)</f>
        <v>1</v>
      </c>
      <c r="G12">
        <f t="shared" si="4"/>
        <v>0</v>
      </c>
      <c r="H12" t="e">
        <f t="shared" si="5"/>
        <v>#NUM!</v>
      </c>
      <c r="I12" t="e">
        <f t="shared" si="6"/>
        <v>#NUM!</v>
      </c>
      <c r="J12">
        <f t="shared" si="0"/>
        <v>1</v>
      </c>
      <c r="K12" t="e">
        <f t="shared" si="1"/>
        <v>#NUM!</v>
      </c>
      <c r="L12">
        <f>IF(FREQUENCY('Data Transformation'!$R$10,$C12),1,0)</f>
        <v>1</v>
      </c>
      <c r="M12">
        <f t="shared" si="7"/>
        <v>0</v>
      </c>
      <c r="N12">
        <f t="shared" si="8"/>
        <v>1</v>
      </c>
      <c r="O12">
        <f t="shared" si="9"/>
        <v>0</v>
      </c>
      <c r="T12" s="46"/>
      <c r="V12">
        <f t="shared" si="2"/>
        <v>0</v>
      </c>
    </row>
    <row r="13" spans="1:22">
      <c r="B13" t="e">
        <f>B12+'Data Transformation'!$R$25</f>
        <v>#DIV/0!</v>
      </c>
      <c r="C13" t="e">
        <f>IF(AND('Data Transformation'!$R$10&gt;=Weighting!B13,'Data Transformation'!$R$10&lt;Weighting!B14),B13+0.00001,B13)</f>
        <v>#DIV/0!</v>
      </c>
      <c r="D13" t="e">
        <f>IF(FREQUENCY('Data Transformation'!$R$5,$C13),1,0)</f>
        <v>#NUM!</v>
      </c>
      <c r="E13" t="e">
        <f t="shared" si="3"/>
        <v>#NUM!</v>
      </c>
      <c r="F13">
        <f>IF(FREQUENCY('Data Transformation'!$R$6,$C13),1,0)</f>
        <v>1</v>
      </c>
      <c r="G13">
        <f t="shared" si="4"/>
        <v>0</v>
      </c>
      <c r="H13" t="e">
        <f t="shared" si="5"/>
        <v>#NUM!</v>
      </c>
      <c r="I13" t="e">
        <f t="shared" si="6"/>
        <v>#NUM!</v>
      </c>
      <c r="J13">
        <f t="shared" si="0"/>
        <v>1</v>
      </c>
      <c r="K13" t="e">
        <f t="shared" si="1"/>
        <v>#NUM!</v>
      </c>
      <c r="L13">
        <f>IF(FREQUENCY('Data Transformation'!$R$10,$C13),1,0)</f>
        <v>1</v>
      </c>
      <c r="M13">
        <f t="shared" si="7"/>
        <v>0</v>
      </c>
      <c r="N13">
        <f t="shared" si="8"/>
        <v>1</v>
      </c>
      <c r="O13">
        <f t="shared" si="9"/>
        <v>0</v>
      </c>
      <c r="T13" s="46"/>
      <c r="V13">
        <f t="shared" si="2"/>
        <v>0</v>
      </c>
    </row>
    <row r="14" spans="1:22">
      <c r="B14" t="e">
        <f>B13+'Data Transformation'!$R$25</f>
        <v>#DIV/0!</v>
      </c>
      <c r="C14" t="e">
        <f>IF(AND('Data Transformation'!$R$10&gt;=Weighting!B14,'Data Transformation'!$R$10&lt;Weighting!B15),B14+0.00001,B14)</f>
        <v>#DIV/0!</v>
      </c>
      <c r="D14" t="e">
        <f>IF(FREQUENCY('Data Transformation'!$R$5,$C14),1,0)</f>
        <v>#NUM!</v>
      </c>
      <c r="E14" t="e">
        <f t="shared" si="3"/>
        <v>#NUM!</v>
      </c>
      <c r="F14">
        <f>IF(FREQUENCY('Data Transformation'!$R$6,$C14),1,0)</f>
        <v>1</v>
      </c>
      <c r="G14">
        <f t="shared" si="4"/>
        <v>0</v>
      </c>
      <c r="H14" t="e">
        <f t="shared" si="5"/>
        <v>#NUM!</v>
      </c>
      <c r="I14" t="e">
        <f t="shared" si="6"/>
        <v>#NUM!</v>
      </c>
      <c r="J14">
        <f t="shared" si="0"/>
        <v>1</v>
      </c>
      <c r="K14" t="e">
        <f t="shared" si="1"/>
        <v>#NUM!</v>
      </c>
      <c r="L14">
        <f>IF(FREQUENCY('Data Transformation'!$R$10,$C14),1,0)</f>
        <v>1</v>
      </c>
      <c r="M14">
        <f t="shared" si="7"/>
        <v>0</v>
      </c>
      <c r="N14">
        <f t="shared" si="8"/>
        <v>1</v>
      </c>
      <c r="O14">
        <f t="shared" si="9"/>
        <v>0</v>
      </c>
      <c r="T14" s="46"/>
      <c r="V14">
        <f t="shared" si="2"/>
        <v>0</v>
      </c>
    </row>
    <row r="15" spans="1:22">
      <c r="B15" t="e">
        <f>B14+'Data Transformation'!$R$25</f>
        <v>#DIV/0!</v>
      </c>
      <c r="C15" t="e">
        <f>IF(AND('Data Transformation'!$R$10&gt;=Weighting!B15,'Data Transformation'!$R$10&lt;Weighting!B16),B15+0.00001,B15)</f>
        <v>#DIV/0!</v>
      </c>
      <c r="D15" t="e">
        <f>IF(FREQUENCY('Data Transformation'!$R$5,$C15),1,0)</f>
        <v>#NUM!</v>
      </c>
      <c r="E15" t="e">
        <f t="shared" si="3"/>
        <v>#NUM!</v>
      </c>
      <c r="F15">
        <f>IF(FREQUENCY('Data Transformation'!$R$6,$C15),1,0)</f>
        <v>1</v>
      </c>
      <c r="G15">
        <f t="shared" si="4"/>
        <v>0</v>
      </c>
      <c r="H15" t="e">
        <f t="shared" si="5"/>
        <v>#NUM!</v>
      </c>
      <c r="I15" t="e">
        <f t="shared" ref="I15:I24" si="10">IF(H15=0,I22+1,H15)</f>
        <v>#NUM!</v>
      </c>
      <c r="J15">
        <f t="shared" si="0"/>
        <v>1</v>
      </c>
      <c r="K15" t="e">
        <f t="shared" si="1"/>
        <v>#NUM!</v>
      </c>
      <c r="L15">
        <f>IF(FREQUENCY('Data Transformation'!$R$10,$C15),1,0)</f>
        <v>1</v>
      </c>
      <c r="M15">
        <f t="shared" si="7"/>
        <v>0</v>
      </c>
      <c r="N15">
        <f t="shared" si="8"/>
        <v>1</v>
      </c>
      <c r="O15">
        <f t="shared" si="9"/>
        <v>0</v>
      </c>
      <c r="T15" s="46"/>
      <c r="V15">
        <f t="shared" si="2"/>
        <v>0</v>
      </c>
    </row>
    <row r="16" spans="1:22">
      <c r="B16" t="e">
        <f>B15+'Data Transformation'!$R$25</f>
        <v>#DIV/0!</v>
      </c>
      <c r="C16" t="e">
        <f>IF(AND('Data Transformation'!$R$10&gt;=Weighting!B16,'Data Transformation'!$R$10&lt;Weighting!B17),B16+0.00001,B16)</f>
        <v>#DIV/0!</v>
      </c>
      <c r="D16" t="e">
        <f>IF(FREQUENCY('Data Transformation'!$R$5,$C16),1,0)</f>
        <v>#NUM!</v>
      </c>
      <c r="E16" t="e">
        <f t="shared" si="3"/>
        <v>#NUM!</v>
      </c>
      <c r="F16">
        <f>IF(FREQUENCY('Data Transformation'!$R$6,$C16),1,0)</f>
        <v>1</v>
      </c>
      <c r="G16">
        <f t="shared" si="4"/>
        <v>0</v>
      </c>
      <c r="H16" t="e">
        <f t="shared" ref="H16:H25" si="11">IF(D16=1,H15+1,E16)</f>
        <v>#NUM!</v>
      </c>
      <c r="I16" t="e">
        <f t="shared" si="10"/>
        <v>#NUM!</v>
      </c>
      <c r="J16">
        <f t="shared" si="0"/>
        <v>1</v>
      </c>
      <c r="K16" t="e">
        <f t="shared" si="1"/>
        <v>#NUM!</v>
      </c>
      <c r="L16">
        <f>IF(FREQUENCY('Data Transformation'!$R$10,$C16),1,0)</f>
        <v>1</v>
      </c>
      <c r="M16">
        <f t="shared" si="7"/>
        <v>0</v>
      </c>
      <c r="N16">
        <f t="shared" si="8"/>
        <v>1</v>
      </c>
      <c r="O16">
        <f t="shared" si="9"/>
        <v>0</v>
      </c>
      <c r="T16" s="46"/>
      <c r="V16">
        <f t="shared" si="2"/>
        <v>0</v>
      </c>
    </row>
    <row r="17" spans="1:22">
      <c r="B17" t="e">
        <f>B16+'Data Transformation'!$R$25</f>
        <v>#DIV/0!</v>
      </c>
      <c r="C17" t="e">
        <f>IF(AND('Data Transformation'!$R$10&gt;=Weighting!B17,'Data Transformation'!$R$10&lt;Weighting!B18),B17+0.00001,B17)</f>
        <v>#DIV/0!</v>
      </c>
      <c r="D17" t="e">
        <f>IF(FREQUENCY('Data Transformation'!$R$5,$C17),1,0)</f>
        <v>#NUM!</v>
      </c>
      <c r="E17" t="e">
        <f t="shared" si="3"/>
        <v>#NUM!</v>
      </c>
      <c r="F17">
        <f>IF(FREQUENCY('Data Transformation'!$R$6,$C17),1,0)</f>
        <v>1</v>
      </c>
      <c r="G17">
        <f t="shared" si="4"/>
        <v>0</v>
      </c>
      <c r="H17" t="e">
        <f t="shared" si="11"/>
        <v>#NUM!</v>
      </c>
      <c r="I17" t="e">
        <f t="shared" si="10"/>
        <v>#NUM!</v>
      </c>
      <c r="J17">
        <f t="shared" si="0"/>
        <v>1</v>
      </c>
      <c r="K17" t="e">
        <f t="shared" si="1"/>
        <v>#NUM!</v>
      </c>
      <c r="L17">
        <f>IF(FREQUENCY('Data Transformation'!$R$10,$C17),1,0)</f>
        <v>1</v>
      </c>
      <c r="M17">
        <f t="shared" si="7"/>
        <v>0</v>
      </c>
      <c r="N17">
        <f t="shared" si="8"/>
        <v>1</v>
      </c>
      <c r="O17">
        <f t="shared" si="9"/>
        <v>0</v>
      </c>
      <c r="T17" s="46"/>
      <c r="V17">
        <f t="shared" si="2"/>
        <v>0</v>
      </c>
    </row>
    <row r="18" spans="1:22">
      <c r="B18" t="e">
        <f>B17+'Data Transformation'!$R$25</f>
        <v>#DIV/0!</v>
      </c>
      <c r="C18" t="e">
        <f>IF(AND('Data Transformation'!$R$10&gt;=Weighting!B18,'Data Transformation'!$R$10&lt;Weighting!B19),B18+0.00001,B18)</f>
        <v>#DIV/0!</v>
      </c>
      <c r="D18" t="e">
        <f>IF(FREQUENCY('Data Transformation'!$R$5,$C18),1,0)</f>
        <v>#NUM!</v>
      </c>
      <c r="E18" t="e">
        <f t="shared" si="3"/>
        <v>#NUM!</v>
      </c>
      <c r="F18">
        <f>IF(FREQUENCY('Data Transformation'!$R$6,$C18),1,0)</f>
        <v>1</v>
      </c>
      <c r="G18">
        <f t="shared" si="4"/>
        <v>0</v>
      </c>
      <c r="H18" t="e">
        <f t="shared" si="11"/>
        <v>#NUM!</v>
      </c>
      <c r="I18" t="e">
        <f t="shared" si="10"/>
        <v>#NUM!</v>
      </c>
      <c r="J18">
        <f t="shared" si="0"/>
        <v>1</v>
      </c>
      <c r="K18" t="e">
        <f t="shared" si="1"/>
        <v>#NUM!</v>
      </c>
      <c r="L18">
        <f>IF(FREQUENCY('Data Transformation'!$R$10,$C18),1,0)</f>
        <v>1</v>
      </c>
      <c r="M18">
        <f t="shared" si="7"/>
        <v>0</v>
      </c>
      <c r="N18">
        <f t="shared" si="8"/>
        <v>1</v>
      </c>
      <c r="O18">
        <f t="shared" si="9"/>
        <v>0</v>
      </c>
      <c r="T18" s="46"/>
      <c r="V18">
        <f t="shared" si="2"/>
        <v>0</v>
      </c>
    </row>
    <row r="19" spans="1:22">
      <c r="B19" t="e">
        <f>B18+'Data Transformation'!$R$25</f>
        <v>#DIV/0!</v>
      </c>
      <c r="C19" t="e">
        <f>IF(AND('Data Transformation'!$R$10&gt;=Weighting!B19,'Data Transformation'!$R$10&lt;Weighting!B20),B19+0.00001,B19)</f>
        <v>#DIV/0!</v>
      </c>
      <c r="D19" t="e">
        <f>IF(FREQUENCY('Data Transformation'!$R$5,$C19),1,0)</f>
        <v>#NUM!</v>
      </c>
      <c r="E19" t="e">
        <f t="shared" si="3"/>
        <v>#NUM!</v>
      </c>
      <c r="F19">
        <f>IF(FREQUENCY('Data Transformation'!$R$6,$C19),1,0)</f>
        <v>1</v>
      </c>
      <c r="G19">
        <f t="shared" si="4"/>
        <v>0</v>
      </c>
      <c r="H19" t="e">
        <f t="shared" si="11"/>
        <v>#NUM!</v>
      </c>
      <c r="I19" t="e">
        <f t="shared" si="10"/>
        <v>#NUM!</v>
      </c>
      <c r="J19">
        <f t="shared" si="0"/>
        <v>1</v>
      </c>
      <c r="K19" t="e">
        <f t="shared" si="1"/>
        <v>#NUM!</v>
      </c>
      <c r="L19">
        <f>IF(FREQUENCY('Data Transformation'!$R$10,$C19),1,0)</f>
        <v>1</v>
      </c>
      <c r="M19">
        <f t="shared" si="7"/>
        <v>0</v>
      </c>
      <c r="N19">
        <f t="shared" si="8"/>
        <v>1</v>
      </c>
      <c r="O19">
        <f t="shared" si="9"/>
        <v>0</v>
      </c>
      <c r="T19" s="46"/>
      <c r="V19">
        <f t="shared" si="2"/>
        <v>0</v>
      </c>
    </row>
    <row r="20" spans="1:22">
      <c r="B20" t="e">
        <f>B19+'Data Transformation'!$R$25</f>
        <v>#DIV/0!</v>
      </c>
      <c r="C20" t="e">
        <f>IF(AND('Data Transformation'!$R$10&gt;=Weighting!B20,'Data Transformation'!$R$10&lt;Weighting!B21),B20+0.00001,B20)</f>
        <v>#DIV/0!</v>
      </c>
      <c r="D20" t="e">
        <f>IF(FREQUENCY('Data Transformation'!$R$5,$C20),1,0)</f>
        <v>#NUM!</v>
      </c>
      <c r="E20" t="e">
        <f t="shared" si="3"/>
        <v>#NUM!</v>
      </c>
      <c r="F20">
        <f>IF(FREQUENCY('Data Transformation'!$R$6,$C20),1,0)</f>
        <v>1</v>
      </c>
      <c r="G20">
        <f t="shared" si="4"/>
        <v>0</v>
      </c>
      <c r="H20" t="e">
        <f t="shared" si="11"/>
        <v>#NUM!</v>
      </c>
      <c r="I20" t="e">
        <f t="shared" si="10"/>
        <v>#NUM!</v>
      </c>
      <c r="J20">
        <f t="shared" si="0"/>
        <v>1</v>
      </c>
      <c r="K20" t="e">
        <f t="shared" si="1"/>
        <v>#NUM!</v>
      </c>
      <c r="L20">
        <f>IF(FREQUENCY('Data Transformation'!$R$10,$C20),1,0)</f>
        <v>1</v>
      </c>
      <c r="M20">
        <f t="shared" si="7"/>
        <v>0</v>
      </c>
      <c r="N20">
        <f t="shared" si="8"/>
        <v>1</v>
      </c>
      <c r="O20">
        <f t="shared" si="9"/>
        <v>0</v>
      </c>
      <c r="T20" s="46"/>
      <c r="V20">
        <f t="shared" si="2"/>
        <v>0</v>
      </c>
    </row>
    <row r="21" spans="1:22">
      <c r="B21" t="e">
        <f>B20+'Data Transformation'!$R$25</f>
        <v>#DIV/0!</v>
      </c>
      <c r="C21" t="e">
        <f>IF(AND('Data Transformation'!$R$10&gt;=Weighting!B21,'Data Transformation'!$R$10&lt;Weighting!B22),B21+0.00001,B21)</f>
        <v>#DIV/0!</v>
      </c>
      <c r="D21" t="e">
        <f>IF(FREQUENCY('Data Transformation'!$R$5,$C21),1,0)</f>
        <v>#NUM!</v>
      </c>
      <c r="E21" t="e">
        <f t="shared" si="3"/>
        <v>#NUM!</v>
      </c>
      <c r="F21">
        <f>IF(FREQUENCY('Data Transformation'!$R$6,$C21),1,0)</f>
        <v>1</v>
      </c>
      <c r="G21">
        <f t="shared" si="4"/>
        <v>0</v>
      </c>
      <c r="H21" t="e">
        <f t="shared" si="11"/>
        <v>#NUM!</v>
      </c>
      <c r="I21" t="e">
        <f t="shared" si="10"/>
        <v>#NUM!</v>
      </c>
      <c r="J21">
        <f t="shared" si="0"/>
        <v>1</v>
      </c>
      <c r="K21" t="e">
        <f t="shared" si="1"/>
        <v>#NUM!</v>
      </c>
      <c r="L21">
        <f>IF(FREQUENCY('Data Transformation'!$R$10,$C21),1,0)</f>
        <v>1</v>
      </c>
      <c r="M21">
        <f t="shared" si="7"/>
        <v>0</v>
      </c>
      <c r="N21">
        <f t="shared" si="8"/>
        <v>1</v>
      </c>
      <c r="O21">
        <f t="shared" si="9"/>
        <v>0</v>
      </c>
      <c r="T21" s="46"/>
      <c r="V21">
        <f t="shared" si="2"/>
        <v>0</v>
      </c>
    </row>
    <row r="22" spans="1:22">
      <c r="B22" t="e">
        <f>B21+'Data Transformation'!$R$25</f>
        <v>#DIV/0!</v>
      </c>
      <c r="C22" t="e">
        <f>IF(AND('Data Transformation'!$R$10&gt;=Weighting!B22,'Data Transformation'!$R$10&lt;Weighting!B23),B22+0.00001,B22)</f>
        <v>#DIV/0!</v>
      </c>
      <c r="D22" t="e">
        <f>IF(FREQUENCY('Data Transformation'!$R$5,$C22),1,0)</f>
        <v>#NUM!</v>
      </c>
      <c r="E22" t="e">
        <f t="shared" si="3"/>
        <v>#NUM!</v>
      </c>
      <c r="F22">
        <f>IF(FREQUENCY('Data Transformation'!$R$6,$C22),1,0)</f>
        <v>1</v>
      </c>
      <c r="G22">
        <f t="shared" si="4"/>
        <v>0</v>
      </c>
      <c r="H22" t="e">
        <f t="shared" si="11"/>
        <v>#NUM!</v>
      </c>
      <c r="I22" t="e">
        <f t="shared" si="10"/>
        <v>#NUM!</v>
      </c>
      <c r="J22">
        <f t="shared" si="0"/>
        <v>1</v>
      </c>
      <c r="K22" t="e">
        <f t="shared" si="1"/>
        <v>#NUM!</v>
      </c>
      <c r="L22">
        <f>IF(FREQUENCY('Data Transformation'!$R$10,$C22),1,0)</f>
        <v>1</v>
      </c>
      <c r="M22">
        <f t="shared" si="7"/>
        <v>0</v>
      </c>
      <c r="N22">
        <f t="shared" si="8"/>
        <v>1</v>
      </c>
      <c r="O22">
        <f t="shared" si="9"/>
        <v>0</v>
      </c>
      <c r="T22" s="46"/>
      <c r="V22">
        <f t="shared" si="2"/>
        <v>0</v>
      </c>
    </row>
    <row r="23" spans="1:22">
      <c r="B23" t="e">
        <f>B22+'Data Transformation'!$R$25</f>
        <v>#DIV/0!</v>
      </c>
      <c r="C23" t="e">
        <f>IF(AND('Data Transformation'!$R$10&gt;=Weighting!B23,'Data Transformation'!$R$10&lt;Weighting!B24),B23+0.00001,B23)</f>
        <v>#DIV/0!</v>
      </c>
      <c r="D23" t="e">
        <f>IF(FREQUENCY('Data Transformation'!$R$5,$C23),1,0)</f>
        <v>#NUM!</v>
      </c>
      <c r="E23" t="e">
        <f t="shared" si="3"/>
        <v>#NUM!</v>
      </c>
      <c r="F23">
        <f>IF(FREQUENCY('Data Transformation'!$R$6,$C23),1,0)</f>
        <v>1</v>
      </c>
      <c r="G23">
        <f t="shared" si="4"/>
        <v>0</v>
      </c>
      <c r="H23" t="e">
        <f t="shared" si="11"/>
        <v>#NUM!</v>
      </c>
      <c r="I23" t="e">
        <f t="shared" si="10"/>
        <v>#NUM!</v>
      </c>
      <c r="J23">
        <f t="shared" si="0"/>
        <v>1</v>
      </c>
      <c r="K23" t="e">
        <f t="shared" si="1"/>
        <v>#NUM!</v>
      </c>
      <c r="L23">
        <f>IF(FREQUENCY('Data Transformation'!$R$10,$C23),1,0)</f>
        <v>1</v>
      </c>
      <c r="M23">
        <f t="shared" si="7"/>
        <v>0</v>
      </c>
      <c r="N23">
        <f t="shared" si="8"/>
        <v>1</v>
      </c>
      <c r="O23">
        <f t="shared" si="9"/>
        <v>0</v>
      </c>
      <c r="T23" s="46"/>
      <c r="V23">
        <f t="shared" si="2"/>
        <v>0</v>
      </c>
    </row>
    <row r="24" spans="1:22">
      <c r="B24" t="e">
        <f>B23+'Data Transformation'!$R$25</f>
        <v>#DIV/0!</v>
      </c>
      <c r="C24" t="e">
        <f>IF(AND('Data Transformation'!$R$10&gt;=Weighting!B24,'Data Transformation'!$R$10&lt;Weighting!B25),B24+0.00001,B24)</f>
        <v>#DIV/0!</v>
      </c>
      <c r="D24" t="e">
        <f>IF(FREQUENCY('Data Transformation'!$R$5,$C24),1,0)</f>
        <v>#NUM!</v>
      </c>
      <c r="E24" t="e">
        <f t="shared" si="3"/>
        <v>#NUM!</v>
      </c>
      <c r="F24">
        <f>IF(FREQUENCY('Data Transformation'!$R$6,$C24),1,0)</f>
        <v>1</v>
      </c>
      <c r="G24">
        <f t="shared" si="4"/>
        <v>0</v>
      </c>
      <c r="H24" t="e">
        <f t="shared" si="11"/>
        <v>#NUM!</v>
      </c>
      <c r="I24" t="e">
        <f t="shared" si="10"/>
        <v>#NUM!</v>
      </c>
      <c r="J24">
        <f t="shared" si="0"/>
        <v>1</v>
      </c>
      <c r="K24" t="e">
        <f t="shared" si="1"/>
        <v>#NUM!</v>
      </c>
      <c r="L24">
        <f>IF(FREQUENCY('Data Transformation'!$R$10,$C24),1,0)</f>
        <v>1</v>
      </c>
      <c r="M24">
        <f t="shared" si="7"/>
        <v>0</v>
      </c>
      <c r="N24">
        <f t="shared" si="8"/>
        <v>1</v>
      </c>
      <c r="O24">
        <f t="shared" si="9"/>
        <v>0</v>
      </c>
      <c r="T24" s="46"/>
      <c r="V24">
        <f t="shared" si="2"/>
        <v>0</v>
      </c>
    </row>
    <row r="25" spans="1:22" ht="16.5" thickBot="1">
      <c r="B25" t="e">
        <f>B24+'Data Transformation'!$R$25</f>
        <v>#DIV/0!</v>
      </c>
      <c r="C25" t="e">
        <f>IF(AND('Data Transformation'!$R$10&gt;=Weighting!B25,'Data Transformation'!$R$10&lt;Weighting!B26),B25+0.00001,B25)</f>
        <v>#DIV/0!</v>
      </c>
      <c r="D25" t="e">
        <f>IF(FREQUENCY('Data Transformation'!$R$5,$C25),1,0)</f>
        <v>#NUM!</v>
      </c>
      <c r="E25" t="e">
        <f t="shared" si="3"/>
        <v>#NUM!</v>
      </c>
      <c r="F25">
        <f>IF(FREQUENCY('Data Transformation'!$R$6,$C25),1,0)</f>
        <v>1</v>
      </c>
      <c r="G25">
        <f t="shared" si="4"/>
        <v>0</v>
      </c>
      <c r="H25" t="e">
        <f t="shared" si="11"/>
        <v>#NUM!</v>
      </c>
      <c r="I25" t="e">
        <f>IF(H25=0,#REF!+1,H25)</f>
        <v>#NUM!</v>
      </c>
      <c r="J25">
        <f>IF(F25=1,1,J26+1)</f>
        <v>1</v>
      </c>
      <c r="K25" t="e">
        <f t="shared" si="1"/>
        <v>#NUM!</v>
      </c>
      <c r="L25">
        <f>IF(FREQUENCY('Data Transformation'!$R$10,$C25),1,0)</f>
        <v>1</v>
      </c>
      <c r="M25">
        <f t="shared" si="7"/>
        <v>0</v>
      </c>
      <c r="N25">
        <f t="shared" si="8"/>
        <v>1</v>
      </c>
      <c r="O25">
        <f t="shared" si="9"/>
        <v>0</v>
      </c>
      <c r="T25" s="47"/>
      <c r="V25">
        <f t="shared" si="2"/>
        <v>0</v>
      </c>
    </row>
    <row r="26" spans="1:22">
      <c r="B26" t="e">
        <f>B25+'Data Transformation'!$R$25</f>
        <v>#DIV/0!</v>
      </c>
      <c r="C26" t="e">
        <f>IF(AND('Data Transformation'!$R$10&gt;=Weighting!B26,'Data Transformation'!$R$10&lt;Weighting!B27),B26+0.00001,B26)</f>
        <v>#DIV/0!</v>
      </c>
    </row>
    <row r="28" spans="1:22" ht="21">
      <c r="A28" s="43" t="s">
        <v>85</v>
      </c>
    </row>
    <row r="29" spans="1:22">
      <c r="D29" s="90" t="s">
        <v>41</v>
      </c>
      <c r="E29" s="90"/>
      <c r="F29" s="90" t="s">
        <v>42</v>
      </c>
      <c r="G29" s="90"/>
      <c r="H29" s="90" t="s">
        <v>40</v>
      </c>
      <c r="I29" s="90"/>
      <c r="J29" s="90"/>
      <c r="K29" s="90"/>
      <c r="L29" s="90" t="s">
        <v>46</v>
      </c>
      <c r="M29" s="90"/>
      <c r="N29" s="90"/>
      <c r="O29" s="2" t="s">
        <v>47</v>
      </c>
    </row>
    <row r="30" spans="1:22">
      <c r="A30" s="2" t="s">
        <v>19</v>
      </c>
      <c r="B30" s="16" t="e">
        <f>'Data Transformation'!$R$24</f>
        <v>#DIV/0!</v>
      </c>
      <c r="C30" s="16"/>
      <c r="D30" t="s">
        <v>34</v>
      </c>
      <c r="E30" t="s">
        <v>35</v>
      </c>
      <c r="F30" t="s">
        <v>34</v>
      </c>
      <c r="G30" t="s">
        <v>35</v>
      </c>
      <c r="H30" s="14" t="s">
        <v>37</v>
      </c>
      <c r="I30" s="14" t="s">
        <v>86</v>
      </c>
      <c r="J30" s="14" t="s">
        <v>87</v>
      </c>
      <c r="K30" s="14" t="s">
        <v>45</v>
      </c>
      <c r="L30" t="s">
        <v>34</v>
      </c>
      <c r="M30" t="s">
        <v>35</v>
      </c>
      <c r="N30" t="s">
        <v>36</v>
      </c>
    </row>
    <row r="31" spans="1:22">
      <c r="A31" t="s">
        <v>33</v>
      </c>
      <c r="B31" t="e">
        <f>C5</f>
        <v>#DIV/0!</v>
      </c>
    </row>
    <row r="32" spans="1:22">
      <c r="B32" t="e">
        <f t="shared" ref="B32:B51" si="12">C6</f>
        <v>#DIV/0!</v>
      </c>
      <c r="D32" t="e">
        <f>IF(FREQUENCY('Data Transformation'!$R$5,$B32),1,0)</f>
        <v>#NUM!</v>
      </c>
      <c r="E32" t="e">
        <f t="shared" ref="E32:E51" si="13">D32-D31</f>
        <v>#NUM!</v>
      </c>
      <c r="F32">
        <f>IF(FREQUENCY('Data Transformation'!$R$6,$B32),1,0)</f>
        <v>1</v>
      </c>
      <c r="G32">
        <f>F32-F31</f>
        <v>1</v>
      </c>
      <c r="H32">
        <f>IF(F32=1,H31+1,G32)</f>
        <v>1</v>
      </c>
      <c r="I32" t="e">
        <f t="shared" ref="I32:I50" si="14">IF(D32=1,1,I33+1)</f>
        <v>#NUM!</v>
      </c>
      <c r="J32" t="e">
        <f>IF(I31=1,J31+1,I32)</f>
        <v>#NUM!</v>
      </c>
      <c r="K32" t="e">
        <f>IF(MIN(J32,H32)&gt;3,3,MIN(J32,H32))</f>
        <v>#NUM!</v>
      </c>
      <c r="L32">
        <f>IF(FREQUENCY('Data Transformation'!$R$10,$B32),1,0)</f>
        <v>1</v>
      </c>
      <c r="M32">
        <f>L32-L31</f>
        <v>1</v>
      </c>
      <c r="N32">
        <f>N31+1*M31</f>
        <v>0</v>
      </c>
      <c r="O32" t="e">
        <f>IF(N32=0,K32,0)</f>
        <v>#NUM!</v>
      </c>
    </row>
    <row r="33" spans="2:15">
      <c r="B33" t="e">
        <f t="shared" si="12"/>
        <v>#DIV/0!</v>
      </c>
      <c r="D33" t="e">
        <f>IF(FREQUENCY('Data Transformation'!$R$5,$B33),1,0)</f>
        <v>#NUM!</v>
      </c>
      <c r="E33" t="e">
        <f t="shared" si="13"/>
        <v>#NUM!</v>
      </c>
      <c r="F33">
        <f>IF(FREQUENCY('Data Transformation'!$R$6,$B33),1,0)</f>
        <v>1</v>
      </c>
      <c r="G33">
        <f t="shared" ref="G33:G51" si="15">F33-F32</f>
        <v>0</v>
      </c>
      <c r="H33">
        <f t="shared" ref="H33:H51" si="16">IF(F33=1,H32+1,G33)</f>
        <v>2</v>
      </c>
      <c r="I33" t="e">
        <f t="shared" si="14"/>
        <v>#NUM!</v>
      </c>
      <c r="J33" t="e">
        <f t="shared" ref="J33:J51" si="17">IF(I32=1,J32+1,I33)</f>
        <v>#NUM!</v>
      </c>
      <c r="K33" t="e">
        <f t="shared" ref="K33:K51" si="18">IF(MIN(J33,H33)&gt;3,3,MIN(J33,H33))</f>
        <v>#NUM!</v>
      </c>
      <c r="L33">
        <f>IF(FREQUENCY('Data Transformation'!$R$10,$B33),1,0)</f>
        <v>1</v>
      </c>
      <c r="M33">
        <f t="shared" ref="M33:M51" si="19">L33-L32</f>
        <v>0</v>
      </c>
      <c r="N33">
        <f t="shared" ref="N33:N51" si="20">N32+1*M32</f>
        <v>1</v>
      </c>
      <c r="O33">
        <f t="shared" ref="O33:O51" si="21">IF(N33=0,K33,0)</f>
        <v>0</v>
      </c>
    </row>
    <row r="34" spans="2:15">
      <c r="B34" t="e">
        <f t="shared" si="12"/>
        <v>#DIV/0!</v>
      </c>
      <c r="D34" t="e">
        <f>IF(FREQUENCY('Data Transformation'!$R$5,$B34),1,0)</f>
        <v>#NUM!</v>
      </c>
      <c r="E34" t="e">
        <f t="shared" si="13"/>
        <v>#NUM!</v>
      </c>
      <c r="F34">
        <f>IF(FREQUENCY('Data Transformation'!$R$6,$B34),1,0)</f>
        <v>1</v>
      </c>
      <c r="G34">
        <f t="shared" si="15"/>
        <v>0</v>
      </c>
      <c r="H34">
        <f t="shared" si="16"/>
        <v>3</v>
      </c>
      <c r="I34" t="e">
        <f t="shared" si="14"/>
        <v>#NUM!</v>
      </c>
      <c r="J34" t="e">
        <f t="shared" si="17"/>
        <v>#NUM!</v>
      </c>
      <c r="K34" t="e">
        <f t="shared" si="18"/>
        <v>#NUM!</v>
      </c>
      <c r="L34">
        <f>IF(FREQUENCY('Data Transformation'!$R$10,$B34),1,0)</f>
        <v>1</v>
      </c>
      <c r="M34">
        <f t="shared" si="19"/>
        <v>0</v>
      </c>
      <c r="N34">
        <f t="shared" si="20"/>
        <v>1</v>
      </c>
      <c r="O34">
        <f t="shared" si="21"/>
        <v>0</v>
      </c>
    </row>
    <row r="35" spans="2:15">
      <c r="B35" t="e">
        <f t="shared" si="12"/>
        <v>#DIV/0!</v>
      </c>
      <c r="D35" t="e">
        <f>IF(FREQUENCY('Data Transformation'!$R$5,$B35),1,0)</f>
        <v>#NUM!</v>
      </c>
      <c r="E35" t="e">
        <f t="shared" si="13"/>
        <v>#NUM!</v>
      </c>
      <c r="F35">
        <f>IF(FREQUENCY('Data Transformation'!$R$6,$B35),1,0)</f>
        <v>1</v>
      </c>
      <c r="G35">
        <f t="shared" si="15"/>
        <v>0</v>
      </c>
      <c r="H35">
        <f t="shared" si="16"/>
        <v>4</v>
      </c>
      <c r="I35" t="e">
        <f t="shared" si="14"/>
        <v>#NUM!</v>
      </c>
      <c r="J35" t="e">
        <f t="shared" si="17"/>
        <v>#NUM!</v>
      </c>
      <c r="K35" t="e">
        <f t="shared" si="18"/>
        <v>#NUM!</v>
      </c>
      <c r="L35">
        <f>IF(FREQUENCY('Data Transformation'!$R$10,$B35),1,0)</f>
        <v>1</v>
      </c>
      <c r="M35">
        <f t="shared" si="19"/>
        <v>0</v>
      </c>
      <c r="N35">
        <f t="shared" si="20"/>
        <v>1</v>
      </c>
      <c r="O35">
        <f t="shared" si="21"/>
        <v>0</v>
      </c>
    </row>
    <row r="36" spans="2:15">
      <c r="B36" t="e">
        <f t="shared" si="12"/>
        <v>#DIV/0!</v>
      </c>
      <c r="D36" t="e">
        <f>IF(FREQUENCY('Data Transformation'!$R$5,$B36),1,0)</f>
        <v>#NUM!</v>
      </c>
      <c r="E36" t="e">
        <f t="shared" si="13"/>
        <v>#NUM!</v>
      </c>
      <c r="F36">
        <f>IF(FREQUENCY('Data Transformation'!$R$6,$B36),1,0)</f>
        <v>1</v>
      </c>
      <c r="G36">
        <f t="shared" si="15"/>
        <v>0</v>
      </c>
      <c r="H36">
        <f t="shared" si="16"/>
        <v>5</v>
      </c>
      <c r="I36" t="e">
        <f t="shared" si="14"/>
        <v>#NUM!</v>
      </c>
      <c r="J36" t="e">
        <f t="shared" si="17"/>
        <v>#NUM!</v>
      </c>
      <c r="K36" t="e">
        <f t="shared" si="18"/>
        <v>#NUM!</v>
      </c>
      <c r="L36">
        <f>IF(FREQUENCY('Data Transformation'!$R$10,$B36),1,0)</f>
        <v>1</v>
      </c>
      <c r="M36">
        <f t="shared" si="19"/>
        <v>0</v>
      </c>
      <c r="N36">
        <f t="shared" si="20"/>
        <v>1</v>
      </c>
      <c r="O36">
        <f t="shared" si="21"/>
        <v>0</v>
      </c>
    </row>
    <row r="37" spans="2:15">
      <c r="B37" t="e">
        <f t="shared" si="12"/>
        <v>#DIV/0!</v>
      </c>
      <c r="D37" t="e">
        <f>IF(FREQUENCY('Data Transformation'!$R$5,$B37),1,0)</f>
        <v>#NUM!</v>
      </c>
      <c r="E37" t="e">
        <f t="shared" si="13"/>
        <v>#NUM!</v>
      </c>
      <c r="F37">
        <f>IF(FREQUENCY('Data Transformation'!$R$6,$B37),1,0)</f>
        <v>1</v>
      </c>
      <c r="G37">
        <f t="shared" si="15"/>
        <v>0</v>
      </c>
      <c r="H37">
        <f t="shared" si="16"/>
        <v>6</v>
      </c>
      <c r="I37" t="e">
        <f t="shared" si="14"/>
        <v>#NUM!</v>
      </c>
      <c r="J37" t="e">
        <f t="shared" si="17"/>
        <v>#NUM!</v>
      </c>
      <c r="K37" t="e">
        <f t="shared" si="18"/>
        <v>#NUM!</v>
      </c>
      <c r="L37">
        <f>IF(FREQUENCY('Data Transformation'!$R$10,$B37),1,0)</f>
        <v>1</v>
      </c>
      <c r="M37">
        <f t="shared" si="19"/>
        <v>0</v>
      </c>
      <c r="N37">
        <f t="shared" si="20"/>
        <v>1</v>
      </c>
      <c r="O37">
        <f t="shared" si="21"/>
        <v>0</v>
      </c>
    </row>
    <row r="38" spans="2:15">
      <c r="B38" t="e">
        <f t="shared" si="12"/>
        <v>#DIV/0!</v>
      </c>
      <c r="D38" t="e">
        <f>IF(FREQUENCY('Data Transformation'!$R$5,$B38),1,0)</f>
        <v>#NUM!</v>
      </c>
      <c r="E38" t="e">
        <f t="shared" si="13"/>
        <v>#NUM!</v>
      </c>
      <c r="F38">
        <f>IF(FREQUENCY('Data Transformation'!$R$6,$B38),1,0)</f>
        <v>1</v>
      </c>
      <c r="G38">
        <f t="shared" si="15"/>
        <v>0</v>
      </c>
      <c r="H38">
        <f t="shared" si="16"/>
        <v>7</v>
      </c>
      <c r="I38" t="e">
        <f t="shared" si="14"/>
        <v>#NUM!</v>
      </c>
      <c r="J38" t="e">
        <f t="shared" si="17"/>
        <v>#NUM!</v>
      </c>
      <c r="K38" t="e">
        <f t="shared" si="18"/>
        <v>#NUM!</v>
      </c>
      <c r="L38">
        <f>IF(FREQUENCY('Data Transformation'!$R$10,$B38),1,0)</f>
        <v>1</v>
      </c>
      <c r="M38">
        <f t="shared" si="19"/>
        <v>0</v>
      </c>
      <c r="N38">
        <f t="shared" si="20"/>
        <v>1</v>
      </c>
      <c r="O38">
        <f t="shared" si="21"/>
        <v>0</v>
      </c>
    </row>
    <row r="39" spans="2:15">
      <c r="B39" t="e">
        <f t="shared" si="12"/>
        <v>#DIV/0!</v>
      </c>
      <c r="D39" t="e">
        <f>IF(FREQUENCY('Data Transformation'!$R$5,$B39),1,0)</f>
        <v>#NUM!</v>
      </c>
      <c r="E39" t="e">
        <f t="shared" si="13"/>
        <v>#NUM!</v>
      </c>
      <c r="F39">
        <f>IF(FREQUENCY('Data Transformation'!$R$6,$B39),1,0)</f>
        <v>1</v>
      </c>
      <c r="G39">
        <f t="shared" si="15"/>
        <v>0</v>
      </c>
      <c r="H39">
        <f t="shared" si="16"/>
        <v>8</v>
      </c>
      <c r="I39" t="e">
        <f t="shared" si="14"/>
        <v>#NUM!</v>
      </c>
      <c r="J39" t="e">
        <f t="shared" si="17"/>
        <v>#NUM!</v>
      </c>
      <c r="K39" t="e">
        <f t="shared" si="18"/>
        <v>#NUM!</v>
      </c>
      <c r="L39">
        <f>IF(FREQUENCY('Data Transformation'!$R$10,$B39),1,0)</f>
        <v>1</v>
      </c>
      <c r="M39">
        <f t="shared" si="19"/>
        <v>0</v>
      </c>
      <c r="N39">
        <f t="shared" si="20"/>
        <v>1</v>
      </c>
      <c r="O39">
        <f t="shared" si="21"/>
        <v>0</v>
      </c>
    </row>
    <row r="40" spans="2:15">
      <c r="B40" t="e">
        <f t="shared" si="12"/>
        <v>#DIV/0!</v>
      </c>
      <c r="D40" t="e">
        <f>IF(FREQUENCY('Data Transformation'!$R$5,$B40),1,0)</f>
        <v>#NUM!</v>
      </c>
      <c r="E40" t="e">
        <f t="shared" si="13"/>
        <v>#NUM!</v>
      </c>
      <c r="F40">
        <f>IF(FREQUENCY('Data Transformation'!$R$6,$B40),1,0)</f>
        <v>1</v>
      </c>
      <c r="G40">
        <f t="shared" si="15"/>
        <v>0</v>
      </c>
      <c r="H40">
        <f t="shared" si="16"/>
        <v>9</v>
      </c>
      <c r="I40" t="e">
        <f t="shared" si="14"/>
        <v>#NUM!</v>
      </c>
      <c r="J40" t="e">
        <f t="shared" si="17"/>
        <v>#NUM!</v>
      </c>
      <c r="K40" t="e">
        <f t="shared" si="18"/>
        <v>#NUM!</v>
      </c>
      <c r="L40">
        <f>IF(FREQUENCY('Data Transformation'!$R$10,$B40),1,0)</f>
        <v>1</v>
      </c>
      <c r="M40">
        <f t="shared" si="19"/>
        <v>0</v>
      </c>
      <c r="N40">
        <f t="shared" si="20"/>
        <v>1</v>
      </c>
      <c r="O40">
        <f t="shared" si="21"/>
        <v>0</v>
      </c>
    </row>
    <row r="41" spans="2:15">
      <c r="B41" t="e">
        <f t="shared" si="12"/>
        <v>#DIV/0!</v>
      </c>
      <c r="D41" t="e">
        <f>IF(FREQUENCY('Data Transformation'!$R$5,$B41),1,0)</f>
        <v>#NUM!</v>
      </c>
      <c r="E41" t="e">
        <f t="shared" si="13"/>
        <v>#NUM!</v>
      </c>
      <c r="F41">
        <f>IF(FREQUENCY('Data Transformation'!$R$6,$B41),1,0)</f>
        <v>1</v>
      </c>
      <c r="G41">
        <f t="shared" si="15"/>
        <v>0</v>
      </c>
      <c r="H41">
        <f t="shared" si="16"/>
        <v>10</v>
      </c>
      <c r="I41" t="e">
        <f t="shared" si="14"/>
        <v>#NUM!</v>
      </c>
      <c r="J41" t="e">
        <f t="shared" si="17"/>
        <v>#NUM!</v>
      </c>
      <c r="K41" t="e">
        <f t="shared" si="18"/>
        <v>#NUM!</v>
      </c>
      <c r="L41">
        <f>IF(FREQUENCY('Data Transformation'!$R$10,$B41),1,0)</f>
        <v>1</v>
      </c>
      <c r="M41">
        <f t="shared" si="19"/>
        <v>0</v>
      </c>
      <c r="N41">
        <f t="shared" si="20"/>
        <v>1</v>
      </c>
      <c r="O41">
        <f t="shared" si="21"/>
        <v>0</v>
      </c>
    </row>
    <row r="42" spans="2:15">
      <c r="B42" t="e">
        <f t="shared" si="12"/>
        <v>#DIV/0!</v>
      </c>
      <c r="D42" t="e">
        <f>IF(FREQUENCY('Data Transformation'!$R$5,$B42),1,0)</f>
        <v>#NUM!</v>
      </c>
      <c r="E42" t="e">
        <f t="shared" si="13"/>
        <v>#NUM!</v>
      </c>
      <c r="F42">
        <f>IF(FREQUENCY('Data Transformation'!$R$6,$B42),1,0)</f>
        <v>1</v>
      </c>
      <c r="G42">
        <f t="shared" si="15"/>
        <v>0</v>
      </c>
      <c r="H42">
        <f t="shared" si="16"/>
        <v>11</v>
      </c>
      <c r="I42" t="e">
        <f t="shared" si="14"/>
        <v>#NUM!</v>
      </c>
      <c r="J42" t="e">
        <f t="shared" si="17"/>
        <v>#NUM!</v>
      </c>
      <c r="K42" t="e">
        <f t="shared" si="18"/>
        <v>#NUM!</v>
      </c>
      <c r="L42">
        <f>IF(FREQUENCY('Data Transformation'!$R$10,$B42),1,0)</f>
        <v>1</v>
      </c>
      <c r="M42">
        <f t="shared" si="19"/>
        <v>0</v>
      </c>
      <c r="N42">
        <f t="shared" si="20"/>
        <v>1</v>
      </c>
      <c r="O42">
        <f t="shared" si="21"/>
        <v>0</v>
      </c>
    </row>
    <row r="43" spans="2:15">
      <c r="B43" t="e">
        <f t="shared" si="12"/>
        <v>#DIV/0!</v>
      </c>
      <c r="D43" t="e">
        <f>IF(FREQUENCY('Data Transformation'!$R$5,$B43),1,0)</f>
        <v>#NUM!</v>
      </c>
      <c r="E43" t="e">
        <f t="shared" si="13"/>
        <v>#NUM!</v>
      </c>
      <c r="F43">
        <f>IF(FREQUENCY('Data Transformation'!$R$6,$B43),1,0)</f>
        <v>1</v>
      </c>
      <c r="G43">
        <f t="shared" si="15"/>
        <v>0</v>
      </c>
      <c r="H43">
        <f t="shared" si="16"/>
        <v>12</v>
      </c>
      <c r="I43" t="e">
        <f t="shared" si="14"/>
        <v>#NUM!</v>
      </c>
      <c r="J43" t="e">
        <f t="shared" si="17"/>
        <v>#NUM!</v>
      </c>
      <c r="K43" t="e">
        <f t="shared" si="18"/>
        <v>#NUM!</v>
      </c>
      <c r="L43">
        <f>IF(FREQUENCY('Data Transformation'!$R$10,$B43),1,0)</f>
        <v>1</v>
      </c>
      <c r="M43">
        <f t="shared" si="19"/>
        <v>0</v>
      </c>
      <c r="N43">
        <f t="shared" si="20"/>
        <v>1</v>
      </c>
      <c r="O43">
        <f t="shared" si="21"/>
        <v>0</v>
      </c>
    </row>
    <row r="44" spans="2:15">
      <c r="B44" t="e">
        <f t="shared" si="12"/>
        <v>#DIV/0!</v>
      </c>
      <c r="D44" t="e">
        <f>IF(FREQUENCY('Data Transformation'!$R$5,$B44),1,0)</f>
        <v>#NUM!</v>
      </c>
      <c r="E44" t="e">
        <f t="shared" si="13"/>
        <v>#NUM!</v>
      </c>
      <c r="F44">
        <f>IF(FREQUENCY('Data Transformation'!$R$6,$B44),1,0)</f>
        <v>1</v>
      </c>
      <c r="G44">
        <f t="shared" si="15"/>
        <v>0</v>
      </c>
      <c r="H44">
        <f t="shared" si="16"/>
        <v>13</v>
      </c>
      <c r="I44" t="e">
        <f t="shared" si="14"/>
        <v>#NUM!</v>
      </c>
      <c r="J44" t="e">
        <f t="shared" si="17"/>
        <v>#NUM!</v>
      </c>
      <c r="K44" t="e">
        <f t="shared" si="18"/>
        <v>#NUM!</v>
      </c>
      <c r="L44">
        <f>IF(FREQUENCY('Data Transformation'!$R$10,$B44),1,0)</f>
        <v>1</v>
      </c>
      <c r="M44">
        <f t="shared" si="19"/>
        <v>0</v>
      </c>
      <c r="N44">
        <f t="shared" si="20"/>
        <v>1</v>
      </c>
      <c r="O44">
        <f t="shared" si="21"/>
        <v>0</v>
      </c>
    </row>
    <row r="45" spans="2:15">
      <c r="B45" t="e">
        <f t="shared" si="12"/>
        <v>#DIV/0!</v>
      </c>
      <c r="D45" t="e">
        <f>IF(FREQUENCY('Data Transformation'!$R$5,$B45),1,0)</f>
        <v>#NUM!</v>
      </c>
      <c r="E45" t="e">
        <f t="shared" si="13"/>
        <v>#NUM!</v>
      </c>
      <c r="F45">
        <f>IF(FREQUENCY('Data Transformation'!$R$6,$B45),1,0)</f>
        <v>1</v>
      </c>
      <c r="G45">
        <f t="shared" si="15"/>
        <v>0</v>
      </c>
      <c r="H45">
        <f t="shared" si="16"/>
        <v>14</v>
      </c>
      <c r="I45" t="e">
        <f t="shared" si="14"/>
        <v>#NUM!</v>
      </c>
      <c r="J45" t="e">
        <f t="shared" si="17"/>
        <v>#NUM!</v>
      </c>
      <c r="K45" t="e">
        <f t="shared" si="18"/>
        <v>#NUM!</v>
      </c>
      <c r="L45">
        <f>IF(FREQUENCY('Data Transformation'!$R$10,$B45),1,0)</f>
        <v>1</v>
      </c>
      <c r="M45">
        <f t="shared" si="19"/>
        <v>0</v>
      </c>
      <c r="N45">
        <f t="shared" si="20"/>
        <v>1</v>
      </c>
      <c r="O45">
        <f t="shared" si="21"/>
        <v>0</v>
      </c>
    </row>
    <row r="46" spans="2:15">
      <c r="B46" t="e">
        <f t="shared" si="12"/>
        <v>#DIV/0!</v>
      </c>
      <c r="D46" t="e">
        <f>IF(FREQUENCY('Data Transformation'!$R$5,$B46),1,0)</f>
        <v>#NUM!</v>
      </c>
      <c r="E46" t="e">
        <f t="shared" si="13"/>
        <v>#NUM!</v>
      </c>
      <c r="F46">
        <f>IF(FREQUENCY('Data Transformation'!$R$6,$B46),1,0)</f>
        <v>1</v>
      </c>
      <c r="G46">
        <f t="shared" si="15"/>
        <v>0</v>
      </c>
      <c r="H46">
        <f t="shared" si="16"/>
        <v>15</v>
      </c>
      <c r="I46" t="e">
        <f t="shared" si="14"/>
        <v>#NUM!</v>
      </c>
      <c r="J46" t="e">
        <f t="shared" si="17"/>
        <v>#NUM!</v>
      </c>
      <c r="K46" t="e">
        <f t="shared" si="18"/>
        <v>#NUM!</v>
      </c>
      <c r="L46">
        <f>IF(FREQUENCY('Data Transformation'!$R$10,$B46),1,0)</f>
        <v>1</v>
      </c>
      <c r="M46">
        <f t="shared" si="19"/>
        <v>0</v>
      </c>
      <c r="N46">
        <f t="shared" si="20"/>
        <v>1</v>
      </c>
      <c r="O46">
        <f t="shared" si="21"/>
        <v>0</v>
      </c>
    </row>
    <row r="47" spans="2:15">
      <c r="B47" t="e">
        <f t="shared" si="12"/>
        <v>#DIV/0!</v>
      </c>
      <c r="D47" t="e">
        <f>IF(FREQUENCY('Data Transformation'!$R$5,$B47),1,0)</f>
        <v>#NUM!</v>
      </c>
      <c r="E47" t="e">
        <f t="shared" si="13"/>
        <v>#NUM!</v>
      </c>
      <c r="F47">
        <f>IF(FREQUENCY('Data Transformation'!$R$6,$B47),1,0)</f>
        <v>1</v>
      </c>
      <c r="G47">
        <f t="shared" si="15"/>
        <v>0</v>
      </c>
      <c r="H47">
        <f t="shared" si="16"/>
        <v>16</v>
      </c>
      <c r="I47" t="e">
        <f t="shared" si="14"/>
        <v>#NUM!</v>
      </c>
      <c r="J47" t="e">
        <f t="shared" si="17"/>
        <v>#NUM!</v>
      </c>
      <c r="K47" t="e">
        <f t="shared" si="18"/>
        <v>#NUM!</v>
      </c>
      <c r="L47">
        <f>IF(FREQUENCY('Data Transformation'!$R$10,$B47),1,0)</f>
        <v>1</v>
      </c>
      <c r="M47">
        <f t="shared" si="19"/>
        <v>0</v>
      </c>
      <c r="N47">
        <f t="shared" si="20"/>
        <v>1</v>
      </c>
      <c r="O47">
        <f t="shared" si="21"/>
        <v>0</v>
      </c>
    </row>
    <row r="48" spans="2:15">
      <c r="B48" t="e">
        <f t="shared" si="12"/>
        <v>#DIV/0!</v>
      </c>
      <c r="D48" t="e">
        <f>IF(FREQUENCY('Data Transformation'!$R$5,$B48),1,0)</f>
        <v>#NUM!</v>
      </c>
      <c r="E48" t="e">
        <f t="shared" si="13"/>
        <v>#NUM!</v>
      </c>
      <c r="F48">
        <f>IF(FREQUENCY('Data Transformation'!$R$6,$B48),1,0)</f>
        <v>1</v>
      </c>
      <c r="G48">
        <f t="shared" si="15"/>
        <v>0</v>
      </c>
      <c r="H48">
        <f t="shared" si="16"/>
        <v>17</v>
      </c>
      <c r="I48" t="e">
        <f t="shared" si="14"/>
        <v>#NUM!</v>
      </c>
      <c r="J48" t="e">
        <f t="shared" si="17"/>
        <v>#NUM!</v>
      </c>
      <c r="K48" t="e">
        <f t="shared" si="18"/>
        <v>#NUM!</v>
      </c>
      <c r="L48">
        <f>IF(FREQUENCY('Data Transformation'!$R$10,$B48),1,0)</f>
        <v>1</v>
      </c>
      <c r="M48">
        <f t="shared" si="19"/>
        <v>0</v>
      </c>
      <c r="N48">
        <f t="shared" si="20"/>
        <v>1</v>
      </c>
      <c r="O48">
        <f t="shared" si="21"/>
        <v>0</v>
      </c>
    </row>
    <row r="49" spans="2:15">
      <c r="B49" t="e">
        <f t="shared" si="12"/>
        <v>#DIV/0!</v>
      </c>
      <c r="D49" t="e">
        <f>IF(FREQUENCY('Data Transformation'!$R$5,$B49),1,0)</f>
        <v>#NUM!</v>
      </c>
      <c r="E49" t="e">
        <f t="shared" si="13"/>
        <v>#NUM!</v>
      </c>
      <c r="F49">
        <f>IF(FREQUENCY('Data Transformation'!$R$6,$B49),1,0)</f>
        <v>1</v>
      </c>
      <c r="G49">
        <f t="shared" si="15"/>
        <v>0</v>
      </c>
      <c r="H49">
        <f t="shared" si="16"/>
        <v>18</v>
      </c>
      <c r="I49" t="e">
        <f t="shared" si="14"/>
        <v>#NUM!</v>
      </c>
      <c r="J49" t="e">
        <f t="shared" si="17"/>
        <v>#NUM!</v>
      </c>
      <c r="K49" t="e">
        <f t="shared" si="18"/>
        <v>#NUM!</v>
      </c>
      <c r="L49">
        <f>IF(FREQUENCY('Data Transformation'!$R$10,$B49),1,0)</f>
        <v>1</v>
      </c>
      <c r="M49">
        <f t="shared" si="19"/>
        <v>0</v>
      </c>
      <c r="N49">
        <f t="shared" si="20"/>
        <v>1</v>
      </c>
      <c r="O49">
        <f t="shared" si="21"/>
        <v>0</v>
      </c>
    </row>
    <row r="50" spans="2:15">
      <c r="B50" t="e">
        <f t="shared" si="12"/>
        <v>#DIV/0!</v>
      </c>
      <c r="D50" t="e">
        <f>IF(FREQUENCY('Data Transformation'!$R$5,$B50),1,0)</f>
        <v>#NUM!</v>
      </c>
      <c r="E50" t="e">
        <f t="shared" si="13"/>
        <v>#NUM!</v>
      </c>
      <c r="F50">
        <f>IF(FREQUENCY('Data Transformation'!$R$6,$B50),1,0)</f>
        <v>1</v>
      </c>
      <c r="G50">
        <f t="shared" si="15"/>
        <v>0</v>
      </c>
      <c r="H50">
        <f t="shared" si="16"/>
        <v>19</v>
      </c>
      <c r="I50" t="e">
        <f t="shared" si="14"/>
        <v>#NUM!</v>
      </c>
      <c r="J50" t="e">
        <f t="shared" si="17"/>
        <v>#NUM!</v>
      </c>
      <c r="K50" t="e">
        <f t="shared" si="18"/>
        <v>#NUM!</v>
      </c>
      <c r="L50">
        <f>IF(FREQUENCY('Data Transformation'!$R$10,$B50),1,0)</f>
        <v>1</v>
      </c>
      <c r="M50">
        <f t="shared" si="19"/>
        <v>0</v>
      </c>
      <c r="N50">
        <f t="shared" si="20"/>
        <v>1</v>
      </c>
      <c r="O50">
        <f t="shared" si="21"/>
        <v>0</v>
      </c>
    </row>
    <row r="51" spans="2:15">
      <c r="B51" t="e">
        <f t="shared" si="12"/>
        <v>#DIV/0!</v>
      </c>
      <c r="D51" t="e">
        <f>IF(FREQUENCY('Data Transformation'!$R$5,$B51),1,0)</f>
        <v>#NUM!</v>
      </c>
      <c r="E51" t="e">
        <f t="shared" si="13"/>
        <v>#NUM!</v>
      </c>
      <c r="F51">
        <f>IF(FREQUENCY('Data Transformation'!$R$6,$B51),1,0)</f>
        <v>1</v>
      </c>
      <c r="G51">
        <f t="shared" si="15"/>
        <v>0</v>
      </c>
      <c r="H51">
        <f t="shared" si="16"/>
        <v>20</v>
      </c>
      <c r="I51" t="e">
        <f>IF(D51=1,1,J52+1)</f>
        <v>#NUM!</v>
      </c>
      <c r="J51" t="e">
        <f t="shared" si="17"/>
        <v>#NUM!</v>
      </c>
      <c r="K51" t="e">
        <f t="shared" si="18"/>
        <v>#NUM!</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topLeftCell="M1" zoomScale="55" zoomScaleNormal="55" workbookViewId="0">
      <pane ySplit="2" topLeftCell="A4" activePane="bottomLeft" state="frozen"/>
      <selection pane="bottomLeft" activeCell="Q1" sqref="Q1:T1"/>
    </sheetView>
  </sheetViews>
  <sheetFormatPr defaultColWidth="11" defaultRowHeight="15.75"/>
  <cols>
    <col min="4" max="4" width="11" bestFit="1" customWidth="1"/>
    <col min="5" max="5" width="4" bestFit="1" customWidth="1"/>
    <col min="6" max="6" width="9" customWidth="1"/>
    <col min="7" max="7" width="6.625" customWidth="1"/>
    <col min="8" max="8" width="6.875" customWidth="1"/>
    <col min="9" max="9" width="12.125" bestFit="1" customWidth="1"/>
    <col min="10" max="10" width="5.625" customWidth="1"/>
    <col min="11" max="11" width="6.875" customWidth="1"/>
    <col min="12" max="12" width="12.875" bestFit="1" customWidth="1"/>
    <col min="13" max="13" width="12.625" bestFit="1" customWidth="1"/>
    <col min="15" max="15" width="15.375" style="14" bestFit="1" customWidth="1"/>
    <col min="16" max="16" width="15.375" style="14" customWidth="1"/>
    <col min="17" max="17" width="12.125" style="35" bestFit="1" customWidth="1"/>
    <col min="18" max="18" width="25.125" style="35" bestFit="1" customWidth="1"/>
    <col min="19" max="19" width="22.5" style="35" bestFit="1" customWidth="1"/>
    <col min="20" max="20" width="8.5" style="35" bestFit="1" customWidth="1"/>
    <col min="26" max="26" width="29.375" bestFit="1" customWidth="1"/>
  </cols>
  <sheetData>
    <row r="1" spans="1:27" ht="21">
      <c r="O1" s="33"/>
      <c r="P1" s="33"/>
      <c r="Q1" s="93" t="s">
        <v>52</v>
      </c>
      <c r="R1" s="93"/>
      <c r="S1" s="93"/>
      <c r="T1" s="93"/>
    </row>
    <row r="2" spans="1:27" ht="21">
      <c r="O2" s="34" t="s">
        <v>65</v>
      </c>
      <c r="P2" s="57" t="s">
        <v>105</v>
      </c>
      <c r="Q2" s="19" t="s">
        <v>53</v>
      </c>
      <c r="R2" s="19" t="s">
        <v>54</v>
      </c>
      <c r="S2" s="19" t="s">
        <v>55</v>
      </c>
      <c r="T2" s="19" t="s">
        <v>56</v>
      </c>
      <c r="U2" s="19" t="s">
        <v>81</v>
      </c>
      <c r="Z2" s="78" t="s">
        <v>112</v>
      </c>
      <c r="AA2" s="78" t="s">
        <v>113</v>
      </c>
    </row>
    <row r="3" spans="1:27" ht="23.25">
      <c r="D3" s="30" t="s">
        <v>51</v>
      </c>
      <c r="E3" s="38"/>
      <c r="F3" s="38"/>
      <c r="G3" s="38"/>
      <c r="H3" s="38"/>
      <c r="I3" s="38"/>
      <c r="J3" s="39"/>
      <c r="K3" s="39"/>
      <c r="L3" s="39"/>
      <c r="N3" s="38" t="str">
        <f>D3</f>
        <v>All</v>
      </c>
      <c r="O3" s="32" t="b">
        <f>INDEX('Data Transformation'!$O$4:$O$25,MATCH($D3,'Data Transformation'!$M$4:$M$25,0),MATCH($O$2,'Data Transformation'!$O$3,0))</f>
        <v>0</v>
      </c>
      <c r="P3" s="36">
        <f>IF('Input and Summary Results'!$J$16="minimum",'Bin Analysis and Plots'!Z4/('Bin Analysis and Plots'!O3-1),'Bin Analysis and Plots'!AA3/('Bin Analysis and Plots'!O3-1))</f>
        <v>0</v>
      </c>
      <c r="Q3" s="36" t="e">
        <f>IF(O3=FALSE,NA(),(VLOOKUP(1,E6:M25,4,FALSE)/(O3-1)))</f>
        <v>#N/A</v>
      </c>
      <c r="R3" s="36" t="e">
        <f>IF(O3=FALSE,NA(),SUM(L6:L25)/Weighting!$R$5)</f>
        <v>#N/A</v>
      </c>
      <c r="S3" s="36" t="e">
        <f>IF(O3=FALSE,NA(),SUM(M6:M25)/Weighting!$R$6)</f>
        <v>#N/A</v>
      </c>
      <c r="T3" s="36" t="e">
        <f>IF(O3=FALSE,NA(),(VLOOKUP(1,I6:M25,3,FALSE))/(O3-1))</f>
        <v>#N/A</v>
      </c>
      <c r="U3" s="31" t="e">
        <f>IF(O3=FALSE,NA(),IF(SUM(L6:L25)=2,"yes","no"))</f>
        <v>#N/A</v>
      </c>
      <c r="Z3" s="78" cm="1">
        <f t="array" ref="Z3:Z4">FREQUENCY('Data Transformation'!$G$24:$G$404,'Data Transformation'!$U$11)</f>
        <v>0</v>
      </c>
      <c r="AA3" s="78" cm="1">
        <f t="array" ref="AA3:AA4">FREQUENCY('Data Transformation'!$G$24:$G$404,'Data Transformation'!$U$12)</f>
        <v>0</v>
      </c>
    </row>
    <row r="4" spans="1:27" ht="21">
      <c r="D4" t="s">
        <v>50</v>
      </c>
      <c r="E4" t="s">
        <v>5</v>
      </c>
      <c r="F4" t="s">
        <v>99</v>
      </c>
      <c r="G4" t="s">
        <v>102</v>
      </c>
      <c r="H4" t="s">
        <v>103</v>
      </c>
      <c r="I4" t="s">
        <v>75</v>
      </c>
      <c r="J4" t="s">
        <v>34</v>
      </c>
      <c r="K4" t="s">
        <v>35</v>
      </c>
      <c r="L4" t="s">
        <v>49</v>
      </c>
      <c r="M4" s="14" t="s">
        <v>48</v>
      </c>
      <c r="Z4" s="78">
        <v>0</v>
      </c>
      <c r="AA4" s="78">
        <v>0</v>
      </c>
    </row>
    <row r="5" spans="1:27">
      <c r="F5" t="e">
        <f>IF(E5=1,'Data Transformation'!$G$3+0.5*'Data Transformation'!$U$25,IF(E6=1,F6-'Data Transformation'!$U$25,FALSE))</f>
        <v>#NUM!</v>
      </c>
      <c r="G5">
        <f>IF(ISLOGICAL(F5),"",FREQUENCY('Data Transformation'!$G$24:$G$404,'Bin Analysis and Plots'!F5))</f>
        <v>0</v>
      </c>
      <c r="H5" t="e">
        <f>IF(ISLOGICAL(F5),"",G5-G4)</f>
        <v>#VALUE!</v>
      </c>
    </row>
    <row r="6" spans="1:27">
      <c r="C6" s="41" t="e">
        <f>IF(Weighting!$O$6&gt;0,D6,"")</f>
        <v>#NUM!</v>
      </c>
      <c r="D6" t="e">
        <f>Weighting!$C$6</f>
        <v>#DIV/0!</v>
      </c>
      <c r="E6" t="e">
        <f>Weighting!$E$6</f>
        <v>#NUM!</v>
      </c>
      <c r="F6" t="e">
        <f>IF(E6=1,'Data Transformation'!$G$3+0.5*'Data Transformation'!$U$25,IF(E7=1,F7-'Data Transformation'!$U$25,FALSE))</f>
        <v>#NUM!</v>
      </c>
      <c r="G6">
        <f>IF(ISLOGICAL(F6),"",FREQUENCY('Data Transformation'!$G$24:$G$404,'Bin Analysis and Plots'!F6))</f>
        <v>0</v>
      </c>
      <c r="H6">
        <f>IF(ISLOGICAL(F6),"",G6-G5)</f>
        <v>0</v>
      </c>
      <c r="I6">
        <f>Weighting!$G$6</f>
        <v>1</v>
      </c>
      <c r="J6">
        <f>FREQUENCY('Data Transformation'!$G$24:$G$404, $D6)</f>
        <v>0</v>
      </c>
      <c r="K6" t="e">
        <f t="shared" ref="K6:K25" si="0">J6-J5+E6</f>
        <v>#NUM!</v>
      </c>
      <c r="L6" t="e">
        <f>IF(K6=0,0,1)</f>
        <v>#NUM!</v>
      </c>
      <c r="M6" t="e">
        <f>L6*Weighting!$V$6</f>
        <v>#NUM!</v>
      </c>
    </row>
    <row r="7" spans="1:27">
      <c r="C7" s="41" t="str">
        <f>IF(Weighting!$O$7&gt;0,D7,"")</f>
        <v/>
      </c>
      <c r="D7" t="e">
        <f>Weighting!$C$7</f>
        <v>#DIV/0!</v>
      </c>
      <c r="E7" t="e">
        <f>Weighting!$E$7</f>
        <v>#NUM!</v>
      </c>
      <c r="F7" t="e">
        <f>IF(E7=1,'Data Transformation'!$G$3+0.5*'Data Transformation'!$U$25,IF(E8=1,F8-'Data Transformation'!$U$25,FALSE))</f>
        <v>#NUM!</v>
      </c>
      <c r="G7">
        <f>IF(ISLOGICAL(F7),"",FREQUENCY('Data Transformation'!$G$24:$G$404,'Bin Analysis and Plots'!F7))</f>
        <v>0</v>
      </c>
      <c r="H7">
        <f t="shared" ref="H7:H25" si="1">IF(ISLOGICAL(F7),"",G7-G6)</f>
        <v>0</v>
      </c>
      <c r="I7">
        <f>Weighting!$G$7</f>
        <v>0</v>
      </c>
      <c r="J7">
        <f>FREQUENCY('Data Transformation'!$G$24:$G$404, $D7)</f>
        <v>0</v>
      </c>
      <c r="K7" t="e">
        <f t="shared" si="0"/>
        <v>#NUM!</v>
      </c>
      <c r="L7" t="e">
        <f>IF(K7=0,0,1)</f>
        <v>#NUM!</v>
      </c>
      <c r="M7" t="e">
        <f>L7*Weighting!$V$7</f>
        <v>#NUM!</v>
      </c>
    </row>
    <row r="8" spans="1:27">
      <c r="C8" s="41" t="str">
        <f>IF(Weighting!$O$8&gt;0,D8,"")</f>
        <v/>
      </c>
      <c r="D8" t="e">
        <f>Weighting!$C$8</f>
        <v>#DIV/0!</v>
      </c>
      <c r="E8" t="e">
        <f>Weighting!$E$8</f>
        <v>#NUM!</v>
      </c>
      <c r="F8" t="e">
        <f>IF(E8=1,'Data Transformation'!$G$3+0.5*'Data Transformation'!$U$25,IF(E9=1,F9-'Data Transformation'!$U$25,FALSE))</f>
        <v>#NUM!</v>
      </c>
      <c r="G8">
        <f>IF(ISLOGICAL(F8),"",FREQUENCY('Data Transformation'!$G$24:$G$404,'Bin Analysis and Plots'!F8))</f>
        <v>0</v>
      </c>
      <c r="H8">
        <f t="shared" si="1"/>
        <v>0</v>
      </c>
      <c r="I8">
        <f>Weighting!$G$8</f>
        <v>0</v>
      </c>
      <c r="J8">
        <f>FREQUENCY('Data Transformation'!$G$24:$G$404, $D8)</f>
        <v>0</v>
      </c>
      <c r="K8" t="e">
        <f t="shared" si="0"/>
        <v>#NUM!</v>
      </c>
      <c r="L8" t="e">
        <f t="shared" ref="L8:L25" si="2">IF(K8=0,0,1)</f>
        <v>#NUM!</v>
      </c>
      <c r="M8" t="e">
        <f>L8*Weighting!$V$8</f>
        <v>#NUM!</v>
      </c>
    </row>
    <row r="9" spans="1:27">
      <c r="C9" s="41" t="str">
        <f>IF(Weighting!$O$9&gt;0,D9,"")</f>
        <v/>
      </c>
      <c r="D9" t="e">
        <f>Weighting!$C$9</f>
        <v>#DIV/0!</v>
      </c>
      <c r="E9" t="e">
        <f>Weighting!$E$9</f>
        <v>#NUM!</v>
      </c>
      <c r="F9" t="e">
        <f>IF(E9=1,'Data Transformation'!$G$3+0.5*'Data Transformation'!$U$25,IF(E10=1,F10-'Data Transformation'!$U$25,FALSE))</f>
        <v>#NUM!</v>
      </c>
      <c r="G9">
        <f>IF(ISLOGICAL(F9),"",FREQUENCY('Data Transformation'!$G$24:$G$404,'Bin Analysis and Plots'!F9))</f>
        <v>0</v>
      </c>
      <c r="H9">
        <f t="shared" si="1"/>
        <v>0</v>
      </c>
      <c r="I9">
        <f>Weighting!$G$9</f>
        <v>0</v>
      </c>
      <c r="J9">
        <f>FREQUENCY('Data Transformation'!$G$24:$G$404, $D9)</f>
        <v>0</v>
      </c>
      <c r="K9" t="e">
        <f t="shared" si="0"/>
        <v>#NUM!</v>
      </c>
      <c r="L9" t="e">
        <f t="shared" si="2"/>
        <v>#NUM!</v>
      </c>
      <c r="M9" t="e">
        <f>L9*Weighting!$V$9</f>
        <v>#NUM!</v>
      </c>
      <c r="Q9" s="35" t="s">
        <v>92</v>
      </c>
    </row>
    <row r="10" spans="1:27">
      <c r="C10" s="41" t="str">
        <f>IF(Weighting!$O$10&gt;0,D10,"")</f>
        <v/>
      </c>
      <c r="D10" t="e">
        <f>Weighting!$C$10</f>
        <v>#DIV/0!</v>
      </c>
      <c r="E10" t="e">
        <f>Weighting!$E$10</f>
        <v>#NUM!</v>
      </c>
      <c r="F10" t="e">
        <f>IF(E10=1,'Data Transformation'!$G$3+0.5*'Data Transformation'!$U$25,IF(E11=1,F11-'Data Transformation'!$U$25,FALSE))</f>
        <v>#NUM!</v>
      </c>
      <c r="G10">
        <f>IF(ISLOGICAL(F10),"",FREQUENCY('Data Transformation'!$G$24:$G$404,'Bin Analysis and Plots'!F10))</f>
        <v>0</v>
      </c>
      <c r="H10">
        <f t="shared" si="1"/>
        <v>0</v>
      </c>
      <c r="I10">
        <f>Weighting!$G$10</f>
        <v>0</v>
      </c>
      <c r="J10">
        <f>FREQUENCY('Data Transformation'!$G$24:$G$404, $D10)</f>
        <v>0</v>
      </c>
      <c r="K10" t="e">
        <f t="shared" si="0"/>
        <v>#NUM!</v>
      </c>
      <c r="L10" t="e">
        <f t="shared" si="2"/>
        <v>#NUM!</v>
      </c>
      <c r="M10" t="e">
        <f>L10*Weighting!$V$10</f>
        <v>#NUM!</v>
      </c>
    </row>
    <row r="11" spans="1:27">
      <c r="C11" s="41" t="str">
        <f>IF(Weighting!$O$11&gt;0,D11,"")</f>
        <v/>
      </c>
      <c r="D11" t="e">
        <f>Weighting!$C$11</f>
        <v>#DIV/0!</v>
      </c>
      <c r="E11" t="e">
        <f>Weighting!$E$11</f>
        <v>#NUM!</v>
      </c>
      <c r="F11" t="e">
        <f>IF(E11=1,'Data Transformation'!$G$3+0.5*'Data Transformation'!$U$25,IF(E12=1,F12-'Data Transformation'!$U$25,FALSE))</f>
        <v>#NUM!</v>
      </c>
      <c r="G11">
        <f>IF(ISLOGICAL(F11),"",FREQUENCY('Data Transformation'!$G$24:$G$404,'Bin Analysis and Plots'!F11))</f>
        <v>0</v>
      </c>
      <c r="H11">
        <f t="shared" si="1"/>
        <v>0</v>
      </c>
      <c r="I11">
        <f>Weighting!$G$11</f>
        <v>0</v>
      </c>
      <c r="J11">
        <f>FREQUENCY('Data Transformation'!$G$24:$G$404, $D11)</f>
        <v>0</v>
      </c>
      <c r="K11" t="e">
        <f t="shared" si="0"/>
        <v>#NUM!</v>
      </c>
      <c r="L11" t="e">
        <f t="shared" si="2"/>
        <v>#NUM!</v>
      </c>
      <c r="M11" t="e">
        <f>L11*Weighting!$V$11</f>
        <v>#NUM!</v>
      </c>
    </row>
    <row r="12" spans="1:27">
      <c r="C12" s="41" t="str">
        <f>IF(Weighting!$O$12&gt;0,D12,"")</f>
        <v/>
      </c>
      <c r="D12" t="e">
        <f>Weighting!$C$12</f>
        <v>#DIV/0!</v>
      </c>
      <c r="E12" t="e">
        <f>Weighting!$E$12</f>
        <v>#NUM!</v>
      </c>
      <c r="F12" t="e">
        <f>IF(E12=1,'Data Transformation'!$G$3+0.5*'Data Transformation'!$U$25,IF(E13=1,F13-'Data Transformation'!$U$25,FALSE))</f>
        <v>#NUM!</v>
      </c>
      <c r="G12">
        <f>IF(ISLOGICAL(F12),"",FREQUENCY('Data Transformation'!$G$24:$G$404,'Bin Analysis and Plots'!F12))</f>
        <v>0</v>
      </c>
      <c r="H12">
        <f t="shared" si="1"/>
        <v>0</v>
      </c>
      <c r="I12">
        <f>Weighting!$G$12</f>
        <v>0</v>
      </c>
      <c r="J12">
        <f>FREQUENCY('Data Transformation'!$G$24:$G$404, $D12)</f>
        <v>0</v>
      </c>
      <c r="K12" t="e">
        <f t="shared" si="0"/>
        <v>#NUM!</v>
      </c>
      <c r="L12" t="e">
        <f t="shared" si="2"/>
        <v>#NUM!</v>
      </c>
      <c r="M12" t="e">
        <f>L12*Weighting!$V$12</f>
        <v>#NUM!</v>
      </c>
    </row>
    <row r="13" spans="1:27">
      <c r="C13" s="41" t="str">
        <f>IF(Weighting!$O$13&gt;0,D13,"")</f>
        <v/>
      </c>
      <c r="D13" t="e">
        <f>Weighting!$C$13</f>
        <v>#DIV/0!</v>
      </c>
      <c r="E13" t="e">
        <f>Weighting!$E$13</f>
        <v>#NUM!</v>
      </c>
      <c r="F13" t="e">
        <f>IF(E13=1,'Data Transformation'!$G$3+0.5*'Data Transformation'!$U$25,IF(E14=1,F14-'Data Transformation'!$U$25,FALSE))</f>
        <v>#NUM!</v>
      </c>
      <c r="G13">
        <f>IF(ISLOGICAL(F13),"",FREQUENCY('Data Transformation'!$G$24:$G$404,'Bin Analysis and Plots'!F13))</f>
        <v>0</v>
      </c>
      <c r="H13">
        <f t="shared" si="1"/>
        <v>0</v>
      </c>
      <c r="I13">
        <f>Weighting!$G$13</f>
        <v>0</v>
      </c>
      <c r="J13">
        <f>FREQUENCY('Data Transformation'!$G$24:$G$404, $D13)</f>
        <v>0</v>
      </c>
      <c r="K13" t="e">
        <f t="shared" si="0"/>
        <v>#NUM!</v>
      </c>
      <c r="L13" t="e">
        <f t="shared" si="2"/>
        <v>#NUM!</v>
      </c>
      <c r="M13" t="e">
        <f>L13*Weighting!$V$13</f>
        <v>#NUM!</v>
      </c>
    </row>
    <row r="14" spans="1:27">
      <c r="C14" s="41" t="str">
        <f>IF(Weighting!$O$14&gt;0,D14,"")</f>
        <v/>
      </c>
      <c r="D14" t="e">
        <f>Weighting!$C$14</f>
        <v>#DIV/0!</v>
      </c>
      <c r="E14" t="e">
        <f>Weighting!$E$14</f>
        <v>#NUM!</v>
      </c>
      <c r="F14" t="e">
        <f>IF(E14=1,'Data Transformation'!$G$3+0.5*'Data Transformation'!$U$25,IF(E15=1,F15-'Data Transformation'!$U$25,FALSE))</f>
        <v>#NUM!</v>
      </c>
      <c r="G14">
        <f>IF(ISLOGICAL(F14),"",FREQUENCY('Data Transformation'!$G$24:$G$404,'Bin Analysis and Plots'!F14))</f>
        <v>0</v>
      </c>
      <c r="H14">
        <f t="shared" si="1"/>
        <v>0</v>
      </c>
      <c r="I14">
        <f>Weighting!$G$14</f>
        <v>0</v>
      </c>
      <c r="J14">
        <f>FREQUENCY('Data Transformation'!$G$24:$G$404, $D14)</f>
        <v>0</v>
      </c>
      <c r="K14" t="e">
        <f t="shared" si="0"/>
        <v>#NUM!</v>
      </c>
      <c r="L14" t="e">
        <f t="shared" si="2"/>
        <v>#NUM!</v>
      </c>
      <c r="M14" t="e">
        <f>L14*Weighting!$V$14</f>
        <v>#NUM!</v>
      </c>
    </row>
    <row r="15" spans="1:27">
      <c r="C15" s="41" t="str">
        <f>IF(Weighting!$O$15&gt;0,D15,"")</f>
        <v/>
      </c>
      <c r="D15" t="e">
        <f>Weighting!$C$15</f>
        <v>#DIV/0!</v>
      </c>
      <c r="E15" t="e">
        <f>Weighting!$E$15</f>
        <v>#NUM!</v>
      </c>
      <c r="F15" t="e">
        <f>IF(E15=1,'Data Transformation'!$G$3+0.5*'Data Transformation'!$U$25,IF(E16=1,F16-'Data Transformation'!$U$25,FALSE))</f>
        <v>#NUM!</v>
      </c>
      <c r="G15">
        <f>IF(ISLOGICAL(F15),"",FREQUENCY('Data Transformation'!$G$24:$G$404,'Bin Analysis and Plots'!F15))</f>
        <v>0</v>
      </c>
      <c r="H15">
        <f t="shared" si="1"/>
        <v>0</v>
      </c>
      <c r="I15">
        <f>Weighting!$G$15</f>
        <v>0</v>
      </c>
      <c r="J15">
        <f>FREQUENCY('Data Transformation'!$G$24:$G$404, $D15)</f>
        <v>0</v>
      </c>
      <c r="K15" t="e">
        <f t="shared" si="0"/>
        <v>#NUM!</v>
      </c>
      <c r="L15" t="e">
        <f t="shared" si="2"/>
        <v>#NUM!</v>
      </c>
      <c r="M15" t="e">
        <f>L15*Weighting!$V$15</f>
        <v>#NUM!</v>
      </c>
    </row>
    <row r="16" spans="1:27">
      <c r="A16" t="str">
        <f>""</f>
        <v/>
      </c>
      <c r="C16" s="41" t="str">
        <f>IF(Weighting!$O$16&gt;0,D16,"")</f>
        <v/>
      </c>
      <c r="D16" t="e">
        <f>Weighting!$C$16</f>
        <v>#DIV/0!</v>
      </c>
      <c r="E16" t="e">
        <f>Weighting!$E$16</f>
        <v>#NUM!</v>
      </c>
      <c r="F16" t="e">
        <f>IF(E16=1,'Data Transformation'!$G$3+0.5*'Data Transformation'!$U$25,IF(E17=1,F17-'Data Transformation'!$U$25,FALSE))</f>
        <v>#NUM!</v>
      </c>
      <c r="G16">
        <f>IF(ISLOGICAL(F16),"",FREQUENCY('Data Transformation'!$G$24:$G$404,'Bin Analysis and Plots'!F16))</f>
        <v>0</v>
      </c>
      <c r="H16">
        <f t="shared" si="1"/>
        <v>0</v>
      </c>
      <c r="I16">
        <f>Weighting!$G$16</f>
        <v>0</v>
      </c>
      <c r="J16">
        <f>FREQUENCY('Data Transformation'!$G$24:$G$404, $D16)</f>
        <v>0</v>
      </c>
      <c r="K16" t="e">
        <f t="shared" si="0"/>
        <v>#NUM!</v>
      </c>
      <c r="L16" t="e">
        <f t="shared" si="2"/>
        <v>#NUM!</v>
      </c>
      <c r="M16" t="e">
        <f>L16*Weighting!$V$16</f>
        <v>#NUM!</v>
      </c>
    </row>
    <row r="17" spans="1:27">
      <c r="C17" s="41" t="str">
        <f>IF(Weighting!$O$17&gt;0,D17,"")</f>
        <v/>
      </c>
      <c r="D17" t="e">
        <f>Weighting!$C$17</f>
        <v>#DIV/0!</v>
      </c>
      <c r="E17" t="e">
        <f>Weighting!$E$17</f>
        <v>#NUM!</v>
      </c>
      <c r="F17" t="e">
        <f>IF(E17=1,'Data Transformation'!$G$3+0.5*'Data Transformation'!$U$25,IF(E18=1,F18-'Data Transformation'!$U$25,FALSE))</f>
        <v>#NUM!</v>
      </c>
      <c r="G17">
        <f>IF(ISLOGICAL(F17),"",FREQUENCY('Data Transformation'!$G$24:$G$404,'Bin Analysis and Plots'!F17))</f>
        <v>0</v>
      </c>
      <c r="H17">
        <f t="shared" si="1"/>
        <v>0</v>
      </c>
      <c r="I17">
        <f>Weighting!$G$17</f>
        <v>0</v>
      </c>
      <c r="J17">
        <f>FREQUENCY('Data Transformation'!$G$24:$G$404, $D17)</f>
        <v>0</v>
      </c>
      <c r="K17" t="e">
        <f t="shared" si="0"/>
        <v>#NUM!</v>
      </c>
      <c r="L17" t="e">
        <f t="shared" si="2"/>
        <v>#NUM!</v>
      </c>
      <c r="M17" t="e">
        <f>L17*Weighting!$V$17</f>
        <v>#NUM!</v>
      </c>
    </row>
    <row r="18" spans="1:27">
      <c r="C18" s="41" t="str">
        <f>IF(Weighting!$O$18&gt;0,D18,"")</f>
        <v/>
      </c>
      <c r="D18" t="e">
        <f>Weighting!$C$18</f>
        <v>#DIV/0!</v>
      </c>
      <c r="E18" t="e">
        <f>Weighting!$E$18</f>
        <v>#NUM!</v>
      </c>
      <c r="F18" t="e">
        <f>IF(E18=1,'Data Transformation'!$G$3+0.5*'Data Transformation'!$U$25,IF(E19=1,F19-'Data Transformation'!$U$25,FALSE))</f>
        <v>#NUM!</v>
      </c>
      <c r="G18">
        <f>IF(ISLOGICAL(F18),"",FREQUENCY('Data Transformation'!$G$24:$G$404,'Bin Analysis and Plots'!F18))</f>
        <v>0</v>
      </c>
      <c r="H18">
        <f t="shared" si="1"/>
        <v>0</v>
      </c>
      <c r="I18">
        <f>Weighting!$G$18</f>
        <v>0</v>
      </c>
      <c r="J18">
        <f>FREQUENCY('Data Transformation'!$G$24:$G$404, $D18)</f>
        <v>0</v>
      </c>
      <c r="K18" t="e">
        <f t="shared" si="0"/>
        <v>#NUM!</v>
      </c>
      <c r="L18" t="e">
        <f t="shared" si="2"/>
        <v>#NUM!</v>
      </c>
      <c r="M18" t="e">
        <f>L18*Weighting!$V$18</f>
        <v>#NUM!</v>
      </c>
    </row>
    <row r="19" spans="1:27">
      <c r="C19" s="41" t="str">
        <f>IF(Weighting!$O$19&gt;0,D19,"")</f>
        <v/>
      </c>
      <c r="D19" t="e">
        <f>Weighting!$C$19</f>
        <v>#DIV/0!</v>
      </c>
      <c r="E19" t="e">
        <f>Weighting!$E$19</f>
        <v>#NUM!</v>
      </c>
      <c r="F19" t="e">
        <f>IF(E19=1,'Data Transformation'!$G$3+0.5*'Data Transformation'!$U$25,IF(E20=1,F20-'Data Transformation'!$U$25,FALSE))</f>
        <v>#NUM!</v>
      </c>
      <c r="G19">
        <f>IF(ISLOGICAL(F19),"",FREQUENCY('Data Transformation'!$G$24:$G$404,'Bin Analysis and Plots'!F19))</f>
        <v>0</v>
      </c>
      <c r="H19">
        <f t="shared" si="1"/>
        <v>0</v>
      </c>
      <c r="I19">
        <f>Weighting!$G$19</f>
        <v>0</v>
      </c>
      <c r="J19">
        <f>FREQUENCY('Data Transformation'!$G$24:$G$404, $D19)</f>
        <v>0</v>
      </c>
      <c r="K19" t="e">
        <f t="shared" si="0"/>
        <v>#NUM!</v>
      </c>
      <c r="L19" t="e">
        <f t="shared" si="2"/>
        <v>#NUM!</v>
      </c>
      <c r="M19" t="e">
        <f>L19*Weighting!$V$19</f>
        <v>#NUM!</v>
      </c>
    </row>
    <row r="20" spans="1:27">
      <c r="C20" s="41" t="str">
        <f>IF(Weighting!$O$20&gt;0,D20,"")</f>
        <v/>
      </c>
      <c r="D20" t="e">
        <f>Weighting!$C$20</f>
        <v>#DIV/0!</v>
      </c>
      <c r="E20" t="e">
        <f>Weighting!$E$20</f>
        <v>#NUM!</v>
      </c>
      <c r="F20" t="e">
        <f>IF(E20=1,'Data Transformation'!$G$3+0.5*'Data Transformation'!$U$25,IF(E21=1,F21-'Data Transformation'!$U$25,FALSE))</f>
        <v>#NUM!</v>
      </c>
      <c r="G20">
        <f>IF(ISLOGICAL(F20),"",FREQUENCY('Data Transformation'!$G$24:$G$404,'Bin Analysis and Plots'!F20))</f>
        <v>0</v>
      </c>
      <c r="H20">
        <f t="shared" si="1"/>
        <v>0</v>
      </c>
      <c r="I20">
        <f>Weighting!$G$20</f>
        <v>0</v>
      </c>
      <c r="J20">
        <f>FREQUENCY('Data Transformation'!$G$24:$G$404, $D20)</f>
        <v>0</v>
      </c>
      <c r="K20" t="e">
        <f t="shared" si="0"/>
        <v>#NUM!</v>
      </c>
      <c r="L20" t="e">
        <f t="shared" si="2"/>
        <v>#NUM!</v>
      </c>
      <c r="M20" t="e">
        <f>L20*Weighting!$V$20</f>
        <v>#NUM!</v>
      </c>
    </row>
    <row r="21" spans="1:27">
      <c r="C21" s="41" t="str">
        <f>IF(Weighting!$O$21&gt;0,D21,"")</f>
        <v/>
      </c>
      <c r="D21" t="e">
        <f>Weighting!$C$21</f>
        <v>#DIV/0!</v>
      </c>
      <c r="E21" t="e">
        <f>Weighting!$E$21</f>
        <v>#NUM!</v>
      </c>
      <c r="F21" t="e">
        <f>IF(E21=1,'Data Transformation'!$G$3+0.5*'Data Transformation'!$U$25,IF(E22=1,F22-'Data Transformation'!$U$25,FALSE))</f>
        <v>#NUM!</v>
      </c>
      <c r="G21">
        <f>IF(ISLOGICAL(F21),"",FREQUENCY('Data Transformation'!$G$24:$G$404,'Bin Analysis and Plots'!F21))</f>
        <v>0</v>
      </c>
      <c r="H21">
        <f t="shared" si="1"/>
        <v>0</v>
      </c>
      <c r="I21">
        <f>Weighting!$G$21</f>
        <v>0</v>
      </c>
      <c r="J21">
        <f>FREQUENCY('Data Transformation'!$G$24:$G$404, $D21)</f>
        <v>0</v>
      </c>
      <c r="K21" t="e">
        <f t="shared" si="0"/>
        <v>#NUM!</v>
      </c>
      <c r="L21" t="e">
        <f t="shared" si="2"/>
        <v>#NUM!</v>
      </c>
      <c r="M21" t="e">
        <f>L21*Weighting!$V$21</f>
        <v>#NUM!</v>
      </c>
    </row>
    <row r="22" spans="1:27">
      <c r="C22" s="41" t="str">
        <f>IF(Weighting!$O$22&gt;0,D22,"")</f>
        <v/>
      </c>
      <c r="D22" t="e">
        <f>Weighting!$C$22</f>
        <v>#DIV/0!</v>
      </c>
      <c r="E22" t="e">
        <f>Weighting!$E$22</f>
        <v>#NUM!</v>
      </c>
      <c r="F22" t="e">
        <f>IF(E22=1,'Data Transformation'!$G$3+0.5*'Data Transformation'!$U$25,IF(E23=1,F23-'Data Transformation'!$U$25,FALSE))</f>
        <v>#NUM!</v>
      </c>
      <c r="G22">
        <f>IF(ISLOGICAL(F22),"",FREQUENCY('Data Transformation'!$G$24:$G$404,'Bin Analysis and Plots'!F22))</f>
        <v>0</v>
      </c>
      <c r="H22">
        <f t="shared" si="1"/>
        <v>0</v>
      </c>
      <c r="I22">
        <f>Weighting!$G$22</f>
        <v>0</v>
      </c>
      <c r="J22">
        <f>FREQUENCY('Data Transformation'!$G$24:$G$404, $D22)</f>
        <v>0</v>
      </c>
      <c r="K22" t="e">
        <f t="shared" si="0"/>
        <v>#NUM!</v>
      </c>
      <c r="L22" t="e">
        <f t="shared" si="2"/>
        <v>#NUM!</v>
      </c>
      <c r="M22" t="e">
        <f>L22*Weighting!$V$22</f>
        <v>#NUM!</v>
      </c>
    </row>
    <row r="23" spans="1:27">
      <c r="C23" s="41" t="str">
        <f>IF(Weighting!$O$23&gt;0,D23,"")</f>
        <v/>
      </c>
      <c r="D23" t="e">
        <f>Weighting!$C$23</f>
        <v>#DIV/0!</v>
      </c>
      <c r="E23" t="e">
        <f>Weighting!$E$23</f>
        <v>#NUM!</v>
      </c>
      <c r="F23" t="e">
        <f>IF(E23=1,'Data Transformation'!$G$3+0.5*'Data Transformation'!$U$25,IF(E24=1,F24-'Data Transformation'!$U$25,FALSE))</f>
        <v>#NUM!</v>
      </c>
      <c r="G23">
        <f>IF(ISLOGICAL(F23),"",FREQUENCY('Data Transformation'!$G$24:$G$404,'Bin Analysis and Plots'!F23))</f>
        <v>0</v>
      </c>
      <c r="H23">
        <f t="shared" si="1"/>
        <v>0</v>
      </c>
      <c r="I23">
        <f>Weighting!$G$23</f>
        <v>0</v>
      </c>
      <c r="J23">
        <f>FREQUENCY('Data Transformation'!$G$24:$G$404, $D23)</f>
        <v>0</v>
      </c>
      <c r="K23" t="e">
        <f t="shared" si="0"/>
        <v>#NUM!</v>
      </c>
      <c r="L23" t="e">
        <f t="shared" si="2"/>
        <v>#NUM!</v>
      </c>
      <c r="M23" t="e">
        <f>L23*Weighting!$V$23</f>
        <v>#NUM!</v>
      </c>
    </row>
    <row r="24" spans="1:27">
      <c r="C24" s="41" t="str">
        <f>IF(Weighting!$O$24&gt;0,D24,"")</f>
        <v/>
      </c>
      <c r="D24" t="e">
        <f>Weighting!$C$24</f>
        <v>#DIV/0!</v>
      </c>
      <c r="E24" t="e">
        <f>Weighting!$E$24</f>
        <v>#NUM!</v>
      </c>
      <c r="F24" t="e">
        <f>IF(E24=1,'Data Transformation'!$G$3+0.5*'Data Transformation'!$U$25,IF(E25=1,F25-'Data Transformation'!$U$25,FALSE))</f>
        <v>#NUM!</v>
      </c>
      <c r="G24">
        <f>IF(ISLOGICAL(F24),"",FREQUENCY('Data Transformation'!$G$24:$G$404,'Bin Analysis and Plots'!F24))</f>
        <v>0</v>
      </c>
      <c r="H24">
        <f t="shared" si="1"/>
        <v>0</v>
      </c>
      <c r="I24">
        <f>Weighting!$G$24</f>
        <v>0</v>
      </c>
      <c r="J24">
        <f>FREQUENCY('Data Transformation'!$G$24:$G$404, $D24)</f>
        <v>0</v>
      </c>
      <c r="K24" t="e">
        <f t="shared" si="0"/>
        <v>#NUM!</v>
      </c>
      <c r="L24" t="e">
        <f t="shared" si="2"/>
        <v>#NUM!</v>
      </c>
      <c r="M24" t="e">
        <f>L24*Weighting!$V$24</f>
        <v>#NUM!</v>
      </c>
    </row>
    <row r="25" spans="1:27">
      <c r="C25" s="41" t="str">
        <f>IF(Weighting!$O$25&gt;0,D25,"")</f>
        <v/>
      </c>
      <c r="D25" t="e">
        <f>Weighting!$C$25</f>
        <v>#DIV/0!</v>
      </c>
      <c r="E25" t="e">
        <f>Weighting!$E$25</f>
        <v>#NUM!</v>
      </c>
      <c r="F25" t="e">
        <f>IF(E25=1,'Data Transformation'!$G$3+0.5*'Data Transformation'!$U$25,IF(E26=1,F26-'Data Transformation'!$U$25,FALSE))</f>
        <v>#NUM!</v>
      </c>
      <c r="G25">
        <f>IF(ISLOGICAL(F25),"",FREQUENCY('Data Transformation'!$G$24:$G$404,'Bin Analysis and Plots'!F25))</f>
        <v>0</v>
      </c>
      <c r="H25">
        <f t="shared" si="1"/>
        <v>0</v>
      </c>
      <c r="I25">
        <f>Weighting!$G$25</f>
        <v>0</v>
      </c>
      <c r="J25">
        <f>FREQUENCY('Data Transformation'!$G$24:$G$404, $D25)</f>
        <v>0</v>
      </c>
      <c r="K25" t="e">
        <f t="shared" si="0"/>
        <v>#NUM!</v>
      </c>
      <c r="L25" t="e">
        <f t="shared" si="2"/>
        <v>#NUM!</v>
      </c>
      <c r="M25" t="e">
        <f>L25*Weighting!$V$25</f>
        <v>#NUM!</v>
      </c>
    </row>
    <row r="27" spans="1:27" ht="23.25">
      <c r="A27" s="30"/>
      <c r="C27" s="30" t="s">
        <v>0</v>
      </c>
      <c r="D27" s="30" t="str">
        <f>'Input and Summary Results'!G8</f>
        <v xml:space="preserve"> </v>
      </c>
      <c r="E27" s="30"/>
      <c r="F27" s="30"/>
      <c r="G27" s="30"/>
      <c r="H27" s="30"/>
      <c r="I27" s="36"/>
      <c r="J27" s="30"/>
      <c r="K27" s="31"/>
      <c r="N27" s="30" t="str">
        <f>D27</f>
        <v xml:space="preserve"> </v>
      </c>
      <c r="O27" s="32" t="e">
        <f>INDEX('Data Transformation'!$O$4:$O$25,MATCH($D27,'Data Transformation'!$M$4:$M$25,0),MATCH($O$2,'Data Transformation'!$O$3,0))</f>
        <v>#N/A</v>
      </c>
      <c r="P27" s="36" t="e">
        <f>IF('Input and Summary Results'!$J$16="minimum",'Bin Analysis and Plots'!Z28/('Bin Analysis and Plots'!O27-1),'Bin Analysis and Plots'!AA27/('Bin Analysis and Plots'!O27-1))</f>
        <v>#N/A</v>
      </c>
      <c r="Q27" s="36" t="e">
        <f>IF(O27=FALSE,NA(),(VLOOKUP(1,E30:M49,4,FALSE))/(O27-1))</f>
        <v>#N/A</v>
      </c>
      <c r="R27" s="36" t="e">
        <f>IF(O27=FALSE,NA(),SUM(L30:L49)/Weighting!$R$5)</f>
        <v>#N/A</v>
      </c>
      <c r="S27" s="36" t="e">
        <f>IF(O27=FALSE,NA(),SUM(M30:M49)/Weighting!$R$6)</f>
        <v>#N/A</v>
      </c>
      <c r="T27" s="36" t="e">
        <f>IF(O27=FALSE,NA(),(VLOOKUP(1,I30:M49,3,FALSE))/(O27-1))</f>
        <v>#N/A</v>
      </c>
      <c r="U27" s="31" t="e">
        <f>IF(O27=FALSE,NA(),IF(SUM(L30:L49)=2,"yes","no"))</f>
        <v>#N/A</v>
      </c>
      <c r="V27" s="30"/>
      <c r="W27" s="30"/>
      <c r="X27" s="30"/>
      <c r="Y27" s="30"/>
      <c r="Z27" s="78" cm="1">
        <f t="array" ref="Z27:Z28">FREQUENCY(IF('Data Transformation'!$B$24:$B$404='Bin Analysis and Plots'!N27,'Data Transformation'!$G$24:$G$404),'Data Transformation'!$U$11)</f>
        <v>0</v>
      </c>
      <c r="AA27" s="78" cm="1">
        <f t="array" ref="AA27:AA28">FREQUENCY(IF('Data Transformation'!$B$24:$B$404='Bin Analysis and Plots'!N27,'Data Transformation'!$G$24:$G$404),'Data Transformation'!$U$12)</f>
        <v>0</v>
      </c>
    </row>
    <row r="28" spans="1:27" ht="21">
      <c r="A28" s="92" t="s">
        <v>64</v>
      </c>
      <c r="B28" s="92"/>
      <c r="C28" s="14" t="s">
        <v>72</v>
      </c>
      <c r="D28" t="s">
        <v>50</v>
      </c>
      <c r="E28" t="s">
        <v>98</v>
      </c>
      <c r="F28" t="s">
        <v>99</v>
      </c>
      <c r="G28" t="s">
        <v>102</v>
      </c>
      <c r="H28" t="s">
        <v>103</v>
      </c>
      <c r="I28" t="s">
        <v>75</v>
      </c>
      <c r="J28" t="s">
        <v>34</v>
      </c>
      <c r="K28" t="s">
        <v>35</v>
      </c>
      <c r="L28" t="s">
        <v>49</v>
      </c>
      <c r="M28" s="14" t="s">
        <v>48</v>
      </c>
      <c r="Z28" s="78">
        <v>0</v>
      </c>
      <c r="AA28" s="78">
        <v>0</v>
      </c>
    </row>
    <row r="29" spans="1:27">
      <c r="F29" t="e">
        <f>IF(E29=1,'Data Transformation'!$G$3+0.5*'Data Transformation'!$U$25,IF(E30=1,F30-'Data Transformation'!$U$25,FALSE))</f>
        <v>#NUM!</v>
      </c>
      <c r="G29">
        <f t="array" ref="G29">IF(ISLOGICAL(F29),"",FREQUENCY(IF('Data Transformation'!$B$24:$B$404='Bin Analysis and Plots'!$D$27,'Data Transformation'!$G$24:$G$404),'Bin Analysis and Plots'!F29))</f>
        <v>0</v>
      </c>
      <c r="H29" t="e">
        <f>IF(ISLOGICAL(F29),"",G29-G28)</f>
        <v>#VALUE!</v>
      </c>
    </row>
    <row r="30" spans="1:27">
      <c r="A30" s="29" t="b">
        <f t="array" ref="A30">IF(ISERROR(INDEX('Data Transformation'!$B$4:$G$450,SMALL(IF('Data Transformation'!$B$4:$B$450='Bin Analysis and Plots'!D27,ROW('Data Transformation'!$B$4:$B$450)),ROW($1:$1))-3,3)),"",INDEX('Data Transformation'!$B$4:$G$450,SMALL(IF('Data Transformation'!$B$4:$B$450='Bin Analysis and Plots'!D27,ROW('Data Transformation'!$B$4:$B$450)),ROW($1:$1))-3,6))</f>
        <v>0</v>
      </c>
      <c r="B30" s="29" t="str">
        <f>IFERROR(SMALL(A30:A49,'Data Transformation'!$L$6),"")</f>
        <v/>
      </c>
      <c r="C30" s="41" t="e">
        <f>IF(Weighting!$O$6&gt;0,D30,"")</f>
        <v>#NUM!</v>
      </c>
      <c r="D30" t="e">
        <f>Weighting!$C$6</f>
        <v>#DIV/0!</v>
      </c>
      <c r="E30" t="e">
        <f>Weighting!$E$6</f>
        <v>#NUM!</v>
      </c>
      <c r="F30" t="e">
        <f>IF(E30=1,'Data Transformation'!$G$3+0.5*'Data Transformation'!$U$25,IF(E31=1,F31-'Data Transformation'!$U$25,FALSE))</f>
        <v>#NUM!</v>
      </c>
      <c r="G30">
        <f t="array" ref="G30">IF(ISLOGICAL(F30),"",FREQUENCY(IF('Data Transformation'!$B$24:$B$404='Bin Analysis and Plots'!$D$27,'Data Transformation'!$G$24:$G$404),'Bin Analysis and Plots'!F30))</f>
        <v>0</v>
      </c>
      <c r="H30">
        <f>IF(ISLOGICAL(F30),"",G30-G29)</f>
        <v>0</v>
      </c>
      <c r="I30">
        <f>Weighting!$G$6</f>
        <v>1</v>
      </c>
      <c r="J30">
        <f t="array" ref="J30">FREQUENCY(IF('Data Transformation'!$B$4:$B$404=D27,'Data Transformation'!$G$4:$G$404),'Bin Analysis and Plots'!$D30)</f>
        <v>0</v>
      </c>
      <c r="K30">
        <f>J30-J29</f>
        <v>0</v>
      </c>
      <c r="L30">
        <f>IF(K30=0,0,1)</f>
        <v>0</v>
      </c>
      <c r="M30" t="e">
        <f>L30*Weighting!$V$6</f>
        <v>#NUM!</v>
      </c>
    </row>
    <row r="31" spans="1:27">
      <c r="A31" s="29" t="b">
        <f t="array" ref="A31">IF(ISERROR(INDEX('Data Transformation'!$B$4:$G$450,SMALL(IF('Data Transformation'!$B$4:$B$450='Bin Analysis and Plots'!D27,ROW('Data Transformation'!$B$4:$B$450)),ROW($2:$2))-3,3)),"",INDEX('Data Transformation'!$B$4:$G$450,SMALL(IF('Data Transformation'!$B$4:$B$450='Bin Analysis and Plots'!D27,ROW('Data Transformation'!$B$4:$B$450)),ROW($2:$2))-3,6))</f>
        <v>0</v>
      </c>
      <c r="B31" s="29" t="str">
        <f>IFERROR(SMALL(A30:A49,'Data Transformation'!$L$7),"")</f>
        <v/>
      </c>
      <c r="C31" s="41" t="str">
        <f>IF(Weighting!$O$7&gt;0,D31,"")</f>
        <v/>
      </c>
      <c r="D31" t="e">
        <f>Weighting!$C$7</f>
        <v>#DIV/0!</v>
      </c>
      <c r="E31" t="e">
        <f>Weighting!$E$7</f>
        <v>#NUM!</v>
      </c>
      <c r="F31" t="e">
        <f>IF(E31=1,'Data Transformation'!$G$3+0.5*'Data Transformation'!$U$25,IF(E32=1,F32-'Data Transformation'!$U$25,FALSE))</f>
        <v>#NUM!</v>
      </c>
      <c r="G31">
        <f t="array" ref="G31">IF(ISLOGICAL(F31),"",FREQUENCY(IF('Data Transformation'!$B$24:$B$404='Bin Analysis and Plots'!$D$27,'Data Transformation'!$G$24:$G$404),'Bin Analysis and Plots'!F31))</f>
        <v>0</v>
      </c>
      <c r="H31">
        <f t="shared" ref="H31:H49" si="3">IF(ISLOGICAL(F31),"",G31-G30)</f>
        <v>0</v>
      </c>
      <c r="I31">
        <f>Weighting!$G$7</f>
        <v>0</v>
      </c>
      <c r="J31">
        <f t="array" ref="J31">FREQUENCY(IF('Data Transformation'!$B$4:$B$404=D27,'Data Transformation'!$G$4:$G$404),'Bin Analysis and Plots'!$D31)</f>
        <v>0</v>
      </c>
      <c r="K31">
        <f t="shared" ref="K31:K49" si="4">J31-J30</f>
        <v>0</v>
      </c>
      <c r="L31">
        <f>IF(K31=0,0,1)</f>
        <v>0</v>
      </c>
      <c r="M31">
        <f>L31*Weighting!$V$7</f>
        <v>0</v>
      </c>
    </row>
    <row r="32" spans="1:27">
      <c r="A32" s="29" t="b">
        <f t="array" ref="A32">IF(ISERROR(INDEX('Data Transformation'!$B$4:$G$450,SMALL(IF('Data Transformation'!$B$4:$B$450='Bin Analysis and Plots'!D27,ROW('Data Transformation'!$B$4:$B$450)),ROW($3:$3))-3,3)),"",INDEX('Data Transformation'!$B$4:$G$450,SMALL(IF('Data Transformation'!$B$4:$B$450='Bin Analysis and Plots'!D27,ROW('Data Transformation'!$B$4:$B$450)),ROW($3:$3))-3,6))</f>
        <v>0</v>
      </c>
      <c r="B32" s="29" t="str">
        <f>IFERROR(SMALL(A30:A49,'Data Transformation'!$L$8),"")</f>
        <v/>
      </c>
      <c r="C32" s="41" t="str">
        <f>IF(Weighting!$O$8&gt;0,D32,"")</f>
        <v/>
      </c>
      <c r="D32" t="e">
        <f>Weighting!$C$8</f>
        <v>#DIV/0!</v>
      </c>
      <c r="E32" t="e">
        <f>Weighting!$E$8</f>
        <v>#NUM!</v>
      </c>
      <c r="F32" t="e">
        <f>IF(E32=1,'Data Transformation'!$G$3+0.5*'Data Transformation'!$U$25,IF(E33=1,F33-'Data Transformation'!$U$25,FALSE))</f>
        <v>#NUM!</v>
      </c>
      <c r="G32">
        <f t="array" ref="G32">IF(ISLOGICAL(F32),"",FREQUENCY(IF('Data Transformation'!$B$24:$B$404='Bin Analysis and Plots'!$D$27,'Data Transformation'!$G$24:$G$404),'Bin Analysis and Plots'!F32))</f>
        <v>0</v>
      </c>
      <c r="H32">
        <f t="shared" si="3"/>
        <v>0</v>
      </c>
      <c r="I32">
        <f>Weighting!$G$8</f>
        <v>0</v>
      </c>
      <c r="J32">
        <f t="array" ref="J32">FREQUENCY(IF('Data Transformation'!$B$4:$B$404=D27,'Data Transformation'!$G$4:$G$404),'Bin Analysis and Plots'!$D32)</f>
        <v>0</v>
      </c>
      <c r="K32">
        <f t="shared" si="4"/>
        <v>0</v>
      </c>
      <c r="L32">
        <f t="shared" ref="L32:L49" si="5">IF(K32=0,0,1)</f>
        <v>0</v>
      </c>
      <c r="M32">
        <f>L32*Weighting!$V$8</f>
        <v>0</v>
      </c>
    </row>
    <row r="33" spans="1:13">
      <c r="A33" s="29" t="b">
        <f t="array" ref="A33">IF(ISERROR(INDEX('Data Transformation'!$B$4:$G$450,SMALL(IF('Data Transformation'!$B$4:$B$450='Bin Analysis and Plots'!D27,ROW('Data Transformation'!$B$4:$B$450)),ROW($4:$4))-3,3)),"",INDEX('Data Transformation'!$B$4:$G$450,SMALL(IF('Data Transformation'!$B$4:$B$450='Bin Analysis and Plots'!D27,ROW('Data Transformation'!$B$4:$B$450)),ROW($4:$4))-3,6))</f>
        <v>0</v>
      </c>
      <c r="B33" s="29" t="str">
        <f>IFERROR(SMALL(A30:A49,'Data Transformation'!$L$9),"")</f>
        <v/>
      </c>
      <c r="C33" s="41" t="str">
        <f>IF(Weighting!$O$9&gt;0,D33,"")</f>
        <v/>
      </c>
      <c r="D33" t="e">
        <f>Weighting!$C$9</f>
        <v>#DIV/0!</v>
      </c>
      <c r="E33" t="e">
        <f>Weighting!$E$9</f>
        <v>#NUM!</v>
      </c>
      <c r="F33" t="e">
        <f>IF(E33=1,'Data Transformation'!$G$3+0.5*'Data Transformation'!$U$25,IF(E34=1,F34-'Data Transformation'!$U$25,FALSE))</f>
        <v>#NUM!</v>
      </c>
      <c r="G33">
        <f t="array" ref="G33">IF(ISLOGICAL(F33),"",FREQUENCY(IF('Data Transformation'!$B$24:$B$404='Bin Analysis and Plots'!$D$27,'Data Transformation'!$G$24:$G$404),'Bin Analysis and Plots'!F33))</f>
        <v>0</v>
      </c>
      <c r="H33">
        <f t="shared" si="3"/>
        <v>0</v>
      </c>
      <c r="I33">
        <f>Weighting!$G$9</f>
        <v>0</v>
      </c>
      <c r="J33">
        <f t="array" ref="J33">FREQUENCY(IF('Data Transformation'!$B$4:$B$404=D27,'Data Transformation'!$G$4:$G$404),'Bin Analysis and Plots'!$D33)</f>
        <v>0</v>
      </c>
      <c r="K33">
        <f t="shared" si="4"/>
        <v>0</v>
      </c>
      <c r="L33">
        <f t="shared" si="5"/>
        <v>0</v>
      </c>
      <c r="M33">
        <f>L33*Weighting!$V$9</f>
        <v>0</v>
      </c>
    </row>
    <row r="34" spans="1:13">
      <c r="A34" s="29" t="b">
        <f t="array" ref="A34">IF(ISERROR(INDEX('Data Transformation'!$B$4:$G$450,SMALL(IF('Data Transformation'!$B$4:$B$450='Bin Analysis and Plots'!D27,ROW('Data Transformation'!$B$4:$B$450)),ROW($5:$5))-3,3)),"",INDEX('Data Transformation'!$B$4:$G$450,SMALL(IF('Data Transformation'!$B$4:$B$450='Bin Analysis and Plots'!D27,ROW('Data Transformation'!$B$4:$B$450)),ROW($5:$5))-3,6))</f>
        <v>0</v>
      </c>
      <c r="B34" s="29" t="str">
        <f>IFERROR(SMALL(A30:A49,'Data Transformation'!$L$10),"")</f>
        <v/>
      </c>
      <c r="C34" s="41" t="str">
        <f>IF(Weighting!$O$10&gt;0,D34,"")</f>
        <v/>
      </c>
      <c r="D34" t="e">
        <f>Weighting!$C$10</f>
        <v>#DIV/0!</v>
      </c>
      <c r="E34" t="e">
        <f>Weighting!$E$10</f>
        <v>#NUM!</v>
      </c>
      <c r="F34" t="e">
        <f>IF(E34=1,'Data Transformation'!$G$3+0.5*'Data Transformation'!$U$25,IF(E35=1,F35-'Data Transformation'!$U$25,FALSE))</f>
        <v>#NUM!</v>
      </c>
      <c r="G34">
        <f t="array" ref="G34">IF(ISLOGICAL(F34),"",FREQUENCY(IF('Data Transformation'!$B$24:$B$404='Bin Analysis and Plots'!$D$27,'Data Transformation'!$G$24:$G$404),'Bin Analysis and Plots'!F34))</f>
        <v>0</v>
      </c>
      <c r="H34">
        <f t="shared" si="3"/>
        <v>0</v>
      </c>
      <c r="I34">
        <f>Weighting!$G$10</f>
        <v>0</v>
      </c>
      <c r="J34">
        <f t="array" ref="J34">FREQUENCY(IF('Data Transformation'!$B$4:$B$404=D27,'Data Transformation'!$G$4:$G$404),'Bin Analysis and Plots'!$D34)</f>
        <v>0</v>
      </c>
      <c r="K34">
        <f t="shared" si="4"/>
        <v>0</v>
      </c>
      <c r="L34">
        <f t="shared" si="5"/>
        <v>0</v>
      </c>
      <c r="M34">
        <f>L34*Weighting!$V$10</f>
        <v>0</v>
      </c>
    </row>
    <row r="35" spans="1:13">
      <c r="A35" s="29" t="b">
        <f t="array" ref="A35">IF(ISERROR(INDEX('Data Transformation'!$B$4:$G$450,SMALL(IF('Data Transformation'!$B$4:$B$450='Bin Analysis and Plots'!D27,ROW('Data Transformation'!$B$4:$B$450)),ROW($6:$6))-3,3)),"",INDEX('Data Transformation'!$B$4:$G$450,SMALL(IF('Data Transformation'!$B$4:$B$450='Bin Analysis and Plots'!D27,ROW('Data Transformation'!$B$4:$B$450)),ROW($6:$6))-3,6))</f>
        <v>0</v>
      </c>
      <c r="B35" s="29" t="str">
        <f>IFERROR(SMALL(A30:A49,'Data Transformation'!$L$11),"")</f>
        <v/>
      </c>
      <c r="C35" s="41" t="str">
        <f>IF(Weighting!$O$11&gt;0,D35,"")</f>
        <v/>
      </c>
      <c r="D35" t="e">
        <f>Weighting!$C$11</f>
        <v>#DIV/0!</v>
      </c>
      <c r="E35" t="e">
        <f>Weighting!$E$11</f>
        <v>#NUM!</v>
      </c>
      <c r="F35" t="e">
        <f>IF(E35=1,'Data Transformation'!$G$3+0.5*'Data Transformation'!$U$25,IF(E36=1,F36-'Data Transformation'!$U$25,FALSE))</f>
        <v>#NUM!</v>
      </c>
      <c r="G35">
        <f t="array" ref="G35">IF(ISLOGICAL(F35),"",FREQUENCY(IF('Data Transformation'!$B$24:$B$404='Bin Analysis and Plots'!$D$27,'Data Transformation'!$G$24:$G$404),'Bin Analysis and Plots'!F35))</f>
        <v>0</v>
      </c>
      <c r="H35">
        <f t="shared" si="3"/>
        <v>0</v>
      </c>
      <c r="I35">
        <f>Weighting!$G$11</f>
        <v>0</v>
      </c>
      <c r="J35">
        <f t="array" ref="J35">FREQUENCY(IF('Data Transformation'!$B$4:$B$404=D27,'Data Transformation'!$G$4:$G$404),'Bin Analysis and Plots'!$D35)</f>
        <v>0</v>
      </c>
      <c r="K35">
        <f t="shared" si="4"/>
        <v>0</v>
      </c>
      <c r="L35">
        <f t="shared" si="5"/>
        <v>0</v>
      </c>
      <c r="M35">
        <f>L35*Weighting!$V$11</f>
        <v>0</v>
      </c>
    </row>
    <row r="36" spans="1:13">
      <c r="A36" s="29" t="b">
        <f t="array" ref="A36">IF(ISERROR(INDEX('Data Transformation'!$B$4:$G$450,SMALL(IF('Data Transformation'!$B$4:$B$450='Bin Analysis and Plots'!D27,ROW('Data Transformation'!$B$4:$B$450)),ROW($7:$7))-3,3)),"",INDEX('Data Transformation'!$B$4:$G$450,SMALL(IF('Data Transformation'!$B$4:$B$450='Bin Analysis and Plots'!D27,ROW('Data Transformation'!$B$4:$B$450)),ROW($7:$7))-3,6))</f>
        <v>0</v>
      </c>
      <c r="B36" s="29" t="str">
        <f>IFERROR(SMALL(A30:A49,'Data Transformation'!$L$12),"")</f>
        <v/>
      </c>
      <c r="C36" s="41" t="str">
        <f>IF(Weighting!$O$12&gt;0,D36,"")</f>
        <v/>
      </c>
      <c r="D36" t="e">
        <f>Weighting!$C$12</f>
        <v>#DIV/0!</v>
      </c>
      <c r="E36" t="e">
        <f>Weighting!$E$12</f>
        <v>#NUM!</v>
      </c>
      <c r="F36" t="e">
        <f>IF(E36=1,'Data Transformation'!$G$3+0.5*'Data Transformation'!$U$25,IF(E37=1,F37-'Data Transformation'!$U$25,FALSE))</f>
        <v>#NUM!</v>
      </c>
      <c r="G36">
        <f t="array" ref="G36">IF(ISLOGICAL(F36),"",FREQUENCY(IF('Data Transformation'!$B$24:$B$404='Bin Analysis and Plots'!$D$27,'Data Transformation'!$G$24:$G$404),'Bin Analysis and Plots'!F36))</f>
        <v>0</v>
      </c>
      <c r="H36">
        <f t="shared" si="3"/>
        <v>0</v>
      </c>
      <c r="I36">
        <f>Weighting!$G$12</f>
        <v>0</v>
      </c>
      <c r="J36">
        <f t="array" ref="J36">FREQUENCY(IF('Data Transformation'!$B$4:$B$404=D27,'Data Transformation'!$G$4:$G$404),'Bin Analysis and Plots'!$D36)</f>
        <v>0</v>
      </c>
      <c r="K36">
        <f t="shared" si="4"/>
        <v>0</v>
      </c>
      <c r="L36">
        <f t="shared" si="5"/>
        <v>0</v>
      </c>
      <c r="M36">
        <f>L36*Weighting!$V$12</f>
        <v>0</v>
      </c>
    </row>
    <row r="37" spans="1:13">
      <c r="A37" s="29" t="b">
        <f t="array" ref="A37">IF(ISERROR(INDEX('Data Transformation'!$B$4:$G$450,SMALL(IF('Data Transformation'!$B$4:$B$450='Bin Analysis and Plots'!D27,ROW('Data Transformation'!$B$4:$B$450)),ROW($8:$8))-3,3)),"",INDEX('Data Transformation'!$B$4:$G$450,SMALL(IF('Data Transformation'!$B$4:$B$450='Bin Analysis and Plots'!D27,ROW('Data Transformation'!$B$4:$B$450)),ROW($8:$8))-3,6))</f>
        <v>0</v>
      </c>
      <c r="B37" s="29" t="str">
        <f>IFERROR(SMALL(A30:A49,'Data Transformation'!$L$13),"")</f>
        <v/>
      </c>
      <c r="C37" s="41" t="str">
        <f>IF(Weighting!$O$13&gt;0,D37,"")</f>
        <v/>
      </c>
      <c r="D37" t="e">
        <f>Weighting!$C$13</f>
        <v>#DIV/0!</v>
      </c>
      <c r="E37" t="e">
        <f>Weighting!$E$13</f>
        <v>#NUM!</v>
      </c>
      <c r="F37" t="e">
        <f>IF(E37=1,'Data Transformation'!$G$3+0.5*'Data Transformation'!$U$25,IF(E38=1,F38-'Data Transformation'!$U$25,FALSE))</f>
        <v>#NUM!</v>
      </c>
      <c r="G37">
        <f t="array" ref="G37">IF(ISLOGICAL(F37),"",FREQUENCY(IF('Data Transformation'!$B$24:$B$404='Bin Analysis and Plots'!$D$27,'Data Transformation'!$G$24:$G$404),'Bin Analysis and Plots'!F37))</f>
        <v>0</v>
      </c>
      <c r="H37">
        <f t="shared" si="3"/>
        <v>0</v>
      </c>
      <c r="I37">
        <f>Weighting!$G$13</f>
        <v>0</v>
      </c>
      <c r="J37">
        <f t="array" ref="J37">FREQUENCY(IF('Data Transformation'!$B$4:$B$404=D27,'Data Transformation'!$G$4:$G$404),'Bin Analysis and Plots'!$D37)</f>
        <v>0</v>
      </c>
      <c r="K37">
        <f t="shared" si="4"/>
        <v>0</v>
      </c>
      <c r="L37">
        <f t="shared" si="5"/>
        <v>0</v>
      </c>
      <c r="M37">
        <f>L37*Weighting!$V$13</f>
        <v>0</v>
      </c>
    </row>
    <row r="38" spans="1:13">
      <c r="A38" s="29" t="b">
        <f t="array" ref="A38">IF(ISERROR(INDEX('Data Transformation'!$B$4:$G$450,SMALL(IF('Data Transformation'!$B$4:$B$450='Bin Analysis and Plots'!D27,ROW('Data Transformation'!$B$4:$B$450)),ROW($9:$9))-3,3)),"",INDEX('Data Transformation'!$B$4:$G$450,SMALL(IF('Data Transformation'!$B$4:$B$450='Bin Analysis and Plots'!D27,ROW('Data Transformation'!$B$4:$B$450)),ROW($9:$9))-3,6))</f>
        <v>0</v>
      </c>
      <c r="B38" s="29" t="str">
        <f>IFERROR(SMALL(A30:A49,'Data Transformation'!$L$14),"")</f>
        <v/>
      </c>
      <c r="C38" s="41" t="str">
        <f>IF(Weighting!$O$14&gt;0,D38,"")</f>
        <v/>
      </c>
      <c r="D38" t="e">
        <f>Weighting!$C$14</f>
        <v>#DIV/0!</v>
      </c>
      <c r="E38" t="e">
        <f>Weighting!$E$14</f>
        <v>#NUM!</v>
      </c>
      <c r="F38" t="e">
        <f>IF(E38=1,'Data Transformation'!$G$3+0.5*'Data Transformation'!$U$25,IF(E39=1,F39-'Data Transformation'!$U$25,FALSE))</f>
        <v>#NUM!</v>
      </c>
      <c r="G38">
        <f t="array" ref="G38">IF(ISLOGICAL(F38),"",FREQUENCY(IF('Data Transformation'!$B$24:$B$404='Bin Analysis and Plots'!$D$27,'Data Transformation'!$G$24:$G$404),'Bin Analysis and Plots'!F38))</f>
        <v>0</v>
      </c>
      <c r="H38">
        <f t="shared" si="3"/>
        <v>0</v>
      </c>
      <c r="I38">
        <f>Weighting!$G$14</f>
        <v>0</v>
      </c>
      <c r="J38">
        <f t="array" ref="J38">FREQUENCY(IF('Data Transformation'!$B$4:$B$404=D27,'Data Transformation'!$G$4:$G$404),'Bin Analysis and Plots'!$D38)</f>
        <v>0</v>
      </c>
      <c r="K38">
        <f t="shared" si="4"/>
        <v>0</v>
      </c>
      <c r="L38">
        <f t="shared" si="5"/>
        <v>0</v>
      </c>
      <c r="M38">
        <f>L38*Weighting!$V$14</f>
        <v>0</v>
      </c>
    </row>
    <row r="39" spans="1:13">
      <c r="A39" s="29" t="b">
        <f t="array" ref="A39">IF(ISERROR(INDEX('Data Transformation'!$B$4:$G$450,SMALL(IF('Data Transformation'!$B$4:$B$450='Bin Analysis and Plots'!D27,ROW('Data Transformation'!$B$4:$B$450)),ROW($10:$10))-3,3)),"",INDEX('Data Transformation'!$B$4:$G$450,SMALL(IF('Data Transformation'!$B$4:$B$450='Bin Analysis and Plots'!D27,ROW('Data Transformation'!$B$4:$B$450)),ROW($10:$10))-3,6))</f>
        <v>0</v>
      </c>
      <c r="B39" s="29" t="str">
        <f>IFERROR(SMALL(A30:A49,'Data Transformation'!$L$15),"")</f>
        <v/>
      </c>
      <c r="C39" s="41" t="str">
        <f>IF(Weighting!$O$15&gt;0,D39,"")</f>
        <v/>
      </c>
      <c r="D39" t="e">
        <f>Weighting!$C$15</f>
        <v>#DIV/0!</v>
      </c>
      <c r="E39" t="e">
        <f>Weighting!$E$15</f>
        <v>#NUM!</v>
      </c>
      <c r="F39" t="e">
        <f>IF(E39=1,'Data Transformation'!$G$3+0.5*'Data Transformation'!$U$25,IF(E40=1,F40-'Data Transformation'!$U$25,FALSE))</f>
        <v>#NUM!</v>
      </c>
      <c r="G39">
        <f t="array" ref="G39">IF(ISLOGICAL(F39),"",FREQUENCY(IF('Data Transformation'!$B$24:$B$404='Bin Analysis and Plots'!$D$27,'Data Transformation'!$G$24:$G$404),'Bin Analysis and Plots'!F39))</f>
        <v>0</v>
      </c>
      <c r="H39">
        <f t="shared" si="3"/>
        <v>0</v>
      </c>
      <c r="I39">
        <f>Weighting!$G$15</f>
        <v>0</v>
      </c>
      <c r="J39">
        <f t="array" ref="J39">FREQUENCY(IF('Data Transformation'!$B$4:$B$404=D27,'Data Transformation'!$G$4:$G$404),'Bin Analysis and Plots'!$D39)</f>
        <v>0</v>
      </c>
      <c r="K39">
        <f t="shared" si="4"/>
        <v>0</v>
      </c>
      <c r="L39">
        <f t="shared" si="5"/>
        <v>0</v>
      </c>
      <c r="M39">
        <f>L39*Weighting!$V$15</f>
        <v>0</v>
      </c>
    </row>
    <row r="40" spans="1:13">
      <c r="A40" s="29" t="b">
        <f t="array" ref="A40">IF(ISERROR(INDEX('Data Transformation'!$B$4:$G$450,SMALL(IF('Data Transformation'!$B$4:$B$450='Bin Analysis and Plots'!D27,ROW('Data Transformation'!$B$4:$B$450)),ROW($11:$11))-3,3)),"",INDEX('Data Transformation'!$B$4:$G$450,SMALL(IF('Data Transformation'!$B$4:$B$450='Bin Analysis and Plots'!D27,ROW('Data Transformation'!$B$4:$B$450)),ROW($11:$11))-3,6))</f>
        <v>0</v>
      </c>
      <c r="B40" s="29" t="str">
        <f>IFERROR(SMALL(A30:A49,'Data Transformation'!$L$16),"")</f>
        <v/>
      </c>
      <c r="C40" s="41" t="str">
        <f>IF(Weighting!$O$16&gt;0,D40,"")</f>
        <v/>
      </c>
      <c r="D40" t="e">
        <f>Weighting!$C$16</f>
        <v>#DIV/0!</v>
      </c>
      <c r="E40" t="e">
        <f>Weighting!$E$16</f>
        <v>#NUM!</v>
      </c>
      <c r="F40" t="e">
        <f>IF(E40=1,'Data Transformation'!$G$3+0.5*'Data Transformation'!$U$25,IF(E41=1,F41-'Data Transformation'!$U$25,FALSE))</f>
        <v>#NUM!</v>
      </c>
      <c r="G40">
        <f t="array" ref="G40">IF(ISLOGICAL(F40),"",FREQUENCY(IF('Data Transformation'!$B$24:$B$404='Bin Analysis and Plots'!$D$27,'Data Transformation'!$G$24:$G$404),'Bin Analysis and Plots'!F40))</f>
        <v>0</v>
      </c>
      <c r="H40">
        <f t="shared" si="3"/>
        <v>0</v>
      </c>
      <c r="I40">
        <f>Weighting!$G$16</f>
        <v>0</v>
      </c>
      <c r="J40">
        <f t="array" ref="J40">FREQUENCY(IF('Data Transformation'!$B$4:$B$404=D27,'Data Transformation'!$G$4:$G$404),'Bin Analysis and Plots'!$D40)</f>
        <v>0</v>
      </c>
      <c r="K40">
        <f t="shared" si="4"/>
        <v>0</v>
      </c>
      <c r="L40">
        <f t="shared" si="5"/>
        <v>0</v>
      </c>
      <c r="M40">
        <f>L40*Weighting!$V$16</f>
        <v>0</v>
      </c>
    </row>
    <row r="41" spans="1:13">
      <c r="A41" s="29" t="b">
        <f t="array" ref="A41">IF(ISERROR(INDEX('Data Transformation'!$B$4:$G$450,SMALL(IF('Data Transformation'!$B$4:$B$450='Bin Analysis and Plots'!D27,ROW('Data Transformation'!$B$4:$B$450)),ROW($12:$12))-3,3)),"",INDEX('Data Transformation'!$B$4:$G$450,SMALL(IF('Data Transformation'!$B$4:$B$450='Bin Analysis and Plots'!D27,ROW('Data Transformation'!$B$4:$B$450)),ROW($12:$12))-3,6))</f>
        <v>0</v>
      </c>
      <c r="B41" s="29" t="str">
        <f>IFERROR(SMALL(A30:A49,'Data Transformation'!$L$17),"")</f>
        <v/>
      </c>
      <c r="C41" s="41" t="str">
        <f>IF(Weighting!$O$17&gt;0,D41,"")</f>
        <v/>
      </c>
      <c r="D41" t="e">
        <f>Weighting!$C$17</f>
        <v>#DIV/0!</v>
      </c>
      <c r="E41" t="e">
        <f>Weighting!$E$17</f>
        <v>#NUM!</v>
      </c>
      <c r="F41" t="e">
        <f>IF(E41=1,'Data Transformation'!$G$3+0.5*'Data Transformation'!$U$25,IF(E42=1,F42-'Data Transformation'!$U$25,FALSE))</f>
        <v>#NUM!</v>
      </c>
      <c r="G41">
        <f t="array" ref="G41">IF(ISLOGICAL(F41),"",FREQUENCY(IF('Data Transformation'!$B$24:$B$404='Bin Analysis and Plots'!$D$27,'Data Transformation'!$G$24:$G$404),'Bin Analysis and Plots'!F41))</f>
        <v>0</v>
      </c>
      <c r="H41">
        <f t="shared" si="3"/>
        <v>0</v>
      </c>
      <c r="I41">
        <f>Weighting!$G$17</f>
        <v>0</v>
      </c>
      <c r="J41">
        <f t="array" ref="J41">FREQUENCY(IF('Data Transformation'!$B$4:$B$404=D27,'Data Transformation'!$G$4:$G$404),'Bin Analysis and Plots'!$D41)</f>
        <v>0</v>
      </c>
      <c r="K41">
        <f t="shared" si="4"/>
        <v>0</v>
      </c>
      <c r="L41">
        <f t="shared" si="5"/>
        <v>0</v>
      </c>
      <c r="M41">
        <f>L41*Weighting!$V$17</f>
        <v>0</v>
      </c>
    </row>
    <row r="42" spans="1:13">
      <c r="A42" s="29" t="b">
        <f t="array" ref="A42">IF(ISERROR(INDEX('Data Transformation'!$B$4:$G$450,SMALL(IF('Data Transformation'!$B$4:$B$450='Bin Analysis and Plots'!D27,ROW('Data Transformation'!$B$4:$B$450)),ROW($13:$13))-3,3)),"",INDEX('Data Transformation'!$B$4:$G$450,SMALL(IF('Data Transformation'!$B$4:$B$450='Bin Analysis and Plots'!D27,ROW('Data Transformation'!$B$4:$B$450)),ROW($13:$13))-3,6))</f>
        <v>0</v>
      </c>
      <c r="B42" s="29" t="str">
        <f>IFERROR(SMALL(A30:A49,'Data Transformation'!$L$18),"")</f>
        <v/>
      </c>
      <c r="C42" s="41" t="str">
        <f>IF(Weighting!$O$18&gt;0,D42,"")</f>
        <v/>
      </c>
      <c r="D42" t="e">
        <f>Weighting!$C$18</f>
        <v>#DIV/0!</v>
      </c>
      <c r="E42" t="e">
        <f>Weighting!$E$18</f>
        <v>#NUM!</v>
      </c>
      <c r="F42" t="e">
        <f>IF(E42=1,'Data Transformation'!$G$3+0.5*'Data Transformation'!$U$25,IF(E43=1,F43-'Data Transformation'!$U$25,FALSE))</f>
        <v>#NUM!</v>
      </c>
      <c r="G42">
        <f t="array" ref="G42">IF(ISLOGICAL(F42),"",FREQUENCY(IF('Data Transformation'!$B$24:$B$404='Bin Analysis and Plots'!$D$27,'Data Transformation'!$G$24:$G$404),'Bin Analysis and Plots'!F42))</f>
        <v>0</v>
      </c>
      <c r="H42">
        <f t="shared" si="3"/>
        <v>0</v>
      </c>
      <c r="I42">
        <f>Weighting!$G$18</f>
        <v>0</v>
      </c>
      <c r="J42">
        <f t="array" ref="J42">FREQUENCY(IF('Data Transformation'!$B$4:$B$404=D27,'Data Transformation'!$G$4:$G$404),'Bin Analysis and Plots'!$D42)</f>
        <v>0</v>
      </c>
      <c r="K42">
        <f t="shared" si="4"/>
        <v>0</v>
      </c>
      <c r="L42">
        <f t="shared" si="5"/>
        <v>0</v>
      </c>
      <c r="M42">
        <f>L42*Weighting!$V$18</f>
        <v>0</v>
      </c>
    </row>
    <row r="43" spans="1:13">
      <c r="A43" s="29" t="b">
        <f t="array" ref="A43">IF(ISERROR(INDEX('Data Transformation'!$B$4:$G$450,SMALL(IF('Data Transformation'!$B$4:$B$450='Bin Analysis and Plots'!D27,ROW('Data Transformation'!$B$4:$B$450)),ROW($14:$14))-3,3)),"",INDEX('Data Transformation'!$B$4:$G$450,SMALL(IF('Data Transformation'!$B$4:$B$450='Bin Analysis and Plots'!D27,ROW('Data Transformation'!$B$4:$B$450)),ROW($14:$14))-3,6))</f>
        <v>0</v>
      </c>
      <c r="B43" s="29" t="str">
        <f>IFERROR(SMALL(A30:A49,'Data Transformation'!$L$19),"")</f>
        <v/>
      </c>
      <c r="C43" s="41" t="str">
        <f>IF(Weighting!$O$19&gt;0,D43,"")</f>
        <v/>
      </c>
      <c r="D43" t="e">
        <f>Weighting!$C$19</f>
        <v>#DIV/0!</v>
      </c>
      <c r="E43" t="e">
        <f>Weighting!$E$19</f>
        <v>#NUM!</v>
      </c>
      <c r="F43" t="e">
        <f>IF(E43=1,'Data Transformation'!$G$3+0.5*'Data Transformation'!$U$25,IF(E44=1,F44-'Data Transformation'!$U$25,FALSE))</f>
        <v>#NUM!</v>
      </c>
      <c r="G43">
        <f t="array" ref="G43">IF(ISLOGICAL(F43),"",FREQUENCY(IF('Data Transformation'!$B$24:$B$404='Bin Analysis and Plots'!$D$27,'Data Transformation'!$G$24:$G$404),'Bin Analysis and Plots'!F43))</f>
        <v>0</v>
      </c>
      <c r="H43">
        <f t="shared" si="3"/>
        <v>0</v>
      </c>
      <c r="I43">
        <f>Weighting!$G$19</f>
        <v>0</v>
      </c>
      <c r="J43">
        <f t="array" ref="J43">FREQUENCY(IF('Data Transformation'!$B$4:$B$404=D27,'Data Transformation'!$G$4:$G$404),'Bin Analysis and Plots'!$D43)</f>
        <v>0</v>
      </c>
      <c r="K43">
        <f t="shared" si="4"/>
        <v>0</v>
      </c>
      <c r="L43">
        <f t="shared" si="5"/>
        <v>0</v>
      </c>
      <c r="M43">
        <f>L43*Weighting!$V$19</f>
        <v>0</v>
      </c>
    </row>
    <row r="44" spans="1:13">
      <c r="A44" s="29" t="b">
        <f t="array" ref="A44">IF(ISERROR(INDEX('Data Transformation'!$B$4:$G$450,SMALL(IF('Data Transformation'!$B$4:$B$450='Bin Analysis and Plots'!D27,ROW('Data Transformation'!$B$4:$B$450)),ROW($15:$15))-3,3)),"",INDEX('Data Transformation'!$B$4:$G$450,SMALL(IF('Data Transformation'!$B$4:$B$450='Bin Analysis and Plots'!D27,ROW('Data Transformation'!$B$4:$B$450)),ROW($15:$15))-3,6))</f>
        <v>0</v>
      </c>
      <c r="B44" s="29" t="str">
        <f>IFERROR(SMALL(A30:A49,'Data Transformation'!$L$20),"")</f>
        <v/>
      </c>
      <c r="C44" s="41" t="str">
        <f>IF(Weighting!$O$20&gt;0,D44,"")</f>
        <v/>
      </c>
      <c r="D44" t="e">
        <f>Weighting!$C$20</f>
        <v>#DIV/0!</v>
      </c>
      <c r="E44" t="e">
        <f>Weighting!$E$20</f>
        <v>#NUM!</v>
      </c>
      <c r="F44" t="e">
        <f>IF(E44=1,'Data Transformation'!$G$3+0.5*'Data Transformation'!$U$25,IF(E45=1,F45-'Data Transformation'!$U$25,FALSE))</f>
        <v>#NUM!</v>
      </c>
      <c r="G44">
        <f t="array" ref="G44">IF(ISLOGICAL(F44),"",FREQUENCY(IF('Data Transformation'!$B$24:$B$404='Bin Analysis and Plots'!$D$27,'Data Transformation'!$G$24:$G$404),'Bin Analysis and Plots'!F44))</f>
        <v>0</v>
      </c>
      <c r="H44">
        <f t="shared" si="3"/>
        <v>0</v>
      </c>
      <c r="I44">
        <f>Weighting!$G$20</f>
        <v>0</v>
      </c>
      <c r="J44">
        <f t="array" ref="J44">FREQUENCY(IF('Data Transformation'!$B$4:$B$404=D27,'Data Transformation'!$G$4:$G$404),'Bin Analysis and Plots'!$D44)</f>
        <v>0</v>
      </c>
      <c r="K44">
        <f t="shared" si="4"/>
        <v>0</v>
      </c>
      <c r="L44">
        <f t="shared" si="5"/>
        <v>0</v>
      </c>
      <c r="M44">
        <f>L44*Weighting!$V$20</f>
        <v>0</v>
      </c>
    </row>
    <row r="45" spans="1:13">
      <c r="A45" s="29" t="b">
        <f t="array" ref="A45">IF(ISERROR(INDEX('Data Transformation'!$B$4:$G$450,SMALL(IF('Data Transformation'!$B$4:$B$450='Bin Analysis and Plots'!D27,ROW('Data Transformation'!$B$4:$B$450)),ROW($16:$16))-3,3)),"",INDEX('Data Transformation'!$B$4:$G$450,SMALL(IF('Data Transformation'!$B$4:$B$450='Bin Analysis and Plots'!D27,ROW('Data Transformation'!$B$4:$B$450)),ROW($16:$16))-3,6))</f>
        <v>0</v>
      </c>
      <c r="B45" s="29" t="str">
        <f>IFERROR(SMALL(A30:A49,'Data Transformation'!$L$21),"")</f>
        <v/>
      </c>
      <c r="C45" s="41" t="str">
        <f>IF(Weighting!$O$21&gt;0,D45,"")</f>
        <v/>
      </c>
      <c r="D45" t="e">
        <f>Weighting!$C$21</f>
        <v>#DIV/0!</v>
      </c>
      <c r="E45" t="e">
        <f>Weighting!$E$21</f>
        <v>#NUM!</v>
      </c>
      <c r="F45" t="e">
        <f>IF(E45=1,'Data Transformation'!$G$3+0.5*'Data Transformation'!$U$25,IF(E46=1,F46-'Data Transformation'!$U$25,FALSE))</f>
        <v>#NUM!</v>
      </c>
      <c r="G45">
        <f t="array" ref="G45">IF(ISLOGICAL(F45),"",FREQUENCY(IF('Data Transformation'!$B$24:$B$404='Bin Analysis and Plots'!$D$27,'Data Transformation'!$G$24:$G$404),'Bin Analysis and Plots'!F45))</f>
        <v>0</v>
      </c>
      <c r="H45">
        <f t="shared" si="3"/>
        <v>0</v>
      </c>
      <c r="I45">
        <f>Weighting!$G$21</f>
        <v>0</v>
      </c>
      <c r="J45">
        <f t="array" ref="J45">FREQUENCY(IF('Data Transformation'!$B$4:$B$404=D27,'Data Transformation'!$G$4:$G$404),'Bin Analysis and Plots'!$D45)</f>
        <v>0</v>
      </c>
      <c r="K45">
        <f t="shared" si="4"/>
        <v>0</v>
      </c>
      <c r="L45">
        <f t="shared" si="5"/>
        <v>0</v>
      </c>
      <c r="M45">
        <f>L45*Weighting!$V$21</f>
        <v>0</v>
      </c>
    </row>
    <row r="46" spans="1:13">
      <c r="A46" s="29" t="b">
        <f t="array" ref="A46">IF(ISERROR(INDEX('Data Transformation'!$B$4:$G$450,SMALL(IF('Data Transformation'!$B$4:$B$450='Bin Analysis and Plots'!D27,ROW('Data Transformation'!$B$4:$B$450)),ROW($17:$17))-3,3)),"",INDEX('Data Transformation'!$B$4:$G$450,SMALL(IF('Data Transformation'!$B$4:$B$450='Bin Analysis and Plots'!D27,ROW('Data Transformation'!$B$4:$B$450)),ROW($17:$17))-3,6))</f>
        <v>0</v>
      </c>
      <c r="B46" s="29" t="str">
        <f>IFERROR(SMALL(A30:A49,'Data Transformation'!$L$22),"")</f>
        <v/>
      </c>
      <c r="C46" s="41" t="str">
        <f>IF(Weighting!$O$22&gt;0,D46,"")</f>
        <v/>
      </c>
      <c r="D46" t="e">
        <f>Weighting!$C$22</f>
        <v>#DIV/0!</v>
      </c>
      <c r="E46" t="e">
        <f>Weighting!$E$22</f>
        <v>#NUM!</v>
      </c>
      <c r="F46" t="e">
        <f>IF(E46=1,'Data Transformation'!$G$3+0.5*'Data Transformation'!$U$25,IF(E47=1,F47-'Data Transformation'!$U$25,FALSE))</f>
        <v>#NUM!</v>
      </c>
      <c r="G46">
        <f t="array" ref="G46">IF(ISLOGICAL(F46),"",FREQUENCY(IF('Data Transformation'!$B$24:$B$404='Bin Analysis and Plots'!$D$27,'Data Transformation'!$G$24:$G$404),'Bin Analysis and Plots'!F46))</f>
        <v>0</v>
      </c>
      <c r="H46">
        <f t="shared" si="3"/>
        <v>0</v>
      </c>
      <c r="I46">
        <f>Weighting!$G$22</f>
        <v>0</v>
      </c>
      <c r="J46">
        <f t="array" ref="J46">FREQUENCY(IF('Data Transformation'!$B$4:$B$404=D27,'Data Transformation'!$G$4:$G$404),'Bin Analysis and Plots'!$D46)</f>
        <v>0</v>
      </c>
      <c r="K46">
        <f t="shared" si="4"/>
        <v>0</v>
      </c>
      <c r="L46">
        <f t="shared" si="5"/>
        <v>0</v>
      </c>
      <c r="M46">
        <f>L46*Weighting!$V$22</f>
        <v>0</v>
      </c>
    </row>
    <row r="47" spans="1:13">
      <c r="A47" s="29" t="b">
        <f t="array" ref="A47">IF(ISERROR(INDEX('Data Transformation'!$B$4:$G$450,SMALL(IF('Data Transformation'!$B$4:$B$450='Bin Analysis and Plots'!D27,ROW('Data Transformation'!$B$4:$B$450)),ROW($18:$18))-3,3)),"",INDEX('Data Transformation'!$B$4:$G$450,SMALL(IF('Data Transformation'!$B$4:$B$450='Bin Analysis and Plots'!D27,ROW('Data Transformation'!$B$4:$B$450)),ROW($18:$18))-3,6))</f>
        <v>0</v>
      </c>
      <c r="B47" s="29" t="str">
        <f>IFERROR(SMALL(A30:A49,'Data Transformation'!$L$23),"")</f>
        <v/>
      </c>
      <c r="C47" s="41" t="str">
        <f>IF(Weighting!$O$23&gt;0,D47,"")</f>
        <v/>
      </c>
      <c r="D47" t="e">
        <f>Weighting!$C$23</f>
        <v>#DIV/0!</v>
      </c>
      <c r="E47" t="e">
        <f>Weighting!$E$23</f>
        <v>#NUM!</v>
      </c>
      <c r="F47" t="e">
        <f>IF(E47=1,'Data Transformation'!$G$3+0.5*'Data Transformation'!$U$25,IF(E48=1,F48-'Data Transformation'!$U$25,FALSE))</f>
        <v>#NUM!</v>
      </c>
      <c r="G47">
        <f t="array" ref="G47">IF(ISLOGICAL(F47),"",FREQUENCY(IF('Data Transformation'!$B$24:$B$404='Bin Analysis and Plots'!$D$27,'Data Transformation'!$G$24:$G$404),'Bin Analysis and Plots'!F47))</f>
        <v>0</v>
      </c>
      <c r="H47">
        <f t="shared" si="3"/>
        <v>0</v>
      </c>
      <c r="I47">
        <f>Weighting!$G$23</f>
        <v>0</v>
      </c>
      <c r="J47">
        <f t="array" ref="J47">FREQUENCY(IF('Data Transformation'!$B$4:$B$404=D27,'Data Transformation'!$G$4:$G$404),'Bin Analysis and Plots'!$D47)</f>
        <v>0</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t="e">
        <f>Weighting!$C$24</f>
        <v>#DIV/0!</v>
      </c>
      <c r="E48" t="e">
        <f>Weighting!$E$24</f>
        <v>#NUM!</v>
      </c>
      <c r="F48" t="e">
        <f>IF(E48=1,'Data Transformation'!$G$3+0.5*'Data Transformation'!$U$25,IF(E49=1,F49-'Data Transformation'!$U$25,FALSE))</f>
        <v>#NUM!</v>
      </c>
      <c r="G48">
        <f t="array" ref="G48">IF(ISLOGICAL(F48),"",FREQUENCY(IF('Data Transformation'!$B$24:$B$404='Bin Analysis and Plots'!$D$27,'Data Transformation'!$G$24:$G$404),'Bin Analysis and Plots'!F48))</f>
        <v>0</v>
      </c>
      <c r="H48">
        <f t="shared" si="3"/>
        <v>0</v>
      </c>
      <c r="I48">
        <f>Weighting!$G$24</f>
        <v>0</v>
      </c>
      <c r="J48">
        <f t="array" ref="J48">FREQUENCY(IF('Data Transformation'!$B$4:$B$404=D27,'Data Transformation'!$G$4:$G$404),'Bin Analysis and Plots'!$D48)</f>
        <v>0</v>
      </c>
      <c r="K48">
        <f t="shared" si="4"/>
        <v>0</v>
      </c>
      <c r="L48">
        <f t="shared" si="5"/>
        <v>0</v>
      </c>
      <c r="M48">
        <f>L48*Weighting!$V$24</f>
        <v>0</v>
      </c>
    </row>
    <row r="49" spans="1:27">
      <c r="A49" s="29" t="b">
        <f t="array" ref="A49">IF(ISERROR(INDEX('Data Transformation'!$B$4:$G$450,SMALL(IF('Data Transformation'!$B$4:$B$450='Bin Analysis and Plots'!D27,ROW('Data Transformation'!$B$4:$B$450)),ROW($20:$20))-3,3)),"",INDEX('Data Transformation'!$B$4:$G$450,SMALL(IF('Data Transformation'!$B$4:$B$450='Bin Analysis and Plots'!D27,ROW('Data Transformation'!$B$4:$B$450)),ROW($20:$20))-3,6))</f>
        <v>0</v>
      </c>
      <c r="B49" s="29" t="str">
        <f>IFERROR(SMALL(A30:A49,'Data Transformation'!$L$25),"")</f>
        <v/>
      </c>
      <c r="C49" s="41" t="str">
        <f>IF(Weighting!$O$25&gt;0,D49,"")</f>
        <v/>
      </c>
      <c r="D49" t="e">
        <f>Weighting!$C$25</f>
        <v>#DIV/0!</v>
      </c>
      <c r="E49" t="e">
        <f>Weighting!$E$25</f>
        <v>#NUM!</v>
      </c>
      <c r="F49" t="e">
        <f>IF(E49=1,'Data Transformation'!$G$3+0.5*'Data Transformation'!$U$25,IF(E50=1,F50-'Data Transformation'!$U$25,FALSE))</f>
        <v>#NUM!</v>
      </c>
      <c r="G49">
        <f t="array" ref="G49">IF(ISLOGICAL(F49),"",FREQUENCY(IF('Data Transformation'!$B$24:$B$404='Bin Analysis and Plots'!$D$27,'Data Transformation'!$G$24:$G$404),'Bin Analysis and Plots'!F49))</f>
        <v>0</v>
      </c>
      <c r="H49">
        <f t="shared" si="3"/>
        <v>0</v>
      </c>
      <c r="I49">
        <f>Weighting!$G$25</f>
        <v>0</v>
      </c>
      <c r="J49">
        <f t="array" ref="J49">FREQUENCY(IF('Data Transformation'!$B$4:$B$404=D27,'Data Transformation'!$G$4:$G$404),'Bin Analysis and Plots'!$D49)</f>
        <v>0</v>
      </c>
      <c r="K49">
        <f t="shared" si="4"/>
        <v>0</v>
      </c>
      <c r="L49">
        <f t="shared" si="5"/>
        <v>0</v>
      </c>
      <c r="M49">
        <f>L49*Weighting!$V$25</f>
        <v>0</v>
      </c>
    </row>
    <row r="50" spans="1:27">
      <c r="C50" s="41" t="str">
        <f>IF(B50="","",D50)</f>
        <v/>
      </c>
    </row>
    <row r="51" spans="1:27" ht="23.2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1">
      <c r="A52" s="92" t="s">
        <v>64</v>
      </c>
      <c r="B52" s="92"/>
      <c r="C52" s="14" t="s">
        <v>72</v>
      </c>
      <c r="D52" t="s">
        <v>50</v>
      </c>
      <c r="E52" t="s">
        <v>5</v>
      </c>
      <c r="F52" t="s">
        <v>99</v>
      </c>
      <c r="G52" t="s">
        <v>100</v>
      </c>
      <c r="I52" t="s">
        <v>75</v>
      </c>
      <c r="J52" t="s">
        <v>34</v>
      </c>
      <c r="K52" t="s">
        <v>35</v>
      </c>
      <c r="L52" t="s">
        <v>49</v>
      </c>
      <c r="M52" s="14" t="s">
        <v>48</v>
      </c>
      <c r="Z52" s="78">
        <v>0</v>
      </c>
      <c r="AA52" s="78">
        <v>0</v>
      </c>
    </row>
    <row r="53" spans="1:27">
      <c r="C53" s="41" t="str">
        <f>IF(B53="","",D53)</f>
        <v/>
      </c>
      <c r="F53" t="e">
        <f>IF(E53=1,'Data Transformation'!$G$3+0.5*'Data Transformation'!$U$25,IF(E54=1,F54-'Data Transformation'!$U$25,FALSE))</f>
        <v>#NUM!</v>
      </c>
      <c r="G53">
        <f t="array" ref="G53">IF(ISLOGICAL(F53),"",FREQUENCY(IF('Data Transformation'!$B$24:$B$404='Bin Analysis and Plots'!$D$51,'Data Transformation'!$G$24:$G$404),'Bin Analysis and Plots'!F53))</f>
        <v>0</v>
      </c>
      <c r="H53" t="e">
        <f>IF(ISLOGICAL(F53),"",G53-G52)</f>
        <v>#VALUE!</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t="e">
        <f>IF(Weighting!$O$6&gt;0,D54,"")</f>
        <v>#NUM!</v>
      </c>
      <c r="D54" t="e">
        <f>Weighting!$C$6</f>
        <v>#DIV/0!</v>
      </c>
      <c r="E54" t="e">
        <f>Weighting!$E$6</f>
        <v>#NUM!</v>
      </c>
      <c r="F54" t="e">
        <f>IF(E54=1,'Data Transformation'!$G$3+0.5*'Data Transformation'!$U$25,IF(E55=1,F55-'Data Transformation'!$U$25,FALSE))</f>
        <v>#NUM!</v>
      </c>
      <c r="G54">
        <f t="array" ref="G54">IF(ISLOGICAL(F54),"",FREQUENCY(IF('Data Transformation'!$B$24:$B$404='Bin Analysis and Plots'!$D$51,'Data Transformation'!$G$24:$G$404),'Bin Analysis and Plots'!F54))</f>
        <v>0</v>
      </c>
      <c r="H54">
        <f>IF(ISLOGICAL(F54),"",G54-G53)</f>
        <v>0</v>
      </c>
      <c r="I54">
        <f>Weighting!$G$6</f>
        <v>1</v>
      </c>
      <c r="J54">
        <f t="array" ref="J54">FREQUENCY(IF('Data Transformation'!$B$4:$B$404=D51,'Data Transformation'!$G$4:$G$404),'Bin Analysis and Plots'!$D54)</f>
        <v>0</v>
      </c>
      <c r="K54">
        <f>J54-J53</f>
        <v>0</v>
      </c>
      <c r="L54">
        <f>IF(K54=0,0,1)</f>
        <v>0</v>
      </c>
      <c r="M54" t="e">
        <f>L54*Weighting!$V$6</f>
        <v>#NUM!</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t="str">
        <f>IF(Weighting!$O$7&gt;0,D55,"")</f>
        <v/>
      </c>
      <c r="D55" t="e">
        <f>Weighting!$C$7</f>
        <v>#DIV/0!</v>
      </c>
      <c r="E55" t="e">
        <f>Weighting!$E$7</f>
        <v>#NUM!</v>
      </c>
      <c r="F55" t="e">
        <f>IF(E55=1,'Data Transformation'!$G$3+0.5*'Data Transformation'!$U$25,IF(E56=1,F56-'Data Transformation'!$U$25,FALSE))</f>
        <v>#NUM!</v>
      </c>
      <c r="G55">
        <f t="array" ref="G55">IF(ISLOGICAL(F55),"",FREQUENCY(IF('Data Transformation'!$B$24:$B$404='Bin Analysis and Plots'!$D$51,'Data Transformation'!$G$24:$G$404),'Bin Analysis and Plots'!F55))</f>
        <v>0</v>
      </c>
      <c r="H55">
        <f t="shared" ref="H55:H73" si="6">IF(ISLOGICAL(F55),"",G55-G54)</f>
        <v>0</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t="str">
        <f>IF(Weighting!$O$8&gt;0,D56,"")</f>
        <v/>
      </c>
      <c r="D56" t="e">
        <f>Weighting!$C$8</f>
        <v>#DIV/0!</v>
      </c>
      <c r="E56" t="e">
        <f>Weighting!$E$8</f>
        <v>#NUM!</v>
      </c>
      <c r="F56" t="e">
        <f>IF(E56=1,'Data Transformation'!$G$3+0.5*'Data Transformation'!$U$25,IF(E57=1,F57-'Data Transformation'!$U$25,FALSE))</f>
        <v>#NUM!</v>
      </c>
      <c r="G56">
        <f t="array" ref="G56">IF(ISLOGICAL(F56),"",FREQUENCY(IF('Data Transformation'!$B$24:$B$404='Bin Analysis and Plots'!$D$51,'Data Transformation'!$G$24:$G$404),'Bin Analysis and Plots'!F56))</f>
        <v>0</v>
      </c>
      <c r="H56">
        <f t="shared" si="6"/>
        <v>0</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t="str">
        <f>IF(Weighting!$O$9&gt;0,D57,"")</f>
        <v/>
      </c>
      <c r="D57" t="e">
        <f>Weighting!$C$9</f>
        <v>#DIV/0!</v>
      </c>
      <c r="E57" t="e">
        <f>Weighting!$E$9</f>
        <v>#NUM!</v>
      </c>
      <c r="F57" t="e">
        <f>IF(E57=1,'Data Transformation'!$G$3+0.5*'Data Transformation'!$U$25,IF(E58=1,F58-'Data Transformation'!$U$25,FALSE))</f>
        <v>#NUM!</v>
      </c>
      <c r="G57">
        <f t="array" ref="G57">IF(ISLOGICAL(F57),"",FREQUENCY(IF('Data Transformation'!$B$24:$B$404='Bin Analysis and Plots'!$D$51,'Data Transformation'!$G$24:$G$404),'Bin Analysis and Plots'!F57))</f>
        <v>0</v>
      </c>
      <c r="H57">
        <f t="shared" si="6"/>
        <v>0</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t="str">
        <f>IF(Weighting!$O$10&gt;0,D58,"")</f>
        <v/>
      </c>
      <c r="D58" t="e">
        <f>Weighting!$C$10</f>
        <v>#DIV/0!</v>
      </c>
      <c r="E58" t="e">
        <f>Weighting!$E$10</f>
        <v>#NUM!</v>
      </c>
      <c r="F58" t="e">
        <f>IF(E58=1,'Data Transformation'!$G$3+0.5*'Data Transformation'!$U$25,IF(E59=1,F59-'Data Transformation'!$U$25,FALSE))</f>
        <v>#NUM!</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t="str">
        <f>IF(Weighting!$O$11&gt;0,D59,"")</f>
        <v/>
      </c>
      <c r="D59" t="e">
        <f>Weighting!$C$11</f>
        <v>#DIV/0!</v>
      </c>
      <c r="E59" t="e">
        <f>Weighting!$E$11</f>
        <v>#NUM!</v>
      </c>
      <c r="F59" t="e">
        <f>IF(E59=1,'Data Transformation'!$G$3+0.5*'Data Transformation'!$U$25,IF(E60=1,F60-'Data Transformation'!$U$25,FALSE))</f>
        <v>#NUM!</v>
      </c>
      <c r="G59">
        <f t="array" ref="G59">IF(ISLOGICAL(F59),"",FREQUENCY(IF('Data Transformation'!$B$24:$B$404='Bin Analysis and Plots'!$D$51,'Data Transformation'!$G$24:$G$404),'Bin Analysis and Plots'!F59))</f>
        <v>0</v>
      </c>
      <c r="H59">
        <f t="shared" si="6"/>
        <v>0</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t="str">
        <f>IF(Weighting!$O$12&gt;0,D60,"")</f>
        <v/>
      </c>
      <c r="D60" t="e">
        <f>Weighting!$C$12</f>
        <v>#DIV/0!</v>
      </c>
      <c r="E60" t="e">
        <f>Weighting!$E$12</f>
        <v>#NUM!</v>
      </c>
      <c r="F60" t="e">
        <f>IF(E60=1,'Data Transformation'!$G$3+0.5*'Data Transformation'!$U$25,IF(E61=1,F61-'Data Transformation'!$U$25,FALSE))</f>
        <v>#NUM!</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t="e">
        <f>Weighting!$C$13</f>
        <v>#DIV/0!</v>
      </c>
      <c r="E61" t="e">
        <f>Weighting!$E$13</f>
        <v>#NUM!</v>
      </c>
      <c r="F61" t="e">
        <f>IF(E61=1,'Data Transformation'!$G$3+0.5*'Data Transformation'!$U$25,IF(E62=1,F62-'Data Transformation'!$U$25,FALSE))</f>
        <v>#NUM!</v>
      </c>
      <c r="G61">
        <f t="array" ref="G61">IF(ISLOGICAL(F61),"",FREQUENCY(IF('Data Transformation'!$B$24:$B$404='Bin Analysis and Plots'!$D$51,'Data Transformation'!$G$24:$G$404),'Bin Analysis and Plots'!F61))</f>
        <v>0</v>
      </c>
      <c r="H61">
        <f t="shared" si="6"/>
        <v>0</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t="e">
        <f>Weighting!$C$14</f>
        <v>#DIV/0!</v>
      </c>
      <c r="E62" t="e">
        <f>Weighting!$E$14</f>
        <v>#NUM!</v>
      </c>
      <c r="F62" t="e">
        <f>IF(E62=1,'Data Transformation'!$G$3+0.5*'Data Transformation'!$U$25,IF(E63=1,F63-'Data Transformation'!$U$25,FALSE))</f>
        <v>#NUM!</v>
      </c>
      <c r="G62">
        <f t="array" ref="G62">IF(ISLOGICAL(F62),"",FREQUENCY(IF('Data Transformation'!$B$24:$B$404='Bin Analysis and Plots'!$D$51,'Data Transformation'!$G$24:$G$404),'Bin Analysis and Plots'!F62))</f>
        <v>0</v>
      </c>
      <c r="H62">
        <f t="shared" si="6"/>
        <v>0</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t="e">
        <f>Weighting!$C$15</f>
        <v>#DIV/0!</v>
      </c>
      <c r="E63" t="e">
        <f>Weighting!$E$15</f>
        <v>#NUM!</v>
      </c>
      <c r="F63" t="e">
        <f>IF(E63=1,'Data Transformation'!$G$3+0.5*'Data Transformation'!$U$25,IF(E64=1,F64-'Data Transformation'!$U$25,FALSE))</f>
        <v>#NUM!</v>
      </c>
      <c r="G63">
        <f t="array" ref="G63">IF(ISLOGICAL(F63),"",FREQUENCY(IF('Data Transformation'!$B$24:$B$404='Bin Analysis and Plots'!$D$51,'Data Transformation'!$G$24:$G$404),'Bin Analysis and Plots'!F63))</f>
        <v>0</v>
      </c>
      <c r="H63">
        <f t="shared" si="6"/>
        <v>0</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t="e">
        <f>Weighting!$C$16</f>
        <v>#DIV/0!</v>
      </c>
      <c r="E64" t="e">
        <f>Weighting!$E$16</f>
        <v>#NUM!</v>
      </c>
      <c r="F64" t="e">
        <f>IF(E64=1,'Data Transformation'!$G$3+0.5*'Data Transformation'!$U$25,IF(E65=1,F65-'Data Transformation'!$U$25,FALSE))</f>
        <v>#NUM!</v>
      </c>
      <c r="G64">
        <f t="array" ref="G64">IF(ISLOGICAL(F64),"",FREQUENCY(IF('Data Transformation'!$B$24:$B$404='Bin Analysis and Plots'!$D$51,'Data Transformation'!$G$24:$G$404),'Bin Analysis and Plots'!F64))</f>
        <v>0</v>
      </c>
      <c r="H64">
        <f t="shared" si="6"/>
        <v>0</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t="e">
        <f>Weighting!$C$17</f>
        <v>#DIV/0!</v>
      </c>
      <c r="E65" t="e">
        <f>Weighting!$E$17</f>
        <v>#NUM!</v>
      </c>
      <c r="F65" t="e">
        <f>IF(E65=1,'Data Transformation'!$G$3+0.5*'Data Transformation'!$U$25,IF(E66=1,F66-'Data Transformation'!$U$25,FALSE))</f>
        <v>#NUM!</v>
      </c>
      <c r="G65">
        <f t="array" ref="G65">IF(ISLOGICAL(F65),"",FREQUENCY(IF('Data Transformation'!$B$24:$B$404='Bin Analysis and Plots'!$D$51,'Data Transformation'!$G$24:$G$404),'Bin Analysis and Plots'!F65))</f>
        <v>0</v>
      </c>
      <c r="H65">
        <f t="shared" si="6"/>
        <v>0</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t="e">
        <f>Weighting!$C$18</f>
        <v>#DIV/0!</v>
      </c>
      <c r="E66" t="e">
        <f>Weighting!$E$18</f>
        <v>#NUM!</v>
      </c>
      <c r="F66" t="e">
        <f>IF(E66=1,'Data Transformation'!$G$3+0.5*'Data Transformation'!$U$25,IF(E67=1,F67-'Data Transformation'!$U$25,FALSE))</f>
        <v>#NUM!</v>
      </c>
      <c r="G66">
        <f t="array" ref="G66">IF(ISLOGICAL(F66),"",FREQUENCY(IF('Data Transformation'!$B$24:$B$404='Bin Analysis and Plots'!$D$51,'Data Transformation'!$G$24:$G$404),'Bin Analysis and Plots'!F66))</f>
        <v>0</v>
      </c>
      <c r="H66">
        <f t="shared" si="6"/>
        <v>0</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t="e">
        <f>Weighting!$C$19</f>
        <v>#DIV/0!</v>
      </c>
      <c r="E67" t="e">
        <f>Weighting!$E$19</f>
        <v>#NUM!</v>
      </c>
      <c r="F67" t="e">
        <f>IF(E67=1,'Data Transformation'!$G$3+0.5*'Data Transformation'!$U$25,IF(E68=1,F68-'Data Transformation'!$U$25,FALSE))</f>
        <v>#NUM!</v>
      </c>
      <c r="G67">
        <f t="array" ref="G67">IF(ISLOGICAL(F67),"",FREQUENCY(IF('Data Transformation'!$B$24:$B$404='Bin Analysis and Plots'!$D$51,'Data Transformation'!$G$24:$G$404),'Bin Analysis and Plots'!F67))</f>
        <v>0</v>
      </c>
      <c r="H67">
        <f t="shared" si="6"/>
        <v>0</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t="e">
        <f>Weighting!$C$20</f>
        <v>#DIV/0!</v>
      </c>
      <c r="E68" t="e">
        <f>Weighting!$E$20</f>
        <v>#NUM!</v>
      </c>
      <c r="F68" t="e">
        <f>IF(E68=1,'Data Transformation'!$G$3+0.5*'Data Transformation'!$U$25,IF(E69=1,F69-'Data Transformation'!$U$25,FALSE))</f>
        <v>#NUM!</v>
      </c>
      <c r="G68">
        <f t="array" ref="G68">IF(ISLOGICAL(F68),"",FREQUENCY(IF('Data Transformation'!$B$24:$B$404='Bin Analysis and Plots'!$D$51,'Data Transformation'!$G$24:$G$404),'Bin Analysis and Plots'!F68))</f>
        <v>0</v>
      </c>
      <c r="H68">
        <f t="shared" si="6"/>
        <v>0</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t="e">
        <f>Weighting!$C$21</f>
        <v>#DIV/0!</v>
      </c>
      <c r="E69" t="e">
        <f>Weighting!$E$21</f>
        <v>#NUM!</v>
      </c>
      <c r="F69" t="e">
        <f>IF(E69=1,'Data Transformation'!$G$3+0.5*'Data Transformation'!$U$25,IF(E70=1,F70-'Data Transformation'!$U$25,FALSE))</f>
        <v>#NUM!</v>
      </c>
      <c r="G69">
        <f t="array" ref="G69">IF(ISLOGICAL(F69),"",FREQUENCY(IF('Data Transformation'!$B$24:$B$404='Bin Analysis and Plots'!$D$51,'Data Transformation'!$G$24:$G$404),'Bin Analysis and Plots'!F69))</f>
        <v>0</v>
      </c>
      <c r="H69">
        <f t="shared" si="6"/>
        <v>0</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t="e">
        <f>Weighting!$C$22</f>
        <v>#DIV/0!</v>
      </c>
      <c r="E70" t="e">
        <f>Weighting!$E$22</f>
        <v>#NUM!</v>
      </c>
      <c r="F70" t="e">
        <f>IF(E70=1,'Data Transformation'!$G$3+0.5*'Data Transformation'!$U$25,IF(E71=1,F71-'Data Transformation'!$U$25,FALSE))</f>
        <v>#NUM!</v>
      </c>
      <c r="G70">
        <f t="array" ref="G70">IF(ISLOGICAL(F70),"",FREQUENCY(IF('Data Transformation'!$B$24:$B$404='Bin Analysis and Plots'!$D$51,'Data Transformation'!$G$24:$G$404),'Bin Analysis and Plots'!F70))</f>
        <v>0</v>
      </c>
      <c r="H70">
        <f t="shared" si="6"/>
        <v>0</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t="e">
        <f>Weighting!$C$23</f>
        <v>#DIV/0!</v>
      </c>
      <c r="E71" t="e">
        <f>Weighting!$E$23</f>
        <v>#NUM!</v>
      </c>
      <c r="F71" t="e">
        <f>IF(E71=1,'Data Transformation'!$G$3+0.5*'Data Transformation'!$U$25,IF(E72=1,F72-'Data Transformation'!$U$25,FALSE))</f>
        <v>#NUM!</v>
      </c>
      <c r="G71">
        <f t="array" ref="G71">IF(ISLOGICAL(F71),"",FREQUENCY(IF('Data Transformation'!$B$24:$B$404='Bin Analysis and Plots'!$D$51,'Data Transformation'!$G$24:$G$404),'Bin Analysis and Plots'!F71))</f>
        <v>0</v>
      </c>
      <c r="H71">
        <f t="shared" si="6"/>
        <v>0</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t="e">
        <f>Weighting!$C$24</f>
        <v>#DIV/0!</v>
      </c>
      <c r="E72" t="e">
        <f>Weighting!$E$24</f>
        <v>#NUM!</v>
      </c>
      <c r="F72" t="e">
        <f>IF(E72=1,'Data Transformation'!$G$3+0.5*'Data Transformation'!$U$25,IF(E73=1,F73-'Data Transformation'!$U$25,FALSE))</f>
        <v>#NUM!</v>
      </c>
      <c r="G72">
        <f t="array" ref="G72">IF(ISLOGICAL(F72),"",FREQUENCY(IF('Data Transformation'!$B$24:$B$404='Bin Analysis and Plots'!$D$51,'Data Transformation'!$G$24:$G$404),'Bin Analysis and Plots'!F72))</f>
        <v>0</v>
      </c>
      <c r="H72">
        <f t="shared" si="6"/>
        <v>0</v>
      </c>
      <c r="I72">
        <f>Weighting!$G$24</f>
        <v>0</v>
      </c>
      <c r="J72">
        <f t="array" ref="J72">FREQUENCY(IF('Data Transformation'!$B$4:$B$404=D51,'Data Transformation'!$G$4:$G$404),'Bin Analysis and Plots'!$D72)</f>
        <v>0</v>
      </c>
      <c r="K72">
        <f t="shared" si="7"/>
        <v>0</v>
      </c>
      <c r="L72">
        <f t="shared" si="8"/>
        <v>0</v>
      </c>
      <c r="M72">
        <f>L72*Weighting!$V$24</f>
        <v>0</v>
      </c>
    </row>
    <row r="73" spans="1:27">
      <c r="A73" s="29" t="b">
        <f t="array" ref="A73">IF(ISERROR(INDEX('Data Transformation'!$B$4:$G$450,SMALL(IF('Data Transformation'!$B$4:$B$450='Bin Analysis and Plots'!D51,ROW('Data Transformation'!$B$4:$B$450)),ROW($20:$20))-3,3)),"",INDEX('Data Transformation'!$B$4:$G$450,SMALL(IF('Data Transformation'!$B$4:$B$450='Bin Analysis and Plots'!D51,ROW('Data Transformation'!$B$4:$B$450)),ROW($20:$20))-3,6))</f>
        <v>0</v>
      </c>
      <c r="B73" s="29" t="str">
        <f>IFERROR(SMALL(A54:A73,'Data Transformation'!$L$25),"")</f>
        <v/>
      </c>
      <c r="C73" s="41" t="str">
        <f>IF(Weighting!$O$25&gt;0,D73,"")</f>
        <v/>
      </c>
      <c r="D73" t="e">
        <f>Weighting!$C$25</f>
        <v>#DIV/0!</v>
      </c>
      <c r="E73" t="e">
        <f>Weighting!$E$25</f>
        <v>#NUM!</v>
      </c>
      <c r="F73" t="e">
        <f>IF(E73=1,'Data Transformation'!$G$3+0.5*'Data Transformation'!$U$25,IF(E74=1,F74-'Data Transformation'!$U$25,FALSE))</f>
        <v>#NUM!</v>
      </c>
      <c r="G73">
        <f t="array" ref="G73">IF(ISLOGICAL(F73),"",FREQUENCY(IF('Data Transformation'!$B$24:$B$404='Bin Analysis and Plots'!$D$51,'Data Transformation'!$G$24:$G$404),'Bin Analysis and Plots'!F73))</f>
        <v>0</v>
      </c>
      <c r="H73">
        <f t="shared" si="6"/>
        <v>0</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2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1">
      <c r="A76" s="92" t="s">
        <v>64</v>
      </c>
      <c r="B76" s="92"/>
      <c r="C76" s="14" t="s">
        <v>72</v>
      </c>
      <c r="D76" t="s">
        <v>50</v>
      </c>
      <c r="E76" t="s">
        <v>5</v>
      </c>
      <c r="I76" t="s">
        <v>75</v>
      </c>
      <c r="J76" t="s">
        <v>34</v>
      </c>
      <c r="K76" t="s">
        <v>35</v>
      </c>
      <c r="L76" t="s">
        <v>49</v>
      </c>
      <c r="M76" s="14" t="s">
        <v>48</v>
      </c>
      <c r="Z76" s="78">
        <v>0</v>
      </c>
      <c r="AA76" s="78">
        <v>0</v>
      </c>
    </row>
    <row r="77" spans="1:27">
      <c r="C77" s="41" t="str">
        <f>IF(B77="","",D77)</f>
        <v/>
      </c>
      <c r="F77" t="e">
        <f>IF(E77=1,'Data Transformation'!$G$3+0.5*'Data Transformation'!$U$25,IF(E78=1,F78-'Data Transformation'!$U$25,FALSE))</f>
        <v>#NUM!</v>
      </c>
      <c r="G77">
        <f t="array" ref="G77">IF(ISLOGICAL(F77),"",FREQUENCY(IF('Data Transformation'!$B$24:$B$404='Bin Analysis and Plots'!$D$75,'Data Transformation'!$G$24:$G$404),'Bin Analysis and Plots'!F77))</f>
        <v>0</v>
      </c>
      <c r="H77">
        <f>IF(ISLOGICAL(F77),"",G77-G76)</f>
        <v>0</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t="e">
        <f>IF(Weighting!$O$6&gt;0,D78,"")</f>
        <v>#NUM!</v>
      </c>
      <c r="D78" t="e">
        <f>Weighting!$C$6</f>
        <v>#DIV/0!</v>
      </c>
      <c r="E78" t="e">
        <f>Weighting!$E$6</f>
        <v>#NUM!</v>
      </c>
      <c r="F78" t="e">
        <f>IF(E78=1,'Data Transformation'!$G$3+0.5*'Data Transformation'!$U$25,IF(E79=1,F79-'Data Transformation'!$U$25,FALSE))</f>
        <v>#NUM!</v>
      </c>
      <c r="G78">
        <f t="array" ref="G78">IF(ISLOGICAL(F78),"",FREQUENCY(IF('Data Transformation'!$B$24:$B$404='Bin Analysis and Plots'!$D$75,'Data Transformation'!$G$24:$G$404),'Bin Analysis and Plots'!F78))</f>
        <v>0</v>
      </c>
      <c r="H78">
        <f>IF(ISLOGICAL(F78),"",G78-G77)</f>
        <v>0</v>
      </c>
      <c r="I78">
        <f>Weighting!$G$6</f>
        <v>1</v>
      </c>
      <c r="J78">
        <f t="array" ref="J78">FREQUENCY(IF('Data Transformation'!$B$4:$B$404=D75,'Data Transformation'!$G$4:$G$404),'Bin Analysis and Plots'!$D78)</f>
        <v>0</v>
      </c>
      <c r="K78">
        <f>J78-J77</f>
        <v>0</v>
      </c>
      <c r="L78">
        <f>IF(K78=0,0,1)</f>
        <v>0</v>
      </c>
      <c r="M78" t="e">
        <f>L78*Weighting!$V$6</f>
        <v>#NUM!</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t="str">
        <f>IF(Weighting!$O$7&gt;0,D79,"")</f>
        <v/>
      </c>
      <c r="D79" t="e">
        <f>Weighting!$C$7</f>
        <v>#DIV/0!</v>
      </c>
      <c r="E79" t="e">
        <f>Weighting!$E$7</f>
        <v>#NUM!</v>
      </c>
      <c r="F79" t="e">
        <f>IF(E79=1,'Data Transformation'!$G$3+0.5*'Data Transformation'!$U$25,IF(E80=1,F80-'Data Transformation'!$U$25,FALSE))</f>
        <v>#NUM!</v>
      </c>
      <c r="G79">
        <f t="array" ref="G79">IF(ISLOGICAL(F79),"",FREQUENCY(IF('Data Transformation'!$B$24:$B$404='Bin Analysis and Plots'!$D$75,'Data Transformation'!$G$24:$G$404),'Bin Analysis and Plots'!F79))</f>
        <v>0</v>
      </c>
      <c r="H79">
        <f t="shared" ref="H79:H97" si="9">IF(ISLOGICAL(F79),"",G79-G78)</f>
        <v>0</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t="str">
        <f>IF(Weighting!$O$8&gt;0,D80,"")</f>
        <v/>
      </c>
      <c r="D80" t="e">
        <f>Weighting!$C$8</f>
        <v>#DIV/0!</v>
      </c>
      <c r="E80" t="e">
        <f>Weighting!$E$8</f>
        <v>#NUM!</v>
      </c>
      <c r="F80" t="e">
        <f>IF(E80=1,'Data Transformation'!$G$3+0.5*'Data Transformation'!$U$25,IF(E81=1,F81-'Data Transformation'!$U$25,FALSE))</f>
        <v>#NUM!</v>
      </c>
      <c r="G80">
        <f t="array" ref="G80">IF(ISLOGICAL(F80),"",FREQUENCY(IF('Data Transformation'!$B$24:$B$404='Bin Analysis and Plots'!$D$75,'Data Transformation'!$G$24:$G$404),'Bin Analysis and Plots'!F80))</f>
        <v>0</v>
      </c>
      <c r="H80">
        <f t="shared" si="9"/>
        <v>0</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t="str">
        <f>IF(Weighting!$O$9&gt;0,D81,"")</f>
        <v/>
      </c>
      <c r="D81" t="e">
        <f>Weighting!$B$9</f>
        <v>#DIV/0!</v>
      </c>
      <c r="E81" t="e">
        <f>Weighting!$E$9</f>
        <v>#NUM!</v>
      </c>
      <c r="F81" t="e">
        <f>IF(E81=1,'Data Transformation'!$G$3+0.5*'Data Transformation'!$U$25,IF(E82=1,F82-'Data Transformation'!$U$25,FALSE))</f>
        <v>#NUM!</v>
      </c>
      <c r="G81">
        <f t="array" ref="G81">IF(ISLOGICAL(F81),"",FREQUENCY(IF('Data Transformation'!$B$24:$B$404='Bin Analysis and Plots'!$D$75,'Data Transformation'!$G$24:$G$404),'Bin Analysis and Plots'!F81))</f>
        <v>0</v>
      </c>
      <c r="H81">
        <f t="shared" si="9"/>
        <v>0</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t="str">
        <f>IF(Weighting!$O$10&gt;0,D82,"")</f>
        <v/>
      </c>
      <c r="D82" t="e">
        <f>Weighting!$C$10</f>
        <v>#DIV/0!</v>
      </c>
      <c r="E82" t="e">
        <f>Weighting!$E$10</f>
        <v>#NUM!</v>
      </c>
      <c r="F82" t="e">
        <f>IF(E82=1,'Data Transformation'!$G$3+0.5*'Data Transformation'!$U$25,IF(E83=1,F83-'Data Transformation'!$U$25,FALSE))</f>
        <v>#NUM!</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t="str">
        <f>IF(Weighting!$O$11&gt;0,D83,"")</f>
        <v/>
      </c>
      <c r="D83" t="e">
        <f>Weighting!$C$11</f>
        <v>#DIV/0!</v>
      </c>
      <c r="E83" t="e">
        <f>Weighting!$E$11</f>
        <v>#NUM!</v>
      </c>
      <c r="F83" t="e">
        <f>IF(E83=1,'Data Transformation'!$G$3+0.5*'Data Transformation'!$U$25,IF(E84=1,F84-'Data Transformation'!$U$25,FALSE))</f>
        <v>#NUM!</v>
      </c>
      <c r="G83">
        <f t="array" ref="G83">IF(ISLOGICAL(F83),"",FREQUENCY(IF('Data Transformation'!$B$24:$B$404='Bin Analysis and Plots'!$D$75,'Data Transformation'!$G$24:$G$404),'Bin Analysis and Plots'!F83))</f>
        <v>0</v>
      </c>
      <c r="H83">
        <f>IF(ISLOGICAL(F83),"",G83-G82)</f>
        <v>0</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t="str">
        <f>IF(Weighting!$O$12&gt;0,D84,"")</f>
        <v/>
      </c>
      <c r="D84" t="e">
        <f>Weighting!$C$12</f>
        <v>#DIV/0!</v>
      </c>
      <c r="E84" t="e">
        <f>Weighting!$E$12</f>
        <v>#NUM!</v>
      </c>
      <c r="F84" t="e">
        <f>IF(E84=1,'Data Transformation'!$G$3+0.5*'Data Transformation'!$U$25,IF(E85=1,F85-'Data Transformation'!$U$25,FALSE))</f>
        <v>#NUM!</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t="e">
        <f>Weighting!$C$13</f>
        <v>#DIV/0!</v>
      </c>
      <c r="E85" t="e">
        <f>Weighting!$E$13</f>
        <v>#NUM!</v>
      </c>
      <c r="F85" t="e">
        <f>IF(E85=1,'Data Transformation'!$G$3+0.5*'Data Transformation'!$U$25,IF(E86=1,F86-'Data Transformation'!$U$25,FALSE))</f>
        <v>#NUM!</v>
      </c>
      <c r="G85">
        <f t="array" ref="G85">IF(ISLOGICAL(F85),"",FREQUENCY(IF('Data Transformation'!$B$24:$B$404='Bin Analysis and Plots'!$D$75,'Data Transformation'!$G$24:$G$404),'Bin Analysis and Plots'!F85))</f>
        <v>0</v>
      </c>
      <c r="H85">
        <f t="shared" si="9"/>
        <v>0</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t="e">
        <f>Weighting!$C$14</f>
        <v>#DIV/0!</v>
      </c>
      <c r="E86" t="e">
        <f>Weighting!$E$14</f>
        <v>#NUM!</v>
      </c>
      <c r="F86" t="e">
        <f>IF(E86=1,'Data Transformation'!$G$3+0.5*'Data Transformation'!$U$25,IF(E87=1,F87-'Data Transformation'!$U$25,FALSE))</f>
        <v>#NUM!</v>
      </c>
      <c r="G86">
        <f t="array" ref="G86">IF(ISLOGICAL(F86),"",FREQUENCY(IF('Data Transformation'!$B$24:$B$404='Bin Analysis and Plots'!$D$75,'Data Transformation'!$G$24:$G$404),'Bin Analysis and Plots'!F86))</f>
        <v>0</v>
      </c>
      <c r="H86">
        <f t="shared" si="9"/>
        <v>0</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t="e">
        <f>Weighting!$C$15</f>
        <v>#DIV/0!</v>
      </c>
      <c r="E87" t="e">
        <f>Weighting!$E$15</f>
        <v>#NUM!</v>
      </c>
      <c r="F87" t="e">
        <f>IF(E87=1,'Data Transformation'!$G$3+0.5*'Data Transformation'!$U$25,IF(E88=1,F88-'Data Transformation'!$U$25,FALSE))</f>
        <v>#NUM!</v>
      </c>
      <c r="G87">
        <f t="array" ref="G87">IF(ISLOGICAL(F87),"",FREQUENCY(IF('Data Transformation'!$B$24:$B$404='Bin Analysis and Plots'!$D$75,'Data Transformation'!$G$24:$G$404),'Bin Analysis and Plots'!F87))</f>
        <v>0</v>
      </c>
      <c r="H87">
        <f t="shared" si="9"/>
        <v>0</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t="e">
        <f>Weighting!$C$16</f>
        <v>#DIV/0!</v>
      </c>
      <c r="E88" t="e">
        <f>Weighting!$E$16</f>
        <v>#NUM!</v>
      </c>
      <c r="F88" t="e">
        <f>IF(E88=1,'Data Transformation'!$G$3+0.5*'Data Transformation'!$U$25,IF(E89=1,F89-'Data Transformation'!$U$25,FALSE))</f>
        <v>#NUM!</v>
      </c>
      <c r="G88">
        <f t="array" ref="G88">IF(ISLOGICAL(F88),"",FREQUENCY(IF('Data Transformation'!$B$24:$B$404='Bin Analysis and Plots'!$D$75,'Data Transformation'!$G$24:$G$404),'Bin Analysis and Plots'!F88))</f>
        <v>0</v>
      </c>
      <c r="H88">
        <f t="shared" si="9"/>
        <v>0</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t="e">
        <f>Weighting!$C$17</f>
        <v>#DIV/0!</v>
      </c>
      <c r="E89" t="e">
        <f>Weighting!$E$17</f>
        <v>#NUM!</v>
      </c>
      <c r="F89" t="e">
        <f>IF(E89=1,'Data Transformation'!$G$3+0.5*'Data Transformation'!$U$25,IF(E90=1,F90-'Data Transformation'!$U$25,FALSE))</f>
        <v>#NUM!</v>
      </c>
      <c r="G89">
        <f t="array" ref="G89">IF(ISLOGICAL(F89),"",FREQUENCY(IF('Data Transformation'!$B$24:$B$404='Bin Analysis and Plots'!$D$75,'Data Transformation'!$G$24:$G$404),'Bin Analysis and Plots'!F89))</f>
        <v>0</v>
      </c>
      <c r="H89">
        <f t="shared" si="9"/>
        <v>0</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t="e">
        <f>Weighting!$C$18</f>
        <v>#DIV/0!</v>
      </c>
      <c r="E90" t="e">
        <f>Weighting!$E$18</f>
        <v>#NUM!</v>
      </c>
      <c r="F90" t="e">
        <f>IF(E90=1,'Data Transformation'!$G$3+0.5*'Data Transformation'!$U$25,IF(E91=1,F91-'Data Transformation'!$U$25,FALSE))</f>
        <v>#NUM!</v>
      </c>
      <c r="G90">
        <f t="array" ref="G90">IF(ISLOGICAL(F90),"",FREQUENCY(IF('Data Transformation'!$B$24:$B$404='Bin Analysis and Plots'!$D$75,'Data Transformation'!$G$24:$G$404),'Bin Analysis and Plots'!F90))</f>
        <v>0</v>
      </c>
      <c r="H90">
        <f t="shared" si="9"/>
        <v>0</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t="e">
        <f>Weighting!$C$19</f>
        <v>#DIV/0!</v>
      </c>
      <c r="E91" t="e">
        <f>Weighting!$E$19</f>
        <v>#NUM!</v>
      </c>
      <c r="F91" t="e">
        <f>IF(E91=1,'Data Transformation'!$G$3+0.5*'Data Transformation'!$U$25,IF(E92=1,F92-'Data Transformation'!$U$25,FALSE))</f>
        <v>#NUM!</v>
      </c>
      <c r="G91">
        <f t="array" ref="G91">IF(ISLOGICAL(F91),"",FREQUENCY(IF('Data Transformation'!$B$24:$B$404='Bin Analysis and Plots'!$D$75,'Data Transformation'!$G$24:$G$404),'Bin Analysis and Plots'!F91))</f>
        <v>0</v>
      </c>
      <c r="H91">
        <f t="shared" si="9"/>
        <v>0</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t="e">
        <f>Weighting!$C$20</f>
        <v>#DIV/0!</v>
      </c>
      <c r="E92" t="e">
        <f>Weighting!$E$20</f>
        <v>#NUM!</v>
      </c>
      <c r="F92" t="e">
        <f>IF(E92=1,'Data Transformation'!$G$3+0.5*'Data Transformation'!$U$25,IF(E93=1,F93-'Data Transformation'!$U$25,FALSE))</f>
        <v>#NUM!</v>
      </c>
      <c r="G92">
        <f t="array" ref="G92">IF(ISLOGICAL(F92),"",FREQUENCY(IF('Data Transformation'!$B$24:$B$404='Bin Analysis and Plots'!$D$75,'Data Transformation'!$G$24:$G$404),'Bin Analysis and Plots'!F92))</f>
        <v>0</v>
      </c>
      <c r="H92">
        <f t="shared" si="9"/>
        <v>0</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t="e">
        <f>Weighting!$C$21</f>
        <v>#DIV/0!</v>
      </c>
      <c r="E93" t="e">
        <f>Weighting!$E$21</f>
        <v>#NUM!</v>
      </c>
      <c r="F93" t="e">
        <f>IF(E93=1,'Data Transformation'!$G$3+0.5*'Data Transformation'!$U$25,IF(E94=1,F94-'Data Transformation'!$U$25,FALSE))</f>
        <v>#NUM!</v>
      </c>
      <c r="G93">
        <f t="array" ref="G93">IF(ISLOGICAL(F93),"",FREQUENCY(IF('Data Transformation'!$B$24:$B$404='Bin Analysis and Plots'!$D$75,'Data Transformation'!$G$24:$G$404),'Bin Analysis and Plots'!F93))</f>
        <v>0</v>
      </c>
      <c r="H93">
        <f t="shared" si="9"/>
        <v>0</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t="e">
        <f>Weighting!$C$22</f>
        <v>#DIV/0!</v>
      </c>
      <c r="E94" t="e">
        <f>Weighting!$E$22</f>
        <v>#NUM!</v>
      </c>
      <c r="F94" t="e">
        <f>IF(E94=1,'Data Transformation'!$G$3+0.5*'Data Transformation'!$U$25,IF(E95=1,F95-'Data Transformation'!$U$25,FALSE))</f>
        <v>#NUM!</v>
      </c>
      <c r="G94">
        <f t="array" ref="G94">IF(ISLOGICAL(F94),"",FREQUENCY(IF('Data Transformation'!$B$24:$B$404='Bin Analysis and Plots'!$D$75,'Data Transformation'!$G$24:$G$404),'Bin Analysis and Plots'!F94))</f>
        <v>0</v>
      </c>
      <c r="H94">
        <f t="shared" si="9"/>
        <v>0</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t="e">
        <f>Weighting!$C$23</f>
        <v>#DIV/0!</v>
      </c>
      <c r="E95" t="e">
        <f>Weighting!$E$23</f>
        <v>#NUM!</v>
      </c>
      <c r="F95" t="e">
        <f>IF(E95=1,'Data Transformation'!$G$3+0.5*'Data Transformation'!$U$25,IF(E96=1,F96-'Data Transformation'!$U$25,FALSE))</f>
        <v>#NUM!</v>
      </c>
      <c r="G95">
        <f t="array" ref="G95">IF(ISLOGICAL(F95),"",FREQUENCY(IF('Data Transformation'!$B$24:$B$404='Bin Analysis and Plots'!$D$75,'Data Transformation'!$G$24:$G$404),'Bin Analysis and Plots'!F95))</f>
        <v>0</v>
      </c>
      <c r="H95">
        <f t="shared" si="9"/>
        <v>0</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t="e">
        <f>Weighting!$C$24</f>
        <v>#DIV/0!</v>
      </c>
      <c r="E96" t="e">
        <f>Weighting!$E$24</f>
        <v>#NUM!</v>
      </c>
      <c r="F96" t="e">
        <f>IF(E96=1,'Data Transformation'!$G$3+0.5*'Data Transformation'!$U$25,IF(E97=1,F97-'Data Transformation'!$U$25,FALSE))</f>
        <v>#NUM!</v>
      </c>
      <c r="G96">
        <f t="array" ref="G96">IF(ISLOGICAL(F96),"",FREQUENCY(IF('Data Transformation'!$B$24:$B$404='Bin Analysis and Plots'!$D$75,'Data Transformation'!$G$24:$G$404),'Bin Analysis and Plots'!F96))</f>
        <v>0</v>
      </c>
      <c r="H96">
        <f t="shared" si="9"/>
        <v>0</v>
      </c>
      <c r="I96">
        <f>Weighting!$G$24</f>
        <v>0</v>
      </c>
      <c r="J96">
        <f t="array" ref="J96">FREQUENCY(IF('Data Transformation'!$B$4:$B$404=D75,'Data Transformation'!$G$4:$G$404),'Bin Analysis and Plots'!$D96)</f>
        <v>0</v>
      </c>
      <c r="K96">
        <f t="shared" si="10"/>
        <v>0</v>
      </c>
      <c r="L96">
        <f t="shared" si="11"/>
        <v>0</v>
      </c>
      <c r="M96">
        <f>L96*Weighting!$V$24</f>
        <v>0</v>
      </c>
    </row>
    <row r="97" spans="1:27">
      <c r="A97" s="29" t="b">
        <f t="array" ref="A97">IF(ISERROR(INDEX('Data Transformation'!$B$4:$G$450,SMALL(IF('Data Transformation'!$B$4:$B$450='Bin Analysis and Plots'!D75,ROW('Data Transformation'!$B$4:$B$450)),ROW($20:$20))-3,3)),"",INDEX('Data Transformation'!$B$4:$G$450,SMALL(IF('Data Transformation'!$B$4:$B$450='Bin Analysis and Plots'!D75,ROW('Data Transformation'!$B$4:$B$450)),ROW($20:$20))-3,6))</f>
        <v>0</v>
      </c>
      <c r="B97" s="29" t="str">
        <f>IFERROR(SMALL(A78:A97,'Data Transformation'!$L$25),"")</f>
        <v/>
      </c>
      <c r="C97" s="41" t="str">
        <f>IF(Weighting!$O$25&gt;0,D97,"")</f>
        <v/>
      </c>
      <c r="D97" t="e">
        <f>Weighting!$C$25</f>
        <v>#DIV/0!</v>
      </c>
      <c r="E97" t="e">
        <f>Weighting!$E$25</f>
        <v>#NUM!</v>
      </c>
      <c r="F97" t="e">
        <f>IF(E97=1,'Data Transformation'!$G$3+0.5*'Data Transformation'!$U$25,IF(E98=1,F98-'Data Transformation'!$U$25,FALSE))</f>
        <v>#NUM!</v>
      </c>
      <c r="G97">
        <f t="array" ref="G97">IF(ISLOGICAL(F97),"",FREQUENCY(IF('Data Transformation'!$B$24:$B$404='Bin Analysis and Plots'!$D$75,'Data Transformation'!$G$24:$G$404),'Bin Analysis and Plots'!F97))</f>
        <v>0</v>
      </c>
      <c r="H97">
        <f t="shared" si="9"/>
        <v>0</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2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2" t="s">
        <v>64</v>
      </c>
      <c r="B100" s="92"/>
      <c r="C100" s="14" t="s">
        <v>72</v>
      </c>
      <c r="D100" t="s">
        <v>50</v>
      </c>
      <c r="E100" t="s">
        <v>5</v>
      </c>
      <c r="I100" t="s">
        <v>75</v>
      </c>
      <c r="J100" t="s">
        <v>34</v>
      </c>
      <c r="K100" t="s">
        <v>35</v>
      </c>
      <c r="L100" t="s">
        <v>49</v>
      </c>
      <c r="M100" s="14" t="s">
        <v>48</v>
      </c>
      <c r="Z100" s="78">
        <v>0</v>
      </c>
      <c r="AA100" s="78">
        <v>0</v>
      </c>
    </row>
    <row r="101" spans="1:27">
      <c r="C101" s="41" t="str">
        <f>IF(B101="","",D101)</f>
        <v/>
      </c>
      <c r="F101" t="e">
        <f>IF(E101=1,'Data Transformation'!$G$3+0.5*'Data Transformation'!$U$25,IF(E102=1,F102-'Data Transformation'!$U$25,FALSE))</f>
        <v>#NUM!</v>
      </c>
      <c r="G101">
        <f t="array" ref="G101">IF(ISLOGICAL(F101),"",FREQUENCY(IF('Data Transformation'!$B$24:$B$404='Bin Analysis and Plots'!$D$99,'Data Transformation'!$G$24:$G$404),'Bin Analysis and Plots'!F101))</f>
        <v>0</v>
      </c>
      <c r="H101">
        <f>IF(ISLOGICAL(F101),"",G101-G100)</f>
        <v>0</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t="e">
        <f>IF(Weighting!$O$6&gt;0,D102,"")</f>
        <v>#NUM!</v>
      </c>
      <c r="D102" t="e">
        <f>Weighting!$C$6</f>
        <v>#DIV/0!</v>
      </c>
      <c r="E102" t="e">
        <f>Weighting!$E$6</f>
        <v>#NUM!</v>
      </c>
      <c r="F102" t="e">
        <f>IF(E102=1,'Data Transformation'!$G$3+0.5*'Data Transformation'!$U$25,IF(E103=1,F103-'Data Transformation'!$U$25,FALSE))</f>
        <v>#NUM!</v>
      </c>
      <c r="G102">
        <f t="array" ref="G102">IF(ISLOGICAL(F102),"",FREQUENCY(IF('Data Transformation'!$B$24:$B$404='Bin Analysis and Plots'!$D$99,'Data Transformation'!$G$24:$G$404),'Bin Analysis and Plots'!F102))</f>
        <v>0</v>
      </c>
      <c r="H102">
        <f>IF(ISLOGICAL(F102),"",G102-G101)</f>
        <v>0</v>
      </c>
      <c r="I102">
        <f>Weighting!$G$6</f>
        <v>1</v>
      </c>
      <c r="J102">
        <f t="array" ref="J102">FREQUENCY(IF('Data Transformation'!$B$4:$B$404=D99,'Data Transformation'!$G$4:$G$404),'Bin Analysis and Plots'!$D102)</f>
        <v>0</v>
      </c>
      <c r="K102">
        <f>J102-J101</f>
        <v>0</v>
      </c>
      <c r="L102">
        <f>IF(K102=0,0,1)</f>
        <v>0</v>
      </c>
      <c r="M102" t="e">
        <f>L102*Weighting!$V$6</f>
        <v>#NUM!</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t="str">
        <f>IF(Weighting!$O$7&gt;0,D103,"")</f>
        <v/>
      </c>
      <c r="D103" t="e">
        <f>Weighting!$C$7</f>
        <v>#DIV/0!</v>
      </c>
      <c r="E103" t="e">
        <f>Weighting!$E$7</f>
        <v>#NUM!</v>
      </c>
      <c r="F103" t="e">
        <f>IF(E103=1,'Data Transformation'!$G$3+0.5*'Data Transformation'!$U$25,IF(E104=1,F104-'Data Transformation'!$U$25,FALSE))</f>
        <v>#NUM!</v>
      </c>
      <c r="G103">
        <f t="array" ref="G103">IF(ISLOGICAL(F103),"",FREQUENCY(IF('Data Transformation'!$B$24:$B$404='Bin Analysis and Plots'!$D$99,'Data Transformation'!$G$24:$G$404),'Bin Analysis and Plots'!F103))</f>
        <v>0</v>
      </c>
      <c r="H103">
        <f t="shared" ref="H103:H121" si="12">IF(ISLOGICAL(F103),"",G103-G102)</f>
        <v>0</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t="str">
        <f>IF(Weighting!$O$8&gt;0,D104,"")</f>
        <v/>
      </c>
      <c r="D104" t="e">
        <f>Weighting!$C$8</f>
        <v>#DIV/0!</v>
      </c>
      <c r="E104" t="e">
        <f>Weighting!$E$8</f>
        <v>#NUM!</v>
      </c>
      <c r="F104" t="e">
        <f>IF(E104=1,'Data Transformation'!$G$3+0.5*'Data Transformation'!$U$25,IF(E105=1,F105-'Data Transformation'!$U$25,FALSE))</f>
        <v>#NUM!</v>
      </c>
      <c r="G104">
        <f t="array" ref="G104">IF(ISLOGICAL(F104),"",FREQUENCY(IF('Data Transformation'!$B$24:$B$404='Bin Analysis and Plots'!$D$99,'Data Transformation'!$G$24:$G$404),'Bin Analysis and Plots'!F104))</f>
        <v>0</v>
      </c>
      <c r="H104">
        <f t="shared" si="12"/>
        <v>0</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t="str">
        <f>IF(Weighting!$O$9&gt;0,D105,"")</f>
        <v/>
      </c>
      <c r="D105" t="e">
        <f>Weighting!$B$9</f>
        <v>#DIV/0!</v>
      </c>
      <c r="E105" t="e">
        <f>Weighting!$E$9</f>
        <v>#NUM!</v>
      </c>
      <c r="F105" t="e">
        <f>IF(E105=1,'Data Transformation'!$G$3+0.5*'Data Transformation'!$U$25,IF(E106=1,F106-'Data Transformation'!$U$25,FALSE))</f>
        <v>#NUM!</v>
      </c>
      <c r="G105">
        <f t="array" ref="G105">IF(ISLOGICAL(F105),"",FREQUENCY(IF('Data Transformation'!$B$24:$B$404='Bin Analysis and Plots'!$D$99,'Data Transformation'!$G$24:$G$404),'Bin Analysis and Plots'!F105))</f>
        <v>0</v>
      </c>
      <c r="H105">
        <f t="shared" si="12"/>
        <v>0</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t="str">
        <f>IF(Weighting!$O$10&gt;0,D106,"")</f>
        <v/>
      </c>
      <c r="D106" t="e">
        <f>Weighting!$C$10</f>
        <v>#DIV/0!</v>
      </c>
      <c r="E106" t="e">
        <f>Weighting!$E$10</f>
        <v>#NUM!</v>
      </c>
      <c r="F106" t="e">
        <f>IF(E106=1,'Data Transformation'!$G$3+0.5*'Data Transformation'!$U$25,IF(E107=1,F107-'Data Transformation'!$U$25,FALSE))</f>
        <v>#NUM!</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t="str">
        <f>IF(Weighting!$O$11&gt;0,D107,"")</f>
        <v/>
      </c>
      <c r="D107" t="e">
        <f>Weighting!$C$11</f>
        <v>#DIV/0!</v>
      </c>
      <c r="E107" t="e">
        <f>Weighting!$E$11</f>
        <v>#NUM!</v>
      </c>
      <c r="F107" t="e">
        <f>IF(E107=1,'Data Transformation'!$G$3+0.5*'Data Transformation'!$U$25,IF(E108=1,F108-'Data Transformation'!$U$25,FALSE))</f>
        <v>#NUM!</v>
      </c>
      <c r="G107">
        <f t="array" ref="G107">IF(ISLOGICAL(F107),"",FREQUENCY(IF('Data Transformation'!$B$24:$B$404='Bin Analysis and Plots'!$D$99,'Data Transformation'!$G$24:$G$404),'Bin Analysis and Plots'!F107))</f>
        <v>0</v>
      </c>
      <c r="H107">
        <f t="shared" si="12"/>
        <v>0</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t="str">
        <f>IF(Weighting!$O$12&gt;0,D108,"")</f>
        <v/>
      </c>
      <c r="D108" t="e">
        <f>Weighting!$C$12</f>
        <v>#DIV/0!</v>
      </c>
      <c r="E108" t="e">
        <f>Weighting!$E$12</f>
        <v>#NUM!</v>
      </c>
      <c r="F108" t="e">
        <f>IF(E108=1,'Data Transformation'!$G$3+0.5*'Data Transformation'!$U$25,IF(E109=1,F109-'Data Transformation'!$U$25,FALSE))</f>
        <v>#NUM!</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t="e">
        <f>Weighting!$C$13</f>
        <v>#DIV/0!</v>
      </c>
      <c r="E109" t="e">
        <f>Weighting!$E$13</f>
        <v>#NUM!</v>
      </c>
      <c r="F109" t="e">
        <f>IF(E109=1,'Data Transformation'!$G$3+0.5*'Data Transformation'!$U$25,IF(E110=1,F110-'Data Transformation'!$U$25,FALSE))</f>
        <v>#NUM!</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t="e">
        <f>Weighting!$C$14</f>
        <v>#DIV/0!</v>
      </c>
      <c r="E110" t="e">
        <f>Weighting!$E$14</f>
        <v>#NUM!</v>
      </c>
      <c r="F110" t="e">
        <f>IF(E110=1,'Data Transformation'!$G$3+0.5*'Data Transformation'!$U$25,IF(E111=1,F111-'Data Transformation'!$U$25,FALSE))</f>
        <v>#NUM!</v>
      </c>
      <c r="G110">
        <f t="array" ref="G110">IF(ISLOGICAL(F110),"",FREQUENCY(IF('Data Transformation'!$B$24:$B$404='Bin Analysis and Plots'!$D$99,'Data Transformation'!$G$24:$G$404),'Bin Analysis and Plots'!F110))</f>
        <v>0</v>
      </c>
      <c r="H110">
        <f t="shared" si="12"/>
        <v>0</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t="e">
        <f>Weighting!$C$15</f>
        <v>#DIV/0!</v>
      </c>
      <c r="E111" t="e">
        <f>Weighting!$E$15</f>
        <v>#NUM!</v>
      </c>
      <c r="F111" t="e">
        <f>IF(E111=1,'Data Transformation'!$G$3+0.5*'Data Transformation'!$U$25,IF(E112=1,F112-'Data Transformation'!$U$25,FALSE))</f>
        <v>#NUM!</v>
      </c>
      <c r="G111">
        <f t="array" ref="G111">IF(ISLOGICAL(F111),"",FREQUENCY(IF('Data Transformation'!$B$24:$B$404='Bin Analysis and Plots'!$D$99,'Data Transformation'!$G$24:$G$404),'Bin Analysis and Plots'!F111))</f>
        <v>0</v>
      </c>
      <c r="H111">
        <f t="shared" si="12"/>
        <v>0</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t="e">
        <f>Weighting!$C$16</f>
        <v>#DIV/0!</v>
      </c>
      <c r="E112" t="e">
        <f>Weighting!$E$16</f>
        <v>#NUM!</v>
      </c>
      <c r="F112" t="e">
        <f>IF(E112=1,'Data Transformation'!$G$3+0.5*'Data Transformation'!$U$25,IF(E113=1,F113-'Data Transformation'!$U$25,FALSE))</f>
        <v>#NUM!</v>
      </c>
      <c r="G112">
        <f t="array" ref="G112">IF(ISLOGICAL(F112),"",FREQUENCY(IF('Data Transformation'!$B$24:$B$404='Bin Analysis and Plots'!$D$99,'Data Transformation'!$G$24:$G$404),'Bin Analysis and Plots'!F112))</f>
        <v>0</v>
      </c>
      <c r="H112">
        <f t="shared" si="12"/>
        <v>0</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t="e">
        <f>Weighting!$C$17</f>
        <v>#DIV/0!</v>
      </c>
      <c r="E113" t="e">
        <f>Weighting!$E$17</f>
        <v>#NUM!</v>
      </c>
      <c r="F113" t="e">
        <f>IF(E113=1,'Data Transformation'!$G$3+0.5*'Data Transformation'!$U$25,IF(E114=1,F114-'Data Transformation'!$U$25,FALSE))</f>
        <v>#NUM!</v>
      </c>
      <c r="G113">
        <f t="array" ref="G113">IF(ISLOGICAL(F113),"",FREQUENCY(IF('Data Transformation'!$B$24:$B$404='Bin Analysis and Plots'!$D$99,'Data Transformation'!$G$24:$G$404),'Bin Analysis and Plots'!F113))</f>
        <v>0</v>
      </c>
      <c r="H113">
        <f t="shared" si="12"/>
        <v>0</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t="e">
        <f>Weighting!$C$18</f>
        <v>#DIV/0!</v>
      </c>
      <c r="E114" t="e">
        <f>Weighting!$E$18</f>
        <v>#NUM!</v>
      </c>
      <c r="F114" t="e">
        <f>IF(E114=1,'Data Transformation'!$G$3+0.5*'Data Transformation'!$U$25,IF(E115=1,F115-'Data Transformation'!$U$25,FALSE))</f>
        <v>#NUM!</v>
      </c>
      <c r="G114">
        <f t="array" ref="G114">IF(ISLOGICAL(F114),"",FREQUENCY(IF('Data Transformation'!$B$24:$B$404='Bin Analysis and Plots'!$D$99,'Data Transformation'!$G$24:$G$404),'Bin Analysis and Plots'!F114))</f>
        <v>0</v>
      </c>
      <c r="H114">
        <f t="shared" si="12"/>
        <v>0</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t="e">
        <f>Weighting!$C$19</f>
        <v>#DIV/0!</v>
      </c>
      <c r="E115" t="e">
        <f>Weighting!$E$19</f>
        <v>#NUM!</v>
      </c>
      <c r="F115" t="e">
        <f>IF(E115=1,'Data Transformation'!$G$3+0.5*'Data Transformation'!$U$25,IF(E116=1,F116-'Data Transformation'!$U$25,FALSE))</f>
        <v>#NUM!</v>
      </c>
      <c r="G115">
        <f t="array" ref="G115">IF(ISLOGICAL(F115),"",FREQUENCY(IF('Data Transformation'!$B$24:$B$404='Bin Analysis and Plots'!$D$99,'Data Transformation'!$G$24:$G$404),'Bin Analysis and Plots'!F115))</f>
        <v>0</v>
      </c>
      <c r="H115">
        <f t="shared" si="12"/>
        <v>0</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t="e">
        <f>Weighting!$C$20</f>
        <v>#DIV/0!</v>
      </c>
      <c r="E116" t="e">
        <f>Weighting!$E$20</f>
        <v>#NUM!</v>
      </c>
      <c r="F116" t="e">
        <f>IF(E116=1,'Data Transformation'!$G$3+0.5*'Data Transformation'!$U$25,IF(E117=1,F117-'Data Transformation'!$U$25,FALSE))</f>
        <v>#NUM!</v>
      </c>
      <c r="G116">
        <f t="array" ref="G116">IF(ISLOGICAL(F116),"",FREQUENCY(IF('Data Transformation'!$B$24:$B$404='Bin Analysis and Plots'!$D$99,'Data Transformation'!$G$24:$G$404),'Bin Analysis and Plots'!F116))</f>
        <v>0</v>
      </c>
      <c r="H116">
        <f t="shared" si="12"/>
        <v>0</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t="e">
        <f>Weighting!$C$21</f>
        <v>#DIV/0!</v>
      </c>
      <c r="E117" t="e">
        <f>Weighting!$E$21</f>
        <v>#NUM!</v>
      </c>
      <c r="F117" t="e">
        <f>IF(E117=1,'Data Transformation'!$G$3+0.5*'Data Transformation'!$U$25,IF(E118=1,F118-'Data Transformation'!$U$25,FALSE))</f>
        <v>#NUM!</v>
      </c>
      <c r="G117">
        <f t="array" ref="G117">IF(ISLOGICAL(F117),"",FREQUENCY(IF('Data Transformation'!$B$24:$B$404='Bin Analysis and Plots'!$D$99,'Data Transformation'!$G$24:$G$404),'Bin Analysis and Plots'!F117))</f>
        <v>0</v>
      </c>
      <c r="H117">
        <f t="shared" si="12"/>
        <v>0</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t="e">
        <f>Weighting!$C$22</f>
        <v>#DIV/0!</v>
      </c>
      <c r="E118" t="e">
        <f>Weighting!$E$22</f>
        <v>#NUM!</v>
      </c>
      <c r="F118" t="e">
        <f>IF(E118=1,'Data Transformation'!$G$3+0.5*'Data Transformation'!$U$25,IF(E119=1,F119-'Data Transformation'!$U$25,FALSE))</f>
        <v>#NUM!</v>
      </c>
      <c r="G118">
        <f t="array" ref="G118">IF(ISLOGICAL(F118),"",FREQUENCY(IF('Data Transformation'!$B$24:$B$404='Bin Analysis and Plots'!$D$99,'Data Transformation'!$G$24:$G$404),'Bin Analysis and Plots'!F118))</f>
        <v>0</v>
      </c>
      <c r="H118">
        <f t="shared" si="12"/>
        <v>0</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t="e">
        <f>Weighting!$C$23</f>
        <v>#DIV/0!</v>
      </c>
      <c r="E119" t="e">
        <f>Weighting!$E$23</f>
        <v>#NUM!</v>
      </c>
      <c r="F119" t="e">
        <f>IF(E119=1,'Data Transformation'!$G$3+0.5*'Data Transformation'!$U$25,IF(E120=1,F120-'Data Transformation'!$U$25,FALSE))</f>
        <v>#NUM!</v>
      </c>
      <c r="G119">
        <f t="array" ref="G119">IF(ISLOGICAL(F119),"",FREQUENCY(IF('Data Transformation'!$B$24:$B$404='Bin Analysis and Plots'!$D$99,'Data Transformation'!$G$24:$G$404),'Bin Analysis and Plots'!F119))</f>
        <v>0</v>
      </c>
      <c r="H119">
        <f t="shared" si="12"/>
        <v>0</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t="e">
        <f>Weighting!$C$24</f>
        <v>#DIV/0!</v>
      </c>
      <c r="E120" t="e">
        <f>Weighting!$E$24</f>
        <v>#NUM!</v>
      </c>
      <c r="F120" t="e">
        <f>IF(E120=1,'Data Transformation'!$G$3+0.5*'Data Transformation'!$U$25,IF(E121=1,F121-'Data Transformation'!$U$25,FALSE))</f>
        <v>#NUM!</v>
      </c>
      <c r="G120">
        <f t="array" ref="G120">IF(ISLOGICAL(F120),"",FREQUENCY(IF('Data Transformation'!$B$24:$B$404='Bin Analysis and Plots'!$D$99,'Data Transformation'!$G$24:$G$404),'Bin Analysis and Plots'!F120))</f>
        <v>0</v>
      </c>
      <c r="H120">
        <f t="shared" si="12"/>
        <v>0</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b">
        <f t="array" ref="A121">IF(ISERROR(INDEX('Data Transformation'!$B$4:$G$450,SMALL(IF('Data Transformation'!$B$4:$B$450='Bin Analysis and Plots'!D99,ROW('Data Transformation'!$B$4:$B$450)),ROW($20:$20))-3,3)),"",INDEX('Data Transformation'!$B$4:$G$450,SMALL(IF('Data Transformation'!$B$4:$B$450='Bin Analysis and Plots'!D99,ROW('Data Transformation'!$B$4:$B$450)),ROW($20:$20))-3,6))</f>
        <v>0</v>
      </c>
      <c r="B121" s="29" t="str">
        <f>IFERROR(SMALL(A102:A121,'Data Transformation'!$L$25),"")</f>
        <v/>
      </c>
      <c r="C121" s="41" t="str">
        <f>IF(Weighting!$O$25&gt;0,D121,"")</f>
        <v/>
      </c>
      <c r="D121" t="e">
        <f>Weighting!$C$25</f>
        <v>#DIV/0!</v>
      </c>
      <c r="E121" t="e">
        <f>Weighting!$E$25</f>
        <v>#NUM!</v>
      </c>
      <c r="F121" t="e">
        <f>IF(E121=1,'Data Transformation'!$G$3+0.5*'Data Transformation'!$U$25,IF(E122=1,F122-'Data Transformation'!$U$25,FALSE))</f>
        <v>#NUM!</v>
      </c>
      <c r="G121">
        <f t="array" ref="G121">IF(ISLOGICAL(F121),"",FREQUENCY(IF('Data Transformation'!$B$24:$B$404='Bin Analysis and Plots'!$D$99,'Data Transformation'!$G$24:$G$404),'Bin Analysis and Plots'!F121))</f>
        <v>0</v>
      </c>
      <c r="H121">
        <f t="shared" si="12"/>
        <v>0</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2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2" t="s">
        <v>64</v>
      </c>
      <c r="B124" s="92"/>
      <c r="C124" s="14" t="s">
        <v>72</v>
      </c>
      <c r="D124" t="s">
        <v>50</v>
      </c>
      <c r="E124" t="s">
        <v>5</v>
      </c>
      <c r="I124" t="s">
        <v>75</v>
      </c>
      <c r="J124" t="s">
        <v>34</v>
      </c>
      <c r="K124" t="s">
        <v>35</v>
      </c>
      <c r="L124" t="s">
        <v>49</v>
      </c>
      <c r="M124" s="14" t="s">
        <v>48</v>
      </c>
      <c r="Z124" s="78">
        <v>0</v>
      </c>
      <c r="AA124" s="78">
        <v>0</v>
      </c>
    </row>
    <row r="125" spans="1:27">
      <c r="C125" s="41" t="str">
        <f>IF(B125="","",D125)</f>
        <v/>
      </c>
      <c r="F125" t="e">
        <f>IF(E125=1,'Data Transformation'!$G$3+0.5*'Data Transformation'!$U$25,IF(E126=1,F126-'Data Transformation'!$U$25,FALSE))</f>
        <v>#NUM!</v>
      </c>
      <c r="G125">
        <f t="array" ref="G125">IF(ISLOGICAL(F125),"",FREQUENCY(IF('Data Transformation'!$B$24:$B$404='Bin Analysis and Plots'!$D$123,'Data Transformation'!$G$24:$G$404),'Bin Analysis and Plots'!F125))</f>
        <v>0</v>
      </c>
      <c r="H125">
        <f>IF(ISLOGICAL(F125),"",G125-G124)</f>
        <v>0</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t="e">
        <f>IF(Weighting!$O$6&gt;0,D126,"")</f>
        <v>#NUM!</v>
      </c>
      <c r="D126" t="e">
        <f>Weighting!$C$6</f>
        <v>#DIV/0!</v>
      </c>
      <c r="E126" t="e">
        <f>Weighting!$E$6</f>
        <v>#NUM!</v>
      </c>
      <c r="F126" t="e">
        <f>IF(E126=1,'Data Transformation'!$G$3+0.5*'Data Transformation'!$U$25,IF(E127=1,F127-'Data Transformation'!$U$25,FALSE))</f>
        <v>#NUM!</v>
      </c>
      <c r="G126">
        <f t="array" ref="G126">IF(ISLOGICAL(F126),"",FREQUENCY(IF('Data Transformation'!$B$24:$B$404='Bin Analysis and Plots'!$D$123,'Data Transformation'!$G$24:$G$404),'Bin Analysis and Plots'!F126))</f>
        <v>0</v>
      </c>
      <c r="H126">
        <f>IF(ISLOGICAL(F126),"",G126-G125)</f>
        <v>0</v>
      </c>
      <c r="I126">
        <f>Weighting!$G$6</f>
        <v>1</v>
      </c>
      <c r="J126">
        <f t="array" ref="J126">FREQUENCY(IF('Data Transformation'!$B$4:$B$404=D123,'Data Transformation'!$G$4:$G$404),'Bin Analysis and Plots'!$D126)</f>
        <v>0</v>
      </c>
      <c r="K126">
        <f>J126-J125</f>
        <v>0</v>
      </c>
      <c r="L126">
        <f>IF(K126=0,0,1)</f>
        <v>0</v>
      </c>
      <c r="M126" t="e">
        <f>L126*Weighting!$V$6</f>
        <v>#NUM!</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t="str">
        <f>IF(Weighting!$O$7&gt;0,D127,"")</f>
        <v/>
      </c>
      <c r="D127" t="e">
        <f>Weighting!$C$7</f>
        <v>#DIV/0!</v>
      </c>
      <c r="E127" t="e">
        <f>Weighting!$E$7</f>
        <v>#NUM!</v>
      </c>
      <c r="F127" t="e">
        <f>IF(E127=1,'Data Transformation'!$G$3+0.5*'Data Transformation'!$U$25,IF(E128=1,F128-'Data Transformation'!$U$25,FALSE))</f>
        <v>#NUM!</v>
      </c>
      <c r="G127">
        <f t="array" ref="G127">IF(ISLOGICAL(F127),"",FREQUENCY(IF('Data Transformation'!$B$24:$B$404='Bin Analysis and Plots'!$D$123,'Data Transformation'!$G$24:$G$404),'Bin Analysis and Plots'!F127))</f>
        <v>0</v>
      </c>
      <c r="H127">
        <f t="shared" ref="H127:H145" si="15">IF(ISLOGICAL(F127),"",G127-G126)</f>
        <v>0</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t="str">
        <f>IF(Weighting!$O$8&gt;0,D128,"")</f>
        <v/>
      </c>
      <c r="D128" t="e">
        <f>Weighting!$C$8</f>
        <v>#DIV/0!</v>
      </c>
      <c r="E128" t="e">
        <f>Weighting!$E$8</f>
        <v>#NUM!</v>
      </c>
      <c r="F128" t="e">
        <f>IF(E128=1,'Data Transformation'!$G$3+0.5*'Data Transformation'!$U$25,IF(E129=1,F129-'Data Transformation'!$U$25,FALSE))</f>
        <v>#NUM!</v>
      </c>
      <c r="G128">
        <f t="array" ref="G128">IF(ISLOGICAL(F128),"",FREQUENCY(IF('Data Transformation'!$B$24:$B$404='Bin Analysis and Plots'!$D$123,'Data Transformation'!$G$24:$G$404),'Bin Analysis and Plots'!F128))</f>
        <v>0</v>
      </c>
      <c r="H128">
        <f t="shared" si="15"/>
        <v>0</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t="str">
        <f>IF(Weighting!$O$9&gt;0,D129,"")</f>
        <v/>
      </c>
      <c r="D129" t="e">
        <f>Weighting!$B$9</f>
        <v>#DIV/0!</v>
      </c>
      <c r="E129" t="e">
        <f>Weighting!$E$9</f>
        <v>#NUM!</v>
      </c>
      <c r="F129" t="e">
        <f>IF(E129=1,'Data Transformation'!$G$3+0.5*'Data Transformation'!$U$25,IF(E130=1,F130-'Data Transformation'!$U$25,FALSE))</f>
        <v>#NUM!</v>
      </c>
      <c r="G129">
        <f t="array" ref="G129">IF(ISLOGICAL(F129),"",FREQUENCY(IF('Data Transformation'!$B$24:$B$404='Bin Analysis and Plots'!$D$123,'Data Transformation'!$G$24:$G$404),'Bin Analysis and Plots'!F129))</f>
        <v>0</v>
      </c>
      <c r="H129">
        <f t="shared" si="15"/>
        <v>0</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t="str">
        <f>IF(Weighting!$O$10&gt;0,D130,"")</f>
        <v/>
      </c>
      <c r="D130" t="e">
        <f>Weighting!$C$10</f>
        <v>#DIV/0!</v>
      </c>
      <c r="E130" t="e">
        <f>Weighting!$E$10</f>
        <v>#NUM!</v>
      </c>
      <c r="F130" t="e">
        <f>IF(E130=1,'Data Transformation'!$G$3+0.5*'Data Transformation'!$U$25,IF(E131=1,F131-'Data Transformation'!$U$25,FALSE))</f>
        <v>#NUM!</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t="str">
        <f>IF(Weighting!$O$11&gt;0,D131,"")</f>
        <v/>
      </c>
      <c r="D131" t="e">
        <f>Weighting!$C$11</f>
        <v>#DIV/0!</v>
      </c>
      <c r="E131" t="e">
        <f>Weighting!$E$11</f>
        <v>#NUM!</v>
      </c>
      <c r="F131" t="e">
        <f>IF(E131=1,'Data Transformation'!$G$3+0.5*'Data Transformation'!$U$25,IF(E132=1,F132-'Data Transformation'!$U$25,FALSE))</f>
        <v>#NUM!</v>
      </c>
      <c r="G131">
        <f t="array" ref="G131">IF(ISLOGICAL(F131),"",FREQUENCY(IF('Data Transformation'!$B$24:$B$404='Bin Analysis and Plots'!$D$123,'Data Transformation'!$G$24:$G$404),'Bin Analysis and Plots'!F131))</f>
        <v>0</v>
      </c>
      <c r="H131">
        <f t="shared" si="15"/>
        <v>0</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t="str">
        <f>IF(Weighting!$O$12&gt;0,D132,"")</f>
        <v/>
      </c>
      <c r="D132" t="e">
        <f>Weighting!$C$12</f>
        <v>#DIV/0!</v>
      </c>
      <c r="E132" t="e">
        <f>Weighting!$E$12</f>
        <v>#NUM!</v>
      </c>
      <c r="F132" t="e">
        <f>IF(E132=1,'Data Transformation'!$G$3+0.5*'Data Transformation'!$U$25,IF(E133=1,F133-'Data Transformation'!$U$25,FALSE))</f>
        <v>#NUM!</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t="e">
        <f>Weighting!$C$13</f>
        <v>#DIV/0!</v>
      </c>
      <c r="E133" t="e">
        <f>Weighting!$E$13</f>
        <v>#NUM!</v>
      </c>
      <c r="F133" t="e">
        <f>IF(E133=1,'Data Transformation'!$G$3+0.5*'Data Transformation'!$U$25,IF(E134=1,F134-'Data Transformation'!$U$25,FALSE))</f>
        <v>#NUM!</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t="e">
        <f>Weighting!$C$14</f>
        <v>#DIV/0!</v>
      </c>
      <c r="E134" t="e">
        <f>Weighting!$E$14</f>
        <v>#NUM!</v>
      </c>
      <c r="F134" t="e">
        <f>IF(E134=1,'Data Transformation'!$G$3+0.5*'Data Transformation'!$U$25,IF(E135=1,F135-'Data Transformation'!$U$25,FALSE))</f>
        <v>#NUM!</v>
      </c>
      <c r="G134">
        <f t="array" ref="G134">IF(ISLOGICAL(F134),"",FREQUENCY(IF('Data Transformation'!$B$24:$B$404='Bin Analysis and Plots'!$D$123,'Data Transformation'!$G$24:$G$404),'Bin Analysis and Plots'!F134))</f>
        <v>0</v>
      </c>
      <c r="H134">
        <f t="shared" si="15"/>
        <v>0</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t="e">
        <f>Weighting!$C$15</f>
        <v>#DIV/0!</v>
      </c>
      <c r="E135" t="e">
        <f>Weighting!$E$15</f>
        <v>#NUM!</v>
      </c>
      <c r="F135" t="e">
        <f>IF(E135=1,'Data Transformation'!$G$3+0.5*'Data Transformation'!$U$25,IF(E136=1,F136-'Data Transformation'!$U$25,FALSE))</f>
        <v>#NUM!</v>
      </c>
      <c r="G135">
        <f t="array" ref="G135">IF(ISLOGICAL(F135),"",FREQUENCY(IF('Data Transformation'!$B$24:$B$404='Bin Analysis and Plots'!$D$123,'Data Transformation'!$G$24:$G$404),'Bin Analysis and Plots'!F135))</f>
        <v>0</v>
      </c>
      <c r="H135">
        <f t="shared" si="15"/>
        <v>0</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t="e">
        <f>Weighting!$C$16</f>
        <v>#DIV/0!</v>
      </c>
      <c r="E136" t="e">
        <f>Weighting!$E$16</f>
        <v>#NUM!</v>
      </c>
      <c r="F136" t="e">
        <f>IF(E136=1,'Data Transformation'!$G$3+0.5*'Data Transformation'!$U$25,IF(E137=1,F137-'Data Transformation'!$U$25,FALSE))</f>
        <v>#NUM!</v>
      </c>
      <c r="G136">
        <f t="array" ref="G136">IF(ISLOGICAL(F136),"",FREQUENCY(IF('Data Transformation'!$B$24:$B$404='Bin Analysis and Plots'!$D$123,'Data Transformation'!$G$24:$G$404),'Bin Analysis and Plots'!F136))</f>
        <v>0</v>
      </c>
      <c r="H136">
        <f t="shared" si="15"/>
        <v>0</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t="e">
        <f>Weighting!$C$17</f>
        <v>#DIV/0!</v>
      </c>
      <c r="E137" t="e">
        <f>Weighting!$E$17</f>
        <v>#NUM!</v>
      </c>
      <c r="F137" t="e">
        <f>IF(E137=1,'Data Transformation'!$G$3+0.5*'Data Transformation'!$U$25,IF(E138=1,F138-'Data Transformation'!$U$25,FALSE))</f>
        <v>#NUM!</v>
      </c>
      <c r="G137">
        <f t="array" ref="G137">IF(ISLOGICAL(F137),"",FREQUENCY(IF('Data Transformation'!$B$24:$B$404='Bin Analysis and Plots'!$D$123,'Data Transformation'!$G$24:$G$404),'Bin Analysis and Plots'!F137))</f>
        <v>0</v>
      </c>
      <c r="H137">
        <f t="shared" si="15"/>
        <v>0</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t="e">
        <f>Weighting!$C$18</f>
        <v>#DIV/0!</v>
      </c>
      <c r="E138" t="e">
        <f>Weighting!$E$18</f>
        <v>#NUM!</v>
      </c>
      <c r="F138" t="e">
        <f>IF(E138=1,'Data Transformation'!$G$3+0.5*'Data Transformation'!$U$25,IF(E139=1,F139-'Data Transformation'!$U$25,FALSE))</f>
        <v>#NUM!</v>
      </c>
      <c r="G138">
        <f t="array" ref="G138">IF(ISLOGICAL(F138),"",FREQUENCY(IF('Data Transformation'!$B$24:$B$404='Bin Analysis and Plots'!$D$123,'Data Transformation'!$G$24:$G$404),'Bin Analysis and Plots'!F138))</f>
        <v>0</v>
      </c>
      <c r="H138">
        <f t="shared" si="15"/>
        <v>0</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t="e">
        <f>Weighting!$C$19</f>
        <v>#DIV/0!</v>
      </c>
      <c r="E139" t="e">
        <f>Weighting!$E$19</f>
        <v>#NUM!</v>
      </c>
      <c r="F139" t="e">
        <f>IF(E139=1,'Data Transformation'!$G$3+0.5*'Data Transformation'!$U$25,IF(E140=1,F140-'Data Transformation'!$U$25,FALSE))</f>
        <v>#NUM!</v>
      </c>
      <c r="G139">
        <f t="array" ref="G139">IF(ISLOGICAL(F139),"",FREQUENCY(IF('Data Transformation'!$B$24:$B$404='Bin Analysis and Plots'!$D$123,'Data Transformation'!$G$24:$G$404),'Bin Analysis and Plots'!F139))</f>
        <v>0</v>
      </c>
      <c r="H139">
        <f t="shared" si="15"/>
        <v>0</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t="e">
        <f>Weighting!$C$20</f>
        <v>#DIV/0!</v>
      </c>
      <c r="E140" t="e">
        <f>Weighting!$E$20</f>
        <v>#NUM!</v>
      </c>
      <c r="F140" t="e">
        <f>IF(E140=1,'Data Transformation'!$G$3+0.5*'Data Transformation'!$U$25,IF(E141=1,F141-'Data Transformation'!$U$25,FALSE))</f>
        <v>#NUM!</v>
      </c>
      <c r="G140">
        <f t="array" ref="G140">IF(ISLOGICAL(F140),"",FREQUENCY(IF('Data Transformation'!$B$24:$B$404='Bin Analysis and Plots'!$D$123,'Data Transformation'!$G$24:$G$404),'Bin Analysis and Plots'!F140))</f>
        <v>0</v>
      </c>
      <c r="H140">
        <f t="shared" si="15"/>
        <v>0</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t="e">
        <f>Weighting!$C$21</f>
        <v>#DIV/0!</v>
      </c>
      <c r="E141" t="e">
        <f>Weighting!$E$21</f>
        <v>#NUM!</v>
      </c>
      <c r="F141" t="e">
        <f>IF(E141=1,'Data Transformation'!$G$3+0.5*'Data Transformation'!$U$25,IF(E142=1,F142-'Data Transformation'!$U$25,FALSE))</f>
        <v>#NUM!</v>
      </c>
      <c r="G141">
        <f t="array" ref="G141">IF(ISLOGICAL(F141),"",FREQUENCY(IF('Data Transformation'!$B$24:$B$404='Bin Analysis and Plots'!$D$123,'Data Transformation'!$G$24:$G$404),'Bin Analysis and Plots'!F141))</f>
        <v>0</v>
      </c>
      <c r="H141">
        <f t="shared" si="15"/>
        <v>0</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t="e">
        <f>Weighting!$C$22</f>
        <v>#DIV/0!</v>
      </c>
      <c r="E142" t="e">
        <f>Weighting!$E$22</f>
        <v>#NUM!</v>
      </c>
      <c r="F142" t="e">
        <f>IF(E142=1,'Data Transformation'!$G$3+0.5*'Data Transformation'!$U$25,IF(E143=1,F143-'Data Transformation'!$U$25,FALSE))</f>
        <v>#NUM!</v>
      </c>
      <c r="G142">
        <f t="array" ref="G142">IF(ISLOGICAL(F142),"",FREQUENCY(IF('Data Transformation'!$B$24:$B$404='Bin Analysis and Plots'!$D$123,'Data Transformation'!$G$24:$G$404),'Bin Analysis and Plots'!F142))</f>
        <v>0</v>
      </c>
      <c r="H142">
        <f t="shared" si="15"/>
        <v>0</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t="e">
        <f>Weighting!$C$23</f>
        <v>#DIV/0!</v>
      </c>
      <c r="E143" t="e">
        <f>Weighting!$E$23</f>
        <v>#NUM!</v>
      </c>
      <c r="F143" t="e">
        <f>IF(E143=1,'Data Transformation'!$G$3+0.5*'Data Transformation'!$U$25,IF(E144=1,F144-'Data Transformation'!$U$25,FALSE))</f>
        <v>#NUM!</v>
      </c>
      <c r="G143">
        <f t="array" ref="G143">IF(ISLOGICAL(F143),"",FREQUENCY(IF('Data Transformation'!$B$24:$B$404='Bin Analysis and Plots'!$D$123,'Data Transformation'!$G$24:$G$404),'Bin Analysis and Plots'!F143))</f>
        <v>0</v>
      </c>
      <c r="H143">
        <f t="shared" si="15"/>
        <v>0</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t="e">
        <f>Weighting!$C$24</f>
        <v>#DIV/0!</v>
      </c>
      <c r="E144" t="e">
        <f>Weighting!$E$24</f>
        <v>#NUM!</v>
      </c>
      <c r="F144" t="e">
        <f>IF(E144=1,'Data Transformation'!$G$3+0.5*'Data Transformation'!$U$25,IF(E145=1,F145-'Data Transformation'!$U$25,FALSE))</f>
        <v>#NUM!</v>
      </c>
      <c r="G144">
        <f t="array" ref="G144">IF(ISLOGICAL(F144),"",FREQUENCY(IF('Data Transformation'!$B$24:$B$404='Bin Analysis and Plots'!$D$123,'Data Transformation'!$G$24:$G$404),'Bin Analysis and Plots'!F144))</f>
        <v>0</v>
      </c>
      <c r="H144">
        <f t="shared" si="15"/>
        <v>0</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b">
        <f t="array" ref="A145">IF(ISERROR(INDEX('Data Transformation'!$B$4:$G$450,SMALL(IF('Data Transformation'!$B$4:$B$450='Bin Analysis and Plots'!D123,ROW('Data Transformation'!$B$4:$B$450)),ROW($20:$20))-3,3)),"",INDEX('Data Transformation'!$B$4:$G$450,SMALL(IF('Data Transformation'!$B$4:$B$450='Bin Analysis and Plots'!D123,ROW('Data Transformation'!$B$4:$B$450)),ROW($20:$20))-3,6))</f>
        <v>0</v>
      </c>
      <c r="B145" s="29" t="str">
        <f>IFERROR(SMALL(A126:A145,'Data Transformation'!$L$25),"")</f>
        <v/>
      </c>
      <c r="C145" s="41" t="str">
        <f>IF(Weighting!$O$25&gt;0,D145,"")</f>
        <v/>
      </c>
      <c r="D145" t="e">
        <f>Weighting!$C$25</f>
        <v>#DIV/0!</v>
      </c>
      <c r="E145" t="e">
        <f>Weighting!$E$25</f>
        <v>#NUM!</v>
      </c>
      <c r="F145" t="e">
        <f>IF(E145=1,'Data Transformation'!$G$3+0.5*'Data Transformation'!$U$25,IF(E146=1,F146-'Data Transformation'!$U$25,FALSE))</f>
        <v>#NUM!</v>
      </c>
      <c r="G145">
        <f t="array" ref="G145">IF(ISLOGICAL(F145),"",FREQUENCY(IF('Data Transformation'!$B$24:$B$404='Bin Analysis and Plots'!$D$123,'Data Transformation'!$G$24:$G$404),'Bin Analysis and Plots'!F145))</f>
        <v>0</v>
      </c>
      <c r="H145">
        <f t="shared" si="15"/>
        <v>0</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2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2" t="s">
        <v>64</v>
      </c>
      <c r="B148" s="92"/>
      <c r="C148" s="14" t="s">
        <v>72</v>
      </c>
      <c r="D148" t="s">
        <v>50</v>
      </c>
      <c r="E148" t="s">
        <v>5</v>
      </c>
      <c r="I148" t="s">
        <v>75</v>
      </c>
      <c r="J148" t="s">
        <v>34</v>
      </c>
      <c r="K148" t="s">
        <v>35</v>
      </c>
      <c r="L148" t="s">
        <v>49</v>
      </c>
      <c r="M148" s="14" t="s">
        <v>48</v>
      </c>
      <c r="Z148" s="78">
        <v>0</v>
      </c>
      <c r="AA148" s="78">
        <v>0</v>
      </c>
    </row>
    <row r="149" spans="1:27">
      <c r="C149" s="41" t="str">
        <f>IF(B149="","",D149)</f>
        <v/>
      </c>
      <c r="F149" t="e">
        <f>IF(E149=1,'Data Transformation'!$G$3+0.5*'Data Transformation'!$U$25,IF(E150=1,F150-'Data Transformation'!$U$25,FALSE))</f>
        <v>#NUM!</v>
      </c>
      <c r="G149">
        <f t="array" ref="G149">IF(ISLOGICAL(F149),"",FREQUENCY(IF('Data Transformation'!$B$24:$B$404='Bin Analysis and Plots'!$D$147,'Data Transformation'!$G$24:$G$404),'Bin Analysis and Plots'!F149))</f>
        <v>0</v>
      </c>
      <c r="H149">
        <f>IF(ISLOGICAL(F149),"",G149-G148)</f>
        <v>0</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t="e">
        <f>IF(Weighting!$O$6&gt;0,D150,"")</f>
        <v>#NUM!</v>
      </c>
      <c r="D150" t="e">
        <f>Weighting!$C$6</f>
        <v>#DIV/0!</v>
      </c>
      <c r="E150" t="e">
        <f>Weighting!$E$6</f>
        <v>#NUM!</v>
      </c>
      <c r="F150" t="e">
        <f>IF(E150=1,'Data Transformation'!$G$3+0.5*'Data Transformation'!$U$25,IF(E151=1,F151-'Data Transformation'!$U$25,FALSE))</f>
        <v>#NUM!</v>
      </c>
      <c r="G150">
        <f t="array" ref="G150">IF(ISLOGICAL(F150),"",FREQUENCY(IF('Data Transformation'!$B$24:$B$404='Bin Analysis and Plots'!$D$147,'Data Transformation'!$G$24:$G$404),'Bin Analysis and Plots'!F150))</f>
        <v>0</v>
      </c>
      <c r="H150">
        <f>IF(ISLOGICAL(F150),"",G150-G149)</f>
        <v>0</v>
      </c>
      <c r="I150">
        <f>Weighting!$G$6</f>
        <v>1</v>
      </c>
      <c r="J150">
        <f t="array" ref="J150">FREQUENCY(IF('Data Transformation'!$B$4:$B$404=D147,'Data Transformation'!$G$4:$G$404),'Bin Analysis and Plots'!$D150)</f>
        <v>0</v>
      </c>
      <c r="K150">
        <f>J150-J149</f>
        <v>0</v>
      </c>
      <c r="L150">
        <f>IF(K150=0,0,1)</f>
        <v>0</v>
      </c>
      <c r="M150" t="e">
        <f>L150*Weighting!$V$6</f>
        <v>#NUM!</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t="str">
        <f>IF(Weighting!$O$7&gt;0,D151,"")</f>
        <v/>
      </c>
      <c r="D151" t="e">
        <f>Weighting!$C$7</f>
        <v>#DIV/0!</v>
      </c>
      <c r="E151" t="e">
        <f>Weighting!$E$7</f>
        <v>#NUM!</v>
      </c>
      <c r="F151" t="e">
        <f>IF(E151=1,'Data Transformation'!$G$3+0.5*'Data Transformation'!$U$25,IF(E152=1,F152-'Data Transformation'!$U$25,FALSE))</f>
        <v>#NUM!</v>
      </c>
      <c r="G151">
        <f t="array" ref="G151">IF(ISLOGICAL(F151),"",FREQUENCY(IF('Data Transformation'!$B$24:$B$404='Bin Analysis and Plots'!$D$147,'Data Transformation'!$G$24:$G$404),'Bin Analysis and Plots'!F151))</f>
        <v>0</v>
      </c>
      <c r="H151">
        <f t="shared" ref="H151:H169" si="18">IF(ISLOGICAL(F151),"",G151-G150)</f>
        <v>0</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t="str">
        <f>IF(Weighting!$O$8&gt;0,D152,"")</f>
        <v/>
      </c>
      <c r="D152" t="e">
        <f>Weighting!$C$8</f>
        <v>#DIV/0!</v>
      </c>
      <c r="E152" t="e">
        <f>Weighting!$E$8</f>
        <v>#NUM!</v>
      </c>
      <c r="F152" t="e">
        <f>IF(E152=1,'Data Transformation'!$G$3+0.5*'Data Transformation'!$U$25,IF(E153=1,F153-'Data Transformation'!$U$25,FALSE))</f>
        <v>#NUM!</v>
      </c>
      <c r="G152">
        <f t="array" ref="G152">IF(ISLOGICAL(F152),"",FREQUENCY(IF('Data Transformation'!$B$24:$B$404='Bin Analysis and Plots'!$D$147,'Data Transformation'!$G$24:$G$404),'Bin Analysis and Plots'!F152))</f>
        <v>0</v>
      </c>
      <c r="H152">
        <f t="shared" si="18"/>
        <v>0</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t="str">
        <f>IF(Weighting!$O$9&gt;0,D153,"")</f>
        <v/>
      </c>
      <c r="D153" t="e">
        <f>Weighting!$B$9</f>
        <v>#DIV/0!</v>
      </c>
      <c r="E153" t="e">
        <f>Weighting!$E$9</f>
        <v>#NUM!</v>
      </c>
      <c r="F153" t="e">
        <f>IF(E153=1,'Data Transformation'!$G$3+0.5*'Data Transformation'!$U$25,IF(E154=1,F154-'Data Transformation'!$U$25,FALSE))</f>
        <v>#NUM!</v>
      </c>
      <c r="G153">
        <f t="array" ref="G153">IF(ISLOGICAL(F153),"",FREQUENCY(IF('Data Transformation'!$B$24:$B$404='Bin Analysis and Plots'!$D$147,'Data Transformation'!$G$24:$G$404),'Bin Analysis and Plots'!F153))</f>
        <v>0</v>
      </c>
      <c r="H153">
        <f t="shared" si="18"/>
        <v>0</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t="str">
        <f>IF(Weighting!$O$10&gt;0,D154,"")</f>
        <v/>
      </c>
      <c r="D154" t="e">
        <f>Weighting!$C$10</f>
        <v>#DIV/0!</v>
      </c>
      <c r="E154" t="e">
        <f>Weighting!$E$10</f>
        <v>#NUM!</v>
      </c>
      <c r="F154" t="e">
        <f>IF(E154=1,'Data Transformation'!$G$3+0.5*'Data Transformation'!$U$25,IF(E155=1,F155-'Data Transformation'!$U$25,FALSE))</f>
        <v>#NUM!</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t="str">
        <f>IF(Weighting!$O$11&gt;0,D155,"")</f>
        <v/>
      </c>
      <c r="D155" t="e">
        <f>Weighting!$C$11</f>
        <v>#DIV/0!</v>
      </c>
      <c r="E155" t="e">
        <f>Weighting!$E$11</f>
        <v>#NUM!</v>
      </c>
      <c r="F155" t="e">
        <f>IF(E155=1,'Data Transformation'!$G$3+0.5*'Data Transformation'!$U$25,IF(E156=1,F156-'Data Transformation'!$U$25,FALSE))</f>
        <v>#NUM!</v>
      </c>
      <c r="G155">
        <f t="array" ref="G155">IF(ISLOGICAL(F155),"",FREQUENCY(IF('Data Transformation'!$B$24:$B$404='Bin Analysis and Plots'!$D$147,'Data Transformation'!$G$24:$G$404),'Bin Analysis and Plots'!F155))</f>
        <v>0</v>
      </c>
      <c r="H155">
        <f t="shared" si="18"/>
        <v>0</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t="str">
        <f>IF(Weighting!$O$12&gt;0,D156,"")</f>
        <v/>
      </c>
      <c r="D156" t="e">
        <f>Weighting!$C$12</f>
        <v>#DIV/0!</v>
      </c>
      <c r="E156" t="e">
        <f>Weighting!$E$12</f>
        <v>#NUM!</v>
      </c>
      <c r="F156" t="e">
        <f>IF(E156=1,'Data Transformation'!$G$3+0.5*'Data Transformation'!$U$25,IF(E157=1,F157-'Data Transformation'!$U$25,FALSE))</f>
        <v>#NUM!</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t="e">
        <f>Weighting!$C$13</f>
        <v>#DIV/0!</v>
      </c>
      <c r="E157" t="e">
        <f>Weighting!$E$13</f>
        <v>#NUM!</v>
      </c>
      <c r="F157" t="e">
        <f>IF(E157=1,'Data Transformation'!$G$3+0.5*'Data Transformation'!$U$25,IF(E158=1,F158-'Data Transformation'!$U$25,FALSE))</f>
        <v>#NUM!</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t="e">
        <f>Weighting!$C$14</f>
        <v>#DIV/0!</v>
      </c>
      <c r="E158" t="e">
        <f>Weighting!$E$14</f>
        <v>#NUM!</v>
      </c>
      <c r="F158" t="e">
        <f>IF(E158=1,'Data Transformation'!$G$3+0.5*'Data Transformation'!$U$25,IF(E159=1,F159-'Data Transformation'!$U$25,FALSE))</f>
        <v>#NUM!</v>
      </c>
      <c r="G158">
        <f t="array" ref="G158">IF(ISLOGICAL(F158),"",FREQUENCY(IF('Data Transformation'!$B$24:$B$404='Bin Analysis and Plots'!$D$147,'Data Transformation'!$G$24:$G$404),'Bin Analysis and Plots'!F158))</f>
        <v>0</v>
      </c>
      <c r="H158">
        <f t="shared" si="18"/>
        <v>0</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t="e">
        <f>Weighting!$C$15</f>
        <v>#DIV/0!</v>
      </c>
      <c r="E159" t="e">
        <f>Weighting!$E$15</f>
        <v>#NUM!</v>
      </c>
      <c r="F159" t="e">
        <f>IF(E159=1,'Data Transformation'!$G$3+0.5*'Data Transformation'!$U$25,IF(E160=1,F160-'Data Transformation'!$U$25,FALSE))</f>
        <v>#NUM!</v>
      </c>
      <c r="G159">
        <f t="array" ref="G159">IF(ISLOGICAL(F159),"",FREQUENCY(IF('Data Transformation'!$B$24:$B$404='Bin Analysis and Plots'!$D$147,'Data Transformation'!$G$24:$G$404),'Bin Analysis and Plots'!F159))</f>
        <v>0</v>
      </c>
      <c r="H159">
        <f t="shared" si="18"/>
        <v>0</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t="e">
        <f>Weighting!$C$16</f>
        <v>#DIV/0!</v>
      </c>
      <c r="E160" t="e">
        <f>Weighting!$E$16</f>
        <v>#NUM!</v>
      </c>
      <c r="F160" t="e">
        <f>IF(E160=1,'Data Transformation'!$G$3+0.5*'Data Transformation'!$U$25,IF(E161=1,F161-'Data Transformation'!$U$25,FALSE))</f>
        <v>#NUM!</v>
      </c>
      <c r="G160">
        <f t="array" ref="G160">IF(ISLOGICAL(F160),"",FREQUENCY(IF('Data Transformation'!$B$24:$B$404='Bin Analysis and Plots'!$D$147,'Data Transformation'!$G$24:$G$404),'Bin Analysis and Plots'!F160))</f>
        <v>0</v>
      </c>
      <c r="H160">
        <f t="shared" si="18"/>
        <v>0</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t="e">
        <f>Weighting!$C$17</f>
        <v>#DIV/0!</v>
      </c>
      <c r="E161" t="e">
        <f>Weighting!$E$17</f>
        <v>#NUM!</v>
      </c>
      <c r="F161" t="e">
        <f>IF(E161=1,'Data Transformation'!$G$3+0.5*'Data Transformation'!$U$25,IF(E162=1,F162-'Data Transformation'!$U$25,FALSE))</f>
        <v>#NUM!</v>
      </c>
      <c r="G161">
        <f t="array" ref="G161">IF(ISLOGICAL(F161),"",FREQUENCY(IF('Data Transformation'!$B$24:$B$404='Bin Analysis and Plots'!$D$147,'Data Transformation'!$G$24:$G$404),'Bin Analysis and Plots'!F161))</f>
        <v>0</v>
      </c>
      <c r="H161">
        <f t="shared" si="18"/>
        <v>0</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t="e">
        <f>Weighting!$C$18</f>
        <v>#DIV/0!</v>
      </c>
      <c r="E162" t="e">
        <f>Weighting!$E$18</f>
        <v>#NUM!</v>
      </c>
      <c r="F162" t="e">
        <f>IF(E162=1,'Data Transformation'!$G$3+0.5*'Data Transformation'!$U$25,IF(E163=1,F163-'Data Transformation'!$U$25,FALSE))</f>
        <v>#NUM!</v>
      </c>
      <c r="G162">
        <f t="array" ref="G162">IF(ISLOGICAL(F162),"",FREQUENCY(IF('Data Transformation'!$B$24:$B$404='Bin Analysis and Plots'!$D$147,'Data Transformation'!$G$24:$G$404),'Bin Analysis and Plots'!F162))</f>
        <v>0</v>
      </c>
      <c r="H162">
        <f t="shared" si="18"/>
        <v>0</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t="e">
        <f>Weighting!$C$19</f>
        <v>#DIV/0!</v>
      </c>
      <c r="E163" t="e">
        <f>Weighting!$E$19</f>
        <v>#NUM!</v>
      </c>
      <c r="F163" t="e">
        <f>IF(E163=1,'Data Transformation'!$G$3+0.5*'Data Transformation'!$U$25,IF(E164=1,F164-'Data Transformation'!$U$25,FALSE))</f>
        <v>#NUM!</v>
      </c>
      <c r="G163">
        <f t="array" ref="G163">IF(ISLOGICAL(F163),"",FREQUENCY(IF('Data Transformation'!$B$24:$B$404='Bin Analysis and Plots'!$D$147,'Data Transformation'!$G$24:$G$404),'Bin Analysis and Plots'!F163))</f>
        <v>0</v>
      </c>
      <c r="H163">
        <f t="shared" si="18"/>
        <v>0</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t="e">
        <f>Weighting!$C$20</f>
        <v>#DIV/0!</v>
      </c>
      <c r="E164" t="e">
        <f>Weighting!$E$20</f>
        <v>#NUM!</v>
      </c>
      <c r="F164" t="e">
        <f>IF(E164=1,'Data Transformation'!$G$3+0.5*'Data Transformation'!$U$25,IF(E165=1,F165-'Data Transformation'!$U$25,FALSE))</f>
        <v>#NUM!</v>
      </c>
      <c r="G164">
        <f t="array" ref="G164">IF(ISLOGICAL(F164),"",FREQUENCY(IF('Data Transformation'!$B$24:$B$404='Bin Analysis and Plots'!$D$147,'Data Transformation'!$G$24:$G$404),'Bin Analysis and Plots'!F164))</f>
        <v>0</v>
      </c>
      <c r="H164">
        <f t="shared" si="18"/>
        <v>0</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t="e">
        <f>Weighting!$C$21</f>
        <v>#DIV/0!</v>
      </c>
      <c r="E165" t="e">
        <f>Weighting!$E$21</f>
        <v>#NUM!</v>
      </c>
      <c r="F165" t="e">
        <f>IF(E165=1,'Data Transformation'!$G$3+0.5*'Data Transformation'!$U$25,IF(E166=1,F166-'Data Transformation'!$U$25,FALSE))</f>
        <v>#NUM!</v>
      </c>
      <c r="G165">
        <f t="array" ref="G165">IF(ISLOGICAL(F165),"",FREQUENCY(IF('Data Transformation'!$B$24:$B$404='Bin Analysis and Plots'!$D$147,'Data Transformation'!$G$24:$G$404),'Bin Analysis and Plots'!F165))</f>
        <v>0</v>
      </c>
      <c r="H165">
        <f t="shared" si="18"/>
        <v>0</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t="e">
        <f>Weighting!$C$22</f>
        <v>#DIV/0!</v>
      </c>
      <c r="E166" t="e">
        <f>Weighting!$E$22</f>
        <v>#NUM!</v>
      </c>
      <c r="F166" t="e">
        <f>IF(E166=1,'Data Transformation'!$G$3+0.5*'Data Transformation'!$U$25,IF(E167=1,F167-'Data Transformation'!$U$25,FALSE))</f>
        <v>#NUM!</v>
      </c>
      <c r="G166">
        <f t="array" ref="G166">IF(ISLOGICAL(F166),"",FREQUENCY(IF('Data Transformation'!$B$24:$B$404='Bin Analysis and Plots'!$D$147,'Data Transformation'!$G$24:$G$404),'Bin Analysis and Plots'!F166))</f>
        <v>0</v>
      </c>
      <c r="H166">
        <f t="shared" si="18"/>
        <v>0</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t="e">
        <f>Weighting!$C$23</f>
        <v>#DIV/0!</v>
      </c>
      <c r="E167" t="e">
        <f>Weighting!$E$23</f>
        <v>#NUM!</v>
      </c>
      <c r="F167" t="e">
        <f>IF(E167=1,'Data Transformation'!$G$3+0.5*'Data Transformation'!$U$25,IF(E168=1,F168-'Data Transformation'!$U$25,FALSE))</f>
        <v>#NUM!</v>
      </c>
      <c r="G167">
        <f t="array" ref="G167">IF(ISLOGICAL(F167),"",FREQUENCY(IF('Data Transformation'!$B$24:$B$404='Bin Analysis and Plots'!$D$147,'Data Transformation'!$G$24:$G$404),'Bin Analysis and Plots'!F167))</f>
        <v>0</v>
      </c>
      <c r="H167">
        <f t="shared" si="18"/>
        <v>0</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t="e">
        <f>Weighting!$C$24</f>
        <v>#DIV/0!</v>
      </c>
      <c r="E168" t="e">
        <f>Weighting!$E$24</f>
        <v>#NUM!</v>
      </c>
      <c r="F168" t="e">
        <f>IF(E168=1,'Data Transformation'!$G$3+0.5*'Data Transformation'!$U$25,IF(E169=1,F169-'Data Transformation'!$U$25,FALSE))</f>
        <v>#NUM!</v>
      </c>
      <c r="G168">
        <f t="array" ref="G168">IF(ISLOGICAL(F168),"",FREQUENCY(IF('Data Transformation'!$B$24:$B$404='Bin Analysis and Plots'!$D$147,'Data Transformation'!$G$24:$G$404),'Bin Analysis and Plots'!F168))</f>
        <v>0</v>
      </c>
      <c r="H168">
        <f t="shared" si="18"/>
        <v>0</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b">
        <f t="array" ref="A169">IF(ISERROR(INDEX('Data Transformation'!$B$4:$G$450,SMALL(IF('Data Transformation'!$B$4:$B$450='Bin Analysis and Plots'!D147,ROW('Data Transformation'!$B$4:$B$450)),ROW($20:$20))-3,3)),"",INDEX('Data Transformation'!$B$4:$G$450,SMALL(IF('Data Transformation'!$B$4:$B$450='Bin Analysis and Plots'!D147,ROW('Data Transformation'!$B$4:$B$450)),ROW($20:$20))-3,6))</f>
        <v>0</v>
      </c>
      <c r="B169" s="29" t="str">
        <f>IFERROR(SMALL(A150:A169,'Data Transformation'!$L$25),"")</f>
        <v/>
      </c>
      <c r="C169" s="41" t="str">
        <f>IF(Weighting!$O$25&gt;0,D169,"")</f>
        <v/>
      </c>
      <c r="D169" t="e">
        <f>Weighting!$C$25</f>
        <v>#DIV/0!</v>
      </c>
      <c r="E169" t="e">
        <f>Weighting!$E$25</f>
        <v>#NUM!</v>
      </c>
      <c r="F169" t="e">
        <f>IF(E169=1,'Data Transformation'!$G$3+0.5*'Data Transformation'!$U$25,IF(E170=1,F170-'Data Transformation'!$U$25,FALSE))</f>
        <v>#NUM!</v>
      </c>
      <c r="G169">
        <f t="array" ref="G169">IF(ISLOGICAL(F169),"",FREQUENCY(IF('Data Transformation'!$B$24:$B$404='Bin Analysis and Plots'!$D$147,'Data Transformation'!$G$24:$G$404),'Bin Analysis and Plots'!F169))</f>
        <v>0</v>
      </c>
      <c r="H169">
        <f t="shared" si="18"/>
        <v>0</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2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2" t="s">
        <v>64</v>
      </c>
      <c r="B172" s="92"/>
      <c r="C172" s="14" t="s">
        <v>72</v>
      </c>
      <c r="D172" t="s">
        <v>50</v>
      </c>
      <c r="E172" t="s">
        <v>5</v>
      </c>
      <c r="I172" t="s">
        <v>75</v>
      </c>
      <c r="J172" t="s">
        <v>34</v>
      </c>
      <c r="K172" t="s">
        <v>35</v>
      </c>
      <c r="L172" t="s">
        <v>49</v>
      </c>
      <c r="M172" s="14" t="s">
        <v>48</v>
      </c>
      <c r="Z172" s="78">
        <v>0</v>
      </c>
      <c r="AA172" s="78">
        <v>0</v>
      </c>
    </row>
    <row r="173" spans="1:27">
      <c r="C173" s="41" t="str">
        <f>IF(B173="","",D173)</f>
        <v/>
      </c>
      <c r="F173" t="e">
        <f>IF(E173=1,'Data Transformation'!$G$3+0.5*'Data Transformation'!$U$25,IF(E174=1,F174-'Data Transformation'!$U$25,FALSE))</f>
        <v>#NUM!</v>
      </c>
      <c r="G173">
        <f t="array" ref="G173">IF(ISLOGICAL(F173),"",FREQUENCY(IF('Data Transformation'!$B$24:$B$404='Bin Analysis and Plots'!$D$171,'Data Transformation'!$G$24:$G$404),'Bin Analysis and Plots'!F173))</f>
        <v>0</v>
      </c>
      <c r="H173">
        <f>IF(ISLOGICAL(F173),"",G173-G172)</f>
        <v>0</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t="e">
        <f>IF(Weighting!$O$6&gt;0,D174,"")</f>
        <v>#NUM!</v>
      </c>
      <c r="D174" t="e">
        <f>Weighting!$C$6</f>
        <v>#DIV/0!</v>
      </c>
      <c r="E174" t="e">
        <f>Weighting!$E$6</f>
        <v>#NUM!</v>
      </c>
      <c r="F174" t="e">
        <f>IF(E174=1,'Data Transformation'!$G$3+0.5*'Data Transformation'!$U$25,IF(E175=1,F175-'Data Transformation'!$U$25,FALSE))</f>
        <v>#NUM!</v>
      </c>
      <c r="G174">
        <f t="array" ref="G174">IF(ISLOGICAL(F174),"",FREQUENCY(IF('Data Transformation'!$B$24:$B$404='Bin Analysis and Plots'!$D$171,'Data Transformation'!$G$24:$G$404),'Bin Analysis and Plots'!F174))</f>
        <v>0</v>
      </c>
      <c r="H174">
        <f>IF(ISLOGICAL(F174),"",G174-G173)</f>
        <v>0</v>
      </c>
      <c r="I174">
        <f>Weighting!$G$6</f>
        <v>1</v>
      </c>
      <c r="J174">
        <f t="array" ref="J174">FREQUENCY(IF('Data Transformation'!$B$4:$B$404=D171,'Data Transformation'!$G$4:$G$404),'Bin Analysis and Plots'!$D174)</f>
        <v>0</v>
      </c>
      <c r="K174">
        <f>J174-J173</f>
        <v>0</v>
      </c>
      <c r="L174">
        <f>IF(K174=0,0,1)</f>
        <v>0</v>
      </c>
      <c r="M174" t="e">
        <f>L174*Weighting!$V$6</f>
        <v>#NUM!</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t="str">
        <f>IF(Weighting!$O$7&gt;0,D175,"")</f>
        <v/>
      </c>
      <c r="D175" t="e">
        <f>Weighting!$C$7</f>
        <v>#DIV/0!</v>
      </c>
      <c r="E175" t="e">
        <f>Weighting!$E$7</f>
        <v>#NUM!</v>
      </c>
      <c r="F175" t="e">
        <f>IF(E175=1,'Data Transformation'!$G$3+0.5*'Data Transformation'!$U$25,IF(E176=1,F176-'Data Transformation'!$U$25,FALSE))</f>
        <v>#NUM!</v>
      </c>
      <c r="G175">
        <f t="array" ref="G175">IF(ISLOGICAL(F175),"",FREQUENCY(IF('Data Transformation'!$B$24:$B$404='Bin Analysis and Plots'!$D$171,'Data Transformation'!$G$24:$G$404),'Bin Analysis and Plots'!F175))</f>
        <v>0</v>
      </c>
      <c r="H175">
        <f t="shared" ref="H175:H193" si="21">IF(ISLOGICAL(F175),"",G175-G174)</f>
        <v>0</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t="str">
        <f>IF(Weighting!$O$8&gt;0,D176,"")</f>
        <v/>
      </c>
      <c r="D176" t="e">
        <f>Weighting!$C$8</f>
        <v>#DIV/0!</v>
      </c>
      <c r="E176" t="e">
        <f>Weighting!$E$8</f>
        <v>#NUM!</v>
      </c>
      <c r="F176" t="e">
        <f>IF(E176=1,'Data Transformation'!$G$3+0.5*'Data Transformation'!$U$25,IF(E177=1,F177-'Data Transformation'!$U$25,FALSE))</f>
        <v>#NUM!</v>
      </c>
      <c r="G176">
        <f t="array" ref="G176">IF(ISLOGICAL(F176),"",FREQUENCY(IF('Data Transformation'!$B$24:$B$404='Bin Analysis and Plots'!$D$171,'Data Transformation'!$G$24:$G$404),'Bin Analysis and Plots'!F176))</f>
        <v>0</v>
      </c>
      <c r="H176">
        <f t="shared" si="21"/>
        <v>0</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t="str">
        <f>IF(Weighting!$O$9&gt;0,D177,"")</f>
        <v/>
      </c>
      <c r="D177" t="e">
        <f>Weighting!$B$9</f>
        <v>#DIV/0!</v>
      </c>
      <c r="E177" t="e">
        <f>Weighting!$E$9</f>
        <v>#NUM!</v>
      </c>
      <c r="F177" t="e">
        <f>IF(E177=1,'Data Transformation'!$G$3+0.5*'Data Transformation'!$U$25,IF(E178=1,F178-'Data Transformation'!$U$25,FALSE))</f>
        <v>#NUM!</v>
      </c>
      <c r="G177">
        <f t="array" ref="G177">IF(ISLOGICAL(F177),"",FREQUENCY(IF('Data Transformation'!$B$24:$B$404='Bin Analysis and Plots'!$D$171,'Data Transformation'!$G$24:$G$404),'Bin Analysis and Plots'!F177))</f>
        <v>0</v>
      </c>
      <c r="H177">
        <f t="shared" si="21"/>
        <v>0</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t="str">
        <f>IF(Weighting!$O$10&gt;0,D178,"")</f>
        <v/>
      </c>
      <c r="D178" t="e">
        <f>Weighting!$C$10</f>
        <v>#DIV/0!</v>
      </c>
      <c r="E178" t="e">
        <f>Weighting!$E$10</f>
        <v>#NUM!</v>
      </c>
      <c r="F178" t="e">
        <f>IF(E178=1,'Data Transformation'!$G$3+0.5*'Data Transformation'!$U$25,IF(E179=1,F179-'Data Transformation'!$U$25,FALSE))</f>
        <v>#NUM!</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t="str">
        <f>IF(Weighting!$O$11&gt;0,D179,"")</f>
        <v/>
      </c>
      <c r="D179" t="e">
        <f>Weighting!$C$11</f>
        <v>#DIV/0!</v>
      </c>
      <c r="E179" t="e">
        <f>Weighting!$E$11</f>
        <v>#NUM!</v>
      </c>
      <c r="F179" t="e">
        <f>IF(E179=1,'Data Transformation'!$G$3+0.5*'Data Transformation'!$U$25,IF(E180=1,F180-'Data Transformation'!$U$25,FALSE))</f>
        <v>#NUM!</v>
      </c>
      <c r="G179">
        <f t="array" ref="G179">IF(ISLOGICAL(F179),"",FREQUENCY(IF('Data Transformation'!$B$24:$B$404='Bin Analysis and Plots'!$D$171,'Data Transformation'!$G$24:$G$404),'Bin Analysis and Plots'!F179))</f>
        <v>0</v>
      </c>
      <c r="H179">
        <f t="shared" si="21"/>
        <v>0</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t="str">
        <f>IF(Weighting!$O$12&gt;0,D180,"")</f>
        <v/>
      </c>
      <c r="D180" t="e">
        <f>Weighting!$C$12</f>
        <v>#DIV/0!</v>
      </c>
      <c r="E180" t="e">
        <f>Weighting!$E$12</f>
        <v>#NUM!</v>
      </c>
      <c r="F180" t="e">
        <f>IF(E180=1,'Data Transformation'!$G$3+0.5*'Data Transformation'!$U$25,IF(E181=1,F181-'Data Transformation'!$U$25,FALSE))</f>
        <v>#NUM!</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t="e">
        <f>Weighting!$C$13</f>
        <v>#DIV/0!</v>
      </c>
      <c r="E181" t="e">
        <f>Weighting!$E$13</f>
        <v>#NUM!</v>
      </c>
      <c r="F181" t="e">
        <f>IF(E181=1,'Data Transformation'!$G$3+0.5*'Data Transformation'!$U$25,IF(E182=1,F182-'Data Transformation'!$U$25,FALSE))</f>
        <v>#NUM!</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t="e">
        <f>Weighting!$C$14</f>
        <v>#DIV/0!</v>
      </c>
      <c r="E182" t="e">
        <f>Weighting!$E$14</f>
        <v>#NUM!</v>
      </c>
      <c r="F182" t="e">
        <f>IF(E182=1,'Data Transformation'!$G$3+0.5*'Data Transformation'!$U$25,IF(E183=1,F183-'Data Transformation'!$U$25,FALSE))</f>
        <v>#NUM!</v>
      </c>
      <c r="G182">
        <f t="array" ref="G182">IF(ISLOGICAL(F182),"",FREQUENCY(IF('Data Transformation'!$B$24:$B$404='Bin Analysis and Plots'!$D$171,'Data Transformation'!$G$24:$G$404),'Bin Analysis and Plots'!F182))</f>
        <v>0</v>
      </c>
      <c r="H182">
        <f t="shared" si="21"/>
        <v>0</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t="e">
        <f>Weighting!$C$15</f>
        <v>#DIV/0!</v>
      </c>
      <c r="E183" t="e">
        <f>Weighting!$E$15</f>
        <v>#NUM!</v>
      </c>
      <c r="F183" t="e">
        <f>IF(E183=1,'Data Transformation'!$G$3+0.5*'Data Transformation'!$U$25,IF(E184=1,F184-'Data Transformation'!$U$25,FALSE))</f>
        <v>#NUM!</v>
      </c>
      <c r="G183">
        <f t="array" ref="G183">IF(ISLOGICAL(F183),"",FREQUENCY(IF('Data Transformation'!$B$24:$B$404='Bin Analysis and Plots'!$D$171,'Data Transformation'!$G$24:$G$404),'Bin Analysis and Plots'!F183))</f>
        <v>0</v>
      </c>
      <c r="H183">
        <f t="shared" si="21"/>
        <v>0</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t="e">
        <f>Weighting!$C$16</f>
        <v>#DIV/0!</v>
      </c>
      <c r="E184" t="e">
        <f>Weighting!$E$16</f>
        <v>#NUM!</v>
      </c>
      <c r="F184" t="e">
        <f>IF(E184=1,'Data Transformation'!$G$3+0.5*'Data Transformation'!$U$25,IF(E185=1,F185-'Data Transformation'!$U$25,FALSE))</f>
        <v>#NUM!</v>
      </c>
      <c r="G184">
        <f t="array" ref="G184">IF(ISLOGICAL(F184),"",FREQUENCY(IF('Data Transformation'!$B$24:$B$404='Bin Analysis and Plots'!$D$171,'Data Transformation'!$G$24:$G$404),'Bin Analysis and Plots'!F184))</f>
        <v>0</v>
      </c>
      <c r="H184">
        <f t="shared" si="21"/>
        <v>0</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t="e">
        <f>Weighting!$C$17</f>
        <v>#DIV/0!</v>
      </c>
      <c r="E185" t="e">
        <f>Weighting!$E$17</f>
        <v>#NUM!</v>
      </c>
      <c r="F185" t="e">
        <f>IF(E185=1,'Data Transformation'!$G$3+0.5*'Data Transformation'!$U$25,IF(E186=1,F186-'Data Transformation'!$U$25,FALSE))</f>
        <v>#NUM!</v>
      </c>
      <c r="G185">
        <f t="array" ref="G185">IF(ISLOGICAL(F185),"",FREQUENCY(IF('Data Transformation'!$B$24:$B$404='Bin Analysis and Plots'!$D$171,'Data Transformation'!$G$24:$G$404),'Bin Analysis and Plots'!F185))</f>
        <v>0</v>
      </c>
      <c r="H185">
        <f t="shared" si="21"/>
        <v>0</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t="e">
        <f>Weighting!$C$18</f>
        <v>#DIV/0!</v>
      </c>
      <c r="E186" t="e">
        <f>Weighting!$E$18</f>
        <v>#NUM!</v>
      </c>
      <c r="F186" t="e">
        <f>IF(E186=1,'Data Transformation'!$G$3+0.5*'Data Transformation'!$U$25,IF(E187=1,F187-'Data Transformation'!$U$25,FALSE))</f>
        <v>#NUM!</v>
      </c>
      <c r="G186">
        <f t="array" ref="G186">IF(ISLOGICAL(F186),"",FREQUENCY(IF('Data Transformation'!$B$24:$B$404='Bin Analysis and Plots'!$D$171,'Data Transformation'!$G$24:$G$404),'Bin Analysis and Plots'!F186))</f>
        <v>0</v>
      </c>
      <c r="H186">
        <f t="shared" si="21"/>
        <v>0</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t="e">
        <f>Weighting!$C$19</f>
        <v>#DIV/0!</v>
      </c>
      <c r="E187" t="e">
        <f>Weighting!$E$19</f>
        <v>#NUM!</v>
      </c>
      <c r="F187" t="e">
        <f>IF(E187=1,'Data Transformation'!$G$3+0.5*'Data Transformation'!$U$25,IF(E188=1,F188-'Data Transformation'!$U$25,FALSE))</f>
        <v>#NUM!</v>
      </c>
      <c r="G187">
        <f t="array" ref="G187">IF(ISLOGICAL(F187),"",FREQUENCY(IF('Data Transformation'!$B$24:$B$404='Bin Analysis and Plots'!$D$171,'Data Transformation'!$G$24:$G$404),'Bin Analysis and Plots'!F187))</f>
        <v>0</v>
      </c>
      <c r="H187">
        <f t="shared" si="21"/>
        <v>0</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t="e">
        <f>Weighting!$C$20</f>
        <v>#DIV/0!</v>
      </c>
      <c r="E188" t="e">
        <f>Weighting!$E$20</f>
        <v>#NUM!</v>
      </c>
      <c r="F188" t="e">
        <f>IF(E188=1,'Data Transformation'!$G$3+0.5*'Data Transformation'!$U$25,IF(E189=1,F189-'Data Transformation'!$U$25,FALSE))</f>
        <v>#NUM!</v>
      </c>
      <c r="G188">
        <f t="array" ref="G188">IF(ISLOGICAL(F188),"",FREQUENCY(IF('Data Transformation'!$B$24:$B$404='Bin Analysis and Plots'!$D$171,'Data Transformation'!$G$24:$G$404),'Bin Analysis and Plots'!F188))</f>
        <v>0</v>
      </c>
      <c r="H188">
        <f t="shared" si="21"/>
        <v>0</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t="e">
        <f>Weighting!$C$21</f>
        <v>#DIV/0!</v>
      </c>
      <c r="E189" t="e">
        <f>Weighting!$E$21</f>
        <v>#NUM!</v>
      </c>
      <c r="F189" t="e">
        <f>IF(E189=1,'Data Transformation'!$G$3+0.5*'Data Transformation'!$U$25,IF(E190=1,F190-'Data Transformation'!$U$25,FALSE))</f>
        <v>#NUM!</v>
      </c>
      <c r="G189">
        <f t="array" ref="G189">IF(ISLOGICAL(F189),"",FREQUENCY(IF('Data Transformation'!$B$24:$B$404='Bin Analysis and Plots'!$D$171,'Data Transformation'!$G$24:$G$404),'Bin Analysis and Plots'!F189))</f>
        <v>0</v>
      </c>
      <c r="H189">
        <f t="shared" si="21"/>
        <v>0</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t="e">
        <f>Weighting!$C$22</f>
        <v>#DIV/0!</v>
      </c>
      <c r="E190" t="e">
        <f>Weighting!$E$22</f>
        <v>#NUM!</v>
      </c>
      <c r="F190" t="e">
        <f>IF(E190=1,'Data Transformation'!$G$3+0.5*'Data Transformation'!$U$25,IF(E191=1,F191-'Data Transformation'!$U$25,FALSE))</f>
        <v>#NUM!</v>
      </c>
      <c r="G190">
        <f t="array" ref="G190">IF(ISLOGICAL(F190),"",FREQUENCY(IF('Data Transformation'!$B$24:$B$404='Bin Analysis and Plots'!$D$171,'Data Transformation'!$G$24:$G$404),'Bin Analysis and Plots'!F190))</f>
        <v>0</v>
      </c>
      <c r="H190">
        <f t="shared" si="21"/>
        <v>0</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t="e">
        <f>Weighting!$C$23</f>
        <v>#DIV/0!</v>
      </c>
      <c r="E191" t="e">
        <f>Weighting!$E$23</f>
        <v>#NUM!</v>
      </c>
      <c r="F191" t="e">
        <f>IF(E191=1,'Data Transformation'!$G$3+0.5*'Data Transformation'!$U$25,IF(E192=1,F192-'Data Transformation'!$U$25,FALSE))</f>
        <v>#NUM!</v>
      </c>
      <c r="G191">
        <f t="array" ref="G191">IF(ISLOGICAL(F191),"",FREQUENCY(IF('Data Transformation'!$B$24:$B$404='Bin Analysis and Plots'!$D$171,'Data Transformation'!$G$24:$G$404),'Bin Analysis and Plots'!F191))</f>
        <v>0</v>
      </c>
      <c r="H191">
        <f t="shared" si="21"/>
        <v>0</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t="e">
        <f>Weighting!$C$24</f>
        <v>#DIV/0!</v>
      </c>
      <c r="E192" t="e">
        <f>Weighting!$E$24</f>
        <v>#NUM!</v>
      </c>
      <c r="F192" t="e">
        <f>IF(E192=1,'Data Transformation'!$G$3+0.5*'Data Transformation'!$U$25,IF(E193=1,F193-'Data Transformation'!$U$25,FALSE))</f>
        <v>#NUM!</v>
      </c>
      <c r="G192">
        <f t="array" ref="G192">IF(ISLOGICAL(F192),"",FREQUENCY(IF('Data Transformation'!$B$24:$B$404='Bin Analysis and Plots'!$D$171,'Data Transformation'!$G$24:$G$404),'Bin Analysis and Plots'!F192))</f>
        <v>0</v>
      </c>
      <c r="H192">
        <f t="shared" si="21"/>
        <v>0</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b">
        <f t="array" ref="A193">IF(ISERROR(INDEX('Data Transformation'!$B$4:$G$450,SMALL(IF('Data Transformation'!$B$4:$B$450='Bin Analysis and Plots'!D171,ROW('Data Transformation'!$B$4:$B$450)),ROW($20:$20))-3,3)),"",INDEX('Data Transformation'!$B$4:$G$450,SMALL(IF('Data Transformation'!$B$4:$B$450='Bin Analysis and Plots'!D171,ROW('Data Transformation'!$B$4:$B$450)),ROW($20:$20))-3,6))</f>
        <v>0</v>
      </c>
      <c r="B193" s="29" t="str">
        <f>IFERROR(SMALL(A174:A193,'Data Transformation'!$L$25),"")</f>
        <v/>
      </c>
      <c r="C193" s="41" t="str">
        <f>IF(Weighting!$O$25&gt;0,D193,"")</f>
        <v/>
      </c>
      <c r="D193" t="e">
        <f>Weighting!$C$25</f>
        <v>#DIV/0!</v>
      </c>
      <c r="E193" t="e">
        <f>Weighting!$E$25</f>
        <v>#NUM!</v>
      </c>
      <c r="F193" t="e">
        <f>IF(E193=1,'Data Transformation'!$G$3+0.5*'Data Transformation'!$U$25,IF(E194=1,F194-'Data Transformation'!$U$25,FALSE))</f>
        <v>#NUM!</v>
      </c>
      <c r="G193">
        <f t="array" ref="G193">IF(ISLOGICAL(F193),"",FREQUENCY(IF('Data Transformation'!$B$24:$B$404='Bin Analysis and Plots'!$D$171,'Data Transformation'!$G$24:$G$404),'Bin Analysis and Plots'!F193))</f>
        <v>0</v>
      </c>
      <c r="H193">
        <f t="shared" si="21"/>
        <v>0</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2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2" t="s">
        <v>64</v>
      </c>
      <c r="B196" s="92"/>
      <c r="C196" s="14" t="s">
        <v>72</v>
      </c>
      <c r="D196" t="s">
        <v>50</v>
      </c>
      <c r="E196" t="s">
        <v>5</v>
      </c>
      <c r="I196" t="s">
        <v>75</v>
      </c>
      <c r="J196" t="s">
        <v>34</v>
      </c>
      <c r="K196" t="s">
        <v>35</v>
      </c>
      <c r="L196" t="s">
        <v>49</v>
      </c>
      <c r="M196" s="14" t="s">
        <v>48</v>
      </c>
      <c r="Z196" s="78">
        <v>0</v>
      </c>
      <c r="AA196" s="78">
        <v>0</v>
      </c>
    </row>
    <row r="197" spans="1:27">
      <c r="C197" s="41" t="str">
        <f>IF(B197="","",D197)</f>
        <v/>
      </c>
      <c r="F197" t="e">
        <f>IF(E197=1,'Data Transformation'!$G$3+0.5*'Data Transformation'!$U$25,IF(E198=1,F198-'Data Transformation'!$U$25,FALSE))</f>
        <v>#NUM!</v>
      </c>
      <c r="G197">
        <f t="array" ref="G197">IF(ISLOGICAL(F197),"",FREQUENCY(IF('Data Transformation'!$B$24:$B$404='Bin Analysis and Plots'!$D$195,'Data Transformation'!$G$24:$G$404),'Bin Analysis and Plots'!F197))</f>
        <v>0</v>
      </c>
      <c r="H197">
        <f>IF(ISLOGICAL(F197),"",G197-G196)</f>
        <v>0</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t="e">
        <f>IF(Weighting!$O$6&gt;0,D198,"")</f>
        <v>#NUM!</v>
      </c>
      <c r="D198" t="e">
        <f>Weighting!$C$6</f>
        <v>#DIV/0!</v>
      </c>
      <c r="E198" t="e">
        <f>Weighting!$E$6</f>
        <v>#NUM!</v>
      </c>
      <c r="F198" t="e">
        <f>IF(E198=1,'Data Transformation'!$G$3+0.5*'Data Transformation'!$U$25,IF(E199=1,F199-'Data Transformation'!$U$25,FALSE))</f>
        <v>#NUM!</v>
      </c>
      <c r="G198">
        <f t="array" ref="G198">IF(ISLOGICAL(F198),"",FREQUENCY(IF('Data Transformation'!$B$24:$B$404='Bin Analysis and Plots'!$D$195,'Data Transformation'!$G$24:$G$404),'Bin Analysis and Plots'!F198))</f>
        <v>0</v>
      </c>
      <c r="H198">
        <f>IF(ISLOGICAL(F198),"",G198-G197)</f>
        <v>0</v>
      </c>
      <c r="I198">
        <f>Weighting!$G$6</f>
        <v>1</v>
      </c>
      <c r="J198">
        <f t="array" ref="J198">FREQUENCY(IF('Data Transformation'!$B$4:$B$404=D195,'Data Transformation'!$G$4:$G$404),'Bin Analysis and Plots'!$D198)</f>
        <v>0</v>
      </c>
      <c r="K198">
        <f>J198-J197</f>
        <v>0</v>
      </c>
      <c r="L198">
        <f>IF(K198=0,0,1)</f>
        <v>0</v>
      </c>
      <c r="M198" t="e">
        <f>L198*Weighting!$V$6</f>
        <v>#NUM!</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t="str">
        <f>IF(Weighting!$O$7&gt;0,D199,"")</f>
        <v/>
      </c>
      <c r="D199" t="e">
        <f>Weighting!$C$7</f>
        <v>#DIV/0!</v>
      </c>
      <c r="E199" t="e">
        <f>Weighting!$E$7</f>
        <v>#NUM!</v>
      </c>
      <c r="F199" t="e">
        <f>IF(E199=1,'Data Transformation'!$G$3+0.5*'Data Transformation'!$U$25,IF(E200=1,F200-'Data Transformation'!$U$25,FALSE))</f>
        <v>#NUM!</v>
      </c>
      <c r="G199">
        <f t="array" ref="G199">IF(ISLOGICAL(F199),"",FREQUENCY(IF('Data Transformation'!$B$24:$B$404='Bin Analysis and Plots'!$D$195,'Data Transformation'!$G$24:$G$404),'Bin Analysis and Plots'!F199))</f>
        <v>0</v>
      </c>
      <c r="H199">
        <f t="shared" ref="H199:H217" si="24">IF(ISLOGICAL(F199),"",G199-G198)</f>
        <v>0</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t="str">
        <f>IF(Weighting!$O$8&gt;0,D200,"")</f>
        <v/>
      </c>
      <c r="D200" t="e">
        <f>Weighting!$C$8</f>
        <v>#DIV/0!</v>
      </c>
      <c r="E200" t="e">
        <f>Weighting!$E$8</f>
        <v>#NUM!</v>
      </c>
      <c r="F200" t="e">
        <f>IF(E200=1,'Data Transformation'!$G$3+0.5*'Data Transformation'!$U$25,IF(E201=1,F201-'Data Transformation'!$U$25,FALSE))</f>
        <v>#NUM!</v>
      </c>
      <c r="G200">
        <f t="array" ref="G200">IF(ISLOGICAL(F200),"",FREQUENCY(IF('Data Transformation'!$B$24:$B$404='Bin Analysis and Plots'!$D$195,'Data Transformation'!$G$24:$G$404),'Bin Analysis and Plots'!F200))</f>
        <v>0</v>
      </c>
      <c r="H200">
        <f t="shared" si="24"/>
        <v>0</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t="str">
        <f>IF(Weighting!$O$9&gt;0,D201,"")</f>
        <v/>
      </c>
      <c r="D201" t="e">
        <f>Weighting!$B$9</f>
        <v>#DIV/0!</v>
      </c>
      <c r="E201" t="e">
        <f>Weighting!$E$9</f>
        <v>#NUM!</v>
      </c>
      <c r="F201" t="e">
        <f>IF(E201=1,'Data Transformation'!$G$3+0.5*'Data Transformation'!$U$25,IF(E202=1,F202-'Data Transformation'!$U$25,FALSE))</f>
        <v>#NUM!</v>
      </c>
      <c r="G201">
        <f t="array" ref="G201">IF(ISLOGICAL(F201),"",FREQUENCY(IF('Data Transformation'!$B$24:$B$404='Bin Analysis and Plots'!$D$195,'Data Transformation'!$G$24:$G$404),'Bin Analysis and Plots'!F201))</f>
        <v>0</v>
      </c>
      <c r="H201">
        <f t="shared" si="24"/>
        <v>0</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t="str">
        <f>IF(Weighting!$O$10&gt;0,D202,"")</f>
        <v/>
      </c>
      <c r="D202" t="e">
        <f>Weighting!$C$10</f>
        <v>#DIV/0!</v>
      </c>
      <c r="E202" t="e">
        <f>Weighting!$E$10</f>
        <v>#NUM!</v>
      </c>
      <c r="F202" t="e">
        <f>IF(E202=1,'Data Transformation'!$G$3+0.5*'Data Transformation'!$U$25,IF(E203=1,F203-'Data Transformation'!$U$25,FALSE))</f>
        <v>#NUM!</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t="str">
        <f>IF(Weighting!$O$11&gt;0,D203,"")</f>
        <v/>
      </c>
      <c r="D203" t="e">
        <f>Weighting!$C$11</f>
        <v>#DIV/0!</v>
      </c>
      <c r="E203" t="e">
        <f>Weighting!$E$11</f>
        <v>#NUM!</v>
      </c>
      <c r="F203" t="e">
        <f>IF(E203=1,'Data Transformation'!$G$3+0.5*'Data Transformation'!$U$25,IF(E204=1,F204-'Data Transformation'!$U$25,FALSE))</f>
        <v>#NUM!</v>
      </c>
      <c r="G203">
        <f t="array" ref="G203">IF(ISLOGICAL(F203),"",FREQUENCY(IF('Data Transformation'!$B$24:$B$404='Bin Analysis and Plots'!$D$195,'Data Transformation'!$G$24:$G$404),'Bin Analysis and Plots'!F203))</f>
        <v>0</v>
      </c>
      <c r="H203">
        <f t="shared" si="24"/>
        <v>0</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t="str">
        <f>IF(Weighting!$O$12&gt;0,D204,"")</f>
        <v/>
      </c>
      <c r="D204" t="e">
        <f>Weighting!$C$12</f>
        <v>#DIV/0!</v>
      </c>
      <c r="E204" t="e">
        <f>Weighting!$E$12</f>
        <v>#NUM!</v>
      </c>
      <c r="F204" t="e">
        <f>IF(E204=1,'Data Transformation'!$G$3+0.5*'Data Transformation'!$U$25,IF(E205=1,F205-'Data Transformation'!$U$25,FALSE))</f>
        <v>#NUM!</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t="e">
        <f>Weighting!$C$13</f>
        <v>#DIV/0!</v>
      </c>
      <c r="E205" t="e">
        <f>Weighting!$E$13</f>
        <v>#NUM!</v>
      </c>
      <c r="F205" t="e">
        <f>IF(E205=1,'Data Transformation'!$G$3+0.5*'Data Transformation'!$U$25,IF(E206=1,F206-'Data Transformation'!$U$25,FALSE))</f>
        <v>#NUM!</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t="e">
        <f>Weighting!$C$14</f>
        <v>#DIV/0!</v>
      </c>
      <c r="E206" t="e">
        <f>Weighting!$E$14</f>
        <v>#NUM!</v>
      </c>
      <c r="F206" t="e">
        <f>IF(E206=1,'Data Transformation'!$G$3+0.5*'Data Transformation'!$U$25,IF(E207=1,F207-'Data Transformation'!$U$25,FALSE))</f>
        <v>#NUM!</v>
      </c>
      <c r="G206">
        <f t="array" ref="G206">IF(ISLOGICAL(F206),"",FREQUENCY(IF('Data Transformation'!$B$24:$B$404='Bin Analysis and Plots'!$D$195,'Data Transformation'!$G$24:$G$404),'Bin Analysis and Plots'!F206))</f>
        <v>0</v>
      </c>
      <c r="H206">
        <f t="shared" si="24"/>
        <v>0</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t="e">
        <f>Weighting!$C$15</f>
        <v>#DIV/0!</v>
      </c>
      <c r="E207" t="e">
        <f>Weighting!$E$15</f>
        <v>#NUM!</v>
      </c>
      <c r="F207" t="e">
        <f>IF(E207=1,'Data Transformation'!$G$3+0.5*'Data Transformation'!$U$25,IF(E208=1,F208-'Data Transformation'!$U$25,FALSE))</f>
        <v>#NUM!</v>
      </c>
      <c r="G207">
        <f t="array" ref="G207">IF(ISLOGICAL(F207),"",FREQUENCY(IF('Data Transformation'!$B$24:$B$404='Bin Analysis and Plots'!$D$195,'Data Transformation'!$G$24:$G$404),'Bin Analysis and Plots'!F207))</f>
        <v>0</v>
      </c>
      <c r="H207">
        <f t="shared" si="24"/>
        <v>0</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t="e">
        <f>Weighting!$C$16</f>
        <v>#DIV/0!</v>
      </c>
      <c r="E208" t="e">
        <f>Weighting!$E$16</f>
        <v>#NUM!</v>
      </c>
      <c r="F208" t="e">
        <f>IF(E208=1,'Data Transformation'!$G$3+0.5*'Data Transformation'!$U$25,IF(E209=1,F209-'Data Transformation'!$U$25,FALSE))</f>
        <v>#NUM!</v>
      </c>
      <c r="G208">
        <f t="array" ref="G208">IF(ISLOGICAL(F208),"",FREQUENCY(IF('Data Transformation'!$B$24:$B$404='Bin Analysis and Plots'!$D$195,'Data Transformation'!$G$24:$G$404),'Bin Analysis and Plots'!F208))</f>
        <v>0</v>
      </c>
      <c r="H208">
        <f t="shared" si="24"/>
        <v>0</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t="e">
        <f>Weighting!$C$17</f>
        <v>#DIV/0!</v>
      </c>
      <c r="E209" t="e">
        <f>Weighting!$E$17</f>
        <v>#NUM!</v>
      </c>
      <c r="F209" t="e">
        <f>IF(E209=1,'Data Transformation'!$G$3+0.5*'Data Transformation'!$U$25,IF(E210=1,F210-'Data Transformation'!$U$25,FALSE))</f>
        <v>#NUM!</v>
      </c>
      <c r="G209">
        <f t="array" ref="G209">IF(ISLOGICAL(F209),"",FREQUENCY(IF('Data Transformation'!$B$24:$B$404='Bin Analysis and Plots'!$D$195,'Data Transformation'!$G$24:$G$404),'Bin Analysis and Plots'!F209))</f>
        <v>0</v>
      </c>
      <c r="H209">
        <f t="shared" si="24"/>
        <v>0</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t="e">
        <f>Weighting!$C$18</f>
        <v>#DIV/0!</v>
      </c>
      <c r="E210" t="e">
        <f>Weighting!$E$18</f>
        <v>#NUM!</v>
      </c>
      <c r="F210" t="e">
        <f>IF(E210=1,'Data Transformation'!$G$3+0.5*'Data Transformation'!$U$25,IF(E211=1,F211-'Data Transformation'!$U$25,FALSE))</f>
        <v>#NUM!</v>
      </c>
      <c r="G210">
        <f t="array" ref="G210">IF(ISLOGICAL(F210),"",FREQUENCY(IF('Data Transformation'!$B$24:$B$404='Bin Analysis and Plots'!$D$195,'Data Transformation'!$G$24:$G$404),'Bin Analysis and Plots'!F210))</f>
        <v>0</v>
      </c>
      <c r="H210">
        <f t="shared" si="24"/>
        <v>0</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t="e">
        <f>Weighting!$C$19</f>
        <v>#DIV/0!</v>
      </c>
      <c r="E211" t="e">
        <f>Weighting!$E$19</f>
        <v>#NUM!</v>
      </c>
      <c r="F211" t="e">
        <f>IF(E211=1,'Data Transformation'!$G$3+0.5*'Data Transformation'!$U$25,IF(E212=1,F212-'Data Transformation'!$U$25,FALSE))</f>
        <v>#NUM!</v>
      </c>
      <c r="G211">
        <f t="array" ref="G211">IF(ISLOGICAL(F211),"",FREQUENCY(IF('Data Transformation'!$B$24:$B$404='Bin Analysis and Plots'!$D$195,'Data Transformation'!$G$24:$G$404),'Bin Analysis and Plots'!F211))</f>
        <v>0</v>
      </c>
      <c r="H211">
        <f t="shared" si="24"/>
        <v>0</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t="e">
        <f>Weighting!$C$20</f>
        <v>#DIV/0!</v>
      </c>
      <c r="E212" t="e">
        <f>Weighting!$E$20</f>
        <v>#NUM!</v>
      </c>
      <c r="F212" t="e">
        <f>IF(E212=1,'Data Transformation'!$G$3+0.5*'Data Transformation'!$U$25,IF(E213=1,F213-'Data Transformation'!$U$25,FALSE))</f>
        <v>#NUM!</v>
      </c>
      <c r="G212">
        <f t="array" ref="G212">IF(ISLOGICAL(F212),"",FREQUENCY(IF('Data Transformation'!$B$24:$B$404='Bin Analysis and Plots'!$D$195,'Data Transformation'!$G$24:$G$404),'Bin Analysis and Plots'!F212))</f>
        <v>0</v>
      </c>
      <c r="H212">
        <f t="shared" si="24"/>
        <v>0</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t="e">
        <f>Weighting!$C$21</f>
        <v>#DIV/0!</v>
      </c>
      <c r="E213" t="e">
        <f>Weighting!$E$21</f>
        <v>#NUM!</v>
      </c>
      <c r="F213" t="e">
        <f>IF(E213=1,'Data Transformation'!$G$3+0.5*'Data Transformation'!$U$25,IF(E214=1,F214-'Data Transformation'!$U$25,FALSE))</f>
        <v>#NUM!</v>
      </c>
      <c r="G213">
        <f t="array" ref="G213">IF(ISLOGICAL(F213),"",FREQUENCY(IF('Data Transformation'!$B$24:$B$404='Bin Analysis and Plots'!$D$195,'Data Transformation'!$G$24:$G$404),'Bin Analysis and Plots'!F213))</f>
        <v>0</v>
      </c>
      <c r="H213">
        <f t="shared" si="24"/>
        <v>0</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t="e">
        <f>Weighting!$C$22</f>
        <v>#DIV/0!</v>
      </c>
      <c r="E214" t="e">
        <f>Weighting!$E$22</f>
        <v>#NUM!</v>
      </c>
      <c r="F214" t="e">
        <f>IF(E214=1,'Data Transformation'!$G$3+0.5*'Data Transformation'!$U$25,IF(E215=1,F215-'Data Transformation'!$U$25,FALSE))</f>
        <v>#NUM!</v>
      </c>
      <c r="G214">
        <f t="array" ref="G214">IF(ISLOGICAL(F214),"",FREQUENCY(IF('Data Transformation'!$B$24:$B$404='Bin Analysis and Plots'!$D$195,'Data Transformation'!$G$24:$G$404),'Bin Analysis and Plots'!F214))</f>
        <v>0</v>
      </c>
      <c r="H214">
        <f t="shared" si="24"/>
        <v>0</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t="e">
        <f>Weighting!$C$23</f>
        <v>#DIV/0!</v>
      </c>
      <c r="E215" t="e">
        <f>Weighting!$E$23</f>
        <v>#NUM!</v>
      </c>
      <c r="F215" t="e">
        <f>IF(E215=1,'Data Transformation'!$G$3+0.5*'Data Transformation'!$U$25,IF(E216=1,F216-'Data Transformation'!$U$25,FALSE))</f>
        <v>#NUM!</v>
      </c>
      <c r="G215">
        <f t="array" ref="G215">IF(ISLOGICAL(F215),"",FREQUENCY(IF('Data Transformation'!$B$24:$B$404='Bin Analysis and Plots'!$D$195,'Data Transformation'!$G$24:$G$404),'Bin Analysis and Plots'!F215))</f>
        <v>0</v>
      </c>
      <c r="H215">
        <f t="shared" si="24"/>
        <v>0</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t="e">
        <f>Weighting!$C$24</f>
        <v>#DIV/0!</v>
      </c>
      <c r="E216" t="e">
        <f>Weighting!$E$24</f>
        <v>#NUM!</v>
      </c>
      <c r="F216" t="e">
        <f>IF(E216=1,'Data Transformation'!$G$3+0.5*'Data Transformation'!$U$25,IF(E217=1,F217-'Data Transformation'!$U$25,FALSE))</f>
        <v>#NUM!</v>
      </c>
      <c r="G216">
        <f t="array" ref="G216">IF(ISLOGICAL(F216),"",FREQUENCY(IF('Data Transformation'!$B$24:$B$404='Bin Analysis and Plots'!$D$195,'Data Transformation'!$G$24:$G$404),'Bin Analysis and Plots'!F216))</f>
        <v>0</v>
      </c>
      <c r="H216">
        <f t="shared" si="24"/>
        <v>0</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b">
        <f t="array" ref="A217">IF(ISERROR(INDEX('Data Transformation'!$B$4:$G$450,SMALL(IF('Data Transformation'!$B$4:$B$450='Bin Analysis and Plots'!D195,ROW('Data Transformation'!$B$4:$B$450)),ROW($20:$20))-3,3)),"",INDEX('Data Transformation'!$B$4:$G$450,SMALL(IF('Data Transformation'!$B$4:$B$450='Bin Analysis and Plots'!D195,ROW('Data Transformation'!$B$4:$B$450)),ROW($20:$20))-3,6))</f>
        <v>0</v>
      </c>
      <c r="B217" s="29" t="str">
        <f>IFERROR(SMALL(A198:A217,'Data Transformation'!$L$25),"")</f>
        <v/>
      </c>
      <c r="C217" s="41" t="str">
        <f>IF(Weighting!$O$25&gt;0,D217,"")</f>
        <v/>
      </c>
      <c r="D217" t="e">
        <f>Weighting!$C$25</f>
        <v>#DIV/0!</v>
      </c>
      <c r="E217" t="e">
        <f>Weighting!$E$25</f>
        <v>#NUM!</v>
      </c>
      <c r="F217" t="e">
        <f>IF(E217=1,'Data Transformation'!$G$3+0.5*'Data Transformation'!$U$25,IF(E218=1,F218-'Data Transformation'!$U$25,FALSE))</f>
        <v>#NUM!</v>
      </c>
      <c r="G217">
        <f t="array" ref="G217">IF(ISLOGICAL(F217),"",FREQUENCY(IF('Data Transformation'!$B$24:$B$404='Bin Analysis and Plots'!$D$195,'Data Transformation'!$G$24:$G$404),'Bin Analysis and Plots'!F217))</f>
        <v>0</v>
      </c>
      <c r="H217">
        <f t="shared" si="24"/>
        <v>0</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2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2" t="s">
        <v>64</v>
      </c>
      <c r="B220" s="92"/>
      <c r="C220" s="14" t="s">
        <v>72</v>
      </c>
      <c r="D220" t="s">
        <v>50</v>
      </c>
      <c r="E220" t="s">
        <v>5</v>
      </c>
      <c r="I220" t="s">
        <v>75</v>
      </c>
      <c r="J220" t="s">
        <v>34</v>
      </c>
      <c r="K220" t="s">
        <v>35</v>
      </c>
      <c r="L220" t="s">
        <v>49</v>
      </c>
      <c r="M220" s="14" t="s">
        <v>48</v>
      </c>
      <c r="Z220" s="78">
        <v>0</v>
      </c>
      <c r="AA220" s="78">
        <v>0</v>
      </c>
    </row>
    <row r="221" spans="1:27">
      <c r="C221" s="41" t="str">
        <f>IF(B221="","",D221)</f>
        <v/>
      </c>
      <c r="F221" t="e">
        <f>IF(E221=1,'Data Transformation'!$G$3+0.5*'Data Transformation'!$U$25,IF(E222=1,F222-'Data Transformation'!$U$25,FALSE))</f>
        <v>#NUM!</v>
      </c>
      <c r="G221">
        <f t="array" ref="G221">IF(ISLOGICAL(F221),"",FREQUENCY(IF('Data Transformation'!$B$24:$B$404='Bin Analysis and Plots'!$D$219,'Data Transformation'!$G$24:$G$404),'Bin Analysis and Plots'!F221))</f>
        <v>0</v>
      </c>
      <c r="H221">
        <f>IF(ISLOGICAL(F221),"",G221-G220)</f>
        <v>0</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t="e">
        <f>IF(Weighting!$O$6&gt;0,D222,"")</f>
        <v>#NUM!</v>
      </c>
      <c r="D222" t="e">
        <f>Weighting!$C$6</f>
        <v>#DIV/0!</v>
      </c>
      <c r="E222" t="e">
        <f>Weighting!$E$6</f>
        <v>#NUM!</v>
      </c>
      <c r="F222" t="e">
        <f>IF(E222=1,'Data Transformation'!$G$3+0.5*'Data Transformation'!$U$25,IF(E223=1,F223-'Data Transformation'!$U$25,FALSE))</f>
        <v>#NUM!</v>
      </c>
      <c r="G222">
        <f t="array" ref="G222">IF(ISLOGICAL(F222),"",FREQUENCY(IF('Data Transformation'!$B$24:$B$404='Bin Analysis and Plots'!$D$219,'Data Transformation'!$G$24:$G$404),'Bin Analysis and Plots'!F222))</f>
        <v>0</v>
      </c>
      <c r="H222">
        <f>IF(ISLOGICAL(F222),"",G222-G221)</f>
        <v>0</v>
      </c>
      <c r="I222">
        <f>Weighting!$G$6</f>
        <v>1</v>
      </c>
      <c r="J222">
        <f t="array" ref="J222">FREQUENCY(IF('Data Transformation'!$B$4:$B$404=D219,'Data Transformation'!$G$4:$G$404),'Bin Analysis and Plots'!$D222)</f>
        <v>0</v>
      </c>
      <c r="K222">
        <f>J222-J221</f>
        <v>0</v>
      </c>
      <c r="L222">
        <f>IF(K222=0,0,1)</f>
        <v>0</v>
      </c>
      <c r="M222" t="e">
        <f>L222*Weighting!$V$6</f>
        <v>#NUM!</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t="str">
        <f>IF(Weighting!$O$7&gt;0,D223,"")</f>
        <v/>
      </c>
      <c r="D223" t="e">
        <f>Weighting!$C$7</f>
        <v>#DIV/0!</v>
      </c>
      <c r="E223" t="e">
        <f>Weighting!$E$7</f>
        <v>#NUM!</v>
      </c>
      <c r="F223" t="e">
        <f>IF(E223=1,'Data Transformation'!$G$3+0.5*'Data Transformation'!$U$25,IF(E224=1,F224-'Data Transformation'!$U$25,FALSE))</f>
        <v>#NUM!</v>
      </c>
      <c r="G223">
        <f t="array" ref="G223">IF(ISLOGICAL(F223),"",FREQUENCY(IF('Data Transformation'!$B$24:$B$404='Bin Analysis and Plots'!$D$219,'Data Transformation'!$G$24:$G$404),'Bin Analysis and Plots'!F223))</f>
        <v>0</v>
      </c>
      <c r="H223">
        <f t="shared" ref="H223:H241" si="27">IF(ISLOGICAL(F223),"",G223-G222)</f>
        <v>0</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t="str">
        <f>IF(Weighting!$O$8&gt;0,D224,"")</f>
        <v/>
      </c>
      <c r="D224" t="e">
        <f>Weighting!$C$8</f>
        <v>#DIV/0!</v>
      </c>
      <c r="E224" t="e">
        <f>Weighting!$E$8</f>
        <v>#NUM!</v>
      </c>
      <c r="F224" t="e">
        <f>IF(E224=1,'Data Transformation'!$G$3+0.5*'Data Transformation'!$U$25,IF(E225=1,F225-'Data Transformation'!$U$25,FALSE))</f>
        <v>#NUM!</v>
      </c>
      <c r="G224">
        <f t="array" ref="G224">IF(ISLOGICAL(F224),"",FREQUENCY(IF('Data Transformation'!$B$24:$B$404='Bin Analysis and Plots'!$D$219,'Data Transformation'!$G$24:$G$404),'Bin Analysis and Plots'!F224))</f>
        <v>0</v>
      </c>
      <c r="H224">
        <f t="shared" si="27"/>
        <v>0</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t="str">
        <f>IF(Weighting!$O$9&gt;0,D225,"")</f>
        <v/>
      </c>
      <c r="D225" t="e">
        <f>Weighting!$B$9</f>
        <v>#DIV/0!</v>
      </c>
      <c r="E225" t="e">
        <f>Weighting!$E$9</f>
        <v>#NUM!</v>
      </c>
      <c r="F225" t="e">
        <f>IF(E225=1,'Data Transformation'!$G$3+0.5*'Data Transformation'!$U$25,IF(E226=1,F226-'Data Transformation'!$U$25,FALSE))</f>
        <v>#NUM!</v>
      </c>
      <c r="G225">
        <f t="array" ref="G225">IF(ISLOGICAL(F225),"",FREQUENCY(IF('Data Transformation'!$B$24:$B$404='Bin Analysis and Plots'!$D$219,'Data Transformation'!$G$24:$G$404),'Bin Analysis and Plots'!F225))</f>
        <v>0</v>
      </c>
      <c r="H225">
        <f t="shared" si="27"/>
        <v>0</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t="str">
        <f>IF(Weighting!$O$10&gt;0,D226,"")</f>
        <v/>
      </c>
      <c r="D226" t="e">
        <f>Weighting!$C$10</f>
        <v>#DIV/0!</v>
      </c>
      <c r="E226" t="e">
        <f>Weighting!$E$10</f>
        <v>#NUM!</v>
      </c>
      <c r="F226" t="e">
        <f>IF(E226=1,'Data Transformation'!$G$3+0.5*'Data Transformation'!$U$25,IF(E227=1,F227-'Data Transformation'!$U$25,FALSE))</f>
        <v>#NUM!</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t="str">
        <f>IF(Weighting!$O$11&gt;0,D227,"")</f>
        <v/>
      </c>
      <c r="D227" t="e">
        <f>Weighting!$C$11</f>
        <v>#DIV/0!</v>
      </c>
      <c r="E227" t="e">
        <f>Weighting!$E$11</f>
        <v>#NUM!</v>
      </c>
      <c r="F227" t="e">
        <f>IF(E227=1,'Data Transformation'!$G$3+0.5*'Data Transformation'!$U$25,IF(E228=1,F228-'Data Transformation'!$U$25,FALSE))</f>
        <v>#NUM!</v>
      </c>
      <c r="G227">
        <f t="array" ref="G227">IF(ISLOGICAL(F227),"",FREQUENCY(IF('Data Transformation'!$B$24:$B$404='Bin Analysis and Plots'!$D$219,'Data Transformation'!$G$24:$G$404),'Bin Analysis and Plots'!F227))</f>
        <v>0</v>
      </c>
      <c r="H227">
        <f t="shared" si="27"/>
        <v>0</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t="str">
        <f>IF(Weighting!$O$12&gt;0,D228,"")</f>
        <v/>
      </c>
      <c r="D228" t="e">
        <f>Weighting!$C$12</f>
        <v>#DIV/0!</v>
      </c>
      <c r="E228" t="e">
        <f>Weighting!$E$12</f>
        <v>#NUM!</v>
      </c>
      <c r="F228" t="e">
        <f>IF(E228=1,'Data Transformation'!$G$3+0.5*'Data Transformation'!$U$25,IF(E229=1,F229-'Data Transformation'!$U$25,FALSE))</f>
        <v>#NUM!</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t="e">
        <f>Weighting!$C$13</f>
        <v>#DIV/0!</v>
      </c>
      <c r="E229" t="e">
        <f>Weighting!$E$13</f>
        <v>#NUM!</v>
      </c>
      <c r="F229" t="e">
        <f>IF(E229=1,'Data Transformation'!$G$3+0.5*'Data Transformation'!$U$25,IF(E230=1,F230-'Data Transformation'!$U$25,FALSE))</f>
        <v>#NUM!</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t="e">
        <f>Weighting!$C$14</f>
        <v>#DIV/0!</v>
      </c>
      <c r="E230" t="e">
        <f>Weighting!$E$14</f>
        <v>#NUM!</v>
      </c>
      <c r="F230" t="e">
        <f>IF(E230=1,'Data Transformation'!$G$3+0.5*'Data Transformation'!$U$25,IF(E231=1,F231-'Data Transformation'!$U$25,FALSE))</f>
        <v>#NUM!</v>
      </c>
      <c r="G230">
        <f t="array" ref="G230">IF(ISLOGICAL(F230),"",FREQUENCY(IF('Data Transformation'!$B$24:$B$404='Bin Analysis and Plots'!$D$219,'Data Transformation'!$G$24:$G$404),'Bin Analysis and Plots'!F230))</f>
        <v>0</v>
      </c>
      <c r="H230">
        <f t="shared" si="27"/>
        <v>0</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t="e">
        <f>Weighting!$C$15</f>
        <v>#DIV/0!</v>
      </c>
      <c r="E231" t="e">
        <f>Weighting!$E$15</f>
        <v>#NUM!</v>
      </c>
      <c r="F231" t="e">
        <f>IF(E231=1,'Data Transformation'!$G$3+0.5*'Data Transformation'!$U$25,IF(E232=1,F232-'Data Transformation'!$U$25,FALSE))</f>
        <v>#NUM!</v>
      </c>
      <c r="G231">
        <f t="array" ref="G231">IF(ISLOGICAL(F231),"",FREQUENCY(IF('Data Transformation'!$B$24:$B$404='Bin Analysis and Plots'!$D$219,'Data Transformation'!$G$24:$G$404),'Bin Analysis and Plots'!F231))</f>
        <v>0</v>
      </c>
      <c r="H231">
        <f t="shared" si="27"/>
        <v>0</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t="e">
        <f>Weighting!$C$16</f>
        <v>#DIV/0!</v>
      </c>
      <c r="E232" t="e">
        <f>Weighting!$E$16</f>
        <v>#NUM!</v>
      </c>
      <c r="F232" t="e">
        <f>IF(E232=1,'Data Transformation'!$G$3+0.5*'Data Transformation'!$U$25,IF(E233=1,F233-'Data Transformation'!$U$25,FALSE))</f>
        <v>#NUM!</v>
      </c>
      <c r="G232">
        <f t="array" ref="G232">IF(ISLOGICAL(F232),"",FREQUENCY(IF('Data Transformation'!$B$24:$B$404='Bin Analysis and Plots'!$D$219,'Data Transformation'!$G$24:$G$404),'Bin Analysis and Plots'!F232))</f>
        <v>0</v>
      </c>
      <c r="H232">
        <f t="shared" si="27"/>
        <v>0</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t="e">
        <f>Weighting!$C$17</f>
        <v>#DIV/0!</v>
      </c>
      <c r="E233" t="e">
        <f>Weighting!$E$17</f>
        <v>#NUM!</v>
      </c>
      <c r="F233" t="e">
        <f>IF(E233=1,'Data Transformation'!$G$3+0.5*'Data Transformation'!$U$25,IF(E234=1,F234-'Data Transformation'!$U$25,FALSE))</f>
        <v>#NUM!</v>
      </c>
      <c r="G233">
        <f t="array" ref="G233">IF(ISLOGICAL(F233),"",FREQUENCY(IF('Data Transformation'!$B$24:$B$404='Bin Analysis and Plots'!$D$219,'Data Transformation'!$G$24:$G$404),'Bin Analysis and Plots'!F233))</f>
        <v>0</v>
      </c>
      <c r="H233">
        <f t="shared" si="27"/>
        <v>0</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t="e">
        <f>Weighting!$C$18</f>
        <v>#DIV/0!</v>
      </c>
      <c r="E234" t="e">
        <f>Weighting!$E$18</f>
        <v>#NUM!</v>
      </c>
      <c r="F234" t="e">
        <f>IF(E234=1,'Data Transformation'!$G$3+0.5*'Data Transformation'!$U$25,IF(E235=1,F235-'Data Transformation'!$U$25,FALSE))</f>
        <v>#NUM!</v>
      </c>
      <c r="G234">
        <f t="array" ref="G234">IF(ISLOGICAL(F234),"",FREQUENCY(IF('Data Transformation'!$B$24:$B$404='Bin Analysis and Plots'!$D$219,'Data Transformation'!$G$24:$G$404),'Bin Analysis and Plots'!F234))</f>
        <v>0</v>
      </c>
      <c r="H234">
        <f t="shared" si="27"/>
        <v>0</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t="e">
        <f>Weighting!$C$19</f>
        <v>#DIV/0!</v>
      </c>
      <c r="E235" t="e">
        <f>Weighting!$E$19</f>
        <v>#NUM!</v>
      </c>
      <c r="F235" t="e">
        <f>IF(E235=1,'Data Transformation'!$G$3+0.5*'Data Transformation'!$U$25,IF(E236=1,F236-'Data Transformation'!$U$25,FALSE))</f>
        <v>#NUM!</v>
      </c>
      <c r="G235">
        <f t="array" ref="G235">IF(ISLOGICAL(F235),"",FREQUENCY(IF('Data Transformation'!$B$24:$B$404='Bin Analysis and Plots'!$D$219,'Data Transformation'!$G$24:$G$404),'Bin Analysis and Plots'!F235))</f>
        <v>0</v>
      </c>
      <c r="H235">
        <f t="shared" si="27"/>
        <v>0</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t="e">
        <f>Weighting!$C$20</f>
        <v>#DIV/0!</v>
      </c>
      <c r="E236" t="e">
        <f>Weighting!$E$20</f>
        <v>#NUM!</v>
      </c>
      <c r="F236" t="e">
        <f>IF(E236=1,'Data Transformation'!$G$3+0.5*'Data Transformation'!$U$25,IF(E237=1,F237-'Data Transformation'!$U$25,FALSE))</f>
        <v>#NUM!</v>
      </c>
      <c r="G236">
        <f t="array" ref="G236">IF(ISLOGICAL(F236),"",FREQUENCY(IF('Data Transformation'!$B$24:$B$404='Bin Analysis and Plots'!$D$219,'Data Transformation'!$G$24:$G$404),'Bin Analysis and Plots'!F236))</f>
        <v>0</v>
      </c>
      <c r="H236">
        <f t="shared" si="27"/>
        <v>0</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t="e">
        <f>Weighting!$C$21</f>
        <v>#DIV/0!</v>
      </c>
      <c r="E237" t="e">
        <f>Weighting!$E$21</f>
        <v>#NUM!</v>
      </c>
      <c r="F237" t="e">
        <f>IF(E237=1,'Data Transformation'!$G$3+0.5*'Data Transformation'!$U$25,IF(E238=1,F238-'Data Transformation'!$U$25,FALSE))</f>
        <v>#NUM!</v>
      </c>
      <c r="G237">
        <f t="array" ref="G237">IF(ISLOGICAL(F237),"",FREQUENCY(IF('Data Transformation'!$B$24:$B$404='Bin Analysis and Plots'!$D$219,'Data Transformation'!$G$24:$G$404),'Bin Analysis and Plots'!F237))</f>
        <v>0</v>
      </c>
      <c r="H237">
        <f t="shared" si="27"/>
        <v>0</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t="e">
        <f>Weighting!$C$22</f>
        <v>#DIV/0!</v>
      </c>
      <c r="E238" t="e">
        <f>Weighting!$E$22</f>
        <v>#NUM!</v>
      </c>
      <c r="F238" t="e">
        <f>IF(E238=1,'Data Transformation'!$G$3+0.5*'Data Transformation'!$U$25,IF(E239=1,F239-'Data Transformation'!$U$25,FALSE))</f>
        <v>#NUM!</v>
      </c>
      <c r="G238">
        <f t="array" ref="G238">IF(ISLOGICAL(F238),"",FREQUENCY(IF('Data Transformation'!$B$24:$B$404='Bin Analysis and Plots'!$D$219,'Data Transformation'!$G$24:$G$404),'Bin Analysis and Plots'!F238))</f>
        <v>0</v>
      </c>
      <c r="H238">
        <f t="shared" si="27"/>
        <v>0</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t="e">
        <f>Weighting!$C$23</f>
        <v>#DIV/0!</v>
      </c>
      <c r="E239" t="e">
        <f>Weighting!$E$23</f>
        <v>#NUM!</v>
      </c>
      <c r="F239" t="e">
        <f>IF(E239=1,'Data Transformation'!$G$3+0.5*'Data Transformation'!$U$25,IF(E240=1,F240-'Data Transformation'!$U$25,FALSE))</f>
        <v>#NUM!</v>
      </c>
      <c r="G239">
        <f t="array" ref="G239">IF(ISLOGICAL(F239),"",FREQUENCY(IF('Data Transformation'!$B$24:$B$404='Bin Analysis and Plots'!$D$219,'Data Transformation'!$G$24:$G$404),'Bin Analysis and Plots'!F239))</f>
        <v>0</v>
      </c>
      <c r="H239">
        <f t="shared" si="27"/>
        <v>0</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t="e">
        <f>Weighting!$C$24</f>
        <v>#DIV/0!</v>
      </c>
      <c r="E240" t="e">
        <f>Weighting!$E$24</f>
        <v>#NUM!</v>
      </c>
      <c r="F240" t="e">
        <f>IF(E240=1,'Data Transformation'!$G$3+0.5*'Data Transformation'!$U$25,IF(E241=1,F241-'Data Transformation'!$U$25,FALSE))</f>
        <v>#NUM!</v>
      </c>
      <c r="G240">
        <f t="array" ref="G240">IF(ISLOGICAL(F240),"",FREQUENCY(IF('Data Transformation'!$B$24:$B$404='Bin Analysis and Plots'!$D$219,'Data Transformation'!$G$24:$G$404),'Bin Analysis and Plots'!F240))</f>
        <v>0</v>
      </c>
      <c r="H240">
        <f t="shared" si="27"/>
        <v>0</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b">
        <f t="array" ref="A241">IF(ISERROR(INDEX('Data Transformation'!$B$4:$G$450,SMALL(IF('Data Transformation'!$B$4:$B$450='Bin Analysis and Plots'!D219,ROW('Data Transformation'!$B$4:$B$450)),ROW($20:$20))-3,3)),"",INDEX('Data Transformation'!$B$4:$G$450,SMALL(IF('Data Transformation'!$B$4:$B$450='Bin Analysis and Plots'!D219,ROW('Data Transformation'!$B$4:$B$450)),ROW($20:$20))-3,6))</f>
        <v>0</v>
      </c>
      <c r="B241" s="29" t="str">
        <f>IFERROR(SMALL(A222:A241,'Data Transformation'!$L$25),"")</f>
        <v/>
      </c>
      <c r="C241" s="41" t="str">
        <f>IF(Weighting!$O$25&gt;0,D241,"")</f>
        <v/>
      </c>
      <c r="D241" t="e">
        <f>Weighting!$C$25</f>
        <v>#DIV/0!</v>
      </c>
      <c r="E241" t="e">
        <f>Weighting!$E$25</f>
        <v>#NUM!</v>
      </c>
      <c r="F241" t="e">
        <f>IF(E241=1,'Data Transformation'!$G$3+0.5*'Data Transformation'!$U$25,IF(E242=1,F242-'Data Transformation'!$U$25,FALSE))</f>
        <v>#NUM!</v>
      </c>
      <c r="G241">
        <f t="array" ref="G241">IF(ISLOGICAL(F241),"",FREQUENCY(IF('Data Transformation'!$B$24:$B$404='Bin Analysis and Plots'!$D$219,'Data Transformation'!$G$24:$G$404),'Bin Analysis and Plots'!F241))</f>
        <v>0</v>
      </c>
      <c r="H241">
        <f t="shared" si="27"/>
        <v>0</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2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2" t="s">
        <v>64</v>
      </c>
      <c r="B244" s="92"/>
      <c r="C244" s="14" t="s">
        <v>72</v>
      </c>
      <c r="D244" t="s">
        <v>50</v>
      </c>
      <c r="E244" t="s">
        <v>5</v>
      </c>
      <c r="I244" t="s">
        <v>75</v>
      </c>
      <c r="J244" t="s">
        <v>34</v>
      </c>
      <c r="K244" t="s">
        <v>35</v>
      </c>
      <c r="L244" t="s">
        <v>49</v>
      </c>
      <c r="M244" s="14" t="s">
        <v>48</v>
      </c>
      <c r="Z244" s="78">
        <v>0</v>
      </c>
      <c r="AA244" s="78">
        <v>0</v>
      </c>
    </row>
    <row r="245" spans="1:27">
      <c r="C245" s="41" t="str">
        <f>IF(B245="","",D245)</f>
        <v/>
      </c>
      <c r="F245" t="e">
        <f>IF(E245=1,'Data Transformation'!$G$3+0.5*'Data Transformation'!$U$25,IF(E246=1,F246-'Data Transformation'!$U$25,FALSE))</f>
        <v>#NUM!</v>
      </c>
      <c r="G245">
        <f t="array" ref="G245">IF(ISLOGICAL(F245),"",FREQUENCY(IF('Data Transformation'!$B$24:$B$404='Bin Analysis and Plots'!$D$243,'Data Transformation'!$G$24:$G$404),'Bin Analysis and Plots'!F245))</f>
        <v>0</v>
      </c>
      <c r="H245">
        <f>IF(ISLOGICAL(F245),"",G245-G244)</f>
        <v>0</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t="e">
        <f>IF(Weighting!$O$6&gt;0,D246,"")</f>
        <v>#NUM!</v>
      </c>
      <c r="D246" t="e">
        <f>Weighting!$C$6</f>
        <v>#DIV/0!</v>
      </c>
      <c r="E246" t="e">
        <f>Weighting!$E$6</f>
        <v>#NUM!</v>
      </c>
      <c r="F246" t="e">
        <f>IF(E246=1,'Data Transformation'!$G$3+0.5*'Data Transformation'!$U$25,IF(E247=1,F247-'Data Transformation'!$U$25,FALSE))</f>
        <v>#NUM!</v>
      </c>
      <c r="G246">
        <f t="array" ref="G246">IF(ISLOGICAL(F246),"",FREQUENCY(IF('Data Transformation'!$B$24:$B$404='Bin Analysis and Plots'!$D$243,'Data Transformation'!$G$24:$G$404),'Bin Analysis and Plots'!F246))</f>
        <v>0</v>
      </c>
      <c r="H246">
        <f>IF(ISLOGICAL(F246),"",G246-G245)</f>
        <v>0</v>
      </c>
      <c r="I246">
        <f>Weighting!$G$6</f>
        <v>1</v>
      </c>
      <c r="J246">
        <f t="array" ref="J246">FREQUENCY(IF('Data Transformation'!$B$4:$B$404=D243,'Data Transformation'!$G$4:$G$404),'Bin Analysis and Plots'!$D246)</f>
        <v>0</v>
      </c>
      <c r="K246">
        <f>J246-J245</f>
        <v>0</v>
      </c>
      <c r="L246">
        <f>IF(K246=0,0,1)</f>
        <v>0</v>
      </c>
      <c r="M246" t="e">
        <f>L246*Weighting!$V$6</f>
        <v>#NUM!</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t="str">
        <f>IF(Weighting!$O$7&gt;0,D247,"")</f>
        <v/>
      </c>
      <c r="D247" t="e">
        <f>Weighting!$C$7</f>
        <v>#DIV/0!</v>
      </c>
      <c r="E247" t="e">
        <f>Weighting!$E$7</f>
        <v>#NUM!</v>
      </c>
      <c r="F247" t="e">
        <f>IF(E247=1,'Data Transformation'!$G$3+0.5*'Data Transformation'!$U$25,IF(E248=1,F248-'Data Transformation'!$U$25,FALSE))</f>
        <v>#NUM!</v>
      </c>
      <c r="G247">
        <f t="array" ref="G247">IF(ISLOGICAL(F247),"",FREQUENCY(IF('Data Transformation'!$B$24:$B$404='Bin Analysis and Plots'!$D$243,'Data Transformation'!$G$24:$G$404),'Bin Analysis and Plots'!F247))</f>
        <v>0</v>
      </c>
      <c r="H247">
        <f t="shared" ref="H247:H265" si="30">IF(ISLOGICAL(F247),"",G247-G246)</f>
        <v>0</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t="str">
        <f>IF(Weighting!$O$8&gt;0,D248,"")</f>
        <v/>
      </c>
      <c r="D248" t="e">
        <f>Weighting!$C$8</f>
        <v>#DIV/0!</v>
      </c>
      <c r="E248" t="e">
        <f>Weighting!$E$8</f>
        <v>#NUM!</v>
      </c>
      <c r="F248" t="e">
        <f>IF(E248=1,'Data Transformation'!$G$3+0.5*'Data Transformation'!$U$25,IF(E249=1,F249-'Data Transformation'!$U$25,FALSE))</f>
        <v>#NUM!</v>
      </c>
      <c r="G248">
        <f t="array" ref="G248">IF(ISLOGICAL(F248),"",FREQUENCY(IF('Data Transformation'!$B$24:$B$404='Bin Analysis and Plots'!$D$243,'Data Transformation'!$G$24:$G$404),'Bin Analysis and Plots'!F248))</f>
        <v>0</v>
      </c>
      <c r="H248">
        <f t="shared" si="30"/>
        <v>0</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t="str">
        <f>IF(Weighting!$O$9&gt;0,D249,"")</f>
        <v/>
      </c>
      <c r="D249" t="e">
        <f>Weighting!$B$9</f>
        <v>#DIV/0!</v>
      </c>
      <c r="E249" t="e">
        <f>Weighting!$E$9</f>
        <v>#NUM!</v>
      </c>
      <c r="F249" t="e">
        <f>IF(E249=1,'Data Transformation'!$G$3+0.5*'Data Transformation'!$U$25,IF(E250=1,F250-'Data Transformation'!$U$25,FALSE))</f>
        <v>#NUM!</v>
      </c>
      <c r="G249">
        <f t="array" ref="G249">IF(ISLOGICAL(F249),"",FREQUENCY(IF('Data Transformation'!$B$24:$B$404='Bin Analysis and Plots'!$D$243,'Data Transformation'!$G$24:$G$404),'Bin Analysis and Plots'!F249))</f>
        <v>0</v>
      </c>
      <c r="H249">
        <f t="shared" si="30"/>
        <v>0</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t="str">
        <f>IF(Weighting!$O$10&gt;0,D250,"")</f>
        <v/>
      </c>
      <c r="D250" t="e">
        <f>Weighting!$C$10</f>
        <v>#DIV/0!</v>
      </c>
      <c r="E250" t="e">
        <f>Weighting!$E$10</f>
        <v>#NUM!</v>
      </c>
      <c r="F250" t="e">
        <f>IF(E250=1,'Data Transformation'!$G$3+0.5*'Data Transformation'!$U$25,IF(E251=1,F251-'Data Transformation'!$U$25,FALSE))</f>
        <v>#NUM!</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t="str">
        <f>IF(Weighting!$O$11&gt;0,D251,"")</f>
        <v/>
      </c>
      <c r="D251" t="e">
        <f>Weighting!$C$11</f>
        <v>#DIV/0!</v>
      </c>
      <c r="E251" t="e">
        <f>Weighting!$E$11</f>
        <v>#NUM!</v>
      </c>
      <c r="F251" t="e">
        <f>IF(E251=1,'Data Transformation'!$G$3+0.5*'Data Transformation'!$U$25,IF(E252=1,F252-'Data Transformation'!$U$25,FALSE))</f>
        <v>#NUM!</v>
      </c>
      <c r="G251">
        <f t="array" ref="G251">IF(ISLOGICAL(F251),"",FREQUENCY(IF('Data Transformation'!$B$24:$B$404='Bin Analysis and Plots'!$D$243,'Data Transformation'!$G$24:$G$404),'Bin Analysis and Plots'!F251))</f>
        <v>0</v>
      </c>
      <c r="H251">
        <f t="shared" si="30"/>
        <v>0</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t="str">
        <f>IF(Weighting!$O$12&gt;0,D252,"")</f>
        <v/>
      </c>
      <c r="D252" t="e">
        <f>Weighting!$C$12</f>
        <v>#DIV/0!</v>
      </c>
      <c r="E252" t="e">
        <f>Weighting!$E$12</f>
        <v>#NUM!</v>
      </c>
      <c r="F252" t="e">
        <f>IF(E252=1,'Data Transformation'!$G$3+0.5*'Data Transformation'!$U$25,IF(E253=1,F253-'Data Transformation'!$U$25,FALSE))</f>
        <v>#NUM!</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t="e">
        <f>Weighting!$C$13</f>
        <v>#DIV/0!</v>
      </c>
      <c r="E253" t="e">
        <f>Weighting!$E$13</f>
        <v>#NUM!</v>
      </c>
      <c r="F253" t="e">
        <f>IF(E253=1,'Data Transformation'!$G$3+0.5*'Data Transformation'!$U$25,IF(E254=1,F254-'Data Transformation'!$U$25,FALSE))</f>
        <v>#NUM!</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t="e">
        <f>Weighting!$C$14</f>
        <v>#DIV/0!</v>
      </c>
      <c r="E254" t="e">
        <f>Weighting!$E$14</f>
        <v>#NUM!</v>
      </c>
      <c r="F254" t="e">
        <f>IF(E254=1,'Data Transformation'!$G$3+0.5*'Data Transformation'!$U$25,IF(E255=1,F255-'Data Transformation'!$U$25,FALSE))</f>
        <v>#NUM!</v>
      </c>
      <c r="G254">
        <f t="array" ref="G254">IF(ISLOGICAL(F254),"",FREQUENCY(IF('Data Transformation'!$B$24:$B$404='Bin Analysis and Plots'!$D$243,'Data Transformation'!$G$24:$G$404),'Bin Analysis and Plots'!F254))</f>
        <v>0</v>
      </c>
      <c r="H254">
        <f t="shared" si="30"/>
        <v>0</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t="e">
        <f>Weighting!$C$15</f>
        <v>#DIV/0!</v>
      </c>
      <c r="E255" t="e">
        <f>Weighting!$E$15</f>
        <v>#NUM!</v>
      </c>
      <c r="F255" t="e">
        <f>IF(E255=1,'Data Transformation'!$G$3+0.5*'Data Transformation'!$U$25,IF(E256=1,F256-'Data Transformation'!$U$25,FALSE))</f>
        <v>#NUM!</v>
      </c>
      <c r="G255">
        <f t="array" ref="G255">IF(ISLOGICAL(F255),"",FREQUENCY(IF('Data Transformation'!$B$24:$B$404='Bin Analysis and Plots'!$D$243,'Data Transformation'!$G$24:$G$404),'Bin Analysis and Plots'!F255))</f>
        <v>0</v>
      </c>
      <c r="H255">
        <f t="shared" si="30"/>
        <v>0</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t="e">
        <f>Weighting!$C$16</f>
        <v>#DIV/0!</v>
      </c>
      <c r="E256" t="e">
        <f>Weighting!$E$16</f>
        <v>#NUM!</v>
      </c>
      <c r="F256" t="e">
        <f>IF(E256=1,'Data Transformation'!$G$3+0.5*'Data Transformation'!$U$25,IF(E257=1,F257-'Data Transformation'!$U$25,FALSE))</f>
        <v>#NUM!</v>
      </c>
      <c r="G256">
        <f t="array" ref="G256">IF(ISLOGICAL(F256),"",FREQUENCY(IF('Data Transformation'!$B$24:$B$404='Bin Analysis and Plots'!$D$243,'Data Transformation'!$G$24:$G$404),'Bin Analysis and Plots'!F256))</f>
        <v>0</v>
      </c>
      <c r="H256">
        <f t="shared" si="30"/>
        <v>0</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t="e">
        <f>Weighting!$C$17</f>
        <v>#DIV/0!</v>
      </c>
      <c r="E257" t="e">
        <f>Weighting!$E$17</f>
        <v>#NUM!</v>
      </c>
      <c r="F257" t="e">
        <f>IF(E257=1,'Data Transformation'!$G$3+0.5*'Data Transformation'!$U$25,IF(E258=1,F258-'Data Transformation'!$U$25,FALSE))</f>
        <v>#NUM!</v>
      </c>
      <c r="G257">
        <f t="array" ref="G257">IF(ISLOGICAL(F257),"",FREQUENCY(IF('Data Transformation'!$B$24:$B$404='Bin Analysis and Plots'!$D$243,'Data Transformation'!$G$24:$G$404),'Bin Analysis and Plots'!F257))</f>
        <v>0</v>
      </c>
      <c r="H257">
        <f t="shared" si="30"/>
        <v>0</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t="e">
        <f>Weighting!$C$18</f>
        <v>#DIV/0!</v>
      </c>
      <c r="E258" t="e">
        <f>Weighting!$E$18</f>
        <v>#NUM!</v>
      </c>
      <c r="F258" t="e">
        <f>IF(E258=1,'Data Transformation'!$G$3+0.5*'Data Transformation'!$U$25,IF(E259=1,F259-'Data Transformation'!$U$25,FALSE))</f>
        <v>#NUM!</v>
      </c>
      <c r="G258">
        <f t="array" ref="G258">IF(ISLOGICAL(F258),"",FREQUENCY(IF('Data Transformation'!$B$24:$B$404='Bin Analysis and Plots'!$D$243,'Data Transformation'!$G$24:$G$404),'Bin Analysis and Plots'!F258))</f>
        <v>0</v>
      </c>
      <c r="H258">
        <f t="shared" si="30"/>
        <v>0</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t="e">
        <f>Weighting!$C$19</f>
        <v>#DIV/0!</v>
      </c>
      <c r="E259" t="e">
        <f>Weighting!$E$19</f>
        <v>#NUM!</v>
      </c>
      <c r="F259" t="e">
        <f>IF(E259=1,'Data Transformation'!$G$3+0.5*'Data Transformation'!$U$25,IF(E260=1,F260-'Data Transformation'!$U$25,FALSE))</f>
        <v>#NUM!</v>
      </c>
      <c r="G259">
        <f t="array" ref="G259">IF(ISLOGICAL(F259),"",FREQUENCY(IF('Data Transformation'!$B$24:$B$404='Bin Analysis and Plots'!$D$243,'Data Transformation'!$G$24:$G$404),'Bin Analysis and Plots'!F259))</f>
        <v>0</v>
      </c>
      <c r="H259">
        <f t="shared" si="30"/>
        <v>0</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t="e">
        <f>Weighting!$C$20</f>
        <v>#DIV/0!</v>
      </c>
      <c r="E260" t="e">
        <f>Weighting!$E$20</f>
        <v>#NUM!</v>
      </c>
      <c r="F260" t="e">
        <f>IF(E260=1,'Data Transformation'!$G$3+0.5*'Data Transformation'!$U$25,IF(E261=1,F261-'Data Transformation'!$U$25,FALSE))</f>
        <v>#NUM!</v>
      </c>
      <c r="G260">
        <f t="array" ref="G260">IF(ISLOGICAL(F260),"",FREQUENCY(IF('Data Transformation'!$B$24:$B$404='Bin Analysis and Plots'!$D$243,'Data Transformation'!$G$24:$G$404),'Bin Analysis and Plots'!F260))</f>
        <v>0</v>
      </c>
      <c r="H260">
        <f t="shared" si="30"/>
        <v>0</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t="e">
        <f>Weighting!$C$21</f>
        <v>#DIV/0!</v>
      </c>
      <c r="E261" t="e">
        <f>Weighting!$E$21</f>
        <v>#NUM!</v>
      </c>
      <c r="F261" t="e">
        <f>IF(E261=1,'Data Transformation'!$G$3+0.5*'Data Transformation'!$U$25,IF(E262=1,F262-'Data Transformation'!$U$25,FALSE))</f>
        <v>#NUM!</v>
      </c>
      <c r="G261">
        <f t="array" ref="G261">IF(ISLOGICAL(F261),"",FREQUENCY(IF('Data Transformation'!$B$24:$B$404='Bin Analysis and Plots'!$D$243,'Data Transformation'!$G$24:$G$404),'Bin Analysis and Plots'!F261))</f>
        <v>0</v>
      </c>
      <c r="H261">
        <f t="shared" si="30"/>
        <v>0</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t="e">
        <f>Weighting!$C$22</f>
        <v>#DIV/0!</v>
      </c>
      <c r="E262" t="e">
        <f>Weighting!$E$22</f>
        <v>#NUM!</v>
      </c>
      <c r="F262" t="e">
        <f>IF(E262=1,'Data Transformation'!$G$3+0.5*'Data Transformation'!$U$25,IF(E263=1,F263-'Data Transformation'!$U$25,FALSE))</f>
        <v>#NUM!</v>
      </c>
      <c r="G262">
        <f t="array" ref="G262">IF(ISLOGICAL(F262),"",FREQUENCY(IF('Data Transformation'!$B$24:$B$404='Bin Analysis and Plots'!$D$243,'Data Transformation'!$G$24:$G$404),'Bin Analysis and Plots'!F262))</f>
        <v>0</v>
      </c>
      <c r="H262">
        <f t="shared" si="30"/>
        <v>0</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t="e">
        <f>Weighting!$C$23</f>
        <v>#DIV/0!</v>
      </c>
      <c r="E263" t="e">
        <f>Weighting!$E$23</f>
        <v>#NUM!</v>
      </c>
      <c r="F263" t="e">
        <f>IF(E263=1,'Data Transformation'!$G$3+0.5*'Data Transformation'!$U$25,IF(E264=1,F264-'Data Transformation'!$U$25,FALSE))</f>
        <v>#NUM!</v>
      </c>
      <c r="G263">
        <f t="array" ref="G263">IF(ISLOGICAL(F263),"",FREQUENCY(IF('Data Transformation'!$B$24:$B$404='Bin Analysis and Plots'!$D$243,'Data Transformation'!$G$24:$G$404),'Bin Analysis and Plots'!F263))</f>
        <v>0</v>
      </c>
      <c r="H263">
        <f t="shared" si="30"/>
        <v>0</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t="e">
        <f>Weighting!$C$24</f>
        <v>#DIV/0!</v>
      </c>
      <c r="E264" t="e">
        <f>Weighting!$E$24</f>
        <v>#NUM!</v>
      </c>
      <c r="F264" t="e">
        <f>IF(E264=1,'Data Transformation'!$G$3+0.5*'Data Transformation'!$U$25,IF(E265=1,F265-'Data Transformation'!$U$25,FALSE))</f>
        <v>#NUM!</v>
      </c>
      <c r="G264">
        <f t="array" ref="G264">IF(ISLOGICAL(F264),"",FREQUENCY(IF('Data Transformation'!$B$24:$B$404='Bin Analysis and Plots'!$D$243,'Data Transformation'!$G$24:$G$404),'Bin Analysis and Plots'!F264))</f>
        <v>0</v>
      </c>
      <c r="H264">
        <f t="shared" si="30"/>
        <v>0</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b">
        <f t="array" ref="A265">IF(ISERROR(INDEX('Data Transformation'!$B$4:$G$450,SMALL(IF('Data Transformation'!$B$4:$B$450='Bin Analysis and Plots'!D243,ROW('Data Transformation'!$B$4:$B$450)),ROW($20:$20))-3,3)),"",INDEX('Data Transformation'!$B$4:$G$450,SMALL(IF('Data Transformation'!$B$4:$B$450='Bin Analysis and Plots'!D243,ROW('Data Transformation'!$B$4:$B$450)),ROW($20:$20))-3,6))</f>
        <v>0</v>
      </c>
      <c r="B265" s="29" t="str">
        <f>IFERROR(SMALL(A246:A265,'Data Transformation'!$L$25),"")</f>
        <v/>
      </c>
      <c r="C265" s="41" t="str">
        <f>IF(Weighting!$O$25&gt;0,D265,"")</f>
        <v/>
      </c>
      <c r="D265" t="e">
        <f>Weighting!$C$25</f>
        <v>#DIV/0!</v>
      </c>
      <c r="E265" t="e">
        <f>Weighting!$E$25</f>
        <v>#NUM!</v>
      </c>
      <c r="F265" t="e">
        <f>IF(E265=1,'Data Transformation'!$G$3+0.5*'Data Transformation'!$U$25,IF(E266=1,F266-'Data Transformation'!$U$25,FALSE))</f>
        <v>#NUM!</v>
      </c>
      <c r="G265">
        <f t="array" ref="G265">IF(ISLOGICAL(F265),"",FREQUENCY(IF('Data Transformation'!$B$24:$B$404='Bin Analysis and Plots'!$D$243,'Data Transformation'!$G$24:$G$404),'Bin Analysis and Plots'!F265))</f>
        <v>0</v>
      </c>
      <c r="H265">
        <f t="shared" si="30"/>
        <v>0</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2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2" t="s">
        <v>64</v>
      </c>
      <c r="B268" s="92"/>
      <c r="C268" s="14" t="s">
        <v>72</v>
      </c>
      <c r="D268" t="s">
        <v>50</v>
      </c>
      <c r="E268" t="s">
        <v>5</v>
      </c>
      <c r="I268" t="s">
        <v>75</v>
      </c>
      <c r="J268" t="s">
        <v>34</v>
      </c>
      <c r="K268" t="s">
        <v>35</v>
      </c>
      <c r="L268" t="s">
        <v>49</v>
      </c>
      <c r="M268" s="14" t="s">
        <v>48</v>
      </c>
      <c r="Z268" s="78">
        <v>0</v>
      </c>
      <c r="AA268" s="78">
        <v>0</v>
      </c>
    </row>
    <row r="269" spans="1:27">
      <c r="C269" s="41" t="str">
        <f>IF(B269="","",D269)</f>
        <v/>
      </c>
      <c r="F269" t="e">
        <f>IF(E269=1,'Data Transformation'!$G$3+0.5*'Data Transformation'!$U$25,IF(E270=1,F270-'Data Transformation'!$U$25,FALSE))</f>
        <v>#NUM!</v>
      </c>
      <c r="G269">
        <f t="array" ref="G269">IF(ISLOGICAL(F269),"",FREQUENCY(IF('Data Transformation'!$B$24:$B$404='Bin Analysis and Plots'!$D$267,'Data Transformation'!$G$24:$G$404),'Bin Analysis and Plots'!F269))</f>
        <v>0</v>
      </c>
      <c r="H269">
        <f>IF(ISLOGICAL(F269),"",G269-G268)</f>
        <v>0</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t="e">
        <f>IF(Weighting!$O$6&gt;0,D270,"")</f>
        <v>#NUM!</v>
      </c>
      <c r="D270" t="e">
        <f>Weighting!$C$6</f>
        <v>#DIV/0!</v>
      </c>
      <c r="E270" t="e">
        <f>Weighting!$E$6</f>
        <v>#NUM!</v>
      </c>
      <c r="F270" t="e">
        <f>IF(E270=1,'Data Transformation'!$G$3+0.5*'Data Transformation'!$U$25,IF(E271=1,F271-'Data Transformation'!$U$25,FALSE))</f>
        <v>#NUM!</v>
      </c>
      <c r="G270">
        <f t="array" ref="G270">IF(ISLOGICAL(F270),"",FREQUENCY(IF('Data Transformation'!$B$24:$B$404='Bin Analysis and Plots'!$D$267,'Data Transformation'!$G$24:$G$404),'Bin Analysis and Plots'!F270))</f>
        <v>0</v>
      </c>
      <c r="H270">
        <f>IF(ISLOGICAL(F270),"",G270-G269)</f>
        <v>0</v>
      </c>
      <c r="I270">
        <f>Weighting!$G$6</f>
        <v>1</v>
      </c>
      <c r="J270">
        <f t="array" ref="J270">FREQUENCY(IF('Data Transformation'!$B$4:$B$404=D267,'Data Transformation'!$G$4:$G$404),'Bin Analysis and Plots'!$D270)</f>
        <v>0</v>
      </c>
      <c r="K270">
        <f>J270-J269</f>
        <v>0</v>
      </c>
      <c r="L270">
        <f>IF(K270=0,0,1)</f>
        <v>0</v>
      </c>
      <c r="M270" t="e">
        <f>L270*Weighting!$V$6</f>
        <v>#NUM!</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t="str">
        <f>IF(Weighting!$O$7&gt;0,D271,"")</f>
        <v/>
      </c>
      <c r="D271" t="e">
        <f>Weighting!$C$7</f>
        <v>#DIV/0!</v>
      </c>
      <c r="E271" t="e">
        <f>Weighting!$E$7</f>
        <v>#NUM!</v>
      </c>
      <c r="F271" t="e">
        <f>IF(E271=1,'Data Transformation'!$G$3+0.5*'Data Transformation'!$U$25,IF(E272=1,F272-'Data Transformation'!$U$25,FALSE))</f>
        <v>#NUM!</v>
      </c>
      <c r="G271">
        <f t="array" ref="G271">IF(ISLOGICAL(F271),"",FREQUENCY(IF('Data Transformation'!$B$24:$B$404='Bin Analysis and Plots'!$D$267,'Data Transformation'!$G$24:$G$404),'Bin Analysis and Plots'!F271))</f>
        <v>0</v>
      </c>
      <c r="H271">
        <f t="shared" ref="H271:H289" si="33">IF(ISLOGICAL(F271),"",G271-G270)</f>
        <v>0</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t="str">
        <f>IF(Weighting!$O$8&gt;0,D272,"")</f>
        <v/>
      </c>
      <c r="D272" t="e">
        <f>Weighting!$C$8</f>
        <v>#DIV/0!</v>
      </c>
      <c r="E272" t="e">
        <f>Weighting!$E$8</f>
        <v>#NUM!</v>
      </c>
      <c r="F272" t="e">
        <f>IF(E272=1,'Data Transformation'!$G$3+0.5*'Data Transformation'!$U$25,IF(E273=1,F273-'Data Transformation'!$U$25,FALSE))</f>
        <v>#NUM!</v>
      </c>
      <c r="G272">
        <f t="array" ref="G272">IF(ISLOGICAL(F272),"",FREQUENCY(IF('Data Transformation'!$B$24:$B$404='Bin Analysis and Plots'!$D$267,'Data Transformation'!$G$24:$G$404),'Bin Analysis and Plots'!F272))</f>
        <v>0</v>
      </c>
      <c r="H272">
        <f t="shared" si="33"/>
        <v>0</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t="str">
        <f>IF(Weighting!$O$9&gt;0,D273,"")</f>
        <v/>
      </c>
      <c r="D273" t="e">
        <f>Weighting!$B$9</f>
        <v>#DIV/0!</v>
      </c>
      <c r="E273" t="e">
        <f>Weighting!$E$9</f>
        <v>#NUM!</v>
      </c>
      <c r="F273" t="e">
        <f>IF(E273=1,'Data Transformation'!$G$3+0.5*'Data Transformation'!$U$25,IF(E274=1,F274-'Data Transformation'!$U$25,FALSE))</f>
        <v>#NUM!</v>
      </c>
      <c r="G273">
        <f t="array" ref="G273">IF(ISLOGICAL(F273),"",FREQUENCY(IF('Data Transformation'!$B$24:$B$404='Bin Analysis and Plots'!$D$267,'Data Transformation'!$G$24:$G$404),'Bin Analysis and Plots'!F273))</f>
        <v>0</v>
      </c>
      <c r="H273">
        <f t="shared" si="33"/>
        <v>0</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t="str">
        <f>IF(Weighting!$O$10&gt;0,D274,"")</f>
        <v/>
      </c>
      <c r="D274" t="e">
        <f>Weighting!$C$10</f>
        <v>#DIV/0!</v>
      </c>
      <c r="E274" t="e">
        <f>Weighting!$E$10</f>
        <v>#NUM!</v>
      </c>
      <c r="F274" t="e">
        <f>IF(E274=1,'Data Transformation'!$G$3+0.5*'Data Transformation'!$U$25,IF(E275=1,F275-'Data Transformation'!$U$25,FALSE))</f>
        <v>#NUM!</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t="str">
        <f>IF(Weighting!$O$11&gt;0,D275,"")</f>
        <v/>
      </c>
      <c r="D275" t="e">
        <f>Weighting!$C$11</f>
        <v>#DIV/0!</v>
      </c>
      <c r="E275" t="e">
        <f>Weighting!$E$11</f>
        <v>#NUM!</v>
      </c>
      <c r="F275" t="e">
        <f>IF(E275=1,'Data Transformation'!$G$3+0.5*'Data Transformation'!$U$25,IF(E276=1,F276-'Data Transformation'!$U$25,FALSE))</f>
        <v>#NUM!</v>
      </c>
      <c r="G275">
        <f t="array" ref="G275">IF(ISLOGICAL(F275),"",FREQUENCY(IF('Data Transformation'!$B$24:$B$404='Bin Analysis and Plots'!$D$267,'Data Transformation'!$G$24:$G$404),'Bin Analysis and Plots'!F275))</f>
        <v>0</v>
      </c>
      <c r="H275">
        <f t="shared" si="33"/>
        <v>0</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t="str">
        <f>IF(Weighting!$O$12&gt;0,D276,"")</f>
        <v/>
      </c>
      <c r="D276" t="e">
        <f>Weighting!$C$12</f>
        <v>#DIV/0!</v>
      </c>
      <c r="E276" t="e">
        <f>Weighting!$E$12</f>
        <v>#NUM!</v>
      </c>
      <c r="F276" t="e">
        <f>IF(E276=1,'Data Transformation'!$G$3+0.5*'Data Transformation'!$U$25,IF(E277=1,F277-'Data Transformation'!$U$25,FALSE))</f>
        <v>#NUM!</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t="e">
        <f>Weighting!$C$13</f>
        <v>#DIV/0!</v>
      </c>
      <c r="E277" t="e">
        <f>Weighting!$E$13</f>
        <v>#NUM!</v>
      </c>
      <c r="F277" t="e">
        <f>IF(E277=1,'Data Transformation'!$G$3+0.5*'Data Transformation'!$U$25,IF(E278=1,F278-'Data Transformation'!$U$25,FALSE))</f>
        <v>#NUM!</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t="e">
        <f>Weighting!$C$14</f>
        <v>#DIV/0!</v>
      </c>
      <c r="E278" t="e">
        <f>Weighting!$E$14</f>
        <v>#NUM!</v>
      </c>
      <c r="F278" t="e">
        <f>IF(E278=1,'Data Transformation'!$G$3+0.5*'Data Transformation'!$U$25,IF(E279=1,F279-'Data Transformation'!$U$25,FALSE))</f>
        <v>#NUM!</v>
      </c>
      <c r="G278">
        <f t="array" ref="G278">IF(ISLOGICAL(F278),"",FREQUENCY(IF('Data Transformation'!$B$24:$B$404='Bin Analysis and Plots'!$D$267,'Data Transformation'!$G$24:$G$404),'Bin Analysis and Plots'!F278))</f>
        <v>0</v>
      </c>
      <c r="H278">
        <f t="shared" si="33"/>
        <v>0</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t="e">
        <f>Weighting!$C$15</f>
        <v>#DIV/0!</v>
      </c>
      <c r="E279" t="e">
        <f>Weighting!$E$15</f>
        <v>#NUM!</v>
      </c>
      <c r="F279" t="e">
        <f>IF(E279=1,'Data Transformation'!$G$3+0.5*'Data Transformation'!$U$25,IF(E280=1,F280-'Data Transformation'!$U$25,FALSE))</f>
        <v>#NUM!</v>
      </c>
      <c r="G279">
        <f t="array" ref="G279">IF(ISLOGICAL(F279),"",FREQUENCY(IF('Data Transformation'!$B$24:$B$404='Bin Analysis and Plots'!$D$267,'Data Transformation'!$G$24:$G$404),'Bin Analysis and Plots'!F279))</f>
        <v>0</v>
      </c>
      <c r="H279">
        <f t="shared" si="33"/>
        <v>0</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t="e">
        <f>Weighting!$C$16</f>
        <v>#DIV/0!</v>
      </c>
      <c r="E280" t="e">
        <f>Weighting!$E$16</f>
        <v>#NUM!</v>
      </c>
      <c r="F280" t="e">
        <f>IF(E280=1,'Data Transformation'!$G$3+0.5*'Data Transformation'!$U$25,IF(E281=1,F281-'Data Transformation'!$U$25,FALSE))</f>
        <v>#NUM!</v>
      </c>
      <c r="G280">
        <f t="array" ref="G280">IF(ISLOGICAL(F280),"",FREQUENCY(IF('Data Transformation'!$B$24:$B$404='Bin Analysis and Plots'!$D$267,'Data Transformation'!$G$24:$G$404),'Bin Analysis and Plots'!F280))</f>
        <v>0</v>
      </c>
      <c r="H280">
        <f t="shared" si="33"/>
        <v>0</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t="e">
        <f>Weighting!$C$17</f>
        <v>#DIV/0!</v>
      </c>
      <c r="E281" t="e">
        <f>Weighting!$E$17</f>
        <v>#NUM!</v>
      </c>
      <c r="F281" t="e">
        <f>IF(E281=1,'Data Transformation'!$G$3+0.5*'Data Transformation'!$U$25,IF(E282=1,F282-'Data Transformation'!$U$25,FALSE))</f>
        <v>#NUM!</v>
      </c>
      <c r="G281">
        <f t="array" ref="G281">IF(ISLOGICAL(F281),"",FREQUENCY(IF('Data Transformation'!$B$24:$B$404='Bin Analysis and Plots'!$D$267,'Data Transformation'!$G$24:$G$404),'Bin Analysis and Plots'!F281))</f>
        <v>0</v>
      </c>
      <c r="H281">
        <f t="shared" si="33"/>
        <v>0</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t="e">
        <f>Weighting!$C$18</f>
        <v>#DIV/0!</v>
      </c>
      <c r="E282" t="e">
        <f>Weighting!$E$18</f>
        <v>#NUM!</v>
      </c>
      <c r="F282" t="e">
        <f>IF(E282=1,'Data Transformation'!$G$3+0.5*'Data Transformation'!$U$25,IF(E283=1,F283-'Data Transformation'!$U$25,FALSE))</f>
        <v>#NUM!</v>
      </c>
      <c r="G282">
        <f t="array" ref="G282">IF(ISLOGICAL(F282),"",FREQUENCY(IF('Data Transformation'!$B$24:$B$404='Bin Analysis and Plots'!$D$267,'Data Transformation'!$G$24:$G$404),'Bin Analysis and Plots'!F282))</f>
        <v>0</v>
      </c>
      <c r="H282">
        <f t="shared" si="33"/>
        <v>0</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t="e">
        <f>Weighting!$C$19</f>
        <v>#DIV/0!</v>
      </c>
      <c r="E283" t="e">
        <f>Weighting!$E$19</f>
        <v>#NUM!</v>
      </c>
      <c r="F283" t="e">
        <f>IF(E283=1,'Data Transformation'!$G$3+0.5*'Data Transformation'!$U$25,IF(E284=1,F284-'Data Transformation'!$U$25,FALSE))</f>
        <v>#NUM!</v>
      </c>
      <c r="G283">
        <f t="array" ref="G283">IF(ISLOGICAL(F283),"",FREQUENCY(IF('Data Transformation'!$B$24:$B$404='Bin Analysis and Plots'!$D$267,'Data Transformation'!$G$24:$G$404),'Bin Analysis and Plots'!F283))</f>
        <v>0</v>
      </c>
      <c r="H283">
        <f t="shared" si="33"/>
        <v>0</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t="e">
        <f>Weighting!$C$20</f>
        <v>#DIV/0!</v>
      </c>
      <c r="E284" t="e">
        <f>Weighting!$E$20</f>
        <v>#NUM!</v>
      </c>
      <c r="F284" t="e">
        <f>IF(E284=1,'Data Transformation'!$G$3+0.5*'Data Transformation'!$U$25,IF(E285=1,F285-'Data Transformation'!$U$25,FALSE))</f>
        <v>#NUM!</v>
      </c>
      <c r="G284">
        <f t="array" ref="G284">IF(ISLOGICAL(F284),"",FREQUENCY(IF('Data Transformation'!$B$24:$B$404='Bin Analysis and Plots'!$D$267,'Data Transformation'!$G$24:$G$404),'Bin Analysis and Plots'!F284))</f>
        <v>0</v>
      </c>
      <c r="H284">
        <f t="shared" si="33"/>
        <v>0</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t="e">
        <f>Weighting!$C$21</f>
        <v>#DIV/0!</v>
      </c>
      <c r="E285" t="e">
        <f>Weighting!$E$21</f>
        <v>#NUM!</v>
      </c>
      <c r="F285" t="e">
        <f>IF(E285=1,'Data Transformation'!$G$3+0.5*'Data Transformation'!$U$25,IF(E286=1,F286-'Data Transformation'!$U$25,FALSE))</f>
        <v>#NUM!</v>
      </c>
      <c r="G285">
        <f t="array" ref="G285">IF(ISLOGICAL(F285),"",FREQUENCY(IF('Data Transformation'!$B$24:$B$404='Bin Analysis and Plots'!$D$267,'Data Transformation'!$G$24:$G$404),'Bin Analysis and Plots'!F285))</f>
        <v>0</v>
      </c>
      <c r="H285">
        <f t="shared" si="33"/>
        <v>0</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t="e">
        <f>Weighting!$C$22</f>
        <v>#DIV/0!</v>
      </c>
      <c r="E286" t="e">
        <f>Weighting!$E$22</f>
        <v>#NUM!</v>
      </c>
      <c r="F286" t="e">
        <f>IF(E286=1,'Data Transformation'!$G$3+0.5*'Data Transformation'!$U$25,IF(E287=1,F287-'Data Transformation'!$U$25,FALSE))</f>
        <v>#NUM!</v>
      </c>
      <c r="G286">
        <f t="array" ref="G286">IF(ISLOGICAL(F286),"",FREQUENCY(IF('Data Transformation'!$B$24:$B$404='Bin Analysis and Plots'!$D$267,'Data Transformation'!$G$24:$G$404),'Bin Analysis and Plots'!F286))</f>
        <v>0</v>
      </c>
      <c r="H286">
        <f t="shared" si="33"/>
        <v>0</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t="e">
        <f>Weighting!$C$23</f>
        <v>#DIV/0!</v>
      </c>
      <c r="E287" t="e">
        <f>Weighting!$E$23</f>
        <v>#NUM!</v>
      </c>
      <c r="F287" t="e">
        <f>IF(E287=1,'Data Transformation'!$G$3+0.5*'Data Transformation'!$U$25,IF(E288=1,F288-'Data Transformation'!$U$25,FALSE))</f>
        <v>#NUM!</v>
      </c>
      <c r="G287">
        <f t="array" ref="G287">IF(ISLOGICAL(F287),"",FREQUENCY(IF('Data Transformation'!$B$24:$B$404='Bin Analysis and Plots'!$D$267,'Data Transformation'!$G$24:$G$404),'Bin Analysis and Plots'!F287))</f>
        <v>0</v>
      </c>
      <c r="H287">
        <f t="shared" si="33"/>
        <v>0</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t="e">
        <f>Weighting!$C$24</f>
        <v>#DIV/0!</v>
      </c>
      <c r="E288" t="e">
        <f>Weighting!$E$24</f>
        <v>#NUM!</v>
      </c>
      <c r="F288" t="e">
        <f>IF(E288=1,'Data Transformation'!$G$3+0.5*'Data Transformation'!$U$25,IF(E289=1,F289-'Data Transformation'!$U$25,FALSE))</f>
        <v>#NUM!</v>
      </c>
      <c r="G288">
        <f t="array" ref="G288">IF(ISLOGICAL(F288),"",FREQUENCY(IF('Data Transformation'!$B$24:$B$404='Bin Analysis and Plots'!$D$267,'Data Transformation'!$G$24:$G$404),'Bin Analysis and Plots'!F288))</f>
        <v>0</v>
      </c>
      <c r="H288">
        <f t="shared" si="33"/>
        <v>0</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b">
        <f t="array" ref="A289">IF(ISERROR(INDEX('Data Transformation'!$B$4:$G$450,SMALL(IF('Data Transformation'!$B$4:$B$450='Bin Analysis and Plots'!D267,ROW('Data Transformation'!$B$4:$B$450)),ROW($20:$20))-3,3)),"",INDEX('Data Transformation'!$B$4:$G$450,SMALL(IF('Data Transformation'!$B$4:$B$450='Bin Analysis and Plots'!D267,ROW('Data Transformation'!$B$4:$B$450)),ROW($20:$20))-3,6))</f>
        <v>0</v>
      </c>
      <c r="B289" s="29" t="str">
        <f>IFERROR(SMALL(A270:A289,'Data Transformation'!$L$25),"")</f>
        <v/>
      </c>
      <c r="C289" s="41" t="str">
        <f>IF(Weighting!$O$25&gt;0,D289,"")</f>
        <v/>
      </c>
      <c r="D289" t="e">
        <f>Weighting!$C$25</f>
        <v>#DIV/0!</v>
      </c>
      <c r="E289" t="e">
        <f>Weighting!$E$25</f>
        <v>#NUM!</v>
      </c>
      <c r="F289" t="e">
        <f>IF(E289=1,'Data Transformation'!$G$3+0.5*'Data Transformation'!$U$25,IF(E290=1,F290-'Data Transformation'!$U$25,FALSE))</f>
        <v>#NUM!</v>
      </c>
      <c r="G289">
        <f t="array" ref="G289">IF(ISLOGICAL(F289),"",FREQUENCY(IF('Data Transformation'!$B$24:$B$404='Bin Analysis and Plots'!$D$267,'Data Transformation'!$G$24:$G$404),'Bin Analysis and Plots'!F289))</f>
        <v>0</v>
      </c>
      <c r="H289">
        <f t="shared" si="33"/>
        <v>0</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2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2" t="s">
        <v>64</v>
      </c>
      <c r="B292" s="92"/>
      <c r="C292" s="14" t="s">
        <v>72</v>
      </c>
      <c r="D292" t="s">
        <v>50</v>
      </c>
      <c r="E292" t="s">
        <v>5</v>
      </c>
      <c r="I292" t="s">
        <v>75</v>
      </c>
      <c r="J292" t="s">
        <v>34</v>
      </c>
      <c r="K292" t="s">
        <v>35</v>
      </c>
      <c r="L292" t="s">
        <v>49</v>
      </c>
      <c r="M292" s="14" t="s">
        <v>48</v>
      </c>
      <c r="Z292" s="78">
        <v>0</v>
      </c>
      <c r="AA292" s="78">
        <v>0</v>
      </c>
    </row>
    <row r="293" spans="1:27">
      <c r="C293" s="41" t="str">
        <f>IF(B293="","",D293)</f>
        <v/>
      </c>
      <c r="F293" t="e">
        <f>IF(E293=1,'Data Transformation'!$G$3+0.5*'Data Transformation'!$U$25,IF(E294=1,F294-'Data Transformation'!$U$25,FALSE))</f>
        <v>#NUM!</v>
      </c>
      <c r="G293">
        <f t="array" ref="G293">IF(ISLOGICAL(F293),"",FREQUENCY(IF('Data Transformation'!$B$24:$B$404='Bin Analysis and Plots'!$D$291,'Data Transformation'!$G$24:$G$404),'Bin Analysis and Plots'!F293))</f>
        <v>0</v>
      </c>
      <c r="H293">
        <f>IF(ISLOGICAL(F293),"",G293-G292)</f>
        <v>0</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t="e">
        <f>IF(Weighting!$O$6&gt;0,D294,"")</f>
        <v>#NUM!</v>
      </c>
      <c r="D294" t="e">
        <f>Weighting!$C$6</f>
        <v>#DIV/0!</v>
      </c>
      <c r="E294" t="e">
        <f>Weighting!$E$6</f>
        <v>#NUM!</v>
      </c>
      <c r="F294" t="e">
        <f>IF(E294=1,'Data Transformation'!$G$3+0.5*'Data Transformation'!$U$25,IF(E295=1,F295-'Data Transformation'!$U$25,FALSE))</f>
        <v>#NUM!</v>
      </c>
      <c r="G294">
        <f t="array" ref="G294">IF(ISLOGICAL(F294),"",FREQUENCY(IF('Data Transformation'!$B$24:$B$404='Bin Analysis and Plots'!$D$291,'Data Transformation'!$G$24:$G$404),'Bin Analysis and Plots'!F294))</f>
        <v>0</v>
      </c>
      <c r="H294">
        <f>IF(ISLOGICAL(F294),"",G294-G293)</f>
        <v>0</v>
      </c>
      <c r="I294">
        <f>Weighting!$G$6</f>
        <v>1</v>
      </c>
      <c r="J294">
        <f t="array" ref="J294">FREQUENCY(IF('Data Transformation'!$B$4:$B$404=D291,'Data Transformation'!$G$4:$G$404),'Bin Analysis and Plots'!$D294)</f>
        <v>0</v>
      </c>
      <c r="K294">
        <f>J294-J293</f>
        <v>0</v>
      </c>
      <c r="L294">
        <f>IF(K294=0,0,1)</f>
        <v>0</v>
      </c>
      <c r="M294" t="e">
        <f>L294*Weighting!$V$6</f>
        <v>#NUM!</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t="str">
        <f>IF(Weighting!$O$7&gt;0,D295,"")</f>
        <v/>
      </c>
      <c r="D295" t="e">
        <f>Weighting!$C$7</f>
        <v>#DIV/0!</v>
      </c>
      <c r="E295" t="e">
        <f>Weighting!$E$7</f>
        <v>#NUM!</v>
      </c>
      <c r="F295" t="e">
        <f>IF(E295=1,'Data Transformation'!$G$3+0.5*'Data Transformation'!$U$25,IF(E296=1,F296-'Data Transformation'!$U$25,FALSE))</f>
        <v>#NUM!</v>
      </c>
      <c r="G295">
        <f t="array" ref="G295">IF(ISLOGICAL(F295),"",FREQUENCY(IF('Data Transformation'!$B$24:$B$404='Bin Analysis and Plots'!$D$291,'Data Transformation'!$G$24:$G$404),'Bin Analysis and Plots'!F295))</f>
        <v>0</v>
      </c>
      <c r="H295">
        <f t="shared" ref="H295:H313" si="36">IF(ISLOGICAL(F295),"",G295-G294)</f>
        <v>0</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t="str">
        <f>IF(Weighting!$O$8&gt;0,D296,"")</f>
        <v/>
      </c>
      <c r="D296" t="e">
        <f>Weighting!$C$8</f>
        <v>#DIV/0!</v>
      </c>
      <c r="E296" t="e">
        <f>Weighting!$E$8</f>
        <v>#NUM!</v>
      </c>
      <c r="F296" t="e">
        <f>IF(E296=1,'Data Transformation'!$G$3+0.5*'Data Transformation'!$U$25,IF(E297=1,F297-'Data Transformation'!$U$25,FALSE))</f>
        <v>#NUM!</v>
      </c>
      <c r="G296">
        <f t="array" ref="G296">IF(ISLOGICAL(F296),"",FREQUENCY(IF('Data Transformation'!$B$24:$B$404='Bin Analysis and Plots'!$D$291,'Data Transformation'!$G$24:$G$404),'Bin Analysis and Plots'!F296))</f>
        <v>0</v>
      </c>
      <c r="H296">
        <f t="shared" si="36"/>
        <v>0</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t="str">
        <f>IF(Weighting!$O$9&gt;0,D297,"")</f>
        <v/>
      </c>
      <c r="D297" t="e">
        <f>Weighting!$B$9</f>
        <v>#DIV/0!</v>
      </c>
      <c r="E297" t="e">
        <f>Weighting!$E$9</f>
        <v>#NUM!</v>
      </c>
      <c r="F297" t="e">
        <f>IF(E297=1,'Data Transformation'!$G$3+0.5*'Data Transformation'!$U$25,IF(E298=1,F298-'Data Transformation'!$U$25,FALSE))</f>
        <v>#NUM!</v>
      </c>
      <c r="G297">
        <f t="array" ref="G297">IF(ISLOGICAL(F297),"",FREQUENCY(IF('Data Transformation'!$B$24:$B$404='Bin Analysis and Plots'!$D$291,'Data Transformation'!$G$24:$G$404),'Bin Analysis and Plots'!F297))</f>
        <v>0</v>
      </c>
      <c r="H297">
        <f t="shared" si="36"/>
        <v>0</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t="str">
        <f>IF(Weighting!$O$10&gt;0,D298,"")</f>
        <v/>
      </c>
      <c r="D298" t="e">
        <f>Weighting!$C$10</f>
        <v>#DIV/0!</v>
      </c>
      <c r="E298" t="e">
        <f>Weighting!$E$10</f>
        <v>#NUM!</v>
      </c>
      <c r="F298" t="e">
        <f>IF(E298=1,'Data Transformation'!$G$3+0.5*'Data Transformation'!$U$25,IF(E299=1,F299-'Data Transformation'!$U$25,FALSE))</f>
        <v>#NUM!</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t="str">
        <f>IF(Weighting!$O$11&gt;0,D299,"")</f>
        <v/>
      </c>
      <c r="D299" t="e">
        <f>Weighting!$C$11</f>
        <v>#DIV/0!</v>
      </c>
      <c r="E299" t="e">
        <f>Weighting!$E$11</f>
        <v>#NUM!</v>
      </c>
      <c r="F299" t="e">
        <f>IF(E299=1,'Data Transformation'!$G$3+0.5*'Data Transformation'!$U$25,IF(E300=1,F300-'Data Transformation'!$U$25,FALSE))</f>
        <v>#NUM!</v>
      </c>
      <c r="G299">
        <f t="array" ref="G299">IF(ISLOGICAL(F299),"",FREQUENCY(IF('Data Transformation'!$B$24:$B$404='Bin Analysis and Plots'!$D$291,'Data Transformation'!$G$24:$G$404),'Bin Analysis and Plots'!F299))</f>
        <v>0</v>
      </c>
      <c r="H299">
        <f t="shared" si="36"/>
        <v>0</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t="str">
        <f>IF(Weighting!$O$12&gt;0,D300,"")</f>
        <v/>
      </c>
      <c r="D300" t="e">
        <f>Weighting!$C$12</f>
        <v>#DIV/0!</v>
      </c>
      <c r="E300" t="e">
        <f>Weighting!$E$12</f>
        <v>#NUM!</v>
      </c>
      <c r="F300" t="e">
        <f>IF(E300=1,'Data Transformation'!$G$3+0.5*'Data Transformation'!$U$25,IF(E301=1,F301-'Data Transformation'!$U$25,FALSE))</f>
        <v>#NUM!</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t="e">
        <f>Weighting!$C$13</f>
        <v>#DIV/0!</v>
      </c>
      <c r="E301" t="e">
        <f>Weighting!$E$13</f>
        <v>#NUM!</v>
      </c>
      <c r="F301" t="e">
        <f>IF(E301=1,'Data Transformation'!$G$3+0.5*'Data Transformation'!$U$25,IF(E302=1,F302-'Data Transformation'!$U$25,FALSE))</f>
        <v>#NUM!</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t="e">
        <f>Weighting!$C$14</f>
        <v>#DIV/0!</v>
      </c>
      <c r="E302" t="e">
        <f>Weighting!$E$14</f>
        <v>#NUM!</v>
      </c>
      <c r="F302" t="e">
        <f>IF(E302=1,'Data Transformation'!$G$3+0.5*'Data Transformation'!$U$25,IF(E303=1,F303-'Data Transformation'!$U$25,FALSE))</f>
        <v>#NUM!</v>
      </c>
      <c r="G302">
        <f t="array" ref="G302">IF(ISLOGICAL(F302),"",FREQUENCY(IF('Data Transformation'!$B$24:$B$404='Bin Analysis and Plots'!$D$291,'Data Transformation'!$G$24:$G$404),'Bin Analysis and Plots'!F302))</f>
        <v>0</v>
      </c>
      <c r="H302">
        <f t="shared" si="36"/>
        <v>0</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t="e">
        <f>Weighting!$C$15</f>
        <v>#DIV/0!</v>
      </c>
      <c r="E303" t="e">
        <f>Weighting!$E$15</f>
        <v>#NUM!</v>
      </c>
      <c r="F303" t="e">
        <f>IF(E303=1,'Data Transformation'!$G$3+0.5*'Data Transformation'!$U$25,IF(E304=1,F304-'Data Transformation'!$U$25,FALSE))</f>
        <v>#NUM!</v>
      </c>
      <c r="G303">
        <f t="array" ref="G303">IF(ISLOGICAL(F303),"",FREQUENCY(IF('Data Transformation'!$B$24:$B$404='Bin Analysis and Plots'!$D$291,'Data Transformation'!$G$24:$G$404),'Bin Analysis and Plots'!F303))</f>
        <v>0</v>
      </c>
      <c r="H303">
        <f t="shared" si="36"/>
        <v>0</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t="e">
        <f>Weighting!$C$16</f>
        <v>#DIV/0!</v>
      </c>
      <c r="E304" t="e">
        <f>Weighting!$E$16</f>
        <v>#NUM!</v>
      </c>
      <c r="F304" t="e">
        <f>IF(E304=1,'Data Transformation'!$G$3+0.5*'Data Transformation'!$U$25,IF(E305=1,F305-'Data Transformation'!$U$25,FALSE))</f>
        <v>#NUM!</v>
      </c>
      <c r="G304">
        <f t="array" ref="G304">IF(ISLOGICAL(F304),"",FREQUENCY(IF('Data Transformation'!$B$24:$B$404='Bin Analysis and Plots'!$D$291,'Data Transformation'!$G$24:$G$404),'Bin Analysis and Plots'!F304))</f>
        <v>0</v>
      </c>
      <c r="H304">
        <f t="shared" si="36"/>
        <v>0</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t="e">
        <f>Weighting!$C$17</f>
        <v>#DIV/0!</v>
      </c>
      <c r="E305" t="e">
        <f>Weighting!$E$17</f>
        <v>#NUM!</v>
      </c>
      <c r="F305" t="e">
        <f>IF(E305=1,'Data Transformation'!$G$3+0.5*'Data Transformation'!$U$25,IF(E306=1,F306-'Data Transformation'!$U$25,FALSE))</f>
        <v>#NUM!</v>
      </c>
      <c r="G305">
        <f t="array" ref="G305">IF(ISLOGICAL(F305),"",FREQUENCY(IF('Data Transformation'!$B$24:$B$404='Bin Analysis and Plots'!$D$291,'Data Transformation'!$G$24:$G$404),'Bin Analysis and Plots'!F305))</f>
        <v>0</v>
      </c>
      <c r="H305">
        <f t="shared" si="36"/>
        <v>0</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t="e">
        <f>Weighting!$C$18</f>
        <v>#DIV/0!</v>
      </c>
      <c r="E306" t="e">
        <f>Weighting!$E$18</f>
        <v>#NUM!</v>
      </c>
      <c r="F306" t="e">
        <f>IF(E306=1,'Data Transformation'!$G$3+0.5*'Data Transformation'!$U$25,IF(E307=1,F307-'Data Transformation'!$U$25,FALSE))</f>
        <v>#NUM!</v>
      </c>
      <c r="G306">
        <f t="array" ref="G306">IF(ISLOGICAL(F306),"",FREQUENCY(IF('Data Transformation'!$B$24:$B$404='Bin Analysis and Plots'!$D$291,'Data Transformation'!$G$24:$G$404),'Bin Analysis and Plots'!F306))</f>
        <v>0</v>
      </c>
      <c r="H306">
        <f t="shared" si="36"/>
        <v>0</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t="e">
        <f>Weighting!$C$19</f>
        <v>#DIV/0!</v>
      </c>
      <c r="E307" t="e">
        <f>Weighting!$E$19</f>
        <v>#NUM!</v>
      </c>
      <c r="F307" t="e">
        <f>IF(E307=1,'Data Transformation'!$G$3+0.5*'Data Transformation'!$U$25,IF(E308=1,F308-'Data Transformation'!$U$25,FALSE))</f>
        <v>#NUM!</v>
      </c>
      <c r="G307">
        <f t="array" ref="G307">IF(ISLOGICAL(F307),"",FREQUENCY(IF('Data Transformation'!$B$24:$B$404='Bin Analysis and Plots'!$D$291,'Data Transformation'!$G$24:$G$404),'Bin Analysis and Plots'!F307))</f>
        <v>0</v>
      </c>
      <c r="H307">
        <f t="shared" si="36"/>
        <v>0</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t="e">
        <f>Weighting!$C$20</f>
        <v>#DIV/0!</v>
      </c>
      <c r="E308" t="e">
        <f>Weighting!$E$20</f>
        <v>#NUM!</v>
      </c>
      <c r="F308" t="e">
        <f>IF(E308=1,'Data Transformation'!$G$3+0.5*'Data Transformation'!$U$25,IF(E309=1,F309-'Data Transformation'!$U$25,FALSE))</f>
        <v>#NUM!</v>
      </c>
      <c r="G308">
        <f t="array" ref="G308">IF(ISLOGICAL(F308),"",FREQUENCY(IF('Data Transformation'!$B$24:$B$404='Bin Analysis and Plots'!$D$291,'Data Transformation'!$G$24:$G$404),'Bin Analysis and Plots'!F308))</f>
        <v>0</v>
      </c>
      <c r="H308">
        <f t="shared" si="36"/>
        <v>0</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t="e">
        <f>Weighting!$C$21</f>
        <v>#DIV/0!</v>
      </c>
      <c r="E309" t="e">
        <f>Weighting!$E$21</f>
        <v>#NUM!</v>
      </c>
      <c r="F309" t="e">
        <f>IF(E309=1,'Data Transformation'!$G$3+0.5*'Data Transformation'!$U$25,IF(E310=1,F310-'Data Transformation'!$U$25,FALSE))</f>
        <v>#NUM!</v>
      </c>
      <c r="G309">
        <f t="array" ref="G309">IF(ISLOGICAL(F309),"",FREQUENCY(IF('Data Transformation'!$B$24:$B$404='Bin Analysis and Plots'!$D$291,'Data Transformation'!$G$24:$G$404),'Bin Analysis and Plots'!F309))</f>
        <v>0</v>
      </c>
      <c r="H309">
        <f t="shared" si="36"/>
        <v>0</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t="e">
        <f>Weighting!$C$22</f>
        <v>#DIV/0!</v>
      </c>
      <c r="E310" t="e">
        <f>Weighting!$E$22</f>
        <v>#NUM!</v>
      </c>
      <c r="F310" t="e">
        <f>IF(E310=1,'Data Transformation'!$G$3+0.5*'Data Transformation'!$U$25,IF(E311=1,F311-'Data Transformation'!$U$25,FALSE))</f>
        <v>#NUM!</v>
      </c>
      <c r="G310">
        <f t="array" ref="G310">IF(ISLOGICAL(F310),"",FREQUENCY(IF('Data Transformation'!$B$24:$B$404='Bin Analysis and Plots'!$D$291,'Data Transformation'!$G$24:$G$404),'Bin Analysis and Plots'!F310))</f>
        <v>0</v>
      </c>
      <c r="H310">
        <f t="shared" si="36"/>
        <v>0</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t="e">
        <f>Weighting!$C$23</f>
        <v>#DIV/0!</v>
      </c>
      <c r="E311" t="e">
        <f>Weighting!$E$23</f>
        <v>#NUM!</v>
      </c>
      <c r="F311" t="e">
        <f>IF(E311=1,'Data Transformation'!$G$3+0.5*'Data Transformation'!$U$25,IF(E312=1,F312-'Data Transformation'!$U$25,FALSE))</f>
        <v>#NUM!</v>
      </c>
      <c r="G311">
        <f t="array" ref="G311">IF(ISLOGICAL(F311),"",FREQUENCY(IF('Data Transformation'!$B$24:$B$404='Bin Analysis and Plots'!$D$291,'Data Transformation'!$G$24:$G$404),'Bin Analysis and Plots'!F311))</f>
        <v>0</v>
      </c>
      <c r="H311">
        <f t="shared" si="36"/>
        <v>0</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t="e">
        <f>Weighting!$C$24</f>
        <v>#DIV/0!</v>
      </c>
      <c r="E312" t="e">
        <f>Weighting!$E$24</f>
        <v>#NUM!</v>
      </c>
      <c r="F312" t="e">
        <f>IF(E312=1,'Data Transformation'!$G$3+0.5*'Data Transformation'!$U$25,IF(E313=1,F313-'Data Transformation'!$U$25,FALSE))</f>
        <v>#NUM!</v>
      </c>
      <c r="G312">
        <f t="array" ref="G312">IF(ISLOGICAL(F312),"",FREQUENCY(IF('Data Transformation'!$B$24:$B$404='Bin Analysis and Plots'!$D$291,'Data Transformation'!$G$24:$G$404),'Bin Analysis and Plots'!F312))</f>
        <v>0</v>
      </c>
      <c r="H312">
        <f t="shared" si="36"/>
        <v>0</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b">
        <f t="array" ref="A313">IF(ISERROR(INDEX('Data Transformation'!$B$4:$G$450,SMALL(IF('Data Transformation'!$B$4:$B$450='Bin Analysis and Plots'!D291,ROW('Data Transformation'!$B$4:$B$450)),ROW($20:$20))-3,3)),"",INDEX('Data Transformation'!$B$4:$G$450,SMALL(IF('Data Transformation'!$B$4:$B$450='Bin Analysis and Plots'!D291,ROW('Data Transformation'!$B$4:$B$450)),ROW($20:$20))-3,6))</f>
        <v>0</v>
      </c>
      <c r="B313" s="29" t="str">
        <f>IFERROR(SMALL(A294:A313,'Data Transformation'!$L$25),"")</f>
        <v/>
      </c>
      <c r="C313" s="41" t="str">
        <f>IF(Weighting!$O$25&gt;0,D313,"")</f>
        <v/>
      </c>
      <c r="D313" t="e">
        <f>Weighting!$C$25</f>
        <v>#DIV/0!</v>
      </c>
      <c r="E313" t="e">
        <f>Weighting!$E$25</f>
        <v>#NUM!</v>
      </c>
      <c r="F313" t="e">
        <f>IF(E313=1,'Data Transformation'!$G$3+0.5*'Data Transformation'!$U$25,IF(E314=1,F314-'Data Transformation'!$U$25,FALSE))</f>
        <v>#NUM!</v>
      </c>
      <c r="G313">
        <f t="array" ref="G313">IF(ISLOGICAL(F313),"",FREQUENCY(IF('Data Transformation'!$B$24:$B$404='Bin Analysis and Plots'!$D$291,'Data Transformation'!$G$24:$G$404),'Bin Analysis and Plots'!F313))</f>
        <v>0</v>
      </c>
      <c r="H313">
        <f t="shared" si="36"/>
        <v>0</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2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2" t="s">
        <v>64</v>
      </c>
      <c r="B316" s="92"/>
      <c r="C316" s="14" t="s">
        <v>72</v>
      </c>
      <c r="D316" t="s">
        <v>50</v>
      </c>
      <c r="E316" t="s">
        <v>5</v>
      </c>
      <c r="I316" t="s">
        <v>75</v>
      </c>
      <c r="J316" t="s">
        <v>34</v>
      </c>
      <c r="K316" t="s">
        <v>35</v>
      </c>
      <c r="L316" t="s">
        <v>49</v>
      </c>
      <c r="M316" s="14" t="s">
        <v>48</v>
      </c>
      <c r="Z316" s="78">
        <v>0</v>
      </c>
      <c r="AA316" s="78">
        <v>0</v>
      </c>
    </row>
    <row r="317" spans="1:27">
      <c r="C317" s="41" t="str">
        <f>IF(B317="","",D317)</f>
        <v/>
      </c>
      <c r="F317" t="e">
        <f>IF(E317=1,'Data Transformation'!$G$3+0.5*'Data Transformation'!$U$25,IF(E318=1,F318-'Data Transformation'!$U$25,FALSE))</f>
        <v>#NUM!</v>
      </c>
      <c r="G317">
        <f t="array" ref="G317">IF(ISLOGICAL(F317),"",FREQUENCY(IF('Data Transformation'!$B$24:$B$404='Bin Analysis and Plots'!$D$315,'Data Transformation'!$G$24:$G$404),'Bin Analysis and Plots'!F317))</f>
        <v>0</v>
      </c>
      <c r="H317">
        <f>IF(ISLOGICAL(F317),"",G317-G316)</f>
        <v>0</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t="e">
        <f>IF(Weighting!$O$6&gt;0,D318,"")</f>
        <v>#NUM!</v>
      </c>
      <c r="D318" t="e">
        <f>Weighting!$C$6</f>
        <v>#DIV/0!</v>
      </c>
      <c r="E318" t="e">
        <f>Weighting!$E$6</f>
        <v>#NUM!</v>
      </c>
      <c r="F318" t="e">
        <f>IF(E318=1,'Data Transformation'!$G$3+0.5*'Data Transformation'!$U$25,IF(E319=1,F319-'Data Transformation'!$U$25,FALSE))</f>
        <v>#NUM!</v>
      </c>
      <c r="G318">
        <f t="array" ref="G318">IF(ISLOGICAL(F318),"",FREQUENCY(IF('Data Transformation'!$B$24:$B$404='Bin Analysis and Plots'!$D$315,'Data Transformation'!$G$24:$G$404),'Bin Analysis and Plots'!F318))</f>
        <v>0</v>
      </c>
      <c r="H318">
        <f>IF(ISLOGICAL(F318),"",G318-G317)</f>
        <v>0</v>
      </c>
      <c r="I318">
        <f>Weighting!$G$6</f>
        <v>1</v>
      </c>
      <c r="J318">
        <f t="array" ref="J318">FREQUENCY(IF('Data Transformation'!$B$4:$B$404=D315,'Data Transformation'!$G$4:$G$404),'Bin Analysis and Plots'!$D318)</f>
        <v>0</v>
      </c>
      <c r="K318">
        <f>J318-J317</f>
        <v>0</v>
      </c>
      <c r="L318">
        <f>IF(K318=0,0,1)</f>
        <v>0</v>
      </c>
      <c r="M318" t="e">
        <f>L318*Weighting!$V$6</f>
        <v>#NUM!</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t="str">
        <f>IF(Weighting!$O$7&gt;0,D319,"")</f>
        <v/>
      </c>
      <c r="D319" t="e">
        <f>Weighting!$C$7</f>
        <v>#DIV/0!</v>
      </c>
      <c r="E319" t="e">
        <f>Weighting!$E$7</f>
        <v>#NUM!</v>
      </c>
      <c r="F319" t="e">
        <f>IF(E319=1,'Data Transformation'!$G$3+0.5*'Data Transformation'!$U$25,IF(E320=1,F320-'Data Transformation'!$U$25,FALSE))</f>
        <v>#NUM!</v>
      </c>
      <c r="G319">
        <f t="array" ref="G319">IF(ISLOGICAL(F319),"",FREQUENCY(IF('Data Transformation'!$B$24:$B$404='Bin Analysis and Plots'!$D$315,'Data Transformation'!$G$24:$G$404),'Bin Analysis and Plots'!F319))</f>
        <v>0</v>
      </c>
      <c r="H319">
        <f t="shared" ref="H319:H337" si="39">IF(ISLOGICAL(F319),"",G319-G318)</f>
        <v>0</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t="str">
        <f>IF(Weighting!$O$8&gt;0,D320,"")</f>
        <v/>
      </c>
      <c r="D320" t="e">
        <f>Weighting!$C$8</f>
        <v>#DIV/0!</v>
      </c>
      <c r="E320" t="e">
        <f>Weighting!$E$8</f>
        <v>#NUM!</v>
      </c>
      <c r="F320" t="e">
        <f>IF(E320=1,'Data Transformation'!$G$3+0.5*'Data Transformation'!$U$25,IF(E321=1,F321-'Data Transformation'!$U$25,FALSE))</f>
        <v>#NUM!</v>
      </c>
      <c r="G320">
        <f t="array" ref="G320">IF(ISLOGICAL(F320),"",FREQUENCY(IF('Data Transformation'!$B$24:$B$404='Bin Analysis and Plots'!$D$315,'Data Transformation'!$G$24:$G$404),'Bin Analysis and Plots'!F320))</f>
        <v>0</v>
      </c>
      <c r="H320">
        <f t="shared" si="39"/>
        <v>0</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t="str">
        <f>IF(Weighting!$O$9&gt;0,D321,"")</f>
        <v/>
      </c>
      <c r="D321" t="e">
        <f>Weighting!$B$9</f>
        <v>#DIV/0!</v>
      </c>
      <c r="E321" t="e">
        <f>Weighting!$E$9</f>
        <v>#NUM!</v>
      </c>
      <c r="F321" t="e">
        <f>IF(E321=1,'Data Transformation'!$G$3+0.5*'Data Transformation'!$U$25,IF(E322=1,F322-'Data Transformation'!$U$25,FALSE))</f>
        <v>#NUM!</v>
      </c>
      <c r="G321">
        <f t="array" ref="G321">IF(ISLOGICAL(F321),"",FREQUENCY(IF('Data Transformation'!$B$24:$B$404='Bin Analysis and Plots'!$D$315,'Data Transformation'!$G$24:$G$404),'Bin Analysis and Plots'!F321))</f>
        <v>0</v>
      </c>
      <c r="H321">
        <f t="shared" si="39"/>
        <v>0</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t="str">
        <f>IF(Weighting!$O$10&gt;0,D322,"")</f>
        <v/>
      </c>
      <c r="D322" t="e">
        <f>Weighting!$C$10</f>
        <v>#DIV/0!</v>
      </c>
      <c r="E322" t="e">
        <f>Weighting!$E$10</f>
        <v>#NUM!</v>
      </c>
      <c r="F322" t="e">
        <f>IF(E322=1,'Data Transformation'!$G$3+0.5*'Data Transformation'!$U$25,IF(E323=1,F323-'Data Transformation'!$U$25,FALSE))</f>
        <v>#NUM!</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t="str">
        <f>IF(Weighting!$O$11&gt;0,D323,"")</f>
        <v/>
      </c>
      <c r="D323" t="e">
        <f>Weighting!$C$11</f>
        <v>#DIV/0!</v>
      </c>
      <c r="E323" t="e">
        <f>Weighting!$E$11</f>
        <v>#NUM!</v>
      </c>
      <c r="F323" t="e">
        <f>IF(E323=1,'Data Transformation'!$G$3+0.5*'Data Transformation'!$U$25,IF(E324=1,F324-'Data Transformation'!$U$25,FALSE))</f>
        <v>#NUM!</v>
      </c>
      <c r="G323">
        <f t="array" ref="G323">IF(ISLOGICAL(F323),"",FREQUENCY(IF('Data Transformation'!$B$24:$B$404='Bin Analysis and Plots'!$D$315,'Data Transformation'!$G$24:$G$404),'Bin Analysis and Plots'!F323))</f>
        <v>0</v>
      </c>
      <c r="H323">
        <f t="shared" si="39"/>
        <v>0</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t="str">
        <f>IF(Weighting!$O$12&gt;0,D324,"")</f>
        <v/>
      </c>
      <c r="D324" t="e">
        <f>Weighting!$C$12</f>
        <v>#DIV/0!</v>
      </c>
      <c r="E324" t="e">
        <f>Weighting!$E$12</f>
        <v>#NUM!</v>
      </c>
      <c r="F324" t="e">
        <f>IF(E324=1,'Data Transformation'!$G$3+0.5*'Data Transformation'!$U$25,IF(E325=1,F325-'Data Transformation'!$U$25,FALSE))</f>
        <v>#NUM!</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t="e">
        <f>Weighting!$C$13</f>
        <v>#DIV/0!</v>
      </c>
      <c r="E325" t="e">
        <f>Weighting!$E$13</f>
        <v>#NUM!</v>
      </c>
      <c r="F325" t="e">
        <f>IF(E325=1,'Data Transformation'!$G$3+0.5*'Data Transformation'!$U$25,IF(E326=1,F326-'Data Transformation'!$U$25,FALSE))</f>
        <v>#NUM!</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t="e">
        <f>Weighting!$C$14</f>
        <v>#DIV/0!</v>
      </c>
      <c r="E326" t="e">
        <f>Weighting!$E$14</f>
        <v>#NUM!</v>
      </c>
      <c r="F326" t="e">
        <f>IF(E326=1,'Data Transformation'!$G$3+0.5*'Data Transformation'!$U$25,IF(E327=1,F327-'Data Transformation'!$U$25,FALSE))</f>
        <v>#NUM!</v>
      </c>
      <c r="G326">
        <f t="array" ref="G326">IF(ISLOGICAL(F326),"",FREQUENCY(IF('Data Transformation'!$B$24:$B$404='Bin Analysis and Plots'!$D$315,'Data Transformation'!$G$24:$G$404),'Bin Analysis and Plots'!F326))</f>
        <v>0</v>
      </c>
      <c r="H326">
        <f t="shared" si="39"/>
        <v>0</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t="e">
        <f>Weighting!$C$15</f>
        <v>#DIV/0!</v>
      </c>
      <c r="E327" t="e">
        <f>Weighting!$E$15</f>
        <v>#NUM!</v>
      </c>
      <c r="F327" t="e">
        <f>IF(E327=1,'Data Transformation'!$G$3+0.5*'Data Transformation'!$U$25,IF(E328=1,F328-'Data Transformation'!$U$25,FALSE))</f>
        <v>#NUM!</v>
      </c>
      <c r="G327">
        <f t="array" ref="G327">IF(ISLOGICAL(F327),"",FREQUENCY(IF('Data Transformation'!$B$24:$B$404='Bin Analysis and Plots'!$D$315,'Data Transformation'!$G$24:$G$404),'Bin Analysis and Plots'!F327))</f>
        <v>0</v>
      </c>
      <c r="H327">
        <f t="shared" si="39"/>
        <v>0</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t="e">
        <f>Weighting!$C$16</f>
        <v>#DIV/0!</v>
      </c>
      <c r="E328" t="e">
        <f>Weighting!$E$16</f>
        <v>#NUM!</v>
      </c>
      <c r="F328" t="e">
        <f>IF(E328=1,'Data Transformation'!$G$3+0.5*'Data Transformation'!$U$25,IF(E329=1,F329-'Data Transformation'!$U$25,FALSE))</f>
        <v>#NUM!</v>
      </c>
      <c r="G328">
        <f t="array" ref="G328">IF(ISLOGICAL(F328),"",FREQUENCY(IF('Data Transformation'!$B$24:$B$404='Bin Analysis and Plots'!$D$315,'Data Transformation'!$G$24:$G$404),'Bin Analysis and Plots'!F328))</f>
        <v>0</v>
      </c>
      <c r="H328">
        <f t="shared" si="39"/>
        <v>0</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t="e">
        <f>Weighting!$C$17</f>
        <v>#DIV/0!</v>
      </c>
      <c r="E329" t="e">
        <f>Weighting!$E$17</f>
        <v>#NUM!</v>
      </c>
      <c r="F329" t="e">
        <f>IF(E329=1,'Data Transformation'!$G$3+0.5*'Data Transformation'!$U$25,IF(E330=1,F330-'Data Transformation'!$U$25,FALSE))</f>
        <v>#NUM!</v>
      </c>
      <c r="G329">
        <f t="array" ref="G329">IF(ISLOGICAL(F329),"",FREQUENCY(IF('Data Transformation'!$B$24:$B$404='Bin Analysis and Plots'!$D$315,'Data Transformation'!$G$24:$G$404),'Bin Analysis and Plots'!F329))</f>
        <v>0</v>
      </c>
      <c r="H329">
        <f t="shared" si="39"/>
        <v>0</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t="e">
        <f>Weighting!$C$18</f>
        <v>#DIV/0!</v>
      </c>
      <c r="E330" t="e">
        <f>Weighting!$E$18</f>
        <v>#NUM!</v>
      </c>
      <c r="F330" t="e">
        <f>IF(E330=1,'Data Transformation'!$G$3+0.5*'Data Transformation'!$U$25,IF(E331=1,F331-'Data Transformation'!$U$25,FALSE))</f>
        <v>#NUM!</v>
      </c>
      <c r="G330">
        <f t="array" ref="G330">IF(ISLOGICAL(F330),"",FREQUENCY(IF('Data Transformation'!$B$24:$B$404='Bin Analysis and Plots'!$D$315,'Data Transformation'!$G$24:$G$404),'Bin Analysis and Plots'!F330))</f>
        <v>0</v>
      </c>
      <c r="H330">
        <f t="shared" si="39"/>
        <v>0</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t="e">
        <f>Weighting!$C$19</f>
        <v>#DIV/0!</v>
      </c>
      <c r="E331" t="e">
        <f>Weighting!$E$19</f>
        <v>#NUM!</v>
      </c>
      <c r="F331" t="e">
        <f>IF(E331=1,'Data Transformation'!$G$3+0.5*'Data Transformation'!$U$25,IF(E332=1,F332-'Data Transformation'!$U$25,FALSE))</f>
        <v>#NUM!</v>
      </c>
      <c r="G331">
        <f t="array" ref="G331">IF(ISLOGICAL(F331),"",FREQUENCY(IF('Data Transformation'!$B$24:$B$404='Bin Analysis and Plots'!$D$315,'Data Transformation'!$G$24:$G$404),'Bin Analysis and Plots'!F331))</f>
        <v>0</v>
      </c>
      <c r="H331">
        <f t="shared" si="39"/>
        <v>0</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t="e">
        <f>Weighting!$C$20</f>
        <v>#DIV/0!</v>
      </c>
      <c r="E332" t="e">
        <f>Weighting!$E$20</f>
        <v>#NUM!</v>
      </c>
      <c r="F332" t="e">
        <f>IF(E332=1,'Data Transformation'!$G$3+0.5*'Data Transformation'!$U$25,IF(E333=1,F333-'Data Transformation'!$U$25,FALSE))</f>
        <v>#NUM!</v>
      </c>
      <c r="G332">
        <f t="array" ref="G332">IF(ISLOGICAL(F332),"",FREQUENCY(IF('Data Transformation'!$B$24:$B$404='Bin Analysis and Plots'!$D$315,'Data Transformation'!$G$24:$G$404),'Bin Analysis and Plots'!F332))</f>
        <v>0</v>
      </c>
      <c r="H332">
        <f t="shared" si="39"/>
        <v>0</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t="e">
        <f>Weighting!$C$21</f>
        <v>#DIV/0!</v>
      </c>
      <c r="E333" t="e">
        <f>Weighting!$E$21</f>
        <v>#NUM!</v>
      </c>
      <c r="F333" t="e">
        <f>IF(E333=1,'Data Transformation'!$G$3+0.5*'Data Transformation'!$U$25,IF(E334=1,F334-'Data Transformation'!$U$25,FALSE))</f>
        <v>#NUM!</v>
      </c>
      <c r="G333">
        <f t="array" ref="G333">IF(ISLOGICAL(F333),"",FREQUENCY(IF('Data Transformation'!$B$24:$B$404='Bin Analysis and Plots'!$D$315,'Data Transformation'!$G$24:$G$404),'Bin Analysis and Plots'!F333))</f>
        <v>0</v>
      </c>
      <c r="H333">
        <f t="shared" si="39"/>
        <v>0</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t="e">
        <f>Weighting!$C$22</f>
        <v>#DIV/0!</v>
      </c>
      <c r="E334" t="e">
        <f>Weighting!$E$22</f>
        <v>#NUM!</v>
      </c>
      <c r="F334" t="e">
        <f>IF(E334=1,'Data Transformation'!$G$3+0.5*'Data Transformation'!$U$25,IF(E335=1,F335-'Data Transformation'!$U$25,FALSE))</f>
        <v>#NUM!</v>
      </c>
      <c r="G334">
        <f t="array" ref="G334">IF(ISLOGICAL(F334),"",FREQUENCY(IF('Data Transformation'!$B$24:$B$404='Bin Analysis and Plots'!$D$315,'Data Transformation'!$G$24:$G$404),'Bin Analysis and Plots'!F334))</f>
        <v>0</v>
      </c>
      <c r="H334">
        <f t="shared" si="39"/>
        <v>0</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t="e">
        <f>Weighting!$C$23</f>
        <v>#DIV/0!</v>
      </c>
      <c r="E335" t="e">
        <f>Weighting!$E$23</f>
        <v>#NUM!</v>
      </c>
      <c r="F335" t="e">
        <f>IF(E335=1,'Data Transformation'!$G$3+0.5*'Data Transformation'!$U$25,IF(E336=1,F336-'Data Transformation'!$U$25,FALSE))</f>
        <v>#NUM!</v>
      </c>
      <c r="G335">
        <f t="array" ref="G335">IF(ISLOGICAL(F335),"",FREQUENCY(IF('Data Transformation'!$B$24:$B$404='Bin Analysis and Plots'!$D$315,'Data Transformation'!$G$24:$G$404),'Bin Analysis and Plots'!F335))</f>
        <v>0</v>
      </c>
      <c r="H335">
        <f t="shared" si="39"/>
        <v>0</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t="e">
        <f>Weighting!$C$24</f>
        <v>#DIV/0!</v>
      </c>
      <c r="E336" t="e">
        <f>Weighting!$E$24</f>
        <v>#NUM!</v>
      </c>
      <c r="F336" t="e">
        <f>IF(E336=1,'Data Transformation'!$G$3+0.5*'Data Transformation'!$U$25,IF(E337=1,F337-'Data Transformation'!$U$25,FALSE))</f>
        <v>#NUM!</v>
      </c>
      <c r="G336">
        <f t="array" ref="G336">IF(ISLOGICAL(F336),"",FREQUENCY(IF('Data Transformation'!$B$24:$B$404='Bin Analysis and Plots'!$D$315,'Data Transformation'!$G$24:$G$404),'Bin Analysis and Plots'!F336))</f>
        <v>0</v>
      </c>
      <c r="H336">
        <f t="shared" si="39"/>
        <v>0</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b">
        <f t="array" ref="A337">IF(ISERROR(INDEX('Data Transformation'!$B$4:$G$450,SMALL(IF('Data Transformation'!$B$4:$B$450='Bin Analysis and Plots'!D315,ROW('Data Transformation'!$B$4:$B$450)),ROW($20:$20))-3,3)),"",INDEX('Data Transformation'!$B$4:$G$450,SMALL(IF('Data Transformation'!$B$4:$B$450='Bin Analysis and Plots'!D315,ROW('Data Transformation'!$B$4:$B$450)),ROW($20:$20))-3,6))</f>
        <v>0</v>
      </c>
      <c r="B337" s="29" t="str">
        <f>IFERROR(SMALL(A318:A337,'Data Transformation'!$L$25),"")</f>
        <v/>
      </c>
      <c r="C337" s="41" t="str">
        <f>IF(Weighting!$O$25&gt;0,D337,"")</f>
        <v/>
      </c>
      <c r="D337" t="e">
        <f>Weighting!$C$25</f>
        <v>#DIV/0!</v>
      </c>
      <c r="E337" t="e">
        <f>Weighting!$E$25</f>
        <v>#NUM!</v>
      </c>
      <c r="F337" t="e">
        <f>IF(E337=1,'Data Transformation'!$G$3+0.5*'Data Transformation'!$U$25,IF(E338=1,F338-'Data Transformation'!$U$25,FALSE))</f>
        <v>#NUM!</v>
      </c>
      <c r="G337">
        <f t="array" ref="G337">IF(ISLOGICAL(F337),"",FREQUENCY(IF('Data Transformation'!$B$24:$B$404='Bin Analysis and Plots'!$D$315,'Data Transformation'!$G$24:$G$404),'Bin Analysis and Plots'!F337))</f>
        <v>0</v>
      </c>
      <c r="H337">
        <f t="shared" si="39"/>
        <v>0</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2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2" t="s">
        <v>64</v>
      </c>
      <c r="B340" s="92"/>
      <c r="C340" s="14" t="s">
        <v>72</v>
      </c>
      <c r="D340" t="s">
        <v>50</v>
      </c>
      <c r="E340" t="s">
        <v>5</v>
      </c>
      <c r="I340" t="s">
        <v>75</v>
      </c>
      <c r="J340" t="s">
        <v>34</v>
      </c>
      <c r="K340" t="s">
        <v>35</v>
      </c>
      <c r="L340" t="s">
        <v>49</v>
      </c>
      <c r="M340" s="14" t="s">
        <v>48</v>
      </c>
      <c r="Z340" s="78">
        <v>0</v>
      </c>
      <c r="AA340" s="78">
        <v>0</v>
      </c>
    </row>
    <row r="341" spans="1:27">
      <c r="C341" s="41" t="str">
        <f>IF(B341="","",D341)</f>
        <v/>
      </c>
      <c r="F341" t="e">
        <f>IF(E341=1,'Data Transformation'!$G$3+0.5*'Data Transformation'!$U$25,IF(E342=1,F342-'Data Transformation'!$U$25,FALSE))</f>
        <v>#NUM!</v>
      </c>
      <c r="G341">
        <f t="array" ref="G341">IF(ISLOGICAL(F341),"",FREQUENCY(IF('Data Transformation'!$B$24:$B$404='Bin Analysis and Plots'!$D$339,'Data Transformation'!$G$24:$G$404),'Bin Analysis and Plots'!F341))</f>
        <v>0</v>
      </c>
      <c r="H341">
        <f>IF(ISLOGICAL(F341),"",G341-G340)</f>
        <v>0</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t="e">
        <f>IF(Weighting!$O$6&gt;0,D342,"")</f>
        <v>#NUM!</v>
      </c>
      <c r="D342" t="e">
        <f>Weighting!$C$6</f>
        <v>#DIV/0!</v>
      </c>
      <c r="E342" t="e">
        <f>Weighting!$E$6</f>
        <v>#NUM!</v>
      </c>
      <c r="F342" t="e">
        <f>IF(E342=1,'Data Transformation'!$G$3+0.5*'Data Transformation'!$U$25,IF(E343=1,F343-'Data Transformation'!$U$25,FALSE))</f>
        <v>#NUM!</v>
      </c>
      <c r="G342">
        <f t="array" ref="G342">IF(ISLOGICAL(F342),"",FREQUENCY(IF('Data Transformation'!$B$24:$B$404='Bin Analysis and Plots'!$D$339,'Data Transformation'!$G$24:$G$404),'Bin Analysis and Plots'!F342))</f>
        <v>0</v>
      </c>
      <c r="H342">
        <f>IF(ISLOGICAL(F342),"",G342-G341)</f>
        <v>0</v>
      </c>
      <c r="I342">
        <f>Weighting!$G$6</f>
        <v>1</v>
      </c>
      <c r="J342">
        <f t="array" ref="J342">FREQUENCY(IF('Data Transformation'!$B$4:$B$404=D339,'Data Transformation'!$G$4:$G$404),'Bin Analysis and Plots'!$D342)</f>
        <v>0</v>
      </c>
      <c r="K342">
        <f>J342-J341</f>
        <v>0</v>
      </c>
      <c r="L342">
        <f>IF(K342=0,0,1)</f>
        <v>0</v>
      </c>
      <c r="M342" t="e">
        <f>L342*Weighting!$V$6</f>
        <v>#NUM!</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t="str">
        <f>IF(Weighting!$O$7&gt;0,D343,"")</f>
        <v/>
      </c>
      <c r="D343" t="e">
        <f>Weighting!$C$7</f>
        <v>#DIV/0!</v>
      </c>
      <c r="E343" t="e">
        <f>Weighting!$E$7</f>
        <v>#NUM!</v>
      </c>
      <c r="F343" t="e">
        <f>IF(E343=1,'Data Transformation'!$G$3+0.5*'Data Transformation'!$U$25,IF(E344=1,F344-'Data Transformation'!$U$25,FALSE))</f>
        <v>#NUM!</v>
      </c>
      <c r="G343">
        <f t="array" ref="G343">IF(ISLOGICAL(F343),"",FREQUENCY(IF('Data Transformation'!$B$24:$B$404='Bin Analysis and Plots'!$D$339,'Data Transformation'!$G$24:$G$404),'Bin Analysis and Plots'!F343))</f>
        <v>0</v>
      </c>
      <c r="H343">
        <f t="shared" ref="H343:H361" si="42">IF(ISLOGICAL(F343),"",G343-G342)</f>
        <v>0</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t="str">
        <f>IF(Weighting!$O$8&gt;0,D344,"")</f>
        <v/>
      </c>
      <c r="D344" t="e">
        <f>Weighting!$C$8</f>
        <v>#DIV/0!</v>
      </c>
      <c r="E344" t="e">
        <f>Weighting!$E$8</f>
        <v>#NUM!</v>
      </c>
      <c r="F344" t="e">
        <f>IF(E344=1,'Data Transformation'!$G$3+0.5*'Data Transformation'!$U$25,IF(E345=1,F345-'Data Transformation'!$U$25,FALSE))</f>
        <v>#NUM!</v>
      </c>
      <c r="G344">
        <f t="array" ref="G344">IF(ISLOGICAL(F344),"",FREQUENCY(IF('Data Transformation'!$B$24:$B$404='Bin Analysis and Plots'!$D$339,'Data Transformation'!$G$24:$G$404),'Bin Analysis and Plots'!F344))</f>
        <v>0</v>
      </c>
      <c r="H344">
        <f t="shared" si="42"/>
        <v>0</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t="str">
        <f>IF(Weighting!$O$9&gt;0,D345,"")</f>
        <v/>
      </c>
      <c r="D345" t="e">
        <f>Weighting!$B$9</f>
        <v>#DIV/0!</v>
      </c>
      <c r="E345" t="e">
        <f>Weighting!$E$9</f>
        <v>#NUM!</v>
      </c>
      <c r="F345" t="e">
        <f>IF(E345=1,'Data Transformation'!$G$3+0.5*'Data Transformation'!$U$25,IF(E346=1,F346-'Data Transformation'!$U$25,FALSE))</f>
        <v>#NUM!</v>
      </c>
      <c r="G345">
        <f t="array" ref="G345">IF(ISLOGICAL(F345),"",FREQUENCY(IF('Data Transformation'!$B$24:$B$404='Bin Analysis and Plots'!$D$339,'Data Transformation'!$G$24:$G$404),'Bin Analysis and Plots'!F345))</f>
        <v>0</v>
      </c>
      <c r="H345">
        <f t="shared" si="42"/>
        <v>0</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t="str">
        <f>IF(Weighting!$O$10&gt;0,D346,"")</f>
        <v/>
      </c>
      <c r="D346" t="e">
        <f>Weighting!$C$10</f>
        <v>#DIV/0!</v>
      </c>
      <c r="E346" t="e">
        <f>Weighting!$E$10</f>
        <v>#NUM!</v>
      </c>
      <c r="F346" t="e">
        <f>IF(E346=1,'Data Transformation'!$G$3+0.5*'Data Transformation'!$U$25,IF(E347=1,F347-'Data Transformation'!$U$25,FALSE))</f>
        <v>#NUM!</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t="str">
        <f>IF(Weighting!$O$11&gt;0,D347,"")</f>
        <v/>
      </c>
      <c r="D347" t="e">
        <f>Weighting!$C$11</f>
        <v>#DIV/0!</v>
      </c>
      <c r="E347" t="e">
        <f>Weighting!$E$11</f>
        <v>#NUM!</v>
      </c>
      <c r="F347" t="e">
        <f>IF(E347=1,'Data Transformation'!$G$3+0.5*'Data Transformation'!$U$25,IF(E348=1,F348-'Data Transformation'!$U$25,FALSE))</f>
        <v>#NUM!</v>
      </c>
      <c r="G347">
        <f t="array" ref="G347">IF(ISLOGICAL(F347),"",FREQUENCY(IF('Data Transformation'!$B$24:$B$404='Bin Analysis and Plots'!$D$339,'Data Transformation'!$G$24:$G$404),'Bin Analysis and Plots'!F347))</f>
        <v>0</v>
      </c>
      <c r="H347">
        <f t="shared" si="42"/>
        <v>0</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t="str">
        <f>IF(Weighting!$O$12&gt;0,D348,"")</f>
        <v/>
      </c>
      <c r="D348" t="e">
        <f>Weighting!$C$12</f>
        <v>#DIV/0!</v>
      </c>
      <c r="E348" t="e">
        <f>Weighting!$E$12</f>
        <v>#NUM!</v>
      </c>
      <c r="F348" t="e">
        <f>IF(E348=1,'Data Transformation'!$G$3+0.5*'Data Transformation'!$U$25,IF(E349=1,F349-'Data Transformation'!$U$25,FALSE))</f>
        <v>#NUM!</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t="e">
        <f>Weighting!$C$13</f>
        <v>#DIV/0!</v>
      </c>
      <c r="E349" t="e">
        <f>Weighting!$E$13</f>
        <v>#NUM!</v>
      </c>
      <c r="F349" t="e">
        <f>IF(E349=1,'Data Transformation'!$G$3+0.5*'Data Transformation'!$U$25,IF(E350=1,F350-'Data Transformation'!$U$25,FALSE))</f>
        <v>#NUM!</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t="e">
        <f>Weighting!$C$14</f>
        <v>#DIV/0!</v>
      </c>
      <c r="E350" t="e">
        <f>Weighting!$E$14</f>
        <v>#NUM!</v>
      </c>
      <c r="F350" t="e">
        <f>IF(E350=1,'Data Transformation'!$G$3+0.5*'Data Transformation'!$U$25,IF(E351=1,F351-'Data Transformation'!$U$25,FALSE))</f>
        <v>#NUM!</v>
      </c>
      <c r="G350">
        <f t="array" ref="G350">IF(ISLOGICAL(F350),"",FREQUENCY(IF('Data Transformation'!$B$24:$B$404='Bin Analysis and Plots'!$D$339,'Data Transformation'!$G$24:$G$404),'Bin Analysis and Plots'!F350))</f>
        <v>0</v>
      </c>
      <c r="H350">
        <f t="shared" si="42"/>
        <v>0</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t="e">
        <f>Weighting!$C$15</f>
        <v>#DIV/0!</v>
      </c>
      <c r="E351" t="e">
        <f>Weighting!$E$15</f>
        <v>#NUM!</v>
      </c>
      <c r="F351" t="e">
        <f>IF(E351=1,'Data Transformation'!$G$3+0.5*'Data Transformation'!$U$25,IF(E352=1,F352-'Data Transformation'!$U$25,FALSE))</f>
        <v>#NUM!</v>
      </c>
      <c r="G351">
        <f t="array" ref="G351">IF(ISLOGICAL(F351),"",FREQUENCY(IF('Data Transformation'!$B$24:$B$404='Bin Analysis and Plots'!$D$339,'Data Transformation'!$G$24:$G$404),'Bin Analysis and Plots'!F351))</f>
        <v>0</v>
      </c>
      <c r="H351">
        <f t="shared" si="42"/>
        <v>0</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t="e">
        <f>Weighting!$C$16</f>
        <v>#DIV/0!</v>
      </c>
      <c r="E352" t="e">
        <f>Weighting!$E$16</f>
        <v>#NUM!</v>
      </c>
      <c r="F352" t="e">
        <f>IF(E352=1,'Data Transformation'!$G$3+0.5*'Data Transformation'!$U$25,IF(E353=1,F353-'Data Transformation'!$U$25,FALSE))</f>
        <v>#NUM!</v>
      </c>
      <c r="G352">
        <f t="array" ref="G352">IF(ISLOGICAL(F352),"",FREQUENCY(IF('Data Transformation'!$B$24:$B$404='Bin Analysis and Plots'!$D$339,'Data Transformation'!$G$24:$G$404),'Bin Analysis and Plots'!F352))</f>
        <v>0</v>
      </c>
      <c r="H352">
        <f t="shared" si="42"/>
        <v>0</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t="e">
        <f>Weighting!$C$17</f>
        <v>#DIV/0!</v>
      </c>
      <c r="E353" t="e">
        <f>Weighting!$E$17</f>
        <v>#NUM!</v>
      </c>
      <c r="F353" t="e">
        <f>IF(E353=1,'Data Transformation'!$G$3+0.5*'Data Transformation'!$U$25,IF(E354=1,F354-'Data Transformation'!$U$25,FALSE))</f>
        <v>#NUM!</v>
      </c>
      <c r="G353">
        <f t="array" ref="G353">IF(ISLOGICAL(F353),"",FREQUENCY(IF('Data Transformation'!$B$24:$B$404='Bin Analysis and Plots'!$D$339,'Data Transformation'!$G$24:$G$404),'Bin Analysis and Plots'!F353))</f>
        <v>0</v>
      </c>
      <c r="H353">
        <f t="shared" si="42"/>
        <v>0</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t="e">
        <f>Weighting!$C$18</f>
        <v>#DIV/0!</v>
      </c>
      <c r="E354" t="e">
        <f>Weighting!$E$18</f>
        <v>#NUM!</v>
      </c>
      <c r="F354" t="e">
        <f>IF(E354=1,'Data Transformation'!$G$3+0.5*'Data Transformation'!$U$25,IF(E355=1,F355-'Data Transformation'!$U$25,FALSE))</f>
        <v>#NUM!</v>
      </c>
      <c r="G354">
        <f t="array" ref="G354">IF(ISLOGICAL(F354),"",FREQUENCY(IF('Data Transformation'!$B$24:$B$404='Bin Analysis and Plots'!$D$339,'Data Transformation'!$G$24:$G$404),'Bin Analysis and Plots'!F354))</f>
        <v>0</v>
      </c>
      <c r="H354">
        <f t="shared" si="42"/>
        <v>0</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t="e">
        <f>Weighting!$C$19</f>
        <v>#DIV/0!</v>
      </c>
      <c r="E355" t="e">
        <f>Weighting!$E$19</f>
        <v>#NUM!</v>
      </c>
      <c r="F355" t="e">
        <f>IF(E355=1,'Data Transformation'!$G$3+0.5*'Data Transformation'!$U$25,IF(E356=1,F356-'Data Transformation'!$U$25,FALSE))</f>
        <v>#NUM!</v>
      </c>
      <c r="G355">
        <f t="array" ref="G355">IF(ISLOGICAL(F355),"",FREQUENCY(IF('Data Transformation'!$B$24:$B$404='Bin Analysis and Plots'!$D$339,'Data Transformation'!$G$24:$G$404),'Bin Analysis and Plots'!F355))</f>
        <v>0</v>
      </c>
      <c r="H355">
        <f t="shared" si="42"/>
        <v>0</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t="e">
        <f>Weighting!$C$20</f>
        <v>#DIV/0!</v>
      </c>
      <c r="E356" t="e">
        <f>Weighting!$E$20</f>
        <v>#NUM!</v>
      </c>
      <c r="F356" t="e">
        <f>IF(E356=1,'Data Transformation'!$G$3+0.5*'Data Transformation'!$U$25,IF(E357=1,F357-'Data Transformation'!$U$25,FALSE))</f>
        <v>#NUM!</v>
      </c>
      <c r="G356">
        <f t="array" ref="G356">IF(ISLOGICAL(F356),"",FREQUENCY(IF('Data Transformation'!$B$24:$B$404='Bin Analysis and Plots'!$D$339,'Data Transformation'!$G$24:$G$404),'Bin Analysis and Plots'!F356))</f>
        <v>0</v>
      </c>
      <c r="H356">
        <f t="shared" si="42"/>
        <v>0</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t="e">
        <f>Weighting!$C$21</f>
        <v>#DIV/0!</v>
      </c>
      <c r="E357" t="e">
        <f>Weighting!$E$21</f>
        <v>#NUM!</v>
      </c>
      <c r="F357" t="e">
        <f>IF(E357=1,'Data Transformation'!$G$3+0.5*'Data Transformation'!$U$25,IF(E358=1,F358-'Data Transformation'!$U$25,FALSE))</f>
        <v>#NUM!</v>
      </c>
      <c r="G357">
        <f t="array" ref="G357">IF(ISLOGICAL(F357),"",FREQUENCY(IF('Data Transformation'!$B$24:$B$404='Bin Analysis and Plots'!$D$339,'Data Transformation'!$G$24:$G$404),'Bin Analysis and Plots'!F357))</f>
        <v>0</v>
      </c>
      <c r="H357">
        <f t="shared" si="42"/>
        <v>0</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t="e">
        <f>Weighting!$C$22</f>
        <v>#DIV/0!</v>
      </c>
      <c r="E358" t="e">
        <f>Weighting!$E$22</f>
        <v>#NUM!</v>
      </c>
      <c r="F358" t="e">
        <f>IF(E358=1,'Data Transformation'!$G$3+0.5*'Data Transformation'!$U$25,IF(E359=1,F359-'Data Transformation'!$U$25,FALSE))</f>
        <v>#NUM!</v>
      </c>
      <c r="G358">
        <f t="array" ref="G358">IF(ISLOGICAL(F358),"",FREQUENCY(IF('Data Transformation'!$B$24:$B$404='Bin Analysis and Plots'!$D$339,'Data Transformation'!$G$24:$G$404),'Bin Analysis and Plots'!F358))</f>
        <v>0</v>
      </c>
      <c r="H358">
        <f t="shared" si="42"/>
        <v>0</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t="e">
        <f>Weighting!$C$23</f>
        <v>#DIV/0!</v>
      </c>
      <c r="E359" t="e">
        <f>Weighting!$E$23</f>
        <v>#NUM!</v>
      </c>
      <c r="F359" t="e">
        <f>IF(E359=1,'Data Transformation'!$G$3+0.5*'Data Transformation'!$U$25,IF(E360=1,F360-'Data Transformation'!$U$25,FALSE))</f>
        <v>#NUM!</v>
      </c>
      <c r="G359">
        <f t="array" ref="G359">IF(ISLOGICAL(F359),"",FREQUENCY(IF('Data Transformation'!$B$24:$B$404='Bin Analysis and Plots'!$D$339,'Data Transformation'!$G$24:$G$404),'Bin Analysis and Plots'!F359))</f>
        <v>0</v>
      </c>
      <c r="H359">
        <f t="shared" si="42"/>
        <v>0</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t="e">
        <f>Weighting!$C$24</f>
        <v>#DIV/0!</v>
      </c>
      <c r="E360" t="e">
        <f>Weighting!$E$24</f>
        <v>#NUM!</v>
      </c>
      <c r="F360" t="e">
        <f>IF(E360=1,'Data Transformation'!$G$3+0.5*'Data Transformation'!$U$25,IF(E361=1,F361-'Data Transformation'!$U$25,FALSE))</f>
        <v>#NUM!</v>
      </c>
      <c r="G360">
        <f t="array" ref="G360">IF(ISLOGICAL(F360),"",FREQUENCY(IF('Data Transformation'!$B$24:$B$404='Bin Analysis and Plots'!$D$339,'Data Transformation'!$G$24:$G$404),'Bin Analysis and Plots'!F360))</f>
        <v>0</v>
      </c>
      <c r="H360">
        <f t="shared" si="42"/>
        <v>0</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b">
        <f t="array" ref="A361">IF(ISERROR(INDEX('Data Transformation'!$B$4:$G$450,SMALL(IF('Data Transformation'!$B$4:$B$450='Bin Analysis and Plots'!D339,ROW('Data Transformation'!$B$4:$B$450)),ROW($20:$20))-3,3)),"",INDEX('Data Transformation'!$B$4:$G$450,SMALL(IF('Data Transformation'!$B$4:$B$450='Bin Analysis and Plots'!D339,ROW('Data Transformation'!$B$4:$B$450)),ROW($20:$20))-3,6))</f>
        <v>0</v>
      </c>
      <c r="B361" s="29" t="str">
        <f>IFERROR(SMALL(A342:A361,'Data Transformation'!$L$25),"")</f>
        <v/>
      </c>
      <c r="C361" s="41" t="str">
        <f>IF(Weighting!$O$25&gt;0,D361,"")</f>
        <v/>
      </c>
      <c r="D361" t="e">
        <f>Weighting!$C$25</f>
        <v>#DIV/0!</v>
      </c>
      <c r="E361" t="e">
        <f>Weighting!$E$25</f>
        <v>#NUM!</v>
      </c>
      <c r="F361" t="e">
        <f>IF(E361=1,'Data Transformation'!$G$3+0.5*'Data Transformation'!$U$25,IF(E362=1,F362-'Data Transformation'!$U$25,FALSE))</f>
        <v>#NUM!</v>
      </c>
      <c r="G361">
        <f t="array" ref="G361">IF(ISLOGICAL(F361),"",FREQUENCY(IF('Data Transformation'!$B$24:$B$404='Bin Analysis and Plots'!$D$339,'Data Transformation'!$G$24:$G$404),'Bin Analysis and Plots'!F361))</f>
        <v>0</v>
      </c>
      <c r="H361">
        <f t="shared" si="42"/>
        <v>0</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2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2" t="s">
        <v>64</v>
      </c>
      <c r="B364" s="92"/>
      <c r="C364" s="14" t="s">
        <v>72</v>
      </c>
      <c r="D364" t="s">
        <v>50</v>
      </c>
      <c r="E364" t="s">
        <v>5</v>
      </c>
      <c r="I364" t="s">
        <v>75</v>
      </c>
      <c r="J364" t="s">
        <v>34</v>
      </c>
      <c r="K364" t="s">
        <v>35</v>
      </c>
      <c r="L364" t="s">
        <v>49</v>
      </c>
      <c r="M364" s="14" t="s">
        <v>48</v>
      </c>
      <c r="Z364" s="78">
        <v>0</v>
      </c>
      <c r="AA364" s="78">
        <v>0</v>
      </c>
    </row>
    <row r="365" spans="1:27">
      <c r="C365" s="41" t="str">
        <f>IF(B365="","",D365)</f>
        <v/>
      </c>
      <c r="F365" t="e">
        <f>IF(E365=1,'Data Transformation'!$G$3+0.5*'Data Transformation'!$U$25,IF(E366=1,F366-'Data Transformation'!$U$25,FALSE))</f>
        <v>#NUM!</v>
      </c>
      <c r="G365">
        <f t="array" ref="G365">IF(ISLOGICAL(F365),"",FREQUENCY(IF('Data Transformation'!$B$24:$B$404='Bin Analysis and Plots'!$D$363,'Data Transformation'!$G$24:$G$404),'Bin Analysis and Plots'!F365))</f>
        <v>0</v>
      </c>
      <c r="H365">
        <f>IF(ISLOGICAL(F365),"",G365-G364)</f>
        <v>0</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t="e">
        <f>IF(Weighting!$O$6&gt;0,D366,"")</f>
        <v>#NUM!</v>
      </c>
      <c r="D366" t="e">
        <f>Weighting!$C$6</f>
        <v>#DIV/0!</v>
      </c>
      <c r="E366" t="e">
        <f>Weighting!$E$6</f>
        <v>#NUM!</v>
      </c>
      <c r="F366" t="e">
        <f>IF(E366=1,'Data Transformation'!$G$3+0.5*'Data Transformation'!$U$25,IF(E367=1,F367-'Data Transformation'!$U$25,FALSE))</f>
        <v>#NUM!</v>
      </c>
      <c r="G366">
        <f t="array" ref="G366">IF(ISLOGICAL(F366),"",FREQUENCY(IF('Data Transformation'!$B$24:$B$404='Bin Analysis and Plots'!$D$363,'Data Transformation'!$G$24:$G$404),'Bin Analysis and Plots'!F366))</f>
        <v>0</v>
      </c>
      <c r="H366">
        <f>IF(ISLOGICAL(F366),"",G366-G365)</f>
        <v>0</v>
      </c>
      <c r="I366">
        <f>Weighting!$G$6</f>
        <v>1</v>
      </c>
      <c r="J366">
        <f t="array" ref="J366">FREQUENCY(IF('Data Transformation'!$B$4:$B$404=D363,'Data Transformation'!$G$4:$G$404),'Bin Analysis and Plots'!$D366)</f>
        <v>0</v>
      </c>
      <c r="K366">
        <f>J366-J365</f>
        <v>0</v>
      </c>
      <c r="L366">
        <f>IF(K366=0,0,1)</f>
        <v>0</v>
      </c>
      <c r="M366" t="e">
        <f>L366*Weighting!$V$6</f>
        <v>#NUM!</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t="str">
        <f>IF(Weighting!$O$7&gt;0,D367,"")</f>
        <v/>
      </c>
      <c r="D367" t="e">
        <f>Weighting!$C$7</f>
        <v>#DIV/0!</v>
      </c>
      <c r="E367" t="e">
        <f>Weighting!$E$7</f>
        <v>#NUM!</v>
      </c>
      <c r="F367" t="e">
        <f>IF(E367=1,'Data Transformation'!$G$3+0.5*'Data Transformation'!$U$25,IF(E368=1,F368-'Data Transformation'!$U$25,FALSE))</f>
        <v>#NUM!</v>
      </c>
      <c r="G367">
        <f t="array" ref="G367">IF(ISLOGICAL(F367),"",FREQUENCY(IF('Data Transformation'!$B$24:$B$404='Bin Analysis and Plots'!$D$363,'Data Transformation'!$G$24:$G$404),'Bin Analysis and Plots'!F367))</f>
        <v>0</v>
      </c>
      <c r="H367">
        <f t="shared" ref="H367:H385" si="45">IF(ISLOGICAL(F367),"",G367-G366)</f>
        <v>0</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t="str">
        <f>IF(Weighting!$O$8&gt;0,D368,"")</f>
        <v/>
      </c>
      <c r="D368" t="e">
        <f>Weighting!$C$8</f>
        <v>#DIV/0!</v>
      </c>
      <c r="E368" t="e">
        <f>Weighting!$E$8</f>
        <v>#NUM!</v>
      </c>
      <c r="F368" t="e">
        <f>IF(E368=1,'Data Transformation'!$G$3+0.5*'Data Transformation'!$U$25,IF(E369=1,F369-'Data Transformation'!$U$25,FALSE))</f>
        <v>#NUM!</v>
      </c>
      <c r="G368">
        <f t="array" ref="G368">IF(ISLOGICAL(F368),"",FREQUENCY(IF('Data Transformation'!$B$24:$B$404='Bin Analysis and Plots'!$D$363,'Data Transformation'!$G$24:$G$404),'Bin Analysis and Plots'!F368))</f>
        <v>0</v>
      </c>
      <c r="H368">
        <f t="shared" si="45"/>
        <v>0</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t="str">
        <f>IF(Weighting!$O$9&gt;0,D369,"")</f>
        <v/>
      </c>
      <c r="D369" t="e">
        <f>Weighting!$B$9</f>
        <v>#DIV/0!</v>
      </c>
      <c r="E369" t="e">
        <f>Weighting!$E$9</f>
        <v>#NUM!</v>
      </c>
      <c r="F369" t="e">
        <f>IF(E369=1,'Data Transformation'!$G$3+0.5*'Data Transformation'!$U$25,IF(E370=1,F370-'Data Transformation'!$U$25,FALSE))</f>
        <v>#NUM!</v>
      </c>
      <c r="G369">
        <f t="array" ref="G369">IF(ISLOGICAL(F369),"",FREQUENCY(IF('Data Transformation'!$B$24:$B$404='Bin Analysis and Plots'!$D$363,'Data Transformation'!$G$24:$G$404),'Bin Analysis and Plots'!F369))</f>
        <v>0</v>
      </c>
      <c r="H369">
        <f t="shared" si="45"/>
        <v>0</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t="str">
        <f>IF(Weighting!$O$10&gt;0,D370,"")</f>
        <v/>
      </c>
      <c r="D370" t="e">
        <f>Weighting!$C$10</f>
        <v>#DIV/0!</v>
      </c>
      <c r="E370" t="e">
        <f>Weighting!$E$10</f>
        <v>#NUM!</v>
      </c>
      <c r="F370" t="e">
        <f>IF(E370=1,'Data Transformation'!$G$3+0.5*'Data Transformation'!$U$25,IF(E371=1,F371-'Data Transformation'!$U$25,FALSE))</f>
        <v>#NUM!</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t="str">
        <f>IF(Weighting!$O$11&gt;0,D371,"")</f>
        <v/>
      </c>
      <c r="D371" t="e">
        <f>Weighting!$C$11</f>
        <v>#DIV/0!</v>
      </c>
      <c r="E371" t="e">
        <f>Weighting!$E$11</f>
        <v>#NUM!</v>
      </c>
      <c r="F371" t="e">
        <f>IF(E371=1,'Data Transformation'!$G$3+0.5*'Data Transformation'!$U$25,IF(E372=1,F372-'Data Transformation'!$U$25,FALSE))</f>
        <v>#NUM!</v>
      </c>
      <c r="G371">
        <f t="array" ref="G371">IF(ISLOGICAL(F371),"",FREQUENCY(IF('Data Transformation'!$B$24:$B$404='Bin Analysis and Plots'!$D$363,'Data Transformation'!$G$24:$G$404),'Bin Analysis and Plots'!F371))</f>
        <v>0</v>
      </c>
      <c r="H371">
        <f t="shared" si="45"/>
        <v>0</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t="str">
        <f>IF(Weighting!$O$12&gt;0,D372,"")</f>
        <v/>
      </c>
      <c r="D372" t="e">
        <f>Weighting!$C$12</f>
        <v>#DIV/0!</v>
      </c>
      <c r="E372" t="e">
        <f>Weighting!$E$12</f>
        <v>#NUM!</v>
      </c>
      <c r="F372" t="e">
        <f>IF(E372=1,'Data Transformation'!$G$3+0.5*'Data Transformation'!$U$25,IF(E373=1,F373-'Data Transformation'!$U$25,FALSE))</f>
        <v>#NUM!</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t="e">
        <f>Weighting!$C$13</f>
        <v>#DIV/0!</v>
      </c>
      <c r="E373" t="e">
        <f>Weighting!$E$13</f>
        <v>#NUM!</v>
      </c>
      <c r="F373" t="e">
        <f>IF(E373=1,'Data Transformation'!$G$3+0.5*'Data Transformation'!$U$25,IF(E374=1,F374-'Data Transformation'!$U$25,FALSE))</f>
        <v>#NUM!</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t="e">
        <f>Weighting!$C$14</f>
        <v>#DIV/0!</v>
      </c>
      <c r="E374" t="e">
        <f>Weighting!$E$14</f>
        <v>#NUM!</v>
      </c>
      <c r="F374" t="e">
        <f>IF(E374=1,'Data Transformation'!$G$3+0.5*'Data Transformation'!$U$25,IF(E375=1,F375-'Data Transformation'!$U$25,FALSE))</f>
        <v>#NUM!</v>
      </c>
      <c r="G374">
        <f t="array" ref="G374">IF(ISLOGICAL(F374),"",FREQUENCY(IF('Data Transformation'!$B$24:$B$404='Bin Analysis and Plots'!$D$363,'Data Transformation'!$G$24:$G$404),'Bin Analysis and Plots'!F374))</f>
        <v>0</v>
      </c>
      <c r="H374">
        <f t="shared" si="45"/>
        <v>0</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t="e">
        <f>Weighting!$C$15</f>
        <v>#DIV/0!</v>
      </c>
      <c r="E375" t="e">
        <f>Weighting!$E$15</f>
        <v>#NUM!</v>
      </c>
      <c r="F375" t="e">
        <f>IF(E375=1,'Data Transformation'!$G$3+0.5*'Data Transformation'!$U$25,IF(E376=1,F376-'Data Transformation'!$U$25,FALSE))</f>
        <v>#NUM!</v>
      </c>
      <c r="G375">
        <f t="array" ref="G375">IF(ISLOGICAL(F375),"",FREQUENCY(IF('Data Transformation'!$B$24:$B$404='Bin Analysis and Plots'!$D$363,'Data Transformation'!$G$24:$G$404),'Bin Analysis and Plots'!F375))</f>
        <v>0</v>
      </c>
      <c r="H375">
        <f t="shared" si="45"/>
        <v>0</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t="e">
        <f>Weighting!$C$16</f>
        <v>#DIV/0!</v>
      </c>
      <c r="E376" t="e">
        <f>Weighting!$E$16</f>
        <v>#NUM!</v>
      </c>
      <c r="F376" t="e">
        <f>IF(E376=1,'Data Transformation'!$G$3+0.5*'Data Transformation'!$U$25,IF(E377=1,F377-'Data Transformation'!$U$25,FALSE))</f>
        <v>#NUM!</v>
      </c>
      <c r="G376">
        <f t="array" ref="G376">IF(ISLOGICAL(F376),"",FREQUENCY(IF('Data Transformation'!$B$24:$B$404='Bin Analysis and Plots'!$D$363,'Data Transformation'!$G$24:$G$404),'Bin Analysis and Plots'!F376))</f>
        <v>0</v>
      </c>
      <c r="H376">
        <f t="shared" si="45"/>
        <v>0</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t="e">
        <f>Weighting!$C$17</f>
        <v>#DIV/0!</v>
      </c>
      <c r="E377" t="e">
        <f>Weighting!$E$17</f>
        <v>#NUM!</v>
      </c>
      <c r="F377" t="e">
        <f>IF(E377=1,'Data Transformation'!$G$3+0.5*'Data Transformation'!$U$25,IF(E378=1,F378-'Data Transformation'!$U$25,FALSE))</f>
        <v>#NUM!</v>
      </c>
      <c r="G377">
        <f t="array" ref="G377">IF(ISLOGICAL(F377),"",FREQUENCY(IF('Data Transformation'!$B$24:$B$404='Bin Analysis and Plots'!$D$363,'Data Transformation'!$G$24:$G$404),'Bin Analysis and Plots'!F377))</f>
        <v>0</v>
      </c>
      <c r="H377">
        <f t="shared" si="45"/>
        <v>0</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t="e">
        <f>Weighting!$C$18</f>
        <v>#DIV/0!</v>
      </c>
      <c r="E378" t="e">
        <f>Weighting!$E$18</f>
        <v>#NUM!</v>
      </c>
      <c r="F378" t="e">
        <f>IF(E378=1,'Data Transformation'!$G$3+0.5*'Data Transformation'!$U$25,IF(E379=1,F379-'Data Transformation'!$U$25,FALSE))</f>
        <v>#NUM!</v>
      </c>
      <c r="G378">
        <f t="array" ref="G378">IF(ISLOGICAL(F378),"",FREQUENCY(IF('Data Transformation'!$B$24:$B$404='Bin Analysis and Plots'!$D$363,'Data Transformation'!$G$24:$G$404),'Bin Analysis and Plots'!F378))</f>
        <v>0</v>
      </c>
      <c r="H378">
        <f t="shared" si="45"/>
        <v>0</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t="e">
        <f>Weighting!$C$19</f>
        <v>#DIV/0!</v>
      </c>
      <c r="E379" t="e">
        <f>Weighting!$E$19</f>
        <v>#NUM!</v>
      </c>
      <c r="F379" t="e">
        <f>IF(E379=1,'Data Transformation'!$G$3+0.5*'Data Transformation'!$U$25,IF(E380=1,F380-'Data Transformation'!$U$25,FALSE))</f>
        <v>#NUM!</v>
      </c>
      <c r="G379">
        <f t="array" ref="G379">IF(ISLOGICAL(F379),"",FREQUENCY(IF('Data Transformation'!$B$24:$B$404='Bin Analysis and Plots'!$D$363,'Data Transformation'!$G$24:$G$404),'Bin Analysis and Plots'!F379))</f>
        <v>0</v>
      </c>
      <c r="H379">
        <f t="shared" si="45"/>
        <v>0</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t="e">
        <f>Weighting!$C$20</f>
        <v>#DIV/0!</v>
      </c>
      <c r="E380" t="e">
        <f>Weighting!$E$20</f>
        <v>#NUM!</v>
      </c>
      <c r="F380" t="e">
        <f>IF(E380=1,'Data Transformation'!$G$3+0.5*'Data Transformation'!$U$25,IF(E381=1,F381-'Data Transformation'!$U$25,FALSE))</f>
        <v>#NUM!</v>
      </c>
      <c r="G380">
        <f t="array" ref="G380">IF(ISLOGICAL(F380),"",FREQUENCY(IF('Data Transformation'!$B$24:$B$404='Bin Analysis and Plots'!$D$363,'Data Transformation'!$G$24:$G$404),'Bin Analysis and Plots'!F380))</f>
        <v>0</v>
      </c>
      <c r="H380">
        <f t="shared" si="45"/>
        <v>0</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t="e">
        <f>Weighting!$C$21</f>
        <v>#DIV/0!</v>
      </c>
      <c r="E381" t="e">
        <f>Weighting!$E$21</f>
        <v>#NUM!</v>
      </c>
      <c r="F381" t="e">
        <f>IF(E381=1,'Data Transformation'!$G$3+0.5*'Data Transformation'!$U$25,IF(E382=1,F382-'Data Transformation'!$U$25,FALSE))</f>
        <v>#NUM!</v>
      </c>
      <c r="G381">
        <f t="array" ref="G381">IF(ISLOGICAL(F381),"",FREQUENCY(IF('Data Transformation'!$B$24:$B$404='Bin Analysis and Plots'!$D$363,'Data Transformation'!$G$24:$G$404),'Bin Analysis and Plots'!F381))</f>
        <v>0</v>
      </c>
      <c r="H381">
        <f t="shared" si="45"/>
        <v>0</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t="e">
        <f>Weighting!$C$22</f>
        <v>#DIV/0!</v>
      </c>
      <c r="E382" t="e">
        <f>Weighting!$E$22</f>
        <v>#NUM!</v>
      </c>
      <c r="F382" t="e">
        <f>IF(E382=1,'Data Transformation'!$G$3+0.5*'Data Transformation'!$U$25,IF(E383=1,F383-'Data Transformation'!$U$25,FALSE))</f>
        <v>#NUM!</v>
      </c>
      <c r="G382">
        <f t="array" ref="G382">IF(ISLOGICAL(F382),"",FREQUENCY(IF('Data Transformation'!$B$24:$B$404='Bin Analysis and Plots'!$D$363,'Data Transformation'!$G$24:$G$404),'Bin Analysis and Plots'!F382))</f>
        <v>0</v>
      </c>
      <c r="H382">
        <f t="shared" si="45"/>
        <v>0</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t="e">
        <f>Weighting!$C$23</f>
        <v>#DIV/0!</v>
      </c>
      <c r="E383" t="e">
        <f>Weighting!$E$23</f>
        <v>#NUM!</v>
      </c>
      <c r="F383" t="e">
        <f>IF(E383=1,'Data Transformation'!$G$3+0.5*'Data Transformation'!$U$25,IF(E384=1,F384-'Data Transformation'!$U$25,FALSE))</f>
        <v>#NUM!</v>
      </c>
      <c r="G383">
        <f t="array" ref="G383">IF(ISLOGICAL(F383),"",FREQUENCY(IF('Data Transformation'!$B$24:$B$404='Bin Analysis and Plots'!$D$363,'Data Transformation'!$G$24:$G$404),'Bin Analysis and Plots'!F383))</f>
        <v>0</v>
      </c>
      <c r="H383">
        <f t="shared" si="45"/>
        <v>0</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t="e">
        <f>Weighting!$C$24</f>
        <v>#DIV/0!</v>
      </c>
      <c r="E384" t="e">
        <f>Weighting!$E$24</f>
        <v>#NUM!</v>
      </c>
      <c r="F384" t="e">
        <f>IF(E384=1,'Data Transformation'!$G$3+0.5*'Data Transformation'!$U$25,IF(E385=1,F385-'Data Transformation'!$U$25,FALSE))</f>
        <v>#NUM!</v>
      </c>
      <c r="G384">
        <f t="array" ref="G384">IF(ISLOGICAL(F384),"",FREQUENCY(IF('Data Transformation'!$B$24:$B$404='Bin Analysis and Plots'!$D$363,'Data Transformation'!$G$24:$G$404),'Bin Analysis and Plots'!F384))</f>
        <v>0</v>
      </c>
      <c r="H384">
        <f t="shared" si="45"/>
        <v>0</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b">
        <f t="array" ref="A385">IF(ISERROR(INDEX('Data Transformation'!$B$4:$G$450,SMALL(IF('Data Transformation'!$B$4:$B$450='Bin Analysis and Plots'!D363,ROW('Data Transformation'!$B$4:$B$450)),ROW($20:$20))-3,3)),"",INDEX('Data Transformation'!$B$4:$G$450,SMALL(IF('Data Transformation'!$B$4:$B$450='Bin Analysis and Plots'!D363,ROW('Data Transformation'!$B$4:$B$450)),ROW($20:$20))-3,6))</f>
        <v>0</v>
      </c>
      <c r="B385" s="29" t="str">
        <f>IFERROR(SMALL(A366:A385,'Data Transformation'!$L$25),"")</f>
        <v/>
      </c>
      <c r="C385" s="41" t="str">
        <f>IF(Weighting!$O$25&gt;0,D385,"")</f>
        <v/>
      </c>
      <c r="D385" t="e">
        <f>Weighting!$C$25</f>
        <v>#DIV/0!</v>
      </c>
      <c r="E385" t="e">
        <f>Weighting!$E$25</f>
        <v>#NUM!</v>
      </c>
      <c r="F385" t="e">
        <f>IF(E385=1,'Data Transformation'!$G$3+0.5*'Data Transformation'!$U$25,IF(E386=1,F386-'Data Transformation'!$U$25,FALSE))</f>
        <v>#NUM!</v>
      </c>
      <c r="G385">
        <f t="array" ref="G385">IF(ISLOGICAL(F385),"",FREQUENCY(IF('Data Transformation'!$B$24:$B$404='Bin Analysis and Plots'!$D$363,'Data Transformation'!$G$24:$G$404),'Bin Analysis and Plots'!F385))</f>
        <v>0</v>
      </c>
      <c r="H385">
        <f t="shared" si="45"/>
        <v>0</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2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2" t="s">
        <v>64</v>
      </c>
      <c r="B388" s="92"/>
      <c r="C388" s="14" t="s">
        <v>72</v>
      </c>
      <c r="D388" t="s">
        <v>50</v>
      </c>
      <c r="E388" t="s">
        <v>5</v>
      </c>
      <c r="I388" t="s">
        <v>75</v>
      </c>
      <c r="J388" t="s">
        <v>34</v>
      </c>
      <c r="K388" t="s">
        <v>35</v>
      </c>
      <c r="L388" t="s">
        <v>49</v>
      </c>
      <c r="M388" s="14" t="s">
        <v>48</v>
      </c>
      <c r="Z388" s="78">
        <v>0</v>
      </c>
      <c r="AA388" s="78">
        <v>0</v>
      </c>
    </row>
    <row r="389" spans="1:27">
      <c r="C389" s="41" t="str">
        <f>IF(B389="","",D389)</f>
        <v/>
      </c>
      <c r="F389" t="e">
        <f>IF(E389=1,'Data Transformation'!$G$3+0.5*'Data Transformation'!$U$25,IF(E390=1,F390-'Data Transformation'!$U$25,FALSE))</f>
        <v>#NUM!</v>
      </c>
      <c r="G389">
        <f t="array" ref="G389">IF(ISLOGICAL(F389),"",FREQUENCY(IF('Data Transformation'!$B$24:$B$404='Bin Analysis and Plots'!$D$387,'Data Transformation'!$G$24:$G$404),'Bin Analysis and Plots'!F389))</f>
        <v>0</v>
      </c>
      <c r="H389">
        <f>IF(ISLOGICAL(F389),"",G389-G388)</f>
        <v>0</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t="e">
        <f>IF(Weighting!$O$6&gt;0,D390,"")</f>
        <v>#NUM!</v>
      </c>
      <c r="D390" t="e">
        <f>Weighting!$C$6</f>
        <v>#DIV/0!</v>
      </c>
      <c r="E390" t="e">
        <f>Weighting!$E$6</f>
        <v>#NUM!</v>
      </c>
      <c r="F390" t="e">
        <f>IF(E390=1,'Data Transformation'!$G$3+0.5*'Data Transformation'!$U$25,IF(E391=1,F391-'Data Transformation'!$U$25,FALSE))</f>
        <v>#NUM!</v>
      </c>
      <c r="G390">
        <f t="array" ref="G390">IF(ISLOGICAL(F390),"",FREQUENCY(IF('Data Transformation'!$B$24:$B$404='Bin Analysis and Plots'!$D$387,'Data Transformation'!$G$24:$G$404),'Bin Analysis and Plots'!F390))</f>
        <v>0</v>
      </c>
      <c r="H390">
        <f>IF(ISLOGICAL(F390),"",G390-G389)</f>
        <v>0</v>
      </c>
      <c r="I390">
        <f>Weighting!$G$6</f>
        <v>1</v>
      </c>
      <c r="J390">
        <f t="array" ref="J390">FREQUENCY(IF('Data Transformation'!$B$4:$B$404=D387,'Data Transformation'!$G$4:$G$404),'Bin Analysis and Plots'!$D390)</f>
        <v>0</v>
      </c>
      <c r="K390">
        <f>J390-J389</f>
        <v>0</v>
      </c>
      <c r="L390">
        <f>IF(K390=0,0,1)</f>
        <v>0</v>
      </c>
      <c r="M390" t="e">
        <f>L390*Weighting!$V$6</f>
        <v>#NUM!</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t="str">
        <f>IF(Weighting!$O$7&gt;0,D391,"")</f>
        <v/>
      </c>
      <c r="D391" t="e">
        <f>Weighting!$C$7</f>
        <v>#DIV/0!</v>
      </c>
      <c r="E391" t="e">
        <f>Weighting!$E$7</f>
        <v>#NUM!</v>
      </c>
      <c r="F391" t="e">
        <f>IF(E391=1,'Data Transformation'!$G$3+0.5*'Data Transformation'!$U$25,IF(E392=1,F392-'Data Transformation'!$U$25,FALSE))</f>
        <v>#NUM!</v>
      </c>
      <c r="G391">
        <f t="array" ref="G391">IF(ISLOGICAL(F391),"",FREQUENCY(IF('Data Transformation'!$B$24:$B$404='Bin Analysis and Plots'!$D$387,'Data Transformation'!$G$24:$G$404),'Bin Analysis and Plots'!F391))</f>
        <v>0</v>
      </c>
      <c r="H391">
        <f t="shared" ref="H391:H409" si="48">IF(ISLOGICAL(F391),"",G391-G390)</f>
        <v>0</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t="str">
        <f>IF(Weighting!$O$8&gt;0,D392,"")</f>
        <v/>
      </c>
      <c r="D392" t="e">
        <f>Weighting!$C$8</f>
        <v>#DIV/0!</v>
      </c>
      <c r="E392" t="e">
        <f>Weighting!$E$8</f>
        <v>#NUM!</v>
      </c>
      <c r="F392" t="e">
        <f>IF(E392=1,'Data Transformation'!$G$3+0.5*'Data Transformation'!$U$25,IF(E393=1,F393-'Data Transformation'!$U$25,FALSE))</f>
        <v>#NUM!</v>
      </c>
      <c r="G392">
        <f t="array" ref="G392">IF(ISLOGICAL(F392),"",FREQUENCY(IF('Data Transformation'!$B$24:$B$404='Bin Analysis and Plots'!$D$387,'Data Transformation'!$G$24:$G$404),'Bin Analysis and Plots'!F392))</f>
        <v>0</v>
      </c>
      <c r="H392">
        <f t="shared" si="48"/>
        <v>0</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t="str">
        <f>IF(Weighting!$O$9&gt;0,D393,"")</f>
        <v/>
      </c>
      <c r="D393" t="e">
        <f>Weighting!$B$9</f>
        <v>#DIV/0!</v>
      </c>
      <c r="E393" t="e">
        <f>Weighting!$E$9</f>
        <v>#NUM!</v>
      </c>
      <c r="F393" t="e">
        <f>IF(E393=1,'Data Transformation'!$G$3+0.5*'Data Transformation'!$U$25,IF(E394=1,F394-'Data Transformation'!$U$25,FALSE))</f>
        <v>#NUM!</v>
      </c>
      <c r="G393">
        <f t="array" ref="G393">IF(ISLOGICAL(F393),"",FREQUENCY(IF('Data Transformation'!$B$24:$B$404='Bin Analysis and Plots'!$D$387,'Data Transformation'!$G$24:$G$404),'Bin Analysis and Plots'!F393))</f>
        <v>0</v>
      </c>
      <c r="H393">
        <f t="shared" si="48"/>
        <v>0</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t="str">
        <f>IF(Weighting!$O$10&gt;0,D394,"")</f>
        <v/>
      </c>
      <c r="D394" t="e">
        <f>Weighting!$C$10</f>
        <v>#DIV/0!</v>
      </c>
      <c r="E394" t="e">
        <f>Weighting!$E$10</f>
        <v>#NUM!</v>
      </c>
      <c r="F394" t="e">
        <f>IF(E394=1,'Data Transformation'!$G$3+0.5*'Data Transformation'!$U$25,IF(E395=1,F395-'Data Transformation'!$U$25,FALSE))</f>
        <v>#NUM!</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t="str">
        <f>IF(Weighting!$O$11&gt;0,D395,"")</f>
        <v/>
      </c>
      <c r="D395" t="e">
        <f>Weighting!$C$11</f>
        <v>#DIV/0!</v>
      </c>
      <c r="E395" t="e">
        <f>Weighting!$E$11</f>
        <v>#NUM!</v>
      </c>
      <c r="F395" t="e">
        <f>IF(E395=1,'Data Transformation'!$G$3+0.5*'Data Transformation'!$U$25,IF(E396=1,F396-'Data Transformation'!$U$25,FALSE))</f>
        <v>#NUM!</v>
      </c>
      <c r="G395">
        <f t="array" ref="G395">IF(ISLOGICAL(F395),"",FREQUENCY(IF('Data Transformation'!$B$24:$B$404='Bin Analysis and Plots'!$D$387,'Data Transformation'!$G$24:$G$404),'Bin Analysis and Plots'!F395))</f>
        <v>0</v>
      </c>
      <c r="H395">
        <f t="shared" si="48"/>
        <v>0</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t="str">
        <f>IF(Weighting!$O$12&gt;0,D396,"")</f>
        <v/>
      </c>
      <c r="D396" t="e">
        <f>Weighting!$C$12</f>
        <v>#DIV/0!</v>
      </c>
      <c r="E396" t="e">
        <f>Weighting!$E$12</f>
        <v>#NUM!</v>
      </c>
      <c r="F396" t="e">
        <f>IF(E396=1,'Data Transformation'!$G$3+0.5*'Data Transformation'!$U$25,IF(E397=1,F397-'Data Transformation'!$U$25,FALSE))</f>
        <v>#NUM!</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t="e">
        <f>Weighting!$C$13</f>
        <v>#DIV/0!</v>
      </c>
      <c r="E397" t="e">
        <f>Weighting!$E$13</f>
        <v>#NUM!</v>
      </c>
      <c r="F397" t="e">
        <f>IF(E397=1,'Data Transformation'!$G$3+0.5*'Data Transformation'!$U$25,IF(E398=1,F398-'Data Transformation'!$U$25,FALSE))</f>
        <v>#NUM!</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t="e">
        <f>Weighting!$C$14</f>
        <v>#DIV/0!</v>
      </c>
      <c r="E398" t="e">
        <f>Weighting!$E$14</f>
        <v>#NUM!</v>
      </c>
      <c r="F398" t="e">
        <f>IF(E398=1,'Data Transformation'!$G$3+0.5*'Data Transformation'!$U$25,IF(E399=1,F399-'Data Transformation'!$U$25,FALSE))</f>
        <v>#NUM!</v>
      </c>
      <c r="G398">
        <f t="array" ref="G398">IF(ISLOGICAL(F398),"",FREQUENCY(IF('Data Transformation'!$B$24:$B$404='Bin Analysis and Plots'!$D$387,'Data Transformation'!$G$24:$G$404),'Bin Analysis and Plots'!F398))</f>
        <v>0</v>
      </c>
      <c r="H398">
        <f t="shared" si="48"/>
        <v>0</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t="e">
        <f>Weighting!$C$15</f>
        <v>#DIV/0!</v>
      </c>
      <c r="E399" t="e">
        <f>Weighting!$E$15</f>
        <v>#NUM!</v>
      </c>
      <c r="F399" t="e">
        <f>IF(E399=1,'Data Transformation'!$G$3+0.5*'Data Transformation'!$U$25,IF(E400=1,F400-'Data Transformation'!$U$25,FALSE))</f>
        <v>#NUM!</v>
      </c>
      <c r="G399">
        <f t="array" ref="G399">IF(ISLOGICAL(F399),"",FREQUENCY(IF('Data Transformation'!$B$24:$B$404='Bin Analysis and Plots'!$D$387,'Data Transformation'!$G$24:$G$404),'Bin Analysis and Plots'!F399))</f>
        <v>0</v>
      </c>
      <c r="H399">
        <f t="shared" si="48"/>
        <v>0</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t="e">
        <f>Weighting!$C$16</f>
        <v>#DIV/0!</v>
      </c>
      <c r="E400" t="e">
        <f>Weighting!$E$16</f>
        <v>#NUM!</v>
      </c>
      <c r="F400" t="e">
        <f>IF(E400=1,'Data Transformation'!$G$3+0.5*'Data Transformation'!$U$25,IF(E401=1,F401-'Data Transformation'!$U$25,FALSE))</f>
        <v>#NUM!</v>
      </c>
      <c r="G400">
        <f t="array" ref="G400">IF(ISLOGICAL(F400),"",FREQUENCY(IF('Data Transformation'!$B$24:$B$404='Bin Analysis and Plots'!$D$387,'Data Transformation'!$G$24:$G$404),'Bin Analysis and Plots'!F400))</f>
        <v>0</v>
      </c>
      <c r="H400">
        <f t="shared" si="48"/>
        <v>0</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t="e">
        <f>Weighting!$C$17</f>
        <v>#DIV/0!</v>
      </c>
      <c r="E401" t="e">
        <f>Weighting!$E$17</f>
        <v>#NUM!</v>
      </c>
      <c r="F401" t="e">
        <f>IF(E401=1,'Data Transformation'!$G$3+0.5*'Data Transformation'!$U$25,IF(E402=1,F402-'Data Transformation'!$U$25,FALSE))</f>
        <v>#NUM!</v>
      </c>
      <c r="G401">
        <f t="array" ref="G401">IF(ISLOGICAL(F401),"",FREQUENCY(IF('Data Transformation'!$B$24:$B$404='Bin Analysis and Plots'!$D$387,'Data Transformation'!$G$24:$G$404),'Bin Analysis and Plots'!F401))</f>
        <v>0</v>
      </c>
      <c r="H401">
        <f t="shared" si="48"/>
        <v>0</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t="e">
        <f>Weighting!$C$18</f>
        <v>#DIV/0!</v>
      </c>
      <c r="E402" t="e">
        <f>Weighting!$E$18</f>
        <v>#NUM!</v>
      </c>
      <c r="F402" t="e">
        <f>IF(E402=1,'Data Transformation'!$G$3+0.5*'Data Transformation'!$U$25,IF(E403=1,F403-'Data Transformation'!$U$25,FALSE))</f>
        <v>#NUM!</v>
      </c>
      <c r="G402">
        <f t="array" ref="G402">IF(ISLOGICAL(F402),"",FREQUENCY(IF('Data Transformation'!$B$24:$B$404='Bin Analysis and Plots'!$D$387,'Data Transformation'!$G$24:$G$404),'Bin Analysis and Plots'!F402))</f>
        <v>0</v>
      </c>
      <c r="H402">
        <f t="shared" si="48"/>
        <v>0</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t="e">
        <f>Weighting!$C$19</f>
        <v>#DIV/0!</v>
      </c>
      <c r="E403" t="e">
        <f>Weighting!$E$19</f>
        <v>#NUM!</v>
      </c>
      <c r="F403" t="e">
        <f>IF(E403=1,'Data Transformation'!$G$3+0.5*'Data Transformation'!$U$25,IF(E404=1,F404-'Data Transformation'!$U$25,FALSE))</f>
        <v>#NUM!</v>
      </c>
      <c r="G403">
        <f t="array" ref="G403">IF(ISLOGICAL(F403),"",FREQUENCY(IF('Data Transformation'!$B$24:$B$404='Bin Analysis and Plots'!$D$387,'Data Transformation'!$G$24:$G$404),'Bin Analysis and Plots'!F403))</f>
        <v>0</v>
      </c>
      <c r="H403">
        <f t="shared" si="48"/>
        <v>0</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t="e">
        <f>Weighting!$C$20</f>
        <v>#DIV/0!</v>
      </c>
      <c r="E404" t="e">
        <f>Weighting!$E$20</f>
        <v>#NUM!</v>
      </c>
      <c r="F404" t="e">
        <f>IF(E404=1,'Data Transformation'!$G$3+0.5*'Data Transformation'!$U$25,IF(E405=1,F405-'Data Transformation'!$U$25,FALSE))</f>
        <v>#NUM!</v>
      </c>
      <c r="G404">
        <f t="array" ref="G404">IF(ISLOGICAL(F404),"",FREQUENCY(IF('Data Transformation'!$B$24:$B$404='Bin Analysis and Plots'!$D$387,'Data Transformation'!$G$24:$G$404),'Bin Analysis and Plots'!F404))</f>
        <v>0</v>
      </c>
      <c r="H404">
        <f t="shared" si="48"/>
        <v>0</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t="e">
        <f>Weighting!$C$21</f>
        <v>#DIV/0!</v>
      </c>
      <c r="E405" t="e">
        <f>Weighting!$E$21</f>
        <v>#NUM!</v>
      </c>
      <c r="F405" t="e">
        <f>IF(E405=1,'Data Transformation'!$G$3+0.5*'Data Transformation'!$U$25,IF(E406=1,F406-'Data Transformation'!$U$25,FALSE))</f>
        <v>#NUM!</v>
      </c>
      <c r="G405">
        <f t="array" ref="G405">IF(ISLOGICAL(F405),"",FREQUENCY(IF('Data Transformation'!$B$24:$B$404='Bin Analysis and Plots'!$D$387,'Data Transformation'!$G$24:$G$404),'Bin Analysis and Plots'!F405))</f>
        <v>0</v>
      </c>
      <c r="H405">
        <f t="shared" si="48"/>
        <v>0</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t="e">
        <f>Weighting!$C$22</f>
        <v>#DIV/0!</v>
      </c>
      <c r="E406" t="e">
        <f>Weighting!$E$22</f>
        <v>#NUM!</v>
      </c>
      <c r="F406" t="e">
        <f>IF(E406=1,'Data Transformation'!$G$3+0.5*'Data Transformation'!$U$25,IF(E407=1,F407-'Data Transformation'!$U$25,FALSE))</f>
        <v>#NUM!</v>
      </c>
      <c r="G406">
        <f t="array" ref="G406">IF(ISLOGICAL(F406),"",FREQUENCY(IF('Data Transformation'!$B$24:$B$404='Bin Analysis and Plots'!$D$387,'Data Transformation'!$G$24:$G$404),'Bin Analysis and Plots'!F406))</f>
        <v>0</v>
      </c>
      <c r="H406">
        <f t="shared" si="48"/>
        <v>0</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t="e">
        <f>Weighting!$C$23</f>
        <v>#DIV/0!</v>
      </c>
      <c r="E407" t="e">
        <f>Weighting!$E$23</f>
        <v>#NUM!</v>
      </c>
      <c r="F407" t="e">
        <f>IF(E407=1,'Data Transformation'!$G$3+0.5*'Data Transformation'!$U$25,IF(E408=1,F408-'Data Transformation'!$U$25,FALSE))</f>
        <v>#NUM!</v>
      </c>
      <c r="G407">
        <f t="array" ref="G407">IF(ISLOGICAL(F407),"",FREQUENCY(IF('Data Transformation'!$B$24:$B$404='Bin Analysis and Plots'!$D$387,'Data Transformation'!$G$24:$G$404),'Bin Analysis and Plots'!F407))</f>
        <v>0</v>
      </c>
      <c r="H407">
        <f t="shared" si="48"/>
        <v>0</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t="e">
        <f>Weighting!$C$24</f>
        <v>#DIV/0!</v>
      </c>
      <c r="E408" t="e">
        <f>Weighting!$E$24</f>
        <v>#NUM!</v>
      </c>
      <c r="F408" t="e">
        <f>IF(E408=1,'Data Transformation'!$G$3+0.5*'Data Transformation'!$U$25,IF(E409=1,F409-'Data Transformation'!$U$25,FALSE))</f>
        <v>#NUM!</v>
      </c>
      <c r="G408">
        <f t="array" ref="G408">IF(ISLOGICAL(F408),"",FREQUENCY(IF('Data Transformation'!$B$24:$B$404='Bin Analysis and Plots'!$D$387,'Data Transformation'!$G$24:$G$404),'Bin Analysis and Plots'!F408))</f>
        <v>0</v>
      </c>
      <c r="H408">
        <f t="shared" si="48"/>
        <v>0</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b">
        <f t="array" ref="A409">IF(ISERROR(INDEX('Data Transformation'!$B$4:$G$450,SMALL(IF('Data Transformation'!$B$4:$B$450='Bin Analysis and Plots'!D387,ROW('Data Transformation'!$B$4:$B$450)),ROW($20:$20))-3,3)),"",INDEX('Data Transformation'!$B$4:$G$450,SMALL(IF('Data Transformation'!$B$4:$B$450='Bin Analysis and Plots'!D387,ROW('Data Transformation'!$B$4:$B$450)),ROW($20:$20))-3,6))</f>
        <v>0</v>
      </c>
      <c r="B409" s="29" t="str">
        <f>IFERROR(SMALL(A390:A409,'Data Transformation'!$L$25),"")</f>
        <v/>
      </c>
      <c r="C409" s="41" t="str">
        <f>IF(Weighting!$O$25&gt;0,D409,"")</f>
        <v/>
      </c>
      <c r="D409" t="e">
        <f>Weighting!$C$25</f>
        <v>#DIV/0!</v>
      </c>
      <c r="E409" t="e">
        <f>Weighting!$E$25</f>
        <v>#NUM!</v>
      </c>
      <c r="F409" t="e">
        <f>IF(E409=1,'Data Transformation'!$G$3+0.5*'Data Transformation'!$U$25,IF(E410=1,F410-'Data Transformation'!$U$25,FALSE))</f>
        <v>#NUM!</v>
      </c>
      <c r="G409">
        <f t="array" ref="G409">IF(ISLOGICAL(F409),"",FREQUENCY(IF('Data Transformation'!$B$24:$B$404='Bin Analysis and Plots'!$D$387,'Data Transformation'!$G$24:$G$404),'Bin Analysis and Plots'!F409))</f>
        <v>0</v>
      </c>
      <c r="H409">
        <f t="shared" si="48"/>
        <v>0</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2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2" t="s">
        <v>64</v>
      </c>
      <c r="B412" s="92"/>
      <c r="C412" s="14" t="s">
        <v>72</v>
      </c>
      <c r="D412" t="s">
        <v>50</v>
      </c>
      <c r="E412" t="s">
        <v>5</v>
      </c>
      <c r="I412" t="s">
        <v>75</v>
      </c>
      <c r="J412" t="s">
        <v>34</v>
      </c>
      <c r="K412" t="s">
        <v>35</v>
      </c>
      <c r="L412" t="s">
        <v>49</v>
      </c>
      <c r="M412" s="14" t="s">
        <v>48</v>
      </c>
      <c r="Z412" s="78">
        <v>0</v>
      </c>
      <c r="AA412" s="78">
        <v>0</v>
      </c>
    </row>
    <row r="413" spans="1:27">
      <c r="C413" s="41" t="str">
        <f>IF(B413="","",D413)</f>
        <v/>
      </c>
      <c r="F413" t="e">
        <f>IF(E413=1,'Data Transformation'!$G$3+0.5*'Data Transformation'!$U$25,IF(E414=1,F414-'Data Transformation'!$U$25,FALSE))</f>
        <v>#NUM!</v>
      </c>
      <c r="G413">
        <f t="array" ref="G413">IF(ISLOGICAL(F413),"",FREQUENCY(IF('Data Transformation'!$B$24:$B$404='Bin Analysis and Plots'!$D$411,'Data Transformation'!$G$24:$G$404),'Bin Analysis and Plots'!F413))</f>
        <v>0</v>
      </c>
      <c r="H413">
        <f>IF(ISLOGICAL(F413),"",G413-G412)</f>
        <v>0</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t="e">
        <f>IF(Weighting!$O$6&gt;0,D414,"")</f>
        <v>#NUM!</v>
      </c>
      <c r="D414" t="e">
        <f>Weighting!$C$6</f>
        <v>#DIV/0!</v>
      </c>
      <c r="E414" t="e">
        <f>Weighting!$E$6</f>
        <v>#NUM!</v>
      </c>
      <c r="F414" t="e">
        <f>IF(E414=1,'Data Transformation'!$G$3+0.5*'Data Transformation'!$U$25,IF(E415=1,F415-'Data Transformation'!$U$25,FALSE))</f>
        <v>#NUM!</v>
      </c>
      <c r="G414">
        <f t="array" ref="G414">IF(ISLOGICAL(F414),"",FREQUENCY(IF('Data Transformation'!$B$24:$B$404='Bin Analysis and Plots'!$D$411,'Data Transformation'!$G$24:$G$404),'Bin Analysis and Plots'!F414))</f>
        <v>0</v>
      </c>
      <c r="H414">
        <f>IF(ISLOGICAL(F414),"",G414-G413)</f>
        <v>0</v>
      </c>
      <c r="I414">
        <f>Weighting!$G$6</f>
        <v>1</v>
      </c>
      <c r="J414">
        <f t="array" ref="J414">FREQUENCY(IF('Data Transformation'!$B$4:$B$404=D411,'Data Transformation'!$G$4:$G$404),'Bin Analysis and Plots'!$D414)</f>
        <v>0</v>
      </c>
      <c r="K414">
        <f>J414-J413</f>
        <v>0</v>
      </c>
      <c r="L414">
        <f>IF(K414=0,0,1)</f>
        <v>0</v>
      </c>
      <c r="M414" t="e">
        <f>L414*Weighting!$V$6</f>
        <v>#NUM!</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t="str">
        <f>IF(Weighting!$O$7&gt;0,D415,"")</f>
        <v/>
      </c>
      <c r="D415" t="e">
        <f>Weighting!$C$7</f>
        <v>#DIV/0!</v>
      </c>
      <c r="E415" t="e">
        <f>Weighting!$E$7</f>
        <v>#NUM!</v>
      </c>
      <c r="F415" t="e">
        <f>IF(E415=1,'Data Transformation'!$G$3+0.5*'Data Transformation'!$U$25,IF(E416=1,F416-'Data Transformation'!$U$25,FALSE))</f>
        <v>#NUM!</v>
      </c>
      <c r="G415">
        <f t="array" ref="G415">IF(ISLOGICAL(F415),"",FREQUENCY(IF('Data Transformation'!$B$24:$B$404='Bin Analysis and Plots'!$D$411,'Data Transformation'!$G$24:$G$404),'Bin Analysis and Plots'!F415))</f>
        <v>0</v>
      </c>
      <c r="H415">
        <f t="shared" ref="H415:H433" si="51">IF(ISLOGICAL(F415),"",G415-G414)</f>
        <v>0</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t="str">
        <f>IF(Weighting!$O$8&gt;0,D416,"")</f>
        <v/>
      </c>
      <c r="D416" t="e">
        <f>Weighting!$C$8</f>
        <v>#DIV/0!</v>
      </c>
      <c r="E416" t="e">
        <f>Weighting!$E$8</f>
        <v>#NUM!</v>
      </c>
      <c r="F416" t="e">
        <f>IF(E416=1,'Data Transformation'!$G$3+0.5*'Data Transformation'!$U$25,IF(E417=1,F417-'Data Transformation'!$U$25,FALSE))</f>
        <v>#NUM!</v>
      </c>
      <c r="G416">
        <f t="array" ref="G416">IF(ISLOGICAL(F416),"",FREQUENCY(IF('Data Transformation'!$B$24:$B$404='Bin Analysis and Plots'!$D$411,'Data Transformation'!$G$24:$G$404),'Bin Analysis and Plots'!F416))</f>
        <v>0</v>
      </c>
      <c r="H416">
        <f t="shared" si="51"/>
        <v>0</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t="str">
        <f>IF(Weighting!$O$9&gt;0,D417,"")</f>
        <v/>
      </c>
      <c r="D417" t="e">
        <f>Weighting!$B$9</f>
        <v>#DIV/0!</v>
      </c>
      <c r="E417" t="e">
        <f>Weighting!$E$9</f>
        <v>#NUM!</v>
      </c>
      <c r="F417" t="e">
        <f>IF(E417=1,'Data Transformation'!$G$3+0.5*'Data Transformation'!$U$25,IF(E418=1,F418-'Data Transformation'!$U$25,FALSE))</f>
        <v>#NUM!</v>
      </c>
      <c r="G417">
        <f t="array" ref="G417">IF(ISLOGICAL(F417),"",FREQUENCY(IF('Data Transformation'!$B$24:$B$404='Bin Analysis and Plots'!$D$411,'Data Transformation'!$G$24:$G$404),'Bin Analysis and Plots'!F417))</f>
        <v>0</v>
      </c>
      <c r="H417">
        <f t="shared" si="51"/>
        <v>0</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t="str">
        <f>IF(Weighting!$O$10&gt;0,D418,"")</f>
        <v/>
      </c>
      <c r="D418" t="e">
        <f>Weighting!$C$10</f>
        <v>#DIV/0!</v>
      </c>
      <c r="E418" t="e">
        <f>Weighting!$E$10</f>
        <v>#NUM!</v>
      </c>
      <c r="F418" t="e">
        <f>IF(E418=1,'Data Transformation'!$G$3+0.5*'Data Transformation'!$U$25,IF(E419=1,F419-'Data Transformation'!$U$25,FALSE))</f>
        <v>#NUM!</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t="str">
        <f>IF(Weighting!$O$11&gt;0,D419,"")</f>
        <v/>
      </c>
      <c r="D419" t="e">
        <f>Weighting!$C$11</f>
        <v>#DIV/0!</v>
      </c>
      <c r="E419" t="e">
        <f>Weighting!$E$11</f>
        <v>#NUM!</v>
      </c>
      <c r="F419" t="e">
        <f>IF(E419=1,'Data Transformation'!$G$3+0.5*'Data Transformation'!$U$25,IF(E420=1,F420-'Data Transformation'!$U$25,FALSE))</f>
        <v>#NUM!</v>
      </c>
      <c r="G419">
        <f t="array" ref="G419">IF(ISLOGICAL(F419),"",FREQUENCY(IF('Data Transformation'!$B$24:$B$404='Bin Analysis and Plots'!$D$411,'Data Transformation'!$G$24:$G$404),'Bin Analysis and Plots'!F419))</f>
        <v>0</v>
      </c>
      <c r="H419">
        <f t="shared" si="51"/>
        <v>0</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t="str">
        <f>IF(Weighting!$O$12&gt;0,D420,"")</f>
        <v/>
      </c>
      <c r="D420" t="e">
        <f>Weighting!$C$12</f>
        <v>#DIV/0!</v>
      </c>
      <c r="E420" t="e">
        <f>Weighting!$E$12</f>
        <v>#NUM!</v>
      </c>
      <c r="F420" t="e">
        <f>IF(E420=1,'Data Transformation'!$G$3+0.5*'Data Transformation'!$U$25,IF(E421=1,F421-'Data Transformation'!$U$25,FALSE))</f>
        <v>#NUM!</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t="e">
        <f>Weighting!$C$13</f>
        <v>#DIV/0!</v>
      </c>
      <c r="E421" t="e">
        <f>Weighting!$E$13</f>
        <v>#NUM!</v>
      </c>
      <c r="F421" t="e">
        <f>IF(E421=1,'Data Transformation'!$G$3+0.5*'Data Transformation'!$U$25,IF(E422=1,F422-'Data Transformation'!$U$25,FALSE))</f>
        <v>#NUM!</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t="e">
        <f>Weighting!$C$14</f>
        <v>#DIV/0!</v>
      </c>
      <c r="E422" t="e">
        <f>Weighting!$E$14</f>
        <v>#NUM!</v>
      </c>
      <c r="F422" t="e">
        <f>IF(E422=1,'Data Transformation'!$G$3+0.5*'Data Transformation'!$U$25,IF(E423=1,F423-'Data Transformation'!$U$25,FALSE))</f>
        <v>#NUM!</v>
      </c>
      <c r="G422">
        <f t="array" ref="G422">IF(ISLOGICAL(F422),"",FREQUENCY(IF('Data Transformation'!$B$24:$B$404='Bin Analysis and Plots'!$D$411,'Data Transformation'!$G$24:$G$404),'Bin Analysis and Plots'!F422))</f>
        <v>0</v>
      </c>
      <c r="H422">
        <f t="shared" si="51"/>
        <v>0</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t="e">
        <f>Weighting!$C$15</f>
        <v>#DIV/0!</v>
      </c>
      <c r="E423" t="e">
        <f>Weighting!$E$15</f>
        <v>#NUM!</v>
      </c>
      <c r="F423" t="e">
        <f>IF(E423=1,'Data Transformation'!$G$3+0.5*'Data Transformation'!$U$25,IF(E424=1,F424-'Data Transformation'!$U$25,FALSE))</f>
        <v>#NUM!</v>
      </c>
      <c r="G423">
        <f t="array" ref="G423">IF(ISLOGICAL(F423),"",FREQUENCY(IF('Data Transformation'!$B$24:$B$404='Bin Analysis and Plots'!$D$411,'Data Transformation'!$G$24:$G$404),'Bin Analysis and Plots'!F423))</f>
        <v>0</v>
      </c>
      <c r="H423">
        <f t="shared" si="51"/>
        <v>0</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t="e">
        <f>Weighting!$C$16</f>
        <v>#DIV/0!</v>
      </c>
      <c r="E424" t="e">
        <f>Weighting!$E$16</f>
        <v>#NUM!</v>
      </c>
      <c r="F424" t="e">
        <f>IF(E424=1,'Data Transformation'!$G$3+0.5*'Data Transformation'!$U$25,IF(E425=1,F425-'Data Transformation'!$U$25,FALSE))</f>
        <v>#NUM!</v>
      </c>
      <c r="G424">
        <f t="array" ref="G424">IF(ISLOGICAL(F424),"",FREQUENCY(IF('Data Transformation'!$B$24:$B$404='Bin Analysis and Plots'!$D$411,'Data Transformation'!$G$24:$G$404),'Bin Analysis and Plots'!F424))</f>
        <v>0</v>
      </c>
      <c r="H424">
        <f t="shared" si="51"/>
        <v>0</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t="e">
        <f>Weighting!$C$17</f>
        <v>#DIV/0!</v>
      </c>
      <c r="E425" t="e">
        <f>Weighting!$E$17</f>
        <v>#NUM!</v>
      </c>
      <c r="F425" t="e">
        <f>IF(E425=1,'Data Transformation'!$G$3+0.5*'Data Transformation'!$U$25,IF(E426=1,F426-'Data Transformation'!$U$25,FALSE))</f>
        <v>#NUM!</v>
      </c>
      <c r="G425">
        <f t="array" ref="G425">IF(ISLOGICAL(F425),"",FREQUENCY(IF('Data Transformation'!$B$24:$B$404='Bin Analysis and Plots'!$D$411,'Data Transformation'!$G$24:$G$404),'Bin Analysis and Plots'!F425))</f>
        <v>0</v>
      </c>
      <c r="H425">
        <f t="shared" si="51"/>
        <v>0</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t="e">
        <f>Weighting!$C$18</f>
        <v>#DIV/0!</v>
      </c>
      <c r="E426" t="e">
        <f>Weighting!$E$18</f>
        <v>#NUM!</v>
      </c>
      <c r="F426" t="e">
        <f>IF(E426=1,'Data Transformation'!$G$3+0.5*'Data Transformation'!$U$25,IF(E427=1,F427-'Data Transformation'!$U$25,FALSE))</f>
        <v>#NUM!</v>
      </c>
      <c r="G426">
        <f t="array" ref="G426">IF(ISLOGICAL(F426),"",FREQUENCY(IF('Data Transformation'!$B$24:$B$404='Bin Analysis and Plots'!$D$411,'Data Transformation'!$G$24:$G$404),'Bin Analysis and Plots'!F426))</f>
        <v>0</v>
      </c>
      <c r="H426">
        <f t="shared" si="51"/>
        <v>0</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t="e">
        <f>Weighting!$C$19</f>
        <v>#DIV/0!</v>
      </c>
      <c r="E427" t="e">
        <f>Weighting!$E$19</f>
        <v>#NUM!</v>
      </c>
      <c r="F427" t="e">
        <f>IF(E427=1,'Data Transformation'!$G$3+0.5*'Data Transformation'!$U$25,IF(E428=1,F428-'Data Transformation'!$U$25,FALSE))</f>
        <v>#NUM!</v>
      </c>
      <c r="G427">
        <f t="array" ref="G427">IF(ISLOGICAL(F427),"",FREQUENCY(IF('Data Transformation'!$B$24:$B$404='Bin Analysis and Plots'!$D$411,'Data Transformation'!$G$24:$G$404),'Bin Analysis and Plots'!F427))</f>
        <v>0</v>
      </c>
      <c r="H427">
        <f t="shared" si="51"/>
        <v>0</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t="e">
        <f>Weighting!$C$20</f>
        <v>#DIV/0!</v>
      </c>
      <c r="E428" t="e">
        <f>Weighting!$E$20</f>
        <v>#NUM!</v>
      </c>
      <c r="F428" t="e">
        <f>IF(E428=1,'Data Transformation'!$G$3+0.5*'Data Transformation'!$U$25,IF(E429=1,F429-'Data Transformation'!$U$25,FALSE))</f>
        <v>#NUM!</v>
      </c>
      <c r="G428">
        <f t="array" ref="G428">IF(ISLOGICAL(F428),"",FREQUENCY(IF('Data Transformation'!$B$24:$B$404='Bin Analysis and Plots'!$D$411,'Data Transformation'!$G$24:$G$404),'Bin Analysis and Plots'!F428))</f>
        <v>0</v>
      </c>
      <c r="H428">
        <f t="shared" si="51"/>
        <v>0</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t="e">
        <f>Weighting!$C$21</f>
        <v>#DIV/0!</v>
      </c>
      <c r="E429" t="e">
        <f>Weighting!$E$21</f>
        <v>#NUM!</v>
      </c>
      <c r="F429" t="e">
        <f>IF(E429=1,'Data Transformation'!$G$3+0.5*'Data Transformation'!$U$25,IF(E430=1,F430-'Data Transformation'!$U$25,FALSE))</f>
        <v>#NUM!</v>
      </c>
      <c r="G429">
        <f t="array" ref="G429">IF(ISLOGICAL(F429),"",FREQUENCY(IF('Data Transformation'!$B$24:$B$404='Bin Analysis and Plots'!$D$411,'Data Transformation'!$G$24:$G$404),'Bin Analysis and Plots'!F429))</f>
        <v>0</v>
      </c>
      <c r="H429">
        <f t="shared" si="51"/>
        <v>0</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t="e">
        <f>Weighting!$C$22</f>
        <v>#DIV/0!</v>
      </c>
      <c r="E430" t="e">
        <f>Weighting!$E$22</f>
        <v>#NUM!</v>
      </c>
      <c r="F430" t="e">
        <f>IF(E430=1,'Data Transformation'!$G$3+0.5*'Data Transformation'!$U$25,IF(E431=1,F431-'Data Transformation'!$U$25,FALSE))</f>
        <v>#NUM!</v>
      </c>
      <c r="G430">
        <f t="array" ref="G430">IF(ISLOGICAL(F430),"",FREQUENCY(IF('Data Transformation'!$B$24:$B$404='Bin Analysis and Plots'!$D$411,'Data Transformation'!$G$24:$G$404),'Bin Analysis and Plots'!F430))</f>
        <v>0</v>
      </c>
      <c r="H430">
        <f t="shared" si="51"/>
        <v>0</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t="e">
        <f>Weighting!$C$23</f>
        <v>#DIV/0!</v>
      </c>
      <c r="E431" t="e">
        <f>Weighting!$E$23</f>
        <v>#NUM!</v>
      </c>
      <c r="F431" t="e">
        <f>IF(E431=1,'Data Transformation'!$G$3+0.5*'Data Transformation'!$U$25,IF(E432=1,F432-'Data Transformation'!$U$25,FALSE))</f>
        <v>#NUM!</v>
      </c>
      <c r="G431">
        <f t="array" ref="G431">IF(ISLOGICAL(F431),"",FREQUENCY(IF('Data Transformation'!$B$24:$B$404='Bin Analysis and Plots'!$D$411,'Data Transformation'!$G$24:$G$404),'Bin Analysis and Plots'!F431))</f>
        <v>0</v>
      </c>
      <c r="H431">
        <f t="shared" si="51"/>
        <v>0</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t="e">
        <f>Weighting!$C$24</f>
        <v>#DIV/0!</v>
      </c>
      <c r="E432" t="e">
        <f>Weighting!$E$24</f>
        <v>#NUM!</v>
      </c>
      <c r="F432" t="e">
        <f>IF(E432=1,'Data Transformation'!$G$3+0.5*'Data Transformation'!$U$25,IF(E433=1,F433-'Data Transformation'!$U$25,FALSE))</f>
        <v>#NUM!</v>
      </c>
      <c r="G432">
        <f t="array" ref="G432">IF(ISLOGICAL(F432),"",FREQUENCY(IF('Data Transformation'!$B$24:$B$404='Bin Analysis and Plots'!$D$411,'Data Transformation'!$G$24:$G$404),'Bin Analysis and Plots'!F432))</f>
        <v>0</v>
      </c>
      <c r="H432">
        <f t="shared" si="51"/>
        <v>0</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b">
        <f t="array" ref="A433">IF(ISERROR(INDEX('Data Transformation'!$B$4:$G$450,SMALL(IF('Data Transformation'!$B$4:$B$450='Bin Analysis and Plots'!D411,ROW('Data Transformation'!$B$4:$B$450)),ROW($20:$20))-3,3)),"",INDEX('Data Transformation'!$B$4:$G$450,SMALL(IF('Data Transformation'!$B$4:$B$450='Bin Analysis and Plots'!D411,ROW('Data Transformation'!$B$4:$B$450)),ROW($20:$20))-3,6))</f>
        <v>0</v>
      </c>
      <c r="B433" s="29" t="str">
        <f>IFERROR(SMALL(A414:A433,'Data Transformation'!$L$25),"")</f>
        <v/>
      </c>
      <c r="C433" s="41" t="str">
        <f>IF(Weighting!$O$25&gt;0,D433,"")</f>
        <v/>
      </c>
      <c r="D433" t="e">
        <f>Weighting!$C$25</f>
        <v>#DIV/0!</v>
      </c>
      <c r="E433" t="e">
        <f>Weighting!$E$25</f>
        <v>#NUM!</v>
      </c>
      <c r="F433" t="e">
        <f>IF(E433=1,'Data Transformation'!$G$3+0.5*'Data Transformation'!$U$25,IF(E434=1,F434-'Data Transformation'!$U$25,FALSE))</f>
        <v>#NUM!</v>
      </c>
      <c r="G433">
        <f t="array" ref="G433">IF(ISLOGICAL(F433),"",FREQUENCY(IF('Data Transformation'!$B$24:$B$404='Bin Analysis and Plots'!$D$411,'Data Transformation'!$G$24:$G$404),'Bin Analysis and Plots'!F433))</f>
        <v>0</v>
      </c>
      <c r="H433">
        <f t="shared" si="51"/>
        <v>0</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2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2" t="s">
        <v>64</v>
      </c>
      <c r="B436" s="92"/>
      <c r="C436" s="14" t="s">
        <v>72</v>
      </c>
      <c r="D436" t="s">
        <v>50</v>
      </c>
      <c r="E436" t="s">
        <v>5</v>
      </c>
      <c r="I436" t="s">
        <v>75</v>
      </c>
      <c r="J436" t="s">
        <v>34</v>
      </c>
      <c r="K436" t="s">
        <v>35</v>
      </c>
      <c r="L436" t="s">
        <v>49</v>
      </c>
      <c r="M436" s="14" t="s">
        <v>48</v>
      </c>
      <c r="Z436" s="78">
        <v>0</v>
      </c>
      <c r="AA436" s="78">
        <v>0</v>
      </c>
    </row>
    <row r="437" spans="1:27">
      <c r="C437" s="41" t="str">
        <f>IF(B437="","",D437)</f>
        <v/>
      </c>
      <c r="F437" t="e">
        <f>IF(E437=1,'Data Transformation'!$G$3+0.5*'Data Transformation'!$U$25,IF(E438=1,F438-'Data Transformation'!$U$25,FALSE))</f>
        <v>#NUM!</v>
      </c>
      <c r="G437">
        <f t="array" ref="G437">IF(ISLOGICAL(F437),"",FREQUENCY(IF('Data Transformation'!$B$24:$B$404='Bin Analysis and Plots'!$D$435,'Data Transformation'!$G$24:$G$404),'Bin Analysis and Plots'!F437))</f>
        <v>0</v>
      </c>
      <c r="H437">
        <f>IF(ISLOGICAL(F437),"",G437-G436)</f>
        <v>0</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t="e">
        <f>IF(Weighting!$O$6&gt;0,D438,"")</f>
        <v>#NUM!</v>
      </c>
      <c r="D438" t="e">
        <f>Weighting!$C$6</f>
        <v>#DIV/0!</v>
      </c>
      <c r="E438" t="e">
        <f>Weighting!$E$6</f>
        <v>#NUM!</v>
      </c>
      <c r="F438" t="e">
        <f>IF(E438=1,'Data Transformation'!$G$3+0.5*'Data Transformation'!$U$25,IF(E439=1,F439-'Data Transformation'!$U$25,FALSE))</f>
        <v>#NUM!</v>
      </c>
      <c r="G438">
        <f t="array" ref="G438">IF(ISLOGICAL(F438),"",FREQUENCY(IF('Data Transformation'!$B$24:$B$404='Bin Analysis and Plots'!$D$435,'Data Transformation'!$G$24:$G$404),'Bin Analysis and Plots'!F438))</f>
        <v>0</v>
      </c>
      <c r="H438">
        <f>IF(ISLOGICAL(F438),"",G438-G437)</f>
        <v>0</v>
      </c>
      <c r="I438">
        <f>Weighting!$G$6</f>
        <v>1</v>
      </c>
      <c r="J438">
        <f t="array" ref="J438">FREQUENCY(IF('Data Transformation'!$B$4:$B$404=D435,'Data Transformation'!$G$4:$G$404),'Bin Analysis and Plots'!$D438)</f>
        <v>0</v>
      </c>
      <c r="K438">
        <f>J438-J437</f>
        <v>0</v>
      </c>
      <c r="L438">
        <f>IF(K438=0,0,1)</f>
        <v>0</v>
      </c>
      <c r="M438" t="e">
        <f>L438*Weighting!$V$6</f>
        <v>#NUM!</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t="str">
        <f>IF(Weighting!$O$7&gt;0,D439,"")</f>
        <v/>
      </c>
      <c r="D439" t="e">
        <f>Weighting!$C$7</f>
        <v>#DIV/0!</v>
      </c>
      <c r="E439" t="e">
        <f>Weighting!$E$7</f>
        <v>#NUM!</v>
      </c>
      <c r="F439" t="e">
        <f>IF(E439=1,'Data Transformation'!$G$3+0.5*'Data Transformation'!$U$25,IF(E440=1,F440-'Data Transformation'!$U$25,FALSE))</f>
        <v>#NUM!</v>
      </c>
      <c r="G439">
        <f t="array" ref="G439">IF(ISLOGICAL(F439),"",FREQUENCY(IF('Data Transformation'!$B$24:$B$404='Bin Analysis and Plots'!$D$435,'Data Transformation'!$G$24:$G$404),'Bin Analysis and Plots'!F439))</f>
        <v>0</v>
      </c>
      <c r="H439">
        <f t="shared" ref="H439:H457" si="54">IF(ISLOGICAL(F439),"",G439-G438)</f>
        <v>0</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t="str">
        <f>IF(Weighting!$O$8&gt;0,D440,"")</f>
        <v/>
      </c>
      <c r="D440" t="e">
        <f>Weighting!$C$8</f>
        <v>#DIV/0!</v>
      </c>
      <c r="E440" t="e">
        <f>Weighting!$E$8</f>
        <v>#NUM!</v>
      </c>
      <c r="F440" t="e">
        <f>IF(E440=1,'Data Transformation'!$G$3+0.5*'Data Transformation'!$U$25,IF(E441=1,F441-'Data Transformation'!$U$25,FALSE))</f>
        <v>#NUM!</v>
      </c>
      <c r="G440">
        <f t="array" ref="G440">IF(ISLOGICAL(F440),"",FREQUENCY(IF('Data Transformation'!$B$24:$B$404='Bin Analysis and Plots'!$D$435,'Data Transformation'!$G$24:$G$404),'Bin Analysis and Plots'!F440))</f>
        <v>0</v>
      </c>
      <c r="H440">
        <f t="shared" si="54"/>
        <v>0</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t="str">
        <f>IF(Weighting!$O$9&gt;0,D441,"")</f>
        <v/>
      </c>
      <c r="D441" t="e">
        <f>Weighting!$B$9</f>
        <v>#DIV/0!</v>
      </c>
      <c r="E441" t="e">
        <f>Weighting!$E$9</f>
        <v>#NUM!</v>
      </c>
      <c r="F441" t="e">
        <f>IF(E441=1,'Data Transformation'!$G$3+0.5*'Data Transformation'!$U$25,IF(E442=1,F442-'Data Transformation'!$U$25,FALSE))</f>
        <v>#NUM!</v>
      </c>
      <c r="G441">
        <f t="array" ref="G441">IF(ISLOGICAL(F441),"",FREQUENCY(IF('Data Transformation'!$B$24:$B$404='Bin Analysis and Plots'!$D$435,'Data Transformation'!$G$24:$G$404),'Bin Analysis and Plots'!F441))</f>
        <v>0</v>
      </c>
      <c r="H441">
        <f t="shared" si="54"/>
        <v>0</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t="str">
        <f>IF(Weighting!$O$10&gt;0,D442,"")</f>
        <v/>
      </c>
      <c r="D442" t="e">
        <f>Weighting!$C$10</f>
        <v>#DIV/0!</v>
      </c>
      <c r="E442" t="e">
        <f>Weighting!$E$10</f>
        <v>#NUM!</v>
      </c>
      <c r="F442" t="e">
        <f>IF(E442=1,'Data Transformation'!$G$3+0.5*'Data Transformation'!$U$25,IF(E443=1,F443-'Data Transformation'!$U$25,FALSE))</f>
        <v>#NUM!</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t="str">
        <f>IF(Weighting!$O$11&gt;0,D443,"")</f>
        <v/>
      </c>
      <c r="D443" t="e">
        <f>Weighting!$C$11</f>
        <v>#DIV/0!</v>
      </c>
      <c r="E443" t="e">
        <f>Weighting!$E$11</f>
        <v>#NUM!</v>
      </c>
      <c r="F443" t="e">
        <f>IF(E443=1,'Data Transformation'!$G$3+0.5*'Data Transformation'!$U$25,IF(E444=1,F444-'Data Transformation'!$U$25,FALSE))</f>
        <v>#NUM!</v>
      </c>
      <c r="G443">
        <f t="array" ref="G443">IF(ISLOGICAL(F443),"",FREQUENCY(IF('Data Transformation'!$B$24:$B$404='Bin Analysis and Plots'!$D$435,'Data Transformation'!$G$24:$G$404),'Bin Analysis and Plots'!F443))</f>
        <v>0</v>
      </c>
      <c r="H443">
        <f t="shared" si="54"/>
        <v>0</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t="str">
        <f>IF(Weighting!$O$12&gt;0,D444,"")</f>
        <v/>
      </c>
      <c r="D444" t="e">
        <f>Weighting!$C$12</f>
        <v>#DIV/0!</v>
      </c>
      <c r="E444" t="e">
        <f>Weighting!$E$12</f>
        <v>#NUM!</v>
      </c>
      <c r="F444" t="e">
        <f>IF(E444=1,'Data Transformation'!$G$3+0.5*'Data Transformation'!$U$25,IF(E445=1,F445-'Data Transformation'!$U$25,FALSE))</f>
        <v>#NUM!</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t="e">
        <f>Weighting!$C$13</f>
        <v>#DIV/0!</v>
      </c>
      <c r="E445" t="e">
        <f>Weighting!$E$13</f>
        <v>#NUM!</v>
      </c>
      <c r="F445" t="e">
        <f>IF(E445=1,'Data Transformation'!$G$3+0.5*'Data Transformation'!$U$25,IF(E446=1,F446-'Data Transformation'!$U$25,FALSE))</f>
        <v>#NUM!</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t="e">
        <f>Weighting!$C$14</f>
        <v>#DIV/0!</v>
      </c>
      <c r="E446" t="e">
        <f>Weighting!$E$14</f>
        <v>#NUM!</v>
      </c>
      <c r="F446" t="e">
        <f>IF(E446=1,'Data Transformation'!$G$3+0.5*'Data Transformation'!$U$25,IF(E447=1,F447-'Data Transformation'!$U$25,FALSE))</f>
        <v>#NUM!</v>
      </c>
      <c r="G446">
        <f t="array" ref="G446">IF(ISLOGICAL(F446),"",FREQUENCY(IF('Data Transformation'!$B$24:$B$404='Bin Analysis and Plots'!$D$435,'Data Transformation'!$G$24:$G$404),'Bin Analysis and Plots'!F446))</f>
        <v>0</v>
      </c>
      <c r="H446">
        <f t="shared" si="54"/>
        <v>0</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t="e">
        <f>Weighting!$C$15</f>
        <v>#DIV/0!</v>
      </c>
      <c r="E447" t="e">
        <f>Weighting!$E$15</f>
        <v>#NUM!</v>
      </c>
      <c r="F447" t="e">
        <f>IF(E447=1,'Data Transformation'!$G$3+0.5*'Data Transformation'!$U$25,IF(E448=1,F448-'Data Transformation'!$U$25,FALSE))</f>
        <v>#NUM!</v>
      </c>
      <c r="G447">
        <f t="array" ref="G447">IF(ISLOGICAL(F447),"",FREQUENCY(IF('Data Transformation'!$B$24:$B$404='Bin Analysis and Plots'!$D$435,'Data Transformation'!$G$24:$G$404),'Bin Analysis and Plots'!F447))</f>
        <v>0</v>
      </c>
      <c r="H447">
        <f t="shared" si="54"/>
        <v>0</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t="e">
        <f>Weighting!$C$16</f>
        <v>#DIV/0!</v>
      </c>
      <c r="E448" t="e">
        <f>Weighting!$E$16</f>
        <v>#NUM!</v>
      </c>
      <c r="F448" t="e">
        <f>IF(E448=1,'Data Transformation'!$G$3+0.5*'Data Transformation'!$U$25,IF(E449=1,F449-'Data Transformation'!$U$25,FALSE))</f>
        <v>#NUM!</v>
      </c>
      <c r="G448">
        <f t="array" ref="G448">IF(ISLOGICAL(F448),"",FREQUENCY(IF('Data Transformation'!$B$24:$B$404='Bin Analysis and Plots'!$D$435,'Data Transformation'!$G$24:$G$404),'Bin Analysis and Plots'!F448))</f>
        <v>0</v>
      </c>
      <c r="H448">
        <f t="shared" si="54"/>
        <v>0</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t="e">
        <f>Weighting!$C$17</f>
        <v>#DIV/0!</v>
      </c>
      <c r="E449" t="e">
        <f>Weighting!$E$17</f>
        <v>#NUM!</v>
      </c>
      <c r="F449" t="e">
        <f>IF(E449=1,'Data Transformation'!$G$3+0.5*'Data Transformation'!$U$25,IF(E450=1,F450-'Data Transformation'!$U$25,FALSE))</f>
        <v>#NUM!</v>
      </c>
      <c r="G449">
        <f t="array" ref="G449">IF(ISLOGICAL(F449),"",FREQUENCY(IF('Data Transformation'!$B$24:$B$404='Bin Analysis and Plots'!$D$435,'Data Transformation'!$G$24:$G$404),'Bin Analysis and Plots'!F449))</f>
        <v>0</v>
      </c>
      <c r="H449">
        <f t="shared" si="54"/>
        <v>0</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t="e">
        <f>Weighting!$C$18</f>
        <v>#DIV/0!</v>
      </c>
      <c r="E450" t="e">
        <f>Weighting!$E$18</f>
        <v>#NUM!</v>
      </c>
      <c r="F450" t="e">
        <f>IF(E450=1,'Data Transformation'!$G$3+0.5*'Data Transformation'!$U$25,IF(E451=1,F451-'Data Transformation'!$U$25,FALSE))</f>
        <v>#NUM!</v>
      </c>
      <c r="G450">
        <f t="array" ref="G450">IF(ISLOGICAL(F450),"",FREQUENCY(IF('Data Transformation'!$B$24:$B$404='Bin Analysis and Plots'!$D$435,'Data Transformation'!$G$24:$G$404),'Bin Analysis and Plots'!F450))</f>
        <v>0</v>
      </c>
      <c r="H450">
        <f t="shared" si="54"/>
        <v>0</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t="e">
        <f>Weighting!$C$19</f>
        <v>#DIV/0!</v>
      </c>
      <c r="E451" t="e">
        <f>Weighting!$E$19</f>
        <v>#NUM!</v>
      </c>
      <c r="F451" t="e">
        <f>IF(E451=1,'Data Transformation'!$G$3+0.5*'Data Transformation'!$U$25,IF(E452=1,F452-'Data Transformation'!$U$25,FALSE))</f>
        <v>#NUM!</v>
      </c>
      <c r="G451">
        <f t="array" ref="G451">IF(ISLOGICAL(F451),"",FREQUENCY(IF('Data Transformation'!$B$24:$B$404='Bin Analysis and Plots'!$D$435,'Data Transformation'!$G$24:$G$404),'Bin Analysis and Plots'!F451))</f>
        <v>0</v>
      </c>
      <c r="H451">
        <f t="shared" si="54"/>
        <v>0</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t="e">
        <f>Weighting!$C$20</f>
        <v>#DIV/0!</v>
      </c>
      <c r="E452" t="e">
        <f>Weighting!$E$20</f>
        <v>#NUM!</v>
      </c>
      <c r="F452" t="e">
        <f>IF(E452=1,'Data Transformation'!$G$3+0.5*'Data Transformation'!$U$25,IF(E453=1,F453-'Data Transformation'!$U$25,FALSE))</f>
        <v>#NUM!</v>
      </c>
      <c r="G452">
        <f t="array" ref="G452">IF(ISLOGICAL(F452),"",FREQUENCY(IF('Data Transformation'!$B$24:$B$404='Bin Analysis and Plots'!$D$435,'Data Transformation'!$G$24:$G$404),'Bin Analysis and Plots'!F452))</f>
        <v>0</v>
      </c>
      <c r="H452">
        <f t="shared" si="54"/>
        <v>0</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t="e">
        <f>Weighting!$C$21</f>
        <v>#DIV/0!</v>
      </c>
      <c r="E453" t="e">
        <f>Weighting!$E$21</f>
        <v>#NUM!</v>
      </c>
      <c r="F453" t="e">
        <f>IF(E453=1,'Data Transformation'!$G$3+0.5*'Data Transformation'!$U$25,IF(E454=1,F454-'Data Transformation'!$U$25,FALSE))</f>
        <v>#NUM!</v>
      </c>
      <c r="G453">
        <f t="array" ref="G453">IF(ISLOGICAL(F453),"",FREQUENCY(IF('Data Transformation'!$B$24:$B$404='Bin Analysis and Plots'!$D$435,'Data Transformation'!$G$24:$G$404),'Bin Analysis and Plots'!F453))</f>
        <v>0</v>
      </c>
      <c r="H453">
        <f t="shared" si="54"/>
        <v>0</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t="e">
        <f>Weighting!$C$22</f>
        <v>#DIV/0!</v>
      </c>
      <c r="E454" t="e">
        <f>Weighting!$E$22</f>
        <v>#NUM!</v>
      </c>
      <c r="F454" t="e">
        <f>IF(E454=1,'Data Transformation'!$G$3+0.5*'Data Transformation'!$U$25,IF(E455=1,F455-'Data Transformation'!$U$25,FALSE))</f>
        <v>#NUM!</v>
      </c>
      <c r="G454">
        <f t="array" ref="G454">IF(ISLOGICAL(F454),"",FREQUENCY(IF('Data Transformation'!$B$24:$B$404='Bin Analysis and Plots'!$D$435,'Data Transformation'!$G$24:$G$404),'Bin Analysis and Plots'!F454))</f>
        <v>0</v>
      </c>
      <c r="H454">
        <f t="shared" si="54"/>
        <v>0</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t="e">
        <f>Weighting!$C$23</f>
        <v>#DIV/0!</v>
      </c>
      <c r="E455" t="e">
        <f>Weighting!$E$23</f>
        <v>#NUM!</v>
      </c>
      <c r="F455" t="e">
        <f>IF(E455=1,'Data Transformation'!$G$3+0.5*'Data Transformation'!$U$25,IF(E456=1,F456-'Data Transformation'!$U$25,FALSE))</f>
        <v>#NUM!</v>
      </c>
      <c r="G455">
        <f t="array" ref="G455">IF(ISLOGICAL(F455),"",FREQUENCY(IF('Data Transformation'!$B$24:$B$404='Bin Analysis and Plots'!$D$435,'Data Transformation'!$G$24:$G$404),'Bin Analysis and Plots'!F455))</f>
        <v>0</v>
      </c>
      <c r="H455">
        <f t="shared" si="54"/>
        <v>0</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t="e">
        <f>Weighting!$C$24</f>
        <v>#DIV/0!</v>
      </c>
      <c r="E456" t="e">
        <f>Weighting!$E$24</f>
        <v>#NUM!</v>
      </c>
      <c r="F456" t="e">
        <f>IF(E456=1,'Data Transformation'!$G$3+0.5*'Data Transformation'!$U$25,IF(E457=1,F457-'Data Transformation'!$U$25,FALSE))</f>
        <v>#NUM!</v>
      </c>
      <c r="G456">
        <f t="array" ref="G456">IF(ISLOGICAL(F456),"",FREQUENCY(IF('Data Transformation'!$B$24:$B$404='Bin Analysis and Plots'!$D$435,'Data Transformation'!$G$24:$G$404),'Bin Analysis and Plots'!F456))</f>
        <v>0</v>
      </c>
      <c r="H456">
        <f t="shared" si="54"/>
        <v>0</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b">
        <f t="array" ref="A457">IF(ISERROR(INDEX('Data Transformation'!$B$4:$G$450,SMALL(IF('Data Transformation'!$B$4:$B$450='Bin Analysis and Plots'!D435,ROW('Data Transformation'!$B$4:$B$450)),ROW($20:$20))-3,3)),"",INDEX('Data Transformation'!$B$4:$G$450,SMALL(IF('Data Transformation'!$B$4:$B$450='Bin Analysis and Plots'!D435,ROW('Data Transformation'!$B$4:$B$450)),ROW($20:$20))-3,6))</f>
        <v>0</v>
      </c>
      <c r="B457" s="29" t="str">
        <f>IFERROR(SMALL(A438:A457,'Data Transformation'!$L$25),"")</f>
        <v/>
      </c>
      <c r="C457" s="41" t="str">
        <f>IF(Weighting!$O$25&gt;0,D457,"")</f>
        <v/>
      </c>
      <c r="D457" t="e">
        <f>Weighting!$C$25</f>
        <v>#DIV/0!</v>
      </c>
      <c r="E457" t="e">
        <f>Weighting!$E$25</f>
        <v>#NUM!</v>
      </c>
      <c r="F457" t="e">
        <f>IF(E457=1,'Data Transformation'!$G$3+0.5*'Data Transformation'!$U$25,IF(E458=1,F458-'Data Transformation'!$U$25,FALSE))</f>
        <v>#NUM!</v>
      </c>
      <c r="G457">
        <f t="array" ref="G457">IF(ISLOGICAL(F457),"",FREQUENCY(IF('Data Transformation'!$B$24:$B$404='Bin Analysis and Plots'!$D$435,'Data Transformation'!$G$24:$G$404),'Bin Analysis and Plots'!F457))</f>
        <v>0</v>
      </c>
      <c r="H457">
        <f t="shared" si="54"/>
        <v>0</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2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2" t="s">
        <v>64</v>
      </c>
      <c r="B460" s="92"/>
      <c r="C460" s="14" t="s">
        <v>72</v>
      </c>
      <c r="D460" t="s">
        <v>50</v>
      </c>
      <c r="E460" t="s">
        <v>5</v>
      </c>
      <c r="I460" t="s">
        <v>75</v>
      </c>
      <c r="J460" t="s">
        <v>34</v>
      </c>
      <c r="K460" t="s">
        <v>35</v>
      </c>
      <c r="L460" t="s">
        <v>49</v>
      </c>
      <c r="M460" s="14" t="s">
        <v>48</v>
      </c>
      <c r="Z460" s="78">
        <v>0</v>
      </c>
      <c r="AA460" s="78">
        <v>0</v>
      </c>
    </row>
    <row r="461" spans="1:27">
      <c r="C461" s="41" t="str">
        <f>IF(B461="","",D461)</f>
        <v/>
      </c>
      <c r="F461" t="e">
        <f>IF(E461=1,'Data Transformation'!$G$3+0.5*'Data Transformation'!$U$25,IF(E462=1,F462-'Data Transformation'!$U$25,FALSE))</f>
        <v>#NUM!</v>
      </c>
      <c r="G461">
        <f t="array" ref="G461">IF(ISLOGICAL(F461),"",FREQUENCY(IF('Data Transformation'!$B$24:$B$404='Bin Analysis and Plots'!$D$459,'Data Transformation'!$G$24:$G$404),'Bin Analysis and Plots'!F461))</f>
        <v>0</v>
      </c>
      <c r="H461">
        <f>IF(ISLOGICAL(F461),"",G461-G460)</f>
        <v>0</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t="e">
        <f>IF(Weighting!$O$6&gt;0,D462,"")</f>
        <v>#NUM!</v>
      </c>
      <c r="D462" t="e">
        <f>Weighting!$C$6</f>
        <v>#DIV/0!</v>
      </c>
      <c r="E462" t="e">
        <f>Weighting!$E$6</f>
        <v>#NUM!</v>
      </c>
      <c r="F462" t="e">
        <f>IF(E462=1,'Data Transformation'!$G$3+0.5*'Data Transformation'!$U$25,IF(E463=1,F463-'Data Transformation'!$U$25,FALSE))</f>
        <v>#NUM!</v>
      </c>
      <c r="G462">
        <f t="array" ref="G462">IF(ISLOGICAL(F462),"",FREQUENCY(IF('Data Transformation'!$B$24:$B$404='Bin Analysis and Plots'!$D$459,'Data Transformation'!$G$24:$G$404),'Bin Analysis and Plots'!F462))</f>
        <v>0</v>
      </c>
      <c r="H462">
        <f>IF(ISLOGICAL(F462),"",G462-G461)</f>
        <v>0</v>
      </c>
      <c r="I462">
        <f>Weighting!$G$6</f>
        <v>1</v>
      </c>
      <c r="J462">
        <f t="array" ref="J462">FREQUENCY(IF('Data Transformation'!$B$4:$B$404=D459,'Data Transformation'!$G$4:$G$404),'Bin Analysis and Plots'!$D462)</f>
        <v>0</v>
      </c>
      <c r="K462">
        <f>J462-J461</f>
        <v>0</v>
      </c>
      <c r="L462">
        <f>IF(K462=0,0,1)</f>
        <v>0</v>
      </c>
      <c r="M462" t="e">
        <f>L462*Weighting!$V$6</f>
        <v>#NUM!</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t="str">
        <f>IF(Weighting!$O$7&gt;0,D463,"")</f>
        <v/>
      </c>
      <c r="D463" t="e">
        <f>Weighting!$C$7</f>
        <v>#DIV/0!</v>
      </c>
      <c r="E463" t="e">
        <f>Weighting!$E$7</f>
        <v>#NUM!</v>
      </c>
      <c r="F463" t="e">
        <f>IF(E463=1,'Data Transformation'!$G$3+0.5*'Data Transformation'!$U$25,IF(E464=1,F464-'Data Transformation'!$U$25,FALSE))</f>
        <v>#NUM!</v>
      </c>
      <c r="G463">
        <f t="array" ref="G463">IF(ISLOGICAL(F463),"",FREQUENCY(IF('Data Transformation'!$B$24:$B$404='Bin Analysis and Plots'!$D$459,'Data Transformation'!$G$24:$G$404),'Bin Analysis and Plots'!F463))</f>
        <v>0</v>
      </c>
      <c r="H463">
        <f t="shared" ref="H463:H481" si="57">IF(ISLOGICAL(F463),"",G463-G462)</f>
        <v>0</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t="str">
        <f>IF(Weighting!$O$8&gt;0,D464,"")</f>
        <v/>
      </c>
      <c r="D464" t="e">
        <f>Weighting!$C$8</f>
        <v>#DIV/0!</v>
      </c>
      <c r="E464" t="e">
        <f>Weighting!$E$8</f>
        <v>#NUM!</v>
      </c>
      <c r="F464" t="e">
        <f>IF(E464=1,'Data Transformation'!$G$3+0.5*'Data Transformation'!$U$25,IF(E465=1,F465-'Data Transformation'!$U$25,FALSE))</f>
        <v>#NUM!</v>
      </c>
      <c r="G464">
        <f t="array" ref="G464">IF(ISLOGICAL(F464),"",FREQUENCY(IF('Data Transformation'!$B$24:$B$404='Bin Analysis and Plots'!$D$459,'Data Transformation'!$G$24:$G$404),'Bin Analysis and Plots'!F464))</f>
        <v>0</v>
      </c>
      <c r="H464">
        <f t="shared" si="57"/>
        <v>0</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t="str">
        <f>IF(Weighting!$O$9&gt;0,D465,"")</f>
        <v/>
      </c>
      <c r="D465" t="e">
        <f>Weighting!$B$9</f>
        <v>#DIV/0!</v>
      </c>
      <c r="E465" t="e">
        <f>Weighting!$E$9</f>
        <v>#NUM!</v>
      </c>
      <c r="F465" t="e">
        <f>IF(E465=1,'Data Transformation'!$G$3+0.5*'Data Transformation'!$U$25,IF(E466=1,F466-'Data Transformation'!$U$25,FALSE))</f>
        <v>#NUM!</v>
      </c>
      <c r="G465">
        <f t="array" ref="G465">IF(ISLOGICAL(F465),"",FREQUENCY(IF('Data Transformation'!$B$24:$B$404='Bin Analysis and Plots'!$D$459,'Data Transformation'!$G$24:$G$404),'Bin Analysis and Plots'!F465))</f>
        <v>0</v>
      </c>
      <c r="H465">
        <f t="shared" si="57"/>
        <v>0</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t="str">
        <f>IF(Weighting!$O$10&gt;0,D466,"")</f>
        <v/>
      </c>
      <c r="D466" t="e">
        <f>Weighting!$C$10</f>
        <v>#DIV/0!</v>
      </c>
      <c r="E466" t="e">
        <f>Weighting!$E$10</f>
        <v>#NUM!</v>
      </c>
      <c r="F466" t="e">
        <f>IF(E466=1,'Data Transformation'!$G$3+0.5*'Data Transformation'!$U$25,IF(E467=1,F467-'Data Transformation'!$U$25,FALSE))</f>
        <v>#NUM!</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t="str">
        <f>IF(Weighting!$O$11&gt;0,D467,"")</f>
        <v/>
      </c>
      <c r="D467" t="e">
        <f>Weighting!$C$11</f>
        <v>#DIV/0!</v>
      </c>
      <c r="E467" t="e">
        <f>Weighting!$E$11</f>
        <v>#NUM!</v>
      </c>
      <c r="F467" t="e">
        <f>IF(E467=1,'Data Transformation'!$G$3+0.5*'Data Transformation'!$U$25,IF(E468=1,F468-'Data Transformation'!$U$25,FALSE))</f>
        <v>#NUM!</v>
      </c>
      <c r="G467">
        <f t="array" ref="G467">IF(ISLOGICAL(F467),"",FREQUENCY(IF('Data Transformation'!$B$24:$B$404='Bin Analysis and Plots'!$D$459,'Data Transformation'!$G$24:$G$404),'Bin Analysis and Plots'!F467))</f>
        <v>0</v>
      </c>
      <c r="H467">
        <f t="shared" si="57"/>
        <v>0</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t="str">
        <f>IF(Weighting!$O$12&gt;0,D468,"")</f>
        <v/>
      </c>
      <c r="D468" t="e">
        <f>Weighting!$C$12</f>
        <v>#DIV/0!</v>
      </c>
      <c r="E468" t="e">
        <f>Weighting!$E$12</f>
        <v>#NUM!</v>
      </c>
      <c r="F468" t="e">
        <f>IF(E468=1,'Data Transformation'!$G$3+0.5*'Data Transformation'!$U$25,IF(E469=1,F469-'Data Transformation'!$U$25,FALSE))</f>
        <v>#NUM!</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t="e">
        <f>Weighting!$C$13</f>
        <v>#DIV/0!</v>
      </c>
      <c r="E469" t="e">
        <f>Weighting!$E$13</f>
        <v>#NUM!</v>
      </c>
      <c r="F469" t="e">
        <f>IF(E469=1,'Data Transformation'!$G$3+0.5*'Data Transformation'!$U$25,IF(E470=1,F470-'Data Transformation'!$U$25,FALSE))</f>
        <v>#NUM!</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t="e">
        <f>Weighting!$C$14</f>
        <v>#DIV/0!</v>
      </c>
      <c r="E470" t="e">
        <f>Weighting!$E$14</f>
        <v>#NUM!</v>
      </c>
      <c r="F470" t="e">
        <f>IF(E470=1,'Data Transformation'!$G$3+0.5*'Data Transformation'!$U$25,IF(E471=1,F471-'Data Transformation'!$U$25,FALSE))</f>
        <v>#NUM!</v>
      </c>
      <c r="G470">
        <f t="array" ref="G470">IF(ISLOGICAL(F470),"",FREQUENCY(IF('Data Transformation'!$B$24:$B$404='Bin Analysis and Plots'!$D$459,'Data Transformation'!$G$24:$G$404),'Bin Analysis and Plots'!F470))</f>
        <v>0</v>
      </c>
      <c r="H470">
        <f t="shared" si="57"/>
        <v>0</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t="e">
        <f>Weighting!$C$15</f>
        <v>#DIV/0!</v>
      </c>
      <c r="E471" t="e">
        <f>Weighting!$E$15</f>
        <v>#NUM!</v>
      </c>
      <c r="F471" t="e">
        <f>IF(E471=1,'Data Transformation'!$G$3+0.5*'Data Transformation'!$U$25,IF(E472=1,F472-'Data Transformation'!$U$25,FALSE))</f>
        <v>#NUM!</v>
      </c>
      <c r="G471">
        <f t="array" ref="G471">IF(ISLOGICAL(F471),"",FREQUENCY(IF('Data Transformation'!$B$24:$B$404='Bin Analysis and Plots'!$D$459,'Data Transformation'!$G$24:$G$404),'Bin Analysis and Plots'!F471))</f>
        <v>0</v>
      </c>
      <c r="H471">
        <f t="shared" si="57"/>
        <v>0</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t="e">
        <f>Weighting!$C$16</f>
        <v>#DIV/0!</v>
      </c>
      <c r="E472" t="e">
        <f>Weighting!$E$16</f>
        <v>#NUM!</v>
      </c>
      <c r="F472" t="e">
        <f>IF(E472=1,'Data Transformation'!$G$3+0.5*'Data Transformation'!$U$25,IF(E473=1,F473-'Data Transformation'!$U$25,FALSE))</f>
        <v>#NUM!</v>
      </c>
      <c r="G472">
        <f t="array" ref="G472">IF(ISLOGICAL(F472),"",FREQUENCY(IF('Data Transformation'!$B$24:$B$404='Bin Analysis and Plots'!$D$459,'Data Transformation'!$G$24:$G$404),'Bin Analysis and Plots'!F472))</f>
        <v>0</v>
      </c>
      <c r="H472">
        <f t="shared" si="57"/>
        <v>0</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t="e">
        <f>Weighting!$C$17</f>
        <v>#DIV/0!</v>
      </c>
      <c r="E473" t="e">
        <f>Weighting!$E$17</f>
        <v>#NUM!</v>
      </c>
      <c r="F473" t="e">
        <f>IF(E473=1,'Data Transformation'!$G$3+0.5*'Data Transformation'!$U$25,IF(E474=1,F474-'Data Transformation'!$U$25,FALSE))</f>
        <v>#NUM!</v>
      </c>
      <c r="G473">
        <f t="array" ref="G473">IF(ISLOGICAL(F473),"",FREQUENCY(IF('Data Transformation'!$B$24:$B$404='Bin Analysis and Plots'!$D$459,'Data Transformation'!$G$24:$G$404),'Bin Analysis and Plots'!F473))</f>
        <v>0</v>
      </c>
      <c r="H473">
        <f t="shared" si="57"/>
        <v>0</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t="e">
        <f>Weighting!$C$18</f>
        <v>#DIV/0!</v>
      </c>
      <c r="E474" t="e">
        <f>Weighting!$E$18</f>
        <v>#NUM!</v>
      </c>
      <c r="F474" t="e">
        <f>IF(E474=1,'Data Transformation'!$G$3+0.5*'Data Transformation'!$U$25,IF(E475=1,F475-'Data Transformation'!$U$25,FALSE))</f>
        <v>#NUM!</v>
      </c>
      <c r="G474">
        <f t="array" ref="G474">IF(ISLOGICAL(F474),"",FREQUENCY(IF('Data Transformation'!$B$24:$B$404='Bin Analysis and Plots'!$D$459,'Data Transformation'!$G$24:$G$404),'Bin Analysis and Plots'!F474))</f>
        <v>0</v>
      </c>
      <c r="H474">
        <f t="shared" si="57"/>
        <v>0</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t="e">
        <f>Weighting!$C$19</f>
        <v>#DIV/0!</v>
      </c>
      <c r="E475" t="e">
        <f>Weighting!$E$19</f>
        <v>#NUM!</v>
      </c>
      <c r="F475" t="e">
        <f>IF(E475=1,'Data Transformation'!$G$3+0.5*'Data Transformation'!$U$25,IF(E476=1,F476-'Data Transformation'!$U$25,FALSE))</f>
        <v>#NUM!</v>
      </c>
      <c r="G475">
        <f t="array" ref="G475">IF(ISLOGICAL(F475),"",FREQUENCY(IF('Data Transformation'!$B$24:$B$404='Bin Analysis and Plots'!$D$459,'Data Transformation'!$G$24:$G$404),'Bin Analysis and Plots'!F475))</f>
        <v>0</v>
      </c>
      <c r="H475">
        <f t="shared" si="57"/>
        <v>0</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t="e">
        <f>Weighting!$C$20</f>
        <v>#DIV/0!</v>
      </c>
      <c r="E476" t="e">
        <f>Weighting!$E$20</f>
        <v>#NUM!</v>
      </c>
      <c r="F476" t="e">
        <f>IF(E476=1,'Data Transformation'!$G$3+0.5*'Data Transformation'!$U$25,IF(E477=1,F477-'Data Transformation'!$U$25,FALSE))</f>
        <v>#NUM!</v>
      </c>
      <c r="G476">
        <f t="array" ref="G476">IF(ISLOGICAL(F476),"",FREQUENCY(IF('Data Transformation'!$B$24:$B$404='Bin Analysis and Plots'!$D$459,'Data Transformation'!$G$24:$G$404),'Bin Analysis and Plots'!F476))</f>
        <v>0</v>
      </c>
      <c r="H476">
        <f t="shared" si="57"/>
        <v>0</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t="e">
        <f>Weighting!$C$21</f>
        <v>#DIV/0!</v>
      </c>
      <c r="E477" t="e">
        <f>Weighting!$E$21</f>
        <v>#NUM!</v>
      </c>
      <c r="F477" t="e">
        <f>IF(E477=1,'Data Transformation'!$G$3+0.5*'Data Transformation'!$U$25,IF(E478=1,F478-'Data Transformation'!$U$25,FALSE))</f>
        <v>#NUM!</v>
      </c>
      <c r="G477">
        <f t="array" ref="G477">IF(ISLOGICAL(F477),"",FREQUENCY(IF('Data Transformation'!$B$24:$B$404='Bin Analysis and Plots'!$D$459,'Data Transformation'!$G$24:$G$404),'Bin Analysis and Plots'!F477))</f>
        <v>0</v>
      </c>
      <c r="H477">
        <f t="shared" si="57"/>
        <v>0</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t="e">
        <f>Weighting!$C$22</f>
        <v>#DIV/0!</v>
      </c>
      <c r="E478" t="e">
        <f>Weighting!$E$22</f>
        <v>#NUM!</v>
      </c>
      <c r="F478" t="e">
        <f>IF(E478=1,'Data Transformation'!$G$3+0.5*'Data Transformation'!$U$25,IF(E479=1,F479-'Data Transformation'!$U$25,FALSE))</f>
        <v>#NUM!</v>
      </c>
      <c r="G478">
        <f t="array" ref="G478">IF(ISLOGICAL(F478),"",FREQUENCY(IF('Data Transformation'!$B$24:$B$404='Bin Analysis and Plots'!$D$459,'Data Transformation'!$G$24:$G$404),'Bin Analysis and Plots'!F478))</f>
        <v>0</v>
      </c>
      <c r="H478">
        <f t="shared" si="57"/>
        <v>0</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t="e">
        <f>Weighting!$C$23</f>
        <v>#DIV/0!</v>
      </c>
      <c r="E479" t="e">
        <f>Weighting!$E$23</f>
        <v>#NUM!</v>
      </c>
      <c r="F479" t="e">
        <f>IF(E479=1,'Data Transformation'!$G$3+0.5*'Data Transformation'!$U$25,IF(E480=1,F480-'Data Transformation'!$U$25,FALSE))</f>
        <v>#NUM!</v>
      </c>
      <c r="G479">
        <f t="array" ref="G479">IF(ISLOGICAL(F479),"",FREQUENCY(IF('Data Transformation'!$B$24:$B$404='Bin Analysis and Plots'!$D$459,'Data Transformation'!$G$24:$G$404),'Bin Analysis and Plots'!F479))</f>
        <v>0</v>
      </c>
      <c r="H479">
        <f t="shared" si="57"/>
        <v>0</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t="e">
        <f>Weighting!$C$24</f>
        <v>#DIV/0!</v>
      </c>
      <c r="E480" t="e">
        <f>Weighting!$E$24</f>
        <v>#NUM!</v>
      </c>
      <c r="F480" t="e">
        <f>IF(E480=1,'Data Transformation'!$G$3+0.5*'Data Transformation'!$U$25,IF(E481=1,F481-'Data Transformation'!$U$25,FALSE))</f>
        <v>#NUM!</v>
      </c>
      <c r="G480">
        <f t="array" ref="G480">IF(ISLOGICAL(F480),"",FREQUENCY(IF('Data Transformation'!$B$24:$B$404='Bin Analysis and Plots'!$D$459,'Data Transformation'!$G$24:$G$404),'Bin Analysis and Plots'!F480))</f>
        <v>0</v>
      </c>
      <c r="H480">
        <f t="shared" si="57"/>
        <v>0</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b">
        <f t="array" ref="A481">IF(ISERROR(INDEX('Data Transformation'!$B$4:$G$450,SMALL(IF('Data Transformation'!$B$4:$B$450='Bin Analysis and Plots'!D459,ROW('Data Transformation'!$B$4:$B$450)),ROW($20:$20))-3,3)),"",INDEX('Data Transformation'!$B$4:$G$450,SMALL(IF('Data Transformation'!$B$4:$B$450='Bin Analysis and Plots'!D459,ROW('Data Transformation'!$B$4:$B$450)),ROW($20:$20))-3,6))</f>
        <v>0</v>
      </c>
      <c r="B481" s="29" t="str">
        <f>IFERROR(SMALL(A462:A481,'Data Transformation'!$L$25),"")</f>
        <v/>
      </c>
      <c r="C481" s="41" t="str">
        <f>IF(Weighting!$O$25&gt;0,D481,"")</f>
        <v/>
      </c>
      <c r="D481" t="e">
        <f>Weighting!$C$25</f>
        <v>#DIV/0!</v>
      </c>
      <c r="E481" t="e">
        <f>Weighting!$E$25</f>
        <v>#NUM!</v>
      </c>
      <c r="F481" t="e">
        <f>IF(E481=1,'Data Transformation'!$G$3+0.5*'Data Transformation'!$U$25,IF(E482=1,F482-'Data Transformation'!$U$25,FALSE))</f>
        <v>#NUM!</v>
      </c>
      <c r="G481">
        <f t="array" ref="G481">IF(ISLOGICAL(F481),"",FREQUENCY(IF('Data Transformation'!$B$24:$B$404='Bin Analysis and Plots'!$D$459,'Data Transformation'!$G$24:$G$404),'Bin Analysis and Plots'!F481))</f>
        <v>0</v>
      </c>
      <c r="H481">
        <f t="shared" si="57"/>
        <v>0</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2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2" t="s">
        <v>64</v>
      </c>
      <c r="B484" s="92"/>
      <c r="C484" s="14" t="s">
        <v>72</v>
      </c>
      <c r="D484" t="s">
        <v>50</v>
      </c>
      <c r="E484" t="s">
        <v>5</v>
      </c>
      <c r="I484" t="s">
        <v>75</v>
      </c>
      <c r="J484" t="s">
        <v>34</v>
      </c>
      <c r="K484" t="s">
        <v>35</v>
      </c>
      <c r="L484" t="s">
        <v>49</v>
      </c>
      <c r="M484" s="14" t="s">
        <v>48</v>
      </c>
      <c r="Z484" s="78">
        <v>0</v>
      </c>
      <c r="AA484" s="78">
        <v>0</v>
      </c>
    </row>
    <row r="485" spans="1:27">
      <c r="C485" s="41" t="str">
        <f>IF(B485="","",D485)</f>
        <v/>
      </c>
      <c r="F485" t="e">
        <f>IF(E485=1,'Data Transformation'!$G$3+0.5*'Data Transformation'!$U$25,IF(E486=1,F486-'Data Transformation'!$U$25,FALSE))</f>
        <v>#NUM!</v>
      </c>
      <c r="G485">
        <f t="array" ref="G485">IF(ISLOGICAL(F485),"",FREQUENCY(IF('Data Transformation'!$B$24:$B$404='Bin Analysis and Plots'!$D$483,'Data Transformation'!$G$24:$G$404),'Bin Analysis and Plots'!F485))</f>
        <v>0</v>
      </c>
      <c r="H485">
        <f>IF(ISLOGICAL(F485),"",G485-G484)</f>
        <v>0</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t="e">
        <f>IF(Weighting!$O$6&gt;0,D486,"")</f>
        <v>#NUM!</v>
      </c>
      <c r="D486" t="e">
        <f>Weighting!$C$6</f>
        <v>#DIV/0!</v>
      </c>
      <c r="E486" t="e">
        <f>Weighting!$E$6</f>
        <v>#NUM!</v>
      </c>
      <c r="F486" t="e">
        <f>IF(E486=1,'Data Transformation'!$G$3+0.5*'Data Transformation'!$U$25,IF(E487=1,F487-'Data Transformation'!$U$25,FALSE))</f>
        <v>#NUM!</v>
      </c>
      <c r="G486">
        <f t="array" ref="G486">IF(ISLOGICAL(F486),"",FREQUENCY(IF('Data Transformation'!$B$24:$B$404='Bin Analysis and Plots'!$D$483,'Data Transformation'!$G$24:$G$404),'Bin Analysis and Plots'!F486))</f>
        <v>0</v>
      </c>
      <c r="H486">
        <f>IF(ISLOGICAL(F486),"",G486-G485)</f>
        <v>0</v>
      </c>
      <c r="I486">
        <f>Weighting!$G$6</f>
        <v>1</v>
      </c>
      <c r="J486">
        <f t="array" ref="J486">FREQUENCY(IF('Data Transformation'!$B$4:$B$404=D483,'Data Transformation'!$G$4:$G$404),'Bin Analysis and Plots'!$D486)</f>
        <v>0</v>
      </c>
      <c r="K486">
        <f>J486-J485</f>
        <v>0</v>
      </c>
      <c r="L486">
        <f>IF(K486=0,0,1)</f>
        <v>0</v>
      </c>
      <c r="M486" t="e">
        <f>L486*Weighting!$V$6</f>
        <v>#NUM!</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t="str">
        <f>IF(Weighting!$O$7&gt;0,D487,"")</f>
        <v/>
      </c>
      <c r="D487" t="e">
        <f>Weighting!$C$7</f>
        <v>#DIV/0!</v>
      </c>
      <c r="E487" t="e">
        <f>Weighting!$E$7</f>
        <v>#NUM!</v>
      </c>
      <c r="F487" t="e">
        <f>IF(E487=1,'Data Transformation'!$G$3+0.5*'Data Transformation'!$U$25,IF(E488=1,F488-'Data Transformation'!$U$25,FALSE))</f>
        <v>#NUM!</v>
      </c>
      <c r="G487">
        <f t="array" ref="G487">IF(ISLOGICAL(F487),"",FREQUENCY(IF('Data Transformation'!$B$24:$B$404='Bin Analysis and Plots'!$D$483,'Data Transformation'!$G$24:$G$404),'Bin Analysis and Plots'!F487))</f>
        <v>0</v>
      </c>
      <c r="H487">
        <f t="shared" ref="H487:H505" si="60">IF(ISLOGICAL(F487),"",G487-G486)</f>
        <v>0</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t="str">
        <f>IF(Weighting!$O$8&gt;0,D488,"")</f>
        <v/>
      </c>
      <c r="D488" t="e">
        <f>Weighting!$C$8</f>
        <v>#DIV/0!</v>
      </c>
      <c r="E488" t="e">
        <f>Weighting!$E$8</f>
        <v>#NUM!</v>
      </c>
      <c r="F488" t="e">
        <f>IF(E488=1,'Data Transformation'!$G$3+0.5*'Data Transformation'!$U$25,IF(E489=1,F489-'Data Transformation'!$U$25,FALSE))</f>
        <v>#NUM!</v>
      </c>
      <c r="G488">
        <f t="array" ref="G488">IF(ISLOGICAL(F488),"",FREQUENCY(IF('Data Transformation'!$B$24:$B$404='Bin Analysis and Plots'!$D$483,'Data Transformation'!$G$24:$G$404),'Bin Analysis and Plots'!F488))</f>
        <v>0</v>
      </c>
      <c r="H488">
        <f t="shared" si="60"/>
        <v>0</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t="str">
        <f>IF(Weighting!$O$9&gt;0,D489,"")</f>
        <v/>
      </c>
      <c r="D489" t="e">
        <f>Weighting!$B$9</f>
        <v>#DIV/0!</v>
      </c>
      <c r="E489" t="e">
        <f>Weighting!$E$9</f>
        <v>#NUM!</v>
      </c>
      <c r="F489" t="e">
        <f>IF(E489=1,'Data Transformation'!$G$3+0.5*'Data Transformation'!$U$25,IF(E490=1,F490-'Data Transformation'!$U$25,FALSE))</f>
        <v>#NUM!</v>
      </c>
      <c r="G489">
        <f t="array" ref="G489">IF(ISLOGICAL(F489),"",FREQUENCY(IF('Data Transformation'!$B$24:$B$404='Bin Analysis and Plots'!$D$483,'Data Transformation'!$G$24:$G$404),'Bin Analysis and Plots'!F489))</f>
        <v>0</v>
      </c>
      <c r="H489">
        <f t="shared" si="60"/>
        <v>0</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t="str">
        <f>IF(Weighting!$O$10&gt;0,D490,"")</f>
        <v/>
      </c>
      <c r="D490" t="e">
        <f>Weighting!$C$10</f>
        <v>#DIV/0!</v>
      </c>
      <c r="E490" t="e">
        <f>Weighting!$E$10</f>
        <v>#NUM!</v>
      </c>
      <c r="F490" t="e">
        <f>IF(E490=1,'Data Transformation'!$G$3+0.5*'Data Transformation'!$U$25,IF(E491=1,F491-'Data Transformation'!$U$25,FALSE))</f>
        <v>#NUM!</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t="str">
        <f>IF(Weighting!$O$11&gt;0,D491,"")</f>
        <v/>
      </c>
      <c r="D491" t="e">
        <f>Weighting!$C$11</f>
        <v>#DIV/0!</v>
      </c>
      <c r="E491" t="e">
        <f>Weighting!$E$11</f>
        <v>#NUM!</v>
      </c>
      <c r="F491" t="e">
        <f>IF(E491=1,'Data Transformation'!$G$3+0.5*'Data Transformation'!$U$25,IF(E492=1,F492-'Data Transformation'!$U$25,FALSE))</f>
        <v>#NUM!</v>
      </c>
      <c r="G491">
        <f t="array" ref="G491">IF(ISLOGICAL(F491),"",FREQUENCY(IF('Data Transformation'!$B$24:$B$404='Bin Analysis and Plots'!$D$483,'Data Transformation'!$G$24:$G$404),'Bin Analysis and Plots'!F491))</f>
        <v>0</v>
      </c>
      <c r="H491">
        <f t="shared" si="60"/>
        <v>0</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t="str">
        <f>IF(Weighting!$O$12&gt;0,D492,"")</f>
        <v/>
      </c>
      <c r="D492" t="e">
        <f>Weighting!$C$12</f>
        <v>#DIV/0!</v>
      </c>
      <c r="E492" t="e">
        <f>Weighting!$E$12</f>
        <v>#NUM!</v>
      </c>
      <c r="F492" t="e">
        <f>IF(E492=1,'Data Transformation'!$G$3+0.5*'Data Transformation'!$U$25,IF(E493=1,F493-'Data Transformation'!$U$25,FALSE))</f>
        <v>#NUM!</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t="e">
        <f>Weighting!$C$13</f>
        <v>#DIV/0!</v>
      </c>
      <c r="E493" t="e">
        <f>Weighting!$E$13</f>
        <v>#NUM!</v>
      </c>
      <c r="F493" t="e">
        <f>IF(E493=1,'Data Transformation'!$G$3+0.5*'Data Transformation'!$U$25,IF(E494=1,F494-'Data Transformation'!$U$25,FALSE))</f>
        <v>#NUM!</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t="e">
        <f>Weighting!$C$14</f>
        <v>#DIV/0!</v>
      </c>
      <c r="E494" t="e">
        <f>Weighting!$E$14</f>
        <v>#NUM!</v>
      </c>
      <c r="F494" t="e">
        <f>IF(E494=1,'Data Transformation'!$G$3+0.5*'Data Transformation'!$U$25,IF(E495=1,F495-'Data Transformation'!$U$25,FALSE))</f>
        <v>#NUM!</v>
      </c>
      <c r="G494">
        <f t="array" ref="G494">IF(ISLOGICAL(F494),"",FREQUENCY(IF('Data Transformation'!$B$24:$B$404='Bin Analysis and Plots'!$D$483,'Data Transformation'!$G$24:$G$404),'Bin Analysis and Plots'!F494))</f>
        <v>0</v>
      </c>
      <c r="H494">
        <f t="shared" si="60"/>
        <v>0</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t="e">
        <f>Weighting!$C$15</f>
        <v>#DIV/0!</v>
      </c>
      <c r="E495" t="e">
        <f>Weighting!$E$15</f>
        <v>#NUM!</v>
      </c>
      <c r="F495" t="e">
        <f>IF(E495=1,'Data Transformation'!$G$3+0.5*'Data Transformation'!$U$25,IF(E496=1,F496-'Data Transformation'!$U$25,FALSE))</f>
        <v>#NUM!</v>
      </c>
      <c r="G495">
        <f t="array" ref="G495">IF(ISLOGICAL(F495),"",FREQUENCY(IF('Data Transformation'!$B$24:$B$404='Bin Analysis and Plots'!$D$483,'Data Transformation'!$G$24:$G$404),'Bin Analysis and Plots'!F495))</f>
        <v>0</v>
      </c>
      <c r="H495">
        <f t="shared" si="60"/>
        <v>0</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t="e">
        <f>Weighting!$C$16</f>
        <v>#DIV/0!</v>
      </c>
      <c r="E496" t="e">
        <f>Weighting!$E$16</f>
        <v>#NUM!</v>
      </c>
      <c r="F496" t="e">
        <f>IF(E496=1,'Data Transformation'!$G$3+0.5*'Data Transformation'!$U$25,IF(E497=1,F497-'Data Transformation'!$U$25,FALSE))</f>
        <v>#NUM!</v>
      </c>
      <c r="G496">
        <f t="array" ref="G496">IF(ISLOGICAL(F496),"",FREQUENCY(IF('Data Transformation'!$B$24:$B$404='Bin Analysis and Plots'!$D$483,'Data Transformation'!$G$24:$G$404),'Bin Analysis and Plots'!F496))</f>
        <v>0</v>
      </c>
      <c r="H496">
        <f t="shared" si="60"/>
        <v>0</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t="e">
        <f>Weighting!$C$17</f>
        <v>#DIV/0!</v>
      </c>
      <c r="E497" t="e">
        <f>Weighting!$E$17</f>
        <v>#NUM!</v>
      </c>
      <c r="F497" t="e">
        <f>IF(E497=1,'Data Transformation'!$G$3+0.5*'Data Transformation'!$U$25,IF(E498=1,F498-'Data Transformation'!$U$25,FALSE))</f>
        <v>#NUM!</v>
      </c>
      <c r="G497">
        <f t="array" ref="G497">IF(ISLOGICAL(F497),"",FREQUENCY(IF('Data Transformation'!$B$24:$B$404='Bin Analysis and Plots'!$D$483,'Data Transformation'!$G$24:$G$404),'Bin Analysis and Plots'!F497))</f>
        <v>0</v>
      </c>
      <c r="H497">
        <f t="shared" si="60"/>
        <v>0</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t="e">
        <f>Weighting!$C$18</f>
        <v>#DIV/0!</v>
      </c>
      <c r="E498" t="e">
        <f>Weighting!$E$18</f>
        <v>#NUM!</v>
      </c>
      <c r="F498" t="e">
        <f>IF(E498=1,'Data Transformation'!$G$3+0.5*'Data Transformation'!$U$25,IF(E499=1,F499-'Data Transformation'!$U$25,FALSE))</f>
        <v>#NUM!</v>
      </c>
      <c r="G498">
        <f t="array" ref="G498">IF(ISLOGICAL(F498),"",FREQUENCY(IF('Data Transformation'!$B$24:$B$404='Bin Analysis and Plots'!$D$483,'Data Transformation'!$G$24:$G$404),'Bin Analysis and Plots'!F498))</f>
        <v>0</v>
      </c>
      <c r="H498">
        <f t="shared" si="60"/>
        <v>0</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t="e">
        <f>Weighting!$C$19</f>
        <v>#DIV/0!</v>
      </c>
      <c r="E499" t="e">
        <f>Weighting!$E$19</f>
        <v>#NUM!</v>
      </c>
      <c r="F499" t="e">
        <f>IF(E499=1,'Data Transformation'!$G$3+0.5*'Data Transformation'!$U$25,IF(E500=1,F500-'Data Transformation'!$U$25,FALSE))</f>
        <v>#NUM!</v>
      </c>
      <c r="G499">
        <f t="array" ref="G499">IF(ISLOGICAL(F499),"",FREQUENCY(IF('Data Transformation'!$B$24:$B$404='Bin Analysis and Plots'!$D$483,'Data Transformation'!$G$24:$G$404),'Bin Analysis and Plots'!F499))</f>
        <v>0</v>
      </c>
      <c r="H499">
        <f t="shared" si="60"/>
        <v>0</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t="e">
        <f>Weighting!$C$20</f>
        <v>#DIV/0!</v>
      </c>
      <c r="E500" t="e">
        <f>Weighting!$E$20</f>
        <v>#NUM!</v>
      </c>
      <c r="F500" t="e">
        <f>IF(E500=1,'Data Transformation'!$G$3+0.5*'Data Transformation'!$U$25,IF(E501=1,F501-'Data Transformation'!$U$25,FALSE))</f>
        <v>#NUM!</v>
      </c>
      <c r="G500">
        <f t="array" ref="G500">IF(ISLOGICAL(F500),"",FREQUENCY(IF('Data Transformation'!$B$24:$B$404='Bin Analysis and Plots'!$D$483,'Data Transformation'!$G$24:$G$404),'Bin Analysis and Plots'!F500))</f>
        <v>0</v>
      </c>
      <c r="H500">
        <f t="shared" si="60"/>
        <v>0</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t="e">
        <f>Weighting!$C$21</f>
        <v>#DIV/0!</v>
      </c>
      <c r="E501" t="e">
        <f>Weighting!$E$21</f>
        <v>#NUM!</v>
      </c>
      <c r="F501" t="e">
        <f>IF(E501=1,'Data Transformation'!$G$3+0.5*'Data Transformation'!$U$25,IF(E502=1,F502-'Data Transformation'!$U$25,FALSE))</f>
        <v>#NUM!</v>
      </c>
      <c r="G501">
        <f t="array" ref="G501">IF(ISLOGICAL(F501),"",FREQUENCY(IF('Data Transformation'!$B$24:$B$404='Bin Analysis and Plots'!$D$483,'Data Transformation'!$G$24:$G$404),'Bin Analysis and Plots'!F501))</f>
        <v>0</v>
      </c>
      <c r="H501">
        <f t="shared" si="60"/>
        <v>0</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t="e">
        <f>Weighting!$C$22</f>
        <v>#DIV/0!</v>
      </c>
      <c r="E502" t="e">
        <f>Weighting!$E$22</f>
        <v>#NUM!</v>
      </c>
      <c r="F502" t="e">
        <f>IF(E502=1,'Data Transformation'!$G$3+0.5*'Data Transformation'!$U$25,IF(E503=1,F503-'Data Transformation'!$U$25,FALSE))</f>
        <v>#NUM!</v>
      </c>
      <c r="G502">
        <f t="array" ref="G502">IF(ISLOGICAL(F502),"",FREQUENCY(IF('Data Transformation'!$B$24:$B$404='Bin Analysis and Plots'!$D$483,'Data Transformation'!$G$24:$G$404),'Bin Analysis and Plots'!F502))</f>
        <v>0</v>
      </c>
      <c r="H502">
        <f t="shared" si="60"/>
        <v>0</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t="e">
        <f>Weighting!$C$23</f>
        <v>#DIV/0!</v>
      </c>
      <c r="E503" t="e">
        <f>Weighting!$E$23</f>
        <v>#NUM!</v>
      </c>
      <c r="F503" t="e">
        <f>IF(E503=1,'Data Transformation'!$G$3+0.5*'Data Transformation'!$U$25,IF(E504=1,F504-'Data Transformation'!$U$25,FALSE))</f>
        <v>#NUM!</v>
      </c>
      <c r="G503">
        <f t="array" ref="G503">IF(ISLOGICAL(F503),"",FREQUENCY(IF('Data Transformation'!$B$24:$B$404='Bin Analysis and Plots'!$D$483,'Data Transformation'!$G$24:$G$404),'Bin Analysis and Plots'!F503))</f>
        <v>0</v>
      </c>
      <c r="H503">
        <f t="shared" si="60"/>
        <v>0</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t="e">
        <f>Weighting!$C$24</f>
        <v>#DIV/0!</v>
      </c>
      <c r="E504" t="e">
        <f>Weighting!$E$24</f>
        <v>#NUM!</v>
      </c>
      <c r="F504" t="e">
        <f>IF(E504=1,'Data Transformation'!$G$3+0.5*'Data Transformation'!$U$25,IF(E505=1,F505-'Data Transformation'!$U$25,FALSE))</f>
        <v>#NUM!</v>
      </c>
      <c r="G504">
        <f t="array" ref="G504">IF(ISLOGICAL(F504),"",FREQUENCY(IF('Data Transformation'!$B$24:$B$404='Bin Analysis and Plots'!$D$483,'Data Transformation'!$G$24:$G$404),'Bin Analysis and Plots'!F504))</f>
        <v>0</v>
      </c>
      <c r="H504">
        <f t="shared" si="60"/>
        <v>0</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b">
        <f t="array" ref="A505">IF(ISERROR(INDEX('Data Transformation'!$B$4:$G$450,SMALL(IF('Data Transformation'!$B$4:$B$450='Bin Analysis and Plots'!D483,ROW('Data Transformation'!$B$4:$B$450)),ROW($20:$20))-3,3)),"",INDEX('Data Transformation'!$B$4:$G$450,SMALL(IF('Data Transformation'!$B$4:$B$450='Bin Analysis and Plots'!D483,ROW('Data Transformation'!$B$4:$B$450)),ROW($20:$20))-3,6))</f>
        <v>0</v>
      </c>
      <c r="B505" s="29" t="str">
        <f>IFERROR(SMALL(A486:A505,'Data Transformation'!$L$25),"")</f>
        <v/>
      </c>
      <c r="C505" s="41" t="str">
        <f>IF(Weighting!$O$25&gt;0,D505,"")</f>
        <v/>
      </c>
      <c r="D505" t="e">
        <f>Weighting!$C$25</f>
        <v>#DIV/0!</v>
      </c>
      <c r="E505" t="e">
        <f>Weighting!$E$25</f>
        <v>#NUM!</v>
      </c>
      <c r="F505" t="e">
        <f>IF(E505=1,'Data Transformation'!$G$3+0.5*'Data Transformation'!$U$25,IF(E506=1,F506-'Data Transformation'!$U$25,FALSE))</f>
        <v>#NUM!</v>
      </c>
      <c r="G505">
        <f t="array" ref="G505">IF(ISLOGICAL(F505),"",FREQUENCY(IF('Data Transformation'!$B$24:$B$404='Bin Analysis and Plots'!$D$483,'Data Transformation'!$G$24:$G$404),'Bin Analysis and Plots'!F505))</f>
        <v>0</v>
      </c>
      <c r="H505">
        <f t="shared" si="60"/>
        <v>0</v>
      </c>
      <c r="I505">
        <f>Weighting!$G$25</f>
        <v>0</v>
      </c>
      <c r="J505">
        <f t="array" ref="J505">FREQUENCY(IF('Data Transformation'!$B$4:$B$404=D483,'Data Transformation'!$G$4:$G$404),'Bin Analysis and Plots'!$D505)</f>
        <v>0</v>
      </c>
      <c r="K505">
        <f t="shared" si="61"/>
        <v>0</v>
      </c>
      <c r="L505">
        <f t="shared" si="62"/>
        <v>0</v>
      </c>
      <c r="M505">
        <f>L505*Weighting!$V$25</f>
        <v>0</v>
      </c>
    </row>
    <row r="507" spans="1:27" ht="23.25">
      <c r="P507" s="36"/>
      <c r="Z507" s="78"/>
      <c r="AA507" s="78"/>
    </row>
    <row r="508" spans="1:27" ht="21">
      <c r="Z508" s="78"/>
      <c r="AA508" s="78"/>
    </row>
    <row r="531" spans="16:27" ht="23.25">
      <c r="P531" s="36"/>
      <c r="Z531" s="78"/>
      <c r="AA531" s="78"/>
    </row>
    <row r="532" spans="16:27" ht="21">
      <c r="Z532" s="78"/>
      <c r="AA532" s="78"/>
    </row>
    <row r="555" spans="16:27" ht="23.25">
      <c r="P555" s="36"/>
      <c r="Z555" s="78"/>
      <c r="AA555" s="78"/>
    </row>
    <row r="556" spans="16:27" ht="21">
      <c r="Z556" s="78"/>
      <c r="AA556" s="78"/>
    </row>
    <row r="579" spans="16:27" ht="23.25">
      <c r="P579" s="36"/>
      <c r="Z579" s="78"/>
      <c r="AA579" s="78"/>
    </row>
    <row r="580" spans="16:27" ht="21">
      <c r="Z580" s="78"/>
      <c r="AA580" s="78"/>
    </row>
    <row r="603" spans="16:27" ht="23.25">
      <c r="P603" s="36"/>
      <c r="Z603" s="78"/>
      <c r="AA603" s="78"/>
    </row>
    <row r="604" spans="16:27" ht="21">
      <c r="Z604" s="78"/>
      <c r="AA604" s="78"/>
    </row>
    <row r="627" spans="16:16" ht="23.25">
      <c r="P627" s="36"/>
    </row>
    <row r="651" spans="16:16" ht="23.25">
      <c r="P651" s="36"/>
    </row>
    <row r="675" spans="16:16" ht="23.25">
      <c r="P675" s="36"/>
    </row>
    <row r="699" spans="16:16" ht="23.25">
      <c r="P699" s="36"/>
    </row>
    <row r="723" spans="16:16" ht="23.25">
      <c r="P723" s="36"/>
    </row>
    <row r="747" spans="16:16" ht="23.25">
      <c r="P747" s="36"/>
    </row>
    <row r="771" spans="16:16" ht="23.25">
      <c r="P771" s="36"/>
    </row>
  </sheetData>
  <mergeCells count="21">
    <mergeCell ref="A436:B436"/>
    <mergeCell ref="A460:B460"/>
    <mergeCell ref="A484:B484"/>
    <mergeCell ref="A316:B316"/>
    <mergeCell ref="A340:B340"/>
    <mergeCell ref="A364:B364"/>
    <mergeCell ref="A388:B388"/>
    <mergeCell ref="A412:B412"/>
    <mergeCell ref="A196:B196"/>
    <mergeCell ref="A220:B220"/>
    <mergeCell ref="A244:B244"/>
    <mergeCell ref="A268:B268"/>
    <mergeCell ref="A292:B292"/>
    <mergeCell ref="A100:B100"/>
    <mergeCell ref="A124:B124"/>
    <mergeCell ref="A148:B148"/>
    <mergeCell ref="A172:B172"/>
    <mergeCell ref="Q1:T1"/>
    <mergeCell ref="A52:B52"/>
    <mergeCell ref="A28:B28"/>
    <mergeCell ref="A76:B76"/>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75"/>
  <cols>
    <col min="9" max="9" width="16.25" bestFit="1" customWidth="1"/>
    <col min="10" max="10" width="20.5" bestFit="1" customWidth="1"/>
    <col min="11" max="11" width="8.875" style="14"/>
    <col min="12" max="12" width="16.375" style="14" bestFit="1" customWidth="1"/>
    <col min="13" max="13" width="8.875" style="67"/>
    <col min="19" max="19" width="9.125" bestFit="1" customWidth="1"/>
    <col min="20" max="20" width="10.5" bestFit="1" customWidth="1"/>
    <col min="21" max="21" width="8.875" style="69"/>
    <col min="22" max="22" width="15" bestFit="1" customWidth="1"/>
    <col min="23" max="23" width="16" bestFit="1" customWidth="1"/>
    <col min="25" max="25" width="16.125" bestFit="1" customWidth="1"/>
    <col min="29" max="29" width="14.875" bestFit="1" customWidth="1"/>
    <col min="30" max="30" width="17.75" customWidth="1"/>
  </cols>
  <sheetData>
    <row r="2" spans="2:31">
      <c r="D2" s="94"/>
      <c r="E2" s="94"/>
      <c r="F2" s="94"/>
      <c r="G2" s="94"/>
      <c r="H2" s="94"/>
      <c r="I2" s="94"/>
      <c r="N2" t="s">
        <v>134</v>
      </c>
    </row>
    <row r="3" spans="2:31" ht="16.5" thickBot="1">
      <c r="D3" s="92" t="s">
        <v>52</v>
      </c>
      <c r="E3" s="92"/>
      <c r="F3" s="92"/>
      <c r="G3" s="92"/>
      <c r="H3" s="92"/>
      <c r="I3" s="92"/>
      <c r="N3">
        <v>1</v>
      </c>
      <c r="O3">
        <v>4</v>
      </c>
      <c r="P3">
        <v>2</v>
      </c>
      <c r="Q3">
        <v>4</v>
      </c>
      <c r="R3">
        <v>1</v>
      </c>
      <c r="S3">
        <v>1</v>
      </c>
      <c r="T3">
        <v>3</v>
      </c>
      <c r="X3" s="92"/>
      <c r="Y3" s="92"/>
      <c r="Z3" s="92"/>
      <c r="AA3" s="92"/>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106</v>
      </c>
      <c r="L4" s="14" t="s">
        <v>107</v>
      </c>
      <c r="N4" t="s">
        <v>53</v>
      </c>
      <c r="O4" t="s">
        <v>136</v>
      </c>
      <c r="P4" t="s">
        <v>135</v>
      </c>
      <c r="Q4" t="s">
        <v>108</v>
      </c>
      <c r="R4" t="s">
        <v>56</v>
      </c>
      <c r="S4" t="s">
        <v>105</v>
      </c>
      <c r="T4" t="s">
        <v>137</v>
      </c>
      <c r="W4" t="s">
        <v>118</v>
      </c>
      <c r="X4" t="s">
        <v>117</v>
      </c>
    </row>
    <row r="5" spans="2:31">
      <c r="B5" s="62" t="str">
        <v>all</v>
      </c>
      <c r="C5" s="58" t="b">
        <v>0</v>
      </c>
      <c r="D5" s="58">
        <v>0</v>
      </c>
      <c r="E5" s="58" t="e">
        <v>#N/A</v>
      </c>
      <c r="F5" s="58" t="e">
        <v>#N/A</v>
      </c>
      <c r="G5" s="58" t="e">
        <v>#N/A</v>
      </c>
      <c r="H5" s="58" t="e">
        <v>#N/A</v>
      </c>
      <c r="I5" s="63" t="e">
        <v>#N/A</v>
      </c>
      <c r="K5" s="80" t="str">
        <f>IFERROR(AVERAGEIF('Data Transformation'!$B$24:$B$404,"&gt;=0",IF('Input and Summary Results'!$J$4="no",'Data Transformation'!$C$24:$C$404,'Data Transformation'!$E$24:$E$404)),"")</f>
        <v/>
      </c>
      <c r="L5" s="14" t="str" cm="1">
        <f t="array" ref="L5">IFERROR(_xlfn.STDEV.S(IF('Data Transformation'!$B$24:$B$404&gt;=0,IF('Input and Summary Results'!$J$4="no",'Data Transformation'!$C$24:$C$404,'Data Transformation'!$E$24:$E$404),"")),"")</f>
        <v/>
      </c>
      <c r="Z5" t="s">
        <v>132</v>
      </c>
      <c r="AA5" t="s">
        <v>133</v>
      </c>
      <c r="AC5" t="s">
        <v>138</v>
      </c>
      <c r="AD5" t="s">
        <v>139</v>
      </c>
    </row>
    <row r="6" spans="2:31">
      <c r="B6" s="62" t="str">
        <v xml:space="preserve"> </v>
      </c>
      <c r="C6" s="58" t="str">
        <v xml:space="preserve"> </v>
      </c>
      <c r="D6" s="58" t="str">
        <v xml:space="preserve"> </v>
      </c>
      <c r="E6" s="58" t="str">
        <v xml:space="preserve"> </v>
      </c>
      <c r="F6" s="58" t="str">
        <v xml:space="preserve"> </v>
      </c>
      <c r="G6" s="58" t="str">
        <v xml:space="preserve"> </v>
      </c>
      <c r="H6" s="58" t="str">
        <v xml:space="preserve"> </v>
      </c>
      <c r="I6" s="63" t="str">
        <v xml:space="preserve"> </v>
      </c>
      <c r="K6" s="80" t="str">
        <f>IFERROR(AVERAGEIF('Data Transformation'!$B$24:$B$404,B6,IF('Input and Summary Results'!$J$4="no",'Data Transformation'!$C$24:$C$404,'Data Transformation'!$E$24:$E$404)),"")</f>
        <v/>
      </c>
      <c r="L6" s="14" t="str" cm="1">
        <f t="array" ref="L6">IFERROR(_xlfn.STDEV.S(IF('Data Transformation'!$B$24:$B$404=B6,IF('Input and Summary Results'!$J$4="no",'Data Transformation'!$C$24:$C$404,'Data Transformation'!$E$24:$E$404),"")),"")</f>
        <v/>
      </c>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xml:space="preserve"> </v>
      </c>
      <c r="S6" t="str">
        <f>IF(D6&gt;='Data Transformation'!$R$31,B6,"")</f>
        <v xml:space="preserve"> </v>
      </c>
      <c r="T6" t="str">
        <f>IF(AND(H6&lt;'Data Transformation'!$R$30,E6&lt;'Data Transformation'!$R$29,G6&lt;'Data Transformation'!$R$28,G6&lt;0.3,D6&lt;'Data Transformation'!$R$31,E6&gt;0.4,H6&gt;0.4),B6,"")</f>
        <v/>
      </c>
      <c r="V6" t="str" cm="1">
        <f t="array" ref="V6">IF(C6=FALSE,"",(IF(AND(ISNUMBER(B6),ISBLANK(N6:T6)),"Unclassified",IF(COUNT(N6:T6)=0,"",INDEX($N$4:$T$4,MATCH(TRUE,N6:T6=B6,0))))))</f>
        <v/>
      </c>
      <c r="W6" t="str">
        <f>IF(COUNT(N6:T6)&gt;1,"True","")</f>
        <v/>
      </c>
      <c r="X6" t="str">
        <f>IF(AND(D6&gt;0.8,G6&gt;0.5,ISNUMBER(B6)),"True","")</f>
        <v/>
      </c>
      <c r="Z6" t="s">
        <v>53</v>
      </c>
      <c r="AA6">
        <f>COUNTIF(V:V,Z6)</f>
        <v>0</v>
      </c>
      <c r="AC6" t="b">
        <f>IF(AND(H6&gt;0.35,G6&lt;0.35,E6&gt;0.35,T6="",R6="",P6="",N6="",S6=""),TRUE,FALSE)</f>
        <v>0</v>
      </c>
      <c r="AD6" t="str">
        <f>IFERROR(ABS(ABS(K6-'Data Transformation'!$R$6)-ABS(K6-'Data Transformation'!$R$5)),"")</f>
        <v/>
      </c>
      <c r="AE6" t="b">
        <f>IF(C6=FALSE,"",IF(AND(OR(V6=$Z$7,V6=$Z$9),OR(AC6=TRUE,AD6&lt;='Data Transformation'!$X$9)),TRUE,FALSE))</f>
        <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136</v>
      </c>
      <c r="AA7">
        <f>COUNTIF(V:V,Z7)</f>
        <v>0</v>
      </c>
      <c r="AC7" t="b">
        <f t="shared" ref="AC7:AC24" si="2">IF(AND(H7&gt;0.35,G7&lt;0.35,E7&gt;0.35,T7="",R7="",P7="",N7="",S7=""),TRUE,FALSE)</f>
        <v>0</v>
      </c>
      <c r="AD7" t="str">
        <f>IFERROR(ABS(ABS(K7-'Data Transformation'!$R$6)-ABS(K7-'Data Transformation'!$R$5)),"")</f>
        <v/>
      </c>
      <c r="AE7" t="b">
        <f>IF(C7=FALSE,"",IF(AND(OR(V7=$Z$7,V7=$Z$9),OR(AC7=TRUE,AD7&lt;='Data Transformation'!$X$9)),TRUE,FALSE))</f>
        <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135</v>
      </c>
      <c r="AA8">
        <f t="shared" ref="AA8:AA9" si="3">COUNTIF(V:V,Z8)</f>
        <v>0</v>
      </c>
      <c r="AC8" t="b">
        <f t="shared" si="2"/>
        <v>0</v>
      </c>
      <c r="AD8" t="str">
        <f>IFERROR(ABS(ABS(K8-'Data Transformation'!$R$6)-ABS(K8-'Data Transformation'!$R$5)),"")</f>
        <v/>
      </c>
      <c r="AE8" t="b">
        <f>IF(C8=FALSE,"",IF(AND(OR(V8=$Z$7,V8=$Z$9),OR(AC8=TRUE,AD8&lt;='Data Transformation'!$X$9)),TRUE,FALSE))</f>
        <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108</v>
      </c>
      <c r="AA9">
        <f t="shared" si="3"/>
        <v>0</v>
      </c>
      <c r="AC9" t="b">
        <f t="shared" si="2"/>
        <v>0</v>
      </c>
      <c r="AD9" t="str">
        <f>IFERROR(ABS(ABS(K9-'Data Transformation'!$R$6)-ABS(K9-'Data Transformation'!$R$5)),"")</f>
        <v/>
      </c>
      <c r="AE9" t="b">
        <f>IF(C9=FALSE,"",IF(AND(OR(V9=$Z$7,V9=$Z$9),OR(AC9=TRUE,AD9&lt;='Data Transformation'!$X$9)),TRUE,FALSE))</f>
        <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b">
        <f>IF(C10=FALSE,"",IF(AND(OR(V10=$Z$7,V10=$Z$9),OR(AC10=TRUE,AD10&lt;='Data Transformation'!$X$9)),TRUE,FALSE))</f>
        <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137</v>
      </c>
      <c r="AA11">
        <f t="shared" si="4"/>
        <v>0</v>
      </c>
      <c r="AC11" t="b">
        <f t="shared" si="2"/>
        <v>0</v>
      </c>
      <c r="AD11" t="str">
        <f>IFERROR(ABS(ABS(K11-'Data Transformation'!$R$6)-ABS(K11-'Data Transformation'!$R$5)),"")</f>
        <v/>
      </c>
      <c r="AE11" t="b">
        <f>IF(C11=FALSE,"",IF(AND(OR(V11=$Z$7,V11=$Z$9),OR(AC11=TRUE,AD11&lt;='Data Transformation'!$X$9)),TRUE,FALSE))</f>
        <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105</v>
      </c>
      <c r="AA12">
        <f t="shared" ref="AA12" si="5">COUNTIF(V:V,Z12)</f>
        <v>0</v>
      </c>
      <c r="AC12" t="b">
        <f t="shared" si="2"/>
        <v>0</v>
      </c>
      <c r="AD12" t="str">
        <f>IFERROR(ABS(ABS(K12-'Data Transformation'!$R$6)-ABS(K12-'Data Transformation'!$R$5)),"")</f>
        <v/>
      </c>
      <c r="AE12" t="b">
        <f>IF(C12=FALSE,"",IF(AND(OR(V12=$Z$7,V12=$Z$9),OR(AC12=TRUE,AD12&lt;='Data Transformation'!$X$9)),TRUE,FALSE))</f>
        <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b">
        <f>IF(C13=FALSE,"",IF(AND(OR(V13=$Z$7,V13=$Z$9),OR(AC13=TRUE,AD13&lt;='Data Transformation'!$X$9)),TRUE,FALSE))</f>
        <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b">
        <f>IF(C14=FALSE,"",IF(AND(OR(V14=$Z$7,V14=$Z$9),OR(AC14=TRUE,AD14&lt;='Data Transformation'!$X$9)),TRUE,FALSE))</f>
        <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b">
        <f>IF(C15=FALSE,"",IF(AND(OR(V15=$Z$7,V15=$Z$9),OR(AC15=TRUE,AD15&lt;='Data Transformation'!$X$9)),TRUE,FALSE))</f>
        <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b">
        <f>IF(C16=FALSE,"",IF(AND(OR(V16=$Z$7,V16=$Z$9),OR(AC16=TRUE,AD16&lt;='Data Transformation'!$X$9)),TRUE,FALSE))</f>
        <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b">
        <f>IF(C17=FALSE,"",IF(AND(OR(V17=$Z$7,V17=$Z$9),OR(AC17=TRUE,AD17&lt;='Data Transformation'!$X$9)),TRUE,FALSE))</f>
        <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b">
        <f>IF(C18=FALSE,"",IF(AND(OR(V18=$Z$7,V18=$Z$9),OR(AC18=TRUE,AD18&lt;='Data Transformation'!$X$9)),TRUE,FALSE))</f>
        <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b">
        <f>IF(C19=FALSE,"",IF(AND(OR(V19=$Z$7,V19=$Z$9),OR(AC19=TRUE,AD19&lt;='Data Transformation'!$X$9)),TRUE,FALSE))</f>
        <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b">
        <f>IF(C20=FALSE,"",IF(AND(OR(V20=$Z$7,V20=$Z$9),OR(AC20=TRUE,AD20&lt;='Data Transformation'!$X$9)),TRUE,FALSE))</f>
        <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b">
        <f>IF(C21=FALSE,"",IF(AND(OR(V21=$Z$7,V21=$Z$9),OR(AC21=TRUE,AD21&lt;='Data Transformation'!$X$9)),TRUE,FALSE))</f>
        <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b">
        <f>IF(C22=FALSE,"",IF(AND(OR(V22=$Z$7,V22=$Z$9),OR(AC22=TRUE,AD22&lt;='Data Transformation'!$X$9)),TRUE,FALSE))</f>
        <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b">
        <f>IF(C23=FALSE,"",IF(AND(OR(V23=$Z$7,V23=$Z$9),OR(AC23=TRUE,AD23&lt;='Data Transformation'!$X$9)),TRUE,FALSE))</f>
        <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b">
        <f>IF(C24=FALSE,"",IF(AND(OR(V24=$Z$7,V24=$Z$9),OR(AC24=TRUE,AD24&lt;='Data Transformation'!$X$9)),TRUE,FALSE))</f>
        <v>0</v>
      </c>
    </row>
    <row r="25" spans="2:31" ht="16.5"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b">
        <f>IF(C25=FALSE,"",IF(AND(OR(V25=$Z$7,V25=$Z$9),OR(AC25=TRUE,AD25&lt;='Data Transformation'!$X$9)),TRUE,FALSE))</f>
        <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2026-02-04T23:09:28Z</dcterms:modified>
</cp:coreProperties>
</file>