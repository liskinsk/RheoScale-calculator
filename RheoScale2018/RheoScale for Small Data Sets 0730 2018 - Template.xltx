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drawings/drawing4.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style2.xml" ContentType="application/vnd.ms-office.chartstyle+xml"/>
  <Override PartName="/xl/charts/colors2.xml" ContentType="application/vnd.ms-office.chartcolorstyle+xml"/>
  <Override PartName="/xl/charts/chart50.xml" ContentType="application/vnd.openxmlformats-officedocument.drawingml.chart+xml"/>
  <Override PartName="/xl/drawings/drawing6.xml" ContentType="application/vnd.openxmlformats-officedocument.drawing+xml"/>
  <Override PartName="/xl/charts/chart51.xml" ContentType="application/vnd.openxmlformats-officedocument.drawingml.chart+xml"/>
  <Override PartName="/xl/drawings/drawing7.xml" ContentType="application/vnd.openxmlformats-officedocument.drawingml.chartshapes+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drawings/drawing8.xml" ContentType="application/vnd.openxmlformats-officedocument.drawing+xml"/>
  <Override PartName="/xl/charts/chart60.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drawings/drawing10.xml" ContentType="application/vnd.openxmlformats-officedocument.drawing+xml"/>
  <Override PartName="/xl/charts/chart6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ml.chartshapes+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drawings/drawing12.xml" ContentType="application/vnd.openxmlformats-officedocument.drawing+xml"/>
  <Override PartName="/xl/charts/chart7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3.xml" ContentType="application/vnd.openxmlformats-officedocument.drawingml.chartshapes+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drawings/drawing14.xml" ContentType="application/vnd.openxmlformats-officedocument.drawing+xml"/>
  <Override PartName="/xl/charts/chart8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ml.chartshapes+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workbookPr showInkAnnotation="0" autoCompressPictures="0"/>
  <mc:AlternateContent xmlns:mc="http://schemas.openxmlformats.org/markup-compatibility/2006">
    <mc:Choice Requires="x15">
      <x15ac:absPath xmlns:x15ac="http://schemas.microsoft.com/office/spreadsheetml/2010/11/ac" url="C:\Users\ldougherty3\Other Stuff\Documents\Custom Office Templates\"/>
    </mc:Choice>
  </mc:AlternateContent>
  <bookViews>
    <workbookView xWindow="0" yWindow="0" windowWidth="14370" windowHeight="2085" tabRatio="695"/>
  </bookViews>
  <sheets>
    <sheet name="How to use this calculator" sheetId="14" r:id="rId1"/>
    <sheet name="Input and Summary Results" sheetId="1" r:id="rId2"/>
    <sheet name="Summary Charts" sheetId="6" r:id="rId3"/>
    <sheet name="Larger Data Sets" sheetId="7" r:id="rId4"/>
    <sheet name="Data Transformation" sheetId="2" r:id="rId5"/>
    <sheet name="Weighting" sheetId="3" r:id="rId6"/>
    <sheet name="Bin Analysis and Plots" sheetId="4" r:id="rId7"/>
    <sheet name="Plots Positions 1-4" sheetId="9" r:id="rId8"/>
    <sheet name="Plot Positions 5-8" sheetId="11" r:id="rId9"/>
    <sheet name="Plot Positions 9-12" sheetId="13" r:id="rId10"/>
    <sheet name="Plot Positions 13-16" sheetId="15" r:id="rId11"/>
    <sheet name="Plot Positions 17-20" sheetId="16" r:id="rId12"/>
  </sheet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I20" i="1" l="1"/>
  <c r="B24" i="2" l="1"/>
  <c r="B25" i="2"/>
  <c r="C25" i="2" s="1"/>
  <c r="E25" i="2" s="1"/>
  <c r="B26" i="2"/>
  <c r="B27" i="2"/>
  <c r="D27" i="2" s="1"/>
  <c r="B28" i="2"/>
  <c r="D28" i="2" s="1"/>
  <c r="B29" i="2"/>
  <c r="D29" i="2" s="1"/>
  <c r="B30" i="2"/>
  <c r="D30" i="2" s="1"/>
  <c r="B31" i="2"/>
  <c r="B32" i="2"/>
  <c r="B33" i="2"/>
  <c r="C33" i="2" s="1"/>
  <c r="B34" i="2"/>
  <c r="C34" i="2" s="1"/>
  <c r="B35" i="2"/>
  <c r="C35" i="2" s="1"/>
  <c r="E35" i="2" s="1"/>
  <c r="B36" i="2"/>
  <c r="D36" i="2" s="1"/>
  <c r="B37" i="2"/>
  <c r="B38" i="2"/>
  <c r="B39" i="2"/>
  <c r="B40" i="2"/>
  <c r="B41" i="2"/>
  <c r="C41" i="2" s="1"/>
  <c r="B42" i="2"/>
  <c r="C42" i="2" s="1"/>
  <c r="B43" i="2"/>
  <c r="B44" i="2"/>
  <c r="B45" i="2"/>
  <c r="B46" i="2"/>
  <c r="D46" i="2" s="1"/>
  <c r="B47" i="2"/>
  <c r="B48" i="2"/>
  <c r="B49" i="2"/>
  <c r="D49" i="2" s="1"/>
  <c r="B50" i="2"/>
  <c r="C50" i="2" s="1"/>
  <c r="B51" i="2"/>
  <c r="B52" i="2"/>
  <c r="D52" i="2" s="1"/>
  <c r="B53" i="2"/>
  <c r="B54" i="2"/>
  <c r="B55" i="2"/>
  <c r="B56" i="2"/>
  <c r="B57" i="2"/>
  <c r="D57" i="2" s="1"/>
  <c r="B58" i="2"/>
  <c r="B59" i="2"/>
  <c r="C59" i="2" s="1"/>
  <c r="B60" i="2"/>
  <c r="D60" i="2" s="1"/>
  <c r="B61" i="2"/>
  <c r="B62" i="2"/>
  <c r="B63" i="2"/>
  <c r="B64" i="2"/>
  <c r="B65" i="2"/>
  <c r="D65" i="2" s="1"/>
  <c r="B66" i="2"/>
  <c r="C66" i="2" s="1"/>
  <c r="E66" i="2" s="1"/>
  <c r="B67" i="2"/>
  <c r="C67" i="2" s="1"/>
  <c r="E67" i="2" s="1"/>
  <c r="B68" i="2"/>
  <c r="D68" i="2" s="1"/>
  <c r="B69" i="2"/>
  <c r="B70" i="2"/>
  <c r="D70" i="2" s="1"/>
  <c r="B71" i="2"/>
  <c r="B72" i="2"/>
  <c r="B73" i="2"/>
  <c r="D73" i="2" s="1"/>
  <c r="B74" i="2"/>
  <c r="C74" i="2" s="1"/>
  <c r="B75" i="2"/>
  <c r="B76" i="2"/>
  <c r="B77" i="2"/>
  <c r="B78" i="2"/>
  <c r="B79" i="2"/>
  <c r="B80" i="2"/>
  <c r="C80" i="2" s="1"/>
  <c r="B81" i="2"/>
  <c r="C81" i="2" s="1"/>
  <c r="B82" i="2"/>
  <c r="C82" i="2" s="1"/>
  <c r="B83" i="2"/>
  <c r="C83" i="2" s="1"/>
  <c r="B84" i="2"/>
  <c r="D84" i="2" s="1"/>
  <c r="B85" i="2"/>
  <c r="B86" i="2"/>
  <c r="B87" i="2"/>
  <c r="B88" i="2"/>
  <c r="C88" i="2" s="1"/>
  <c r="B89" i="2"/>
  <c r="C89" i="2" s="1"/>
  <c r="B90" i="2"/>
  <c r="B91" i="2"/>
  <c r="C91" i="2" s="1"/>
  <c r="E91" i="2" s="1"/>
  <c r="B92" i="2"/>
  <c r="D92" i="2" s="1"/>
  <c r="B93" i="2"/>
  <c r="B94" i="2"/>
  <c r="C94" i="2" s="1"/>
  <c r="B95" i="2"/>
  <c r="B96" i="2"/>
  <c r="C96" i="2" s="1"/>
  <c r="B97" i="2"/>
  <c r="C97" i="2" s="1"/>
  <c r="B98" i="2"/>
  <c r="C98" i="2" s="1"/>
  <c r="B99" i="2"/>
  <c r="C99" i="2" s="1"/>
  <c r="B100" i="2"/>
  <c r="D100" i="2" s="1"/>
  <c r="B101" i="2"/>
  <c r="B102" i="2"/>
  <c r="D102" i="2" s="1"/>
  <c r="B103" i="2"/>
  <c r="B104" i="2"/>
  <c r="C104" i="2" s="1"/>
  <c r="B105" i="2"/>
  <c r="D105" i="2" s="1"/>
  <c r="B106" i="2"/>
  <c r="C106" i="2" s="1"/>
  <c r="E106" i="2" s="1"/>
  <c r="B107" i="2"/>
  <c r="B108" i="2"/>
  <c r="B109" i="2"/>
  <c r="B110" i="2"/>
  <c r="B111" i="2"/>
  <c r="B112" i="2"/>
  <c r="B113" i="2"/>
  <c r="C113" i="2" s="1"/>
  <c r="B114" i="2"/>
  <c r="C114" i="2" s="1"/>
  <c r="B115" i="2"/>
  <c r="C115" i="2" s="1"/>
  <c r="B116" i="2"/>
  <c r="D116" i="2" s="1"/>
  <c r="B117" i="2"/>
  <c r="B118" i="2"/>
  <c r="B119" i="2"/>
  <c r="B120" i="2"/>
  <c r="B121" i="2"/>
  <c r="C121" i="2" s="1"/>
  <c r="B122" i="2"/>
  <c r="C122" i="2" s="1"/>
  <c r="B123" i="2"/>
  <c r="D123" i="2" s="1"/>
  <c r="B124" i="2"/>
  <c r="D124" i="2" s="1"/>
  <c r="B125" i="2"/>
  <c r="B126" i="2"/>
  <c r="B127" i="2"/>
  <c r="B128" i="2"/>
  <c r="B129" i="2"/>
  <c r="D129" i="2" s="1"/>
  <c r="B130" i="2"/>
  <c r="B131" i="2"/>
  <c r="D131" i="2" s="1"/>
  <c r="B132" i="2"/>
  <c r="D132" i="2" s="1"/>
  <c r="B133" i="2"/>
  <c r="B134" i="2"/>
  <c r="B135" i="2"/>
  <c r="B136" i="2"/>
  <c r="B137" i="2"/>
  <c r="D137" i="2" s="1"/>
  <c r="B138" i="2"/>
  <c r="B139" i="2"/>
  <c r="D139" i="2" s="1"/>
  <c r="B140" i="2"/>
  <c r="B141" i="2"/>
  <c r="B142" i="2"/>
  <c r="D142" i="2" s="1"/>
  <c r="B143" i="2"/>
  <c r="B144" i="2"/>
  <c r="B145" i="2"/>
  <c r="C145" i="2" s="1"/>
  <c r="B146" i="2"/>
  <c r="C146" i="2" s="1"/>
  <c r="B147" i="2"/>
  <c r="C147" i="2" s="1"/>
  <c r="B148" i="2"/>
  <c r="D148" i="2" s="1"/>
  <c r="B149" i="2"/>
  <c r="B150" i="2"/>
  <c r="B151" i="2"/>
  <c r="B152" i="2"/>
  <c r="B153" i="2"/>
  <c r="C153" i="2" s="1"/>
  <c r="B154" i="2"/>
  <c r="C154" i="2" s="1"/>
  <c r="B155" i="2"/>
  <c r="D155" i="2" s="1"/>
  <c r="B156" i="2"/>
  <c r="D156" i="2" s="1"/>
  <c r="B157" i="2"/>
  <c r="B158" i="2"/>
  <c r="B159" i="2"/>
  <c r="B160" i="2"/>
  <c r="B161" i="2"/>
  <c r="C161" i="2" s="1"/>
  <c r="B162" i="2"/>
  <c r="B163" i="2"/>
  <c r="D163" i="2" s="1"/>
  <c r="B164" i="2"/>
  <c r="D164" i="2" s="1"/>
  <c r="B165" i="2"/>
  <c r="B166" i="2"/>
  <c r="B167" i="2"/>
  <c r="B168" i="2"/>
  <c r="B169" i="2"/>
  <c r="D169" i="2" s="1"/>
  <c r="B170" i="2"/>
  <c r="C170" i="2" s="1"/>
  <c r="B171" i="2"/>
  <c r="D171" i="2" s="1"/>
  <c r="B172" i="2"/>
  <c r="B173" i="2"/>
  <c r="B174" i="2"/>
  <c r="B175" i="2"/>
  <c r="B176" i="2"/>
  <c r="B177" i="2"/>
  <c r="C177" i="2" s="1"/>
  <c r="B178" i="2"/>
  <c r="C178" i="2" s="1"/>
  <c r="B179" i="2"/>
  <c r="C179" i="2" s="1"/>
  <c r="B180" i="2"/>
  <c r="D180" i="2" s="1"/>
  <c r="B181" i="2"/>
  <c r="B182" i="2"/>
  <c r="B183" i="2"/>
  <c r="B184" i="2"/>
  <c r="B185" i="2"/>
  <c r="D185" i="2" s="1"/>
  <c r="B186" i="2"/>
  <c r="C186" i="2" s="1"/>
  <c r="E186" i="2" s="1"/>
  <c r="B187" i="2"/>
  <c r="B188" i="2"/>
  <c r="D188" i="2" s="1"/>
  <c r="B189" i="2"/>
  <c r="B190" i="2"/>
  <c r="C190" i="2" s="1"/>
  <c r="B191" i="2"/>
  <c r="B192" i="2"/>
  <c r="B193" i="2"/>
  <c r="B194" i="2"/>
  <c r="B195" i="2"/>
  <c r="B196" i="2"/>
  <c r="D196" i="2" s="1"/>
  <c r="B197" i="2"/>
  <c r="B198" i="2"/>
  <c r="D198" i="2" s="1"/>
  <c r="B199" i="2"/>
  <c r="B200" i="2"/>
  <c r="B201" i="2"/>
  <c r="C201" i="2" s="1"/>
  <c r="B202" i="2"/>
  <c r="B203" i="2"/>
  <c r="B204" i="2"/>
  <c r="C204" i="2" s="1"/>
  <c r="E204" i="2" s="1"/>
  <c r="B205" i="2"/>
  <c r="B206" i="2"/>
  <c r="B207" i="2"/>
  <c r="B208" i="2"/>
  <c r="B209" i="2"/>
  <c r="D209" i="2" s="1"/>
  <c r="B210" i="2"/>
  <c r="C210" i="2" s="1"/>
  <c r="B211" i="2"/>
  <c r="B212" i="2"/>
  <c r="C212" i="2" s="1"/>
  <c r="B213" i="2"/>
  <c r="B214" i="2"/>
  <c r="B215" i="2"/>
  <c r="C215" i="2" s="1"/>
  <c r="B216" i="2"/>
  <c r="B217" i="2"/>
  <c r="C217" i="2" s="1"/>
  <c r="B218" i="2"/>
  <c r="C218" i="2" s="1"/>
  <c r="B219" i="2"/>
  <c r="C219" i="2" s="1"/>
  <c r="B220" i="2"/>
  <c r="C220" i="2" s="1"/>
  <c r="E220" i="2" s="1"/>
  <c r="B221" i="2"/>
  <c r="B222" i="2"/>
  <c r="B223" i="2"/>
  <c r="B224" i="2"/>
  <c r="B225" i="2"/>
  <c r="D225" i="2" s="1"/>
  <c r="B226" i="2"/>
  <c r="C226" i="2" s="1"/>
  <c r="B227" i="2"/>
  <c r="B228" i="2"/>
  <c r="C228" i="2" s="1"/>
  <c r="G228" i="2" s="1"/>
  <c r="B229" i="2"/>
  <c r="B230" i="2"/>
  <c r="D230" i="2" s="1"/>
  <c r="B231" i="2"/>
  <c r="B232" i="2"/>
  <c r="B233" i="2"/>
  <c r="C233" i="2" s="1"/>
  <c r="B234" i="2"/>
  <c r="B235" i="2"/>
  <c r="C235" i="2" s="1"/>
  <c r="G235" i="2" s="1"/>
  <c r="B236" i="2"/>
  <c r="C236" i="2" s="1"/>
  <c r="G236" i="2" s="1"/>
  <c r="B237" i="2"/>
  <c r="B238" i="2"/>
  <c r="C238" i="2" s="1"/>
  <c r="G238" i="2" s="1"/>
  <c r="B239" i="2"/>
  <c r="B240" i="2"/>
  <c r="C240" i="2" s="1"/>
  <c r="B241" i="2"/>
  <c r="D241" i="2" s="1"/>
  <c r="B242" i="2"/>
  <c r="C242" i="2" s="1"/>
  <c r="E242" i="2" s="1"/>
  <c r="B243" i="2"/>
  <c r="B244" i="2"/>
  <c r="C244" i="2" s="1"/>
  <c r="B245" i="2"/>
  <c r="B246" i="2"/>
  <c r="B247" i="2"/>
  <c r="B248" i="2"/>
  <c r="C248" i="2" s="1"/>
  <c r="G248" i="2" s="1"/>
  <c r="B249" i="2"/>
  <c r="C249" i="2" s="1"/>
  <c r="B250" i="2"/>
  <c r="B251" i="2"/>
  <c r="C251" i="2" s="1"/>
  <c r="E251" i="2" s="1"/>
  <c r="B252" i="2"/>
  <c r="C252" i="2" s="1"/>
  <c r="G252" i="2" s="1"/>
  <c r="B253" i="2"/>
  <c r="B254" i="2"/>
  <c r="B255" i="2"/>
  <c r="B256" i="2"/>
  <c r="C256" i="2" s="1"/>
  <c r="G256" i="2" s="1"/>
  <c r="B257" i="2"/>
  <c r="C257" i="2" s="1"/>
  <c r="B258" i="2"/>
  <c r="C258" i="2" s="1"/>
  <c r="E258" i="2" s="1"/>
  <c r="B259" i="2"/>
  <c r="B260" i="2"/>
  <c r="C260" i="2" s="1"/>
  <c r="G260" i="2" s="1"/>
  <c r="B261" i="2"/>
  <c r="B262" i="2"/>
  <c r="B263" i="2"/>
  <c r="B264" i="2"/>
  <c r="C264" i="2" s="1"/>
  <c r="G264" i="2" s="1"/>
  <c r="B265" i="2"/>
  <c r="C265" i="2" s="1"/>
  <c r="B266" i="2"/>
  <c r="B267" i="2"/>
  <c r="B268" i="2"/>
  <c r="C268" i="2" s="1"/>
  <c r="B269" i="2"/>
  <c r="B270" i="2"/>
  <c r="B271" i="2"/>
  <c r="B272" i="2"/>
  <c r="C272" i="2" s="1"/>
  <c r="B273" i="2"/>
  <c r="D273" i="2" s="1"/>
  <c r="B274" i="2"/>
  <c r="C274" i="2" s="1"/>
  <c r="B275" i="2"/>
  <c r="C275" i="2" s="1"/>
  <c r="B276" i="2"/>
  <c r="C276" i="2" s="1"/>
  <c r="B277" i="2"/>
  <c r="B278" i="2"/>
  <c r="B279" i="2"/>
  <c r="C279" i="2" s="1"/>
  <c r="B280" i="2"/>
  <c r="C280" i="2" s="1"/>
  <c r="G280" i="2" s="1"/>
  <c r="B281" i="2"/>
  <c r="D281" i="2" s="1"/>
  <c r="B282" i="2"/>
  <c r="C282" i="2" s="1"/>
  <c r="B283" i="2"/>
  <c r="D283" i="2" s="1"/>
  <c r="B284" i="2"/>
  <c r="B285" i="2"/>
  <c r="B286" i="2"/>
  <c r="B287" i="2"/>
  <c r="B288" i="2"/>
  <c r="C288" i="2" s="1"/>
  <c r="G288" i="2" s="1"/>
  <c r="B289" i="2"/>
  <c r="D289" i="2" s="1"/>
  <c r="B290" i="2"/>
  <c r="C290" i="2" s="1"/>
  <c r="B291" i="2"/>
  <c r="D291" i="2" s="1"/>
  <c r="H291" i="2" s="1"/>
  <c r="B292" i="2"/>
  <c r="C292" i="2" s="1"/>
  <c r="B293" i="2"/>
  <c r="B294" i="2"/>
  <c r="B295" i="2"/>
  <c r="B296" i="2"/>
  <c r="C296" i="2" s="1"/>
  <c r="G296" i="2" s="1"/>
  <c r="B297" i="2"/>
  <c r="D297" i="2" s="1"/>
  <c r="B298" i="2"/>
  <c r="B299" i="2"/>
  <c r="D299" i="2" s="1"/>
  <c r="B300" i="2"/>
  <c r="C300" i="2" s="1"/>
  <c r="G300" i="2" s="1"/>
  <c r="B301" i="2"/>
  <c r="B302" i="2"/>
  <c r="B303" i="2"/>
  <c r="B304" i="2"/>
  <c r="B305" i="2"/>
  <c r="C305" i="2" s="1"/>
  <c r="B306" i="2"/>
  <c r="C306" i="2" s="1"/>
  <c r="B307" i="2"/>
  <c r="C307" i="2" s="1"/>
  <c r="G307" i="2" s="1"/>
  <c r="B308" i="2"/>
  <c r="C308" i="2" s="1"/>
  <c r="B309" i="2"/>
  <c r="B310" i="2"/>
  <c r="B311" i="2"/>
  <c r="B312" i="2"/>
  <c r="B313" i="2"/>
  <c r="B314" i="2"/>
  <c r="C314" i="2" s="1"/>
  <c r="B315" i="2"/>
  <c r="C315" i="2" s="1"/>
  <c r="G315" i="2" s="1"/>
  <c r="B316" i="2"/>
  <c r="C316" i="2" s="1"/>
  <c r="B317" i="2"/>
  <c r="B318" i="2"/>
  <c r="B319" i="2"/>
  <c r="B320" i="2"/>
  <c r="C320" i="2" s="1"/>
  <c r="B321" i="2"/>
  <c r="C321" i="2" s="1"/>
  <c r="B322" i="2"/>
  <c r="C322" i="2" s="1"/>
  <c r="B323" i="2"/>
  <c r="B324" i="2"/>
  <c r="B325" i="2"/>
  <c r="B326" i="2"/>
  <c r="C326" i="2" s="1"/>
  <c r="B327" i="2"/>
  <c r="B328" i="2"/>
  <c r="C328" i="2" s="1"/>
  <c r="B329" i="2"/>
  <c r="C329" i="2" s="1"/>
  <c r="B330" i="2"/>
  <c r="B331" i="2"/>
  <c r="C331" i="2" s="1"/>
  <c r="G331" i="2" s="1"/>
  <c r="B332" i="2"/>
  <c r="C332" i="2" s="1"/>
  <c r="G332" i="2" s="1"/>
  <c r="B333" i="2"/>
  <c r="B334" i="2"/>
  <c r="B335" i="2"/>
  <c r="B336" i="2"/>
  <c r="B337" i="2"/>
  <c r="D337" i="2" s="1"/>
  <c r="B338" i="2"/>
  <c r="C338" i="2" s="1"/>
  <c r="B339" i="2"/>
  <c r="B340" i="2"/>
  <c r="C340" i="2" s="1"/>
  <c r="G340" i="2" s="1"/>
  <c r="B341" i="2"/>
  <c r="B342" i="2"/>
  <c r="B343" i="2"/>
  <c r="B344" i="2"/>
  <c r="C344" i="2" s="1"/>
  <c r="B345" i="2"/>
  <c r="D345" i="2" s="1"/>
  <c r="B346" i="2"/>
  <c r="C346" i="2" s="1"/>
  <c r="B347" i="2"/>
  <c r="C347" i="2" s="1"/>
  <c r="E347" i="2" s="1"/>
  <c r="B348" i="2"/>
  <c r="C348" i="2" s="1"/>
  <c r="G348" i="2" s="1"/>
  <c r="B349" i="2"/>
  <c r="B350" i="2"/>
  <c r="B351" i="2"/>
  <c r="B352" i="2"/>
  <c r="B353" i="2"/>
  <c r="B354" i="2"/>
  <c r="C354" i="2" s="1"/>
  <c r="B355" i="2"/>
  <c r="C355" i="2" s="1"/>
  <c r="G355" i="2" s="1"/>
  <c r="B356" i="2"/>
  <c r="C356" i="2" s="1"/>
  <c r="G356" i="2" s="1"/>
  <c r="B357" i="2"/>
  <c r="B358" i="2"/>
  <c r="B359" i="2"/>
  <c r="B360" i="2"/>
  <c r="C360" i="2" s="1"/>
  <c r="C24" i="2"/>
  <c r="C28" i="2"/>
  <c r="C29" i="2"/>
  <c r="C30" i="2"/>
  <c r="C32" i="2"/>
  <c r="C40" i="2"/>
  <c r="C46" i="2"/>
  <c r="C48" i="2"/>
  <c r="C49" i="2"/>
  <c r="C56" i="2"/>
  <c r="E56" i="2" s="1"/>
  <c r="C64" i="2"/>
  <c r="C65" i="2"/>
  <c r="C72" i="2"/>
  <c r="C84" i="2"/>
  <c r="C92" i="2"/>
  <c r="C100" i="2"/>
  <c r="C112" i="2"/>
  <c r="C116" i="2"/>
  <c r="C120" i="2"/>
  <c r="C124" i="2"/>
  <c r="C128" i="2"/>
  <c r="E128" i="2" s="1"/>
  <c r="C132" i="2"/>
  <c r="C136" i="2"/>
  <c r="C137" i="2"/>
  <c r="C142" i="2"/>
  <c r="C144" i="2"/>
  <c r="E144" i="2" s="1"/>
  <c r="C148" i="2"/>
  <c r="E148" i="2" s="1"/>
  <c r="C152" i="2"/>
  <c r="C156" i="2"/>
  <c r="E156" i="2" s="1"/>
  <c r="C160" i="2"/>
  <c r="C164" i="2"/>
  <c r="C168" i="2"/>
  <c r="C169" i="2"/>
  <c r="C176" i="2"/>
  <c r="E176" i="2" s="1"/>
  <c r="C180" i="2"/>
  <c r="C184" i="2"/>
  <c r="C188" i="2"/>
  <c r="C192" i="2"/>
  <c r="C193" i="2"/>
  <c r="C196" i="2"/>
  <c r="C200" i="2"/>
  <c r="C208" i="2"/>
  <c r="C216" i="2"/>
  <c r="C224" i="2"/>
  <c r="G224" i="2" s="1"/>
  <c r="C232" i="2"/>
  <c r="G232" i="2" s="1"/>
  <c r="C241" i="2"/>
  <c r="G241" i="2" s="1"/>
  <c r="C273" i="2"/>
  <c r="G273" i="2" s="1"/>
  <c r="C284" i="2"/>
  <c r="C289" i="2"/>
  <c r="E289" i="2" s="1"/>
  <c r="C299" i="2"/>
  <c r="C304" i="2"/>
  <c r="E304" i="2" s="1"/>
  <c r="C312" i="2"/>
  <c r="C313" i="2"/>
  <c r="E313" i="2" s="1"/>
  <c r="C324" i="2"/>
  <c r="G324" i="2" s="1"/>
  <c r="C336" i="2"/>
  <c r="G336" i="2" s="1"/>
  <c r="C337" i="2"/>
  <c r="G337" i="2" s="1"/>
  <c r="C352" i="2"/>
  <c r="G352" i="2" s="1"/>
  <c r="C353" i="2"/>
  <c r="B361" i="2"/>
  <c r="B362" i="2"/>
  <c r="B363" i="2"/>
  <c r="C363" i="2" s="1"/>
  <c r="B364" i="2"/>
  <c r="C364" i="2" s="1"/>
  <c r="B365" i="2"/>
  <c r="C365" i="2" s="1"/>
  <c r="G365" i="2" s="1"/>
  <c r="B366" i="2"/>
  <c r="C366" i="2" s="1"/>
  <c r="G366" i="2" s="1"/>
  <c r="B367" i="2"/>
  <c r="C367" i="2"/>
  <c r="B368" i="2"/>
  <c r="B369" i="2"/>
  <c r="C369" i="2" s="1"/>
  <c r="G369" i="2" s="1"/>
  <c r="B370" i="2"/>
  <c r="C370" i="2" s="1"/>
  <c r="G370" i="2" s="1"/>
  <c r="B371" i="2"/>
  <c r="B372" i="2"/>
  <c r="C372" i="2" s="1"/>
  <c r="G372" i="2" s="1"/>
  <c r="B373" i="2"/>
  <c r="C373" i="2" s="1"/>
  <c r="G373" i="2" s="1"/>
  <c r="B374" i="2"/>
  <c r="C374" i="2" s="1"/>
  <c r="G374" i="2" s="1"/>
  <c r="B375" i="2"/>
  <c r="C375" i="2" s="1"/>
  <c r="B376" i="2"/>
  <c r="C376" i="2"/>
  <c r="G376" i="2" s="1"/>
  <c r="B377" i="2"/>
  <c r="B378" i="2"/>
  <c r="C378" i="2"/>
  <c r="G378" i="2" s="1"/>
  <c r="B379" i="2"/>
  <c r="C379" i="2" s="1"/>
  <c r="G379" i="2" s="1"/>
  <c r="B380" i="2"/>
  <c r="C380" i="2"/>
  <c r="B381" i="2"/>
  <c r="C381" i="2" s="1"/>
  <c r="G381" i="2" s="1"/>
  <c r="B382" i="2"/>
  <c r="B383" i="2"/>
  <c r="C383" i="2" s="1"/>
  <c r="B384" i="2"/>
  <c r="C384" i="2"/>
  <c r="E384" i="2" s="1"/>
  <c r="B385" i="2"/>
  <c r="C385" i="2" s="1"/>
  <c r="G385" i="2" s="1"/>
  <c r="B386" i="2"/>
  <c r="C386" i="2"/>
  <c r="G386" i="2" s="1"/>
  <c r="B387" i="2"/>
  <c r="C387" i="2" s="1"/>
  <c r="G387" i="2" s="1"/>
  <c r="B388" i="2"/>
  <c r="C388" i="2" s="1"/>
  <c r="B389" i="2"/>
  <c r="B390" i="2"/>
  <c r="C390" i="2" s="1"/>
  <c r="E390" i="2" s="1"/>
  <c r="B391" i="2"/>
  <c r="C391" i="2" s="1"/>
  <c r="G391" i="2" s="1"/>
  <c r="B392" i="2"/>
  <c r="C392" i="2" s="1"/>
  <c r="G392" i="2" s="1"/>
  <c r="B393" i="2"/>
  <c r="C393" i="2" s="1"/>
  <c r="B394" i="2"/>
  <c r="B395" i="2"/>
  <c r="C395" i="2" s="1"/>
  <c r="G395" i="2" s="1"/>
  <c r="B396" i="2"/>
  <c r="C396" i="2"/>
  <c r="B397" i="2"/>
  <c r="B398" i="2"/>
  <c r="C398" i="2" s="1"/>
  <c r="E398" i="2" s="1"/>
  <c r="B399" i="2"/>
  <c r="C399" i="2"/>
  <c r="B400" i="2"/>
  <c r="C400" i="2" s="1"/>
  <c r="G400" i="2" s="1"/>
  <c r="B401" i="2"/>
  <c r="C401" i="2" s="1"/>
  <c r="G401" i="2" s="1"/>
  <c r="B402" i="2"/>
  <c r="C402" i="2" s="1"/>
  <c r="G402" i="2" s="1"/>
  <c r="B403" i="2"/>
  <c r="C403" i="2" s="1"/>
  <c r="B404" i="2"/>
  <c r="C404" i="2" s="1"/>
  <c r="G404" i="2" s="1"/>
  <c r="G240" i="2"/>
  <c r="G242" i="2"/>
  <c r="G258" i="2"/>
  <c r="G268" i="2"/>
  <c r="G272" i="2"/>
  <c r="G284" i="2"/>
  <c r="G289" i="2"/>
  <c r="G312" i="2"/>
  <c r="G347" i="2"/>
  <c r="G353" i="2"/>
  <c r="G364" i="2"/>
  <c r="G367" i="2"/>
  <c r="G380" i="2"/>
  <c r="G393" i="2"/>
  <c r="G396" i="2"/>
  <c r="G399" i="2"/>
  <c r="G403" i="2"/>
  <c r="D3" i="2"/>
  <c r="D24" i="2"/>
  <c r="D32" i="2"/>
  <c r="D33" i="2"/>
  <c r="D34" i="2"/>
  <c r="D40" i="2"/>
  <c r="D41" i="2"/>
  <c r="D42" i="2"/>
  <c r="D48" i="2"/>
  <c r="D56" i="2"/>
  <c r="D64" i="2"/>
  <c r="D66" i="2"/>
  <c r="D72" i="2"/>
  <c r="D74" i="2"/>
  <c r="D80" i="2"/>
  <c r="D82" i="2"/>
  <c r="D88" i="2"/>
  <c r="D96" i="2"/>
  <c r="D97" i="2"/>
  <c r="D104" i="2"/>
  <c r="D112" i="2"/>
  <c r="D114" i="2"/>
  <c r="H116" i="2"/>
  <c r="D120" i="2"/>
  <c r="D122" i="2"/>
  <c r="D128" i="2"/>
  <c r="F128" i="2" s="1"/>
  <c r="D136" i="2"/>
  <c r="D144" i="2"/>
  <c r="D145" i="2"/>
  <c r="D152" i="2"/>
  <c r="D153" i="2"/>
  <c r="D154" i="2"/>
  <c r="D160" i="2"/>
  <c r="D161" i="2"/>
  <c r="D168" i="2"/>
  <c r="D170" i="2"/>
  <c r="D176" i="2"/>
  <c r="D178" i="2"/>
  <c r="D184" i="2"/>
  <c r="D186" i="2"/>
  <c r="D192" i="2"/>
  <c r="D193" i="2"/>
  <c r="H196" i="2"/>
  <c r="D200" i="2"/>
  <c r="D201" i="2"/>
  <c r="D204" i="2"/>
  <c r="D208" i="2"/>
  <c r="D210" i="2"/>
  <c r="D212" i="2"/>
  <c r="D216" i="2"/>
  <c r="D217" i="2"/>
  <c r="D220" i="2"/>
  <c r="D224" i="2"/>
  <c r="H224" i="2" s="1"/>
  <c r="D226" i="2"/>
  <c r="H226" i="2" s="1"/>
  <c r="D228" i="2"/>
  <c r="H228" i="2" s="1"/>
  <c r="H230" i="2"/>
  <c r="D232" i="2"/>
  <c r="H232" i="2" s="1"/>
  <c r="D236" i="2"/>
  <c r="H236" i="2" s="1"/>
  <c r="D240" i="2"/>
  <c r="H240" i="2"/>
  <c r="D242" i="2"/>
  <c r="D244" i="2"/>
  <c r="H244" i="2" s="1"/>
  <c r="D248" i="2"/>
  <c r="H248" i="2" s="1"/>
  <c r="D252" i="2"/>
  <c r="H252" i="2" s="1"/>
  <c r="D256" i="2"/>
  <c r="H256" i="2" s="1"/>
  <c r="D257" i="2"/>
  <c r="H257" i="2" s="1"/>
  <c r="D260" i="2"/>
  <c r="H260" i="2" s="1"/>
  <c r="D264" i="2"/>
  <c r="H264" i="2" s="1"/>
  <c r="D268" i="2"/>
  <c r="H268" i="2" s="1"/>
  <c r="D272" i="2"/>
  <c r="H272" i="2" s="1"/>
  <c r="D274" i="2"/>
  <c r="F274" i="2" s="1"/>
  <c r="D276" i="2"/>
  <c r="H276" i="2" s="1"/>
  <c r="D280" i="2"/>
  <c r="H280" i="2" s="1"/>
  <c r="D284" i="2"/>
  <c r="H284" i="2" s="1"/>
  <c r="D288" i="2"/>
  <c r="H288" i="2" s="1"/>
  <c r="D292" i="2"/>
  <c r="H292" i="2" s="1"/>
  <c r="D296" i="2"/>
  <c r="H296" i="2" s="1"/>
  <c r="D300" i="2"/>
  <c r="H300" i="2" s="1"/>
  <c r="D304" i="2"/>
  <c r="H304" i="2" s="1"/>
  <c r="D305" i="2"/>
  <c r="D308" i="2"/>
  <c r="H308" i="2"/>
  <c r="D312" i="2"/>
  <c r="H312" i="2" s="1"/>
  <c r="D313" i="2"/>
  <c r="H313" i="2" s="1"/>
  <c r="D316" i="2"/>
  <c r="H316" i="2" s="1"/>
  <c r="D320" i="2"/>
  <c r="H320" i="2" s="1"/>
  <c r="D322" i="2"/>
  <c r="H322" i="2" s="1"/>
  <c r="D324" i="2"/>
  <c r="H324" i="2"/>
  <c r="D328" i="2"/>
  <c r="H328" i="2" s="1"/>
  <c r="D329" i="2"/>
  <c r="H329" i="2" s="1"/>
  <c r="D332" i="2"/>
  <c r="H332" i="2" s="1"/>
  <c r="D336" i="2"/>
  <c r="H336" i="2" s="1"/>
  <c r="D338" i="2"/>
  <c r="H338" i="2" s="1"/>
  <c r="D340" i="2"/>
  <c r="H340" i="2" s="1"/>
  <c r="D344" i="2"/>
  <c r="H344" i="2" s="1"/>
  <c r="D346" i="2"/>
  <c r="H346" i="2" s="1"/>
  <c r="D348" i="2"/>
  <c r="H348" i="2"/>
  <c r="D352" i="2"/>
  <c r="D353" i="2"/>
  <c r="H353" i="2" s="1"/>
  <c r="D354" i="2"/>
  <c r="H354" i="2" s="1"/>
  <c r="D356" i="2"/>
  <c r="H356" i="2" s="1"/>
  <c r="D360" i="2"/>
  <c r="H360" i="2" s="1"/>
  <c r="D363" i="2"/>
  <c r="H363" i="2" s="1"/>
  <c r="D364" i="2"/>
  <c r="H364" i="2" s="1"/>
  <c r="D365" i="2"/>
  <c r="H365" i="2" s="1"/>
  <c r="D367" i="2"/>
  <c r="H367" i="2" s="1"/>
  <c r="D370" i="2"/>
  <c r="H370" i="2" s="1"/>
  <c r="D372" i="2"/>
  <c r="H372" i="2" s="1"/>
  <c r="D374" i="2"/>
  <c r="H374" i="2" s="1"/>
  <c r="D375" i="2"/>
  <c r="D376" i="2"/>
  <c r="H376" i="2" s="1"/>
  <c r="D378" i="2"/>
  <c r="H378" i="2" s="1"/>
  <c r="D380" i="2"/>
  <c r="H380" i="2" s="1"/>
  <c r="D383" i="2"/>
  <c r="H383" i="2" s="1"/>
  <c r="D384" i="2"/>
  <c r="H384" i="2" s="1"/>
  <c r="D386" i="2"/>
  <c r="H386" i="2" s="1"/>
  <c r="D387" i="2"/>
  <c r="H387" i="2" s="1"/>
  <c r="D392" i="2"/>
  <c r="H392" i="2" s="1"/>
  <c r="D393" i="2"/>
  <c r="H393" i="2" s="1"/>
  <c r="D396" i="2"/>
  <c r="F396" i="2" s="1"/>
  <c r="D398" i="2"/>
  <c r="D399" i="2"/>
  <c r="H399" i="2" s="1"/>
  <c r="D402" i="2"/>
  <c r="H402" i="2" s="1"/>
  <c r="D403" i="2"/>
  <c r="H403" i="2" s="1"/>
  <c r="D404" i="2"/>
  <c r="H404" i="2" s="1"/>
  <c r="J5" i="2"/>
  <c r="C3" i="2"/>
  <c r="E3" i="2" s="1"/>
  <c r="E24" i="2"/>
  <c r="E34" i="2"/>
  <c r="E48" i="2"/>
  <c r="E50" i="2"/>
  <c r="E64" i="2"/>
  <c r="E72" i="2"/>
  <c r="E74" i="2"/>
  <c r="E80" i="2"/>
  <c r="E82" i="2"/>
  <c r="E88" i="2"/>
  <c r="E96" i="2"/>
  <c r="E98" i="2"/>
  <c r="E99" i="2"/>
  <c r="E104" i="2"/>
  <c r="E112" i="2"/>
  <c r="E114" i="2"/>
  <c r="E120" i="2"/>
  <c r="E136" i="2"/>
  <c r="E146" i="2"/>
  <c r="E152" i="2"/>
  <c r="E168" i="2"/>
  <c r="E184" i="2"/>
  <c r="E192" i="2"/>
  <c r="E200" i="2"/>
  <c r="E210" i="2"/>
  <c r="E218" i="2"/>
  <c r="E228" i="2"/>
  <c r="E236" i="2"/>
  <c r="E238" i="2"/>
  <c r="E240" i="2"/>
  <c r="E248" i="2"/>
  <c r="E252" i="2"/>
  <c r="E256" i="2"/>
  <c r="E260" i="2"/>
  <c r="E264" i="2"/>
  <c r="E268" i="2"/>
  <c r="E272" i="2"/>
  <c r="E273" i="2"/>
  <c r="E280" i="2"/>
  <c r="E284" i="2"/>
  <c r="E288" i="2"/>
  <c r="E296" i="2"/>
  <c r="E300" i="2"/>
  <c r="E307" i="2"/>
  <c r="E312" i="2"/>
  <c r="E332" i="2"/>
  <c r="E340" i="2"/>
  <c r="E348" i="2"/>
  <c r="E353" i="2"/>
  <c r="E356" i="2"/>
  <c r="E364" i="2"/>
  <c r="E365" i="2"/>
  <c r="E367" i="2"/>
  <c r="E369" i="2"/>
  <c r="E370" i="2"/>
  <c r="E374" i="2"/>
  <c r="E376" i="2"/>
  <c r="E378" i="2"/>
  <c r="E380" i="2"/>
  <c r="E381" i="2"/>
  <c r="E385" i="2"/>
  <c r="E386" i="2"/>
  <c r="E387" i="2"/>
  <c r="E391" i="2"/>
  <c r="E392" i="2"/>
  <c r="E393" i="2"/>
  <c r="E396" i="2"/>
  <c r="E399" i="2"/>
  <c r="E402" i="2"/>
  <c r="E403" i="2"/>
  <c r="A16" i="4"/>
  <c r="J14" i="1"/>
  <c r="M4" i="2"/>
  <c r="N6" i="3"/>
  <c r="N32" i="3"/>
  <c r="F392" i="2"/>
  <c r="F402" i="2"/>
  <c r="F403" i="2"/>
  <c r="F404" i="2"/>
  <c r="M506" i="7"/>
  <c r="J5" i="7"/>
  <c r="L5" i="7" s="1"/>
  <c r="M5" i="7" s="1"/>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F1073" i="7"/>
  <c r="F1074" i="7"/>
  <c r="F1075" i="7"/>
  <c r="F1076" i="7"/>
  <c r="F1077" i="7"/>
  <c r="F1078" i="7"/>
  <c r="F1079" i="7"/>
  <c r="F1080" i="7"/>
  <c r="F1081" i="7"/>
  <c r="F1082" i="7"/>
  <c r="F1083" i="7"/>
  <c r="F1084" i="7"/>
  <c r="F1085" i="7"/>
  <c r="F1086" i="7"/>
  <c r="F1087" i="7"/>
  <c r="F1088" i="7"/>
  <c r="F1089" i="7"/>
  <c r="F1090" i="7"/>
  <c r="F1091" i="7"/>
  <c r="F1092" i="7"/>
  <c r="F1093" i="7"/>
  <c r="F1094" i="7"/>
  <c r="F1095" i="7"/>
  <c r="F1096" i="7"/>
  <c r="F1097" i="7"/>
  <c r="F1098" i="7"/>
  <c r="F1099" i="7"/>
  <c r="F1100" i="7"/>
  <c r="F1101" i="7"/>
  <c r="F1102" i="7"/>
  <c r="F1103" i="7"/>
  <c r="F1104" i="7"/>
  <c r="F1105" i="7"/>
  <c r="F1106" i="7"/>
  <c r="F1107" i="7"/>
  <c r="F1108" i="7"/>
  <c r="F1109" i="7"/>
  <c r="F1110" i="7"/>
  <c r="F1111" i="7"/>
  <c r="F1112" i="7"/>
  <c r="F1113" i="7"/>
  <c r="F1114" i="7"/>
  <c r="F1115" i="7"/>
  <c r="F1116" i="7"/>
  <c r="F1117" i="7"/>
  <c r="F1118" i="7"/>
  <c r="F1119" i="7"/>
  <c r="F1120" i="7"/>
  <c r="F1121" i="7"/>
  <c r="F1122" i="7"/>
  <c r="F1123" i="7"/>
  <c r="F1124" i="7"/>
  <c r="F1125" i="7"/>
  <c r="F1126" i="7"/>
  <c r="F1127" i="7"/>
  <c r="F1128" i="7"/>
  <c r="F1129" i="7"/>
  <c r="F1130" i="7"/>
  <c r="F1131" i="7"/>
  <c r="F1132" i="7"/>
  <c r="F1133" i="7"/>
  <c r="F1134" i="7"/>
  <c r="F1135" i="7"/>
  <c r="F1136" i="7"/>
  <c r="F1137" i="7"/>
  <c r="F1138" i="7"/>
  <c r="F1139" i="7"/>
  <c r="F1140" i="7"/>
  <c r="F1141" i="7"/>
  <c r="F1142" i="7"/>
  <c r="F1143" i="7"/>
  <c r="F1144" i="7"/>
  <c r="F1145" i="7"/>
  <c r="F1146" i="7"/>
  <c r="F1147" i="7"/>
  <c r="F1148" i="7"/>
  <c r="F1149" i="7"/>
  <c r="F1150" i="7"/>
  <c r="F1151" i="7"/>
  <c r="F1152" i="7"/>
  <c r="F1153" i="7"/>
  <c r="F1154" i="7"/>
  <c r="F1155" i="7"/>
  <c r="F1156" i="7"/>
  <c r="F1157" i="7"/>
  <c r="F1158" i="7"/>
  <c r="F1159" i="7"/>
  <c r="F1160" i="7"/>
  <c r="F1161" i="7"/>
  <c r="F1162" i="7"/>
  <c r="F1163" i="7"/>
  <c r="F1164" i="7"/>
  <c r="F1165" i="7"/>
  <c r="F1166" i="7"/>
  <c r="F1167" i="7"/>
  <c r="F1168" i="7"/>
  <c r="F1169" i="7"/>
  <c r="F1170" i="7"/>
  <c r="F1171" i="7"/>
  <c r="F1172" i="7"/>
  <c r="F1173" i="7"/>
  <c r="F1174" i="7"/>
  <c r="F1175" i="7"/>
  <c r="F1176" i="7"/>
  <c r="F1177" i="7"/>
  <c r="F1178" i="7"/>
  <c r="F1179" i="7"/>
  <c r="F1180" i="7"/>
  <c r="F1181" i="7"/>
  <c r="F1182" i="7"/>
  <c r="F1183" i="7"/>
  <c r="F1184" i="7"/>
  <c r="F1185" i="7"/>
  <c r="F1186" i="7"/>
  <c r="F1187" i="7"/>
  <c r="F1188" i="7"/>
  <c r="F1189" i="7"/>
  <c r="F1190" i="7"/>
  <c r="F1191" i="7"/>
  <c r="F1192" i="7"/>
  <c r="F1193" i="7"/>
  <c r="F1194" i="7"/>
  <c r="F1195" i="7"/>
  <c r="F1196" i="7"/>
  <c r="F1197" i="7"/>
  <c r="F1198" i="7"/>
  <c r="F1199" i="7"/>
  <c r="F1200" i="7"/>
  <c r="F1201" i="7"/>
  <c r="F1202" i="7"/>
  <c r="F1203" i="7"/>
  <c r="F1204" i="7"/>
  <c r="F1205" i="7"/>
  <c r="F1206" i="7"/>
  <c r="F1207" i="7"/>
  <c r="F1208" i="7"/>
  <c r="F1209" i="7"/>
  <c r="F1210" i="7"/>
  <c r="F1211" i="7"/>
  <c r="F1212" i="7"/>
  <c r="F1213" i="7"/>
  <c r="F1214" i="7"/>
  <c r="F1215" i="7"/>
  <c r="F1216" i="7"/>
  <c r="F1217" i="7"/>
  <c r="F1218" i="7"/>
  <c r="F1219" i="7"/>
  <c r="F1220" i="7"/>
  <c r="F1221" i="7"/>
  <c r="F1222" i="7"/>
  <c r="F1223" i="7"/>
  <c r="F1224" i="7"/>
  <c r="F1225" i="7"/>
  <c r="F1226" i="7"/>
  <c r="F1227" i="7"/>
  <c r="F1228" i="7"/>
  <c r="F1229" i="7"/>
  <c r="F1230" i="7"/>
  <c r="F1231" i="7"/>
  <c r="F1232" i="7"/>
  <c r="F1233" i="7"/>
  <c r="F1234" i="7"/>
  <c r="F1235" i="7"/>
  <c r="F1236" i="7"/>
  <c r="F1237" i="7"/>
  <c r="F1238" i="7"/>
  <c r="F1239" i="7"/>
  <c r="F1240" i="7"/>
  <c r="F1241" i="7"/>
  <c r="F1242" i="7"/>
  <c r="F1243" i="7"/>
  <c r="F1244" i="7"/>
  <c r="F1245" i="7"/>
  <c r="F1246" i="7"/>
  <c r="F1247" i="7"/>
  <c r="F1248" i="7"/>
  <c r="F1249" i="7"/>
  <c r="F1250" i="7"/>
  <c r="F1251" i="7"/>
  <c r="F1252" i="7"/>
  <c r="F1253" i="7"/>
  <c r="F1254" i="7"/>
  <c r="F1255" i="7"/>
  <c r="F1256" i="7"/>
  <c r="F1257" i="7"/>
  <c r="F1258" i="7"/>
  <c r="F1259" i="7"/>
  <c r="F1260" i="7"/>
  <c r="F1261" i="7"/>
  <c r="F1262" i="7"/>
  <c r="F1263" i="7"/>
  <c r="F1264" i="7"/>
  <c r="F1265" i="7"/>
  <c r="F1266" i="7"/>
  <c r="F1267" i="7"/>
  <c r="F1268" i="7"/>
  <c r="F1269" i="7"/>
  <c r="F1270" i="7"/>
  <c r="F1271" i="7"/>
  <c r="F1272" i="7"/>
  <c r="F1273" i="7"/>
  <c r="F1274" i="7"/>
  <c r="F1275" i="7"/>
  <c r="F1276" i="7"/>
  <c r="F1277" i="7"/>
  <c r="F1278" i="7"/>
  <c r="F1279" i="7"/>
  <c r="F1280" i="7"/>
  <c r="F1281" i="7"/>
  <c r="F1282" i="7"/>
  <c r="F1283" i="7"/>
  <c r="F1284" i="7"/>
  <c r="F1285" i="7"/>
  <c r="F1286" i="7"/>
  <c r="F1287" i="7"/>
  <c r="F1288" i="7"/>
  <c r="F1289" i="7"/>
  <c r="F1290" i="7"/>
  <c r="F1291" i="7"/>
  <c r="F1292" i="7"/>
  <c r="F1293" i="7"/>
  <c r="F1294" i="7"/>
  <c r="F1295" i="7"/>
  <c r="F1296" i="7"/>
  <c r="F1297" i="7"/>
  <c r="F1298" i="7"/>
  <c r="F1299" i="7"/>
  <c r="F1300" i="7"/>
  <c r="F1301" i="7"/>
  <c r="F1302" i="7"/>
  <c r="F1303" i="7"/>
  <c r="F1304" i="7"/>
  <c r="F1305" i="7"/>
  <c r="F1306" i="7"/>
  <c r="F1307" i="7"/>
  <c r="F1308" i="7"/>
  <c r="F1309" i="7"/>
  <c r="F1310" i="7"/>
  <c r="F1311" i="7"/>
  <c r="F1312" i="7"/>
  <c r="F1313" i="7"/>
  <c r="F1314" i="7"/>
  <c r="F1315" i="7"/>
  <c r="F1316" i="7"/>
  <c r="F1317" i="7"/>
  <c r="F1318" i="7"/>
  <c r="F1319" i="7"/>
  <c r="F1320" i="7"/>
  <c r="F1321" i="7"/>
  <c r="F1322" i="7"/>
  <c r="F1323" i="7"/>
  <c r="F1324" i="7"/>
  <c r="F1325" i="7"/>
  <c r="F1326" i="7"/>
  <c r="F1327" i="7"/>
  <c r="F1328" i="7"/>
  <c r="F1329" i="7"/>
  <c r="F1330" i="7"/>
  <c r="F1331" i="7"/>
  <c r="F1332" i="7"/>
  <c r="F1333" i="7"/>
  <c r="F1334" i="7"/>
  <c r="F1335" i="7"/>
  <c r="F1336" i="7"/>
  <c r="F1337" i="7"/>
  <c r="F1338" i="7"/>
  <c r="F1339" i="7"/>
  <c r="F1340" i="7"/>
  <c r="F1341" i="7"/>
  <c r="F1342" i="7"/>
  <c r="F1343" i="7"/>
  <c r="F1344" i="7"/>
  <c r="F1345" i="7"/>
  <c r="F1346" i="7"/>
  <c r="F1347" i="7"/>
  <c r="F1348" i="7"/>
  <c r="F1349" i="7"/>
  <c r="F1350" i="7"/>
  <c r="F1351" i="7"/>
  <c r="F1352" i="7"/>
  <c r="F1353" i="7"/>
  <c r="F1354" i="7"/>
  <c r="F1355" i="7"/>
  <c r="F1356" i="7"/>
  <c r="F1357" i="7"/>
  <c r="F1358" i="7"/>
  <c r="F1359" i="7"/>
  <c r="F1360" i="7"/>
  <c r="F1361" i="7"/>
  <c r="F1362" i="7"/>
  <c r="F1363" i="7"/>
  <c r="F1364" i="7"/>
  <c r="F1365" i="7"/>
  <c r="F1366" i="7"/>
  <c r="F1367" i="7"/>
  <c r="F1368" i="7"/>
  <c r="F1369" i="7"/>
  <c r="F1370" i="7"/>
  <c r="F1371" i="7"/>
  <c r="F1372" i="7"/>
  <c r="F1373" i="7"/>
  <c r="F1374" i="7"/>
  <c r="F1375" i="7"/>
  <c r="F1376" i="7"/>
  <c r="F1377" i="7"/>
  <c r="F1378" i="7"/>
  <c r="F1379" i="7"/>
  <c r="F1380" i="7"/>
  <c r="F1381" i="7"/>
  <c r="F1382" i="7"/>
  <c r="F1383" i="7"/>
  <c r="F1384" i="7"/>
  <c r="F1385" i="7"/>
  <c r="F1386" i="7"/>
  <c r="F1387" i="7"/>
  <c r="F1388" i="7"/>
  <c r="F1389" i="7"/>
  <c r="F1390" i="7"/>
  <c r="F1391" i="7"/>
  <c r="F1392" i="7"/>
  <c r="F1393" i="7"/>
  <c r="F1394" i="7"/>
  <c r="F1395" i="7"/>
  <c r="F1396" i="7"/>
  <c r="F1397" i="7"/>
  <c r="F1398" i="7"/>
  <c r="F1399" i="7"/>
  <c r="F1400" i="7"/>
  <c r="F1401" i="7"/>
  <c r="F1402" i="7"/>
  <c r="F1403" i="7"/>
  <c r="F1404" i="7"/>
  <c r="F1405" i="7"/>
  <c r="F1406" i="7"/>
  <c r="F1407" i="7"/>
  <c r="F1408" i="7"/>
  <c r="F1409" i="7"/>
  <c r="F1410" i="7"/>
  <c r="F1411" i="7"/>
  <c r="F1412" i="7"/>
  <c r="F1413" i="7"/>
  <c r="F1414" i="7"/>
  <c r="F1415" i="7"/>
  <c r="F1416" i="7"/>
  <c r="F1417" i="7"/>
  <c r="F1418" i="7"/>
  <c r="F1419" i="7"/>
  <c r="F1420" i="7"/>
  <c r="F1421" i="7"/>
  <c r="F1422" i="7"/>
  <c r="F1423" i="7"/>
  <c r="F1424" i="7"/>
  <c r="F1425" i="7"/>
  <c r="F1426" i="7"/>
  <c r="F1427" i="7"/>
  <c r="F1428" i="7"/>
  <c r="F1429" i="7"/>
  <c r="F1430" i="7"/>
  <c r="F1431" i="7"/>
  <c r="F1432" i="7"/>
  <c r="F1433" i="7"/>
  <c r="F1434" i="7"/>
  <c r="F1435" i="7"/>
  <c r="F1436" i="7"/>
  <c r="F1437" i="7"/>
  <c r="F1438" i="7"/>
  <c r="F1439" i="7"/>
  <c r="F1440" i="7"/>
  <c r="F1441" i="7"/>
  <c r="F1442" i="7"/>
  <c r="F1443" i="7"/>
  <c r="F1444" i="7"/>
  <c r="F1445" i="7"/>
  <c r="F1446" i="7"/>
  <c r="F1447" i="7"/>
  <c r="F1448" i="7"/>
  <c r="F1449" i="7"/>
  <c r="F1450" i="7"/>
  <c r="F1451" i="7"/>
  <c r="F1452" i="7"/>
  <c r="F1453" i="7"/>
  <c r="F1454" i="7"/>
  <c r="F1455" i="7"/>
  <c r="F1456" i="7"/>
  <c r="F1457" i="7"/>
  <c r="F1458" i="7"/>
  <c r="F1459" i="7"/>
  <c r="F1460" i="7"/>
  <c r="F1461" i="7"/>
  <c r="F1462" i="7"/>
  <c r="F1463" i="7"/>
  <c r="F1464" i="7"/>
  <c r="F1465" i="7"/>
  <c r="F1466" i="7"/>
  <c r="F1467" i="7"/>
  <c r="F1468" i="7"/>
  <c r="F1469" i="7"/>
  <c r="F1470" i="7"/>
  <c r="F1471" i="7"/>
  <c r="F1472" i="7"/>
  <c r="F1473" i="7"/>
  <c r="F1474" i="7"/>
  <c r="F1475" i="7"/>
  <c r="F1476" i="7"/>
  <c r="F1477" i="7"/>
  <c r="F1478" i="7"/>
  <c r="F1479" i="7"/>
  <c r="F1480" i="7"/>
  <c r="F1481" i="7"/>
  <c r="F1482" i="7"/>
  <c r="F1483" i="7"/>
  <c r="F1484" i="7"/>
  <c r="F1485" i="7"/>
  <c r="F1486" i="7"/>
  <c r="F1487" i="7"/>
  <c r="F1488" i="7"/>
  <c r="F1489" i="7"/>
  <c r="F1490" i="7"/>
  <c r="F1491" i="7"/>
  <c r="F1492" i="7"/>
  <c r="F1493" i="7"/>
  <c r="F1494" i="7"/>
  <c r="F1495" i="7"/>
  <c r="F1496" i="7"/>
  <c r="F1497" i="7"/>
  <c r="F1498" i="7"/>
  <c r="F1499" i="7"/>
  <c r="F1500" i="7"/>
  <c r="F1501" i="7"/>
  <c r="F1502" i="7"/>
  <c r="F1503" i="7"/>
  <c r="F1504" i="7"/>
  <c r="F1505" i="7"/>
  <c r="F1506" i="7"/>
  <c r="F1507" i="7"/>
  <c r="F1508" i="7"/>
  <c r="F1509" i="7"/>
  <c r="F1510" i="7"/>
  <c r="F1511" i="7"/>
  <c r="F1512" i="7"/>
  <c r="F1513" i="7"/>
  <c r="F1514" i="7"/>
  <c r="F1515" i="7"/>
  <c r="F1516" i="7"/>
  <c r="F1517" i="7"/>
  <c r="F1518" i="7"/>
  <c r="F1519" i="7"/>
  <c r="F1520" i="7"/>
  <c r="F1521" i="7"/>
  <c r="F1522" i="7"/>
  <c r="F1523" i="7"/>
  <c r="F1524" i="7"/>
  <c r="F1525" i="7"/>
  <c r="F1526" i="7"/>
  <c r="F1527" i="7"/>
  <c r="F1528" i="7"/>
  <c r="F1529" i="7"/>
  <c r="F1530" i="7"/>
  <c r="F1531" i="7"/>
  <c r="F1532" i="7"/>
  <c r="F1533" i="7"/>
  <c r="F1534" i="7"/>
  <c r="F1535" i="7"/>
  <c r="F1536" i="7"/>
  <c r="F1537" i="7"/>
  <c r="F1538" i="7"/>
  <c r="F1539" i="7"/>
  <c r="F1540" i="7"/>
  <c r="F1541" i="7"/>
  <c r="F1542" i="7"/>
  <c r="F1543" i="7"/>
  <c r="F1544" i="7"/>
  <c r="F1545" i="7"/>
  <c r="F1546" i="7"/>
  <c r="F1547" i="7"/>
  <c r="F1548" i="7"/>
  <c r="F1549" i="7"/>
  <c r="F1550" i="7"/>
  <c r="F1551" i="7"/>
  <c r="F1552" i="7"/>
  <c r="F1553" i="7"/>
  <c r="F1554" i="7"/>
  <c r="F1555" i="7"/>
  <c r="F1556" i="7"/>
  <c r="F1557" i="7"/>
  <c r="F1558" i="7"/>
  <c r="F1559" i="7"/>
  <c r="F1560" i="7"/>
  <c r="F1561" i="7"/>
  <c r="F1562" i="7"/>
  <c r="F1563" i="7"/>
  <c r="F1564" i="7"/>
  <c r="F1565" i="7"/>
  <c r="F1566" i="7"/>
  <c r="F1567" i="7"/>
  <c r="F1568" i="7"/>
  <c r="F1569" i="7"/>
  <c r="F1570" i="7"/>
  <c r="F1571" i="7"/>
  <c r="F1572" i="7"/>
  <c r="F1573" i="7"/>
  <c r="F1574" i="7"/>
  <c r="F1575" i="7"/>
  <c r="F1576" i="7"/>
  <c r="F1577" i="7"/>
  <c r="F1578" i="7"/>
  <c r="F1579" i="7"/>
  <c r="F1580" i="7"/>
  <c r="F1581" i="7"/>
  <c r="F1582" i="7"/>
  <c r="F1583" i="7"/>
  <c r="F1584" i="7"/>
  <c r="F1585" i="7"/>
  <c r="F1586" i="7"/>
  <c r="F1587" i="7"/>
  <c r="F1588" i="7"/>
  <c r="F1589" i="7"/>
  <c r="F1590" i="7"/>
  <c r="F1591" i="7"/>
  <c r="F1592" i="7"/>
  <c r="F1593" i="7"/>
  <c r="F1594" i="7"/>
  <c r="F1595" i="7"/>
  <c r="F1596" i="7"/>
  <c r="F1597" i="7"/>
  <c r="F1598" i="7"/>
  <c r="F1599" i="7"/>
  <c r="F1600" i="7"/>
  <c r="F1601" i="7"/>
  <c r="F1602" i="7"/>
  <c r="F1603" i="7"/>
  <c r="F1604" i="7"/>
  <c r="F1605" i="7"/>
  <c r="F1606" i="7"/>
  <c r="F1607" i="7"/>
  <c r="F1608" i="7"/>
  <c r="F1609" i="7"/>
  <c r="F1610" i="7"/>
  <c r="F1611" i="7"/>
  <c r="F1612" i="7"/>
  <c r="F1613" i="7"/>
  <c r="F1614" i="7"/>
  <c r="F1615" i="7"/>
  <c r="F1616" i="7"/>
  <c r="F1617" i="7"/>
  <c r="F1618" i="7"/>
  <c r="F1619" i="7"/>
  <c r="F1620" i="7"/>
  <c r="F1621" i="7"/>
  <c r="F1622" i="7"/>
  <c r="F1623" i="7"/>
  <c r="F1624" i="7"/>
  <c r="F1625" i="7"/>
  <c r="F1626" i="7"/>
  <c r="F1627" i="7"/>
  <c r="F1628" i="7"/>
  <c r="F1629" i="7"/>
  <c r="F1630" i="7"/>
  <c r="F1631" i="7"/>
  <c r="F1632" i="7"/>
  <c r="F1633" i="7"/>
  <c r="F1634" i="7"/>
  <c r="F1635" i="7"/>
  <c r="F1636" i="7"/>
  <c r="F1637" i="7"/>
  <c r="F1638" i="7"/>
  <c r="F1639" i="7"/>
  <c r="F1640" i="7"/>
  <c r="F1641" i="7"/>
  <c r="F1642" i="7"/>
  <c r="F1643" i="7"/>
  <c r="F1644" i="7"/>
  <c r="F1645" i="7"/>
  <c r="F1646" i="7"/>
  <c r="F1647" i="7"/>
  <c r="F1648" i="7"/>
  <c r="F1649" i="7"/>
  <c r="F1650" i="7"/>
  <c r="F1651" i="7"/>
  <c r="F1652" i="7"/>
  <c r="F1653" i="7"/>
  <c r="F1654" i="7"/>
  <c r="F1655" i="7"/>
  <c r="F1656" i="7"/>
  <c r="F1657" i="7"/>
  <c r="F1658" i="7"/>
  <c r="F1659" i="7"/>
  <c r="F1660" i="7"/>
  <c r="F1661" i="7"/>
  <c r="F1662" i="7"/>
  <c r="F1663" i="7"/>
  <c r="F1664" i="7"/>
  <c r="F1665" i="7"/>
  <c r="F1666" i="7"/>
  <c r="F1667" i="7"/>
  <c r="F1668" i="7"/>
  <c r="F1669" i="7"/>
  <c r="F1670" i="7"/>
  <c r="F1671" i="7"/>
  <c r="F1672" i="7"/>
  <c r="F1673" i="7"/>
  <c r="F1674" i="7"/>
  <c r="F1675" i="7"/>
  <c r="F1676" i="7"/>
  <c r="F1677" i="7"/>
  <c r="F1678" i="7"/>
  <c r="F1679" i="7"/>
  <c r="F1680" i="7"/>
  <c r="F1681" i="7"/>
  <c r="F1682" i="7"/>
  <c r="F1683" i="7"/>
  <c r="F1684" i="7"/>
  <c r="F1685" i="7"/>
  <c r="F1686" i="7"/>
  <c r="F1687" i="7"/>
  <c r="F1688" i="7"/>
  <c r="F1689" i="7"/>
  <c r="F1690" i="7"/>
  <c r="F1691" i="7"/>
  <c r="F1692" i="7"/>
  <c r="F1693" i="7"/>
  <c r="F1694" i="7"/>
  <c r="F1695" i="7"/>
  <c r="F1696" i="7"/>
  <c r="F1697" i="7"/>
  <c r="F1698" i="7"/>
  <c r="F1699" i="7"/>
  <c r="F1700" i="7"/>
  <c r="F1701" i="7"/>
  <c r="F1702" i="7"/>
  <c r="F1703" i="7"/>
  <c r="F1704" i="7"/>
  <c r="F1705" i="7"/>
  <c r="F1706" i="7"/>
  <c r="F1707" i="7"/>
  <c r="F1708" i="7"/>
  <c r="F1709" i="7"/>
  <c r="F1710" i="7"/>
  <c r="F1711" i="7"/>
  <c r="F1712" i="7"/>
  <c r="F1713" i="7"/>
  <c r="F1714" i="7"/>
  <c r="F1715" i="7"/>
  <c r="F1716" i="7"/>
  <c r="F1717" i="7"/>
  <c r="F1718" i="7"/>
  <c r="F1719" i="7"/>
  <c r="F1720" i="7"/>
  <c r="F1721" i="7"/>
  <c r="F1722" i="7"/>
  <c r="F1723" i="7"/>
  <c r="F1724" i="7"/>
  <c r="F1725" i="7"/>
  <c r="F1726" i="7"/>
  <c r="F1727" i="7"/>
  <c r="F1728" i="7"/>
  <c r="F1729" i="7"/>
  <c r="F1730" i="7"/>
  <c r="F1731" i="7"/>
  <c r="F1732" i="7"/>
  <c r="F1733" i="7"/>
  <c r="F1734" i="7"/>
  <c r="F1735" i="7"/>
  <c r="F1736" i="7"/>
  <c r="F1737" i="7"/>
  <c r="F1738" i="7"/>
  <c r="F1739" i="7"/>
  <c r="F1740" i="7"/>
  <c r="F1741" i="7"/>
  <c r="F1742" i="7"/>
  <c r="F1743" i="7"/>
  <c r="F1744" i="7"/>
  <c r="F1745" i="7"/>
  <c r="F1746" i="7"/>
  <c r="F1747" i="7"/>
  <c r="F1748" i="7"/>
  <c r="F1749" i="7"/>
  <c r="F1750" i="7"/>
  <c r="F1751" i="7"/>
  <c r="F1752" i="7"/>
  <c r="F1753" i="7"/>
  <c r="F1754" i="7"/>
  <c r="F1755" i="7"/>
  <c r="F1756" i="7"/>
  <c r="F1757" i="7"/>
  <c r="F1758" i="7"/>
  <c r="F1759" i="7"/>
  <c r="F1760" i="7"/>
  <c r="F1761" i="7"/>
  <c r="F1762" i="7"/>
  <c r="F1763" i="7"/>
  <c r="F1764" i="7"/>
  <c r="F1765" i="7"/>
  <c r="F1766" i="7"/>
  <c r="F1767" i="7"/>
  <c r="F1768" i="7"/>
  <c r="F1769" i="7"/>
  <c r="F1770" i="7"/>
  <c r="F1771" i="7"/>
  <c r="F1772" i="7"/>
  <c r="F1773" i="7"/>
  <c r="F1774" i="7"/>
  <c r="F1775" i="7"/>
  <c r="F1776" i="7"/>
  <c r="F1777" i="7"/>
  <c r="F1778" i="7"/>
  <c r="F1779" i="7"/>
  <c r="F1780" i="7"/>
  <c r="F1781" i="7"/>
  <c r="F1782" i="7"/>
  <c r="F1783" i="7"/>
  <c r="F1784" i="7"/>
  <c r="F1785" i="7"/>
  <c r="F1786" i="7"/>
  <c r="F1787" i="7"/>
  <c r="F1788" i="7"/>
  <c r="F1789" i="7"/>
  <c r="F1790" i="7"/>
  <c r="F1791" i="7"/>
  <c r="F1792" i="7"/>
  <c r="F1793" i="7"/>
  <c r="F1794" i="7"/>
  <c r="F1795" i="7"/>
  <c r="F1796" i="7"/>
  <c r="F1797" i="7"/>
  <c r="F1798" i="7"/>
  <c r="F1799" i="7"/>
  <c r="F1800" i="7"/>
  <c r="F1801" i="7"/>
  <c r="F1802" i="7"/>
  <c r="F1803" i="7"/>
  <c r="F1804" i="7"/>
  <c r="F1805" i="7"/>
  <c r="F1806" i="7"/>
  <c r="F1807" i="7"/>
  <c r="F1808" i="7"/>
  <c r="F1809" i="7"/>
  <c r="F1810" i="7"/>
  <c r="F1811" i="7"/>
  <c r="F1812" i="7"/>
  <c r="F1813" i="7"/>
  <c r="F1814" i="7"/>
  <c r="F1815" i="7"/>
  <c r="F1816" i="7"/>
  <c r="F1817" i="7"/>
  <c r="F1818" i="7"/>
  <c r="F1819" i="7"/>
  <c r="F1820" i="7"/>
  <c r="F1821" i="7"/>
  <c r="F1822" i="7"/>
  <c r="F1823" i="7"/>
  <c r="F1824" i="7"/>
  <c r="F1825" i="7"/>
  <c r="F1826" i="7"/>
  <c r="F1827" i="7"/>
  <c r="F1828" i="7"/>
  <c r="F1829" i="7"/>
  <c r="F1830" i="7"/>
  <c r="F1831" i="7"/>
  <c r="F1832" i="7"/>
  <c r="F1833" i="7"/>
  <c r="F1834" i="7"/>
  <c r="F1835" i="7"/>
  <c r="F1836" i="7"/>
  <c r="F1837" i="7"/>
  <c r="F1838" i="7"/>
  <c r="F1839" i="7"/>
  <c r="F1840" i="7"/>
  <c r="F1841" i="7"/>
  <c r="F1842" i="7"/>
  <c r="F1843" i="7"/>
  <c r="F1844" i="7"/>
  <c r="F1845" i="7"/>
  <c r="F1846" i="7"/>
  <c r="F1847" i="7"/>
  <c r="F1848" i="7"/>
  <c r="F1849" i="7"/>
  <c r="F1850" i="7"/>
  <c r="F1851" i="7"/>
  <c r="F1852" i="7"/>
  <c r="F1853" i="7"/>
  <c r="F1854" i="7"/>
  <c r="F1855" i="7"/>
  <c r="F1856" i="7"/>
  <c r="F1857" i="7"/>
  <c r="F1858" i="7"/>
  <c r="F1859" i="7"/>
  <c r="F1860" i="7"/>
  <c r="F1861" i="7"/>
  <c r="F1862" i="7"/>
  <c r="F1863" i="7"/>
  <c r="F1864" i="7"/>
  <c r="F1865" i="7"/>
  <c r="F1866" i="7"/>
  <c r="F1867" i="7"/>
  <c r="F1868" i="7"/>
  <c r="F1869" i="7"/>
  <c r="F1870" i="7"/>
  <c r="F1871" i="7"/>
  <c r="F1872" i="7"/>
  <c r="F1873" i="7"/>
  <c r="F1874" i="7"/>
  <c r="F1875" i="7"/>
  <c r="F1876" i="7"/>
  <c r="F1877" i="7"/>
  <c r="F1878" i="7"/>
  <c r="F1879" i="7"/>
  <c r="F1880" i="7"/>
  <c r="F1881" i="7"/>
  <c r="F1882" i="7"/>
  <c r="F1883" i="7"/>
  <c r="F1884" i="7"/>
  <c r="F1885" i="7"/>
  <c r="F1886" i="7"/>
  <c r="F1887" i="7"/>
  <c r="F1888" i="7"/>
  <c r="F1889" i="7"/>
  <c r="F1890" i="7"/>
  <c r="F1891" i="7"/>
  <c r="F1892" i="7"/>
  <c r="F1893" i="7"/>
  <c r="F1894" i="7"/>
  <c r="F1895" i="7"/>
  <c r="F1896" i="7"/>
  <c r="F1897" i="7"/>
  <c r="F1898" i="7"/>
  <c r="F1899" i="7"/>
  <c r="F1900" i="7"/>
  <c r="F1901" i="7"/>
  <c r="F1902" i="7"/>
  <c r="F1903" i="7"/>
  <c r="F1904" i="7"/>
  <c r="F1905" i="7"/>
  <c r="F1906" i="7"/>
  <c r="F1907" i="7"/>
  <c r="F1908" i="7"/>
  <c r="F1909" i="7"/>
  <c r="F1910" i="7"/>
  <c r="F1911" i="7"/>
  <c r="F1912" i="7"/>
  <c r="F1913" i="7"/>
  <c r="F1914" i="7"/>
  <c r="F1915" i="7"/>
  <c r="F1916" i="7"/>
  <c r="F1917" i="7"/>
  <c r="F1918" i="7"/>
  <c r="F1919" i="7"/>
  <c r="F1920" i="7"/>
  <c r="F1921" i="7"/>
  <c r="F1922" i="7"/>
  <c r="F1923" i="7"/>
  <c r="F1924" i="7"/>
  <c r="F1925" i="7"/>
  <c r="F1926" i="7"/>
  <c r="F1927" i="7"/>
  <c r="F1928" i="7"/>
  <c r="F1929" i="7"/>
  <c r="F1930" i="7"/>
  <c r="F1931" i="7"/>
  <c r="F1932" i="7"/>
  <c r="F1933" i="7"/>
  <c r="F1934" i="7"/>
  <c r="F1935" i="7"/>
  <c r="F1936" i="7"/>
  <c r="F1937" i="7"/>
  <c r="F1938" i="7"/>
  <c r="F1939" i="7"/>
  <c r="F1940" i="7"/>
  <c r="F1941" i="7"/>
  <c r="F1942" i="7"/>
  <c r="F1943" i="7"/>
  <c r="F1944" i="7"/>
  <c r="F1945" i="7"/>
  <c r="F1946" i="7"/>
  <c r="F1947" i="7"/>
  <c r="F1948" i="7"/>
  <c r="F1949" i="7"/>
  <c r="F1950" i="7"/>
  <c r="F1951" i="7"/>
  <c r="F1952" i="7"/>
  <c r="F1953" i="7"/>
  <c r="F1954" i="7"/>
  <c r="F1955" i="7"/>
  <c r="F1956" i="7"/>
  <c r="F1957" i="7"/>
  <c r="F1958" i="7"/>
  <c r="F1959" i="7"/>
  <c r="F1960" i="7"/>
  <c r="F1961" i="7"/>
  <c r="F1962" i="7"/>
  <c r="F1963" i="7"/>
  <c r="F1964" i="7"/>
  <c r="F1965" i="7"/>
  <c r="F1966" i="7"/>
  <c r="F1967" i="7"/>
  <c r="F1968" i="7"/>
  <c r="F1969" i="7"/>
  <c r="F1970" i="7"/>
  <c r="F1971" i="7"/>
  <c r="F1972" i="7"/>
  <c r="F1973" i="7"/>
  <c r="F1974" i="7"/>
  <c r="F1975" i="7"/>
  <c r="F1976" i="7"/>
  <c r="F1977" i="7"/>
  <c r="F1978" i="7"/>
  <c r="F1979" i="7"/>
  <c r="F1980" i="7"/>
  <c r="F1981" i="7"/>
  <c r="F1982" i="7"/>
  <c r="F1983" i="7"/>
  <c r="F1984" i="7"/>
  <c r="F1985" i="7"/>
  <c r="F1986" i="7"/>
  <c r="F1987" i="7"/>
  <c r="F1988" i="7"/>
  <c r="F1989" i="7"/>
  <c r="F1990" i="7"/>
  <c r="F1991" i="7"/>
  <c r="F1992" i="7"/>
  <c r="F1993" i="7"/>
  <c r="F1994" i="7"/>
  <c r="F1995" i="7"/>
  <c r="F1996" i="7"/>
  <c r="F1997" i="7"/>
  <c r="F1998" i="7"/>
  <c r="F1999" i="7"/>
  <c r="F2000" i="7"/>
  <c r="F2001" i="7"/>
  <c r="F2002" i="7"/>
  <c r="F2003" i="7"/>
  <c r="F2004" i="7"/>
  <c r="F2005" i="7"/>
  <c r="F2006" i="7"/>
  <c r="F2007" i="7"/>
  <c r="F2008" i="7"/>
  <c r="F2009" i="7"/>
  <c r="F2010" i="7"/>
  <c r="F2011" i="7"/>
  <c r="F2012" i="7"/>
  <c r="F2013" i="7"/>
  <c r="F2014" i="7"/>
  <c r="F2015" i="7"/>
  <c r="F2016" i="7"/>
  <c r="F2017" i="7"/>
  <c r="F2018" i="7"/>
  <c r="F2019" i="7"/>
  <c r="F2020" i="7"/>
  <c r="F2021" i="7"/>
  <c r="F2022" i="7"/>
  <c r="F2023" i="7"/>
  <c r="F2024" i="7"/>
  <c r="F2025" i="7"/>
  <c r="F2026" i="7"/>
  <c r="F2027" i="7"/>
  <c r="F2028" i="7"/>
  <c r="F2029" i="7"/>
  <c r="F2030" i="7"/>
  <c r="F2031" i="7"/>
  <c r="F2032" i="7"/>
  <c r="F2033" i="7"/>
  <c r="F2034" i="7"/>
  <c r="F2035" i="7"/>
  <c r="F2036" i="7"/>
  <c r="F2037" i="7"/>
  <c r="F2038" i="7"/>
  <c r="F2039" i="7"/>
  <c r="F2040" i="7"/>
  <c r="F2041" i="7"/>
  <c r="F2042" i="7"/>
  <c r="F2043" i="7"/>
  <c r="F2044" i="7"/>
  <c r="F2045" i="7"/>
  <c r="F2046" i="7"/>
  <c r="F2047" i="7"/>
  <c r="F2048" i="7"/>
  <c r="F2049" i="7"/>
  <c r="F2050" i="7"/>
  <c r="F2051" i="7"/>
  <c r="F2052" i="7"/>
  <c r="F2053" i="7"/>
  <c r="F2054" i="7"/>
  <c r="F2055" i="7"/>
  <c r="F2056" i="7"/>
  <c r="F2057" i="7"/>
  <c r="F2058" i="7"/>
  <c r="F2059" i="7"/>
  <c r="F2060" i="7"/>
  <c r="F2061" i="7"/>
  <c r="F2062" i="7"/>
  <c r="F2063" i="7"/>
  <c r="F2064" i="7"/>
  <c r="F2065" i="7"/>
  <c r="F2066" i="7"/>
  <c r="F2067" i="7"/>
  <c r="F2068" i="7"/>
  <c r="F2069" i="7"/>
  <c r="F2070" i="7"/>
  <c r="F2071" i="7"/>
  <c r="F2072" i="7"/>
  <c r="F2073" i="7"/>
  <c r="F2074" i="7"/>
  <c r="F2075" i="7"/>
  <c r="F2076" i="7"/>
  <c r="F2077" i="7"/>
  <c r="F2078" i="7"/>
  <c r="F2079" i="7"/>
  <c r="F2080" i="7"/>
  <c r="F2081" i="7"/>
  <c r="F2082" i="7"/>
  <c r="F2083" i="7"/>
  <c r="F2084" i="7"/>
  <c r="F2085" i="7"/>
  <c r="F2086" i="7"/>
  <c r="F2087" i="7"/>
  <c r="F2088" i="7"/>
  <c r="F2089" i="7"/>
  <c r="F2090" i="7"/>
  <c r="F2091" i="7"/>
  <c r="F2092" i="7"/>
  <c r="F2093" i="7"/>
  <c r="F2094" i="7"/>
  <c r="F2095" i="7"/>
  <c r="F2096" i="7"/>
  <c r="F2097" i="7"/>
  <c r="F2098" i="7"/>
  <c r="F2099" i="7"/>
  <c r="F2100" i="7"/>
  <c r="F2101" i="7"/>
  <c r="F2102" i="7"/>
  <c r="F2103" i="7"/>
  <c r="F2104" i="7"/>
  <c r="F2105" i="7"/>
  <c r="F2106" i="7"/>
  <c r="F2107" i="7"/>
  <c r="F2108" i="7"/>
  <c r="F2109" i="7"/>
  <c r="F2110" i="7"/>
  <c r="F2111" i="7"/>
  <c r="F2112" i="7"/>
  <c r="F2113" i="7"/>
  <c r="F2114" i="7"/>
  <c r="F2115" i="7"/>
  <c r="F2116" i="7"/>
  <c r="F2117" i="7"/>
  <c r="F2118" i="7"/>
  <c r="F2119" i="7"/>
  <c r="F2120" i="7"/>
  <c r="F2121" i="7"/>
  <c r="F2122" i="7"/>
  <c r="F2123" i="7"/>
  <c r="F2124" i="7"/>
  <c r="F2125" i="7"/>
  <c r="F2126" i="7"/>
  <c r="F2127" i="7"/>
  <c r="F2128" i="7"/>
  <c r="F2129" i="7"/>
  <c r="F2130" i="7"/>
  <c r="F2131" i="7"/>
  <c r="F2132" i="7"/>
  <c r="F2133" i="7"/>
  <c r="F2134" i="7"/>
  <c r="F2135" i="7"/>
  <c r="F2136" i="7"/>
  <c r="F2137" i="7"/>
  <c r="F2138" i="7"/>
  <c r="F2139" i="7"/>
  <c r="F2140" i="7"/>
  <c r="F2141" i="7"/>
  <c r="F2142" i="7"/>
  <c r="F2143" i="7"/>
  <c r="F2144" i="7"/>
  <c r="F2145" i="7"/>
  <c r="F2146" i="7"/>
  <c r="F2147" i="7"/>
  <c r="F2148" i="7"/>
  <c r="F2149" i="7"/>
  <c r="F2150" i="7"/>
  <c r="F2151" i="7"/>
  <c r="F2152" i="7"/>
  <c r="F2153" i="7"/>
  <c r="F2154" i="7"/>
  <c r="F2155" i="7"/>
  <c r="F2156" i="7"/>
  <c r="F2157" i="7"/>
  <c r="F2158" i="7"/>
  <c r="F2159" i="7"/>
  <c r="F2160" i="7"/>
  <c r="F2161" i="7"/>
  <c r="F2162" i="7"/>
  <c r="F2163" i="7"/>
  <c r="F2164" i="7"/>
  <c r="F2165" i="7"/>
  <c r="F2166" i="7"/>
  <c r="F2167" i="7"/>
  <c r="F2168" i="7"/>
  <c r="F2169" i="7"/>
  <c r="F2170" i="7"/>
  <c r="F2171" i="7"/>
  <c r="F2172" i="7"/>
  <c r="F2173" i="7"/>
  <c r="F2174" i="7"/>
  <c r="F2175" i="7"/>
  <c r="F2176" i="7"/>
  <c r="F2177" i="7"/>
  <c r="F2178" i="7"/>
  <c r="F2179" i="7"/>
  <c r="F2180" i="7"/>
  <c r="F2181" i="7"/>
  <c r="F2182" i="7"/>
  <c r="F2183" i="7"/>
  <c r="F2184" i="7"/>
  <c r="F2185" i="7"/>
  <c r="F2186" i="7"/>
  <c r="F2187" i="7"/>
  <c r="F2188" i="7"/>
  <c r="F2189" i="7"/>
  <c r="F2190" i="7"/>
  <c r="F2191" i="7"/>
  <c r="F2192" i="7"/>
  <c r="F2193" i="7"/>
  <c r="F2194" i="7"/>
  <c r="F2195" i="7"/>
  <c r="F2196" i="7"/>
  <c r="F2197" i="7"/>
  <c r="F2198" i="7"/>
  <c r="F2199" i="7"/>
  <c r="F2200" i="7"/>
  <c r="F2201" i="7"/>
  <c r="F2202" i="7"/>
  <c r="F2203" i="7"/>
  <c r="F2204" i="7"/>
  <c r="F2205" i="7"/>
  <c r="F2206" i="7"/>
  <c r="F2207" i="7"/>
  <c r="F2208" i="7"/>
  <c r="F2209" i="7"/>
  <c r="F2210" i="7"/>
  <c r="F2211" i="7"/>
  <c r="F2212" i="7"/>
  <c r="F2213" i="7"/>
  <c r="F2214" i="7"/>
  <c r="F2215" i="7"/>
  <c r="F2216" i="7"/>
  <c r="F2217" i="7"/>
  <c r="F2218" i="7"/>
  <c r="F2219" i="7"/>
  <c r="F2220" i="7"/>
  <c r="F2221" i="7"/>
  <c r="F2222" i="7"/>
  <c r="F2223" i="7"/>
  <c r="F2224" i="7"/>
  <c r="F2225" i="7"/>
  <c r="F2226" i="7"/>
  <c r="F2227" i="7"/>
  <c r="F2228" i="7"/>
  <c r="F2229" i="7"/>
  <c r="F2230" i="7"/>
  <c r="F2231" i="7"/>
  <c r="F2232" i="7"/>
  <c r="F2233" i="7"/>
  <c r="F2234" i="7"/>
  <c r="F2235" i="7"/>
  <c r="F2236" i="7"/>
  <c r="F2237" i="7"/>
  <c r="F2238" i="7"/>
  <c r="F2239" i="7"/>
  <c r="F2240" i="7"/>
  <c r="F2241" i="7"/>
  <c r="F2242" i="7"/>
  <c r="F2243" i="7"/>
  <c r="F2244" i="7"/>
  <c r="F2245" i="7"/>
  <c r="F2246" i="7"/>
  <c r="F2247" i="7"/>
  <c r="F2248" i="7"/>
  <c r="F2249" i="7"/>
  <c r="F2250" i="7"/>
  <c r="F2251" i="7"/>
  <c r="F2252" i="7"/>
  <c r="F2253" i="7"/>
  <c r="F2254" i="7"/>
  <c r="F2255" i="7"/>
  <c r="F2256" i="7"/>
  <c r="F2257" i="7"/>
  <c r="F2258" i="7"/>
  <c r="F2259" i="7"/>
  <c r="F2260" i="7"/>
  <c r="F2261" i="7"/>
  <c r="F2262" i="7"/>
  <c r="F2263" i="7"/>
  <c r="F2264" i="7"/>
  <c r="F2265" i="7"/>
  <c r="F2266" i="7"/>
  <c r="F2267" i="7"/>
  <c r="F2268" i="7"/>
  <c r="F2269" i="7"/>
  <c r="F2270" i="7"/>
  <c r="F2271" i="7"/>
  <c r="F2272" i="7"/>
  <c r="F2273" i="7"/>
  <c r="F2274" i="7"/>
  <c r="F2275" i="7"/>
  <c r="F2276" i="7"/>
  <c r="F2277" i="7"/>
  <c r="F2278" i="7"/>
  <c r="F2279" i="7"/>
  <c r="F2280" i="7"/>
  <c r="F2281" i="7"/>
  <c r="F2282" i="7"/>
  <c r="F2283" i="7"/>
  <c r="F2284" i="7"/>
  <c r="F2285" i="7"/>
  <c r="F2286" i="7"/>
  <c r="F2287" i="7"/>
  <c r="F2288" i="7"/>
  <c r="F2289" i="7"/>
  <c r="F2290" i="7"/>
  <c r="F2291" i="7"/>
  <c r="F2292" i="7"/>
  <c r="F2293" i="7"/>
  <c r="F2294" i="7"/>
  <c r="F2295" i="7"/>
  <c r="F2296" i="7"/>
  <c r="F2297" i="7"/>
  <c r="F2298" i="7"/>
  <c r="F2299" i="7"/>
  <c r="F2300" i="7"/>
  <c r="F2301" i="7"/>
  <c r="F2302" i="7"/>
  <c r="F2303" i="7"/>
  <c r="F2304" i="7"/>
  <c r="F2305" i="7"/>
  <c r="F2306" i="7"/>
  <c r="F2307" i="7"/>
  <c r="F2308" i="7"/>
  <c r="F2309" i="7"/>
  <c r="F2310" i="7"/>
  <c r="F2311" i="7"/>
  <c r="F2312" i="7"/>
  <c r="F2313" i="7"/>
  <c r="F2314" i="7"/>
  <c r="F2315" i="7"/>
  <c r="F2316" i="7"/>
  <c r="F2317" i="7"/>
  <c r="F2318" i="7"/>
  <c r="F2319" i="7"/>
  <c r="F2320" i="7"/>
  <c r="F2321" i="7"/>
  <c r="F2322" i="7"/>
  <c r="F2323" i="7"/>
  <c r="F2324" i="7"/>
  <c r="F2325" i="7"/>
  <c r="F2326" i="7"/>
  <c r="F2327" i="7"/>
  <c r="F2328" i="7"/>
  <c r="F2329" i="7"/>
  <c r="F2330" i="7"/>
  <c r="F2331" i="7"/>
  <c r="F2332" i="7"/>
  <c r="F2333" i="7"/>
  <c r="F2334" i="7"/>
  <c r="F2335" i="7"/>
  <c r="F2336" i="7"/>
  <c r="F2337" i="7"/>
  <c r="F2338" i="7"/>
  <c r="F2339" i="7"/>
  <c r="F2340" i="7"/>
  <c r="F2341" i="7"/>
  <c r="F2342" i="7"/>
  <c r="F2343" i="7"/>
  <c r="F2344" i="7"/>
  <c r="F2345" i="7"/>
  <c r="F2346" i="7"/>
  <c r="F2347" i="7"/>
  <c r="F2348" i="7"/>
  <c r="F2349" i="7"/>
  <c r="F2350" i="7"/>
  <c r="F2351" i="7"/>
  <c r="F2352" i="7"/>
  <c r="F2353" i="7"/>
  <c r="F2354" i="7"/>
  <c r="F2355" i="7"/>
  <c r="F2356" i="7"/>
  <c r="F2357" i="7"/>
  <c r="F2358" i="7"/>
  <c r="F2359" i="7"/>
  <c r="F2360" i="7"/>
  <c r="F2361" i="7"/>
  <c r="F2362" i="7"/>
  <c r="F2363" i="7"/>
  <c r="F2364" i="7"/>
  <c r="F2365" i="7"/>
  <c r="F2366" i="7"/>
  <c r="F2367" i="7"/>
  <c r="F2368" i="7"/>
  <c r="F2369" i="7"/>
  <c r="F2370" i="7"/>
  <c r="F2371" i="7"/>
  <c r="F2372" i="7"/>
  <c r="F2373" i="7"/>
  <c r="F2374" i="7"/>
  <c r="F2375" i="7"/>
  <c r="F2376" i="7"/>
  <c r="F2377" i="7"/>
  <c r="F2378" i="7"/>
  <c r="F2379" i="7"/>
  <c r="F2380" i="7"/>
  <c r="F2381" i="7"/>
  <c r="F2382" i="7"/>
  <c r="F2383" i="7"/>
  <c r="F2384" i="7"/>
  <c r="F2385" i="7"/>
  <c r="F2386" i="7"/>
  <c r="F2387" i="7"/>
  <c r="F2388" i="7"/>
  <c r="F2389" i="7"/>
  <c r="F2390" i="7"/>
  <c r="F2391" i="7"/>
  <c r="F2392" i="7"/>
  <c r="F2393" i="7"/>
  <c r="F2394" i="7"/>
  <c r="F2395" i="7"/>
  <c r="F2396" i="7"/>
  <c r="F2397" i="7"/>
  <c r="F2398" i="7"/>
  <c r="F2399" i="7"/>
  <c r="F2400" i="7"/>
  <c r="F2401" i="7"/>
  <c r="F2402" i="7"/>
  <c r="F2403" i="7"/>
  <c r="F2404" i="7"/>
  <c r="F2405" i="7"/>
  <c r="F2406" i="7"/>
  <c r="F2407" i="7"/>
  <c r="F2408" i="7"/>
  <c r="F2409" i="7"/>
  <c r="F2410" i="7"/>
  <c r="F2411" i="7"/>
  <c r="F2412" i="7"/>
  <c r="F2413" i="7"/>
  <c r="F2414" i="7"/>
  <c r="F2415" i="7"/>
  <c r="F2416" i="7"/>
  <c r="F2417" i="7"/>
  <c r="F2418" i="7"/>
  <c r="F2419" i="7"/>
  <c r="F2420" i="7"/>
  <c r="F2421" i="7"/>
  <c r="F2422" i="7"/>
  <c r="F2423" i="7"/>
  <c r="F2424" i="7"/>
  <c r="F2425" i="7"/>
  <c r="F2426" i="7"/>
  <c r="F2427" i="7"/>
  <c r="F2428" i="7"/>
  <c r="F2429" i="7"/>
  <c r="F2430" i="7"/>
  <c r="F2431" i="7"/>
  <c r="F2432" i="7"/>
  <c r="F2433" i="7"/>
  <c r="F2434" i="7"/>
  <c r="F2435" i="7"/>
  <c r="F2436" i="7"/>
  <c r="F2437" i="7"/>
  <c r="F2438" i="7"/>
  <c r="F2439" i="7"/>
  <c r="F2440" i="7"/>
  <c r="F2441" i="7"/>
  <c r="F2442" i="7"/>
  <c r="F2443" i="7"/>
  <c r="F2444" i="7"/>
  <c r="F2445" i="7"/>
  <c r="F2446" i="7"/>
  <c r="F2447" i="7"/>
  <c r="F2448" i="7"/>
  <c r="F2449" i="7"/>
  <c r="F2450" i="7"/>
  <c r="F2451" i="7"/>
  <c r="F2452" i="7"/>
  <c r="F2453" i="7"/>
  <c r="F2454" i="7"/>
  <c r="F2455" i="7"/>
  <c r="F2456" i="7"/>
  <c r="F2457" i="7"/>
  <c r="F2458" i="7"/>
  <c r="F2459" i="7"/>
  <c r="F2460" i="7"/>
  <c r="F2461" i="7"/>
  <c r="F2462" i="7"/>
  <c r="F2463" i="7"/>
  <c r="F2464" i="7"/>
  <c r="F2465" i="7"/>
  <c r="F2466" i="7"/>
  <c r="F2467" i="7"/>
  <c r="F2468" i="7"/>
  <c r="F2469" i="7"/>
  <c r="F2470" i="7"/>
  <c r="F2471" i="7"/>
  <c r="F2472" i="7"/>
  <c r="F2473" i="7"/>
  <c r="F2474" i="7"/>
  <c r="F2475" i="7"/>
  <c r="F2476" i="7"/>
  <c r="F2477" i="7"/>
  <c r="F2478" i="7"/>
  <c r="F2479" i="7"/>
  <c r="F2480" i="7"/>
  <c r="F2481" i="7"/>
  <c r="F2482" i="7"/>
  <c r="F2483" i="7"/>
  <c r="F2484" i="7"/>
  <c r="F2485" i="7"/>
  <c r="F2486" i="7"/>
  <c r="F2487" i="7"/>
  <c r="F2488" i="7"/>
  <c r="F2489" i="7"/>
  <c r="F2490" i="7"/>
  <c r="F2491" i="7"/>
  <c r="F2492" i="7"/>
  <c r="F2493" i="7"/>
  <c r="F2494" i="7"/>
  <c r="F2495" i="7"/>
  <c r="F2496" i="7"/>
  <c r="F2497" i="7"/>
  <c r="F2498" i="7"/>
  <c r="F2499" i="7"/>
  <c r="F2500" i="7"/>
  <c r="F2501" i="7"/>
  <c r="F2502" i="7"/>
  <c r="F2503" i="7"/>
  <c r="F2504" i="7"/>
  <c r="F2505" i="7"/>
  <c r="F2506" i="7"/>
  <c r="F2507" i="7"/>
  <c r="F2508" i="7"/>
  <c r="F2509" i="7"/>
  <c r="F2510" i="7"/>
  <c r="F2511" i="7"/>
  <c r="F2512" i="7"/>
  <c r="F2513" i="7"/>
  <c r="F2514" i="7"/>
  <c r="F2515" i="7"/>
  <c r="F2516" i="7"/>
  <c r="F2517" i="7"/>
  <c r="F2518" i="7"/>
  <c r="F2519" i="7"/>
  <c r="F2520" i="7"/>
  <c r="F2521" i="7"/>
  <c r="F2522" i="7"/>
  <c r="F2523" i="7"/>
  <c r="F2524" i="7"/>
  <c r="F2525" i="7"/>
  <c r="F2526" i="7"/>
  <c r="F2527" i="7"/>
  <c r="F2528" i="7"/>
  <c r="F2529" i="7"/>
  <c r="F2530" i="7"/>
  <c r="F2531" i="7"/>
  <c r="F2532" i="7"/>
  <c r="F2533" i="7"/>
  <c r="F2534" i="7"/>
  <c r="F2535" i="7"/>
  <c r="F2536" i="7"/>
  <c r="F2537" i="7"/>
  <c r="F2538" i="7"/>
  <c r="F2539" i="7"/>
  <c r="F2540" i="7"/>
  <c r="F2541" i="7"/>
  <c r="F2542" i="7"/>
  <c r="F2543" i="7"/>
  <c r="F2544" i="7"/>
  <c r="F2545" i="7"/>
  <c r="F2546" i="7"/>
  <c r="F2547" i="7"/>
  <c r="F2548" i="7"/>
  <c r="F2549" i="7"/>
  <c r="F2550" i="7"/>
  <c r="F2551" i="7"/>
  <c r="F2552" i="7"/>
  <c r="F2553" i="7"/>
  <c r="F2554" i="7"/>
  <c r="F2555" i="7"/>
  <c r="F2556" i="7"/>
  <c r="F2557" i="7"/>
  <c r="F2558" i="7"/>
  <c r="F2559" i="7"/>
  <c r="F2560" i="7"/>
  <c r="F2561" i="7"/>
  <c r="F2562" i="7"/>
  <c r="F2563" i="7"/>
  <c r="F2564" i="7"/>
  <c r="F2565" i="7"/>
  <c r="F2566" i="7"/>
  <c r="F2567" i="7"/>
  <c r="F2568" i="7"/>
  <c r="F2569" i="7"/>
  <c r="F2570" i="7"/>
  <c r="F2571" i="7"/>
  <c r="F2572" i="7"/>
  <c r="F2573" i="7"/>
  <c r="F2574" i="7"/>
  <c r="F2575" i="7"/>
  <c r="F2576" i="7"/>
  <c r="F2577" i="7"/>
  <c r="F2578" i="7"/>
  <c r="F2579" i="7"/>
  <c r="F2580" i="7"/>
  <c r="F2581" i="7"/>
  <c r="F2582" i="7"/>
  <c r="F2583" i="7"/>
  <c r="F2584" i="7"/>
  <c r="F2585" i="7"/>
  <c r="F2586" i="7"/>
  <c r="F2587" i="7"/>
  <c r="F2588" i="7"/>
  <c r="F2589" i="7"/>
  <c r="F2590" i="7"/>
  <c r="F2591" i="7"/>
  <c r="F2592" i="7"/>
  <c r="F2593" i="7"/>
  <c r="F2594" i="7"/>
  <c r="F2595" i="7"/>
  <c r="F2596" i="7"/>
  <c r="F2597" i="7"/>
  <c r="F2598" i="7"/>
  <c r="F2599" i="7"/>
  <c r="F2600" i="7"/>
  <c r="F2601" i="7"/>
  <c r="F2602" i="7"/>
  <c r="F2603" i="7"/>
  <c r="F2604" i="7"/>
  <c r="F2605" i="7"/>
  <c r="F2606" i="7"/>
  <c r="F2607" i="7"/>
  <c r="F2608" i="7"/>
  <c r="F2609" i="7"/>
  <c r="F2610" i="7"/>
  <c r="F2611" i="7"/>
  <c r="F2612" i="7"/>
  <c r="F2613" i="7"/>
  <c r="F2614" i="7"/>
  <c r="F2615" i="7"/>
  <c r="F2616" i="7"/>
  <c r="F2617" i="7"/>
  <c r="F2618" i="7"/>
  <c r="F2619" i="7"/>
  <c r="F2620" i="7"/>
  <c r="F2621" i="7"/>
  <c r="F2622" i="7"/>
  <c r="F2623" i="7"/>
  <c r="F2624" i="7"/>
  <c r="F2625" i="7"/>
  <c r="F2626" i="7"/>
  <c r="F2627" i="7"/>
  <c r="F2628" i="7"/>
  <c r="F2629" i="7"/>
  <c r="F2630" i="7"/>
  <c r="F2631" i="7"/>
  <c r="F2632" i="7"/>
  <c r="F2633" i="7"/>
  <c r="F2634" i="7"/>
  <c r="F2635" i="7"/>
  <c r="F2636" i="7"/>
  <c r="F2637" i="7"/>
  <c r="F2638" i="7"/>
  <c r="F2639" i="7"/>
  <c r="F2640" i="7"/>
  <c r="F2641" i="7"/>
  <c r="F2642" i="7"/>
  <c r="F2643" i="7"/>
  <c r="F2644" i="7"/>
  <c r="F2645" i="7"/>
  <c r="F2646" i="7"/>
  <c r="F2647" i="7"/>
  <c r="F2648" i="7"/>
  <c r="F2649" i="7"/>
  <c r="F2650" i="7"/>
  <c r="F2651" i="7"/>
  <c r="F2652" i="7"/>
  <c r="F2653" i="7"/>
  <c r="F2654" i="7"/>
  <c r="F2655" i="7"/>
  <c r="F2656" i="7"/>
  <c r="F2657" i="7"/>
  <c r="F2658" i="7"/>
  <c r="F2659" i="7"/>
  <c r="F2660" i="7"/>
  <c r="F2661" i="7"/>
  <c r="F2662" i="7"/>
  <c r="F2663" i="7"/>
  <c r="F2664" i="7"/>
  <c r="F2665" i="7"/>
  <c r="F2666" i="7"/>
  <c r="F2667" i="7"/>
  <c r="F2668" i="7"/>
  <c r="F2669" i="7"/>
  <c r="F2670" i="7"/>
  <c r="F2671" i="7"/>
  <c r="F2672" i="7"/>
  <c r="F2673" i="7"/>
  <c r="F2674" i="7"/>
  <c r="F2675" i="7"/>
  <c r="F2676" i="7"/>
  <c r="F2677" i="7"/>
  <c r="F2678" i="7"/>
  <c r="F2679" i="7"/>
  <c r="F2680" i="7"/>
  <c r="F2681" i="7"/>
  <c r="F2682" i="7"/>
  <c r="F2683" i="7"/>
  <c r="F2684" i="7"/>
  <c r="F2685" i="7"/>
  <c r="F2686" i="7"/>
  <c r="F2687" i="7"/>
  <c r="F2688" i="7"/>
  <c r="F2689" i="7"/>
  <c r="F2690" i="7"/>
  <c r="F2691" i="7"/>
  <c r="F2692" i="7"/>
  <c r="F2693" i="7"/>
  <c r="F2694" i="7"/>
  <c r="F2695" i="7"/>
  <c r="F2696" i="7"/>
  <c r="F2697" i="7"/>
  <c r="F2698" i="7"/>
  <c r="F2699" i="7"/>
  <c r="F2700" i="7"/>
  <c r="F2701" i="7"/>
  <c r="F2702" i="7"/>
  <c r="F2703" i="7"/>
  <c r="F2704" i="7"/>
  <c r="F2705" i="7"/>
  <c r="F2706" i="7"/>
  <c r="F2707" i="7"/>
  <c r="F2708" i="7"/>
  <c r="F2709" i="7"/>
  <c r="F2710" i="7"/>
  <c r="F2711" i="7"/>
  <c r="F2712" i="7"/>
  <c r="F2713" i="7"/>
  <c r="F2714" i="7"/>
  <c r="F2715" i="7"/>
  <c r="F2716" i="7"/>
  <c r="F2717" i="7"/>
  <c r="F2718" i="7"/>
  <c r="F2719" i="7"/>
  <c r="F2720" i="7"/>
  <c r="F2721" i="7"/>
  <c r="F2722" i="7"/>
  <c r="F2723" i="7"/>
  <c r="F2724" i="7"/>
  <c r="F2725" i="7"/>
  <c r="F2726" i="7"/>
  <c r="F2727" i="7"/>
  <c r="F2728" i="7"/>
  <c r="F2729" i="7"/>
  <c r="F2730" i="7"/>
  <c r="F2731" i="7"/>
  <c r="F2732" i="7"/>
  <c r="F2733" i="7"/>
  <c r="F2734" i="7"/>
  <c r="F2735" i="7"/>
  <c r="F2736" i="7"/>
  <c r="F2737" i="7"/>
  <c r="F2738" i="7"/>
  <c r="F2739" i="7"/>
  <c r="F2740" i="7"/>
  <c r="F2741" i="7"/>
  <c r="F2742" i="7"/>
  <c r="F2743" i="7"/>
  <c r="F2744" i="7"/>
  <c r="F2745" i="7"/>
  <c r="F2746" i="7"/>
  <c r="F2747" i="7"/>
  <c r="F2748" i="7"/>
  <c r="F2749" i="7"/>
  <c r="F2750" i="7"/>
  <c r="F2751" i="7"/>
  <c r="F2752" i="7"/>
  <c r="F2753" i="7"/>
  <c r="F2754" i="7"/>
  <c r="F2755" i="7"/>
  <c r="F2756" i="7"/>
  <c r="F2757" i="7"/>
  <c r="F2758" i="7"/>
  <c r="F2759" i="7"/>
  <c r="F2760" i="7"/>
  <c r="F2761" i="7"/>
  <c r="F2762" i="7"/>
  <c r="F2763" i="7"/>
  <c r="F2764" i="7"/>
  <c r="F2765" i="7"/>
  <c r="F2766" i="7"/>
  <c r="F2767" i="7"/>
  <c r="F2768" i="7"/>
  <c r="F2769" i="7"/>
  <c r="F2770" i="7"/>
  <c r="F2771" i="7"/>
  <c r="F2772" i="7"/>
  <c r="F2773" i="7"/>
  <c r="F2774" i="7"/>
  <c r="F2775" i="7"/>
  <c r="F2776" i="7"/>
  <c r="F2777" i="7"/>
  <c r="F2778" i="7"/>
  <c r="F2779" i="7"/>
  <c r="F2780" i="7"/>
  <c r="F2781" i="7"/>
  <c r="F2782" i="7"/>
  <c r="F2783" i="7"/>
  <c r="F2784" i="7"/>
  <c r="F2785" i="7"/>
  <c r="F2786" i="7"/>
  <c r="F2787" i="7"/>
  <c r="F2788" i="7"/>
  <c r="F2789" i="7"/>
  <c r="F2790" i="7"/>
  <c r="F2791" i="7"/>
  <c r="F2792" i="7"/>
  <c r="F2793" i="7"/>
  <c r="F2794" i="7"/>
  <c r="F2795" i="7"/>
  <c r="F2796" i="7"/>
  <c r="F2797" i="7"/>
  <c r="F2798" i="7"/>
  <c r="F2799" i="7"/>
  <c r="F2800" i="7"/>
  <c r="F2801" i="7"/>
  <c r="F2802" i="7"/>
  <c r="F2803" i="7"/>
  <c r="F2804" i="7"/>
  <c r="F2805" i="7"/>
  <c r="F2806" i="7"/>
  <c r="F2807" i="7"/>
  <c r="F2808" i="7"/>
  <c r="F2809" i="7"/>
  <c r="F2810" i="7"/>
  <c r="F2811" i="7"/>
  <c r="F2812" i="7"/>
  <c r="F2813" i="7"/>
  <c r="F2814" i="7"/>
  <c r="F2815" i="7"/>
  <c r="F2816" i="7"/>
  <c r="F2817" i="7"/>
  <c r="F2818" i="7"/>
  <c r="F2819" i="7"/>
  <c r="F2820" i="7"/>
  <c r="F2821" i="7"/>
  <c r="F2822" i="7"/>
  <c r="F2823" i="7"/>
  <c r="F2824" i="7"/>
  <c r="F2825" i="7"/>
  <c r="F2826" i="7"/>
  <c r="F2827" i="7"/>
  <c r="F2828" i="7"/>
  <c r="F2829" i="7"/>
  <c r="F2830" i="7"/>
  <c r="F2831" i="7"/>
  <c r="F2832" i="7"/>
  <c r="F2833" i="7"/>
  <c r="F2834" i="7"/>
  <c r="F2835" i="7"/>
  <c r="F2836" i="7"/>
  <c r="F2837" i="7"/>
  <c r="F2838" i="7"/>
  <c r="F2839" i="7"/>
  <c r="F2840" i="7"/>
  <c r="F2841" i="7"/>
  <c r="F2842" i="7"/>
  <c r="F2843" i="7"/>
  <c r="F2844" i="7"/>
  <c r="F2845" i="7"/>
  <c r="F2846" i="7"/>
  <c r="F2847" i="7"/>
  <c r="F2848" i="7"/>
  <c r="F2849" i="7"/>
  <c r="F2850" i="7"/>
  <c r="F2851" i="7"/>
  <c r="F2852" i="7"/>
  <c r="F2853" i="7"/>
  <c r="F2854" i="7"/>
  <c r="F2855" i="7"/>
  <c r="F2856" i="7"/>
  <c r="F2857" i="7"/>
  <c r="F2858" i="7"/>
  <c r="F2859" i="7"/>
  <c r="F2860" i="7"/>
  <c r="F2861" i="7"/>
  <c r="F2862" i="7"/>
  <c r="F2863" i="7"/>
  <c r="F2864" i="7"/>
  <c r="F2865" i="7"/>
  <c r="F2866" i="7"/>
  <c r="F2867" i="7"/>
  <c r="F2868" i="7"/>
  <c r="F2869" i="7"/>
  <c r="F2870" i="7"/>
  <c r="F2871" i="7"/>
  <c r="F2872" i="7"/>
  <c r="F2873" i="7"/>
  <c r="F2874" i="7"/>
  <c r="F2875" i="7"/>
  <c r="F2876" i="7"/>
  <c r="F2877" i="7"/>
  <c r="F2878" i="7"/>
  <c r="F2879" i="7"/>
  <c r="F2880" i="7"/>
  <c r="F2881" i="7"/>
  <c r="F2882" i="7"/>
  <c r="F2883" i="7"/>
  <c r="F2884" i="7"/>
  <c r="F2885" i="7"/>
  <c r="F2886" i="7"/>
  <c r="F2887" i="7"/>
  <c r="F2888" i="7"/>
  <c r="F2889" i="7"/>
  <c r="F2890" i="7"/>
  <c r="F2891" i="7"/>
  <c r="F2892" i="7"/>
  <c r="F2893" i="7"/>
  <c r="F2894" i="7"/>
  <c r="F2895" i="7"/>
  <c r="F2896" i="7"/>
  <c r="F2897" i="7"/>
  <c r="F2898" i="7"/>
  <c r="F2899" i="7"/>
  <c r="F2900" i="7"/>
  <c r="F2901" i="7"/>
  <c r="F2902" i="7"/>
  <c r="F2903" i="7"/>
  <c r="F2904" i="7"/>
  <c r="F2905" i="7"/>
  <c r="F2906" i="7"/>
  <c r="F2907" i="7"/>
  <c r="F2908" i="7"/>
  <c r="F2909" i="7"/>
  <c r="F2910" i="7"/>
  <c r="F2911" i="7"/>
  <c r="F2912" i="7"/>
  <c r="F2913" i="7"/>
  <c r="F2914" i="7"/>
  <c r="F2915" i="7"/>
  <c r="F2916" i="7"/>
  <c r="F2917" i="7"/>
  <c r="F2918" i="7"/>
  <c r="F2919" i="7"/>
  <c r="F2920" i="7"/>
  <c r="F2921" i="7"/>
  <c r="F2922" i="7"/>
  <c r="F2923" i="7"/>
  <c r="F2924" i="7"/>
  <c r="F2925" i="7"/>
  <c r="F2926" i="7"/>
  <c r="F2927" i="7"/>
  <c r="F2928" i="7"/>
  <c r="F2929" i="7"/>
  <c r="F2930" i="7"/>
  <c r="F2931" i="7"/>
  <c r="F2932" i="7"/>
  <c r="F2933" i="7"/>
  <c r="F2934" i="7"/>
  <c r="F2935" i="7"/>
  <c r="F2936" i="7"/>
  <c r="F2937" i="7"/>
  <c r="F2938" i="7"/>
  <c r="F2939" i="7"/>
  <c r="F2940" i="7"/>
  <c r="F2941" i="7"/>
  <c r="F2942" i="7"/>
  <c r="F2943" i="7"/>
  <c r="F2944" i="7"/>
  <c r="F2945" i="7"/>
  <c r="F2946" i="7"/>
  <c r="F2947" i="7"/>
  <c r="F2948" i="7"/>
  <c r="F2949" i="7"/>
  <c r="F2950" i="7"/>
  <c r="F2951" i="7"/>
  <c r="F2952" i="7"/>
  <c r="F2953" i="7"/>
  <c r="F2954" i="7"/>
  <c r="F2955" i="7"/>
  <c r="F2956" i="7"/>
  <c r="F2957" i="7"/>
  <c r="F2958" i="7"/>
  <c r="F2959" i="7"/>
  <c r="F2960" i="7"/>
  <c r="F2961" i="7"/>
  <c r="F2962" i="7"/>
  <c r="F2963" i="7"/>
  <c r="F2964" i="7"/>
  <c r="F2965" i="7"/>
  <c r="F2966" i="7"/>
  <c r="F2967" i="7"/>
  <c r="F2968" i="7"/>
  <c r="F2969" i="7"/>
  <c r="F2970" i="7"/>
  <c r="F2971" i="7"/>
  <c r="F2972" i="7"/>
  <c r="F2973" i="7"/>
  <c r="F2974" i="7"/>
  <c r="F2975" i="7"/>
  <c r="F2976" i="7"/>
  <c r="F2977" i="7"/>
  <c r="F2978" i="7"/>
  <c r="F2979" i="7"/>
  <c r="F2980" i="7"/>
  <c r="F2981" i="7"/>
  <c r="F2982" i="7"/>
  <c r="F2983" i="7"/>
  <c r="F2984" i="7"/>
  <c r="F2985" i="7"/>
  <c r="F2986" i="7"/>
  <c r="F2987" i="7"/>
  <c r="F2988" i="7"/>
  <c r="F2989" i="7"/>
  <c r="F2990" i="7"/>
  <c r="F2991" i="7"/>
  <c r="F2992" i="7"/>
  <c r="F2993" i="7"/>
  <c r="F2994" i="7"/>
  <c r="F2995" i="7"/>
  <c r="F2996" i="7"/>
  <c r="F2997" i="7"/>
  <c r="F2998" i="7"/>
  <c r="F2999" i="7"/>
  <c r="F3000" i="7"/>
  <c r="F3001" i="7"/>
  <c r="F3002" i="7"/>
  <c r="F3003" i="7"/>
  <c r="F3004" i="7"/>
  <c r="F3005" i="7"/>
  <c r="F3006" i="7"/>
  <c r="F3007" i="7"/>
  <c r="F3008" i="7"/>
  <c r="F3009" i="7"/>
  <c r="F3010" i="7"/>
  <c r="F3011" i="7"/>
  <c r="F3012" i="7"/>
  <c r="F3013" i="7"/>
  <c r="F3014" i="7"/>
  <c r="F3015" i="7"/>
  <c r="F3016" i="7"/>
  <c r="F3017" i="7"/>
  <c r="F3018" i="7"/>
  <c r="F3019" i="7"/>
  <c r="F3020" i="7"/>
  <c r="F3021" i="7"/>
  <c r="F3022" i="7"/>
  <c r="F3023" i="7"/>
  <c r="F3024" i="7"/>
  <c r="F3025" i="7"/>
  <c r="F3026" i="7"/>
  <c r="F3027" i="7"/>
  <c r="F3028" i="7"/>
  <c r="F3029" i="7"/>
  <c r="F3030" i="7"/>
  <c r="F3031" i="7"/>
  <c r="F3032" i="7"/>
  <c r="F3033" i="7"/>
  <c r="F3034" i="7"/>
  <c r="F3035" i="7"/>
  <c r="F3036" i="7"/>
  <c r="F3037" i="7"/>
  <c r="F3038" i="7"/>
  <c r="F3039" i="7"/>
  <c r="F3040" i="7"/>
  <c r="F3041" i="7"/>
  <c r="F3042" i="7"/>
  <c r="F3043" i="7"/>
  <c r="F3044" i="7"/>
  <c r="F3045" i="7"/>
  <c r="F3046" i="7"/>
  <c r="F3047" i="7"/>
  <c r="F3048" i="7"/>
  <c r="F3049" i="7"/>
  <c r="F3050" i="7"/>
  <c r="F3051" i="7"/>
  <c r="F3052" i="7"/>
  <c r="F3053" i="7"/>
  <c r="F3054" i="7"/>
  <c r="F3055" i="7"/>
  <c r="F3056" i="7"/>
  <c r="F3057" i="7"/>
  <c r="F3058" i="7"/>
  <c r="F3059" i="7"/>
  <c r="F3060" i="7"/>
  <c r="F3061" i="7"/>
  <c r="F3062" i="7"/>
  <c r="F3063" i="7"/>
  <c r="F3064" i="7"/>
  <c r="F3065" i="7"/>
  <c r="F3066" i="7"/>
  <c r="F3067" i="7"/>
  <c r="F3068" i="7"/>
  <c r="F3069" i="7"/>
  <c r="F3070" i="7"/>
  <c r="F3071" i="7"/>
  <c r="F3072" i="7"/>
  <c r="F3073" i="7"/>
  <c r="F3074" i="7"/>
  <c r="F3075" i="7"/>
  <c r="F3076" i="7"/>
  <c r="F3077" i="7"/>
  <c r="F3078" i="7"/>
  <c r="F3079" i="7"/>
  <c r="F3080" i="7"/>
  <c r="F3081" i="7"/>
  <c r="F3082" i="7"/>
  <c r="F3083" i="7"/>
  <c r="F3084" i="7"/>
  <c r="F3085" i="7"/>
  <c r="F3086" i="7"/>
  <c r="F3087" i="7"/>
  <c r="F3088" i="7"/>
  <c r="F3089" i="7"/>
  <c r="F3090" i="7"/>
  <c r="F3091" i="7"/>
  <c r="F3092" i="7"/>
  <c r="F3093" i="7"/>
  <c r="F3094" i="7"/>
  <c r="F3095" i="7"/>
  <c r="F3096" i="7"/>
  <c r="F3097" i="7"/>
  <c r="F3098" i="7"/>
  <c r="F3099" i="7"/>
  <c r="F3100" i="7"/>
  <c r="F3101" i="7"/>
  <c r="F3102" i="7"/>
  <c r="F3103" i="7"/>
  <c r="F3104" i="7"/>
  <c r="F3105" i="7"/>
  <c r="F3106" i="7"/>
  <c r="F3107" i="7"/>
  <c r="F3108" i="7"/>
  <c r="F3109" i="7"/>
  <c r="F3110" i="7"/>
  <c r="F3111" i="7"/>
  <c r="F3112" i="7"/>
  <c r="F3113" i="7"/>
  <c r="F3114" i="7"/>
  <c r="F3115" i="7"/>
  <c r="F3116" i="7"/>
  <c r="F3117" i="7"/>
  <c r="F3118" i="7"/>
  <c r="F3119" i="7"/>
  <c r="F3120" i="7"/>
  <c r="F3121" i="7"/>
  <c r="F3122" i="7"/>
  <c r="F3123" i="7"/>
  <c r="F3124" i="7"/>
  <c r="F3125" i="7"/>
  <c r="F3126" i="7"/>
  <c r="F3127" i="7"/>
  <c r="F3128" i="7"/>
  <c r="F3129" i="7"/>
  <c r="F3130" i="7"/>
  <c r="F3131" i="7"/>
  <c r="F3132" i="7"/>
  <c r="F3133" i="7"/>
  <c r="F3134" i="7"/>
  <c r="F3135" i="7"/>
  <c r="F3136" i="7"/>
  <c r="F3137" i="7"/>
  <c r="F3138" i="7"/>
  <c r="F3139" i="7"/>
  <c r="F3140" i="7"/>
  <c r="F3141" i="7"/>
  <c r="F3142" i="7"/>
  <c r="F3143" i="7"/>
  <c r="F3144" i="7"/>
  <c r="F3145" i="7"/>
  <c r="F3146" i="7"/>
  <c r="F3147" i="7"/>
  <c r="F3148" i="7"/>
  <c r="F3149" i="7"/>
  <c r="F3150" i="7"/>
  <c r="F3151" i="7"/>
  <c r="F3152" i="7"/>
  <c r="F3153" i="7"/>
  <c r="F3154" i="7"/>
  <c r="F3155" i="7"/>
  <c r="F3156" i="7"/>
  <c r="F3157" i="7"/>
  <c r="F3158" i="7"/>
  <c r="F3159" i="7"/>
  <c r="F3160" i="7"/>
  <c r="F3161" i="7"/>
  <c r="F3162" i="7"/>
  <c r="F3163" i="7"/>
  <c r="F3164" i="7"/>
  <c r="F3165" i="7"/>
  <c r="F3166" i="7"/>
  <c r="F3167" i="7"/>
  <c r="F3168" i="7"/>
  <c r="F3169" i="7"/>
  <c r="F3170" i="7"/>
  <c r="F3171" i="7"/>
  <c r="F3172" i="7"/>
  <c r="F3173" i="7"/>
  <c r="F3174" i="7"/>
  <c r="F3175" i="7"/>
  <c r="F3176" i="7"/>
  <c r="F3177" i="7"/>
  <c r="F3178" i="7"/>
  <c r="F3179" i="7"/>
  <c r="F3180" i="7"/>
  <c r="F3181" i="7"/>
  <c r="F3182" i="7"/>
  <c r="F3183" i="7"/>
  <c r="F3184" i="7"/>
  <c r="F3185" i="7"/>
  <c r="F3186" i="7"/>
  <c r="F3187" i="7"/>
  <c r="F3188" i="7"/>
  <c r="F3189" i="7"/>
  <c r="F3190" i="7"/>
  <c r="F3191" i="7"/>
  <c r="F3192" i="7"/>
  <c r="F3193" i="7"/>
  <c r="F3194" i="7"/>
  <c r="F3195" i="7"/>
  <c r="F3196" i="7"/>
  <c r="F3197" i="7"/>
  <c r="F3198" i="7"/>
  <c r="F3199" i="7"/>
  <c r="F3200" i="7"/>
  <c r="F3201" i="7"/>
  <c r="F3202" i="7"/>
  <c r="F3203" i="7"/>
  <c r="F3204" i="7"/>
  <c r="F3205" i="7"/>
  <c r="F3206" i="7"/>
  <c r="F3207" i="7"/>
  <c r="F3208" i="7"/>
  <c r="F3209" i="7"/>
  <c r="F3210" i="7"/>
  <c r="F3211" i="7"/>
  <c r="F3212" i="7"/>
  <c r="F3213" i="7"/>
  <c r="F3214" i="7"/>
  <c r="F3215" i="7"/>
  <c r="F3216" i="7"/>
  <c r="F3217" i="7"/>
  <c r="F3218" i="7"/>
  <c r="F3219" i="7"/>
  <c r="F3220" i="7"/>
  <c r="F3221" i="7"/>
  <c r="F3222" i="7"/>
  <c r="F3223" i="7"/>
  <c r="F3224" i="7"/>
  <c r="F3225" i="7"/>
  <c r="F3226" i="7"/>
  <c r="F3227" i="7"/>
  <c r="F3228" i="7"/>
  <c r="F3229" i="7"/>
  <c r="F3230" i="7"/>
  <c r="F3231" i="7"/>
  <c r="F3232" i="7"/>
  <c r="F3233" i="7"/>
  <c r="F3234" i="7"/>
  <c r="F3235" i="7"/>
  <c r="F3236" i="7"/>
  <c r="F3237" i="7"/>
  <c r="F3238" i="7"/>
  <c r="F3239" i="7"/>
  <c r="F3240" i="7"/>
  <c r="F3241" i="7"/>
  <c r="F3242" i="7"/>
  <c r="F3243" i="7"/>
  <c r="F3244" i="7"/>
  <c r="F3245" i="7"/>
  <c r="F3246" i="7"/>
  <c r="F3247" i="7"/>
  <c r="F3248" i="7"/>
  <c r="F3249" i="7"/>
  <c r="F3250" i="7"/>
  <c r="F3251" i="7"/>
  <c r="F3252" i="7"/>
  <c r="F3253" i="7"/>
  <c r="F3254" i="7"/>
  <c r="F3255" i="7"/>
  <c r="F3256" i="7"/>
  <c r="F3257" i="7"/>
  <c r="F3258" i="7"/>
  <c r="F3259" i="7"/>
  <c r="F3260" i="7"/>
  <c r="F3261" i="7"/>
  <c r="F3262" i="7"/>
  <c r="F3263" i="7"/>
  <c r="F3264" i="7"/>
  <c r="F3265" i="7"/>
  <c r="F3266" i="7"/>
  <c r="F3267" i="7"/>
  <c r="F3268" i="7"/>
  <c r="F3269" i="7"/>
  <c r="F3270" i="7"/>
  <c r="F3271" i="7"/>
  <c r="F3272" i="7"/>
  <c r="F3273" i="7"/>
  <c r="F3274" i="7"/>
  <c r="F3275" i="7"/>
  <c r="F3276" i="7"/>
  <c r="F3277" i="7"/>
  <c r="F3278" i="7"/>
  <c r="F3279" i="7"/>
  <c r="F3280" i="7"/>
  <c r="F3281" i="7"/>
  <c r="F3282" i="7"/>
  <c r="F3283" i="7"/>
  <c r="F3284" i="7"/>
  <c r="F3285" i="7"/>
  <c r="F3286" i="7"/>
  <c r="F3287" i="7"/>
  <c r="F3288" i="7"/>
  <c r="F3289" i="7"/>
  <c r="F3290" i="7"/>
  <c r="F3291" i="7"/>
  <c r="F3292" i="7"/>
  <c r="F3293" i="7"/>
  <c r="F3294" i="7"/>
  <c r="F3295" i="7"/>
  <c r="F3296" i="7"/>
  <c r="F3297" i="7"/>
  <c r="F3298" i="7"/>
  <c r="F3299" i="7"/>
  <c r="F3300" i="7"/>
  <c r="F3301" i="7"/>
  <c r="F3302" i="7"/>
  <c r="F3303" i="7"/>
  <c r="F3304" i="7"/>
  <c r="F3305" i="7"/>
  <c r="F3306" i="7"/>
  <c r="F3307" i="7"/>
  <c r="F3308" i="7"/>
  <c r="F3309" i="7"/>
  <c r="F3310" i="7"/>
  <c r="F3311" i="7"/>
  <c r="F3312" i="7"/>
  <c r="F3313" i="7"/>
  <c r="F3314" i="7"/>
  <c r="F3315" i="7"/>
  <c r="F3316" i="7"/>
  <c r="F3317" i="7"/>
  <c r="F3318" i="7"/>
  <c r="F3319" i="7"/>
  <c r="F3320" i="7"/>
  <c r="F3321" i="7"/>
  <c r="F3322" i="7"/>
  <c r="F3323" i="7"/>
  <c r="F3324" i="7"/>
  <c r="F3325" i="7"/>
  <c r="F3326" i="7"/>
  <c r="F3327" i="7"/>
  <c r="F3328" i="7"/>
  <c r="F3329" i="7"/>
  <c r="F3330" i="7"/>
  <c r="F3331" i="7"/>
  <c r="F3332" i="7"/>
  <c r="F3333" i="7"/>
  <c r="F3334" i="7"/>
  <c r="F3335" i="7"/>
  <c r="F3336" i="7"/>
  <c r="F3337" i="7"/>
  <c r="F3338" i="7"/>
  <c r="F3339" i="7"/>
  <c r="F3340" i="7"/>
  <c r="F3341" i="7"/>
  <c r="F3342" i="7"/>
  <c r="F3343" i="7"/>
  <c r="F3344" i="7"/>
  <c r="F3345" i="7"/>
  <c r="F3346" i="7"/>
  <c r="F3347" i="7"/>
  <c r="F3348" i="7"/>
  <c r="F3349" i="7"/>
  <c r="F3350" i="7"/>
  <c r="F3351" i="7"/>
  <c r="F3352" i="7"/>
  <c r="F3353" i="7"/>
  <c r="F3354" i="7"/>
  <c r="F3355" i="7"/>
  <c r="F3356" i="7"/>
  <c r="F3357" i="7"/>
  <c r="F3358" i="7"/>
  <c r="F3359" i="7"/>
  <c r="F3360" i="7"/>
  <c r="F3361" i="7"/>
  <c r="F3362" i="7"/>
  <c r="F3363" i="7"/>
  <c r="F3364" i="7"/>
  <c r="F3365" i="7"/>
  <c r="F3366" i="7"/>
  <c r="F3367" i="7"/>
  <c r="F3368" i="7"/>
  <c r="F3369" i="7"/>
  <c r="F3370" i="7"/>
  <c r="F3371" i="7"/>
  <c r="F3372" i="7"/>
  <c r="F3373" i="7"/>
  <c r="F3374" i="7"/>
  <c r="F3375" i="7"/>
  <c r="F3376" i="7"/>
  <c r="F3377" i="7"/>
  <c r="F3378" i="7"/>
  <c r="F3379" i="7"/>
  <c r="F3380" i="7"/>
  <c r="F3381" i="7"/>
  <c r="F3382" i="7"/>
  <c r="F3383" i="7"/>
  <c r="F3384" i="7"/>
  <c r="F3385" i="7"/>
  <c r="F3386" i="7"/>
  <c r="F3387" i="7"/>
  <c r="F3388" i="7"/>
  <c r="F3389" i="7"/>
  <c r="F3390" i="7"/>
  <c r="F3391" i="7"/>
  <c r="F3392" i="7"/>
  <c r="F3393" i="7"/>
  <c r="F3394" i="7"/>
  <c r="F3395" i="7"/>
  <c r="F3396" i="7"/>
  <c r="F3397" i="7"/>
  <c r="F3398" i="7"/>
  <c r="F3399" i="7"/>
  <c r="F3400" i="7"/>
  <c r="F3401" i="7"/>
  <c r="F3402" i="7"/>
  <c r="F3403" i="7"/>
  <c r="F3404" i="7"/>
  <c r="F3405" i="7"/>
  <c r="F3406" i="7"/>
  <c r="F3407" i="7"/>
  <c r="F3408" i="7"/>
  <c r="F3409" i="7"/>
  <c r="F3410" i="7"/>
  <c r="F3411" i="7"/>
  <c r="F3412" i="7"/>
  <c r="F3413" i="7"/>
  <c r="F3414" i="7"/>
  <c r="F3415" i="7"/>
  <c r="F3416" i="7"/>
  <c r="F3417" i="7"/>
  <c r="F3418" i="7"/>
  <c r="F3419" i="7"/>
  <c r="F3420" i="7"/>
  <c r="F3421" i="7"/>
  <c r="F3422" i="7"/>
  <c r="F3423" i="7"/>
  <c r="F3424" i="7"/>
  <c r="F3425" i="7"/>
  <c r="F3426" i="7"/>
  <c r="F3427" i="7"/>
  <c r="F3428" i="7"/>
  <c r="F3429" i="7"/>
  <c r="F3430" i="7"/>
  <c r="F3431" i="7"/>
  <c r="F3432" i="7"/>
  <c r="F3433" i="7"/>
  <c r="F3434" i="7"/>
  <c r="F3435" i="7"/>
  <c r="F3436" i="7"/>
  <c r="F3437" i="7"/>
  <c r="F3438" i="7"/>
  <c r="F3439" i="7"/>
  <c r="F3440" i="7"/>
  <c r="F3441" i="7"/>
  <c r="F3442" i="7"/>
  <c r="F3443" i="7"/>
  <c r="F3444" i="7"/>
  <c r="F3445" i="7"/>
  <c r="F3446" i="7"/>
  <c r="F3447" i="7"/>
  <c r="F3448" i="7"/>
  <c r="F3449" i="7"/>
  <c r="F3450" i="7"/>
  <c r="F3451" i="7"/>
  <c r="F3452" i="7"/>
  <c r="F3453" i="7"/>
  <c r="F3454" i="7"/>
  <c r="F3455" i="7"/>
  <c r="F3456" i="7"/>
  <c r="F3457" i="7"/>
  <c r="F3458" i="7"/>
  <c r="F3459" i="7"/>
  <c r="F3460" i="7"/>
  <c r="F3461" i="7"/>
  <c r="F3462" i="7"/>
  <c r="F3463" i="7"/>
  <c r="F3464" i="7"/>
  <c r="F3465" i="7"/>
  <c r="F3466" i="7"/>
  <c r="F3467" i="7"/>
  <c r="F3468" i="7"/>
  <c r="F3469" i="7"/>
  <c r="F3470" i="7"/>
  <c r="F3471" i="7"/>
  <c r="F3472" i="7"/>
  <c r="F3473" i="7"/>
  <c r="F3474" i="7"/>
  <c r="F3475" i="7"/>
  <c r="F3476" i="7"/>
  <c r="F3477" i="7"/>
  <c r="F3478" i="7"/>
  <c r="F3479" i="7"/>
  <c r="F3480" i="7"/>
  <c r="F3481" i="7"/>
  <c r="F3482" i="7"/>
  <c r="F3483" i="7"/>
  <c r="F3484" i="7"/>
  <c r="F3485" i="7"/>
  <c r="F3486" i="7"/>
  <c r="F3487" i="7"/>
  <c r="F3488" i="7"/>
  <c r="F3489" i="7"/>
  <c r="F3490" i="7"/>
  <c r="F3491" i="7"/>
  <c r="F3492" i="7"/>
  <c r="F3493" i="7"/>
  <c r="F3494" i="7"/>
  <c r="F3495" i="7"/>
  <c r="F3496" i="7"/>
  <c r="F3497" i="7"/>
  <c r="F3498" i="7"/>
  <c r="F3499" i="7"/>
  <c r="F3500" i="7"/>
  <c r="F3501" i="7"/>
  <c r="F3502" i="7"/>
  <c r="F3503" i="7"/>
  <c r="F3504" i="7"/>
  <c r="F3505" i="7"/>
  <c r="F3506" i="7"/>
  <c r="F3507" i="7"/>
  <c r="F3508" i="7"/>
  <c r="F3509" i="7"/>
  <c r="F3510" i="7"/>
  <c r="F3511" i="7"/>
  <c r="F3512" i="7"/>
  <c r="F3513" i="7"/>
  <c r="F3514" i="7"/>
  <c r="F3515" i="7"/>
  <c r="F3516" i="7"/>
  <c r="F3517" i="7"/>
  <c r="F3518" i="7"/>
  <c r="F3519" i="7"/>
  <c r="F3520" i="7"/>
  <c r="F3521" i="7"/>
  <c r="F3522" i="7"/>
  <c r="F3523" i="7"/>
  <c r="F3524" i="7"/>
  <c r="F3525" i="7"/>
  <c r="F3526" i="7"/>
  <c r="F3527" i="7"/>
  <c r="F3528" i="7"/>
  <c r="F3529" i="7"/>
  <c r="F3530" i="7"/>
  <c r="F3531" i="7"/>
  <c r="F3532" i="7"/>
  <c r="F3533" i="7"/>
  <c r="F3534" i="7"/>
  <c r="F3535" i="7"/>
  <c r="F3536" i="7"/>
  <c r="F3537" i="7"/>
  <c r="F3538" i="7"/>
  <c r="F3539" i="7"/>
  <c r="F3540" i="7"/>
  <c r="F3541" i="7"/>
  <c r="F3542" i="7"/>
  <c r="F3543" i="7"/>
  <c r="F3544" i="7"/>
  <c r="F3545" i="7"/>
  <c r="F3546" i="7"/>
  <c r="F3547" i="7"/>
  <c r="F3548" i="7"/>
  <c r="F3549" i="7"/>
  <c r="F3550" i="7"/>
  <c r="F3551" i="7"/>
  <c r="F3552" i="7"/>
  <c r="F3553" i="7"/>
  <c r="F3554" i="7"/>
  <c r="F3555" i="7"/>
  <c r="F3556" i="7"/>
  <c r="F3557" i="7"/>
  <c r="F3558" i="7"/>
  <c r="F3559" i="7"/>
  <c r="F3560" i="7"/>
  <c r="F3561" i="7"/>
  <c r="F3562" i="7"/>
  <c r="F3563" i="7"/>
  <c r="F3564" i="7"/>
  <c r="F3565" i="7"/>
  <c r="F3566" i="7"/>
  <c r="F3567" i="7"/>
  <c r="F3568" i="7"/>
  <c r="F3569" i="7"/>
  <c r="F3570" i="7"/>
  <c r="F3571" i="7"/>
  <c r="F3572" i="7"/>
  <c r="F3573" i="7"/>
  <c r="F3574" i="7"/>
  <c r="F3575" i="7"/>
  <c r="F3576" i="7"/>
  <c r="F3577" i="7"/>
  <c r="F3578" i="7"/>
  <c r="F3579" i="7"/>
  <c r="F3580" i="7"/>
  <c r="F3581" i="7"/>
  <c r="F3582" i="7"/>
  <c r="F3583" i="7"/>
  <c r="F3584" i="7"/>
  <c r="F3585" i="7"/>
  <c r="F3586" i="7"/>
  <c r="F3587" i="7"/>
  <c r="F3588" i="7"/>
  <c r="F3589" i="7"/>
  <c r="F3590" i="7"/>
  <c r="F3591" i="7"/>
  <c r="F3592" i="7"/>
  <c r="F3593" i="7"/>
  <c r="F3594" i="7"/>
  <c r="F3595" i="7"/>
  <c r="F3596" i="7"/>
  <c r="F3597" i="7"/>
  <c r="F3598" i="7"/>
  <c r="F3599" i="7"/>
  <c r="F3600" i="7"/>
  <c r="F3601" i="7"/>
  <c r="F3602" i="7"/>
  <c r="F3603" i="7"/>
  <c r="F3604" i="7"/>
  <c r="F3605" i="7"/>
  <c r="F3606" i="7"/>
  <c r="F3607" i="7"/>
  <c r="F3608" i="7"/>
  <c r="F3609" i="7"/>
  <c r="F3610" i="7"/>
  <c r="F3611" i="7"/>
  <c r="F3612" i="7"/>
  <c r="F3613" i="7"/>
  <c r="F3614" i="7"/>
  <c r="F3615" i="7"/>
  <c r="F3616" i="7"/>
  <c r="F3617" i="7"/>
  <c r="F3618" i="7"/>
  <c r="F3619" i="7"/>
  <c r="F3620" i="7"/>
  <c r="F3621" i="7"/>
  <c r="F3622" i="7"/>
  <c r="F3623" i="7"/>
  <c r="F3624" i="7"/>
  <c r="F3625" i="7"/>
  <c r="F3626" i="7"/>
  <c r="F3627" i="7"/>
  <c r="F3628" i="7"/>
  <c r="F3629" i="7"/>
  <c r="F3630" i="7"/>
  <c r="F3631" i="7"/>
  <c r="F3632" i="7"/>
  <c r="F3633" i="7"/>
  <c r="F3634" i="7"/>
  <c r="F3635" i="7"/>
  <c r="F3636" i="7"/>
  <c r="F3637" i="7"/>
  <c r="F3638" i="7"/>
  <c r="F3639" i="7"/>
  <c r="F3640" i="7"/>
  <c r="F3641" i="7"/>
  <c r="F3642" i="7"/>
  <c r="F3643" i="7"/>
  <c r="F3644" i="7"/>
  <c r="F3645" i="7"/>
  <c r="F3646" i="7"/>
  <c r="F3647" i="7"/>
  <c r="F3648" i="7"/>
  <c r="F3649" i="7"/>
  <c r="F3650" i="7"/>
  <c r="F3651" i="7"/>
  <c r="F3652" i="7"/>
  <c r="F3653" i="7"/>
  <c r="F3654" i="7"/>
  <c r="F3655" i="7"/>
  <c r="F3656" i="7"/>
  <c r="F3657" i="7"/>
  <c r="F3658" i="7"/>
  <c r="F3659" i="7"/>
  <c r="F3660" i="7"/>
  <c r="F3661" i="7"/>
  <c r="F3662" i="7"/>
  <c r="F3663" i="7"/>
  <c r="F3664" i="7"/>
  <c r="F3665" i="7"/>
  <c r="F3666" i="7"/>
  <c r="F3667" i="7"/>
  <c r="F3668" i="7"/>
  <c r="F3669" i="7"/>
  <c r="F3670" i="7"/>
  <c r="F3671" i="7"/>
  <c r="F3672" i="7"/>
  <c r="F3673" i="7"/>
  <c r="F3674" i="7"/>
  <c r="F3675" i="7"/>
  <c r="F3676" i="7"/>
  <c r="F3677" i="7"/>
  <c r="F3678" i="7"/>
  <c r="F3679" i="7"/>
  <c r="F3680" i="7"/>
  <c r="F3681" i="7"/>
  <c r="F3682" i="7"/>
  <c r="F3683" i="7"/>
  <c r="F3684" i="7"/>
  <c r="F3685" i="7"/>
  <c r="F3686" i="7"/>
  <c r="F3687" i="7"/>
  <c r="F3688" i="7"/>
  <c r="F3689" i="7"/>
  <c r="F3690" i="7"/>
  <c r="F3691" i="7"/>
  <c r="F3692" i="7"/>
  <c r="F3693" i="7"/>
  <c r="F3694" i="7"/>
  <c r="F3695" i="7"/>
  <c r="F3696" i="7"/>
  <c r="F3697" i="7"/>
  <c r="F3698" i="7"/>
  <c r="F3699" i="7"/>
  <c r="F3700" i="7"/>
  <c r="F3701" i="7"/>
  <c r="F3702" i="7"/>
  <c r="F3703" i="7"/>
  <c r="F3704" i="7"/>
  <c r="F3705" i="7"/>
  <c r="F3706" i="7"/>
  <c r="F3707" i="7"/>
  <c r="F3708" i="7"/>
  <c r="F3709" i="7"/>
  <c r="F3710" i="7"/>
  <c r="F3711" i="7"/>
  <c r="F3712" i="7"/>
  <c r="F3713" i="7"/>
  <c r="F3714" i="7"/>
  <c r="F3715" i="7"/>
  <c r="F3716" i="7"/>
  <c r="F3717" i="7"/>
  <c r="F3718" i="7"/>
  <c r="F3719" i="7"/>
  <c r="F3720" i="7"/>
  <c r="F3721" i="7"/>
  <c r="F3722" i="7"/>
  <c r="F3723" i="7"/>
  <c r="F3724" i="7"/>
  <c r="F3725" i="7"/>
  <c r="F3726" i="7"/>
  <c r="F3727" i="7"/>
  <c r="F3728" i="7"/>
  <c r="F3729" i="7"/>
  <c r="F3730" i="7"/>
  <c r="F3731" i="7"/>
  <c r="F3732" i="7"/>
  <c r="F3733" i="7"/>
  <c r="F3734" i="7"/>
  <c r="F3735" i="7"/>
  <c r="F3736" i="7"/>
  <c r="F3737" i="7"/>
  <c r="F3738" i="7"/>
  <c r="F3739" i="7"/>
  <c r="F3740" i="7"/>
  <c r="F3741" i="7"/>
  <c r="F3742" i="7"/>
  <c r="F3743" i="7"/>
  <c r="F3744" i="7"/>
  <c r="F3745" i="7"/>
  <c r="F3746" i="7"/>
  <c r="F3747" i="7"/>
  <c r="F3748" i="7"/>
  <c r="F3749" i="7"/>
  <c r="F3750" i="7"/>
  <c r="F3751" i="7"/>
  <c r="F3752" i="7"/>
  <c r="F3753" i="7"/>
  <c r="F3754" i="7"/>
  <c r="F3755" i="7"/>
  <c r="F3756" i="7"/>
  <c r="F3757" i="7"/>
  <c r="F3758" i="7"/>
  <c r="F3759" i="7"/>
  <c r="F3760" i="7"/>
  <c r="F3761" i="7"/>
  <c r="F3762" i="7"/>
  <c r="F3763" i="7"/>
  <c r="F3764" i="7"/>
  <c r="F3765" i="7"/>
  <c r="F3766" i="7"/>
  <c r="F3767" i="7"/>
  <c r="F3768" i="7"/>
  <c r="F3769" i="7"/>
  <c r="F3770" i="7"/>
  <c r="F3771" i="7"/>
  <c r="F3772" i="7"/>
  <c r="F3773" i="7"/>
  <c r="F3774" i="7"/>
  <c r="F3775" i="7"/>
  <c r="F3776" i="7"/>
  <c r="F3777" i="7"/>
  <c r="F3778" i="7"/>
  <c r="F3779" i="7"/>
  <c r="F3780" i="7"/>
  <c r="F3781" i="7"/>
  <c r="F3782" i="7"/>
  <c r="F3783" i="7"/>
  <c r="F3784" i="7"/>
  <c r="F3785" i="7"/>
  <c r="F3786" i="7"/>
  <c r="F3787" i="7"/>
  <c r="F3788" i="7"/>
  <c r="F3789" i="7"/>
  <c r="F3790" i="7"/>
  <c r="F3791" i="7"/>
  <c r="F3792" i="7"/>
  <c r="F3793" i="7"/>
  <c r="F3794" i="7"/>
  <c r="F3795" i="7"/>
  <c r="F3796" i="7"/>
  <c r="F3797" i="7"/>
  <c r="F3798" i="7"/>
  <c r="F3799" i="7"/>
  <c r="F3800" i="7"/>
  <c r="F3801" i="7"/>
  <c r="F3802" i="7"/>
  <c r="F3803" i="7"/>
  <c r="F3804" i="7"/>
  <c r="F3805" i="7"/>
  <c r="F3806" i="7"/>
  <c r="F3807" i="7"/>
  <c r="F3808" i="7"/>
  <c r="F3809" i="7"/>
  <c r="F3810" i="7"/>
  <c r="F3811" i="7"/>
  <c r="F3812" i="7"/>
  <c r="F3813" i="7"/>
  <c r="F3814" i="7"/>
  <c r="F3815" i="7"/>
  <c r="F3816" i="7"/>
  <c r="F3817" i="7"/>
  <c r="F3818" i="7"/>
  <c r="F3819" i="7"/>
  <c r="F3820" i="7"/>
  <c r="F3821" i="7"/>
  <c r="F3822" i="7"/>
  <c r="F3823" i="7"/>
  <c r="F3824" i="7"/>
  <c r="F3825" i="7"/>
  <c r="F3826" i="7"/>
  <c r="F3827" i="7"/>
  <c r="F3828" i="7"/>
  <c r="F3829" i="7"/>
  <c r="F3830" i="7"/>
  <c r="F3831" i="7"/>
  <c r="F3832" i="7"/>
  <c r="F3833" i="7"/>
  <c r="F3834" i="7"/>
  <c r="F3835" i="7"/>
  <c r="F3836" i="7"/>
  <c r="F3837" i="7"/>
  <c r="F3838" i="7"/>
  <c r="F3839" i="7"/>
  <c r="F3840" i="7"/>
  <c r="F3841" i="7"/>
  <c r="F3842" i="7"/>
  <c r="F3843" i="7"/>
  <c r="F3844" i="7"/>
  <c r="F3845" i="7"/>
  <c r="F3846" i="7"/>
  <c r="F3847" i="7"/>
  <c r="F3848" i="7"/>
  <c r="F3849" i="7"/>
  <c r="F3850" i="7"/>
  <c r="F3851" i="7"/>
  <c r="F3852" i="7"/>
  <c r="F3853" i="7"/>
  <c r="F3854" i="7"/>
  <c r="F3855" i="7"/>
  <c r="F3856" i="7"/>
  <c r="F3857" i="7"/>
  <c r="F3858" i="7"/>
  <c r="F3859" i="7"/>
  <c r="F3860" i="7"/>
  <c r="F3861" i="7"/>
  <c r="F3862" i="7"/>
  <c r="F3863" i="7"/>
  <c r="F3864" i="7"/>
  <c r="F3865" i="7"/>
  <c r="F3866" i="7"/>
  <c r="F3867" i="7"/>
  <c r="F3868" i="7"/>
  <c r="F3869" i="7"/>
  <c r="F3870" i="7"/>
  <c r="F3871" i="7"/>
  <c r="F3872" i="7"/>
  <c r="F3873" i="7"/>
  <c r="F3874" i="7"/>
  <c r="F3875" i="7"/>
  <c r="F3876" i="7"/>
  <c r="F3877" i="7"/>
  <c r="F3878" i="7"/>
  <c r="F3879" i="7"/>
  <c r="F3880" i="7"/>
  <c r="F3881" i="7"/>
  <c r="F3882" i="7"/>
  <c r="F3883" i="7"/>
  <c r="F3884" i="7"/>
  <c r="F3885" i="7"/>
  <c r="F3886" i="7"/>
  <c r="F3887" i="7"/>
  <c r="F3888" i="7"/>
  <c r="F3889" i="7"/>
  <c r="F3890" i="7"/>
  <c r="F3891" i="7"/>
  <c r="F3892" i="7"/>
  <c r="F3893" i="7"/>
  <c r="F3894" i="7"/>
  <c r="F3895" i="7"/>
  <c r="F3896" i="7"/>
  <c r="F3897" i="7"/>
  <c r="F3898" i="7"/>
  <c r="F3899" i="7"/>
  <c r="F3900" i="7"/>
  <c r="F3901" i="7"/>
  <c r="F3902" i="7"/>
  <c r="F3903" i="7"/>
  <c r="F3904" i="7"/>
  <c r="F3905" i="7"/>
  <c r="F3906" i="7"/>
  <c r="F3907" i="7"/>
  <c r="F3908" i="7"/>
  <c r="F3909" i="7"/>
  <c r="F3910" i="7"/>
  <c r="F3911" i="7"/>
  <c r="F3912" i="7"/>
  <c r="F3913" i="7"/>
  <c r="F3914" i="7"/>
  <c r="F3915" i="7"/>
  <c r="F3916" i="7"/>
  <c r="F3917" i="7"/>
  <c r="F3918" i="7"/>
  <c r="F3919" i="7"/>
  <c r="F3920" i="7"/>
  <c r="F3921" i="7"/>
  <c r="F3922" i="7"/>
  <c r="F3923" i="7"/>
  <c r="F3924" i="7"/>
  <c r="F3925" i="7"/>
  <c r="F3926" i="7"/>
  <c r="F3927" i="7"/>
  <c r="F3928" i="7"/>
  <c r="F3929" i="7"/>
  <c r="F3930" i="7"/>
  <c r="F3931" i="7"/>
  <c r="F3932" i="7"/>
  <c r="F3933" i="7"/>
  <c r="F3934" i="7"/>
  <c r="F3935" i="7"/>
  <c r="F3936" i="7"/>
  <c r="F3937" i="7"/>
  <c r="F3938" i="7"/>
  <c r="F3939" i="7"/>
  <c r="F3940" i="7"/>
  <c r="F3941" i="7"/>
  <c r="F3942" i="7"/>
  <c r="F3943" i="7"/>
  <c r="F3944" i="7"/>
  <c r="F3945" i="7"/>
  <c r="F3946" i="7"/>
  <c r="F3947" i="7"/>
  <c r="F3948" i="7"/>
  <c r="F3949" i="7"/>
  <c r="F3950" i="7"/>
  <c r="F3951" i="7"/>
  <c r="F3952" i="7"/>
  <c r="F3953" i="7"/>
  <c r="F3954" i="7"/>
  <c r="F3955" i="7"/>
  <c r="F3956" i="7"/>
  <c r="F3957" i="7"/>
  <c r="F3958" i="7"/>
  <c r="F3959" i="7"/>
  <c r="F3960" i="7"/>
  <c r="F3961" i="7"/>
  <c r="F3962" i="7"/>
  <c r="F3963" i="7"/>
  <c r="F3964" i="7"/>
  <c r="F3965" i="7"/>
  <c r="F3966" i="7"/>
  <c r="F3967" i="7"/>
  <c r="F3968" i="7"/>
  <c r="F3969" i="7"/>
  <c r="F3970" i="7"/>
  <c r="F3971" i="7"/>
  <c r="F3972" i="7"/>
  <c r="F3973" i="7"/>
  <c r="F3974" i="7"/>
  <c r="F3975" i="7"/>
  <c r="F3976" i="7"/>
  <c r="F3977" i="7"/>
  <c r="F3978" i="7"/>
  <c r="F3979" i="7"/>
  <c r="F3980" i="7"/>
  <c r="F3981" i="7"/>
  <c r="F3982" i="7"/>
  <c r="F3983" i="7"/>
  <c r="F3984" i="7"/>
  <c r="F3985" i="7"/>
  <c r="F3986" i="7"/>
  <c r="F3987" i="7"/>
  <c r="F3988" i="7"/>
  <c r="F3989" i="7"/>
  <c r="F3990" i="7"/>
  <c r="F3991" i="7"/>
  <c r="F3992" i="7"/>
  <c r="F3993" i="7"/>
  <c r="F3994" i="7"/>
  <c r="F3995" i="7"/>
  <c r="F3996" i="7"/>
  <c r="F3997" i="7"/>
  <c r="F3998" i="7"/>
  <c r="F3999" i="7"/>
  <c r="F4000" i="7"/>
  <c r="F4001" i="7"/>
  <c r="F4002" i="7"/>
  <c r="F4003" i="7"/>
  <c r="F4004" i="7"/>
  <c r="F4005" i="7"/>
  <c r="F4006" i="7"/>
  <c r="F4007" i="7"/>
  <c r="F4008" i="7"/>
  <c r="F4009" i="7"/>
  <c r="F4010" i="7"/>
  <c r="F4011" i="7"/>
  <c r="F4012" i="7"/>
  <c r="F4013" i="7"/>
  <c r="F4014" i="7"/>
  <c r="F4015" i="7"/>
  <c r="F4016" i="7"/>
  <c r="F4017" i="7"/>
  <c r="F4018" i="7"/>
  <c r="F4019" i="7"/>
  <c r="F4020" i="7"/>
  <c r="F4021" i="7"/>
  <c r="F4022" i="7"/>
  <c r="F4023" i="7"/>
  <c r="F4024" i="7"/>
  <c r="F4025" i="7"/>
  <c r="F4026" i="7"/>
  <c r="F4027" i="7"/>
  <c r="F4028" i="7"/>
  <c r="F4029" i="7"/>
  <c r="F4030" i="7"/>
  <c r="F4031" i="7"/>
  <c r="F4032" i="7"/>
  <c r="F4033" i="7"/>
  <c r="F4034" i="7"/>
  <c r="F4035" i="7"/>
  <c r="F4036" i="7"/>
  <c r="F4037" i="7"/>
  <c r="F4038" i="7"/>
  <c r="F4039" i="7"/>
  <c r="F4040" i="7"/>
  <c r="F4041" i="7"/>
  <c r="F4042" i="7"/>
  <c r="F4043" i="7"/>
  <c r="F4044" i="7"/>
  <c r="F4045" i="7"/>
  <c r="F4046" i="7"/>
  <c r="F4047" i="7"/>
  <c r="F4048" i="7"/>
  <c r="F4049" i="7"/>
  <c r="F4050" i="7"/>
  <c r="F4051" i="7"/>
  <c r="F4052" i="7"/>
  <c r="F4053" i="7"/>
  <c r="F4054" i="7"/>
  <c r="F4055" i="7"/>
  <c r="F4056" i="7"/>
  <c r="F4057" i="7"/>
  <c r="F4058" i="7"/>
  <c r="F4059" i="7"/>
  <c r="F4060" i="7"/>
  <c r="F4061" i="7"/>
  <c r="F4062" i="7"/>
  <c r="F4063" i="7"/>
  <c r="F4064" i="7"/>
  <c r="F4065" i="7"/>
  <c r="F4066" i="7"/>
  <c r="F4067" i="7"/>
  <c r="F4068" i="7"/>
  <c r="F4069" i="7"/>
  <c r="F4070" i="7"/>
  <c r="F4071" i="7"/>
  <c r="F4072" i="7"/>
  <c r="F4073" i="7"/>
  <c r="F4074" i="7"/>
  <c r="F4075" i="7"/>
  <c r="F4076" i="7"/>
  <c r="F4077" i="7"/>
  <c r="F4078" i="7"/>
  <c r="F4079" i="7"/>
  <c r="F4080" i="7"/>
  <c r="F4081" i="7"/>
  <c r="F4082" i="7"/>
  <c r="F4083" i="7"/>
  <c r="F4084" i="7"/>
  <c r="F4085" i="7"/>
  <c r="F4086" i="7"/>
  <c r="F4087" i="7"/>
  <c r="F4088" i="7"/>
  <c r="F4089" i="7"/>
  <c r="F4090" i="7"/>
  <c r="F4091" i="7"/>
  <c r="F4092" i="7"/>
  <c r="F4093" i="7"/>
  <c r="F4094" i="7"/>
  <c r="F4095" i="7"/>
  <c r="F4096" i="7"/>
  <c r="F4097" i="7"/>
  <c r="F4098" i="7"/>
  <c r="F4099" i="7"/>
  <c r="F4100" i="7"/>
  <c r="F4101" i="7"/>
  <c r="F4102" i="7"/>
  <c r="F4103" i="7"/>
  <c r="F4104" i="7"/>
  <c r="F4105" i="7"/>
  <c r="F4106" i="7"/>
  <c r="F4107" i="7"/>
  <c r="F4108" i="7"/>
  <c r="F4109" i="7"/>
  <c r="F4110" i="7"/>
  <c r="F4111" i="7"/>
  <c r="F4112" i="7"/>
  <c r="F4113" i="7"/>
  <c r="F4114" i="7"/>
  <c r="F4115" i="7"/>
  <c r="F4116" i="7"/>
  <c r="F4117" i="7"/>
  <c r="F4118" i="7"/>
  <c r="F4119" i="7"/>
  <c r="F4120" i="7"/>
  <c r="F4121" i="7"/>
  <c r="F4122" i="7"/>
  <c r="F4123" i="7"/>
  <c r="F4124" i="7"/>
  <c r="F4125" i="7"/>
  <c r="F4126" i="7"/>
  <c r="F4127" i="7"/>
  <c r="F4128" i="7"/>
  <c r="F4129" i="7"/>
  <c r="F4130" i="7"/>
  <c r="F4131" i="7"/>
  <c r="F4132" i="7"/>
  <c r="F4133" i="7"/>
  <c r="F4134" i="7"/>
  <c r="F4135" i="7"/>
  <c r="F4136" i="7"/>
  <c r="F4137" i="7"/>
  <c r="F4138" i="7"/>
  <c r="F4139" i="7"/>
  <c r="F4140" i="7"/>
  <c r="F4141" i="7"/>
  <c r="F4142" i="7"/>
  <c r="F4143" i="7"/>
  <c r="F4144" i="7"/>
  <c r="F4145" i="7"/>
  <c r="F4146" i="7"/>
  <c r="F4147" i="7"/>
  <c r="F4148" i="7"/>
  <c r="F4149" i="7"/>
  <c r="F4150" i="7"/>
  <c r="F4151" i="7"/>
  <c r="F4152" i="7"/>
  <c r="F4153" i="7"/>
  <c r="F4154" i="7"/>
  <c r="F4155" i="7"/>
  <c r="F4156" i="7"/>
  <c r="F4157" i="7"/>
  <c r="F4158" i="7"/>
  <c r="F4159" i="7"/>
  <c r="F4160" i="7"/>
  <c r="F4161" i="7"/>
  <c r="F4162" i="7"/>
  <c r="F4163" i="7"/>
  <c r="F4164" i="7"/>
  <c r="F4165" i="7"/>
  <c r="F4166" i="7"/>
  <c r="F4167" i="7"/>
  <c r="F4168" i="7"/>
  <c r="F4169" i="7"/>
  <c r="F4170" i="7"/>
  <c r="F4171" i="7"/>
  <c r="F4172" i="7"/>
  <c r="F4173" i="7"/>
  <c r="F4174" i="7"/>
  <c r="F4175" i="7"/>
  <c r="F4176" i="7"/>
  <c r="F4177" i="7"/>
  <c r="F4178" i="7"/>
  <c r="F4179" i="7"/>
  <c r="F4180" i="7"/>
  <c r="F4181" i="7"/>
  <c r="F4182" i="7"/>
  <c r="F4183" i="7"/>
  <c r="F4184" i="7"/>
  <c r="F4185" i="7"/>
  <c r="F4186" i="7"/>
  <c r="F4187" i="7"/>
  <c r="F4188" i="7"/>
  <c r="F4189" i="7"/>
  <c r="F4190" i="7"/>
  <c r="F4191" i="7"/>
  <c r="F4192" i="7"/>
  <c r="F4193" i="7"/>
  <c r="F4194" i="7"/>
  <c r="F4195" i="7"/>
  <c r="F4196" i="7"/>
  <c r="F4197" i="7"/>
  <c r="F4198" i="7"/>
  <c r="F4199" i="7"/>
  <c r="F4200" i="7"/>
  <c r="F4201" i="7"/>
  <c r="F4202" i="7"/>
  <c r="F4203" i="7"/>
  <c r="F4204" i="7"/>
  <c r="F4205" i="7"/>
  <c r="F4206" i="7"/>
  <c r="F4207" i="7"/>
  <c r="F4208" i="7"/>
  <c r="F4209" i="7"/>
  <c r="F4210" i="7"/>
  <c r="F4211" i="7"/>
  <c r="F4212" i="7"/>
  <c r="F4213" i="7"/>
  <c r="F4214" i="7"/>
  <c r="F4215" i="7"/>
  <c r="F4216" i="7"/>
  <c r="F4217" i="7"/>
  <c r="F4218" i="7"/>
  <c r="F4219" i="7"/>
  <c r="F4220" i="7"/>
  <c r="F4221" i="7"/>
  <c r="F4222" i="7"/>
  <c r="F4223" i="7"/>
  <c r="F4224" i="7"/>
  <c r="F4225" i="7"/>
  <c r="F4226" i="7"/>
  <c r="F4227" i="7"/>
  <c r="F4228" i="7"/>
  <c r="F4229" i="7"/>
  <c r="F4230" i="7"/>
  <c r="F4231" i="7"/>
  <c r="F4232" i="7"/>
  <c r="F4233" i="7"/>
  <c r="F4234" i="7"/>
  <c r="F4235" i="7"/>
  <c r="F4236" i="7"/>
  <c r="F4237" i="7"/>
  <c r="F4238" i="7"/>
  <c r="F4239" i="7"/>
  <c r="F4240" i="7"/>
  <c r="F4241" i="7"/>
  <c r="F4242" i="7"/>
  <c r="F4243" i="7"/>
  <c r="F4244" i="7"/>
  <c r="F4245" i="7"/>
  <c r="F4246" i="7"/>
  <c r="F4247" i="7"/>
  <c r="F4248" i="7"/>
  <c r="F4249" i="7"/>
  <c r="F4250" i="7"/>
  <c r="F4251" i="7"/>
  <c r="F4252" i="7"/>
  <c r="F4253" i="7"/>
  <c r="F4254" i="7"/>
  <c r="F4255" i="7"/>
  <c r="F4256" i="7"/>
  <c r="F4257" i="7"/>
  <c r="F4258" i="7"/>
  <c r="F4259" i="7"/>
  <c r="F4260" i="7"/>
  <c r="F4261" i="7"/>
  <c r="F4262" i="7"/>
  <c r="F4263" i="7"/>
  <c r="F4264" i="7"/>
  <c r="F4265" i="7"/>
  <c r="F4266" i="7"/>
  <c r="F4267" i="7"/>
  <c r="F4268" i="7"/>
  <c r="F4269" i="7"/>
  <c r="F4270" i="7"/>
  <c r="F4271" i="7"/>
  <c r="F4272" i="7"/>
  <c r="F4273" i="7"/>
  <c r="F4274" i="7"/>
  <c r="F4275" i="7"/>
  <c r="F4276" i="7"/>
  <c r="F4277" i="7"/>
  <c r="F4278" i="7"/>
  <c r="F4279" i="7"/>
  <c r="F4280" i="7"/>
  <c r="F4281" i="7"/>
  <c r="F4282" i="7"/>
  <c r="F4283" i="7"/>
  <c r="F4284" i="7"/>
  <c r="F4285" i="7"/>
  <c r="F4286" i="7"/>
  <c r="F4287" i="7"/>
  <c r="F4288" i="7"/>
  <c r="F4289" i="7"/>
  <c r="F4290" i="7"/>
  <c r="F4291" i="7"/>
  <c r="F4292" i="7"/>
  <c r="F4293" i="7"/>
  <c r="F4294" i="7"/>
  <c r="F4295" i="7"/>
  <c r="F4296" i="7"/>
  <c r="F4297" i="7"/>
  <c r="F4298" i="7"/>
  <c r="F4299" i="7"/>
  <c r="F4300" i="7"/>
  <c r="F4301" i="7"/>
  <c r="F4302" i="7"/>
  <c r="F4303" i="7"/>
  <c r="F4304" i="7"/>
  <c r="F4305" i="7"/>
  <c r="F4306" i="7"/>
  <c r="F4307" i="7"/>
  <c r="F4308" i="7"/>
  <c r="F4309" i="7"/>
  <c r="F4310" i="7"/>
  <c r="F4311" i="7"/>
  <c r="F4312" i="7"/>
  <c r="F4313" i="7"/>
  <c r="F4314" i="7"/>
  <c r="F4315" i="7"/>
  <c r="F4316" i="7"/>
  <c r="F4317" i="7"/>
  <c r="F4318" i="7"/>
  <c r="F4319" i="7"/>
  <c r="F4320" i="7"/>
  <c r="F4321" i="7"/>
  <c r="F4322" i="7"/>
  <c r="F4323" i="7"/>
  <c r="F4324" i="7"/>
  <c r="F4325" i="7"/>
  <c r="F4326" i="7"/>
  <c r="F4327" i="7"/>
  <c r="F4328" i="7"/>
  <c r="F4329" i="7"/>
  <c r="F4330" i="7"/>
  <c r="F4331" i="7"/>
  <c r="F4332" i="7"/>
  <c r="F4333" i="7"/>
  <c r="F4334" i="7"/>
  <c r="F4335" i="7"/>
  <c r="F4336" i="7"/>
  <c r="F4337" i="7"/>
  <c r="F4338" i="7"/>
  <c r="F4339" i="7"/>
  <c r="F4340" i="7"/>
  <c r="F4341" i="7"/>
  <c r="F4342" i="7"/>
  <c r="F4343" i="7"/>
  <c r="F4344" i="7"/>
  <c r="F4345" i="7"/>
  <c r="F4346" i="7"/>
  <c r="F4347" i="7"/>
  <c r="F4348" i="7"/>
  <c r="F4349" i="7"/>
  <c r="F4350" i="7"/>
  <c r="F4351" i="7"/>
  <c r="F4352" i="7"/>
  <c r="F4353" i="7"/>
  <c r="F4354" i="7"/>
  <c r="F4355" i="7"/>
  <c r="F4356" i="7"/>
  <c r="F4357" i="7"/>
  <c r="F4358" i="7"/>
  <c r="F4359" i="7"/>
  <c r="F4360" i="7"/>
  <c r="F4361" i="7"/>
  <c r="F4362" i="7"/>
  <c r="F4363" i="7"/>
  <c r="F4364" i="7"/>
  <c r="F4365" i="7"/>
  <c r="F4366" i="7"/>
  <c r="F4367" i="7"/>
  <c r="F4368" i="7"/>
  <c r="F4369" i="7"/>
  <c r="F4370" i="7"/>
  <c r="F4371" i="7"/>
  <c r="F4372" i="7"/>
  <c r="F4373" i="7"/>
  <c r="F4374" i="7"/>
  <c r="F4375" i="7"/>
  <c r="F4376" i="7"/>
  <c r="F4377" i="7"/>
  <c r="F4378" i="7"/>
  <c r="F4379" i="7"/>
  <c r="F4380" i="7"/>
  <c r="F4381" i="7"/>
  <c r="F4382" i="7"/>
  <c r="F4383" i="7"/>
  <c r="F4384" i="7"/>
  <c r="F4385" i="7"/>
  <c r="F4386" i="7"/>
  <c r="F4387" i="7"/>
  <c r="F4388" i="7"/>
  <c r="F4389" i="7"/>
  <c r="F4390" i="7"/>
  <c r="F4391" i="7"/>
  <c r="F4392" i="7"/>
  <c r="F4393" i="7"/>
  <c r="F4394" i="7"/>
  <c r="F4395" i="7"/>
  <c r="F4396" i="7"/>
  <c r="F4397" i="7"/>
  <c r="F4398" i="7"/>
  <c r="F4399" i="7"/>
  <c r="F4400" i="7"/>
  <c r="F4401" i="7"/>
  <c r="F4402" i="7"/>
  <c r="F4403" i="7"/>
  <c r="F4404" i="7"/>
  <c r="F4405" i="7"/>
  <c r="F4406" i="7"/>
  <c r="F4407" i="7"/>
  <c r="F4408" i="7"/>
  <c r="F4409" i="7"/>
  <c r="F4410" i="7"/>
  <c r="F4411" i="7"/>
  <c r="F4412" i="7"/>
  <c r="F4413" i="7"/>
  <c r="F4414" i="7"/>
  <c r="F4415" i="7"/>
  <c r="F4416" i="7"/>
  <c r="F4417" i="7"/>
  <c r="F4418" i="7"/>
  <c r="F4419" i="7"/>
  <c r="F4420" i="7"/>
  <c r="F4421" i="7"/>
  <c r="F4422" i="7"/>
  <c r="F4423" i="7"/>
  <c r="F4424" i="7"/>
  <c r="F4425" i="7"/>
  <c r="F4426" i="7"/>
  <c r="F4427" i="7"/>
  <c r="F4428" i="7"/>
  <c r="F4429" i="7"/>
  <c r="F4430" i="7"/>
  <c r="F4431" i="7"/>
  <c r="F4432" i="7"/>
  <c r="F4433" i="7"/>
  <c r="F4434" i="7"/>
  <c r="F4435" i="7"/>
  <c r="F4436" i="7"/>
  <c r="F4437" i="7"/>
  <c r="F4438" i="7"/>
  <c r="F4439" i="7"/>
  <c r="F4440" i="7"/>
  <c r="F4441" i="7"/>
  <c r="F4442" i="7"/>
  <c r="F4443" i="7"/>
  <c r="F4444" i="7"/>
  <c r="F4445" i="7"/>
  <c r="F4446" i="7"/>
  <c r="F4447" i="7"/>
  <c r="F4448" i="7"/>
  <c r="F4449" i="7"/>
  <c r="F4450" i="7"/>
  <c r="F4451" i="7"/>
  <c r="F4452" i="7"/>
  <c r="F4453" i="7"/>
  <c r="F4454" i="7"/>
  <c r="F4455" i="7"/>
  <c r="F4456" i="7"/>
  <c r="F4457" i="7"/>
  <c r="F4458" i="7"/>
  <c r="F4459" i="7"/>
  <c r="F4460" i="7"/>
  <c r="F4461" i="7"/>
  <c r="F4462" i="7"/>
  <c r="F4463" i="7"/>
  <c r="F4464" i="7"/>
  <c r="F4465" i="7"/>
  <c r="F4466" i="7"/>
  <c r="F4467" i="7"/>
  <c r="F4468" i="7"/>
  <c r="F4469" i="7"/>
  <c r="F4470" i="7"/>
  <c r="F4471" i="7"/>
  <c r="F4472" i="7"/>
  <c r="F4473" i="7"/>
  <c r="F4474" i="7"/>
  <c r="F4475" i="7"/>
  <c r="F4476" i="7"/>
  <c r="F4477" i="7"/>
  <c r="F4478" i="7"/>
  <c r="F4479" i="7"/>
  <c r="F4480" i="7"/>
  <c r="F4481" i="7"/>
  <c r="F4482" i="7"/>
  <c r="F4483" i="7"/>
  <c r="F4484" i="7"/>
  <c r="F4485" i="7"/>
  <c r="F4486" i="7"/>
  <c r="F4487" i="7"/>
  <c r="F4488" i="7"/>
  <c r="F4489" i="7"/>
  <c r="F4490" i="7"/>
  <c r="F4491" i="7"/>
  <c r="F4492" i="7"/>
  <c r="F4493" i="7"/>
  <c r="F4494" i="7"/>
  <c r="F4495" i="7"/>
  <c r="F4496" i="7"/>
  <c r="F4497" i="7"/>
  <c r="F4498" i="7"/>
  <c r="F4499" i="7"/>
  <c r="F4500" i="7"/>
  <c r="F4501" i="7"/>
  <c r="F4502" i="7"/>
  <c r="F4503" i="7"/>
  <c r="F4504" i="7"/>
  <c r="F4505" i="7"/>
  <c r="F4506" i="7"/>
  <c r="F4507" i="7"/>
  <c r="F4508" i="7"/>
  <c r="F4509" i="7"/>
  <c r="F4510" i="7"/>
  <c r="F4511" i="7"/>
  <c r="F4512" i="7"/>
  <c r="F4513" i="7"/>
  <c r="F4514" i="7"/>
  <c r="F4515" i="7"/>
  <c r="F4516" i="7"/>
  <c r="F4517" i="7"/>
  <c r="F4518" i="7"/>
  <c r="F4519" i="7"/>
  <c r="F4520" i="7"/>
  <c r="F4521" i="7"/>
  <c r="F4522" i="7"/>
  <c r="F4523" i="7"/>
  <c r="F4524" i="7"/>
  <c r="F4525" i="7"/>
  <c r="F4526" i="7"/>
  <c r="F4527" i="7"/>
  <c r="F4528" i="7"/>
  <c r="F4529" i="7"/>
  <c r="F4530" i="7"/>
  <c r="F4531" i="7"/>
  <c r="F4532" i="7"/>
  <c r="F4533" i="7"/>
  <c r="F4534" i="7"/>
  <c r="F4535" i="7"/>
  <c r="F4536" i="7"/>
  <c r="F4537" i="7"/>
  <c r="F4538" i="7"/>
  <c r="F4539" i="7"/>
  <c r="F4540" i="7"/>
  <c r="F4541" i="7"/>
  <c r="F4542" i="7"/>
  <c r="F4543" i="7"/>
  <c r="F4544" i="7"/>
  <c r="F4545" i="7"/>
  <c r="F4546" i="7"/>
  <c r="F4547" i="7"/>
  <c r="F4548" i="7"/>
  <c r="F4549" i="7"/>
  <c r="F4550" i="7"/>
  <c r="F4551" i="7"/>
  <c r="F4552" i="7"/>
  <c r="F4553" i="7"/>
  <c r="F4554" i="7"/>
  <c r="F4555" i="7"/>
  <c r="F4556" i="7"/>
  <c r="F4557" i="7"/>
  <c r="F4558" i="7"/>
  <c r="F4559" i="7"/>
  <c r="F4560" i="7"/>
  <c r="F4561" i="7"/>
  <c r="F4562" i="7"/>
  <c r="F4563" i="7"/>
  <c r="F4564" i="7"/>
  <c r="F4565" i="7"/>
  <c r="F4566" i="7"/>
  <c r="F4567" i="7"/>
  <c r="F4568" i="7"/>
  <c r="F4569" i="7"/>
  <c r="F4570" i="7"/>
  <c r="F4571" i="7"/>
  <c r="F4572" i="7"/>
  <c r="F4573" i="7"/>
  <c r="F4574" i="7"/>
  <c r="F4575" i="7"/>
  <c r="F4576" i="7"/>
  <c r="F4577" i="7"/>
  <c r="F4578" i="7"/>
  <c r="F4579" i="7"/>
  <c r="F4580" i="7"/>
  <c r="F4581" i="7"/>
  <c r="F4582" i="7"/>
  <c r="F4583" i="7"/>
  <c r="F4584" i="7"/>
  <c r="F4585" i="7"/>
  <c r="F4586" i="7"/>
  <c r="F4587" i="7"/>
  <c r="F4588" i="7"/>
  <c r="F4589" i="7"/>
  <c r="F4590" i="7"/>
  <c r="F4591" i="7"/>
  <c r="F4592" i="7"/>
  <c r="F4593" i="7"/>
  <c r="F4594" i="7"/>
  <c r="F4595" i="7"/>
  <c r="F4596" i="7"/>
  <c r="F4597" i="7"/>
  <c r="F4598" i="7"/>
  <c r="F4599" i="7"/>
  <c r="F4600" i="7"/>
  <c r="F4601" i="7"/>
  <c r="F4602" i="7"/>
  <c r="F4603" i="7"/>
  <c r="F4604" i="7"/>
  <c r="F4605" i="7"/>
  <c r="F4606" i="7"/>
  <c r="F4607" i="7"/>
  <c r="F4608" i="7"/>
  <c r="F4609" i="7"/>
  <c r="F4610" i="7"/>
  <c r="F4611" i="7"/>
  <c r="F4612" i="7"/>
  <c r="F4613" i="7"/>
  <c r="F4614" i="7"/>
  <c r="F4615" i="7"/>
  <c r="F4616" i="7"/>
  <c r="F4617" i="7"/>
  <c r="F4618" i="7"/>
  <c r="F4619" i="7"/>
  <c r="F4620" i="7"/>
  <c r="F4621" i="7"/>
  <c r="F4622" i="7"/>
  <c r="F4623" i="7"/>
  <c r="F4624" i="7"/>
  <c r="F4625" i="7"/>
  <c r="F4626" i="7"/>
  <c r="F4627" i="7"/>
  <c r="F4628" i="7"/>
  <c r="F4629" i="7"/>
  <c r="F4630" i="7"/>
  <c r="F4631" i="7"/>
  <c r="F4632" i="7"/>
  <c r="F4633" i="7"/>
  <c r="F4634" i="7"/>
  <c r="F4635" i="7"/>
  <c r="F4636" i="7"/>
  <c r="F4637" i="7"/>
  <c r="F4638" i="7"/>
  <c r="F4639" i="7"/>
  <c r="F4640" i="7"/>
  <c r="F4641" i="7"/>
  <c r="F4642" i="7"/>
  <c r="F4643" i="7"/>
  <c r="F4644" i="7"/>
  <c r="F4645" i="7"/>
  <c r="F4646" i="7"/>
  <c r="F4647" i="7"/>
  <c r="F4648" i="7"/>
  <c r="F4649" i="7"/>
  <c r="F4650" i="7"/>
  <c r="F4651" i="7"/>
  <c r="F4652" i="7"/>
  <c r="F4653" i="7"/>
  <c r="F4654" i="7"/>
  <c r="F4655" i="7"/>
  <c r="F4656" i="7"/>
  <c r="F4657" i="7"/>
  <c r="F4658" i="7"/>
  <c r="F4659" i="7"/>
  <c r="F4660" i="7"/>
  <c r="F4661" i="7"/>
  <c r="F4662" i="7"/>
  <c r="F4663" i="7"/>
  <c r="F4664" i="7"/>
  <c r="F4665" i="7"/>
  <c r="F4666" i="7"/>
  <c r="F4667" i="7"/>
  <c r="F4668" i="7"/>
  <c r="F4669" i="7"/>
  <c r="F4670" i="7"/>
  <c r="F4671" i="7"/>
  <c r="F4672" i="7"/>
  <c r="F4673" i="7"/>
  <c r="F4674" i="7"/>
  <c r="F4675" i="7"/>
  <c r="F4676" i="7"/>
  <c r="F4677" i="7"/>
  <c r="F4678" i="7"/>
  <c r="F4679" i="7"/>
  <c r="F4680" i="7"/>
  <c r="F4681" i="7"/>
  <c r="F4682" i="7"/>
  <c r="F4683" i="7"/>
  <c r="F4684" i="7"/>
  <c r="F4685" i="7"/>
  <c r="F4686" i="7"/>
  <c r="F4687" i="7"/>
  <c r="F4688" i="7"/>
  <c r="F4689" i="7"/>
  <c r="F4690" i="7"/>
  <c r="F4691" i="7"/>
  <c r="F4692" i="7"/>
  <c r="F4693" i="7"/>
  <c r="F4694" i="7"/>
  <c r="F4695" i="7"/>
  <c r="F4696" i="7"/>
  <c r="F4697" i="7"/>
  <c r="F4698" i="7"/>
  <c r="F4699" i="7"/>
  <c r="F4700" i="7"/>
  <c r="F4701" i="7"/>
  <c r="F4702" i="7"/>
  <c r="F4703" i="7"/>
  <c r="F4704" i="7"/>
  <c r="F4705" i="7"/>
  <c r="F4706" i="7"/>
  <c r="F4707" i="7"/>
  <c r="F4708" i="7"/>
  <c r="F4709" i="7"/>
  <c r="F4710" i="7"/>
  <c r="F4711" i="7"/>
  <c r="F4712" i="7"/>
  <c r="F4713" i="7"/>
  <c r="F4714" i="7"/>
  <c r="F4715" i="7"/>
  <c r="F4716" i="7"/>
  <c r="F4717" i="7"/>
  <c r="F4718" i="7"/>
  <c r="F4719" i="7"/>
  <c r="F4720" i="7"/>
  <c r="F4721" i="7"/>
  <c r="F4722" i="7"/>
  <c r="F4723" i="7"/>
  <c r="F4724" i="7"/>
  <c r="F4725" i="7"/>
  <c r="F4726" i="7"/>
  <c r="F4727" i="7"/>
  <c r="F4728" i="7"/>
  <c r="F4729" i="7"/>
  <c r="F4730" i="7"/>
  <c r="F4731" i="7"/>
  <c r="F4732" i="7"/>
  <c r="F4733" i="7"/>
  <c r="F4734" i="7"/>
  <c r="F4735" i="7"/>
  <c r="F4736" i="7"/>
  <c r="F4737" i="7"/>
  <c r="F4738" i="7"/>
  <c r="F4739" i="7"/>
  <c r="F4740" i="7"/>
  <c r="F4741" i="7"/>
  <c r="F4742" i="7"/>
  <c r="F4743" i="7"/>
  <c r="F4744" i="7"/>
  <c r="F4745" i="7"/>
  <c r="F4746" i="7"/>
  <c r="F4747" i="7"/>
  <c r="F4748" i="7"/>
  <c r="F4749" i="7"/>
  <c r="F4750" i="7"/>
  <c r="F4751" i="7"/>
  <c r="F4752" i="7"/>
  <c r="F4753" i="7"/>
  <c r="F4754" i="7"/>
  <c r="F4755" i="7"/>
  <c r="F4756" i="7"/>
  <c r="F4757" i="7"/>
  <c r="F4758" i="7"/>
  <c r="F4759" i="7"/>
  <c r="F4760" i="7"/>
  <c r="F4761" i="7"/>
  <c r="F4762" i="7"/>
  <c r="F4763" i="7"/>
  <c r="F4764" i="7"/>
  <c r="F4765" i="7"/>
  <c r="F4766" i="7"/>
  <c r="F4767" i="7"/>
  <c r="F4768" i="7"/>
  <c r="F4769" i="7"/>
  <c r="F4770" i="7"/>
  <c r="F4771" i="7"/>
  <c r="F4772" i="7"/>
  <c r="F4773" i="7"/>
  <c r="F4774" i="7"/>
  <c r="F4775" i="7"/>
  <c r="F4776" i="7"/>
  <c r="F4777" i="7"/>
  <c r="F4778" i="7"/>
  <c r="F4779" i="7"/>
  <c r="F4780" i="7"/>
  <c r="F4781" i="7"/>
  <c r="F4782" i="7"/>
  <c r="F4783" i="7"/>
  <c r="F4784" i="7"/>
  <c r="F4785" i="7"/>
  <c r="F4786" i="7"/>
  <c r="F4787" i="7"/>
  <c r="F4788" i="7"/>
  <c r="F4789" i="7"/>
  <c r="F4790" i="7"/>
  <c r="F4791" i="7"/>
  <c r="F4792" i="7"/>
  <c r="F4793" i="7"/>
  <c r="F4794" i="7"/>
  <c r="F4795" i="7"/>
  <c r="F4796" i="7"/>
  <c r="F4797" i="7"/>
  <c r="F4798" i="7"/>
  <c r="F4799" i="7"/>
  <c r="F4800" i="7"/>
  <c r="F4801" i="7"/>
  <c r="F4802" i="7"/>
  <c r="F4803" i="7"/>
  <c r="F4804" i="7"/>
  <c r="F4805" i="7"/>
  <c r="F4806" i="7"/>
  <c r="F4807" i="7"/>
  <c r="F4808" i="7"/>
  <c r="F4809" i="7"/>
  <c r="F4810" i="7"/>
  <c r="F4811" i="7"/>
  <c r="F4812" i="7"/>
  <c r="F4813" i="7"/>
  <c r="F4814" i="7"/>
  <c r="F4815" i="7"/>
  <c r="F4816" i="7"/>
  <c r="F4817" i="7"/>
  <c r="F4818" i="7"/>
  <c r="F4819" i="7"/>
  <c r="F4820" i="7"/>
  <c r="F4821" i="7"/>
  <c r="F4822" i="7"/>
  <c r="F4823" i="7"/>
  <c r="F4824" i="7"/>
  <c r="F4825" i="7"/>
  <c r="F4826" i="7"/>
  <c r="F4827" i="7"/>
  <c r="F4828" i="7"/>
  <c r="F4829" i="7"/>
  <c r="F4830" i="7"/>
  <c r="F4831" i="7"/>
  <c r="F4832" i="7"/>
  <c r="F4833" i="7"/>
  <c r="F4834" i="7"/>
  <c r="F4835" i="7"/>
  <c r="F4836" i="7"/>
  <c r="F4837" i="7"/>
  <c r="F4838" i="7"/>
  <c r="F4839" i="7"/>
  <c r="F4840" i="7"/>
  <c r="F4841" i="7"/>
  <c r="F4842" i="7"/>
  <c r="F4843" i="7"/>
  <c r="F4844" i="7"/>
  <c r="F4845" i="7"/>
  <c r="F4846" i="7"/>
  <c r="F4847" i="7"/>
  <c r="F4848" i="7"/>
  <c r="F4849" i="7"/>
  <c r="F4850" i="7"/>
  <c r="F4851" i="7"/>
  <c r="F4852" i="7"/>
  <c r="F4853" i="7"/>
  <c r="F4854" i="7"/>
  <c r="F4855" i="7"/>
  <c r="F4856" i="7"/>
  <c r="F4857" i="7"/>
  <c r="F4858" i="7"/>
  <c r="F4859" i="7"/>
  <c r="F4860" i="7"/>
  <c r="F4861" i="7"/>
  <c r="F4862" i="7"/>
  <c r="F4863" i="7"/>
  <c r="F4864" i="7"/>
  <c r="F4865" i="7"/>
  <c r="F4866" i="7"/>
  <c r="F4867" i="7"/>
  <c r="F4868" i="7"/>
  <c r="F4869" i="7"/>
  <c r="F4870" i="7"/>
  <c r="F4871" i="7"/>
  <c r="F4872" i="7"/>
  <c r="F4873" i="7"/>
  <c r="F4874" i="7"/>
  <c r="F4875" i="7"/>
  <c r="F4876" i="7"/>
  <c r="F4877" i="7"/>
  <c r="F4878" i="7"/>
  <c r="F4879" i="7"/>
  <c r="F4880" i="7"/>
  <c r="F4881" i="7"/>
  <c r="F4882" i="7"/>
  <c r="F4883" i="7"/>
  <c r="F4884" i="7"/>
  <c r="F4885" i="7"/>
  <c r="F4886" i="7"/>
  <c r="F4887" i="7"/>
  <c r="F4888" i="7"/>
  <c r="F4889" i="7"/>
  <c r="F4890" i="7"/>
  <c r="F4891" i="7"/>
  <c r="F4892" i="7"/>
  <c r="F4893" i="7"/>
  <c r="F4894" i="7"/>
  <c r="F4895" i="7"/>
  <c r="F4896" i="7"/>
  <c r="F4897" i="7"/>
  <c r="F4898" i="7"/>
  <c r="F4899" i="7"/>
  <c r="F4900" i="7"/>
  <c r="F4901" i="7"/>
  <c r="F4902" i="7"/>
  <c r="F4903" i="7"/>
  <c r="F4904" i="7"/>
  <c r="F4905" i="7"/>
  <c r="F4906" i="7"/>
  <c r="F4907" i="7"/>
  <c r="F4908" i="7"/>
  <c r="F4909" i="7"/>
  <c r="F4910" i="7"/>
  <c r="F4911" i="7"/>
  <c r="F4912" i="7"/>
  <c r="F4913" i="7"/>
  <c r="F4914" i="7"/>
  <c r="F4915" i="7"/>
  <c r="F4916" i="7"/>
  <c r="F4917" i="7"/>
  <c r="F4918" i="7"/>
  <c r="F4919" i="7"/>
  <c r="F4920" i="7"/>
  <c r="F4921" i="7"/>
  <c r="F4922" i="7"/>
  <c r="F4923" i="7"/>
  <c r="F4924" i="7"/>
  <c r="F4925" i="7"/>
  <c r="F4926" i="7"/>
  <c r="F4927" i="7"/>
  <c r="F4928" i="7"/>
  <c r="F4929" i="7"/>
  <c r="F4930" i="7"/>
  <c r="F4931" i="7"/>
  <c r="F4932" i="7"/>
  <c r="F4933" i="7"/>
  <c r="F4934" i="7"/>
  <c r="F4935" i="7"/>
  <c r="F4936" i="7"/>
  <c r="F4937" i="7"/>
  <c r="F4938" i="7"/>
  <c r="F4939" i="7"/>
  <c r="F4940" i="7"/>
  <c r="F4941" i="7"/>
  <c r="F4942" i="7"/>
  <c r="F4943" i="7"/>
  <c r="F4944" i="7"/>
  <c r="F4945" i="7"/>
  <c r="F4946" i="7"/>
  <c r="F4947" i="7"/>
  <c r="F4948" i="7"/>
  <c r="F4949" i="7"/>
  <c r="F4950" i="7"/>
  <c r="F4951" i="7"/>
  <c r="F4952" i="7"/>
  <c r="F4953" i="7"/>
  <c r="F4954" i="7"/>
  <c r="F4955" i="7"/>
  <c r="F4956" i="7"/>
  <c r="F4957" i="7"/>
  <c r="F4958" i="7"/>
  <c r="F4959" i="7"/>
  <c r="F4960" i="7"/>
  <c r="F4961" i="7"/>
  <c r="F4962" i="7"/>
  <c r="F4963" i="7"/>
  <c r="F4964" i="7"/>
  <c r="F4965" i="7"/>
  <c r="F4966" i="7"/>
  <c r="F4967" i="7"/>
  <c r="F4968" i="7"/>
  <c r="F4969" i="7"/>
  <c r="F4970" i="7"/>
  <c r="F4971" i="7"/>
  <c r="F4972" i="7"/>
  <c r="F4973" i="7"/>
  <c r="F4974" i="7"/>
  <c r="F4975" i="7"/>
  <c r="F4976" i="7"/>
  <c r="F4977" i="7"/>
  <c r="F4978" i="7"/>
  <c r="F4979" i="7"/>
  <c r="F4980" i="7"/>
  <c r="F4981" i="7"/>
  <c r="F4982" i="7"/>
  <c r="F4983" i="7"/>
  <c r="F4984" i="7"/>
  <c r="F4985" i="7"/>
  <c r="F4986" i="7"/>
  <c r="F4987" i="7"/>
  <c r="F4988" i="7"/>
  <c r="F4989" i="7"/>
  <c r="F4990" i="7"/>
  <c r="F4991" i="7"/>
  <c r="F4992" i="7"/>
  <c r="F4993" i="7"/>
  <c r="F4994" i="7"/>
  <c r="F4995" i="7"/>
  <c r="F4996" i="7"/>
  <c r="F4997" i="7"/>
  <c r="F4998" i="7"/>
  <c r="F4999" i="7"/>
  <c r="F5000" i="7"/>
  <c r="F5001" i="7"/>
  <c r="F5002" i="7"/>
  <c r="F5003" i="7"/>
  <c r="F5004" i="7"/>
  <c r="F5005" i="7"/>
  <c r="F5006" i="7"/>
  <c r="F5007" i="7"/>
  <c r="F5008" i="7"/>
  <c r="F5009" i="7"/>
  <c r="F5010" i="7"/>
  <c r="F5011" i="7"/>
  <c r="F5012" i="7"/>
  <c r="F5013" i="7"/>
  <c r="F5014" i="7"/>
  <c r="F5015" i="7"/>
  <c r="F5016" i="7"/>
  <c r="F5017" i="7"/>
  <c r="F5018" i="7"/>
  <c r="F5019" i="7"/>
  <c r="F5020" i="7"/>
  <c r="F5021" i="7"/>
  <c r="F5022" i="7"/>
  <c r="F5023" i="7"/>
  <c r="F5024" i="7"/>
  <c r="F5025" i="7"/>
  <c r="F5026" i="7"/>
  <c r="F5027" i="7"/>
  <c r="F5028" i="7"/>
  <c r="F5029" i="7"/>
  <c r="F5030" i="7"/>
  <c r="F5031" i="7"/>
  <c r="F5032" i="7"/>
  <c r="F5033" i="7"/>
  <c r="F5034" i="7"/>
  <c r="F5035" i="7"/>
  <c r="F5036" i="7"/>
  <c r="F5037" i="7"/>
  <c r="F5038" i="7"/>
  <c r="F5039" i="7"/>
  <c r="F5040" i="7"/>
  <c r="F5041" i="7"/>
  <c r="F5042" i="7"/>
  <c r="F5043" i="7"/>
  <c r="F5044" i="7"/>
  <c r="F5045" i="7"/>
  <c r="F5046" i="7"/>
  <c r="F5047" i="7"/>
  <c r="F5048" i="7"/>
  <c r="F5049" i="7"/>
  <c r="F5050" i="7"/>
  <c r="F5051" i="7"/>
  <c r="F5052" i="7"/>
  <c r="F5053" i="7"/>
  <c r="F5054" i="7"/>
  <c r="F5055" i="7"/>
  <c r="F5056" i="7"/>
  <c r="F5057" i="7"/>
  <c r="F5058" i="7"/>
  <c r="F5059" i="7"/>
  <c r="F5060" i="7"/>
  <c r="F5061" i="7"/>
  <c r="F5062" i="7"/>
  <c r="F5063" i="7"/>
  <c r="F5064" i="7"/>
  <c r="F5065" i="7"/>
  <c r="F5066" i="7"/>
  <c r="F5067" i="7"/>
  <c r="F5068" i="7"/>
  <c r="F5069" i="7"/>
  <c r="F5070" i="7"/>
  <c r="F5071" i="7"/>
  <c r="F5072" i="7"/>
  <c r="F5073" i="7"/>
  <c r="F5074" i="7"/>
  <c r="F5075" i="7"/>
  <c r="F5076" i="7"/>
  <c r="F5077" i="7"/>
  <c r="F5078" i="7"/>
  <c r="F5079" i="7"/>
  <c r="F5080" i="7"/>
  <c r="F5081" i="7"/>
  <c r="F5082" i="7"/>
  <c r="F5083" i="7"/>
  <c r="F5084" i="7"/>
  <c r="F5085" i="7"/>
  <c r="F5086" i="7"/>
  <c r="F5087" i="7"/>
  <c r="F5088" i="7"/>
  <c r="F5089" i="7"/>
  <c r="F5090" i="7"/>
  <c r="F5091" i="7"/>
  <c r="F5092" i="7"/>
  <c r="F5093" i="7"/>
  <c r="F5094" i="7"/>
  <c r="F5095" i="7"/>
  <c r="F5096" i="7"/>
  <c r="F5097" i="7"/>
  <c r="F5098" i="7"/>
  <c r="F5099" i="7"/>
  <c r="F5100" i="7"/>
  <c r="F5101" i="7"/>
  <c r="F5102" i="7"/>
  <c r="F5103" i="7"/>
  <c r="F5104" i="7"/>
  <c r="F5105" i="7"/>
  <c r="F5106" i="7"/>
  <c r="F5107" i="7"/>
  <c r="F5108" i="7"/>
  <c r="F5109" i="7"/>
  <c r="F5110" i="7"/>
  <c r="F5111" i="7"/>
  <c r="F5112" i="7"/>
  <c r="F5113" i="7"/>
  <c r="F5114" i="7"/>
  <c r="F5115" i="7"/>
  <c r="F5116" i="7"/>
  <c r="F5117" i="7"/>
  <c r="F5118" i="7"/>
  <c r="F5119" i="7"/>
  <c r="F5120" i="7"/>
  <c r="F5121" i="7"/>
  <c r="F5122" i="7"/>
  <c r="F5123" i="7"/>
  <c r="F5124" i="7"/>
  <c r="F5125" i="7"/>
  <c r="F5126" i="7"/>
  <c r="F5127" i="7"/>
  <c r="F5128" i="7"/>
  <c r="F5129" i="7"/>
  <c r="F5130" i="7"/>
  <c r="F5131" i="7"/>
  <c r="F5132" i="7"/>
  <c r="F5133" i="7"/>
  <c r="F5134" i="7"/>
  <c r="F5135" i="7"/>
  <c r="F5136" i="7"/>
  <c r="F5137" i="7"/>
  <c r="F5138" i="7"/>
  <c r="F5139" i="7"/>
  <c r="F5140" i="7"/>
  <c r="F5141" i="7"/>
  <c r="F5142" i="7"/>
  <c r="F5143" i="7"/>
  <c r="F5144" i="7"/>
  <c r="F5145" i="7"/>
  <c r="F5146" i="7"/>
  <c r="F5147" i="7"/>
  <c r="F5148" i="7"/>
  <c r="F5149" i="7"/>
  <c r="F5150" i="7"/>
  <c r="F5151" i="7"/>
  <c r="F5152" i="7"/>
  <c r="F5153" i="7"/>
  <c r="F5154" i="7"/>
  <c r="F5155" i="7"/>
  <c r="F5156" i="7"/>
  <c r="F5157" i="7"/>
  <c r="F5158" i="7"/>
  <c r="F5159" i="7"/>
  <c r="F5160" i="7"/>
  <c r="F5161" i="7"/>
  <c r="F5162" i="7"/>
  <c r="F5163" i="7"/>
  <c r="F5164" i="7"/>
  <c r="F5165" i="7"/>
  <c r="F5166" i="7"/>
  <c r="F5167" i="7"/>
  <c r="F5168" i="7"/>
  <c r="F5169" i="7"/>
  <c r="F5170" i="7"/>
  <c r="F5171" i="7"/>
  <c r="F5172" i="7"/>
  <c r="F5173" i="7"/>
  <c r="F5174" i="7"/>
  <c r="F5175" i="7"/>
  <c r="F5176" i="7"/>
  <c r="F5177" i="7"/>
  <c r="F5178" i="7"/>
  <c r="F5179" i="7"/>
  <c r="F5180" i="7"/>
  <c r="F5181" i="7"/>
  <c r="F5182" i="7"/>
  <c r="F5183" i="7"/>
  <c r="F5184" i="7"/>
  <c r="F5185" i="7"/>
  <c r="F5186" i="7"/>
  <c r="F5187" i="7"/>
  <c r="F5188" i="7"/>
  <c r="F5189" i="7"/>
  <c r="F5190" i="7"/>
  <c r="F5191" i="7"/>
  <c r="F5192" i="7"/>
  <c r="F5193" i="7"/>
  <c r="F5194" i="7"/>
  <c r="F5195" i="7"/>
  <c r="F5196" i="7"/>
  <c r="F5197" i="7"/>
  <c r="F5198" i="7"/>
  <c r="F5199" i="7"/>
  <c r="F5200" i="7"/>
  <c r="F5201" i="7"/>
  <c r="F5202" i="7"/>
  <c r="F5203" i="7"/>
  <c r="F5204" i="7"/>
  <c r="F5205" i="7"/>
  <c r="F5206" i="7"/>
  <c r="F5207" i="7"/>
  <c r="F5208" i="7"/>
  <c r="F5209" i="7"/>
  <c r="F5210" i="7"/>
  <c r="F5211" i="7"/>
  <c r="F5212" i="7"/>
  <c r="F5213" i="7"/>
  <c r="F5214" i="7"/>
  <c r="F5215" i="7"/>
  <c r="F5216" i="7"/>
  <c r="F5217" i="7"/>
  <c r="F5218" i="7"/>
  <c r="F5219" i="7"/>
  <c r="F5220" i="7"/>
  <c r="F5221" i="7"/>
  <c r="F5222" i="7"/>
  <c r="F5223" i="7"/>
  <c r="F5224" i="7"/>
  <c r="F5225" i="7"/>
  <c r="F5226" i="7"/>
  <c r="F5227" i="7"/>
  <c r="F5228" i="7"/>
  <c r="F5229" i="7"/>
  <c r="F5230" i="7"/>
  <c r="F5231" i="7"/>
  <c r="F5232" i="7"/>
  <c r="F5233" i="7"/>
  <c r="F5234" i="7"/>
  <c r="F5235" i="7"/>
  <c r="F5236" i="7"/>
  <c r="F5237" i="7"/>
  <c r="F5238" i="7"/>
  <c r="F5239" i="7"/>
  <c r="F5240" i="7"/>
  <c r="F5241" i="7"/>
  <c r="F5242" i="7"/>
  <c r="F5243" i="7"/>
  <c r="F5244" i="7"/>
  <c r="F5245" i="7"/>
  <c r="F5246" i="7"/>
  <c r="F5247" i="7"/>
  <c r="F5248" i="7"/>
  <c r="F5249" i="7"/>
  <c r="F5250" i="7"/>
  <c r="F5251" i="7"/>
  <c r="F5252" i="7"/>
  <c r="F5253" i="7"/>
  <c r="F5254" i="7"/>
  <c r="F5255" i="7"/>
  <c r="F5256" i="7"/>
  <c r="F5257" i="7"/>
  <c r="F5258" i="7"/>
  <c r="F5259" i="7"/>
  <c r="F5260" i="7"/>
  <c r="F5261" i="7"/>
  <c r="F5262" i="7"/>
  <c r="F5263" i="7"/>
  <c r="F5264" i="7"/>
  <c r="F5265" i="7"/>
  <c r="F5266" i="7"/>
  <c r="F5267" i="7"/>
  <c r="F5268" i="7"/>
  <c r="F5269" i="7"/>
  <c r="F5270" i="7"/>
  <c r="F5271" i="7"/>
  <c r="F5272" i="7"/>
  <c r="F5273" i="7"/>
  <c r="F5274" i="7"/>
  <c r="F5275" i="7"/>
  <c r="F5276" i="7"/>
  <c r="F5277" i="7"/>
  <c r="F5278" i="7"/>
  <c r="F5279" i="7"/>
  <c r="F5280" i="7"/>
  <c r="F5281" i="7"/>
  <c r="F5282" i="7"/>
  <c r="F5283" i="7"/>
  <c r="F5284" i="7"/>
  <c r="F5285" i="7"/>
  <c r="F5286" i="7"/>
  <c r="F5287" i="7"/>
  <c r="F5288" i="7"/>
  <c r="F5289" i="7"/>
  <c r="F5290" i="7"/>
  <c r="F5291" i="7"/>
  <c r="F5292" i="7"/>
  <c r="F5293" i="7"/>
  <c r="F5294" i="7"/>
  <c r="F5295" i="7"/>
  <c r="F5296" i="7"/>
  <c r="F5297" i="7"/>
  <c r="F5298" i="7"/>
  <c r="F5299" i="7"/>
  <c r="F5300" i="7"/>
  <c r="F5301" i="7"/>
  <c r="F5302" i="7"/>
  <c r="F5303" i="7"/>
  <c r="F5304" i="7"/>
  <c r="F5305" i="7"/>
  <c r="F5306" i="7"/>
  <c r="F5307" i="7"/>
  <c r="F5308" i="7"/>
  <c r="F5309" i="7"/>
  <c r="F5310" i="7"/>
  <c r="F5311" i="7"/>
  <c r="F5312" i="7"/>
  <c r="F5313" i="7"/>
  <c r="F5314" i="7"/>
  <c r="F5315" i="7"/>
  <c r="F5316" i="7"/>
  <c r="F5317" i="7"/>
  <c r="F5318" i="7"/>
  <c r="F5319" i="7"/>
  <c r="F5320" i="7"/>
  <c r="F5321" i="7"/>
  <c r="F5322" i="7"/>
  <c r="F5323" i="7"/>
  <c r="F5324" i="7"/>
  <c r="F5325" i="7"/>
  <c r="F5326" i="7"/>
  <c r="F5327" i="7"/>
  <c r="F5328" i="7"/>
  <c r="F5329" i="7"/>
  <c r="F5330" i="7"/>
  <c r="F5331" i="7"/>
  <c r="F5332" i="7"/>
  <c r="F5333" i="7"/>
  <c r="F5334" i="7"/>
  <c r="F5335" i="7"/>
  <c r="F5336" i="7"/>
  <c r="F5337" i="7"/>
  <c r="F5338" i="7"/>
  <c r="F5339" i="7"/>
  <c r="F5340" i="7"/>
  <c r="F5341" i="7"/>
  <c r="F5342" i="7"/>
  <c r="F5343" i="7"/>
  <c r="F5344" i="7"/>
  <c r="F5345" i="7"/>
  <c r="F5346" i="7"/>
  <c r="F5347" i="7"/>
  <c r="F5348" i="7"/>
  <c r="F5349" i="7"/>
  <c r="F5350" i="7"/>
  <c r="F5351" i="7"/>
  <c r="F5352" i="7"/>
  <c r="F5353" i="7"/>
  <c r="F5354" i="7"/>
  <c r="F5355" i="7"/>
  <c r="F5356" i="7"/>
  <c r="F5357" i="7"/>
  <c r="F5358" i="7"/>
  <c r="F5359" i="7"/>
  <c r="F5360" i="7"/>
  <c r="F5361" i="7"/>
  <c r="F5362" i="7"/>
  <c r="F5363" i="7"/>
  <c r="F5364" i="7"/>
  <c r="F5365" i="7"/>
  <c r="F5366" i="7"/>
  <c r="F5367" i="7"/>
  <c r="F5368" i="7"/>
  <c r="F5369" i="7"/>
  <c r="F5370" i="7"/>
  <c r="F5371" i="7"/>
  <c r="F5372" i="7"/>
  <c r="F5373" i="7"/>
  <c r="F5374" i="7"/>
  <c r="F5375" i="7"/>
  <c r="F5376" i="7"/>
  <c r="F5377" i="7"/>
  <c r="F5378" i="7"/>
  <c r="F5379" i="7"/>
  <c r="F5380" i="7"/>
  <c r="F5381" i="7"/>
  <c r="F5382" i="7"/>
  <c r="F5383" i="7"/>
  <c r="F5384" i="7"/>
  <c r="F5385" i="7"/>
  <c r="F5386" i="7"/>
  <c r="F5387" i="7"/>
  <c r="F5388" i="7"/>
  <c r="F5389" i="7"/>
  <c r="F5390" i="7"/>
  <c r="F5391" i="7"/>
  <c r="F5392" i="7"/>
  <c r="F5393" i="7"/>
  <c r="F5394" i="7"/>
  <c r="F5395" i="7"/>
  <c r="F5396" i="7"/>
  <c r="F5397" i="7"/>
  <c r="F5398" i="7"/>
  <c r="F5399" i="7"/>
  <c r="F5400" i="7"/>
  <c r="F5401" i="7"/>
  <c r="F5402" i="7"/>
  <c r="F5403" i="7"/>
  <c r="F5404" i="7"/>
  <c r="F5405" i="7"/>
  <c r="F5406" i="7"/>
  <c r="F5407" i="7"/>
  <c r="F5408" i="7"/>
  <c r="F5409" i="7"/>
  <c r="F5410" i="7"/>
  <c r="F5411" i="7"/>
  <c r="F5412" i="7"/>
  <c r="F5413" i="7"/>
  <c r="F5414" i="7"/>
  <c r="F5415" i="7"/>
  <c r="F5416" i="7"/>
  <c r="F5417" i="7"/>
  <c r="F5418" i="7"/>
  <c r="F5419" i="7"/>
  <c r="F5420" i="7"/>
  <c r="F5421" i="7"/>
  <c r="F5422" i="7"/>
  <c r="F5423" i="7"/>
  <c r="F5424" i="7"/>
  <c r="F5425" i="7"/>
  <c r="F5426" i="7"/>
  <c r="F5427" i="7"/>
  <c r="F5428" i="7"/>
  <c r="F5429" i="7"/>
  <c r="F5430" i="7"/>
  <c r="F5431" i="7"/>
  <c r="F5432" i="7"/>
  <c r="F5433" i="7"/>
  <c r="F5434" i="7"/>
  <c r="F5435" i="7"/>
  <c r="F5436" i="7"/>
  <c r="F5437" i="7"/>
  <c r="F5438" i="7"/>
  <c r="F5439" i="7"/>
  <c r="F5440" i="7"/>
  <c r="F5441" i="7"/>
  <c r="F5442" i="7"/>
  <c r="F5443" i="7"/>
  <c r="F5444" i="7"/>
  <c r="F5445" i="7"/>
  <c r="F5446" i="7"/>
  <c r="F5447" i="7"/>
  <c r="F5448" i="7"/>
  <c r="F5449" i="7"/>
  <c r="F5450" i="7"/>
  <c r="F5451" i="7"/>
  <c r="F5452" i="7"/>
  <c r="F5453" i="7"/>
  <c r="F5454" i="7"/>
  <c r="F5455" i="7"/>
  <c r="F5456" i="7"/>
  <c r="F5457" i="7"/>
  <c r="F5458" i="7"/>
  <c r="F5459" i="7"/>
  <c r="F5460" i="7"/>
  <c r="F5461" i="7"/>
  <c r="F5462" i="7"/>
  <c r="F5463" i="7"/>
  <c r="F5464" i="7"/>
  <c r="F5465" i="7"/>
  <c r="F5466" i="7"/>
  <c r="F5467" i="7"/>
  <c r="F5468" i="7"/>
  <c r="F5469" i="7"/>
  <c r="F5470" i="7"/>
  <c r="F5471" i="7"/>
  <c r="F5472" i="7"/>
  <c r="F5473" i="7"/>
  <c r="F5474" i="7"/>
  <c r="F5475" i="7"/>
  <c r="F5476" i="7"/>
  <c r="F5477" i="7"/>
  <c r="F5478" i="7"/>
  <c r="F5479" i="7"/>
  <c r="F5480" i="7"/>
  <c r="F5481" i="7"/>
  <c r="F5482" i="7"/>
  <c r="F5483" i="7"/>
  <c r="F5484" i="7"/>
  <c r="F5485" i="7"/>
  <c r="F5486" i="7"/>
  <c r="F5487" i="7"/>
  <c r="F5488" i="7"/>
  <c r="F5489" i="7"/>
  <c r="F5490" i="7"/>
  <c r="F5491" i="7"/>
  <c r="F5492" i="7"/>
  <c r="F5493" i="7"/>
  <c r="F5494" i="7"/>
  <c r="F5495" i="7"/>
  <c r="F5496" i="7"/>
  <c r="F5497" i="7"/>
  <c r="F5498" i="7"/>
  <c r="F5499" i="7"/>
  <c r="F5500" i="7"/>
  <c r="F5501" i="7"/>
  <c r="F5502" i="7"/>
  <c r="F5503" i="7"/>
  <c r="F5504" i="7"/>
  <c r="F5505" i="7"/>
  <c r="F5506" i="7"/>
  <c r="F5507" i="7"/>
  <c r="F5508" i="7"/>
  <c r="F5509" i="7"/>
  <c r="F5510" i="7"/>
  <c r="F5511" i="7"/>
  <c r="F5512" i="7"/>
  <c r="F5513" i="7"/>
  <c r="F5514" i="7"/>
  <c r="F5515" i="7"/>
  <c r="F5516" i="7"/>
  <c r="F5517" i="7"/>
  <c r="F5518" i="7"/>
  <c r="F5519" i="7"/>
  <c r="F5520" i="7"/>
  <c r="F5521" i="7"/>
  <c r="F5522" i="7"/>
  <c r="F5523" i="7"/>
  <c r="F5524" i="7"/>
  <c r="F5525" i="7"/>
  <c r="F5526" i="7"/>
  <c r="F5527" i="7"/>
  <c r="F5528" i="7"/>
  <c r="F5529" i="7"/>
  <c r="F5530" i="7"/>
  <c r="F5531" i="7"/>
  <c r="F5532" i="7"/>
  <c r="F5533" i="7"/>
  <c r="F5534" i="7"/>
  <c r="F5535" i="7"/>
  <c r="F5536" i="7"/>
  <c r="F5537" i="7"/>
  <c r="F5538" i="7"/>
  <c r="F5539" i="7"/>
  <c r="F5540" i="7"/>
  <c r="F5541" i="7"/>
  <c r="F5542" i="7"/>
  <c r="F5543" i="7"/>
  <c r="F5544" i="7"/>
  <c r="F5545" i="7"/>
  <c r="F5546" i="7"/>
  <c r="F5547" i="7"/>
  <c r="F5548" i="7"/>
  <c r="F5549" i="7"/>
  <c r="F5550" i="7"/>
  <c r="F5551" i="7"/>
  <c r="F5552" i="7"/>
  <c r="F5553" i="7"/>
  <c r="F5554" i="7"/>
  <c r="F5555" i="7"/>
  <c r="F5556" i="7"/>
  <c r="F5557" i="7"/>
  <c r="F5558" i="7"/>
  <c r="F5559" i="7"/>
  <c r="F5560" i="7"/>
  <c r="F5561" i="7"/>
  <c r="F5562" i="7"/>
  <c r="F5563" i="7"/>
  <c r="F5564" i="7"/>
  <c r="F5565" i="7"/>
  <c r="F5566" i="7"/>
  <c r="F5567" i="7"/>
  <c r="F5568" i="7"/>
  <c r="F5569" i="7"/>
  <c r="F5570" i="7"/>
  <c r="F5571" i="7"/>
  <c r="F5572" i="7"/>
  <c r="F5573" i="7"/>
  <c r="F5574" i="7"/>
  <c r="F5575" i="7"/>
  <c r="F5576" i="7"/>
  <c r="F5577" i="7"/>
  <c r="F5578" i="7"/>
  <c r="F5579" i="7"/>
  <c r="F5580" i="7"/>
  <c r="F5581" i="7"/>
  <c r="F5582" i="7"/>
  <c r="F5583" i="7"/>
  <c r="F5584" i="7"/>
  <c r="F5585" i="7"/>
  <c r="F5586" i="7"/>
  <c r="F5587" i="7"/>
  <c r="F5588" i="7"/>
  <c r="F5589" i="7"/>
  <c r="F5590" i="7"/>
  <c r="F5591" i="7"/>
  <c r="F5592" i="7"/>
  <c r="F5593" i="7"/>
  <c r="F5594" i="7"/>
  <c r="F5595" i="7"/>
  <c r="F5596" i="7"/>
  <c r="F5597" i="7"/>
  <c r="F5598" i="7"/>
  <c r="F5599" i="7"/>
  <c r="F5600" i="7"/>
  <c r="F5601" i="7"/>
  <c r="F5602" i="7"/>
  <c r="F5603" i="7"/>
  <c r="F5604" i="7"/>
  <c r="F5605" i="7"/>
  <c r="F5606" i="7"/>
  <c r="F5607" i="7"/>
  <c r="F5608" i="7"/>
  <c r="F5609" i="7"/>
  <c r="F5610" i="7"/>
  <c r="F5611" i="7"/>
  <c r="F5612" i="7"/>
  <c r="F5613" i="7"/>
  <c r="F5614" i="7"/>
  <c r="F5615" i="7"/>
  <c r="F5616" i="7"/>
  <c r="F5617" i="7"/>
  <c r="F5618" i="7"/>
  <c r="F5619" i="7"/>
  <c r="F5620" i="7"/>
  <c r="F5621" i="7"/>
  <c r="F5622" i="7"/>
  <c r="F5623" i="7"/>
  <c r="F5624" i="7"/>
  <c r="F5625" i="7"/>
  <c r="F5626" i="7"/>
  <c r="F5627" i="7"/>
  <c r="F5628" i="7"/>
  <c r="F5629" i="7"/>
  <c r="F5630" i="7"/>
  <c r="F5631" i="7"/>
  <c r="F5632" i="7"/>
  <c r="F5633" i="7"/>
  <c r="F5634" i="7"/>
  <c r="F5635" i="7"/>
  <c r="F5636" i="7"/>
  <c r="F5637" i="7"/>
  <c r="F5638" i="7"/>
  <c r="F5639" i="7"/>
  <c r="F5640" i="7"/>
  <c r="F5641" i="7"/>
  <c r="F5642" i="7"/>
  <c r="F5643" i="7"/>
  <c r="F5644" i="7"/>
  <c r="F5645" i="7"/>
  <c r="F5646" i="7"/>
  <c r="F5647" i="7"/>
  <c r="F5648" i="7"/>
  <c r="F5649" i="7"/>
  <c r="F5650" i="7"/>
  <c r="F5651" i="7"/>
  <c r="F5652" i="7"/>
  <c r="F5653" i="7"/>
  <c r="F5654" i="7"/>
  <c r="F5655" i="7"/>
  <c r="F5656" i="7"/>
  <c r="F5657" i="7"/>
  <c r="F5658" i="7"/>
  <c r="F5659" i="7"/>
  <c r="F5660" i="7"/>
  <c r="F5661" i="7"/>
  <c r="F5662" i="7"/>
  <c r="F5663" i="7"/>
  <c r="F5664" i="7"/>
  <c r="F5665" i="7"/>
  <c r="F5666" i="7"/>
  <c r="F5667" i="7"/>
  <c r="F5668" i="7"/>
  <c r="F5669" i="7"/>
  <c r="F5670" i="7"/>
  <c r="F5671" i="7"/>
  <c r="F5672" i="7"/>
  <c r="F5673" i="7"/>
  <c r="F5674" i="7"/>
  <c r="F5675" i="7"/>
  <c r="F5676" i="7"/>
  <c r="F5677" i="7"/>
  <c r="F5678" i="7"/>
  <c r="F5679" i="7"/>
  <c r="F5680" i="7"/>
  <c r="F5681" i="7"/>
  <c r="F5682" i="7"/>
  <c r="F5683" i="7"/>
  <c r="F5684" i="7"/>
  <c r="F5685" i="7"/>
  <c r="F5686" i="7"/>
  <c r="F5687" i="7"/>
  <c r="F5688" i="7"/>
  <c r="F5689" i="7"/>
  <c r="F5690" i="7"/>
  <c r="F5691" i="7"/>
  <c r="F5692" i="7"/>
  <c r="F5693" i="7"/>
  <c r="F5694" i="7"/>
  <c r="F5695" i="7"/>
  <c r="F5696" i="7"/>
  <c r="F5697" i="7"/>
  <c r="F5698" i="7"/>
  <c r="F5699" i="7"/>
  <c r="F5700" i="7"/>
  <c r="F5701" i="7"/>
  <c r="F5702" i="7"/>
  <c r="F5703" i="7"/>
  <c r="F5704" i="7"/>
  <c r="F5705" i="7"/>
  <c r="F5706" i="7"/>
  <c r="F5707" i="7"/>
  <c r="F5708" i="7"/>
  <c r="F5709" i="7"/>
  <c r="F5710" i="7"/>
  <c r="F5711" i="7"/>
  <c r="F5712" i="7"/>
  <c r="F5713" i="7"/>
  <c r="F5714" i="7"/>
  <c r="F5715" i="7"/>
  <c r="F5716" i="7"/>
  <c r="F5717" i="7"/>
  <c r="F5718" i="7"/>
  <c r="F5719" i="7"/>
  <c r="F5720" i="7"/>
  <c r="F5721" i="7"/>
  <c r="F5722" i="7"/>
  <c r="F5723" i="7"/>
  <c r="F5724" i="7"/>
  <c r="F5725" i="7"/>
  <c r="F5726" i="7"/>
  <c r="F5727" i="7"/>
  <c r="F5728" i="7"/>
  <c r="F5729" i="7"/>
  <c r="F5730" i="7"/>
  <c r="F5731" i="7"/>
  <c r="F5732" i="7"/>
  <c r="F5733" i="7"/>
  <c r="F5734" i="7"/>
  <c r="F5735" i="7"/>
  <c r="F5736" i="7"/>
  <c r="F5737" i="7"/>
  <c r="F5738" i="7"/>
  <c r="F5739" i="7"/>
  <c r="F5740" i="7"/>
  <c r="F5741" i="7"/>
  <c r="F5742" i="7"/>
  <c r="F5743" i="7"/>
  <c r="F5744" i="7"/>
  <c r="F5745" i="7"/>
  <c r="F5746" i="7"/>
  <c r="F5747" i="7"/>
  <c r="F5748" i="7"/>
  <c r="F5749" i="7"/>
  <c r="F5750" i="7"/>
  <c r="F5751" i="7"/>
  <c r="F5752" i="7"/>
  <c r="F5753" i="7"/>
  <c r="F5754" i="7"/>
  <c r="F5755" i="7"/>
  <c r="F5756" i="7"/>
  <c r="F5757" i="7"/>
  <c r="F5758" i="7"/>
  <c r="F5759" i="7"/>
  <c r="F5760" i="7"/>
  <c r="F5761" i="7"/>
  <c r="F5762" i="7"/>
  <c r="F5763" i="7"/>
  <c r="F5764" i="7"/>
  <c r="F5765" i="7"/>
  <c r="F5766" i="7"/>
  <c r="F5767" i="7"/>
  <c r="F5768" i="7"/>
  <c r="F5769" i="7"/>
  <c r="F5770" i="7"/>
  <c r="F5771" i="7"/>
  <c r="F5772" i="7"/>
  <c r="F5773" i="7"/>
  <c r="F5774" i="7"/>
  <c r="F5775" i="7"/>
  <c r="F5776" i="7"/>
  <c r="F5777" i="7"/>
  <c r="F5778" i="7"/>
  <c r="F5779" i="7"/>
  <c r="F5780" i="7"/>
  <c r="F5781" i="7"/>
  <c r="F5782" i="7"/>
  <c r="F5783" i="7"/>
  <c r="F5784" i="7"/>
  <c r="F5785" i="7"/>
  <c r="F5786" i="7"/>
  <c r="F5787" i="7"/>
  <c r="F5788" i="7"/>
  <c r="F5789" i="7"/>
  <c r="F5790" i="7"/>
  <c r="F5791" i="7"/>
  <c r="F5792" i="7"/>
  <c r="F5793" i="7"/>
  <c r="F5794" i="7"/>
  <c r="F5795" i="7"/>
  <c r="F5796" i="7"/>
  <c r="F5797" i="7"/>
  <c r="F5798" i="7"/>
  <c r="F5799" i="7"/>
  <c r="F5800" i="7"/>
  <c r="F5801" i="7"/>
  <c r="F5802" i="7"/>
  <c r="F5803" i="7"/>
  <c r="F5804" i="7"/>
  <c r="F5805" i="7"/>
  <c r="F5806" i="7"/>
  <c r="F5807" i="7"/>
  <c r="F5808" i="7"/>
  <c r="F5809" i="7"/>
  <c r="F5810" i="7"/>
  <c r="F5811" i="7"/>
  <c r="F5812" i="7"/>
  <c r="F5813" i="7"/>
  <c r="F5814" i="7"/>
  <c r="F5815" i="7"/>
  <c r="F5816" i="7"/>
  <c r="F5817" i="7"/>
  <c r="F5818" i="7"/>
  <c r="F5819" i="7"/>
  <c r="F5820" i="7"/>
  <c r="F5821" i="7"/>
  <c r="F5822" i="7"/>
  <c r="F5823" i="7"/>
  <c r="F5824" i="7"/>
  <c r="F5825" i="7"/>
  <c r="F5826" i="7"/>
  <c r="F5827" i="7"/>
  <c r="F5828" i="7"/>
  <c r="F5829" i="7"/>
  <c r="F5830" i="7"/>
  <c r="F5831" i="7"/>
  <c r="F5832" i="7"/>
  <c r="F5833" i="7"/>
  <c r="F5834" i="7"/>
  <c r="F5835" i="7"/>
  <c r="F5836" i="7"/>
  <c r="F5837" i="7"/>
  <c r="F5838" i="7"/>
  <c r="F5839" i="7"/>
  <c r="F5840" i="7"/>
  <c r="F5841" i="7"/>
  <c r="F5842" i="7"/>
  <c r="F5843" i="7"/>
  <c r="F5844" i="7"/>
  <c r="F5845" i="7"/>
  <c r="F5846" i="7"/>
  <c r="F5847" i="7"/>
  <c r="F5848" i="7"/>
  <c r="F5849" i="7"/>
  <c r="F5850" i="7"/>
  <c r="F5851" i="7"/>
  <c r="F5852" i="7"/>
  <c r="F5853" i="7"/>
  <c r="F5854" i="7"/>
  <c r="F5855" i="7"/>
  <c r="F5856" i="7"/>
  <c r="F5857" i="7"/>
  <c r="F5858" i="7"/>
  <c r="F5859" i="7"/>
  <c r="F5860" i="7"/>
  <c r="F5861" i="7"/>
  <c r="F5862" i="7"/>
  <c r="F5863" i="7"/>
  <c r="F5864" i="7"/>
  <c r="F5865" i="7"/>
  <c r="F5866" i="7"/>
  <c r="F5867" i="7"/>
  <c r="F5868" i="7"/>
  <c r="F5869" i="7"/>
  <c r="F5870" i="7"/>
  <c r="F5871" i="7"/>
  <c r="F5872" i="7"/>
  <c r="F5873" i="7"/>
  <c r="F5874" i="7"/>
  <c r="F5875" i="7"/>
  <c r="F5876" i="7"/>
  <c r="F5877" i="7"/>
  <c r="F5878" i="7"/>
  <c r="F5879" i="7"/>
  <c r="F5880" i="7"/>
  <c r="F5881" i="7"/>
  <c r="F5882" i="7"/>
  <c r="F5883" i="7"/>
  <c r="F5884" i="7"/>
  <c r="F5885" i="7"/>
  <c r="F5886" i="7"/>
  <c r="F5887" i="7"/>
  <c r="F5888" i="7"/>
  <c r="F5889" i="7"/>
  <c r="F5890" i="7"/>
  <c r="F5891" i="7"/>
  <c r="F5892" i="7"/>
  <c r="F5893" i="7"/>
  <c r="F5894" i="7"/>
  <c r="F5895" i="7"/>
  <c r="F5896" i="7"/>
  <c r="F5897" i="7"/>
  <c r="F5898" i="7"/>
  <c r="F5899" i="7"/>
  <c r="F5900" i="7"/>
  <c r="F5901" i="7"/>
  <c r="F5902" i="7"/>
  <c r="F5903" i="7"/>
  <c r="F5904" i="7"/>
  <c r="F5905" i="7"/>
  <c r="F5906" i="7"/>
  <c r="F5907" i="7"/>
  <c r="F5908" i="7"/>
  <c r="F5909" i="7"/>
  <c r="F5910" i="7"/>
  <c r="F5911" i="7"/>
  <c r="F5912" i="7"/>
  <c r="F5913" i="7"/>
  <c r="F5914" i="7"/>
  <c r="F5915" i="7"/>
  <c r="F5916" i="7"/>
  <c r="F5917" i="7"/>
  <c r="F5918" i="7"/>
  <c r="F5919" i="7"/>
  <c r="F5920" i="7"/>
  <c r="F5921" i="7"/>
  <c r="F5922" i="7"/>
  <c r="F5923" i="7"/>
  <c r="F5924" i="7"/>
  <c r="F5925" i="7"/>
  <c r="F5926" i="7"/>
  <c r="F5927" i="7"/>
  <c r="F5928" i="7"/>
  <c r="F5929" i="7"/>
  <c r="F5930" i="7"/>
  <c r="F5931" i="7"/>
  <c r="F5932" i="7"/>
  <c r="F5933" i="7"/>
  <c r="F5934" i="7"/>
  <c r="F5935" i="7"/>
  <c r="F5936" i="7"/>
  <c r="F5937" i="7"/>
  <c r="F5938" i="7"/>
  <c r="F5939" i="7"/>
  <c r="F5940" i="7"/>
  <c r="F5941" i="7"/>
  <c r="F5942" i="7"/>
  <c r="F5943" i="7"/>
  <c r="F5944" i="7"/>
  <c r="F5945" i="7"/>
  <c r="F5946" i="7"/>
  <c r="F5947" i="7"/>
  <c r="F5948" i="7"/>
  <c r="F5949" i="7"/>
  <c r="F5950" i="7"/>
  <c r="F5951" i="7"/>
  <c r="F5952" i="7"/>
  <c r="F5953" i="7"/>
  <c r="F5954" i="7"/>
  <c r="F5955" i="7"/>
  <c r="F5956" i="7"/>
  <c r="F5957" i="7"/>
  <c r="F5958" i="7"/>
  <c r="F5959" i="7"/>
  <c r="F5960" i="7"/>
  <c r="F5961" i="7"/>
  <c r="F5962" i="7"/>
  <c r="F5963" i="7"/>
  <c r="F5964" i="7"/>
  <c r="F5965" i="7"/>
  <c r="F5966" i="7"/>
  <c r="F5967" i="7"/>
  <c r="F5968" i="7"/>
  <c r="F5969" i="7"/>
  <c r="F5970" i="7"/>
  <c r="F5971" i="7"/>
  <c r="F5972" i="7"/>
  <c r="F5973" i="7"/>
  <c r="F5974" i="7"/>
  <c r="F5975" i="7"/>
  <c r="F5976" i="7"/>
  <c r="F5977" i="7"/>
  <c r="F5978" i="7"/>
  <c r="F5979" i="7"/>
  <c r="F5980" i="7"/>
  <c r="F5981" i="7"/>
  <c r="F5982" i="7"/>
  <c r="F5983" i="7"/>
  <c r="F5984" i="7"/>
  <c r="F5985" i="7"/>
  <c r="F5986" i="7"/>
  <c r="F5987" i="7"/>
  <c r="F5988" i="7"/>
  <c r="F5989" i="7"/>
  <c r="F5990" i="7"/>
  <c r="F5991" i="7"/>
  <c r="F5992" i="7"/>
  <c r="F5993" i="7"/>
  <c r="F5994" i="7"/>
  <c r="F5995" i="7"/>
  <c r="F5996" i="7"/>
  <c r="F5997" i="7"/>
  <c r="F5998" i="7"/>
  <c r="F5999" i="7"/>
  <c r="F6000" i="7"/>
  <c r="F6001" i="7"/>
  <c r="F6002" i="7"/>
  <c r="F6003" i="7"/>
  <c r="F6004" i="7"/>
  <c r="F6005" i="7"/>
  <c r="F6006" i="7"/>
  <c r="F6007" i="7"/>
  <c r="F6008" i="7"/>
  <c r="F6009" i="7"/>
  <c r="F6010" i="7"/>
  <c r="F6011" i="7"/>
  <c r="F6012" i="7"/>
  <c r="F6013" i="7"/>
  <c r="F6014" i="7"/>
  <c r="F6015" i="7"/>
  <c r="F6016" i="7"/>
  <c r="F6017" i="7"/>
  <c r="F6018" i="7"/>
  <c r="F6019" i="7"/>
  <c r="F6020" i="7"/>
  <c r="F6021" i="7"/>
  <c r="F6022" i="7"/>
  <c r="F6023" i="7"/>
  <c r="F6024" i="7"/>
  <c r="F6025" i="7"/>
  <c r="F6026" i="7"/>
  <c r="F6027" i="7"/>
  <c r="F6028" i="7"/>
  <c r="F6029" i="7"/>
  <c r="F6030" i="7"/>
  <c r="F6031" i="7"/>
  <c r="F6032" i="7"/>
  <c r="F6033" i="7"/>
  <c r="F6034" i="7"/>
  <c r="F6035" i="7"/>
  <c r="F6036" i="7"/>
  <c r="F6037" i="7"/>
  <c r="F6038" i="7"/>
  <c r="F6039" i="7"/>
  <c r="F6040" i="7"/>
  <c r="F6041" i="7"/>
  <c r="F6042" i="7"/>
  <c r="F6043" i="7"/>
  <c r="F6044" i="7"/>
  <c r="F6045" i="7"/>
  <c r="F6046" i="7"/>
  <c r="F6047" i="7"/>
  <c r="F6048" i="7"/>
  <c r="F6049" i="7"/>
  <c r="F6050" i="7"/>
  <c r="F6051" i="7"/>
  <c r="F6052" i="7"/>
  <c r="F6053" i="7"/>
  <c r="F6054" i="7"/>
  <c r="F6055" i="7"/>
  <c r="F6056" i="7"/>
  <c r="F6057" i="7"/>
  <c r="F6058" i="7"/>
  <c r="F6059" i="7"/>
  <c r="F6060" i="7"/>
  <c r="F6061" i="7"/>
  <c r="F6062" i="7"/>
  <c r="F6063" i="7"/>
  <c r="F6064" i="7"/>
  <c r="F6065" i="7"/>
  <c r="F6066" i="7"/>
  <c r="F6067" i="7"/>
  <c r="F6068" i="7"/>
  <c r="F6069" i="7"/>
  <c r="F6070" i="7"/>
  <c r="F6071" i="7"/>
  <c r="F6072" i="7"/>
  <c r="F6073" i="7"/>
  <c r="F6074" i="7"/>
  <c r="F6075" i="7"/>
  <c r="F6076" i="7"/>
  <c r="F6077" i="7"/>
  <c r="F6078" i="7"/>
  <c r="F6079" i="7"/>
  <c r="F6080" i="7"/>
  <c r="F6081" i="7"/>
  <c r="F6082" i="7"/>
  <c r="F6083" i="7"/>
  <c r="F6084" i="7"/>
  <c r="F6085" i="7"/>
  <c r="F6086" i="7"/>
  <c r="F6087" i="7"/>
  <c r="F6088" i="7"/>
  <c r="F6089" i="7"/>
  <c r="F6090" i="7"/>
  <c r="F6091" i="7"/>
  <c r="F6092" i="7"/>
  <c r="F6093" i="7"/>
  <c r="F6094" i="7"/>
  <c r="F6095" i="7"/>
  <c r="F6096" i="7"/>
  <c r="F6097" i="7"/>
  <c r="F6098" i="7"/>
  <c r="F6099" i="7"/>
  <c r="F6100" i="7"/>
  <c r="F6101" i="7"/>
  <c r="F6102" i="7"/>
  <c r="F6103" i="7"/>
  <c r="F6104" i="7"/>
  <c r="F6105" i="7"/>
  <c r="F6106" i="7"/>
  <c r="F6107" i="7"/>
  <c r="F6108" i="7"/>
  <c r="F6109" i="7"/>
  <c r="F6110" i="7"/>
  <c r="F6111" i="7"/>
  <c r="F6112" i="7"/>
  <c r="F6113" i="7"/>
  <c r="F6114" i="7"/>
  <c r="F6115" i="7"/>
  <c r="F6116" i="7"/>
  <c r="F6117" i="7"/>
  <c r="F6118" i="7"/>
  <c r="F6119" i="7"/>
  <c r="F6120" i="7"/>
  <c r="F6121" i="7"/>
  <c r="F6122" i="7"/>
  <c r="F6123" i="7"/>
  <c r="F6124" i="7"/>
  <c r="F6125" i="7"/>
  <c r="F6126" i="7"/>
  <c r="F6127" i="7"/>
  <c r="F6128" i="7"/>
  <c r="F6129" i="7"/>
  <c r="F6130" i="7"/>
  <c r="F6131" i="7"/>
  <c r="F6132" i="7"/>
  <c r="F6133" i="7"/>
  <c r="F6134" i="7"/>
  <c r="F6135" i="7"/>
  <c r="F6136" i="7"/>
  <c r="F6137" i="7"/>
  <c r="F6138" i="7"/>
  <c r="F6139" i="7"/>
  <c r="F6140" i="7"/>
  <c r="F6141" i="7"/>
  <c r="F6142" i="7"/>
  <c r="F6143" i="7"/>
  <c r="F6144" i="7"/>
  <c r="F6145" i="7"/>
  <c r="F6146" i="7"/>
  <c r="F6147" i="7"/>
  <c r="F6148" i="7"/>
  <c r="F6149" i="7"/>
  <c r="F6150" i="7"/>
  <c r="F6151" i="7"/>
  <c r="F6152" i="7"/>
  <c r="F6153" i="7"/>
  <c r="F6154" i="7"/>
  <c r="F6155" i="7"/>
  <c r="F6156" i="7"/>
  <c r="F6157" i="7"/>
  <c r="F6158" i="7"/>
  <c r="F6159" i="7"/>
  <c r="F6160" i="7"/>
  <c r="F6161" i="7"/>
  <c r="F6162" i="7"/>
  <c r="F6163" i="7"/>
  <c r="F6164" i="7"/>
  <c r="F6165" i="7"/>
  <c r="F6166" i="7"/>
  <c r="F6167" i="7"/>
  <c r="F6168" i="7"/>
  <c r="F6169" i="7"/>
  <c r="F6170" i="7"/>
  <c r="F6171" i="7"/>
  <c r="F6172" i="7"/>
  <c r="F6173" i="7"/>
  <c r="F6174" i="7"/>
  <c r="F6175" i="7"/>
  <c r="F6176" i="7"/>
  <c r="F6177" i="7"/>
  <c r="F6178" i="7"/>
  <c r="F6179" i="7"/>
  <c r="F6180" i="7"/>
  <c r="F6181" i="7"/>
  <c r="F6182" i="7"/>
  <c r="F6183" i="7"/>
  <c r="F6184" i="7"/>
  <c r="F6185" i="7"/>
  <c r="F6186" i="7"/>
  <c r="F6187" i="7"/>
  <c r="F6188" i="7"/>
  <c r="F6189" i="7"/>
  <c r="F6190" i="7"/>
  <c r="F6191" i="7"/>
  <c r="F6192" i="7"/>
  <c r="F6193" i="7"/>
  <c r="F6194" i="7"/>
  <c r="F6195" i="7"/>
  <c r="F6196" i="7"/>
  <c r="F6197" i="7"/>
  <c r="F6198" i="7"/>
  <c r="F6199" i="7"/>
  <c r="F6200" i="7"/>
  <c r="F6201" i="7"/>
  <c r="F6202" i="7"/>
  <c r="F6203" i="7"/>
  <c r="F6204" i="7"/>
  <c r="F6205" i="7"/>
  <c r="F6206" i="7"/>
  <c r="F6207" i="7"/>
  <c r="F6208" i="7"/>
  <c r="F6209" i="7"/>
  <c r="F6210" i="7"/>
  <c r="F6211" i="7"/>
  <c r="F6212" i="7"/>
  <c r="F6213" i="7"/>
  <c r="F6214" i="7"/>
  <c r="F6215" i="7"/>
  <c r="F6216" i="7"/>
  <c r="F6217" i="7"/>
  <c r="F6218" i="7"/>
  <c r="F6219" i="7"/>
  <c r="F6220" i="7"/>
  <c r="F6221" i="7"/>
  <c r="F6222" i="7"/>
  <c r="F6223" i="7"/>
  <c r="F6224" i="7"/>
  <c r="F6225" i="7"/>
  <c r="F6226" i="7"/>
  <c r="F6227" i="7"/>
  <c r="F6228" i="7"/>
  <c r="F6229" i="7"/>
  <c r="F6230" i="7"/>
  <c r="F6231" i="7"/>
  <c r="F6232" i="7"/>
  <c r="F6233" i="7"/>
  <c r="F6234" i="7"/>
  <c r="F6235" i="7"/>
  <c r="F6236" i="7"/>
  <c r="F6237" i="7"/>
  <c r="F6238" i="7"/>
  <c r="F6239" i="7"/>
  <c r="F6240" i="7"/>
  <c r="F6241" i="7"/>
  <c r="F6242" i="7"/>
  <c r="F6243" i="7"/>
  <c r="F6244" i="7"/>
  <c r="F6245" i="7"/>
  <c r="F6246" i="7"/>
  <c r="F6247" i="7"/>
  <c r="F6248" i="7"/>
  <c r="F6249" i="7"/>
  <c r="F6250" i="7"/>
  <c r="F6251" i="7"/>
  <c r="F6252" i="7"/>
  <c r="F6253" i="7"/>
  <c r="F6254" i="7"/>
  <c r="F6255" i="7"/>
  <c r="F6256" i="7"/>
  <c r="F6257" i="7"/>
  <c r="F6258" i="7"/>
  <c r="F6259" i="7"/>
  <c r="F6260" i="7"/>
  <c r="F6261" i="7"/>
  <c r="F6262" i="7"/>
  <c r="F6263" i="7"/>
  <c r="F6264" i="7"/>
  <c r="F6265" i="7"/>
  <c r="F6266" i="7"/>
  <c r="F6267" i="7"/>
  <c r="F6268" i="7"/>
  <c r="F6269" i="7"/>
  <c r="F6270" i="7"/>
  <c r="F6271" i="7"/>
  <c r="F6272" i="7"/>
  <c r="F6273" i="7"/>
  <c r="F6274" i="7"/>
  <c r="F6275" i="7"/>
  <c r="F6276" i="7"/>
  <c r="F6277" i="7"/>
  <c r="F6278" i="7"/>
  <c r="F6279" i="7"/>
  <c r="F6280" i="7"/>
  <c r="F6281" i="7"/>
  <c r="F6282" i="7"/>
  <c r="F6283" i="7"/>
  <c r="F6284" i="7"/>
  <c r="F6285" i="7"/>
  <c r="F6286" i="7"/>
  <c r="F6287" i="7"/>
  <c r="F6288" i="7"/>
  <c r="F6289" i="7"/>
  <c r="F6290" i="7"/>
  <c r="F6291" i="7"/>
  <c r="F6292" i="7"/>
  <c r="F6293" i="7"/>
  <c r="F6294" i="7"/>
  <c r="F6295" i="7"/>
  <c r="F6296" i="7"/>
  <c r="F6297" i="7"/>
  <c r="F6298" i="7"/>
  <c r="F6299" i="7"/>
  <c r="F6300" i="7"/>
  <c r="F6301" i="7"/>
  <c r="F6302" i="7"/>
  <c r="F6303" i="7"/>
  <c r="F6304" i="7"/>
  <c r="F6305" i="7"/>
  <c r="F6306" i="7"/>
  <c r="F6307" i="7"/>
  <c r="F6308" i="7"/>
  <c r="F6309" i="7"/>
  <c r="F6310" i="7"/>
  <c r="F6311" i="7"/>
  <c r="F6312" i="7"/>
  <c r="F6313" i="7"/>
  <c r="F6314" i="7"/>
  <c r="F6315" i="7"/>
  <c r="F6316" i="7"/>
  <c r="F6317" i="7"/>
  <c r="F6318" i="7"/>
  <c r="F6319" i="7"/>
  <c r="F6320" i="7"/>
  <c r="F6321" i="7"/>
  <c r="F6322" i="7"/>
  <c r="F6323" i="7"/>
  <c r="F6324" i="7"/>
  <c r="F6325" i="7"/>
  <c r="F6326" i="7"/>
  <c r="F6327" i="7"/>
  <c r="F6328" i="7"/>
  <c r="F6329" i="7"/>
  <c r="F6330" i="7"/>
  <c r="F6331" i="7"/>
  <c r="F6332" i="7"/>
  <c r="F6333" i="7"/>
  <c r="F6334" i="7"/>
  <c r="F6335" i="7"/>
  <c r="F6336" i="7"/>
  <c r="F6337" i="7"/>
  <c r="F6338" i="7"/>
  <c r="F6339" i="7"/>
  <c r="F6340" i="7"/>
  <c r="F6341" i="7"/>
  <c r="F6342" i="7"/>
  <c r="F6343" i="7"/>
  <c r="F6344" i="7"/>
  <c r="F6345" i="7"/>
  <c r="F6346" i="7"/>
  <c r="F6347" i="7"/>
  <c r="F6348" i="7"/>
  <c r="F6349" i="7"/>
  <c r="F6350" i="7"/>
  <c r="F6351" i="7"/>
  <c r="F6352" i="7"/>
  <c r="F6353" i="7"/>
  <c r="F6354" i="7"/>
  <c r="F6355" i="7"/>
  <c r="F6356" i="7"/>
  <c r="F6357" i="7"/>
  <c r="F6358" i="7"/>
  <c r="F6359" i="7"/>
  <c r="F6360" i="7"/>
  <c r="F6361" i="7"/>
  <c r="F6362" i="7"/>
  <c r="F6363" i="7"/>
  <c r="F6364" i="7"/>
  <c r="F6365" i="7"/>
  <c r="F6366" i="7"/>
  <c r="F6367" i="7"/>
  <c r="F6368" i="7"/>
  <c r="F6369" i="7"/>
  <c r="F6370" i="7"/>
  <c r="F6371" i="7"/>
  <c r="F6372" i="7"/>
  <c r="F6373" i="7"/>
  <c r="F6374" i="7"/>
  <c r="F6375" i="7"/>
  <c r="F6376" i="7"/>
  <c r="F6377" i="7"/>
  <c r="F6378" i="7"/>
  <c r="F6379" i="7"/>
  <c r="F6380" i="7"/>
  <c r="F6381" i="7"/>
  <c r="F6382" i="7"/>
  <c r="F6383" i="7"/>
  <c r="F6384" i="7"/>
  <c r="F6385" i="7"/>
  <c r="F6386" i="7"/>
  <c r="F6387" i="7"/>
  <c r="F6388" i="7"/>
  <c r="F6389" i="7"/>
  <c r="F6390" i="7"/>
  <c r="F6391" i="7"/>
  <c r="F6392" i="7"/>
  <c r="F6393" i="7"/>
  <c r="F6394" i="7"/>
  <c r="F6395" i="7"/>
  <c r="F6396" i="7"/>
  <c r="F6397" i="7"/>
  <c r="F6398" i="7"/>
  <c r="F6399" i="7"/>
  <c r="F6400" i="7"/>
  <c r="F6401" i="7"/>
  <c r="F6402" i="7"/>
  <c r="F6403" i="7"/>
  <c r="F6404" i="7"/>
  <c r="F6405" i="7"/>
  <c r="F6406" i="7"/>
  <c r="F6407" i="7"/>
  <c r="F6408" i="7"/>
  <c r="F6409" i="7"/>
  <c r="F6410" i="7"/>
  <c r="F6411" i="7"/>
  <c r="F6412" i="7"/>
  <c r="F6413" i="7"/>
  <c r="F6414" i="7"/>
  <c r="F6415" i="7"/>
  <c r="F6416" i="7"/>
  <c r="F6417" i="7"/>
  <c r="F6418" i="7"/>
  <c r="F6419" i="7"/>
  <c r="F6420" i="7"/>
  <c r="F6421" i="7"/>
  <c r="F6422" i="7"/>
  <c r="F6423" i="7"/>
  <c r="F6424" i="7"/>
  <c r="F6425" i="7"/>
  <c r="F6426" i="7"/>
  <c r="F6427" i="7"/>
  <c r="F6428" i="7"/>
  <c r="F6429" i="7"/>
  <c r="F6430" i="7"/>
  <c r="F6431" i="7"/>
  <c r="F6432" i="7"/>
  <c r="F6433" i="7"/>
  <c r="F6434" i="7"/>
  <c r="F6435" i="7"/>
  <c r="F6436" i="7"/>
  <c r="F6437" i="7"/>
  <c r="F6438" i="7"/>
  <c r="F6439" i="7"/>
  <c r="F6440" i="7"/>
  <c r="F6441" i="7"/>
  <c r="F6442" i="7"/>
  <c r="F6443" i="7"/>
  <c r="F6444" i="7"/>
  <c r="F6445" i="7"/>
  <c r="F6446" i="7"/>
  <c r="F6447" i="7"/>
  <c r="F6448" i="7"/>
  <c r="F6449" i="7"/>
  <c r="F6450" i="7"/>
  <c r="F6451" i="7"/>
  <c r="F6452" i="7"/>
  <c r="F6453" i="7"/>
  <c r="F6454" i="7"/>
  <c r="F6455" i="7"/>
  <c r="F6456" i="7"/>
  <c r="F6457" i="7"/>
  <c r="F6458" i="7"/>
  <c r="F6459" i="7"/>
  <c r="F6460" i="7"/>
  <c r="F6461" i="7"/>
  <c r="F6462" i="7"/>
  <c r="F6463" i="7"/>
  <c r="F6464" i="7"/>
  <c r="F6465" i="7"/>
  <c r="F6466" i="7"/>
  <c r="F6467" i="7"/>
  <c r="F6468" i="7"/>
  <c r="F6469" i="7"/>
  <c r="F6470" i="7"/>
  <c r="F6471" i="7"/>
  <c r="F6472" i="7"/>
  <c r="F6473" i="7"/>
  <c r="F6474" i="7"/>
  <c r="F6475" i="7"/>
  <c r="F6476" i="7"/>
  <c r="F6477" i="7"/>
  <c r="F6478" i="7"/>
  <c r="F6479" i="7"/>
  <c r="F6480" i="7"/>
  <c r="F6481" i="7"/>
  <c r="F6482" i="7"/>
  <c r="F6483" i="7"/>
  <c r="F6484" i="7"/>
  <c r="F6485" i="7"/>
  <c r="F6486" i="7"/>
  <c r="F6487" i="7"/>
  <c r="F6488" i="7"/>
  <c r="F6489" i="7"/>
  <c r="F6490" i="7"/>
  <c r="F6491" i="7"/>
  <c r="F6492" i="7"/>
  <c r="F6493" i="7"/>
  <c r="F6494" i="7"/>
  <c r="F6495" i="7"/>
  <c r="F6496" i="7"/>
  <c r="F6497" i="7"/>
  <c r="F6498" i="7"/>
  <c r="F6499" i="7"/>
  <c r="F6500" i="7"/>
  <c r="F6501" i="7"/>
  <c r="F6502" i="7"/>
  <c r="F6503" i="7"/>
  <c r="F6504" i="7"/>
  <c r="F6505" i="7"/>
  <c r="F6506" i="7"/>
  <c r="F6507" i="7"/>
  <c r="F6508" i="7"/>
  <c r="F6509" i="7"/>
  <c r="F6510" i="7"/>
  <c r="F6511" i="7"/>
  <c r="F6512" i="7"/>
  <c r="F6513" i="7"/>
  <c r="F6514" i="7"/>
  <c r="F6515" i="7"/>
  <c r="F6516" i="7"/>
  <c r="F6517" i="7"/>
  <c r="F6518" i="7"/>
  <c r="F6519" i="7"/>
  <c r="F6520" i="7"/>
  <c r="F6521" i="7"/>
  <c r="F6522" i="7"/>
  <c r="F6523" i="7"/>
  <c r="F6524" i="7"/>
  <c r="F6525" i="7"/>
  <c r="F6526" i="7"/>
  <c r="F6527" i="7"/>
  <c r="F6528" i="7"/>
  <c r="F6529" i="7"/>
  <c r="F6530" i="7"/>
  <c r="F6531" i="7"/>
  <c r="F6532" i="7"/>
  <c r="F6533" i="7"/>
  <c r="F6534" i="7"/>
  <c r="F6535" i="7"/>
  <c r="F6536" i="7"/>
  <c r="F6537" i="7"/>
  <c r="F6538" i="7"/>
  <c r="F6539" i="7"/>
  <c r="F6540" i="7"/>
  <c r="F6541" i="7"/>
  <c r="F6542" i="7"/>
  <c r="F6543" i="7"/>
  <c r="F6544" i="7"/>
  <c r="F6545" i="7"/>
  <c r="F6546" i="7"/>
  <c r="F6547" i="7"/>
  <c r="F6548" i="7"/>
  <c r="F6549" i="7"/>
  <c r="F6550" i="7"/>
  <c r="F6551" i="7"/>
  <c r="F6552" i="7"/>
  <c r="F6553" i="7"/>
  <c r="F6554" i="7"/>
  <c r="F6555" i="7"/>
  <c r="F6556" i="7"/>
  <c r="F6557" i="7"/>
  <c r="F6558" i="7"/>
  <c r="F6559" i="7"/>
  <c r="F6560" i="7"/>
  <c r="F6561" i="7"/>
  <c r="F6562" i="7"/>
  <c r="F6563" i="7"/>
  <c r="F6564" i="7"/>
  <c r="F6565" i="7"/>
  <c r="F6566" i="7"/>
  <c r="F6567" i="7"/>
  <c r="F6568" i="7"/>
  <c r="F6569" i="7"/>
  <c r="F6570" i="7"/>
  <c r="F6571" i="7"/>
  <c r="F6572" i="7"/>
  <c r="F6573" i="7"/>
  <c r="F6574" i="7"/>
  <c r="F6575" i="7"/>
  <c r="F6576" i="7"/>
  <c r="F6577" i="7"/>
  <c r="F6578" i="7"/>
  <c r="F6579" i="7"/>
  <c r="F6580" i="7"/>
  <c r="F6581" i="7"/>
  <c r="F6582" i="7"/>
  <c r="F6583" i="7"/>
  <c r="F6584" i="7"/>
  <c r="F6585" i="7"/>
  <c r="F6586" i="7"/>
  <c r="F6587" i="7"/>
  <c r="F6588" i="7"/>
  <c r="F6589" i="7"/>
  <c r="F6590" i="7"/>
  <c r="F6591" i="7"/>
  <c r="F6592" i="7"/>
  <c r="F6593" i="7"/>
  <c r="F6594" i="7"/>
  <c r="F6595" i="7"/>
  <c r="F6596" i="7"/>
  <c r="F6597" i="7"/>
  <c r="F6598" i="7"/>
  <c r="F6599" i="7"/>
  <c r="F6600" i="7"/>
  <c r="F6601" i="7"/>
  <c r="F6602" i="7"/>
  <c r="F6603" i="7"/>
  <c r="F6604" i="7"/>
  <c r="F6605" i="7"/>
  <c r="F6606" i="7"/>
  <c r="F6607" i="7"/>
  <c r="F6608" i="7"/>
  <c r="F6609" i="7"/>
  <c r="F6610" i="7"/>
  <c r="F6611" i="7"/>
  <c r="F6612" i="7"/>
  <c r="F6613" i="7"/>
  <c r="F6614" i="7"/>
  <c r="F6615" i="7"/>
  <c r="F6616" i="7"/>
  <c r="F6617" i="7"/>
  <c r="F6618" i="7"/>
  <c r="F6619" i="7"/>
  <c r="F6620" i="7"/>
  <c r="F6621" i="7"/>
  <c r="F6622" i="7"/>
  <c r="F6623" i="7"/>
  <c r="F6624" i="7"/>
  <c r="F6625" i="7"/>
  <c r="F6626" i="7"/>
  <c r="F6627" i="7"/>
  <c r="F6628" i="7"/>
  <c r="F6629" i="7"/>
  <c r="F6630" i="7"/>
  <c r="F6631" i="7"/>
  <c r="F6632" i="7"/>
  <c r="F6633" i="7"/>
  <c r="F6634" i="7"/>
  <c r="F6635" i="7"/>
  <c r="F6636" i="7"/>
  <c r="F6637" i="7"/>
  <c r="F6638" i="7"/>
  <c r="F6639" i="7"/>
  <c r="F6640" i="7"/>
  <c r="F6641" i="7"/>
  <c r="F6642" i="7"/>
  <c r="F6643" i="7"/>
  <c r="F6644" i="7"/>
  <c r="F6645" i="7"/>
  <c r="F6646" i="7"/>
  <c r="F6647" i="7"/>
  <c r="F6648" i="7"/>
  <c r="F6649" i="7"/>
  <c r="F6650" i="7"/>
  <c r="F6651" i="7"/>
  <c r="F6652" i="7"/>
  <c r="F6653" i="7"/>
  <c r="F6654" i="7"/>
  <c r="F6655" i="7"/>
  <c r="F6656" i="7"/>
  <c r="F6657" i="7"/>
  <c r="F6658" i="7"/>
  <c r="F6659" i="7"/>
  <c r="F6660" i="7"/>
  <c r="F6661" i="7"/>
  <c r="F6662" i="7"/>
  <c r="F6663" i="7"/>
  <c r="F6664" i="7"/>
  <c r="F6665" i="7"/>
  <c r="F6666" i="7"/>
  <c r="F6667" i="7"/>
  <c r="F6668" i="7"/>
  <c r="F6669" i="7"/>
  <c r="F6670" i="7"/>
  <c r="F6671" i="7"/>
  <c r="F6672" i="7"/>
  <c r="F6673" i="7"/>
  <c r="F6674" i="7"/>
  <c r="F6675" i="7"/>
  <c r="F6676" i="7"/>
  <c r="F6677" i="7"/>
  <c r="F6678" i="7"/>
  <c r="F6679" i="7"/>
  <c r="F6680" i="7"/>
  <c r="F6681" i="7"/>
  <c r="F6682" i="7"/>
  <c r="F6683" i="7"/>
  <c r="F6684" i="7"/>
  <c r="F6685" i="7"/>
  <c r="F6686" i="7"/>
  <c r="F6687" i="7"/>
  <c r="F6688" i="7"/>
  <c r="F6689" i="7"/>
  <c r="F6690" i="7"/>
  <c r="F6691" i="7"/>
  <c r="F6692" i="7"/>
  <c r="F6693" i="7"/>
  <c r="F6694" i="7"/>
  <c r="F6695" i="7"/>
  <c r="F6696" i="7"/>
  <c r="F6697" i="7"/>
  <c r="F6698" i="7"/>
  <c r="F6699" i="7"/>
  <c r="F6700" i="7"/>
  <c r="F6701" i="7"/>
  <c r="F6702" i="7"/>
  <c r="F6703" i="7"/>
  <c r="F6704" i="7"/>
  <c r="F6705" i="7"/>
  <c r="F6706" i="7"/>
  <c r="F6707" i="7"/>
  <c r="F6708" i="7"/>
  <c r="F6709" i="7"/>
  <c r="F6710" i="7"/>
  <c r="F6711" i="7"/>
  <c r="F6712" i="7"/>
  <c r="F6713" i="7"/>
  <c r="F6714" i="7"/>
  <c r="F6715" i="7"/>
  <c r="F6716" i="7"/>
  <c r="F6717" i="7"/>
  <c r="F6718" i="7"/>
  <c r="F6719" i="7"/>
  <c r="F6720" i="7"/>
  <c r="F6721" i="7"/>
  <c r="F6722" i="7"/>
  <c r="F6723" i="7"/>
  <c r="F6724" i="7"/>
  <c r="F6725" i="7"/>
  <c r="F6726" i="7"/>
  <c r="F6727" i="7"/>
  <c r="F6728" i="7"/>
  <c r="F6729" i="7"/>
  <c r="F6730" i="7"/>
  <c r="F6731" i="7"/>
  <c r="F6732" i="7"/>
  <c r="F6733" i="7"/>
  <c r="F6734" i="7"/>
  <c r="F6735" i="7"/>
  <c r="F6736" i="7"/>
  <c r="F6737" i="7"/>
  <c r="F6738" i="7"/>
  <c r="F6739" i="7"/>
  <c r="F6740" i="7"/>
  <c r="F6741" i="7"/>
  <c r="F6742" i="7"/>
  <c r="F6743" i="7"/>
  <c r="F6744" i="7"/>
  <c r="F6745" i="7"/>
  <c r="F6746" i="7"/>
  <c r="F6747" i="7"/>
  <c r="F6748" i="7"/>
  <c r="F6749" i="7"/>
  <c r="F6750" i="7"/>
  <c r="F6751" i="7"/>
  <c r="F6752" i="7"/>
  <c r="F6753" i="7"/>
  <c r="F6754" i="7"/>
  <c r="F6755" i="7"/>
  <c r="F6756" i="7"/>
  <c r="F6757" i="7"/>
  <c r="F6758" i="7"/>
  <c r="F6759" i="7"/>
  <c r="F6760" i="7"/>
  <c r="F6761" i="7"/>
  <c r="F6762" i="7"/>
  <c r="F6763" i="7"/>
  <c r="F6764" i="7"/>
  <c r="F6765" i="7"/>
  <c r="F6766" i="7"/>
  <c r="F6767" i="7"/>
  <c r="F6768" i="7"/>
  <c r="F6769" i="7"/>
  <c r="F6770" i="7"/>
  <c r="F6771" i="7"/>
  <c r="F6772" i="7"/>
  <c r="F6773" i="7"/>
  <c r="F6774" i="7"/>
  <c r="F6775" i="7"/>
  <c r="F6776" i="7"/>
  <c r="F6777" i="7"/>
  <c r="F6778" i="7"/>
  <c r="F6779" i="7"/>
  <c r="F6780" i="7"/>
  <c r="F6781" i="7"/>
  <c r="F6782" i="7"/>
  <c r="F6783" i="7"/>
  <c r="F6784" i="7"/>
  <c r="F6785" i="7"/>
  <c r="F6786" i="7"/>
  <c r="F6787" i="7"/>
  <c r="F6788" i="7"/>
  <c r="F6789" i="7"/>
  <c r="F6790" i="7"/>
  <c r="F6791" i="7"/>
  <c r="F6792" i="7"/>
  <c r="F6793" i="7"/>
  <c r="F6794" i="7"/>
  <c r="F6795" i="7"/>
  <c r="F6796" i="7"/>
  <c r="F6797" i="7"/>
  <c r="F6798" i="7"/>
  <c r="F6799" i="7"/>
  <c r="F6800" i="7"/>
  <c r="F6801" i="7"/>
  <c r="F6802" i="7"/>
  <c r="F6803" i="7"/>
  <c r="F6804" i="7"/>
  <c r="F6805" i="7"/>
  <c r="F6806" i="7"/>
  <c r="F6807" i="7"/>
  <c r="F6808" i="7"/>
  <c r="F6809" i="7"/>
  <c r="F6810" i="7"/>
  <c r="F6811" i="7"/>
  <c r="F6812" i="7"/>
  <c r="F6813" i="7"/>
  <c r="F6814" i="7"/>
  <c r="F6815" i="7"/>
  <c r="F6816" i="7"/>
  <c r="F6817" i="7"/>
  <c r="F6818" i="7"/>
  <c r="F6819" i="7"/>
  <c r="F6820" i="7"/>
  <c r="F6821" i="7"/>
  <c r="F6822" i="7"/>
  <c r="F6823" i="7"/>
  <c r="F6824" i="7"/>
  <c r="F6825" i="7"/>
  <c r="F6826" i="7"/>
  <c r="F6827" i="7"/>
  <c r="F6828" i="7"/>
  <c r="F6829" i="7"/>
  <c r="F6830" i="7"/>
  <c r="F6831" i="7"/>
  <c r="F6832" i="7"/>
  <c r="F6833" i="7"/>
  <c r="F6834" i="7"/>
  <c r="F6835" i="7"/>
  <c r="F6836" i="7"/>
  <c r="F6837" i="7"/>
  <c r="F6838" i="7"/>
  <c r="F6839" i="7"/>
  <c r="F6840" i="7"/>
  <c r="F6841" i="7"/>
  <c r="F6842" i="7"/>
  <c r="F6843" i="7"/>
  <c r="F6844" i="7"/>
  <c r="F6845" i="7"/>
  <c r="F6846" i="7"/>
  <c r="F6847" i="7"/>
  <c r="F6848" i="7"/>
  <c r="F6849" i="7"/>
  <c r="F6850" i="7"/>
  <c r="F6851" i="7"/>
  <c r="F6852" i="7"/>
  <c r="F6853" i="7"/>
  <c r="F6854" i="7"/>
  <c r="F6855" i="7"/>
  <c r="F6856" i="7"/>
  <c r="F6857" i="7"/>
  <c r="F6858" i="7"/>
  <c r="F6859" i="7"/>
  <c r="F6860" i="7"/>
  <c r="F6861" i="7"/>
  <c r="F6862" i="7"/>
  <c r="F6863" i="7"/>
  <c r="F6864" i="7"/>
  <c r="F6865" i="7"/>
  <c r="F6866" i="7"/>
  <c r="F6867" i="7"/>
  <c r="F6868" i="7"/>
  <c r="F6869" i="7"/>
  <c r="F6870" i="7"/>
  <c r="F6871" i="7"/>
  <c r="F6872" i="7"/>
  <c r="F6873" i="7"/>
  <c r="F6874" i="7"/>
  <c r="F6875" i="7"/>
  <c r="F6876" i="7"/>
  <c r="F6877" i="7"/>
  <c r="F6878" i="7"/>
  <c r="F6879" i="7"/>
  <c r="F6880" i="7"/>
  <c r="F6881" i="7"/>
  <c r="F6882" i="7"/>
  <c r="F6883" i="7"/>
  <c r="F6884" i="7"/>
  <c r="F6885" i="7"/>
  <c r="F6886" i="7"/>
  <c r="F6887" i="7"/>
  <c r="F6888" i="7"/>
  <c r="F6889" i="7"/>
  <c r="F6890" i="7"/>
  <c r="F6891" i="7"/>
  <c r="F6892" i="7"/>
  <c r="F6893" i="7"/>
  <c r="F6894" i="7"/>
  <c r="F6895" i="7"/>
  <c r="F6896" i="7"/>
  <c r="F6897" i="7"/>
  <c r="F6898" i="7"/>
  <c r="F6899" i="7"/>
  <c r="F6900" i="7"/>
  <c r="F6901" i="7"/>
  <c r="F6902" i="7"/>
  <c r="F6903" i="7"/>
  <c r="F6904" i="7"/>
  <c r="F6905" i="7"/>
  <c r="F6906" i="7"/>
  <c r="F6907" i="7"/>
  <c r="F6908" i="7"/>
  <c r="F6909" i="7"/>
  <c r="F6910" i="7"/>
  <c r="F6911" i="7"/>
  <c r="F6912" i="7"/>
  <c r="F6913" i="7"/>
  <c r="F6914" i="7"/>
  <c r="F6915" i="7"/>
  <c r="F6916" i="7"/>
  <c r="F6917" i="7"/>
  <c r="F6918" i="7"/>
  <c r="F6919" i="7"/>
  <c r="F6920" i="7"/>
  <c r="F6921" i="7"/>
  <c r="F6922" i="7"/>
  <c r="F6923" i="7"/>
  <c r="F6924" i="7"/>
  <c r="F6925" i="7"/>
  <c r="F6926" i="7"/>
  <c r="F6927" i="7"/>
  <c r="F6928" i="7"/>
  <c r="F6929" i="7"/>
  <c r="F6930" i="7"/>
  <c r="F6931" i="7"/>
  <c r="F6932" i="7"/>
  <c r="F6933" i="7"/>
  <c r="F6934" i="7"/>
  <c r="F6935" i="7"/>
  <c r="F6936" i="7"/>
  <c r="F6937" i="7"/>
  <c r="F6938" i="7"/>
  <c r="F6939" i="7"/>
  <c r="F6940" i="7"/>
  <c r="F6941" i="7"/>
  <c r="F6942" i="7"/>
  <c r="F6943" i="7"/>
  <c r="F6944" i="7"/>
  <c r="F6945" i="7"/>
  <c r="F6946" i="7"/>
  <c r="F6947" i="7"/>
  <c r="F6948" i="7"/>
  <c r="F6949" i="7"/>
  <c r="F6950" i="7"/>
  <c r="F6951" i="7"/>
  <c r="F6952" i="7"/>
  <c r="F6953" i="7"/>
  <c r="F6954" i="7"/>
  <c r="F6955" i="7"/>
  <c r="F6956" i="7"/>
  <c r="F6957" i="7"/>
  <c r="F6958" i="7"/>
  <c r="F6959" i="7"/>
  <c r="F6960" i="7"/>
  <c r="F6961" i="7"/>
  <c r="F6962" i="7"/>
  <c r="F6963" i="7"/>
  <c r="F6964" i="7"/>
  <c r="F6965" i="7"/>
  <c r="F6966" i="7"/>
  <c r="F6967" i="7"/>
  <c r="F6968" i="7"/>
  <c r="F6969" i="7"/>
  <c r="F6970" i="7"/>
  <c r="F6971" i="7"/>
  <c r="F6972" i="7"/>
  <c r="F6973" i="7"/>
  <c r="F6974" i="7"/>
  <c r="F6975" i="7"/>
  <c r="F6976" i="7"/>
  <c r="F6977" i="7"/>
  <c r="F6978" i="7"/>
  <c r="F6979" i="7"/>
  <c r="F6980" i="7"/>
  <c r="F6981" i="7"/>
  <c r="F6982" i="7"/>
  <c r="F6983" i="7"/>
  <c r="F6984" i="7"/>
  <c r="F6985" i="7"/>
  <c r="F6986" i="7"/>
  <c r="F6987" i="7"/>
  <c r="F6988" i="7"/>
  <c r="F6989" i="7"/>
  <c r="F6990" i="7"/>
  <c r="F6991" i="7"/>
  <c r="F6992" i="7"/>
  <c r="F6993" i="7"/>
  <c r="F6994" i="7"/>
  <c r="F6995" i="7"/>
  <c r="F6996" i="7"/>
  <c r="F6997" i="7"/>
  <c r="F6998" i="7"/>
  <c r="F6999" i="7"/>
  <c r="F7000" i="7"/>
  <c r="F7001" i="7"/>
  <c r="F7002" i="7"/>
  <c r="F7003" i="7"/>
  <c r="F7004" i="7"/>
  <c r="F7005" i="7"/>
  <c r="F7006" i="7"/>
  <c r="F7007" i="7"/>
  <c r="F7008" i="7"/>
  <c r="F7009" i="7"/>
  <c r="F7010" i="7"/>
  <c r="F7011" i="7"/>
  <c r="F7012" i="7"/>
  <c r="F7013" i="7"/>
  <c r="F7014" i="7"/>
  <c r="F7015" i="7"/>
  <c r="F7016" i="7"/>
  <c r="F7017" i="7"/>
  <c r="F7018" i="7"/>
  <c r="F7019" i="7"/>
  <c r="F7020" i="7"/>
  <c r="F7021" i="7"/>
  <c r="F7022" i="7"/>
  <c r="F7023" i="7"/>
  <c r="F7024" i="7"/>
  <c r="F7025" i="7"/>
  <c r="F7026" i="7"/>
  <c r="F7027" i="7"/>
  <c r="F7028" i="7"/>
  <c r="F7029" i="7"/>
  <c r="F7030" i="7"/>
  <c r="F7031" i="7"/>
  <c r="F7032" i="7"/>
  <c r="F7033" i="7"/>
  <c r="F7034" i="7"/>
  <c r="F7035" i="7"/>
  <c r="F7036" i="7"/>
  <c r="F7037" i="7"/>
  <c r="F7038" i="7"/>
  <c r="F7039" i="7"/>
  <c r="F7040" i="7"/>
  <c r="F7041" i="7"/>
  <c r="F7042" i="7"/>
  <c r="F7043" i="7"/>
  <c r="F7044" i="7"/>
  <c r="F7045" i="7"/>
  <c r="F7046" i="7"/>
  <c r="F7047" i="7"/>
  <c r="F7048" i="7"/>
  <c r="F7049" i="7"/>
  <c r="F7050" i="7"/>
  <c r="F7051" i="7"/>
  <c r="F7052" i="7"/>
  <c r="F7053" i="7"/>
  <c r="F7054" i="7"/>
  <c r="F7055" i="7"/>
  <c r="F7056" i="7"/>
  <c r="F7057" i="7"/>
  <c r="F7058" i="7"/>
  <c r="F7059" i="7"/>
  <c r="F7060" i="7"/>
  <c r="F7061" i="7"/>
  <c r="F7062" i="7"/>
  <c r="F7063" i="7"/>
  <c r="F7064" i="7"/>
  <c r="F7065" i="7"/>
  <c r="F7066" i="7"/>
  <c r="F7067" i="7"/>
  <c r="F7068" i="7"/>
  <c r="F7069" i="7"/>
  <c r="F7070" i="7"/>
  <c r="F7071" i="7"/>
  <c r="F7072" i="7"/>
  <c r="F7073" i="7"/>
  <c r="F7074" i="7"/>
  <c r="F7075" i="7"/>
  <c r="F7076" i="7"/>
  <c r="F7077" i="7"/>
  <c r="F7078" i="7"/>
  <c r="F7079" i="7"/>
  <c r="F7080" i="7"/>
  <c r="F7081" i="7"/>
  <c r="F7082" i="7"/>
  <c r="F7083" i="7"/>
  <c r="F7084" i="7"/>
  <c r="F7085" i="7"/>
  <c r="F7086" i="7"/>
  <c r="F7087" i="7"/>
  <c r="F7088" i="7"/>
  <c r="F7089" i="7"/>
  <c r="F7090" i="7"/>
  <c r="F7091" i="7"/>
  <c r="F7092" i="7"/>
  <c r="F7093" i="7"/>
  <c r="F7094" i="7"/>
  <c r="F7095" i="7"/>
  <c r="F7096" i="7"/>
  <c r="F7097" i="7"/>
  <c r="F7098" i="7"/>
  <c r="F7099" i="7"/>
  <c r="F7100" i="7"/>
  <c r="F7101" i="7"/>
  <c r="F7102" i="7"/>
  <c r="F7103" i="7"/>
  <c r="F7104" i="7"/>
  <c r="F7105" i="7"/>
  <c r="F7106" i="7"/>
  <c r="F7107" i="7"/>
  <c r="F7108" i="7"/>
  <c r="F7109" i="7"/>
  <c r="F7110" i="7"/>
  <c r="F7111" i="7"/>
  <c r="F7112" i="7"/>
  <c r="F7113" i="7"/>
  <c r="F7114" i="7"/>
  <c r="F7115" i="7"/>
  <c r="F7116" i="7"/>
  <c r="F7117" i="7"/>
  <c r="F7118" i="7"/>
  <c r="F7119" i="7"/>
  <c r="F7120" i="7"/>
  <c r="F7121" i="7"/>
  <c r="F7122" i="7"/>
  <c r="F7123" i="7"/>
  <c r="F7124" i="7"/>
  <c r="F7125" i="7"/>
  <c r="F7126" i="7"/>
  <c r="F7127" i="7"/>
  <c r="F7128" i="7"/>
  <c r="F7129" i="7"/>
  <c r="F7130" i="7"/>
  <c r="F7131" i="7"/>
  <c r="F7132" i="7"/>
  <c r="F7133" i="7"/>
  <c r="F7134" i="7"/>
  <c r="F7135" i="7"/>
  <c r="F7136" i="7"/>
  <c r="F7137" i="7"/>
  <c r="F7138" i="7"/>
  <c r="F7139" i="7"/>
  <c r="F7140" i="7"/>
  <c r="F7141" i="7"/>
  <c r="F7142" i="7"/>
  <c r="F7143" i="7"/>
  <c r="F7144" i="7"/>
  <c r="F7145" i="7"/>
  <c r="F7146" i="7"/>
  <c r="F7147" i="7"/>
  <c r="F7148" i="7"/>
  <c r="F7149" i="7"/>
  <c r="F7150" i="7"/>
  <c r="F7151" i="7"/>
  <c r="F7152" i="7"/>
  <c r="F7153" i="7"/>
  <c r="F7154" i="7"/>
  <c r="F7155" i="7"/>
  <c r="F7156" i="7"/>
  <c r="F7157" i="7"/>
  <c r="F7158" i="7"/>
  <c r="F7159" i="7"/>
  <c r="F7160" i="7"/>
  <c r="F7161" i="7"/>
  <c r="F7162" i="7"/>
  <c r="F7163" i="7"/>
  <c r="F7164" i="7"/>
  <c r="F7165" i="7"/>
  <c r="F7166" i="7"/>
  <c r="F7167" i="7"/>
  <c r="F7168" i="7"/>
  <c r="F7169" i="7"/>
  <c r="F7170" i="7"/>
  <c r="F7171" i="7"/>
  <c r="F7172" i="7"/>
  <c r="F7173" i="7"/>
  <c r="F7174" i="7"/>
  <c r="F7175" i="7"/>
  <c r="F7176" i="7"/>
  <c r="F7177" i="7"/>
  <c r="F7178" i="7"/>
  <c r="F7179" i="7"/>
  <c r="F7180" i="7"/>
  <c r="F7181" i="7"/>
  <c r="F7182" i="7"/>
  <c r="F7183" i="7"/>
  <c r="F7184" i="7"/>
  <c r="F7185" i="7"/>
  <c r="F7186" i="7"/>
  <c r="F7187" i="7"/>
  <c r="F7188" i="7"/>
  <c r="F7189" i="7"/>
  <c r="F7190" i="7"/>
  <c r="F7191" i="7"/>
  <c r="F7192" i="7"/>
  <c r="F7193" i="7"/>
  <c r="F7194" i="7"/>
  <c r="F7195" i="7"/>
  <c r="F7196" i="7"/>
  <c r="F7197" i="7"/>
  <c r="F7198" i="7"/>
  <c r="F7199" i="7"/>
  <c r="F7200" i="7"/>
  <c r="F7201" i="7"/>
  <c r="F7202" i="7"/>
  <c r="F7203" i="7"/>
  <c r="F7204" i="7"/>
  <c r="F7205" i="7"/>
  <c r="F7206" i="7"/>
  <c r="F7207" i="7"/>
  <c r="F7208" i="7"/>
  <c r="F7209" i="7"/>
  <c r="F7210" i="7"/>
  <c r="F7211" i="7"/>
  <c r="F7212" i="7"/>
  <c r="F7213" i="7"/>
  <c r="F7214" i="7"/>
  <c r="F7215" i="7"/>
  <c r="F7216" i="7"/>
  <c r="F7217" i="7"/>
  <c r="F7218" i="7"/>
  <c r="F7219" i="7"/>
  <c r="F7220" i="7"/>
  <c r="F7221" i="7"/>
  <c r="F7222" i="7"/>
  <c r="F7223" i="7"/>
  <c r="F7224" i="7"/>
  <c r="F7225" i="7"/>
  <c r="F7226" i="7"/>
  <c r="F7227" i="7"/>
  <c r="F7228" i="7"/>
  <c r="F7229" i="7"/>
  <c r="F7230" i="7"/>
  <c r="F7231" i="7"/>
  <c r="F7232" i="7"/>
  <c r="F7233" i="7"/>
  <c r="F7234" i="7"/>
  <c r="F7235" i="7"/>
  <c r="F7236" i="7"/>
  <c r="F7237" i="7"/>
  <c r="F7238" i="7"/>
  <c r="F7239" i="7"/>
  <c r="F7240" i="7"/>
  <c r="F7241" i="7"/>
  <c r="F7242" i="7"/>
  <c r="F7243" i="7"/>
  <c r="F7244" i="7"/>
  <c r="F7245" i="7"/>
  <c r="F7246" i="7"/>
  <c r="F7247" i="7"/>
  <c r="F7248" i="7"/>
  <c r="F7249" i="7"/>
  <c r="F7250" i="7"/>
  <c r="F7251" i="7"/>
  <c r="F7252" i="7"/>
  <c r="F7253" i="7"/>
  <c r="F7254" i="7"/>
  <c r="F7255" i="7"/>
  <c r="F7256" i="7"/>
  <c r="F7257" i="7"/>
  <c r="F7258" i="7"/>
  <c r="F7259" i="7"/>
  <c r="F7260" i="7"/>
  <c r="F7261" i="7"/>
  <c r="F7262" i="7"/>
  <c r="F7263" i="7"/>
  <c r="F7264" i="7"/>
  <c r="F7265" i="7"/>
  <c r="F7266" i="7"/>
  <c r="F7267" i="7"/>
  <c r="F7268" i="7"/>
  <c r="F7269" i="7"/>
  <c r="F7270" i="7"/>
  <c r="F7271" i="7"/>
  <c r="F7272" i="7"/>
  <c r="F7273" i="7"/>
  <c r="F7274" i="7"/>
  <c r="F7275" i="7"/>
  <c r="F7276" i="7"/>
  <c r="F7277" i="7"/>
  <c r="F7278" i="7"/>
  <c r="F7279" i="7"/>
  <c r="F7280" i="7"/>
  <c r="F7281" i="7"/>
  <c r="F7282" i="7"/>
  <c r="F7283" i="7"/>
  <c r="F7284" i="7"/>
  <c r="F7285" i="7"/>
  <c r="F7286" i="7"/>
  <c r="F7287" i="7"/>
  <c r="F7288" i="7"/>
  <c r="F7289" i="7"/>
  <c r="F7290" i="7"/>
  <c r="F7291" i="7"/>
  <c r="F7292" i="7"/>
  <c r="F7293" i="7"/>
  <c r="F7294" i="7"/>
  <c r="F7295" i="7"/>
  <c r="F7296" i="7"/>
  <c r="F7297" i="7"/>
  <c r="F7298" i="7"/>
  <c r="F7299" i="7"/>
  <c r="F7300" i="7"/>
  <c r="F7301" i="7"/>
  <c r="F7302" i="7"/>
  <c r="F7303" i="7"/>
  <c r="F7304" i="7"/>
  <c r="F7305" i="7"/>
  <c r="F7306" i="7"/>
  <c r="F7307" i="7"/>
  <c r="F7308" i="7"/>
  <c r="F7309" i="7"/>
  <c r="F7310" i="7"/>
  <c r="F7311" i="7"/>
  <c r="F7312" i="7"/>
  <c r="F7313" i="7"/>
  <c r="F7314" i="7"/>
  <c r="F7315" i="7"/>
  <c r="F7316" i="7"/>
  <c r="F7317" i="7"/>
  <c r="F7318" i="7"/>
  <c r="F7319" i="7"/>
  <c r="F7320" i="7"/>
  <c r="F7321" i="7"/>
  <c r="F7322" i="7"/>
  <c r="F7323" i="7"/>
  <c r="F7324" i="7"/>
  <c r="F7325" i="7"/>
  <c r="F7326" i="7"/>
  <c r="F7327" i="7"/>
  <c r="F7328" i="7"/>
  <c r="F7329" i="7"/>
  <c r="F7330" i="7"/>
  <c r="F7331" i="7"/>
  <c r="F7332" i="7"/>
  <c r="F7333" i="7"/>
  <c r="F7334" i="7"/>
  <c r="F7335" i="7"/>
  <c r="F7336" i="7"/>
  <c r="F7337" i="7"/>
  <c r="F7338" i="7"/>
  <c r="F7339" i="7"/>
  <c r="F7340" i="7"/>
  <c r="F7341" i="7"/>
  <c r="F7342" i="7"/>
  <c r="F7343" i="7"/>
  <c r="F7344" i="7"/>
  <c r="F7345" i="7"/>
  <c r="F7346" i="7"/>
  <c r="F7347" i="7"/>
  <c r="F7348" i="7"/>
  <c r="F7349" i="7"/>
  <c r="F7350" i="7"/>
  <c r="F7351" i="7"/>
  <c r="F7352" i="7"/>
  <c r="F7353" i="7"/>
  <c r="F7354" i="7"/>
  <c r="F7355" i="7"/>
  <c r="F7356" i="7"/>
  <c r="F7357" i="7"/>
  <c r="F7358" i="7"/>
  <c r="F7359" i="7"/>
  <c r="F7360" i="7"/>
  <c r="F7361" i="7"/>
  <c r="F7362" i="7"/>
  <c r="F7363" i="7"/>
  <c r="F7364" i="7"/>
  <c r="F7365" i="7"/>
  <c r="F7366" i="7"/>
  <c r="F7367" i="7"/>
  <c r="F7368" i="7"/>
  <c r="F7369" i="7"/>
  <c r="F7370" i="7"/>
  <c r="F7371" i="7"/>
  <c r="F7372" i="7"/>
  <c r="F7373" i="7"/>
  <c r="F7374" i="7"/>
  <c r="F7375" i="7"/>
  <c r="F7376" i="7"/>
  <c r="F7377" i="7"/>
  <c r="F7378" i="7"/>
  <c r="F7379" i="7"/>
  <c r="F7380" i="7"/>
  <c r="F7381" i="7"/>
  <c r="F7382" i="7"/>
  <c r="F7383" i="7"/>
  <c r="F7384" i="7"/>
  <c r="F7385" i="7"/>
  <c r="F7386" i="7"/>
  <c r="F7387" i="7"/>
  <c r="F7388" i="7"/>
  <c r="F7389" i="7"/>
  <c r="F7390" i="7"/>
  <c r="F7391" i="7"/>
  <c r="F7392" i="7"/>
  <c r="F7393" i="7"/>
  <c r="F7394" i="7"/>
  <c r="F7395" i="7"/>
  <c r="F7396" i="7"/>
  <c r="F7397" i="7"/>
  <c r="F7398" i="7"/>
  <c r="F7399" i="7"/>
  <c r="F7400" i="7"/>
  <c r="F7401" i="7"/>
  <c r="F7402" i="7"/>
  <c r="F7403" i="7"/>
  <c r="F7404" i="7"/>
  <c r="F7405" i="7"/>
  <c r="F7406" i="7"/>
  <c r="F7407" i="7"/>
  <c r="F7408" i="7"/>
  <c r="F7409" i="7"/>
  <c r="F7410" i="7"/>
  <c r="F7411" i="7"/>
  <c r="F7412" i="7"/>
  <c r="F7413" i="7"/>
  <c r="F7414" i="7"/>
  <c r="F7415" i="7"/>
  <c r="F7416" i="7"/>
  <c r="F7417" i="7"/>
  <c r="F7418" i="7"/>
  <c r="F7419" i="7"/>
  <c r="F7420" i="7"/>
  <c r="F7421" i="7"/>
  <c r="F7422" i="7"/>
  <c r="F7423" i="7"/>
  <c r="F7424" i="7"/>
  <c r="F7425" i="7"/>
  <c r="F7426" i="7"/>
  <c r="F7427" i="7"/>
  <c r="F7428" i="7"/>
  <c r="F7429" i="7"/>
  <c r="F7430" i="7"/>
  <c r="F7431" i="7"/>
  <c r="F7432" i="7"/>
  <c r="F7433" i="7"/>
  <c r="F7434" i="7"/>
  <c r="F7435" i="7"/>
  <c r="F7436" i="7"/>
  <c r="F7437" i="7"/>
  <c r="F7438" i="7"/>
  <c r="F7439" i="7"/>
  <c r="F7440" i="7"/>
  <c r="F7441" i="7"/>
  <c r="F7442" i="7"/>
  <c r="F7443" i="7"/>
  <c r="F7444" i="7"/>
  <c r="F7445" i="7"/>
  <c r="F7446" i="7"/>
  <c r="F7447" i="7"/>
  <c r="F7448" i="7"/>
  <c r="F7449" i="7"/>
  <c r="F7450" i="7"/>
  <c r="F7451" i="7"/>
  <c r="F7452" i="7"/>
  <c r="F7453" i="7"/>
  <c r="F7454" i="7"/>
  <c r="F7455" i="7"/>
  <c r="F7456" i="7"/>
  <c r="F7457" i="7"/>
  <c r="F7458" i="7"/>
  <c r="F7459" i="7"/>
  <c r="F7460" i="7"/>
  <c r="F7461" i="7"/>
  <c r="F7462" i="7"/>
  <c r="F7463" i="7"/>
  <c r="F7464" i="7"/>
  <c r="F7465" i="7"/>
  <c r="F7466" i="7"/>
  <c r="F7467" i="7"/>
  <c r="F7468" i="7"/>
  <c r="F7469" i="7"/>
  <c r="F7470" i="7"/>
  <c r="F7471" i="7"/>
  <c r="F7472" i="7"/>
  <c r="F7473" i="7"/>
  <c r="F7474" i="7"/>
  <c r="F7475" i="7"/>
  <c r="F7476" i="7"/>
  <c r="F7477" i="7"/>
  <c r="F7478" i="7"/>
  <c r="F7479" i="7"/>
  <c r="F7480" i="7"/>
  <c r="F7481" i="7"/>
  <c r="F7482" i="7"/>
  <c r="F7483" i="7"/>
  <c r="F7484" i="7"/>
  <c r="F7485" i="7"/>
  <c r="F7486" i="7"/>
  <c r="F7487" i="7"/>
  <c r="F7488" i="7"/>
  <c r="F7489" i="7"/>
  <c r="F7490" i="7"/>
  <c r="F7491" i="7"/>
  <c r="F7492" i="7"/>
  <c r="F7493" i="7"/>
  <c r="F7494" i="7"/>
  <c r="F7495" i="7"/>
  <c r="F7496" i="7"/>
  <c r="F7497" i="7"/>
  <c r="F7498" i="7"/>
  <c r="F7499" i="7"/>
  <c r="F7500" i="7"/>
  <c r="F7501" i="7"/>
  <c r="F7502" i="7"/>
  <c r="F7503" i="7"/>
  <c r="F7504" i="7"/>
  <c r="F7505" i="7"/>
  <c r="F7506" i="7"/>
  <c r="F7507" i="7"/>
  <c r="F7508" i="7"/>
  <c r="F7509" i="7"/>
  <c r="F7510" i="7"/>
  <c r="F7511" i="7"/>
  <c r="F7512" i="7"/>
  <c r="F7513" i="7"/>
  <c r="F7514" i="7"/>
  <c r="F7515" i="7"/>
  <c r="F7516" i="7"/>
  <c r="F7517" i="7"/>
  <c r="F7518" i="7"/>
  <c r="F7519" i="7"/>
  <c r="F7520" i="7"/>
  <c r="F7521" i="7"/>
  <c r="F7522" i="7"/>
  <c r="F7523" i="7"/>
  <c r="F7524" i="7"/>
  <c r="F7525" i="7"/>
  <c r="F7526" i="7"/>
  <c r="F7527" i="7"/>
  <c r="F7528" i="7"/>
  <c r="F7529" i="7"/>
  <c r="F7530" i="7"/>
  <c r="F7531" i="7"/>
  <c r="F7532" i="7"/>
  <c r="F7533" i="7"/>
  <c r="F7534" i="7"/>
  <c r="F7535" i="7"/>
  <c r="F7536" i="7"/>
  <c r="F7537" i="7"/>
  <c r="F7538" i="7"/>
  <c r="F7539" i="7"/>
  <c r="F7540" i="7"/>
  <c r="F7541" i="7"/>
  <c r="F7542" i="7"/>
  <c r="F7543" i="7"/>
  <c r="F7544" i="7"/>
  <c r="F7545" i="7"/>
  <c r="F7546" i="7"/>
  <c r="F7547" i="7"/>
  <c r="F7548" i="7"/>
  <c r="F7549" i="7"/>
  <c r="F7550" i="7"/>
  <c r="F7551" i="7"/>
  <c r="F7552" i="7"/>
  <c r="F7553" i="7"/>
  <c r="F7554" i="7"/>
  <c r="F7555" i="7"/>
  <c r="F7556" i="7"/>
  <c r="F7557" i="7"/>
  <c r="F7558" i="7"/>
  <c r="F7559" i="7"/>
  <c r="F7560" i="7"/>
  <c r="F7561" i="7"/>
  <c r="F7562" i="7"/>
  <c r="F7563" i="7"/>
  <c r="F7564" i="7"/>
  <c r="F7565" i="7"/>
  <c r="F7566" i="7"/>
  <c r="F7567" i="7"/>
  <c r="F7568" i="7"/>
  <c r="F7569" i="7"/>
  <c r="F7570" i="7"/>
  <c r="F7571" i="7"/>
  <c r="F7572" i="7"/>
  <c r="F7573" i="7"/>
  <c r="F7574" i="7"/>
  <c r="F7575" i="7"/>
  <c r="F7576" i="7"/>
  <c r="F7577" i="7"/>
  <c r="F7578" i="7"/>
  <c r="F7579" i="7"/>
  <c r="F7580" i="7"/>
  <c r="F7581" i="7"/>
  <c r="F7582" i="7"/>
  <c r="F7583" i="7"/>
  <c r="F7584" i="7"/>
  <c r="F7585" i="7"/>
  <c r="F7586" i="7"/>
  <c r="F7587" i="7"/>
  <c r="F7588" i="7"/>
  <c r="F7589" i="7"/>
  <c r="F7590" i="7"/>
  <c r="F7591" i="7"/>
  <c r="F7592" i="7"/>
  <c r="F7593" i="7"/>
  <c r="F7594" i="7"/>
  <c r="F7595" i="7"/>
  <c r="F7596" i="7"/>
  <c r="F7597" i="7"/>
  <c r="F7598" i="7"/>
  <c r="F7599" i="7"/>
  <c r="F7600" i="7"/>
  <c r="F7601" i="7"/>
  <c r="F7602" i="7"/>
  <c r="F7603" i="7"/>
  <c r="F7604" i="7"/>
  <c r="F7605" i="7"/>
  <c r="F7606" i="7"/>
  <c r="F7607" i="7"/>
  <c r="F7608" i="7"/>
  <c r="F7609" i="7"/>
  <c r="F7610" i="7"/>
  <c r="F7611" i="7"/>
  <c r="F7612" i="7"/>
  <c r="F7613" i="7"/>
  <c r="F7614" i="7"/>
  <c r="F7615" i="7"/>
  <c r="F7616" i="7"/>
  <c r="F7617" i="7"/>
  <c r="F7618" i="7"/>
  <c r="F7619" i="7"/>
  <c r="F7620" i="7"/>
  <c r="F7621" i="7"/>
  <c r="F7622" i="7"/>
  <c r="F7623" i="7"/>
  <c r="F7624" i="7"/>
  <c r="F7625" i="7"/>
  <c r="F7626" i="7"/>
  <c r="F7627" i="7"/>
  <c r="F7628" i="7"/>
  <c r="F7629" i="7"/>
  <c r="F7630" i="7"/>
  <c r="F7631" i="7"/>
  <c r="F7632" i="7"/>
  <c r="F7633" i="7"/>
  <c r="F7634" i="7"/>
  <c r="F7635" i="7"/>
  <c r="F7636" i="7"/>
  <c r="F7637" i="7"/>
  <c r="F7638" i="7"/>
  <c r="F7639" i="7"/>
  <c r="F7640" i="7"/>
  <c r="F7641" i="7"/>
  <c r="F7642" i="7"/>
  <c r="F7643" i="7"/>
  <c r="F7644" i="7"/>
  <c r="F7645" i="7"/>
  <c r="F7646" i="7"/>
  <c r="F7647" i="7"/>
  <c r="F7648" i="7"/>
  <c r="F7649" i="7"/>
  <c r="F7650" i="7"/>
  <c r="F7651" i="7"/>
  <c r="F7652" i="7"/>
  <c r="F7653" i="7"/>
  <c r="F7654" i="7"/>
  <c r="F7655" i="7"/>
  <c r="F7656" i="7"/>
  <c r="F7657" i="7"/>
  <c r="F7658" i="7"/>
  <c r="F7659" i="7"/>
  <c r="F7660" i="7"/>
  <c r="F7661" i="7"/>
  <c r="F7662" i="7"/>
  <c r="F7663" i="7"/>
  <c r="F7664" i="7"/>
  <c r="F7665" i="7"/>
  <c r="F7666" i="7"/>
  <c r="F7667" i="7"/>
  <c r="F7668" i="7"/>
  <c r="F7669" i="7"/>
  <c r="F7670" i="7"/>
  <c r="F7671" i="7"/>
  <c r="F7672" i="7"/>
  <c r="F7673" i="7"/>
  <c r="F7674" i="7"/>
  <c r="F7675" i="7"/>
  <c r="F7676" i="7"/>
  <c r="F7677" i="7"/>
  <c r="F7678" i="7"/>
  <c r="F7679" i="7"/>
  <c r="F7680" i="7"/>
  <c r="F7681" i="7"/>
  <c r="F7682" i="7"/>
  <c r="F7683" i="7"/>
  <c r="F7684" i="7"/>
  <c r="F7685" i="7"/>
  <c r="F7686" i="7"/>
  <c r="F7687" i="7"/>
  <c r="F7688" i="7"/>
  <c r="F7689" i="7"/>
  <c r="F7690" i="7"/>
  <c r="F7691" i="7"/>
  <c r="F7692" i="7"/>
  <c r="F7693" i="7"/>
  <c r="F7694" i="7"/>
  <c r="F7695" i="7"/>
  <c r="F7696" i="7"/>
  <c r="F7697" i="7"/>
  <c r="F7698" i="7"/>
  <c r="F7699" i="7"/>
  <c r="F7700" i="7"/>
  <c r="F7701" i="7"/>
  <c r="F7702" i="7"/>
  <c r="F7703" i="7"/>
  <c r="F7704" i="7"/>
  <c r="F7705" i="7"/>
  <c r="F7706" i="7"/>
  <c r="F7707" i="7"/>
  <c r="F7708" i="7"/>
  <c r="F7709" i="7"/>
  <c r="F7710" i="7"/>
  <c r="F7711" i="7"/>
  <c r="F7712" i="7"/>
  <c r="F7713" i="7"/>
  <c r="F7714" i="7"/>
  <c r="F7715" i="7"/>
  <c r="F7716" i="7"/>
  <c r="F7717" i="7"/>
  <c r="F7718" i="7"/>
  <c r="F7719" i="7"/>
  <c r="F7720" i="7"/>
  <c r="F7721" i="7"/>
  <c r="F7722" i="7"/>
  <c r="F7723" i="7"/>
  <c r="F7724" i="7"/>
  <c r="F7725" i="7"/>
  <c r="F7726" i="7"/>
  <c r="F7727" i="7"/>
  <c r="F7728" i="7"/>
  <c r="F7729" i="7"/>
  <c r="F7730" i="7"/>
  <c r="F7731" i="7"/>
  <c r="F7732" i="7"/>
  <c r="F7733" i="7"/>
  <c r="F7734" i="7"/>
  <c r="F7735" i="7"/>
  <c r="F7736" i="7"/>
  <c r="F7737" i="7"/>
  <c r="F7738" i="7"/>
  <c r="F7739" i="7"/>
  <c r="F7740" i="7"/>
  <c r="F7741" i="7"/>
  <c r="F7742" i="7"/>
  <c r="F7743" i="7"/>
  <c r="F7744" i="7"/>
  <c r="F7745" i="7"/>
  <c r="F7746" i="7"/>
  <c r="F7747" i="7"/>
  <c r="F7748" i="7"/>
  <c r="F7749" i="7"/>
  <c r="F7750" i="7"/>
  <c r="F7751" i="7"/>
  <c r="F7752" i="7"/>
  <c r="F7753" i="7"/>
  <c r="F7754" i="7"/>
  <c r="F7755" i="7"/>
  <c r="F7756" i="7"/>
  <c r="F7757" i="7"/>
  <c r="F7758" i="7"/>
  <c r="F7759" i="7"/>
  <c r="F7760" i="7"/>
  <c r="F7761" i="7"/>
  <c r="F7762" i="7"/>
  <c r="F7763" i="7"/>
  <c r="F7764" i="7"/>
  <c r="F7765" i="7"/>
  <c r="F7766" i="7"/>
  <c r="F7767" i="7"/>
  <c r="F7768" i="7"/>
  <c r="F7769" i="7"/>
  <c r="F7770" i="7"/>
  <c r="F7771" i="7"/>
  <c r="F7772" i="7"/>
  <c r="F7773" i="7"/>
  <c r="F7774" i="7"/>
  <c r="F7775" i="7"/>
  <c r="F7776" i="7"/>
  <c r="F7777" i="7"/>
  <c r="F7778" i="7"/>
  <c r="F7779" i="7"/>
  <c r="F7780" i="7"/>
  <c r="F7781" i="7"/>
  <c r="F7782" i="7"/>
  <c r="F7783" i="7"/>
  <c r="F7784" i="7"/>
  <c r="F7785" i="7"/>
  <c r="F7786" i="7"/>
  <c r="F7787" i="7"/>
  <c r="F7788" i="7"/>
  <c r="F7789" i="7"/>
  <c r="F7790" i="7"/>
  <c r="F7791" i="7"/>
  <c r="F7792" i="7"/>
  <c r="F7793" i="7"/>
  <c r="F7794" i="7"/>
  <c r="F7795" i="7"/>
  <c r="F7796" i="7"/>
  <c r="F7797" i="7"/>
  <c r="F7798" i="7"/>
  <c r="F7799" i="7"/>
  <c r="F7800" i="7"/>
  <c r="F7801" i="7"/>
  <c r="F7802" i="7"/>
  <c r="F7803" i="7"/>
  <c r="F7804" i="7"/>
  <c r="F7805" i="7"/>
  <c r="F7806" i="7"/>
  <c r="F7807" i="7"/>
  <c r="F7808" i="7"/>
  <c r="F7809" i="7"/>
  <c r="F7810" i="7"/>
  <c r="F7811" i="7"/>
  <c r="F7812" i="7"/>
  <c r="F7813" i="7"/>
  <c r="F7814" i="7"/>
  <c r="F7815" i="7"/>
  <c r="F7816" i="7"/>
  <c r="F7817" i="7"/>
  <c r="F7818" i="7"/>
  <c r="F7819" i="7"/>
  <c r="F7820" i="7"/>
  <c r="F7821" i="7"/>
  <c r="F7822" i="7"/>
  <c r="F7823" i="7"/>
  <c r="F7824" i="7"/>
  <c r="F7825" i="7"/>
  <c r="F7826" i="7"/>
  <c r="F7827" i="7"/>
  <c r="F7828" i="7"/>
  <c r="F7829" i="7"/>
  <c r="F7830" i="7"/>
  <c r="F7831" i="7"/>
  <c r="F7832" i="7"/>
  <c r="F7833" i="7"/>
  <c r="F7834" i="7"/>
  <c r="F7835" i="7"/>
  <c r="F7836" i="7"/>
  <c r="F7837" i="7"/>
  <c r="F7838" i="7"/>
  <c r="F7839" i="7"/>
  <c r="F7840" i="7"/>
  <c r="F7841" i="7"/>
  <c r="F7842" i="7"/>
  <c r="F7843" i="7"/>
  <c r="F7844" i="7"/>
  <c r="F7845" i="7"/>
  <c r="F7846" i="7"/>
  <c r="F7847" i="7"/>
  <c r="F7848" i="7"/>
  <c r="F7849" i="7"/>
  <c r="F7850" i="7"/>
  <c r="F7851" i="7"/>
  <c r="F7852" i="7"/>
  <c r="F7853" i="7"/>
  <c r="F7854" i="7"/>
  <c r="F7855" i="7"/>
  <c r="F7856" i="7"/>
  <c r="F7857" i="7"/>
  <c r="F7858" i="7"/>
  <c r="F7859" i="7"/>
  <c r="F7860" i="7"/>
  <c r="F7861" i="7"/>
  <c r="F7862" i="7"/>
  <c r="F7863" i="7"/>
  <c r="F7864" i="7"/>
  <c r="F7865" i="7"/>
  <c r="F7866" i="7"/>
  <c r="F7867" i="7"/>
  <c r="F7868" i="7"/>
  <c r="F7869" i="7"/>
  <c r="F7870" i="7"/>
  <c r="F7871" i="7"/>
  <c r="F7872" i="7"/>
  <c r="F7873" i="7"/>
  <c r="F7874" i="7"/>
  <c r="F7875" i="7"/>
  <c r="F7876" i="7"/>
  <c r="F7877" i="7"/>
  <c r="F7878" i="7"/>
  <c r="F7879" i="7"/>
  <c r="F7880" i="7"/>
  <c r="F7881" i="7"/>
  <c r="F7882" i="7"/>
  <c r="F7883" i="7"/>
  <c r="F7884" i="7"/>
  <c r="F7885" i="7"/>
  <c r="F7886" i="7"/>
  <c r="F7887" i="7"/>
  <c r="F7888" i="7"/>
  <c r="F7889" i="7"/>
  <c r="F7890" i="7"/>
  <c r="F7891" i="7"/>
  <c r="F7892" i="7"/>
  <c r="F7893" i="7"/>
  <c r="F7894" i="7"/>
  <c r="F7895" i="7"/>
  <c r="F7896" i="7"/>
  <c r="F7897" i="7"/>
  <c r="F7898" i="7"/>
  <c r="F7899" i="7"/>
  <c r="F7900" i="7"/>
  <c r="F7901" i="7"/>
  <c r="F7902" i="7"/>
  <c r="F7903" i="7"/>
  <c r="F7904" i="7"/>
  <c r="F7905" i="7"/>
  <c r="F7906" i="7"/>
  <c r="F7907" i="7"/>
  <c r="F7908" i="7"/>
  <c r="F7909" i="7"/>
  <c r="F7910" i="7"/>
  <c r="F7911" i="7"/>
  <c r="F7912" i="7"/>
  <c r="F7913" i="7"/>
  <c r="F7914" i="7"/>
  <c r="F7915" i="7"/>
  <c r="F7916" i="7"/>
  <c r="F7917" i="7"/>
  <c r="F7918" i="7"/>
  <c r="F7919" i="7"/>
  <c r="F7920" i="7"/>
  <c r="F7921" i="7"/>
  <c r="F7922" i="7"/>
  <c r="F7923" i="7"/>
  <c r="F7924" i="7"/>
  <c r="F7925" i="7"/>
  <c r="F7926" i="7"/>
  <c r="F7927" i="7"/>
  <c r="F7928" i="7"/>
  <c r="F7929" i="7"/>
  <c r="F7930" i="7"/>
  <c r="F7931" i="7"/>
  <c r="F7932" i="7"/>
  <c r="F7933" i="7"/>
  <c r="F7934" i="7"/>
  <c r="F7935" i="7"/>
  <c r="F7936" i="7"/>
  <c r="F7937" i="7"/>
  <c r="F7938" i="7"/>
  <c r="F7939" i="7"/>
  <c r="F7940" i="7"/>
  <c r="F7941" i="7"/>
  <c r="F7942" i="7"/>
  <c r="F7943" i="7"/>
  <c r="F7944" i="7"/>
  <c r="F7945" i="7"/>
  <c r="F7946" i="7"/>
  <c r="F7947" i="7"/>
  <c r="F7948" i="7"/>
  <c r="F7949" i="7"/>
  <c r="F7950" i="7"/>
  <c r="F7951" i="7"/>
  <c r="F7952" i="7"/>
  <c r="F7953" i="7"/>
  <c r="F7954" i="7"/>
  <c r="F7955" i="7"/>
  <c r="F7956" i="7"/>
  <c r="F7957" i="7"/>
  <c r="F7958" i="7"/>
  <c r="F7959" i="7"/>
  <c r="F7960" i="7"/>
  <c r="F7961" i="7"/>
  <c r="F7962" i="7"/>
  <c r="F7963" i="7"/>
  <c r="F7964" i="7"/>
  <c r="F7965" i="7"/>
  <c r="F7966" i="7"/>
  <c r="F7967" i="7"/>
  <c r="F7968" i="7"/>
  <c r="F7969" i="7"/>
  <c r="F7970" i="7"/>
  <c r="F7971" i="7"/>
  <c r="F7972" i="7"/>
  <c r="F7973" i="7"/>
  <c r="F7974" i="7"/>
  <c r="F7975" i="7"/>
  <c r="F7976" i="7"/>
  <c r="F7977" i="7"/>
  <c r="F7978" i="7"/>
  <c r="F7979" i="7"/>
  <c r="F7980" i="7"/>
  <c r="F7981" i="7"/>
  <c r="F7982" i="7"/>
  <c r="F7983" i="7"/>
  <c r="F7984" i="7"/>
  <c r="F7985" i="7"/>
  <c r="F7986" i="7"/>
  <c r="F7987" i="7"/>
  <c r="F7988" i="7"/>
  <c r="F7989" i="7"/>
  <c r="F7990" i="7"/>
  <c r="F7991" i="7"/>
  <c r="F7992" i="7"/>
  <c r="F7993" i="7"/>
  <c r="F7994" i="7"/>
  <c r="F7995" i="7"/>
  <c r="F7996" i="7"/>
  <c r="F7997" i="7"/>
  <c r="F7998" i="7"/>
  <c r="F7999" i="7"/>
  <c r="F8000" i="7"/>
  <c r="F8001" i="7"/>
  <c r="F8002" i="7"/>
  <c r="F8003" i="7"/>
  <c r="P3" i="7"/>
  <c r="P4"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G1073" i="7"/>
  <c r="G1074" i="7"/>
  <c r="G1075" i="7"/>
  <c r="G1076" i="7"/>
  <c r="G1077" i="7"/>
  <c r="G1078" i="7"/>
  <c r="G1079" i="7"/>
  <c r="G1080" i="7"/>
  <c r="G1081" i="7"/>
  <c r="G1082" i="7"/>
  <c r="G1083" i="7"/>
  <c r="G1084" i="7"/>
  <c r="G1085" i="7"/>
  <c r="G1086" i="7"/>
  <c r="G1087" i="7"/>
  <c r="G1088" i="7"/>
  <c r="G1089" i="7"/>
  <c r="G1090" i="7"/>
  <c r="G1091" i="7"/>
  <c r="G1092" i="7"/>
  <c r="G1093" i="7"/>
  <c r="G1094" i="7"/>
  <c r="G1095" i="7"/>
  <c r="G1096" i="7"/>
  <c r="G1097" i="7"/>
  <c r="G1098" i="7"/>
  <c r="G1099" i="7"/>
  <c r="G1100" i="7"/>
  <c r="G1101" i="7"/>
  <c r="G1102" i="7"/>
  <c r="G1103" i="7"/>
  <c r="G1104" i="7"/>
  <c r="G1105" i="7"/>
  <c r="G1106" i="7"/>
  <c r="G1107" i="7"/>
  <c r="G1108" i="7"/>
  <c r="G1109" i="7"/>
  <c r="G1110" i="7"/>
  <c r="G1111" i="7"/>
  <c r="G1112" i="7"/>
  <c r="G1113" i="7"/>
  <c r="G1114" i="7"/>
  <c r="G1115" i="7"/>
  <c r="G1116" i="7"/>
  <c r="G1117" i="7"/>
  <c r="G1118" i="7"/>
  <c r="G1119" i="7"/>
  <c r="G1120" i="7"/>
  <c r="G1121" i="7"/>
  <c r="G1122" i="7"/>
  <c r="G1123" i="7"/>
  <c r="G1124" i="7"/>
  <c r="G1125" i="7"/>
  <c r="G1126" i="7"/>
  <c r="G1127" i="7"/>
  <c r="G1128" i="7"/>
  <c r="G1129" i="7"/>
  <c r="G1130" i="7"/>
  <c r="G1131" i="7"/>
  <c r="G1132" i="7"/>
  <c r="G1133" i="7"/>
  <c r="G1134" i="7"/>
  <c r="G1135" i="7"/>
  <c r="G1136" i="7"/>
  <c r="G1137" i="7"/>
  <c r="G1138" i="7"/>
  <c r="G1139" i="7"/>
  <c r="G1140" i="7"/>
  <c r="G1141" i="7"/>
  <c r="G1142" i="7"/>
  <c r="G1143" i="7"/>
  <c r="G1144" i="7"/>
  <c r="G1145" i="7"/>
  <c r="G1146" i="7"/>
  <c r="G1147" i="7"/>
  <c r="G1148" i="7"/>
  <c r="G1149" i="7"/>
  <c r="G1150" i="7"/>
  <c r="G1151" i="7"/>
  <c r="G1152" i="7"/>
  <c r="G1153" i="7"/>
  <c r="G1154" i="7"/>
  <c r="G1155" i="7"/>
  <c r="G1156" i="7"/>
  <c r="G1157" i="7"/>
  <c r="G1158" i="7"/>
  <c r="G1159" i="7"/>
  <c r="G1160" i="7"/>
  <c r="G1161" i="7"/>
  <c r="G1162" i="7"/>
  <c r="G1163" i="7"/>
  <c r="G1164" i="7"/>
  <c r="G1165" i="7"/>
  <c r="G1166" i="7"/>
  <c r="G1167" i="7"/>
  <c r="G1168" i="7"/>
  <c r="G1169" i="7"/>
  <c r="G1170" i="7"/>
  <c r="G1171" i="7"/>
  <c r="G1172" i="7"/>
  <c r="G1173" i="7"/>
  <c r="G1174" i="7"/>
  <c r="G1175" i="7"/>
  <c r="G1176" i="7"/>
  <c r="G1177" i="7"/>
  <c r="G1178" i="7"/>
  <c r="G1179" i="7"/>
  <c r="G1180" i="7"/>
  <c r="G1181" i="7"/>
  <c r="G1182" i="7"/>
  <c r="G1183" i="7"/>
  <c r="G1184" i="7"/>
  <c r="G1185" i="7"/>
  <c r="G1186" i="7"/>
  <c r="G1187" i="7"/>
  <c r="G1188" i="7"/>
  <c r="G1189" i="7"/>
  <c r="G1190" i="7"/>
  <c r="G1191" i="7"/>
  <c r="G1192" i="7"/>
  <c r="G1193" i="7"/>
  <c r="G1194" i="7"/>
  <c r="G1195" i="7"/>
  <c r="G1196" i="7"/>
  <c r="G1197" i="7"/>
  <c r="G1198" i="7"/>
  <c r="G1199" i="7"/>
  <c r="G1200" i="7"/>
  <c r="G1201" i="7"/>
  <c r="G1202" i="7"/>
  <c r="G1203" i="7"/>
  <c r="G1204" i="7"/>
  <c r="G1205" i="7"/>
  <c r="G1206" i="7"/>
  <c r="G1207" i="7"/>
  <c r="G1208" i="7"/>
  <c r="G1209" i="7"/>
  <c r="G1210" i="7"/>
  <c r="G1211" i="7"/>
  <c r="G1212" i="7"/>
  <c r="G1213" i="7"/>
  <c r="G1214" i="7"/>
  <c r="G1215" i="7"/>
  <c r="G1216" i="7"/>
  <c r="G1217" i="7"/>
  <c r="G1218" i="7"/>
  <c r="G1219" i="7"/>
  <c r="G1220" i="7"/>
  <c r="G1221" i="7"/>
  <c r="G1222" i="7"/>
  <c r="G1223" i="7"/>
  <c r="G1224" i="7"/>
  <c r="G1225" i="7"/>
  <c r="G1226" i="7"/>
  <c r="G1227" i="7"/>
  <c r="G1228" i="7"/>
  <c r="G1229" i="7"/>
  <c r="G1230" i="7"/>
  <c r="G1231" i="7"/>
  <c r="G1232" i="7"/>
  <c r="G1233" i="7"/>
  <c r="G1234" i="7"/>
  <c r="G1235" i="7"/>
  <c r="G1236" i="7"/>
  <c r="G1237" i="7"/>
  <c r="G1238" i="7"/>
  <c r="G1239" i="7"/>
  <c r="G1240" i="7"/>
  <c r="G1241" i="7"/>
  <c r="G1242" i="7"/>
  <c r="G1243" i="7"/>
  <c r="G1244" i="7"/>
  <c r="G1245" i="7"/>
  <c r="G1246" i="7"/>
  <c r="G1247" i="7"/>
  <c r="G1248" i="7"/>
  <c r="G1249" i="7"/>
  <c r="G1250" i="7"/>
  <c r="G1251" i="7"/>
  <c r="G1252" i="7"/>
  <c r="G1253" i="7"/>
  <c r="G1254" i="7"/>
  <c r="G1255" i="7"/>
  <c r="G1256" i="7"/>
  <c r="G1257" i="7"/>
  <c r="G1258" i="7"/>
  <c r="G1259" i="7"/>
  <c r="G1260" i="7"/>
  <c r="G1261" i="7"/>
  <c r="G1262" i="7"/>
  <c r="G1263" i="7"/>
  <c r="G1264" i="7"/>
  <c r="G1265" i="7"/>
  <c r="G1266" i="7"/>
  <c r="G1267" i="7"/>
  <c r="G1268" i="7"/>
  <c r="G1269" i="7"/>
  <c r="G1270" i="7"/>
  <c r="G1271" i="7"/>
  <c r="G1272" i="7"/>
  <c r="G1273" i="7"/>
  <c r="G1274" i="7"/>
  <c r="G1275" i="7"/>
  <c r="G1276" i="7"/>
  <c r="G1277" i="7"/>
  <c r="G1278" i="7"/>
  <c r="G1279" i="7"/>
  <c r="G1280" i="7"/>
  <c r="G1281" i="7"/>
  <c r="G1282" i="7"/>
  <c r="G1283" i="7"/>
  <c r="G1284" i="7"/>
  <c r="G1285" i="7"/>
  <c r="G1286" i="7"/>
  <c r="G1287" i="7"/>
  <c r="G1288" i="7"/>
  <c r="G1289" i="7"/>
  <c r="G1290" i="7"/>
  <c r="G1291" i="7"/>
  <c r="G1292" i="7"/>
  <c r="G1293" i="7"/>
  <c r="G1294" i="7"/>
  <c r="G1295" i="7"/>
  <c r="G1296" i="7"/>
  <c r="G1297" i="7"/>
  <c r="G1298" i="7"/>
  <c r="G1299" i="7"/>
  <c r="G1300" i="7"/>
  <c r="G1301" i="7"/>
  <c r="G1302" i="7"/>
  <c r="G1303" i="7"/>
  <c r="G1304" i="7"/>
  <c r="G1305" i="7"/>
  <c r="G1306" i="7"/>
  <c r="G1307" i="7"/>
  <c r="G1308" i="7"/>
  <c r="G1309" i="7"/>
  <c r="G1310" i="7"/>
  <c r="G1311" i="7"/>
  <c r="G1312" i="7"/>
  <c r="G1313" i="7"/>
  <c r="G1314" i="7"/>
  <c r="G1315" i="7"/>
  <c r="G1316" i="7"/>
  <c r="G1317" i="7"/>
  <c r="G1318" i="7"/>
  <c r="G1319" i="7"/>
  <c r="G1320" i="7"/>
  <c r="G1321" i="7"/>
  <c r="G1322" i="7"/>
  <c r="G1323" i="7"/>
  <c r="G1324" i="7"/>
  <c r="G1325" i="7"/>
  <c r="G1326" i="7"/>
  <c r="G1327" i="7"/>
  <c r="G1328" i="7"/>
  <c r="G1329" i="7"/>
  <c r="G1330" i="7"/>
  <c r="G1331" i="7"/>
  <c r="G1332" i="7"/>
  <c r="G1333" i="7"/>
  <c r="G1334" i="7"/>
  <c r="G1335" i="7"/>
  <c r="G1336" i="7"/>
  <c r="G1337" i="7"/>
  <c r="G1338" i="7"/>
  <c r="G1339" i="7"/>
  <c r="G1340" i="7"/>
  <c r="G1341" i="7"/>
  <c r="G1342" i="7"/>
  <c r="G1343" i="7"/>
  <c r="G1344" i="7"/>
  <c r="G1345" i="7"/>
  <c r="G1346" i="7"/>
  <c r="G1347" i="7"/>
  <c r="G1348" i="7"/>
  <c r="G1349" i="7"/>
  <c r="G1350" i="7"/>
  <c r="G1351" i="7"/>
  <c r="G1352" i="7"/>
  <c r="G1353" i="7"/>
  <c r="G1354" i="7"/>
  <c r="G1355" i="7"/>
  <c r="G1356" i="7"/>
  <c r="G1357" i="7"/>
  <c r="G1358" i="7"/>
  <c r="G1359" i="7"/>
  <c r="G1360" i="7"/>
  <c r="G1361" i="7"/>
  <c r="G1362" i="7"/>
  <c r="G1363" i="7"/>
  <c r="G1364" i="7"/>
  <c r="G1365" i="7"/>
  <c r="G1366" i="7"/>
  <c r="G1367" i="7"/>
  <c r="G1368" i="7"/>
  <c r="G1369" i="7"/>
  <c r="G1370" i="7"/>
  <c r="G1371" i="7"/>
  <c r="G1372" i="7"/>
  <c r="G1373" i="7"/>
  <c r="G1374" i="7"/>
  <c r="G1375" i="7"/>
  <c r="G1376" i="7"/>
  <c r="G1377" i="7"/>
  <c r="G1378" i="7"/>
  <c r="G1379" i="7"/>
  <c r="G1380" i="7"/>
  <c r="G1381" i="7"/>
  <c r="G1382" i="7"/>
  <c r="G1383" i="7"/>
  <c r="G1384" i="7"/>
  <c r="G1385" i="7"/>
  <c r="G1386" i="7"/>
  <c r="G1387" i="7"/>
  <c r="G1388" i="7"/>
  <c r="G1389" i="7"/>
  <c r="G1390" i="7"/>
  <c r="G1391" i="7"/>
  <c r="G1392" i="7"/>
  <c r="G1393" i="7"/>
  <c r="G1394" i="7"/>
  <c r="G1395" i="7"/>
  <c r="G1396" i="7"/>
  <c r="G1397" i="7"/>
  <c r="G1398" i="7"/>
  <c r="G1399" i="7"/>
  <c r="G1400" i="7"/>
  <c r="G1401" i="7"/>
  <c r="G1402" i="7"/>
  <c r="G1403" i="7"/>
  <c r="G1404" i="7"/>
  <c r="G1405" i="7"/>
  <c r="G1406" i="7"/>
  <c r="G1407" i="7"/>
  <c r="G1408" i="7"/>
  <c r="G1409" i="7"/>
  <c r="G1410" i="7"/>
  <c r="G1411" i="7"/>
  <c r="G1412" i="7"/>
  <c r="G1413" i="7"/>
  <c r="G1414" i="7"/>
  <c r="G1415" i="7"/>
  <c r="G1416" i="7"/>
  <c r="G1417" i="7"/>
  <c r="G1418" i="7"/>
  <c r="G1419" i="7"/>
  <c r="G1420" i="7"/>
  <c r="G1421" i="7"/>
  <c r="G1422" i="7"/>
  <c r="G1423" i="7"/>
  <c r="G1424" i="7"/>
  <c r="G1425" i="7"/>
  <c r="G1426" i="7"/>
  <c r="G1427" i="7"/>
  <c r="G1428" i="7"/>
  <c r="G1429" i="7"/>
  <c r="G1430" i="7"/>
  <c r="G1431" i="7"/>
  <c r="G1432" i="7"/>
  <c r="G1433" i="7"/>
  <c r="G1434" i="7"/>
  <c r="G1435" i="7"/>
  <c r="G1436" i="7"/>
  <c r="G1437" i="7"/>
  <c r="G1438" i="7"/>
  <c r="G1439" i="7"/>
  <c r="G1440" i="7"/>
  <c r="G1441" i="7"/>
  <c r="G1442" i="7"/>
  <c r="G1443" i="7"/>
  <c r="G1444" i="7"/>
  <c r="G1445" i="7"/>
  <c r="G1446" i="7"/>
  <c r="G1447" i="7"/>
  <c r="G1448" i="7"/>
  <c r="G1449" i="7"/>
  <c r="G1450" i="7"/>
  <c r="G1451" i="7"/>
  <c r="G1452" i="7"/>
  <c r="G1453" i="7"/>
  <c r="G1454" i="7"/>
  <c r="G1455" i="7"/>
  <c r="G1456" i="7"/>
  <c r="G1457" i="7"/>
  <c r="G1458" i="7"/>
  <c r="G1459" i="7"/>
  <c r="G1460" i="7"/>
  <c r="G1461" i="7"/>
  <c r="G1462" i="7"/>
  <c r="G1463" i="7"/>
  <c r="G1464" i="7"/>
  <c r="G1465" i="7"/>
  <c r="G1466" i="7"/>
  <c r="G1467" i="7"/>
  <c r="G1468" i="7"/>
  <c r="G1469" i="7"/>
  <c r="G1470" i="7"/>
  <c r="G1471" i="7"/>
  <c r="G1472" i="7"/>
  <c r="G1473" i="7"/>
  <c r="G1474" i="7"/>
  <c r="G1475" i="7"/>
  <c r="G1476" i="7"/>
  <c r="G1477" i="7"/>
  <c r="G1478" i="7"/>
  <c r="G1479" i="7"/>
  <c r="G1480" i="7"/>
  <c r="G1481" i="7"/>
  <c r="G1482" i="7"/>
  <c r="G1483" i="7"/>
  <c r="G1484" i="7"/>
  <c r="G1485" i="7"/>
  <c r="G1486" i="7"/>
  <c r="G1487" i="7"/>
  <c r="G1488" i="7"/>
  <c r="G1489" i="7"/>
  <c r="G1490" i="7"/>
  <c r="G1491" i="7"/>
  <c r="G1492" i="7"/>
  <c r="G1493" i="7"/>
  <c r="G1494" i="7"/>
  <c r="G1495" i="7"/>
  <c r="G1496" i="7"/>
  <c r="G1497" i="7"/>
  <c r="G1498" i="7"/>
  <c r="G1499" i="7"/>
  <c r="G1500" i="7"/>
  <c r="G1501" i="7"/>
  <c r="G1502" i="7"/>
  <c r="G1503" i="7"/>
  <c r="G1504" i="7"/>
  <c r="G1505" i="7"/>
  <c r="G1506" i="7"/>
  <c r="G1507" i="7"/>
  <c r="G1508" i="7"/>
  <c r="G1509" i="7"/>
  <c r="G1510" i="7"/>
  <c r="G1511" i="7"/>
  <c r="G1512" i="7"/>
  <c r="G1513" i="7"/>
  <c r="G1514" i="7"/>
  <c r="G1515" i="7"/>
  <c r="G1516" i="7"/>
  <c r="G1517" i="7"/>
  <c r="G1518" i="7"/>
  <c r="G1519" i="7"/>
  <c r="G1520" i="7"/>
  <c r="G1521" i="7"/>
  <c r="G1522" i="7"/>
  <c r="G1523" i="7"/>
  <c r="G1524" i="7"/>
  <c r="G1525" i="7"/>
  <c r="G1526" i="7"/>
  <c r="G1527" i="7"/>
  <c r="G1528" i="7"/>
  <c r="G1529" i="7"/>
  <c r="G1530" i="7"/>
  <c r="G1531" i="7"/>
  <c r="G1532" i="7"/>
  <c r="G1533" i="7"/>
  <c r="G1534" i="7"/>
  <c r="G1535" i="7"/>
  <c r="G1536" i="7"/>
  <c r="G1537" i="7"/>
  <c r="G1538" i="7"/>
  <c r="G1539" i="7"/>
  <c r="G1540" i="7"/>
  <c r="G1541" i="7"/>
  <c r="G1542" i="7"/>
  <c r="G1543" i="7"/>
  <c r="G1544" i="7"/>
  <c r="G1545" i="7"/>
  <c r="G1546" i="7"/>
  <c r="G1547" i="7"/>
  <c r="G1548" i="7"/>
  <c r="G1549" i="7"/>
  <c r="G1550" i="7"/>
  <c r="G1551" i="7"/>
  <c r="G1552" i="7"/>
  <c r="G1553" i="7"/>
  <c r="G1554" i="7"/>
  <c r="G1555" i="7"/>
  <c r="G1556" i="7"/>
  <c r="G1557" i="7"/>
  <c r="G1558" i="7"/>
  <c r="G1559" i="7"/>
  <c r="G1560" i="7"/>
  <c r="G1561" i="7"/>
  <c r="G1562" i="7"/>
  <c r="G1563" i="7"/>
  <c r="G1564" i="7"/>
  <c r="G1565" i="7"/>
  <c r="G1566" i="7"/>
  <c r="G1567" i="7"/>
  <c r="G1568" i="7"/>
  <c r="G1569" i="7"/>
  <c r="G1570" i="7"/>
  <c r="G1571" i="7"/>
  <c r="G1572" i="7"/>
  <c r="G1573" i="7"/>
  <c r="G1574" i="7"/>
  <c r="G1575" i="7"/>
  <c r="G1576" i="7"/>
  <c r="G1577" i="7"/>
  <c r="G1578" i="7"/>
  <c r="G1579" i="7"/>
  <c r="G1580" i="7"/>
  <c r="G1581" i="7"/>
  <c r="G1582" i="7"/>
  <c r="G1583" i="7"/>
  <c r="G1584" i="7"/>
  <c r="G1585" i="7"/>
  <c r="G1586" i="7"/>
  <c r="G1587" i="7"/>
  <c r="G1588" i="7"/>
  <c r="G1589" i="7"/>
  <c r="G1590" i="7"/>
  <c r="G1591" i="7"/>
  <c r="G1592" i="7"/>
  <c r="G1593" i="7"/>
  <c r="G1594" i="7"/>
  <c r="G1595" i="7"/>
  <c r="G1596" i="7"/>
  <c r="G1597" i="7"/>
  <c r="G1598" i="7"/>
  <c r="G1599" i="7"/>
  <c r="G1600" i="7"/>
  <c r="G1601" i="7"/>
  <c r="G1602" i="7"/>
  <c r="G1603" i="7"/>
  <c r="G1604" i="7"/>
  <c r="G1605" i="7"/>
  <c r="G1606" i="7"/>
  <c r="G1607" i="7"/>
  <c r="G1608" i="7"/>
  <c r="G1609" i="7"/>
  <c r="G1610" i="7"/>
  <c r="G1611" i="7"/>
  <c r="G1612" i="7"/>
  <c r="G1613" i="7"/>
  <c r="G1614" i="7"/>
  <c r="G1615" i="7"/>
  <c r="G1616" i="7"/>
  <c r="G1617" i="7"/>
  <c r="G1618" i="7"/>
  <c r="G1619" i="7"/>
  <c r="G1620" i="7"/>
  <c r="G1621" i="7"/>
  <c r="G1622" i="7"/>
  <c r="G1623" i="7"/>
  <c r="G1624" i="7"/>
  <c r="G1625" i="7"/>
  <c r="G1626" i="7"/>
  <c r="G1627" i="7"/>
  <c r="G1628" i="7"/>
  <c r="G1629" i="7"/>
  <c r="G1630" i="7"/>
  <c r="G1631" i="7"/>
  <c r="G1632" i="7"/>
  <c r="G1633" i="7"/>
  <c r="G1634" i="7"/>
  <c r="G1635" i="7"/>
  <c r="G1636" i="7"/>
  <c r="G1637" i="7"/>
  <c r="G1638" i="7"/>
  <c r="G1639" i="7"/>
  <c r="G1640" i="7"/>
  <c r="G1641" i="7"/>
  <c r="G1642" i="7"/>
  <c r="G1643" i="7"/>
  <c r="G1644" i="7"/>
  <c r="G1645" i="7"/>
  <c r="G1646" i="7"/>
  <c r="G1647" i="7"/>
  <c r="G1648" i="7"/>
  <c r="G1649" i="7"/>
  <c r="G1650" i="7"/>
  <c r="G1651" i="7"/>
  <c r="G1652" i="7"/>
  <c r="G1653" i="7"/>
  <c r="G1654" i="7"/>
  <c r="G1655" i="7"/>
  <c r="G1656" i="7"/>
  <c r="G1657" i="7"/>
  <c r="G1658" i="7"/>
  <c r="G1659" i="7"/>
  <c r="G1660" i="7"/>
  <c r="G1661" i="7"/>
  <c r="G1662" i="7"/>
  <c r="G1663" i="7"/>
  <c r="G1664" i="7"/>
  <c r="G1665" i="7"/>
  <c r="G1666" i="7"/>
  <c r="G1667" i="7"/>
  <c r="G1668" i="7"/>
  <c r="G1669" i="7"/>
  <c r="G1670" i="7"/>
  <c r="G1671" i="7"/>
  <c r="G1672" i="7"/>
  <c r="G1673" i="7"/>
  <c r="G1674" i="7"/>
  <c r="G1675" i="7"/>
  <c r="G1676" i="7"/>
  <c r="G1677" i="7"/>
  <c r="G1678" i="7"/>
  <c r="G1679" i="7"/>
  <c r="G1680" i="7"/>
  <c r="G1681" i="7"/>
  <c r="G1682" i="7"/>
  <c r="G1683" i="7"/>
  <c r="G1684" i="7"/>
  <c r="G1685" i="7"/>
  <c r="G1686" i="7"/>
  <c r="G1687" i="7"/>
  <c r="G1688" i="7"/>
  <c r="G1689" i="7"/>
  <c r="G1690" i="7"/>
  <c r="G1691" i="7"/>
  <c r="G1692" i="7"/>
  <c r="G1693" i="7"/>
  <c r="G1694" i="7"/>
  <c r="G1695" i="7"/>
  <c r="G1696" i="7"/>
  <c r="G1697" i="7"/>
  <c r="G1698" i="7"/>
  <c r="G1699" i="7"/>
  <c r="G1700" i="7"/>
  <c r="G1701" i="7"/>
  <c r="G1702" i="7"/>
  <c r="G1703" i="7"/>
  <c r="G1704" i="7"/>
  <c r="G1705" i="7"/>
  <c r="G1706" i="7"/>
  <c r="G1707" i="7"/>
  <c r="G1708" i="7"/>
  <c r="G1709" i="7"/>
  <c r="G1710" i="7"/>
  <c r="G1711" i="7"/>
  <c r="G1712" i="7"/>
  <c r="G1713" i="7"/>
  <c r="G1714" i="7"/>
  <c r="G1715" i="7"/>
  <c r="G1716" i="7"/>
  <c r="G1717" i="7"/>
  <c r="G1718" i="7"/>
  <c r="G1719" i="7"/>
  <c r="G1720" i="7"/>
  <c r="G1721" i="7"/>
  <c r="G1722" i="7"/>
  <c r="G1723" i="7"/>
  <c r="G1724" i="7"/>
  <c r="G1725" i="7"/>
  <c r="G1726" i="7"/>
  <c r="G1727" i="7"/>
  <c r="G1728" i="7"/>
  <c r="G1729" i="7"/>
  <c r="G1730" i="7"/>
  <c r="G1731" i="7"/>
  <c r="G1732" i="7"/>
  <c r="G1733" i="7"/>
  <c r="G1734" i="7"/>
  <c r="G1735" i="7"/>
  <c r="G1736" i="7"/>
  <c r="G1737" i="7"/>
  <c r="G1738" i="7"/>
  <c r="G1739" i="7"/>
  <c r="G1740" i="7"/>
  <c r="G1741" i="7"/>
  <c r="G1742" i="7"/>
  <c r="G1743" i="7"/>
  <c r="G1744" i="7"/>
  <c r="G1745" i="7"/>
  <c r="G1746" i="7"/>
  <c r="G1747" i="7"/>
  <c r="G1748" i="7"/>
  <c r="G1749" i="7"/>
  <c r="G1750" i="7"/>
  <c r="G1751" i="7"/>
  <c r="G1752" i="7"/>
  <c r="G1753" i="7"/>
  <c r="G1754" i="7"/>
  <c r="G1755" i="7"/>
  <c r="G1756" i="7"/>
  <c r="G1757" i="7"/>
  <c r="G1758" i="7"/>
  <c r="G1759" i="7"/>
  <c r="G1760" i="7"/>
  <c r="G1761" i="7"/>
  <c r="G1762" i="7"/>
  <c r="G1763" i="7"/>
  <c r="G1764" i="7"/>
  <c r="G1765" i="7"/>
  <c r="G1766" i="7"/>
  <c r="G1767" i="7"/>
  <c r="G1768" i="7"/>
  <c r="G1769" i="7"/>
  <c r="G1770" i="7"/>
  <c r="G1771" i="7"/>
  <c r="G1772" i="7"/>
  <c r="G1773" i="7"/>
  <c r="G1774" i="7"/>
  <c r="G1775" i="7"/>
  <c r="G1776" i="7"/>
  <c r="G1777" i="7"/>
  <c r="G1778" i="7"/>
  <c r="G1779" i="7"/>
  <c r="G1780" i="7"/>
  <c r="G1781" i="7"/>
  <c r="G1782" i="7"/>
  <c r="G1783" i="7"/>
  <c r="G1784" i="7"/>
  <c r="G1785" i="7"/>
  <c r="G1786" i="7"/>
  <c r="G1787" i="7"/>
  <c r="G1788" i="7"/>
  <c r="G1789" i="7"/>
  <c r="G1790" i="7"/>
  <c r="G1791" i="7"/>
  <c r="G1792" i="7"/>
  <c r="G1793" i="7"/>
  <c r="G1794" i="7"/>
  <c r="G1795" i="7"/>
  <c r="G1796" i="7"/>
  <c r="G1797" i="7"/>
  <c r="G1798" i="7"/>
  <c r="G1799" i="7"/>
  <c r="G1800" i="7"/>
  <c r="G1801" i="7"/>
  <c r="G1802" i="7"/>
  <c r="G1803" i="7"/>
  <c r="G1804" i="7"/>
  <c r="G1805" i="7"/>
  <c r="G1806" i="7"/>
  <c r="G1807" i="7"/>
  <c r="G1808" i="7"/>
  <c r="G1809" i="7"/>
  <c r="G1810" i="7"/>
  <c r="G1811" i="7"/>
  <c r="G1812" i="7"/>
  <c r="G1813" i="7"/>
  <c r="G1814" i="7"/>
  <c r="G1815" i="7"/>
  <c r="G1816" i="7"/>
  <c r="G1817" i="7"/>
  <c r="G1818" i="7"/>
  <c r="G1819" i="7"/>
  <c r="G1820" i="7"/>
  <c r="G1821" i="7"/>
  <c r="G1822" i="7"/>
  <c r="G1823" i="7"/>
  <c r="G1824" i="7"/>
  <c r="G1825" i="7"/>
  <c r="G1826" i="7"/>
  <c r="G1827" i="7"/>
  <c r="G1828" i="7"/>
  <c r="G1829" i="7"/>
  <c r="G1830" i="7"/>
  <c r="G1831" i="7"/>
  <c r="G1832" i="7"/>
  <c r="G1833" i="7"/>
  <c r="G1834" i="7"/>
  <c r="G1835" i="7"/>
  <c r="G1836" i="7"/>
  <c r="G1837" i="7"/>
  <c r="G1838" i="7"/>
  <c r="G1839" i="7"/>
  <c r="G1840" i="7"/>
  <c r="G1841" i="7"/>
  <c r="G1842" i="7"/>
  <c r="G1843" i="7"/>
  <c r="G1844" i="7"/>
  <c r="G1845" i="7"/>
  <c r="G1846" i="7"/>
  <c r="G1847" i="7"/>
  <c r="G1848" i="7"/>
  <c r="G1849" i="7"/>
  <c r="G1850" i="7"/>
  <c r="G1851" i="7"/>
  <c r="G1852" i="7"/>
  <c r="G1853" i="7"/>
  <c r="G1854" i="7"/>
  <c r="G1855" i="7"/>
  <c r="G1856" i="7"/>
  <c r="G1857" i="7"/>
  <c r="G1858" i="7"/>
  <c r="G1859" i="7"/>
  <c r="G1860" i="7"/>
  <c r="G1861" i="7"/>
  <c r="G1862" i="7"/>
  <c r="G1863" i="7"/>
  <c r="G1864" i="7"/>
  <c r="G1865" i="7"/>
  <c r="G1866" i="7"/>
  <c r="G1867" i="7"/>
  <c r="G1868" i="7"/>
  <c r="G1869" i="7"/>
  <c r="G1870" i="7"/>
  <c r="G1871" i="7"/>
  <c r="G1872" i="7"/>
  <c r="G1873" i="7"/>
  <c r="G1874" i="7"/>
  <c r="G1875" i="7"/>
  <c r="G1876" i="7"/>
  <c r="G1877" i="7"/>
  <c r="G1878" i="7"/>
  <c r="G1879" i="7"/>
  <c r="G1880" i="7"/>
  <c r="G1881" i="7"/>
  <c r="G1882" i="7"/>
  <c r="G1883" i="7"/>
  <c r="G1884" i="7"/>
  <c r="G1885" i="7"/>
  <c r="G1886" i="7"/>
  <c r="G1887" i="7"/>
  <c r="G1888" i="7"/>
  <c r="G1889" i="7"/>
  <c r="G1890" i="7"/>
  <c r="G1891" i="7"/>
  <c r="G1892" i="7"/>
  <c r="G1893" i="7"/>
  <c r="G1894" i="7"/>
  <c r="G1895" i="7"/>
  <c r="G1896" i="7"/>
  <c r="G1897" i="7"/>
  <c r="G1898" i="7"/>
  <c r="G1899" i="7"/>
  <c r="G1900" i="7"/>
  <c r="G1901" i="7"/>
  <c r="G1902" i="7"/>
  <c r="G1903" i="7"/>
  <c r="G1904" i="7"/>
  <c r="G1905" i="7"/>
  <c r="G1906" i="7"/>
  <c r="G1907" i="7"/>
  <c r="G1908" i="7"/>
  <c r="G1909" i="7"/>
  <c r="G1910" i="7"/>
  <c r="G1911" i="7"/>
  <c r="G1912" i="7"/>
  <c r="G1913" i="7"/>
  <c r="G1914" i="7"/>
  <c r="G1915" i="7"/>
  <c r="G1916" i="7"/>
  <c r="G1917" i="7"/>
  <c r="G1918" i="7"/>
  <c r="G1919" i="7"/>
  <c r="G1920" i="7"/>
  <c r="G1921" i="7"/>
  <c r="G1922" i="7"/>
  <c r="G1923" i="7"/>
  <c r="G1924" i="7"/>
  <c r="G1925" i="7"/>
  <c r="G1926" i="7"/>
  <c r="G1927" i="7"/>
  <c r="G1928" i="7"/>
  <c r="G1929" i="7"/>
  <c r="G1930" i="7"/>
  <c r="G1931" i="7"/>
  <c r="G1932" i="7"/>
  <c r="G1933" i="7"/>
  <c r="G1934" i="7"/>
  <c r="G1935" i="7"/>
  <c r="G1936" i="7"/>
  <c r="G1937" i="7"/>
  <c r="G1938" i="7"/>
  <c r="G1939" i="7"/>
  <c r="G1940" i="7"/>
  <c r="G1941" i="7"/>
  <c r="G1942" i="7"/>
  <c r="G1943" i="7"/>
  <c r="G1944" i="7"/>
  <c r="G1945" i="7"/>
  <c r="G1946" i="7"/>
  <c r="G1947" i="7"/>
  <c r="G1948" i="7"/>
  <c r="G1949" i="7"/>
  <c r="G1950" i="7"/>
  <c r="G1951" i="7"/>
  <c r="G1952" i="7"/>
  <c r="G1953" i="7"/>
  <c r="G1954" i="7"/>
  <c r="G1955" i="7"/>
  <c r="G1956" i="7"/>
  <c r="G1957" i="7"/>
  <c r="G1958" i="7"/>
  <c r="G1959" i="7"/>
  <c r="G1960" i="7"/>
  <c r="G1961" i="7"/>
  <c r="G1962" i="7"/>
  <c r="G1963" i="7"/>
  <c r="G1964" i="7"/>
  <c r="G1965" i="7"/>
  <c r="G1966" i="7"/>
  <c r="G1967" i="7"/>
  <c r="G1968" i="7"/>
  <c r="G1969" i="7"/>
  <c r="G1970" i="7"/>
  <c r="G1971" i="7"/>
  <c r="G1972" i="7"/>
  <c r="G1973" i="7"/>
  <c r="G1974" i="7"/>
  <c r="G1975" i="7"/>
  <c r="G1976" i="7"/>
  <c r="G1977" i="7"/>
  <c r="G1978" i="7"/>
  <c r="G1979" i="7"/>
  <c r="G1980" i="7"/>
  <c r="G1981" i="7"/>
  <c r="G1982" i="7"/>
  <c r="G1983" i="7"/>
  <c r="G1984" i="7"/>
  <c r="G1985" i="7"/>
  <c r="G1986" i="7"/>
  <c r="G1987" i="7"/>
  <c r="G1988" i="7"/>
  <c r="G1989" i="7"/>
  <c r="G1990" i="7"/>
  <c r="G1991" i="7"/>
  <c r="G1992" i="7"/>
  <c r="G1993" i="7"/>
  <c r="G1994" i="7"/>
  <c r="G1995" i="7"/>
  <c r="G1996" i="7"/>
  <c r="G1997" i="7"/>
  <c r="G1998" i="7"/>
  <c r="G1999" i="7"/>
  <c r="G2000" i="7"/>
  <c r="G2001" i="7"/>
  <c r="G2002" i="7"/>
  <c r="G2003" i="7"/>
  <c r="G2004" i="7"/>
  <c r="G2005" i="7"/>
  <c r="G2006" i="7"/>
  <c r="G2007" i="7"/>
  <c r="G2008" i="7"/>
  <c r="G2009" i="7"/>
  <c r="G2010" i="7"/>
  <c r="G2011" i="7"/>
  <c r="G2012" i="7"/>
  <c r="G2013" i="7"/>
  <c r="G2014" i="7"/>
  <c r="G2015" i="7"/>
  <c r="G2016" i="7"/>
  <c r="G2017" i="7"/>
  <c r="G2018" i="7"/>
  <c r="G2019" i="7"/>
  <c r="G2020" i="7"/>
  <c r="G2021" i="7"/>
  <c r="G2022" i="7"/>
  <c r="G2023" i="7"/>
  <c r="G2024" i="7"/>
  <c r="G2025" i="7"/>
  <c r="G2026" i="7"/>
  <c r="G2027" i="7"/>
  <c r="G2028" i="7"/>
  <c r="G2029" i="7"/>
  <c r="G2030" i="7"/>
  <c r="G2031" i="7"/>
  <c r="G2032" i="7"/>
  <c r="G2033" i="7"/>
  <c r="G2034" i="7"/>
  <c r="G2035" i="7"/>
  <c r="G2036" i="7"/>
  <c r="G2037" i="7"/>
  <c r="G2038" i="7"/>
  <c r="G2039" i="7"/>
  <c r="G2040" i="7"/>
  <c r="G2041" i="7"/>
  <c r="G2042" i="7"/>
  <c r="G2043" i="7"/>
  <c r="G2044" i="7"/>
  <c r="G2045" i="7"/>
  <c r="G2046" i="7"/>
  <c r="G2047" i="7"/>
  <c r="G2048" i="7"/>
  <c r="G2049" i="7"/>
  <c r="G2050" i="7"/>
  <c r="G2051" i="7"/>
  <c r="G2052" i="7"/>
  <c r="G2053" i="7"/>
  <c r="G2054" i="7"/>
  <c r="G2055" i="7"/>
  <c r="G2056" i="7"/>
  <c r="G2057" i="7"/>
  <c r="G2058" i="7"/>
  <c r="G2059" i="7"/>
  <c r="G2060" i="7"/>
  <c r="G2061" i="7"/>
  <c r="G2062" i="7"/>
  <c r="G2063" i="7"/>
  <c r="G2064" i="7"/>
  <c r="G2065" i="7"/>
  <c r="G2066" i="7"/>
  <c r="G2067" i="7"/>
  <c r="G2068" i="7"/>
  <c r="G2069" i="7"/>
  <c r="G2070" i="7"/>
  <c r="G2071" i="7"/>
  <c r="G2072" i="7"/>
  <c r="G2073" i="7"/>
  <c r="G2074" i="7"/>
  <c r="G2075" i="7"/>
  <c r="G2076" i="7"/>
  <c r="G2077" i="7"/>
  <c r="G2078" i="7"/>
  <c r="G2079" i="7"/>
  <c r="G2080" i="7"/>
  <c r="G2081" i="7"/>
  <c r="G2082" i="7"/>
  <c r="G2083" i="7"/>
  <c r="G2084" i="7"/>
  <c r="G2085" i="7"/>
  <c r="G2086" i="7"/>
  <c r="G2087" i="7"/>
  <c r="G2088" i="7"/>
  <c r="G2089" i="7"/>
  <c r="G2090" i="7"/>
  <c r="G2091" i="7"/>
  <c r="G2092" i="7"/>
  <c r="G2093" i="7"/>
  <c r="G2094" i="7"/>
  <c r="G2095" i="7"/>
  <c r="G2096" i="7"/>
  <c r="G2097" i="7"/>
  <c r="G2098" i="7"/>
  <c r="G2099" i="7"/>
  <c r="G2100" i="7"/>
  <c r="G2101" i="7"/>
  <c r="G2102" i="7"/>
  <c r="G2103" i="7"/>
  <c r="G2104" i="7"/>
  <c r="G2105" i="7"/>
  <c r="G2106" i="7"/>
  <c r="G2107" i="7"/>
  <c r="G2108" i="7"/>
  <c r="G2109" i="7"/>
  <c r="G2110" i="7"/>
  <c r="G2111" i="7"/>
  <c r="G2112" i="7"/>
  <c r="G2113" i="7"/>
  <c r="G2114" i="7"/>
  <c r="G2115" i="7"/>
  <c r="G2116" i="7"/>
  <c r="G2117" i="7"/>
  <c r="G2118" i="7"/>
  <c r="G2119" i="7"/>
  <c r="G2120" i="7"/>
  <c r="G2121" i="7"/>
  <c r="G2122" i="7"/>
  <c r="G2123" i="7"/>
  <c r="G2124" i="7"/>
  <c r="G2125" i="7"/>
  <c r="G2126" i="7"/>
  <c r="G2127" i="7"/>
  <c r="G2128" i="7"/>
  <c r="G2129" i="7"/>
  <c r="G2130" i="7"/>
  <c r="G2131" i="7"/>
  <c r="G2132" i="7"/>
  <c r="G2133" i="7"/>
  <c r="G2134" i="7"/>
  <c r="G2135" i="7"/>
  <c r="G2136" i="7"/>
  <c r="G2137" i="7"/>
  <c r="G2138" i="7"/>
  <c r="G2139" i="7"/>
  <c r="G2140" i="7"/>
  <c r="G2141" i="7"/>
  <c r="G2142" i="7"/>
  <c r="G2143" i="7"/>
  <c r="G2144" i="7"/>
  <c r="G2145" i="7"/>
  <c r="G2146" i="7"/>
  <c r="G2147" i="7"/>
  <c r="G2148" i="7"/>
  <c r="G2149" i="7"/>
  <c r="G2150" i="7"/>
  <c r="G2151" i="7"/>
  <c r="G2152" i="7"/>
  <c r="G2153" i="7"/>
  <c r="G2154" i="7"/>
  <c r="G2155" i="7"/>
  <c r="G2156" i="7"/>
  <c r="G2157" i="7"/>
  <c r="G2158" i="7"/>
  <c r="G2159" i="7"/>
  <c r="G2160" i="7"/>
  <c r="G2161" i="7"/>
  <c r="G2162" i="7"/>
  <c r="G2163" i="7"/>
  <c r="G2164" i="7"/>
  <c r="G2165" i="7"/>
  <c r="G2166" i="7"/>
  <c r="G2167" i="7"/>
  <c r="G2168" i="7"/>
  <c r="G2169" i="7"/>
  <c r="G2170" i="7"/>
  <c r="G2171" i="7"/>
  <c r="G2172" i="7"/>
  <c r="G2173" i="7"/>
  <c r="G2174" i="7"/>
  <c r="G2175" i="7"/>
  <c r="G2176" i="7"/>
  <c r="G2177" i="7"/>
  <c r="G2178" i="7"/>
  <c r="G2179" i="7"/>
  <c r="G2180" i="7"/>
  <c r="G2181" i="7"/>
  <c r="G2182" i="7"/>
  <c r="G2183" i="7"/>
  <c r="G2184" i="7"/>
  <c r="G2185" i="7"/>
  <c r="G2186" i="7"/>
  <c r="G2187" i="7"/>
  <c r="G2188" i="7"/>
  <c r="G2189" i="7"/>
  <c r="G2190" i="7"/>
  <c r="G2191" i="7"/>
  <c r="G2192" i="7"/>
  <c r="G2193" i="7"/>
  <c r="G2194" i="7"/>
  <c r="G2195" i="7"/>
  <c r="G2196" i="7"/>
  <c r="G2197" i="7"/>
  <c r="G2198" i="7"/>
  <c r="G2199" i="7"/>
  <c r="G2200" i="7"/>
  <c r="G2201" i="7"/>
  <c r="G2202" i="7"/>
  <c r="G2203" i="7"/>
  <c r="G2204" i="7"/>
  <c r="G2205" i="7"/>
  <c r="G2206" i="7"/>
  <c r="G2207" i="7"/>
  <c r="G2208" i="7"/>
  <c r="G2209" i="7"/>
  <c r="G2210" i="7"/>
  <c r="G2211" i="7"/>
  <c r="G2212" i="7"/>
  <c r="G2213" i="7"/>
  <c r="G2214" i="7"/>
  <c r="G2215" i="7"/>
  <c r="G2216" i="7"/>
  <c r="G2217" i="7"/>
  <c r="G2218" i="7"/>
  <c r="G2219" i="7"/>
  <c r="G2220" i="7"/>
  <c r="G2221" i="7"/>
  <c r="G2222" i="7"/>
  <c r="G2223" i="7"/>
  <c r="G2224" i="7"/>
  <c r="G2225" i="7"/>
  <c r="G2226" i="7"/>
  <c r="G2227" i="7"/>
  <c r="G2228" i="7"/>
  <c r="G2229" i="7"/>
  <c r="G2230" i="7"/>
  <c r="G2231" i="7"/>
  <c r="G2232" i="7"/>
  <c r="G2233" i="7"/>
  <c r="G2234" i="7"/>
  <c r="G2235" i="7"/>
  <c r="G2236" i="7"/>
  <c r="G2237" i="7"/>
  <c r="G2238" i="7"/>
  <c r="G2239" i="7"/>
  <c r="G2240" i="7"/>
  <c r="G2241" i="7"/>
  <c r="G2242" i="7"/>
  <c r="G2243" i="7"/>
  <c r="G2244" i="7"/>
  <c r="G2245" i="7"/>
  <c r="G2246" i="7"/>
  <c r="G2247" i="7"/>
  <c r="G2248" i="7"/>
  <c r="G2249" i="7"/>
  <c r="G2250" i="7"/>
  <c r="G2251" i="7"/>
  <c r="G2252" i="7"/>
  <c r="G2253" i="7"/>
  <c r="G2254" i="7"/>
  <c r="G2255" i="7"/>
  <c r="G2256" i="7"/>
  <c r="G2257" i="7"/>
  <c r="G2258" i="7"/>
  <c r="G2259" i="7"/>
  <c r="G2260" i="7"/>
  <c r="G2261" i="7"/>
  <c r="G2262" i="7"/>
  <c r="G2263" i="7"/>
  <c r="G2264" i="7"/>
  <c r="G2265" i="7"/>
  <c r="G2266" i="7"/>
  <c r="G2267" i="7"/>
  <c r="G2268" i="7"/>
  <c r="G2269" i="7"/>
  <c r="G2270" i="7"/>
  <c r="G2271" i="7"/>
  <c r="G2272" i="7"/>
  <c r="G2273" i="7"/>
  <c r="G2274" i="7"/>
  <c r="G2275" i="7"/>
  <c r="G2276" i="7"/>
  <c r="G2277" i="7"/>
  <c r="G2278" i="7"/>
  <c r="G2279" i="7"/>
  <c r="G2280" i="7"/>
  <c r="G2281" i="7"/>
  <c r="G2282" i="7"/>
  <c r="G2283" i="7"/>
  <c r="G2284" i="7"/>
  <c r="G2285" i="7"/>
  <c r="G2286" i="7"/>
  <c r="G2287" i="7"/>
  <c r="G2288" i="7"/>
  <c r="G2289" i="7"/>
  <c r="G2290" i="7"/>
  <c r="G2291" i="7"/>
  <c r="G2292" i="7"/>
  <c r="G2293" i="7"/>
  <c r="G2294" i="7"/>
  <c r="G2295" i="7"/>
  <c r="G2296" i="7"/>
  <c r="G2297" i="7"/>
  <c r="G2298" i="7"/>
  <c r="G2299" i="7"/>
  <c r="G2300" i="7"/>
  <c r="G2301" i="7"/>
  <c r="G2302" i="7"/>
  <c r="G2303" i="7"/>
  <c r="G2304" i="7"/>
  <c r="G2305" i="7"/>
  <c r="G2306" i="7"/>
  <c r="G2307" i="7"/>
  <c r="G2308" i="7"/>
  <c r="G2309" i="7"/>
  <c r="G2310" i="7"/>
  <c r="G2311" i="7"/>
  <c r="G2312" i="7"/>
  <c r="G2313" i="7"/>
  <c r="G2314" i="7"/>
  <c r="G2315" i="7"/>
  <c r="G2316" i="7"/>
  <c r="G2317" i="7"/>
  <c r="G2318" i="7"/>
  <c r="G2319" i="7"/>
  <c r="G2320" i="7"/>
  <c r="G2321" i="7"/>
  <c r="G2322" i="7"/>
  <c r="G2323" i="7"/>
  <c r="G2324" i="7"/>
  <c r="G2325" i="7"/>
  <c r="G2326" i="7"/>
  <c r="G2327" i="7"/>
  <c r="G2328" i="7"/>
  <c r="G2329" i="7"/>
  <c r="G2330" i="7"/>
  <c r="G2331" i="7"/>
  <c r="G2332" i="7"/>
  <c r="G2333" i="7"/>
  <c r="G2334" i="7"/>
  <c r="G2335" i="7"/>
  <c r="G2336" i="7"/>
  <c r="G2337" i="7"/>
  <c r="G2338" i="7"/>
  <c r="G2339" i="7"/>
  <c r="G2340" i="7"/>
  <c r="G2341" i="7"/>
  <c r="G2342" i="7"/>
  <c r="G2343" i="7"/>
  <c r="G2344" i="7"/>
  <c r="G2345" i="7"/>
  <c r="G2346" i="7"/>
  <c r="G2347" i="7"/>
  <c r="G2348" i="7"/>
  <c r="G2349" i="7"/>
  <c r="G2350" i="7"/>
  <c r="G2351" i="7"/>
  <c r="G2352" i="7"/>
  <c r="G2353" i="7"/>
  <c r="G2354" i="7"/>
  <c r="G2355" i="7"/>
  <c r="G2356" i="7"/>
  <c r="G2357" i="7"/>
  <c r="G2358" i="7"/>
  <c r="G2359" i="7"/>
  <c r="G2360" i="7"/>
  <c r="G2361" i="7"/>
  <c r="G2362" i="7"/>
  <c r="G2363" i="7"/>
  <c r="G2364" i="7"/>
  <c r="G2365" i="7"/>
  <c r="G2366" i="7"/>
  <c r="G2367" i="7"/>
  <c r="G2368" i="7"/>
  <c r="G2369" i="7"/>
  <c r="G2370" i="7"/>
  <c r="G2371" i="7"/>
  <c r="G2372" i="7"/>
  <c r="G2373" i="7"/>
  <c r="G2374" i="7"/>
  <c r="G2375" i="7"/>
  <c r="G2376" i="7"/>
  <c r="G2377" i="7"/>
  <c r="G2378" i="7"/>
  <c r="G2379" i="7"/>
  <c r="G2380" i="7"/>
  <c r="G2381" i="7"/>
  <c r="G2382" i="7"/>
  <c r="G2383" i="7"/>
  <c r="G2384" i="7"/>
  <c r="G2385" i="7"/>
  <c r="G2386" i="7"/>
  <c r="G2387" i="7"/>
  <c r="G2388" i="7"/>
  <c r="G2389" i="7"/>
  <c r="G2390" i="7"/>
  <c r="G2391" i="7"/>
  <c r="G2392" i="7"/>
  <c r="G2393" i="7"/>
  <c r="G2394" i="7"/>
  <c r="G2395" i="7"/>
  <c r="G2396" i="7"/>
  <c r="G2397" i="7"/>
  <c r="G2398" i="7"/>
  <c r="G2399" i="7"/>
  <c r="G2400" i="7"/>
  <c r="G2401" i="7"/>
  <c r="G2402" i="7"/>
  <c r="G2403" i="7"/>
  <c r="G2404" i="7"/>
  <c r="G2405" i="7"/>
  <c r="G2406" i="7"/>
  <c r="G2407" i="7"/>
  <c r="G2408" i="7"/>
  <c r="G2409" i="7"/>
  <c r="G2410" i="7"/>
  <c r="G2411" i="7"/>
  <c r="G2412" i="7"/>
  <c r="G2413" i="7"/>
  <c r="G2414" i="7"/>
  <c r="G2415" i="7"/>
  <c r="G2416" i="7"/>
  <c r="G2417" i="7"/>
  <c r="G2418" i="7"/>
  <c r="G2419" i="7"/>
  <c r="G2420" i="7"/>
  <c r="G2421" i="7"/>
  <c r="G2422" i="7"/>
  <c r="G2423" i="7"/>
  <c r="G2424" i="7"/>
  <c r="G2425" i="7"/>
  <c r="G2426" i="7"/>
  <c r="G2427" i="7"/>
  <c r="G2428" i="7"/>
  <c r="G2429" i="7"/>
  <c r="G2430" i="7"/>
  <c r="G2431" i="7"/>
  <c r="G2432" i="7"/>
  <c r="G2433" i="7"/>
  <c r="G2434" i="7"/>
  <c r="G2435" i="7"/>
  <c r="G2436" i="7"/>
  <c r="G2437" i="7"/>
  <c r="G2438" i="7"/>
  <c r="G2439" i="7"/>
  <c r="G2440" i="7"/>
  <c r="G2441" i="7"/>
  <c r="G2442" i="7"/>
  <c r="G2443" i="7"/>
  <c r="G2444" i="7"/>
  <c r="G2445" i="7"/>
  <c r="G2446" i="7"/>
  <c r="G2447" i="7"/>
  <c r="G2448" i="7"/>
  <c r="G2449" i="7"/>
  <c r="G2450" i="7"/>
  <c r="G2451" i="7"/>
  <c r="G2452" i="7"/>
  <c r="G2453" i="7"/>
  <c r="G2454" i="7"/>
  <c r="G2455" i="7"/>
  <c r="G2456" i="7"/>
  <c r="G2457" i="7"/>
  <c r="G2458" i="7"/>
  <c r="G2459" i="7"/>
  <c r="G2460" i="7"/>
  <c r="G2461" i="7"/>
  <c r="G2462" i="7"/>
  <c r="G2463" i="7"/>
  <c r="G2464" i="7"/>
  <c r="G2465" i="7"/>
  <c r="G2466" i="7"/>
  <c r="G2467" i="7"/>
  <c r="G2468" i="7"/>
  <c r="G2469" i="7"/>
  <c r="G2470" i="7"/>
  <c r="G2471" i="7"/>
  <c r="G2472" i="7"/>
  <c r="G2473" i="7"/>
  <c r="G2474" i="7"/>
  <c r="G2475" i="7"/>
  <c r="G2476" i="7"/>
  <c r="G2477" i="7"/>
  <c r="G2478" i="7"/>
  <c r="G2479" i="7"/>
  <c r="G2480" i="7"/>
  <c r="G2481" i="7"/>
  <c r="G2482" i="7"/>
  <c r="G2483" i="7"/>
  <c r="G2484" i="7"/>
  <c r="G2485" i="7"/>
  <c r="G2486" i="7"/>
  <c r="G2487" i="7"/>
  <c r="G2488" i="7"/>
  <c r="G2489" i="7"/>
  <c r="G2490" i="7"/>
  <c r="G2491" i="7"/>
  <c r="G2492" i="7"/>
  <c r="G2493" i="7"/>
  <c r="G2494" i="7"/>
  <c r="G2495" i="7"/>
  <c r="G2496" i="7"/>
  <c r="G2497" i="7"/>
  <c r="G2498" i="7"/>
  <c r="G2499" i="7"/>
  <c r="G2500" i="7"/>
  <c r="G2501" i="7"/>
  <c r="G2502" i="7"/>
  <c r="G2503" i="7"/>
  <c r="G2504" i="7"/>
  <c r="G2505" i="7"/>
  <c r="G2506" i="7"/>
  <c r="G2507" i="7"/>
  <c r="G2508" i="7"/>
  <c r="G2509" i="7"/>
  <c r="G2510" i="7"/>
  <c r="G2511" i="7"/>
  <c r="G2512" i="7"/>
  <c r="G2513" i="7"/>
  <c r="G2514" i="7"/>
  <c r="G2515" i="7"/>
  <c r="G2516" i="7"/>
  <c r="G2517" i="7"/>
  <c r="G2518" i="7"/>
  <c r="G2519" i="7"/>
  <c r="G2520" i="7"/>
  <c r="G2521" i="7"/>
  <c r="G2522" i="7"/>
  <c r="G2523" i="7"/>
  <c r="G2524" i="7"/>
  <c r="G2525" i="7"/>
  <c r="G2526" i="7"/>
  <c r="G2527" i="7"/>
  <c r="G2528" i="7"/>
  <c r="G2529" i="7"/>
  <c r="G2530" i="7"/>
  <c r="G2531" i="7"/>
  <c r="G2532" i="7"/>
  <c r="G2533" i="7"/>
  <c r="G2534" i="7"/>
  <c r="G2535" i="7"/>
  <c r="G2536" i="7"/>
  <c r="G2537" i="7"/>
  <c r="G2538" i="7"/>
  <c r="G2539" i="7"/>
  <c r="G2540" i="7"/>
  <c r="G2541" i="7"/>
  <c r="G2542" i="7"/>
  <c r="G2543" i="7"/>
  <c r="G2544" i="7"/>
  <c r="G2545" i="7"/>
  <c r="G2546" i="7"/>
  <c r="G2547" i="7"/>
  <c r="G2548" i="7"/>
  <c r="G2549" i="7"/>
  <c r="G2550" i="7"/>
  <c r="G2551" i="7"/>
  <c r="G2552" i="7"/>
  <c r="G2553" i="7"/>
  <c r="G2554" i="7"/>
  <c r="G2555" i="7"/>
  <c r="G2556" i="7"/>
  <c r="G2557" i="7"/>
  <c r="G2558" i="7"/>
  <c r="G2559" i="7"/>
  <c r="G2560" i="7"/>
  <c r="G2561" i="7"/>
  <c r="G2562" i="7"/>
  <c r="G2563" i="7"/>
  <c r="G2564" i="7"/>
  <c r="G2565" i="7"/>
  <c r="G2566" i="7"/>
  <c r="G2567" i="7"/>
  <c r="G2568" i="7"/>
  <c r="G2569" i="7"/>
  <c r="G2570" i="7"/>
  <c r="G2571" i="7"/>
  <c r="G2572" i="7"/>
  <c r="G2573" i="7"/>
  <c r="G2574" i="7"/>
  <c r="G2575" i="7"/>
  <c r="G2576" i="7"/>
  <c r="G2577" i="7"/>
  <c r="G2578" i="7"/>
  <c r="G2579" i="7"/>
  <c r="G2580" i="7"/>
  <c r="G2581" i="7"/>
  <c r="G2582" i="7"/>
  <c r="G2583" i="7"/>
  <c r="G2584" i="7"/>
  <c r="G2585" i="7"/>
  <c r="G2586" i="7"/>
  <c r="G2587" i="7"/>
  <c r="G2588" i="7"/>
  <c r="G2589" i="7"/>
  <c r="G2590" i="7"/>
  <c r="G2591" i="7"/>
  <c r="G2592" i="7"/>
  <c r="G2593" i="7"/>
  <c r="G2594" i="7"/>
  <c r="G2595" i="7"/>
  <c r="G2596" i="7"/>
  <c r="G2597" i="7"/>
  <c r="G2598" i="7"/>
  <c r="G2599" i="7"/>
  <c r="G2600" i="7"/>
  <c r="G2601" i="7"/>
  <c r="G2602" i="7"/>
  <c r="G2603" i="7"/>
  <c r="G2604" i="7"/>
  <c r="G2605" i="7"/>
  <c r="G2606" i="7"/>
  <c r="G2607" i="7"/>
  <c r="G2608" i="7"/>
  <c r="G2609" i="7"/>
  <c r="G2610" i="7"/>
  <c r="G2611" i="7"/>
  <c r="G2612" i="7"/>
  <c r="G2613" i="7"/>
  <c r="G2614" i="7"/>
  <c r="G2615" i="7"/>
  <c r="G2616" i="7"/>
  <c r="G2617" i="7"/>
  <c r="G2618" i="7"/>
  <c r="G2619" i="7"/>
  <c r="G2620" i="7"/>
  <c r="G2621" i="7"/>
  <c r="G2622" i="7"/>
  <c r="G2623" i="7"/>
  <c r="G2624" i="7"/>
  <c r="G2625" i="7"/>
  <c r="G2626" i="7"/>
  <c r="G2627" i="7"/>
  <c r="G2628" i="7"/>
  <c r="G2629" i="7"/>
  <c r="G2630" i="7"/>
  <c r="G2631" i="7"/>
  <c r="G2632" i="7"/>
  <c r="G2633" i="7"/>
  <c r="G2634" i="7"/>
  <c r="G2635" i="7"/>
  <c r="G2636" i="7"/>
  <c r="G2637" i="7"/>
  <c r="G2638" i="7"/>
  <c r="G2639" i="7"/>
  <c r="G2640" i="7"/>
  <c r="G2641" i="7"/>
  <c r="G2642" i="7"/>
  <c r="G2643" i="7"/>
  <c r="G2644" i="7"/>
  <c r="G2645" i="7"/>
  <c r="G2646" i="7"/>
  <c r="G2647" i="7"/>
  <c r="G2648" i="7"/>
  <c r="G2649" i="7"/>
  <c r="G2650" i="7"/>
  <c r="G2651" i="7"/>
  <c r="G2652" i="7"/>
  <c r="G2653" i="7"/>
  <c r="G2654" i="7"/>
  <c r="G2655" i="7"/>
  <c r="G2656" i="7"/>
  <c r="G2657" i="7"/>
  <c r="G2658" i="7"/>
  <c r="G2659" i="7"/>
  <c r="G2660" i="7"/>
  <c r="G2661" i="7"/>
  <c r="G2662" i="7"/>
  <c r="G2663" i="7"/>
  <c r="G2664" i="7"/>
  <c r="G2665" i="7"/>
  <c r="G2666" i="7"/>
  <c r="G2667" i="7"/>
  <c r="G2668" i="7"/>
  <c r="G2669" i="7"/>
  <c r="G2670" i="7"/>
  <c r="G2671" i="7"/>
  <c r="G2672" i="7"/>
  <c r="G2673" i="7"/>
  <c r="G2674" i="7"/>
  <c r="G2675" i="7"/>
  <c r="G2676" i="7"/>
  <c r="G2677" i="7"/>
  <c r="G2678" i="7"/>
  <c r="G2679" i="7"/>
  <c r="G2680" i="7"/>
  <c r="G2681" i="7"/>
  <c r="G2682" i="7"/>
  <c r="G2683" i="7"/>
  <c r="G2684" i="7"/>
  <c r="G2685" i="7"/>
  <c r="G2686" i="7"/>
  <c r="G2687" i="7"/>
  <c r="G2688" i="7"/>
  <c r="G2689" i="7"/>
  <c r="G2690" i="7"/>
  <c r="G2691" i="7"/>
  <c r="G2692" i="7"/>
  <c r="G2693" i="7"/>
  <c r="G2694" i="7"/>
  <c r="G2695" i="7"/>
  <c r="G2696" i="7"/>
  <c r="G2697" i="7"/>
  <c r="G2698" i="7"/>
  <c r="G2699" i="7"/>
  <c r="G2700" i="7"/>
  <c r="G2701" i="7"/>
  <c r="G2702" i="7"/>
  <c r="G2703" i="7"/>
  <c r="G2704" i="7"/>
  <c r="G2705" i="7"/>
  <c r="G2706" i="7"/>
  <c r="G2707" i="7"/>
  <c r="G2708" i="7"/>
  <c r="G2709" i="7"/>
  <c r="G2710" i="7"/>
  <c r="G2711" i="7"/>
  <c r="G2712" i="7"/>
  <c r="G2713" i="7"/>
  <c r="G2714" i="7"/>
  <c r="G2715" i="7"/>
  <c r="G2716" i="7"/>
  <c r="G2717" i="7"/>
  <c r="G2718" i="7"/>
  <c r="G2719" i="7"/>
  <c r="G2720" i="7"/>
  <c r="G2721" i="7"/>
  <c r="G2722" i="7"/>
  <c r="G2723" i="7"/>
  <c r="G2724" i="7"/>
  <c r="G2725" i="7"/>
  <c r="G2726" i="7"/>
  <c r="G2727" i="7"/>
  <c r="G2728" i="7"/>
  <c r="G2729" i="7"/>
  <c r="G2730" i="7"/>
  <c r="G2731" i="7"/>
  <c r="G2732" i="7"/>
  <c r="G2733" i="7"/>
  <c r="G2734" i="7"/>
  <c r="G2735" i="7"/>
  <c r="G2736" i="7"/>
  <c r="G2737" i="7"/>
  <c r="G2738" i="7"/>
  <c r="G2739" i="7"/>
  <c r="G2740" i="7"/>
  <c r="G2741" i="7"/>
  <c r="G2742" i="7"/>
  <c r="G2743" i="7"/>
  <c r="G2744" i="7"/>
  <c r="G2745" i="7"/>
  <c r="G2746" i="7"/>
  <c r="G2747" i="7"/>
  <c r="G2748" i="7"/>
  <c r="G2749" i="7"/>
  <c r="G2750" i="7"/>
  <c r="G2751" i="7"/>
  <c r="G2752" i="7"/>
  <c r="G2753" i="7"/>
  <c r="G2754" i="7"/>
  <c r="G2755" i="7"/>
  <c r="G2756" i="7"/>
  <c r="G2757" i="7"/>
  <c r="G2758" i="7"/>
  <c r="G2759" i="7"/>
  <c r="G2760" i="7"/>
  <c r="G2761" i="7"/>
  <c r="G2762" i="7"/>
  <c r="G2763" i="7"/>
  <c r="G2764" i="7"/>
  <c r="G2765" i="7"/>
  <c r="G2766" i="7"/>
  <c r="G2767" i="7"/>
  <c r="G2768" i="7"/>
  <c r="G2769" i="7"/>
  <c r="G2770" i="7"/>
  <c r="G2771" i="7"/>
  <c r="G2772" i="7"/>
  <c r="G2773" i="7"/>
  <c r="G2774" i="7"/>
  <c r="G2775" i="7"/>
  <c r="G2776" i="7"/>
  <c r="G2777" i="7"/>
  <c r="G2778" i="7"/>
  <c r="G2779" i="7"/>
  <c r="G2780" i="7"/>
  <c r="G2781" i="7"/>
  <c r="G2782" i="7"/>
  <c r="G2783" i="7"/>
  <c r="G2784" i="7"/>
  <c r="G2785" i="7"/>
  <c r="G2786" i="7"/>
  <c r="G2787" i="7"/>
  <c r="G2788" i="7"/>
  <c r="G2789" i="7"/>
  <c r="G2790" i="7"/>
  <c r="G2791" i="7"/>
  <c r="G2792" i="7"/>
  <c r="G2793" i="7"/>
  <c r="G2794" i="7"/>
  <c r="G2795" i="7"/>
  <c r="G2796" i="7"/>
  <c r="G2797" i="7"/>
  <c r="G2798" i="7"/>
  <c r="G2799" i="7"/>
  <c r="G2800" i="7"/>
  <c r="G2801" i="7"/>
  <c r="G2802" i="7"/>
  <c r="G2803" i="7"/>
  <c r="G2804" i="7"/>
  <c r="G2805" i="7"/>
  <c r="G2806" i="7"/>
  <c r="G2807" i="7"/>
  <c r="G2808" i="7"/>
  <c r="G2809" i="7"/>
  <c r="G2810" i="7"/>
  <c r="G2811" i="7"/>
  <c r="G2812" i="7"/>
  <c r="G2813" i="7"/>
  <c r="G2814" i="7"/>
  <c r="G2815" i="7"/>
  <c r="G2816" i="7"/>
  <c r="G2817" i="7"/>
  <c r="G2818" i="7"/>
  <c r="G2819" i="7"/>
  <c r="G2820" i="7"/>
  <c r="G2821" i="7"/>
  <c r="G2822" i="7"/>
  <c r="G2823" i="7"/>
  <c r="G2824" i="7"/>
  <c r="G2825" i="7"/>
  <c r="G2826" i="7"/>
  <c r="G2827" i="7"/>
  <c r="G2828" i="7"/>
  <c r="G2829" i="7"/>
  <c r="G2830" i="7"/>
  <c r="G2831" i="7"/>
  <c r="G2832" i="7"/>
  <c r="G2833" i="7"/>
  <c r="G2834" i="7"/>
  <c r="G2835" i="7"/>
  <c r="G2836" i="7"/>
  <c r="G2837" i="7"/>
  <c r="G2838" i="7"/>
  <c r="G2839" i="7"/>
  <c r="G2840" i="7"/>
  <c r="G2841" i="7"/>
  <c r="G2842" i="7"/>
  <c r="G2843" i="7"/>
  <c r="G2844" i="7"/>
  <c r="G2845" i="7"/>
  <c r="G2846" i="7"/>
  <c r="G2847" i="7"/>
  <c r="G2848" i="7"/>
  <c r="G2849" i="7"/>
  <c r="G2850" i="7"/>
  <c r="G2851" i="7"/>
  <c r="G2852" i="7"/>
  <c r="G2853" i="7"/>
  <c r="G2854" i="7"/>
  <c r="G2855" i="7"/>
  <c r="G2856" i="7"/>
  <c r="G2857" i="7"/>
  <c r="G2858" i="7"/>
  <c r="G2859" i="7"/>
  <c r="G2860" i="7"/>
  <c r="G2861" i="7"/>
  <c r="G2862" i="7"/>
  <c r="G2863" i="7"/>
  <c r="G2864" i="7"/>
  <c r="G2865" i="7"/>
  <c r="G2866" i="7"/>
  <c r="G2867" i="7"/>
  <c r="G2868" i="7"/>
  <c r="G2869" i="7"/>
  <c r="G2870" i="7"/>
  <c r="G2871" i="7"/>
  <c r="G2872" i="7"/>
  <c r="G2873" i="7"/>
  <c r="G2874" i="7"/>
  <c r="G2875" i="7"/>
  <c r="G2876" i="7"/>
  <c r="G2877" i="7"/>
  <c r="G2878" i="7"/>
  <c r="G2879" i="7"/>
  <c r="G2880" i="7"/>
  <c r="G2881" i="7"/>
  <c r="G2882" i="7"/>
  <c r="G2883" i="7"/>
  <c r="G2884" i="7"/>
  <c r="G2885" i="7"/>
  <c r="G2886" i="7"/>
  <c r="G2887" i="7"/>
  <c r="G2888" i="7"/>
  <c r="G2889" i="7"/>
  <c r="G2890" i="7"/>
  <c r="G2891" i="7"/>
  <c r="G2892" i="7"/>
  <c r="G2893" i="7"/>
  <c r="G2894" i="7"/>
  <c r="G2895" i="7"/>
  <c r="G2896" i="7"/>
  <c r="G2897" i="7"/>
  <c r="G2898" i="7"/>
  <c r="G2899" i="7"/>
  <c r="G2900" i="7"/>
  <c r="G2901" i="7"/>
  <c r="G2902" i="7"/>
  <c r="G2903" i="7"/>
  <c r="G2904" i="7"/>
  <c r="G2905" i="7"/>
  <c r="G2906" i="7"/>
  <c r="G2907" i="7"/>
  <c r="G2908" i="7"/>
  <c r="G2909" i="7"/>
  <c r="G2910" i="7"/>
  <c r="G2911" i="7"/>
  <c r="G2912" i="7"/>
  <c r="G2913" i="7"/>
  <c r="G2914" i="7"/>
  <c r="G2915" i="7"/>
  <c r="G2916" i="7"/>
  <c r="G2917" i="7"/>
  <c r="G2918" i="7"/>
  <c r="G2919" i="7"/>
  <c r="G2920" i="7"/>
  <c r="G2921" i="7"/>
  <c r="G2922" i="7"/>
  <c r="G2923" i="7"/>
  <c r="G2924" i="7"/>
  <c r="G2925" i="7"/>
  <c r="G2926" i="7"/>
  <c r="G2927" i="7"/>
  <c r="G2928" i="7"/>
  <c r="G2929" i="7"/>
  <c r="G2930" i="7"/>
  <c r="G2931" i="7"/>
  <c r="G2932" i="7"/>
  <c r="G2933" i="7"/>
  <c r="G2934" i="7"/>
  <c r="G2935" i="7"/>
  <c r="G2936" i="7"/>
  <c r="G2937" i="7"/>
  <c r="G2938" i="7"/>
  <c r="G2939" i="7"/>
  <c r="G2940" i="7"/>
  <c r="G2941" i="7"/>
  <c r="G2942" i="7"/>
  <c r="G2943" i="7"/>
  <c r="G2944" i="7"/>
  <c r="G2945" i="7"/>
  <c r="G2946" i="7"/>
  <c r="G2947" i="7"/>
  <c r="G2948" i="7"/>
  <c r="G2949" i="7"/>
  <c r="G2950" i="7"/>
  <c r="G2951" i="7"/>
  <c r="G2952" i="7"/>
  <c r="G2953" i="7"/>
  <c r="G2954" i="7"/>
  <c r="G2955" i="7"/>
  <c r="G2956" i="7"/>
  <c r="G2957" i="7"/>
  <c r="G2958" i="7"/>
  <c r="G2959" i="7"/>
  <c r="G2960" i="7"/>
  <c r="G2961" i="7"/>
  <c r="G2962" i="7"/>
  <c r="G2963" i="7"/>
  <c r="G2964" i="7"/>
  <c r="G2965" i="7"/>
  <c r="G2966" i="7"/>
  <c r="G2967" i="7"/>
  <c r="G2968" i="7"/>
  <c r="G2969" i="7"/>
  <c r="G2970" i="7"/>
  <c r="G2971" i="7"/>
  <c r="G2972" i="7"/>
  <c r="G2973" i="7"/>
  <c r="G2974" i="7"/>
  <c r="G2975" i="7"/>
  <c r="G2976" i="7"/>
  <c r="G2977" i="7"/>
  <c r="G2978" i="7"/>
  <c r="G2979" i="7"/>
  <c r="G2980" i="7"/>
  <c r="G2981" i="7"/>
  <c r="G2982" i="7"/>
  <c r="G2983" i="7"/>
  <c r="G2984" i="7"/>
  <c r="G2985" i="7"/>
  <c r="G2986" i="7"/>
  <c r="G2987" i="7"/>
  <c r="G2988" i="7"/>
  <c r="G2989" i="7"/>
  <c r="G2990" i="7"/>
  <c r="G2991" i="7"/>
  <c r="G2992" i="7"/>
  <c r="G2993" i="7"/>
  <c r="G2994" i="7"/>
  <c r="G2995" i="7"/>
  <c r="G2996" i="7"/>
  <c r="G2997" i="7"/>
  <c r="G2998" i="7"/>
  <c r="G2999" i="7"/>
  <c r="G3000" i="7"/>
  <c r="G3001" i="7"/>
  <c r="G3002" i="7"/>
  <c r="G3003" i="7"/>
  <c r="G3004" i="7"/>
  <c r="G3005" i="7"/>
  <c r="G3006" i="7"/>
  <c r="G3007" i="7"/>
  <c r="G3008" i="7"/>
  <c r="G3009" i="7"/>
  <c r="G3010" i="7"/>
  <c r="G3011" i="7"/>
  <c r="G3012" i="7"/>
  <c r="G3013" i="7"/>
  <c r="G3014" i="7"/>
  <c r="G3015" i="7"/>
  <c r="G3016" i="7"/>
  <c r="G3017" i="7"/>
  <c r="G3018" i="7"/>
  <c r="G3019" i="7"/>
  <c r="G3020" i="7"/>
  <c r="G3021" i="7"/>
  <c r="G3022" i="7"/>
  <c r="G3023" i="7"/>
  <c r="G3024" i="7"/>
  <c r="G3025" i="7"/>
  <c r="G3026" i="7"/>
  <c r="G3027" i="7"/>
  <c r="G3028" i="7"/>
  <c r="G3029" i="7"/>
  <c r="G3030" i="7"/>
  <c r="G3031" i="7"/>
  <c r="G3032" i="7"/>
  <c r="G3033" i="7"/>
  <c r="G3034" i="7"/>
  <c r="G3035" i="7"/>
  <c r="G3036" i="7"/>
  <c r="G3037" i="7"/>
  <c r="G3038" i="7"/>
  <c r="G3039" i="7"/>
  <c r="G3040" i="7"/>
  <c r="G3041" i="7"/>
  <c r="G3042" i="7"/>
  <c r="G3043" i="7"/>
  <c r="G3044" i="7"/>
  <c r="G3045" i="7"/>
  <c r="G3046" i="7"/>
  <c r="G3047" i="7"/>
  <c r="G3048" i="7"/>
  <c r="G3049" i="7"/>
  <c r="G3050" i="7"/>
  <c r="G3051" i="7"/>
  <c r="G3052" i="7"/>
  <c r="G3053" i="7"/>
  <c r="G3054" i="7"/>
  <c r="G3055" i="7"/>
  <c r="G3056" i="7"/>
  <c r="G3057" i="7"/>
  <c r="G3058" i="7"/>
  <c r="G3059" i="7"/>
  <c r="G3060" i="7"/>
  <c r="G3061" i="7"/>
  <c r="G3062" i="7"/>
  <c r="G3063" i="7"/>
  <c r="G3064" i="7"/>
  <c r="G3065" i="7"/>
  <c r="G3066" i="7"/>
  <c r="G3067" i="7"/>
  <c r="G3068" i="7"/>
  <c r="G3069" i="7"/>
  <c r="G3070" i="7"/>
  <c r="G3071" i="7"/>
  <c r="G3072" i="7"/>
  <c r="G3073" i="7"/>
  <c r="G3074" i="7"/>
  <c r="G3075" i="7"/>
  <c r="G3076" i="7"/>
  <c r="G3077" i="7"/>
  <c r="G3078" i="7"/>
  <c r="G3079" i="7"/>
  <c r="G3080" i="7"/>
  <c r="G3081" i="7"/>
  <c r="G3082" i="7"/>
  <c r="G3083" i="7"/>
  <c r="G3084" i="7"/>
  <c r="G3085" i="7"/>
  <c r="G3086" i="7"/>
  <c r="G3087" i="7"/>
  <c r="G3088" i="7"/>
  <c r="G3089" i="7"/>
  <c r="G3090" i="7"/>
  <c r="G3091" i="7"/>
  <c r="G3092" i="7"/>
  <c r="G3093" i="7"/>
  <c r="G3094" i="7"/>
  <c r="G3095" i="7"/>
  <c r="G3096" i="7"/>
  <c r="G3097" i="7"/>
  <c r="G3098" i="7"/>
  <c r="G3099" i="7"/>
  <c r="G3100" i="7"/>
  <c r="G3101" i="7"/>
  <c r="G3102" i="7"/>
  <c r="G3103" i="7"/>
  <c r="G3104" i="7"/>
  <c r="G3105" i="7"/>
  <c r="G3106" i="7"/>
  <c r="G3107" i="7"/>
  <c r="G3108" i="7"/>
  <c r="G3109" i="7"/>
  <c r="G3110" i="7"/>
  <c r="G3111" i="7"/>
  <c r="G3112" i="7"/>
  <c r="G3113" i="7"/>
  <c r="G3114" i="7"/>
  <c r="G3115" i="7"/>
  <c r="G3116" i="7"/>
  <c r="G3117" i="7"/>
  <c r="G3118" i="7"/>
  <c r="G3119" i="7"/>
  <c r="G3120" i="7"/>
  <c r="G3121" i="7"/>
  <c r="G3122" i="7"/>
  <c r="G3123" i="7"/>
  <c r="G3124" i="7"/>
  <c r="G3125" i="7"/>
  <c r="G3126" i="7"/>
  <c r="G3127" i="7"/>
  <c r="G3128" i="7"/>
  <c r="G3129" i="7"/>
  <c r="G3130" i="7"/>
  <c r="G3131" i="7"/>
  <c r="G3132" i="7"/>
  <c r="G3133" i="7"/>
  <c r="G3134" i="7"/>
  <c r="G3135" i="7"/>
  <c r="G3136" i="7"/>
  <c r="G3137" i="7"/>
  <c r="G3138" i="7"/>
  <c r="G3139" i="7"/>
  <c r="G3140" i="7"/>
  <c r="G3141" i="7"/>
  <c r="G3142" i="7"/>
  <c r="G3143" i="7"/>
  <c r="G3144" i="7"/>
  <c r="G3145" i="7"/>
  <c r="G3146" i="7"/>
  <c r="G3147" i="7"/>
  <c r="G3148" i="7"/>
  <c r="G3149" i="7"/>
  <c r="G3150" i="7"/>
  <c r="G3151" i="7"/>
  <c r="G3152" i="7"/>
  <c r="G3153" i="7"/>
  <c r="G3154" i="7"/>
  <c r="G3155" i="7"/>
  <c r="G3156" i="7"/>
  <c r="G3157" i="7"/>
  <c r="G3158" i="7"/>
  <c r="G3159" i="7"/>
  <c r="G3160" i="7"/>
  <c r="G3161" i="7"/>
  <c r="G3162" i="7"/>
  <c r="G3163" i="7"/>
  <c r="G3164" i="7"/>
  <c r="G3165" i="7"/>
  <c r="G3166" i="7"/>
  <c r="G3167" i="7"/>
  <c r="G3168" i="7"/>
  <c r="G3169" i="7"/>
  <c r="G3170" i="7"/>
  <c r="G3171" i="7"/>
  <c r="G3172" i="7"/>
  <c r="G3173" i="7"/>
  <c r="G3174" i="7"/>
  <c r="G3175" i="7"/>
  <c r="G3176" i="7"/>
  <c r="G3177" i="7"/>
  <c r="G3178" i="7"/>
  <c r="G3179" i="7"/>
  <c r="G3180" i="7"/>
  <c r="G3181" i="7"/>
  <c r="G3182" i="7"/>
  <c r="G3183" i="7"/>
  <c r="G3184" i="7"/>
  <c r="G3185" i="7"/>
  <c r="G3186" i="7"/>
  <c r="G3187" i="7"/>
  <c r="G3188" i="7"/>
  <c r="G3189" i="7"/>
  <c r="G3190" i="7"/>
  <c r="G3191" i="7"/>
  <c r="G3192" i="7"/>
  <c r="G3193" i="7"/>
  <c r="G3194" i="7"/>
  <c r="G3195" i="7"/>
  <c r="G3196" i="7"/>
  <c r="G3197" i="7"/>
  <c r="G3198" i="7"/>
  <c r="G3199" i="7"/>
  <c r="G3200" i="7"/>
  <c r="G3201" i="7"/>
  <c r="G3202" i="7"/>
  <c r="G3203" i="7"/>
  <c r="G3204" i="7"/>
  <c r="G3205" i="7"/>
  <c r="G3206" i="7"/>
  <c r="G3207" i="7"/>
  <c r="G3208" i="7"/>
  <c r="G3209" i="7"/>
  <c r="G3210" i="7"/>
  <c r="G3211" i="7"/>
  <c r="G3212" i="7"/>
  <c r="G3213" i="7"/>
  <c r="G3214" i="7"/>
  <c r="G3215" i="7"/>
  <c r="G3216" i="7"/>
  <c r="G3217" i="7"/>
  <c r="G3218" i="7"/>
  <c r="G3219" i="7"/>
  <c r="G3220" i="7"/>
  <c r="G3221" i="7"/>
  <c r="G3222" i="7"/>
  <c r="G3223" i="7"/>
  <c r="G3224" i="7"/>
  <c r="G3225" i="7"/>
  <c r="G3226" i="7"/>
  <c r="G3227" i="7"/>
  <c r="G3228" i="7"/>
  <c r="G3229" i="7"/>
  <c r="G3230" i="7"/>
  <c r="G3231" i="7"/>
  <c r="G3232" i="7"/>
  <c r="G3233" i="7"/>
  <c r="G3234" i="7"/>
  <c r="G3235" i="7"/>
  <c r="G3236" i="7"/>
  <c r="G3237" i="7"/>
  <c r="G3238" i="7"/>
  <c r="G3239" i="7"/>
  <c r="G3240" i="7"/>
  <c r="G3241" i="7"/>
  <c r="G3242" i="7"/>
  <c r="G3243" i="7"/>
  <c r="G3244" i="7"/>
  <c r="G3245" i="7"/>
  <c r="G3246" i="7"/>
  <c r="G3247" i="7"/>
  <c r="G3248" i="7"/>
  <c r="G3249" i="7"/>
  <c r="G3250" i="7"/>
  <c r="G3251" i="7"/>
  <c r="G3252" i="7"/>
  <c r="G3253" i="7"/>
  <c r="G3254" i="7"/>
  <c r="G3255" i="7"/>
  <c r="G3256" i="7"/>
  <c r="G3257" i="7"/>
  <c r="G3258" i="7"/>
  <c r="G3259" i="7"/>
  <c r="G3260" i="7"/>
  <c r="G3261" i="7"/>
  <c r="G3262" i="7"/>
  <c r="G3263" i="7"/>
  <c r="G3264" i="7"/>
  <c r="G3265" i="7"/>
  <c r="G3266" i="7"/>
  <c r="G3267" i="7"/>
  <c r="G3268" i="7"/>
  <c r="G3269" i="7"/>
  <c r="G3270" i="7"/>
  <c r="G3271" i="7"/>
  <c r="G3272" i="7"/>
  <c r="G3273" i="7"/>
  <c r="G3274" i="7"/>
  <c r="G3275" i="7"/>
  <c r="G3276" i="7"/>
  <c r="G3277" i="7"/>
  <c r="G3278" i="7"/>
  <c r="G3279" i="7"/>
  <c r="G3280" i="7"/>
  <c r="G3281" i="7"/>
  <c r="G3282" i="7"/>
  <c r="G3283" i="7"/>
  <c r="G3284" i="7"/>
  <c r="G3285" i="7"/>
  <c r="G3286" i="7"/>
  <c r="G3287" i="7"/>
  <c r="G3288" i="7"/>
  <c r="G3289" i="7"/>
  <c r="G3290" i="7"/>
  <c r="G3291" i="7"/>
  <c r="G3292" i="7"/>
  <c r="G3293" i="7"/>
  <c r="G3294" i="7"/>
  <c r="G3295" i="7"/>
  <c r="G3296" i="7"/>
  <c r="G3297" i="7"/>
  <c r="G3298" i="7"/>
  <c r="G3299" i="7"/>
  <c r="G3300" i="7"/>
  <c r="G3301" i="7"/>
  <c r="G3302" i="7"/>
  <c r="G3303" i="7"/>
  <c r="G3304" i="7"/>
  <c r="G3305" i="7"/>
  <c r="G3306" i="7"/>
  <c r="G3307" i="7"/>
  <c r="G3308" i="7"/>
  <c r="G3309" i="7"/>
  <c r="G3310" i="7"/>
  <c r="G3311" i="7"/>
  <c r="G3312" i="7"/>
  <c r="G3313" i="7"/>
  <c r="G3314" i="7"/>
  <c r="G3315" i="7"/>
  <c r="G3316" i="7"/>
  <c r="G3317" i="7"/>
  <c r="G3318" i="7"/>
  <c r="G3319" i="7"/>
  <c r="G3320" i="7"/>
  <c r="G3321" i="7"/>
  <c r="G3322" i="7"/>
  <c r="G3323" i="7"/>
  <c r="G3324" i="7"/>
  <c r="G3325" i="7"/>
  <c r="G3326" i="7"/>
  <c r="G3327" i="7"/>
  <c r="G3328" i="7"/>
  <c r="G3329" i="7"/>
  <c r="G3330" i="7"/>
  <c r="G3331" i="7"/>
  <c r="G3332" i="7"/>
  <c r="G3333" i="7"/>
  <c r="G3334" i="7"/>
  <c r="G3335" i="7"/>
  <c r="G3336" i="7"/>
  <c r="G3337" i="7"/>
  <c r="G3338" i="7"/>
  <c r="G3339" i="7"/>
  <c r="G3340" i="7"/>
  <c r="G3341" i="7"/>
  <c r="G3342" i="7"/>
  <c r="G3343" i="7"/>
  <c r="G3344" i="7"/>
  <c r="G3345" i="7"/>
  <c r="G3346" i="7"/>
  <c r="G3347" i="7"/>
  <c r="G3348" i="7"/>
  <c r="G3349" i="7"/>
  <c r="G3350" i="7"/>
  <c r="G3351" i="7"/>
  <c r="G3352" i="7"/>
  <c r="G3353" i="7"/>
  <c r="G3354" i="7"/>
  <c r="G3355" i="7"/>
  <c r="G3356" i="7"/>
  <c r="G3357" i="7"/>
  <c r="G3358" i="7"/>
  <c r="G3359" i="7"/>
  <c r="G3360" i="7"/>
  <c r="G3361" i="7"/>
  <c r="G3362" i="7"/>
  <c r="G3363" i="7"/>
  <c r="G3364" i="7"/>
  <c r="G3365" i="7"/>
  <c r="G3366" i="7"/>
  <c r="G3367" i="7"/>
  <c r="G3368" i="7"/>
  <c r="G3369" i="7"/>
  <c r="G3370" i="7"/>
  <c r="G3371" i="7"/>
  <c r="G3372" i="7"/>
  <c r="G3373" i="7"/>
  <c r="G3374" i="7"/>
  <c r="G3375" i="7"/>
  <c r="G3376" i="7"/>
  <c r="G3377" i="7"/>
  <c r="G3378" i="7"/>
  <c r="G3379" i="7"/>
  <c r="G3380" i="7"/>
  <c r="G3381" i="7"/>
  <c r="G3382" i="7"/>
  <c r="G3383" i="7"/>
  <c r="G3384" i="7"/>
  <c r="G3385" i="7"/>
  <c r="G3386" i="7"/>
  <c r="G3387" i="7"/>
  <c r="G3388" i="7"/>
  <c r="G3389" i="7"/>
  <c r="G3390" i="7"/>
  <c r="G3391" i="7"/>
  <c r="G3392" i="7"/>
  <c r="G3393" i="7"/>
  <c r="G3394" i="7"/>
  <c r="G3395" i="7"/>
  <c r="G3396" i="7"/>
  <c r="G3397" i="7"/>
  <c r="G3398" i="7"/>
  <c r="G3399" i="7"/>
  <c r="G3400" i="7"/>
  <c r="G3401" i="7"/>
  <c r="G3402" i="7"/>
  <c r="G3403" i="7"/>
  <c r="G3404" i="7"/>
  <c r="G3405" i="7"/>
  <c r="G3406" i="7"/>
  <c r="G3407" i="7"/>
  <c r="G3408" i="7"/>
  <c r="G3409" i="7"/>
  <c r="G3410" i="7"/>
  <c r="G3411" i="7"/>
  <c r="G3412" i="7"/>
  <c r="G3413" i="7"/>
  <c r="G3414" i="7"/>
  <c r="G3415" i="7"/>
  <c r="G3416" i="7"/>
  <c r="G3417" i="7"/>
  <c r="G3418" i="7"/>
  <c r="G3419" i="7"/>
  <c r="G3420" i="7"/>
  <c r="G3421" i="7"/>
  <c r="G3422" i="7"/>
  <c r="G3423" i="7"/>
  <c r="G3424" i="7"/>
  <c r="G3425" i="7"/>
  <c r="G3426" i="7"/>
  <c r="G3427" i="7"/>
  <c r="G3428" i="7"/>
  <c r="G3429" i="7"/>
  <c r="G3430" i="7"/>
  <c r="G3431" i="7"/>
  <c r="G3432" i="7"/>
  <c r="G3433" i="7"/>
  <c r="G3434" i="7"/>
  <c r="G3435" i="7"/>
  <c r="G3436" i="7"/>
  <c r="G3437" i="7"/>
  <c r="G3438" i="7"/>
  <c r="G3439" i="7"/>
  <c r="G3440" i="7"/>
  <c r="G3441" i="7"/>
  <c r="G3442" i="7"/>
  <c r="G3443" i="7"/>
  <c r="G3444" i="7"/>
  <c r="G3445" i="7"/>
  <c r="G3446" i="7"/>
  <c r="G3447" i="7"/>
  <c r="G3448" i="7"/>
  <c r="G3449" i="7"/>
  <c r="G3450" i="7"/>
  <c r="G3451" i="7"/>
  <c r="G3452" i="7"/>
  <c r="G3453" i="7"/>
  <c r="G3454" i="7"/>
  <c r="G3455" i="7"/>
  <c r="G3456" i="7"/>
  <c r="G3457" i="7"/>
  <c r="G3458" i="7"/>
  <c r="G3459" i="7"/>
  <c r="G3460" i="7"/>
  <c r="G3461" i="7"/>
  <c r="G3462" i="7"/>
  <c r="G3463" i="7"/>
  <c r="G3464" i="7"/>
  <c r="G3465" i="7"/>
  <c r="G3466" i="7"/>
  <c r="G3467" i="7"/>
  <c r="G3468" i="7"/>
  <c r="G3469" i="7"/>
  <c r="G3470" i="7"/>
  <c r="G3471" i="7"/>
  <c r="G3472" i="7"/>
  <c r="G3473" i="7"/>
  <c r="G3474" i="7"/>
  <c r="G3475" i="7"/>
  <c r="G3476" i="7"/>
  <c r="G3477" i="7"/>
  <c r="G3478" i="7"/>
  <c r="G3479" i="7"/>
  <c r="G3480" i="7"/>
  <c r="G3481" i="7"/>
  <c r="G3482" i="7"/>
  <c r="G3483" i="7"/>
  <c r="G3484" i="7"/>
  <c r="G3485" i="7"/>
  <c r="G3486" i="7"/>
  <c r="G3487" i="7"/>
  <c r="G3488" i="7"/>
  <c r="G3489" i="7"/>
  <c r="G3490" i="7"/>
  <c r="G3491" i="7"/>
  <c r="G3492" i="7"/>
  <c r="G3493" i="7"/>
  <c r="G3494" i="7"/>
  <c r="G3495" i="7"/>
  <c r="G3496" i="7"/>
  <c r="G3497" i="7"/>
  <c r="G3498" i="7"/>
  <c r="G3499" i="7"/>
  <c r="G3500" i="7"/>
  <c r="G3501" i="7"/>
  <c r="G3502" i="7"/>
  <c r="G3503" i="7"/>
  <c r="G3504" i="7"/>
  <c r="G3505" i="7"/>
  <c r="G3506" i="7"/>
  <c r="G3507" i="7"/>
  <c r="G3508" i="7"/>
  <c r="G3509" i="7"/>
  <c r="G3510" i="7"/>
  <c r="G3511" i="7"/>
  <c r="G3512" i="7"/>
  <c r="G3513" i="7"/>
  <c r="G3514" i="7"/>
  <c r="G3515" i="7"/>
  <c r="G3516" i="7"/>
  <c r="G3517" i="7"/>
  <c r="G3518" i="7"/>
  <c r="G3519" i="7"/>
  <c r="G3520" i="7"/>
  <c r="G3521" i="7"/>
  <c r="G3522" i="7"/>
  <c r="G3523" i="7"/>
  <c r="G3524" i="7"/>
  <c r="G3525" i="7"/>
  <c r="G3526" i="7"/>
  <c r="G3527" i="7"/>
  <c r="G3528" i="7"/>
  <c r="G3529" i="7"/>
  <c r="G3530" i="7"/>
  <c r="G3531" i="7"/>
  <c r="G3532" i="7"/>
  <c r="G3533" i="7"/>
  <c r="G3534" i="7"/>
  <c r="G3535" i="7"/>
  <c r="G3536" i="7"/>
  <c r="G3537" i="7"/>
  <c r="G3538" i="7"/>
  <c r="G3539" i="7"/>
  <c r="G3540" i="7"/>
  <c r="G3541" i="7"/>
  <c r="G3542" i="7"/>
  <c r="G3543" i="7"/>
  <c r="G3544" i="7"/>
  <c r="G3545" i="7"/>
  <c r="G3546" i="7"/>
  <c r="G3547" i="7"/>
  <c r="G3548" i="7"/>
  <c r="G3549" i="7"/>
  <c r="G3550" i="7"/>
  <c r="G3551" i="7"/>
  <c r="G3552" i="7"/>
  <c r="G3553" i="7"/>
  <c r="G3554" i="7"/>
  <c r="G3555" i="7"/>
  <c r="G3556" i="7"/>
  <c r="G3557" i="7"/>
  <c r="G3558" i="7"/>
  <c r="G3559" i="7"/>
  <c r="G3560" i="7"/>
  <c r="G3561" i="7"/>
  <c r="G3562" i="7"/>
  <c r="G3563" i="7"/>
  <c r="G3564" i="7"/>
  <c r="G3565" i="7"/>
  <c r="G3566" i="7"/>
  <c r="G3567" i="7"/>
  <c r="G3568" i="7"/>
  <c r="G3569" i="7"/>
  <c r="G3570" i="7"/>
  <c r="G3571" i="7"/>
  <c r="G3572" i="7"/>
  <c r="G3573" i="7"/>
  <c r="G3574" i="7"/>
  <c r="G3575" i="7"/>
  <c r="G3576" i="7"/>
  <c r="G3577" i="7"/>
  <c r="G3578" i="7"/>
  <c r="G3579" i="7"/>
  <c r="G3580" i="7"/>
  <c r="G3581" i="7"/>
  <c r="G3582" i="7"/>
  <c r="G3583" i="7"/>
  <c r="G3584" i="7"/>
  <c r="G3585" i="7"/>
  <c r="G3586" i="7"/>
  <c r="G3587" i="7"/>
  <c r="G3588" i="7"/>
  <c r="G3589" i="7"/>
  <c r="G3590" i="7"/>
  <c r="G3591" i="7"/>
  <c r="G3592" i="7"/>
  <c r="G3593" i="7"/>
  <c r="G3594" i="7"/>
  <c r="G3595" i="7"/>
  <c r="G3596" i="7"/>
  <c r="G3597" i="7"/>
  <c r="G3598" i="7"/>
  <c r="G3599" i="7"/>
  <c r="G3600" i="7"/>
  <c r="G3601" i="7"/>
  <c r="G3602" i="7"/>
  <c r="G3603" i="7"/>
  <c r="G3604" i="7"/>
  <c r="G3605" i="7"/>
  <c r="G3606" i="7"/>
  <c r="G3607" i="7"/>
  <c r="G3608" i="7"/>
  <c r="G3609" i="7"/>
  <c r="G3610" i="7"/>
  <c r="G3611" i="7"/>
  <c r="G3612" i="7"/>
  <c r="G3613" i="7"/>
  <c r="G3614" i="7"/>
  <c r="G3615" i="7"/>
  <c r="G3616" i="7"/>
  <c r="G3617" i="7"/>
  <c r="G3618" i="7"/>
  <c r="G3619" i="7"/>
  <c r="G3620" i="7"/>
  <c r="G3621" i="7"/>
  <c r="G3622" i="7"/>
  <c r="G3623" i="7"/>
  <c r="G3624" i="7"/>
  <c r="G3625" i="7"/>
  <c r="G3626" i="7"/>
  <c r="G3627" i="7"/>
  <c r="G3628" i="7"/>
  <c r="G3629" i="7"/>
  <c r="G3630" i="7"/>
  <c r="G3631" i="7"/>
  <c r="G3632" i="7"/>
  <c r="G3633" i="7"/>
  <c r="G3634" i="7"/>
  <c r="G3635" i="7"/>
  <c r="G3636" i="7"/>
  <c r="G3637" i="7"/>
  <c r="G3638" i="7"/>
  <c r="G3639" i="7"/>
  <c r="G3640" i="7"/>
  <c r="G3641" i="7"/>
  <c r="G3642" i="7"/>
  <c r="G3643" i="7"/>
  <c r="G3644" i="7"/>
  <c r="G3645" i="7"/>
  <c r="G3646" i="7"/>
  <c r="G3647" i="7"/>
  <c r="G3648" i="7"/>
  <c r="G3649" i="7"/>
  <c r="G3650" i="7"/>
  <c r="G3651" i="7"/>
  <c r="G3652" i="7"/>
  <c r="G3653" i="7"/>
  <c r="G3654" i="7"/>
  <c r="G3655" i="7"/>
  <c r="G3656" i="7"/>
  <c r="G3657" i="7"/>
  <c r="G3658" i="7"/>
  <c r="G3659" i="7"/>
  <c r="G3660" i="7"/>
  <c r="G3661" i="7"/>
  <c r="G3662" i="7"/>
  <c r="G3663" i="7"/>
  <c r="G3664" i="7"/>
  <c r="G3665" i="7"/>
  <c r="G3666" i="7"/>
  <c r="G3667" i="7"/>
  <c r="G3668" i="7"/>
  <c r="G3669" i="7"/>
  <c r="G3670" i="7"/>
  <c r="G3671" i="7"/>
  <c r="G3672" i="7"/>
  <c r="G3673" i="7"/>
  <c r="G3674" i="7"/>
  <c r="G3675" i="7"/>
  <c r="G3676" i="7"/>
  <c r="G3677" i="7"/>
  <c r="G3678" i="7"/>
  <c r="G3679" i="7"/>
  <c r="G3680" i="7"/>
  <c r="G3681" i="7"/>
  <c r="G3682" i="7"/>
  <c r="G3683" i="7"/>
  <c r="G3684" i="7"/>
  <c r="G3685" i="7"/>
  <c r="G3686" i="7"/>
  <c r="G3687" i="7"/>
  <c r="G3688" i="7"/>
  <c r="G3689" i="7"/>
  <c r="G3690" i="7"/>
  <c r="G3691" i="7"/>
  <c r="G3692" i="7"/>
  <c r="G3693" i="7"/>
  <c r="G3694" i="7"/>
  <c r="G3695" i="7"/>
  <c r="G3696" i="7"/>
  <c r="G3697" i="7"/>
  <c r="G3698" i="7"/>
  <c r="G3699" i="7"/>
  <c r="G3700" i="7"/>
  <c r="G3701" i="7"/>
  <c r="G3702" i="7"/>
  <c r="G3703" i="7"/>
  <c r="G3704" i="7"/>
  <c r="G3705" i="7"/>
  <c r="G3706" i="7"/>
  <c r="G3707" i="7"/>
  <c r="G3708" i="7"/>
  <c r="G3709" i="7"/>
  <c r="G3710" i="7"/>
  <c r="G3711" i="7"/>
  <c r="G3712" i="7"/>
  <c r="G3713" i="7"/>
  <c r="G3714" i="7"/>
  <c r="G3715" i="7"/>
  <c r="G3716" i="7"/>
  <c r="G3717" i="7"/>
  <c r="G3718" i="7"/>
  <c r="G3719" i="7"/>
  <c r="G3720" i="7"/>
  <c r="G3721" i="7"/>
  <c r="G3722" i="7"/>
  <c r="G3723" i="7"/>
  <c r="G3724" i="7"/>
  <c r="G3725" i="7"/>
  <c r="G3726" i="7"/>
  <c r="G3727" i="7"/>
  <c r="G3728" i="7"/>
  <c r="G3729" i="7"/>
  <c r="G3730" i="7"/>
  <c r="G3731" i="7"/>
  <c r="G3732" i="7"/>
  <c r="G3733" i="7"/>
  <c r="G3734" i="7"/>
  <c r="G3735" i="7"/>
  <c r="G3736" i="7"/>
  <c r="G3737" i="7"/>
  <c r="G3738" i="7"/>
  <c r="G3739" i="7"/>
  <c r="G3740" i="7"/>
  <c r="G3741" i="7"/>
  <c r="G3742" i="7"/>
  <c r="G3743" i="7"/>
  <c r="G3744" i="7"/>
  <c r="G3745" i="7"/>
  <c r="G3746" i="7"/>
  <c r="G3747" i="7"/>
  <c r="G3748" i="7"/>
  <c r="G3749" i="7"/>
  <c r="G3750" i="7"/>
  <c r="G3751" i="7"/>
  <c r="G3752" i="7"/>
  <c r="G3753" i="7"/>
  <c r="G3754" i="7"/>
  <c r="G3755" i="7"/>
  <c r="G3756" i="7"/>
  <c r="G3757" i="7"/>
  <c r="G3758" i="7"/>
  <c r="G3759" i="7"/>
  <c r="G3760" i="7"/>
  <c r="G3761" i="7"/>
  <c r="G3762" i="7"/>
  <c r="G3763" i="7"/>
  <c r="G3764" i="7"/>
  <c r="G3765" i="7"/>
  <c r="G3766" i="7"/>
  <c r="G3767" i="7"/>
  <c r="G3768" i="7"/>
  <c r="G3769" i="7"/>
  <c r="G3770" i="7"/>
  <c r="G3771" i="7"/>
  <c r="G3772" i="7"/>
  <c r="G3773" i="7"/>
  <c r="G3774" i="7"/>
  <c r="G3775" i="7"/>
  <c r="G3776" i="7"/>
  <c r="G3777" i="7"/>
  <c r="G3778" i="7"/>
  <c r="G3779" i="7"/>
  <c r="G3780" i="7"/>
  <c r="G3781" i="7"/>
  <c r="G3782" i="7"/>
  <c r="G3783" i="7"/>
  <c r="G3784" i="7"/>
  <c r="G3785" i="7"/>
  <c r="G3786" i="7"/>
  <c r="G3787" i="7"/>
  <c r="G3788" i="7"/>
  <c r="G3789" i="7"/>
  <c r="G3790" i="7"/>
  <c r="G3791" i="7"/>
  <c r="G3792" i="7"/>
  <c r="G3793" i="7"/>
  <c r="G3794" i="7"/>
  <c r="G3795" i="7"/>
  <c r="G3796" i="7"/>
  <c r="G3797" i="7"/>
  <c r="G3798" i="7"/>
  <c r="G3799" i="7"/>
  <c r="G3800" i="7"/>
  <c r="G3801" i="7"/>
  <c r="G3802" i="7"/>
  <c r="G3803" i="7"/>
  <c r="G3804" i="7"/>
  <c r="G3805" i="7"/>
  <c r="G3806" i="7"/>
  <c r="G3807" i="7"/>
  <c r="G3808" i="7"/>
  <c r="G3809" i="7"/>
  <c r="G3810" i="7"/>
  <c r="G3811" i="7"/>
  <c r="G3812" i="7"/>
  <c r="G3813" i="7"/>
  <c r="G3814" i="7"/>
  <c r="G3815" i="7"/>
  <c r="G3816" i="7"/>
  <c r="G3817" i="7"/>
  <c r="G3818" i="7"/>
  <c r="G3819" i="7"/>
  <c r="G3820" i="7"/>
  <c r="G3821" i="7"/>
  <c r="G3822" i="7"/>
  <c r="G3823" i="7"/>
  <c r="G3824" i="7"/>
  <c r="G3825" i="7"/>
  <c r="G3826" i="7"/>
  <c r="G3827" i="7"/>
  <c r="G3828" i="7"/>
  <c r="G3829" i="7"/>
  <c r="G3830" i="7"/>
  <c r="G3831" i="7"/>
  <c r="G3832" i="7"/>
  <c r="G3833" i="7"/>
  <c r="G3834" i="7"/>
  <c r="G3835" i="7"/>
  <c r="G3836" i="7"/>
  <c r="G3837" i="7"/>
  <c r="G3838" i="7"/>
  <c r="G3839" i="7"/>
  <c r="G3840" i="7"/>
  <c r="G3841" i="7"/>
  <c r="G3842" i="7"/>
  <c r="G3843" i="7"/>
  <c r="G3844" i="7"/>
  <c r="G3845" i="7"/>
  <c r="G3846" i="7"/>
  <c r="G3847" i="7"/>
  <c r="G3848" i="7"/>
  <c r="G3849" i="7"/>
  <c r="G3850" i="7"/>
  <c r="G3851" i="7"/>
  <c r="G3852" i="7"/>
  <c r="G3853" i="7"/>
  <c r="G3854" i="7"/>
  <c r="G3855" i="7"/>
  <c r="G3856" i="7"/>
  <c r="G3857" i="7"/>
  <c r="G3858" i="7"/>
  <c r="G3859" i="7"/>
  <c r="G3860" i="7"/>
  <c r="G3861" i="7"/>
  <c r="G3862" i="7"/>
  <c r="G3863" i="7"/>
  <c r="G3864" i="7"/>
  <c r="G3865" i="7"/>
  <c r="G3866" i="7"/>
  <c r="G3867" i="7"/>
  <c r="G3868" i="7"/>
  <c r="G3869" i="7"/>
  <c r="G3870" i="7"/>
  <c r="G3871" i="7"/>
  <c r="G3872" i="7"/>
  <c r="G3873" i="7"/>
  <c r="G3874" i="7"/>
  <c r="G3875" i="7"/>
  <c r="G3876" i="7"/>
  <c r="G3877" i="7"/>
  <c r="G3878" i="7"/>
  <c r="G3879" i="7"/>
  <c r="G3880" i="7"/>
  <c r="G3881" i="7"/>
  <c r="G3882" i="7"/>
  <c r="G3883" i="7"/>
  <c r="G3884" i="7"/>
  <c r="G3885" i="7"/>
  <c r="G3886" i="7"/>
  <c r="G3887" i="7"/>
  <c r="G3888" i="7"/>
  <c r="G3889" i="7"/>
  <c r="G3890" i="7"/>
  <c r="G3891" i="7"/>
  <c r="G3892" i="7"/>
  <c r="G3893" i="7"/>
  <c r="G3894" i="7"/>
  <c r="G3895" i="7"/>
  <c r="G3896" i="7"/>
  <c r="G3897" i="7"/>
  <c r="G3898" i="7"/>
  <c r="G3899" i="7"/>
  <c r="G3900" i="7"/>
  <c r="G3901" i="7"/>
  <c r="G3902" i="7"/>
  <c r="G3903" i="7"/>
  <c r="G3904" i="7"/>
  <c r="G3905" i="7"/>
  <c r="G3906" i="7"/>
  <c r="G3907" i="7"/>
  <c r="G3908" i="7"/>
  <c r="G3909" i="7"/>
  <c r="G3910" i="7"/>
  <c r="G3911" i="7"/>
  <c r="G3912" i="7"/>
  <c r="G3913" i="7"/>
  <c r="G3914" i="7"/>
  <c r="G3915" i="7"/>
  <c r="G3916" i="7"/>
  <c r="G3917" i="7"/>
  <c r="G3918" i="7"/>
  <c r="G3919" i="7"/>
  <c r="G3920" i="7"/>
  <c r="G3921" i="7"/>
  <c r="G3922" i="7"/>
  <c r="G3923" i="7"/>
  <c r="G3924" i="7"/>
  <c r="G3925" i="7"/>
  <c r="G3926" i="7"/>
  <c r="G3927" i="7"/>
  <c r="G3928" i="7"/>
  <c r="G3929" i="7"/>
  <c r="G3930" i="7"/>
  <c r="G3931" i="7"/>
  <c r="G3932" i="7"/>
  <c r="G3933" i="7"/>
  <c r="G3934" i="7"/>
  <c r="G3935" i="7"/>
  <c r="G3936" i="7"/>
  <c r="G3937" i="7"/>
  <c r="G3938" i="7"/>
  <c r="G3939" i="7"/>
  <c r="G3940" i="7"/>
  <c r="G3941" i="7"/>
  <c r="G3942" i="7"/>
  <c r="G3943" i="7"/>
  <c r="G3944" i="7"/>
  <c r="G3945" i="7"/>
  <c r="G3946" i="7"/>
  <c r="G3947" i="7"/>
  <c r="G3948" i="7"/>
  <c r="G3949" i="7"/>
  <c r="G3950" i="7"/>
  <c r="G3951" i="7"/>
  <c r="G3952" i="7"/>
  <c r="G3953" i="7"/>
  <c r="G3954" i="7"/>
  <c r="G3955" i="7"/>
  <c r="G3956" i="7"/>
  <c r="G3957" i="7"/>
  <c r="G3958" i="7"/>
  <c r="G3959" i="7"/>
  <c r="G3960" i="7"/>
  <c r="G3961" i="7"/>
  <c r="G3962" i="7"/>
  <c r="G3963" i="7"/>
  <c r="G3964" i="7"/>
  <c r="G3965" i="7"/>
  <c r="G3966" i="7"/>
  <c r="G3967" i="7"/>
  <c r="G3968" i="7"/>
  <c r="G3969" i="7"/>
  <c r="G3970" i="7"/>
  <c r="G3971" i="7"/>
  <c r="G3972" i="7"/>
  <c r="G3973" i="7"/>
  <c r="G3974" i="7"/>
  <c r="G3975" i="7"/>
  <c r="G3976" i="7"/>
  <c r="G3977" i="7"/>
  <c r="G3978" i="7"/>
  <c r="G3979" i="7"/>
  <c r="G3980" i="7"/>
  <c r="G3981" i="7"/>
  <c r="G3982" i="7"/>
  <c r="G3983" i="7"/>
  <c r="G3984" i="7"/>
  <c r="G3985" i="7"/>
  <c r="G3986" i="7"/>
  <c r="G3987" i="7"/>
  <c r="G3988" i="7"/>
  <c r="G3989" i="7"/>
  <c r="G3990" i="7"/>
  <c r="G3991" i="7"/>
  <c r="G3992" i="7"/>
  <c r="G3993" i="7"/>
  <c r="G3994" i="7"/>
  <c r="G3995" i="7"/>
  <c r="G3996" i="7"/>
  <c r="G3997" i="7"/>
  <c r="G3998" i="7"/>
  <c r="G3999" i="7"/>
  <c r="G4000" i="7"/>
  <c r="G4001" i="7"/>
  <c r="G4002" i="7"/>
  <c r="G4003" i="7"/>
  <c r="G4004" i="7"/>
  <c r="G4005" i="7"/>
  <c r="G4006" i="7"/>
  <c r="G4007" i="7"/>
  <c r="G4008" i="7"/>
  <c r="G4009" i="7"/>
  <c r="G4010" i="7"/>
  <c r="G4011" i="7"/>
  <c r="G4012" i="7"/>
  <c r="G4013" i="7"/>
  <c r="G4014" i="7"/>
  <c r="G4015" i="7"/>
  <c r="G4016" i="7"/>
  <c r="G4017" i="7"/>
  <c r="G4018" i="7"/>
  <c r="G4019" i="7"/>
  <c r="G4020" i="7"/>
  <c r="G4021" i="7"/>
  <c r="G4022" i="7"/>
  <c r="G4023" i="7"/>
  <c r="G4024" i="7"/>
  <c r="G4025" i="7"/>
  <c r="G4026" i="7"/>
  <c r="G4027" i="7"/>
  <c r="G4028" i="7"/>
  <c r="G4029" i="7"/>
  <c r="G4030" i="7"/>
  <c r="G4031" i="7"/>
  <c r="G4032" i="7"/>
  <c r="G4033" i="7"/>
  <c r="G4034" i="7"/>
  <c r="G4035" i="7"/>
  <c r="G4036" i="7"/>
  <c r="G4037" i="7"/>
  <c r="G4038" i="7"/>
  <c r="G4039" i="7"/>
  <c r="G4040" i="7"/>
  <c r="G4041" i="7"/>
  <c r="G4042" i="7"/>
  <c r="G4043" i="7"/>
  <c r="G4044" i="7"/>
  <c r="G4045" i="7"/>
  <c r="G4046" i="7"/>
  <c r="G4047" i="7"/>
  <c r="G4048" i="7"/>
  <c r="G4049" i="7"/>
  <c r="G4050" i="7"/>
  <c r="G4051" i="7"/>
  <c r="G4052" i="7"/>
  <c r="G4053" i="7"/>
  <c r="G4054" i="7"/>
  <c r="G4055" i="7"/>
  <c r="G4056" i="7"/>
  <c r="G4057" i="7"/>
  <c r="G4058" i="7"/>
  <c r="G4059" i="7"/>
  <c r="G4060" i="7"/>
  <c r="G4061" i="7"/>
  <c r="G4062" i="7"/>
  <c r="G4063" i="7"/>
  <c r="G4064" i="7"/>
  <c r="G4065" i="7"/>
  <c r="G4066" i="7"/>
  <c r="G4067" i="7"/>
  <c r="G4068" i="7"/>
  <c r="G4069" i="7"/>
  <c r="G4070" i="7"/>
  <c r="G4071" i="7"/>
  <c r="G4072" i="7"/>
  <c r="G4073" i="7"/>
  <c r="G4074" i="7"/>
  <c r="G4075" i="7"/>
  <c r="G4076" i="7"/>
  <c r="G4077" i="7"/>
  <c r="G4078" i="7"/>
  <c r="G4079" i="7"/>
  <c r="G4080" i="7"/>
  <c r="G4081" i="7"/>
  <c r="G4082" i="7"/>
  <c r="G4083" i="7"/>
  <c r="G4084" i="7"/>
  <c r="G4085" i="7"/>
  <c r="G4086" i="7"/>
  <c r="G4087" i="7"/>
  <c r="G4088" i="7"/>
  <c r="G4089" i="7"/>
  <c r="G4090" i="7"/>
  <c r="G4091" i="7"/>
  <c r="G4092" i="7"/>
  <c r="G4093" i="7"/>
  <c r="G4094" i="7"/>
  <c r="G4095" i="7"/>
  <c r="G4096" i="7"/>
  <c r="G4097" i="7"/>
  <c r="G4098" i="7"/>
  <c r="G4099" i="7"/>
  <c r="G4100" i="7"/>
  <c r="G4101" i="7"/>
  <c r="G4102" i="7"/>
  <c r="G4103" i="7"/>
  <c r="G4104" i="7"/>
  <c r="G4105" i="7"/>
  <c r="G4106" i="7"/>
  <c r="G4107" i="7"/>
  <c r="G4108" i="7"/>
  <c r="G4109" i="7"/>
  <c r="G4110" i="7"/>
  <c r="G4111" i="7"/>
  <c r="G4112" i="7"/>
  <c r="G4113" i="7"/>
  <c r="G4114" i="7"/>
  <c r="G4115" i="7"/>
  <c r="G4116" i="7"/>
  <c r="G4117" i="7"/>
  <c r="G4118" i="7"/>
  <c r="G4119" i="7"/>
  <c r="G4120" i="7"/>
  <c r="G4121" i="7"/>
  <c r="G4122" i="7"/>
  <c r="G4123" i="7"/>
  <c r="G4124" i="7"/>
  <c r="G4125" i="7"/>
  <c r="G4126" i="7"/>
  <c r="G4127" i="7"/>
  <c r="G4128" i="7"/>
  <c r="G4129" i="7"/>
  <c r="G4130" i="7"/>
  <c r="G4131" i="7"/>
  <c r="G4132" i="7"/>
  <c r="G4133" i="7"/>
  <c r="G4134" i="7"/>
  <c r="G4135" i="7"/>
  <c r="G4136" i="7"/>
  <c r="G4137" i="7"/>
  <c r="G4138" i="7"/>
  <c r="G4139" i="7"/>
  <c r="G4140" i="7"/>
  <c r="G4141" i="7"/>
  <c r="G4142" i="7"/>
  <c r="G4143" i="7"/>
  <c r="G4144" i="7"/>
  <c r="G4145" i="7"/>
  <c r="G4146" i="7"/>
  <c r="G4147" i="7"/>
  <c r="G4148" i="7"/>
  <c r="G4149" i="7"/>
  <c r="G4150" i="7"/>
  <c r="G4151" i="7"/>
  <c r="G4152" i="7"/>
  <c r="G4153" i="7"/>
  <c r="G4154" i="7"/>
  <c r="G4155" i="7"/>
  <c r="G4156" i="7"/>
  <c r="G4157" i="7"/>
  <c r="G4158" i="7"/>
  <c r="G4159" i="7"/>
  <c r="G4160" i="7"/>
  <c r="G4161" i="7"/>
  <c r="G4162" i="7"/>
  <c r="G4163" i="7"/>
  <c r="G4164" i="7"/>
  <c r="G4165" i="7"/>
  <c r="G4166" i="7"/>
  <c r="G4167" i="7"/>
  <c r="G4168" i="7"/>
  <c r="G4169" i="7"/>
  <c r="G4170" i="7"/>
  <c r="G4171" i="7"/>
  <c r="G4172" i="7"/>
  <c r="G4173" i="7"/>
  <c r="G4174" i="7"/>
  <c r="G4175" i="7"/>
  <c r="G4176" i="7"/>
  <c r="G4177" i="7"/>
  <c r="G4178" i="7"/>
  <c r="G4179" i="7"/>
  <c r="G4180" i="7"/>
  <c r="G4181" i="7"/>
  <c r="G4182" i="7"/>
  <c r="G4183" i="7"/>
  <c r="G4184" i="7"/>
  <c r="G4185" i="7"/>
  <c r="G4186" i="7"/>
  <c r="G4187" i="7"/>
  <c r="G4188" i="7"/>
  <c r="G4189" i="7"/>
  <c r="G4190" i="7"/>
  <c r="G4191" i="7"/>
  <c r="G4192" i="7"/>
  <c r="G4193" i="7"/>
  <c r="G4194" i="7"/>
  <c r="G4195" i="7"/>
  <c r="G4196" i="7"/>
  <c r="G4197" i="7"/>
  <c r="G4198" i="7"/>
  <c r="G4199" i="7"/>
  <c r="G4200" i="7"/>
  <c r="G4201" i="7"/>
  <c r="G4202" i="7"/>
  <c r="G4203" i="7"/>
  <c r="G4204" i="7"/>
  <c r="G4205" i="7"/>
  <c r="G4206" i="7"/>
  <c r="G4207" i="7"/>
  <c r="G4208" i="7"/>
  <c r="G4209" i="7"/>
  <c r="G4210" i="7"/>
  <c r="G4211" i="7"/>
  <c r="G4212" i="7"/>
  <c r="G4213" i="7"/>
  <c r="G4214" i="7"/>
  <c r="G4215" i="7"/>
  <c r="G4216" i="7"/>
  <c r="G4217" i="7"/>
  <c r="G4218" i="7"/>
  <c r="G4219" i="7"/>
  <c r="G4220" i="7"/>
  <c r="G4221" i="7"/>
  <c r="G4222" i="7"/>
  <c r="G4223" i="7"/>
  <c r="G4224" i="7"/>
  <c r="G4225" i="7"/>
  <c r="G4226" i="7"/>
  <c r="G4227" i="7"/>
  <c r="G4228" i="7"/>
  <c r="G4229" i="7"/>
  <c r="G4230" i="7"/>
  <c r="G4231" i="7"/>
  <c r="G4232" i="7"/>
  <c r="G4233" i="7"/>
  <c r="G4234" i="7"/>
  <c r="G4235" i="7"/>
  <c r="G4236" i="7"/>
  <c r="G4237" i="7"/>
  <c r="G4238" i="7"/>
  <c r="G4239" i="7"/>
  <c r="G4240" i="7"/>
  <c r="G4241" i="7"/>
  <c r="G4242" i="7"/>
  <c r="G4243" i="7"/>
  <c r="G4244" i="7"/>
  <c r="G4245" i="7"/>
  <c r="G4246" i="7"/>
  <c r="G4247" i="7"/>
  <c r="G4248" i="7"/>
  <c r="G4249" i="7"/>
  <c r="G4250" i="7"/>
  <c r="G4251" i="7"/>
  <c r="G4252" i="7"/>
  <c r="G4253" i="7"/>
  <c r="G4254" i="7"/>
  <c r="G4255" i="7"/>
  <c r="G4256" i="7"/>
  <c r="G4257" i="7"/>
  <c r="G4258" i="7"/>
  <c r="G4259" i="7"/>
  <c r="G4260" i="7"/>
  <c r="G4261" i="7"/>
  <c r="G4262" i="7"/>
  <c r="G4263" i="7"/>
  <c r="G4264" i="7"/>
  <c r="G4265" i="7"/>
  <c r="G4266" i="7"/>
  <c r="G4267" i="7"/>
  <c r="G4268" i="7"/>
  <c r="G4269" i="7"/>
  <c r="G4270" i="7"/>
  <c r="G4271" i="7"/>
  <c r="G4272" i="7"/>
  <c r="G4273" i="7"/>
  <c r="G4274" i="7"/>
  <c r="G4275" i="7"/>
  <c r="G4276" i="7"/>
  <c r="G4277" i="7"/>
  <c r="G4278" i="7"/>
  <c r="G4279" i="7"/>
  <c r="G4280" i="7"/>
  <c r="G4281" i="7"/>
  <c r="G4282" i="7"/>
  <c r="G4283" i="7"/>
  <c r="G4284" i="7"/>
  <c r="G4285" i="7"/>
  <c r="G4286" i="7"/>
  <c r="G4287" i="7"/>
  <c r="G4288" i="7"/>
  <c r="G4289" i="7"/>
  <c r="G4290" i="7"/>
  <c r="G4291" i="7"/>
  <c r="G4292" i="7"/>
  <c r="G4293" i="7"/>
  <c r="G4294" i="7"/>
  <c r="G4295" i="7"/>
  <c r="G4296" i="7"/>
  <c r="G4297" i="7"/>
  <c r="G4298" i="7"/>
  <c r="G4299" i="7"/>
  <c r="G4300" i="7"/>
  <c r="G4301" i="7"/>
  <c r="G4302" i="7"/>
  <c r="G4303" i="7"/>
  <c r="G4304" i="7"/>
  <c r="G4305" i="7"/>
  <c r="G4306" i="7"/>
  <c r="G4307" i="7"/>
  <c r="G4308" i="7"/>
  <c r="G4309" i="7"/>
  <c r="G4310" i="7"/>
  <c r="G4311" i="7"/>
  <c r="G4312" i="7"/>
  <c r="G4313" i="7"/>
  <c r="G4314" i="7"/>
  <c r="G4315" i="7"/>
  <c r="G4316" i="7"/>
  <c r="G4317" i="7"/>
  <c r="G4318" i="7"/>
  <c r="G4319" i="7"/>
  <c r="G4320" i="7"/>
  <c r="G4321" i="7"/>
  <c r="G4322" i="7"/>
  <c r="G4323" i="7"/>
  <c r="G4324" i="7"/>
  <c r="G4325" i="7"/>
  <c r="G4326" i="7"/>
  <c r="G4327" i="7"/>
  <c r="G4328" i="7"/>
  <c r="G4329" i="7"/>
  <c r="G4330" i="7"/>
  <c r="G4331" i="7"/>
  <c r="G4332" i="7"/>
  <c r="G4333" i="7"/>
  <c r="G4334" i="7"/>
  <c r="G4335" i="7"/>
  <c r="G4336" i="7"/>
  <c r="G4337" i="7"/>
  <c r="G4338" i="7"/>
  <c r="G4339" i="7"/>
  <c r="G4340" i="7"/>
  <c r="G4341" i="7"/>
  <c r="G4342" i="7"/>
  <c r="G4343" i="7"/>
  <c r="G4344" i="7"/>
  <c r="G4345" i="7"/>
  <c r="G4346" i="7"/>
  <c r="G4347" i="7"/>
  <c r="G4348" i="7"/>
  <c r="G4349" i="7"/>
  <c r="G4350" i="7"/>
  <c r="G4351" i="7"/>
  <c r="G4352" i="7"/>
  <c r="G4353" i="7"/>
  <c r="G4354" i="7"/>
  <c r="G4355" i="7"/>
  <c r="G4356" i="7"/>
  <c r="G4357" i="7"/>
  <c r="G4358" i="7"/>
  <c r="G4359" i="7"/>
  <c r="G4360" i="7"/>
  <c r="G4361" i="7"/>
  <c r="G4362" i="7"/>
  <c r="G4363" i="7"/>
  <c r="G4364" i="7"/>
  <c r="G4365" i="7"/>
  <c r="G4366" i="7"/>
  <c r="G4367" i="7"/>
  <c r="G4368" i="7"/>
  <c r="G4369" i="7"/>
  <c r="G4370" i="7"/>
  <c r="G4371" i="7"/>
  <c r="G4372" i="7"/>
  <c r="G4373" i="7"/>
  <c r="G4374" i="7"/>
  <c r="G4375" i="7"/>
  <c r="G4376" i="7"/>
  <c r="G4377" i="7"/>
  <c r="G4378" i="7"/>
  <c r="G4379" i="7"/>
  <c r="G4380" i="7"/>
  <c r="G4381" i="7"/>
  <c r="G4382" i="7"/>
  <c r="G4383" i="7"/>
  <c r="G4384" i="7"/>
  <c r="G4385" i="7"/>
  <c r="G4386" i="7"/>
  <c r="G4387" i="7"/>
  <c r="G4388" i="7"/>
  <c r="G4389" i="7"/>
  <c r="G4390" i="7"/>
  <c r="G4391" i="7"/>
  <c r="G4392" i="7"/>
  <c r="G4393" i="7"/>
  <c r="G4394" i="7"/>
  <c r="G4395" i="7"/>
  <c r="G4396" i="7"/>
  <c r="G4397" i="7"/>
  <c r="G4398" i="7"/>
  <c r="G4399" i="7"/>
  <c r="G4400" i="7"/>
  <c r="G4401" i="7"/>
  <c r="G4402" i="7"/>
  <c r="G4403" i="7"/>
  <c r="G4404" i="7"/>
  <c r="G4405" i="7"/>
  <c r="G4406" i="7"/>
  <c r="G4407" i="7"/>
  <c r="G4408" i="7"/>
  <c r="G4409" i="7"/>
  <c r="G4410" i="7"/>
  <c r="G4411" i="7"/>
  <c r="G4412" i="7"/>
  <c r="G4413" i="7"/>
  <c r="G4414" i="7"/>
  <c r="G4415" i="7"/>
  <c r="G4416" i="7"/>
  <c r="G4417" i="7"/>
  <c r="G4418" i="7"/>
  <c r="G4419" i="7"/>
  <c r="G4420" i="7"/>
  <c r="G4421" i="7"/>
  <c r="G4422" i="7"/>
  <c r="G4423" i="7"/>
  <c r="G4424" i="7"/>
  <c r="G4425" i="7"/>
  <c r="G4426" i="7"/>
  <c r="G4427" i="7"/>
  <c r="G4428" i="7"/>
  <c r="G4429" i="7"/>
  <c r="G4430" i="7"/>
  <c r="G4431" i="7"/>
  <c r="G4432" i="7"/>
  <c r="G4433" i="7"/>
  <c r="G4434" i="7"/>
  <c r="G4435" i="7"/>
  <c r="G4436" i="7"/>
  <c r="G4437" i="7"/>
  <c r="G4438" i="7"/>
  <c r="G4439" i="7"/>
  <c r="G4440" i="7"/>
  <c r="G4441" i="7"/>
  <c r="G4442" i="7"/>
  <c r="G4443" i="7"/>
  <c r="G4444" i="7"/>
  <c r="G4445" i="7"/>
  <c r="G4446" i="7"/>
  <c r="G4447" i="7"/>
  <c r="G4448" i="7"/>
  <c r="G4449" i="7"/>
  <c r="G4450" i="7"/>
  <c r="G4451" i="7"/>
  <c r="G4452" i="7"/>
  <c r="G4453" i="7"/>
  <c r="G4454" i="7"/>
  <c r="G4455" i="7"/>
  <c r="G4456" i="7"/>
  <c r="G4457" i="7"/>
  <c r="G4458" i="7"/>
  <c r="G4459" i="7"/>
  <c r="G4460" i="7"/>
  <c r="G4461" i="7"/>
  <c r="G4462" i="7"/>
  <c r="G4463" i="7"/>
  <c r="G4464" i="7"/>
  <c r="G4465" i="7"/>
  <c r="G4466" i="7"/>
  <c r="G4467" i="7"/>
  <c r="G4468" i="7"/>
  <c r="G4469" i="7"/>
  <c r="G4470" i="7"/>
  <c r="G4471" i="7"/>
  <c r="G4472" i="7"/>
  <c r="G4473" i="7"/>
  <c r="G4474" i="7"/>
  <c r="G4475" i="7"/>
  <c r="G4476" i="7"/>
  <c r="G4477" i="7"/>
  <c r="G4478" i="7"/>
  <c r="G4479" i="7"/>
  <c r="G4480" i="7"/>
  <c r="G4481" i="7"/>
  <c r="G4482" i="7"/>
  <c r="G4483" i="7"/>
  <c r="G4484" i="7"/>
  <c r="G4485" i="7"/>
  <c r="G4486" i="7"/>
  <c r="G4487" i="7"/>
  <c r="G4488" i="7"/>
  <c r="G4489" i="7"/>
  <c r="G4490" i="7"/>
  <c r="G4491" i="7"/>
  <c r="G4492" i="7"/>
  <c r="G4493" i="7"/>
  <c r="G4494" i="7"/>
  <c r="G4495" i="7"/>
  <c r="G4496" i="7"/>
  <c r="G4497" i="7"/>
  <c r="G4498" i="7"/>
  <c r="G4499" i="7"/>
  <c r="G4500" i="7"/>
  <c r="G4501" i="7"/>
  <c r="G4502" i="7"/>
  <c r="G4503" i="7"/>
  <c r="G4504" i="7"/>
  <c r="G4505" i="7"/>
  <c r="G4506" i="7"/>
  <c r="G4507" i="7"/>
  <c r="G4508" i="7"/>
  <c r="G4509" i="7"/>
  <c r="G4510" i="7"/>
  <c r="G4511" i="7"/>
  <c r="G4512" i="7"/>
  <c r="G4513" i="7"/>
  <c r="G4514" i="7"/>
  <c r="G4515" i="7"/>
  <c r="G4516" i="7"/>
  <c r="G4517" i="7"/>
  <c r="G4518" i="7"/>
  <c r="G4519" i="7"/>
  <c r="G4520" i="7"/>
  <c r="G4521" i="7"/>
  <c r="G4522" i="7"/>
  <c r="G4523" i="7"/>
  <c r="G4524" i="7"/>
  <c r="G4525" i="7"/>
  <c r="G4526" i="7"/>
  <c r="G4527" i="7"/>
  <c r="G4528" i="7"/>
  <c r="G4529" i="7"/>
  <c r="G4530" i="7"/>
  <c r="G4531" i="7"/>
  <c r="G4532" i="7"/>
  <c r="G4533" i="7"/>
  <c r="G4534" i="7"/>
  <c r="G4535" i="7"/>
  <c r="G4536" i="7"/>
  <c r="G4537" i="7"/>
  <c r="G4538" i="7"/>
  <c r="G4539" i="7"/>
  <c r="G4540" i="7"/>
  <c r="G4541" i="7"/>
  <c r="G4542" i="7"/>
  <c r="G4543" i="7"/>
  <c r="G4544" i="7"/>
  <c r="G4545" i="7"/>
  <c r="G4546" i="7"/>
  <c r="G4547" i="7"/>
  <c r="G4548" i="7"/>
  <c r="G4549" i="7"/>
  <c r="G4550" i="7"/>
  <c r="G4551" i="7"/>
  <c r="G4552" i="7"/>
  <c r="G4553" i="7"/>
  <c r="G4554" i="7"/>
  <c r="G4555" i="7"/>
  <c r="G4556" i="7"/>
  <c r="G4557" i="7"/>
  <c r="G4558" i="7"/>
  <c r="G4559" i="7"/>
  <c r="G4560" i="7"/>
  <c r="G4561" i="7"/>
  <c r="G4562" i="7"/>
  <c r="G4563" i="7"/>
  <c r="G4564" i="7"/>
  <c r="G4565" i="7"/>
  <c r="G4566" i="7"/>
  <c r="G4567" i="7"/>
  <c r="G4568" i="7"/>
  <c r="G4569" i="7"/>
  <c r="G4570" i="7"/>
  <c r="G4571" i="7"/>
  <c r="G4572" i="7"/>
  <c r="G4573" i="7"/>
  <c r="G4574" i="7"/>
  <c r="G4575" i="7"/>
  <c r="G4576" i="7"/>
  <c r="G4577" i="7"/>
  <c r="G4578" i="7"/>
  <c r="G4579" i="7"/>
  <c r="G4580" i="7"/>
  <c r="G4581" i="7"/>
  <c r="G4582" i="7"/>
  <c r="G4583" i="7"/>
  <c r="G4584" i="7"/>
  <c r="G4585" i="7"/>
  <c r="G4586" i="7"/>
  <c r="G4587" i="7"/>
  <c r="G4588" i="7"/>
  <c r="G4589" i="7"/>
  <c r="G4590" i="7"/>
  <c r="G4591" i="7"/>
  <c r="G4592" i="7"/>
  <c r="G4593" i="7"/>
  <c r="G4594" i="7"/>
  <c r="G4595" i="7"/>
  <c r="G4596" i="7"/>
  <c r="G4597" i="7"/>
  <c r="G4598" i="7"/>
  <c r="G4599" i="7"/>
  <c r="G4600" i="7"/>
  <c r="G4601" i="7"/>
  <c r="G4602" i="7"/>
  <c r="G4603" i="7"/>
  <c r="G4604" i="7"/>
  <c r="G4605" i="7"/>
  <c r="G4606" i="7"/>
  <c r="G4607" i="7"/>
  <c r="G4608" i="7"/>
  <c r="G4609" i="7"/>
  <c r="G4610" i="7"/>
  <c r="G4611" i="7"/>
  <c r="G4612" i="7"/>
  <c r="G4613" i="7"/>
  <c r="G4614" i="7"/>
  <c r="G4615" i="7"/>
  <c r="G4616" i="7"/>
  <c r="G4617" i="7"/>
  <c r="G4618" i="7"/>
  <c r="G4619" i="7"/>
  <c r="G4620" i="7"/>
  <c r="G4621" i="7"/>
  <c r="G4622" i="7"/>
  <c r="G4623" i="7"/>
  <c r="G4624" i="7"/>
  <c r="G4625" i="7"/>
  <c r="G4626" i="7"/>
  <c r="G4627" i="7"/>
  <c r="G4628" i="7"/>
  <c r="G4629" i="7"/>
  <c r="G4630" i="7"/>
  <c r="G4631" i="7"/>
  <c r="G4632" i="7"/>
  <c r="G4633" i="7"/>
  <c r="G4634" i="7"/>
  <c r="G4635" i="7"/>
  <c r="G4636" i="7"/>
  <c r="G4637" i="7"/>
  <c r="G4638" i="7"/>
  <c r="G4639" i="7"/>
  <c r="G4640" i="7"/>
  <c r="G4641" i="7"/>
  <c r="G4642" i="7"/>
  <c r="G4643" i="7"/>
  <c r="G4644" i="7"/>
  <c r="G4645" i="7"/>
  <c r="G4646" i="7"/>
  <c r="G4647" i="7"/>
  <c r="G4648" i="7"/>
  <c r="G4649" i="7"/>
  <c r="G4650" i="7"/>
  <c r="G4651" i="7"/>
  <c r="G4652" i="7"/>
  <c r="G4653" i="7"/>
  <c r="G4654" i="7"/>
  <c r="G4655" i="7"/>
  <c r="G4656" i="7"/>
  <c r="G4657" i="7"/>
  <c r="G4658" i="7"/>
  <c r="G4659" i="7"/>
  <c r="G4660" i="7"/>
  <c r="G4661" i="7"/>
  <c r="G4662" i="7"/>
  <c r="G4663" i="7"/>
  <c r="G4664" i="7"/>
  <c r="G4665" i="7"/>
  <c r="G4666" i="7"/>
  <c r="G4667" i="7"/>
  <c r="G4668" i="7"/>
  <c r="G4669" i="7"/>
  <c r="G4670" i="7"/>
  <c r="G4671" i="7"/>
  <c r="G4672" i="7"/>
  <c r="G4673" i="7"/>
  <c r="G4674" i="7"/>
  <c r="G4675" i="7"/>
  <c r="G4676" i="7"/>
  <c r="G4677" i="7"/>
  <c r="G4678" i="7"/>
  <c r="G4679" i="7"/>
  <c r="G4680" i="7"/>
  <c r="G4681" i="7"/>
  <c r="G4682" i="7"/>
  <c r="G4683" i="7"/>
  <c r="G4684" i="7"/>
  <c r="G4685" i="7"/>
  <c r="G4686" i="7"/>
  <c r="G4687" i="7"/>
  <c r="G4688" i="7"/>
  <c r="G4689" i="7"/>
  <c r="G4690" i="7"/>
  <c r="G4691" i="7"/>
  <c r="G4692" i="7"/>
  <c r="G4693" i="7"/>
  <c r="G4694" i="7"/>
  <c r="G4695" i="7"/>
  <c r="G4696" i="7"/>
  <c r="G4697" i="7"/>
  <c r="G4698" i="7"/>
  <c r="G4699" i="7"/>
  <c r="G4700" i="7"/>
  <c r="G4701" i="7"/>
  <c r="G4702" i="7"/>
  <c r="G4703" i="7"/>
  <c r="G4704" i="7"/>
  <c r="G4705" i="7"/>
  <c r="G4706" i="7"/>
  <c r="G4707" i="7"/>
  <c r="G4708" i="7"/>
  <c r="G4709" i="7"/>
  <c r="G4710" i="7"/>
  <c r="G4711" i="7"/>
  <c r="G4712" i="7"/>
  <c r="G4713" i="7"/>
  <c r="G4714" i="7"/>
  <c r="G4715" i="7"/>
  <c r="G4716" i="7"/>
  <c r="G4717" i="7"/>
  <c r="G4718" i="7"/>
  <c r="G4719" i="7"/>
  <c r="G4720" i="7"/>
  <c r="G4721" i="7"/>
  <c r="G4722" i="7"/>
  <c r="G4723" i="7"/>
  <c r="G4724" i="7"/>
  <c r="G4725" i="7"/>
  <c r="G4726" i="7"/>
  <c r="G4727" i="7"/>
  <c r="G4728" i="7"/>
  <c r="G4729" i="7"/>
  <c r="G4730" i="7"/>
  <c r="G4731" i="7"/>
  <c r="G4732" i="7"/>
  <c r="G4733" i="7"/>
  <c r="G4734" i="7"/>
  <c r="G4735" i="7"/>
  <c r="G4736" i="7"/>
  <c r="G4737" i="7"/>
  <c r="G4738" i="7"/>
  <c r="G4739" i="7"/>
  <c r="G4740" i="7"/>
  <c r="G4741" i="7"/>
  <c r="G4742" i="7"/>
  <c r="G4743" i="7"/>
  <c r="G4744" i="7"/>
  <c r="G4745" i="7"/>
  <c r="G4746" i="7"/>
  <c r="G4747" i="7"/>
  <c r="G4748" i="7"/>
  <c r="G4749" i="7"/>
  <c r="G4750" i="7"/>
  <c r="G4751" i="7"/>
  <c r="G4752" i="7"/>
  <c r="G4753" i="7"/>
  <c r="G4754" i="7"/>
  <c r="G4755" i="7"/>
  <c r="G4756" i="7"/>
  <c r="G4757" i="7"/>
  <c r="G4758" i="7"/>
  <c r="G4759" i="7"/>
  <c r="G4760" i="7"/>
  <c r="G4761" i="7"/>
  <c r="G4762" i="7"/>
  <c r="G4763" i="7"/>
  <c r="G4764" i="7"/>
  <c r="G4765" i="7"/>
  <c r="G4766" i="7"/>
  <c r="G4767" i="7"/>
  <c r="G4768" i="7"/>
  <c r="G4769" i="7"/>
  <c r="G4770" i="7"/>
  <c r="G4771" i="7"/>
  <c r="G4772" i="7"/>
  <c r="G4773" i="7"/>
  <c r="G4774" i="7"/>
  <c r="G4775" i="7"/>
  <c r="G4776" i="7"/>
  <c r="G4777" i="7"/>
  <c r="G4778" i="7"/>
  <c r="G4779" i="7"/>
  <c r="G4780" i="7"/>
  <c r="G4781" i="7"/>
  <c r="G4782" i="7"/>
  <c r="G4783" i="7"/>
  <c r="G4784" i="7"/>
  <c r="G4785" i="7"/>
  <c r="G4786" i="7"/>
  <c r="G4787" i="7"/>
  <c r="G4788" i="7"/>
  <c r="G4789" i="7"/>
  <c r="G4790" i="7"/>
  <c r="G4791" i="7"/>
  <c r="G4792" i="7"/>
  <c r="G4793" i="7"/>
  <c r="G4794" i="7"/>
  <c r="G4795" i="7"/>
  <c r="G4796" i="7"/>
  <c r="G4797" i="7"/>
  <c r="G4798" i="7"/>
  <c r="G4799" i="7"/>
  <c r="G4800" i="7"/>
  <c r="G4801" i="7"/>
  <c r="G4802" i="7"/>
  <c r="G4803" i="7"/>
  <c r="G4804" i="7"/>
  <c r="G4805" i="7"/>
  <c r="G4806" i="7"/>
  <c r="G4807" i="7"/>
  <c r="G4808" i="7"/>
  <c r="G4809" i="7"/>
  <c r="G4810" i="7"/>
  <c r="G4811" i="7"/>
  <c r="G4812" i="7"/>
  <c r="G4813" i="7"/>
  <c r="G4814" i="7"/>
  <c r="G4815" i="7"/>
  <c r="G4816" i="7"/>
  <c r="G4817" i="7"/>
  <c r="G4818" i="7"/>
  <c r="G4819" i="7"/>
  <c r="G4820" i="7"/>
  <c r="G4821" i="7"/>
  <c r="G4822" i="7"/>
  <c r="G4823" i="7"/>
  <c r="G4824" i="7"/>
  <c r="G4825" i="7"/>
  <c r="G4826" i="7"/>
  <c r="G4827" i="7"/>
  <c r="G4828" i="7"/>
  <c r="G4829" i="7"/>
  <c r="G4830" i="7"/>
  <c r="G4831" i="7"/>
  <c r="G4832" i="7"/>
  <c r="G4833" i="7"/>
  <c r="G4834" i="7"/>
  <c r="G4835" i="7"/>
  <c r="G4836" i="7"/>
  <c r="G4837" i="7"/>
  <c r="G4838" i="7"/>
  <c r="G4839" i="7"/>
  <c r="G4840" i="7"/>
  <c r="G4841" i="7"/>
  <c r="G4842" i="7"/>
  <c r="G4843" i="7"/>
  <c r="G4844" i="7"/>
  <c r="G4845" i="7"/>
  <c r="G4846" i="7"/>
  <c r="G4847" i="7"/>
  <c r="G4848" i="7"/>
  <c r="G4849" i="7"/>
  <c r="G4850" i="7"/>
  <c r="G4851" i="7"/>
  <c r="G4852" i="7"/>
  <c r="G4853" i="7"/>
  <c r="G4854" i="7"/>
  <c r="G4855" i="7"/>
  <c r="G4856" i="7"/>
  <c r="G4857" i="7"/>
  <c r="G4858" i="7"/>
  <c r="G4859" i="7"/>
  <c r="G4860" i="7"/>
  <c r="G4861" i="7"/>
  <c r="G4862" i="7"/>
  <c r="G4863" i="7"/>
  <c r="G4864" i="7"/>
  <c r="G4865" i="7"/>
  <c r="G4866" i="7"/>
  <c r="G4867" i="7"/>
  <c r="G4868" i="7"/>
  <c r="G4869" i="7"/>
  <c r="G4870" i="7"/>
  <c r="G4871" i="7"/>
  <c r="G4872" i="7"/>
  <c r="G4873" i="7"/>
  <c r="G4874" i="7"/>
  <c r="G4875" i="7"/>
  <c r="G4876" i="7"/>
  <c r="G4877" i="7"/>
  <c r="G4878" i="7"/>
  <c r="G4879" i="7"/>
  <c r="G4880" i="7"/>
  <c r="G4881" i="7"/>
  <c r="G4882" i="7"/>
  <c r="G4883" i="7"/>
  <c r="G4884" i="7"/>
  <c r="G4885" i="7"/>
  <c r="G4886" i="7"/>
  <c r="G4887" i="7"/>
  <c r="G4888" i="7"/>
  <c r="G4889" i="7"/>
  <c r="G4890" i="7"/>
  <c r="G4891" i="7"/>
  <c r="G4892" i="7"/>
  <c r="G4893" i="7"/>
  <c r="G4894" i="7"/>
  <c r="G4895" i="7"/>
  <c r="G4896" i="7"/>
  <c r="G4897" i="7"/>
  <c r="G4898" i="7"/>
  <c r="G4899" i="7"/>
  <c r="G4900" i="7"/>
  <c r="G4901" i="7"/>
  <c r="G4902" i="7"/>
  <c r="G4903" i="7"/>
  <c r="G4904" i="7"/>
  <c r="G4905" i="7"/>
  <c r="G4906" i="7"/>
  <c r="G4907" i="7"/>
  <c r="G4908" i="7"/>
  <c r="G4909" i="7"/>
  <c r="G4910" i="7"/>
  <c r="G4911" i="7"/>
  <c r="G4912" i="7"/>
  <c r="G4913" i="7"/>
  <c r="G4914" i="7"/>
  <c r="G4915" i="7"/>
  <c r="G4916" i="7"/>
  <c r="G4917" i="7"/>
  <c r="G4918" i="7"/>
  <c r="G4919" i="7"/>
  <c r="G4920" i="7"/>
  <c r="G4921" i="7"/>
  <c r="G4922" i="7"/>
  <c r="G4923" i="7"/>
  <c r="G4924" i="7"/>
  <c r="G4925" i="7"/>
  <c r="G4926" i="7"/>
  <c r="G4927" i="7"/>
  <c r="G4928" i="7"/>
  <c r="G4929" i="7"/>
  <c r="G4930" i="7"/>
  <c r="G4931" i="7"/>
  <c r="G4932" i="7"/>
  <c r="G4933" i="7"/>
  <c r="G4934" i="7"/>
  <c r="G4935" i="7"/>
  <c r="G4936" i="7"/>
  <c r="G4937" i="7"/>
  <c r="G4938" i="7"/>
  <c r="G4939" i="7"/>
  <c r="G4940" i="7"/>
  <c r="G4941" i="7"/>
  <c r="G4942" i="7"/>
  <c r="G4943" i="7"/>
  <c r="G4944" i="7"/>
  <c r="G4945" i="7"/>
  <c r="G4946" i="7"/>
  <c r="G4947" i="7"/>
  <c r="G4948" i="7"/>
  <c r="G4949" i="7"/>
  <c r="G4950" i="7"/>
  <c r="G4951" i="7"/>
  <c r="G4952" i="7"/>
  <c r="G4953" i="7"/>
  <c r="G4954" i="7"/>
  <c r="G4955" i="7"/>
  <c r="G4956" i="7"/>
  <c r="G4957" i="7"/>
  <c r="G4958" i="7"/>
  <c r="G4959" i="7"/>
  <c r="G4960" i="7"/>
  <c r="G4961" i="7"/>
  <c r="G4962" i="7"/>
  <c r="G4963" i="7"/>
  <c r="G4964" i="7"/>
  <c r="G4965" i="7"/>
  <c r="G4966" i="7"/>
  <c r="G4967" i="7"/>
  <c r="G4968" i="7"/>
  <c r="G4969" i="7"/>
  <c r="G4970" i="7"/>
  <c r="G4971" i="7"/>
  <c r="G4972" i="7"/>
  <c r="G4973" i="7"/>
  <c r="G4974" i="7"/>
  <c r="G4975" i="7"/>
  <c r="G4976" i="7"/>
  <c r="G4977" i="7"/>
  <c r="G4978" i="7"/>
  <c r="G4979" i="7"/>
  <c r="G4980" i="7"/>
  <c r="G4981" i="7"/>
  <c r="G4982" i="7"/>
  <c r="G4983" i="7"/>
  <c r="G4984" i="7"/>
  <c r="G4985" i="7"/>
  <c r="G4986" i="7"/>
  <c r="G4987" i="7"/>
  <c r="G4988" i="7"/>
  <c r="G4989" i="7"/>
  <c r="G4990" i="7"/>
  <c r="G4991" i="7"/>
  <c r="G4992" i="7"/>
  <c r="G4993" i="7"/>
  <c r="G4994" i="7"/>
  <c r="G4995" i="7"/>
  <c r="G4996" i="7"/>
  <c r="G4997" i="7"/>
  <c r="G4998" i="7"/>
  <c r="G4999" i="7"/>
  <c r="G5000" i="7"/>
  <c r="G5001" i="7"/>
  <c r="G5002" i="7"/>
  <c r="G5003" i="7"/>
  <c r="G5004" i="7"/>
  <c r="G5005" i="7"/>
  <c r="G5006" i="7"/>
  <c r="G5007" i="7"/>
  <c r="G5008" i="7"/>
  <c r="G5009" i="7"/>
  <c r="G5010" i="7"/>
  <c r="G5011" i="7"/>
  <c r="G5012" i="7"/>
  <c r="G5013" i="7"/>
  <c r="G5014" i="7"/>
  <c r="G5015" i="7"/>
  <c r="G5016" i="7"/>
  <c r="G5017" i="7"/>
  <c r="G5018" i="7"/>
  <c r="G5019" i="7"/>
  <c r="G5020" i="7"/>
  <c r="G5021" i="7"/>
  <c r="G5022" i="7"/>
  <c r="G5023" i="7"/>
  <c r="G5024" i="7"/>
  <c r="G5025" i="7"/>
  <c r="G5026" i="7"/>
  <c r="G5027" i="7"/>
  <c r="G5028" i="7"/>
  <c r="G5029" i="7"/>
  <c r="G5030" i="7"/>
  <c r="G5031" i="7"/>
  <c r="G5032" i="7"/>
  <c r="G5033" i="7"/>
  <c r="G5034" i="7"/>
  <c r="G5035" i="7"/>
  <c r="G5036" i="7"/>
  <c r="G5037" i="7"/>
  <c r="G5038" i="7"/>
  <c r="G5039" i="7"/>
  <c r="G5040" i="7"/>
  <c r="G5041" i="7"/>
  <c r="G5042" i="7"/>
  <c r="G5043" i="7"/>
  <c r="G5044" i="7"/>
  <c r="G5045" i="7"/>
  <c r="G5046" i="7"/>
  <c r="G5047" i="7"/>
  <c r="G5048" i="7"/>
  <c r="G5049" i="7"/>
  <c r="G5050" i="7"/>
  <c r="G5051" i="7"/>
  <c r="G5052" i="7"/>
  <c r="G5053" i="7"/>
  <c r="G5054" i="7"/>
  <c r="G5055" i="7"/>
  <c r="G5056" i="7"/>
  <c r="G5057" i="7"/>
  <c r="G5058" i="7"/>
  <c r="G5059" i="7"/>
  <c r="G5060" i="7"/>
  <c r="G5061" i="7"/>
  <c r="G5062" i="7"/>
  <c r="G5063" i="7"/>
  <c r="G5064" i="7"/>
  <c r="G5065" i="7"/>
  <c r="G5066" i="7"/>
  <c r="G5067" i="7"/>
  <c r="G5068" i="7"/>
  <c r="G5069" i="7"/>
  <c r="G5070" i="7"/>
  <c r="G5071" i="7"/>
  <c r="G5072" i="7"/>
  <c r="G5073" i="7"/>
  <c r="G5074" i="7"/>
  <c r="G5075" i="7"/>
  <c r="G5076" i="7"/>
  <c r="G5077" i="7"/>
  <c r="G5078" i="7"/>
  <c r="G5079" i="7"/>
  <c r="G5080" i="7"/>
  <c r="G5081" i="7"/>
  <c r="G5082" i="7"/>
  <c r="G5083" i="7"/>
  <c r="G5084" i="7"/>
  <c r="G5085" i="7"/>
  <c r="G5086" i="7"/>
  <c r="G5087" i="7"/>
  <c r="G5088" i="7"/>
  <c r="G5089" i="7"/>
  <c r="G5090" i="7"/>
  <c r="G5091" i="7"/>
  <c r="G5092" i="7"/>
  <c r="G5093" i="7"/>
  <c r="G5094" i="7"/>
  <c r="G5095" i="7"/>
  <c r="G5096" i="7"/>
  <c r="G5097" i="7"/>
  <c r="G5098" i="7"/>
  <c r="G5099" i="7"/>
  <c r="G5100" i="7"/>
  <c r="G5101" i="7"/>
  <c r="G5102" i="7"/>
  <c r="G5103" i="7"/>
  <c r="G5104" i="7"/>
  <c r="G5105" i="7"/>
  <c r="G5106" i="7"/>
  <c r="G5107" i="7"/>
  <c r="G5108" i="7"/>
  <c r="G5109" i="7"/>
  <c r="G5110" i="7"/>
  <c r="G5111" i="7"/>
  <c r="G5112" i="7"/>
  <c r="G5113" i="7"/>
  <c r="G5114" i="7"/>
  <c r="G5115" i="7"/>
  <c r="G5116" i="7"/>
  <c r="G5117" i="7"/>
  <c r="G5118" i="7"/>
  <c r="G5119" i="7"/>
  <c r="G5120" i="7"/>
  <c r="G5121" i="7"/>
  <c r="G5122" i="7"/>
  <c r="G5123" i="7"/>
  <c r="G5124" i="7"/>
  <c r="G5125" i="7"/>
  <c r="G5126" i="7"/>
  <c r="G5127" i="7"/>
  <c r="G5128" i="7"/>
  <c r="G5129" i="7"/>
  <c r="G5130" i="7"/>
  <c r="G5131" i="7"/>
  <c r="G5132" i="7"/>
  <c r="G5133" i="7"/>
  <c r="G5134" i="7"/>
  <c r="G5135" i="7"/>
  <c r="G5136" i="7"/>
  <c r="G5137" i="7"/>
  <c r="G5138" i="7"/>
  <c r="G5139" i="7"/>
  <c r="G5140" i="7"/>
  <c r="G5141" i="7"/>
  <c r="G5142" i="7"/>
  <c r="G5143" i="7"/>
  <c r="G5144" i="7"/>
  <c r="G5145" i="7"/>
  <c r="G5146" i="7"/>
  <c r="G5147" i="7"/>
  <c r="G5148" i="7"/>
  <c r="G5149" i="7"/>
  <c r="G5150" i="7"/>
  <c r="G5151" i="7"/>
  <c r="G5152" i="7"/>
  <c r="G5153" i="7"/>
  <c r="G5154" i="7"/>
  <c r="G5155" i="7"/>
  <c r="G5156" i="7"/>
  <c r="G5157" i="7"/>
  <c r="G5158" i="7"/>
  <c r="G5159" i="7"/>
  <c r="G5160" i="7"/>
  <c r="G5161" i="7"/>
  <c r="G5162" i="7"/>
  <c r="G5163" i="7"/>
  <c r="G5164" i="7"/>
  <c r="G5165" i="7"/>
  <c r="G5166" i="7"/>
  <c r="G5167" i="7"/>
  <c r="G5168" i="7"/>
  <c r="G5169" i="7"/>
  <c r="G5170" i="7"/>
  <c r="G5171" i="7"/>
  <c r="G5172" i="7"/>
  <c r="G5173" i="7"/>
  <c r="G5174" i="7"/>
  <c r="G5175" i="7"/>
  <c r="G5176" i="7"/>
  <c r="G5177" i="7"/>
  <c r="G5178" i="7"/>
  <c r="G5179" i="7"/>
  <c r="G5180" i="7"/>
  <c r="G5181" i="7"/>
  <c r="G5182" i="7"/>
  <c r="G5183" i="7"/>
  <c r="G5184" i="7"/>
  <c r="G5185" i="7"/>
  <c r="G5186" i="7"/>
  <c r="G5187" i="7"/>
  <c r="G5188" i="7"/>
  <c r="G5189" i="7"/>
  <c r="G5190" i="7"/>
  <c r="G5191" i="7"/>
  <c r="G5192" i="7"/>
  <c r="G5193" i="7"/>
  <c r="G5194" i="7"/>
  <c r="G5195" i="7"/>
  <c r="G5196" i="7"/>
  <c r="G5197" i="7"/>
  <c r="G5198" i="7"/>
  <c r="G5199" i="7"/>
  <c r="G5200" i="7"/>
  <c r="G5201" i="7"/>
  <c r="G5202" i="7"/>
  <c r="G5203" i="7"/>
  <c r="G5204" i="7"/>
  <c r="G5205" i="7"/>
  <c r="G5206" i="7"/>
  <c r="G5207" i="7"/>
  <c r="G5208" i="7"/>
  <c r="G5209" i="7"/>
  <c r="G5210" i="7"/>
  <c r="G5211" i="7"/>
  <c r="G5212" i="7"/>
  <c r="G5213" i="7"/>
  <c r="G5214" i="7"/>
  <c r="G5215" i="7"/>
  <c r="G5216" i="7"/>
  <c r="G5217" i="7"/>
  <c r="G5218" i="7"/>
  <c r="G5219" i="7"/>
  <c r="G5220" i="7"/>
  <c r="G5221" i="7"/>
  <c r="G5222" i="7"/>
  <c r="G5223" i="7"/>
  <c r="G5224" i="7"/>
  <c r="G5225" i="7"/>
  <c r="G5226" i="7"/>
  <c r="G5227" i="7"/>
  <c r="G5228" i="7"/>
  <c r="G5229" i="7"/>
  <c r="G5230" i="7"/>
  <c r="G5231" i="7"/>
  <c r="G5232" i="7"/>
  <c r="G5233" i="7"/>
  <c r="G5234" i="7"/>
  <c r="G5235" i="7"/>
  <c r="G5236" i="7"/>
  <c r="G5237" i="7"/>
  <c r="G5238" i="7"/>
  <c r="G5239" i="7"/>
  <c r="G5240" i="7"/>
  <c r="G5241" i="7"/>
  <c r="G5242" i="7"/>
  <c r="G5243" i="7"/>
  <c r="G5244" i="7"/>
  <c r="G5245" i="7"/>
  <c r="G5246" i="7"/>
  <c r="G5247" i="7"/>
  <c r="G5248" i="7"/>
  <c r="G5249" i="7"/>
  <c r="G5250" i="7"/>
  <c r="G5251" i="7"/>
  <c r="G5252" i="7"/>
  <c r="G5253" i="7"/>
  <c r="G5254" i="7"/>
  <c r="G5255" i="7"/>
  <c r="G5256" i="7"/>
  <c r="G5257" i="7"/>
  <c r="G5258" i="7"/>
  <c r="G5259" i="7"/>
  <c r="G5260" i="7"/>
  <c r="G5261" i="7"/>
  <c r="G5262" i="7"/>
  <c r="G5263" i="7"/>
  <c r="G5264" i="7"/>
  <c r="G5265" i="7"/>
  <c r="G5266" i="7"/>
  <c r="G5267" i="7"/>
  <c r="G5268" i="7"/>
  <c r="G5269" i="7"/>
  <c r="G5270" i="7"/>
  <c r="G5271" i="7"/>
  <c r="G5272" i="7"/>
  <c r="G5273" i="7"/>
  <c r="G5274" i="7"/>
  <c r="G5275" i="7"/>
  <c r="G5276" i="7"/>
  <c r="G5277" i="7"/>
  <c r="G5278" i="7"/>
  <c r="G5279" i="7"/>
  <c r="G5280" i="7"/>
  <c r="G5281" i="7"/>
  <c r="G5282" i="7"/>
  <c r="G5283" i="7"/>
  <c r="G5284" i="7"/>
  <c r="G5285" i="7"/>
  <c r="G5286" i="7"/>
  <c r="G5287" i="7"/>
  <c r="G5288" i="7"/>
  <c r="G5289" i="7"/>
  <c r="G5290" i="7"/>
  <c r="G5291" i="7"/>
  <c r="G5292" i="7"/>
  <c r="G5293" i="7"/>
  <c r="G5294" i="7"/>
  <c r="G5295" i="7"/>
  <c r="G5296" i="7"/>
  <c r="G5297" i="7"/>
  <c r="G5298" i="7"/>
  <c r="G5299" i="7"/>
  <c r="G5300" i="7"/>
  <c r="G5301" i="7"/>
  <c r="G5302" i="7"/>
  <c r="G5303" i="7"/>
  <c r="G5304" i="7"/>
  <c r="G5305" i="7"/>
  <c r="G5306" i="7"/>
  <c r="G5307" i="7"/>
  <c r="G5308" i="7"/>
  <c r="G5309" i="7"/>
  <c r="G5310" i="7"/>
  <c r="G5311" i="7"/>
  <c r="G5312" i="7"/>
  <c r="G5313" i="7"/>
  <c r="G5314" i="7"/>
  <c r="G5315" i="7"/>
  <c r="G5316" i="7"/>
  <c r="G5317" i="7"/>
  <c r="G5318" i="7"/>
  <c r="G5319" i="7"/>
  <c r="G5320" i="7"/>
  <c r="G5321" i="7"/>
  <c r="G5322" i="7"/>
  <c r="G5323" i="7"/>
  <c r="G5324" i="7"/>
  <c r="G5325" i="7"/>
  <c r="G5326" i="7"/>
  <c r="G5327" i="7"/>
  <c r="G5328" i="7"/>
  <c r="G5329" i="7"/>
  <c r="G5330" i="7"/>
  <c r="G5331" i="7"/>
  <c r="G5332" i="7"/>
  <c r="G5333" i="7"/>
  <c r="G5334" i="7"/>
  <c r="G5335" i="7"/>
  <c r="G5336" i="7"/>
  <c r="G5337" i="7"/>
  <c r="G5338" i="7"/>
  <c r="G5339" i="7"/>
  <c r="G5340" i="7"/>
  <c r="G5341" i="7"/>
  <c r="G5342" i="7"/>
  <c r="G5343" i="7"/>
  <c r="G5344" i="7"/>
  <c r="G5345" i="7"/>
  <c r="G5346" i="7"/>
  <c r="G5347" i="7"/>
  <c r="G5348" i="7"/>
  <c r="G5349" i="7"/>
  <c r="G5350" i="7"/>
  <c r="G5351" i="7"/>
  <c r="G5352" i="7"/>
  <c r="G5353" i="7"/>
  <c r="G5354" i="7"/>
  <c r="G5355" i="7"/>
  <c r="G5356" i="7"/>
  <c r="G5357" i="7"/>
  <c r="G5358" i="7"/>
  <c r="G5359" i="7"/>
  <c r="G5360" i="7"/>
  <c r="G5361" i="7"/>
  <c r="G5362" i="7"/>
  <c r="G5363" i="7"/>
  <c r="G5364" i="7"/>
  <c r="G5365" i="7"/>
  <c r="G5366" i="7"/>
  <c r="G5367" i="7"/>
  <c r="G5368" i="7"/>
  <c r="G5369" i="7"/>
  <c r="G5370" i="7"/>
  <c r="G5371" i="7"/>
  <c r="G5372" i="7"/>
  <c r="G5373" i="7"/>
  <c r="G5374" i="7"/>
  <c r="G5375" i="7"/>
  <c r="G5376" i="7"/>
  <c r="G5377" i="7"/>
  <c r="G5378" i="7"/>
  <c r="G5379" i="7"/>
  <c r="G5380" i="7"/>
  <c r="G5381" i="7"/>
  <c r="G5382" i="7"/>
  <c r="G5383" i="7"/>
  <c r="G5384" i="7"/>
  <c r="G5385" i="7"/>
  <c r="G5386" i="7"/>
  <c r="G5387" i="7"/>
  <c r="G5388" i="7"/>
  <c r="G5389" i="7"/>
  <c r="G5390" i="7"/>
  <c r="G5391" i="7"/>
  <c r="G5392" i="7"/>
  <c r="G5393" i="7"/>
  <c r="G5394" i="7"/>
  <c r="G5395" i="7"/>
  <c r="G5396" i="7"/>
  <c r="G5397" i="7"/>
  <c r="G5398" i="7"/>
  <c r="G5399" i="7"/>
  <c r="G5400" i="7"/>
  <c r="G5401" i="7"/>
  <c r="G5402" i="7"/>
  <c r="G5403" i="7"/>
  <c r="G5404" i="7"/>
  <c r="G5405" i="7"/>
  <c r="G5406" i="7"/>
  <c r="G5407" i="7"/>
  <c r="G5408" i="7"/>
  <c r="G5409" i="7"/>
  <c r="G5410" i="7"/>
  <c r="G5411" i="7"/>
  <c r="G5412" i="7"/>
  <c r="G5413" i="7"/>
  <c r="G5414" i="7"/>
  <c r="G5415" i="7"/>
  <c r="G5416" i="7"/>
  <c r="G5417" i="7"/>
  <c r="G5418" i="7"/>
  <c r="G5419" i="7"/>
  <c r="G5420" i="7"/>
  <c r="G5421" i="7"/>
  <c r="G5422" i="7"/>
  <c r="G5423" i="7"/>
  <c r="G5424" i="7"/>
  <c r="G5425" i="7"/>
  <c r="G5426" i="7"/>
  <c r="G5427" i="7"/>
  <c r="G5428" i="7"/>
  <c r="G5429" i="7"/>
  <c r="G5430" i="7"/>
  <c r="G5431" i="7"/>
  <c r="G5432" i="7"/>
  <c r="G5433" i="7"/>
  <c r="G5434" i="7"/>
  <c r="G5435" i="7"/>
  <c r="G5436" i="7"/>
  <c r="G5437" i="7"/>
  <c r="G5438" i="7"/>
  <c r="G5439" i="7"/>
  <c r="G5440" i="7"/>
  <c r="G5441" i="7"/>
  <c r="G5442" i="7"/>
  <c r="G5443" i="7"/>
  <c r="G5444" i="7"/>
  <c r="G5445" i="7"/>
  <c r="G5446" i="7"/>
  <c r="G5447" i="7"/>
  <c r="G5448" i="7"/>
  <c r="G5449" i="7"/>
  <c r="G5450" i="7"/>
  <c r="G5451" i="7"/>
  <c r="G5452" i="7"/>
  <c r="G5453" i="7"/>
  <c r="G5454" i="7"/>
  <c r="G5455" i="7"/>
  <c r="G5456" i="7"/>
  <c r="G5457" i="7"/>
  <c r="G5458" i="7"/>
  <c r="G5459" i="7"/>
  <c r="G5460" i="7"/>
  <c r="G5461" i="7"/>
  <c r="G5462" i="7"/>
  <c r="G5463" i="7"/>
  <c r="G5464" i="7"/>
  <c r="G5465" i="7"/>
  <c r="G5466" i="7"/>
  <c r="G5467" i="7"/>
  <c r="G5468" i="7"/>
  <c r="G5469" i="7"/>
  <c r="G5470" i="7"/>
  <c r="G5471" i="7"/>
  <c r="G5472" i="7"/>
  <c r="G5473" i="7"/>
  <c r="G5474" i="7"/>
  <c r="G5475" i="7"/>
  <c r="G5476" i="7"/>
  <c r="G5477" i="7"/>
  <c r="G5478" i="7"/>
  <c r="G5479" i="7"/>
  <c r="G5480" i="7"/>
  <c r="G5481" i="7"/>
  <c r="G5482" i="7"/>
  <c r="G5483" i="7"/>
  <c r="G5484" i="7"/>
  <c r="G5485" i="7"/>
  <c r="G5486" i="7"/>
  <c r="G5487" i="7"/>
  <c r="G5488" i="7"/>
  <c r="G5489" i="7"/>
  <c r="G5490" i="7"/>
  <c r="G5491" i="7"/>
  <c r="G5492" i="7"/>
  <c r="G5493" i="7"/>
  <c r="G5494" i="7"/>
  <c r="G5495" i="7"/>
  <c r="G5496" i="7"/>
  <c r="G5497" i="7"/>
  <c r="G5498" i="7"/>
  <c r="G5499" i="7"/>
  <c r="G5500" i="7"/>
  <c r="G5501" i="7"/>
  <c r="G5502" i="7"/>
  <c r="G5503" i="7"/>
  <c r="G5504" i="7"/>
  <c r="G5505" i="7"/>
  <c r="G5506" i="7"/>
  <c r="G5507" i="7"/>
  <c r="G5508" i="7"/>
  <c r="G5509" i="7"/>
  <c r="G5510" i="7"/>
  <c r="G5511" i="7"/>
  <c r="G5512" i="7"/>
  <c r="G5513" i="7"/>
  <c r="G5514" i="7"/>
  <c r="G5515" i="7"/>
  <c r="G5516" i="7"/>
  <c r="G5517" i="7"/>
  <c r="G5518" i="7"/>
  <c r="G5519" i="7"/>
  <c r="G5520" i="7"/>
  <c r="G5521" i="7"/>
  <c r="G5522" i="7"/>
  <c r="G5523" i="7"/>
  <c r="G5524" i="7"/>
  <c r="G5525" i="7"/>
  <c r="G5526" i="7"/>
  <c r="G5527" i="7"/>
  <c r="G5528" i="7"/>
  <c r="G5529" i="7"/>
  <c r="G5530" i="7"/>
  <c r="G5531" i="7"/>
  <c r="G5532" i="7"/>
  <c r="G5533" i="7"/>
  <c r="G5534" i="7"/>
  <c r="G5535" i="7"/>
  <c r="G5536" i="7"/>
  <c r="G5537" i="7"/>
  <c r="G5538" i="7"/>
  <c r="G5539" i="7"/>
  <c r="G5540" i="7"/>
  <c r="G5541" i="7"/>
  <c r="G5542" i="7"/>
  <c r="G5543" i="7"/>
  <c r="G5544" i="7"/>
  <c r="G5545" i="7"/>
  <c r="G5546" i="7"/>
  <c r="G5547" i="7"/>
  <c r="G5548" i="7"/>
  <c r="G5549" i="7"/>
  <c r="G5550" i="7"/>
  <c r="G5551" i="7"/>
  <c r="G5552" i="7"/>
  <c r="G5553" i="7"/>
  <c r="G5554" i="7"/>
  <c r="G5555" i="7"/>
  <c r="G5556" i="7"/>
  <c r="G5557" i="7"/>
  <c r="G5558" i="7"/>
  <c r="G5559" i="7"/>
  <c r="G5560" i="7"/>
  <c r="G5561" i="7"/>
  <c r="G5562" i="7"/>
  <c r="G5563" i="7"/>
  <c r="G5564" i="7"/>
  <c r="G5565" i="7"/>
  <c r="G5566" i="7"/>
  <c r="G5567" i="7"/>
  <c r="G5568" i="7"/>
  <c r="G5569" i="7"/>
  <c r="G5570" i="7"/>
  <c r="G5571" i="7"/>
  <c r="G5572" i="7"/>
  <c r="G5573" i="7"/>
  <c r="G5574" i="7"/>
  <c r="G5575" i="7"/>
  <c r="G5576" i="7"/>
  <c r="G5577" i="7"/>
  <c r="G5578" i="7"/>
  <c r="G5579" i="7"/>
  <c r="G5580" i="7"/>
  <c r="G5581" i="7"/>
  <c r="G5582" i="7"/>
  <c r="G5583" i="7"/>
  <c r="G5584" i="7"/>
  <c r="G5585" i="7"/>
  <c r="G5586" i="7"/>
  <c r="G5587" i="7"/>
  <c r="G5588" i="7"/>
  <c r="G5589" i="7"/>
  <c r="G5590" i="7"/>
  <c r="G5591" i="7"/>
  <c r="G5592" i="7"/>
  <c r="G5593" i="7"/>
  <c r="G5594" i="7"/>
  <c r="G5595" i="7"/>
  <c r="G5596" i="7"/>
  <c r="G5597" i="7"/>
  <c r="G5598" i="7"/>
  <c r="G5599" i="7"/>
  <c r="G5600" i="7"/>
  <c r="G5601" i="7"/>
  <c r="G5602" i="7"/>
  <c r="G5603" i="7"/>
  <c r="G5604" i="7"/>
  <c r="G5605" i="7"/>
  <c r="G5606" i="7"/>
  <c r="G5607" i="7"/>
  <c r="G5608" i="7"/>
  <c r="G5609" i="7"/>
  <c r="G5610" i="7"/>
  <c r="G5611" i="7"/>
  <c r="G5612" i="7"/>
  <c r="G5613" i="7"/>
  <c r="G5614" i="7"/>
  <c r="G5615" i="7"/>
  <c r="G5616" i="7"/>
  <c r="G5617" i="7"/>
  <c r="G5618" i="7"/>
  <c r="G5619" i="7"/>
  <c r="G5620" i="7"/>
  <c r="G5621" i="7"/>
  <c r="G5622" i="7"/>
  <c r="G5623" i="7"/>
  <c r="G5624" i="7"/>
  <c r="G5625" i="7"/>
  <c r="G5626" i="7"/>
  <c r="G5627" i="7"/>
  <c r="G5628" i="7"/>
  <c r="G5629" i="7"/>
  <c r="G5630" i="7"/>
  <c r="G5631" i="7"/>
  <c r="G5632" i="7"/>
  <c r="G5633" i="7"/>
  <c r="G5634" i="7"/>
  <c r="G5635" i="7"/>
  <c r="G5636" i="7"/>
  <c r="G5637" i="7"/>
  <c r="G5638" i="7"/>
  <c r="G5639" i="7"/>
  <c r="G5640" i="7"/>
  <c r="G5641" i="7"/>
  <c r="G5642" i="7"/>
  <c r="G5643" i="7"/>
  <c r="G5644" i="7"/>
  <c r="G5645" i="7"/>
  <c r="G5646" i="7"/>
  <c r="G5647" i="7"/>
  <c r="G5648" i="7"/>
  <c r="G5649" i="7"/>
  <c r="G5650" i="7"/>
  <c r="G5651" i="7"/>
  <c r="G5652" i="7"/>
  <c r="G5653" i="7"/>
  <c r="G5654" i="7"/>
  <c r="G5655" i="7"/>
  <c r="G5656" i="7"/>
  <c r="G5657" i="7"/>
  <c r="G5658" i="7"/>
  <c r="G5659" i="7"/>
  <c r="G5660" i="7"/>
  <c r="G5661" i="7"/>
  <c r="G5662" i="7"/>
  <c r="G5663" i="7"/>
  <c r="G5664" i="7"/>
  <c r="G5665" i="7"/>
  <c r="G5666" i="7"/>
  <c r="G5667" i="7"/>
  <c r="G5668" i="7"/>
  <c r="G5669" i="7"/>
  <c r="G5670" i="7"/>
  <c r="G5671" i="7"/>
  <c r="G5672" i="7"/>
  <c r="G5673" i="7"/>
  <c r="G5674" i="7"/>
  <c r="G5675" i="7"/>
  <c r="G5676" i="7"/>
  <c r="G5677" i="7"/>
  <c r="G5678" i="7"/>
  <c r="G5679" i="7"/>
  <c r="G5680" i="7"/>
  <c r="G5681" i="7"/>
  <c r="G5682" i="7"/>
  <c r="G5683" i="7"/>
  <c r="G5684" i="7"/>
  <c r="G5685" i="7"/>
  <c r="G5686" i="7"/>
  <c r="G5687" i="7"/>
  <c r="G5688" i="7"/>
  <c r="G5689" i="7"/>
  <c r="G5690" i="7"/>
  <c r="G5691" i="7"/>
  <c r="G5692" i="7"/>
  <c r="G5693" i="7"/>
  <c r="G5694" i="7"/>
  <c r="G5695" i="7"/>
  <c r="G5696" i="7"/>
  <c r="G5697" i="7"/>
  <c r="G5698" i="7"/>
  <c r="G5699" i="7"/>
  <c r="G5700" i="7"/>
  <c r="G5701" i="7"/>
  <c r="G5702" i="7"/>
  <c r="G5703" i="7"/>
  <c r="G5704" i="7"/>
  <c r="G5705" i="7"/>
  <c r="G5706" i="7"/>
  <c r="G5707" i="7"/>
  <c r="G5708" i="7"/>
  <c r="G5709" i="7"/>
  <c r="G5710" i="7"/>
  <c r="G5711" i="7"/>
  <c r="G5712" i="7"/>
  <c r="G5713" i="7"/>
  <c r="G5714" i="7"/>
  <c r="G5715" i="7"/>
  <c r="G5716" i="7"/>
  <c r="G5717" i="7"/>
  <c r="G5718" i="7"/>
  <c r="G5719" i="7"/>
  <c r="G5720" i="7"/>
  <c r="G5721" i="7"/>
  <c r="G5722" i="7"/>
  <c r="G5723" i="7"/>
  <c r="G5724" i="7"/>
  <c r="G5725" i="7"/>
  <c r="G5726" i="7"/>
  <c r="G5727" i="7"/>
  <c r="G5728" i="7"/>
  <c r="G5729" i="7"/>
  <c r="G5730" i="7"/>
  <c r="G5731" i="7"/>
  <c r="G5732" i="7"/>
  <c r="G5733" i="7"/>
  <c r="G5734" i="7"/>
  <c r="G5735" i="7"/>
  <c r="G5736" i="7"/>
  <c r="G5737" i="7"/>
  <c r="G5738" i="7"/>
  <c r="G5739" i="7"/>
  <c r="G5740" i="7"/>
  <c r="G5741" i="7"/>
  <c r="G5742" i="7"/>
  <c r="G5743" i="7"/>
  <c r="G5744" i="7"/>
  <c r="G5745" i="7"/>
  <c r="G5746" i="7"/>
  <c r="G5747" i="7"/>
  <c r="G5748" i="7"/>
  <c r="G5749" i="7"/>
  <c r="G5750" i="7"/>
  <c r="G5751" i="7"/>
  <c r="G5752" i="7"/>
  <c r="G5753" i="7"/>
  <c r="G5754" i="7"/>
  <c r="G5755" i="7"/>
  <c r="G5756" i="7"/>
  <c r="G5757" i="7"/>
  <c r="G5758" i="7"/>
  <c r="G5759" i="7"/>
  <c r="G5760" i="7"/>
  <c r="G5761" i="7"/>
  <c r="G5762" i="7"/>
  <c r="G5763" i="7"/>
  <c r="G5764" i="7"/>
  <c r="G5765" i="7"/>
  <c r="G5766" i="7"/>
  <c r="G5767" i="7"/>
  <c r="G5768" i="7"/>
  <c r="G5769" i="7"/>
  <c r="G5770" i="7"/>
  <c r="G5771" i="7"/>
  <c r="G5772" i="7"/>
  <c r="G5773" i="7"/>
  <c r="G5774" i="7"/>
  <c r="G5775" i="7"/>
  <c r="G5776" i="7"/>
  <c r="G5777" i="7"/>
  <c r="G5778" i="7"/>
  <c r="G5779" i="7"/>
  <c r="G5780" i="7"/>
  <c r="G5781" i="7"/>
  <c r="G5782" i="7"/>
  <c r="G5783" i="7"/>
  <c r="G5784" i="7"/>
  <c r="G5785" i="7"/>
  <c r="G5786" i="7"/>
  <c r="G5787" i="7"/>
  <c r="G5788" i="7"/>
  <c r="G5789" i="7"/>
  <c r="G5790" i="7"/>
  <c r="G5791" i="7"/>
  <c r="G5792" i="7"/>
  <c r="G5793" i="7"/>
  <c r="G5794" i="7"/>
  <c r="G5795" i="7"/>
  <c r="G5796" i="7"/>
  <c r="G5797" i="7"/>
  <c r="G5798" i="7"/>
  <c r="G5799" i="7"/>
  <c r="G5800" i="7"/>
  <c r="G5801" i="7"/>
  <c r="G5802" i="7"/>
  <c r="G5803" i="7"/>
  <c r="G5804" i="7"/>
  <c r="G5805" i="7"/>
  <c r="G5806" i="7"/>
  <c r="G5807" i="7"/>
  <c r="G5808" i="7"/>
  <c r="G5809" i="7"/>
  <c r="G5810" i="7"/>
  <c r="G5811" i="7"/>
  <c r="G5812" i="7"/>
  <c r="G5813" i="7"/>
  <c r="G5814" i="7"/>
  <c r="G5815" i="7"/>
  <c r="G5816" i="7"/>
  <c r="G5817" i="7"/>
  <c r="G5818" i="7"/>
  <c r="G5819" i="7"/>
  <c r="G5820" i="7"/>
  <c r="G5821" i="7"/>
  <c r="G5822" i="7"/>
  <c r="G5823" i="7"/>
  <c r="G5824" i="7"/>
  <c r="G5825" i="7"/>
  <c r="G5826" i="7"/>
  <c r="G5827" i="7"/>
  <c r="G5828" i="7"/>
  <c r="G5829" i="7"/>
  <c r="G5830" i="7"/>
  <c r="G5831" i="7"/>
  <c r="G5832" i="7"/>
  <c r="G5833" i="7"/>
  <c r="G5834" i="7"/>
  <c r="G5835" i="7"/>
  <c r="G5836" i="7"/>
  <c r="G5837" i="7"/>
  <c r="G5838" i="7"/>
  <c r="G5839" i="7"/>
  <c r="G5840" i="7"/>
  <c r="G5841" i="7"/>
  <c r="G5842" i="7"/>
  <c r="G5843" i="7"/>
  <c r="G5844" i="7"/>
  <c r="G5845" i="7"/>
  <c r="G5846" i="7"/>
  <c r="G5847" i="7"/>
  <c r="G5848" i="7"/>
  <c r="G5849" i="7"/>
  <c r="G5850" i="7"/>
  <c r="G5851" i="7"/>
  <c r="G5852" i="7"/>
  <c r="G5853" i="7"/>
  <c r="G5854" i="7"/>
  <c r="G5855" i="7"/>
  <c r="G5856" i="7"/>
  <c r="G5857" i="7"/>
  <c r="G5858" i="7"/>
  <c r="G5859" i="7"/>
  <c r="G5860" i="7"/>
  <c r="G5861" i="7"/>
  <c r="G5862" i="7"/>
  <c r="G5863" i="7"/>
  <c r="G5864" i="7"/>
  <c r="G5865" i="7"/>
  <c r="G5866" i="7"/>
  <c r="G5867" i="7"/>
  <c r="G5868" i="7"/>
  <c r="G5869" i="7"/>
  <c r="G5870" i="7"/>
  <c r="G5871" i="7"/>
  <c r="G5872" i="7"/>
  <c r="G5873" i="7"/>
  <c r="G5874" i="7"/>
  <c r="G5875" i="7"/>
  <c r="G5876" i="7"/>
  <c r="G5877" i="7"/>
  <c r="G5878" i="7"/>
  <c r="G5879" i="7"/>
  <c r="G5880" i="7"/>
  <c r="G5881" i="7"/>
  <c r="G5882" i="7"/>
  <c r="G5883" i="7"/>
  <c r="G5884" i="7"/>
  <c r="G5885" i="7"/>
  <c r="G5886" i="7"/>
  <c r="G5887" i="7"/>
  <c r="G5888" i="7"/>
  <c r="G5889" i="7"/>
  <c r="G5890" i="7"/>
  <c r="G5891" i="7"/>
  <c r="G5892" i="7"/>
  <c r="G5893" i="7"/>
  <c r="G5894" i="7"/>
  <c r="G5895" i="7"/>
  <c r="G5896" i="7"/>
  <c r="G5897" i="7"/>
  <c r="G5898" i="7"/>
  <c r="G5899" i="7"/>
  <c r="G5900" i="7"/>
  <c r="G5901" i="7"/>
  <c r="G5902" i="7"/>
  <c r="G5903" i="7"/>
  <c r="G5904" i="7"/>
  <c r="G5905" i="7"/>
  <c r="G5906" i="7"/>
  <c r="G5907" i="7"/>
  <c r="G5908" i="7"/>
  <c r="G5909" i="7"/>
  <c r="G5910" i="7"/>
  <c r="G5911" i="7"/>
  <c r="G5912" i="7"/>
  <c r="G5913" i="7"/>
  <c r="G5914" i="7"/>
  <c r="G5915" i="7"/>
  <c r="G5916" i="7"/>
  <c r="G5917" i="7"/>
  <c r="G5918" i="7"/>
  <c r="G5919" i="7"/>
  <c r="G5920" i="7"/>
  <c r="G5921" i="7"/>
  <c r="G5922" i="7"/>
  <c r="G5923" i="7"/>
  <c r="G5924" i="7"/>
  <c r="G5925" i="7"/>
  <c r="G5926" i="7"/>
  <c r="G5927" i="7"/>
  <c r="G5928" i="7"/>
  <c r="G5929" i="7"/>
  <c r="G5930" i="7"/>
  <c r="G5931" i="7"/>
  <c r="G5932" i="7"/>
  <c r="G5933" i="7"/>
  <c r="G5934" i="7"/>
  <c r="G5935" i="7"/>
  <c r="G5936" i="7"/>
  <c r="G5937" i="7"/>
  <c r="G5938" i="7"/>
  <c r="G5939" i="7"/>
  <c r="G5940" i="7"/>
  <c r="G5941" i="7"/>
  <c r="G5942" i="7"/>
  <c r="G5943" i="7"/>
  <c r="G5944" i="7"/>
  <c r="G5945" i="7"/>
  <c r="G5946" i="7"/>
  <c r="G5947" i="7"/>
  <c r="G5948" i="7"/>
  <c r="G5949" i="7"/>
  <c r="G5950" i="7"/>
  <c r="G5951" i="7"/>
  <c r="G5952" i="7"/>
  <c r="G5953" i="7"/>
  <c r="G5954" i="7"/>
  <c r="G5955" i="7"/>
  <c r="G5956" i="7"/>
  <c r="G5957" i="7"/>
  <c r="G5958" i="7"/>
  <c r="G5959" i="7"/>
  <c r="G5960" i="7"/>
  <c r="G5961" i="7"/>
  <c r="G5962" i="7"/>
  <c r="G5963" i="7"/>
  <c r="G5964" i="7"/>
  <c r="G5965" i="7"/>
  <c r="G5966" i="7"/>
  <c r="G5967" i="7"/>
  <c r="G5968" i="7"/>
  <c r="G5969" i="7"/>
  <c r="G5970" i="7"/>
  <c r="G5971" i="7"/>
  <c r="G5972" i="7"/>
  <c r="G5973" i="7"/>
  <c r="G5974" i="7"/>
  <c r="G5975" i="7"/>
  <c r="G5976" i="7"/>
  <c r="G5977" i="7"/>
  <c r="G5978" i="7"/>
  <c r="G5979" i="7"/>
  <c r="G5980" i="7"/>
  <c r="G5981" i="7"/>
  <c r="G5982" i="7"/>
  <c r="G5983" i="7"/>
  <c r="G5984" i="7"/>
  <c r="G5985" i="7"/>
  <c r="G5986" i="7"/>
  <c r="G5987" i="7"/>
  <c r="G5988" i="7"/>
  <c r="G5989" i="7"/>
  <c r="G5990" i="7"/>
  <c r="G5991" i="7"/>
  <c r="G5992" i="7"/>
  <c r="G5993" i="7"/>
  <c r="G5994" i="7"/>
  <c r="G5995" i="7"/>
  <c r="G5996" i="7"/>
  <c r="G5997" i="7"/>
  <c r="G5998" i="7"/>
  <c r="G5999" i="7"/>
  <c r="G6000" i="7"/>
  <c r="G6001" i="7"/>
  <c r="G6002" i="7"/>
  <c r="G6003" i="7"/>
  <c r="G6004" i="7"/>
  <c r="G6005" i="7"/>
  <c r="G6006" i="7"/>
  <c r="G6007" i="7"/>
  <c r="G6008" i="7"/>
  <c r="G6009" i="7"/>
  <c r="G6010" i="7"/>
  <c r="G6011" i="7"/>
  <c r="G6012" i="7"/>
  <c r="G6013" i="7"/>
  <c r="G6014" i="7"/>
  <c r="G6015" i="7"/>
  <c r="G6016" i="7"/>
  <c r="G6017" i="7"/>
  <c r="G6018" i="7"/>
  <c r="G6019" i="7"/>
  <c r="G6020" i="7"/>
  <c r="G6021" i="7"/>
  <c r="G6022" i="7"/>
  <c r="G6023" i="7"/>
  <c r="G6024" i="7"/>
  <c r="G6025" i="7"/>
  <c r="G6026" i="7"/>
  <c r="G6027" i="7"/>
  <c r="G6028" i="7"/>
  <c r="G6029" i="7"/>
  <c r="G6030" i="7"/>
  <c r="G6031" i="7"/>
  <c r="G6032" i="7"/>
  <c r="G6033" i="7"/>
  <c r="G6034" i="7"/>
  <c r="G6035" i="7"/>
  <c r="G6036" i="7"/>
  <c r="G6037" i="7"/>
  <c r="G6038" i="7"/>
  <c r="G6039" i="7"/>
  <c r="G6040" i="7"/>
  <c r="G6041" i="7"/>
  <c r="G6042" i="7"/>
  <c r="G6043" i="7"/>
  <c r="G6044" i="7"/>
  <c r="G6045" i="7"/>
  <c r="G6046" i="7"/>
  <c r="G6047" i="7"/>
  <c r="G6048" i="7"/>
  <c r="G6049" i="7"/>
  <c r="G6050" i="7"/>
  <c r="G6051" i="7"/>
  <c r="G6052" i="7"/>
  <c r="G6053" i="7"/>
  <c r="G6054" i="7"/>
  <c r="G6055" i="7"/>
  <c r="G6056" i="7"/>
  <c r="G6057" i="7"/>
  <c r="G6058" i="7"/>
  <c r="G6059" i="7"/>
  <c r="G6060" i="7"/>
  <c r="G6061" i="7"/>
  <c r="G6062" i="7"/>
  <c r="G6063" i="7"/>
  <c r="G6064" i="7"/>
  <c r="G6065" i="7"/>
  <c r="G6066" i="7"/>
  <c r="G6067" i="7"/>
  <c r="G6068" i="7"/>
  <c r="G6069" i="7"/>
  <c r="G6070" i="7"/>
  <c r="G6071" i="7"/>
  <c r="G6072" i="7"/>
  <c r="G6073" i="7"/>
  <c r="G6074" i="7"/>
  <c r="G6075" i="7"/>
  <c r="G6076" i="7"/>
  <c r="G6077" i="7"/>
  <c r="G6078" i="7"/>
  <c r="G6079" i="7"/>
  <c r="G6080" i="7"/>
  <c r="G6081" i="7"/>
  <c r="G6082" i="7"/>
  <c r="G6083" i="7"/>
  <c r="G6084" i="7"/>
  <c r="G6085" i="7"/>
  <c r="G6086" i="7"/>
  <c r="G6087" i="7"/>
  <c r="G6088" i="7"/>
  <c r="G6089" i="7"/>
  <c r="G6090" i="7"/>
  <c r="G6091" i="7"/>
  <c r="G6092" i="7"/>
  <c r="G6093" i="7"/>
  <c r="G6094" i="7"/>
  <c r="G6095" i="7"/>
  <c r="G6096" i="7"/>
  <c r="G6097" i="7"/>
  <c r="G6098" i="7"/>
  <c r="G6099" i="7"/>
  <c r="G6100" i="7"/>
  <c r="G6101" i="7"/>
  <c r="G6102" i="7"/>
  <c r="G6103" i="7"/>
  <c r="G6104" i="7"/>
  <c r="G6105" i="7"/>
  <c r="G6106" i="7"/>
  <c r="G6107" i="7"/>
  <c r="G6108" i="7"/>
  <c r="G6109" i="7"/>
  <c r="G6110" i="7"/>
  <c r="G6111" i="7"/>
  <c r="G6112" i="7"/>
  <c r="G6113" i="7"/>
  <c r="G6114" i="7"/>
  <c r="G6115" i="7"/>
  <c r="G6116" i="7"/>
  <c r="G6117" i="7"/>
  <c r="G6118" i="7"/>
  <c r="G6119" i="7"/>
  <c r="G6120" i="7"/>
  <c r="G6121" i="7"/>
  <c r="G6122" i="7"/>
  <c r="G6123" i="7"/>
  <c r="G6124" i="7"/>
  <c r="G6125" i="7"/>
  <c r="G6126" i="7"/>
  <c r="G6127" i="7"/>
  <c r="G6128" i="7"/>
  <c r="G6129" i="7"/>
  <c r="G6130" i="7"/>
  <c r="G6131" i="7"/>
  <c r="G6132" i="7"/>
  <c r="G6133" i="7"/>
  <c r="G6134" i="7"/>
  <c r="G6135" i="7"/>
  <c r="G6136" i="7"/>
  <c r="G6137" i="7"/>
  <c r="G6138" i="7"/>
  <c r="G6139" i="7"/>
  <c r="G6140" i="7"/>
  <c r="G6141" i="7"/>
  <c r="G6142" i="7"/>
  <c r="G6143" i="7"/>
  <c r="G6144" i="7"/>
  <c r="G6145" i="7"/>
  <c r="G6146" i="7"/>
  <c r="G6147" i="7"/>
  <c r="G6148" i="7"/>
  <c r="G6149" i="7"/>
  <c r="G6150" i="7"/>
  <c r="G6151" i="7"/>
  <c r="G6152" i="7"/>
  <c r="G6153" i="7"/>
  <c r="G6154" i="7"/>
  <c r="G6155" i="7"/>
  <c r="G6156" i="7"/>
  <c r="G6157" i="7"/>
  <c r="G6158" i="7"/>
  <c r="G6159" i="7"/>
  <c r="G6160" i="7"/>
  <c r="G6161" i="7"/>
  <c r="G6162" i="7"/>
  <c r="G6163" i="7"/>
  <c r="G6164" i="7"/>
  <c r="G6165" i="7"/>
  <c r="G6166" i="7"/>
  <c r="G6167" i="7"/>
  <c r="G6168" i="7"/>
  <c r="G6169" i="7"/>
  <c r="G6170" i="7"/>
  <c r="G6171" i="7"/>
  <c r="G6172" i="7"/>
  <c r="G6173" i="7"/>
  <c r="G6174" i="7"/>
  <c r="G6175" i="7"/>
  <c r="G6176" i="7"/>
  <c r="G6177" i="7"/>
  <c r="G6178" i="7"/>
  <c r="G6179" i="7"/>
  <c r="G6180" i="7"/>
  <c r="G6181" i="7"/>
  <c r="G6182" i="7"/>
  <c r="G6183" i="7"/>
  <c r="G6184" i="7"/>
  <c r="G6185" i="7"/>
  <c r="G6186" i="7"/>
  <c r="G6187" i="7"/>
  <c r="G6188" i="7"/>
  <c r="G6189" i="7"/>
  <c r="G6190" i="7"/>
  <c r="G6191" i="7"/>
  <c r="G6192" i="7"/>
  <c r="G6193" i="7"/>
  <c r="G6194" i="7"/>
  <c r="G6195" i="7"/>
  <c r="G6196" i="7"/>
  <c r="G6197" i="7"/>
  <c r="G6198" i="7"/>
  <c r="G6199" i="7"/>
  <c r="G6200" i="7"/>
  <c r="G6201" i="7"/>
  <c r="G6202" i="7"/>
  <c r="G6203" i="7"/>
  <c r="G6204" i="7"/>
  <c r="G6205" i="7"/>
  <c r="G6206" i="7"/>
  <c r="G6207" i="7"/>
  <c r="G6208" i="7"/>
  <c r="G6209" i="7"/>
  <c r="G6210" i="7"/>
  <c r="G6211" i="7"/>
  <c r="G6212" i="7"/>
  <c r="G6213" i="7"/>
  <c r="G6214" i="7"/>
  <c r="G6215" i="7"/>
  <c r="G6216" i="7"/>
  <c r="G6217" i="7"/>
  <c r="G6218" i="7"/>
  <c r="G6219" i="7"/>
  <c r="G6220" i="7"/>
  <c r="G6221" i="7"/>
  <c r="G6222" i="7"/>
  <c r="G6223" i="7"/>
  <c r="G6224" i="7"/>
  <c r="G6225" i="7"/>
  <c r="G6226" i="7"/>
  <c r="G6227" i="7"/>
  <c r="G6228" i="7"/>
  <c r="G6229" i="7"/>
  <c r="G6230" i="7"/>
  <c r="G6231" i="7"/>
  <c r="G6232" i="7"/>
  <c r="G6233" i="7"/>
  <c r="G6234" i="7"/>
  <c r="G6235" i="7"/>
  <c r="G6236" i="7"/>
  <c r="G6237" i="7"/>
  <c r="G6238" i="7"/>
  <c r="G6239" i="7"/>
  <c r="G6240" i="7"/>
  <c r="G6241" i="7"/>
  <c r="G6242" i="7"/>
  <c r="G6243" i="7"/>
  <c r="G6244" i="7"/>
  <c r="G6245" i="7"/>
  <c r="G6246" i="7"/>
  <c r="G6247" i="7"/>
  <c r="G6248" i="7"/>
  <c r="G6249" i="7"/>
  <c r="G6250" i="7"/>
  <c r="G6251" i="7"/>
  <c r="G6252" i="7"/>
  <c r="G6253" i="7"/>
  <c r="G6254" i="7"/>
  <c r="G6255" i="7"/>
  <c r="G6256" i="7"/>
  <c r="G6257" i="7"/>
  <c r="G6258" i="7"/>
  <c r="G6259" i="7"/>
  <c r="G6260" i="7"/>
  <c r="G6261" i="7"/>
  <c r="G6262" i="7"/>
  <c r="G6263" i="7"/>
  <c r="G6264" i="7"/>
  <c r="G6265" i="7"/>
  <c r="G6266" i="7"/>
  <c r="G6267" i="7"/>
  <c r="G6268" i="7"/>
  <c r="G6269" i="7"/>
  <c r="G6270" i="7"/>
  <c r="G6271" i="7"/>
  <c r="G6272" i="7"/>
  <c r="G6273" i="7"/>
  <c r="G6274" i="7"/>
  <c r="G6275" i="7"/>
  <c r="G6276" i="7"/>
  <c r="G6277" i="7"/>
  <c r="G6278" i="7"/>
  <c r="G6279" i="7"/>
  <c r="G6280" i="7"/>
  <c r="G6281" i="7"/>
  <c r="G6282" i="7"/>
  <c r="G6283" i="7"/>
  <c r="G6284" i="7"/>
  <c r="G6285" i="7"/>
  <c r="G6286" i="7"/>
  <c r="G6287" i="7"/>
  <c r="G6288" i="7"/>
  <c r="G6289" i="7"/>
  <c r="G6290" i="7"/>
  <c r="G6291" i="7"/>
  <c r="G6292" i="7"/>
  <c r="G6293" i="7"/>
  <c r="G6294" i="7"/>
  <c r="G6295" i="7"/>
  <c r="G6296" i="7"/>
  <c r="G6297" i="7"/>
  <c r="G6298" i="7"/>
  <c r="G6299" i="7"/>
  <c r="G6300" i="7"/>
  <c r="G6301" i="7"/>
  <c r="G6302" i="7"/>
  <c r="G6303" i="7"/>
  <c r="G6304" i="7"/>
  <c r="G6305" i="7"/>
  <c r="G6306" i="7"/>
  <c r="G6307" i="7"/>
  <c r="G6308" i="7"/>
  <c r="G6309" i="7"/>
  <c r="G6310" i="7"/>
  <c r="G6311" i="7"/>
  <c r="G6312" i="7"/>
  <c r="G6313" i="7"/>
  <c r="G6314" i="7"/>
  <c r="G6315" i="7"/>
  <c r="G6316" i="7"/>
  <c r="G6317" i="7"/>
  <c r="G6318" i="7"/>
  <c r="G6319" i="7"/>
  <c r="G6320" i="7"/>
  <c r="G6321" i="7"/>
  <c r="G6322" i="7"/>
  <c r="G6323" i="7"/>
  <c r="G6324" i="7"/>
  <c r="G6325" i="7"/>
  <c r="G6326" i="7"/>
  <c r="G6327" i="7"/>
  <c r="G6328" i="7"/>
  <c r="G6329" i="7"/>
  <c r="G6330" i="7"/>
  <c r="G6331" i="7"/>
  <c r="G6332" i="7"/>
  <c r="G6333" i="7"/>
  <c r="G6334" i="7"/>
  <c r="G6335" i="7"/>
  <c r="G6336" i="7"/>
  <c r="G6337" i="7"/>
  <c r="G6338" i="7"/>
  <c r="G6339" i="7"/>
  <c r="G6340" i="7"/>
  <c r="G6341" i="7"/>
  <c r="G6342" i="7"/>
  <c r="G6343" i="7"/>
  <c r="G6344" i="7"/>
  <c r="G6345" i="7"/>
  <c r="G6346" i="7"/>
  <c r="G6347" i="7"/>
  <c r="G6348" i="7"/>
  <c r="G6349" i="7"/>
  <c r="G6350" i="7"/>
  <c r="G6351" i="7"/>
  <c r="G6352" i="7"/>
  <c r="G6353" i="7"/>
  <c r="G6354" i="7"/>
  <c r="G6355" i="7"/>
  <c r="G6356" i="7"/>
  <c r="G6357" i="7"/>
  <c r="G6358" i="7"/>
  <c r="G6359" i="7"/>
  <c r="G6360" i="7"/>
  <c r="G6361" i="7"/>
  <c r="G6362" i="7"/>
  <c r="G6363" i="7"/>
  <c r="G6364" i="7"/>
  <c r="G6365" i="7"/>
  <c r="G6366" i="7"/>
  <c r="G6367" i="7"/>
  <c r="G6368" i="7"/>
  <c r="G6369" i="7"/>
  <c r="G6370" i="7"/>
  <c r="G6371" i="7"/>
  <c r="G6372" i="7"/>
  <c r="G6373" i="7"/>
  <c r="G6374" i="7"/>
  <c r="G6375" i="7"/>
  <c r="G6376" i="7"/>
  <c r="G6377" i="7"/>
  <c r="G6378" i="7"/>
  <c r="G6379" i="7"/>
  <c r="G6380" i="7"/>
  <c r="G6381" i="7"/>
  <c r="G6382" i="7"/>
  <c r="G6383" i="7"/>
  <c r="G6384" i="7"/>
  <c r="G6385" i="7"/>
  <c r="G6386" i="7"/>
  <c r="G6387" i="7"/>
  <c r="G6388" i="7"/>
  <c r="G6389" i="7"/>
  <c r="G6390" i="7"/>
  <c r="G6391" i="7"/>
  <c r="G6392" i="7"/>
  <c r="G6393" i="7"/>
  <c r="G6394" i="7"/>
  <c r="G6395" i="7"/>
  <c r="G6396" i="7"/>
  <c r="G6397" i="7"/>
  <c r="G6398" i="7"/>
  <c r="G6399" i="7"/>
  <c r="G6400" i="7"/>
  <c r="G6401" i="7"/>
  <c r="G6402" i="7"/>
  <c r="G6403" i="7"/>
  <c r="G6404" i="7"/>
  <c r="G6405" i="7"/>
  <c r="G6406" i="7"/>
  <c r="G6407" i="7"/>
  <c r="G6408" i="7"/>
  <c r="G6409" i="7"/>
  <c r="G6410" i="7"/>
  <c r="G6411" i="7"/>
  <c r="G6412" i="7"/>
  <c r="G6413" i="7"/>
  <c r="G6414" i="7"/>
  <c r="G6415" i="7"/>
  <c r="G6416" i="7"/>
  <c r="G6417" i="7"/>
  <c r="G6418" i="7"/>
  <c r="G6419" i="7"/>
  <c r="G6420" i="7"/>
  <c r="G6421" i="7"/>
  <c r="G6422" i="7"/>
  <c r="G6423" i="7"/>
  <c r="G6424" i="7"/>
  <c r="G6425" i="7"/>
  <c r="G6426" i="7"/>
  <c r="G6427" i="7"/>
  <c r="G6428" i="7"/>
  <c r="G6429" i="7"/>
  <c r="G6430" i="7"/>
  <c r="G6431" i="7"/>
  <c r="G6432" i="7"/>
  <c r="G6433" i="7"/>
  <c r="G6434" i="7"/>
  <c r="G6435" i="7"/>
  <c r="G6436" i="7"/>
  <c r="G6437" i="7"/>
  <c r="G6438" i="7"/>
  <c r="G6439" i="7"/>
  <c r="G6440" i="7"/>
  <c r="G6441" i="7"/>
  <c r="G6442" i="7"/>
  <c r="G6443" i="7"/>
  <c r="G6444" i="7"/>
  <c r="G6445" i="7"/>
  <c r="G6446" i="7"/>
  <c r="G6447" i="7"/>
  <c r="G6448" i="7"/>
  <c r="G6449" i="7"/>
  <c r="G6450" i="7"/>
  <c r="G6451" i="7"/>
  <c r="G6452" i="7"/>
  <c r="G6453" i="7"/>
  <c r="G6454" i="7"/>
  <c r="G6455" i="7"/>
  <c r="G6456" i="7"/>
  <c r="G6457" i="7"/>
  <c r="G6458" i="7"/>
  <c r="G6459" i="7"/>
  <c r="G6460" i="7"/>
  <c r="G6461" i="7"/>
  <c r="G6462" i="7"/>
  <c r="G6463" i="7"/>
  <c r="G6464" i="7"/>
  <c r="G6465" i="7"/>
  <c r="G6466" i="7"/>
  <c r="G6467" i="7"/>
  <c r="G6468" i="7"/>
  <c r="G6469" i="7"/>
  <c r="G6470" i="7"/>
  <c r="G6471" i="7"/>
  <c r="G6472" i="7"/>
  <c r="G6473" i="7"/>
  <c r="G6474" i="7"/>
  <c r="G6475" i="7"/>
  <c r="G6476" i="7"/>
  <c r="G6477" i="7"/>
  <c r="G6478" i="7"/>
  <c r="G6479" i="7"/>
  <c r="G6480" i="7"/>
  <c r="G6481" i="7"/>
  <c r="G6482" i="7"/>
  <c r="G6483" i="7"/>
  <c r="G6484" i="7"/>
  <c r="G6485" i="7"/>
  <c r="G6486" i="7"/>
  <c r="G6487" i="7"/>
  <c r="G6488" i="7"/>
  <c r="G6489" i="7"/>
  <c r="G6490" i="7"/>
  <c r="G6491" i="7"/>
  <c r="G6492" i="7"/>
  <c r="G6493" i="7"/>
  <c r="G6494" i="7"/>
  <c r="G6495" i="7"/>
  <c r="G6496" i="7"/>
  <c r="G6497" i="7"/>
  <c r="G6498" i="7"/>
  <c r="G6499" i="7"/>
  <c r="G6500" i="7"/>
  <c r="G6501" i="7"/>
  <c r="G6502" i="7"/>
  <c r="G6503" i="7"/>
  <c r="G6504" i="7"/>
  <c r="G6505" i="7"/>
  <c r="G6506" i="7"/>
  <c r="G6507" i="7"/>
  <c r="G6508" i="7"/>
  <c r="G6509" i="7"/>
  <c r="G6510" i="7"/>
  <c r="G6511" i="7"/>
  <c r="G6512" i="7"/>
  <c r="G6513" i="7"/>
  <c r="G6514" i="7"/>
  <c r="G6515" i="7"/>
  <c r="G6516" i="7"/>
  <c r="G6517" i="7"/>
  <c r="G6518" i="7"/>
  <c r="G6519" i="7"/>
  <c r="G6520" i="7"/>
  <c r="G6521" i="7"/>
  <c r="G6522" i="7"/>
  <c r="G6523" i="7"/>
  <c r="G6524" i="7"/>
  <c r="G6525" i="7"/>
  <c r="G6526" i="7"/>
  <c r="G6527" i="7"/>
  <c r="G6528" i="7"/>
  <c r="G6529" i="7"/>
  <c r="G6530" i="7"/>
  <c r="G6531" i="7"/>
  <c r="G6532" i="7"/>
  <c r="G6533" i="7"/>
  <c r="G6534" i="7"/>
  <c r="G6535" i="7"/>
  <c r="G6536" i="7"/>
  <c r="G6537" i="7"/>
  <c r="G6538" i="7"/>
  <c r="G6539" i="7"/>
  <c r="G6540" i="7"/>
  <c r="G6541" i="7"/>
  <c r="G6542" i="7"/>
  <c r="G6543" i="7"/>
  <c r="G6544" i="7"/>
  <c r="G6545" i="7"/>
  <c r="G6546" i="7"/>
  <c r="G6547" i="7"/>
  <c r="G6548" i="7"/>
  <c r="G6549" i="7"/>
  <c r="G6550" i="7"/>
  <c r="G6551" i="7"/>
  <c r="G6552" i="7"/>
  <c r="G6553" i="7"/>
  <c r="G6554" i="7"/>
  <c r="G6555" i="7"/>
  <c r="G6556" i="7"/>
  <c r="G6557" i="7"/>
  <c r="G6558" i="7"/>
  <c r="G6559" i="7"/>
  <c r="G6560" i="7"/>
  <c r="G6561" i="7"/>
  <c r="G6562" i="7"/>
  <c r="G6563" i="7"/>
  <c r="G6564" i="7"/>
  <c r="G6565" i="7"/>
  <c r="G6566" i="7"/>
  <c r="G6567" i="7"/>
  <c r="G6568" i="7"/>
  <c r="G6569" i="7"/>
  <c r="G6570" i="7"/>
  <c r="G6571" i="7"/>
  <c r="G6572" i="7"/>
  <c r="G6573" i="7"/>
  <c r="G6574" i="7"/>
  <c r="G6575" i="7"/>
  <c r="G6576" i="7"/>
  <c r="G6577" i="7"/>
  <c r="G6578" i="7"/>
  <c r="G6579" i="7"/>
  <c r="G6580" i="7"/>
  <c r="G6581" i="7"/>
  <c r="G6582" i="7"/>
  <c r="G6583" i="7"/>
  <c r="G6584" i="7"/>
  <c r="G6585" i="7"/>
  <c r="G6586" i="7"/>
  <c r="G6587" i="7"/>
  <c r="G6588" i="7"/>
  <c r="G6589" i="7"/>
  <c r="G6590" i="7"/>
  <c r="G6591" i="7"/>
  <c r="G6592" i="7"/>
  <c r="G6593" i="7"/>
  <c r="G6594" i="7"/>
  <c r="G6595" i="7"/>
  <c r="G6596" i="7"/>
  <c r="G6597" i="7"/>
  <c r="G6598" i="7"/>
  <c r="G6599" i="7"/>
  <c r="G6600" i="7"/>
  <c r="G6601" i="7"/>
  <c r="G6602" i="7"/>
  <c r="G6603" i="7"/>
  <c r="G6604" i="7"/>
  <c r="G6605" i="7"/>
  <c r="G6606" i="7"/>
  <c r="G6607" i="7"/>
  <c r="G6608" i="7"/>
  <c r="G6609" i="7"/>
  <c r="G6610" i="7"/>
  <c r="G6611" i="7"/>
  <c r="G6612" i="7"/>
  <c r="G6613" i="7"/>
  <c r="G6614" i="7"/>
  <c r="G6615" i="7"/>
  <c r="G6616" i="7"/>
  <c r="G6617" i="7"/>
  <c r="G6618" i="7"/>
  <c r="G6619" i="7"/>
  <c r="G6620" i="7"/>
  <c r="G6621" i="7"/>
  <c r="G6622" i="7"/>
  <c r="G6623" i="7"/>
  <c r="G6624" i="7"/>
  <c r="G6625" i="7"/>
  <c r="G6626" i="7"/>
  <c r="G6627" i="7"/>
  <c r="G6628" i="7"/>
  <c r="G6629" i="7"/>
  <c r="G6630" i="7"/>
  <c r="G6631" i="7"/>
  <c r="G6632" i="7"/>
  <c r="G6633" i="7"/>
  <c r="G6634" i="7"/>
  <c r="G6635" i="7"/>
  <c r="G6636" i="7"/>
  <c r="G6637" i="7"/>
  <c r="G6638" i="7"/>
  <c r="G6639" i="7"/>
  <c r="G6640" i="7"/>
  <c r="G6641" i="7"/>
  <c r="G6642" i="7"/>
  <c r="G6643" i="7"/>
  <c r="G6644" i="7"/>
  <c r="G6645" i="7"/>
  <c r="G6646" i="7"/>
  <c r="G6647" i="7"/>
  <c r="G6648" i="7"/>
  <c r="G6649" i="7"/>
  <c r="G6650" i="7"/>
  <c r="G6651" i="7"/>
  <c r="G6652" i="7"/>
  <c r="G6653" i="7"/>
  <c r="G6654" i="7"/>
  <c r="G6655" i="7"/>
  <c r="G6656" i="7"/>
  <c r="G6657" i="7"/>
  <c r="G6658" i="7"/>
  <c r="G6659" i="7"/>
  <c r="G6660" i="7"/>
  <c r="G6661" i="7"/>
  <c r="G6662" i="7"/>
  <c r="G6663" i="7"/>
  <c r="G6664" i="7"/>
  <c r="G6665" i="7"/>
  <c r="G6666" i="7"/>
  <c r="G6667" i="7"/>
  <c r="G6668" i="7"/>
  <c r="G6669" i="7"/>
  <c r="G6670" i="7"/>
  <c r="G6671" i="7"/>
  <c r="G6672" i="7"/>
  <c r="G6673" i="7"/>
  <c r="G6674" i="7"/>
  <c r="G6675" i="7"/>
  <c r="G6676" i="7"/>
  <c r="G6677" i="7"/>
  <c r="G6678" i="7"/>
  <c r="G6679" i="7"/>
  <c r="G6680" i="7"/>
  <c r="G6681" i="7"/>
  <c r="G6682" i="7"/>
  <c r="G6683" i="7"/>
  <c r="G6684" i="7"/>
  <c r="G6685" i="7"/>
  <c r="G6686" i="7"/>
  <c r="G6687" i="7"/>
  <c r="G6688" i="7"/>
  <c r="G6689" i="7"/>
  <c r="G6690" i="7"/>
  <c r="G6691" i="7"/>
  <c r="G6692" i="7"/>
  <c r="G6693" i="7"/>
  <c r="G6694" i="7"/>
  <c r="G6695" i="7"/>
  <c r="G6696" i="7"/>
  <c r="G6697" i="7"/>
  <c r="G6698" i="7"/>
  <c r="G6699" i="7"/>
  <c r="G6700" i="7"/>
  <c r="G6701" i="7"/>
  <c r="G6702" i="7"/>
  <c r="G6703" i="7"/>
  <c r="G6704" i="7"/>
  <c r="G6705" i="7"/>
  <c r="G6706" i="7"/>
  <c r="G6707" i="7"/>
  <c r="G6708" i="7"/>
  <c r="G6709" i="7"/>
  <c r="G6710" i="7"/>
  <c r="G6711" i="7"/>
  <c r="G6712" i="7"/>
  <c r="G6713" i="7"/>
  <c r="G6714" i="7"/>
  <c r="G6715" i="7"/>
  <c r="G6716" i="7"/>
  <c r="G6717" i="7"/>
  <c r="G6718" i="7"/>
  <c r="G6719" i="7"/>
  <c r="G6720" i="7"/>
  <c r="G6721" i="7"/>
  <c r="G6722" i="7"/>
  <c r="G6723" i="7"/>
  <c r="G6724" i="7"/>
  <c r="G6725" i="7"/>
  <c r="G6726" i="7"/>
  <c r="G6727" i="7"/>
  <c r="G6728" i="7"/>
  <c r="G6729" i="7"/>
  <c r="G6730" i="7"/>
  <c r="G6731" i="7"/>
  <c r="G6732" i="7"/>
  <c r="G6733" i="7"/>
  <c r="G6734" i="7"/>
  <c r="G6735" i="7"/>
  <c r="G6736" i="7"/>
  <c r="G6737" i="7"/>
  <c r="G6738" i="7"/>
  <c r="G6739" i="7"/>
  <c r="G6740" i="7"/>
  <c r="G6741" i="7"/>
  <c r="G6742" i="7"/>
  <c r="G6743" i="7"/>
  <c r="G6744" i="7"/>
  <c r="G6745" i="7"/>
  <c r="G6746" i="7"/>
  <c r="G6747" i="7"/>
  <c r="G6748" i="7"/>
  <c r="G6749" i="7"/>
  <c r="G6750" i="7"/>
  <c r="G6751" i="7"/>
  <c r="G6752" i="7"/>
  <c r="G6753" i="7"/>
  <c r="G6754" i="7"/>
  <c r="G6755" i="7"/>
  <c r="G6756" i="7"/>
  <c r="G6757" i="7"/>
  <c r="G6758" i="7"/>
  <c r="G6759" i="7"/>
  <c r="G6760" i="7"/>
  <c r="G6761" i="7"/>
  <c r="G6762" i="7"/>
  <c r="G6763" i="7"/>
  <c r="G6764" i="7"/>
  <c r="G6765" i="7"/>
  <c r="G6766" i="7"/>
  <c r="G6767" i="7"/>
  <c r="G6768" i="7"/>
  <c r="G6769" i="7"/>
  <c r="G6770" i="7"/>
  <c r="G6771" i="7"/>
  <c r="G6772" i="7"/>
  <c r="G6773" i="7"/>
  <c r="G6774" i="7"/>
  <c r="G6775" i="7"/>
  <c r="G6776" i="7"/>
  <c r="G6777" i="7"/>
  <c r="G6778" i="7"/>
  <c r="G6779" i="7"/>
  <c r="G6780" i="7"/>
  <c r="G6781" i="7"/>
  <c r="G6782" i="7"/>
  <c r="G6783" i="7"/>
  <c r="G6784" i="7"/>
  <c r="G6785" i="7"/>
  <c r="G6786" i="7"/>
  <c r="G6787" i="7"/>
  <c r="G6788" i="7"/>
  <c r="G6789" i="7"/>
  <c r="G6790" i="7"/>
  <c r="G6791" i="7"/>
  <c r="G6792" i="7"/>
  <c r="G6793" i="7"/>
  <c r="G6794" i="7"/>
  <c r="G6795" i="7"/>
  <c r="G6796" i="7"/>
  <c r="G6797" i="7"/>
  <c r="G6798" i="7"/>
  <c r="G6799" i="7"/>
  <c r="G6800" i="7"/>
  <c r="G6801" i="7"/>
  <c r="G6802" i="7"/>
  <c r="G6803" i="7"/>
  <c r="G6804" i="7"/>
  <c r="G6805" i="7"/>
  <c r="G6806" i="7"/>
  <c r="G6807" i="7"/>
  <c r="G6808" i="7"/>
  <c r="G6809" i="7"/>
  <c r="G6810" i="7"/>
  <c r="G6811" i="7"/>
  <c r="G6812" i="7"/>
  <c r="G6813" i="7"/>
  <c r="G6814" i="7"/>
  <c r="G6815" i="7"/>
  <c r="G6816" i="7"/>
  <c r="G6817" i="7"/>
  <c r="G6818" i="7"/>
  <c r="G6819" i="7"/>
  <c r="G6820" i="7"/>
  <c r="G6821" i="7"/>
  <c r="G6822" i="7"/>
  <c r="G6823" i="7"/>
  <c r="G6824" i="7"/>
  <c r="G6825" i="7"/>
  <c r="G6826" i="7"/>
  <c r="G6827" i="7"/>
  <c r="G6828" i="7"/>
  <c r="G6829" i="7"/>
  <c r="G6830" i="7"/>
  <c r="G6831" i="7"/>
  <c r="G6832" i="7"/>
  <c r="G6833" i="7"/>
  <c r="G6834" i="7"/>
  <c r="G6835" i="7"/>
  <c r="G6836" i="7"/>
  <c r="G6837" i="7"/>
  <c r="G6838" i="7"/>
  <c r="G6839" i="7"/>
  <c r="G6840" i="7"/>
  <c r="G6841" i="7"/>
  <c r="G6842" i="7"/>
  <c r="G6843" i="7"/>
  <c r="G6844" i="7"/>
  <c r="G6845" i="7"/>
  <c r="G6846" i="7"/>
  <c r="G6847" i="7"/>
  <c r="G6848" i="7"/>
  <c r="G6849" i="7"/>
  <c r="G6850" i="7"/>
  <c r="G6851" i="7"/>
  <c r="G6852" i="7"/>
  <c r="G6853" i="7"/>
  <c r="G6854" i="7"/>
  <c r="G6855" i="7"/>
  <c r="G6856" i="7"/>
  <c r="G6857" i="7"/>
  <c r="G6858" i="7"/>
  <c r="G6859" i="7"/>
  <c r="G6860" i="7"/>
  <c r="G6861" i="7"/>
  <c r="G6862" i="7"/>
  <c r="G6863" i="7"/>
  <c r="G6864" i="7"/>
  <c r="G6865" i="7"/>
  <c r="G6866" i="7"/>
  <c r="G6867" i="7"/>
  <c r="G6868" i="7"/>
  <c r="G6869" i="7"/>
  <c r="G6870" i="7"/>
  <c r="G6871" i="7"/>
  <c r="G6872" i="7"/>
  <c r="G6873" i="7"/>
  <c r="G6874" i="7"/>
  <c r="G6875" i="7"/>
  <c r="G6876" i="7"/>
  <c r="G6877" i="7"/>
  <c r="G6878" i="7"/>
  <c r="G6879" i="7"/>
  <c r="G6880" i="7"/>
  <c r="G6881" i="7"/>
  <c r="G6882" i="7"/>
  <c r="G6883" i="7"/>
  <c r="G6884" i="7"/>
  <c r="G6885" i="7"/>
  <c r="G6886" i="7"/>
  <c r="G6887" i="7"/>
  <c r="G6888" i="7"/>
  <c r="G6889" i="7"/>
  <c r="G6890" i="7"/>
  <c r="G6891" i="7"/>
  <c r="G6892" i="7"/>
  <c r="G6893" i="7"/>
  <c r="G6894" i="7"/>
  <c r="G6895" i="7"/>
  <c r="G6896" i="7"/>
  <c r="G6897" i="7"/>
  <c r="G6898" i="7"/>
  <c r="G6899" i="7"/>
  <c r="G6900" i="7"/>
  <c r="G6901" i="7"/>
  <c r="G6902" i="7"/>
  <c r="G6903" i="7"/>
  <c r="G6904" i="7"/>
  <c r="G6905" i="7"/>
  <c r="G6906" i="7"/>
  <c r="G6907" i="7"/>
  <c r="G6908" i="7"/>
  <c r="G6909" i="7"/>
  <c r="G6910" i="7"/>
  <c r="G6911" i="7"/>
  <c r="G6912" i="7"/>
  <c r="G6913" i="7"/>
  <c r="G6914" i="7"/>
  <c r="G6915" i="7"/>
  <c r="G6916" i="7"/>
  <c r="G6917" i="7"/>
  <c r="G6918" i="7"/>
  <c r="G6919" i="7"/>
  <c r="G6920" i="7"/>
  <c r="G6921" i="7"/>
  <c r="G6922" i="7"/>
  <c r="G6923" i="7"/>
  <c r="G6924" i="7"/>
  <c r="G6925" i="7"/>
  <c r="G6926" i="7"/>
  <c r="G6927" i="7"/>
  <c r="G6928" i="7"/>
  <c r="G6929" i="7"/>
  <c r="G6930" i="7"/>
  <c r="G6931" i="7"/>
  <c r="G6932" i="7"/>
  <c r="G6933" i="7"/>
  <c r="G6934" i="7"/>
  <c r="G6935" i="7"/>
  <c r="G6936" i="7"/>
  <c r="G6937" i="7"/>
  <c r="G6938" i="7"/>
  <c r="G6939" i="7"/>
  <c r="G6940" i="7"/>
  <c r="G6941" i="7"/>
  <c r="G6942" i="7"/>
  <c r="G6943" i="7"/>
  <c r="G6944" i="7"/>
  <c r="G6945" i="7"/>
  <c r="G6946" i="7"/>
  <c r="G6947" i="7"/>
  <c r="G6948" i="7"/>
  <c r="G6949" i="7"/>
  <c r="G6950" i="7"/>
  <c r="G6951" i="7"/>
  <c r="G6952" i="7"/>
  <c r="G6953" i="7"/>
  <c r="G6954" i="7"/>
  <c r="G6955" i="7"/>
  <c r="G6956" i="7"/>
  <c r="G6957" i="7"/>
  <c r="G6958" i="7"/>
  <c r="G6959" i="7"/>
  <c r="G6960" i="7"/>
  <c r="G6961" i="7"/>
  <c r="G6962" i="7"/>
  <c r="G6963" i="7"/>
  <c r="G6964" i="7"/>
  <c r="G6965" i="7"/>
  <c r="G6966" i="7"/>
  <c r="G6967" i="7"/>
  <c r="G6968" i="7"/>
  <c r="G6969" i="7"/>
  <c r="G6970" i="7"/>
  <c r="G6971" i="7"/>
  <c r="G6972" i="7"/>
  <c r="G6973" i="7"/>
  <c r="G6974" i="7"/>
  <c r="G6975" i="7"/>
  <c r="G6976" i="7"/>
  <c r="G6977" i="7"/>
  <c r="G6978" i="7"/>
  <c r="G6979" i="7"/>
  <c r="G6980" i="7"/>
  <c r="G6981" i="7"/>
  <c r="G6982" i="7"/>
  <c r="G6983" i="7"/>
  <c r="G6984" i="7"/>
  <c r="G6985" i="7"/>
  <c r="G6986" i="7"/>
  <c r="G6987" i="7"/>
  <c r="G6988" i="7"/>
  <c r="G6989" i="7"/>
  <c r="G6990" i="7"/>
  <c r="G6991" i="7"/>
  <c r="G6992" i="7"/>
  <c r="G6993" i="7"/>
  <c r="G6994" i="7"/>
  <c r="G6995" i="7"/>
  <c r="G6996" i="7"/>
  <c r="G6997" i="7"/>
  <c r="G6998" i="7"/>
  <c r="G6999" i="7"/>
  <c r="G7000" i="7"/>
  <c r="G7001" i="7"/>
  <c r="G7002" i="7"/>
  <c r="G7003" i="7"/>
  <c r="G7004" i="7"/>
  <c r="G7005" i="7"/>
  <c r="G7006" i="7"/>
  <c r="G7007" i="7"/>
  <c r="G7008" i="7"/>
  <c r="G7009" i="7"/>
  <c r="G7010" i="7"/>
  <c r="G7011" i="7"/>
  <c r="G7012" i="7"/>
  <c r="G7013" i="7"/>
  <c r="G7014" i="7"/>
  <c r="G7015" i="7"/>
  <c r="G7016" i="7"/>
  <c r="G7017" i="7"/>
  <c r="G7018" i="7"/>
  <c r="G7019" i="7"/>
  <c r="G7020" i="7"/>
  <c r="G7021" i="7"/>
  <c r="G7022" i="7"/>
  <c r="G7023" i="7"/>
  <c r="G7024" i="7"/>
  <c r="G7025" i="7"/>
  <c r="G7026" i="7"/>
  <c r="G7027" i="7"/>
  <c r="G7028" i="7"/>
  <c r="G7029" i="7"/>
  <c r="G7030" i="7"/>
  <c r="G7031" i="7"/>
  <c r="G7032" i="7"/>
  <c r="G7033" i="7"/>
  <c r="G7034" i="7"/>
  <c r="G7035" i="7"/>
  <c r="G7036" i="7"/>
  <c r="G7037" i="7"/>
  <c r="G7038" i="7"/>
  <c r="G7039" i="7"/>
  <c r="G7040" i="7"/>
  <c r="G7041" i="7"/>
  <c r="G7042" i="7"/>
  <c r="G7043" i="7"/>
  <c r="G7044" i="7"/>
  <c r="G7045" i="7"/>
  <c r="G7046" i="7"/>
  <c r="G7047" i="7"/>
  <c r="G7048" i="7"/>
  <c r="G7049" i="7"/>
  <c r="G7050" i="7"/>
  <c r="G7051" i="7"/>
  <c r="G7052" i="7"/>
  <c r="G7053" i="7"/>
  <c r="G7054" i="7"/>
  <c r="G7055" i="7"/>
  <c r="G7056" i="7"/>
  <c r="G7057" i="7"/>
  <c r="G7058" i="7"/>
  <c r="G7059" i="7"/>
  <c r="G7060" i="7"/>
  <c r="G7061" i="7"/>
  <c r="G7062" i="7"/>
  <c r="G7063" i="7"/>
  <c r="G7064" i="7"/>
  <c r="G7065" i="7"/>
  <c r="G7066" i="7"/>
  <c r="G7067" i="7"/>
  <c r="G7068" i="7"/>
  <c r="G7069" i="7"/>
  <c r="G7070" i="7"/>
  <c r="G7071" i="7"/>
  <c r="G7072" i="7"/>
  <c r="G7073" i="7"/>
  <c r="G7074" i="7"/>
  <c r="G7075" i="7"/>
  <c r="G7076" i="7"/>
  <c r="G7077" i="7"/>
  <c r="G7078" i="7"/>
  <c r="G7079" i="7"/>
  <c r="G7080" i="7"/>
  <c r="G7081" i="7"/>
  <c r="G7082" i="7"/>
  <c r="G7083" i="7"/>
  <c r="G7084" i="7"/>
  <c r="G7085" i="7"/>
  <c r="G7086" i="7"/>
  <c r="G7087" i="7"/>
  <c r="G7088" i="7"/>
  <c r="G7089" i="7"/>
  <c r="G7090" i="7"/>
  <c r="G7091" i="7"/>
  <c r="G7092" i="7"/>
  <c r="G7093" i="7"/>
  <c r="G7094" i="7"/>
  <c r="G7095" i="7"/>
  <c r="G7096" i="7"/>
  <c r="G7097" i="7"/>
  <c r="G7098" i="7"/>
  <c r="G7099" i="7"/>
  <c r="G7100" i="7"/>
  <c r="G7101" i="7"/>
  <c r="G7102" i="7"/>
  <c r="G7103" i="7"/>
  <c r="G7104" i="7"/>
  <c r="G7105" i="7"/>
  <c r="G7106" i="7"/>
  <c r="G7107" i="7"/>
  <c r="G7108" i="7"/>
  <c r="G7109" i="7"/>
  <c r="G7110" i="7"/>
  <c r="G7111" i="7"/>
  <c r="G7112" i="7"/>
  <c r="G7113" i="7"/>
  <c r="G7114" i="7"/>
  <c r="G7115" i="7"/>
  <c r="G7116" i="7"/>
  <c r="G7117" i="7"/>
  <c r="G7118" i="7"/>
  <c r="G7119" i="7"/>
  <c r="G7120" i="7"/>
  <c r="G7121" i="7"/>
  <c r="G7122" i="7"/>
  <c r="G7123" i="7"/>
  <c r="G7124" i="7"/>
  <c r="G7125" i="7"/>
  <c r="G7126" i="7"/>
  <c r="G7127" i="7"/>
  <c r="G7128" i="7"/>
  <c r="G7129" i="7"/>
  <c r="G7130" i="7"/>
  <c r="G7131" i="7"/>
  <c r="G7132" i="7"/>
  <c r="G7133" i="7"/>
  <c r="G7134" i="7"/>
  <c r="G7135" i="7"/>
  <c r="G7136" i="7"/>
  <c r="G7137" i="7"/>
  <c r="G7138" i="7"/>
  <c r="G7139" i="7"/>
  <c r="G7140" i="7"/>
  <c r="G7141" i="7"/>
  <c r="G7142" i="7"/>
  <c r="G7143" i="7"/>
  <c r="G7144" i="7"/>
  <c r="G7145" i="7"/>
  <c r="G7146" i="7"/>
  <c r="G7147" i="7"/>
  <c r="G7148" i="7"/>
  <c r="G7149" i="7"/>
  <c r="G7150" i="7"/>
  <c r="G7151" i="7"/>
  <c r="G7152" i="7"/>
  <c r="G7153" i="7"/>
  <c r="G7154" i="7"/>
  <c r="G7155" i="7"/>
  <c r="G7156" i="7"/>
  <c r="G7157" i="7"/>
  <c r="G7158" i="7"/>
  <c r="G7159" i="7"/>
  <c r="G7160" i="7"/>
  <c r="G7161" i="7"/>
  <c r="G7162" i="7"/>
  <c r="G7163" i="7"/>
  <c r="G7164" i="7"/>
  <c r="G7165" i="7"/>
  <c r="G7166" i="7"/>
  <c r="G7167" i="7"/>
  <c r="G7168" i="7"/>
  <c r="G7169" i="7"/>
  <c r="G7170" i="7"/>
  <c r="G7171" i="7"/>
  <c r="G7172" i="7"/>
  <c r="G7173" i="7"/>
  <c r="G7174" i="7"/>
  <c r="G7175" i="7"/>
  <c r="G7176" i="7"/>
  <c r="G7177" i="7"/>
  <c r="G7178" i="7"/>
  <c r="G7179" i="7"/>
  <c r="G7180" i="7"/>
  <c r="G7181" i="7"/>
  <c r="G7182" i="7"/>
  <c r="G7183" i="7"/>
  <c r="G7184" i="7"/>
  <c r="G7185" i="7"/>
  <c r="G7186" i="7"/>
  <c r="G7187" i="7"/>
  <c r="G7188" i="7"/>
  <c r="G7189" i="7"/>
  <c r="G7190" i="7"/>
  <c r="G7191" i="7"/>
  <c r="G7192" i="7"/>
  <c r="G7193" i="7"/>
  <c r="G7194" i="7"/>
  <c r="G7195" i="7"/>
  <c r="G7196" i="7"/>
  <c r="G7197" i="7"/>
  <c r="G7198" i="7"/>
  <c r="G7199" i="7"/>
  <c r="G7200" i="7"/>
  <c r="G7201" i="7"/>
  <c r="G7202" i="7"/>
  <c r="G7203" i="7"/>
  <c r="G7204" i="7"/>
  <c r="G7205" i="7"/>
  <c r="G7206" i="7"/>
  <c r="G7207" i="7"/>
  <c r="G7208" i="7"/>
  <c r="G7209" i="7"/>
  <c r="G7210" i="7"/>
  <c r="G7211" i="7"/>
  <c r="G7212" i="7"/>
  <c r="G7213" i="7"/>
  <c r="G7214" i="7"/>
  <c r="G7215" i="7"/>
  <c r="G7216" i="7"/>
  <c r="G7217" i="7"/>
  <c r="G7218" i="7"/>
  <c r="G7219" i="7"/>
  <c r="G7220" i="7"/>
  <c r="G7221" i="7"/>
  <c r="G7222" i="7"/>
  <c r="G7223" i="7"/>
  <c r="G7224" i="7"/>
  <c r="G7225" i="7"/>
  <c r="G7226" i="7"/>
  <c r="G7227" i="7"/>
  <c r="G7228" i="7"/>
  <c r="G7229" i="7"/>
  <c r="G7230" i="7"/>
  <c r="G7231" i="7"/>
  <c r="G7232" i="7"/>
  <c r="G7233" i="7"/>
  <c r="G7234" i="7"/>
  <c r="G7235" i="7"/>
  <c r="G7236" i="7"/>
  <c r="G7237" i="7"/>
  <c r="G7238" i="7"/>
  <c r="G7239" i="7"/>
  <c r="G7240" i="7"/>
  <c r="G7241" i="7"/>
  <c r="G7242" i="7"/>
  <c r="G7243" i="7"/>
  <c r="G7244" i="7"/>
  <c r="G7245" i="7"/>
  <c r="G7246" i="7"/>
  <c r="G7247" i="7"/>
  <c r="G7248" i="7"/>
  <c r="G7249" i="7"/>
  <c r="G7250" i="7"/>
  <c r="G7251" i="7"/>
  <c r="G7252" i="7"/>
  <c r="G7253" i="7"/>
  <c r="G7254" i="7"/>
  <c r="G7255" i="7"/>
  <c r="G7256" i="7"/>
  <c r="G7257" i="7"/>
  <c r="G7258" i="7"/>
  <c r="G7259" i="7"/>
  <c r="G7260" i="7"/>
  <c r="G7261" i="7"/>
  <c r="G7262" i="7"/>
  <c r="G7263" i="7"/>
  <c r="G7264" i="7"/>
  <c r="G7265" i="7"/>
  <c r="G7266" i="7"/>
  <c r="G7267" i="7"/>
  <c r="G7268" i="7"/>
  <c r="G7269" i="7"/>
  <c r="G7270" i="7"/>
  <c r="G7271" i="7"/>
  <c r="G7272" i="7"/>
  <c r="G7273" i="7"/>
  <c r="G7274" i="7"/>
  <c r="G7275" i="7"/>
  <c r="G7276" i="7"/>
  <c r="G7277" i="7"/>
  <c r="G7278" i="7"/>
  <c r="G7279" i="7"/>
  <c r="G7280" i="7"/>
  <c r="G7281" i="7"/>
  <c r="G7282" i="7"/>
  <c r="G7283" i="7"/>
  <c r="G7284" i="7"/>
  <c r="G7285" i="7"/>
  <c r="G7286" i="7"/>
  <c r="G7287" i="7"/>
  <c r="G7288" i="7"/>
  <c r="G7289" i="7"/>
  <c r="G7290" i="7"/>
  <c r="G7291" i="7"/>
  <c r="G7292" i="7"/>
  <c r="G7293" i="7"/>
  <c r="G7294" i="7"/>
  <c r="G7295" i="7"/>
  <c r="G7296" i="7"/>
  <c r="G7297" i="7"/>
  <c r="G7298" i="7"/>
  <c r="G7299" i="7"/>
  <c r="G7300" i="7"/>
  <c r="G7301" i="7"/>
  <c r="G7302" i="7"/>
  <c r="G7303" i="7"/>
  <c r="G7304" i="7"/>
  <c r="G7305" i="7"/>
  <c r="G7306" i="7"/>
  <c r="G7307" i="7"/>
  <c r="G7308" i="7"/>
  <c r="G7309" i="7"/>
  <c r="G7310" i="7"/>
  <c r="G7311" i="7"/>
  <c r="G7312" i="7"/>
  <c r="G7313" i="7"/>
  <c r="G7314" i="7"/>
  <c r="G7315" i="7"/>
  <c r="G7316" i="7"/>
  <c r="G7317" i="7"/>
  <c r="G7318" i="7"/>
  <c r="G7319" i="7"/>
  <c r="G7320" i="7"/>
  <c r="G7321" i="7"/>
  <c r="G7322" i="7"/>
  <c r="G7323" i="7"/>
  <c r="G7324" i="7"/>
  <c r="G7325" i="7"/>
  <c r="G7326" i="7"/>
  <c r="G7327" i="7"/>
  <c r="G7328" i="7"/>
  <c r="G7329" i="7"/>
  <c r="G7330" i="7"/>
  <c r="G7331" i="7"/>
  <c r="G7332" i="7"/>
  <c r="G7333" i="7"/>
  <c r="G7334" i="7"/>
  <c r="G7335" i="7"/>
  <c r="G7336" i="7"/>
  <c r="G7337" i="7"/>
  <c r="G7338" i="7"/>
  <c r="G7339" i="7"/>
  <c r="G7340" i="7"/>
  <c r="G7341" i="7"/>
  <c r="G7342" i="7"/>
  <c r="G7343" i="7"/>
  <c r="G7344" i="7"/>
  <c r="G7345" i="7"/>
  <c r="G7346" i="7"/>
  <c r="G7347" i="7"/>
  <c r="G7348" i="7"/>
  <c r="G7349" i="7"/>
  <c r="G7350" i="7"/>
  <c r="G7351" i="7"/>
  <c r="G7352" i="7"/>
  <c r="G7353" i="7"/>
  <c r="G7354" i="7"/>
  <c r="G7355" i="7"/>
  <c r="G7356" i="7"/>
  <c r="G7357" i="7"/>
  <c r="G7358" i="7"/>
  <c r="G7359" i="7"/>
  <c r="G7360" i="7"/>
  <c r="G7361" i="7"/>
  <c r="G7362" i="7"/>
  <c r="G7363" i="7"/>
  <c r="G7364" i="7"/>
  <c r="G7365" i="7"/>
  <c r="G7366" i="7"/>
  <c r="G7367" i="7"/>
  <c r="G7368" i="7"/>
  <c r="G7369" i="7"/>
  <c r="G7370" i="7"/>
  <c r="G7371" i="7"/>
  <c r="G7372" i="7"/>
  <c r="G7373" i="7"/>
  <c r="G7374" i="7"/>
  <c r="G7375" i="7"/>
  <c r="G7376" i="7"/>
  <c r="G7377" i="7"/>
  <c r="G7378" i="7"/>
  <c r="G7379" i="7"/>
  <c r="G7380" i="7"/>
  <c r="G7381" i="7"/>
  <c r="G7382" i="7"/>
  <c r="G7383" i="7"/>
  <c r="G7384" i="7"/>
  <c r="G7385" i="7"/>
  <c r="G7386" i="7"/>
  <c r="G7387" i="7"/>
  <c r="G7388" i="7"/>
  <c r="G7389" i="7"/>
  <c r="G7390" i="7"/>
  <c r="G7391" i="7"/>
  <c r="G7392" i="7"/>
  <c r="G7393" i="7"/>
  <c r="G7394" i="7"/>
  <c r="G7395" i="7"/>
  <c r="G7396" i="7"/>
  <c r="G7397" i="7"/>
  <c r="G7398" i="7"/>
  <c r="G7399" i="7"/>
  <c r="G7400" i="7"/>
  <c r="G7401" i="7"/>
  <c r="G7402" i="7"/>
  <c r="G7403" i="7"/>
  <c r="G7404" i="7"/>
  <c r="G7405" i="7"/>
  <c r="G7406" i="7"/>
  <c r="G7407" i="7"/>
  <c r="G7408" i="7"/>
  <c r="G7409" i="7"/>
  <c r="G7410" i="7"/>
  <c r="G7411" i="7"/>
  <c r="G7412" i="7"/>
  <c r="G7413" i="7"/>
  <c r="G7414" i="7"/>
  <c r="G7415" i="7"/>
  <c r="G7416" i="7"/>
  <c r="G7417" i="7"/>
  <c r="G7418" i="7"/>
  <c r="G7419" i="7"/>
  <c r="G7420" i="7"/>
  <c r="G7421" i="7"/>
  <c r="G7422" i="7"/>
  <c r="G7423" i="7"/>
  <c r="G7424" i="7"/>
  <c r="G7425" i="7"/>
  <c r="G7426" i="7"/>
  <c r="G7427" i="7"/>
  <c r="G7428" i="7"/>
  <c r="G7429" i="7"/>
  <c r="G7430" i="7"/>
  <c r="G7431" i="7"/>
  <c r="G7432" i="7"/>
  <c r="G7433" i="7"/>
  <c r="G7434" i="7"/>
  <c r="G7435" i="7"/>
  <c r="G7436" i="7"/>
  <c r="G7437" i="7"/>
  <c r="G7438" i="7"/>
  <c r="G7439" i="7"/>
  <c r="G7440" i="7"/>
  <c r="G7441" i="7"/>
  <c r="G7442" i="7"/>
  <c r="G7443" i="7"/>
  <c r="G7444" i="7"/>
  <c r="G7445" i="7"/>
  <c r="G7446" i="7"/>
  <c r="G7447" i="7"/>
  <c r="G7448" i="7"/>
  <c r="G7449" i="7"/>
  <c r="G7450" i="7"/>
  <c r="G7451" i="7"/>
  <c r="G7452" i="7"/>
  <c r="G7453" i="7"/>
  <c r="G7454" i="7"/>
  <c r="G7455" i="7"/>
  <c r="G7456" i="7"/>
  <c r="G7457" i="7"/>
  <c r="G7458" i="7"/>
  <c r="G7459" i="7"/>
  <c r="G7460" i="7"/>
  <c r="G7461" i="7"/>
  <c r="G7462" i="7"/>
  <c r="G7463" i="7"/>
  <c r="G7464" i="7"/>
  <c r="G7465" i="7"/>
  <c r="G7466" i="7"/>
  <c r="G7467" i="7"/>
  <c r="G7468" i="7"/>
  <c r="G7469" i="7"/>
  <c r="G7470" i="7"/>
  <c r="G7471" i="7"/>
  <c r="G7472" i="7"/>
  <c r="G7473" i="7"/>
  <c r="G7474" i="7"/>
  <c r="G7475" i="7"/>
  <c r="G7476" i="7"/>
  <c r="G7477" i="7"/>
  <c r="G7478" i="7"/>
  <c r="G7479" i="7"/>
  <c r="G7480" i="7"/>
  <c r="G7481" i="7"/>
  <c r="G7482" i="7"/>
  <c r="G7483" i="7"/>
  <c r="G7484" i="7"/>
  <c r="G7485" i="7"/>
  <c r="G7486" i="7"/>
  <c r="G7487" i="7"/>
  <c r="G7488" i="7"/>
  <c r="G7489" i="7"/>
  <c r="G7490" i="7"/>
  <c r="G7491" i="7"/>
  <c r="G7492" i="7"/>
  <c r="G7493" i="7"/>
  <c r="G7494" i="7"/>
  <c r="G7495" i="7"/>
  <c r="G7496" i="7"/>
  <c r="G7497" i="7"/>
  <c r="G7498" i="7"/>
  <c r="G7499" i="7"/>
  <c r="G7500" i="7"/>
  <c r="G7501" i="7"/>
  <c r="G7502" i="7"/>
  <c r="G7503" i="7"/>
  <c r="G7504" i="7"/>
  <c r="G7505" i="7"/>
  <c r="G7506" i="7"/>
  <c r="G7507" i="7"/>
  <c r="G7508" i="7"/>
  <c r="G7509" i="7"/>
  <c r="G7510" i="7"/>
  <c r="G7511" i="7"/>
  <c r="G7512" i="7"/>
  <c r="G7513" i="7"/>
  <c r="G7514" i="7"/>
  <c r="G7515" i="7"/>
  <c r="G7516" i="7"/>
  <c r="G7517" i="7"/>
  <c r="G7518" i="7"/>
  <c r="G7519" i="7"/>
  <c r="G7520" i="7"/>
  <c r="G7521" i="7"/>
  <c r="G7522" i="7"/>
  <c r="G7523" i="7"/>
  <c r="G7524" i="7"/>
  <c r="G7525" i="7"/>
  <c r="G7526" i="7"/>
  <c r="G7527" i="7"/>
  <c r="G7528" i="7"/>
  <c r="G7529" i="7"/>
  <c r="G7530" i="7"/>
  <c r="G7531" i="7"/>
  <c r="G7532" i="7"/>
  <c r="G7533" i="7"/>
  <c r="G7534" i="7"/>
  <c r="G7535" i="7"/>
  <c r="G7536" i="7"/>
  <c r="G7537" i="7"/>
  <c r="G7538" i="7"/>
  <c r="G7539" i="7"/>
  <c r="G7540" i="7"/>
  <c r="G7541" i="7"/>
  <c r="G7542" i="7"/>
  <c r="G7543" i="7"/>
  <c r="G7544" i="7"/>
  <c r="G7545" i="7"/>
  <c r="G7546" i="7"/>
  <c r="G7547" i="7"/>
  <c r="G7548" i="7"/>
  <c r="G7549" i="7"/>
  <c r="G7550" i="7"/>
  <c r="G7551" i="7"/>
  <c r="G7552" i="7"/>
  <c r="G7553" i="7"/>
  <c r="G7554" i="7"/>
  <c r="G7555" i="7"/>
  <c r="G7556" i="7"/>
  <c r="G7557" i="7"/>
  <c r="G7558" i="7"/>
  <c r="G7559" i="7"/>
  <c r="G7560" i="7"/>
  <c r="G7561" i="7"/>
  <c r="G7562" i="7"/>
  <c r="G7563" i="7"/>
  <c r="G7564" i="7"/>
  <c r="G7565" i="7"/>
  <c r="G7566" i="7"/>
  <c r="G7567" i="7"/>
  <c r="G7568" i="7"/>
  <c r="G7569" i="7"/>
  <c r="G7570" i="7"/>
  <c r="G7571" i="7"/>
  <c r="G7572" i="7"/>
  <c r="G7573" i="7"/>
  <c r="G7574" i="7"/>
  <c r="G7575" i="7"/>
  <c r="G7576" i="7"/>
  <c r="G7577" i="7"/>
  <c r="G7578" i="7"/>
  <c r="G7579" i="7"/>
  <c r="G7580" i="7"/>
  <c r="G7581" i="7"/>
  <c r="G7582" i="7"/>
  <c r="G7583" i="7"/>
  <c r="G7584" i="7"/>
  <c r="G7585" i="7"/>
  <c r="G7586" i="7"/>
  <c r="G7587" i="7"/>
  <c r="G7588" i="7"/>
  <c r="G7589" i="7"/>
  <c r="G7590" i="7"/>
  <c r="G7591" i="7"/>
  <c r="G7592" i="7"/>
  <c r="G7593" i="7"/>
  <c r="G7594" i="7"/>
  <c r="G7595" i="7"/>
  <c r="G7596" i="7"/>
  <c r="G7597" i="7"/>
  <c r="G7598" i="7"/>
  <c r="G7599" i="7"/>
  <c r="G7600" i="7"/>
  <c r="G7601" i="7"/>
  <c r="G7602" i="7"/>
  <c r="G7603" i="7"/>
  <c r="G7604" i="7"/>
  <c r="G7605" i="7"/>
  <c r="G7606" i="7"/>
  <c r="G7607" i="7"/>
  <c r="G7608" i="7"/>
  <c r="G7609" i="7"/>
  <c r="G7610" i="7"/>
  <c r="G7611" i="7"/>
  <c r="G7612" i="7"/>
  <c r="G7613" i="7"/>
  <c r="G7614" i="7"/>
  <c r="G7615" i="7"/>
  <c r="G7616" i="7"/>
  <c r="G7617" i="7"/>
  <c r="G7618" i="7"/>
  <c r="G7619" i="7"/>
  <c r="G7620" i="7"/>
  <c r="G7621" i="7"/>
  <c r="G7622" i="7"/>
  <c r="G7623" i="7"/>
  <c r="G7624" i="7"/>
  <c r="G7625" i="7"/>
  <c r="G7626" i="7"/>
  <c r="G7627" i="7"/>
  <c r="G7628" i="7"/>
  <c r="G7629" i="7"/>
  <c r="G7630" i="7"/>
  <c r="G7631" i="7"/>
  <c r="G7632" i="7"/>
  <c r="G7633" i="7"/>
  <c r="G7634" i="7"/>
  <c r="G7635" i="7"/>
  <c r="G7636" i="7"/>
  <c r="G7637" i="7"/>
  <c r="G7638" i="7"/>
  <c r="G7639" i="7"/>
  <c r="G7640" i="7"/>
  <c r="G7641" i="7"/>
  <c r="G7642" i="7"/>
  <c r="G7643" i="7"/>
  <c r="G7644" i="7"/>
  <c r="G7645" i="7"/>
  <c r="G7646" i="7"/>
  <c r="G7647" i="7"/>
  <c r="G7648" i="7"/>
  <c r="G7649" i="7"/>
  <c r="G7650" i="7"/>
  <c r="G7651" i="7"/>
  <c r="G7652" i="7"/>
  <c r="G7653" i="7"/>
  <c r="G7654" i="7"/>
  <c r="G7655" i="7"/>
  <c r="G7656" i="7"/>
  <c r="G7657" i="7"/>
  <c r="G7658" i="7"/>
  <c r="G7659" i="7"/>
  <c r="G7660" i="7"/>
  <c r="G7661" i="7"/>
  <c r="G7662" i="7"/>
  <c r="G7663" i="7"/>
  <c r="G7664" i="7"/>
  <c r="G7665" i="7"/>
  <c r="G7666" i="7"/>
  <c r="G7667" i="7"/>
  <c r="G7668" i="7"/>
  <c r="G7669" i="7"/>
  <c r="G7670" i="7"/>
  <c r="G7671" i="7"/>
  <c r="G7672" i="7"/>
  <c r="G7673" i="7"/>
  <c r="G7674" i="7"/>
  <c r="G7675" i="7"/>
  <c r="G7676" i="7"/>
  <c r="G7677" i="7"/>
  <c r="G7678" i="7"/>
  <c r="G7679" i="7"/>
  <c r="G7680" i="7"/>
  <c r="G7681" i="7"/>
  <c r="G7682" i="7"/>
  <c r="G7683" i="7"/>
  <c r="G7684" i="7"/>
  <c r="G7685" i="7"/>
  <c r="G7686" i="7"/>
  <c r="G7687" i="7"/>
  <c r="G7688" i="7"/>
  <c r="G7689" i="7"/>
  <c r="G7690" i="7"/>
  <c r="G7691" i="7"/>
  <c r="G7692" i="7"/>
  <c r="G7693" i="7"/>
  <c r="G7694" i="7"/>
  <c r="G7695" i="7"/>
  <c r="G7696" i="7"/>
  <c r="G7697" i="7"/>
  <c r="G7698" i="7"/>
  <c r="G7699" i="7"/>
  <c r="G7700" i="7"/>
  <c r="G7701" i="7"/>
  <c r="G7702" i="7"/>
  <c r="G7703" i="7"/>
  <c r="G7704" i="7"/>
  <c r="G7705" i="7"/>
  <c r="G7706" i="7"/>
  <c r="G7707" i="7"/>
  <c r="G7708" i="7"/>
  <c r="G7709" i="7"/>
  <c r="G7710" i="7"/>
  <c r="G7711" i="7"/>
  <c r="G7712" i="7"/>
  <c r="G7713" i="7"/>
  <c r="G7714" i="7"/>
  <c r="G7715" i="7"/>
  <c r="G7716" i="7"/>
  <c r="G7717" i="7"/>
  <c r="G7718" i="7"/>
  <c r="G7719" i="7"/>
  <c r="G7720" i="7"/>
  <c r="G7721" i="7"/>
  <c r="G7722" i="7"/>
  <c r="G7723" i="7"/>
  <c r="G7724" i="7"/>
  <c r="G7725" i="7"/>
  <c r="G7726" i="7"/>
  <c r="G7727" i="7"/>
  <c r="G7728" i="7"/>
  <c r="G7729" i="7"/>
  <c r="G7730" i="7"/>
  <c r="G7731" i="7"/>
  <c r="G7732" i="7"/>
  <c r="G7733" i="7"/>
  <c r="G7734" i="7"/>
  <c r="G7735" i="7"/>
  <c r="G7736" i="7"/>
  <c r="G7737" i="7"/>
  <c r="G7738" i="7"/>
  <c r="G7739" i="7"/>
  <c r="G7740" i="7"/>
  <c r="G7741" i="7"/>
  <c r="G7742" i="7"/>
  <c r="G7743" i="7"/>
  <c r="G7744" i="7"/>
  <c r="G7745" i="7"/>
  <c r="G7746" i="7"/>
  <c r="G7747" i="7"/>
  <c r="G7748" i="7"/>
  <c r="G7749" i="7"/>
  <c r="G7750" i="7"/>
  <c r="G7751" i="7"/>
  <c r="G7752" i="7"/>
  <c r="G7753" i="7"/>
  <c r="G7754" i="7"/>
  <c r="G7755" i="7"/>
  <c r="G7756" i="7"/>
  <c r="G7757" i="7"/>
  <c r="G7758" i="7"/>
  <c r="G7759" i="7"/>
  <c r="G7760" i="7"/>
  <c r="G7761" i="7"/>
  <c r="G7762" i="7"/>
  <c r="G7763" i="7"/>
  <c r="G7764" i="7"/>
  <c r="G7765" i="7"/>
  <c r="G7766" i="7"/>
  <c r="G7767" i="7"/>
  <c r="G7768" i="7"/>
  <c r="G7769" i="7"/>
  <c r="G7770" i="7"/>
  <c r="G7771" i="7"/>
  <c r="G7772" i="7"/>
  <c r="G7773" i="7"/>
  <c r="G7774" i="7"/>
  <c r="G7775" i="7"/>
  <c r="G7776" i="7"/>
  <c r="G7777" i="7"/>
  <c r="G7778" i="7"/>
  <c r="G7779" i="7"/>
  <c r="G7780" i="7"/>
  <c r="G7781" i="7"/>
  <c r="G7782" i="7"/>
  <c r="G7783" i="7"/>
  <c r="G7784" i="7"/>
  <c r="G7785" i="7"/>
  <c r="G7786" i="7"/>
  <c r="G7787" i="7"/>
  <c r="G7788" i="7"/>
  <c r="G7789" i="7"/>
  <c r="G7790" i="7"/>
  <c r="G7791" i="7"/>
  <c r="G7792" i="7"/>
  <c r="G7793" i="7"/>
  <c r="G7794" i="7"/>
  <c r="G7795" i="7"/>
  <c r="G7796" i="7"/>
  <c r="G7797" i="7"/>
  <c r="G7798" i="7"/>
  <c r="G7799" i="7"/>
  <c r="G7800" i="7"/>
  <c r="G7801" i="7"/>
  <c r="G7802" i="7"/>
  <c r="G7803" i="7"/>
  <c r="G7804" i="7"/>
  <c r="G7805" i="7"/>
  <c r="G7806" i="7"/>
  <c r="G7807" i="7"/>
  <c r="G7808" i="7"/>
  <c r="G7809" i="7"/>
  <c r="G7810" i="7"/>
  <c r="G7811" i="7"/>
  <c r="G7812" i="7"/>
  <c r="G7813" i="7"/>
  <c r="G7814" i="7"/>
  <c r="G7815" i="7"/>
  <c r="G7816" i="7"/>
  <c r="G7817" i="7"/>
  <c r="G7818" i="7"/>
  <c r="G7819" i="7"/>
  <c r="G7820" i="7"/>
  <c r="G7821" i="7"/>
  <c r="G7822" i="7"/>
  <c r="G7823" i="7"/>
  <c r="G7824" i="7"/>
  <c r="G7825" i="7"/>
  <c r="G7826" i="7"/>
  <c r="G7827" i="7"/>
  <c r="G7828" i="7"/>
  <c r="G7829" i="7"/>
  <c r="G7830" i="7"/>
  <c r="G7831" i="7"/>
  <c r="G7832" i="7"/>
  <c r="G7833" i="7"/>
  <c r="G7834" i="7"/>
  <c r="G7835" i="7"/>
  <c r="G7836" i="7"/>
  <c r="G7837" i="7"/>
  <c r="G7838" i="7"/>
  <c r="G7839" i="7"/>
  <c r="G7840" i="7"/>
  <c r="G7841" i="7"/>
  <c r="G7842" i="7"/>
  <c r="G7843" i="7"/>
  <c r="G7844" i="7"/>
  <c r="G7845" i="7"/>
  <c r="G7846" i="7"/>
  <c r="G7847" i="7"/>
  <c r="G7848" i="7"/>
  <c r="G7849" i="7"/>
  <c r="G7850" i="7"/>
  <c r="G7851" i="7"/>
  <c r="G7852" i="7"/>
  <c r="G7853" i="7"/>
  <c r="G7854" i="7"/>
  <c r="G7855" i="7"/>
  <c r="G7856" i="7"/>
  <c r="G7857" i="7"/>
  <c r="G7858" i="7"/>
  <c r="G7859" i="7"/>
  <c r="G7860" i="7"/>
  <c r="G7861" i="7"/>
  <c r="G7862" i="7"/>
  <c r="G7863" i="7"/>
  <c r="G7864" i="7"/>
  <c r="G7865" i="7"/>
  <c r="G7866" i="7"/>
  <c r="G7867" i="7"/>
  <c r="G7868" i="7"/>
  <c r="G7869" i="7"/>
  <c r="G7870" i="7"/>
  <c r="G7871" i="7"/>
  <c r="G7872" i="7"/>
  <c r="G7873" i="7"/>
  <c r="G7874" i="7"/>
  <c r="G7875" i="7"/>
  <c r="G7876" i="7"/>
  <c r="G7877" i="7"/>
  <c r="G7878" i="7"/>
  <c r="G7879" i="7"/>
  <c r="G7880" i="7"/>
  <c r="G7881" i="7"/>
  <c r="G7882" i="7"/>
  <c r="G7883" i="7"/>
  <c r="G7884" i="7"/>
  <c r="G7885" i="7"/>
  <c r="G7886" i="7"/>
  <c r="G7887" i="7"/>
  <c r="G7888" i="7"/>
  <c r="G7889" i="7"/>
  <c r="G7890" i="7"/>
  <c r="G7891" i="7"/>
  <c r="G7892" i="7"/>
  <c r="G7893" i="7"/>
  <c r="G7894" i="7"/>
  <c r="G7895" i="7"/>
  <c r="G7896" i="7"/>
  <c r="G7897" i="7"/>
  <c r="G7898" i="7"/>
  <c r="G7899" i="7"/>
  <c r="G7900" i="7"/>
  <c r="G7901" i="7"/>
  <c r="G7902" i="7"/>
  <c r="G7903" i="7"/>
  <c r="G7904" i="7"/>
  <c r="G7905" i="7"/>
  <c r="G7906" i="7"/>
  <c r="G7907" i="7"/>
  <c r="G7908" i="7"/>
  <c r="G7909" i="7"/>
  <c r="G7910" i="7"/>
  <c r="G7911" i="7"/>
  <c r="G7912" i="7"/>
  <c r="G7913" i="7"/>
  <c r="G7914" i="7"/>
  <c r="G7915" i="7"/>
  <c r="G7916" i="7"/>
  <c r="G7917" i="7"/>
  <c r="G7918" i="7"/>
  <c r="G7919" i="7"/>
  <c r="G7920" i="7"/>
  <c r="G7921" i="7"/>
  <c r="G7922" i="7"/>
  <c r="G7923" i="7"/>
  <c r="G7924" i="7"/>
  <c r="G7925" i="7"/>
  <c r="G7926" i="7"/>
  <c r="G7927" i="7"/>
  <c r="G7928" i="7"/>
  <c r="G7929" i="7"/>
  <c r="G7930" i="7"/>
  <c r="G7931" i="7"/>
  <c r="G7932" i="7"/>
  <c r="G7933" i="7"/>
  <c r="G7934" i="7"/>
  <c r="G7935" i="7"/>
  <c r="G7936" i="7"/>
  <c r="G7937" i="7"/>
  <c r="G7938" i="7"/>
  <c r="G7939" i="7"/>
  <c r="G7940" i="7"/>
  <c r="G7941" i="7"/>
  <c r="G7942" i="7"/>
  <c r="G7943" i="7"/>
  <c r="G7944" i="7"/>
  <c r="G7945" i="7"/>
  <c r="G7946" i="7"/>
  <c r="G7947" i="7"/>
  <c r="G7948" i="7"/>
  <c r="G7949" i="7"/>
  <c r="G7950" i="7"/>
  <c r="G7951" i="7"/>
  <c r="G7952" i="7"/>
  <c r="G7953" i="7"/>
  <c r="G7954" i="7"/>
  <c r="G7955" i="7"/>
  <c r="G7956" i="7"/>
  <c r="G7957" i="7"/>
  <c r="G7958" i="7"/>
  <c r="G7959" i="7"/>
  <c r="G7960" i="7"/>
  <c r="G7961" i="7"/>
  <c r="G7962" i="7"/>
  <c r="G7963" i="7"/>
  <c r="G7964" i="7"/>
  <c r="G7965" i="7"/>
  <c r="G7966" i="7"/>
  <c r="G7967" i="7"/>
  <c r="G7968" i="7"/>
  <c r="G7969" i="7"/>
  <c r="G7970" i="7"/>
  <c r="G7971" i="7"/>
  <c r="G7972" i="7"/>
  <c r="G7973" i="7"/>
  <c r="G7974" i="7"/>
  <c r="G7975" i="7"/>
  <c r="G7976" i="7"/>
  <c r="G7977" i="7"/>
  <c r="G7978" i="7"/>
  <c r="G7979" i="7"/>
  <c r="G7980" i="7"/>
  <c r="G7981" i="7"/>
  <c r="G7982" i="7"/>
  <c r="G7983" i="7"/>
  <c r="G7984" i="7"/>
  <c r="G7985" i="7"/>
  <c r="G7986" i="7"/>
  <c r="G7987" i="7"/>
  <c r="G7988" i="7"/>
  <c r="G7989" i="7"/>
  <c r="G7990" i="7"/>
  <c r="G7991" i="7"/>
  <c r="G7992" i="7"/>
  <c r="G7993" i="7"/>
  <c r="G7994" i="7"/>
  <c r="G7995" i="7"/>
  <c r="G7996" i="7"/>
  <c r="G7997" i="7"/>
  <c r="G7998" i="7"/>
  <c r="G7999" i="7"/>
  <c r="G8000" i="7"/>
  <c r="G8001" i="7"/>
  <c r="G8002" i="7"/>
  <c r="G8003" i="7"/>
  <c r="G3" i="7"/>
  <c r="P6" i="7"/>
  <c r="P7" i="7" s="1"/>
  <c r="L4" i="7"/>
  <c r="M4" i="7" s="1"/>
  <c r="M2" i="1"/>
  <c r="C50" i="4"/>
  <c r="C53" i="4"/>
  <c r="C74" i="4"/>
  <c r="C77" i="4"/>
  <c r="C98" i="4"/>
  <c r="C101" i="4"/>
  <c r="C122" i="4"/>
  <c r="C125" i="4"/>
  <c r="C146" i="4"/>
  <c r="C149" i="4"/>
  <c r="C170" i="4"/>
  <c r="C173" i="4"/>
  <c r="C194" i="4"/>
  <c r="C197" i="4"/>
  <c r="C218" i="4"/>
  <c r="C221" i="4"/>
  <c r="C242" i="4"/>
  <c r="C245" i="4"/>
  <c r="C266" i="4"/>
  <c r="C269" i="4"/>
  <c r="C290" i="4"/>
  <c r="C293" i="4"/>
  <c r="C314" i="4"/>
  <c r="C317" i="4"/>
  <c r="C338" i="4"/>
  <c r="C341" i="4"/>
  <c r="C362" i="4"/>
  <c r="C365" i="4"/>
  <c r="C386" i="4"/>
  <c r="C389" i="4"/>
  <c r="C410" i="4"/>
  <c r="C413" i="4"/>
  <c r="C434" i="4"/>
  <c r="C437" i="4"/>
  <c r="C458" i="4"/>
  <c r="C461" i="4"/>
  <c r="C482" i="4"/>
  <c r="C485" i="4"/>
  <c r="F24" i="2"/>
  <c r="F28" i="2"/>
  <c r="F33" i="2"/>
  <c r="F34" i="2"/>
  <c r="F40" i="2"/>
  <c r="F42" i="2"/>
  <c r="F66" i="2"/>
  <c r="F72" i="2"/>
  <c r="F74" i="2"/>
  <c r="F82" i="2"/>
  <c r="F84" i="2"/>
  <c r="F88" i="2"/>
  <c r="F92" i="2"/>
  <c r="F96" i="2"/>
  <c r="F100" i="2"/>
  <c r="F104" i="2"/>
  <c r="F112" i="2"/>
  <c r="F114" i="2"/>
  <c r="F116" i="2"/>
  <c r="F120" i="2"/>
  <c r="F122" i="2"/>
  <c r="F124" i="2"/>
  <c r="H124" i="2" s="1"/>
  <c r="F132" i="2"/>
  <c r="H132" i="2" s="1"/>
  <c r="F136" i="2"/>
  <c r="F144" i="2"/>
  <c r="F148" i="2"/>
  <c r="H148" i="2" s="1"/>
  <c r="F152" i="2"/>
  <c r="F154" i="2"/>
  <c r="F156" i="2"/>
  <c r="H156" i="2" s="1"/>
  <c r="F160" i="2"/>
  <c r="F164" i="2"/>
  <c r="H164" i="2" s="1"/>
  <c r="F168" i="2"/>
  <c r="F170" i="2"/>
  <c r="F178" i="2"/>
  <c r="F180" i="2"/>
  <c r="H180" i="2" s="1"/>
  <c r="F184" i="2"/>
  <c r="F188" i="2"/>
  <c r="H188" i="2" s="1"/>
  <c r="F192" i="2"/>
  <c r="F193" i="2"/>
  <c r="F196" i="2"/>
  <c r="F200" i="2"/>
  <c r="F204" i="2"/>
  <c r="F208" i="2"/>
  <c r="F212" i="2"/>
  <c r="F217" i="2"/>
  <c r="F224" i="2"/>
  <c r="F226" i="2"/>
  <c r="F228" i="2"/>
  <c r="F230" i="2"/>
  <c r="F236" i="2"/>
  <c r="F240" i="2"/>
  <c r="F248" i="2"/>
  <c r="F252" i="2"/>
  <c r="F257" i="2"/>
  <c r="F260" i="2"/>
  <c r="F268" i="2"/>
  <c r="F276" i="2"/>
  <c r="F280" i="2"/>
  <c r="F284" i="2"/>
  <c r="F292" i="2"/>
  <c r="F296" i="2"/>
  <c r="F300" i="2"/>
  <c r="F304" i="2"/>
  <c r="F308" i="2"/>
  <c r="F312" i="2"/>
  <c r="F313" i="2"/>
  <c r="F316" i="2"/>
  <c r="F320" i="2"/>
  <c r="F322" i="2"/>
  <c r="F324" i="2"/>
  <c r="F328" i="2"/>
  <c r="F329" i="2"/>
  <c r="F332" i="2"/>
  <c r="F336" i="2"/>
  <c r="F338" i="2"/>
  <c r="F340" i="2"/>
  <c r="F344" i="2"/>
  <c r="F348" i="2"/>
  <c r="F353" i="2"/>
  <c r="F354" i="2"/>
  <c r="F356" i="2"/>
  <c r="F360" i="2"/>
  <c r="F365" i="2"/>
  <c r="F367" i="2"/>
  <c r="F370" i="2"/>
  <c r="F372" i="2"/>
  <c r="F374" i="2"/>
  <c r="F378" i="2"/>
  <c r="F383" i="2"/>
  <c r="F386" i="2"/>
  <c r="K5" i="2"/>
  <c r="J6" i="2"/>
  <c r="J7" i="2" s="1"/>
  <c r="H161" i="2" l="1"/>
  <c r="D215" i="2"/>
  <c r="H204" i="2"/>
  <c r="H193" i="2"/>
  <c r="H184" i="2"/>
  <c r="H170" i="2"/>
  <c r="H160" i="2"/>
  <c r="H152" i="2"/>
  <c r="H144" i="2"/>
  <c r="H114" i="2"/>
  <c r="H96" i="2"/>
  <c r="H74" i="2"/>
  <c r="H56" i="2"/>
  <c r="H40" i="2"/>
  <c r="H24" i="2"/>
  <c r="C27" i="2"/>
  <c r="E27" i="2" s="1"/>
  <c r="F216" i="2"/>
  <c r="H216" i="2" s="1"/>
  <c r="H212" i="2"/>
  <c r="H192" i="2"/>
  <c r="H168" i="2"/>
  <c r="H136" i="2"/>
  <c r="H122" i="2"/>
  <c r="H112" i="2"/>
  <c r="H88" i="2"/>
  <c r="H72" i="2"/>
  <c r="H34" i="2"/>
  <c r="H208" i="2"/>
  <c r="H128" i="2"/>
  <c r="H80" i="2"/>
  <c r="H131" i="2"/>
  <c r="F80" i="2"/>
  <c r="F64" i="2"/>
  <c r="H64" i="2" s="1"/>
  <c r="F186" i="2"/>
  <c r="H186" i="2" s="1"/>
  <c r="F176" i="2"/>
  <c r="H176" i="2" s="1"/>
  <c r="F161" i="2"/>
  <c r="F153" i="2"/>
  <c r="H153" i="2" s="1"/>
  <c r="F97" i="2"/>
  <c r="H97" i="2" s="1"/>
  <c r="F41" i="2"/>
  <c r="H41" i="2" s="1"/>
  <c r="H217" i="2"/>
  <c r="H200" i="2"/>
  <c r="H178" i="2"/>
  <c r="H154" i="2"/>
  <c r="D147" i="2"/>
  <c r="H120" i="2"/>
  <c r="H104" i="2"/>
  <c r="H82" i="2"/>
  <c r="H66" i="2"/>
  <c r="H42" i="2"/>
  <c r="H33" i="2"/>
  <c r="H100" i="2"/>
  <c r="H92" i="2"/>
  <c r="H84" i="2"/>
  <c r="H68" i="2"/>
  <c r="H28" i="2"/>
  <c r="P10" i="7"/>
  <c r="P14" i="7" s="1"/>
  <c r="P16" i="7" s="1"/>
  <c r="G3" i="2"/>
  <c r="R5" i="2" s="1"/>
  <c r="G363" i="2"/>
  <c r="E363" i="2"/>
  <c r="E388" i="2"/>
  <c r="G388" i="2"/>
  <c r="H337" i="2"/>
  <c r="F337" i="2"/>
  <c r="G329" i="2"/>
  <c r="E329" i="2"/>
  <c r="G321" i="2"/>
  <c r="E321" i="2"/>
  <c r="G305" i="2"/>
  <c r="E305" i="2"/>
  <c r="H289" i="2"/>
  <c r="F289" i="2"/>
  <c r="H281" i="2"/>
  <c r="F281" i="2"/>
  <c r="H273" i="2"/>
  <c r="F273" i="2"/>
  <c r="G265" i="2"/>
  <c r="E265" i="2"/>
  <c r="G257" i="2"/>
  <c r="E257" i="2"/>
  <c r="G249" i="2"/>
  <c r="E249" i="2"/>
  <c r="H241" i="2"/>
  <c r="F241" i="2"/>
  <c r="G233" i="2"/>
  <c r="E233" i="2"/>
  <c r="H225" i="2"/>
  <c r="F225" i="2"/>
  <c r="E217" i="2"/>
  <c r="E201" i="2"/>
  <c r="H185" i="2"/>
  <c r="E177" i="2"/>
  <c r="F169" i="2"/>
  <c r="H169" i="2" s="1"/>
  <c r="E161" i="2"/>
  <c r="E153" i="2"/>
  <c r="F137" i="2"/>
  <c r="H137" i="2" s="1"/>
  <c r="E121" i="2"/>
  <c r="E113" i="2"/>
  <c r="F105" i="2"/>
  <c r="H105" i="2" s="1"/>
  <c r="E97" i="2"/>
  <c r="E89" i="2"/>
  <c r="E81" i="2"/>
  <c r="H65" i="2"/>
  <c r="F65" i="2"/>
  <c r="F49" i="2"/>
  <c r="H49" i="2" s="1"/>
  <c r="E33" i="2"/>
  <c r="G360" i="2"/>
  <c r="E360" i="2"/>
  <c r="G344" i="2"/>
  <c r="E344" i="2"/>
  <c r="G328" i="2"/>
  <c r="E328" i="2"/>
  <c r="E320" i="2"/>
  <c r="G320" i="2"/>
  <c r="G316" i="2"/>
  <c r="E316" i="2"/>
  <c r="G292" i="2"/>
  <c r="E292" i="2"/>
  <c r="G276" i="2"/>
  <c r="E276" i="2"/>
  <c r="E401" i="2"/>
  <c r="E373" i="2"/>
  <c r="E366" i="2"/>
  <c r="E224" i="2"/>
  <c r="E193" i="2"/>
  <c r="E137" i="2"/>
  <c r="D395" i="2"/>
  <c r="D390" i="2"/>
  <c r="D385" i="2"/>
  <c r="D379" i="2"/>
  <c r="D369" i="2"/>
  <c r="D177" i="2"/>
  <c r="D121" i="2"/>
  <c r="D89" i="2"/>
  <c r="D25" i="2"/>
  <c r="G390" i="2"/>
  <c r="G304" i="2"/>
  <c r="C345" i="2"/>
  <c r="C297" i="2"/>
  <c r="C281" i="2"/>
  <c r="C73" i="2"/>
  <c r="F73" i="2" s="1"/>
  <c r="H73" i="2" s="1"/>
  <c r="C57" i="2"/>
  <c r="F57" i="2" s="1"/>
  <c r="H57" i="2" s="1"/>
  <c r="E241" i="2"/>
  <c r="E208" i="2"/>
  <c r="E40" i="2"/>
  <c r="D388" i="2"/>
  <c r="D373" i="2"/>
  <c r="D249" i="2"/>
  <c r="D233" i="2"/>
  <c r="D113" i="2"/>
  <c r="G313" i="2"/>
  <c r="C225" i="2"/>
  <c r="C209" i="2"/>
  <c r="C185" i="2"/>
  <c r="F185" i="2" s="1"/>
  <c r="C129" i="2"/>
  <c r="C105" i="2"/>
  <c r="E395" i="2"/>
  <c r="E337" i="2"/>
  <c r="E324" i="2"/>
  <c r="E160" i="2"/>
  <c r="E65" i="2"/>
  <c r="E49" i="2"/>
  <c r="D391" i="2"/>
  <c r="H391" i="2" s="1"/>
  <c r="D366" i="2"/>
  <c r="D321" i="2"/>
  <c r="D265" i="2"/>
  <c r="D81" i="2"/>
  <c r="F283" i="2"/>
  <c r="H283" i="2"/>
  <c r="G275" i="2"/>
  <c r="E275" i="2"/>
  <c r="E147" i="2"/>
  <c r="H139" i="2"/>
  <c r="F27" i="2"/>
  <c r="H27" i="2" s="1"/>
  <c r="J6" i="7"/>
  <c r="F384" i="2"/>
  <c r="F288" i="2"/>
  <c r="F272" i="2"/>
  <c r="F264" i="2"/>
  <c r="F244" i="2"/>
  <c r="F399" i="2"/>
  <c r="F391" i="2"/>
  <c r="E355" i="2"/>
  <c r="E331" i="2"/>
  <c r="E315" i="2"/>
  <c r="E232" i="2"/>
  <c r="E216" i="2"/>
  <c r="D355" i="2"/>
  <c r="D331" i="2"/>
  <c r="D275" i="2"/>
  <c r="D251" i="2"/>
  <c r="D219" i="2"/>
  <c r="D91" i="2"/>
  <c r="D83" i="2"/>
  <c r="D35" i="2"/>
  <c r="E308" i="2"/>
  <c r="G308" i="2"/>
  <c r="E196" i="2"/>
  <c r="C368" i="2"/>
  <c r="D368" i="2"/>
  <c r="H368" i="2" s="1"/>
  <c r="D323" i="2"/>
  <c r="C323" i="2"/>
  <c r="C243" i="2"/>
  <c r="D243" i="2"/>
  <c r="C227" i="2"/>
  <c r="D227" i="2"/>
  <c r="D195" i="2"/>
  <c r="C195" i="2"/>
  <c r="C187" i="2"/>
  <c r="D187" i="2"/>
  <c r="J8" i="2"/>
  <c r="K8" i="2" s="1"/>
  <c r="F376" i="2"/>
  <c r="F364" i="2"/>
  <c r="F346" i="2"/>
  <c r="F220" i="2"/>
  <c r="H220" i="2" s="1"/>
  <c r="F215" i="2"/>
  <c r="F56" i="2"/>
  <c r="F48" i="2"/>
  <c r="H48" i="2" s="1"/>
  <c r="K5" i="7"/>
  <c r="E372" i="2"/>
  <c r="E219" i="2"/>
  <c r="E59" i="2"/>
  <c r="D400" i="2"/>
  <c r="D381" i="2"/>
  <c r="H381" i="2" s="1"/>
  <c r="D315" i="2"/>
  <c r="H315" i="2" s="1"/>
  <c r="D279" i="2"/>
  <c r="H279" i="2" s="1"/>
  <c r="D179" i="2"/>
  <c r="D115" i="2"/>
  <c r="D99" i="2"/>
  <c r="D67" i="2"/>
  <c r="D59" i="2"/>
  <c r="G384" i="2"/>
  <c r="G251" i="2"/>
  <c r="C283" i="2"/>
  <c r="C171" i="2"/>
  <c r="E171" i="2" s="1"/>
  <c r="C163" i="2"/>
  <c r="C155" i="2"/>
  <c r="F155" i="2" s="1"/>
  <c r="H155" i="2" s="1"/>
  <c r="C139" i="2"/>
  <c r="F139" i="2" s="1"/>
  <c r="C131" i="2"/>
  <c r="F131" i="2" s="1"/>
  <c r="C123" i="2"/>
  <c r="F123" i="2" s="1"/>
  <c r="H123" i="2" s="1"/>
  <c r="C339" i="2"/>
  <c r="D339" i="2"/>
  <c r="C267" i="2"/>
  <c r="D267" i="2"/>
  <c r="C259" i="2"/>
  <c r="D259" i="2"/>
  <c r="C211" i="2"/>
  <c r="D211" i="2"/>
  <c r="C203" i="2"/>
  <c r="D203" i="2"/>
  <c r="C191" i="2"/>
  <c r="E191" i="2" s="1"/>
  <c r="D191" i="2"/>
  <c r="C127" i="2"/>
  <c r="E127" i="2" s="1"/>
  <c r="D127" i="2"/>
  <c r="C111" i="2"/>
  <c r="D111" i="2"/>
  <c r="F111" i="2" s="1"/>
  <c r="H111" i="2" s="1"/>
  <c r="C107" i="2"/>
  <c r="D107" i="2"/>
  <c r="C75" i="2"/>
  <c r="D75" i="2"/>
  <c r="C51" i="2"/>
  <c r="D51" i="2"/>
  <c r="C43" i="2"/>
  <c r="E43" i="2" s="1"/>
  <c r="D43" i="2"/>
  <c r="F380" i="2"/>
  <c r="F291" i="2"/>
  <c r="F163" i="2"/>
  <c r="H163" i="2" s="1"/>
  <c r="F32" i="2"/>
  <c r="H32" i="2" s="1"/>
  <c r="F393" i="2"/>
  <c r="F387" i="2"/>
  <c r="E404" i="2"/>
  <c r="E400" i="2"/>
  <c r="E352" i="2"/>
  <c r="E336" i="2"/>
  <c r="E235" i="2"/>
  <c r="E83" i="2"/>
  <c r="E32" i="2"/>
  <c r="D347" i="2"/>
  <c r="D307" i="2"/>
  <c r="D235" i="2"/>
  <c r="C291" i="2"/>
  <c r="C68" i="2"/>
  <c r="F68" i="2" s="1"/>
  <c r="C60" i="2"/>
  <c r="C52" i="2"/>
  <c r="C36" i="2"/>
  <c r="G398" i="2"/>
  <c r="K7" i="2"/>
  <c r="K6" i="2"/>
  <c r="E29" i="2"/>
  <c r="C357" i="2"/>
  <c r="D357" i="2"/>
  <c r="D349" i="2"/>
  <c r="C349" i="2"/>
  <c r="C341" i="2"/>
  <c r="D341" i="2"/>
  <c r="C333" i="2"/>
  <c r="D333" i="2"/>
  <c r="C325" i="2"/>
  <c r="D325" i="2"/>
  <c r="C317" i="2"/>
  <c r="D317" i="2"/>
  <c r="C309" i="2"/>
  <c r="D309" i="2"/>
  <c r="C301" i="2"/>
  <c r="D301" i="2"/>
  <c r="C293" i="2"/>
  <c r="D293" i="2"/>
  <c r="C285" i="2"/>
  <c r="D285" i="2"/>
  <c r="C277" i="2"/>
  <c r="D277" i="2"/>
  <c r="C269" i="2"/>
  <c r="D269" i="2"/>
  <c r="C261" i="2"/>
  <c r="D261" i="2"/>
  <c r="C253" i="2"/>
  <c r="D253" i="2"/>
  <c r="C245" i="2"/>
  <c r="D245" i="2"/>
  <c r="C237" i="2"/>
  <c r="D237" i="2"/>
  <c r="C229" i="2"/>
  <c r="D229" i="2"/>
  <c r="D221" i="2"/>
  <c r="C221" i="2"/>
  <c r="C213" i="2"/>
  <c r="D213" i="2"/>
  <c r="C205" i="2"/>
  <c r="D205" i="2"/>
  <c r="C197" i="2"/>
  <c r="D197" i="2"/>
  <c r="C189" i="2"/>
  <c r="D189" i="2"/>
  <c r="C181" i="2"/>
  <c r="D181" i="2"/>
  <c r="C173" i="2"/>
  <c r="D173" i="2"/>
  <c r="C165" i="2"/>
  <c r="D165" i="2"/>
  <c r="D157" i="2"/>
  <c r="C157" i="2"/>
  <c r="C149" i="2"/>
  <c r="D149" i="2"/>
  <c r="C141" i="2"/>
  <c r="D141" i="2"/>
  <c r="C133" i="2"/>
  <c r="D133" i="2"/>
  <c r="C125" i="2"/>
  <c r="D125" i="2"/>
  <c r="C117" i="2"/>
  <c r="D117" i="2"/>
  <c r="C109" i="2"/>
  <c r="D109" i="2"/>
  <c r="C101" i="2"/>
  <c r="D101" i="2"/>
  <c r="D93" i="2"/>
  <c r="C93" i="2"/>
  <c r="C85" i="2"/>
  <c r="D85" i="2"/>
  <c r="C77" i="2"/>
  <c r="D77" i="2"/>
  <c r="C69" i="2"/>
  <c r="D69" i="2"/>
  <c r="C61" i="2"/>
  <c r="D61" i="2"/>
  <c r="C53" i="2"/>
  <c r="D53" i="2"/>
  <c r="C45" i="2"/>
  <c r="D45" i="2"/>
  <c r="C37" i="2"/>
  <c r="D37" i="2"/>
  <c r="H29" i="2"/>
  <c r="F29" i="2"/>
  <c r="F25" i="2"/>
  <c r="H25" i="2" s="1"/>
  <c r="G299" i="2"/>
  <c r="E299" i="2"/>
  <c r="H198" i="2"/>
  <c r="H210" i="2"/>
  <c r="F210" i="2"/>
  <c r="H369" i="2"/>
  <c r="F369" i="2"/>
  <c r="H352" i="2"/>
  <c r="F352" i="2"/>
  <c r="E169" i="2"/>
  <c r="H375" i="2"/>
  <c r="F375" i="2"/>
  <c r="F145" i="2"/>
  <c r="H145" i="2" s="1"/>
  <c r="E185" i="2"/>
  <c r="F232" i="2"/>
  <c r="H345" i="2"/>
  <c r="F345" i="2"/>
  <c r="D326" i="2"/>
  <c r="H299" i="2"/>
  <c r="F299" i="2"/>
  <c r="H242" i="2"/>
  <c r="F242" i="2"/>
  <c r="C359" i="2"/>
  <c r="D359" i="2"/>
  <c r="C351" i="2"/>
  <c r="D351" i="2"/>
  <c r="C343" i="2"/>
  <c r="D343" i="2"/>
  <c r="C335" i="2"/>
  <c r="D335" i="2"/>
  <c r="C327" i="2"/>
  <c r="D327" i="2"/>
  <c r="C319" i="2"/>
  <c r="D319" i="2"/>
  <c r="C311" i="2"/>
  <c r="D311" i="2"/>
  <c r="C303" i="2"/>
  <c r="D303" i="2"/>
  <c r="C295" i="2"/>
  <c r="D295" i="2"/>
  <c r="C287" i="2"/>
  <c r="D287" i="2"/>
  <c r="G279" i="2"/>
  <c r="E279" i="2"/>
  <c r="C271" i="2"/>
  <c r="D271" i="2"/>
  <c r="C263" i="2"/>
  <c r="D263" i="2"/>
  <c r="C255" i="2"/>
  <c r="D255" i="2"/>
  <c r="C247" i="2"/>
  <c r="D247" i="2"/>
  <c r="C239" i="2"/>
  <c r="D239" i="2"/>
  <c r="C231" i="2"/>
  <c r="D231" i="2"/>
  <c r="C223" i="2"/>
  <c r="D223" i="2"/>
  <c r="E215" i="2"/>
  <c r="C207" i="2"/>
  <c r="D207" i="2"/>
  <c r="C199" i="2"/>
  <c r="D199" i="2"/>
  <c r="C183" i="2"/>
  <c r="D183" i="2"/>
  <c r="C175" i="2"/>
  <c r="D175" i="2"/>
  <c r="C167" i="2"/>
  <c r="D167" i="2"/>
  <c r="C159" i="2"/>
  <c r="D159" i="2"/>
  <c r="C151" i="2"/>
  <c r="D151" i="2"/>
  <c r="C143" i="2"/>
  <c r="D143" i="2"/>
  <c r="C135" i="2"/>
  <c r="D135" i="2"/>
  <c r="C119" i="2"/>
  <c r="D119" i="2"/>
  <c r="C103" i="2"/>
  <c r="D103" i="2"/>
  <c r="C95" i="2"/>
  <c r="D95" i="2"/>
  <c r="C87" i="2"/>
  <c r="D87" i="2"/>
  <c r="C79" i="2"/>
  <c r="D79" i="2"/>
  <c r="C71" i="2"/>
  <c r="D71" i="2"/>
  <c r="C63" i="2"/>
  <c r="D63" i="2"/>
  <c r="C55" i="2"/>
  <c r="D55" i="2"/>
  <c r="C47" i="2"/>
  <c r="D47" i="2"/>
  <c r="C39" i="2"/>
  <c r="D39" i="2"/>
  <c r="C31" i="2"/>
  <c r="D31" i="2"/>
  <c r="H297" i="2"/>
  <c r="F297" i="2"/>
  <c r="E142" i="2"/>
  <c r="E46" i="2"/>
  <c r="E30" i="2"/>
  <c r="C358" i="2"/>
  <c r="D358" i="2"/>
  <c r="C350" i="2"/>
  <c r="D350" i="2"/>
  <c r="C342" i="2"/>
  <c r="D342" i="2"/>
  <c r="C334" i="2"/>
  <c r="D334" i="2"/>
  <c r="G326" i="2"/>
  <c r="E326" i="2"/>
  <c r="C318" i="2"/>
  <c r="D318" i="2"/>
  <c r="C310" i="2"/>
  <c r="D310" i="2"/>
  <c r="D302" i="2"/>
  <c r="C302" i="2"/>
  <c r="D294" i="2"/>
  <c r="C294" i="2"/>
  <c r="D286" i="2"/>
  <c r="C286" i="2"/>
  <c r="C278" i="2"/>
  <c r="D278" i="2"/>
  <c r="C270" i="2"/>
  <c r="D270" i="2"/>
  <c r="C262" i="2"/>
  <c r="D262" i="2"/>
  <c r="D254" i="2"/>
  <c r="C254" i="2"/>
  <c r="C246" i="2"/>
  <c r="D246" i="2"/>
  <c r="D222" i="2"/>
  <c r="C222" i="2"/>
  <c r="C214" i="2"/>
  <c r="D214" i="2"/>
  <c r="D206" i="2"/>
  <c r="C206" i="2"/>
  <c r="E190" i="2"/>
  <c r="C182" i="2"/>
  <c r="D182" i="2"/>
  <c r="C174" i="2"/>
  <c r="D174" i="2"/>
  <c r="D166" i="2"/>
  <c r="C166" i="2"/>
  <c r="D158" i="2"/>
  <c r="C158" i="2"/>
  <c r="C150" i="2"/>
  <c r="D150" i="2"/>
  <c r="H142" i="2"/>
  <c r="F142" i="2"/>
  <c r="C134" i="2"/>
  <c r="D134" i="2"/>
  <c r="D126" i="2"/>
  <c r="C126" i="2"/>
  <c r="C118" i="2"/>
  <c r="D118" i="2"/>
  <c r="D110" i="2"/>
  <c r="C110" i="2"/>
  <c r="H102" i="2"/>
  <c r="E94" i="2"/>
  <c r="C86" i="2"/>
  <c r="D86" i="2"/>
  <c r="C78" i="2"/>
  <c r="D78" i="2"/>
  <c r="H70" i="2"/>
  <c r="F70" i="2"/>
  <c r="C62" i="2"/>
  <c r="D62" i="2"/>
  <c r="C54" i="2"/>
  <c r="D54" i="2"/>
  <c r="F46" i="2"/>
  <c r="H46" i="2" s="1"/>
  <c r="C38" i="2"/>
  <c r="D38" i="2"/>
  <c r="F30" i="2"/>
  <c r="H30" i="2" s="1"/>
  <c r="F363" i="2"/>
  <c r="H305" i="2"/>
  <c r="F305" i="2"/>
  <c r="D238" i="2"/>
  <c r="H209" i="2"/>
  <c r="F209" i="2"/>
  <c r="D190" i="2"/>
  <c r="C230" i="2"/>
  <c r="C198" i="2"/>
  <c r="F198" i="2" s="1"/>
  <c r="C102" i="2"/>
  <c r="F102" i="2" s="1"/>
  <c r="C70" i="2"/>
  <c r="F381" i="2"/>
  <c r="D94" i="2"/>
  <c r="F256" i="2"/>
  <c r="H274" i="2"/>
  <c r="F195" i="2"/>
  <c r="C397" i="2"/>
  <c r="D397" i="2"/>
  <c r="C371" i="2"/>
  <c r="D371" i="2"/>
  <c r="G244" i="2"/>
  <c r="E244" i="2"/>
  <c r="E212" i="2"/>
  <c r="E57" i="2"/>
  <c r="E41" i="2"/>
  <c r="F129" i="2"/>
  <c r="H129" i="2" s="1"/>
  <c r="C394" i="2"/>
  <c r="D394" i="2"/>
  <c r="E116" i="2"/>
  <c r="E100" i="2"/>
  <c r="E84" i="2"/>
  <c r="G383" i="2"/>
  <c r="E383" i="2"/>
  <c r="C362" i="2"/>
  <c r="D362" i="2"/>
  <c r="E115" i="2"/>
  <c r="H398" i="2"/>
  <c r="F398" i="2"/>
  <c r="H201" i="2"/>
  <c r="F201" i="2"/>
  <c r="C382" i="2"/>
  <c r="D382" i="2"/>
  <c r="C377" i="2"/>
  <c r="D377" i="2"/>
  <c r="C361" i="2"/>
  <c r="D361" i="2"/>
  <c r="E145" i="2"/>
  <c r="E178" i="2"/>
  <c r="E154" i="2"/>
  <c r="H396" i="2"/>
  <c r="D314" i="2"/>
  <c r="D290" i="2"/>
  <c r="D106" i="2"/>
  <c r="D98" i="2"/>
  <c r="G375" i="2"/>
  <c r="E375" i="2"/>
  <c r="E180" i="2"/>
  <c r="G354" i="2"/>
  <c r="E354" i="2"/>
  <c r="G346" i="2"/>
  <c r="E346" i="2"/>
  <c r="G338" i="2"/>
  <c r="E338" i="2"/>
  <c r="C330" i="2"/>
  <c r="D330" i="2"/>
  <c r="G322" i="2"/>
  <c r="E322" i="2"/>
  <c r="G314" i="2"/>
  <c r="E314" i="2"/>
  <c r="G306" i="2"/>
  <c r="E306" i="2"/>
  <c r="C298" i="2"/>
  <c r="D298" i="2"/>
  <c r="G290" i="2"/>
  <c r="E290" i="2"/>
  <c r="G282" i="2"/>
  <c r="E282" i="2"/>
  <c r="G274" i="2"/>
  <c r="E274" i="2"/>
  <c r="C266" i="2"/>
  <c r="D266" i="2"/>
  <c r="C250" i="2"/>
  <c r="D250" i="2"/>
  <c r="C234" i="2"/>
  <c r="D234" i="2"/>
  <c r="G226" i="2"/>
  <c r="E226" i="2"/>
  <c r="C202" i="2"/>
  <c r="D202" i="2"/>
  <c r="C194" i="2"/>
  <c r="D194" i="2"/>
  <c r="E170" i="2"/>
  <c r="C162" i="2"/>
  <c r="D162" i="2"/>
  <c r="C138" i="2"/>
  <c r="D138" i="2"/>
  <c r="C130" i="2"/>
  <c r="D130" i="2"/>
  <c r="E122" i="2"/>
  <c r="C90" i="2"/>
  <c r="D90" i="2"/>
  <c r="C58" i="2"/>
  <c r="D58" i="2"/>
  <c r="E42" i="2"/>
  <c r="C26" i="2"/>
  <c r="D26" i="2"/>
  <c r="E105" i="2"/>
  <c r="E379" i="2"/>
  <c r="D401" i="2"/>
  <c r="F388" i="2"/>
  <c r="H388" i="2"/>
  <c r="D306" i="2"/>
  <c r="D282" i="2"/>
  <c r="D258" i="2"/>
  <c r="D218" i="2"/>
  <c r="D146" i="2"/>
  <c r="D50" i="2"/>
  <c r="E179" i="2"/>
  <c r="E164" i="2"/>
  <c r="E68" i="2"/>
  <c r="C389" i="2"/>
  <c r="D389" i="2"/>
  <c r="E132" i="2"/>
  <c r="E92" i="2"/>
  <c r="E28" i="2"/>
  <c r="C172" i="2"/>
  <c r="D172" i="2"/>
  <c r="C140" i="2"/>
  <c r="D140" i="2"/>
  <c r="C108" i="2"/>
  <c r="D108" i="2"/>
  <c r="C76" i="2"/>
  <c r="D76" i="2"/>
  <c r="C44" i="2"/>
  <c r="D44" i="2"/>
  <c r="E188" i="2"/>
  <c r="E124" i="2"/>
  <c r="H215" i="2" l="1"/>
  <c r="H195" i="2"/>
  <c r="F191" i="2"/>
  <c r="H191" i="2" s="1"/>
  <c r="F147" i="2"/>
  <c r="H147" i="2" s="1"/>
  <c r="E60" i="2"/>
  <c r="F60" i="2"/>
  <c r="H60" i="2" s="1"/>
  <c r="E203" i="2"/>
  <c r="F36" i="2"/>
  <c r="H36" i="2" s="1"/>
  <c r="F171" i="2"/>
  <c r="H171" i="2" s="1"/>
  <c r="E52" i="2"/>
  <c r="F52" i="2"/>
  <c r="H52" i="2" s="1"/>
  <c r="H265" i="2"/>
  <c r="F265" i="2"/>
  <c r="F113" i="2"/>
  <c r="H113" i="2" s="1"/>
  <c r="G345" i="2"/>
  <c r="E345" i="2"/>
  <c r="F89" i="2"/>
  <c r="H89" i="2" s="1"/>
  <c r="H379" i="2"/>
  <c r="F379" i="2"/>
  <c r="H321" i="2"/>
  <c r="F321" i="2"/>
  <c r="E209" i="2"/>
  <c r="H233" i="2"/>
  <c r="F233" i="2"/>
  <c r="E73" i="2"/>
  <c r="H121" i="2"/>
  <c r="F121" i="2"/>
  <c r="H385" i="2"/>
  <c r="F385" i="2"/>
  <c r="F368" i="2"/>
  <c r="F315" i="2"/>
  <c r="H366" i="2"/>
  <c r="F366" i="2"/>
  <c r="G225" i="2"/>
  <c r="E225" i="2"/>
  <c r="H249" i="2"/>
  <c r="F249" i="2"/>
  <c r="G281" i="2"/>
  <c r="E281" i="2"/>
  <c r="F177" i="2"/>
  <c r="H177" i="2" s="1"/>
  <c r="H390" i="2"/>
  <c r="F390" i="2"/>
  <c r="J9" i="2"/>
  <c r="K9" i="2" s="1"/>
  <c r="F81" i="2"/>
  <c r="H81" i="2" s="1"/>
  <c r="E129" i="2"/>
  <c r="H373" i="2"/>
  <c r="F373" i="2"/>
  <c r="G297" i="2"/>
  <c r="E297" i="2"/>
  <c r="H395" i="2"/>
  <c r="F395" i="2"/>
  <c r="K6" i="7"/>
  <c r="L6" i="7"/>
  <c r="M6" i="7" s="1"/>
  <c r="H347" i="2"/>
  <c r="F347" i="2"/>
  <c r="E75" i="2"/>
  <c r="E111" i="2"/>
  <c r="E211" i="2"/>
  <c r="G267" i="2"/>
  <c r="E267" i="2"/>
  <c r="E131" i="2"/>
  <c r="H59" i="2"/>
  <c r="F59" i="2"/>
  <c r="F179" i="2"/>
  <c r="H179" i="2" s="1"/>
  <c r="F400" i="2"/>
  <c r="H400" i="2"/>
  <c r="E187" i="2"/>
  <c r="E227" i="2"/>
  <c r="G227" i="2"/>
  <c r="H323" i="2"/>
  <c r="F323" i="2"/>
  <c r="F35" i="2"/>
  <c r="H35" i="2" s="1"/>
  <c r="H251" i="2"/>
  <c r="F251" i="2"/>
  <c r="E36" i="2"/>
  <c r="E291" i="2"/>
  <c r="G291" i="2"/>
  <c r="F51" i="2"/>
  <c r="H51" i="2" s="1"/>
  <c r="F107" i="2"/>
  <c r="H107" i="2" s="1"/>
  <c r="F203" i="2"/>
  <c r="H203" i="2" s="1"/>
  <c r="H259" i="2"/>
  <c r="F259" i="2"/>
  <c r="H339" i="2"/>
  <c r="F339" i="2"/>
  <c r="E139" i="2"/>
  <c r="E283" i="2"/>
  <c r="G283" i="2"/>
  <c r="H67" i="2"/>
  <c r="F67" i="2"/>
  <c r="E195" i="2"/>
  <c r="F243" i="2"/>
  <c r="H243" i="2"/>
  <c r="F83" i="2"/>
  <c r="H83" i="2"/>
  <c r="F275" i="2"/>
  <c r="H275" i="2"/>
  <c r="H235" i="2"/>
  <c r="F235" i="2"/>
  <c r="E51" i="2"/>
  <c r="E107" i="2"/>
  <c r="E259" i="2"/>
  <c r="G259" i="2"/>
  <c r="G339" i="2"/>
  <c r="E339" i="2"/>
  <c r="E155" i="2"/>
  <c r="H99" i="2"/>
  <c r="F99" i="2"/>
  <c r="J7" i="7"/>
  <c r="L7" i="7" s="1"/>
  <c r="M7" i="7" s="1"/>
  <c r="F127" i="2"/>
  <c r="H127" i="2" s="1"/>
  <c r="F279" i="2"/>
  <c r="G243" i="2"/>
  <c r="E243" i="2"/>
  <c r="G368" i="2"/>
  <c r="E368" i="2"/>
  <c r="F91" i="2"/>
  <c r="H91" i="2" s="1"/>
  <c r="H331" i="2"/>
  <c r="F331" i="2"/>
  <c r="H307" i="2"/>
  <c r="F307" i="2"/>
  <c r="F43" i="2"/>
  <c r="H43" i="2" s="1"/>
  <c r="F75" i="2"/>
  <c r="H75" i="2" s="1"/>
  <c r="F211" i="2"/>
  <c r="H211" i="2" s="1"/>
  <c r="H267" i="2"/>
  <c r="F267" i="2"/>
  <c r="E123" i="2"/>
  <c r="E163" i="2"/>
  <c r="F115" i="2"/>
  <c r="H115" i="2"/>
  <c r="F187" i="2"/>
  <c r="H187" i="2" s="1"/>
  <c r="H227" i="2"/>
  <c r="F227" i="2"/>
  <c r="G323" i="2"/>
  <c r="E323" i="2"/>
  <c r="F219" i="2"/>
  <c r="H219" i="2" s="1"/>
  <c r="H355" i="2"/>
  <c r="F355" i="2"/>
  <c r="F108" i="2"/>
  <c r="H108" i="2" s="1"/>
  <c r="H258" i="2"/>
  <c r="F258" i="2"/>
  <c r="E90" i="2"/>
  <c r="E162" i="2"/>
  <c r="F106" i="2"/>
  <c r="H106" i="2" s="1"/>
  <c r="H394" i="2"/>
  <c r="F394" i="2"/>
  <c r="E140" i="2"/>
  <c r="H130" i="2"/>
  <c r="F130" i="2"/>
  <c r="H194" i="2"/>
  <c r="F194" i="2"/>
  <c r="F250" i="2"/>
  <c r="H250" i="2"/>
  <c r="E361" i="2"/>
  <c r="G361" i="2"/>
  <c r="E198" i="2"/>
  <c r="E54" i="2"/>
  <c r="E86" i="2"/>
  <c r="E118" i="2"/>
  <c r="E150" i="2"/>
  <c r="E182" i="2"/>
  <c r="H222" i="2"/>
  <c r="F222" i="2"/>
  <c r="G270" i="2"/>
  <c r="E270" i="2"/>
  <c r="H302" i="2"/>
  <c r="F302" i="2"/>
  <c r="G334" i="2"/>
  <c r="E334" i="2"/>
  <c r="E47" i="2"/>
  <c r="E79" i="2"/>
  <c r="E119" i="2"/>
  <c r="E151" i="2"/>
  <c r="E183" i="2"/>
  <c r="G247" i="2"/>
  <c r="E247" i="2"/>
  <c r="G311" i="2"/>
  <c r="E311" i="2"/>
  <c r="G343" i="2"/>
  <c r="E343" i="2"/>
  <c r="E37" i="2"/>
  <c r="E69" i="2"/>
  <c r="E101" i="2"/>
  <c r="E133" i="2"/>
  <c r="E165" i="2"/>
  <c r="E197" i="2"/>
  <c r="E229" i="2"/>
  <c r="G229" i="2"/>
  <c r="G261" i="2"/>
  <c r="E261" i="2"/>
  <c r="G293" i="2"/>
  <c r="E293" i="2"/>
  <c r="G325" i="2"/>
  <c r="E325" i="2"/>
  <c r="G357" i="2"/>
  <c r="E357" i="2"/>
  <c r="E230" i="2"/>
  <c r="G230" i="2"/>
  <c r="F62" i="2"/>
  <c r="H62" i="2" s="1"/>
  <c r="E126" i="2"/>
  <c r="E158" i="2"/>
  <c r="H246" i="2"/>
  <c r="F246" i="2"/>
  <c r="H278" i="2"/>
  <c r="F278" i="2"/>
  <c r="H310" i="2"/>
  <c r="F310" i="2"/>
  <c r="H342" i="2"/>
  <c r="F342" i="2"/>
  <c r="F55" i="2"/>
  <c r="H55" i="2"/>
  <c r="F87" i="2"/>
  <c r="H87" i="2" s="1"/>
  <c r="F159" i="2"/>
  <c r="H159" i="2" s="1"/>
  <c r="H223" i="2"/>
  <c r="F223" i="2"/>
  <c r="H255" i="2"/>
  <c r="F255" i="2"/>
  <c r="H287" i="2"/>
  <c r="F287" i="2"/>
  <c r="F319" i="2"/>
  <c r="H319" i="2"/>
  <c r="H351" i="2"/>
  <c r="F351" i="2"/>
  <c r="H326" i="2"/>
  <c r="F326" i="2"/>
  <c r="F45" i="2"/>
  <c r="H45" i="2" s="1"/>
  <c r="F77" i="2"/>
  <c r="H77" i="2" s="1"/>
  <c r="F109" i="2"/>
  <c r="H109" i="2" s="1"/>
  <c r="H141" i="2"/>
  <c r="F141" i="2"/>
  <c r="F173" i="2"/>
  <c r="H173" i="2" s="1"/>
  <c r="H205" i="2"/>
  <c r="F205" i="2"/>
  <c r="H237" i="2"/>
  <c r="F237" i="2"/>
  <c r="H269" i="2"/>
  <c r="F269" i="2"/>
  <c r="H301" i="2"/>
  <c r="F301" i="2"/>
  <c r="H333" i="2"/>
  <c r="F333" i="2"/>
  <c r="F44" i="2"/>
  <c r="H44" i="2" s="1"/>
  <c r="H172" i="2"/>
  <c r="F172" i="2"/>
  <c r="H389" i="2"/>
  <c r="F389" i="2"/>
  <c r="E130" i="2"/>
  <c r="E194" i="2"/>
  <c r="G250" i="2"/>
  <c r="E250" i="2"/>
  <c r="H377" i="2"/>
  <c r="F377" i="2"/>
  <c r="H371" i="2"/>
  <c r="F371" i="2"/>
  <c r="E44" i="2"/>
  <c r="E172" i="2"/>
  <c r="G389" i="2"/>
  <c r="E389" i="2"/>
  <c r="H50" i="2"/>
  <c r="F50" i="2"/>
  <c r="H401" i="2"/>
  <c r="F401" i="2"/>
  <c r="H58" i="2"/>
  <c r="F58" i="2"/>
  <c r="F138" i="2"/>
  <c r="H138" i="2" s="1"/>
  <c r="H202" i="2"/>
  <c r="F202" i="2"/>
  <c r="H266" i="2"/>
  <c r="F266" i="2"/>
  <c r="H298" i="2"/>
  <c r="F298" i="2"/>
  <c r="H330" i="2"/>
  <c r="F330" i="2"/>
  <c r="G377" i="2"/>
  <c r="E377" i="2"/>
  <c r="G371" i="2"/>
  <c r="E371" i="2"/>
  <c r="H94" i="2"/>
  <c r="F94" i="2"/>
  <c r="F190" i="2"/>
  <c r="H190" i="2" s="1"/>
  <c r="E62" i="2"/>
  <c r="H126" i="2"/>
  <c r="F126" i="2"/>
  <c r="F158" i="2"/>
  <c r="H158" i="2" s="1"/>
  <c r="G246" i="2"/>
  <c r="E246" i="2"/>
  <c r="G278" i="2"/>
  <c r="E278" i="2"/>
  <c r="G310" i="2"/>
  <c r="E310" i="2"/>
  <c r="G342" i="2"/>
  <c r="E342" i="2"/>
  <c r="E55" i="2"/>
  <c r="E87" i="2"/>
  <c r="E159" i="2"/>
  <c r="G223" i="2"/>
  <c r="E223" i="2"/>
  <c r="G255" i="2"/>
  <c r="E255" i="2"/>
  <c r="G287" i="2"/>
  <c r="E287" i="2"/>
  <c r="G319" i="2"/>
  <c r="E319" i="2"/>
  <c r="G351" i="2"/>
  <c r="E351" i="2"/>
  <c r="E45" i="2"/>
  <c r="E77" i="2"/>
  <c r="E109" i="2"/>
  <c r="E141" i="2"/>
  <c r="E173" i="2"/>
  <c r="E205" i="2"/>
  <c r="G237" i="2"/>
  <c r="E237" i="2"/>
  <c r="G269" i="2"/>
  <c r="E269" i="2"/>
  <c r="G301" i="2"/>
  <c r="E301" i="2"/>
  <c r="G333" i="2"/>
  <c r="E333" i="2"/>
  <c r="H76" i="2"/>
  <c r="F76" i="2"/>
  <c r="F146" i="2"/>
  <c r="H146" i="2" s="1"/>
  <c r="E58" i="2"/>
  <c r="E138" i="2"/>
  <c r="E202" i="2"/>
  <c r="G266" i="2"/>
  <c r="E266" i="2"/>
  <c r="G298" i="2"/>
  <c r="E298" i="2"/>
  <c r="G330" i="2"/>
  <c r="E330" i="2"/>
  <c r="H382" i="2"/>
  <c r="F382" i="2"/>
  <c r="F362" i="2"/>
  <c r="H362" i="2"/>
  <c r="H397" i="2"/>
  <c r="F397" i="2"/>
  <c r="F38" i="2"/>
  <c r="H38" i="2" s="1"/>
  <c r="H134" i="2"/>
  <c r="F134" i="2"/>
  <c r="E166" i="2"/>
  <c r="E206" i="2"/>
  <c r="G254" i="2"/>
  <c r="E254" i="2"/>
  <c r="E286" i="2"/>
  <c r="G286" i="2"/>
  <c r="H318" i="2"/>
  <c r="F318" i="2"/>
  <c r="F350" i="2"/>
  <c r="H350" i="2"/>
  <c r="H31" i="2"/>
  <c r="F31" i="2"/>
  <c r="F63" i="2"/>
  <c r="H63" i="2" s="1"/>
  <c r="H95" i="2"/>
  <c r="F95" i="2"/>
  <c r="F135" i="2"/>
  <c r="H135" i="2"/>
  <c r="H167" i="2"/>
  <c r="F167" i="2"/>
  <c r="F199" i="2"/>
  <c r="H199" i="2" s="1"/>
  <c r="H231" i="2"/>
  <c r="F231" i="2"/>
  <c r="F263" i="2"/>
  <c r="H263" i="2"/>
  <c r="H295" i="2"/>
  <c r="F295" i="2"/>
  <c r="F327" i="2"/>
  <c r="H327" i="2"/>
  <c r="H359" i="2"/>
  <c r="F359" i="2"/>
  <c r="F53" i="2"/>
  <c r="H53" i="2" s="1"/>
  <c r="H85" i="2"/>
  <c r="F85" i="2"/>
  <c r="F117" i="2"/>
  <c r="H117" i="2" s="1"/>
  <c r="H149" i="2"/>
  <c r="F149" i="2"/>
  <c r="F181" i="2"/>
  <c r="H181" i="2" s="1"/>
  <c r="H213" i="2"/>
  <c r="F213" i="2"/>
  <c r="H245" i="2"/>
  <c r="F245" i="2"/>
  <c r="H277" i="2"/>
  <c r="F277" i="2"/>
  <c r="H309" i="2"/>
  <c r="F309" i="2"/>
  <c r="H341" i="2"/>
  <c r="F341" i="2"/>
  <c r="E76" i="2"/>
  <c r="H218" i="2"/>
  <c r="F218" i="2"/>
  <c r="F90" i="2"/>
  <c r="H90" i="2" s="1"/>
  <c r="H162" i="2"/>
  <c r="F162" i="2"/>
  <c r="F98" i="2"/>
  <c r="H98" i="2" s="1"/>
  <c r="G382" i="2"/>
  <c r="E382" i="2"/>
  <c r="G362" i="2"/>
  <c r="E362" i="2"/>
  <c r="E397" i="2"/>
  <c r="G397" i="2"/>
  <c r="E38" i="2"/>
  <c r="E134" i="2"/>
  <c r="H166" i="2"/>
  <c r="F166" i="2"/>
  <c r="F206" i="2"/>
  <c r="H206" i="2" s="1"/>
  <c r="H254" i="2"/>
  <c r="F254" i="2"/>
  <c r="H286" i="2"/>
  <c r="F286" i="2"/>
  <c r="E318" i="2"/>
  <c r="G318" i="2"/>
  <c r="E350" i="2"/>
  <c r="G350" i="2"/>
  <c r="E31" i="2"/>
  <c r="E63" i="2"/>
  <c r="E95" i="2"/>
  <c r="E135" i="2"/>
  <c r="E167" i="2"/>
  <c r="E199" i="2"/>
  <c r="G231" i="2"/>
  <c r="E231" i="2"/>
  <c r="G263" i="2"/>
  <c r="E263" i="2"/>
  <c r="G295" i="2"/>
  <c r="E295" i="2"/>
  <c r="G327" i="2"/>
  <c r="E327" i="2"/>
  <c r="G359" i="2"/>
  <c r="E359" i="2"/>
  <c r="E53" i="2"/>
  <c r="E85" i="2"/>
  <c r="E117" i="2"/>
  <c r="E149" i="2"/>
  <c r="E181" i="2"/>
  <c r="E213" i="2"/>
  <c r="E245" i="2"/>
  <c r="G245" i="2"/>
  <c r="E277" i="2"/>
  <c r="G277" i="2"/>
  <c r="G309" i="2"/>
  <c r="E309" i="2"/>
  <c r="G341" i="2"/>
  <c r="E341" i="2"/>
  <c r="H238" i="2"/>
  <c r="F238" i="2"/>
  <c r="H78" i="2"/>
  <c r="F78" i="2"/>
  <c r="E110" i="2"/>
  <c r="F174" i="2"/>
  <c r="H174" i="2" s="1"/>
  <c r="H214" i="2"/>
  <c r="F214" i="2"/>
  <c r="H262" i="2"/>
  <c r="F262" i="2"/>
  <c r="G294" i="2"/>
  <c r="E294" i="2"/>
  <c r="H358" i="2"/>
  <c r="F358" i="2"/>
  <c r="H39" i="2"/>
  <c r="F39" i="2"/>
  <c r="F71" i="2"/>
  <c r="H71" i="2" s="1"/>
  <c r="H103" i="2"/>
  <c r="F103" i="2"/>
  <c r="F143" i="2"/>
  <c r="H143" i="2"/>
  <c r="H175" i="2"/>
  <c r="F175" i="2"/>
  <c r="F207" i="2"/>
  <c r="H207" i="2" s="1"/>
  <c r="H239" i="2"/>
  <c r="F239" i="2"/>
  <c r="H271" i="2"/>
  <c r="F271" i="2"/>
  <c r="H303" i="2"/>
  <c r="F303" i="2"/>
  <c r="H335" i="2"/>
  <c r="F335" i="2"/>
  <c r="H61" i="2"/>
  <c r="F61" i="2"/>
  <c r="E93" i="2"/>
  <c r="H125" i="2"/>
  <c r="F125" i="2"/>
  <c r="E157" i="2"/>
  <c r="F189" i="2"/>
  <c r="H189" i="2" s="1"/>
  <c r="G221" i="2"/>
  <c r="E221" i="2"/>
  <c r="H253" i="2"/>
  <c r="F253" i="2"/>
  <c r="H285" i="2"/>
  <c r="F285" i="2"/>
  <c r="H317" i="2"/>
  <c r="F317" i="2"/>
  <c r="G349" i="2"/>
  <c r="E349" i="2"/>
  <c r="E108" i="2"/>
  <c r="H282" i="2"/>
  <c r="F282" i="2"/>
  <c r="F26" i="2"/>
  <c r="H26" i="2" s="1"/>
  <c r="H234" i="2"/>
  <c r="F234" i="2"/>
  <c r="F290" i="2"/>
  <c r="H290" i="2"/>
  <c r="G394" i="2"/>
  <c r="E394" i="2"/>
  <c r="E70" i="2"/>
  <c r="E78" i="2"/>
  <c r="H110" i="2"/>
  <c r="F110" i="2"/>
  <c r="E174" i="2"/>
  <c r="E214" i="2"/>
  <c r="G262" i="2"/>
  <c r="E262" i="2"/>
  <c r="H294" i="2"/>
  <c r="F294" i="2"/>
  <c r="G358" i="2"/>
  <c r="E358" i="2"/>
  <c r="E39" i="2"/>
  <c r="E71" i="2"/>
  <c r="E103" i="2"/>
  <c r="E143" i="2"/>
  <c r="E175" i="2"/>
  <c r="E207" i="2"/>
  <c r="G239" i="2"/>
  <c r="E239" i="2"/>
  <c r="G271" i="2"/>
  <c r="E271" i="2"/>
  <c r="G303" i="2"/>
  <c r="E303" i="2"/>
  <c r="G335" i="2"/>
  <c r="E335" i="2"/>
  <c r="E61" i="2"/>
  <c r="H93" i="2"/>
  <c r="F93" i="2"/>
  <c r="E125" i="2"/>
  <c r="H157" i="2"/>
  <c r="F157" i="2"/>
  <c r="E189" i="2"/>
  <c r="F221" i="2"/>
  <c r="H221" i="2" s="1"/>
  <c r="G253" i="2"/>
  <c r="E253" i="2"/>
  <c r="G285" i="2"/>
  <c r="E285" i="2"/>
  <c r="G317" i="2"/>
  <c r="E317" i="2"/>
  <c r="H349" i="2"/>
  <c r="F349" i="2"/>
  <c r="H140" i="2"/>
  <c r="F140" i="2"/>
  <c r="H306" i="2"/>
  <c r="F306" i="2"/>
  <c r="E26" i="2"/>
  <c r="R4" i="2" s="1"/>
  <c r="J8" i="1" s="1"/>
  <c r="G234" i="2"/>
  <c r="E234" i="2"/>
  <c r="F314" i="2"/>
  <c r="H314" i="2"/>
  <c r="H361" i="2"/>
  <c r="F361" i="2"/>
  <c r="E102" i="2"/>
  <c r="H54" i="2"/>
  <c r="F54" i="2"/>
  <c r="F86" i="2"/>
  <c r="H86" i="2" s="1"/>
  <c r="H118" i="2"/>
  <c r="F118" i="2"/>
  <c r="F150" i="2"/>
  <c r="H150" i="2" s="1"/>
  <c r="H182" i="2"/>
  <c r="F182" i="2"/>
  <c r="G222" i="2"/>
  <c r="E222" i="2"/>
  <c r="H270" i="2"/>
  <c r="F270" i="2"/>
  <c r="G302" i="2"/>
  <c r="E302" i="2"/>
  <c r="H334" i="2"/>
  <c r="F334" i="2"/>
  <c r="F47" i="2"/>
  <c r="H47" i="2"/>
  <c r="H79" i="2"/>
  <c r="F79" i="2"/>
  <c r="F119" i="2"/>
  <c r="H119" i="2" s="1"/>
  <c r="F151" i="2"/>
  <c r="H151" i="2" s="1"/>
  <c r="F183" i="2"/>
  <c r="H183" i="2"/>
  <c r="H247" i="2"/>
  <c r="F247" i="2"/>
  <c r="H311" i="2"/>
  <c r="F311" i="2"/>
  <c r="H343" i="2"/>
  <c r="F343" i="2"/>
  <c r="F37" i="2"/>
  <c r="H37" i="2" s="1"/>
  <c r="H69" i="2"/>
  <c r="F69" i="2"/>
  <c r="F101" i="2"/>
  <c r="H101" i="2" s="1"/>
  <c r="H133" i="2"/>
  <c r="F133" i="2"/>
  <c r="F165" i="2"/>
  <c r="H165" i="2" s="1"/>
  <c r="H197" i="2"/>
  <c r="F197" i="2"/>
  <c r="H229" i="2"/>
  <c r="F229" i="2"/>
  <c r="H261" i="2"/>
  <c r="F261" i="2"/>
  <c r="H293" i="2"/>
  <c r="F293" i="2"/>
  <c r="H325" i="2"/>
  <c r="F325" i="2"/>
  <c r="H357" i="2"/>
  <c r="F357" i="2"/>
  <c r="R10" i="2" l="1"/>
  <c r="G140" i="2" s="1"/>
  <c r="G107" i="2"/>
  <c r="G111" i="2"/>
  <c r="G106" i="2"/>
  <c r="G112" i="2"/>
  <c r="G88" i="2"/>
  <c r="G204" i="2"/>
  <c r="G27" i="2"/>
  <c r="G146" i="2"/>
  <c r="G48" i="2"/>
  <c r="G120" i="2"/>
  <c r="G208" i="2"/>
  <c r="G83" i="2"/>
  <c r="G217" i="2"/>
  <c r="G153" i="2"/>
  <c r="G121" i="2"/>
  <c r="G89" i="2"/>
  <c r="G33" i="2"/>
  <c r="G72" i="2"/>
  <c r="G210" i="2"/>
  <c r="G114" i="2"/>
  <c r="G168" i="2"/>
  <c r="G216" i="2"/>
  <c r="G64" i="2"/>
  <c r="G192" i="2"/>
  <c r="G219" i="2"/>
  <c r="G59" i="2"/>
  <c r="G142" i="2"/>
  <c r="G30" i="2"/>
  <c r="G57" i="2"/>
  <c r="G116" i="2"/>
  <c r="G84" i="2"/>
  <c r="G25" i="2"/>
  <c r="G164" i="2"/>
  <c r="G92" i="2"/>
  <c r="G124" i="2"/>
  <c r="G212" i="2"/>
  <c r="G49" i="2"/>
  <c r="G178" i="2"/>
  <c r="G82" i="2"/>
  <c r="G137" i="2"/>
  <c r="G193" i="2"/>
  <c r="G104" i="2"/>
  <c r="G176" i="2"/>
  <c r="G99" i="2"/>
  <c r="G35" i="2"/>
  <c r="G201" i="2"/>
  <c r="G177" i="2"/>
  <c r="G113" i="2"/>
  <c r="G97" i="2"/>
  <c r="G81" i="2"/>
  <c r="G148" i="2"/>
  <c r="G185" i="2"/>
  <c r="G42" i="2"/>
  <c r="G105" i="2"/>
  <c r="G186" i="2"/>
  <c r="G32" i="2"/>
  <c r="G154" i="2"/>
  <c r="G50" i="2"/>
  <c r="G65" i="2"/>
  <c r="G136" i="2"/>
  <c r="G96" i="2"/>
  <c r="G160" i="2"/>
  <c r="G91" i="2"/>
  <c r="G161" i="2"/>
  <c r="G147" i="2"/>
  <c r="G220" i="2"/>
  <c r="G196" i="2"/>
  <c r="G190" i="2"/>
  <c r="G94" i="2"/>
  <c r="G41" i="2"/>
  <c r="G100" i="2"/>
  <c r="G115" i="2"/>
  <c r="G180" i="2"/>
  <c r="G179" i="2"/>
  <c r="G68" i="2"/>
  <c r="G132" i="2"/>
  <c r="G28" i="2"/>
  <c r="G188" i="2"/>
  <c r="G156" i="2"/>
  <c r="G29" i="2"/>
  <c r="G169" i="2"/>
  <c r="G215" i="2"/>
  <c r="G46" i="2"/>
  <c r="G145" i="2"/>
  <c r="G170" i="2"/>
  <c r="G122" i="2"/>
  <c r="G123" i="2"/>
  <c r="G155" i="2"/>
  <c r="G51" i="2"/>
  <c r="G129" i="2"/>
  <c r="G52" i="2"/>
  <c r="G171" i="2"/>
  <c r="G36" i="2"/>
  <c r="G73" i="2"/>
  <c r="G209" i="2"/>
  <c r="G191" i="2"/>
  <c r="J10" i="2"/>
  <c r="K10" i="2" s="1"/>
  <c r="J8" i="7"/>
  <c r="K8" i="7" s="1"/>
  <c r="K7" i="7"/>
  <c r="U9" i="2" l="1"/>
  <c r="G40" i="2"/>
  <c r="G34" i="2"/>
  <c r="G128" i="2"/>
  <c r="G144" i="2"/>
  <c r="G184" i="2"/>
  <c r="G74" i="2"/>
  <c r="G43" i="2"/>
  <c r="G152" i="2"/>
  <c r="G98" i="2"/>
  <c r="G118" i="2"/>
  <c r="G195" i="2"/>
  <c r="G80" i="2"/>
  <c r="G218" i="2"/>
  <c r="G60" i="2"/>
  <c r="G163" i="2"/>
  <c r="G200" i="2"/>
  <c r="G66" i="2"/>
  <c r="G56" i="2"/>
  <c r="G24" i="2"/>
  <c r="G67" i="2"/>
  <c r="G127" i="2"/>
  <c r="G203" i="2"/>
  <c r="G211" i="2"/>
  <c r="G131" i="2"/>
  <c r="G187" i="2"/>
  <c r="G139" i="2"/>
  <c r="G90" i="2"/>
  <c r="G150" i="2"/>
  <c r="G47" i="2"/>
  <c r="G119" i="2"/>
  <c r="G183" i="2"/>
  <c r="G37" i="2"/>
  <c r="G101" i="2"/>
  <c r="G165" i="2"/>
  <c r="G158" i="2"/>
  <c r="G194" i="2"/>
  <c r="G44" i="2"/>
  <c r="G159" i="2"/>
  <c r="G109" i="2"/>
  <c r="G206" i="2"/>
  <c r="G31" i="2"/>
  <c r="G167" i="2"/>
  <c r="G149" i="2"/>
  <c r="G93" i="2"/>
  <c r="G78" i="2"/>
  <c r="G143" i="2"/>
  <c r="G133" i="2"/>
  <c r="G126" i="2"/>
  <c r="G130" i="2"/>
  <c r="G62" i="2"/>
  <c r="G205" i="2"/>
  <c r="G134" i="2"/>
  <c r="G63" i="2"/>
  <c r="G53" i="2"/>
  <c r="G70" i="2"/>
  <c r="G214" i="2"/>
  <c r="G103" i="2"/>
  <c r="G189" i="2"/>
  <c r="G75" i="2"/>
  <c r="G198" i="2"/>
  <c r="G86" i="2"/>
  <c r="G58" i="2"/>
  <c r="G202" i="2"/>
  <c r="G213" i="2"/>
  <c r="G162" i="2"/>
  <c r="G182" i="2"/>
  <c r="G79" i="2"/>
  <c r="G197" i="2"/>
  <c r="G199" i="2"/>
  <c r="G117" i="2"/>
  <c r="G108" i="2"/>
  <c r="G125" i="2"/>
  <c r="G54" i="2"/>
  <c r="G172" i="2"/>
  <c r="G77" i="2"/>
  <c r="G141" i="2"/>
  <c r="G166" i="2"/>
  <c r="G26" i="2"/>
  <c r="G55" i="2"/>
  <c r="G45" i="2"/>
  <c r="G173" i="2"/>
  <c r="G76" i="2"/>
  <c r="G38" i="2"/>
  <c r="G95" i="2"/>
  <c r="G85" i="2"/>
  <c r="G157" i="2"/>
  <c r="G174" i="2"/>
  <c r="G71" i="2"/>
  <c r="G207" i="2"/>
  <c r="G151" i="2"/>
  <c r="G69" i="2"/>
  <c r="G87" i="2"/>
  <c r="G138" i="2"/>
  <c r="G135" i="2"/>
  <c r="G181" i="2"/>
  <c r="G110" i="2"/>
  <c r="G39" i="2"/>
  <c r="G175" i="2"/>
  <c r="G61" i="2"/>
  <c r="G102" i="2"/>
  <c r="J11" i="2"/>
  <c r="J12" i="2" s="1"/>
  <c r="K12" i="2" s="1"/>
  <c r="J9" i="7"/>
  <c r="L9" i="7" s="1"/>
  <c r="M9" i="7" s="1"/>
  <c r="L8" i="7"/>
  <c r="M8" i="7" s="1"/>
  <c r="J13" i="2" l="1"/>
  <c r="K13" i="2" s="1"/>
  <c r="K11" i="2"/>
  <c r="K9" i="7"/>
  <c r="J10" i="7"/>
  <c r="K10" i="7" s="1"/>
  <c r="J14" i="2" l="1"/>
  <c r="K14" i="2" s="1"/>
  <c r="J11" i="7"/>
  <c r="L11" i="7" s="1"/>
  <c r="M11" i="7" s="1"/>
  <c r="L10" i="7"/>
  <c r="M10" i="7" s="1"/>
  <c r="J15" i="2" l="1"/>
  <c r="J16" i="2" s="1"/>
  <c r="J12" i="7"/>
  <c r="K11" i="7"/>
  <c r="K15" i="2" l="1"/>
  <c r="K12" i="7"/>
  <c r="L12" i="7"/>
  <c r="M12" i="7" s="1"/>
  <c r="J13" i="7"/>
  <c r="K16" i="2"/>
  <c r="J17" i="2"/>
  <c r="K13" i="7" l="1"/>
  <c r="L13" i="7"/>
  <c r="M13" i="7" s="1"/>
  <c r="J14" i="7"/>
  <c r="K17" i="2"/>
  <c r="J18" i="2"/>
  <c r="J15" i="7" l="1"/>
  <c r="K14" i="7"/>
  <c r="L14" i="7"/>
  <c r="M14" i="7" s="1"/>
  <c r="K18" i="2"/>
  <c r="J19" i="2"/>
  <c r="K15" i="7" l="1"/>
  <c r="L15" i="7"/>
  <c r="M15" i="7" s="1"/>
  <c r="J16" i="7"/>
  <c r="K19" i="2"/>
  <c r="J20" i="2"/>
  <c r="K16" i="7" l="1"/>
  <c r="L16" i="7"/>
  <c r="M16" i="7" s="1"/>
  <c r="J17" i="7"/>
  <c r="K20" i="2"/>
  <c r="J21" i="2"/>
  <c r="K17" i="7" l="1"/>
  <c r="L17" i="7"/>
  <c r="M17" i="7" s="1"/>
  <c r="J18" i="7"/>
  <c r="K21" i="2"/>
  <c r="J22" i="2"/>
  <c r="L18" i="7" l="1"/>
  <c r="M18" i="7" s="1"/>
  <c r="K18" i="7"/>
  <c r="J19" i="7"/>
  <c r="K22" i="2"/>
  <c r="J23" i="2"/>
  <c r="L19" i="7" l="1"/>
  <c r="M19" i="7" s="1"/>
  <c r="K19" i="7"/>
  <c r="J20" i="7"/>
  <c r="J21" i="7" s="1"/>
  <c r="K23" i="2"/>
  <c r="J24" i="2"/>
  <c r="L21" i="7" l="1"/>
  <c r="M21" i="7" s="1"/>
  <c r="K21" i="7"/>
  <c r="J22" i="7"/>
  <c r="J23" i="7" s="1"/>
  <c r="L20" i="7"/>
  <c r="M20" i="7" s="1"/>
  <c r="K20" i="7"/>
  <c r="K24" i="2"/>
  <c r="J25" i="2"/>
  <c r="K25" i="2" s="1"/>
  <c r="L23" i="7" l="1"/>
  <c r="M23" i="7" s="1"/>
  <c r="K23" i="7"/>
  <c r="L22" i="7"/>
  <c r="M22" i="7" s="1"/>
  <c r="K22" i="7"/>
  <c r="J24" i="7"/>
  <c r="K24" i="7" s="1"/>
  <c r="M8" i="2"/>
  <c r="M18" i="2"/>
  <c r="M25" i="2"/>
  <c r="M9" i="2"/>
  <c r="M15" i="2"/>
  <c r="M24" i="2"/>
  <c r="M16" i="2"/>
  <c r="M12" i="2"/>
  <c r="M21" i="2"/>
  <c r="M23" i="2"/>
  <c r="M7" i="2"/>
  <c r="M13" i="2"/>
  <c r="M20" i="2"/>
  <c r="M22" i="2"/>
  <c r="M6" i="2"/>
  <c r="M10" i="2"/>
  <c r="M17" i="2"/>
  <c r="M11" i="2"/>
  <c r="M19" i="2"/>
  <c r="M14" i="2"/>
  <c r="J25" i="7" l="1"/>
  <c r="L25" i="7" s="1"/>
  <c r="M25" i="7" s="1"/>
  <c r="L24" i="7"/>
  <c r="M24" i="7" s="1"/>
  <c r="G14" i="1"/>
  <c r="G18" i="1"/>
  <c r="G26" i="1"/>
  <c r="G8" i="1"/>
  <c r="G22" i="1"/>
  <c r="G17" i="1"/>
  <c r="G12" i="1"/>
  <c r="G16" i="1"/>
  <c r="G15" i="1"/>
  <c r="G11" i="1"/>
  <c r="G24" i="1"/>
  <c r="G21" i="1"/>
  <c r="G9" i="1"/>
  <c r="G27" i="1"/>
  <c r="G13" i="1"/>
  <c r="G25" i="1"/>
  <c r="G20" i="1"/>
  <c r="G19" i="1"/>
  <c r="G23" i="1"/>
  <c r="G10" i="1"/>
  <c r="J26" i="7" l="1"/>
  <c r="K26" i="7" s="1"/>
  <c r="K25" i="7"/>
  <c r="B5" i="2"/>
  <c r="D51" i="4"/>
  <c r="L8" i="1"/>
  <c r="D123" i="4"/>
  <c r="B8" i="2"/>
  <c r="L11" i="1"/>
  <c r="B15" i="2"/>
  <c r="D291" i="4"/>
  <c r="L18" i="1"/>
  <c r="B7" i="2"/>
  <c r="D99" i="4"/>
  <c r="L10" i="1"/>
  <c r="D195" i="4"/>
  <c r="B11" i="2"/>
  <c r="L14" i="1"/>
  <c r="B14" i="2"/>
  <c r="D267" i="4"/>
  <c r="L17" i="1"/>
  <c r="L25" i="1"/>
  <c r="B22" i="2"/>
  <c r="D459" i="4"/>
  <c r="B13" i="2"/>
  <c r="D243" i="4"/>
  <c r="L16" i="1"/>
  <c r="D483" i="4"/>
  <c r="B23" i="2"/>
  <c r="L26" i="1"/>
  <c r="D75" i="4"/>
  <c r="B6" i="2"/>
  <c r="L9" i="1"/>
  <c r="B21" i="2"/>
  <c r="L24" i="1"/>
  <c r="D435" i="4"/>
  <c r="D339" i="4"/>
  <c r="B17" i="2"/>
  <c r="L20" i="1"/>
  <c r="D219" i="4"/>
  <c r="B12" i="2"/>
  <c r="L15" i="1"/>
  <c r="D27" i="4"/>
  <c r="B4" i="2"/>
  <c r="L7" i="1"/>
  <c r="L19" i="1"/>
  <c r="D315" i="4"/>
  <c r="B16" i="2"/>
  <c r="B18" i="2"/>
  <c r="L21" i="1"/>
  <c r="D363" i="4"/>
  <c r="D387" i="4"/>
  <c r="B19" i="2"/>
  <c r="L22" i="1"/>
  <c r="D147" i="4"/>
  <c r="B9" i="2"/>
  <c r="L12" i="1"/>
  <c r="D411" i="4"/>
  <c r="B20" i="2"/>
  <c r="L23" i="1"/>
  <c r="D171" i="4"/>
  <c r="B10" i="2"/>
  <c r="L13" i="1"/>
  <c r="J27" i="7" l="1"/>
  <c r="K27" i="7" s="1"/>
  <c r="L26" i="7"/>
  <c r="M26" i="7" s="1"/>
  <c r="A96" i="4"/>
  <c r="G22" i="2"/>
  <c r="H22" i="2"/>
  <c r="D22" i="2"/>
  <c r="C22" i="2"/>
  <c r="E22" i="2" s="1"/>
  <c r="A144" i="4"/>
  <c r="C9" i="2"/>
  <c r="E9" i="2" s="1"/>
  <c r="G9" i="2"/>
  <c r="D9" i="2"/>
  <c r="F9" i="2" s="1"/>
  <c r="C16" i="2"/>
  <c r="E16" i="2" s="1"/>
  <c r="D16" i="2"/>
  <c r="N24" i="1"/>
  <c r="M24" i="1"/>
  <c r="O24" i="1"/>
  <c r="R24" i="1"/>
  <c r="Q24" i="1"/>
  <c r="P24" i="1"/>
  <c r="C14" i="2"/>
  <c r="E14" i="2" s="1"/>
  <c r="D14" i="2"/>
  <c r="A312" i="4"/>
  <c r="A168" i="4"/>
  <c r="A264" i="4"/>
  <c r="D15" i="2"/>
  <c r="C15" i="2"/>
  <c r="E15" i="2" s="1"/>
  <c r="C12" i="2"/>
  <c r="E12" i="2" s="1"/>
  <c r="D12" i="2"/>
  <c r="C13" i="2"/>
  <c r="E13" i="2" s="1"/>
  <c r="D13" i="2"/>
  <c r="A240" i="4"/>
  <c r="A216" i="4"/>
  <c r="G20" i="2"/>
  <c r="C20" i="2"/>
  <c r="E20" i="2" s="1"/>
  <c r="D20" i="2"/>
  <c r="A384" i="4"/>
  <c r="C17" i="2"/>
  <c r="E17" i="2" s="1"/>
  <c r="D17" i="2"/>
  <c r="N26" i="1"/>
  <c r="M26" i="1"/>
  <c r="R26" i="1"/>
  <c r="Q26" i="1"/>
  <c r="O26" i="1"/>
  <c r="P26" i="1"/>
  <c r="R25" i="1"/>
  <c r="O25" i="1"/>
  <c r="Q25" i="1"/>
  <c r="M25" i="1"/>
  <c r="P25" i="1"/>
  <c r="N25" i="1"/>
  <c r="A120" i="4"/>
  <c r="O459" i="4"/>
  <c r="A480" i="4"/>
  <c r="C8" i="2"/>
  <c r="E8" i="2" s="1"/>
  <c r="G8" i="2" s="1"/>
  <c r="D8" i="2"/>
  <c r="A432" i="4"/>
  <c r="A360" i="4"/>
  <c r="G23" i="2"/>
  <c r="A73" i="4" s="1" a="1"/>
  <c r="A73" i="4" s="1"/>
  <c r="H23" i="2"/>
  <c r="C23" i="2"/>
  <c r="E23" i="2" s="1"/>
  <c r="D23" i="2"/>
  <c r="D7" i="2"/>
  <c r="C7" i="2"/>
  <c r="E7" i="2" s="1"/>
  <c r="A72" i="4"/>
  <c r="A48" i="4"/>
  <c r="A336" i="4"/>
  <c r="G21" i="2"/>
  <c r="H21" i="2"/>
  <c r="D21" i="2"/>
  <c r="A191" i="4" s="1" a="1"/>
  <c r="A191" i="4" s="1"/>
  <c r="C21" i="2"/>
  <c r="E21" i="2" s="1"/>
  <c r="C10" i="2"/>
  <c r="E10" i="2" s="1"/>
  <c r="D10" i="2"/>
  <c r="C11" i="2"/>
  <c r="E11" i="2" s="1"/>
  <c r="G11" i="2" s="1"/>
  <c r="D11" i="2"/>
  <c r="A192" i="4"/>
  <c r="C19" i="2"/>
  <c r="E19" i="2" s="1"/>
  <c r="D19" i="2"/>
  <c r="C6" i="2"/>
  <c r="E6" i="2" s="1"/>
  <c r="D6" i="2"/>
  <c r="A408" i="4"/>
  <c r="C18" i="2"/>
  <c r="E18" i="2" s="1"/>
  <c r="G18" i="2" s="1"/>
  <c r="D18" i="2"/>
  <c r="G4" i="2"/>
  <c r="N5" i="2"/>
  <c r="D4" i="2"/>
  <c r="C4" i="2"/>
  <c r="E4" i="2" s="1"/>
  <c r="N4" i="2"/>
  <c r="O4" i="2" s="1"/>
  <c r="O3" i="4" s="1"/>
  <c r="N24" i="2"/>
  <c r="O24" i="2" s="1"/>
  <c r="N10" i="2"/>
  <c r="O10" i="2" s="1"/>
  <c r="O123" i="4" s="1"/>
  <c r="N9" i="2"/>
  <c r="O9" i="2" s="1"/>
  <c r="O99" i="4" s="1"/>
  <c r="N12" i="2"/>
  <c r="O12" i="2" s="1"/>
  <c r="O171" i="4" s="1"/>
  <c r="N8" i="2"/>
  <c r="O8" i="2" s="1"/>
  <c r="O75" i="4" s="1"/>
  <c r="N7" i="2"/>
  <c r="O7" i="2" s="1"/>
  <c r="O51" i="4" s="1"/>
  <c r="N15" i="2"/>
  <c r="O15" i="2" s="1"/>
  <c r="O243" i="4" s="1"/>
  <c r="N25" i="2"/>
  <c r="O25" i="2" s="1"/>
  <c r="N22" i="2"/>
  <c r="O22" i="2" s="1"/>
  <c r="O411" i="4" s="1"/>
  <c r="N11" i="2"/>
  <c r="O11" i="2" s="1"/>
  <c r="O147" i="4" s="1"/>
  <c r="N6" i="2"/>
  <c r="O6" i="2" s="1"/>
  <c r="O27" i="4" s="1"/>
  <c r="N14" i="2"/>
  <c r="O14" i="2" s="1"/>
  <c r="O219" i="4" s="1"/>
  <c r="N19" i="2"/>
  <c r="O19" i="2" s="1"/>
  <c r="O339" i="4" s="1"/>
  <c r="N23" i="2"/>
  <c r="O23" i="2" s="1"/>
  <c r="N17" i="2"/>
  <c r="O17" i="2" s="1"/>
  <c r="O291" i="4" s="1"/>
  <c r="N21" i="2"/>
  <c r="O21" i="2" s="1"/>
  <c r="O387" i="4" s="1"/>
  <c r="N16" i="2"/>
  <c r="O16" i="2" s="1"/>
  <c r="N20" i="2"/>
  <c r="O20" i="2" s="1"/>
  <c r="O363" i="4" s="1"/>
  <c r="N13" i="2"/>
  <c r="O13" i="2" s="1"/>
  <c r="O195" i="4" s="1"/>
  <c r="N18" i="2"/>
  <c r="O18" i="2" s="1"/>
  <c r="O315" i="4" s="1"/>
  <c r="O435" i="4"/>
  <c r="A456" i="4"/>
  <c r="A457" i="4" a="1"/>
  <c r="A457" i="4" s="1"/>
  <c r="O483" i="4"/>
  <c r="A486" i="4" a="1"/>
  <c r="A486" i="4" s="1"/>
  <c r="A504" i="4"/>
  <c r="O267" i="4"/>
  <c r="A288" i="4"/>
  <c r="C5" i="2"/>
  <c r="E5" i="2" s="1"/>
  <c r="D5" i="2"/>
  <c r="A87" i="4" l="1" a="1"/>
  <c r="A87" i="4" s="1"/>
  <c r="A453" i="4" a="1"/>
  <c r="A453" i="4" s="1"/>
  <c r="A118" i="4" a="1"/>
  <c r="A118" i="4" s="1"/>
  <c r="G13" i="2"/>
  <c r="G12" i="2"/>
  <c r="G15" i="2"/>
  <c r="G14" i="2"/>
  <c r="H9" i="2"/>
  <c r="G5" i="2"/>
  <c r="A342" i="4" a="1"/>
  <c r="A342" i="4" s="1"/>
  <c r="G6" i="2"/>
  <c r="G19" i="2"/>
  <c r="A390" i="4" s="1" a="1"/>
  <c r="A390" i="4" s="1"/>
  <c r="G10" i="2"/>
  <c r="A156" i="4" s="1" a="1"/>
  <c r="A156" i="4" s="1"/>
  <c r="G7" i="2"/>
  <c r="G17" i="2"/>
  <c r="A283" i="4" s="1" a="1"/>
  <c r="A283" i="4" s="1"/>
  <c r="G16" i="2"/>
  <c r="A346" i="4" a="1"/>
  <c r="A346" i="4" s="1"/>
  <c r="A254" i="4" a="1"/>
  <c r="A254" i="4" s="1"/>
  <c r="F5" i="2"/>
  <c r="H5" i="2" s="1"/>
  <c r="F18" i="2"/>
  <c r="H18" i="2" s="1"/>
  <c r="A155" i="4" a="1"/>
  <c r="A155" i="4" s="1"/>
  <c r="A442" i="4" a="1"/>
  <c r="A442" i="4" s="1"/>
  <c r="A126" i="4" a="1"/>
  <c r="A126" i="4" s="1"/>
  <c r="A440" i="4" a="1"/>
  <c r="A440" i="4" s="1"/>
  <c r="A63" i="4" a="1"/>
  <c r="A63" i="4" s="1"/>
  <c r="A97" i="4" a="1"/>
  <c r="A97" i="4" s="1"/>
  <c r="A351" i="4" a="1"/>
  <c r="A351" i="4" s="1"/>
  <c r="F8" i="2"/>
  <c r="H8" i="2" s="1"/>
  <c r="A107" i="4" a="1"/>
  <c r="A107" i="4" s="1"/>
  <c r="A231" i="4" a="1"/>
  <c r="A231" i="4" s="1"/>
  <c r="A313" i="4" a="1"/>
  <c r="A313" i="4" s="1"/>
  <c r="A345" i="4" a="1"/>
  <c r="A345" i="4" s="1"/>
  <c r="A439" i="4" a="1"/>
  <c r="A439" i="4" s="1"/>
  <c r="A205" i="4" a="1"/>
  <c r="A205" i="4" s="1"/>
  <c r="A423" i="4" a="1"/>
  <c r="A423" i="4" s="1"/>
  <c r="F15" i="2"/>
  <c r="H15" i="2" s="1"/>
  <c r="A246" i="4" a="1"/>
  <c r="A246" i="4" s="1"/>
  <c r="F22" i="2"/>
  <c r="A391" i="4" a="1"/>
  <c r="A391" i="4" s="1"/>
  <c r="A188" i="4" a="1"/>
  <c r="A188" i="4" s="1"/>
  <c r="L27" i="7"/>
  <c r="M27" i="7" s="1"/>
  <c r="A204" i="4" a="1"/>
  <c r="A204" i="4" s="1"/>
  <c r="A275" i="4" a="1"/>
  <c r="A275" i="4" s="1"/>
  <c r="A492" i="4" a="1"/>
  <c r="A492" i="4" s="1"/>
  <c r="A446" i="4" a="1"/>
  <c r="A446" i="4" s="1"/>
  <c r="A180" i="4" a="1"/>
  <c r="A180" i="4" s="1"/>
  <c r="A181" i="4" a="1"/>
  <c r="A181" i="4" s="1"/>
  <c r="A323" i="4" a="1"/>
  <c r="A323" i="4" s="1"/>
  <c r="A350" i="4" a="1"/>
  <c r="A350" i="4" s="1"/>
  <c r="A468" i="4" a="1"/>
  <c r="A468" i="4" s="1"/>
  <c r="A121" i="4" a="1"/>
  <c r="A121" i="4" s="1"/>
  <c r="A371" i="4" a="1"/>
  <c r="A371" i="4" s="1"/>
  <c r="A203" i="4" a="1"/>
  <c r="A203" i="4" s="1"/>
  <c r="A206" i="4" a="1"/>
  <c r="A206" i="4" s="1"/>
  <c r="A230" i="4" a="1"/>
  <c r="A230" i="4" s="1"/>
  <c r="A300" i="4" a="1"/>
  <c r="A300" i="4" s="1"/>
  <c r="A450" i="4" a="1"/>
  <c r="A450" i="4" s="1"/>
  <c r="A135" i="4" a="1"/>
  <c r="A135" i="4" s="1"/>
  <c r="J28" i="7"/>
  <c r="J29" i="7" s="1"/>
  <c r="A110" i="4" a="1"/>
  <c r="A110" i="4" s="1"/>
  <c r="A380" i="4" a="1"/>
  <c r="A380" i="4" s="1"/>
  <c r="A222" i="4" a="1"/>
  <c r="A222" i="4" s="1"/>
  <c r="A251" i="4" a="1"/>
  <c r="A251" i="4" s="1"/>
  <c r="A255" i="4" a="1"/>
  <c r="A255" i="4" s="1"/>
  <c r="A158" i="4" a="1"/>
  <c r="A158" i="4" s="1"/>
  <c r="A131" i="4" a="1"/>
  <c r="A131" i="4" s="1"/>
  <c r="A134" i="4" a="1"/>
  <c r="A134" i="4" s="1"/>
  <c r="A86" i="4" a="1"/>
  <c r="A86" i="4" s="1"/>
  <c r="A332" i="4" a="1"/>
  <c r="A332" i="4" s="1"/>
  <c r="A441" i="4" a="1"/>
  <c r="A441" i="4" s="1"/>
  <c r="A404" i="4" a="1"/>
  <c r="A404" i="4" s="1"/>
  <c r="A185" i="4" a="1"/>
  <c r="A185" i="4" s="1"/>
  <c r="A276" i="4" a="1"/>
  <c r="A276" i="4" s="1"/>
  <c r="A407" i="4" a="1"/>
  <c r="A407" i="4" s="1"/>
  <c r="A38" i="4" a="1"/>
  <c r="A38" i="4" s="1"/>
  <c r="A59" i="4" a="1"/>
  <c r="A59" i="4" s="1"/>
  <c r="A278" i="4" a="1"/>
  <c r="A278" i="4" s="1"/>
  <c r="A452" i="4" a="1"/>
  <c r="A452" i="4" s="1"/>
  <c r="A270" i="4" a="1"/>
  <c r="A270" i="4" s="1"/>
  <c r="A396" i="4" a="1"/>
  <c r="A396" i="4" s="1"/>
  <c r="A398" i="4" a="1"/>
  <c r="A398" i="4" s="1"/>
  <c r="A320" i="4" a="1"/>
  <c r="A320" i="4" s="1"/>
  <c r="F19" i="2"/>
  <c r="H19" i="2" s="1"/>
  <c r="A182" i="4" a="1"/>
  <c r="A182" i="4" s="1"/>
  <c r="A326" i="4" a="1"/>
  <c r="A326" i="4" s="1"/>
  <c r="A31" i="4" a="1"/>
  <c r="A31" i="4" s="1"/>
  <c r="A62" i="4" a="1"/>
  <c r="A62" i="4" s="1"/>
  <c r="A81" i="4" a="1"/>
  <c r="A81" i="4" s="1"/>
  <c r="F23" i="2"/>
  <c r="A422" i="4" a="1"/>
  <c r="A422" i="4" s="1"/>
  <c r="A103" i="4" a="1"/>
  <c r="A103" i="4" s="1"/>
  <c r="F17" i="2"/>
  <c r="H17" i="2" s="1"/>
  <c r="A374" i="4" a="1"/>
  <c r="A374" i="4" s="1"/>
  <c r="A385" i="4" a="1"/>
  <c r="A385" i="4" s="1"/>
  <c r="F20" i="2"/>
  <c r="H20" i="2" s="1"/>
  <c r="A227" i="4" a="1"/>
  <c r="A227" i="4" s="1"/>
  <c r="A265" i="4" a="1"/>
  <c r="A265" i="4" s="1"/>
  <c r="A145" i="4" a="1"/>
  <c r="A145" i="4" s="1"/>
  <c r="A79" i="4" a="1"/>
  <c r="A79" i="4" s="1"/>
  <c r="A56" i="4" a="1"/>
  <c r="A56" i="4" s="1"/>
  <c r="A421" i="4" a="1"/>
  <c r="A421" i="4" s="1"/>
  <c r="A94" i="4" a="1"/>
  <c r="A94" i="4" s="1"/>
  <c r="A272" i="4" a="1"/>
  <c r="A272" i="4" s="1"/>
  <c r="A488" i="4" a="1"/>
  <c r="A488" i="4" s="1"/>
  <c r="A329" i="4" a="1"/>
  <c r="A329" i="4" s="1"/>
  <c r="A71" i="4" a="1"/>
  <c r="A71" i="4" s="1"/>
  <c r="A464" i="4" a="1"/>
  <c r="A464" i="4" s="1"/>
  <c r="S459" i="4"/>
  <c r="P459" i="4"/>
  <c r="R459" i="4"/>
  <c r="T459" i="4"/>
  <c r="Q459" i="4"/>
  <c r="A235" i="4" a="1"/>
  <c r="A235" i="4" s="1"/>
  <c r="A152" i="4" a="1"/>
  <c r="A152" i="4" s="1"/>
  <c r="A142" i="4" a="1"/>
  <c r="A142" i="4" s="1"/>
  <c r="A335" i="4" a="1"/>
  <c r="A335" i="4" s="1"/>
  <c r="A45" i="4" a="1"/>
  <c r="A45" i="4" s="1"/>
  <c r="A430" i="4" a="1"/>
  <c r="A430" i="4" s="1"/>
  <c r="A475" i="4" a="1"/>
  <c r="A475" i="4" s="1"/>
  <c r="A117" i="4" a="1"/>
  <c r="A117" i="4" s="1"/>
  <c r="A257" i="4" a="1"/>
  <c r="A257" i="4" s="1"/>
  <c r="A296" i="4" a="1"/>
  <c r="A296" i="4" s="1"/>
  <c r="A285" i="4" a="1"/>
  <c r="A285" i="4" s="1"/>
  <c r="A445" i="4" a="1"/>
  <c r="A445" i="4" s="1"/>
  <c r="A392" i="4" a="1"/>
  <c r="A392" i="4" s="1"/>
  <c r="A190" i="4" a="1"/>
  <c r="A190" i="4" s="1"/>
  <c r="A331" i="4" a="1"/>
  <c r="A331" i="4" s="1"/>
  <c r="A347" i="4" a="1"/>
  <c r="A347" i="4" s="1"/>
  <c r="A467" i="4" a="1"/>
  <c r="A467" i="4" s="1"/>
  <c r="A113" i="4" a="1"/>
  <c r="A113" i="4" s="1"/>
  <c r="A377" i="4" a="1"/>
  <c r="A377" i="4" s="1"/>
  <c r="A239" i="4" a="1"/>
  <c r="A239" i="4" s="1"/>
  <c r="A165" i="4" a="1"/>
  <c r="A165" i="4" s="1"/>
  <c r="A299" i="4" a="1"/>
  <c r="A299" i="4" s="1"/>
  <c r="A92" i="4" a="1"/>
  <c r="A92" i="4" s="1"/>
  <c r="A89" i="4" a="1"/>
  <c r="A89" i="4" s="1"/>
  <c r="A286" i="4" a="1"/>
  <c r="A286" i="4" s="1"/>
  <c r="A289" i="4" a="1"/>
  <c r="A289" i="4" s="1"/>
  <c r="A271" i="4" a="1"/>
  <c r="A271" i="4" s="1"/>
  <c r="A505" i="4" a="1"/>
  <c r="A505" i="4" s="1"/>
  <c r="A487" i="4" a="1"/>
  <c r="A487" i="4" s="1"/>
  <c r="A498" i="4" a="1"/>
  <c r="A498" i="4" s="1"/>
  <c r="A455" i="4" a="1"/>
  <c r="A455" i="4" s="1"/>
  <c r="A403" i="4" a="1"/>
  <c r="A403" i="4" s="1"/>
  <c r="A394" i="4" a="1"/>
  <c r="A394" i="4" s="1"/>
  <c r="A177" i="4" a="1"/>
  <c r="A177" i="4" s="1"/>
  <c r="A186" i="4" a="1"/>
  <c r="A186" i="4" s="1"/>
  <c r="A179" i="4" a="1"/>
  <c r="A179" i="4" s="1"/>
  <c r="A322" i="4" a="1"/>
  <c r="A322" i="4" s="1"/>
  <c r="A325" i="4" a="1"/>
  <c r="A325" i="4" s="1"/>
  <c r="A43" i="4" a="1"/>
  <c r="A43" i="4" s="1"/>
  <c r="A32" i="4" a="1"/>
  <c r="A32" i="4" s="1"/>
  <c r="A44" i="4" a="1"/>
  <c r="A44" i="4" s="1"/>
  <c r="A65" i="4" a="1"/>
  <c r="A65" i="4" s="1"/>
  <c r="A348" i="4" a="1"/>
  <c r="A348" i="4" s="1"/>
  <c r="A433" i="4" a="1"/>
  <c r="A433" i="4" s="1"/>
  <c r="A415" i="4" a="1"/>
  <c r="A415" i="4" s="1"/>
  <c r="A414" i="4" a="1"/>
  <c r="A414" i="4" s="1"/>
  <c r="A466" i="4" a="1"/>
  <c r="A466" i="4" s="1"/>
  <c r="A481" i="4" a="1"/>
  <c r="A481" i="4" s="1"/>
  <c r="A478" i="4" a="1"/>
  <c r="A478" i="4" s="1"/>
  <c r="A105" i="4" a="1"/>
  <c r="A105" i="4" s="1"/>
  <c r="A116" i="4" a="1"/>
  <c r="A116" i="4" s="1"/>
  <c r="A367" i="4" a="1"/>
  <c r="A367" i="4" s="1"/>
  <c r="A368" i="4" a="1"/>
  <c r="A368" i="4" s="1"/>
  <c r="A217" i="4" a="1"/>
  <c r="A217" i="4" s="1"/>
  <c r="A214" i="4" a="1"/>
  <c r="A214" i="4" s="1"/>
  <c r="A224" i="4" a="1"/>
  <c r="A224" i="4" s="1"/>
  <c r="A237" i="4" a="1"/>
  <c r="A237" i="4" s="1"/>
  <c r="A226" i="4" a="1"/>
  <c r="A226" i="4" s="1"/>
  <c r="F12" i="2"/>
  <c r="H12" i="2" s="1"/>
  <c r="A261" i="4" a="1"/>
  <c r="A261" i="4" s="1"/>
  <c r="A151" i="4" a="1"/>
  <c r="A151" i="4" s="1"/>
  <c r="A157" i="4" a="1"/>
  <c r="A157" i="4" s="1"/>
  <c r="A169" i="4" a="1"/>
  <c r="A169" i="4" s="1"/>
  <c r="A302" i="4" a="1"/>
  <c r="A302" i="4" s="1"/>
  <c r="A306" i="4" a="1"/>
  <c r="A306" i="4" s="1"/>
  <c r="A140" i="4" a="1"/>
  <c r="A140" i="4" s="1"/>
  <c r="A141" i="4" a="1"/>
  <c r="A141" i="4" s="1"/>
  <c r="A84" i="4" a="1"/>
  <c r="A84" i="4" s="1"/>
  <c r="O5" i="2"/>
  <c r="N26" i="2"/>
  <c r="A176" i="4" a="1"/>
  <c r="A176" i="4" s="1"/>
  <c r="A163" i="4" a="1"/>
  <c r="A163" i="4" s="1"/>
  <c r="F21" i="2"/>
  <c r="A418" i="4" a="1"/>
  <c r="A418" i="4" s="1"/>
  <c r="A372" i="4" a="1"/>
  <c r="A372" i="4" s="1"/>
  <c r="A200" i="4" a="1"/>
  <c r="A200" i="4" s="1"/>
  <c r="A167" i="4" a="1"/>
  <c r="A167" i="4" s="1"/>
  <c r="A282" i="4" a="1"/>
  <c r="A282" i="4" s="1"/>
  <c r="A502" i="4" a="1"/>
  <c r="A502" i="4" s="1"/>
  <c r="A449" i="4" a="1"/>
  <c r="A449" i="4" s="1"/>
  <c r="A174" i="4" a="1"/>
  <c r="A174" i="4" s="1"/>
  <c r="A324" i="4" a="1"/>
  <c r="A324" i="4" s="1"/>
  <c r="A356" i="4" a="1"/>
  <c r="A356" i="4" s="1"/>
  <c r="A428" i="4" a="1"/>
  <c r="A428" i="4" s="1"/>
  <c r="A479" i="4" a="1"/>
  <c r="A479" i="4" s="1"/>
  <c r="A106" i="4" a="1"/>
  <c r="A106" i="4" s="1"/>
  <c r="A379" i="4" a="1"/>
  <c r="A379" i="4" s="1"/>
  <c r="A202" i="4" a="1"/>
  <c r="A202" i="4" s="1"/>
  <c r="A162" i="4" a="1"/>
  <c r="A162" i="4" s="1"/>
  <c r="A279" i="4" a="1"/>
  <c r="A279" i="4" s="1"/>
  <c r="A503" i="4" a="1"/>
  <c r="A503" i="4" s="1"/>
  <c r="A438" i="4" a="1"/>
  <c r="A438" i="4" s="1"/>
  <c r="A187" i="4" a="1"/>
  <c r="A187" i="4" s="1"/>
  <c r="A37" i="4" a="1"/>
  <c r="A37" i="4" s="1"/>
  <c r="F7" i="2"/>
  <c r="H7" i="2" s="1"/>
  <c r="A343" i="4" a="1"/>
  <c r="A343" i="4" s="1"/>
  <c r="A375" i="4" a="1"/>
  <c r="A375" i="4" s="1"/>
  <c r="A198" i="4" a="1"/>
  <c r="A198" i="4" s="1"/>
  <c r="A310" i="4" a="1"/>
  <c r="A310" i="4" s="1"/>
  <c r="A127" i="4" a="1"/>
  <c r="A127" i="4" s="1"/>
  <c r="A281" i="4" a="1"/>
  <c r="A281" i="4" s="1"/>
  <c r="A497" i="4" a="1"/>
  <c r="A497" i="4" s="1"/>
  <c r="A501" i="4" a="1"/>
  <c r="A501" i="4" s="1"/>
  <c r="A490" i="4" a="1"/>
  <c r="A490" i="4" s="1"/>
  <c r="A447" i="4" a="1"/>
  <c r="A447" i="4" s="1"/>
  <c r="A451" i="4" a="1"/>
  <c r="A451" i="4" s="1"/>
  <c r="M6" i="1"/>
  <c r="A395" i="4" a="1"/>
  <c r="A395" i="4" s="1"/>
  <c r="A399" i="4" a="1"/>
  <c r="A399" i="4" s="1"/>
  <c r="A193" i="4" a="1"/>
  <c r="A193" i="4" s="1"/>
  <c r="A178" i="4" a="1"/>
  <c r="A178" i="4" s="1"/>
  <c r="A175" i="4" a="1"/>
  <c r="A175" i="4" s="1"/>
  <c r="A333" i="4" a="1"/>
  <c r="A333" i="4" s="1"/>
  <c r="A41" i="4" a="1"/>
  <c r="A41" i="4" s="1"/>
  <c r="A33" i="4" a="1"/>
  <c r="A33" i="4" s="1"/>
  <c r="A47" i="4" a="1"/>
  <c r="A47" i="4" s="1"/>
  <c r="A36" i="4" a="1"/>
  <c r="A36" i="4" s="1"/>
  <c r="A60" i="4" a="1"/>
  <c r="A60" i="4" s="1"/>
  <c r="A57" i="4" a="1"/>
  <c r="A57" i="4" s="1"/>
  <c r="A55" i="4" a="1"/>
  <c r="A55" i="4" s="1"/>
  <c r="A425" i="4" a="1"/>
  <c r="A425" i="4" s="1"/>
  <c r="A427" i="4" a="1"/>
  <c r="A427" i="4" s="1"/>
  <c r="A473" i="4" a="1"/>
  <c r="A473" i="4" s="1"/>
  <c r="A119" i="4" a="1"/>
  <c r="A119" i="4" s="1"/>
  <c r="A108" i="4" a="1"/>
  <c r="A108" i="4" s="1"/>
  <c r="A381" i="4" a="1"/>
  <c r="A381" i="4" s="1"/>
  <c r="A378" i="4" a="1"/>
  <c r="A378" i="4" s="1"/>
  <c r="A212" i="4" a="1"/>
  <c r="A212" i="4" s="1"/>
  <c r="A213" i="4" a="1"/>
  <c r="A213" i="4" s="1"/>
  <c r="A209" i="4" a="1"/>
  <c r="A209" i="4" s="1"/>
  <c r="A238" i="4" a="1"/>
  <c r="A238" i="4" s="1"/>
  <c r="A229" i="4" a="1"/>
  <c r="A229" i="4" s="1"/>
  <c r="A241" i="4" a="1"/>
  <c r="A241" i="4" s="1"/>
  <c r="A253" i="4" a="1"/>
  <c r="A253" i="4" s="1"/>
  <c r="A164" i="4" a="1"/>
  <c r="A164" i="4" s="1"/>
  <c r="A161" i="4" a="1"/>
  <c r="A161" i="4" s="1"/>
  <c r="A309" i="4" a="1"/>
  <c r="A309" i="4" s="1"/>
  <c r="A295" i="4" a="1"/>
  <c r="A295" i="4" s="1"/>
  <c r="A298" i="4" a="1"/>
  <c r="A298" i="4" s="1"/>
  <c r="F14" i="2"/>
  <c r="H14" i="2" s="1"/>
  <c r="A132" i="4" a="1"/>
  <c r="A132" i="4" s="1"/>
  <c r="A136" i="4" a="1"/>
  <c r="A136" i="4" s="1"/>
  <c r="A133" i="4" a="1"/>
  <c r="A133" i="4" s="1"/>
  <c r="A95" i="4" a="1"/>
  <c r="A95" i="4" s="1"/>
  <c r="A78" i="4" a="1"/>
  <c r="A78" i="4" s="1"/>
  <c r="A469" i="4" a="1"/>
  <c r="A469" i="4" s="1"/>
  <c r="A301" i="4" a="1"/>
  <c r="A301" i="4" s="1"/>
  <c r="A130" i="4" a="1"/>
  <c r="A130" i="4" s="1"/>
  <c r="R3" i="2"/>
  <c r="A34" i="4" a="1"/>
  <c r="A34" i="4" s="1"/>
  <c r="A67" i="4" a="1"/>
  <c r="A67" i="4" s="1"/>
  <c r="A358" i="4" a="1"/>
  <c r="A358" i="4" s="1"/>
  <c r="A462" i="4" a="1"/>
  <c r="A462" i="4" s="1"/>
  <c r="A104" i="4" a="1"/>
  <c r="A104" i="4" s="1"/>
  <c r="A250" i="4" a="1"/>
  <c r="A250" i="4" s="1"/>
  <c r="A262" i="4" a="1"/>
  <c r="A262" i="4" s="1"/>
  <c r="A294" i="4" a="1"/>
  <c r="A294" i="4" s="1"/>
  <c r="A82" i="4" a="1"/>
  <c r="A82" i="4" s="1"/>
  <c r="A287" i="4" a="1"/>
  <c r="A287" i="4" s="1"/>
  <c r="A499" i="4" a="1"/>
  <c r="A499" i="4" s="1"/>
  <c r="A444" i="4" a="1"/>
  <c r="A444" i="4" s="1"/>
  <c r="A353" i="4" a="1"/>
  <c r="A353" i="4" s="1"/>
  <c r="A383" i="4" a="1"/>
  <c r="A383" i="4" s="1"/>
  <c r="A159" i="4" a="1"/>
  <c r="A159" i="4" s="1"/>
  <c r="A307" i="4" a="1"/>
  <c r="A307" i="4" s="1"/>
  <c r="A137" i="4" a="1"/>
  <c r="A137" i="4" s="1"/>
  <c r="A402" i="4" a="1"/>
  <c r="A402" i="4" s="1"/>
  <c r="A319" i="4" a="1"/>
  <c r="A319" i="4" s="1"/>
  <c r="A344" i="4" a="1"/>
  <c r="A344" i="4" s="1"/>
  <c r="A420" i="4" a="1"/>
  <c r="A420" i="4" s="1"/>
  <c r="A471" i="4" a="1"/>
  <c r="A471" i="4" s="1"/>
  <c r="A109" i="4" a="1"/>
  <c r="A109" i="4" s="1"/>
  <c r="A207" i="4" a="1"/>
  <c r="A207" i="4" s="1"/>
  <c r="A247" i="4" a="1"/>
  <c r="A247" i="4" s="1"/>
  <c r="A311" i="4" a="1"/>
  <c r="A311" i="4" s="1"/>
  <c r="A277" i="4" a="1"/>
  <c r="A277" i="4" s="1"/>
  <c r="A284" i="4" a="1"/>
  <c r="A284" i="4" s="1"/>
  <c r="A273" i="4" a="1"/>
  <c r="A273" i="4" s="1"/>
  <c r="A489" i="4" a="1"/>
  <c r="A489" i="4" s="1"/>
  <c r="A493" i="4" a="1"/>
  <c r="A493" i="4" s="1"/>
  <c r="S483" i="4"/>
  <c r="P483" i="4"/>
  <c r="R483" i="4"/>
  <c r="Q483" i="4"/>
  <c r="T483" i="4"/>
  <c r="A454" i="4" a="1"/>
  <c r="A454" i="4" s="1"/>
  <c r="A443" i="4" a="1"/>
  <c r="A443" i="4" s="1"/>
  <c r="A405" i="4" a="1"/>
  <c r="A405" i="4" s="1"/>
  <c r="A409" i="4" a="1"/>
  <c r="A409" i="4" s="1"/>
  <c r="F6" i="2"/>
  <c r="H6" i="2" s="1"/>
  <c r="A189" i="4" a="1"/>
  <c r="A189" i="4" s="1"/>
  <c r="A318" i="4" a="1"/>
  <c r="A318" i="4" s="1"/>
  <c r="A337" i="4" a="1"/>
  <c r="A337" i="4" s="1"/>
  <c r="A49" i="4" a="1"/>
  <c r="A49" i="4" s="1"/>
  <c r="A39" i="4" a="1"/>
  <c r="A39" i="4" s="1"/>
  <c r="A30" i="4" a="1"/>
  <c r="A30" i="4" s="1"/>
  <c r="A58" i="4" a="1"/>
  <c r="A58" i="4" s="1"/>
  <c r="A54" i="4" a="1"/>
  <c r="A54" i="4" s="1"/>
  <c r="A69" i="4" a="1"/>
  <c r="A69" i="4" s="1"/>
  <c r="A355" i="4" a="1"/>
  <c r="A355" i="4" s="1"/>
  <c r="A361" i="4" a="1"/>
  <c r="A361" i="4" s="1"/>
  <c r="A359" i="4" a="1"/>
  <c r="A359" i="4" s="1"/>
  <c r="A417" i="4" a="1"/>
  <c r="A417" i="4" s="1"/>
  <c r="A419" i="4" a="1"/>
  <c r="A419" i="4" s="1"/>
  <c r="A474" i="4" a="1"/>
  <c r="A474" i="4" s="1"/>
  <c r="A465" i="4" a="1"/>
  <c r="A465" i="4" s="1"/>
  <c r="A463" i="4" a="1"/>
  <c r="A463" i="4" s="1"/>
  <c r="A111" i="4" a="1"/>
  <c r="A111" i="4" s="1"/>
  <c r="A102" i="4" a="1"/>
  <c r="A102" i="4" s="1"/>
  <c r="A382" i="4" a="1"/>
  <c r="A382" i="4" s="1"/>
  <c r="A373" i="4" a="1"/>
  <c r="A373" i="4" s="1"/>
  <c r="A369" i="4" a="1"/>
  <c r="A369" i="4" s="1"/>
  <c r="A201" i="4" a="1"/>
  <c r="A201" i="4" s="1"/>
  <c r="A199" i="4" a="1"/>
  <c r="A199" i="4" s="1"/>
  <c r="A236" i="4" a="1"/>
  <c r="A236" i="4" s="1"/>
  <c r="A233" i="4" a="1"/>
  <c r="A233" i="4" s="1"/>
  <c r="A248" i="4" a="1"/>
  <c r="A248" i="4" s="1"/>
  <c r="A260" i="4" a="1"/>
  <c r="A260" i="4" s="1"/>
  <c r="A166" i="4" a="1"/>
  <c r="A166" i="4" s="1"/>
  <c r="A153" i="4" a="1"/>
  <c r="A153" i="4" s="1"/>
  <c r="A305" i="4" a="1"/>
  <c r="A305" i="4" s="1"/>
  <c r="A139" i="4" a="1"/>
  <c r="A139" i="4" s="1"/>
  <c r="A128" i="4" a="1"/>
  <c r="A128" i="4" s="1"/>
  <c r="S123" i="4"/>
  <c r="P123" i="4"/>
  <c r="Q123" i="4"/>
  <c r="T123" i="4"/>
  <c r="R123" i="4"/>
  <c r="A93" i="4" a="1"/>
  <c r="A93" i="4" s="1"/>
  <c r="A91" i="4" a="1"/>
  <c r="A91" i="4" s="1"/>
  <c r="A88" i="4" a="1"/>
  <c r="A88" i="4" s="1"/>
  <c r="K28" i="7"/>
  <c r="A215" i="4" a="1"/>
  <c r="A215" i="4" s="1"/>
  <c r="A274" i="4" a="1"/>
  <c r="A274" i="4" s="1"/>
  <c r="A491" i="4" a="1"/>
  <c r="A491" i="4" s="1"/>
  <c r="A334" i="4" a="1"/>
  <c r="A334" i="4" s="1"/>
  <c r="A70" i="4" a="1"/>
  <c r="A70" i="4" s="1"/>
  <c r="A357" i="4" a="1"/>
  <c r="A357" i="4" s="1"/>
  <c r="A370" i="4" a="1"/>
  <c r="A370" i="4" s="1"/>
  <c r="A234" i="4" a="1"/>
  <c r="A234" i="4" s="1"/>
  <c r="A249" i="4" a="1"/>
  <c r="A249" i="4" s="1"/>
  <c r="A154" i="4" a="1"/>
  <c r="A154" i="4" s="1"/>
  <c r="A129" i="4" a="1"/>
  <c r="A129" i="4" s="1"/>
  <c r="A500" i="4" a="1"/>
  <c r="A500" i="4" s="1"/>
  <c r="S435" i="4"/>
  <c r="P435" i="4"/>
  <c r="Q435" i="4"/>
  <c r="R435" i="4"/>
  <c r="T435" i="4"/>
  <c r="F3" i="2"/>
  <c r="H3" i="2" s="1"/>
  <c r="R14" i="2" s="1"/>
  <c r="R15" i="2" s="1"/>
  <c r="R16" i="2" s="1"/>
  <c r="F4" i="2"/>
  <c r="H4" i="2" s="1"/>
  <c r="A397" i="4" a="1"/>
  <c r="A397" i="4" s="1"/>
  <c r="A401" i="4" a="1"/>
  <c r="A401" i="4" s="1"/>
  <c r="A406" i="4" a="1"/>
  <c r="A406" i="4" s="1"/>
  <c r="F11" i="2"/>
  <c r="H11" i="2" s="1"/>
  <c r="F10" i="2"/>
  <c r="H10" i="2" s="1"/>
  <c r="A327" i="4" a="1"/>
  <c r="A327" i="4" s="1"/>
  <c r="A35" i="4" a="1"/>
  <c r="A35" i="4" s="1"/>
  <c r="A46" i="4" a="1"/>
  <c r="A46" i="4" s="1"/>
  <c r="A68" i="4" a="1"/>
  <c r="A68" i="4" s="1"/>
  <c r="A61" i="4" a="1"/>
  <c r="A61" i="4" s="1"/>
  <c r="A349" i="4" a="1"/>
  <c r="A349" i="4" s="1"/>
  <c r="A416" i="4" a="1"/>
  <c r="A416" i="4" s="1"/>
  <c r="A431" i="4" a="1"/>
  <c r="A431" i="4" s="1"/>
  <c r="A429" i="4" a="1"/>
  <c r="A429" i="4" s="1"/>
  <c r="A476" i="4" a="1"/>
  <c r="A476" i="4" s="1"/>
  <c r="A477" i="4" a="1"/>
  <c r="A477" i="4" s="1"/>
  <c r="A115" i="4" a="1"/>
  <c r="A115" i="4" s="1"/>
  <c r="A366" i="4" a="1"/>
  <c r="A366" i="4" s="1"/>
  <c r="A211" i="4" a="1"/>
  <c r="A211" i="4" s="1"/>
  <c r="A223" i="4" a="1"/>
  <c r="A223" i="4" s="1"/>
  <c r="A228" i="4" a="1"/>
  <c r="A228" i="4" s="1"/>
  <c r="A225" i="4" a="1"/>
  <c r="A225" i="4" s="1"/>
  <c r="F13" i="2"/>
  <c r="H13" i="2" s="1"/>
  <c r="A259" i="4" a="1"/>
  <c r="A259" i="4" s="1"/>
  <c r="A263" i="4" a="1"/>
  <c r="A263" i="4" s="1"/>
  <c r="A252" i="4" a="1"/>
  <c r="A252" i="4" s="1"/>
  <c r="A150" i="4" a="1"/>
  <c r="A150" i="4" s="1"/>
  <c r="A303" i="4" a="1"/>
  <c r="A303" i="4" s="1"/>
  <c r="A308" i="4" a="1"/>
  <c r="A308" i="4" s="1"/>
  <c r="A297" i="4" a="1"/>
  <c r="A297" i="4" s="1"/>
  <c r="F16" i="2"/>
  <c r="H16" i="2" s="1"/>
  <c r="A138" i="4" a="1"/>
  <c r="A138" i="4" s="1"/>
  <c r="A143" i="4" a="1"/>
  <c r="A143" i="4" s="1"/>
  <c r="A85" i="4" a="1"/>
  <c r="A85" i="4" s="1"/>
  <c r="A83" i="4" a="1"/>
  <c r="A83" i="4" s="1"/>
  <c r="A80" i="4" a="1"/>
  <c r="A80" i="4" s="1"/>
  <c r="A258" i="4" l="1" a="1"/>
  <c r="A258" i="4" s="1"/>
  <c r="A426" i="4" a="1"/>
  <c r="A426" i="4" s="1"/>
  <c r="A354" i="4" a="1"/>
  <c r="A354" i="4" s="1"/>
  <c r="A42" i="4" a="1"/>
  <c r="A42" i="4" s="1"/>
  <c r="A66" i="4" a="1"/>
  <c r="A66" i="4" s="1"/>
  <c r="A90" i="4" a="1"/>
  <c r="A90" i="4" s="1"/>
  <c r="A210" i="4" a="1"/>
  <c r="A210" i="4" s="1"/>
  <c r="A114" i="4" a="1"/>
  <c r="A114" i="4" s="1"/>
  <c r="A330" i="4" a="1"/>
  <c r="A330" i="4" s="1"/>
  <c r="A183" i="4" a="1"/>
  <c r="A183" i="4" s="1"/>
  <c r="A495" i="4" a="1"/>
  <c r="A495" i="4" s="1"/>
  <c r="A160" i="4" a="1"/>
  <c r="A160" i="4" s="1"/>
  <c r="A112" i="4" a="1"/>
  <c r="A112" i="4" s="1"/>
  <c r="A472" i="4" a="1"/>
  <c r="A472" i="4" s="1"/>
  <c r="A352" i="4" a="1"/>
  <c r="A352" i="4" s="1"/>
  <c r="A64" i="4" a="1"/>
  <c r="A64" i="4" s="1"/>
  <c r="A400" i="4" a="1"/>
  <c r="A400" i="4" s="1"/>
  <c r="A208" i="4" a="1"/>
  <c r="A208" i="4" s="1"/>
  <c r="A424" i="4" a="1"/>
  <c r="A424" i="4" s="1"/>
  <c r="A496" i="4" a="1"/>
  <c r="A496" i="4" s="1"/>
  <c r="A280" i="4" a="1"/>
  <c r="A280" i="4" s="1"/>
  <c r="A304" i="4" a="1"/>
  <c r="A304" i="4" s="1"/>
  <c r="A256" i="4" a="1"/>
  <c r="A256" i="4" s="1"/>
  <c r="A328" i="4" a="1"/>
  <c r="A328" i="4" s="1"/>
  <c r="A184" i="4" a="1"/>
  <c r="A184" i="4" s="1"/>
  <c r="A448" i="4" a="1"/>
  <c r="A448" i="4" s="1"/>
  <c r="A232" i="4" a="1"/>
  <c r="A232" i="4" s="1"/>
  <c r="A376" i="4" a="1"/>
  <c r="A376" i="4" s="1"/>
  <c r="A40" i="4" a="1"/>
  <c r="A40" i="4" s="1"/>
  <c r="A321" i="4" a="1"/>
  <c r="A321" i="4" s="1"/>
  <c r="A393" i="4" a="1"/>
  <c r="A393" i="4" s="1"/>
  <c r="A494" i="4" a="1"/>
  <c r="A494" i="4" s="1"/>
  <c r="B502" i="4" s="1"/>
  <c r="A470" i="4" a="1"/>
  <c r="A470" i="4" s="1"/>
  <c r="B472" i="4" s="1"/>
  <c r="B240" i="4"/>
  <c r="B248" i="4"/>
  <c r="B284" i="4"/>
  <c r="L28" i="7"/>
  <c r="M28" i="7" s="1"/>
  <c r="B234" i="4"/>
  <c r="B143" i="4"/>
  <c r="B357" i="4"/>
  <c r="B344" i="4"/>
  <c r="B263" i="4"/>
  <c r="B487" i="4"/>
  <c r="B226" i="4"/>
  <c r="B264" i="4"/>
  <c r="B353" i="4"/>
  <c r="B227" i="4"/>
  <c r="B360" i="4"/>
  <c r="B283" i="4"/>
  <c r="B348" i="4"/>
  <c r="L29" i="7"/>
  <c r="M29" i="7" s="1"/>
  <c r="K29" i="7"/>
  <c r="J30" i="7"/>
  <c r="B504" i="4"/>
  <c r="B486" i="4"/>
  <c r="B236" i="4"/>
  <c r="B232" i="4"/>
  <c r="B235" i="4"/>
  <c r="B414" i="4"/>
  <c r="B422" i="4"/>
  <c r="B430" i="4"/>
  <c r="B415" i="4"/>
  <c r="B423" i="4"/>
  <c r="B431" i="4"/>
  <c r="B416" i="4"/>
  <c r="B424" i="4"/>
  <c r="B432" i="4"/>
  <c r="B417" i="4"/>
  <c r="B425" i="4"/>
  <c r="B433" i="4"/>
  <c r="B418" i="4"/>
  <c r="B426" i="4"/>
  <c r="B420" i="4"/>
  <c r="B428" i="4"/>
  <c r="B421" i="4"/>
  <c r="B429" i="4"/>
  <c r="B419" i="4"/>
  <c r="B427" i="4"/>
  <c r="B287" i="4"/>
  <c r="B281" i="4"/>
  <c r="B126" i="4"/>
  <c r="B265" i="4"/>
  <c r="B254" i="4"/>
  <c r="B347" i="4"/>
  <c r="B359" i="4"/>
  <c r="B345" i="4"/>
  <c r="B324" i="4"/>
  <c r="B332" i="4"/>
  <c r="B319" i="4"/>
  <c r="B328" i="4"/>
  <c r="B337" i="4"/>
  <c r="B320" i="4"/>
  <c r="B329" i="4"/>
  <c r="B321" i="4"/>
  <c r="B330" i="4"/>
  <c r="B322" i="4"/>
  <c r="B331" i="4"/>
  <c r="B323" i="4"/>
  <c r="B333" i="4"/>
  <c r="B326" i="4"/>
  <c r="B335" i="4"/>
  <c r="B318" i="4"/>
  <c r="B327" i="4"/>
  <c r="B336" i="4"/>
  <c r="B325" i="4"/>
  <c r="B334" i="4"/>
  <c r="B464" i="4"/>
  <c r="B473" i="4"/>
  <c r="B467" i="4"/>
  <c r="B462" i="4"/>
  <c r="B471" i="4"/>
  <c r="B492" i="4"/>
  <c r="B493" i="4"/>
  <c r="B230" i="4"/>
  <c r="B225" i="4"/>
  <c r="B92" i="4"/>
  <c r="B84" i="4"/>
  <c r="B91" i="4"/>
  <c r="B83" i="4"/>
  <c r="B90" i="4"/>
  <c r="B82" i="4"/>
  <c r="B97" i="4"/>
  <c r="B89" i="4"/>
  <c r="B81" i="4"/>
  <c r="B96" i="4"/>
  <c r="B88" i="4"/>
  <c r="B80" i="4"/>
  <c r="B94" i="4"/>
  <c r="B86" i="4"/>
  <c r="B78" i="4"/>
  <c r="B95" i="4"/>
  <c r="B93" i="4"/>
  <c r="B87" i="4"/>
  <c r="B85" i="4"/>
  <c r="B79" i="4"/>
  <c r="B251" i="4"/>
  <c r="B262" i="4"/>
  <c r="B355" i="4"/>
  <c r="B350" i="4"/>
  <c r="B278" i="4"/>
  <c r="B274" i="4"/>
  <c r="B145" i="4"/>
  <c r="B131" i="4"/>
  <c r="B142" i="4"/>
  <c r="B443" i="4"/>
  <c r="B451" i="4"/>
  <c r="B444" i="4"/>
  <c r="B452" i="4"/>
  <c r="B445" i="4"/>
  <c r="B453" i="4"/>
  <c r="B438" i="4"/>
  <c r="B446" i="4"/>
  <c r="B454" i="4"/>
  <c r="B439" i="4"/>
  <c r="B447" i="4"/>
  <c r="B455" i="4"/>
  <c r="B441" i="4"/>
  <c r="B449" i="4"/>
  <c r="B457" i="4"/>
  <c r="B442" i="4"/>
  <c r="B450" i="4"/>
  <c r="B440" i="4"/>
  <c r="B448" i="4"/>
  <c r="B456" i="4"/>
  <c r="B498" i="4"/>
  <c r="B489" i="4"/>
  <c r="B494" i="4"/>
  <c r="B228" i="4"/>
  <c r="B224" i="4"/>
  <c r="B277" i="4"/>
  <c r="B114" i="4"/>
  <c r="B106" i="4"/>
  <c r="B121" i="4"/>
  <c r="B113" i="4"/>
  <c r="B105" i="4"/>
  <c r="B120" i="4"/>
  <c r="B112" i="4"/>
  <c r="B104" i="4"/>
  <c r="B119" i="4"/>
  <c r="B111" i="4"/>
  <c r="B103" i="4"/>
  <c r="B118" i="4"/>
  <c r="B110" i="4"/>
  <c r="B102" i="4"/>
  <c r="B117" i="4"/>
  <c r="B109" i="4"/>
  <c r="B115" i="4"/>
  <c r="B107" i="4"/>
  <c r="B108" i="4"/>
  <c r="B116" i="4"/>
  <c r="B501" i="4"/>
  <c r="B164" i="4"/>
  <c r="B156" i="4"/>
  <c r="B163" i="4"/>
  <c r="B155" i="4"/>
  <c r="B162" i="4"/>
  <c r="B154" i="4"/>
  <c r="B169" i="4"/>
  <c r="B161" i="4"/>
  <c r="B153" i="4"/>
  <c r="B168" i="4"/>
  <c r="B160" i="4"/>
  <c r="B152" i="4"/>
  <c r="B167" i="4"/>
  <c r="B159" i="4"/>
  <c r="B151" i="4"/>
  <c r="B165" i="4"/>
  <c r="B157" i="4"/>
  <c r="B158" i="4"/>
  <c r="B150" i="4"/>
  <c r="B166" i="4"/>
  <c r="B499" i="4"/>
  <c r="B503" i="4"/>
  <c r="B238" i="4"/>
  <c r="B233" i="4"/>
  <c r="B193" i="4"/>
  <c r="B185" i="4"/>
  <c r="B177" i="4"/>
  <c r="B192" i="4"/>
  <c r="B184" i="4"/>
  <c r="B176" i="4"/>
  <c r="B191" i="4"/>
  <c r="B183" i="4"/>
  <c r="B175" i="4"/>
  <c r="B190" i="4"/>
  <c r="B182" i="4"/>
  <c r="B174" i="4"/>
  <c r="B189" i="4"/>
  <c r="B181" i="4"/>
  <c r="B188" i="4"/>
  <c r="B180" i="4"/>
  <c r="B186" i="4"/>
  <c r="B178" i="4"/>
  <c r="B187" i="4"/>
  <c r="B179" i="4"/>
  <c r="B259" i="4"/>
  <c r="B247" i="4"/>
  <c r="B346" i="4"/>
  <c r="B358" i="4"/>
  <c r="B286" i="4"/>
  <c r="B282" i="4"/>
  <c r="B137" i="4"/>
  <c r="B139" i="4"/>
  <c r="B127" i="4"/>
  <c r="B43" i="4"/>
  <c r="B35" i="4"/>
  <c r="B49" i="4"/>
  <c r="B41" i="4"/>
  <c r="B33" i="4"/>
  <c r="B48" i="4"/>
  <c r="B40" i="4"/>
  <c r="B32" i="4"/>
  <c r="B30" i="4"/>
  <c r="B47" i="4"/>
  <c r="B39" i="4"/>
  <c r="B31" i="4"/>
  <c r="B45" i="4"/>
  <c r="B37" i="4"/>
  <c r="B42" i="4"/>
  <c r="B38" i="4"/>
  <c r="B36" i="4"/>
  <c r="B34" i="4"/>
  <c r="B44" i="4"/>
  <c r="B46" i="4"/>
  <c r="B271" i="4"/>
  <c r="B288" i="4"/>
  <c r="B276" i="4"/>
  <c r="B136" i="4"/>
  <c r="B133" i="4"/>
  <c r="B249" i="4"/>
  <c r="B261" i="4"/>
  <c r="B256" i="4"/>
  <c r="B354" i="4"/>
  <c r="B351" i="4"/>
  <c r="B361" i="4"/>
  <c r="B279" i="4"/>
  <c r="B273" i="4"/>
  <c r="B144" i="4"/>
  <c r="B141" i="4"/>
  <c r="B214" i="4"/>
  <c r="B206" i="4"/>
  <c r="B198" i="4"/>
  <c r="B213" i="4"/>
  <c r="B205" i="4"/>
  <c r="B212" i="4"/>
  <c r="B204" i="4"/>
  <c r="B211" i="4"/>
  <c r="B203" i="4"/>
  <c r="B210" i="4"/>
  <c r="B202" i="4"/>
  <c r="B217" i="4"/>
  <c r="B209" i="4"/>
  <c r="B201" i="4"/>
  <c r="B215" i="4"/>
  <c r="B207" i="4"/>
  <c r="B199" i="4"/>
  <c r="B216" i="4"/>
  <c r="B208" i="4"/>
  <c r="B200" i="4"/>
  <c r="B71" i="4"/>
  <c r="B63" i="4"/>
  <c r="B55" i="4"/>
  <c r="B70" i="4"/>
  <c r="B69" i="4"/>
  <c r="B61" i="4"/>
  <c r="B68" i="4"/>
  <c r="B60" i="4"/>
  <c r="B67" i="4"/>
  <c r="B59" i="4"/>
  <c r="B73" i="4"/>
  <c r="B65" i="4"/>
  <c r="B57" i="4"/>
  <c r="B66" i="4"/>
  <c r="B64" i="4"/>
  <c r="B62" i="4"/>
  <c r="B58" i="4"/>
  <c r="B56" i="4"/>
  <c r="B54" i="4"/>
  <c r="B72" i="4"/>
  <c r="B491" i="4"/>
  <c r="B495" i="4"/>
  <c r="B223" i="4"/>
  <c r="B241" i="4"/>
  <c r="B252" i="4"/>
  <c r="B255" i="4"/>
  <c r="B352" i="4"/>
  <c r="B349" i="4"/>
  <c r="R21" i="2"/>
  <c r="R20" i="2"/>
  <c r="B272" i="4"/>
  <c r="B275" i="4"/>
  <c r="B129" i="4"/>
  <c r="B132" i="4"/>
  <c r="B135" i="4"/>
  <c r="R9" i="2"/>
  <c r="J7" i="1"/>
  <c r="B497" i="4"/>
  <c r="B237" i="4"/>
  <c r="B239" i="4"/>
  <c r="B258" i="4"/>
  <c r="B253" i="4"/>
  <c r="B257" i="4"/>
  <c r="B246" i="4"/>
  <c r="B356" i="4"/>
  <c r="B342" i="4"/>
  <c r="B393" i="4"/>
  <c r="B401" i="4"/>
  <c r="B409" i="4"/>
  <c r="B394" i="4"/>
  <c r="B402" i="4"/>
  <c r="B395" i="4"/>
  <c r="B403" i="4"/>
  <c r="B396" i="4"/>
  <c r="B404" i="4"/>
  <c r="B397" i="4"/>
  <c r="B405" i="4"/>
  <c r="B391" i="4"/>
  <c r="B399" i="4"/>
  <c r="B407" i="4"/>
  <c r="B392" i="4"/>
  <c r="B400" i="4"/>
  <c r="B408" i="4"/>
  <c r="B390" i="4"/>
  <c r="B406" i="4"/>
  <c r="B398" i="4"/>
  <c r="B130" i="4"/>
  <c r="B372" i="4"/>
  <c r="B380" i="4"/>
  <c r="B373" i="4"/>
  <c r="B381" i="4"/>
  <c r="B366" i="4"/>
  <c r="B374" i="4"/>
  <c r="B382" i="4"/>
  <c r="B367" i="4"/>
  <c r="B375" i="4"/>
  <c r="B383" i="4"/>
  <c r="B368" i="4"/>
  <c r="B376" i="4"/>
  <c r="B384" i="4"/>
  <c r="B370" i="4"/>
  <c r="B378" i="4"/>
  <c r="B371" i="4"/>
  <c r="B379" i="4"/>
  <c r="B385" i="4"/>
  <c r="B377" i="4"/>
  <c r="B369" i="4"/>
  <c r="B306" i="4"/>
  <c r="B298" i="4"/>
  <c r="B310" i="4"/>
  <c r="B309" i="4"/>
  <c r="B300" i="4"/>
  <c r="B308" i="4"/>
  <c r="B299" i="4"/>
  <c r="B307" i="4"/>
  <c r="B297" i="4"/>
  <c r="B305" i="4"/>
  <c r="B296" i="4"/>
  <c r="B304" i="4"/>
  <c r="B295" i="4"/>
  <c r="B313" i="4"/>
  <c r="B303" i="4"/>
  <c r="B294" i="4"/>
  <c r="B311" i="4"/>
  <c r="B301" i="4"/>
  <c r="B312" i="4"/>
  <c r="B302" i="4"/>
  <c r="B500" i="4"/>
  <c r="B496" i="4"/>
  <c r="B222" i="4"/>
  <c r="B270" i="4"/>
  <c r="B289" i="4"/>
  <c r="B285" i="4"/>
  <c r="B138" i="4"/>
  <c r="B134" i="4"/>
  <c r="B505" i="4"/>
  <c r="B229" i="4"/>
  <c r="B231" i="4"/>
  <c r="B250" i="4"/>
  <c r="B260" i="4"/>
  <c r="B343" i="4"/>
  <c r="B280" i="4"/>
  <c r="B128" i="4"/>
  <c r="B140" i="4"/>
  <c r="B477" i="4" l="1"/>
  <c r="B463" i="4"/>
  <c r="B476" i="4"/>
  <c r="B474" i="4"/>
  <c r="B465" i="4"/>
  <c r="B469" i="4"/>
  <c r="B478" i="4"/>
  <c r="B468" i="4"/>
  <c r="B466" i="4"/>
  <c r="B480" i="4"/>
  <c r="B490" i="4"/>
  <c r="B488" i="4"/>
  <c r="B479" i="4"/>
  <c r="B470" i="4"/>
  <c r="B475" i="4"/>
  <c r="B481" i="4"/>
  <c r="U8" i="2"/>
  <c r="J17" i="1" s="1"/>
  <c r="B5" i="3"/>
  <c r="R19" i="2"/>
  <c r="R23" i="2" s="1"/>
  <c r="K30" i="7"/>
  <c r="L30" i="7"/>
  <c r="M30" i="7" s="1"/>
  <c r="J31" i="7"/>
  <c r="R24" i="2" l="1"/>
  <c r="J22" i="1"/>
  <c r="L31" i="7"/>
  <c r="M31" i="7" s="1"/>
  <c r="K31" i="7"/>
  <c r="J32" i="7"/>
  <c r="R6" i="2"/>
  <c r="B1" i="3"/>
  <c r="K32" i="7" l="1"/>
  <c r="L32" i="7"/>
  <c r="M32" i="7" s="1"/>
  <c r="J33" i="7"/>
  <c r="B30" i="3"/>
  <c r="B4" i="3"/>
  <c r="R25" i="2"/>
  <c r="L33" i="7" l="1"/>
  <c r="M33" i="7" s="1"/>
  <c r="K33" i="7"/>
  <c r="J34" i="7"/>
  <c r="R26" i="2"/>
  <c r="B6" i="3"/>
  <c r="K34" i="7" l="1"/>
  <c r="L34" i="7"/>
  <c r="M34" i="7" s="1"/>
  <c r="J35" i="7"/>
  <c r="B7" i="3"/>
  <c r="C6" i="3" s="1"/>
  <c r="C5" i="3"/>
  <c r="B31" i="3" s="1"/>
  <c r="F6" i="3" l="1"/>
  <c r="D294" i="4"/>
  <c r="J294" i="4" s="1" a="1"/>
  <c r="J294" i="4" s="1"/>
  <c r="K294" i="4" s="1"/>
  <c r="L294" i="4" s="1"/>
  <c r="D414" i="4"/>
  <c r="J414" i="4" s="1" a="1"/>
  <c r="J414" i="4" s="1"/>
  <c r="K414" i="4" s="1"/>
  <c r="L414" i="4" s="1"/>
  <c r="D390" i="4"/>
  <c r="J390" i="4" s="1" a="1"/>
  <c r="J390" i="4" s="1"/>
  <c r="K390" i="4" s="1"/>
  <c r="L390" i="4" s="1"/>
  <c r="D6" i="3"/>
  <c r="B32" i="3"/>
  <c r="D366" i="4"/>
  <c r="J366" i="4" s="1" a="1"/>
  <c r="J366" i="4" s="1"/>
  <c r="K366" i="4" s="1"/>
  <c r="L366" i="4" s="1"/>
  <c r="D318" i="4"/>
  <c r="J318" i="4" s="1" a="1"/>
  <c r="J318" i="4" s="1"/>
  <c r="K318" i="4" s="1"/>
  <c r="L318" i="4" s="1"/>
  <c r="D438" i="4"/>
  <c r="J438" i="4" s="1" a="1"/>
  <c r="J438" i="4" s="1"/>
  <c r="K438" i="4" s="1"/>
  <c r="L438" i="4" s="1"/>
  <c r="D462" i="4"/>
  <c r="J462" i="4" s="1" a="1"/>
  <c r="J462" i="4" s="1"/>
  <c r="K462" i="4" s="1"/>
  <c r="L462" i="4" s="1"/>
  <c r="D486" i="4"/>
  <c r="J486" i="4" s="1" a="1"/>
  <c r="J486" i="4" s="1"/>
  <c r="K486" i="4" s="1"/>
  <c r="L486" i="4" s="1"/>
  <c r="D246" i="4"/>
  <c r="J246" i="4" s="1" a="1"/>
  <c r="J246" i="4" s="1"/>
  <c r="K246" i="4" s="1"/>
  <c r="L246" i="4" s="1"/>
  <c r="D222" i="4"/>
  <c r="J222" i="4" s="1" a="1"/>
  <c r="J222" i="4" s="1"/>
  <c r="K222" i="4" s="1"/>
  <c r="L222" i="4" s="1"/>
  <c r="D270" i="4"/>
  <c r="J270" i="4" s="1" a="1"/>
  <c r="J270" i="4" s="1"/>
  <c r="K270" i="4" s="1"/>
  <c r="L270" i="4" s="1"/>
  <c r="D150" i="4"/>
  <c r="J150" i="4" s="1" a="1"/>
  <c r="J150" i="4" s="1"/>
  <c r="K150" i="4" s="1"/>
  <c r="L150" i="4" s="1"/>
  <c r="D342" i="4"/>
  <c r="J342" i="4" s="1" a="1"/>
  <c r="J342" i="4" s="1"/>
  <c r="K342" i="4" s="1"/>
  <c r="L342" i="4" s="1"/>
  <c r="D126" i="4"/>
  <c r="J126" i="4" s="1" a="1"/>
  <c r="J126" i="4" s="1"/>
  <c r="K126" i="4" s="1"/>
  <c r="L126" i="4" s="1"/>
  <c r="D198" i="4"/>
  <c r="J198" i="4" s="1" a="1"/>
  <c r="J198" i="4" s="1"/>
  <c r="K198" i="4" s="1"/>
  <c r="L198" i="4" s="1"/>
  <c r="D102" i="4"/>
  <c r="J102" i="4" s="1" a="1"/>
  <c r="J102" i="4" s="1"/>
  <c r="K102" i="4" s="1"/>
  <c r="L102" i="4" s="1"/>
  <c r="D6" i="4"/>
  <c r="D54" i="4"/>
  <c r="J54" i="4" s="1" a="1"/>
  <c r="J54" i="4" s="1"/>
  <c r="K54" i="4" s="1"/>
  <c r="L54" i="4" s="1"/>
  <c r="D174" i="4"/>
  <c r="J174" i="4" s="1" a="1"/>
  <c r="J174" i="4" s="1"/>
  <c r="K174" i="4" s="1"/>
  <c r="L174" i="4" s="1"/>
  <c r="D30" i="4"/>
  <c r="J30" i="4" s="1" a="1"/>
  <c r="J30" i="4" s="1"/>
  <c r="K30" i="4" s="1"/>
  <c r="L30" i="4" s="1"/>
  <c r="D78" i="4"/>
  <c r="J78" i="4" s="1" a="1"/>
  <c r="J78" i="4" s="1"/>
  <c r="K78" i="4" s="1"/>
  <c r="L78" i="4" s="1"/>
  <c r="L6" i="3"/>
  <c r="M6" i="3" s="1"/>
  <c r="N7" i="3" s="1"/>
  <c r="L35" i="7"/>
  <c r="M35" i="7" s="1"/>
  <c r="K35" i="7"/>
  <c r="J36" i="7"/>
  <c r="B8" i="3"/>
  <c r="C7" i="3" s="1"/>
  <c r="J6" i="4" l="1"/>
  <c r="L36" i="7"/>
  <c r="M36" i="7" s="1"/>
  <c r="K36" i="7"/>
  <c r="J37" i="7"/>
  <c r="L32" i="3"/>
  <c r="M32" i="3" s="1"/>
  <c r="N33" i="3" s="1"/>
  <c r="F32" i="3"/>
  <c r="D32" i="3"/>
  <c r="B9" i="3"/>
  <c r="C8" i="3" s="1"/>
  <c r="E6" i="3"/>
  <c r="D295" i="4"/>
  <c r="J295" i="4" s="1" a="1"/>
  <c r="J295" i="4" s="1"/>
  <c r="K295" i="4" s="1"/>
  <c r="L295" i="4" s="1"/>
  <c r="D7" i="3"/>
  <c r="F7" i="3"/>
  <c r="B33" i="3"/>
  <c r="D367" i="4"/>
  <c r="J367" i="4" s="1" a="1"/>
  <c r="J367" i="4" s="1"/>
  <c r="K367" i="4" s="1"/>
  <c r="L367" i="4" s="1"/>
  <c r="D391" i="4"/>
  <c r="J391" i="4" s="1" a="1"/>
  <c r="J391" i="4" s="1"/>
  <c r="K391" i="4" s="1"/>
  <c r="L391" i="4" s="1"/>
  <c r="D415" i="4"/>
  <c r="J415" i="4" s="1" a="1"/>
  <c r="J415" i="4" s="1"/>
  <c r="K415" i="4" s="1"/>
  <c r="L415" i="4" s="1"/>
  <c r="D343" i="4"/>
  <c r="J343" i="4" s="1" a="1"/>
  <c r="J343" i="4" s="1"/>
  <c r="K343" i="4" s="1"/>
  <c r="L343" i="4" s="1"/>
  <c r="D319" i="4"/>
  <c r="J319" i="4" s="1" a="1"/>
  <c r="J319" i="4" s="1"/>
  <c r="K319" i="4" s="1"/>
  <c r="L319" i="4" s="1"/>
  <c r="D247" i="4"/>
  <c r="J247" i="4" s="1" a="1"/>
  <c r="J247" i="4" s="1"/>
  <c r="K247" i="4" s="1"/>
  <c r="L247" i="4" s="1"/>
  <c r="D223" i="4"/>
  <c r="J223" i="4" s="1" a="1"/>
  <c r="J223" i="4" s="1"/>
  <c r="K223" i="4" s="1"/>
  <c r="L223" i="4" s="1"/>
  <c r="D7" i="4"/>
  <c r="J7" i="4" s="1"/>
  <c r="D271" i="4"/>
  <c r="J271" i="4" s="1" a="1"/>
  <c r="J271" i="4" s="1"/>
  <c r="K271" i="4" s="1"/>
  <c r="L271" i="4" s="1"/>
  <c r="D127" i="4"/>
  <c r="J127" i="4" s="1" a="1"/>
  <c r="J127" i="4" s="1"/>
  <c r="K127" i="4" s="1"/>
  <c r="L127" i="4" s="1"/>
  <c r="D103" i="4"/>
  <c r="J103" i="4" s="1" a="1"/>
  <c r="J103" i="4" s="1"/>
  <c r="K103" i="4" s="1"/>
  <c r="L103" i="4" s="1"/>
  <c r="D175" i="4"/>
  <c r="J175" i="4" s="1" a="1"/>
  <c r="J175" i="4" s="1"/>
  <c r="K175" i="4" s="1"/>
  <c r="L175" i="4" s="1"/>
  <c r="D79" i="4"/>
  <c r="J79" i="4" s="1" a="1"/>
  <c r="J79" i="4" s="1"/>
  <c r="K79" i="4" s="1"/>
  <c r="L79" i="4" s="1"/>
  <c r="D199" i="4"/>
  <c r="J199" i="4" s="1" a="1"/>
  <c r="J199" i="4" s="1"/>
  <c r="K199" i="4" s="1"/>
  <c r="L199" i="4" s="1"/>
  <c r="D55" i="4"/>
  <c r="J55" i="4" s="1" a="1"/>
  <c r="J55" i="4" s="1"/>
  <c r="K55" i="4" s="1"/>
  <c r="L55" i="4" s="1"/>
  <c r="D151" i="4"/>
  <c r="J151" i="4" s="1" a="1"/>
  <c r="J151" i="4" s="1"/>
  <c r="K151" i="4" s="1"/>
  <c r="L151" i="4" s="1"/>
  <c r="D487" i="4"/>
  <c r="J487" i="4" s="1" a="1"/>
  <c r="J487" i="4" s="1"/>
  <c r="K487" i="4" s="1"/>
  <c r="L487" i="4" s="1"/>
  <c r="D31" i="4"/>
  <c r="J31" i="4" s="1" a="1"/>
  <c r="J31" i="4" s="1"/>
  <c r="K31" i="4" s="1"/>
  <c r="L31" i="4" s="1"/>
  <c r="L7" i="3"/>
  <c r="M7" i="3" s="1"/>
  <c r="D463" i="4"/>
  <c r="J463" i="4" s="1" a="1"/>
  <c r="J463" i="4" s="1"/>
  <c r="K463" i="4" s="1"/>
  <c r="L463" i="4" s="1"/>
  <c r="D439" i="4"/>
  <c r="J439" i="4" s="1" a="1"/>
  <c r="J439" i="4" s="1"/>
  <c r="K439" i="4" s="1"/>
  <c r="L439" i="4" s="1"/>
  <c r="N8" i="3"/>
  <c r="G6" i="3"/>
  <c r="G7" i="3" l="1"/>
  <c r="E390" i="4"/>
  <c r="E294" i="4"/>
  <c r="E486" i="4"/>
  <c r="E318" i="4"/>
  <c r="E462" i="4"/>
  <c r="E366" i="4"/>
  <c r="E414" i="4"/>
  <c r="E438" i="4"/>
  <c r="E342" i="4"/>
  <c r="E246" i="4"/>
  <c r="E6" i="4"/>
  <c r="E222" i="4"/>
  <c r="E198" i="4"/>
  <c r="E174" i="4"/>
  <c r="E150" i="4"/>
  <c r="E126" i="4"/>
  <c r="E30" i="4"/>
  <c r="E102" i="4"/>
  <c r="E270" i="4"/>
  <c r="E78" i="4"/>
  <c r="E54" i="4"/>
  <c r="D296" i="4"/>
  <c r="J296" i="4" s="1" a="1"/>
  <c r="J296" i="4" s="1"/>
  <c r="K296" i="4" s="1"/>
  <c r="L296" i="4" s="1"/>
  <c r="B34" i="3"/>
  <c r="F8" i="3"/>
  <c r="D416" i="4"/>
  <c r="J416" i="4" s="1" a="1"/>
  <c r="J416" i="4" s="1"/>
  <c r="K416" i="4" s="1"/>
  <c r="L416" i="4" s="1"/>
  <c r="D8" i="3"/>
  <c r="D368" i="4"/>
  <c r="J368" i="4" s="1" a="1"/>
  <c r="J368" i="4" s="1"/>
  <c r="K368" i="4" s="1"/>
  <c r="L368" i="4" s="1"/>
  <c r="D344" i="4"/>
  <c r="J344" i="4" s="1" a="1"/>
  <c r="J344" i="4" s="1"/>
  <c r="K344" i="4" s="1"/>
  <c r="L344" i="4" s="1"/>
  <c r="D392" i="4"/>
  <c r="J392" i="4" s="1" a="1"/>
  <c r="J392" i="4" s="1"/>
  <c r="K392" i="4" s="1"/>
  <c r="L392" i="4" s="1"/>
  <c r="D320" i="4"/>
  <c r="J320" i="4" s="1" a="1"/>
  <c r="J320" i="4" s="1"/>
  <c r="K320" i="4" s="1"/>
  <c r="L320" i="4" s="1"/>
  <c r="D224" i="4"/>
  <c r="J224" i="4" s="1" a="1"/>
  <c r="J224" i="4" s="1"/>
  <c r="K224" i="4" s="1"/>
  <c r="L224" i="4" s="1"/>
  <c r="D272" i="4"/>
  <c r="J272" i="4" s="1" a="1"/>
  <c r="J272" i="4" s="1"/>
  <c r="K272" i="4" s="1"/>
  <c r="L272" i="4" s="1"/>
  <c r="D248" i="4"/>
  <c r="J248" i="4" s="1" a="1"/>
  <c r="J248" i="4" s="1"/>
  <c r="K248" i="4" s="1"/>
  <c r="L248" i="4" s="1"/>
  <c r="D8" i="4"/>
  <c r="J8" i="4" s="1"/>
  <c r="D176" i="4"/>
  <c r="J176" i="4" s="1" a="1"/>
  <c r="J176" i="4" s="1"/>
  <c r="K176" i="4" s="1"/>
  <c r="L176" i="4" s="1"/>
  <c r="D200" i="4"/>
  <c r="J200" i="4" s="1" a="1"/>
  <c r="J200" i="4" s="1"/>
  <c r="K200" i="4" s="1"/>
  <c r="L200" i="4" s="1"/>
  <c r="D152" i="4"/>
  <c r="J152" i="4" s="1" a="1"/>
  <c r="J152" i="4" s="1"/>
  <c r="K152" i="4" s="1"/>
  <c r="L152" i="4" s="1"/>
  <c r="D104" i="4"/>
  <c r="J104" i="4" s="1" a="1"/>
  <c r="J104" i="4" s="1"/>
  <c r="K104" i="4" s="1"/>
  <c r="L104" i="4" s="1"/>
  <c r="D32" i="4"/>
  <c r="J32" i="4" s="1" a="1"/>
  <c r="J32" i="4" s="1"/>
  <c r="K32" i="4" s="1"/>
  <c r="L32" i="4" s="1"/>
  <c r="L8" i="3"/>
  <c r="M8" i="3" s="1"/>
  <c r="D80" i="4"/>
  <c r="J80" i="4" s="1" a="1"/>
  <c r="J80" i="4" s="1"/>
  <c r="K80" i="4" s="1"/>
  <c r="L80" i="4" s="1"/>
  <c r="D488" i="4"/>
  <c r="J488" i="4" s="1" a="1"/>
  <c r="J488" i="4" s="1"/>
  <c r="K488" i="4" s="1"/>
  <c r="L488" i="4" s="1"/>
  <c r="D440" i="4"/>
  <c r="J440" i="4" s="1" a="1"/>
  <c r="J440" i="4" s="1"/>
  <c r="K440" i="4" s="1"/>
  <c r="L440" i="4" s="1"/>
  <c r="D464" i="4"/>
  <c r="J464" i="4" s="1" a="1"/>
  <c r="J464" i="4" s="1"/>
  <c r="K464" i="4" s="1"/>
  <c r="L464" i="4" s="1"/>
  <c r="D128" i="4"/>
  <c r="J128" i="4" s="1" a="1"/>
  <c r="J128" i="4" s="1"/>
  <c r="K128" i="4" s="1"/>
  <c r="L128" i="4" s="1"/>
  <c r="D56" i="4"/>
  <c r="J56" i="4" s="1" a="1"/>
  <c r="J56" i="4" s="1"/>
  <c r="K56" i="4" s="1"/>
  <c r="L56" i="4" s="1"/>
  <c r="D297" i="4"/>
  <c r="J297" i="4" s="1" a="1"/>
  <c r="J297" i="4" s="1"/>
  <c r="B10" i="3"/>
  <c r="D393" i="4"/>
  <c r="J393" i="4" s="1" a="1"/>
  <c r="J393" i="4" s="1"/>
  <c r="K393" i="4" s="1"/>
  <c r="L393" i="4" s="1"/>
  <c r="D417" i="4"/>
  <c r="J417" i="4" s="1" a="1"/>
  <c r="J417" i="4" s="1"/>
  <c r="D345" i="4"/>
  <c r="J345" i="4" s="1" a="1"/>
  <c r="J345" i="4" s="1"/>
  <c r="D321" i="4"/>
  <c r="J321" i="4" s="1" a="1"/>
  <c r="J321" i="4" s="1"/>
  <c r="D369" i="4"/>
  <c r="J369" i="4" s="1" a="1"/>
  <c r="J369" i="4" s="1"/>
  <c r="D225" i="4"/>
  <c r="J225" i="4" s="1" a="1"/>
  <c r="J225" i="4" s="1"/>
  <c r="D273" i="4"/>
  <c r="J273" i="4" s="1" a="1"/>
  <c r="J273" i="4" s="1"/>
  <c r="K273" i="4" s="1"/>
  <c r="L273" i="4" s="1"/>
  <c r="D249" i="4"/>
  <c r="J249" i="4" s="1" a="1"/>
  <c r="J249" i="4" s="1"/>
  <c r="D201" i="4"/>
  <c r="J201" i="4" s="1" a="1"/>
  <c r="J201" i="4" s="1"/>
  <c r="D177" i="4"/>
  <c r="J177" i="4" s="1" a="1"/>
  <c r="J177" i="4" s="1"/>
  <c r="D153" i="4"/>
  <c r="J153" i="4" s="1" a="1"/>
  <c r="J153" i="4" s="1"/>
  <c r="D129" i="4"/>
  <c r="J129" i="4" s="1" a="1"/>
  <c r="J129" i="4" s="1"/>
  <c r="D441" i="4"/>
  <c r="J441" i="4" s="1" a="1"/>
  <c r="J441" i="4" s="1"/>
  <c r="D465" i="4"/>
  <c r="J465" i="4" s="1" a="1"/>
  <c r="J465" i="4" s="1"/>
  <c r="D489" i="4"/>
  <c r="J489" i="4" s="1" a="1"/>
  <c r="J489" i="4" s="1"/>
  <c r="D105" i="4"/>
  <c r="J105" i="4" s="1" a="1"/>
  <c r="J105" i="4" s="1"/>
  <c r="D81" i="4"/>
  <c r="J81" i="4" s="1" a="1"/>
  <c r="J81" i="4" s="1"/>
  <c r="K81" i="4" s="1"/>
  <c r="L81" i="4" s="1"/>
  <c r="L37" i="7"/>
  <c r="M37" i="7" s="1"/>
  <c r="K37" i="7"/>
  <c r="J38" i="7"/>
  <c r="N9" i="3"/>
  <c r="E32" i="3"/>
  <c r="I366" i="4"/>
  <c r="I294" i="4"/>
  <c r="I462" i="4"/>
  <c r="I486" i="4"/>
  <c r="I414" i="4"/>
  <c r="I342" i="4"/>
  <c r="I438" i="4"/>
  <c r="I390" i="4"/>
  <c r="I318" i="4"/>
  <c r="I222" i="4"/>
  <c r="I198" i="4"/>
  <c r="I174" i="4"/>
  <c r="I6" i="4"/>
  <c r="I150" i="4"/>
  <c r="I246" i="4"/>
  <c r="I30" i="4"/>
  <c r="I78" i="4"/>
  <c r="I270" i="4"/>
  <c r="I102" i="4"/>
  <c r="I126" i="4"/>
  <c r="I54" i="4"/>
  <c r="E7" i="3"/>
  <c r="G32" i="3"/>
  <c r="H32" i="3" s="1"/>
  <c r="F33" i="3"/>
  <c r="D33" i="3"/>
  <c r="L33" i="3"/>
  <c r="M33" i="3" s="1"/>
  <c r="N34" i="3" s="1"/>
  <c r="H6" i="3"/>
  <c r="K489" i="4" l="1"/>
  <c r="L489" i="4" s="1"/>
  <c r="K201" i="4"/>
  <c r="L201" i="4" s="1"/>
  <c r="K105" i="4"/>
  <c r="L105" i="4" s="1"/>
  <c r="K321" i="4"/>
  <c r="L321" i="4" s="1"/>
  <c r="K297" i="4"/>
  <c r="L297" i="4" s="1"/>
  <c r="K129" i="4"/>
  <c r="L129" i="4" s="1"/>
  <c r="K249" i="4"/>
  <c r="L249" i="4" s="1"/>
  <c r="K153" i="4"/>
  <c r="L153" i="4" s="1"/>
  <c r="K225" i="4"/>
  <c r="L225" i="4" s="1"/>
  <c r="K38" i="7"/>
  <c r="L38" i="7"/>
  <c r="M38" i="7" s="1"/>
  <c r="J39" i="7"/>
  <c r="K441" i="4"/>
  <c r="L441" i="4" s="1"/>
  <c r="K369" i="4"/>
  <c r="L369" i="4" s="1"/>
  <c r="G8" i="3"/>
  <c r="E439" i="4"/>
  <c r="F438" i="4" s="1"/>
  <c r="G438" i="4" s="1" a="1"/>
  <c r="G438" i="4" s="1"/>
  <c r="E343" i="4"/>
  <c r="F342" i="4" s="1"/>
  <c r="G342" i="4" s="1" a="1"/>
  <c r="G342" i="4" s="1"/>
  <c r="E175" i="4"/>
  <c r="F174" i="4" s="1"/>
  <c r="G174" i="4" s="1" a="1"/>
  <c r="G174" i="4" s="1"/>
  <c r="E103" i="4"/>
  <c r="F102" i="4" s="1"/>
  <c r="G102" i="4" s="1" a="1"/>
  <c r="G102" i="4" s="1"/>
  <c r="E391" i="4"/>
  <c r="E319" i="4"/>
  <c r="E247" i="4"/>
  <c r="E367" i="4"/>
  <c r="F366" i="4" s="1"/>
  <c r="G366" i="4" s="1" a="1"/>
  <c r="G366" i="4" s="1"/>
  <c r="E223" i="4"/>
  <c r="F222" i="4" s="1"/>
  <c r="G222" i="4" s="1" a="1"/>
  <c r="G222" i="4" s="1"/>
  <c r="E55" i="4"/>
  <c r="E31" i="4"/>
  <c r="F30" i="4" s="1"/>
  <c r="G30" i="4" s="1" a="1"/>
  <c r="G30" i="4" s="1"/>
  <c r="E151" i="4"/>
  <c r="E199" i="4"/>
  <c r="F198" i="4" s="1"/>
  <c r="G198" i="4" s="1" a="1"/>
  <c r="G198" i="4" s="1"/>
  <c r="E79" i="4"/>
  <c r="E295" i="4"/>
  <c r="F294" i="4" s="1"/>
  <c r="G294" i="4" s="1" a="1"/>
  <c r="G294" i="4" s="1"/>
  <c r="E487" i="4"/>
  <c r="E127" i="4"/>
  <c r="F126" i="4" s="1"/>
  <c r="G126" i="4" s="1" a="1"/>
  <c r="G126" i="4" s="1"/>
  <c r="E463" i="4"/>
  <c r="F462" i="4" s="1"/>
  <c r="G462" i="4" s="1" a="1"/>
  <c r="G462" i="4" s="1"/>
  <c r="E415" i="4"/>
  <c r="E271" i="4"/>
  <c r="E7" i="4"/>
  <c r="E8" i="3"/>
  <c r="K6" i="4"/>
  <c r="L6" i="4" s="1"/>
  <c r="F486" i="4"/>
  <c r="G486" i="4" s="1" a="1"/>
  <c r="G486" i="4" s="1"/>
  <c r="D34" i="3"/>
  <c r="F34" i="3"/>
  <c r="L34" i="3"/>
  <c r="M34" i="3" s="1"/>
  <c r="N35" i="3" s="1"/>
  <c r="K465" i="4"/>
  <c r="L465" i="4" s="1"/>
  <c r="E33" i="3"/>
  <c r="I391" i="4"/>
  <c r="I367" i="4"/>
  <c r="I415" i="4"/>
  <c r="I343" i="4"/>
  <c r="I295" i="4"/>
  <c r="I319" i="4"/>
  <c r="I7" i="4"/>
  <c r="I199" i="4"/>
  <c r="I223" i="4"/>
  <c r="I247" i="4"/>
  <c r="I175" i="4"/>
  <c r="I151" i="4"/>
  <c r="I271" i="4"/>
  <c r="I127" i="4"/>
  <c r="I487" i="4"/>
  <c r="I31" i="4"/>
  <c r="I55" i="4"/>
  <c r="I463" i="4"/>
  <c r="I79" i="4"/>
  <c r="I103" i="4"/>
  <c r="I439" i="4"/>
  <c r="B11" i="3"/>
  <c r="C10" i="3" s="1"/>
  <c r="K345" i="4"/>
  <c r="L345" i="4" s="1"/>
  <c r="G33" i="3"/>
  <c r="H33" i="3" s="1"/>
  <c r="H7" i="3"/>
  <c r="C9" i="3"/>
  <c r="K177" i="4"/>
  <c r="L177" i="4" s="1"/>
  <c r="K417" i="4"/>
  <c r="L417" i="4" s="1"/>
  <c r="F461" i="4" l="1"/>
  <c r="F197" i="4"/>
  <c r="F293" i="4"/>
  <c r="F101" i="4"/>
  <c r="F221" i="4"/>
  <c r="F125" i="4"/>
  <c r="F341" i="4"/>
  <c r="F29" i="4"/>
  <c r="F365" i="4"/>
  <c r="F173" i="4"/>
  <c r="F437" i="4"/>
  <c r="F485" i="4"/>
  <c r="E248" i="4"/>
  <c r="E392" i="4"/>
  <c r="F391" i="4" s="1"/>
  <c r="G391" i="4" s="1" a="1"/>
  <c r="G391" i="4" s="1"/>
  <c r="E224" i="4"/>
  <c r="F223" i="4" s="1"/>
  <c r="G223" i="4" s="1" a="1"/>
  <c r="G223" i="4" s="1"/>
  <c r="E32" i="4"/>
  <c r="E488" i="4"/>
  <c r="E368" i="4"/>
  <c r="E296" i="4"/>
  <c r="F295" i="4" s="1"/>
  <c r="G295" i="4" s="1" a="1"/>
  <c r="G295" i="4" s="1"/>
  <c r="E416" i="4"/>
  <c r="E344" i="4"/>
  <c r="F343" i="4" s="1"/>
  <c r="G343" i="4" s="1" a="1"/>
  <c r="G343" i="4" s="1"/>
  <c r="E104" i="4"/>
  <c r="F103" i="4" s="1"/>
  <c r="G103" i="4" s="1" a="1"/>
  <c r="G103" i="4" s="1"/>
  <c r="E272" i="4"/>
  <c r="E128" i="4"/>
  <c r="E56" i="4"/>
  <c r="F55" i="4" s="1"/>
  <c r="G55" i="4" s="1" a="1"/>
  <c r="G55" i="4" s="1"/>
  <c r="E440" i="4"/>
  <c r="E200" i="4"/>
  <c r="E176" i="4"/>
  <c r="E152" i="4"/>
  <c r="E80" i="4"/>
  <c r="E320" i="4"/>
  <c r="E464" i="4"/>
  <c r="E8" i="4"/>
  <c r="F7" i="4" s="1"/>
  <c r="F246" i="4"/>
  <c r="K7" i="4"/>
  <c r="L7" i="4" s="1"/>
  <c r="B35" i="3"/>
  <c r="F9" i="3"/>
  <c r="D9" i="3"/>
  <c r="D9" i="4"/>
  <c r="D57" i="4"/>
  <c r="J57" i="4" s="1" a="1"/>
  <c r="J57" i="4" s="1"/>
  <c r="K57" i="4" s="1"/>
  <c r="L57" i="4" s="1"/>
  <c r="L9" i="3"/>
  <c r="M9" i="3" s="1"/>
  <c r="N10" i="3" s="1"/>
  <c r="D33" i="4"/>
  <c r="J33" i="4" s="1" a="1"/>
  <c r="J33" i="4" s="1"/>
  <c r="K33" i="4" s="1"/>
  <c r="L33" i="4" s="1"/>
  <c r="D10" i="3"/>
  <c r="D298" i="4"/>
  <c r="J298" i="4" s="1" a="1"/>
  <c r="J298" i="4" s="1"/>
  <c r="K298" i="4" s="1"/>
  <c r="L298" i="4" s="1"/>
  <c r="B36" i="3"/>
  <c r="D346" i="4"/>
  <c r="J346" i="4" s="1" a="1"/>
  <c r="J346" i="4" s="1"/>
  <c r="K346" i="4" s="1"/>
  <c r="L346" i="4" s="1"/>
  <c r="D370" i="4"/>
  <c r="J370" i="4" s="1" a="1"/>
  <c r="J370" i="4" s="1"/>
  <c r="K370" i="4" s="1"/>
  <c r="L370" i="4" s="1"/>
  <c r="F10" i="3"/>
  <c r="D418" i="4"/>
  <c r="J418" i="4" s="1" a="1"/>
  <c r="J418" i="4" s="1"/>
  <c r="K418" i="4" s="1"/>
  <c r="L418" i="4" s="1"/>
  <c r="D394" i="4"/>
  <c r="J394" i="4" s="1" a="1"/>
  <c r="J394" i="4" s="1"/>
  <c r="K394" i="4" s="1"/>
  <c r="L394" i="4" s="1"/>
  <c r="D322" i="4"/>
  <c r="J322" i="4" s="1" a="1"/>
  <c r="J322" i="4" s="1"/>
  <c r="K322" i="4" s="1"/>
  <c r="L322" i="4" s="1"/>
  <c r="D10" i="4"/>
  <c r="J10" i="4" s="1"/>
  <c r="D250" i="4"/>
  <c r="J250" i="4" s="1" a="1"/>
  <c r="J250" i="4" s="1"/>
  <c r="K250" i="4" s="1"/>
  <c r="L250" i="4" s="1"/>
  <c r="D226" i="4"/>
  <c r="J226" i="4" s="1" a="1"/>
  <c r="J226" i="4" s="1"/>
  <c r="K226" i="4" s="1"/>
  <c r="L226" i="4" s="1"/>
  <c r="D274" i="4"/>
  <c r="J274" i="4" s="1" a="1"/>
  <c r="J274" i="4" s="1"/>
  <c r="K274" i="4" s="1"/>
  <c r="L274" i="4" s="1"/>
  <c r="D154" i="4"/>
  <c r="J154" i="4" s="1" a="1"/>
  <c r="J154" i="4" s="1"/>
  <c r="K154" i="4" s="1"/>
  <c r="L154" i="4" s="1"/>
  <c r="D178" i="4"/>
  <c r="J178" i="4" s="1" a="1"/>
  <c r="J178" i="4" s="1"/>
  <c r="K178" i="4" s="1"/>
  <c r="L178" i="4" s="1"/>
  <c r="D442" i="4"/>
  <c r="J442" i="4" s="1" a="1"/>
  <c r="J442" i="4" s="1"/>
  <c r="K442" i="4" s="1"/>
  <c r="L442" i="4" s="1"/>
  <c r="D202" i="4"/>
  <c r="J202" i="4" s="1" a="1"/>
  <c r="J202" i="4" s="1"/>
  <c r="K202" i="4" s="1"/>
  <c r="L202" i="4" s="1"/>
  <c r="D106" i="4"/>
  <c r="J106" i="4" s="1" a="1"/>
  <c r="J106" i="4" s="1"/>
  <c r="K106" i="4" s="1"/>
  <c r="L106" i="4" s="1"/>
  <c r="D466" i="4"/>
  <c r="J466" i="4" s="1" a="1"/>
  <c r="J466" i="4" s="1"/>
  <c r="K466" i="4" s="1"/>
  <c r="L466" i="4" s="1"/>
  <c r="L10" i="3"/>
  <c r="D58" i="4"/>
  <c r="J58" i="4" s="1" a="1"/>
  <c r="J58" i="4" s="1"/>
  <c r="K58" i="4" s="1"/>
  <c r="L58" i="4" s="1"/>
  <c r="D82" i="4"/>
  <c r="J82" i="4" s="1" a="1"/>
  <c r="J82" i="4" s="1"/>
  <c r="K82" i="4" s="1"/>
  <c r="L82" i="4" s="1"/>
  <c r="D490" i="4"/>
  <c r="J490" i="4" s="1" a="1"/>
  <c r="J490" i="4" s="1"/>
  <c r="K490" i="4" s="1"/>
  <c r="L490" i="4" s="1"/>
  <c r="D130" i="4"/>
  <c r="J130" i="4" s="1" a="1"/>
  <c r="J130" i="4" s="1"/>
  <c r="K130" i="4" s="1"/>
  <c r="L130" i="4" s="1"/>
  <c r="D34" i="4"/>
  <c r="J34" i="4" s="1" a="1"/>
  <c r="J34" i="4" s="1"/>
  <c r="I368" i="4"/>
  <c r="I416" i="4"/>
  <c r="I296" i="4"/>
  <c r="I320" i="4"/>
  <c r="I344" i="4"/>
  <c r="I392" i="4"/>
  <c r="I224" i="4"/>
  <c r="I272" i="4"/>
  <c r="I248" i="4"/>
  <c r="I128" i="4"/>
  <c r="I200" i="4"/>
  <c r="I104" i="4"/>
  <c r="I176" i="4"/>
  <c r="I80" i="4"/>
  <c r="I8" i="4"/>
  <c r="I152" i="4"/>
  <c r="I56" i="4"/>
  <c r="I488" i="4"/>
  <c r="I32" i="4"/>
  <c r="I464" i="4"/>
  <c r="I440" i="4"/>
  <c r="B12" i="3"/>
  <c r="C11" i="3" s="1"/>
  <c r="F415" i="4"/>
  <c r="G415" i="4" s="1" a="1"/>
  <c r="G415" i="4" s="1"/>
  <c r="F175" i="4"/>
  <c r="G175" i="4" s="1" a="1"/>
  <c r="G175" i="4" s="1"/>
  <c r="F414" i="4"/>
  <c r="F6" i="4"/>
  <c r="F5" i="4" s="1"/>
  <c r="F150" i="4"/>
  <c r="F318" i="4"/>
  <c r="F270" i="4"/>
  <c r="F439" i="4"/>
  <c r="G439" i="4" s="1" a="1"/>
  <c r="G439" i="4" s="1"/>
  <c r="F78" i="4"/>
  <c r="G34" i="3"/>
  <c r="H34" i="3" s="1"/>
  <c r="H8" i="3"/>
  <c r="F54" i="4"/>
  <c r="F487" i="4"/>
  <c r="G487" i="4" s="1" a="1"/>
  <c r="G487" i="4" s="1"/>
  <c r="F367" i="4"/>
  <c r="G367" i="4" s="1" a="1"/>
  <c r="G367" i="4" s="1"/>
  <c r="F390" i="4"/>
  <c r="L39" i="7"/>
  <c r="M39" i="7" s="1"/>
  <c r="K39" i="7"/>
  <c r="J40" i="7"/>
  <c r="E34" i="3"/>
  <c r="F199" i="4"/>
  <c r="G199" i="4" s="1" a="1"/>
  <c r="G199" i="4" s="1"/>
  <c r="M10" i="3" l="1"/>
  <c r="G437" i="4" a="1"/>
  <c r="G437" i="4" s="1"/>
  <c r="H438" i="4" s="1"/>
  <c r="G29" i="4" a="1"/>
  <c r="G29" i="4" s="1"/>
  <c r="H30" i="4" s="1"/>
  <c r="G221" i="4" a="1"/>
  <c r="G221" i="4" s="1"/>
  <c r="H222" i="4" s="1"/>
  <c r="G461" i="4" a="1"/>
  <c r="G461" i="4" s="1"/>
  <c r="H462" i="4" s="1"/>
  <c r="G318" i="4" a="1"/>
  <c r="G318" i="4" s="1"/>
  <c r="F317" i="4"/>
  <c r="G5" i="4"/>
  <c r="H5" i="4" s="1"/>
  <c r="G341" i="4" a="1"/>
  <c r="G341" i="4" s="1"/>
  <c r="H342" i="4" s="1"/>
  <c r="G101" i="4" a="1"/>
  <c r="G101" i="4" s="1"/>
  <c r="H102" i="4" s="1"/>
  <c r="G150" i="4" a="1"/>
  <c r="G150" i="4" s="1"/>
  <c r="F149" i="4"/>
  <c r="G246" i="4" a="1"/>
  <c r="G246" i="4" s="1"/>
  <c r="F245" i="4"/>
  <c r="G173" i="4" a="1"/>
  <c r="G173" i="4" s="1"/>
  <c r="H174" i="4" s="1"/>
  <c r="G125" i="4" a="1"/>
  <c r="G125" i="4" s="1"/>
  <c r="H126" i="4" s="1"/>
  <c r="G293" i="4" a="1"/>
  <c r="G293" i="4" s="1"/>
  <c r="H294" i="4" s="1"/>
  <c r="G54" i="4" a="1"/>
  <c r="G54" i="4" s="1"/>
  <c r="F53" i="4"/>
  <c r="G390" i="4" a="1"/>
  <c r="G390" i="4" s="1"/>
  <c r="F389" i="4"/>
  <c r="G78" i="4" a="1"/>
  <c r="G78" i="4" s="1"/>
  <c r="F77" i="4"/>
  <c r="G270" i="4" a="1"/>
  <c r="G270" i="4" s="1"/>
  <c r="F269" i="4"/>
  <c r="G414" i="4" a="1"/>
  <c r="G414" i="4" s="1"/>
  <c r="F413" i="4"/>
  <c r="J9" i="4"/>
  <c r="G485" i="4" a="1"/>
  <c r="G485" i="4" s="1"/>
  <c r="H486" i="4" s="1"/>
  <c r="G365" i="4" a="1"/>
  <c r="G365" i="4" s="1"/>
  <c r="H366" i="4" s="1"/>
  <c r="G197" i="4" a="1"/>
  <c r="G197" i="4" s="1"/>
  <c r="H198" i="4" s="1"/>
  <c r="K34" i="4"/>
  <c r="L34" i="4" s="1"/>
  <c r="H103" i="4"/>
  <c r="H391" i="4"/>
  <c r="F127" i="4"/>
  <c r="G127" i="4" s="1" a="1"/>
  <c r="G127" i="4" s="1"/>
  <c r="H55" i="4"/>
  <c r="F31" i="4"/>
  <c r="G31" i="4" s="1" a="1"/>
  <c r="G31" i="4" s="1"/>
  <c r="B13" i="3"/>
  <c r="E10" i="3"/>
  <c r="L40" i="7"/>
  <c r="M40" i="7" s="1"/>
  <c r="K40" i="7"/>
  <c r="J41" i="7"/>
  <c r="F463" i="4"/>
  <c r="G463" i="4" s="1" a="1"/>
  <c r="G463" i="4" s="1"/>
  <c r="D35" i="3"/>
  <c r="L35" i="3"/>
  <c r="M35" i="3" s="1"/>
  <c r="N36" i="3" s="1"/>
  <c r="F35" i="3"/>
  <c r="H199" i="4"/>
  <c r="G6" i="4"/>
  <c r="H6" i="4" s="1"/>
  <c r="H415" i="4"/>
  <c r="H487" i="4"/>
  <c r="H223" i="4"/>
  <c r="H343" i="4"/>
  <c r="H7" i="4"/>
  <c r="G7" i="4"/>
  <c r="E9" i="3"/>
  <c r="H9" i="3" s="1"/>
  <c r="N11" i="3"/>
  <c r="F319" i="4"/>
  <c r="G319" i="4" s="1" a="1"/>
  <c r="G319" i="4" s="1"/>
  <c r="F247" i="4"/>
  <c r="G247" i="4" s="1" a="1"/>
  <c r="G247" i="4" s="1"/>
  <c r="L36" i="3"/>
  <c r="D36" i="3"/>
  <c r="F36" i="3"/>
  <c r="G9" i="3"/>
  <c r="H175" i="4"/>
  <c r="F11" i="3"/>
  <c r="D299" i="4"/>
  <c r="J299" i="4" s="1" a="1"/>
  <c r="J299" i="4" s="1"/>
  <c r="K299" i="4" s="1"/>
  <c r="L299" i="4" s="1"/>
  <c r="D11" i="3"/>
  <c r="D419" i="4"/>
  <c r="J419" i="4" s="1" a="1"/>
  <c r="J419" i="4" s="1"/>
  <c r="K419" i="4" s="1"/>
  <c r="L419" i="4" s="1"/>
  <c r="D395" i="4"/>
  <c r="J395" i="4" s="1" a="1"/>
  <c r="J395" i="4" s="1"/>
  <c r="K395" i="4" s="1"/>
  <c r="L395" i="4" s="1"/>
  <c r="D371" i="4"/>
  <c r="J371" i="4" s="1" a="1"/>
  <c r="J371" i="4" s="1"/>
  <c r="K371" i="4" s="1"/>
  <c r="L371" i="4" s="1"/>
  <c r="B37" i="3"/>
  <c r="D347" i="4"/>
  <c r="J347" i="4" s="1" a="1"/>
  <c r="J347" i="4" s="1"/>
  <c r="K347" i="4" s="1"/>
  <c r="L347" i="4" s="1"/>
  <c r="D323" i="4"/>
  <c r="J323" i="4" s="1" a="1"/>
  <c r="J323" i="4" s="1"/>
  <c r="K323" i="4" s="1"/>
  <c r="L323" i="4" s="1"/>
  <c r="D251" i="4"/>
  <c r="J251" i="4" s="1" a="1"/>
  <c r="J251" i="4" s="1"/>
  <c r="K251" i="4" s="1"/>
  <c r="L251" i="4" s="1"/>
  <c r="D227" i="4"/>
  <c r="J227" i="4" s="1" a="1"/>
  <c r="J227" i="4" s="1"/>
  <c r="K227" i="4" s="1"/>
  <c r="L227" i="4" s="1"/>
  <c r="D155" i="4"/>
  <c r="J155" i="4" s="1" a="1"/>
  <c r="J155" i="4" s="1"/>
  <c r="K155" i="4" s="1"/>
  <c r="L155" i="4" s="1"/>
  <c r="D11" i="4"/>
  <c r="J11" i="4" s="1"/>
  <c r="D131" i="4"/>
  <c r="J131" i="4" s="1" a="1"/>
  <c r="J131" i="4" s="1"/>
  <c r="K131" i="4" s="1"/>
  <c r="L131" i="4" s="1"/>
  <c r="D203" i="4"/>
  <c r="J203" i="4" s="1" a="1"/>
  <c r="J203" i="4" s="1"/>
  <c r="K203" i="4" s="1"/>
  <c r="L203" i="4" s="1"/>
  <c r="D107" i="4"/>
  <c r="J107" i="4" s="1" a="1"/>
  <c r="J107" i="4" s="1"/>
  <c r="K107" i="4" s="1"/>
  <c r="L107" i="4" s="1"/>
  <c r="D275" i="4"/>
  <c r="J275" i="4" s="1" a="1"/>
  <c r="J275" i="4" s="1"/>
  <c r="K275" i="4" s="1"/>
  <c r="L275" i="4" s="1"/>
  <c r="L11" i="3"/>
  <c r="M11" i="3" s="1"/>
  <c r="D467" i="4"/>
  <c r="J467" i="4" s="1" a="1"/>
  <c r="J467" i="4" s="1"/>
  <c r="K467" i="4" s="1"/>
  <c r="L467" i="4" s="1"/>
  <c r="D83" i="4"/>
  <c r="J83" i="4" s="1" a="1"/>
  <c r="J83" i="4" s="1"/>
  <c r="K83" i="4" s="1"/>
  <c r="L83" i="4" s="1"/>
  <c r="D59" i="4"/>
  <c r="J59" i="4" s="1" a="1"/>
  <c r="J59" i="4" s="1"/>
  <c r="K59" i="4" s="1"/>
  <c r="L59" i="4" s="1"/>
  <c r="D179" i="4"/>
  <c r="J179" i="4" s="1" a="1"/>
  <c r="J179" i="4" s="1"/>
  <c r="K179" i="4" s="1"/>
  <c r="L179" i="4" s="1"/>
  <c r="D35" i="4"/>
  <c r="J35" i="4" s="1" a="1"/>
  <c r="J35" i="4" s="1"/>
  <c r="K35" i="4" s="1"/>
  <c r="L35" i="4" s="1"/>
  <c r="D491" i="4"/>
  <c r="J491" i="4" s="1" a="1"/>
  <c r="J491" i="4" s="1"/>
  <c r="K491" i="4" s="1"/>
  <c r="L491" i="4" s="1"/>
  <c r="D443" i="4"/>
  <c r="J443" i="4" s="1" a="1"/>
  <c r="J443" i="4" s="1"/>
  <c r="K443" i="4" s="1"/>
  <c r="L443" i="4" s="1"/>
  <c r="F151" i="4"/>
  <c r="G151" i="4" s="1" a="1"/>
  <c r="G151" i="4" s="1"/>
  <c r="H295" i="4"/>
  <c r="H367" i="4"/>
  <c r="H439" i="4"/>
  <c r="F271" i="4"/>
  <c r="G271" i="4" s="1" a="1"/>
  <c r="G271" i="4" s="1"/>
  <c r="G10" i="3"/>
  <c r="F79" i="4"/>
  <c r="G79" i="4" s="1" a="1"/>
  <c r="G79" i="4" s="1"/>
  <c r="K8" i="4"/>
  <c r="L8" i="4" s="1"/>
  <c r="H341" i="4" l="1"/>
  <c r="H365" i="4"/>
  <c r="G269" i="4" a="1"/>
  <c r="G269" i="4" s="1"/>
  <c r="H270" i="4" s="1"/>
  <c r="G389" i="4" a="1"/>
  <c r="G389" i="4" s="1"/>
  <c r="H390" i="4" s="1"/>
  <c r="H125" i="4"/>
  <c r="G149" i="4" a="1"/>
  <c r="G149" i="4" s="1"/>
  <c r="H150" i="4" s="1"/>
  <c r="H101" i="4"/>
  <c r="H221" i="4"/>
  <c r="H437" i="4"/>
  <c r="H10" i="3"/>
  <c r="H197" i="4"/>
  <c r="H293" i="4"/>
  <c r="H173" i="4"/>
  <c r="H461" i="4"/>
  <c r="H29" i="4"/>
  <c r="H485" i="4"/>
  <c r="G413" i="4" a="1"/>
  <c r="G413" i="4" s="1"/>
  <c r="H413" i="4" s="1"/>
  <c r="G77" i="4" a="1"/>
  <c r="G77" i="4" s="1"/>
  <c r="H78" i="4" s="1"/>
  <c r="G53" i="4" a="1"/>
  <c r="G53" i="4" s="1"/>
  <c r="H54" i="4" s="1"/>
  <c r="G245" i="4" a="1"/>
  <c r="G245" i="4" s="1"/>
  <c r="H246" i="4" s="1"/>
  <c r="G317" i="4" a="1"/>
  <c r="G317" i="4" s="1"/>
  <c r="H318" i="4" s="1"/>
  <c r="M36" i="3"/>
  <c r="N37" i="3" s="1"/>
  <c r="I393" i="4"/>
  <c r="I321" i="4"/>
  <c r="I369" i="4"/>
  <c r="I297" i="4"/>
  <c r="I417" i="4"/>
  <c r="I345" i="4"/>
  <c r="I9" i="4"/>
  <c r="I273" i="4"/>
  <c r="I225" i="4"/>
  <c r="I249" i="4"/>
  <c r="I201" i="4"/>
  <c r="I177" i="4"/>
  <c r="I153" i="4"/>
  <c r="I57" i="4"/>
  <c r="I465" i="4"/>
  <c r="I129" i="4"/>
  <c r="I33" i="4"/>
  <c r="I441" i="4"/>
  <c r="I81" i="4"/>
  <c r="I105" i="4"/>
  <c r="I489" i="4"/>
  <c r="H127" i="4"/>
  <c r="H247" i="4"/>
  <c r="H31" i="4"/>
  <c r="E11" i="3"/>
  <c r="E36" i="3"/>
  <c r="H319" i="4"/>
  <c r="N12" i="3"/>
  <c r="G35" i="3"/>
  <c r="H35" i="3" s="1"/>
  <c r="E490" i="4"/>
  <c r="E418" i="4"/>
  <c r="E154" i="4"/>
  <c r="E82" i="4"/>
  <c r="E322" i="4"/>
  <c r="E250" i="4"/>
  <c r="E370" i="4"/>
  <c r="E298" i="4"/>
  <c r="E130" i="4"/>
  <c r="E466" i="4"/>
  <c r="E106" i="4"/>
  <c r="E226" i="4"/>
  <c r="E202" i="4"/>
  <c r="E442" i="4"/>
  <c r="E394" i="4"/>
  <c r="E346" i="4"/>
  <c r="E274" i="4"/>
  <c r="E178" i="4"/>
  <c r="E58" i="4"/>
  <c r="E34" i="4"/>
  <c r="E10" i="4"/>
  <c r="I418" i="4"/>
  <c r="I394" i="4"/>
  <c r="I370" i="4"/>
  <c r="I298" i="4"/>
  <c r="I346" i="4"/>
  <c r="I322" i="4"/>
  <c r="I250" i="4"/>
  <c r="I226" i="4"/>
  <c r="I154" i="4"/>
  <c r="I274" i="4"/>
  <c r="I130" i="4"/>
  <c r="I106" i="4"/>
  <c r="I202" i="4"/>
  <c r="I10" i="4"/>
  <c r="I466" i="4"/>
  <c r="I58" i="4"/>
  <c r="I442" i="4"/>
  <c r="I82" i="4"/>
  <c r="I34" i="4"/>
  <c r="I490" i="4"/>
  <c r="I178" i="4"/>
  <c r="G11" i="3"/>
  <c r="L41" i="7"/>
  <c r="M41" i="7" s="1"/>
  <c r="K41" i="7"/>
  <c r="J42" i="7"/>
  <c r="B14" i="3"/>
  <c r="C13" i="3" s="1"/>
  <c r="H79" i="4"/>
  <c r="E489" i="4"/>
  <c r="E369" i="4"/>
  <c r="E297" i="4"/>
  <c r="E273" i="4"/>
  <c r="E345" i="4"/>
  <c r="E201" i="4"/>
  <c r="E105" i="4"/>
  <c r="E393" i="4"/>
  <c r="E321" i="4"/>
  <c r="E441" i="4"/>
  <c r="E33" i="4"/>
  <c r="E465" i="4"/>
  <c r="E417" i="4"/>
  <c r="E249" i="4"/>
  <c r="E177" i="4"/>
  <c r="E129" i="4"/>
  <c r="E81" i="4"/>
  <c r="E57" i="4"/>
  <c r="E153" i="4"/>
  <c r="E225" i="4"/>
  <c r="E9" i="4"/>
  <c r="E35" i="3"/>
  <c r="H151" i="4"/>
  <c r="F37" i="3"/>
  <c r="L37" i="3"/>
  <c r="M37" i="3" s="1"/>
  <c r="D37" i="3"/>
  <c r="G36" i="3"/>
  <c r="H36" i="3" s="1"/>
  <c r="H271" i="4"/>
  <c r="H463" i="4"/>
  <c r="C12" i="3"/>
  <c r="H53" i="4" l="1"/>
  <c r="H149" i="4"/>
  <c r="H245" i="4"/>
  <c r="H77" i="4"/>
  <c r="H269" i="4"/>
  <c r="H317" i="4"/>
  <c r="H414" i="4"/>
  <c r="H389" i="4"/>
  <c r="K42" i="7"/>
  <c r="L42" i="7"/>
  <c r="M42" i="7" s="1"/>
  <c r="J43" i="7"/>
  <c r="F9" i="4"/>
  <c r="F8" i="4" s="1"/>
  <c r="K9" i="4"/>
  <c r="L9" i="4" s="1"/>
  <c r="F417" i="4"/>
  <c r="G417" i="4" s="1" a="1"/>
  <c r="G417" i="4" s="1"/>
  <c r="F345" i="4"/>
  <c r="G345" i="4" s="1" a="1"/>
  <c r="G345" i="4" s="1"/>
  <c r="D301" i="4"/>
  <c r="J301" i="4" s="1" a="1"/>
  <c r="J301" i="4" s="1"/>
  <c r="D397" i="4"/>
  <c r="J397" i="4" s="1" a="1"/>
  <c r="J397" i="4" s="1"/>
  <c r="D13" i="3"/>
  <c r="D373" i="4"/>
  <c r="J373" i="4" s="1" a="1"/>
  <c r="J373" i="4" s="1"/>
  <c r="F13" i="3"/>
  <c r="B39" i="3"/>
  <c r="D349" i="4"/>
  <c r="J349" i="4" s="1" a="1"/>
  <c r="J349" i="4" s="1"/>
  <c r="D325" i="4"/>
  <c r="J325" i="4" s="1" a="1"/>
  <c r="J325" i="4" s="1"/>
  <c r="D421" i="4"/>
  <c r="J421" i="4" s="1" a="1"/>
  <c r="J421" i="4" s="1"/>
  <c r="D229" i="4"/>
  <c r="J229" i="4" s="1" a="1"/>
  <c r="J229" i="4" s="1"/>
  <c r="D277" i="4"/>
  <c r="J277" i="4" s="1" a="1"/>
  <c r="J277" i="4" s="1"/>
  <c r="D253" i="4"/>
  <c r="J253" i="4" s="1" a="1"/>
  <c r="J253" i="4" s="1"/>
  <c r="D133" i="4"/>
  <c r="J133" i="4" s="1" a="1"/>
  <c r="J133" i="4" s="1"/>
  <c r="D205" i="4"/>
  <c r="J205" i="4" s="1" a="1"/>
  <c r="J205" i="4" s="1"/>
  <c r="D109" i="4"/>
  <c r="J109" i="4" s="1" a="1"/>
  <c r="J109" i="4" s="1"/>
  <c r="D181" i="4"/>
  <c r="J181" i="4" s="1" a="1"/>
  <c r="J181" i="4" s="1"/>
  <c r="D85" i="4"/>
  <c r="J85" i="4" s="1" a="1"/>
  <c r="J85" i="4" s="1"/>
  <c r="D13" i="4"/>
  <c r="J13" i="4" s="1"/>
  <c r="D61" i="4"/>
  <c r="J61" i="4" s="1" a="1"/>
  <c r="J61" i="4" s="1"/>
  <c r="L13" i="3"/>
  <c r="D493" i="4"/>
  <c r="J493" i="4" s="1" a="1"/>
  <c r="J493" i="4" s="1"/>
  <c r="D37" i="4"/>
  <c r="J37" i="4" s="1" a="1"/>
  <c r="J37" i="4" s="1"/>
  <c r="D445" i="4"/>
  <c r="J445" i="4" s="1" a="1"/>
  <c r="J445" i="4" s="1"/>
  <c r="D157" i="4"/>
  <c r="J157" i="4" s="1" a="1"/>
  <c r="J157" i="4" s="1"/>
  <c r="D469" i="4"/>
  <c r="J469" i="4" s="1" a="1"/>
  <c r="J469" i="4" s="1"/>
  <c r="F393" i="4"/>
  <c r="G393" i="4" s="1" a="1"/>
  <c r="G393" i="4" s="1"/>
  <c r="F105" i="4"/>
  <c r="G105" i="4" s="1" a="1"/>
  <c r="G105" i="4" s="1"/>
  <c r="F201" i="4"/>
  <c r="G201" i="4" s="1" a="1"/>
  <c r="G201" i="4" s="1"/>
  <c r="F81" i="4"/>
  <c r="G81" i="4" s="1" a="1"/>
  <c r="G81" i="4" s="1"/>
  <c r="F321" i="4"/>
  <c r="G321" i="4" s="1" a="1"/>
  <c r="G321" i="4" s="1"/>
  <c r="F489" i="4"/>
  <c r="G489" i="4" s="1" a="1"/>
  <c r="G489" i="4" s="1"/>
  <c r="E395" i="4"/>
  <c r="F394" i="4" s="1"/>
  <c r="G394" i="4" s="1" a="1"/>
  <c r="G394" i="4" s="1"/>
  <c r="E299" i="4"/>
  <c r="F298" i="4" s="1"/>
  <c r="G298" i="4" s="1" a="1"/>
  <c r="G298" i="4" s="1"/>
  <c r="E203" i="4"/>
  <c r="F202" i="4" s="1"/>
  <c r="G202" i="4" s="1" a="1"/>
  <c r="G202" i="4" s="1"/>
  <c r="E131" i="4"/>
  <c r="F130" i="4" s="1"/>
  <c r="G130" i="4" s="1" a="1"/>
  <c r="G130" i="4" s="1"/>
  <c r="E491" i="4"/>
  <c r="F490" i="4" s="1"/>
  <c r="G490" i="4" s="1" a="1"/>
  <c r="G490" i="4" s="1"/>
  <c r="E347" i="4"/>
  <c r="F346" i="4" s="1"/>
  <c r="G346" i="4" s="1" a="1"/>
  <c r="G346" i="4" s="1"/>
  <c r="E275" i="4"/>
  <c r="F274" i="4" s="1"/>
  <c r="G274" i="4" s="1" a="1"/>
  <c r="G274" i="4" s="1"/>
  <c r="E179" i="4"/>
  <c r="F178" i="4" s="1"/>
  <c r="G178" i="4" s="1" a="1"/>
  <c r="G178" i="4" s="1"/>
  <c r="E227" i="4"/>
  <c r="E59" i="4"/>
  <c r="F58" i="4" s="1"/>
  <c r="G58" i="4" s="1" a="1"/>
  <c r="G58" i="4" s="1"/>
  <c r="E155" i="4"/>
  <c r="F154" i="4" s="1"/>
  <c r="G154" i="4" s="1" a="1"/>
  <c r="G154" i="4" s="1"/>
  <c r="E467" i="4"/>
  <c r="E419" i="4"/>
  <c r="F418" i="4" s="1"/>
  <c r="G418" i="4" s="1" a="1"/>
  <c r="G418" i="4" s="1"/>
  <c r="E371" i="4"/>
  <c r="E323" i="4"/>
  <c r="E107" i="4"/>
  <c r="F106" i="4" s="1"/>
  <c r="G106" i="4" s="1" a="1"/>
  <c r="G106" i="4" s="1"/>
  <c r="E251" i="4"/>
  <c r="E83" i="4"/>
  <c r="E443" i="4"/>
  <c r="E35" i="4"/>
  <c r="E11" i="4"/>
  <c r="F10" i="4" s="1"/>
  <c r="F129" i="4"/>
  <c r="G129" i="4" s="1" a="1"/>
  <c r="G129" i="4" s="1"/>
  <c r="B15" i="3"/>
  <c r="C14" i="3" s="1"/>
  <c r="F177" i="4"/>
  <c r="G177" i="4" s="1" a="1"/>
  <c r="G177" i="4" s="1"/>
  <c r="E37" i="3"/>
  <c r="F249" i="4"/>
  <c r="G249" i="4" s="1" a="1"/>
  <c r="G249" i="4" s="1"/>
  <c r="G37" i="3"/>
  <c r="H37" i="3" s="1"/>
  <c r="F225" i="4"/>
  <c r="G225" i="4" s="1" a="1"/>
  <c r="G225" i="4" s="1"/>
  <c r="F465" i="4"/>
  <c r="G465" i="4" s="1" a="1"/>
  <c r="G465" i="4" s="1"/>
  <c r="F273" i="4"/>
  <c r="G273" i="4" s="1" a="1"/>
  <c r="G273" i="4" s="1"/>
  <c r="F153" i="4"/>
  <c r="G153" i="4" s="1" a="1"/>
  <c r="G153" i="4" s="1"/>
  <c r="F33" i="4"/>
  <c r="G33" i="4" s="1" a="1"/>
  <c r="G33" i="4" s="1"/>
  <c r="F297" i="4"/>
  <c r="G297" i="4" s="1" a="1"/>
  <c r="G297" i="4" s="1"/>
  <c r="I371" i="4"/>
  <c r="I299" i="4"/>
  <c r="I323" i="4"/>
  <c r="I395" i="4"/>
  <c r="I419" i="4"/>
  <c r="I347" i="4"/>
  <c r="I11" i="4"/>
  <c r="I227" i="4"/>
  <c r="I251" i="4"/>
  <c r="I275" i="4"/>
  <c r="I203" i="4"/>
  <c r="I179" i="4"/>
  <c r="I155" i="4"/>
  <c r="I131" i="4"/>
  <c r="I83" i="4"/>
  <c r="I59" i="4"/>
  <c r="I443" i="4"/>
  <c r="I467" i="4"/>
  <c r="I35" i="4"/>
  <c r="I491" i="4"/>
  <c r="I107" i="4"/>
  <c r="D300" i="4"/>
  <c r="J300" i="4" s="1" a="1"/>
  <c r="J300" i="4" s="1"/>
  <c r="K300" i="4" s="1"/>
  <c r="L300" i="4" s="1"/>
  <c r="D372" i="4"/>
  <c r="J372" i="4" s="1" a="1"/>
  <c r="J372" i="4" s="1"/>
  <c r="K372" i="4" s="1"/>
  <c r="L372" i="4" s="1"/>
  <c r="D324" i="4"/>
  <c r="J324" i="4" s="1" a="1"/>
  <c r="J324" i="4" s="1"/>
  <c r="K324" i="4" s="1"/>
  <c r="L324" i="4" s="1"/>
  <c r="F12" i="3"/>
  <c r="D420" i="4"/>
  <c r="J420" i="4" s="1" a="1"/>
  <c r="J420" i="4" s="1"/>
  <c r="K420" i="4" s="1"/>
  <c r="L420" i="4" s="1"/>
  <c r="D12" i="3"/>
  <c r="B38" i="3"/>
  <c r="D396" i="4"/>
  <c r="J396" i="4" s="1" a="1"/>
  <c r="J396" i="4" s="1"/>
  <c r="K396" i="4" s="1"/>
  <c r="L396" i="4" s="1"/>
  <c r="D348" i="4"/>
  <c r="J348" i="4" s="1" a="1"/>
  <c r="J348" i="4" s="1"/>
  <c r="K348" i="4" s="1"/>
  <c r="L348" i="4" s="1"/>
  <c r="D12" i="4"/>
  <c r="D228" i="4"/>
  <c r="J228" i="4" s="1" a="1"/>
  <c r="J228" i="4" s="1"/>
  <c r="K228" i="4" s="1"/>
  <c r="L228" i="4" s="1"/>
  <c r="D276" i="4"/>
  <c r="J276" i="4" s="1" a="1"/>
  <c r="J276" i="4" s="1"/>
  <c r="K276" i="4" s="1"/>
  <c r="L276" i="4" s="1"/>
  <c r="D252" i="4"/>
  <c r="J252" i="4" s="1" a="1"/>
  <c r="J252" i="4" s="1"/>
  <c r="K252" i="4" s="1"/>
  <c r="L252" i="4" s="1"/>
  <c r="D204" i="4"/>
  <c r="J204" i="4" s="1" a="1"/>
  <c r="J204" i="4" s="1"/>
  <c r="K204" i="4" s="1"/>
  <c r="L204" i="4" s="1"/>
  <c r="D180" i="4"/>
  <c r="J180" i="4" s="1" a="1"/>
  <c r="J180" i="4" s="1"/>
  <c r="K180" i="4" s="1"/>
  <c r="L180" i="4" s="1"/>
  <c r="D156" i="4"/>
  <c r="J156" i="4" s="1" a="1"/>
  <c r="J156" i="4" s="1"/>
  <c r="K156" i="4" s="1"/>
  <c r="L156" i="4" s="1"/>
  <c r="D84" i="4"/>
  <c r="J84" i="4" s="1" a="1"/>
  <c r="J84" i="4" s="1"/>
  <c r="K84" i="4" s="1"/>
  <c r="L84" i="4" s="1"/>
  <c r="D60" i="4"/>
  <c r="J60" i="4" s="1" a="1"/>
  <c r="J60" i="4" s="1"/>
  <c r="K60" i="4" s="1"/>
  <c r="L60" i="4" s="1"/>
  <c r="D36" i="4"/>
  <c r="J36" i="4" s="1" a="1"/>
  <c r="J36" i="4" s="1"/>
  <c r="K36" i="4" s="1"/>
  <c r="L36" i="4" s="1"/>
  <c r="D108" i="4"/>
  <c r="J108" i="4" s="1" a="1"/>
  <c r="J108" i="4" s="1"/>
  <c r="K108" i="4" s="1"/>
  <c r="L108" i="4" s="1"/>
  <c r="L12" i="3"/>
  <c r="M12" i="3" s="1"/>
  <c r="N13" i="3" s="1"/>
  <c r="D444" i="4"/>
  <c r="J444" i="4" s="1" a="1"/>
  <c r="J444" i="4" s="1"/>
  <c r="K444" i="4" s="1"/>
  <c r="L444" i="4" s="1"/>
  <c r="D468" i="4"/>
  <c r="J468" i="4" s="1" a="1"/>
  <c r="J468" i="4" s="1"/>
  <c r="K468" i="4" s="1"/>
  <c r="L468" i="4" s="1"/>
  <c r="D132" i="4"/>
  <c r="J132" i="4" s="1" a="1"/>
  <c r="J132" i="4" s="1"/>
  <c r="K132" i="4" s="1"/>
  <c r="L132" i="4" s="1"/>
  <c r="D492" i="4"/>
  <c r="J492" i="4" s="1" a="1"/>
  <c r="J492" i="4" s="1"/>
  <c r="K492" i="4" s="1"/>
  <c r="L492" i="4" s="1"/>
  <c r="F57" i="4"/>
  <c r="G57" i="4" s="1" a="1"/>
  <c r="G57" i="4" s="1"/>
  <c r="F441" i="4"/>
  <c r="G441" i="4" s="1" a="1"/>
  <c r="G441" i="4" s="1"/>
  <c r="F369" i="4"/>
  <c r="G369" i="4" s="1" a="1"/>
  <c r="G369" i="4" s="1"/>
  <c r="N38" i="3"/>
  <c r="K10" i="4"/>
  <c r="L10" i="4" s="1"/>
  <c r="H11" i="3"/>
  <c r="F344" i="4" l="1"/>
  <c r="G344" i="4" s="1" a="1"/>
  <c r="G344" i="4" s="1"/>
  <c r="F320" i="4"/>
  <c r="G320" i="4" s="1" a="1"/>
  <c r="G320" i="4" s="1"/>
  <c r="F200" i="4"/>
  <c r="G200" i="4" s="1" a="1"/>
  <c r="G200" i="4" s="1"/>
  <c r="F392" i="4"/>
  <c r="G392" i="4" s="1" a="1"/>
  <c r="G392" i="4" s="1"/>
  <c r="F488" i="4"/>
  <c r="G488" i="4" s="1" a="1"/>
  <c r="G488" i="4" s="1"/>
  <c r="F80" i="4"/>
  <c r="G80" i="4" s="1" a="1"/>
  <c r="G80" i="4" s="1"/>
  <c r="F104" i="4"/>
  <c r="G104" i="4" s="1" a="1"/>
  <c r="G104" i="4" s="1"/>
  <c r="H105" i="4" s="1"/>
  <c r="F416" i="4"/>
  <c r="G416" i="4" s="1" a="1"/>
  <c r="G416" i="4" s="1"/>
  <c r="H416" i="4" s="1"/>
  <c r="F368" i="4"/>
  <c r="G368" i="4" s="1" a="1"/>
  <c r="G368" i="4" s="1"/>
  <c r="F56" i="4"/>
  <c r="G56" i="4" s="1" a="1"/>
  <c r="G56" i="4" s="1"/>
  <c r="H57" i="4" s="1"/>
  <c r="F296" i="4"/>
  <c r="G296" i="4" s="1" a="1"/>
  <c r="G296" i="4" s="1"/>
  <c r="F152" i="4"/>
  <c r="G152" i="4" s="1" a="1"/>
  <c r="G152" i="4" s="1"/>
  <c r="H153" i="4" s="1"/>
  <c r="F464" i="4"/>
  <c r="G464" i="4" s="1" a="1"/>
  <c r="G464" i="4" s="1"/>
  <c r="F128" i="4"/>
  <c r="G128" i="4" s="1" a="1"/>
  <c r="G128" i="4" s="1"/>
  <c r="H129" i="4" s="1"/>
  <c r="F440" i="4"/>
  <c r="G440" i="4" s="1" a="1"/>
  <c r="G440" i="4" s="1"/>
  <c r="H441" i="4" s="1"/>
  <c r="F32" i="4"/>
  <c r="G32" i="4" s="1" a="1"/>
  <c r="G32" i="4" s="1"/>
  <c r="H33" i="4" s="1"/>
  <c r="F272" i="4"/>
  <c r="G272" i="4" s="1" a="1"/>
  <c r="G272" i="4" s="1"/>
  <c r="H273" i="4" s="1"/>
  <c r="F224" i="4"/>
  <c r="G224" i="4" s="1" a="1"/>
  <c r="G224" i="4" s="1"/>
  <c r="H225" i="4" s="1"/>
  <c r="F248" i="4"/>
  <c r="G248" i="4" s="1" a="1"/>
  <c r="G248" i="4" s="1"/>
  <c r="H249" i="4" s="1"/>
  <c r="F176" i="4"/>
  <c r="G176" i="4" s="1" a="1"/>
  <c r="G176" i="4" s="1"/>
  <c r="H177" i="4" s="1"/>
  <c r="J12" i="4"/>
  <c r="K133" i="4"/>
  <c r="L133" i="4" s="1"/>
  <c r="K205" i="4"/>
  <c r="L205" i="4" s="1"/>
  <c r="K397" i="4"/>
  <c r="L397" i="4" s="1"/>
  <c r="K157" i="4"/>
  <c r="L157" i="4" s="1"/>
  <c r="M13" i="3"/>
  <c r="N14" i="3" s="1"/>
  <c r="K253" i="4"/>
  <c r="L253" i="4" s="1"/>
  <c r="K493" i="4"/>
  <c r="L493" i="4" s="1"/>
  <c r="K445" i="4"/>
  <c r="L445" i="4" s="1"/>
  <c r="K349" i="4"/>
  <c r="L349" i="4" s="1"/>
  <c r="H130" i="4"/>
  <c r="H274" i="4"/>
  <c r="H202" i="4"/>
  <c r="K37" i="4"/>
  <c r="L37" i="4" s="1"/>
  <c r="H58" i="4"/>
  <c r="H81" i="4"/>
  <c r="D14" i="3"/>
  <c r="D302" i="4"/>
  <c r="J302" i="4" s="1" a="1"/>
  <c r="J302" i="4" s="1"/>
  <c r="K302" i="4" s="1"/>
  <c r="L302" i="4" s="1"/>
  <c r="D398" i="4"/>
  <c r="J398" i="4" s="1" a="1"/>
  <c r="J398" i="4" s="1"/>
  <c r="K398" i="4" s="1"/>
  <c r="L398" i="4" s="1"/>
  <c r="D374" i="4"/>
  <c r="J374" i="4" s="1" a="1"/>
  <c r="J374" i="4" s="1"/>
  <c r="K374" i="4" s="1"/>
  <c r="L374" i="4" s="1"/>
  <c r="B40" i="3"/>
  <c r="D422" i="4"/>
  <c r="J422" i="4" s="1" a="1"/>
  <c r="J422" i="4" s="1"/>
  <c r="K422" i="4" s="1"/>
  <c r="L422" i="4" s="1"/>
  <c r="D326" i="4"/>
  <c r="J326" i="4" s="1" a="1"/>
  <c r="J326" i="4" s="1"/>
  <c r="K326" i="4" s="1"/>
  <c r="L326" i="4" s="1"/>
  <c r="F14" i="3"/>
  <c r="D350" i="4"/>
  <c r="J350" i="4" s="1" a="1"/>
  <c r="J350" i="4" s="1"/>
  <c r="K350" i="4" s="1"/>
  <c r="L350" i="4" s="1"/>
  <c r="D254" i="4"/>
  <c r="J254" i="4" s="1" a="1"/>
  <c r="J254" i="4" s="1"/>
  <c r="K254" i="4" s="1"/>
  <c r="L254" i="4" s="1"/>
  <c r="D14" i="4"/>
  <c r="J14" i="4" s="1"/>
  <c r="D230" i="4"/>
  <c r="J230" i="4" s="1" a="1"/>
  <c r="J230" i="4" s="1"/>
  <c r="K230" i="4" s="1"/>
  <c r="L230" i="4" s="1"/>
  <c r="D278" i="4"/>
  <c r="J278" i="4" s="1" a="1"/>
  <c r="J278" i="4" s="1"/>
  <c r="K278" i="4" s="1"/>
  <c r="L278" i="4" s="1"/>
  <c r="D206" i="4"/>
  <c r="J206" i="4" s="1" a="1"/>
  <c r="J206" i="4" s="1"/>
  <c r="K206" i="4" s="1"/>
  <c r="L206" i="4" s="1"/>
  <c r="D182" i="4"/>
  <c r="J182" i="4" s="1" a="1"/>
  <c r="J182" i="4" s="1"/>
  <c r="K182" i="4" s="1"/>
  <c r="L182" i="4" s="1"/>
  <c r="D158" i="4"/>
  <c r="J158" i="4" s="1" a="1"/>
  <c r="J158" i="4" s="1"/>
  <c r="K158" i="4" s="1"/>
  <c r="L158" i="4" s="1"/>
  <c r="D446" i="4"/>
  <c r="J446" i="4" s="1" a="1"/>
  <c r="J446" i="4" s="1"/>
  <c r="K446" i="4" s="1"/>
  <c r="L446" i="4" s="1"/>
  <c r="D494" i="4"/>
  <c r="J494" i="4" s="1" a="1"/>
  <c r="J494" i="4" s="1"/>
  <c r="K494" i="4" s="1"/>
  <c r="L494" i="4" s="1"/>
  <c r="D62" i="4"/>
  <c r="J62" i="4" s="1" a="1"/>
  <c r="J62" i="4" s="1"/>
  <c r="K62" i="4" s="1"/>
  <c r="L62" i="4" s="1"/>
  <c r="D38" i="4"/>
  <c r="J38" i="4" s="1" a="1"/>
  <c r="J38" i="4" s="1"/>
  <c r="K38" i="4" s="1"/>
  <c r="L38" i="4" s="1"/>
  <c r="D470" i="4"/>
  <c r="J470" i="4" s="1" a="1"/>
  <c r="J470" i="4" s="1"/>
  <c r="K470" i="4" s="1"/>
  <c r="L470" i="4" s="1"/>
  <c r="D134" i="4"/>
  <c r="J134" i="4" s="1" a="1"/>
  <c r="J134" i="4" s="1"/>
  <c r="K134" i="4" s="1"/>
  <c r="L134" i="4" s="1"/>
  <c r="D86" i="4"/>
  <c r="J86" i="4" s="1" a="1"/>
  <c r="J86" i="4" s="1"/>
  <c r="K86" i="4" s="1"/>
  <c r="L86" i="4" s="1"/>
  <c r="L14" i="3"/>
  <c r="M14" i="3" s="1"/>
  <c r="D110" i="4"/>
  <c r="J110" i="4" s="1" a="1"/>
  <c r="J110" i="4" s="1"/>
  <c r="K110" i="4" s="1"/>
  <c r="L110" i="4" s="1"/>
  <c r="H393" i="4"/>
  <c r="K373" i="4"/>
  <c r="L373" i="4" s="1"/>
  <c r="H344" i="4"/>
  <c r="F250" i="4"/>
  <c r="G250" i="4" s="1" a="1"/>
  <c r="G250" i="4" s="1"/>
  <c r="H297" i="4"/>
  <c r="H465" i="4"/>
  <c r="B16" i="3"/>
  <c r="C15" i="3" s="1"/>
  <c r="F226" i="4"/>
  <c r="G226" i="4" s="1" a="1"/>
  <c r="G226" i="4" s="1"/>
  <c r="H200" i="4"/>
  <c r="F82" i="4"/>
  <c r="G82" i="4" s="1" a="1"/>
  <c r="G82" i="4" s="1"/>
  <c r="K61" i="4"/>
  <c r="L61" i="4" s="1"/>
  <c r="K277" i="4"/>
  <c r="L277" i="4" s="1"/>
  <c r="E13" i="3"/>
  <c r="H345" i="4"/>
  <c r="L43" i="7"/>
  <c r="M43" i="7" s="1"/>
  <c r="K43" i="7"/>
  <c r="J44" i="7"/>
  <c r="H321" i="4"/>
  <c r="K109" i="4"/>
  <c r="L109" i="4" s="1"/>
  <c r="H248" i="4"/>
  <c r="H154" i="4"/>
  <c r="H80" i="4"/>
  <c r="H106" i="4"/>
  <c r="H346" i="4"/>
  <c r="K229" i="4"/>
  <c r="L229" i="4" s="1"/>
  <c r="K469" i="4"/>
  <c r="L469" i="4" s="1"/>
  <c r="K85" i="4"/>
  <c r="L85" i="4" s="1"/>
  <c r="K421" i="4"/>
  <c r="L421" i="4" s="1"/>
  <c r="K301" i="4"/>
  <c r="L301" i="4" s="1"/>
  <c r="H417" i="4"/>
  <c r="G12" i="3"/>
  <c r="H394" i="4"/>
  <c r="D39" i="3"/>
  <c r="F39" i="3"/>
  <c r="L39" i="3"/>
  <c r="H298" i="4"/>
  <c r="G9" i="4"/>
  <c r="G10" i="4"/>
  <c r="H10" i="4" s="1"/>
  <c r="G13" i="3"/>
  <c r="H490" i="4"/>
  <c r="D38" i="3"/>
  <c r="L38" i="3"/>
  <c r="M38" i="3" s="1"/>
  <c r="N39" i="3" s="1"/>
  <c r="F38" i="3"/>
  <c r="F442" i="4"/>
  <c r="G442" i="4" s="1" a="1"/>
  <c r="G442" i="4" s="1"/>
  <c r="H418" i="4"/>
  <c r="H488" i="4"/>
  <c r="H201" i="4"/>
  <c r="F34" i="4"/>
  <c r="G34" i="4" s="1" a="1"/>
  <c r="G34" i="4" s="1"/>
  <c r="H369" i="4"/>
  <c r="E12" i="3"/>
  <c r="H12" i="3" s="1"/>
  <c r="H178" i="4"/>
  <c r="H489" i="4"/>
  <c r="F466" i="4"/>
  <c r="G466" i="4" s="1" a="1"/>
  <c r="G466" i="4" s="1"/>
  <c r="F322" i="4"/>
  <c r="G322" i="4" s="1" a="1"/>
  <c r="G322" i="4" s="1"/>
  <c r="H440" i="4"/>
  <c r="K11" i="4"/>
  <c r="L11" i="4" s="1"/>
  <c r="H320" i="4"/>
  <c r="H104" i="4"/>
  <c r="K181" i="4"/>
  <c r="L181" i="4" s="1"/>
  <c r="K325" i="4"/>
  <c r="L325" i="4" s="1"/>
  <c r="F370" i="4"/>
  <c r="G370" i="4" s="1" a="1"/>
  <c r="G370" i="4" s="1"/>
  <c r="G8" i="4"/>
  <c r="H8" i="4" s="1"/>
  <c r="H296" i="4" l="1"/>
  <c r="H176" i="4"/>
  <c r="H152" i="4"/>
  <c r="H32" i="4"/>
  <c r="H392" i="4"/>
  <c r="H9" i="4"/>
  <c r="H368" i="4"/>
  <c r="H272" i="4"/>
  <c r="H464" i="4"/>
  <c r="H128" i="4"/>
  <c r="H224" i="4"/>
  <c r="H56" i="4"/>
  <c r="H13" i="3"/>
  <c r="I397" i="4"/>
  <c r="I373" i="4"/>
  <c r="I421" i="4"/>
  <c r="I301" i="4"/>
  <c r="I325" i="4"/>
  <c r="I349" i="4"/>
  <c r="I13" i="4"/>
  <c r="I205" i="4"/>
  <c r="I229" i="4"/>
  <c r="I253" i="4"/>
  <c r="I277" i="4"/>
  <c r="I181" i="4"/>
  <c r="I157" i="4"/>
  <c r="I61" i="4"/>
  <c r="I109" i="4"/>
  <c r="I37" i="4"/>
  <c r="I445" i="4"/>
  <c r="I133" i="4"/>
  <c r="I493" i="4"/>
  <c r="I469" i="4"/>
  <c r="I85" i="4"/>
  <c r="E38" i="3"/>
  <c r="M39" i="3"/>
  <c r="N40" i="3" s="1"/>
  <c r="N15" i="3"/>
  <c r="L44" i="7"/>
  <c r="M44" i="7" s="1"/>
  <c r="K44" i="7"/>
  <c r="J45" i="7"/>
  <c r="B17" i="3"/>
  <c r="C16" i="3" s="1"/>
  <c r="H370" i="4"/>
  <c r="H34" i="4"/>
  <c r="G38" i="3"/>
  <c r="H38" i="3" s="1"/>
  <c r="H82" i="4"/>
  <c r="E348" i="4"/>
  <c r="E276" i="4"/>
  <c r="E492" i="4"/>
  <c r="E444" i="4"/>
  <c r="E324" i="4"/>
  <c r="E252" i="4"/>
  <c r="E60" i="4"/>
  <c r="E132" i="4"/>
  <c r="E36" i="4"/>
  <c r="E180" i="4"/>
  <c r="E468" i="4"/>
  <c r="E420" i="4"/>
  <c r="E372" i="4"/>
  <c r="E156" i="4"/>
  <c r="E228" i="4"/>
  <c r="E204" i="4"/>
  <c r="E108" i="4"/>
  <c r="E396" i="4"/>
  <c r="E300" i="4"/>
  <c r="E84" i="4"/>
  <c r="E12" i="4"/>
  <c r="G39" i="3"/>
  <c r="H226" i="4"/>
  <c r="E14" i="3"/>
  <c r="H14" i="3" s="1"/>
  <c r="D303" i="4"/>
  <c r="J303" i="4" s="1" a="1"/>
  <c r="J303" i="4" s="1"/>
  <c r="K303" i="4" s="1"/>
  <c r="L303" i="4" s="1"/>
  <c r="D15" i="3"/>
  <c r="B41" i="3"/>
  <c r="D375" i="4"/>
  <c r="J375" i="4" s="1" a="1"/>
  <c r="J375" i="4" s="1"/>
  <c r="K375" i="4" s="1"/>
  <c r="L375" i="4" s="1"/>
  <c r="D399" i="4"/>
  <c r="J399" i="4" s="1" a="1"/>
  <c r="J399" i="4" s="1"/>
  <c r="K399" i="4" s="1"/>
  <c r="L399" i="4" s="1"/>
  <c r="D351" i="4"/>
  <c r="J351" i="4" s="1" a="1"/>
  <c r="J351" i="4" s="1"/>
  <c r="K351" i="4" s="1"/>
  <c r="L351" i="4" s="1"/>
  <c r="D423" i="4"/>
  <c r="J423" i="4" s="1" a="1"/>
  <c r="J423" i="4" s="1"/>
  <c r="K423" i="4" s="1"/>
  <c r="L423" i="4" s="1"/>
  <c r="F15" i="3"/>
  <c r="D327" i="4"/>
  <c r="J327" i="4" s="1" a="1"/>
  <c r="J327" i="4" s="1"/>
  <c r="K327" i="4" s="1"/>
  <c r="L327" i="4" s="1"/>
  <c r="D255" i="4"/>
  <c r="J255" i="4" s="1" a="1"/>
  <c r="J255" i="4" s="1"/>
  <c r="K255" i="4" s="1"/>
  <c r="L255" i="4" s="1"/>
  <c r="D231" i="4"/>
  <c r="J231" i="4" s="1" a="1"/>
  <c r="J231" i="4" s="1"/>
  <c r="K231" i="4" s="1"/>
  <c r="L231" i="4" s="1"/>
  <c r="D207" i="4"/>
  <c r="J207" i="4" s="1" a="1"/>
  <c r="J207" i="4" s="1"/>
  <c r="K207" i="4" s="1"/>
  <c r="L207" i="4" s="1"/>
  <c r="D183" i="4"/>
  <c r="J183" i="4" s="1" a="1"/>
  <c r="J183" i="4" s="1"/>
  <c r="K183" i="4" s="1"/>
  <c r="L183" i="4" s="1"/>
  <c r="D15" i="4"/>
  <c r="J15" i="4" s="1"/>
  <c r="D159" i="4"/>
  <c r="J159" i="4" s="1" a="1"/>
  <c r="J159" i="4" s="1"/>
  <c r="K159" i="4" s="1"/>
  <c r="L159" i="4" s="1"/>
  <c r="D39" i="4"/>
  <c r="J39" i="4" s="1" a="1"/>
  <c r="J39" i="4" s="1"/>
  <c r="K39" i="4" s="1"/>
  <c r="L39" i="4" s="1"/>
  <c r="D279" i="4"/>
  <c r="J279" i="4" s="1" a="1"/>
  <c r="J279" i="4" s="1"/>
  <c r="K279" i="4" s="1"/>
  <c r="L279" i="4" s="1"/>
  <c r="D471" i="4"/>
  <c r="J471" i="4" s="1" a="1"/>
  <c r="J471" i="4" s="1"/>
  <c r="K471" i="4" s="1"/>
  <c r="L471" i="4" s="1"/>
  <c r="D135" i="4"/>
  <c r="J135" i="4" s="1" a="1"/>
  <c r="J135" i="4" s="1"/>
  <c r="K135" i="4" s="1"/>
  <c r="L135" i="4" s="1"/>
  <c r="L15" i="3"/>
  <c r="M15" i="3" s="1"/>
  <c r="D495" i="4"/>
  <c r="J495" i="4" s="1" a="1"/>
  <c r="J495" i="4" s="1"/>
  <c r="K495" i="4" s="1"/>
  <c r="L495" i="4" s="1"/>
  <c r="D111" i="4"/>
  <c r="J111" i="4" s="1" a="1"/>
  <c r="J111" i="4" s="1"/>
  <c r="K111" i="4" s="1"/>
  <c r="L111" i="4" s="1"/>
  <c r="D87" i="4"/>
  <c r="J87" i="4" s="1" a="1"/>
  <c r="J87" i="4" s="1"/>
  <c r="K87" i="4" s="1"/>
  <c r="L87" i="4" s="1"/>
  <c r="D63" i="4"/>
  <c r="J63" i="4" s="1" a="1"/>
  <c r="J63" i="4" s="1"/>
  <c r="K63" i="4" s="1"/>
  <c r="L63" i="4" s="1"/>
  <c r="D447" i="4"/>
  <c r="J447" i="4" s="1" a="1"/>
  <c r="J447" i="4" s="1"/>
  <c r="K447" i="4" s="1"/>
  <c r="L447" i="4" s="1"/>
  <c r="H442" i="4"/>
  <c r="L40" i="3"/>
  <c r="M40" i="3" s="1"/>
  <c r="D40" i="3"/>
  <c r="F40" i="3"/>
  <c r="H322" i="4"/>
  <c r="E39" i="3"/>
  <c r="H250" i="4"/>
  <c r="H466" i="4"/>
  <c r="I396" i="4"/>
  <c r="I420" i="4"/>
  <c r="I300" i="4"/>
  <c r="I372" i="4"/>
  <c r="I348" i="4"/>
  <c r="I324" i="4"/>
  <c r="I252" i="4"/>
  <c r="I228" i="4"/>
  <c r="I276" i="4"/>
  <c r="I132" i="4"/>
  <c r="I204" i="4"/>
  <c r="I108" i="4"/>
  <c r="I12" i="4"/>
  <c r="I180" i="4"/>
  <c r="I84" i="4"/>
  <c r="I60" i="4"/>
  <c r="I444" i="4"/>
  <c r="I36" i="4"/>
  <c r="I492" i="4"/>
  <c r="I156" i="4"/>
  <c r="I468" i="4"/>
  <c r="E469" i="4"/>
  <c r="E397" i="4"/>
  <c r="E325" i="4"/>
  <c r="E133" i="4"/>
  <c r="E61" i="4"/>
  <c r="E493" i="4"/>
  <c r="E157" i="4"/>
  <c r="E229" i="4"/>
  <c r="E301" i="4"/>
  <c r="E205" i="4"/>
  <c r="E373" i="4"/>
  <c r="E277" i="4"/>
  <c r="E253" i="4"/>
  <c r="E109" i="4"/>
  <c r="E85" i="4"/>
  <c r="E445" i="4"/>
  <c r="E349" i="4"/>
  <c r="E37" i="4"/>
  <c r="E421" i="4"/>
  <c r="E181" i="4"/>
  <c r="E13" i="4"/>
  <c r="G14" i="3"/>
  <c r="H39" i="3" l="1"/>
  <c r="N41" i="3"/>
  <c r="D304" i="4"/>
  <c r="J304" i="4" s="1" a="1"/>
  <c r="J304" i="4" s="1"/>
  <c r="K304" i="4" s="1"/>
  <c r="L304" i="4" s="1"/>
  <c r="B42" i="3"/>
  <c r="F16" i="3"/>
  <c r="D376" i="4"/>
  <c r="J376" i="4" s="1" a="1"/>
  <c r="J376" i="4" s="1"/>
  <c r="K376" i="4" s="1"/>
  <c r="L376" i="4" s="1"/>
  <c r="D424" i="4"/>
  <c r="J424" i="4" s="1" a="1"/>
  <c r="J424" i="4" s="1"/>
  <c r="K424" i="4" s="1"/>
  <c r="L424" i="4" s="1"/>
  <c r="D400" i="4"/>
  <c r="J400" i="4" s="1" a="1"/>
  <c r="J400" i="4" s="1"/>
  <c r="K400" i="4" s="1"/>
  <c r="L400" i="4" s="1"/>
  <c r="D16" i="3"/>
  <c r="D352" i="4"/>
  <c r="J352" i="4" s="1" a="1"/>
  <c r="J352" i="4" s="1"/>
  <c r="K352" i="4" s="1"/>
  <c r="L352" i="4" s="1"/>
  <c r="D232" i="4"/>
  <c r="J232" i="4" s="1" a="1"/>
  <c r="J232" i="4" s="1"/>
  <c r="K232" i="4" s="1"/>
  <c r="L232" i="4" s="1"/>
  <c r="D280" i="4"/>
  <c r="J280" i="4" s="1" a="1"/>
  <c r="J280" i="4" s="1"/>
  <c r="K280" i="4" s="1"/>
  <c r="L280" i="4" s="1"/>
  <c r="D16" i="4"/>
  <c r="J16" i="4" s="1"/>
  <c r="D328" i="4"/>
  <c r="J328" i="4" s="1" a="1"/>
  <c r="J328" i="4" s="1"/>
  <c r="K328" i="4" s="1"/>
  <c r="L328" i="4" s="1"/>
  <c r="D256" i="4"/>
  <c r="J256" i="4" s="1" a="1"/>
  <c r="J256" i="4" s="1"/>
  <c r="K256" i="4" s="1"/>
  <c r="L256" i="4" s="1"/>
  <c r="D184" i="4"/>
  <c r="J184" i="4" s="1" a="1"/>
  <c r="J184" i="4" s="1"/>
  <c r="K184" i="4" s="1"/>
  <c r="L184" i="4" s="1"/>
  <c r="D160" i="4"/>
  <c r="J160" i="4" s="1" a="1"/>
  <c r="J160" i="4" s="1"/>
  <c r="K160" i="4" s="1"/>
  <c r="L160" i="4" s="1"/>
  <c r="D208" i="4"/>
  <c r="J208" i="4" s="1" a="1"/>
  <c r="J208" i="4" s="1"/>
  <c r="K208" i="4" s="1"/>
  <c r="L208" i="4" s="1"/>
  <c r="L16" i="3"/>
  <c r="M16" i="3" s="1"/>
  <c r="D112" i="4"/>
  <c r="J112" i="4" s="1" a="1"/>
  <c r="J112" i="4" s="1"/>
  <c r="K112" i="4" s="1"/>
  <c r="L112" i="4" s="1"/>
  <c r="D88" i="4"/>
  <c r="J88" i="4" s="1" a="1"/>
  <c r="J88" i="4" s="1"/>
  <c r="K88" i="4" s="1"/>
  <c r="L88" i="4" s="1"/>
  <c r="D136" i="4"/>
  <c r="J136" i="4" s="1" a="1"/>
  <c r="J136" i="4" s="1"/>
  <c r="K136" i="4" s="1"/>
  <c r="L136" i="4" s="1"/>
  <c r="D448" i="4"/>
  <c r="J448" i="4" s="1" a="1"/>
  <c r="J448" i="4" s="1"/>
  <c r="K448" i="4" s="1"/>
  <c r="L448" i="4" s="1"/>
  <c r="D64" i="4"/>
  <c r="J64" i="4" s="1" a="1"/>
  <c r="J64" i="4" s="1"/>
  <c r="K64" i="4" s="1"/>
  <c r="L64" i="4" s="1"/>
  <c r="D472" i="4"/>
  <c r="J472" i="4" s="1" a="1"/>
  <c r="J472" i="4" s="1"/>
  <c r="K472" i="4" s="1"/>
  <c r="L472" i="4" s="1"/>
  <c r="D40" i="4"/>
  <c r="J40" i="4" s="1" a="1"/>
  <c r="J40" i="4" s="1"/>
  <c r="K40" i="4" s="1"/>
  <c r="L40" i="4" s="1"/>
  <c r="D496" i="4"/>
  <c r="J496" i="4" s="1" a="1"/>
  <c r="J496" i="4" s="1"/>
  <c r="K496" i="4" s="1"/>
  <c r="L496" i="4" s="1"/>
  <c r="I302" i="4"/>
  <c r="I398" i="4"/>
  <c r="I374" i="4"/>
  <c r="I422" i="4"/>
  <c r="I350" i="4"/>
  <c r="I326" i="4"/>
  <c r="I230" i="4"/>
  <c r="I206" i="4"/>
  <c r="I14" i="4"/>
  <c r="I182" i="4"/>
  <c r="I254" i="4"/>
  <c r="I278" i="4"/>
  <c r="I158" i="4"/>
  <c r="I38" i="4"/>
  <c r="I494" i="4"/>
  <c r="I86" i="4"/>
  <c r="I470" i="4"/>
  <c r="I134" i="4"/>
  <c r="I110" i="4"/>
  <c r="I62" i="4"/>
  <c r="I446" i="4"/>
  <c r="E40" i="3"/>
  <c r="F396" i="4"/>
  <c r="G396" i="4" s="1" a="1"/>
  <c r="G396" i="4" s="1"/>
  <c r="F395" i="4"/>
  <c r="G395" i="4" s="1" a="1"/>
  <c r="G395" i="4" s="1"/>
  <c r="F180" i="4"/>
  <c r="G180" i="4" s="1" a="1"/>
  <c r="G180" i="4" s="1"/>
  <c r="F179" i="4"/>
  <c r="G179" i="4" s="1" a="1"/>
  <c r="G179" i="4" s="1"/>
  <c r="F276" i="4"/>
  <c r="G276" i="4" s="1" a="1"/>
  <c r="G276" i="4" s="1"/>
  <c r="F275" i="4"/>
  <c r="G275" i="4" s="1" a="1"/>
  <c r="G275" i="4" s="1"/>
  <c r="N16" i="3"/>
  <c r="F108" i="4"/>
  <c r="G108" i="4" s="1" a="1"/>
  <c r="G108" i="4" s="1"/>
  <c r="F107" i="4"/>
  <c r="G107" i="4" s="1" a="1"/>
  <c r="G107" i="4" s="1"/>
  <c r="F36" i="4"/>
  <c r="G36" i="4" s="1" a="1"/>
  <c r="G36" i="4" s="1"/>
  <c r="F35" i="4"/>
  <c r="G35" i="4" s="1" a="1"/>
  <c r="G35" i="4" s="1"/>
  <c r="F348" i="4"/>
  <c r="G348" i="4" s="1" a="1"/>
  <c r="G348" i="4" s="1"/>
  <c r="F347" i="4"/>
  <c r="G347" i="4" s="1" a="1"/>
  <c r="G347" i="4" s="1"/>
  <c r="F228" i="4"/>
  <c r="G228" i="4" s="1" a="1"/>
  <c r="G228" i="4" s="1"/>
  <c r="F227" i="4"/>
  <c r="G227" i="4" s="1" a="1"/>
  <c r="G227" i="4" s="1"/>
  <c r="F60" i="4"/>
  <c r="G60" i="4" s="1" a="1"/>
  <c r="G60" i="4" s="1"/>
  <c r="F59" i="4"/>
  <c r="G59" i="4" s="1" a="1"/>
  <c r="G59" i="4" s="1"/>
  <c r="L41" i="3"/>
  <c r="M41" i="3" s="1"/>
  <c r="D41" i="3"/>
  <c r="F41" i="3"/>
  <c r="F156" i="4"/>
  <c r="G156" i="4" s="1" a="1"/>
  <c r="G156" i="4" s="1"/>
  <c r="F155" i="4"/>
  <c r="G155" i="4" s="1" a="1"/>
  <c r="G155" i="4" s="1"/>
  <c r="F252" i="4"/>
  <c r="G252" i="4" s="1" a="1"/>
  <c r="G252" i="4" s="1"/>
  <c r="F251" i="4"/>
  <c r="G251" i="4" s="1" a="1"/>
  <c r="G251" i="4" s="1"/>
  <c r="F300" i="4"/>
  <c r="G300" i="4" s="1" a="1"/>
  <c r="G300" i="4" s="1"/>
  <c r="F299" i="4"/>
  <c r="G299" i="4" s="1" a="1"/>
  <c r="G299" i="4" s="1"/>
  <c r="F468" i="4"/>
  <c r="G468" i="4" s="1" a="1"/>
  <c r="G468" i="4" s="1"/>
  <c r="F467" i="4"/>
  <c r="G467" i="4" s="1" a="1"/>
  <c r="G467" i="4" s="1"/>
  <c r="K13" i="4"/>
  <c r="L13" i="4" s="1"/>
  <c r="E494" i="4"/>
  <c r="F493" i="4" s="1"/>
  <c r="G493" i="4" s="1" a="1"/>
  <c r="G493" i="4" s="1"/>
  <c r="E470" i="4"/>
  <c r="E182" i="4"/>
  <c r="F181" i="4" s="1"/>
  <c r="G181" i="4" s="1" a="1"/>
  <c r="G181" i="4" s="1"/>
  <c r="E374" i="4"/>
  <c r="E206" i="4"/>
  <c r="F205" i="4" s="1"/>
  <c r="G205" i="4" s="1" a="1"/>
  <c r="G205" i="4" s="1"/>
  <c r="E302" i="4"/>
  <c r="E278" i="4"/>
  <c r="E86" i="4"/>
  <c r="E422" i="4"/>
  <c r="F421" i="4" s="1"/>
  <c r="G421" i="4" s="1" a="1"/>
  <c r="G421" i="4" s="1"/>
  <c r="E398" i="4"/>
  <c r="F397" i="4" s="1"/>
  <c r="G397" i="4" s="1" a="1"/>
  <c r="G397" i="4" s="1"/>
  <c r="E326" i="4"/>
  <c r="F325" i="4" s="1"/>
  <c r="G325" i="4" s="1" a="1"/>
  <c r="G325" i="4" s="1"/>
  <c r="E446" i="4"/>
  <c r="E350" i="4"/>
  <c r="F349" i="4" s="1"/>
  <c r="G349" i="4" s="1" a="1"/>
  <c r="G349" i="4" s="1"/>
  <c r="E254" i="4"/>
  <c r="E158" i="4"/>
  <c r="F157" i="4" s="1"/>
  <c r="G157" i="4" s="1" a="1"/>
  <c r="G157" i="4" s="1"/>
  <c r="E110" i="4"/>
  <c r="F109" i="4" s="1"/>
  <c r="G109" i="4" s="1" a="1"/>
  <c r="G109" i="4" s="1"/>
  <c r="E62" i="4"/>
  <c r="F61" i="4" s="1"/>
  <c r="G61" i="4" s="1" a="1"/>
  <c r="G61" i="4" s="1"/>
  <c r="E38" i="4"/>
  <c r="F37" i="4" s="1"/>
  <c r="G37" i="4" s="1" a="1"/>
  <c r="G37" i="4" s="1"/>
  <c r="E134" i="4"/>
  <c r="F133" i="4" s="1"/>
  <c r="G133" i="4" s="1" a="1"/>
  <c r="G133" i="4" s="1"/>
  <c r="E230" i="4"/>
  <c r="E14" i="4"/>
  <c r="F204" i="4"/>
  <c r="G204" i="4" s="1" a="1"/>
  <c r="G204" i="4" s="1"/>
  <c r="F203" i="4"/>
  <c r="G203" i="4" s="1" a="1"/>
  <c r="G203" i="4" s="1"/>
  <c r="F132" i="4"/>
  <c r="G132" i="4" s="1" a="1"/>
  <c r="G132" i="4" s="1"/>
  <c r="F131" i="4"/>
  <c r="G131" i="4" s="1" a="1"/>
  <c r="G131" i="4" s="1"/>
  <c r="E15" i="3"/>
  <c r="F12" i="4"/>
  <c r="K12" i="4"/>
  <c r="L12" i="4" s="1"/>
  <c r="F11" i="4"/>
  <c r="F372" i="4"/>
  <c r="G372" i="4" s="1" a="1"/>
  <c r="G372" i="4" s="1"/>
  <c r="F371" i="4"/>
  <c r="G371" i="4" s="1" a="1"/>
  <c r="G371" i="4" s="1"/>
  <c r="F324" i="4"/>
  <c r="G324" i="4" s="1" a="1"/>
  <c r="G324" i="4" s="1"/>
  <c r="F323" i="4"/>
  <c r="G323" i="4" s="1" a="1"/>
  <c r="G323" i="4" s="1"/>
  <c r="B18" i="3"/>
  <c r="C17" i="3" s="1"/>
  <c r="G15" i="3"/>
  <c r="F492" i="4"/>
  <c r="G492" i="4" s="1" a="1"/>
  <c r="G492" i="4" s="1"/>
  <c r="F491" i="4"/>
  <c r="G491" i="4" s="1" a="1"/>
  <c r="G491" i="4" s="1"/>
  <c r="F301" i="4"/>
  <c r="G301" i="4" s="1" a="1"/>
  <c r="G301" i="4" s="1"/>
  <c r="G40" i="3"/>
  <c r="H40" i="3" s="1"/>
  <c r="F84" i="4"/>
  <c r="G84" i="4" s="1" a="1"/>
  <c r="G84" i="4" s="1"/>
  <c r="F83" i="4"/>
  <c r="G83" i="4" s="1" a="1"/>
  <c r="G83" i="4" s="1"/>
  <c r="F420" i="4"/>
  <c r="G420" i="4" s="1" a="1"/>
  <c r="G420" i="4" s="1"/>
  <c r="F419" i="4"/>
  <c r="G419" i="4" s="1" a="1"/>
  <c r="G419" i="4" s="1"/>
  <c r="F444" i="4"/>
  <c r="G444" i="4" s="1" a="1"/>
  <c r="G444" i="4" s="1"/>
  <c r="F443" i="4"/>
  <c r="G443" i="4" s="1" a="1"/>
  <c r="G443" i="4" s="1"/>
  <c r="K45" i="7"/>
  <c r="L45" i="7"/>
  <c r="M45" i="7" s="1"/>
  <c r="J46" i="7"/>
  <c r="H349" i="4" l="1"/>
  <c r="H205" i="4"/>
  <c r="H37" i="4"/>
  <c r="H397" i="4"/>
  <c r="H61" i="4"/>
  <c r="H372" i="4"/>
  <c r="H203" i="4"/>
  <c r="H300" i="4"/>
  <c r="H227" i="4"/>
  <c r="H36" i="4"/>
  <c r="G16" i="3"/>
  <c r="I399" i="4"/>
  <c r="I303" i="4"/>
  <c r="I351" i="4"/>
  <c r="I423" i="4"/>
  <c r="I375" i="4"/>
  <c r="I327" i="4"/>
  <c r="I15" i="4"/>
  <c r="I183" i="4"/>
  <c r="I159" i="4"/>
  <c r="I231" i="4"/>
  <c r="I255" i="4"/>
  <c r="I279" i="4"/>
  <c r="I207" i="4"/>
  <c r="I495" i="4"/>
  <c r="I39" i="4"/>
  <c r="I135" i="4"/>
  <c r="I111" i="4"/>
  <c r="I87" i="4"/>
  <c r="I471" i="4"/>
  <c r="I63" i="4"/>
  <c r="I447" i="4"/>
  <c r="G11" i="4"/>
  <c r="H11" i="4" s="1"/>
  <c r="H204" i="4"/>
  <c r="F253" i="4"/>
  <c r="G253" i="4" s="1" a="1"/>
  <c r="G253" i="4" s="1"/>
  <c r="H228" i="4"/>
  <c r="H107" i="4"/>
  <c r="H275" i="4"/>
  <c r="D42" i="3"/>
  <c r="L42" i="3"/>
  <c r="M42" i="3" s="1"/>
  <c r="F42" i="3"/>
  <c r="L46" i="7"/>
  <c r="M46" i="7" s="1"/>
  <c r="K46" i="7"/>
  <c r="J47" i="7"/>
  <c r="H301" i="4"/>
  <c r="H371" i="4"/>
  <c r="H299" i="4"/>
  <c r="H35" i="4"/>
  <c r="K14" i="4"/>
  <c r="L14" i="4" s="1"/>
  <c r="H251" i="4"/>
  <c r="H108" i="4"/>
  <c r="H276" i="4"/>
  <c r="H444" i="4"/>
  <c r="F17" i="3"/>
  <c r="D305" i="4"/>
  <c r="J305" i="4" s="1" a="1"/>
  <c r="J305" i="4" s="1"/>
  <c r="K305" i="4" s="1"/>
  <c r="L305" i="4" s="1"/>
  <c r="D17" i="3"/>
  <c r="D401" i="4"/>
  <c r="J401" i="4" s="1" a="1"/>
  <c r="J401" i="4" s="1"/>
  <c r="K401" i="4" s="1"/>
  <c r="L401" i="4" s="1"/>
  <c r="B43" i="3"/>
  <c r="D377" i="4"/>
  <c r="J377" i="4" s="1" a="1"/>
  <c r="J377" i="4" s="1"/>
  <c r="K377" i="4" s="1"/>
  <c r="L377" i="4" s="1"/>
  <c r="D329" i="4"/>
  <c r="J329" i="4" s="1" a="1"/>
  <c r="J329" i="4" s="1"/>
  <c r="K329" i="4" s="1"/>
  <c r="L329" i="4" s="1"/>
  <c r="D425" i="4"/>
  <c r="J425" i="4" s="1" a="1"/>
  <c r="J425" i="4" s="1"/>
  <c r="K425" i="4" s="1"/>
  <c r="L425" i="4" s="1"/>
  <c r="D353" i="4"/>
  <c r="J353" i="4" s="1" a="1"/>
  <c r="J353" i="4" s="1"/>
  <c r="K353" i="4" s="1"/>
  <c r="L353" i="4" s="1"/>
  <c r="D233" i="4"/>
  <c r="J233" i="4" s="1" a="1"/>
  <c r="J233" i="4" s="1"/>
  <c r="K233" i="4" s="1"/>
  <c r="L233" i="4" s="1"/>
  <c r="D281" i="4"/>
  <c r="J281" i="4" s="1" a="1"/>
  <c r="J281" i="4" s="1"/>
  <c r="K281" i="4" s="1"/>
  <c r="L281" i="4" s="1"/>
  <c r="D17" i="4"/>
  <c r="J17" i="4" s="1"/>
  <c r="D185" i="4"/>
  <c r="J185" i="4" s="1" a="1"/>
  <c r="J185" i="4" s="1"/>
  <c r="K185" i="4" s="1"/>
  <c r="L185" i="4" s="1"/>
  <c r="D161" i="4"/>
  <c r="J161" i="4" s="1" a="1"/>
  <c r="J161" i="4" s="1"/>
  <c r="K161" i="4" s="1"/>
  <c r="L161" i="4" s="1"/>
  <c r="D257" i="4"/>
  <c r="J257" i="4" s="1" a="1"/>
  <c r="J257" i="4" s="1"/>
  <c r="K257" i="4" s="1"/>
  <c r="L257" i="4" s="1"/>
  <c r="D137" i="4"/>
  <c r="J137" i="4" s="1" a="1"/>
  <c r="J137" i="4" s="1"/>
  <c r="K137" i="4" s="1"/>
  <c r="L137" i="4" s="1"/>
  <c r="D113" i="4"/>
  <c r="J113" i="4" s="1" a="1"/>
  <c r="J113" i="4" s="1"/>
  <c r="K113" i="4" s="1"/>
  <c r="L113" i="4" s="1"/>
  <c r="D497" i="4"/>
  <c r="J497" i="4" s="1" a="1"/>
  <c r="J497" i="4" s="1"/>
  <c r="K497" i="4" s="1"/>
  <c r="L497" i="4" s="1"/>
  <c r="D89" i="4"/>
  <c r="J89" i="4" s="1" a="1"/>
  <c r="J89" i="4" s="1"/>
  <c r="K89" i="4" s="1"/>
  <c r="L89" i="4" s="1"/>
  <c r="D449" i="4"/>
  <c r="J449" i="4" s="1" a="1"/>
  <c r="J449" i="4" s="1"/>
  <c r="K449" i="4" s="1"/>
  <c r="L449" i="4" s="1"/>
  <c r="D473" i="4"/>
  <c r="J473" i="4" s="1" a="1"/>
  <c r="J473" i="4" s="1"/>
  <c r="K473" i="4" s="1"/>
  <c r="L473" i="4" s="1"/>
  <c r="D209" i="4"/>
  <c r="J209" i="4" s="1" a="1"/>
  <c r="J209" i="4" s="1"/>
  <c r="K209" i="4" s="1"/>
  <c r="L209" i="4" s="1"/>
  <c r="D65" i="4"/>
  <c r="J65" i="4" s="1" a="1"/>
  <c r="J65" i="4" s="1"/>
  <c r="K65" i="4" s="1"/>
  <c r="L65" i="4" s="1"/>
  <c r="L17" i="3"/>
  <c r="M17" i="3" s="1"/>
  <c r="D41" i="4"/>
  <c r="J41" i="4" s="1" a="1"/>
  <c r="J41" i="4" s="1"/>
  <c r="K41" i="4" s="1"/>
  <c r="L41" i="4" s="1"/>
  <c r="G12" i="4"/>
  <c r="H12" i="4" s="1"/>
  <c r="H133" i="4"/>
  <c r="F13" i="4"/>
  <c r="H252" i="4"/>
  <c r="H325" i="4"/>
  <c r="H179" i="4"/>
  <c r="F229" i="4"/>
  <c r="G229" i="4" s="1" a="1"/>
  <c r="G229" i="4" s="1"/>
  <c r="N42" i="3"/>
  <c r="H420" i="4"/>
  <c r="H157" i="4"/>
  <c r="H323" i="4"/>
  <c r="E327" i="4"/>
  <c r="E255" i="4"/>
  <c r="E495" i="4"/>
  <c r="E351" i="4"/>
  <c r="E471" i="4"/>
  <c r="E279" i="4"/>
  <c r="E231" i="4"/>
  <c r="F230" i="4" s="1"/>
  <c r="G230" i="4" s="1" a="1"/>
  <c r="G230" i="4" s="1"/>
  <c r="E135" i="4"/>
  <c r="F134" i="4" s="1"/>
  <c r="G134" i="4" s="1" a="1"/>
  <c r="G134" i="4" s="1"/>
  <c r="E447" i="4"/>
  <c r="F446" i="4" s="1"/>
  <c r="G446" i="4" s="1" a="1"/>
  <c r="G446" i="4" s="1"/>
  <c r="E423" i="4"/>
  <c r="E39" i="4"/>
  <c r="E183" i="4"/>
  <c r="E399" i="4"/>
  <c r="E303" i="4"/>
  <c r="F302" i="4" s="1"/>
  <c r="G302" i="4" s="1" a="1"/>
  <c r="G302" i="4" s="1"/>
  <c r="E375" i="4"/>
  <c r="F374" i="4" s="1"/>
  <c r="G374" i="4" s="1" a="1"/>
  <c r="G374" i="4" s="1"/>
  <c r="E159" i="4"/>
  <c r="E207" i="4"/>
  <c r="E87" i="4"/>
  <c r="F86" i="4" s="1"/>
  <c r="G86" i="4" s="1" a="1"/>
  <c r="G86" i="4" s="1"/>
  <c r="E63" i="4"/>
  <c r="F62" i="4" s="1"/>
  <c r="G62" i="4" s="1" a="1"/>
  <c r="G62" i="4" s="1"/>
  <c r="E111" i="4"/>
  <c r="F110" i="4" s="1"/>
  <c r="G110" i="4" s="1" a="1"/>
  <c r="G110" i="4" s="1"/>
  <c r="E15" i="4"/>
  <c r="H181" i="4"/>
  <c r="H467" i="4"/>
  <c r="H156" i="4"/>
  <c r="H421" i="4"/>
  <c r="H347" i="4"/>
  <c r="H493" i="4"/>
  <c r="H395" i="4"/>
  <c r="H83" i="4"/>
  <c r="F469" i="4"/>
  <c r="G469" i="4" s="1" a="1"/>
  <c r="G469" i="4" s="1"/>
  <c r="H491" i="4"/>
  <c r="H324" i="4"/>
  <c r="H131" i="4"/>
  <c r="F422" i="4"/>
  <c r="G422" i="4" s="1" a="1"/>
  <c r="G422" i="4" s="1"/>
  <c r="F494" i="4"/>
  <c r="G494" i="4" s="1" a="1"/>
  <c r="G494" i="4" s="1"/>
  <c r="H468" i="4"/>
  <c r="G41" i="3"/>
  <c r="H41" i="3" s="1"/>
  <c r="H59" i="4"/>
  <c r="H348" i="4"/>
  <c r="H109" i="4"/>
  <c r="H396" i="4"/>
  <c r="H84" i="4"/>
  <c r="H492" i="4"/>
  <c r="H132" i="4"/>
  <c r="E41" i="3"/>
  <c r="H60" i="4"/>
  <c r="N17" i="3"/>
  <c r="H443" i="4"/>
  <c r="H419" i="4"/>
  <c r="B19" i="3"/>
  <c r="C18" i="3" s="1"/>
  <c r="H15" i="3"/>
  <c r="F277" i="4"/>
  <c r="G277" i="4" s="1" a="1"/>
  <c r="G277" i="4" s="1"/>
  <c r="F85" i="4"/>
  <c r="G85" i="4" s="1" a="1"/>
  <c r="G85" i="4" s="1"/>
  <c r="H155" i="4"/>
  <c r="F373" i="4"/>
  <c r="G373" i="4" s="1" a="1"/>
  <c r="G373" i="4" s="1"/>
  <c r="H180" i="4"/>
  <c r="F445" i="4"/>
  <c r="G445" i="4" s="1" a="1"/>
  <c r="G445" i="4" s="1"/>
  <c r="E16" i="3"/>
  <c r="H16" i="3" l="1"/>
  <c r="H302" i="4"/>
  <c r="I400" i="4"/>
  <c r="I376" i="4"/>
  <c r="I424" i="4"/>
  <c r="I304" i="4"/>
  <c r="I328" i="4"/>
  <c r="I352" i="4"/>
  <c r="I232" i="4"/>
  <c r="I280" i="4"/>
  <c r="I16" i="4"/>
  <c r="I256" i="4"/>
  <c r="I184" i="4"/>
  <c r="I160" i="4"/>
  <c r="I136" i="4"/>
  <c r="I112" i="4"/>
  <c r="I88" i="4"/>
  <c r="I472" i="4"/>
  <c r="I496" i="4"/>
  <c r="I64" i="4"/>
  <c r="I448" i="4"/>
  <c r="I208" i="4"/>
  <c r="I40" i="4"/>
  <c r="H373" i="4"/>
  <c r="K15" i="4"/>
  <c r="L15" i="4" s="1"/>
  <c r="H446" i="4"/>
  <c r="F14" i="4"/>
  <c r="D18" i="3"/>
  <c r="B44" i="3"/>
  <c r="D306" i="4"/>
  <c r="J306" i="4" s="1" a="1"/>
  <c r="J306" i="4" s="1"/>
  <c r="K306" i="4" s="1"/>
  <c r="L306" i="4" s="1"/>
  <c r="D354" i="4"/>
  <c r="J354" i="4" s="1" a="1"/>
  <c r="J354" i="4" s="1"/>
  <c r="K354" i="4" s="1"/>
  <c r="L354" i="4" s="1"/>
  <c r="F18" i="3"/>
  <c r="D402" i="4"/>
  <c r="J402" i="4" s="1" a="1"/>
  <c r="J402" i="4" s="1"/>
  <c r="K402" i="4" s="1"/>
  <c r="L402" i="4" s="1"/>
  <c r="D378" i="4"/>
  <c r="J378" i="4" s="1" a="1"/>
  <c r="J378" i="4" s="1"/>
  <c r="K378" i="4" s="1"/>
  <c r="L378" i="4" s="1"/>
  <c r="D330" i="4"/>
  <c r="J330" i="4" s="1" a="1"/>
  <c r="J330" i="4" s="1"/>
  <c r="K330" i="4" s="1"/>
  <c r="L330" i="4" s="1"/>
  <c r="D426" i="4"/>
  <c r="J426" i="4" s="1" a="1"/>
  <c r="J426" i="4" s="1"/>
  <c r="K426" i="4" s="1"/>
  <c r="L426" i="4" s="1"/>
  <c r="D18" i="4"/>
  <c r="J18" i="4" s="1"/>
  <c r="D258" i="4"/>
  <c r="J258" i="4" s="1" a="1"/>
  <c r="J258" i="4" s="1"/>
  <c r="K258" i="4" s="1"/>
  <c r="L258" i="4" s="1"/>
  <c r="D234" i="4"/>
  <c r="J234" i="4" s="1" a="1"/>
  <c r="J234" i="4" s="1"/>
  <c r="K234" i="4" s="1"/>
  <c r="L234" i="4" s="1"/>
  <c r="D282" i="4"/>
  <c r="J282" i="4" s="1" a="1"/>
  <c r="J282" i="4" s="1"/>
  <c r="K282" i="4" s="1"/>
  <c r="L282" i="4" s="1"/>
  <c r="D210" i="4"/>
  <c r="J210" i="4" s="1" a="1"/>
  <c r="J210" i="4" s="1"/>
  <c r="K210" i="4" s="1"/>
  <c r="L210" i="4" s="1"/>
  <c r="D186" i="4"/>
  <c r="J186" i="4" s="1" a="1"/>
  <c r="J186" i="4" s="1"/>
  <c r="K186" i="4" s="1"/>
  <c r="L186" i="4" s="1"/>
  <c r="D162" i="4"/>
  <c r="J162" i="4" s="1" a="1"/>
  <c r="J162" i="4" s="1"/>
  <c r="K162" i="4" s="1"/>
  <c r="L162" i="4" s="1"/>
  <c r="D138" i="4"/>
  <c r="J138" i="4" s="1" a="1"/>
  <c r="J138" i="4" s="1"/>
  <c r="K138" i="4" s="1"/>
  <c r="L138" i="4" s="1"/>
  <c r="D90" i="4"/>
  <c r="J90" i="4" s="1" a="1"/>
  <c r="J90" i="4" s="1"/>
  <c r="K90" i="4" s="1"/>
  <c r="L90" i="4" s="1"/>
  <c r="D474" i="4"/>
  <c r="J474" i="4" s="1" a="1"/>
  <c r="J474" i="4" s="1"/>
  <c r="K474" i="4" s="1"/>
  <c r="L474" i="4" s="1"/>
  <c r="L18" i="3"/>
  <c r="M18" i="3" s="1"/>
  <c r="D66" i="4"/>
  <c r="J66" i="4" s="1" a="1"/>
  <c r="J66" i="4" s="1"/>
  <c r="K66" i="4" s="1"/>
  <c r="L66" i="4" s="1"/>
  <c r="D498" i="4"/>
  <c r="J498" i="4" s="1" a="1"/>
  <c r="J498" i="4" s="1"/>
  <c r="K498" i="4" s="1"/>
  <c r="L498" i="4" s="1"/>
  <c r="D42" i="4"/>
  <c r="J42" i="4" s="1" a="1"/>
  <c r="J42" i="4" s="1"/>
  <c r="K42" i="4" s="1"/>
  <c r="L42" i="4" s="1"/>
  <c r="D114" i="4"/>
  <c r="J114" i="4" s="1" a="1"/>
  <c r="J114" i="4" s="1"/>
  <c r="K114" i="4" s="1"/>
  <c r="L114" i="4" s="1"/>
  <c r="D450" i="4"/>
  <c r="H230" i="4"/>
  <c r="E42" i="3"/>
  <c r="E448" i="4"/>
  <c r="F447" i="4" s="1"/>
  <c r="G447" i="4" s="1" a="1"/>
  <c r="G447" i="4" s="1"/>
  <c r="E376" i="4"/>
  <c r="F375" i="4" s="1"/>
  <c r="G375" i="4" s="1" a="1"/>
  <c r="G375" i="4" s="1"/>
  <c r="E400" i="4"/>
  <c r="F399" i="4" s="1"/>
  <c r="G399" i="4" s="1" a="1"/>
  <c r="G399" i="4" s="1"/>
  <c r="E112" i="4"/>
  <c r="E40" i="4"/>
  <c r="F39" i="4" s="1"/>
  <c r="G39" i="4" s="1" a="1"/>
  <c r="G39" i="4" s="1"/>
  <c r="E232" i="4"/>
  <c r="E328" i="4"/>
  <c r="F327" i="4" s="1"/>
  <c r="G327" i="4" s="1" a="1"/>
  <c r="G327" i="4" s="1"/>
  <c r="E256" i="4"/>
  <c r="E304" i="4"/>
  <c r="F303" i="4" s="1"/>
  <c r="G303" i="4" s="1" a="1"/>
  <c r="G303" i="4" s="1"/>
  <c r="E184" i="4"/>
  <c r="E136" i="4"/>
  <c r="E88" i="4"/>
  <c r="F87" i="4" s="1"/>
  <c r="G87" i="4" s="1" a="1"/>
  <c r="G87" i="4" s="1"/>
  <c r="E496" i="4"/>
  <c r="F495" i="4" s="1"/>
  <c r="G495" i="4" s="1" a="1"/>
  <c r="G495" i="4" s="1"/>
  <c r="E160" i="4"/>
  <c r="F159" i="4" s="1"/>
  <c r="G159" i="4" s="1" a="1"/>
  <c r="G159" i="4" s="1"/>
  <c r="E472" i="4"/>
  <c r="F471" i="4" s="1"/>
  <c r="G471" i="4" s="1" a="1"/>
  <c r="G471" i="4" s="1"/>
  <c r="E352" i="4"/>
  <c r="F351" i="4" s="1"/>
  <c r="G351" i="4" s="1" a="1"/>
  <c r="G351" i="4" s="1"/>
  <c r="E280" i="4"/>
  <c r="F279" i="4" s="1"/>
  <c r="G279" i="4" s="1" a="1"/>
  <c r="G279" i="4" s="1"/>
  <c r="E208" i="4"/>
  <c r="F207" i="4" s="1"/>
  <c r="G207" i="4" s="1" a="1"/>
  <c r="G207" i="4" s="1"/>
  <c r="E64" i="4"/>
  <c r="F63" i="4" s="1"/>
  <c r="G63" i="4" s="1" a="1"/>
  <c r="G63" i="4" s="1"/>
  <c r="E424" i="4"/>
  <c r="F423" i="4" s="1"/>
  <c r="G423" i="4" s="1" a="1"/>
  <c r="G423" i="4" s="1"/>
  <c r="E16" i="4"/>
  <c r="F15" i="4" s="1"/>
  <c r="B20" i="3"/>
  <c r="N18" i="3"/>
  <c r="H494" i="4"/>
  <c r="L43" i="3"/>
  <c r="M43" i="3" s="1"/>
  <c r="D43" i="3"/>
  <c r="F43" i="3"/>
  <c r="H253" i="4"/>
  <c r="H85" i="4"/>
  <c r="H422" i="4"/>
  <c r="H469" i="4"/>
  <c r="F470" i="4"/>
  <c r="G470" i="4" s="1" a="1"/>
  <c r="G470" i="4" s="1"/>
  <c r="K47" i="7"/>
  <c r="L47" i="7"/>
  <c r="M47" i="7" s="1"/>
  <c r="J48" i="7"/>
  <c r="F254" i="4"/>
  <c r="G254" i="4" s="1" a="1"/>
  <c r="G254" i="4" s="1"/>
  <c r="H277" i="4"/>
  <c r="H229" i="4"/>
  <c r="H374" i="4"/>
  <c r="G42" i="3"/>
  <c r="H42" i="3" s="1"/>
  <c r="F182" i="4"/>
  <c r="G182" i="4" s="1" a="1"/>
  <c r="G182" i="4" s="1"/>
  <c r="H62" i="4"/>
  <c r="F398" i="4"/>
  <c r="G398" i="4" s="1" a="1"/>
  <c r="G398" i="4" s="1"/>
  <c r="N43" i="3"/>
  <c r="E17" i="3"/>
  <c r="H17" i="3" s="1"/>
  <c r="H445" i="4"/>
  <c r="F326" i="4"/>
  <c r="G326" i="4" s="1" a="1"/>
  <c r="G326" i="4" s="1"/>
  <c r="F38" i="4"/>
  <c r="G38" i="4" s="1" a="1"/>
  <c r="G38" i="4" s="1"/>
  <c r="F206" i="4"/>
  <c r="G206" i="4" s="1" a="1"/>
  <c r="G206" i="4" s="1"/>
  <c r="F278" i="4"/>
  <c r="G278" i="4" s="1" a="1"/>
  <c r="G278" i="4" s="1"/>
  <c r="H110" i="4"/>
  <c r="H134" i="4"/>
  <c r="G13" i="4"/>
  <c r="H13" i="4" s="1"/>
  <c r="G17" i="3"/>
  <c r="F350" i="4"/>
  <c r="G350" i="4" s="1" a="1"/>
  <c r="G350" i="4" s="1"/>
  <c r="H86" i="4"/>
  <c r="F158" i="4"/>
  <c r="G158" i="4" s="1" a="1"/>
  <c r="G158" i="4" s="1"/>
  <c r="H159" i="4" l="1"/>
  <c r="G15" i="4"/>
  <c r="L44" i="3"/>
  <c r="M44" i="3" s="1"/>
  <c r="D44" i="3"/>
  <c r="F44" i="3"/>
  <c r="H399" i="4"/>
  <c r="H207" i="4"/>
  <c r="G43" i="3"/>
  <c r="H43" i="3" s="1"/>
  <c r="H351" i="4"/>
  <c r="E18" i="3"/>
  <c r="H18" i="3" s="1"/>
  <c r="H158" i="4"/>
  <c r="E497" i="4"/>
  <c r="F496" i="4" s="1"/>
  <c r="G496" i="4" s="1" a="1"/>
  <c r="G496" i="4" s="1"/>
  <c r="E281" i="4"/>
  <c r="F280" i="4" s="1"/>
  <c r="G280" i="4" s="1" a="1"/>
  <c r="G280" i="4" s="1"/>
  <c r="E233" i="4"/>
  <c r="F232" i="4" s="1"/>
  <c r="G232" i="4" s="1" a="1"/>
  <c r="G232" i="4" s="1"/>
  <c r="E161" i="4"/>
  <c r="E377" i="4"/>
  <c r="E113" i="4"/>
  <c r="F112" i="4" s="1"/>
  <c r="G112" i="4" s="1" a="1"/>
  <c r="G112" i="4" s="1"/>
  <c r="E305" i="4"/>
  <c r="F304" i="4" s="1"/>
  <c r="G304" i="4" s="1" a="1"/>
  <c r="G304" i="4" s="1"/>
  <c r="E353" i="4"/>
  <c r="F352" i="4" s="1"/>
  <c r="G352" i="4" s="1" a="1"/>
  <c r="G352" i="4" s="1"/>
  <c r="E65" i="4"/>
  <c r="F64" i="4" s="1"/>
  <c r="G64" i="4" s="1" a="1"/>
  <c r="G64" i="4" s="1"/>
  <c r="E329" i="4"/>
  <c r="F328" i="4" s="1"/>
  <c r="G328" i="4" s="1" a="1"/>
  <c r="G328" i="4" s="1"/>
  <c r="E473" i="4"/>
  <c r="F472" i="4" s="1"/>
  <c r="G472" i="4" s="1" a="1"/>
  <c r="G472" i="4" s="1"/>
  <c r="E425" i="4"/>
  <c r="F424" i="4" s="1"/>
  <c r="G424" i="4" s="1" a="1"/>
  <c r="G424" i="4" s="1"/>
  <c r="E209" i="4"/>
  <c r="F208" i="4" s="1"/>
  <c r="G208" i="4" s="1" a="1"/>
  <c r="G208" i="4" s="1"/>
  <c r="E41" i="4"/>
  <c r="F40" i="4" s="1"/>
  <c r="G40" i="4" s="1" a="1"/>
  <c r="G40" i="4" s="1"/>
  <c r="E257" i="4"/>
  <c r="F256" i="4" s="1"/>
  <c r="G256" i="4" s="1" a="1"/>
  <c r="G256" i="4" s="1"/>
  <c r="E401" i="4"/>
  <c r="F400" i="4" s="1"/>
  <c r="G400" i="4" s="1" a="1"/>
  <c r="G400" i="4" s="1"/>
  <c r="E185" i="4"/>
  <c r="F184" i="4" s="1"/>
  <c r="G184" i="4" s="1" a="1"/>
  <c r="G184" i="4" s="1"/>
  <c r="E449" i="4"/>
  <c r="F448" i="4" s="1"/>
  <c r="G448" i="4" s="1" a="1"/>
  <c r="G448" i="4" s="1"/>
  <c r="E137" i="4"/>
  <c r="E89" i="4"/>
  <c r="F88" i="4" s="1"/>
  <c r="G88" i="4" s="1" a="1"/>
  <c r="G88" i="4" s="1"/>
  <c r="E17" i="4"/>
  <c r="F16" i="4" s="1"/>
  <c r="H398" i="4"/>
  <c r="H254" i="4"/>
  <c r="E43" i="3"/>
  <c r="F376" i="4"/>
  <c r="G376" i="4" s="1" a="1"/>
  <c r="G376" i="4" s="1"/>
  <c r="F183" i="4"/>
  <c r="G183" i="4" s="1" a="1"/>
  <c r="G183" i="4" s="1"/>
  <c r="I353" i="4"/>
  <c r="I377" i="4"/>
  <c r="I401" i="4"/>
  <c r="I329" i="4"/>
  <c r="I425" i="4"/>
  <c r="I305" i="4"/>
  <c r="I17" i="4"/>
  <c r="I233" i="4"/>
  <c r="I209" i="4"/>
  <c r="I185" i="4"/>
  <c r="I281" i="4"/>
  <c r="I89" i="4"/>
  <c r="I473" i="4"/>
  <c r="I113" i="4"/>
  <c r="I257" i="4"/>
  <c r="I137" i="4"/>
  <c r="I65" i="4"/>
  <c r="I449" i="4"/>
  <c r="I41" i="4"/>
  <c r="I161" i="4"/>
  <c r="I497" i="4"/>
  <c r="H206" i="4"/>
  <c r="H327" i="4"/>
  <c r="H303" i="4"/>
  <c r="H87" i="4"/>
  <c r="H39" i="4"/>
  <c r="K16" i="4"/>
  <c r="L16" i="4" s="1"/>
  <c r="H471" i="4"/>
  <c r="H447" i="4"/>
  <c r="H470" i="4"/>
  <c r="H63" i="4"/>
  <c r="F135" i="4"/>
  <c r="G135" i="4" s="1" a="1"/>
  <c r="G135" i="4" s="1"/>
  <c r="F111" i="4"/>
  <c r="G111" i="4" s="1" a="1"/>
  <c r="G111" i="4" s="1"/>
  <c r="G14" i="4"/>
  <c r="H14" i="4"/>
  <c r="L48" i="7"/>
  <c r="M48" i="7" s="1"/>
  <c r="K48" i="7"/>
  <c r="J49" i="7"/>
  <c r="H375" i="4"/>
  <c r="H278" i="4"/>
  <c r="H326" i="4"/>
  <c r="H279" i="4"/>
  <c r="H423" i="4"/>
  <c r="H495" i="4"/>
  <c r="B21" i="3"/>
  <c r="C20" i="3" s="1"/>
  <c r="N19" i="3"/>
  <c r="H350" i="4"/>
  <c r="F231" i="4"/>
  <c r="G231" i="4" s="1" a="1"/>
  <c r="G231" i="4" s="1"/>
  <c r="H38" i="4"/>
  <c r="N44" i="3"/>
  <c r="H182" i="4"/>
  <c r="F255" i="4"/>
  <c r="G255" i="4" s="1" a="1"/>
  <c r="G255" i="4" s="1"/>
  <c r="C19" i="3"/>
  <c r="G18" i="3"/>
  <c r="H15" i="4" l="1"/>
  <c r="H256" i="4"/>
  <c r="H304" i="4"/>
  <c r="H112" i="4"/>
  <c r="G16" i="4"/>
  <c r="H16" i="4" s="1"/>
  <c r="H88" i="4"/>
  <c r="H424" i="4"/>
  <c r="D404" i="4"/>
  <c r="D308" i="4"/>
  <c r="J308" i="4" s="1" a="1"/>
  <c r="J308" i="4" s="1"/>
  <c r="D20" i="3"/>
  <c r="B46" i="3"/>
  <c r="D380" i="4"/>
  <c r="J380" i="4" s="1" a="1"/>
  <c r="J380" i="4" s="1"/>
  <c r="D332" i="4"/>
  <c r="J332" i="4" s="1" a="1"/>
  <c r="J332" i="4" s="1"/>
  <c r="F20" i="3"/>
  <c r="D428" i="4"/>
  <c r="J428" i="4" s="1" a="1"/>
  <c r="J428" i="4" s="1"/>
  <c r="D356" i="4"/>
  <c r="J356" i="4" s="1" a="1"/>
  <c r="J356" i="4" s="1"/>
  <c r="D20" i="4"/>
  <c r="J20" i="4" s="1"/>
  <c r="D236" i="4"/>
  <c r="J236" i="4" s="1" a="1"/>
  <c r="J236" i="4" s="1"/>
  <c r="D284" i="4"/>
  <c r="J284" i="4" s="1" a="1"/>
  <c r="J284" i="4" s="1"/>
  <c r="D260" i="4"/>
  <c r="J260" i="4" s="1" a="1"/>
  <c r="J260" i="4" s="1"/>
  <c r="D212" i="4"/>
  <c r="J212" i="4" s="1" a="1"/>
  <c r="J212" i="4" s="1"/>
  <c r="D188" i="4"/>
  <c r="J188" i="4" s="1" a="1"/>
  <c r="J188" i="4" s="1"/>
  <c r="D164" i="4"/>
  <c r="J164" i="4" s="1" a="1"/>
  <c r="J164" i="4" s="1"/>
  <c r="D140" i="4"/>
  <c r="J140" i="4" s="1" a="1"/>
  <c r="J140" i="4" s="1"/>
  <c r="D68" i="4"/>
  <c r="J68" i="4" s="1" a="1"/>
  <c r="J68" i="4" s="1"/>
  <c r="D500" i="4"/>
  <c r="J500" i="4" s="1" a="1"/>
  <c r="J500" i="4" s="1"/>
  <c r="D92" i="4"/>
  <c r="J92" i="4" s="1" a="1"/>
  <c r="J92" i="4" s="1"/>
  <c r="D116" i="4"/>
  <c r="J116" i="4" s="1" a="1"/>
  <c r="J116" i="4" s="1"/>
  <c r="D44" i="4"/>
  <c r="J44" i="4" s="1" a="1"/>
  <c r="J44" i="4" s="1"/>
  <c r="D452" i="4"/>
  <c r="J452" i="4" s="1" a="1"/>
  <c r="J452" i="4" s="1"/>
  <c r="L20" i="3"/>
  <c r="D476" i="4"/>
  <c r="J476" i="4" s="1" a="1"/>
  <c r="J476" i="4" s="1"/>
  <c r="H280" i="4"/>
  <c r="I426" i="4"/>
  <c r="I402" i="4"/>
  <c r="I306" i="4"/>
  <c r="I378" i="4"/>
  <c r="I330" i="4"/>
  <c r="I354" i="4"/>
  <c r="I258" i="4"/>
  <c r="I234" i="4"/>
  <c r="I162" i="4"/>
  <c r="I138" i="4"/>
  <c r="I18" i="4"/>
  <c r="I210" i="4"/>
  <c r="I114" i="4"/>
  <c r="I282" i="4"/>
  <c r="I90" i="4"/>
  <c r="I474" i="4"/>
  <c r="I66" i="4"/>
  <c r="I450" i="4"/>
  <c r="I42" i="4"/>
  <c r="I186" i="4"/>
  <c r="I498" i="4"/>
  <c r="B22" i="3"/>
  <c r="C21" i="3" s="1"/>
  <c r="H400" i="4"/>
  <c r="H352" i="4"/>
  <c r="F136" i="4"/>
  <c r="G136" i="4" s="1" a="1"/>
  <c r="G136" i="4" s="1"/>
  <c r="H472" i="4"/>
  <c r="D307" i="4"/>
  <c r="J307" i="4" s="1" a="1"/>
  <c r="J307" i="4" s="1"/>
  <c r="K307" i="4" s="1"/>
  <c r="L307" i="4" s="1"/>
  <c r="D403" i="4"/>
  <c r="J403" i="4" s="1" a="1"/>
  <c r="J403" i="4" s="1"/>
  <c r="K403" i="4" s="1"/>
  <c r="L403" i="4" s="1"/>
  <c r="D427" i="4"/>
  <c r="J427" i="4" s="1" a="1"/>
  <c r="J427" i="4" s="1"/>
  <c r="K427" i="4" s="1"/>
  <c r="L427" i="4" s="1"/>
  <c r="D19" i="3"/>
  <c r="D379" i="4"/>
  <c r="J379" i="4" s="1" a="1"/>
  <c r="J379" i="4" s="1"/>
  <c r="K379" i="4" s="1"/>
  <c r="L379" i="4" s="1"/>
  <c r="F19" i="3"/>
  <c r="D355" i="4"/>
  <c r="J355" i="4" s="1" a="1"/>
  <c r="J355" i="4" s="1"/>
  <c r="K355" i="4" s="1"/>
  <c r="L355" i="4" s="1"/>
  <c r="B45" i="3"/>
  <c r="D331" i="4"/>
  <c r="J331" i="4" s="1" a="1"/>
  <c r="J331" i="4" s="1"/>
  <c r="K331" i="4" s="1"/>
  <c r="L331" i="4" s="1"/>
  <c r="D259" i="4"/>
  <c r="J259" i="4" s="1" a="1"/>
  <c r="J259" i="4" s="1"/>
  <c r="K259" i="4" s="1"/>
  <c r="L259" i="4" s="1"/>
  <c r="D235" i="4"/>
  <c r="J235" i="4" s="1" a="1"/>
  <c r="J235" i="4" s="1"/>
  <c r="K235" i="4" s="1"/>
  <c r="L235" i="4" s="1"/>
  <c r="D163" i="4"/>
  <c r="J163" i="4" s="1" a="1"/>
  <c r="J163" i="4" s="1"/>
  <c r="K163" i="4" s="1"/>
  <c r="L163" i="4" s="1"/>
  <c r="D139" i="4"/>
  <c r="J139" i="4" s="1" a="1"/>
  <c r="J139" i="4" s="1"/>
  <c r="K139" i="4" s="1"/>
  <c r="L139" i="4" s="1"/>
  <c r="D211" i="4"/>
  <c r="J211" i="4" s="1" a="1"/>
  <c r="J211" i="4" s="1"/>
  <c r="K211" i="4" s="1"/>
  <c r="L211" i="4" s="1"/>
  <c r="D115" i="4"/>
  <c r="J115" i="4" s="1" a="1"/>
  <c r="J115" i="4" s="1"/>
  <c r="K115" i="4" s="1"/>
  <c r="L115" i="4" s="1"/>
  <c r="D283" i="4"/>
  <c r="J283" i="4" s="1" a="1"/>
  <c r="J283" i="4" s="1"/>
  <c r="K283" i="4" s="1"/>
  <c r="L283" i="4" s="1"/>
  <c r="D19" i="4"/>
  <c r="J19" i="4" s="1"/>
  <c r="D91" i="4"/>
  <c r="J91" i="4" s="1" a="1"/>
  <c r="J91" i="4" s="1"/>
  <c r="K91" i="4" s="1"/>
  <c r="L91" i="4" s="1"/>
  <c r="D67" i="4"/>
  <c r="J67" i="4" s="1" a="1"/>
  <c r="J67" i="4" s="1"/>
  <c r="K67" i="4" s="1"/>
  <c r="L67" i="4" s="1"/>
  <c r="L19" i="3"/>
  <c r="M19" i="3" s="1"/>
  <c r="N20" i="3" s="1"/>
  <c r="D475" i="4"/>
  <c r="J475" i="4" s="1" a="1"/>
  <c r="J475" i="4" s="1"/>
  <c r="K475" i="4" s="1"/>
  <c r="L475" i="4" s="1"/>
  <c r="D43" i="4"/>
  <c r="J43" i="4" s="1" a="1"/>
  <c r="J43" i="4" s="1"/>
  <c r="K43" i="4" s="1"/>
  <c r="L43" i="4" s="1"/>
  <c r="D451" i="4"/>
  <c r="J451" i="4" s="1" a="1"/>
  <c r="J451" i="4" s="1"/>
  <c r="D499" i="4"/>
  <c r="J499" i="4" s="1" a="1"/>
  <c r="J499" i="4" s="1"/>
  <c r="K499" i="4" s="1"/>
  <c r="L499" i="4" s="1"/>
  <c r="D187" i="4"/>
  <c r="J187" i="4" s="1" a="1"/>
  <c r="J187" i="4" s="1"/>
  <c r="K187" i="4" s="1"/>
  <c r="L187" i="4" s="1"/>
  <c r="H231" i="4"/>
  <c r="H232" i="4"/>
  <c r="H448" i="4"/>
  <c r="H255" i="4"/>
  <c r="N45" i="3"/>
  <c r="H183" i="4"/>
  <c r="H64" i="4"/>
  <c r="H44" i="3"/>
  <c r="G44" i="3"/>
  <c r="H135" i="4"/>
  <c r="H208" i="4"/>
  <c r="F160" i="4"/>
  <c r="G160" i="4" s="1" a="1"/>
  <c r="G160" i="4" s="1"/>
  <c r="H328" i="4"/>
  <c r="H40" i="4"/>
  <c r="H376" i="4"/>
  <c r="E44" i="3"/>
  <c r="K49" i="7"/>
  <c r="L49" i="7"/>
  <c r="M49" i="7" s="1"/>
  <c r="J50" i="7"/>
  <c r="H111" i="4"/>
  <c r="H496" i="4"/>
  <c r="H184" i="4"/>
  <c r="K17" i="4"/>
  <c r="L17" i="4" s="1"/>
  <c r="E306" i="4"/>
  <c r="E498" i="4"/>
  <c r="E426" i="4"/>
  <c r="F425" i="4" s="1"/>
  <c r="G425" i="4" s="1" a="1"/>
  <c r="G425" i="4" s="1"/>
  <c r="E354" i="4"/>
  <c r="F353" i="4" s="1"/>
  <c r="G353" i="4" s="1" a="1"/>
  <c r="G353" i="4" s="1"/>
  <c r="E162" i="4"/>
  <c r="E282" i="4"/>
  <c r="F281" i="4" s="1"/>
  <c r="G281" i="4" s="1" a="1"/>
  <c r="G281" i="4" s="1"/>
  <c r="E330" i="4"/>
  <c r="F329" i="4" s="1"/>
  <c r="G329" i="4" s="1" a="1"/>
  <c r="G329" i="4" s="1"/>
  <c r="E138" i="4"/>
  <c r="F137" i="4" s="1"/>
  <c r="G137" i="4" s="1" a="1"/>
  <c r="G137" i="4" s="1"/>
  <c r="E42" i="4"/>
  <c r="E258" i="4"/>
  <c r="F257" i="4" s="1"/>
  <c r="G257" i="4" s="1" a="1"/>
  <c r="G257" i="4" s="1"/>
  <c r="E450" i="4"/>
  <c r="F449" i="4" s="1"/>
  <c r="G449" i="4" s="1" a="1"/>
  <c r="G449" i="4" s="1"/>
  <c r="E402" i="4"/>
  <c r="E378" i="4"/>
  <c r="F377" i="4" s="1"/>
  <c r="G377" i="4" s="1" a="1"/>
  <c r="G377" i="4" s="1"/>
  <c r="E210" i="4"/>
  <c r="F209" i="4" s="1"/>
  <c r="G209" i="4" s="1" a="1"/>
  <c r="G209" i="4" s="1"/>
  <c r="E474" i="4"/>
  <c r="F473" i="4" s="1"/>
  <c r="G473" i="4" s="1" a="1"/>
  <c r="G473" i="4" s="1"/>
  <c r="E234" i="4"/>
  <c r="F233" i="4" s="1"/>
  <c r="G233" i="4" s="1" a="1"/>
  <c r="G233" i="4" s="1"/>
  <c r="E90" i="4"/>
  <c r="F89" i="4" s="1"/>
  <c r="G89" i="4" s="1" a="1"/>
  <c r="G89" i="4" s="1"/>
  <c r="E66" i="4"/>
  <c r="F65" i="4" s="1"/>
  <c r="G65" i="4" s="1" a="1"/>
  <c r="G65" i="4" s="1"/>
  <c r="E114" i="4"/>
  <c r="F113" i="4" s="1"/>
  <c r="G113" i="4" s="1" a="1"/>
  <c r="G113" i="4" s="1"/>
  <c r="E186" i="4"/>
  <c r="F185" i="4" s="1"/>
  <c r="G185" i="4" s="1" a="1"/>
  <c r="G185" i="4" s="1"/>
  <c r="E18" i="4"/>
  <c r="K44" i="4" l="1"/>
  <c r="L44" i="4" s="1"/>
  <c r="K212" i="4"/>
  <c r="L212" i="4" s="1"/>
  <c r="K116" i="4"/>
  <c r="L116" i="4" s="1"/>
  <c r="K380" i="4"/>
  <c r="L380" i="4" s="1"/>
  <c r="M20" i="3"/>
  <c r="K164" i="4"/>
  <c r="L164" i="4" s="1"/>
  <c r="K452" i="4"/>
  <c r="L452" i="4" s="1"/>
  <c r="K188" i="4"/>
  <c r="L188" i="4" s="1"/>
  <c r="H329" i="4"/>
  <c r="H353" i="4"/>
  <c r="H449" i="4"/>
  <c r="H65" i="4"/>
  <c r="H257" i="4"/>
  <c r="H137" i="4"/>
  <c r="L50" i="7"/>
  <c r="M50" i="7" s="1"/>
  <c r="K50" i="7"/>
  <c r="J51" i="7"/>
  <c r="B23" i="3"/>
  <c r="C22" i="3" s="1"/>
  <c r="K92" i="4"/>
  <c r="L92" i="4" s="1"/>
  <c r="K284" i="4"/>
  <c r="L284" i="4" s="1"/>
  <c r="D46" i="3"/>
  <c r="L46" i="3"/>
  <c r="F46" i="3"/>
  <c r="K428" i="4"/>
  <c r="L428" i="4" s="1"/>
  <c r="H233" i="4"/>
  <c r="H113" i="4"/>
  <c r="F305" i="4"/>
  <c r="G305" i="4" s="1" a="1"/>
  <c r="G305" i="4" s="1"/>
  <c r="G19" i="3"/>
  <c r="H136" i="4"/>
  <c r="K500" i="4"/>
  <c r="L500" i="4" s="1"/>
  <c r="K236" i="4"/>
  <c r="L236" i="4" s="1"/>
  <c r="E20" i="3"/>
  <c r="H473" i="4"/>
  <c r="H377" i="4"/>
  <c r="H185" i="4"/>
  <c r="H209" i="4"/>
  <c r="D45" i="3"/>
  <c r="L45" i="3"/>
  <c r="M45" i="3" s="1"/>
  <c r="F45" i="3"/>
  <c r="D309" i="4"/>
  <c r="J309" i="4" s="1" a="1"/>
  <c r="J309" i="4" s="1"/>
  <c r="K309" i="4" s="1"/>
  <c r="L309" i="4" s="1"/>
  <c r="F21" i="3"/>
  <c r="D21" i="3"/>
  <c r="B47" i="3"/>
  <c r="D405" i="4"/>
  <c r="J405" i="4" s="1" a="1"/>
  <c r="J405" i="4" s="1"/>
  <c r="D381" i="4"/>
  <c r="J381" i="4" s="1" a="1"/>
  <c r="J381" i="4" s="1"/>
  <c r="K381" i="4" s="1"/>
  <c r="L381" i="4" s="1"/>
  <c r="D333" i="4"/>
  <c r="J333" i="4" s="1" a="1"/>
  <c r="J333" i="4" s="1"/>
  <c r="K333" i="4" s="1"/>
  <c r="L333" i="4" s="1"/>
  <c r="D429" i="4"/>
  <c r="J429" i="4" s="1" a="1"/>
  <c r="J429" i="4" s="1"/>
  <c r="K429" i="4" s="1"/>
  <c r="L429" i="4" s="1"/>
  <c r="D357" i="4"/>
  <c r="J357" i="4" s="1" a="1"/>
  <c r="J357" i="4" s="1"/>
  <c r="K357" i="4" s="1"/>
  <c r="L357" i="4" s="1"/>
  <c r="D237" i="4"/>
  <c r="J237" i="4" s="1" a="1"/>
  <c r="J237" i="4" s="1"/>
  <c r="K237" i="4" s="1"/>
  <c r="L237" i="4" s="1"/>
  <c r="D141" i="4"/>
  <c r="J141" i="4" s="1" a="1"/>
  <c r="J141" i="4" s="1"/>
  <c r="K141" i="4" s="1"/>
  <c r="L141" i="4" s="1"/>
  <c r="D213" i="4"/>
  <c r="J213" i="4" s="1" a="1"/>
  <c r="J213" i="4" s="1"/>
  <c r="K213" i="4" s="1"/>
  <c r="L213" i="4" s="1"/>
  <c r="D261" i="4"/>
  <c r="J261" i="4" s="1" a="1"/>
  <c r="J261" i="4" s="1"/>
  <c r="K261" i="4" s="1"/>
  <c r="L261" i="4" s="1"/>
  <c r="D21" i="4"/>
  <c r="J21" i="4" s="1"/>
  <c r="D189" i="4"/>
  <c r="J189" i="4" s="1" a="1"/>
  <c r="J189" i="4" s="1"/>
  <c r="K189" i="4" s="1"/>
  <c r="L189" i="4" s="1"/>
  <c r="D165" i="4"/>
  <c r="J165" i="4" s="1" a="1"/>
  <c r="J165" i="4" s="1"/>
  <c r="K165" i="4" s="1"/>
  <c r="L165" i="4" s="1"/>
  <c r="D69" i="4"/>
  <c r="J69" i="4" s="1" a="1"/>
  <c r="J69" i="4" s="1"/>
  <c r="K69" i="4" s="1"/>
  <c r="L69" i="4" s="1"/>
  <c r="D117" i="4"/>
  <c r="J117" i="4" s="1" a="1"/>
  <c r="J117" i="4" s="1"/>
  <c r="K117" i="4" s="1"/>
  <c r="L117" i="4" s="1"/>
  <c r="L21" i="3"/>
  <c r="M21" i="3" s="1"/>
  <c r="D453" i="4"/>
  <c r="J453" i="4" s="1" a="1"/>
  <c r="J453" i="4" s="1"/>
  <c r="K453" i="4" s="1"/>
  <c r="L453" i="4" s="1"/>
  <c r="D45" i="4"/>
  <c r="J45" i="4" s="1" a="1"/>
  <c r="J45" i="4" s="1"/>
  <c r="K45" i="4" s="1"/>
  <c r="L45" i="4" s="1"/>
  <c r="D477" i="4"/>
  <c r="J477" i="4" s="1" a="1"/>
  <c r="J477" i="4" s="1"/>
  <c r="K477" i="4" s="1"/>
  <c r="L477" i="4" s="1"/>
  <c r="D285" i="4"/>
  <c r="J285" i="4" s="1" a="1"/>
  <c r="J285" i="4" s="1"/>
  <c r="K285" i="4" s="1"/>
  <c r="L285" i="4" s="1"/>
  <c r="D501" i="4"/>
  <c r="J501" i="4" s="1" a="1"/>
  <c r="J501" i="4" s="1"/>
  <c r="K501" i="4" s="1"/>
  <c r="L501" i="4" s="1"/>
  <c r="D93" i="4"/>
  <c r="J93" i="4" s="1" a="1"/>
  <c r="J93" i="4" s="1"/>
  <c r="K93" i="4" s="1"/>
  <c r="L93" i="4" s="1"/>
  <c r="K260" i="4"/>
  <c r="L260" i="4" s="1"/>
  <c r="K68" i="4"/>
  <c r="L68" i="4" s="1"/>
  <c r="K308" i="4"/>
  <c r="L308" i="4" s="1"/>
  <c r="H89" i="4"/>
  <c r="N46" i="3"/>
  <c r="F497" i="4"/>
  <c r="G497" i="4" s="1" a="1"/>
  <c r="G497" i="4" s="1"/>
  <c r="G20" i="3"/>
  <c r="F41" i="4"/>
  <c r="G41" i="4" s="1" a="1"/>
  <c r="G41" i="4" s="1"/>
  <c r="H281" i="4"/>
  <c r="K332" i="4"/>
  <c r="L332" i="4" s="1"/>
  <c r="H425" i="4"/>
  <c r="K18" i="4"/>
  <c r="L18" i="4" s="1"/>
  <c r="F17" i="4"/>
  <c r="H160" i="4"/>
  <c r="N21" i="3"/>
  <c r="F161" i="4"/>
  <c r="G161" i="4" s="1" a="1"/>
  <c r="G161" i="4" s="1"/>
  <c r="E19" i="3"/>
  <c r="H19" i="3" s="1"/>
  <c r="I19" i="3" s="1"/>
  <c r="F401" i="4"/>
  <c r="G401" i="4" s="1" a="1"/>
  <c r="G401" i="4" s="1"/>
  <c r="K476" i="4"/>
  <c r="L476" i="4" s="1"/>
  <c r="K140" i="4"/>
  <c r="L140" i="4" s="1"/>
  <c r="K356" i="4"/>
  <c r="L356" i="4" s="1"/>
  <c r="J404" i="4" a="1"/>
  <c r="J404" i="4" s="1"/>
  <c r="K404" i="4" s="1"/>
  <c r="L404" i="4" s="1"/>
  <c r="J450" i="4" a="1"/>
  <c r="J450" i="4" s="1"/>
  <c r="K450" i="4" s="1"/>
  <c r="L450" i="4" s="1"/>
  <c r="K19" i="3" l="1"/>
  <c r="O19" i="3" s="1"/>
  <c r="H20" i="3"/>
  <c r="I20" i="3" s="1"/>
  <c r="K451" i="4"/>
  <c r="L451" i="4" s="1"/>
  <c r="M46" i="3"/>
  <c r="D310" i="4"/>
  <c r="J310" i="4" s="1" a="1"/>
  <c r="J310" i="4" s="1"/>
  <c r="K310" i="4" s="1"/>
  <c r="L310" i="4" s="1"/>
  <c r="D22" i="3"/>
  <c r="D406" i="4"/>
  <c r="J406" i="4" s="1" a="1"/>
  <c r="J406" i="4" s="1"/>
  <c r="K406" i="4" s="1"/>
  <c r="L406" i="4" s="1"/>
  <c r="B48" i="3"/>
  <c r="F22" i="3"/>
  <c r="D382" i="4"/>
  <c r="J382" i="4" s="1" a="1"/>
  <c r="J382" i="4" s="1"/>
  <c r="K382" i="4" s="1"/>
  <c r="L382" i="4" s="1"/>
  <c r="D430" i="4"/>
  <c r="J430" i="4" s="1" a="1"/>
  <c r="J430" i="4" s="1"/>
  <c r="K430" i="4" s="1"/>
  <c r="L430" i="4" s="1"/>
  <c r="D334" i="4"/>
  <c r="J334" i="4" s="1" a="1"/>
  <c r="J334" i="4" s="1"/>
  <c r="K334" i="4" s="1"/>
  <c r="L334" i="4" s="1"/>
  <c r="D358" i="4"/>
  <c r="J358" i="4" s="1" a="1"/>
  <c r="J358" i="4" s="1"/>
  <c r="K358" i="4" s="1"/>
  <c r="L358" i="4" s="1"/>
  <c r="D262" i="4"/>
  <c r="J262" i="4" s="1" a="1"/>
  <c r="J262" i="4" s="1"/>
  <c r="K262" i="4" s="1"/>
  <c r="L262" i="4" s="1"/>
  <c r="D22" i="4"/>
  <c r="J22" i="4" s="1"/>
  <c r="D238" i="4"/>
  <c r="J238" i="4" s="1" a="1"/>
  <c r="J238" i="4" s="1"/>
  <c r="K238" i="4" s="1"/>
  <c r="L238" i="4" s="1"/>
  <c r="D286" i="4"/>
  <c r="J286" i="4" s="1" a="1"/>
  <c r="J286" i="4" s="1"/>
  <c r="K286" i="4" s="1"/>
  <c r="L286" i="4" s="1"/>
  <c r="D214" i="4"/>
  <c r="J214" i="4" s="1" a="1"/>
  <c r="J214" i="4" s="1"/>
  <c r="K214" i="4" s="1"/>
  <c r="L214" i="4" s="1"/>
  <c r="D190" i="4"/>
  <c r="J190" i="4" s="1" a="1"/>
  <c r="J190" i="4" s="1"/>
  <c r="K190" i="4" s="1"/>
  <c r="L190" i="4" s="1"/>
  <c r="D166" i="4"/>
  <c r="J166" i="4" s="1" a="1"/>
  <c r="J166" i="4" s="1"/>
  <c r="K166" i="4" s="1"/>
  <c r="L166" i="4" s="1"/>
  <c r="D502" i="4"/>
  <c r="J502" i="4" s="1" a="1"/>
  <c r="J502" i="4" s="1"/>
  <c r="K502" i="4" s="1"/>
  <c r="L502" i="4" s="1"/>
  <c r="D46" i="4"/>
  <c r="J46" i="4" s="1" a="1"/>
  <c r="J46" i="4" s="1"/>
  <c r="K46" i="4" s="1"/>
  <c r="L46" i="4" s="1"/>
  <c r="D478" i="4"/>
  <c r="J478" i="4" s="1" a="1"/>
  <c r="J478" i="4" s="1"/>
  <c r="K478" i="4" s="1"/>
  <c r="L478" i="4" s="1"/>
  <c r="D118" i="4"/>
  <c r="J118" i="4" s="1" a="1"/>
  <c r="J118" i="4" s="1"/>
  <c r="K118" i="4" s="1"/>
  <c r="L118" i="4" s="1"/>
  <c r="D454" i="4"/>
  <c r="J454" i="4" s="1" a="1"/>
  <c r="J454" i="4" s="1"/>
  <c r="K454" i="4" s="1"/>
  <c r="L454" i="4" s="1"/>
  <c r="D142" i="4"/>
  <c r="J142" i="4" s="1" a="1"/>
  <c r="J142" i="4" s="1"/>
  <c r="K142" i="4" s="1"/>
  <c r="L142" i="4" s="1"/>
  <c r="D70" i="4"/>
  <c r="J70" i="4" s="1" a="1"/>
  <c r="J70" i="4" s="1"/>
  <c r="K70" i="4" s="1"/>
  <c r="L70" i="4" s="1"/>
  <c r="D94" i="4"/>
  <c r="J94" i="4" s="1" a="1"/>
  <c r="J94" i="4" s="1"/>
  <c r="K94" i="4" s="1"/>
  <c r="L94" i="4" s="1"/>
  <c r="L22" i="3"/>
  <c r="M22" i="3" s="1"/>
  <c r="K405" i="4"/>
  <c r="L405" i="4" s="1"/>
  <c r="K20" i="3"/>
  <c r="O20" i="3" s="1"/>
  <c r="C68" i="4" s="1"/>
  <c r="E46" i="3"/>
  <c r="H401" i="4"/>
  <c r="G21" i="3"/>
  <c r="C500" i="4"/>
  <c r="C380" i="4"/>
  <c r="N47" i="3"/>
  <c r="H305" i="4"/>
  <c r="B24" i="3"/>
  <c r="C23" i="3" s="1"/>
  <c r="E45" i="3"/>
  <c r="I403" i="4"/>
  <c r="I379" i="4"/>
  <c r="I307" i="4"/>
  <c r="I331" i="4"/>
  <c r="I355" i="4"/>
  <c r="I427" i="4"/>
  <c r="I19" i="4"/>
  <c r="I283" i="4"/>
  <c r="I211" i="4"/>
  <c r="I187" i="4"/>
  <c r="I259" i="4"/>
  <c r="I163" i="4"/>
  <c r="I235" i="4"/>
  <c r="I67" i="4"/>
  <c r="I451" i="4"/>
  <c r="I91" i="4"/>
  <c r="I475" i="4"/>
  <c r="I43" i="4"/>
  <c r="I139" i="4"/>
  <c r="I115" i="4"/>
  <c r="I499" i="4"/>
  <c r="L47" i="3"/>
  <c r="M47" i="3" s="1"/>
  <c r="D47" i="3"/>
  <c r="F47" i="3"/>
  <c r="E476" i="4"/>
  <c r="E356" i="4"/>
  <c r="E212" i="4"/>
  <c r="E140" i="4"/>
  <c r="E380" i="4"/>
  <c r="E308" i="4"/>
  <c r="E188" i="4"/>
  <c r="E68" i="4"/>
  <c r="E116" i="4"/>
  <c r="E500" i="4"/>
  <c r="E452" i="4"/>
  <c r="E428" i="4"/>
  <c r="E332" i="4"/>
  <c r="E236" i="4"/>
  <c r="E44" i="4"/>
  <c r="E284" i="4"/>
  <c r="E92" i="4"/>
  <c r="E404" i="4"/>
  <c r="E260" i="4"/>
  <c r="E164" i="4"/>
  <c r="E20" i="4"/>
  <c r="H161" i="4"/>
  <c r="E21" i="3"/>
  <c r="H21" i="3" s="1"/>
  <c r="I21" i="3" s="1"/>
  <c r="H497" i="4"/>
  <c r="E427" i="4"/>
  <c r="E355" i="4"/>
  <c r="E475" i="4"/>
  <c r="E307" i="4"/>
  <c r="E91" i="4"/>
  <c r="E403" i="4"/>
  <c r="E331" i="4"/>
  <c r="E259" i="4"/>
  <c r="E499" i="4"/>
  <c r="E187" i="4"/>
  <c r="E451" i="4"/>
  <c r="E235" i="4"/>
  <c r="E139" i="4"/>
  <c r="E379" i="4"/>
  <c r="E283" i="4"/>
  <c r="E211" i="4"/>
  <c r="E43" i="4"/>
  <c r="E115" i="4"/>
  <c r="E163" i="4"/>
  <c r="E67" i="4"/>
  <c r="E19" i="4"/>
  <c r="G17" i="4"/>
  <c r="H17" i="4" s="1"/>
  <c r="G45" i="3"/>
  <c r="H45" i="3"/>
  <c r="K51" i="7"/>
  <c r="L51" i="7"/>
  <c r="M51" i="7" s="1"/>
  <c r="J52" i="7"/>
  <c r="I404" i="4"/>
  <c r="I380" i="4"/>
  <c r="I428" i="4"/>
  <c r="I308" i="4"/>
  <c r="I356" i="4"/>
  <c r="I332" i="4"/>
  <c r="I260" i="4"/>
  <c r="I236" i="4"/>
  <c r="I284" i="4"/>
  <c r="I140" i="4"/>
  <c r="I20" i="4"/>
  <c r="I212" i="4"/>
  <c r="I188" i="4"/>
  <c r="I68" i="4"/>
  <c r="I452" i="4"/>
  <c r="I116" i="4"/>
  <c r="I44" i="4"/>
  <c r="I500" i="4"/>
  <c r="I164" i="4"/>
  <c r="I92" i="4"/>
  <c r="I476" i="4"/>
  <c r="N22" i="3"/>
  <c r="H41" i="4"/>
  <c r="G46" i="3"/>
  <c r="C188" i="4" l="1"/>
  <c r="C44" i="4"/>
  <c r="H46" i="3"/>
  <c r="C116" i="4"/>
  <c r="C404" i="4"/>
  <c r="C332" i="4"/>
  <c r="C140" i="4"/>
  <c r="C212" i="4"/>
  <c r="C356" i="4"/>
  <c r="C452" i="4"/>
  <c r="C476" i="4"/>
  <c r="C284" i="4"/>
  <c r="C92" i="4"/>
  <c r="C164" i="4"/>
  <c r="C308" i="4"/>
  <c r="C428" i="4"/>
  <c r="C236" i="4"/>
  <c r="C20" i="4"/>
  <c r="C260" i="4"/>
  <c r="C19" i="4"/>
  <c r="C235" i="4"/>
  <c r="C427" i="4"/>
  <c r="C67" i="4"/>
  <c r="C259" i="4"/>
  <c r="C451" i="4"/>
  <c r="C91" i="4"/>
  <c r="C283" i="4"/>
  <c r="C475" i="4"/>
  <c r="C115" i="4"/>
  <c r="C307" i="4"/>
  <c r="C139" i="4"/>
  <c r="C331" i="4"/>
  <c r="C499" i="4"/>
  <c r="C163" i="4"/>
  <c r="C355" i="4"/>
  <c r="C187" i="4"/>
  <c r="C379" i="4"/>
  <c r="C43" i="4"/>
  <c r="C211" i="4"/>
  <c r="C403" i="4"/>
  <c r="K21" i="3"/>
  <c r="O21" i="3" s="1"/>
  <c r="C45" i="4" s="1"/>
  <c r="N23" i="3"/>
  <c r="C69" i="4"/>
  <c r="C165" i="4"/>
  <c r="C261" i="4"/>
  <c r="C309" i="4"/>
  <c r="C357" i="4"/>
  <c r="C405" i="4"/>
  <c r="C453" i="4"/>
  <c r="C21" i="4"/>
  <c r="C93" i="4"/>
  <c r="C141" i="4"/>
  <c r="C189" i="4"/>
  <c r="C237" i="4"/>
  <c r="C285" i="4"/>
  <c r="C333" i="4"/>
  <c r="C381" i="4"/>
  <c r="C429" i="4"/>
  <c r="C477" i="4"/>
  <c r="C501" i="4"/>
  <c r="F67" i="4"/>
  <c r="G67" i="4" s="1" a="1"/>
  <c r="G67" i="4" s="1"/>
  <c r="F66" i="4"/>
  <c r="G66" i="4" s="1" a="1"/>
  <c r="G66" i="4" s="1"/>
  <c r="D311" i="4"/>
  <c r="J311" i="4" s="1" a="1"/>
  <c r="J311" i="4" s="1"/>
  <c r="K311" i="4" s="1"/>
  <c r="L311" i="4" s="1"/>
  <c r="D23" i="3"/>
  <c r="F23" i="3"/>
  <c r="D431" i="4"/>
  <c r="J431" i="4" s="1" a="1"/>
  <c r="J431" i="4" s="1"/>
  <c r="K431" i="4" s="1"/>
  <c r="L431" i="4" s="1"/>
  <c r="B49" i="3"/>
  <c r="D383" i="4"/>
  <c r="J383" i="4" s="1" a="1"/>
  <c r="J383" i="4" s="1"/>
  <c r="K383" i="4" s="1"/>
  <c r="L383" i="4" s="1"/>
  <c r="D335" i="4"/>
  <c r="J335" i="4" s="1" a="1"/>
  <c r="J335" i="4" s="1"/>
  <c r="K335" i="4" s="1"/>
  <c r="L335" i="4" s="1"/>
  <c r="D407" i="4"/>
  <c r="J407" i="4" s="1" a="1"/>
  <c r="J407" i="4" s="1"/>
  <c r="K407" i="4" s="1"/>
  <c r="L407" i="4" s="1"/>
  <c r="D359" i="4"/>
  <c r="J359" i="4" s="1" a="1"/>
  <c r="J359" i="4" s="1"/>
  <c r="K359" i="4" s="1"/>
  <c r="L359" i="4" s="1"/>
  <c r="D263" i="4"/>
  <c r="J263" i="4" s="1" a="1"/>
  <c r="J263" i="4" s="1"/>
  <c r="K263" i="4" s="1"/>
  <c r="L263" i="4" s="1"/>
  <c r="D239" i="4"/>
  <c r="J239" i="4" s="1" a="1"/>
  <c r="J239" i="4" s="1"/>
  <c r="K239" i="4" s="1"/>
  <c r="L239" i="4" s="1"/>
  <c r="D215" i="4"/>
  <c r="J215" i="4" s="1" a="1"/>
  <c r="J215" i="4" s="1"/>
  <c r="K215" i="4" s="1"/>
  <c r="L215" i="4" s="1"/>
  <c r="D23" i="4"/>
  <c r="J23" i="4" s="1"/>
  <c r="D191" i="4"/>
  <c r="J191" i="4" s="1" a="1"/>
  <c r="J191" i="4" s="1"/>
  <c r="K191" i="4" s="1"/>
  <c r="L191" i="4" s="1"/>
  <c r="D167" i="4"/>
  <c r="J167" i="4" s="1" a="1"/>
  <c r="J167" i="4" s="1"/>
  <c r="K167" i="4" s="1"/>
  <c r="L167" i="4" s="1"/>
  <c r="D287" i="4"/>
  <c r="J287" i="4" s="1" a="1"/>
  <c r="J287" i="4" s="1"/>
  <c r="K287" i="4" s="1"/>
  <c r="L287" i="4" s="1"/>
  <c r="D47" i="4"/>
  <c r="J47" i="4" s="1" a="1"/>
  <c r="J47" i="4" s="1"/>
  <c r="K47" i="4" s="1"/>
  <c r="L47" i="4" s="1"/>
  <c r="D503" i="4"/>
  <c r="J503" i="4" s="1" a="1"/>
  <c r="J503" i="4" s="1"/>
  <c r="K503" i="4" s="1"/>
  <c r="L503" i="4" s="1"/>
  <c r="D479" i="4"/>
  <c r="J479" i="4" s="1" a="1"/>
  <c r="J479" i="4" s="1"/>
  <c r="K479" i="4" s="1"/>
  <c r="L479" i="4" s="1"/>
  <c r="L23" i="3"/>
  <c r="M23" i="3" s="1"/>
  <c r="D95" i="4"/>
  <c r="J95" i="4" s="1" a="1"/>
  <c r="J95" i="4" s="1"/>
  <c r="K95" i="4" s="1"/>
  <c r="L95" i="4" s="1"/>
  <c r="D119" i="4"/>
  <c r="J119" i="4" s="1" a="1"/>
  <c r="J119" i="4" s="1"/>
  <c r="K119" i="4" s="1"/>
  <c r="L119" i="4" s="1"/>
  <c r="D455" i="4"/>
  <c r="J455" i="4" s="1" a="1"/>
  <c r="J455" i="4" s="1"/>
  <c r="K455" i="4" s="1"/>
  <c r="L455" i="4" s="1"/>
  <c r="D143" i="4"/>
  <c r="J143" i="4" s="1" a="1"/>
  <c r="J143" i="4" s="1"/>
  <c r="K143" i="4" s="1"/>
  <c r="L143" i="4" s="1"/>
  <c r="D71" i="4"/>
  <c r="J71" i="4" s="1" a="1"/>
  <c r="J71" i="4" s="1"/>
  <c r="K71" i="4" s="1"/>
  <c r="L71" i="4" s="1"/>
  <c r="F163" i="4"/>
  <c r="G163" i="4" s="1" a="1"/>
  <c r="G163" i="4" s="1"/>
  <c r="F162" i="4"/>
  <c r="G162" i="4" s="1" a="1"/>
  <c r="G162" i="4" s="1"/>
  <c r="F475" i="4"/>
  <c r="G475" i="4" s="1" a="1"/>
  <c r="G475" i="4" s="1"/>
  <c r="F474" i="4"/>
  <c r="G474" i="4" s="1" a="1"/>
  <c r="G474" i="4" s="1"/>
  <c r="B25" i="3"/>
  <c r="C24" i="3" s="1"/>
  <c r="F187" i="4"/>
  <c r="G187" i="4" s="1" a="1"/>
  <c r="G187" i="4" s="1"/>
  <c r="F186" i="4"/>
  <c r="G186" i="4" s="1" a="1"/>
  <c r="G186" i="4" s="1"/>
  <c r="G22" i="3"/>
  <c r="F211" i="4"/>
  <c r="G211" i="4" s="1" a="1"/>
  <c r="G211" i="4" s="1"/>
  <c r="F210" i="4"/>
  <c r="G210" i="4" s="1" a="1"/>
  <c r="G210" i="4" s="1"/>
  <c r="F259" i="4"/>
  <c r="G259" i="4" s="1" a="1"/>
  <c r="G259" i="4" s="1"/>
  <c r="F258" i="4"/>
  <c r="G258" i="4" s="1" a="1"/>
  <c r="G258" i="4" s="1"/>
  <c r="N48" i="3"/>
  <c r="D48" i="3"/>
  <c r="L48" i="3"/>
  <c r="M48" i="3" s="1"/>
  <c r="F48" i="3"/>
  <c r="F283" i="4"/>
  <c r="G283" i="4" s="1" a="1"/>
  <c r="G283" i="4" s="1"/>
  <c r="F282" i="4"/>
  <c r="G282" i="4" s="1" a="1"/>
  <c r="G282" i="4" s="1"/>
  <c r="F331" i="4"/>
  <c r="G331" i="4" s="1" a="1"/>
  <c r="G331" i="4" s="1"/>
  <c r="F330" i="4"/>
  <c r="G330" i="4" s="1" a="1"/>
  <c r="G330" i="4" s="1"/>
  <c r="K20" i="4"/>
  <c r="L20" i="4" s="1"/>
  <c r="F235" i="4"/>
  <c r="G235" i="4" s="1" a="1"/>
  <c r="G235" i="4" s="1"/>
  <c r="F234" i="4"/>
  <c r="G234" i="4" s="1" a="1"/>
  <c r="G234" i="4" s="1"/>
  <c r="F307" i="4"/>
  <c r="G307" i="4" s="1" a="1"/>
  <c r="G307" i="4" s="1"/>
  <c r="F306" i="4"/>
  <c r="G306" i="4" s="1" a="1"/>
  <c r="G306" i="4" s="1"/>
  <c r="F451" i="4"/>
  <c r="G451" i="4" s="1" a="1"/>
  <c r="G451" i="4" s="1"/>
  <c r="F450" i="4"/>
  <c r="G450" i="4" s="1" a="1"/>
  <c r="G450" i="4" s="1"/>
  <c r="F115" i="4"/>
  <c r="G115" i="4" s="1" a="1"/>
  <c r="G115" i="4" s="1"/>
  <c r="F114" i="4"/>
  <c r="G114" i="4" s="1" a="1"/>
  <c r="G114" i="4" s="1"/>
  <c r="F355" i="4"/>
  <c r="G355" i="4" s="1" a="1"/>
  <c r="G355" i="4" s="1"/>
  <c r="F354" i="4"/>
  <c r="G354" i="4" s="1" a="1"/>
  <c r="G354" i="4" s="1"/>
  <c r="G47" i="3"/>
  <c r="H47" i="3" s="1"/>
  <c r="F43" i="4"/>
  <c r="G43" i="4" s="1" a="1"/>
  <c r="G43" i="4" s="1"/>
  <c r="F42" i="4"/>
  <c r="G42" i="4" s="1" a="1"/>
  <c r="G42" i="4" s="1"/>
  <c r="F499" i="4"/>
  <c r="G499" i="4" s="1" a="1"/>
  <c r="G499" i="4" s="1"/>
  <c r="F498" i="4"/>
  <c r="G498" i="4" s="1" a="1"/>
  <c r="G498" i="4" s="1"/>
  <c r="F427" i="4"/>
  <c r="G427" i="4" s="1" a="1"/>
  <c r="G427" i="4" s="1"/>
  <c r="F426" i="4"/>
  <c r="G426" i="4" s="1" a="1"/>
  <c r="G426" i="4" s="1"/>
  <c r="E47" i="3"/>
  <c r="F379" i="4"/>
  <c r="G379" i="4" s="1" a="1"/>
  <c r="G379" i="4" s="1"/>
  <c r="F378" i="4"/>
  <c r="G378" i="4" s="1" a="1"/>
  <c r="G378" i="4" s="1"/>
  <c r="F403" i="4"/>
  <c r="G403" i="4" s="1" a="1"/>
  <c r="G403" i="4" s="1"/>
  <c r="F402" i="4"/>
  <c r="G402" i="4" s="1" a="1"/>
  <c r="G402" i="4" s="1"/>
  <c r="E22" i="3"/>
  <c r="H22" i="3" s="1"/>
  <c r="I22" i="3" s="1"/>
  <c r="L52" i="7"/>
  <c r="M52" i="7" s="1"/>
  <c r="K52" i="7"/>
  <c r="J53" i="7"/>
  <c r="F19" i="4"/>
  <c r="F18" i="4"/>
  <c r="K19" i="4"/>
  <c r="L19" i="4" s="1"/>
  <c r="F139" i="4"/>
  <c r="G139" i="4" s="1" a="1"/>
  <c r="G139" i="4" s="1"/>
  <c r="F138" i="4"/>
  <c r="G138" i="4" s="1" a="1"/>
  <c r="G138" i="4" s="1"/>
  <c r="F91" i="4"/>
  <c r="G91" i="4" s="1" a="1"/>
  <c r="G91" i="4" s="1"/>
  <c r="F90" i="4"/>
  <c r="G90" i="4" s="1" a="1"/>
  <c r="G90" i="4" s="1"/>
  <c r="E285" i="4"/>
  <c r="E501" i="4"/>
  <c r="E357" i="4"/>
  <c r="E237" i="4"/>
  <c r="F236" i="4" s="1"/>
  <c r="G236" i="4" s="1" a="1"/>
  <c r="G236" i="4" s="1"/>
  <c r="E477" i="4"/>
  <c r="E333" i="4"/>
  <c r="E213" i="4"/>
  <c r="F212" i="4" s="1"/>
  <c r="G212" i="4" s="1" a="1"/>
  <c r="G212" i="4" s="1"/>
  <c r="E165" i="4"/>
  <c r="E45" i="4"/>
  <c r="F44" i="4" s="1"/>
  <c r="G44" i="4" s="1" a="1"/>
  <c r="G44" i="4" s="1"/>
  <c r="E117" i="4"/>
  <c r="E189" i="4"/>
  <c r="E261" i="4"/>
  <c r="F260" i="4" s="1"/>
  <c r="G260" i="4" s="1" a="1"/>
  <c r="G260" i="4" s="1"/>
  <c r="E405" i="4"/>
  <c r="E309" i="4"/>
  <c r="F308" i="4" s="1"/>
  <c r="G308" i="4" s="1" a="1"/>
  <c r="G308" i="4" s="1"/>
  <c r="E69" i="4"/>
  <c r="E381" i="4"/>
  <c r="F380" i="4" s="1"/>
  <c r="G380" i="4" s="1" a="1"/>
  <c r="G380" i="4" s="1"/>
  <c r="E141" i="4"/>
  <c r="E429" i="4"/>
  <c r="E93" i="4"/>
  <c r="E453" i="4"/>
  <c r="F452" i="4" s="1"/>
  <c r="G452" i="4" s="1" a="1"/>
  <c r="G452" i="4" s="1"/>
  <c r="E21" i="4"/>
  <c r="I405" i="4"/>
  <c r="I381" i="4"/>
  <c r="I333" i="4"/>
  <c r="I357" i="4"/>
  <c r="I309" i="4"/>
  <c r="I429" i="4"/>
  <c r="I21" i="4"/>
  <c r="I261" i="4"/>
  <c r="I285" i="4"/>
  <c r="I213" i="4"/>
  <c r="I189" i="4"/>
  <c r="I165" i="4"/>
  <c r="I237" i="4"/>
  <c r="I117" i="4"/>
  <c r="I45" i="4"/>
  <c r="I501" i="4"/>
  <c r="I453" i="4"/>
  <c r="I141" i="4"/>
  <c r="I93" i="4"/>
  <c r="I477" i="4"/>
  <c r="I69" i="4"/>
  <c r="C117" i="4" l="1"/>
  <c r="C213" i="4"/>
  <c r="H44" i="4"/>
  <c r="H380" i="4"/>
  <c r="H499" i="4"/>
  <c r="H48" i="3"/>
  <c r="G48" i="3"/>
  <c r="H474" i="4"/>
  <c r="G19" i="4"/>
  <c r="H19" i="4" s="1"/>
  <c r="H42" i="4"/>
  <c r="H355" i="4"/>
  <c r="H331" i="4"/>
  <c r="H212" i="4"/>
  <c r="H90" i="4"/>
  <c r="H115" i="4"/>
  <c r="F164" i="4"/>
  <c r="G164" i="4" s="1" a="1"/>
  <c r="G164" i="4" s="1"/>
  <c r="H306" i="4"/>
  <c r="H210" i="4"/>
  <c r="E23" i="3"/>
  <c r="H23" i="3" s="1"/>
  <c r="I23" i="3" s="1"/>
  <c r="K53" i="7"/>
  <c r="L53" i="7"/>
  <c r="M53" i="7" s="1"/>
  <c r="J54" i="7"/>
  <c r="H43" i="4"/>
  <c r="E48" i="3"/>
  <c r="H138" i="4"/>
  <c r="H211" i="4"/>
  <c r="G18" i="4"/>
  <c r="H18" i="4"/>
  <c r="H379" i="4"/>
  <c r="H354" i="4"/>
  <c r="H451" i="4"/>
  <c r="H330" i="4"/>
  <c r="H308" i="4"/>
  <c r="H67" i="4"/>
  <c r="H236" i="4"/>
  <c r="H475" i="4"/>
  <c r="F428" i="4"/>
  <c r="G428" i="4" s="1" a="1"/>
  <c r="G428" i="4" s="1"/>
  <c r="F188" i="4"/>
  <c r="G188" i="4" s="1" a="1"/>
  <c r="G188" i="4" s="1"/>
  <c r="F500" i="4"/>
  <c r="G500" i="4" s="1" a="1"/>
  <c r="G500" i="4" s="1"/>
  <c r="H283" i="4"/>
  <c r="H259" i="4"/>
  <c r="H187" i="4"/>
  <c r="H163" i="4"/>
  <c r="K21" i="4"/>
  <c r="L21" i="4" s="1"/>
  <c r="H139" i="4"/>
  <c r="E406" i="4"/>
  <c r="F405" i="4" s="1"/>
  <c r="G405" i="4" s="1" a="1"/>
  <c r="G405" i="4" s="1"/>
  <c r="E334" i="4"/>
  <c r="F333" i="4" s="1"/>
  <c r="G333" i="4" s="1" a="1"/>
  <c r="G333" i="4" s="1"/>
  <c r="E382" i="4"/>
  <c r="F381" i="4" s="1"/>
  <c r="G381" i="4" s="1" a="1"/>
  <c r="G381" i="4" s="1"/>
  <c r="E70" i="4"/>
  <c r="F69" i="4" s="1"/>
  <c r="G69" i="4" s="1" a="1"/>
  <c r="G69" i="4" s="1"/>
  <c r="E118" i="4"/>
  <c r="E454" i="4"/>
  <c r="F453" i="4" s="1"/>
  <c r="G453" i="4" s="1" a="1"/>
  <c r="G453" i="4" s="1"/>
  <c r="E262" i="4"/>
  <c r="E310" i="4"/>
  <c r="F309" i="4" s="1"/>
  <c r="G309" i="4" s="1" a="1"/>
  <c r="G309" i="4" s="1"/>
  <c r="E94" i="4"/>
  <c r="F93" i="4" s="1"/>
  <c r="G93" i="4" s="1" a="1"/>
  <c r="G93" i="4" s="1"/>
  <c r="E502" i="4"/>
  <c r="F501" i="4" s="1"/>
  <c r="G501" i="4" s="1" a="1"/>
  <c r="G501" i="4" s="1"/>
  <c r="E142" i="4"/>
  <c r="E214" i="4"/>
  <c r="F213" i="4" s="1"/>
  <c r="G213" i="4" s="1" a="1"/>
  <c r="G213" i="4" s="1"/>
  <c r="E358" i="4"/>
  <c r="E166" i="4"/>
  <c r="E430" i="4"/>
  <c r="F429" i="4" s="1"/>
  <c r="G429" i="4" s="1" a="1"/>
  <c r="G429" i="4" s="1"/>
  <c r="E238" i="4"/>
  <c r="F237" i="4" s="1"/>
  <c r="G237" i="4" s="1" a="1"/>
  <c r="G237" i="4" s="1"/>
  <c r="E478" i="4"/>
  <c r="F477" i="4" s="1"/>
  <c r="G477" i="4" s="1" a="1"/>
  <c r="G477" i="4" s="1"/>
  <c r="E190" i="4"/>
  <c r="F189" i="4" s="1"/>
  <c r="G189" i="4" s="1" a="1"/>
  <c r="G189" i="4" s="1"/>
  <c r="E286" i="4"/>
  <c r="E46" i="4"/>
  <c r="F45" i="4" s="1"/>
  <c r="G45" i="4" s="1" a="1"/>
  <c r="G45" i="4" s="1"/>
  <c r="E22" i="4"/>
  <c r="H403" i="4"/>
  <c r="H427" i="4"/>
  <c r="F68" i="4"/>
  <c r="G68" i="4" s="1" a="1"/>
  <c r="G68" i="4" s="1"/>
  <c r="F92" i="4"/>
  <c r="G92" i="4" s="1" a="1"/>
  <c r="G92" i="4" s="1"/>
  <c r="H234" i="4"/>
  <c r="N49" i="3"/>
  <c r="B26" i="3"/>
  <c r="C26" i="3" s="1"/>
  <c r="F404" i="4"/>
  <c r="G404" i="4" s="1" a="1"/>
  <c r="G404" i="4" s="1"/>
  <c r="D49" i="3"/>
  <c r="L49" i="3"/>
  <c r="M49" i="3" s="1"/>
  <c r="F49" i="3"/>
  <c r="F285" i="4"/>
  <c r="G285" i="4" s="1" a="1"/>
  <c r="G285" i="4" s="1"/>
  <c r="F140" i="4"/>
  <c r="G140" i="4" s="1" a="1"/>
  <c r="G140" i="4" s="1"/>
  <c r="H114" i="4"/>
  <c r="F356" i="4"/>
  <c r="G356" i="4" s="1" a="1"/>
  <c r="G356" i="4" s="1"/>
  <c r="H282" i="4"/>
  <c r="H258" i="4"/>
  <c r="H186" i="4"/>
  <c r="H162" i="4"/>
  <c r="G23" i="3"/>
  <c r="H452" i="4"/>
  <c r="H91" i="4"/>
  <c r="H260" i="4"/>
  <c r="K22" i="3"/>
  <c r="O22" i="3" s="1"/>
  <c r="C70" i="4" s="1"/>
  <c r="I15" i="3"/>
  <c r="H402" i="4"/>
  <c r="H426" i="4"/>
  <c r="F116" i="4"/>
  <c r="G116" i="4" s="1" a="1"/>
  <c r="G116" i="4" s="1"/>
  <c r="H307" i="4"/>
  <c r="F332" i="4"/>
  <c r="G332" i="4" s="1" a="1"/>
  <c r="G332" i="4" s="1"/>
  <c r="D312" i="4"/>
  <c r="J312" i="4" s="1" a="1"/>
  <c r="J312" i="4" s="1"/>
  <c r="K312" i="4" s="1"/>
  <c r="L312" i="4" s="1"/>
  <c r="D24" i="3"/>
  <c r="D408" i="4"/>
  <c r="J408" i="4" s="1" a="1"/>
  <c r="J408" i="4" s="1"/>
  <c r="K408" i="4" s="1"/>
  <c r="L408" i="4" s="1"/>
  <c r="B50" i="3"/>
  <c r="D384" i="4"/>
  <c r="J384" i="4" s="1" a="1"/>
  <c r="J384" i="4" s="1"/>
  <c r="K384" i="4" s="1"/>
  <c r="L384" i="4" s="1"/>
  <c r="D360" i="4"/>
  <c r="J360" i="4" s="1" a="1"/>
  <c r="J360" i="4" s="1"/>
  <c r="K360" i="4" s="1"/>
  <c r="L360" i="4" s="1"/>
  <c r="F24" i="3"/>
  <c r="D432" i="4"/>
  <c r="J432" i="4" s="1" a="1"/>
  <c r="J432" i="4" s="1"/>
  <c r="K432" i="4" s="1"/>
  <c r="L432" i="4" s="1"/>
  <c r="D336" i="4"/>
  <c r="J336" i="4" s="1" a="1"/>
  <c r="J336" i="4" s="1"/>
  <c r="K336" i="4" s="1"/>
  <c r="L336" i="4" s="1"/>
  <c r="D240" i="4"/>
  <c r="J240" i="4" s="1" a="1"/>
  <c r="J240" i="4" s="1"/>
  <c r="K240" i="4" s="1"/>
  <c r="L240" i="4" s="1"/>
  <c r="D288" i="4"/>
  <c r="J288" i="4" s="1" a="1"/>
  <c r="J288" i="4" s="1"/>
  <c r="K288" i="4" s="1"/>
  <c r="L288" i="4" s="1"/>
  <c r="D24" i="4"/>
  <c r="J24" i="4" s="1"/>
  <c r="D264" i="4"/>
  <c r="J264" i="4" s="1" a="1"/>
  <c r="J264" i="4" s="1"/>
  <c r="K264" i="4" s="1"/>
  <c r="L264" i="4" s="1"/>
  <c r="D192" i="4"/>
  <c r="J192" i="4" s="1" a="1"/>
  <c r="J192" i="4" s="1"/>
  <c r="K192" i="4" s="1"/>
  <c r="L192" i="4" s="1"/>
  <c r="D216" i="4"/>
  <c r="J216" i="4" s="1" a="1"/>
  <c r="J216" i="4" s="1"/>
  <c r="K216" i="4" s="1"/>
  <c r="L216" i="4" s="1"/>
  <c r="D168" i="4"/>
  <c r="J168" i="4" s="1" a="1"/>
  <c r="J168" i="4" s="1"/>
  <c r="K168" i="4" s="1"/>
  <c r="L168" i="4" s="1"/>
  <c r="L24" i="3"/>
  <c r="M24" i="3" s="1"/>
  <c r="D48" i="4"/>
  <c r="J48" i="4" s="1" a="1"/>
  <c r="J48" i="4" s="1"/>
  <c r="K48" i="4" s="1"/>
  <c r="L48" i="4" s="1"/>
  <c r="D144" i="4"/>
  <c r="J144" i="4" s="1" a="1"/>
  <c r="J144" i="4" s="1"/>
  <c r="K144" i="4" s="1"/>
  <c r="L144" i="4" s="1"/>
  <c r="D120" i="4"/>
  <c r="J120" i="4" s="1" a="1"/>
  <c r="J120" i="4" s="1"/>
  <c r="K120" i="4" s="1"/>
  <c r="L120" i="4" s="1"/>
  <c r="D96" i="4"/>
  <c r="J96" i="4" s="1" a="1"/>
  <c r="J96" i="4" s="1"/>
  <c r="K96" i="4" s="1"/>
  <c r="L96" i="4" s="1"/>
  <c r="D456" i="4"/>
  <c r="J456" i="4" s="1" a="1"/>
  <c r="J456" i="4" s="1"/>
  <c r="K456" i="4" s="1"/>
  <c r="L456" i="4" s="1"/>
  <c r="D72" i="4"/>
  <c r="J72" i="4" s="1" a="1"/>
  <c r="J72" i="4" s="1"/>
  <c r="K72" i="4" s="1"/>
  <c r="L72" i="4" s="1"/>
  <c r="D480" i="4"/>
  <c r="J480" i="4" s="1" a="1"/>
  <c r="J480" i="4" s="1"/>
  <c r="K480" i="4" s="1"/>
  <c r="L480" i="4" s="1"/>
  <c r="D504" i="4"/>
  <c r="J504" i="4" s="1" a="1"/>
  <c r="J504" i="4" s="1"/>
  <c r="K504" i="4" s="1"/>
  <c r="L504" i="4" s="1"/>
  <c r="F261" i="4"/>
  <c r="G261" i="4" s="1" a="1"/>
  <c r="G261" i="4" s="1"/>
  <c r="H378" i="4"/>
  <c r="H498" i="4"/>
  <c r="F284" i="4"/>
  <c r="G284" i="4" s="1" a="1"/>
  <c r="G284" i="4" s="1"/>
  <c r="H450" i="4"/>
  <c r="H235" i="4"/>
  <c r="F20" i="4"/>
  <c r="I406" i="4"/>
  <c r="I310" i="4"/>
  <c r="I430" i="4"/>
  <c r="I334" i="4"/>
  <c r="I358" i="4"/>
  <c r="I382" i="4"/>
  <c r="I238" i="4"/>
  <c r="I214" i="4"/>
  <c r="I262" i="4"/>
  <c r="I286" i="4"/>
  <c r="I190" i="4"/>
  <c r="I166" i="4"/>
  <c r="I46" i="4"/>
  <c r="I142" i="4"/>
  <c r="I502" i="4"/>
  <c r="I22" i="4"/>
  <c r="I94" i="4"/>
  <c r="I478" i="4"/>
  <c r="I118" i="4"/>
  <c r="I70" i="4"/>
  <c r="I454" i="4"/>
  <c r="F476" i="4"/>
  <c r="G476" i="4" s="1" a="1"/>
  <c r="G476" i="4" s="1"/>
  <c r="H66" i="4"/>
  <c r="N24" i="3"/>
  <c r="C430" i="4" l="1"/>
  <c r="C238" i="4"/>
  <c r="C22" i="4"/>
  <c r="C406" i="4"/>
  <c r="C214" i="4"/>
  <c r="C382" i="4"/>
  <c r="C190" i="4"/>
  <c r="C46" i="4"/>
  <c r="C358" i="4"/>
  <c r="C166" i="4"/>
  <c r="C334" i="4"/>
  <c r="C142" i="4"/>
  <c r="C502" i="4"/>
  <c r="C310" i="4"/>
  <c r="C118" i="4"/>
  <c r="C478" i="4"/>
  <c r="C286" i="4"/>
  <c r="C94" i="4"/>
  <c r="C454" i="4"/>
  <c r="C262" i="4"/>
  <c r="H429" i="4"/>
  <c r="H45" i="4"/>
  <c r="H261" i="4"/>
  <c r="H356" i="4"/>
  <c r="H453" i="4"/>
  <c r="H477" i="4"/>
  <c r="H93" i="4"/>
  <c r="H333" i="4"/>
  <c r="H68" i="4"/>
  <c r="H284" i="4"/>
  <c r="H213" i="4"/>
  <c r="H404" i="4"/>
  <c r="K22" i="4"/>
  <c r="L22" i="4" s="1"/>
  <c r="H405" i="4"/>
  <c r="H69" i="4"/>
  <c r="H332" i="4"/>
  <c r="K15" i="3"/>
  <c r="O15" i="3" s="1"/>
  <c r="I14" i="3"/>
  <c r="H140" i="4"/>
  <c r="K23" i="3"/>
  <c r="O23" i="3" s="1"/>
  <c r="I16" i="3"/>
  <c r="K16" i="3" s="1"/>
  <c r="O16" i="3" s="1"/>
  <c r="H164" i="4"/>
  <c r="H476" i="4"/>
  <c r="G24" i="3"/>
  <c r="H285" i="4"/>
  <c r="H92" i="4"/>
  <c r="E455" i="4"/>
  <c r="F454" i="4" s="1"/>
  <c r="G454" i="4" s="1" a="1"/>
  <c r="G454" i="4" s="1"/>
  <c r="E431" i="4"/>
  <c r="F430" i="4" s="1"/>
  <c r="G430" i="4" s="1" a="1"/>
  <c r="G430" i="4" s="1"/>
  <c r="E263" i="4"/>
  <c r="F262" i="4" s="1"/>
  <c r="G262" i="4" s="1" a="1"/>
  <c r="G262" i="4" s="1"/>
  <c r="E191" i="4"/>
  <c r="F190" i="4" s="1"/>
  <c r="G190" i="4" s="1" a="1"/>
  <c r="G190" i="4" s="1"/>
  <c r="E119" i="4"/>
  <c r="E383" i="4"/>
  <c r="F382" i="4" s="1"/>
  <c r="G382" i="4" s="1" a="1"/>
  <c r="G382" i="4" s="1"/>
  <c r="E503" i="4"/>
  <c r="E311" i="4"/>
  <c r="E359" i="4"/>
  <c r="F358" i="4" s="1"/>
  <c r="G358" i="4" s="1" a="1"/>
  <c r="G358" i="4" s="1"/>
  <c r="E287" i="4"/>
  <c r="F286" i="4" s="1"/>
  <c r="G286" i="4" s="1" a="1"/>
  <c r="G286" i="4" s="1"/>
  <c r="E143" i="4"/>
  <c r="F142" i="4" s="1"/>
  <c r="G142" i="4" s="1" a="1"/>
  <c r="G142" i="4" s="1"/>
  <c r="E335" i="4"/>
  <c r="F334" i="4" s="1"/>
  <c r="G334" i="4" s="1" a="1"/>
  <c r="G334" i="4" s="1"/>
  <c r="E239" i="4"/>
  <c r="E71" i="4"/>
  <c r="E479" i="4"/>
  <c r="F478" i="4" s="1"/>
  <c r="G478" i="4" s="1" a="1"/>
  <c r="G478" i="4" s="1"/>
  <c r="E407" i="4"/>
  <c r="E167" i="4"/>
  <c r="F166" i="4" s="1"/>
  <c r="G166" i="4" s="1" a="1"/>
  <c r="G166" i="4" s="1"/>
  <c r="E47" i="4"/>
  <c r="F46" i="4" s="1"/>
  <c r="G46" i="4" s="1" a="1"/>
  <c r="G46" i="4" s="1"/>
  <c r="E215" i="4"/>
  <c r="E95" i="4"/>
  <c r="F94" i="4" s="1"/>
  <c r="G94" i="4" s="1" a="1"/>
  <c r="G94" i="4" s="1"/>
  <c r="E23" i="4"/>
  <c r="F117" i="4"/>
  <c r="G117" i="4" s="1" a="1"/>
  <c r="G117" i="4" s="1"/>
  <c r="F357" i="4"/>
  <c r="G357" i="4" s="1" a="1"/>
  <c r="G357" i="4" s="1"/>
  <c r="N25" i="3"/>
  <c r="G20" i="4"/>
  <c r="H20" i="4" s="1"/>
  <c r="C47" i="4"/>
  <c r="C71" i="4"/>
  <c r="C119" i="4"/>
  <c r="C167" i="4"/>
  <c r="C215" i="4"/>
  <c r="C263" i="4"/>
  <c r="C311" i="4"/>
  <c r="C359" i="4"/>
  <c r="C407" i="4"/>
  <c r="C455" i="4"/>
  <c r="C503" i="4"/>
  <c r="C23" i="4"/>
  <c r="C95" i="4"/>
  <c r="C143" i="4"/>
  <c r="C191" i="4"/>
  <c r="C239" i="4"/>
  <c r="C287" i="4"/>
  <c r="C335" i="4"/>
  <c r="C383" i="4"/>
  <c r="C431" i="4"/>
  <c r="C479" i="4"/>
  <c r="H116" i="4"/>
  <c r="I311" i="4"/>
  <c r="I383" i="4"/>
  <c r="I407" i="4"/>
  <c r="I359" i="4"/>
  <c r="I431" i="4"/>
  <c r="I335" i="4"/>
  <c r="I23" i="4"/>
  <c r="I239" i="4"/>
  <c r="I191" i="4"/>
  <c r="I263" i="4"/>
  <c r="I287" i="4"/>
  <c r="I215" i="4"/>
  <c r="I503" i="4"/>
  <c r="I95" i="4"/>
  <c r="I479" i="4"/>
  <c r="I119" i="4"/>
  <c r="I167" i="4"/>
  <c r="I143" i="4"/>
  <c r="I71" i="4"/>
  <c r="I455" i="4"/>
  <c r="I47" i="4"/>
  <c r="F141" i="4"/>
  <c r="G141" i="4" s="1" a="1"/>
  <c r="G141" i="4" s="1"/>
  <c r="C25" i="3"/>
  <c r="H500" i="4"/>
  <c r="N50" i="3"/>
  <c r="H428" i="4"/>
  <c r="H189" i="4"/>
  <c r="E24" i="3"/>
  <c r="H24" i="3" s="1"/>
  <c r="I24" i="3" s="1"/>
  <c r="E49" i="3"/>
  <c r="H381" i="4"/>
  <c r="H309" i="4"/>
  <c r="F21" i="4"/>
  <c r="H237" i="4"/>
  <c r="D50" i="3"/>
  <c r="L50" i="3"/>
  <c r="M50" i="3" s="1"/>
  <c r="F50" i="3"/>
  <c r="H49" i="3"/>
  <c r="G49" i="3"/>
  <c r="F238" i="4"/>
  <c r="G238" i="4" s="1" a="1"/>
  <c r="G238" i="4" s="1"/>
  <c r="H188" i="4"/>
  <c r="H501" i="4"/>
  <c r="L54" i="7"/>
  <c r="M54" i="7" s="1"/>
  <c r="K54" i="7"/>
  <c r="J55" i="7"/>
  <c r="F165" i="4"/>
  <c r="G165" i="4" s="1" a="1"/>
  <c r="G165" i="4" s="1"/>
  <c r="C136" i="4" l="1"/>
  <c r="C232" i="4"/>
  <c r="C208" i="4"/>
  <c r="C400" i="4"/>
  <c r="C280" i="4"/>
  <c r="C472" i="4"/>
  <c r="C40" i="4"/>
  <c r="C64" i="4"/>
  <c r="C256" i="4"/>
  <c r="C448" i="4"/>
  <c r="C328" i="4"/>
  <c r="C424" i="4"/>
  <c r="C88" i="4"/>
  <c r="C112" i="4"/>
  <c r="C304" i="4"/>
  <c r="C376" i="4"/>
  <c r="C16" i="4"/>
  <c r="C184" i="4"/>
  <c r="C160" i="4"/>
  <c r="C352" i="4"/>
  <c r="C496" i="4"/>
  <c r="C159" i="4"/>
  <c r="C351" i="4"/>
  <c r="C495" i="4"/>
  <c r="C183" i="4"/>
  <c r="C375" i="4"/>
  <c r="C39" i="4"/>
  <c r="C207" i="4"/>
  <c r="C399" i="4"/>
  <c r="C15" i="4"/>
  <c r="C231" i="4"/>
  <c r="C423" i="4"/>
  <c r="C63" i="4"/>
  <c r="C255" i="4"/>
  <c r="C447" i="4"/>
  <c r="C87" i="4"/>
  <c r="C279" i="4"/>
  <c r="C111" i="4"/>
  <c r="C303" i="4"/>
  <c r="C471" i="4"/>
  <c r="C135" i="4"/>
  <c r="C327" i="4"/>
  <c r="H262" i="4"/>
  <c r="H478" i="4"/>
  <c r="K55" i="7"/>
  <c r="L55" i="7"/>
  <c r="M55" i="7" s="1"/>
  <c r="J56" i="7"/>
  <c r="H238" i="4"/>
  <c r="H94" i="4"/>
  <c r="K23" i="4"/>
  <c r="L23" i="4" s="1"/>
  <c r="K14" i="3"/>
  <c r="O14" i="3" s="1"/>
  <c r="I13" i="3"/>
  <c r="H430" i="4"/>
  <c r="F118" i="4"/>
  <c r="G118" i="4" s="1" a="1"/>
  <c r="G118" i="4" s="1"/>
  <c r="E50" i="3"/>
  <c r="H382" i="4"/>
  <c r="H46" i="4"/>
  <c r="H286" i="4"/>
  <c r="K24" i="3"/>
  <c r="O24" i="3" s="1"/>
  <c r="I17" i="3"/>
  <c r="K17" i="3" s="1"/>
  <c r="O17" i="3" s="1"/>
  <c r="H334" i="4"/>
  <c r="H357" i="4"/>
  <c r="F502" i="4"/>
  <c r="G502" i="4" s="1" a="1"/>
  <c r="G502" i="4" s="1"/>
  <c r="H165" i="4"/>
  <c r="F310" i="4"/>
  <c r="G310" i="4" s="1" a="1"/>
  <c r="G310" i="4" s="1"/>
  <c r="F406" i="4"/>
  <c r="G406" i="4" s="1" a="1"/>
  <c r="G406" i="4" s="1"/>
  <c r="H117" i="4"/>
  <c r="H190" i="4"/>
  <c r="H142" i="4"/>
  <c r="H454" i="4"/>
  <c r="G50" i="3"/>
  <c r="H50" i="3" s="1"/>
  <c r="G21" i="4"/>
  <c r="H21" i="4" s="1"/>
  <c r="H166" i="4"/>
  <c r="E264" i="4"/>
  <c r="F263" i="4" s="1"/>
  <c r="G263" i="4" s="1" a="1"/>
  <c r="G263" i="4" s="1"/>
  <c r="E504" i="4"/>
  <c r="F503" i="4" s="1"/>
  <c r="G503" i="4" s="1" a="1"/>
  <c r="G503" i="4" s="1"/>
  <c r="E312" i="4"/>
  <c r="E240" i="4"/>
  <c r="F239" i="4" s="1"/>
  <c r="G239" i="4" s="1" a="1"/>
  <c r="G239" i="4" s="1"/>
  <c r="E432" i="4"/>
  <c r="F431" i="4" s="1"/>
  <c r="G431" i="4" s="1" a="1"/>
  <c r="G431" i="4" s="1"/>
  <c r="E360" i="4"/>
  <c r="E144" i="4"/>
  <c r="E480" i="4"/>
  <c r="E288" i="4"/>
  <c r="E216" i="4"/>
  <c r="F215" i="4" s="1"/>
  <c r="G215" i="4" s="1" a="1"/>
  <c r="G215" i="4" s="1"/>
  <c r="E336" i="4"/>
  <c r="F335" i="4" s="1"/>
  <c r="G335" i="4" s="1" a="1"/>
  <c r="G335" i="4" s="1"/>
  <c r="E120" i="4"/>
  <c r="F119" i="4" s="1"/>
  <c r="G119" i="4" s="1" a="1"/>
  <c r="G119" i="4" s="1"/>
  <c r="E48" i="4"/>
  <c r="E168" i="4"/>
  <c r="E456" i="4"/>
  <c r="E408" i="4"/>
  <c r="E384" i="4"/>
  <c r="F383" i="4" s="1"/>
  <c r="G383" i="4" s="1" a="1"/>
  <c r="G383" i="4" s="1"/>
  <c r="E96" i="4"/>
  <c r="F95" i="4" s="1"/>
  <c r="G95" i="4" s="1" a="1"/>
  <c r="G95" i="4" s="1"/>
  <c r="E72" i="4"/>
  <c r="F71" i="4" s="1"/>
  <c r="G71" i="4" s="1" a="1"/>
  <c r="G71" i="4" s="1"/>
  <c r="E192" i="4"/>
  <c r="F191" i="4" s="1"/>
  <c r="G191" i="4" s="1" a="1"/>
  <c r="G191" i="4" s="1"/>
  <c r="E24" i="4"/>
  <c r="F23" i="4" s="1"/>
  <c r="N51" i="3"/>
  <c r="H141" i="4"/>
  <c r="F287" i="4"/>
  <c r="G287" i="4" s="1" a="1"/>
  <c r="G287" i="4" s="1"/>
  <c r="F70" i="4"/>
  <c r="G70" i="4" s="1" a="1"/>
  <c r="G70" i="4" s="1"/>
  <c r="F25" i="3"/>
  <c r="D313" i="4"/>
  <c r="J313" i="4" s="1" a="1"/>
  <c r="J313" i="4" s="1"/>
  <c r="K313" i="4" s="1"/>
  <c r="L313" i="4" s="1"/>
  <c r="D25" i="3"/>
  <c r="D409" i="4"/>
  <c r="J409" i="4" s="1" a="1"/>
  <c r="J409" i="4" s="1"/>
  <c r="K409" i="4" s="1"/>
  <c r="L409" i="4" s="1"/>
  <c r="B51" i="3"/>
  <c r="D385" i="4"/>
  <c r="J385" i="4" s="1" a="1"/>
  <c r="J385" i="4" s="1"/>
  <c r="K385" i="4" s="1"/>
  <c r="L385" i="4" s="1"/>
  <c r="D433" i="4"/>
  <c r="J433" i="4" s="1" a="1"/>
  <c r="J433" i="4" s="1"/>
  <c r="K433" i="4" s="1"/>
  <c r="L433" i="4" s="1"/>
  <c r="D337" i="4"/>
  <c r="J337" i="4" s="1" a="1"/>
  <c r="J337" i="4" s="1"/>
  <c r="K337" i="4" s="1"/>
  <c r="L337" i="4" s="1"/>
  <c r="D361" i="4"/>
  <c r="J361" i="4" s="1" a="1"/>
  <c r="J361" i="4" s="1"/>
  <c r="K361" i="4" s="1"/>
  <c r="L361" i="4" s="1"/>
  <c r="D241" i="4"/>
  <c r="J241" i="4" s="1" a="1"/>
  <c r="J241" i="4" s="1"/>
  <c r="K241" i="4" s="1"/>
  <c r="L241" i="4" s="1"/>
  <c r="D25" i="4"/>
  <c r="J25" i="4" s="1"/>
  <c r="D289" i="4"/>
  <c r="J289" i="4" s="1" a="1"/>
  <c r="J289" i="4" s="1"/>
  <c r="K289" i="4" s="1"/>
  <c r="L289" i="4" s="1"/>
  <c r="D193" i="4"/>
  <c r="J193" i="4" s="1" a="1"/>
  <c r="J193" i="4" s="1"/>
  <c r="K193" i="4" s="1"/>
  <c r="L193" i="4" s="1"/>
  <c r="D265" i="4"/>
  <c r="J265" i="4" s="1" a="1"/>
  <c r="J265" i="4" s="1"/>
  <c r="K265" i="4" s="1"/>
  <c r="L265" i="4" s="1"/>
  <c r="D169" i="4"/>
  <c r="J169" i="4" s="1" a="1"/>
  <c r="J169" i="4" s="1"/>
  <c r="K169" i="4" s="1"/>
  <c r="L169" i="4" s="1"/>
  <c r="D145" i="4"/>
  <c r="J145" i="4" s="1" a="1"/>
  <c r="J145" i="4" s="1"/>
  <c r="K145" i="4" s="1"/>
  <c r="L145" i="4" s="1"/>
  <c r="D121" i="4"/>
  <c r="J121" i="4" s="1" a="1"/>
  <c r="J121" i="4" s="1"/>
  <c r="K121" i="4" s="1"/>
  <c r="L121" i="4" s="1"/>
  <c r="D457" i="4"/>
  <c r="J457" i="4" s="1" a="1"/>
  <c r="J457" i="4" s="1"/>
  <c r="K457" i="4" s="1"/>
  <c r="L457" i="4" s="1"/>
  <c r="D505" i="4"/>
  <c r="D97" i="4"/>
  <c r="J97" i="4" s="1" a="1"/>
  <c r="J97" i="4" s="1"/>
  <c r="K97" i="4" s="1"/>
  <c r="L97" i="4" s="1"/>
  <c r="L25" i="3"/>
  <c r="M25" i="3" s="1"/>
  <c r="D481" i="4"/>
  <c r="J481" i="4" s="1" a="1"/>
  <c r="J481" i="4" s="1"/>
  <c r="K481" i="4" s="1"/>
  <c r="L481" i="4" s="1"/>
  <c r="D73" i="4"/>
  <c r="J73" i="4" s="1" a="1"/>
  <c r="J73" i="4" s="1"/>
  <c r="K73" i="4" s="1"/>
  <c r="L73" i="4" s="1"/>
  <c r="D217" i="4"/>
  <c r="J217" i="4" s="1" a="1"/>
  <c r="J217" i="4" s="1"/>
  <c r="K217" i="4" s="1"/>
  <c r="L217" i="4" s="1"/>
  <c r="D49" i="4"/>
  <c r="J49" i="4" s="1" a="1"/>
  <c r="J49" i="4" s="1"/>
  <c r="K49" i="4" s="1"/>
  <c r="L49" i="4" s="1"/>
  <c r="H358" i="4"/>
  <c r="C480" i="4"/>
  <c r="C504" i="4"/>
  <c r="C144" i="4"/>
  <c r="C96" i="4"/>
  <c r="C192" i="4"/>
  <c r="C336" i="4"/>
  <c r="C384" i="4"/>
  <c r="C48" i="4"/>
  <c r="C24" i="4"/>
  <c r="C288" i="4"/>
  <c r="C432" i="4"/>
  <c r="C72" i="4"/>
  <c r="C120" i="4"/>
  <c r="C168" i="4"/>
  <c r="C216" i="4"/>
  <c r="C264" i="4"/>
  <c r="C312" i="4"/>
  <c r="C360" i="4"/>
  <c r="C408" i="4"/>
  <c r="C456" i="4"/>
  <c r="C240" i="4"/>
  <c r="F167" i="4"/>
  <c r="G167" i="4" s="1" a="1"/>
  <c r="G167" i="4" s="1"/>
  <c r="I384" i="4"/>
  <c r="I432" i="4"/>
  <c r="I408" i="4"/>
  <c r="I312" i="4"/>
  <c r="I360" i="4"/>
  <c r="I240" i="4"/>
  <c r="I288" i="4"/>
  <c r="I24" i="4"/>
  <c r="I336" i="4"/>
  <c r="I264" i="4"/>
  <c r="I192" i="4"/>
  <c r="I168" i="4"/>
  <c r="I144" i="4"/>
  <c r="I504" i="4"/>
  <c r="I120" i="4"/>
  <c r="I96" i="4"/>
  <c r="I480" i="4"/>
  <c r="I72" i="4"/>
  <c r="I456" i="4"/>
  <c r="I216" i="4"/>
  <c r="I48" i="4"/>
  <c r="F214" i="4"/>
  <c r="G214" i="4" s="1" a="1"/>
  <c r="G214" i="4" s="1"/>
  <c r="F22" i="4"/>
  <c r="T51" i="4" l="1"/>
  <c r="J505" i="4" a="1"/>
  <c r="J505" i="4" s="1"/>
  <c r="K505" i="4" s="1"/>
  <c r="L505" i="4" s="1"/>
  <c r="M17" i="1"/>
  <c r="M13" i="1"/>
  <c r="M20" i="1"/>
  <c r="M8" i="1"/>
  <c r="M21" i="1"/>
  <c r="M9" i="1"/>
  <c r="M15" i="1"/>
  <c r="M11" i="1"/>
  <c r="M22" i="1"/>
  <c r="M14" i="1"/>
  <c r="M18" i="1"/>
  <c r="M16" i="1"/>
  <c r="M12" i="1"/>
  <c r="M10" i="1"/>
  <c r="M23" i="1"/>
  <c r="M19" i="1"/>
  <c r="M7" i="1"/>
  <c r="T147" i="4"/>
  <c r="T411" i="4"/>
  <c r="T195" i="4"/>
  <c r="T243" i="4"/>
  <c r="T219" i="4"/>
  <c r="T363" i="4"/>
  <c r="T291" i="4"/>
  <c r="C17" i="4"/>
  <c r="C233" i="4"/>
  <c r="C425" i="4"/>
  <c r="C113" i="4"/>
  <c r="C305" i="4"/>
  <c r="C497" i="4"/>
  <c r="C89" i="4"/>
  <c r="C281" i="4"/>
  <c r="C473" i="4"/>
  <c r="C161" i="4"/>
  <c r="C353" i="4"/>
  <c r="C137" i="4"/>
  <c r="C329" i="4"/>
  <c r="C41" i="4"/>
  <c r="C209" i="4"/>
  <c r="C401" i="4"/>
  <c r="C185" i="4"/>
  <c r="C377" i="4"/>
  <c r="C65" i="4"/>
  <c r="C257" i="4"/>
  <c r="C449" i="4"/>
  <c r="T27" i="4"/>
  <c r="T99" i="4"/>
  <c r="T171" i="4"/>
  <c r="T339" i="4"/>
  <c r="C110" i="4"/>
  <c r="C302" i="4"/>
  <c r="C38" i="4"/>
  <c r="C182" i="4"/>
  <c r="C374" i="4"/>
  <c r="C158" i="4"/>
  <c r="C350" i="4"/>
  <c r="C14" i="4"/>
  <c r="C230" i="4"/>
  <c r="C422" i="4"/>
  <c r="C494" i="4"/>
  <c r="C206" i="4"/>
  <c r="C398" i="4"/>
  <c r="C86" i="4"/>
  <c r="C470" i="4"/>
  <c r="C278" i="4"/>
  <c r="C62" i="4"/>
  <c r="C134" i="4"/>
  <c r="C254" i="4"/>
  <c r="C446" i="4"/>
  <c r="C326" i="4"/>
  <c r="T75" i="4"/>
  <c r="T267" i="4"/>
  <c r="T315" i="4"/>
  <c r="T387" i="4"/>
  <c r="H95" i="4"/>
  <c r="G23" i="4"/>
  <c r="H431" i="4"/>
  <c r="L56" i="7"/>
  <c r="M56" i="7" s="1"/>
  <c r="K56" i="7"/>
  <c r="J57" i="7"/>
  <c r="E25" i="3"/>
  <c r="H25" i="3" s="1"/>
  <c r="I25" i="3" s="1"/>
  <c r="H383" i="4"/>
  <c r="H502" i="4"/>
  <c r="F479" i="4"/>
  <c r="G479" i="4" s="1" a="1"/>
  <c r="G479" i="4" s="1"/>
  <c r="H119" i="4"/>
  <c r="H71" i="4"/>
  <c r="H503" i="4"/>
  <c r="H239" i="4"/>
  <c r="K24" i="4"/>
  <c r="L24" i="4" s="1"/>
  <c r="H287" i="4"/>
  <c r="H406" i="4"/>
  <c r="H214" i="4"/>
  <c r="H167" i="4"/>
  <c r="H263" i="4"/>
  <c r="H215" i="4"/>
  <c r="H118" i="4"/>
  <c r="G25" i="3"/>
  <c r="J25" i="3"/>
  <c r="J24" i="3" s="1"/>
  <c r="J23" i="3" s="1"/>
  <c r="J22" i="3" s="1"/>
  <c r="J21" i="3" s="1"/>
  <c r="J20" i="3" s="1"/>
  <c r="J19" i="3" s="1"/>
  <c r="J18" i="3" s="1"/>
  <c r="J17" i="3" s="1"/>
  <c r="J16" i="3" s="1"/>
  <c r="J15" i="3" s="1"/>
  <c r="J14" i="3" s="1"/>
  <c r="J13" i="3" s="1"/>
  <c r="J12" i="3" s="1"/>
  <c r="J11" i="3" s="1"/>
  <c r="J10" i="3" s="1"/>
  <c r="J9" i="3" s="1"/>
  <c r="J8" i="3" s="1"/>
  <c r="J7" i="3" s="1"/>
  <c r="J6" i="3" s="1"/>
  <c r="H191" i="4"/>
  <c r="H70" i="4"/>
  <c r="H335" i="4"/>
  <c r="F455" i="4"/>
  <c r="G455" i="4" s="1" a="1"/>
  <c r="G455" i="4" s="1"/>
  <c r="D51" i="3"/>
  <c r="L51" i="3"/>
  <c r="M51" i="3" s="1"/>
  <c r="F51" i="3"/>
  <c r="F47" i="4"/>
  <c r="G47" i="4" s="1" a="1"/>
  <c r="G47" i="4" s="1"/>
  <c r="F143" i="4"/>
  <c r="G143" i="4" s="1" a="1"/>
  <c r="G143" i="4" s="1"/>
  <c r="H310" i="4"/>
  <c r="F407" i="4"/>
  <c r="G407" i="4" s="1" a="1"/>
  <c r="G407" i="4" s="1"/>
  <c r="G22" i="4"/>
  <c r="H22" i="4" s="1"/>
  <c r="F359" i="4"/>
  <c r="G359" i="4" s="1" a="1"/>
  <c r="G359" i="4" s="1"/>
  <c r="F311" i="4"/>
  <c r="G311" i="4" s="1" a="1"/>
  <c r="G311" i="4" s="1"/>
  <c r="K13" i="3"/>
  <c r="O13" i="3" s="1"/>
  <c r="I12" i="3"/>
  <c r="H23" i="4" l="1"/>
  <c r="R7" i="1"/>
  <c r="R12" i="1"/>
  <c r="R22" i="1"/>
  <c r="R21" i="1"/>
  <c r="R17" i="1"/>
  <c r="R19" i="1"/>
  <c r="Q11" i="1"/>
  <c r="P11" i="1"/>
  <c r="O11" i="1"/>
  <c r="N11" i="1"/>
  <c r="R11" i="1"/>
  <c r="R23" i="1"/>
  <c r="R18" i="1"/>
  <c r="R15" i="1"/>
  <c r="R20" i="1"/>
  <c r="R16" i="1"/>
  <c r="R8" i="1"/>
  <c r="C109" i="4"/>
  <c r="C301" i="4"/>
  <c r="C13" i="4"/>
  <c r="C229" i="4"/>
  <c r="C421" i="4"/>
  <c r="C157" i="4"/>
  <c r="C349" i="4"/>
  <c r="C85" i="4"/>
  <c r="C277" i="4"/>
  <c r="C469" i="4"/>
  <c r="C37" i="4"/>
  <c r="C205" i="4"/>
  <c r="C397" i="4"/>
  <c r="C133" i="4"/>
  <c r="C325" i="4"/>
  <c r="C493" i="4"/>
  <c r="C61" i="4"/>
  <c r="C253" i="4"/>
  <c r="C445" i="4"/>
  <c r="C181" i="4"/>
  <c r="C373" i="4"/>
  <c r="R10" i="1"/>
  <c r="R14" i="1"/>
  <c r="R9" i="1"/>
  <c r="R13" i="1"/>
  <c r="K25" i="3"/>
  <c r="O25" i="3" s="1"/>
  <c r="I18" i="3"/>
  <c r="K18" i="3" s="1"/>
  <c r="O18" i="3" s="1"/>
  <c r="H311" i="4"/>
  <c r="K12" i="3"/>
  <c r="O12" i="3" s="1"/>
  <c r="I11" i="3"/>
  <c r="H359" i="4"/>
  <c r="H47" i="4"/>
  <c r="H407" i="4"/>
  <c r="G51" i="3"/>
  <c r="H51" i="3" s="1"/>
  <c r="I361" i="4"/>
  <c r="I385" i="4"/>
  <c r="I409" i="4"/>
  <c r="I313" i="4"/>
  <c r="I337" i="4"/>
  <c r="I433" i="4"/>
  <c r="I25" i="4"/>
  <c r="I241" i="4"/>
  <c r="I265" i="4"/>
  <c r="I289" i="4"/>
  <c r="I217" i="4"/>
  <c r="I193" i="4"/>
  <c r="I145" i="4"/>
  <c r="I121" i="4"/>
  <c r="I97" i="4"/>
  <c r="I481" i="4"/>
  <c r="I169" i="4"/>
  <c r="I73" i="4"/>
  <c r="I457" i="4"/>
  <c r="I49" i="4"/>
  <c r="I505" i="4"/>
  <c r="H143" i="4"/>
  <c r="H455" i="4"/>
  <c r="I51" i="3"/>
  <c r="I50" i="3" s="1"/>
  <c r="E51" i="3"/>
  <c r="H479" i="4"/>
  <c r="E505" i="4"/>
  <c r="E385" i="4"/>
  <c r="E313" i="4"/>
  <c r="E457" i="4"/>
  <c r="E49" i="4"/>
  <c r="E409" i="4"/>
  <c r="E337" i="4"/>
  <c r="E193" i="4"/>
  <c r="E265" i="4"/>
  <c r="E169" i="4"/>
  <c r="E97" i="4"/>
  <c r="E481" i="4"/>
  <c r="E217" i="4"/>
  <c r="E145" i="4"/>
  <c r="E241" i="4"/>
  <c r="E433" i="4"/>
  <c r="E289" i="4"/>
  <c r="E121" i="4"/>
  <c r="E73" i="4"/>
  <c r="E361" i="4"/>
  <c r="E25" i="4"/>
  <c r="K57" i="7"/>
  <c r="L57" i="7"/>
  <c r="M57" i="7" s="1"/>
  <c r="J58" i="7"/>
  <c r="C193" i="4" l="1"/>
  <c r="C385" i="4"/>
  <c r="C49" i="4"/>
  <c r="C217" i="4"/>
  <c r="C409" i="4"/>
  <c r="C25" i="4"/>
  <c r="C241" i="4"/>
  <c r="C433" i="4"/>
  <c r="C73" i="4"/>
  <c r="C265" i="4"/>
  <c r="C457" i="4"/>
  <c r="C97" i="4"/>
  <c r="C289" i="4"/>
  <c r="C481" i="4"/>
  <c r="C121" i="4"/>
  <c r="C313" i="4"/>
  <c r="C145" i="4"/>
  <c r="C337" i="4"/>
  <c r="C505" i="4"/>
  <c r="C169" i="4"/>
  <c r="C361" i="4"/>
  <c r="C18" i="4"/>
  <c r="C234" i="4"/>
  <c r="C426" i="4"/>
  <c r="C114" i="4"/>
  <c r="C306" i="4"/>
  <c r="C42" i="4"/>
  <c r="C186" i="4"/>
  <c r="C378" i="4"/>
  <c r="C66" i="4"/>
  <c r="C258" i="4"/>
  <c r="C450" i="4"/>
  <c r="C90" i="4"/>
  <c r="C282" i="4"/>
  <c r="C474" i="4"/>
  <c r="C162" i="4"/>
  <c r="C354" i="4"/>
  <c r="C138" i="4"/>
  <c r="C330" i="4"/>
  <c r="C498" i="4"/>
  <c r="C210" i="4"/>
  <c r="C402" i="4"/>
  <c r="C204" i="4"/>
  <c r="C492" i="4"/>
  <c r="C36" i="4"/>
  <c r="C180" i="4"/>
  <c r="C372" i="4"/>
  <c r="C60" i="4"/>
  <c r="C252" i="4"/>
  <c r="C108" i="4"/>
  <c r="C12" i="4"/>
  <c r="C228" i="4"/>
  <c r="C420" i="4"/>
  <c r="C300" i="4"/>
  <c r="C348" i="4"/>
  <c r="C84" i="4"/>
  <c r="C276" i="4"/>
  <c r="C156" i="4"/>
  <c r="C444" i="4"/>
  <c r="C324" i="4"/>
  <c r="C396" i="4"/>
  <c r="C132" i="4"/>
  <c r="C468" i="4"/>
  <c r="F241" i="4"/>
  <c r="G241" i="4" s="1" a="1"/>
  <c r="G241" i="4" s="1"/>
  <c r="F240" i="4"/>
  <c r="G240" i="4" s="1" a="1"/>
  <c r="G240" i="4" s="1"/>
  <c r="F337" i="4"/>
  <c r="G337" i="4" s="1" a="1"/>
  <c r="G337" i="4" s="1"/>
  <c r="F336" i="4"/>
  <c r="G336" i="4" s="1" a="1"/>
  <c r="G336" i="4" s="1"/>
  <c r="F409" i="4"/>
  <c r="G409" i="4" s="1" a="1"/>
  <c r="G409" i="4" s="1"/>
  <c r="F408" i="4"/>
  <c r="G408" i="4" s="1" a="1"/>
  <c r="G408" i="4" s="1"/>
  <c r="F25" i="4"/>
  <c r="F24" i="4"/>
  <c r="K25" i="4"/>
  <c r="L25" i="4" s="1"/>
  <c r="F217" i="4"/>
  <c r="G217" i="4" s="1" a="1"/>
  <c r="G217" i="4" s="1"/>
  <c r="F216" i="4"/>
  <c r="G216" i="4" s="1" a="1"/>
  <c r="G216" i="4" s="1"/>
  <c r="F49" i="4"/>
  <c r="G49" i="4" s="1" a="1"/>
  <c r="G49" i="4" s="1"/>
  <c r="F48" i="4"/>
  <c r="G48" i="4" s="1" a="1"/>
  <c r="G48" i="4" s="1"/>
  <c r="I49" i="3"/>
  <c r="F361" i="4"/>
  <c r="G361" i="4" s="1" a="1"/>
  <c r="G361" i="4" s="1"/>
  <c r="F360" i="4"/>
  <c r="G360" i="4" s="1" a="1"/>
  <c r="G360" i="4" s="1"/>
  <c r="F481" i="4"/>
  <c r="G481" i="4" s="1" a="1"/>
  <c r="G481" i="4" s="1"/>
  <c r="F480" i="4"/>
  <c r="G480" i="4" s="1" a="1"/>
  <c r="G480" i="4" s="1"/>
  <c r="F457" i="4"/>
  <c r="G457" i="4" s="1" a="1"/>
  <c r="G457" i="4" s="1"/>
  <c r="F456" i="4"/>
  <c r="G456" i="4" s="1" a="1"/>
  <c r="G456" i="4" s="1"/>
  <c r="F73" i="4"/>
  <c r="G73" i="4" s="1" a="1"/>
  <c r="G73" i="4" s="1"/>
  <c r="F72" i="4"/>
  <c r="G72" i="4" s="1" a="1"/>
  <c r="G72" i="4" s="1"/>
  <c r="F97" i="4"/>
  <c r="G97" i="4" s="1" a="1"/>
  <c r="G97" i="4" s="1"/>
  <c r="F96" i="4"/>
  <c r="G96" i="4" s="1" a="1"/>
  <c r="G96" i="4" s="1"/>
  <c r="F313" i="4"/>
  <c r="G313" i="4" s="1" a="1"/>
  <c r="G313" i="4" s="1"/>
  <c r="F312" i="4"/>
  <c r="G312" i="4" s="1" a="1"/>
  <c r="G312" i="4" s="1"/>
  <c r="K11" i="3"/>
  <c r="O11" i="3" s="1"/>
  <c r="I10" i="3"/>
  <c r="F121" i="4"/>
  <c r="G121" i="4" s="1" a="1"/>
  <c r="G121" i="4" s="1"/>
  <c r="F120" i="4"/>
  <c r="G120" i="4" s="1" a="1"/>
  <c r="G120" i="4" s="1"/>
  <c r="F169" i="4"/>
  <c r="G169" i="4" s="1" a="1"/>
  <c r="G169" i="4" s="1"/>
  <c r="F168" i="4"/>
  <c r="G168" i="4" s="1" a="1"/>
  <c r="G168" i="4" s="1"/>
  <c r="F385" i="4"/>
  <c r="G385" i="4" s="1" a="1"/>
  <c r="G385" i="4" s="1"/>
  <c r="F384" i="4"/>
  <c r="G384" i="4" s="1" a="1"/>
  <c r="G384" i="4" s="1"/>
  <c r="F289" i="4"/>
  <c r="G289" i="4" s="1" a="1"/>
  <c r="G289" i="4" s="1"/>
  <c r="F288" i="4"/>
  <c r="G288" i="4" s="1" a="1"/>
  <c r="G288" i="4" s="1"/>
  <c r="F265" i="4"/>
  <c r="G265" i="4" s="1" a="1"/>
  <c r="G265" i="4" s="1"/>
  <c r="F264" i="4"/>
  <c r="G264" i="4" s="1" a="1"/>
  <c r="G264" i="4" s="1"/>
  <c r="F505" i="4"/>
  <c r="G505" i="4" s="1" a="1"/>
  <c r="G505" i="4" s="1"/>
  <c r="F504" i="4"/>
  <c r="G504" i="4" s="1" a="1"/>
  <c r="G504" i="4" s="1"/>
  <c r="F433" i="4"/>
  <c r="G433" i="4" s="1" a="1"/>
  <c r="G433" i="4" s="1"/>
  <c r="F432" i="4"/>
  <c r="G432" i="4" s="1" a="1"/>
  <c r="G432" i="4" s="1"/>
  <c r="L58" i="7"/>
  <c r="M58" i="7" s="1"/>
  <c r="K58" i="7"/>
  <c r="J59" i="7"/>
  <c r="F193" i="4"/>
  <c r="G193" i="4" s="1" a="1"/>
  <c r="G193" i="4" s="1"/>
  <c r="F192" i="4"/>
  <c r="G192" i="4" s="1" a="1"/>
  <c r="G192" i="4" s="1"/>
  <c r="F145" i="4"/>
  <c r="G145" i="4" s="1" a="1"/>
  <c r="G145" i="4" s="1"/>
  <c r="F144" i="4"/>
  <c r="G144" i="4" s="1" a="1"/>
  <c r="G144" i="4" s="1"/>
  <c r="C131" i="4" l="1"/>
  <c r="C323" i="4"/>
  <c r="C467" i="4"/>
  <c r="C155" i="4"/>
  <c r="C347" i="4"/>
  <c r="C179" i="4"/>
  <c r="C371" i="4"/>
  <c r="C35" i="4"/>
  <c r="C203" i="4"/>
  <c r="C395" i="4"/>
  <c r="C11" i="4"/>
  <c r="C227" i="4"/>
  <c r="C419" i="4"/>
  <c r="C59" i="4"/>
  <c r="C251" i="4"/>
  <c r="C443" i="4"/>
  <c r="C83" i="4"/>
  <c r="C275" i="4"/>
  <c r="C491" i="4"/>
  <c r="C107" i="4"/>
  <c r="C299" i="4"/>
  <c r="T3" i="4"/>
  <c r="R6" i="1" s="1"/>
  <c r="H289" i="4"/>
  <c r="H457" i="4"/>
  <c r="H49" i="4"/>
  <c r="H336" i="4"/>
  <c r="H505" i="4"/>
  <c r="H361" i="4"/>
  <c r="H193" i="4"/>
  <c r="H120" i="4"/>
  <c r="K10" i="3"/>
  <c r="O10" i="3" s="1"/>
  <c r="I9" i="3"/>
  <c r="H409" i="4"/>
  <c r="H432" i="4"/>
  <c r="H384" i="4"/>
  <c r="H312" i="4"/>
  <c r="H480" i="4"/>
  <c r="H216" i="4"/>
  <c r="H337" i="4"/>
  <c r="K59" i="7"/>
  <c r="L59" i="7"/>
  <c r="M59" i="7" s="1"/>
  <c r="J60" i="7"/>
  <c r="H265" i="4"/>
  <c r="H121" i="4"/>
  <c r="H73" i="4"/>
  <c r="H408" i="4"/>
  <c r="H288" i="4"/>
  <c r="H456" i="4"/>
  <c r="H48" i="4"/>
  <c r="H144" i="4"/>
  <c r="H433" i="4"/>
  <c r="H385" i="4"/>
  <c r="H313" i="4"/>
  <c r="H481" i="4"/>
  <c r="H217" i="4"/>
  <c r="H240" i="4"/>
  <c r="H192" i="4"/>
  <c r="H169" i="4"/>
  <c r="H97" i="4"/>
  <c r="G24" i="4"/>
  <c r="H24" i="4" s="1"/>
  <c r="H264" i="4"/>
  <c r="H72" i="4"/>
  <c r="I48" i="3"/>
  <c r="G25" i="4"/>
  <c r="H25" i="4" s="1"/>
  <c r="H145" i="4"/>
  <c r="H504" i="4"/>
  <c r="H168" i="4"/>
  <c r="H96" i="4"/>
  <c r="H360" i="4"/>
  <c r="H241" i="4"/>
  <c r="C322" i="4" l="1"/>
  <c r="C178" i="4"/>
  <c r="C58" i="4"/>
  <c r="C34" i="4"/>
  <c r="C250" i="4"/>
  <c r="C10" i="4"/>
  <c r="C226" i="4"/>
  <c r="C418" i="4"/>
  <c r="C106" i="4"/>
  <c r="C298" i="4"/>
  <c r="C82" i="4"/>
  <c r="C274" i="4"/>
  <c r="C466" i="4"/>
  <c r="C154" i="4"/>
  <c r="C346" i="4"/>
  <c r="C130" i="4"/>
  <c r="C490" i="4"/>
  <c r="C202" i="4"/>
  <c r="C394" i="4"/>
  <c r="C370" i="4"/>
  <c r="C442" i="4"/>
  <c r="I47" i="3"/>
  <c r="L60" i="7"/>
  <c r="M60" i="7" s="1"/>
  <c r="K60" i="7"/>
  <c r="J61" i="7"/>
  <c r="K9" i="3"/>
  <c r="O9" i="3" s="1"/>
  <c r="I8" i="3"/>
  <c r="C81" i="4" l="1"/>
  <c r="C273" i="4"/>
  <c r="C465" i="4"/>
  <c r="C105" i="4"/>
  <c r="C297" i="4"/>
  <c r="C129" i="4"/>
  <c r="C321" i="4"/>
  <c r="C489" i="4"/>
  <c r="C153" i="4"/>
  <c r="C345" i="4"/>
  <c r="C177" i="4"/>
  <c r="C369" i="4"/>
  <c r="C33" i="4"/>
  <c r="C201" i="4"/>
  <c r="C393" i="4"/>
  <c r="C9" i="4"/>
  <c r="C225" i="4"/>
  <c r="C417" i="4"/>
  <c r="C57" i="4"/>
  <c r="C249" i="4"/>
  <c r="C441" i="4"/>
  <c r="K61" i="7"/>
  <c r="L61" i="7"/>
  <c r="M61" i="7" s="1"/>
  <c r="J62" i="7"/>
  <c r="I46" i="3"/>
  <c r="K8" i="3"/>
  <c r="O8" i="3" s="1"/>
  <c r="I7" i="3"/>
  <c r="C176" i="4" l="1"/>
  <c r="C56" i="4"/>
  <c r="C248" i="4"/>
  <c r="C440" i="4"/>
  <c r="C368" i="4"/>
  <c r="C464" i="4"/>
  <c r="C224" i="4"/>
  <c r="C104" i="4"/>
  <c r="C296" i="4"/>
  <c r="C8" i="4"/>
  <c r="C416" i="4"/>
  <c r="C32" i="4"/>
  <c r="C128" i="4"/>
  <c r="C152" i="4"/>
  <c r="C344" i="4"/>
  <c r="C272" i="4"/>
  <c r="C80" i="4"/>
  <c r="C320" i="4"/>
  <c r="C200" i="4"/>
  <c r="C392" i="4"/>
  <c r="C488" i="4"/>
  <c r="K7" i="3"/>
  <c r="O7" i="3" s="1"/>
  <c r="I6" i="3"/>
  <c r="K6" i="3" s="1"/>
  <c r="O6" i="3" s="1"/>
  <c r="I45" i="3"/>
  <c r="L62" i="7"/>
  <c r="M62" i="7" s="1"/>
  <c r="K62" i="7"/>
  <c r="J63" i="7"/>
  <c r="C151" i="4" l="1"/>
  <c r="C343" i="4"/>
  <c r="C463" i="4"/>
  <c r="C175" i="4"/>
  <c r="C367" i="4"/>
  <c r="C31" i="4"/>
  <c r="C199" i="4"/>
  <c r="C391" i="4"/>
  <c r="C7" i="4"/>
  <c r="C223" i="4"/>
  <c r="C415" i="4"/>
  <c r="C55" i="4"/>
  <c r="C247" i="4"/>
  <c r="C439" i="4"/>
  <c r="C79" i="4"/>
  <c r="C271" i="4"/>
  <c r="C103" i="4"/>
  <c r="C295" i="4"/>
  <c r="C487" i="4"/>
  <c r="C127" i="4"/>
  <c r="C319" i="4"/>
  <c r="I44" i="3"/>
  <c r="K63" i="7"/>
  <c r="L63" i="7"/>
  <c r="M63" i="7" s="1"/>
  <c r="J64" i="7"/>
  <c r="C54" i="4"/>
  <c r="C102" i="4"/>
  <c r="C150" i="4"/>
  <c r="C198" i="4"/>
  <c r="C246" i="4"/>
  <c r="C294" i="4"/>
  <c r="C342" i="4"/>
  <c r="C390" i="4"/>
  <c r="C438" i="4"/>
  <c r="C486" i="4"/>
  <c r="C30" i="4"/>
  <c r="C6" i="4"/>
  <c r="C78" i="4"/>
  <c r="C126" i="4"/>
  <c r="C174" i="4"/>
  <c r="C222" i="4"/>
  <c r="C270" i="4"/>
  <c r="C318" i="4"/>
  <c r="C366" i="4"/>
  <c r="C414" i="4"/>
  <c r="C462" i="4"/>
  <c r="L64" i="7" l="1"/>
  <c r="M64" i="7" s="1"/>
  <c r="K64" i="7"/>
  <c r="J65" i="7"/>
  <c r="I43" i="3"/>
  <c r="I42" i="3" l="1"/>
  <c r="K65" i="7"/>
  <c r="L65" i="7"/>
  <c r="M65" i="7" s="1"/>
  <c r="J66" i="7"/>
  <c r="L66" i="7" l="1"/>
  <c r="M66" i="7" s="1"/>
  <c r="K66" i="7"/>
  <c r="J67" i="7"/>
  <c r="I41" i="3"/>
  <c r="I40" i="3" l="1"/>
  <c r="K67" i="7"/>
  <c r="L67" i="7"/>
  <c r="M67" i="7" s="1"/>
  <c r="J68" i="7"/>
  <c r="L68" i="7" l="1"/>
  <c r="M68" i="7" s="1"/>
  <c r="K68" i="7"/>
  <c r="J69" i="7"/>
  <c r="I39" i="3"/>
  <c r="I38" i="3" l="1"/>
  <c r="K69" i="7"/>
  <c r="L69" i="7"/>
  <c r="M69" i="7" s="1"/>
  <c r="J70" i="7"/>
  <c r="L70" i="7" l="1"/>
  <c r="M70" i="7" s="1"/>
  <c r="K70" i="7"/>
  <c r="J71" i="7"/>
  <c r="I37" i="3"/>
  <c r="I36" i="3" l="1"/>
  <c r="K71" i="7"/>
  <c r="L71" i="7"/>
  <c r="M71" i="7" s="1"/>
  <c r="J72" i="7"/>
  <c r="L72" i="7" l="1"/>
  <c r="M72" i="7" s="1"/>
  <c r="K72" i="7"/>
  <c r="J73" i="7"/>
  <c r="I35" i="3"/>
  <c r="I34" i="3" l="1"/>
  <c r="K73" i="7"/>
  <c r="L73" i="7"/>
  <c r="M73" i="7" s="1"/>
  <c r="J74" i="7"/>
  <c r="L74" i="7" l="1"/>
  <c r="M74" i="7" s="1"/>
  <c r="K74" i="7"/>
  <c r="J75" i="7"/>
  <c r="I33" i="3"/>
  <c r="I32" i="3" l="1"/>
  <c r="K75" i="7"/>
  <c r="L75" i="7"/>
  <c r="M75" i="7" s="1"/>
  <c r="J76" i="7"/>
  <c r="L76" i="7" l="1"/>
  <c r="M76" i="7" s="1"/>
  <c r="K76" i="7"/>
  <c r="J77" i="7"/>
  <c r="J32" i="3"/>
  <c r="K32" i="3" s="1"/>
  <c r="O32" i="3" s="1"/>
  <c r="J33" i="3" l="1"/>
  <c r="K33" i="3" s="1"/>
  <c r="O33" i="3" s="1"/>
  <c r="V7" i="3" s="1"/>
  <c r="J34" i="3"/>
  <c r="V6" i="3"/>
  <c r="L77" i="7"/>
  <c r="M77" i="7" s="1"/>
  <c r="K77" i="7"/>
  <c r="J78" i="7"/>
  <c r="K34" i="3" l="1"/>
  <c r="O34" i="3" s="1"/>
  <c r="J35" i="3"/>
  <c r="M223" i="4"/>
  <c r="M391" i="4"/>
  <c r="M319" i="4"/>
  <c r="M247" i="4"/>
  <c r="M367" i="4"/>
  <c r="M295" i="4"/>
  <c r="M55" i="4"/>
  <c r="M151" i="4"/>
  <c r="M79" i="4"/>
  <c r="M175" i="4"/>
  <c r="M463" i="4"/>
  <c r="M271" i="4"/>
  <c r="M487" i="4"/>
  <c r="M415" i="4"/>
  <c r="M343" i="4"/>
  <c r="M199" i="4"/>
  <c r="M103" i="4"/>
  <c r="M127" i="4"/>
  <c r="M439" i="4"/>
  <c r="M31" i="4"/>
  <c r="M7" i="4"/>
  <c r="K78" i="7"/>
  <c r="L78" i="7"/>
  <c r="M78" i="7" s="1"/>
  <c r="J79" i="7"/>
  <c r="M270" i="4"/>
  <c r="M78" i="4"/>
  <c r="M126" i="4"/>
  <c r="M30" i="4"/>
  <c r="M438" i="4"/>
  <c r="M414" i="4"/>
  <c r="M318" i="4"/>
  <c r="M198" i="4"/>
  <c r="M222" i="4"/>
  <c r="M486" i="4"/>
  <c r="M174" i="4"/>
  <c r="M54" i="4"/>
  <c r="M342" i="4"/>
  <c r="M294" i="4"/>
  <c r="M246" i="4"/>
  <c r="M366" i="4"/>
  <c r="M102" i="4"/>
  <c r="M390" i="4"/>
  <c r="M462" i="4"/>
  <c r="M150" i="4"/>
  <c r="M6" i="4"/>
  <c r="K35" i="3" l="1"/>
  <c r="O35" i="3" s="1"/>
  <c r="V9" i="3" s="1"/>
  <c r="J36" i="3"/>
  <c r="V8" i="3"/>
  <c r="K79" i="7"/>
  <c r="L79" i="7"/>
  <c r="M79" i="7" s="1"/>
  <c r="J80" i="7"/>
  <c r="M296" i="4" l="1"/>
  <c r="M56" i="4"/>
  <c r="M176" i="4"/>
  <c r="M104" i="4"/>
  <c r="M344" i="4"/>
  <c r="M320" i="4"/>
  <c r="M440" i="4"/>
  <c r="M200" i="4"/>
  <c r="M464" i="4"/>
  <c r="M32" i="4"/>
  <c r="M224" i="4"/>
  <c r="M488" i="4"/>
  <c r="M248" i="4"/>
  <c r="M80" i="4"/>
  <c r="M416" i="4"/>
  <c r="M272" i="4"/>
  <c r="M392" i="4"/>
  <c r="M152" i="4"/>
  <c r="M368" i="4"/>
  <c r="M128" i="4"/>
  <c r="M8" i="4"/>
  <c r="K36" i="3"/>
  <c r="O36" i="3" s="1"/>
  <c r="J37" i="3"/>
  <c r="M225" i="4"/>
  <c r="M489" i="4"/>
  <c r="M249" i="4"/>
  <c r="M177" i="4"/>
  <c r="M465" i="4"/>
  <c r="M417" i="4"/>
  <c r="M369" i="4"/>
  <c r="M57" i="4"/>
  <c r="M129" i="4"/>
  <c r="M81" i="4"/>
  <c r="M297" i="4"/>
  <c r="M105" i="4"/>
  <c r="M153" i="4"/>
  <c r="M273" i="4"/>
  <c r="M441" i="4"/>
  <c r="M201" i="4"/>
  <c r="M321" i="4"/>
  <c r="M393" i="4"/>
  <c r="M345" i="4"/>
  <c r="M33" i="4"/>
  <c r="M9" i="4"/>
  <c r="L80" i="7"/>
  <c r="M80" i="7" s="1"/>
  <c r="K80" i="7"/>
  <c r="J81" i="7"/>
  <c r="V10" i="3" l="1"/>
  <c r="K37" i="3"/>
  <c r="O37" i="3" s="1"/>
  <c r="V11" i="3" s="1"/>
  <c r="J38" i="3"/>
  <c r="L81" i="7"/>
  <c r="M81" i="7" s="1"/>
  <c r="K81" i="7"/>
  <c r="J82" i="7"/>
  <c r="M203" i="4" l="1"/>
  <c r="M59" i="4"/>
  <c r="M131" i="4"/>
  <c r="M347" i="4"/>
  <c r="M179" i="4"/>
  <c r="M323" i="4"/>
  <c r="M155" i="4"/>
  <c r="M371" i="4"/>
  <c r="M395" i="4"/>
  <c r="M299" i="4"/>
  <c r="M35" i="4"/>
  <c r="M491" i="4"/>
  <c r="M251" i="4"/>
  <c r="M275" i="4"/>
  <c r="M107" i="4"/>
  <c r="M467" i="4"/>
  <c r="M227" i="4"/>
  <c r="M419" i="4"/>
  <c r="M83" i="4"/>
  <c r="M443" i="4"/>
  <c r="M11" i="4"/>
  <c r="M298" i="4"/>
  <c r="M82" i="4"/>
  <c r="M154" i="4"/>
  <c r="M250" i="4"/>
  <c r="M370" i="4"/>
  <c r="M346" i="4"/>
  <c r="M130" i="4"/>
  <c r="M202" i="4"/>
  <c r="M274" i="4"/>
  <c r="M106" i="4"/>
  <c r="M490" i="4"/>
  <c r="M178" i="4"/>
  <c r="M418" i="4"/>
  <c r="M322" i="4"/>
  <c r="M466" i="4"/>
  <c r="M34" i="4"/>
  <c r="M58" i="4"/>
  <c r="M226" i="4"/>
  <c r="M442" i="4"/>
  <c r="M394" i="4"/>
  <c r="M10" i="4"/>
  <c r="K38" i="3"/>
  <c r="O38" i="3" s="1"/>
  <c r="J39" i="3"/>
  <c r="L82" i="7"/>
  <c r="M82" i="7" s="1"/>
  <c r="K82" i="7"/>
  <c r="J83" i="7"/>
  <c r="V12" i="3" l="1"/>
  <c r="K39" i="3"/>
  <c r="O39" i="3" s="1"/>
  <c r="V13" i="3" s="1"/>
  <c r="J40" i="3"/>
  <c r="L83" i="7"/>
  <c r="M83" i="7" s="1"/>
  <c r="K83" i="7"/>
  <c r="J84" i="7"/>
  <c r="M229" i="4" l="1"/>
  <c r="M421" i="4"/>
  <c r="M85" i="4"/>
  <c r="M181" i="4"/>
  <c r="M37" i="4"/>
  <c r="M61" i="4"/>
  <c r="M469" i="4"/>
  <c r="M325" i="4"/>
  <c r="M109" i="4"/>
  <c r="M301" i="4"/>
  <c r="M373" i="4"/>
  <c r="M205" i="4"/>
  <c r="M133" i="4"/>
  <c r="M349" i="4"/>
  <c r="M253" i="4"/>
  <c r="M157" i="4"/>
  <c r="M397" i="4"/>
  <c r="M445" i="4"/>
  <c r="M277" i="4"/>
  <c r="M493" i="4"/>
  <c r="M13" i="4"/>
  <c r="K40" i="3"/>
  <c r="O40" i="3" s="1"/>
  <c r="V14" i="3" s="1"/>
  <c r="J41" i="3"/>
  <c r="M396" i="4"/>
  <c r="M108" i="4"/>
  <c r="M132" i="4"/>
  <c r="M300" i="4"/>
  <c r="M492" i="4"/>
  <c r="M324" i="4"/>
  <c r="M276" i="4"/>
  <c r="M348" i="4"/>
  <c r="M84" i="4"/>
  <c r="M60" i="4"/>
  <c r="M36" i="4"/>
  <c r="M468" i="4"/>
  <c r="M156" i="4"/>
  <c r="M372" i="4"/>
  <c r="M180" i="4"/>
  <c r="M228" i="4"/>
  <c r="M420" i="4"/>
  <c r="M444" i="4"/>
  <c r="M252" i="4"/>
  <c r="M204" i="4"/>
  <c r="M12" i="4"/>
  <c r="K84" i="7"/>
  <c r="L84" i="7"/>
  <c r="M84" i="7" s="1"/>
  <c r="J85" i="7"/>
  <c r="K41" i="3" l="1"/>
  <c r="O41" i="3" s="1"/>
  <c r="J42" i="3"/>
  <c r="M278" i="4"/>
  <c r="M62" i="4"/>
  <c r="M182" i="4"/>
  <c r="M302" i="4"/>
  <c r="M350" i="4"/>
  <c r="M86" i="4"/>
  <c r="M254" i="4"/>
  <c r="M38" i="4"/>
  <c r="M446" i="4"/>
  <c r="M470" i="4"/>
  <c r="M158" i="4"/>
  <c r="M110" i="4"/>
  <c r="M134" i="4"/>
  <c r="M398" i="4"/>
  <c r="M494" i="4"/>
  <c r="M206" i="4"/>
  <c r="M230" i="4"/>
  <c r="M326" i="4"/>
  <c r="M374" i="4"/>
  <c r="M422" i="4"/>
  <c r="M14" i="4"/>
  <c r="L85" i="7"/>
  <c r="M85" i="7" s="1"/>
  <c r="K85" i="7"/>
  <c r="J86" i="7"/>
  <c r="K42" i="3" l="1"/>
  <c r="O42" i="3" s="1"/>
  <c r="V16" i="3" s="1"/>
  <c r="J43" i="3"/>
  <c r="V15" i="3"/>
  <c r="K86" i="7"/>
  <c r="L86" i="7"/>
  <c r="M86" i="7" s="1"/>
  <c r="J87" i="7"/>
  <c r="K43" i="3" l="1"/>
  <c r="O43" i="3" s="1"/>
  <c r="V17" i="3" s="1"/>
  <c r="J44" i="3"/>
  <c r="M400" i="4"/>
  <c r="M40" i="4"/>
  <c r="M280" i="4"/>
  <c r="M496" i="4"/>
  <c r="M304" i="4"/>
  <c r="M184" i="4"/>
  <c r="M136" i="4"/>
  <c r="M232" i="4"/>
  <c r="M352" i="4"/>
  <c r="M472" i="4"/>
  <c r="M256" i="4"/>
  <c r="M88" i="4"/>
  <c r="M208" i="4"/>
  <c r="M424" i="4"/>
  <c r="M64" i="4"/>
  <c r="M160" i="4"/>
  <c r="M376" i="4"/>
  <c r="M448" i="4"/>
  <c r="M112" i="4"/>
  <c r="M328" i="4"/>
  <c r="M16" i="4"/>
  <c r="M111" i="4"/>
  <c r="M87" i="4"/>
  <c r="M183" i="4"/>
  <c r="M207" i="4"/>
  <c r="M135" i="4"/>
  <c r="M471" i="4"/>
  <c r="M327" i="4"/>
  <c r="M159" i="4"/>
  <c r="M63" i="4"/>
  <c r="M231" i="4"/>
  <c r="M423" i="4"/>
  <c r="M447" i="4"/>
  <c r="M279" i="4"/>
  <c r="M39" i="4"/>
  <c r="M303" i="4"/>
  <c r="M351" i="4"/>
  <c r="M255" i="4"/>
  <c r="M375" i="4"/>
  <c r="M399" i="4"/>
  <c r="M495" i="4"/>
  <c r="M15" i="4"/>
  <c r="K87" i="7"/>
  <c r="L87" i="7"/>
  <c r="M87" i="7" s="1"/>
  <c r="J88" i="7"/>
  <c r="K44" i="3" l="1"/>
  <c r="O44" i="3" s="1"/>
  <c r="J45" i="3"/>
  <c r="M377" i="4"/>
  <c r="M89" i="4"/>
  <c r="M305" i="4"/>
  <c r="M65" i="4"/>
  <c r="M113" i="4"/>
  <c r="M473" i="4"/>
  <c r="M401" i="4"/>
  <c r="M137" i="4"/>
  <c r="M353" i="4"/>
  <c r="M41" i="4"/>
  <c r="M425" i="4"/>
  <c r="M209" i="4"/>
  <c r="M281" i="4"/>
  <c r="M257" i="4"/>
  <c r="M233" i="4"/>
  <c r="M185" i="4"/>
  <c r="M329" i="4"/>
  <c r="M449" i="4"/>
  <c r="M497" i="4"/>
  <c r="M161" i="4"/>
  <c r="M17" i="4"/>
  <c r="L88" i="7"/>
  <c r="M88" i="7" s="1"/>
  <c r="K88" i="7"/>
  <c r="J89" i="7"/>
  <c r="K45" i="3" l="1"/>
  <c r="O45" i="3" s="1"/>
  <c r="V19" i="3" s="1"/>
  <c r="J46" i="3"/>
  <c r="V18" i="3"/>
  <c r="R6" i="3"/>
  <c r="R5" i="3"/>
  <c r="L89" i="7"/>
  <c r="M89" i="7" s="1"/>
  <c r="K89" i="7"/>
  <c r="J90" i="7"/>
  <c r="M115" i="4" l="1"/>
  <c r="M163" i="4"/>
  <c r="M379" i="4"/>
  <c r="M139" i="4"/>
  <c r="M211" i="4"/>
  <c r="M43" i="4"/>
  <c r="M67" i="4"/>
  <c r="M187" i="4"/>
  <c r="M499" i="4"/>
  <c r="M427" i="4"/>
  <c r="M235" i="4"/>
  <c r="M307" i="4"/>
  <c r="M283" i="4"/>
  <c r="M475" i="4"/>
  <c r="M403" i="4"/>
  <c r="M355" i="4"/>
  <c r="M331" i="4"/>
  <c r="M91" i="4"/>
  <c r="M259" i="4"/>
  <c r="M451" i="4"/>
  <c r="M19" i="4"/>
  <c r="K46" i="3"/>
  <c r="O46" i="3" s="1"/>
  <c r="V20" i="3" s="1"/>
  <c r="J47" i="3"/>
  <c r="Q51" i="4"/>
  <c r="O8" i="1" s="1"/>
  <c r="Q147" i="4"/>
  <c r="O12" i="1" s="1"/>
  <c r="Q291" i="4"/>
  <c r="O18" i="1" s="1"/>
  <c r="Q27" i="4"/>
  <c r="O7" i="1" s="1"/>
  <c r="Q75" i="4"/>
  <c r="O9" i="1" s="1"/>
  <c r="Q315" i="4"/>
  <c r="O19" i="1" s="1"/>
  <c r="Q363" i="4"/>
  <c r="O21" i="1" s="1"/>
  <c r="Q99" i="4"/>
  <c r="O10" i="1" s="1"/>
  <c r="Q195" i="4"/>
  <c r="O14" i="1" s="1"/>
  <c r="Q219" i="4"/>
  <c r="O15" i="1" s="1"/>
  <c r="Q339" i="4"/>
  <c r="O20" i="1" s="1"/>
  <c r="Q387" i="4"/>
  <c r="O22" i="1" s="1"/>
  <c r="Q411" i="4"/>
  <c r="O23" i="1" s="1"/>
  <c r="Q243" i="4"/>
  <c r="O16" i="1" s="1"/>
  <c r="Q171" i="4"/>
  <c r="O13" i="1" s="1"/>
  <c r="Q267" i="4"/>
  <c r="O17" i="1" s="1"/>
  <c r="Q3" i="4"/>
  <c r="O6" i="1" s="1"/>
  <c r="M498" i="4"/>
  <c r="M186" i="4"/>
  <c r="R171" i="4" s="1"/>
  <c r="P13" i="1" s="1"/>
  <c r="M378" i="4"/>
  <c r="R363" i="4" s="1"/>
  <c r="P21" i="1" s="1"/>
  <c r="M162" i="4"/>
  <c r="R147" i="4" s="1"/>
  <c r="P12" i="1" s="1"/>
  <c r="M354" i="4"/>
  <c r="R339" i="4" s="1"/>
  <c r="P20" i="1" s="1"/>
  <c r="M426" i="4"/>
  <c r="R411" i="4" s="1"/>
  <c r="P23" i="1" s="1"/>
  <c r="M210" i="4"/>
  <c r="R195" i="4" s="1"/>
  <c r="P14" i="1" s="1"/>
  <c r="M402" i="4"/>
  <c r="R387" i="4" s="1"/>
  <c r="P22" i="1" s="1"/>
  <c r="M474" i="4"/>
  <c r="M138" i="4"/>
  <c r="M258" i="4"/>
  <c r="R243" i="4" s="1"/>
  <c r="P16" i="1" s="1"/>
  <c r="M66" i="4"/>
  <c r="R51" i="4" s="1"/>
  <c r="P8" i="1" s="1"/>
  <c r="M282" i="4"/>
  <c r="R267" i="4" s="1"/>
  <c r="P17" i="1" s="1"/>
  <c r="M330" i="4"/>
  <c r="R315" i="4" s="1"/>
  <c r="P19" i="1" s="1"/>
  <c r="M42" i="4"/>
  <c r="R27" i="4" s="1"/>
  <c r="P7" i="1" s="1"/>
  <c r="M306" i="4"/>
  <c r="R291" i="4" s="1"/>
  <c r="P18" i="1" s="1"/>
  <c r="M114" i="4"/>
  <c r="R99" i="4" s="1"/>
  <c r="P10" i="1" s="1"/>
  <c r="M234" i="4"/>
  <c r="R219" i="4" s="1"/>
  <c r="P15" i="1" s="1"/>
  <c r="M90" i="4"/>
  <c r="R75" i="4" s="1"/>
  <c r="P9" i="1" s="1"/>
  <c r="M450" i="4"/>
  <c r="M18" i="4"/>
  <c r="R3" i="4" s="1"/>
  <c r="P6" i="1" s="1"/>
  <c r="L90" i="7"/>
  <c r="M90" i="7" s="1"/>
  <c r="K90" i="7"/>
  <c r="J91" i="7"/>
  <c r="M284" i="4" l="1"/>
  <c r="M68" i="4"/>
  <c r="M260" i="4"/>
  <c r="M452" i="4"/>
  <c r="M500" i="4"/>
  <c r="M476" i="4"/>
  <c r="M236" i="4"/>
  <c r="M164" i="4"/>
  <c r="M188" i="4"/>
  <c r="M356" i="4"/>
  <c r="M92" i="4"/>
  <c r="M308" i="4"/>
  <c r="M140" i="4"/>
  <c r="M332" i="4"/>
  <c r="M116" i="4"/>
  <c r="M212" i="4"/>
  <c r="M404" i="4"/>
  <c r="M428" i="4"/>
  <c r="M380" i="4"/>
  <c r="M44" i="4"/>
  <c r="M20" i="4"/>
  <c r="K47" i="3"/>
  <c r="O47" i="3" s="1"/>
  <c r="V21" i="3" s="1"/>
  <c r="J48" i="3"/>
  <c r="L91" i="7"/>
  <c r="M91" i="7" s="1"/>
  <c r="K91" i="7"/>
  <c r="J92" i="7"/>
  <c r="M405" i="4" l="1"/>
  <c r="M429" i="4"/>
  <c r="M189" i="4"/>
  <c r="M141" i="4"/>
  <c r="M213" i="4"/>
  <c r="M237" i="4"/>
  <c r="M477" i="4"/>
  <c r="M261" i="4"/>
  <c r="M501" i="4"/>
  <c r="M309" i="4"/>
  <c r="M453" i="4"/>
  <c r="M381" i="4"/>
  <c r="M45" i="4"/>
  <c r="M93" i="4"/>
  <c r="M285" i="4"/>
  <c r="M69" i="4"/>
  <c r="M357" i="4"/>
  <c r="M333" i="4"/>
  <c r="M165" i="4"/>
  <c r="M117" i="4"/>
  <c r="M21" i="4"/>
  <c r="K48" i="3"/>
  <c r="O48" i="3" s="1"/>
  <c r="V22" i="3" s="1"/>
  <c r="J49" i="3"/>
  <c r="K92" i="7"/>
  <c r="L92" i="7"/>
  <c r="M92" i="7" s="1"/>
  <c r="J93" i="7"/>
  <c r="M142" i="4" l="1"/>
  <c r="M238" i="4"/>
  <c r="M190" i="4"/>
  <c r="M310" i="4"/>
  <c r="M46" i="4"/>
  <c r="M334" i="4"/>
  <c r="M94" i="4"/>
  <c r="M478" i="4"/>
  <c r="M214" i="4"/>
  <c r="M358" i="4"/>
  <c r="M454" i="4"/>
  <c r="M262" i="4"/>
  <c r="M70" i="4"/>
  <c r="M286" i="4"/>
  <c r="M166" i="4"/>
  <c r="M430" i="4"/>
  <c r="M406" i="4"/>
  <c r="M502" i="4"/>
  <c r="M382" i="4"/>
  <c r="M118" i="4"/>
  <c r="M22" i="4"/>
  <c r="K49" i="3"/>
  <c r="O49" i="3" s="1"/>
  <c r="V23" i="3" s="1"/>
  <c r="J50" i="3"/>
  <c r="L93" i="7"/>
  <c r="M93" i="7" s="1"/>
  <c r="K93" i="7"/>
  <c r="J94" i="7"/>
  <c r="M479" i="4" l="1"/>
  <c r="M215" i="4"/>
  <c r="M407" i="4"/>
  <c r="M431" i="4"/>
  <c r="M143" i="4"/>
  <c r="M503" i="4"/>
  <c r="M239" i="4"/>
  <c r="M95" i="4"/>
  <c r="M383" i="4"/>
  <c r="M119" i="4"/>
  <c r="M47" i="4"/>
  <c r="M359" i="4"/>
  <c r="M455" i="4"/>
  <c r="M263" i="4"/>
  <c r="M167" i="4"/>
  <c r="M287" i="4"/>
  <c r="M191" i="4"/>
  <c r="M311" i="4"/>
  <c r="M71" i="4"/>
  <c r="M335" i="4"/>
  <c r="M23" i="4"/>
  <c r="K50" i="3"/>
  <c r="O50" i="3" s="1"/>
  <c r="V24" i="3" s="1"/>
  <c r="J51" i="3"/>
  <c r="K51" i="3" s="1"/>
  <c r="O51" i="3" s="1"/>
  <c r="V25" i="3" s="1"/>
  <c r="K94" i="7"/>
  <c r="L94" i="7"/>
  <c r="M94" i="7" s="1"/>
  <c r="J95" i="7"/>
  <c r="M241" i="4" l="1"/>
  <c r="M169" i="4"/>
  <c r="M409" i="4"/>
  <c r="M313" i="4"/>
  <c r="M361" i="4"/>
  <c r="M433" i="4"/>
  <c r="M481" i="4"/>
  <c r="M265" i="4"/>
  <c r="M217" i="4"/>
  <c r="M385" i="4"/>
  <c r="M49" i="4"/>
  <c r="M145" i="4"/>
  <c r="M457" i="4"/>
  <c r="M73" i="4"/>
  <c r="M121" i="4"/>
  <c r="M337" i="4"/>
  <c r="M193" i="4"/>
  <c r="M289" i="4"/>
  <c r="M97" i="4"/>
  <c r="M505" i="4"/>
  <c r="M25" i="4"/>
  <c r="M360" i="4"/>
  <c r="M288" i="4"/>
  <c r="M336" i="4"/>
  <c r="M456" i="4"/>
  <c r="M168" i="4"/>
  <c r="M144" i="4"/>
  <c r="M48" i="4"/>
  <c r="M96" i="4"/>
  <c r="M504" i="4"/>
  <c r="M312" i="4"/>
  <c r="M432" i="4"/>
  <c r="M72" i="4"/>
  <c r="M120" i="4"/>
  <c r="M192" i="4"/>
  <c r="M240" i="4"/>
  <c r="M264" i="4"/>
  <c r="M384" i="4"/>
  <c r="M408" i="4"/>
  <c r="M480" i="4"/>
  <c r="M216" i="4"/>
  <c r="M24" i="4"/>
  <c r="K95" i="7"/>
  <c r="L95" i="7"/>
  <c r="M95" i="7" s="1"/>
  <c r="J96" i="7"/>
  <c r="S171" i="4" l="1"/>
  <c r="Q13" i="1" s="1"/>
  <c r="P171" i="4"/>
  <c r="N13" i="1" s="1"/>
  <c r="S339" i="4"/>
  <c r="Q20" i="1" s="1"/>
  <c r="P339" i="4"/>
  <c r="N20" i="1" s="1"/>
  <c r="S315" i="4"/>
  <c r="Q19" i="1" s="1"/>
  <c r="P315" i="4"/>
  <c r="N19" i="1" s="1"/>
  <c r="S243" i="4"/>
  <c r="Q16" i="1" s="1"/>
  <c r="P243" i="4"/>
  <c r="N16" i="1" s="1"/>
  <c r="S291" i="4"/>
  <c r="Q18" i="1" s="1"/>
  <c r="P291" i="4"/>
  <c r="N18" i="1" s="1"/>
  <c r="S75" i="4"/>
  <c r="Q9" i="1" s="1"/>
  <c r="P75" i="4"/>
  <c r="N9" i="1" s="1"/>
  <c r="S99" i="4"/>
  <c r="Q10" i="1" s="1"/>
  <c r="P99" i="4"/>
  <c r="N10" i="1" s="1"/>
  <c r="S27" i="4"/>
  <c r="Q7" i="1" s="1"/>
  <c r="P27" i="4"/>
  <c r="N7" i="1" s="1"/>
  <c r="S387" i="4"/>
  <c r="Q22" i="1" s="1"/>
  <c r="P387" i="4"/>
  <c r="N22" i="1" s="1"/>
  <c r="S267" i="4"/>
  <c r="Q17" i="1" s="1"/>
  <c r="P267" i="4"/>
  <c r="N17" i="1" s="1"/>
  <c r="S51" i="4"/>
  <c r="Q8" i="1" s="1"/>
  <c r="P51" i="4"/>
  <c r="N8" i="1" s="1"/>
  <c r="S363" i="4"/>
  <c r="Q21" i="1" s="1"/>
  <c r="P363" i="4"/>
  <c r="N21" i="1" s="1"/>
  <c r="S411" i="4"/>
  <c r="Q23" i="1" s="1"/>
  <c r="P411" i="4"/>
  <c r="N23" i="1" s="1"/>
  <c r="S147" i="4"/>
  <c r="Q12" i="1" s="1"/>
  <c r="P147" i="4"/>
  <c r="N12" i="1" s="1"/>
  <c r="S3" i="4"/>
  <c r="Q6" i="1" s="1"/>
  <c r="P3" i="4"/>
  <c r="N6" i="1" s="1"/>
  <c r="S195" i="4"/>
  <c r="Q14" i="1" s="1"/>
  <c r="P195" i="4"/>
  <c r="N14" i="1" s="1"/>
  <c r="S219" i="4"/>
  <c r="Q15" i="1" s="1"/>
  <c r="P219" i="4"/>
  <c r="N15" i="1" s="1"/>
  <c r="L96" i="7"/>
  <c r="M96" i="7" s="1"/>
  <c r="K96" i="7"/>
  <c r="J97" i="7"/>
  <c r="K97" i="7" l="1"/>
  <c r="L97" i="7"/>
  <c r="M97" i="7" s="1"/>
  <c r="J98" i="7"/>
  <c r="L98" i="7" l="1"/>
  <c r="M98" i="7" s="1"/>
  <c r="K98" i="7"/>
  <c r="J99" i="7"/>
  <c r="L99" i="7" l="1"/>
  <c r="M99" i="7" s="1"/>
  <c r="K99" i="7"/>
  <c r="J100" i="7"/>
  <c r="L100" i="7" l="1"/>
  <c r="M100" i="7" s="1"/>
  <c r="K100" i="7"/>
  <c r="J101" i="7"/>
  <c r="L101" i="7" l="1"/>
  <c r="M101" i="7" s="1"/>
  <c r="K101" i="7"/>
  <c r="J102" i="7"/>
  <c r="K102" i="7" l="1"/>
  <c r="L102" i="7"/>
  <c r="M102" i="7" s="1"/>
  <c r="J103" i="7"/>
  <c r="K103" i="7" l="1"/>
  <c r="L103" i="7"/>
  <c r="M103" i="7" s="1"/>
  <c r="J104" i="7"/>
  <c r="L104" i="7" l="1"/>
  <c r="M104" i="7" s="1"/>
  <c r="K104" i="7"/>
  <c r="J105" i="7"/>
  <c r="L105" i="7" l="1"/>
  <c r="M105" i="7" s="1"/>
  <c r="K105" i="7"/>
  <c r="J106" i="7"/>
  <c r="L106" i="7" l="1"/>
  <c r="M106" i="7" s="1"/>
  <c r="K106" i="7"/>
  <c r="J107" i="7"/>
  <c r="L107" i="7" l="1"/>
  <c r="M107" i="7" s="1"/>
  <c r="K107" i="7"/>
  <c r="J108" i="7"/>
  <c r="K108" i="7" l="1"/>
  <c r="L108" i="7"/>
  <c r="M108" i="7" s="1"/>
  <c r="J109" i="7"/>
  <c r="L109" i="7" l="1"/>
  <c r="M109" i="7" s="1"/>
  <c r="K109" i="7"/>
  <c r="J110" i="7"/>
  <c r="K110" i="7" l="1"/>
  <c r="L110" i="7"/>
  <c r="M110" i="7" s="1"/>
  <c r="J111" i="7"/>
  <c r="K111" i="7" l="1"/>
  <c r="L111" i="7"/>
  <c r="M111" i="7" s="1"/>
  <c r="J112" i="7"/>
  <c r="L112" i="7" l="1"/>
  <c r="M112" i="7" s="1"/>
  <c r="K112" i="7"/>
  <c r="J113" i="7"/>
  <c r="L113" i="7" l="1"/>
  <c r="M113" i="7" s="1"/>
  <c r="K113" i="7"/>
  <c r="J114" i="7"/>
  <c r="L114" i="7" l="1"/>
  <c r="M114" i="7" s="1"/>
  <c r="K114" i="7"/>
  <c r="J115" i="7"/>
  <c r="L115" i="7" l="1"/>
  <c r="M115" i="7" s="1"/>
  <c r="K115" i="7"/>
  <c r="J116" i="7"/>
  <c r="L116" i="7" l="1"/>
  <c r="M116" i="7" s="1"/>
  <c r="K116" i="7"/>
  <c r="J117" i="7"/>
  <c r="L117" i="7" l="1"/>
  <c r="M117" i="7" s="1"/>
  <c r="K117" i="7"/>
  <c r="J118" i="7"/>
  <c r="K118" i="7" l="1"/>
  <c r="L118" i="7"/>
  <c r="M118" i="7" s="1"/>
  <c r="J119" i="7"/>
  <c r="K119" i="7" l="1"/>
  <c r="L119" i="7"/>
  <c r="M119" i="7" s="1"/>
  <c r="J120" i="7"/>
  <c r="L120" i="7" l="1"/>
  <c r="M120" i="7" s="1"/>
  <c r="K120" i="7"/>
  <c r="J121" i="7"/>
  <c r="L121" i="7" l="1"/>
  <c r="M121" i="7" s="1"/>
  <c r="K121" i="7"/>
  <c r="J122" i="7"/>
  <c r="L122" i="7" l="1"/>
  <c r="M122" i="7" s="1"/>
  <c r="K122" i="7"/>
  <c r="J123" i="7"/>
  <c r="L123" i="7" l="1"/>
  <c r="M123" i="7" s="1"/>
  <c r="K123" i="7"/>
  <c r="J124" i="7"/>
  <c r="L124" i="7" l="1"/>
  <c r="M124" i="7" s="1"/>
  <c r="K124" i="7"/>
  <c r="J125" i="7"/>
  <c r="L125" i="7" l="1"/>
  <c r="M125" i="7" s="1"/>
  <c r="K125" i="7"/>
  <c r="J126" i="7"/>
  <c r="K126" i="7" l="1"/>
  <c r="L126" i="7"/>
  <c r="M126" i="7" s="1"/>
  <c r="J127" i="7"/>
  <c r="K127" i="7" l="1"/>
  <c r="L127" i="7"/>
  <c r="M127" i="7" s="1"/>
  <c r="J128" i="7"/>
  <c r="L128" i="7" l="1"/>
  <c r="M128" i="7" s="1"/>
  <c r="K128" i="7"/>
  <c r="J129" i="7"/>
  <c r="K129" i="7" l="1"/>
  <c r="L129" i="7"/>
  <c r="M129" i="7" s="1"/>
  <c r="J130" i="7"/>
  <c r="L130" i="7" l="1"/>
  <c r="M130" i="7" s="1"/>
  <c r="K130" i="7"/>
  <c r="J131" i="7"/>
  <c r="L131" i="7" l="1"/>
  <c r="M131" i="7" s="1"/>
  <c r="K131" i="7"/>
  <c r="J132" i="7"/>
  <c r="L132" i="7" l="1"/>
  <c r="M132" i="7" s="1"/>
  <c r="K132" i="7"/>
  <c r="J133" i="7"/>
  <c r="L133" i="7" l="1"/>
  <c r="M133" i="7" s="1"/>
  <c r="K133" i="7"/>
  <c r="J134" i="7"/>
  <c r="K134" i="7" l="1"/>
  <c r="L134" i="7"/>
  <c r="M134" i="7" s="1"/>
  <c r="J135" i="7"/>
  <c r="K135" i="7" l="1"/>
  <c r="L135" i="7"/>
  <c r="M135" i="7" s="1"/>
  <c r="J136" i="7"/>
  <c r="L136" i="7" l="1"/>
  <c r="M136" i="7" s="1"/>
  <c r="K136" i="7"/>
  <c r="J137" i="7"/>
  <c r="L137" i="7" l="1"/>
  <c r="M137" i="7" s="1"/>
  <c r="K137" i="7"/>
  <c r="J138" i="7"/>
  <c r="K138" i="7" l="1"/>
  <c r="L138" i="7"/>
  <c r="M138" i="7" s="1"/>
  <c r="J139" i="7"/>
  <c r="L139" i="7" l="1"/>
  <c r="M139" i="7" s="1"/>
  <c r="K139" i="7"/>
  <c r="J140" i="7"/>
  <c r="L140" i="7" l="1"/>
  <c r="M140" i="7" s="1"/>
  <c r="K140" i="7"/>
  <c r="J141" i="7"/>
  <c r="L141" i="7" l="1"/>
  <c r="M141" i="7" s="1"/>
  <c r="K141" i="7"/>
  <c r="J142" i="7"/>
  <c r="K142" i="7" l="1"/>
  <c r="L142" i="7"/>
  <c r="M142" i="7" s="1"/>
  <c r="J143" i="7"/>
  <c r="K143" i="7" l="1"/>
  <c r="L143" i="7"/>
  <c r="M143" i="7" s="1"/>
  <c r="J144" i="7"/>
  <c r="L144" i="7" l="1"/>
  <c r="M144" i="7" s="1"/>
  <c r="K144" i="7"/>
  <c r="J145" i="7"/>
  <c r="L145" i="7" l="1"/>
  <c r="M145" i="7" s="1"/>
  <c r="K145" i="7"/>
  <c r="J146" i="7"/>
  <c r="L146" i="7" l="1"/>
  <c r="M146" i="7" s="1"/>
  <c r="K146" i="7"/>
  <c r="J147" i="7"/>
  <c r="L147" i="7" l="1"/>
  <c r="M147" i="7" s="1"/>
  <c r="K147" i="7"/>
  <c r="J148" i="7"/>
  <c r="L148" i="7" l="1"/>
  <c r="M148" i="7" s="1"/>
  <c r="K148" i="7"/>
  <c r="J149" i="7"/>
  <c r="L149" i="7" l="1"/>
  <c r="M149" i="7" s="1"/>
  <c r="K149" i="7"/>
  <c r="J150" i="7"/>
  <c r="L150" i="7" l="1"/>
  <c r="M150" i="7" s="1"/>
  <c r="K150" i="7"/>
  <c r="J151" i="7"/>
  <c r="L151" i="7" l="1"/>
  <c r="M151" i="7" s="1"/>
  <c r="K151" i="7"/>
  <c r="J152" i="7"/>
  <c r="L152" i="7" l="1"/>
  <c r="M152" i="7" s="1"/>
  <c r="K152" i="7"/>
  <c r="J153" i="7"/>
  <c r="K153" i="7" l="1"/>
  <c r="L153" i="7"/>
  <c r="M153" i="7" s="1"/>
  <c r="J154" i="7"/>
  <c r="L154" i="7" l="1"/>
  <c r="M154" i="7" s="1"/>
  <c r="K154" i="7"/>
  <c r="J155" i="7"/>
  <c r="L155" i="7" l="1"/>
  <c r="M155" i="7" s="1"/>
  <c r="K155" i="7"/>
  <c r="J156" i="7"/>
  <c r="L156" i="7" l="1"/>
  <c r="M156" i="7" s="1"/>
  <c r="K156" i="7"/>
  <c r="J157" i="7"/>
  <c r="L157" i="7" l="1"/>
  <c r="M157" i="7" s="1"/>
  <c r="K157" i="7"/>
  <c r="J158" i="7"/>
  <c r="L158" i="7" l="1"/>
  <c r="M158" i="7" s="1"/>
  <c r="K158" i="7"/>
  <c r="J159" i="7"/>
  <c r="L159" i="7" l="1"/>
  <c r="M159" i="7" s="1"/>
  <c r="K159" i="7"/>
  <c r="J160" i="7"/>
  <c r="L160" i="7" l="1"/>
  <c r="M160" i="7" s="1"/>
  <c r="K160" i="7"/>
  <c r="J161" i="7"/>
  <c r="K161" i="7" l="1"/>
  <c r="L161" i="7"/>
  <c r="M161" i="7" s="1"/>
  <c r="J162" i="7"/>
  <c r="L162" i="7" l="1"/>
  <c r="M162" i="7" s="1"/>
  <c r="K162" i="7"/>
  <c r="J163" i="7"/>
  <c r="K163" i="7" l="1"/>
  <c r="L163" i="7"/>
  <c r="M163" i="7" s="1"/>
  <c r="J164" i="7"/>
  <c r="L164" i="7" l="1"/>
  <c r="M164" i="7" s="1"/>
  <c r="K164" i="7"/>
  <c r="J165" i="7"/>
  <c r="K165" i="7" l="1"/>
  <c r="L165" i="7"/>
  <c r="M165" i="7" s="1"/>
  <c r="J166" i="7"/>
  <c r="K166" i="7" l="1"/>
  <c r="L166" i="7"/>
  <c r="M166" i="7" s="1"/>
  <c r="J167" i="7"/>
  <c r="K167" i="7" l="1"/>
  <c r="L167" i="7"/>
  <c r="M167" i="7" s="1"/>
  <c r="J168" i="7"/>
  <c r="K168" i="7" l="1"/>
  <c r="L168" i="7"/>
  <c r="M168" i="7" s="1"/>
  <c r="J169" i="7"/>
  <c r="K169" i="7" l="1"/>
  <c r="L169" i="7"/>
  <c r="M169" i="7" s="1"/>
  <c r="J170" i="7"/>
  <c r="L170" i="7" l="1"/>
  <c r="M170" i="7" s="1"/>
  <c r="K170" i="7"/>
  <c r="J171" i="7"/>
  <c r="K171" i="7" l="1"/>
  <c r="L171" i="7"/>
  <c r="M171" i="7" s="1"/>
  <c r="J172" i="7"/>
  <c r="K172" i="7" l="1"/>
  <c r="L172" i="7"/>
  <c r="M172" i="7" s="1"/>
  <c r="J173" i="7"/>
  <c r="K173" i="7" l="1"/>
  <c r="L173" i="7"/>
  <c r="M173" i="7" s="1"/>
  <c r="J174" i="7"/>
  <c r="L174" i="7" l="1"/>
  <c r="M174" i="7" s="1"/>
  <c r="K174" i="7"/>
  <c r="J175" i="7"/>
  <c r="L175" i="7" l="1"/>
  <c r="M175" i="7" s="1"/>
  <c r="K175" i="7"/>
  <c r="J176" i="7"/>
  <c r="K176" i="7" l="1"/>
  <c r="L176" i="7"/>
  <c r="M176" i="7" s="1"/>
  <c r="J177" i="7"/>
  <c r="K177" i="7" l="1"/>
  <c r="L177" i="7"/>
  <c r="M177" i="7" s="1"/>
  <c r="J178" i="7"/>
  <c r="K178" i="7" l="1"/>
  <c r="L178" i="7"/>
  <c r="M178" i="7" s="1"/>
  <c r="J179" i="7"/>
  <c r="L179" i="7" l="1"/>
  <c r="M179" i="7" s="1"/>
  <c r="K179" i="7"/>
  <c r="J180" i="7"/>
  <c r="L180" i="7" l="1"/>
  <c r="M180" i="7" s="1"/>
  <c r="K180" i="7"/>
  <c r="J181" i="7"/>
  <c r="K181" i="7" l="1"/>
  <c r="L181" i="7"/>
  <c r="M181" i="7" s="1"/>
  <c r="J182" i="7"/>
  <c r="K182" i="7" l="1"/>
  <c r="L182" i="7"/>
  <c r="M182" i="7" s="1"/>
  <c r="J183" i="7"/>
  <c r="K183" i="7" l="1"/>
  <c r="L183" i="7"/>
  <c r="M183" i="7" s="1"/>
  <c r="J184" i="7"/>
  <c r="L184" i="7" l="1"/>
  <c r="M184" i="7" s="1"/>
  <c r="K184" i="7"/>
  <c r="J185" i="7"/>
  <c r="L185" i="7" l="1"/>
  <c r="M185" i="7" s="1"/>
  <c r="K185" i="7"/>
  <c r="J186" i="7"/>
  <c r="L186" i="7" l="1"/>
  <c r="M186" i="7" s="1"/>
  <c r="K186" i="7"/>
  <c r="J187" i="7"/>
  <c r="L187" i="7" l="1"/>
  <c r="M187" i="7" s="1"/>
  <c r="K187" i="7"/>
  <c r="J188" i="7"/>
  <c r="L188" i="7" l="1"/>
  <c r="M188" i="7" s="1"/>
  <c r="K188" i="7"/>
  <c r="J189" i="7"/>
  <c r="L189" i="7" l="1"/>
  <c r="M189" i="7" s="1"/>
  <c r="K189" i="7"/>
  <c r="J190" i="7"/>
  <c r="L190" i="7" l="1"/>
  <c r="M190" i="7" s="1"/>
  <c r="K190" i="7"/>
  <c r="J191" i="7"/>
  <c r="L191" i="7" l="1"/>
  <c r="M191" i="7" s="1"/>
  <c r="K191" i="7"/>
  <c r="J192" i="7"/>
  <c r="L192" i="7" l="1"/>
  <c r="M192" i="7" s="1"/>
  <c r="K192" i="7"/>
  <c r="J193" i="7"/>
  <c r="L193" i="7" l="1"/>
  <c r="M193" i="7" s="1"/>
  <c r="K193" i="7"/>
  <c r="J194" i="7"/>
  <c r="L194" i="7" l="1"/>
  <c r="M194" i="7" s="1"/>
  <c r="K194" i="7"/>
  <c r="J195" i="7"/>
  <c r="L195" i="7" l="1"/>
  <c r="M195" i="7" s="1"/>
  <c r="K195" i="7"/>
  <c r="J196" i="7"/>
  <c r="L196" i="7" l="1"/>
  <c r="M196" i="7" s="1"/>
  <c r="K196" i="7"/>
  <c r="J197" i="7"/>
  <c r="L197" i="7" l="1"/>
  <c r="M197" i="7" s="1"/>
  <c r="K197" i="7"/>
  <c r="J198" i="7"/>
  <c r="L198" i="7" l="1"/>
  <c r="M198" i="7" s="1"/>
  <c r="K198" i="7"/>
  <c r="J199" i="7"/>
  <c r="L199" i="7" l="1"/>
  <c r="M199" i="7" s="1"/>
  <c r="K199" i="7"/>
  <c r="J200" i="7"/>
  <c r="L200" i="7" l="1"/>
  <c r="M200" i="7" s="1"/>
  <c r="K200" i="7"/>
  <c r="J201" i="7"/>
  <c r="L201" i="7" l="1"/>
  <c r="M201" i="7" s="1"/>
  <c r="K201" i="7"/>
  <c r="J202" i="7"/>
  <c r="L202" i="7" l="1"/>
  <c r="M202" i="7" s="1"/>
  <c r="K202" i="7"/>
  <c r="J203" i="7"/>
  <c r="L203" i="7" l="1"/>
  <c r="M203" i="7" s="1"/>
  <c r="K203" i="7"/>
  <c r="J204" i="7"/>
  <c r="L204" i="7" l="1"/>
  <c r="M204" i="7" s="1"/>
  <c r="K204" i="7"/>
  <c r="J205" i="7"/>
  <c r="L205" i="7" l="1"/>
  <c r="M205" i="7" s="1"/>
  <c r="K205" i="7"/>
  <c r="J206" i="7"/>
  <c r="L206" i="7" l="1"/>
  <c r="M206" i="7" s="1"/>
  <c r="K206" i="7"/>
  <c r="J207" i="7"/>
  <c r="L207" i="7" l="1"/>
  <c r="M207" i="7" s="1"/>
  <c r="K207" i="7"/>
  <c r="J208" i="7"/>
  <c r="L208" i="7" l="1"/>
  <c r="M208" i="7" s="1"/>
  <c r="K208" i="7"/>
  <c r="J209" i="7"/>
  <c r="L209" i="7" l="1"/>
  <c r="M209" i="7" s="1"/>
  <c r="K209" i="7"/>
  <c r="J210" i="7"/>
  <c r="L210" i="7" l="1"/>
  <c r="M210" i="7" s="1"/>
  <c r="K210" i="7"/>
  <c r="J211" i="7"/>
  <c r="L211" i="7" l="1"/>
  <c r="M211" i="7" s="1"/>
  <c r="K211" i="7"/>
  <c r="J212" i="7"/>
  <c r="L212" i="7" l="1"/>
  <c r="M212" i="7" s="1"/>
  <c r="K212" i="7"/>
  <c r="J213" i="7"/>
  <c r="L213" i="7" l="1"/>
  <c r="M213" i="7" s="1"/>
  <c r="K213" i="7"/>
  <c r="J214" i="7"/>
  <c r="L214" i="7" l="1"/>
  <c r="M214" i="7" s="1"/>
  <c r="K214" i="7"/>
  <c r="J215" i="7"/>
  <c r="L215" i="7" l="1"/>
  <c r="M215" i="7" s="1"/>
  <c r="K215" i="7"/>
  <c r="J216" i="7"/>
  <c r="L216" i="7" l="1"/>
  <c r="M216" i="7" s="1"/>
  <c r="K216" i="7"/>
  <c r="J217" i="7"/>
  <c r="L217" i="7" l="1"/>
  <c r="M217" i="7" s="1"/>
  <c r="K217" i="7"/>
  <c r="J218" i="7"/>
  <c r="L218" i="7" l="1"/>
  <c r="M218" i="7" s="1"/>
  <c r="K218" i="7"/>
  <c r="J219" i="7"/>
  <c r="L219" i="7" l="1"/>
  <c r="M219" i="7" s="1"/>
  <c r="K219" i="7"/>
  <c r="J220" i="7"/>
  <c r="L220" i="7" l="1"/>
  <c r="M220" i="7" s="1"/>
  <c r="K220" i="7"/>
  <c r="J221" i="7"/>
  <c r="L221" i="7" l="1"/>
  <c r="M221" i="7" s="1"/>
  <c r="K221" i="7"/>
  <c r="J222" i="7"/>
  <c r="L222" i="7" l="1"/>
  <c r="M222" i="7" s="1"/>
  <c r="K222" i="7"/>
  <c r="J223" i="7"/>
  <c r="L223" i="7" l="1"/>
  <c r="M223" i="7" s="1"/>
  <c r="K223" i="7"/>
  <c r="J224" i="7"/>
  <c r="L224" i="7" l="1"/>
  <c r="M224" i="7" s="1"/>
  <c r="K224" i="7"/>
  <c r="J225" i="7"/>
  <c r="L225" i="7" l="1"/>
  <c r="M225" i="7" s="1"/>
  <c r="K225" i="7"/>
  <c r="J226" i="7"/>
  <c r="L226" i="7" l="1"/>
  <c r="M226" i="7" s="1"/>
  <c r="K226" i="7"/>
  <c r="J227" i="7"/>
  <c r="L227" i="7" l="1"/>
  <c r="M227" i="7" s="1"/>
  <c r="K227" i="7"/>
  <c r="J228" i="7"/>
  <c r="L228" i="7" l="1"/>
  <c r="M228" i="7" s="1"/>
  <c r="K228" i="7"/>
  <c r="J229" i="7"/>
  <c r="L229" i="7" l="1"/>
  <c r="M229" i="7" s="1"/>
  <c r="K229" i="7"/>
  <c r="J230" i="7"/>
  <c r="L230" i="7" l="1"/>
  <c r="M230" i="7" s="1"/>
  <c r="K230" i="7"/>
  <c r="J231" i="7"/>
  <c r="L231" i="7" l="1"/>
  <c r="M231" i="7" s="1"/>
  <c r="K231" i="7"/>
  <c r="J232" i="7"/>
  <c r="L232" i="7" l="1"/>
  <c r="M232" i="7" s="1"/>
  <c r="K232" i="7"/>
  <c r="J233" i="7"/>
  <c r="L233" i="7" l="1"/>
  <c r="M233" i="7" s="1"/>
  <c r="K233" i="7"/>
  <c r="J234" i="7"/>
  <c r="L234" i="7" l="1"/>
  <c r="M234" i="7" s="1"/>
  <c r="K234" i="7"/>
  <c r="J235" i="7"/>
  <c r="L235" i="7" l="1"/>
  <c r="M235" i="7" s="1"/>
  <c r="K235" i="7"/>
  <c r="J236" i="7"/>
  <c r="L236" i="7" l="1"/>
  <c r="M236" i="7" s="1"/>
  <c r="K236" i="7"/>
  <c r="J237" i="7"/>
  <c r="L237" i="7" l="1"/>
  <c r="M237" i="7" s="1"/>
  <c r="K237" i="7"/>
  <c r="J238" i="7"/>
  <c r="L238" i="7" l="1"/>
  <c r="M238" i="7" s="1"/>
  <c r="K238" i="7"/>
  <c r="J239" i="7"/>
  <c r="L239" i="7" l="1"/>
  <c r="M239" i="7" s="1"/>
  <c r="K239" i="7"/>
  <c r="J240" i="7"/>
  <c r="L240" i="7" l="1"/>
  <c r="M240" i="7" s="1"/>
  <c r="K240" i="7"/>
  <c r="J241" i="7"/>
  <c r="L241" i="7" l="1"/>
  <c r="M241" i="7" s="1"/>
  <c r="K241" i="7"/>
  <c r="J242" i="7"/>
  <c r="L242" i="7" l="1"/>
  <c r="M242" i="7" s="1"/>
  <c r="K242" i="7"/>
  <c r="J243" i="7"/>
  <c r="L243" i="7" l="1"/>
  <c r="M243" i="7" s="1"/>
  <c r="K243" i="7"/>
  <c r="J244" i="7"/>
  <c r="L244" i="7" l="1"/>
  <c r="M244" i="7" s="1"/>
  <c r="K244" i="7"/>
  <c r="J245" i="7"/>
  <c r="L245" i="7" l="1"/>
  <c r="M245" i="7" s="1"/>
  <c r="K245" i="7"/>
  <c r="J246" i="7"/>
  <c r="L246" i="7" l="1"/>
  <c r="M246" i="7" s="1"/>
  <c r="K246" i="7"/>
  <c r="J247" i="7"/>
  <c r="L247" i="7" l="1"/>
  <c r="M247" i="7" s="1"/>
  <c r="K247" i="7"/>
  <c r="J248" i="7"/>
  <c r="L248" i="7" l="1"/>
  <c r="M248" i="7" s="1"/>
  <c r="K248" i="7"/>
  <c r="J249" i="7"/>
  <c r="L249" i="7" l="1"/>
  <c r="M249" i="7" s="1"/>
  <c r="K249" i="7"/>
  <c r="J250" i="7"/>
  <c r="L250" i="7" l="1"/>
  <c r="M250" i="7" s="1"/>
  <c r="K250" i="7"/>
  <c r="J251" i="7"/>
  <c r="L251" i="7" l="1"/>
  <c r="M251" i="7" s="1"/>
  <c r="K251" i="7"/>
  <c r="J252" i="7"/>
  <c r="L252" i="7" l="1"/>
  <c r="M252" i="7" s="1"/>
  <c r="K252" i="7"/>
  <c r="J253" i="7"/>
  <c r="L253" i="7" l="1"/>
  <c r="M253" i="7" s="1"/>
  <c r="K253" i="7"/>
  <c r="J254" i="7"/>
  <c r="L254" i="7" l="1"/>
  <c r="M254" i="7" s="1"/>
  <c r="K254" i="7"/>
  <c r="J255" i="7"/>
  <c r="L255" i="7" l="1"/>
  <c r="M255" i="7" s="1"/>
  <c r="K255" i="7"/>
  <c r="J256" i="7"/>
  <c r="L256" i="7" l="1"/>
  <c r="M256" i="7" s="1"/>
  <c r="K256" i="7"/>
  <c r="J257" i="7"/>
  <c r="L257" i="7" l="1"/>
  <c r="M257" i="7" s="1"/>
  <c r="K257" i="7"/>
  <c r="J258" i="7"/>
  <c r="L258" i="7" l="1"/>
  <c r="M258" i="7" s="1"/>
  <c r="K258" i="7"/>
  <c r="J259" i="7"/>
  <c r="L259" i="7" l="1"/>
  <c r="M259" i="7" s="1"/>
  <c r="K259" i="7"/>
  <c r="J260" i="7"/>
  <c r="L260" i="7" l="1"/>
  <c r="M260" i="7" s="1"/>
  <c r="K260" i="7"/>
  <c r="J261" i="7"/>
  <c r="L261" i="7" l="1"/>
  <c r="M261" i="7" s="1"/>
  <c r="K261" i="7"/>
  <c r="J262" i="7"/>
  <c r="L262" i="7" l="1"/>
  <c r="M262" i="7" s="1"/>
  <c r="K262" i="7"/>
  <c r="J263" i="7"/>
  <c r="L263" i="7" l="1"/>
  <c r="M263" i="7" s="1"/>
  <c r="K263" i="7"/>
  <c r="J264" i="7"/>
  <c r="L264" i="7" l="1"/>
  <c r="M264" i="7" s="1"/>
  <c r="K264" i="7"/>
  <c r="J265" i="7"/>
  <c r="L265" i="7" l="1"/>
  <c r="M265" i="7" s="1"/>
  <c r="K265" i="7"/>
  <c r="J266" i="7"/>
  <c r="L266" i="7" l="1"/>
  <c r="M266" i="7" s="1"/>
  <c r="K266" i="7"/>
  <c r="J267" i="7"/>
  <c r="L267" i="7" l="1"/>
  <c r="M267" i="7" s="1"/>
  <c r="K267" i="7"/>
  <c r="J268" i="7"/>
  <c r="L268" i="7" l="1"/>
  <c r="M268" i="7" s="1"/>
  <c r="K268" i="7"/>
  <c r="J269" i="7"/>
  <c r="L269" i="7" l="1"/>
  <c r="M269" i="7" s="1"/>
  <c r="K269" i="7"/>
  <c r="J270" i="7"/>
  <c r="L270" i="7" l="1"/>
  <c r="M270" i="7" s="1"/>
  <c r="K270" i="7"/>
  <c r="J271" i="7"/>
  <c r="L271" i="7" l="1"/>
  <c r="M271" i="7" s="1"/>
  <c r="K271" i="7"/>
  <c r="J272" i="7"/>
  <c r="L272" i="7" l="1"/>
  <c r="M272" i="7" s="1"/>
  <c r="K272" i="7"/>
  <c r="J273" i="7"/>
  <c r="L273" i="7" l="1"/>
  <c r="M273" i="7" s="1"/>
  <c r="K273" i="7"/>
  <c r="J274" i="7"/>
  <c r="L274" i="7" l="1"/>
  <c r="M274" i="7" s="1"/>
  <c r="K274" i="7"/>
  <c r="J275" i="7"/>
  <c r="L275" i="7" l="1"/>
  <c r="M275" i="7" s="1"/>
  <c r="K275" i="7"/>
  <c r="J276" i="7"/>
  <c r="L276" i="7" l="1"/>
  <c r="M276" i="7" s="1"/>
  <c r="K276" i="7"/>
  <c r="J277" i="7"/>
  <c r="L277" i="7" l="1"/>
  <c r="M277" i="7" s="1"/>
  <c r="K277" i="7"/>
  <c r="J278" i="7"/>
  <c r="L278" i="7" l="1"/>
  <c r="M278" i="7" s="1"/>
  <c r="K278" i="7"/>
  <c r="J279" i="7"/>
  <c r="L279" i="7" l="1"/>
  <c r="M279" i="7" s="1"/>
  <c r="K279" i="7"/>
  <c r="J280" i="7"/>
  <c r="L280" i="7" l="1"/>
  <c r="M280" i="7" s="1"/>
  <c r="K280" i="7"/>
  <c r="J281" i="7"/>
  <c r="L281" i="7" l="1"/>
  <c r="M281" i="7" s="1"/>
  <c r="K281" i="7"/>
  <c r="J282" i="7"/>
  <c r="L282" i="7" l="1"/>
  <c r="M282" i="7" s="1"/>
  <c r="K282" i="7"/>
  <c r="J283" i="7"/>
  <c r="L283" i="7" l="1"/>
  <c r="M283" i="7" s="1"/>
  <c r="K283" i="7"/>
  <c r="J284" i="7"/>
  <c r="L284" i="7" l="1"/>
  <c r="M284" i="7" s="1"/>
  <c r="K284" i="7"/>
  <c r="J285" i="7"/>
  <c r="L285" i="7" l="1"/>
  <c r="M285" i="7" s="1"/>
  <c r="K285" i="7"/>
  <c r="J286" i="7"/>
  <c r="L286" i="7" l="1"/>
  <c r="M286" i="7" s="1"/>
  <c r="K286" i="7"/>
  <c r="J287" i="7"/>
  <c r="L287" i="7" l="1"/>
  <c r="M287" i="7" s="1"/>
  <c r="K287" i="7"/>
  <c r="J288" i="7"/>
  <c r="L288" i="7" l="1"/>
  <c r="M288" i="7" s="1"/>
  <c r="K288" i="7"/>
  <c r="J289" i="7"/>
  <c r="L289" i="7" l="1"/>
  <c r="M289" i="7" s="1"/>
  <c r="K289" i="7"/>
  <c r="J290" i="7"/>
  <c r="L290" i="7" l="1"/>
  <c r="M290" i="7" s="1"/>
  <c r="K290" i="7"/>
  <c r="J291" i="7"/>
  <c r="L291" i="7" l="1"/>
  <c r="M291" i="7" s="1"/>
  <c r="K291" i="7"/>
  <c r="J292" i="7"/>
  <c r="L292" i="7" l="1"/>
  <c r="M292" i="7" s="1"/>
  <c r="K292" i="7"/>
  <c r="J293" i="7"/>
  <c r="L293" i="7" l="1"/>
  <c r="M293" i="7" s="1"/>
  <c r="K293" i="7"/>
  <c r="J294" i="7"/>
  <c r="L294" i="7" l="1"/>
  <c r="M294" i="7" s="1"/>
  <c r="K294" i="7"/>
  <c r="J295" i="7"/>
  <c r="L295" i="7" l="1"/>
  <c r="M295" i="7" s="1"/>
  <c r="K295" i="7"/>
  <c r="J296" i="7"/>
  <c r="L296" i="7" l="1"/>
  <c r="M296" i="7" s="1"/>
  <c r="K296" i="7"/>
  <c r="J297" i="7"/>
  <c r="L297" i="7" l="1"/>
  <c r="M297" i="7" s="1"/>
  <c r="K297" i="7"/>
  <c r="J298" i="7"/>
  <c r="L298" i="7" l="1"/>
  <c r="M298" i="7" s="1"/>
  <c r="K298" i="7"/>
  <c r="J299" i="7"/>
  <c r="L299" i="7" l="1"/>
  <c r="M299" i="7" s="1"/>
  <c r="K299" i="7"/>
  <c r="J300" i="7"/>
  <c r="L300" i="7" l="1"/>
  <c r="M300" i="7" s="1"/>
  <c r="K300" i="7"/>
  <c r="J301" i="7"/>
  <c r="L301" i="7" l="1"/>
  <c r="M301" i="7" s="1"/>
  <c r="K301" i="7"/>
  <c r="J302" i="7"/>
  <c r="L302" i="7" l="1"/>
  <c r="M302" i="7" s="1"/>
  <c r="K302" i="7"/>
  <c r="J303" i="7"/>
  <c r="L303" i="7" l="1"/>
  <c r="M303" i="7" s="1"/>
  <c r="K303" i="7"/>
  <c r="J304" i="7"/>
  <c r="L304" i="7" l="1"/>
  <c r="M304" i="7" s="1"/>
  <c r="K304" i="7"/>
  <c r="J305" i="7"/>
  <c r="L305" i="7" l="1"/>
  <c r="M305" i="7" s="1"/>
  <c r="K305" i="7"/>
  <c r="J306" i="7"/>
  <c r="L306" i="7" l="1"/>
  <c r="M306" i="7" s="1"/>
  <c r="K306" i="7"/>
  <c r="J307" i="7"/>
  <c r="L307" i="7" l="1"/>
  <c r="M307" i="7" s="1"/>
  <c r="K307" i="7"/>
  <c r="J308" i="7"/>
  <c r="L308" i="7" l="1"/>
  <c r="M308" i="7" s="1"/>
  <c r="K308" i="7"/>
  <c r="J309" i="7"/>
  <c r="L309" i="7" l="1"/>
  <c r="M309" i="7" s="1"/>
  <c r="K309" i="7"/>
  <c r="J310" i="7"/>
  <c r="L310" i="7" l="1"/>
  <c r="M310" i="7" s="1"/>
  <c r="K310" i="7"/>
  <c r="J311" i="7"/>
  <c r="L311" i="7" l="1"/>
  <c r="M311" i="7" s="1"/>
  <c r="K311" i="7"/>
  <c r="J312" i="7"/>
  <c r="L312" i="7" l="1"/>
  <c r="M312" i="7" s="1"/>
  <c r="K312" i="7"/>
  <c r="J313" i="7"/>
  <c r="L313" i="7" l="1"/>
  <c r="M313" i="7" s="1"/>
  <c r="K313" i="7"/>
  <c r="J314" i="7"/>
  <c r="L314" i="7" l="1"/>
  <c r="M314" i="7" s="1"/>
  <c r="K314" i="7"/>
  <c r="J315" i="7"/>
  <c r="L315" i="7" l="1"/>
  <c r="M315" i="7" s="1"/>
  <c r="K315" i="7"/>
  <c r="J316" i="7"/>
  <c r="L316" i="7" l="1"/>
  <c r="M316" i="7" s="1"/>
  <c r="K316" i="7"/>
  <c r="J317" i="7"/>
  <c r="L317" i="7" l="1"/>
  <c r="M317" i="7" s="1"/>
  <c r="K317" i="7"/>
  <c r="J318" i="7"/>
  <c r="L318" i="7" l="1"/>
  <c r="M318" i="7" s="1"/>
  <c r="K318" i="7"/>
  <c r="J319" i="7"/>
  <c r="L319" i="7" l="1"/>
  <c r="M319" i="7" s="1"/>
  <c r="K319" i="7"/>
  <c r="J320" i="7"/>
  <c r="L320" i="7" l="1"/>
  <c r="M320" i="7" s="1"/>
  <c r="K320" i="7"/>
  <c r="J321" i="7"/>
  <c r="L321" i="7" l="1"/>
  <c r="M321" i="7" s="1"/>
  <c r="K321" i="7"/>
  <c r="J322" i="7"/>
  <c r="L322" i="7" l="1"/>
  <c r="M322" i="7" s="1"/>
  <c r="K322" i="7"/>
  <c r="J323" i="7"/>
  <c r="L323" i="7" l="1"/>
  <c r="M323" i="7" s="1"/>
  <c r="K323" i="7"/>
  <c r="J324" i="7"/>
  <c r="L324" i="7" l="1"/>
  <c r="M324" i="7" s="1"/>
  <c r="K324" i="7"/>
  <c r="J325" i="7"/>
  <c r="L325" i="7" l="1"/>
  <c r="M325" i="7" s="1"/>
  <c r="K325" i="7"/>
  <c r="J326" i="7"/>
  <c r="L326" i="7" l="1"/>
  <c r="M326" i="7" s="1"/>
  <c r="K326" i="7"/>
  <c r="J327" i="7"/>
  <c r="L327" i="7" l="1"/>
  <c r="M327" i="7" s="1"/>
  <c r="K327" i="7"/>
  <c r="J328" i="7"/>
  <c r="L328" i="7" l="1"/>
  <c r="M328" i="7" s="1"/>
  <c r="K328" i="7"/>
  <c r="J329" i="7"/>
  <c r="L329" i="7" l="1"/>
  <c r="M329" i="7" s="1"/>
  <c r="K329" i="7"/>
  <c r="J330" i="7"/>
  <c r="L330" i="7" l="1"/>
  <c r="M330" i="7" s="1"/>
  <c r="K330" i="7"/>
  <c r="J331" i="7"/>
  <c r="L331" i="7" l="1"/>
  <c r="M331" i="7" s="1"/>
  <c r="K331" i="7"/>
  <c r="J332" i="7"/>
  <c r="L332" i="7" l="1"/>
  <c r="M332" i="7" s="1"/>
  <c r="K332" i="7"/>
  <c r="J333" i="7"/>
  <c r="L333" i="7" l="1"/>
  <c r="M333" i="7" s="1"/>
  <c r="K333" i="7"/>
  <c r="J334" i="7"/>
  <c r="L334" i="7" l="1"/>
  <c r="M334" i="7" s="1"/>
  <c r="K334" i="7"/>
  <c r="J335" i="7"/>
  <c r="L335" i="7" l="1"/>
  <c r="M335" i="7" s="1"/>
  <c r="K335" i="7"/>
  <c r="J336" i="7"/>
  <c r="L336" i="7" l="1"/>
  <c r="M336" i="7" s="1"/>
  <c r="K336" i="7"/>
  <c r="J337" i="7"/>
  <c r="L337" i="7" l="1"/>
  <c r="M337" i="7" s="1"/>
  <c r="K337" i="7"/>
  <c r="J338" i="7"/>
  <c r="L338" i="7" l="1"/>
  <c r="M338" i="7" s="1"/>
  <c r="K338" i="7"/>
  <c r="J339" i="7"/>
  <c r="L339" i="7" l="1"/>
  <c r="M339" i="7" s="1"/>
  <c r="K339" i="7"/>
  <c r="J340" i="7"/>
  <c r="L340" i="7" l="1"/>
  <c r="M340" i="7" s="1"/>
  <c r="K340" i="7"/>
  <c r="J341" i="7"/>
  <c r="L341" i="7" l="1"/>
  <c r="M341" i="7" s="1"/>
  <c r="K341" i="7"/>
  <c r="J342" i="7"/>
  <c r="L342" i="7" l="1"/>
  <c r="M342" i="7" s="1"/>
  <c r="K342" i="7"/>
  <c r="J343" i="7"/>
  <c r="L343" i="7" l="1"/>
  <c r="M343" i="7" s="1"/>
  <c r="K343" i="7"/>
  <c r="J344" i="7"/>
  <c r="L344" i="7" l="1"/>
  <c r="M344" i="7" s="1"/>
  <c r="K344" i="7"/>
  <c r="J345" i="7"/>
  <c r="L345" i="7" l="1"/>
  <c r="M345" i="7" s="1"/>
  <c r="K345" i="7"/>
  <c r="J346" i="7"/>
  <c r="L346" i="7" l="1"/>
  <c r="M346" i="7" s="1"/>
  <c r="K346" i="7"/>
  <c r="J347" i="7"/>
  <c r="L347" i="7" l="1"/>
  <c r="M347" i="7" s="1"/>
  <c r="K347" i="7"/>
  <c r="J348" i="7"/>
  <c r="L348" i="7" l="1"/>
  <c r="M348" i="7" s="1"/>
  <c r="K348" i="7"/>
  <c r="J349" i="7"/>
  <c r="L349" i="7" l="1"/>
  <c r="M349" i="7" s="1"/>
  <c r="K349" i="7"/>
  <c r="J350" i="7"/>
  <c r="L350" i="7" l="1"/>
  <c r="M350" i="7" s="1"/>
  <c r="K350" i="7"/>
  <c r="J351" i="7"/>
  <c r="L351" i="7" l="1"/>
  <c r="M351" i="7" s="1"/>
  <c r="K351" i="7"/>
  <c r="J352" i="7"/>
  <c r="L352" i="7" l="1"/>
  <c r="M352" i="7" s="1"/>
  <c r="K352" i="7"/>
  <c r="J353" i="7"/>
  <c r="L353" i="7" l="1"/>
  <c r="M353" i="7" s="1"/>
  <c r="K353" i="7"/>
  <c r="J354" i="7"/>
  <c r="L354" i="7" l="1"/>
  <c r="M354" i="7" s="1"/>
  <c r="K354" i="7"/>
  <c r="J355" i="7"/>
  <c r="L355" i="7" l="1"/>
  <c r="M355" i="7" s="1"/>
  <c r="K355" i="7"/>
  <c r="J356" i="7"/>
  <c r="L356" i="7" l="1"/>
  <c r="M356" i="7" s="1"/>
  <c r="K356" i="7"/>
  <c r="J357" i="7"/>
  <c r="L357" i="7" l="1"/>
  <c r="M357" i="7" s="1"/>
  <c r="K357" i="7"/>
  <c r="J358" i="7"/>
  <c r="L358" i="7" l="1"/>
  <c r="M358" i="7" s="1"/>
  <c r="K358" i="7"/>
  <c r="J359" i="7"/>
  <c r="L359" i="7" l="1"/>
  <c r="M359" i="7" s="1"/>
  <c r="K359" i="7"/>
  <c r="J360" i="7"/>
  <c r="L360" i="7" l="1"/>
  <c r="M360" i="7" s="1"/>
  <c r="K360" i="7"/>
  <c r="J361" i="7"/>
  <c r="L361" i="7" l="1"/>
  <c r="M361" i="7" s="1"/>
  <c r="K361" i="7"/>
  <c r="J362" i="7"/>
  <c r="L362" i="7" l="1"/>
  <c r="M362" i="7" s="1"/>
  <c r="K362" i="7"/>
  <c r="J363" i="7"/>
  <c r="L363" i="7" l="1"/>
  <c r="M363" i="7" s="1"/>
  <c r="K363" i="7"/>
  <c r="J364" i="7"/>
  <c r="L364" i="7" l="1"/>
  <c r="M364" i="7" s="1"/>
  <c r="K364" i="7"/>
  <c r="J365" i="7"/>
  <c r="L365" i="7" l="1"/>
  <c r="M365" i="7" s="1"/>
  <c r="K365" i="7"/>
  <c r="J366" i="7"/>
  <c r="L366" i="7" l="1"/>
  <c r="M366" i="7" s="1"/>
  <c r="K366" i="7"/>
  <c r="J367" i="7"/>
  <c r="L367" i="7" l="1"/>
  <c r="M367" i="7" s="1"/>
  <c r="K367" i="7"/>
  <c r="J368" i="7"/>
  <c r="L368" i="7" l="1"/>
  <c r="M368" i="7" s="1"/>
  <c r="K368" i="7"/>
  <c r="J369" i="7"/>
  <c r="L369" i="7" l="1"/>
  <c r="M369" i="7" s="1"/>
  <c r="K369" i="7"/>
  <c r="J370" i="7"/>
  <c r="L370" i="7" l="1"/>
  <c r="M370" i="7" s="1"/>
  <c r="K370" i="7"/>
  <c r="J371" i="7"/>
  <c r="L371" i="7" l="1"/>
  <c r="M371" i="7" s="1"/>
  <c r="K371" i="7"/>
  <c r="J372" i="7"/>
  <c r="L372" i="7" l="1"/>
  <c r="M372" i="7" s="1"/>
  <c r="K372" i="7"/>
  <c r="J373" i="7"/>
  <c r="L373" i="7" l="1"/>
  <c r="M373" i="7" s="1"/>
  <c r="K373" i="7"/>
  <c r="J374" i="7"/>
  <c r="L374" i="7" l="1"/>
  <c r="M374" i="7" s="1"/>
  <c r="K374" i="7"/>
  <c r="J375" i="7"/>
  <c r="L375" i="7" l="1"/>
  <c r="M375" i="7" s="1"/>
  <c r="K375" i="7"/>
  <c r="J376" i="7"/>
  <c r="L376" i="7" l="1"/>
  <c r="M376" i="7" s="1"/>
  <c r="K376" i="7"/>
  <c r="J377" i="7"/>
  <c r="L377" i="7" l="1"/>
  <c r="M377" i="7" s="1"/>
  <c r="K377" i="7"/>
  <c r="J378" i="7"/>
  <c r="L378" i="7" l="1"/>
  <c r="M378" i="7" s="1"/>
  <c r="K378" i="7"/>
  <c r="J379" i="7"/>
  <c r="L379" i="7" l="1"/>
  <c r="M379" i="7" s="1"/>
  <c r="K379" i="7"/>
  <c r="J380" i="7"/>
  <c r="L380" i="7" l="1"/>
  <c r="M380" i="7" s="1"/>
  <c r="K380" i="7"/>
  <c r="J381" i="7"/>
  <c r="L381" i="7" l="1"/>
  <c r="M381" i="7" s="1"/>
  <c r="K381" i="7"/>
  <c r="J382" i="7"/>
  <c r="L382" i="7" l="1"/>
  <c r="M382" i="7" s="1"/>
  <c r="K382" i="7"/>
  <c r="J383" i="7"/>
  <c r="L383" i="7" l="1"/>
  <c r="M383" i="7" s="1"/>
  <c r="K383" i="7"/>
  <c r="J384" i="7"/>
  <c r="L384" i="7" l="1"/>
  <c r="M384" i="7" s="1"/>
  <c r="K384" i="7"/>
  <c r="J385" i="7"/>
  <c r="L385" i="7" l="1"/>
  <c r="M385" i="7" s="1"/>
  <c r="K385" i="7"/>
  <c r="J386" i="7"/>
  <c r="L386" i="7" l="1"/>
  <c r="M386" i="7" s="1"/>
  <c r="K386" i="7"/>
  <c r="J387" i="7"/>
  <c r="L387" i="7" l="1"/>
  <c r="M387" i="7" s="1"/>
  <c r="K387" i="7"/>
  <c r="J388" i="7"/>
  <c r="L388" i="7" l="1"/>
  <c r="M388" i="7" s="1"/>
  <c r="K388" i="7"/>
  <c r="J389" i="7"/>
  <c r="L389" i="7" l="1"/>
  <c r="M389" i="7" s="1"/>
  <c r="K389" i="7"/>
  <c r="J390" i="7"/>
  <c r="L390" i="7" l="1"/>
  <c r="M390" i="7" s="1"/>
  <c r="K390" i="7"/>
  <c r="J391" i="7"/>
  <c r="L391" i="7" l="1"/>
  <c r="M391" i="7" s="1"/>
  <c r="K391" i="7"/>
  <c r="J392" i="7"/>
  <c r="L392" i="7" l="1"/>
  <c r="M392" i="7" s="1"/>
  <c r="K392" i="7"/>
  <c r="J393" i="7"/>
  <c r="L393" i="7" l="1"/>
  <c r="M393" i="7" s="1"/>
  <c r="K393" i="7"/>
  <c r="J394" i="7"/>
  <c r="L394" i="7" l="1"/>
  <c r="M394" i="7" s="1"/>
  <c r="K394" i="7"/>
  <c r="J395" i="7"/>
  <c r="L395" i="7" l="1"/>
  <c r="M395" i="7" s="1"/>
  <c r="K395" i="7"/>
  <c r="J396" i="7"/>
  <c r="L396" i="7" l="1"/>
  <c r="M396" i="7" s="1"/>
  <c r="K396" i="7"/>
  <c r="J397" i="7"/>
  <c r="L397" i="7" l="1"/>
  <c r="M397" i="7" s="1"/>
  <c r="K397" i="7"/>
  <c r="J398" i="7"/>
  <c r="L398" i="7" l="1"/>
  <c r="M398" i="7" s="1"/>
  <c r="K398" i="7"/>
  <c r="J399" i="7"/>
  <c r="L399" i="7" l="1"/>
  <c r="M399" i="7" s="1"/>
  <c r="K399" i="7"/>
  <c r="J400" i="7"/>
  <c r="L400" i="7" l="1"/>
  <c r="M400" i="7" s="1"/>
  <c r="K400" i="7"/>
  <c r="J401" i="7"/>
  <c r="L401" i="7" l="1"/>
  <c r="M401" i="7" s="1"/>
  <c r="K401" i="7"/>
  <c r="J402" i="7"/>
  <c r="K402" i="7" l="1"/>
  <c r="L402" i="7"/>
  <c r="M402" i="7" s="1"/>
  <c r="J403" i="7"/>
  <c r="L403" i="7" l="1"/>
  <c r="M403" i="7" s="1"/>
  <c r="K403" i="7"/>
  <c r="J404" i="7"/>
  <c r="L404" i="7" l="1"/>
  <c r="M404" i="7" s="1"/>
  <c r="K404" i="7"/>
  <c r="J405" i="7"/>
  <c r="L405" i="7" l="1"/>
  <c r="M405" i="7" s="1"/>
  <c r="K405" i="7"/>
  <c r="J406" i="7"/>
  <c r="L406" i="7" l="1"/>
  <c r="M406" i="7" s="1"/>
  <c r="K406" i="7"/>
  <c r="J407" i="7"/>
  <c r="L407" i="7" l="1"/>
  <c r="M407" i="7" s="1"/>
  <c r="K407" i="7"/>
  <c r="J408" i="7"/>
  <c r="L408" i="7" l="1"/>
  <c r="M408" i="7" s="1"/>
  <c r="K408" i="7"/>
  <c r="J409" i="7"/>
  <c r="L409" i="7" l="1"/>
  <c r="M409" i="7" s="1"/>
  <c r="K409" i="7"/>
  <c r="J410" i="7"/>
  <c r="K410" i="7" l="1"/>
  <c r="L410" i="7"/>
  <c r="M410" i="7" s="1"/>
  <c r="J411" i="7"/>
  <c r="L411" i="7" l="1"/>
  <c r="M411" i="7" s="1"/>
  <c r="K411" i="7"/>
  <c r="J412" i="7"/>
  <c r="L412" i="7" l="1"/>
  <c r="M412" i="7" s="1"/>
  <c r="K412" i="7"/>
  <c r="J413" i="7"/>
  <c r="L413" i="7" l="1"/>
  <c r="M413" i="7" s="1"/>
  <c r="K413" i="7"/>
  <c r="J414" i="7"/>
  <c r="L414" i="7" l="1"/>
  <c r="M414" i="7" s="1"/>
  <c r="K414" i="7"/>
  <c r="J415" i="7"/>
  <c r="L415" i="7" l="1"/>
  <c r="M415" i="7" s="1"/>
  <c r="K415" i="7"/>
  <c r="J416" i="7"/>
  <c r="L416" i="7" l="1"/>
  <c r="M416" i="7" s="1"/>
  <c r="K416" i="7"/>
  <c r="J417" i="7"/>
  <c r="L417" i="7" l="1"/>
  <c r="M417" i="7" s="1"/>
  <c r="K417" i="7"/>
  <c r="J418" i="7"/>
  <c r="K418" i="7" l="1"/>
  <c r="L418" i="7"/>
  <c r="M418" i="7" s="1"/>
  <c r="J419" i="7"/>
  <c r="L419" i="7" l="1"/>
  <c r="M419" i="7" s="1"/>
  <c r="K419" i="7"/>
  <c r="J420" i="7"/>
  <c r="L420" i="7" l="1"/>
  <c r="M420" i="7" s="1"/>
  <c r="K420" i="7"/>
  <c r="J421" i="7"/>
  <c r="L421" i="7" l="1"/>
  <c r="M421" i="7" s="1"/>
  <c r="K421" i="7"/>
  <c r="J422" i="7"/>
  <c r="L422" i="7" l="1"/>
  <c r="M422" i="7" s="1"/>
  <c r="K422" i="7"/>
  <c r="J423" i="7"/>
  <c r="L423" i="7" l="1"/>
  <c r="M423" i="7" s="1"/>
  <c r="K423" i="7"/>
  <c r="J424" i="7"/>
  <c r="L424" i="7" l="1"/>
  <c r="M424" i="7" s="1"/>
  <c r="K424" i="7"/>
  <c r="J425" i="7"/>
  <c r="L425" i="7" l="1"/>
  <c r="M425" i="7" s="1"/>
  <c r="K425" i="7"/>
  <c r="J426" i="7"/>
  <c r="K426" i="7" l="1"/>
  <c r="L426" i="7"/>
  <c r="M426" i="7" s="1"/>
  <c r="J427" i="7"/>
  <c r="L427" i="7" l="1"/>
  <c r="M427" i="7" s="1"/>
  <c r="K427" i="7"/>
  <c r="J428" i="7"/>
  <c r="L428" i="7" l="1"/>
  <c r="M428" i="7" s="1"/>
  <c r="K428" i="7"/>
  <c r="J429" i="7"/>
  <c r="L429" i="7" l="1"/>
  <c r="M429" i="7" s="1"/>
  <c r="K429" i="7"/>
  <c r="J430" i="7"/>
  <c r="L430" i="7" l="1"/>
  <c r="M430" i="7" s="1"/>
  <c r="K430" i="7"/>
  <c r="J431" i="7"/>
  <c r="L431" i="7" l="1"/>
  <c r="M431" i="7" s="1"/>
  <c r="K431" i="7"/>
  <c r="J432" i="7"/>
  <c r="L432" i="7" l="1"/>
  <c r="M432" i="7" s="1"/>
  <c r="K432" i="7"/>
  <c r="J433" i="7"/>
  <c r="L433" i="7" l="1"/>
  <c r="M433" i="7" s="1"/>
  <c r="K433" i="7"/>
  <c r="J434" i="7"/>
  <c r="K434" i="7" l="1"/>
  <c r="L434" i="7"/>
  <c r="M434" i="7" s="1"/>
  <c r="J435" i="7"/>
  <c r="L435" i="7" l="1"/>
  <c r="M435" i="7" s="1"/>
  <c r="K435" i="7"/>
  <c r="J436" i="7"/>
  <c r="L436" i="7" l="1"/>
  <c r="M436" i="7" s="1"/>
  <c r="K436" i="7"/>
  <c r="J437" i="7"/>
  <c r="L437" i="7" l="1"/>
  <c r="M437" i="7" s="1"/>
  <c r="K437" i="7"/>
  <c r="J438" i="7"/>
  <c r="L438" i="7" l="1"/>
  <c r="M438" i="7" s="1"/>
  <c r="K438" i="7"/>
  <c r="J439" i="7"/>
  <c r="L439" i="7" l="1"/>
  <c r="M439" i="7" s="1"/>
  <c r="K439" i="7"/>
  <c r="J440" i="7"/>
  <c r="L440" i="7" l="1"/>
  <c r="M440" i="7" s="1"/>
  <c r="K440" i="7"/>
  <c r="J441" i="7"/>
  <c r="L441" i="7" l="1"/>
  <c r="M441" i="7" s="1"/>
  <c r="K441" i="7"/>
  <c r="J442" i="7"/>
  <c r="K442" i="7" l="1"/>
  <c r="L442" i="7"/>
  <c r="M442" i="7" s="1"/>
  <c r="J443" i="7"/>
  <c r="L443" i="7" l="1"/>
  <c r="M443" i="7" s="1"/>
  <c r="K443" i="7"/>
  <c r="J444" i="7"/>
  <c r="L444" i="7" l="1"/>
  <c r="M444" i="7" s="1"/>
  <c r="K444" i="7"/>
  <c r="J445" i="7"/>
  <c r="L445" i="7" l="1"/>
  <c r="M445" i="7" s="1"/>
  <c r="K445" i="7"/>
  <c r="J446" i="7"/>
  <c r="L446" i="7" l="1"/>
  <c r="M446" i="7" s="1"/>
  <c r="K446" i="7"/>
  <c r="J447" i="7"/>
  <c r="L447" i="7" l="1"/>
  <c r="M447" i="7" s="1"/>
  <c r="K447" i="7"/>
  <c r="J448" i="7"/>
  <c r="L448" i="7" l="1"/>
  <c r="M448" i="7" s="1"/>
  <c r="K448" i="7"/>
  <c r="J449" i="7"/>
  <c r="L449" i="7" l="1"/>
  <c r="M449" i="7" s="1"/>
  <c r="K449" i="7"/>
  <c r="J450" i="7"/>
  <c r="K450" i="7" l="1"/>
  <c r="L450" i="7"/>
  <c r="M450" i="7" s="1"/>
  <c r="J451" i="7"/>
  <c r="L451" i="7" l="1"/>
  <c r="M451" i="7" s="1"/>
  <c r="K451" i="7"/>
  <c r="J452" i="7"/>
  <c r="L452" i="7" l="1"/>
  <c r="M452" i="7" s="1"/>
  <c r="K452" i="7"/>
  <c r="J453" i="7"/>
  <c r="L453" i="7" l="1"/>
  <c r="M453" i="7" s="1"/>
  <c r="K453" i="7"/>
  <c r="J454" i="7"/>
  <c r="L454" i="7" l="1"/>
  <c r="M454" i="7" s="1"/>
  <c r="K454" i="7"/>
  <c r="J455" i="7"/>
  <c r="L455" i="7" l="1"/>
  <c r="M455" i="7" s="1"/>
  <c r="K455" i="7"/>
  <c r="J456" i="7"/>
  <c r="L456" i="7" l="1"/>
  <c r="M456" i="7" s="1"/>
  <c r="K456" i="7"/>
  <c r="J457" i="7"/>
  <c r="L457" i="7" l="1"/>
  <c r="M457" i="7" s="1"/>
  <c r="K457" i="7"/>
  <c r="J458" i="7"/>
  <c r="K458" i="7" l="1"/>
  <c r="L458" i="7"/>
  <c r="M458" i="7" s="1"/>
  <c r="J459" i="7"/>
  <c r="L459" i="7" l="1"/>
  <c r="M459" i="7" s="1"/>
  <c r="K459" i="7"/>
  <c r="J460" i="7"/>
  <c r="L460" i="7" l="1"/>
  <c r="M460" i="7" s="1"/>
  <c r="K460" i="7"/>
  <c r="J461" i="7"/>
  <c r="L461" i="7" l="1"/>
  <c r="M461" i="7" s="1"/>
  <c r="K461" i="7"/>
  <c r="J462" i="7"/>
  <c r="L462" i="7" l="1"/>
  <c r="M462" i="7" s="1"/>
  <c r="K462" i="7"/>
  <c r="J463" i="7"/>
  <c r="L463" i="7" l="1"/>
  <c r="M463" i="7" s="1"/>
  <c r="K463" i="7"/>
  <c r="J464" i="7"/>
  <c r="L464" i="7" l="1"/>
  <c r="M464" i="7" s="1"/>
  <c r="K464" i="7"/>
  <c r="J465" i="7"/>
  <c r="L465" i="7" l="1"/>
  <c r="M465" i="7" s="1"/>
  <c r="K465" i="7"/>
  <c r="J466" i="7"/>
  <c r="K466" i="7" l="1"/>
  <c r="L466" i="7"/>
  <c r="M466" i="7" s="1"/>
  <c r="J467" i="7"/>
  <c r="L467" i="7" l="1"/>
  <c r="M467" i="7" s="1"/>
  <c r="K467" i="7"/>
  <c r="J468" i="7"/>
  <c r="L468" i="7" l="1"/>
  <c r="M468" i="7" s="1"/>
  <c r="K468" i="7"/>
  <c r="J469" i="7"/>
  <c r="K469" i="7" l="1"/>
  <c r="L469" i="7"/>
  <c r="M469" i="7" s="1"/>
  <c r="J470" i="7"/>
  <c r="L470" i="7" l="1"/>
  <c r="M470" i="7" s="1"/>
  <c r="K470" i="7"/>
  <c r="J471" i="7"/>
  <c r="L471" i="7" l="1"/>
  <c r="M471" i="7" s="1"/>
  <c r="K471" i="7"/>
  <c r="J472" i="7"/>
  <c r="L472" i="7" l="1"/>
  <c r="M472" i="7" s="1"/>
  <c r="K472" i="7"/>
  <c r="J473" i="7"/>
  <c r="L473" i="7" l="1"/>
  <c r="M473" i="7" s="1"/>
  <c r="K473" i="7"/>
  <c r="J474" i="7"/>
  <c r="K474" i="7" l="1"/>
  <c r="L474" i="7"/>
  <c r="M474" i="7" s="1"/>
  <c r="J475" i="7"/>
  <c r="L475" i="7" l="1"/>
  <c r="M475" i="7" s="1"/>
  <c r="K475" i="7"/>
  <c r="J476" i="7"/>
  <c r="L476" i="7" l="1"/>
  <c r="M476" i="7" s="1"/>
  <c r="K476" i="7"/>
  <c r="J477" i="7"/>
  <c r="L477" i="7" l="1"/>
  <c r="M477" i="7" s="1"/>
  <c r="K477" i="7"/>
  <c r="J478" i="7"/>
  <c r="L478" i="7" l="1"/>
  <c r="M478" i="7" s="1"/>
  <c r="K478" i="7"/>
  <c r="J479" i="7"/>
  <c r="L479" i="7" l="1"/>
  <c r="M479" i="7" s="1"/>
  <c r="K479" i="7"/>
  <c r="J480" i="7"/>
  <c r="L480" i="7" l="1"/>
  <c r="M480" i="7" s="1"/>
  <c r="K480" i="7"/>
  <c r="J481" i="7"/>
  <c r="L481" i="7" l="1"/>
  <c r="M481" i="7" s="1"/>
  <c r="K481" i="7"/>
  <c r="J482" i="7"/>
  <c r="K482" i="7" l="1"/>
  <c r="L482" i="7"/>
  <c r="M482" i="7" s="1"/>
  <c r="J483" i="7"/>
  <c r="L483" i="7" l="1"/>
  <c r="M483" i="7" s="1"/>
  <c r="K483" i="7"/>
  <c r="J484" i="7"/>
  <c r="L484" i="7" l="1"/>
  <c r="M484" i="7" s="1"/>
  <c r="K484" i="7"/>
  <c r="J485" i="7"/>
  <c r="L485" i="7" l="1"/>
  <c r="M485" i="7" s="1"/>
  <c r="K485" i="7"/>
  <c r="J486" i="7"/>
  <c r="L486" i="7" l="1"/>
  <c r="M486" i="7" s="1"/>
  <c r="K486" i="7"/>
  <c r="J487" i="7"/>
  <c r="K487" i="7" l="1"/>
  <c r="L487" i="7"/>
  <c r="M487" i="7" s="1"/>
  <c r="J488" i="7"/>
  <c r="L488" i="7" l="1"/>
  <c r="M488" i="7" s="1"/>
  <c r="K488" i="7"/>
  <c r="J489" i="7"/>
  <c r="L489" i="7" l="1"/>
  <c r="M489" i="7" s="1"/>
  <c r="K489" i="7"/>
  <c r="J490" i="7"/>
  <c r="K490" i="7" l="1"/>
  <c r="L490" i="7"/>
  <c r="M490" i="7" s="1"/>
  <c r="J491" i="7"/>
  <c r="L491" i="7" l="1"/>
  <c r="M491" i="7" s="1"/>
  <c r="K491" i="7"/>
  <c r="J492" i="7"/>
  <c r="L492" i="7" l="1"/>
  <c r="M492" i="7" s="1"/>
  <c r="K492" i="7"/>
  <c r="J493" i="7"/>
  <c r="K493" i="7" l="1"/>
  <c r="L493" i="7"/>
  <c r="M493" i="7" s="1"/>
  <c r="J494" i="7"/>
  <c r="L494" i="7" l="1"/>
  <c r="M494" i="7" s="1"/>
  <c r="K494" i="7"/>
  <c r="J495" i="7"/>
  <c r="L495" i="7" l="1"/>
  <c r="M495" i="7" s="1"/>
  <c r="K495" i="7"/>
  <c r="J496" i="7"/>
  <c r="K496" i="7" l="1"/>
  <c r="L496" i="7"/>
  <c r="M496" i="7" s="1"/>
  <c r="J497" i="7"/>
  <c r="L497" i="7" l="1"/>
  <c r="M497" i="7" s="1"/>
  <c r="K497" i="7"/>
  <c r="J498" i="7"/>
  <c r="K498" i="7" l="1"/>
  <c r="L498" i="7"/>
  <c r="M498" i="7" s="1"/>
  <c r="J499" i="7"/>
  <c r="L499" i="7" l="1"/>
  <c r="M499" i="7" s="1"/>
  <c r="K499" i="7"/>
  <c r="J500" i="7"/>
  <c r="L500" i="7" l="1"/>
  <c r="M500" i="7" s="1"/>
  <c r="K500" i="7"/>
  <c r="J501" i="7"/>
  <c r="L501" i="7" l="1"/>
  <c r="M501" i="7" s="1"/>
  <c r="K501" i="7"/>
  <c r="J502" i="7"/>
  <c r="K502" i="7" l="1"/>
  <c r="L502" i="7"/>
  <c r="M502" i="7" s="1"/>
  <c r="J503" i="7"/>
  <c r="K503" i="7" l="1"/>
  <c r="L503" i="7"/>
  <c r="M503" i="7" s="1"/>
  <c r="J504" i="7"/>
  <c r="L504" i="7" l="1"/>
  <c r="M504" i="7" s="1"/>
  <c r="K504" i="7"/>
  <c r="J505" i="7"/>
  <c r="L505" i="7" l="1"/>
  <c r="M505" i="7" s="1"/>
  <c r="K505" i="7"/>
  <c r="P12" i="7" l="1"/>
  <c r="P11" i="7"/>
</calcChain>
</file>

<file path=xl/sharedStrings.xml><?xml version="1.0" encoding="utf-8"?>
<sst xmlns="http://schemas.openxmlformats.org/spreadsheetml/2006/main" count="397" uniqueCount="105">
  <si>
    <t>Position</t>
  </si>
  <si>
    <t>Mutation</t>
  </si>
  <si>
    <t>Data</t>
  </si>
  <si>
    <t>Error</t>
  </si>
  <si>
    <t>Positions Analyzed</t>
  </si>
  <si>
    <t>Wild Type</t>
  </si>
  <si>
    <t>NA</t>
  </si>
  <si>
    <t>Recommended number of bins</t>
  </si>
  <si>
    <t>Bin size</t>
  </si>
  <si>
    <t>A</t>
  </si>
  <si>
    <t>Log Data</t>
  </si>
  <si>
    <t>Error of Log Data</t>
  </si>
  <si>
    <t>Position Statistics</t>
  </si>
  <si>
    <t>Bin determination</t>
  </si>
  <si>
    <t>Minimum</t>
  </si>
  <si>
    <t>Maximum</t>
  </si>
  <si>
    <t>Dead</t>
  </si>
  <si>
    <t>Mean Error</t>
  </si>
  <si>
    <t>4 sigma error</t>
  </si>
  <si>
    <t># of bins</t>
  </si>
  <si>
    <t>Error based</t>
  </si>
  <si>
    <t>Mean</t>
  </si>
  <si>
    <t>Median</t>
  </si>
  <si>
    <t>Bin Recommendation</t>
  </si>
  <si>
    <t>Data to be analyzed</t>
  </si>
  <si>
    <t>Error to be analyzed</t>
  </si>
  <si>
    <t>Bin override</t>
  </si>
  <si>
    <t>WT</t>
  </si>
  <si>
    <t>all</t>
  </si>
  <si>
    <t>Data statistics</t>
  </si>
  <si>
    <t>Sum of mutants</t>
  </si>
  <si>
    <t>Number of bins override</t>
  </si>
  <si>
    <t>(leave blank if no override)</t>
  </si>
  <si>
    <t>minimum</t>
  </si>
  <si>
    <t>freq</t>
  </si>
  <si>
    <t>binned</t>
  </si>
  <si>
    <t>extra bins</t>
  </si>
  <si>
    <t>up weights</t>
  </si>
  <si>
    <t>up wt</t>
  </si>
  <si>
    <t>down dead</t>
  </si>
  <si>
    <t>Bin weight determination</t>
  </si>
  <si>
    <t>WT bin</t>
  </si>
  <si>
    <t>Dead bin</t>
  </si>
  <si>
    <t>Total weighted bin values</t>
  </si>
  <si>
    <t>Total number of bins</t>
  </si>
  <si>
    <t>all bin weights</t>
  </si>
  <si>
    <t>Determining Bin range</t>
  </si>
  <si>
    <t>Bin Weights</t>
  </si>
  <si>
    <t>weighted bins</t>
  </si>
  <si>
    <t>bin occupancy</t>
  </si>
  <si>
    <t>Bins</t>
  </si>
  <si>
    <t>All</t>
  </si>
  <si>
    <t>Scores</t>
  </si>
  <si>
    <t>Neutral</t>
  </si>
  <si>
    <t>Unweighted rheostat</t>
  </si>
  <si>
    <t>Weighted rheostat</t>
  </si>
  <si>
    <t>Toggle</t>
  </si>
  <si>
    <t>Total# of Mutants</t>
  </si>
  <si>
    <t>Threshold</t>
  </si>
  <si>
    <t>Positions ordered</t>
  </si>
  <si>
    <t>Unique Distinct Positions</t>
  </si>
  <si>
    <t>yes</t>
  </si>
  <si>
    <t>Drop down menu options</t>
  </si>
  <si>
    <t>no</t>
  </si>
  <si>
    <t>Function Data</t>
  </si>
  <si>
    <t># of variants</t>
  </si>
  <si>
    <t>Should the data be converted to a log scale?</t>
  </si>
  <si>
    <t>Min/Max override</t>
  </si>
  <si>
    <t>Max/Min override</t>
  </si>
  <si>
    <t>log scale?</t>
  </si>
  <si>
    <t>non fxnal value</t>
  </si>
  <si>
    <t>Format Example</t>
  </si>
  <si>
    <t>Bins for plots</t>
  </si>
  <si>
    <t>Data set:</t>
  </si>
  <si>
    <t>Nonfunctional protein value ("Dead")</t>
  </si>
  <si>
    <t>Dead Protein</t>
  </si>
  <si>
    <t>Log of Data</t>
  </si>
  <si>
    <t>Error of logged data</t>
  </si>
  <si>
    <t>end</t>
  </si>
  <si>
    <t>Data Set Analysis</t>
  </si>
  <si>
    <t>8000 data points</t>
  </si>
  <si>
    <t>Binary</t>
  </si>
  <si>
    <t>Is the dead protein value larger than wild type?</t>
  </si>
  <si>
    <t>Bin weights for Analysis</t>
  </si>
  <si>
    <t>Dead protein values are large</t>
  </si>
  <si>
    <t>Dead protein values are small</t>
  </si>
  <si>
    <t>down weights</t>
  </si>
  <si>
    <t>down wt</t>
  </si>
  <si>
    <t>Bin weighting override</t>
  </si>
  <si>
    <t>maximum</t>
  </si>
  <si>
    <t>Bin size (not logged)</t>
  </si>
  <si>
    <t>Functional Value</t>
  </si>
  <si>
    <t xml:space="preserve"> </t>
  </si>
  <si>
    <t>Error override</t>
  </si>
  <si>
    <t>Mean error</t>
  </si>
  <si>
    <t>Error for calculations</t>
  </si>
  <si>
    <t>𝝙</t>
  </si>
  <si>
    <t>Number of values greater than the maximum</t>
  </si>
  <si>
    <t>WT Bin</t>
  </si>
  <si>
    <t>WT centered bin</t>
  </si>
  <si>
    <t>Binned in WT centered bin</t>
  </si>
  <si>
    <t>Bins with max adjusted</t>
  </si>
  <si>
    <t>Freq in WT centered</t>
  </si>
  <si>
    <t>Binned in wt centered</t>
  </si>
  <si>
    <t>2 sigma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</si>
</sst>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000000"/>
  </numFmts>
  <fonts count="18" x14ac:knownFonts="1">
    <font>
      <sz val="12"/>
      <color theme="1"/>
      <name val="Calibri"/>
      <family val="2"/>
      <scheme val="minor"/>
    </font>
    <font>
      <sz val="12"/>
      <color rgb="FFFF0000"/>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name val="Calibri"/>
      <scheme val="minor"/>
    </font>
    <font>
      <b/>
      <sz val="16"/>
      <color theme="1"/>
      <name val="Calibri"/>
      <scheme val="minor"/>
    </font>
    <font>
      <b/>
      <sz val="12"/>
      <color rgb="FF008000"/>
      <name val="Calibri"/>
      <scheme val="minor"/>
    </font>
    <font>
      <b/>
      <sz val="18"/>
      <color theme="1"/>
      <name val="Calibri"/>
      <scheme val="minor"/>
    </font>
    <font>
      <sz val="16"/>
      <color theme="1"/>
      <name val="Calibri"/>
      <scheme val="minor"/>
    </font>
    <font>
      <sz val="12"/>
      <color rgb="FF0000FF"/>
      <name val="Calibri"/>
      <scheme val="minor"/>
    </font>
    <font>
      <sz val="18"/>
      <color theme="1"/>
      <name val="Calibri"/>
      <scheme val="minor"/>
    </font>
    <font>
      <b/>
      <sz val="11"/>
      <color rgb="FF008000"/>
      <name val="Calibri"/>
      <scheme val="minor"/>
    </font>
    <font>
      <sz val="12"/>
      <color rgb="FF000000"/>
      <name val="Calibri"/>
      <family val="2"/>
      <scheme val="minor"/>
    </font>
    <font>
      <b/>
      <sz val="12"/>
      <color rgb="FF0432FF"/>
      <name val="Calibri"/>
      <family val="2"/>
      <scheme val="minor"/>
    </font>
    <font>
      <b/>
      <sz val="12"/>
      <color rgb="FF0000FF"/>
      <name val="Calibri"/>
      <scheme val="minor"/>
    </font>
    <font>
      <sz val="12"/>
      <color theme="1"/>
      <name val="Calibri"/>
      <family val="2"/>
    </font>
    <font>
      <sz val="12"/>
      <color rgb="FF000000"/>
      <name val="Calibri"/>
      <family val="2"/>
    </font>
  </fonts>
  <fills count="4">
    <fill>
      <patternFill patternType="none"/>
    </fill>
    <fill>
      <patternFill patternType="gray125"/>
    </fill>
    <fill>
      <patternFill patternType="solid">
        <fgColor theme="0" tint="-0.249977111117893"/>
        <bgColor indexed="64"/>
      </patternFill>
    </fill>
    <fill>
      <patternFill patternType="solid">
        <fgColor theme="7" tint="0.59999389629810485"/>
        <bgColor indexed="64"/>
      </patternFill>
    </fill>
  </fills>
  <borders count="33">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95">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98">
    <xf numFmtId="0" fontId="0" fillId="0" borderId="0" xfId="0"/>
    <xf numFmtId="0" fontId="0" fillId="0" borderId="1" xfId="0" applyBorder="1"/>
    <xf numFmtId="0" fontId="2"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0" applyFont="1"/>
    <xf numFmtId="0" fontId="0" fillId="0" borderId="0" xfId="0" applyFill="1"/>
    <xf numFmtId="2" fontId="0" fillId="0" borderId="0" xfId="0" applyNumberFormat="1"/>
    <xf numFmtId="0" fontId="0" fillId="2" borderId="0" xfId="0" applyFill="1"/>
    <xf numFmtId="0" fontId="0" fillId="0" borderId="0" xfId="0" applyAlignment="1">
      <alignment horizontal="center"/>
    </xf>
    <xf numFmtId="0" fontId="0" fillId="0" borderId="0" xfId="0" applyFill="1" applyAlignment="1">
      <alignment horizontal="center"/>
    </xf>
    <xf numFmtId="0" fontId="5" fillId="3" borderId="0" xfId="0" applyFont="1" applyFill="1"/>
    <xf numFmtId="0" fontId="0" fillId="3" borderId="0" xfId="0" applyFill="1"/>
    <xf numFmtId="0" fontId="2" fillId="0" borderId="0" xfId="0" applyFont="1" applyFill="1"/>
    <xf numFmtId="0" fontId="0" fillId="0" borderId="0" xfId="0" applyFill="1" applyBorder="1" applyAlignment="1">
      <alignment horizontal="center"/>
    </xf>
    <xf numFmtId="0" fontId="0" fillId="0" borderId="0" xfId="0" applyFill="1" applyBorder="1"/>
    <xf numFmtId="0" fontId="2" fillId="0" borderId="7" xfId="0" applyFont="1" applyBorder="1"/>
    <xf numFmtId="0" fontId="2" fillId="0" borderId="8" xfId="0" applyFont="1" applyBorder="1"/>
    <xf numFmtId="0" fontId="2" fillId="0" borderId="9" xfId="0" applyFont="1" applyBorder="1"/>
    <xf numFmtId="0" fontId="2" fillId="0" borderId="11" xfId="0" applyFont="1" applyBorder="1"/>
    <xf numFmtId="0" fontId="7" fillId="0" borderId="0" xfId="0" applyFont="1"/>
    <xf numFmtId="0" fontId="5" fillId="0" borderId="0" xfId="0" applyFont="1"/>
    <xf numFmtId="164" fontId="6" fillId="0" borderId="0" xfId="0" applyNumberFormat="1" applyFont="1" applyAlignment="1">
      <alignment horizontal="center"/>
    </xf>
    <xf numFmtId="2" fontId="0" fillId="0" borderId="12" xfId="0" applyNumberFormat="1" applyBorder="1" applyAlignment="1">
      <alignment horizontal="center"/>
    </xf>
    <xf numFmtId="2" fontId="0" fillId="0" borderId="13" xfId="0" applyNumberFormat="1" applyBorder="1" applyAlignment="1">
      <alignment horizontal="center"/>
    </xf>
    <xf numFmtId="0" fontId="0" fillId="0" borderId="14" xfId="0" applyBorder="1" applyAlignment="1">
      <alignment horizontal="center"/>
    </xf>
    <xf numFmtId="1" fontId="0" fillId="0" borderId="15" xfId="0" applyNumberFormat="1" applyBorder="1" applyAlignment="1">
      <alignment horizontal="center"/>
    </xf>
    <xf numFmtId="2" fontId="0" fillId="0" borderId="15" xfId="0" applyNumberFormat="1" applyBorder="1" applyAlignment="1">
      <alignment horizontal="center"/>
    </xf>
    <xf numFmtId="2" fontId="0" fillId="0" borderId="16" xfId="0" applyNumberFormat="1" applyBorder="1" applyAlignment="1">
      <alignment horizontal="center"/>
    </xf>
    <xf numFmtId="0" fontId="0" fillId="0" borderId="17" xfId="0" applyBorder="1" applyAlignment="1">
      <alignment horizontal="center"/>
    </xf>
    <xf numFmtId="1" fontId="0" fillId="0" borderId="18" xfId="0" applyNumberFormat="1" applyBorder="1" applyAlignment="1">
      <alignment horizontal="center"/>
    </xf>
    <xf numFmtId="2" fontId="0" fillId="0" borderId="18" xfId="0" applyNumberFormat="1" applyBorder="1" applyAlignment="1">
      <alignment horizontal="center"/>
    </xf>
    <xf numFmtId="0" fontId="0" fillId="0" borderId="19" xfId="0" applyBorder="1" applyAlignment="1">
      <alignment horizontal="center"/>
    </xf>
    <xf numFmtId="1" fontId="0" fillId="0" borderId="20" xfId="0" applyNumberFormat="1" applyBorder="1" applyAlignment="1">
      <alignment horizontal="center"/>
    </xf>
    <xf numFmtId="2" fontId="0" fillId="0" borderId="20" xfId="0" applyNumberFormat="1" applyBorder="1" applyAlignment="1">
      <alignment horizontal="center"/>
    </xf>
    <xf numFmtId="0" fontId="0" fillId="0" borderId="21" xfId="0" applyBorder="1"/>
    <xf numFmtId="0" fontId="0" fillId="0" borderId="22" xfId="0" applyBorder="1"/>
    <xf numFmtId="0" fontId="0" fillId="0" borderId="23" xfId="0" applyBorder="1"/>
    <xf numFmtId="0" fontId="0" fillId="0" borderId="0" xfId="0" applyAlignment="1">
      <alignment horizontal="right"/>
    </xf>
    <xf numFmtId="0" fontId="8" fillId="0" borderId="0" xfId="0" applyFont="1"/>
    <xf numFmtId="0" fontId="8" fillId="0" borderId="0" xfId="0" applyFont="1" applyBorder="1" applyAlignment="1">
      <alignment horizontal="center"/>
    </xf>
    <xf numFmtId="1" fontId="8" fillId="0" borderId="0" xfId="0" applyNumberFormat="1" applyFont="1" applyBorder="1" applyAlignment="1">
      <alignment horizontal="center"/>
    </xf>
    <xf numFmtId="0" fontId="9" fillId="0" borderId="0" xfId="0" applyFont="1" applyAlignment="1">
      <alignment horizontal="center"/>
    </xf>
    <xf numFmtId="0" fontId="6" fillId="0" borderId="0" xfId="0" applyFont="1" applyAlignment="1">
      <alignment horizontal="center"/>
    </xf>
    <xf numFmtId="164" fontId="0" fillId="0" borderId="0" xfId="0" applyNumberFormat="1" applyAlignment="1">
      <alignment horizontal="center"/>
    </xf>
    <xf numFmtId="164" fontId="8" fillId="0" borderId="0" xfId="0" applyNumberFormat="1" applyFont="1" applyAlignment="1">
      <alignment horizontal="center"/>
    </xf>
    <xf numFmtId="0" fontId="10" fillId="0" borderId="0" xfId="0" applyFont="1"/>
    <xf numFmtId="0" fontId="11" fillId="0" borderId="0" xfId="0" applyFont="1"/>
    <xf numFmtId="0" fontId="11" fillId="0" borderId="0" xfId="0" applyFont="1" applyBorder="1" applyAlignment="1">
      <alignment horizontal="center"/>
    </xf>
    <xf numFmtId="0" fontId="0" fillId="0" borderId="0" xfId="0" applyFont="1"/>
    <xf numFmtId="0" fontId="8" fillId="0" borderId="0" xfId="0" applyFont="1" applyAlignment="1">
      <alignment horizontal="center"/>
    </xf>
    <xf numFmtId="0" fontId="0" fillId="0" borderId="0" xfId="0" applyAlignment="1">
      <alignment horizontal="center"/>
    </xf>
    <xf numFmtId="0" fontId="12" fillId="0" borderId="0" xfId="0" applyFont="1" applyAlignment="1"/>
    <xf numFmtId="2" fontId="0" fillId="0" borderId="0" xfId="0" applyNumberFormat="1" applyAlignment="1">
      <alignment horizontal="right"/>
    </xf>
    <xf numFmtId="2" fontId="0" fillId="0" borderId="0" xfId="0" applyNumberFormat="1" applyFill="1" applyAlignment="1">
      <alignment horizontal="right"/>
    </xf>
    <xf numFmtId="0" fontId="13" fillId="0" borderId="5" xfId="0" applyFont="1" applyBorder="1"/>
    <xf numFmtId="164" fontId="6" fillId="0" borderId="0" xfId="0" applyNumberFormat="1" applyFont="1" applyAlignment="1">
      <alignment horizontal="center"/>
    </xf>
    <xf numFmtId="2" fontId="0" fillId="0" borderId="27" xfId="0" applyNumberFormat="1" applyBorder="1" applyAlignment="1">
      <alignment horizontal="center"/>
    </xf>
    <xf numFmtId="2" fontId="0" fillId="0" borderId="28" xfId="0" applyNumberFormat="1" applyBorder="1" applyAlignment="1">
      <alignment horizontal="center"/>
    </xf>
    <xf numFmtId="2" fontId="0" fillId="0" borderId="29" xfId="0" applyNumberFormat="1" applyBorder="1" applyAlignment="1">
      <alignment horizontal="center"/>
    </xf>
    <xf numFmtId="0" fontId="0" fillId="0" borderId="0" xfId="0" applyAlignment="1">
      <alignment horizontal="center"/>
    </xf>
    <xf numFmtId="0" fontId="6" fillId="0" borderId="0" xfId="0" applyFont="1"/>
    <xf numFmtId="0" fontId="2" fillId="0" borderId="0" xfId="0" applyFont="1" applyAlignment="1">
      <alignment wrapText="1"/>
    </xf>
    <xf numFmtId="0" fontId="0" fillId="0" borderId="30" xfId="0" applyBorder="1"/>
    <xf numFmtId="0" fontId="0" fillId="0" borderId="31" xfId="0" applyBorder="1"/>
    <xf numFmtId="0" fontId="0" fillId="0" borderId="32" xfId="0" applyBorder="1"/>
    <xf numFmtId="0" fontId="0" fillId="0" borderId="24" xfId="0" applyBorder="1"/>
    <xf numFmtId="0" fontId="14" fillId="0" borderId="0" xfId="0" applyFont="1"/>
    <xf numFmtId="0" fontId="2" fillId="0" borderId="8" xfId="0" applyFont="1" applyFill="1" applyBorder="1"/>
    <xf numFmtId="0" fontId="14" fillId="0" borderId="0" xfId="0" applyFont="1" applyFill="1"/>
    <xf numFmtId="0" fontId="2" fillId="0" borderId="8" xfId="0" applyFont="1" applyBorder="1" applyAlignment="1">
      <alignment horizontal="center"/>
    </xf>
    <xf numFmtId="0" fontId="15" fillId="0" borderId="0" xfId="0" applyFont="1" applyFill="1"/>
    <xf numFmtId="0" fontId="15" fillId="0" borderId="0" xfId="0" applyFont="1"/>
    <xf numFmtId="0" fontId="0" fillId="0" borderId="25" xfId="0" applyBorder="1"/>
    <xf numFmtId="165" fontId="0" fillId="0" borderId="0" xfId="0" applyNumberFormat="1"/>
    <xf numFmtId="0" fontId="17" fillId="0" borderId="2" xfId="0" applyFont="1" applyFill="1" applyBorder="1"/>
    <xf numFmtId="0" fontId="16" fillId="0" borderId="3" xfId="0" applyFont="1" applyFill="1" applyBorder="1"/>
    <xf numFmtId="0" fontId="16" fillId="0" borderId="4" xfId="0" applyFont="1" applyFill="1" applyBorder="1"/>
    <xf numFmtId="0" fontId="17" fillId="0" borderId="5" xfId="0" applyFont="1" applyFill="1" applyBorder="1"/>
    <xf numFmtId="0" fontId="16" fillId="0" borderId="0" xfId="0" applyFont="1" applyFill="1" applyBorder="1"/>
    <xf numFmtId="0" fontId="16" fillId="0" borderId="6" xfId="0" applyFont="1" applyFill="1" applyBorder="1"/>
    <xf numFmtId="0" fontId="6" fillId="0" borderId="10"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0" fillId="0" borderId="24" xfId="0"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2" fillId="0" borderId="0" xfId="0" applyFont="1" applyAlignment="1">
      <alignment horizontal="center"/>
    </xf>
    <xf numFmtId="0" fontId="14" fillId="0" borderId="0" xfId="0" applyFont="1" applyAlignment="1">
      <alignment horizontal="center"/>
    </xf>
    <xf numFmtId="0" fontId="0" fillId="0" borderId="0" xfId="0" applyAlignment="1">
      <alignment horizontal="center"/>
    </xf>
    <xf numFmtId="164" fontId="6" fillId="0" borderId="0" xfId="0" applyNumberFormat="1" applyFont="1" applyAlignment="1">
      <alignment horizontal="center"/>
    </xf>
  </cellXfs>
  <cellStyles count="9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Normal" xfId="0" builtinId="0"/>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s>
  <tableStyles count="0" defaultTableStyle="TableStyleMedium9" defaultPivotStyle="PivotStyleMedium4"/>
  <colors>
    <mruColors>
      <color rgb="FF043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theme" Target="theme/theme1.xml"/><Relationship Id="rId3" Type="http://schemas.openxmlformats.org/officeDocument/2006/relationships/chartsheet" Target="chartsheets/sheet1.xml"/><Relationship Id="rId7" Type="http://schemas.openxmlformats.org/officeDocument/2006/relationships/worksheet" Target="worksheets/sheet6.xml"/><Relationship Id="rId12" Type="http://schemas.openxmlformats.org/officeDocument/2006/relationships/chartsheet" Target="chartsheets/sheet6.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hartsheet" Target="chartsheets/sheet5.xml"/><Relationship Id="rId5" Type="http://schemas.openxmlformats.org/officeDocument/2006/relationships/worksheet" Target="worksheets/sheet4.xml"/><Relationship Id="rId15" Type="http://schemas.openxmlformats.org/officeDocument/2006/relationships/sharedStrings" Target="sharedStrings.xml"/><Relationship Id="rId10" Type="http://schemas.openxmlformats.org/officeDocument/2006/relationships/chartsheet" Target="chartsheets/sheet4.xml"/><Relationship Id="rId4" Type="http://schemas.openxmlformats.org/officeDocument/2006/relationships/worksheet" Target="worksheets/sheet3.xml"/><Relationship Id="rId9" Type="http://schemas.openxmlformats.org/officeDocument/2006/relationships/chartsheet" Target="chartsheets/sheet3.xml"/><Relationship Id="rId14"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1.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0.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9.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4.xml"/><Relationship Id="rId1" Type="http://schemas.microsoft.com/office/2011/relationships/chartStyle" Target="style4.xml"/></Relationships>
</file>

<file path=xl/charts/_rels/chart78.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5.xml"/><Relationship Id="rId1" Type="http://schemas.microsoft.com/office/2011/relationships/chartStyle" Target="style5.xml"/></Relationships>
</file>

<file path=xl/charts/_rels/chart87.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Neutral</a:t>
            </a:r>
            <a:r>
              <a:rPr lang="en-US" baseline="0"/>
              <a:t> Scores</a:t>
            </a:r>
            <a:endParaRPr lang="en-US"/>
          </a:p>
        </c:rich>
      </c:tx>
      <c:overlay val="0"/>
    </c:title>
    <c:autoTitleDeleted val="0"/>
    <c:plotArea>
      <c:layout/>
      <c:barChart>
        <c:barDir val="col"/>
        <c:grouping val="clustered"/>
        <c:varyColors val="0"/>
        <c:ser>
          <c:idx val="1"/>
          <c:order val="1"/>
          <c:spPr>
            <a:solidFill>
              <a:srgbClr val="9BBB59"/>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Results'!$N$7:$N$26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FF7A-4ECC-ADA3-DCC26FC4D373}"/>
            </c:ext>
          </c:extLst>
        </c:ser>
        <c:ser>
          <c:idx val="0"/>
          <c:order val="0"/>
          <c:spPr>
            <a:solidFill>
              <a:srgbClr val="9BBB59"/>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Results'!$N$7:$N$26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FF7A-4ECC-ADA3-DCC26FC4D373}"/>
            </c:ext>
          </c:extLst>
        </c:ser>
        <c:dLbls>
          <c:showLegendKey val="0"/>
          <c:showVal val="0"/>
          <c:showCatName val="0"/>
          <c:showSerName val="0"/>
          <c:showPercent val="0"/>
          <c:showBubbleSize val="0"/>
        </c:dLbls>
        <c:gapWidth val="150"/>
        <c:axId val="256827408"/>
        <c:axId val="256830152"/>
      </c:barChart>
      <c:catAx>
        <c:axId val="256827408"/>
        <c:scaling>
          <c:orientation val="minMax"/>
        </c:scaling>
        <c:delete val="0"/>
        <c:axPos val="b"/>
        <c:title>
          <c:tx>
            <c:rich>
              <a:bodyPr/>
              <a:lstStyle/>
              <a:p>
                <a:pPr>
                  <a:defRPr sz="1200"/>
                </a:pPr>
                <a:r>
                  <a:rPr lang="en-US" sz="1200"/>
                  <a:t>Position</a:t>
                </a:r>
              </a:p>
            </c:rich>
          </c:tx>
          <c:layout>
            <c:manualLayout>
              <c:xMode val="edge"/>
              <c:yMode val="edge"/>
              <c:x val="0.51440170388537498"/>
              <c:y val="0.89128630705394196"/>
            </c:manualLayout>
          </c:layout>
          <c:overlay val="0"/>
        </c:title>
        <c:numFmt formatCode="General" sourceLinked="1"/>
        <c:majorTickMark val="out"/>
        <c:minorTickMark val="none"/>
        <c:tickLblPos val="nextTo"/>
        <c:txPr>
          <a:bodyPr rot="-5400000" vert="horz"/>
          <a:lstStyle/>
          <a:p>
            <a:pPr>
              <a:defRPr sz="1100"/>
            </a:pPr>
            <a:endParaRPr lang="en-US"/>
          </a:p>
        </c:txPr>
        <c:crossAx val="256830152"/>
        <c:crosses val="autoZero"/>
        <c:auto val="1"/>
        <c:lblAlgn val="ctr"/>
        <c:lblOffset val="100"/>
        <c:noMultiLvlLbl val="0"/>
      </c:catAx>
      <c:valAx>
        <c:axId val="256830152"/>
        <c:scaling>
          <c:orientation val="minMax"/>
          <c:max val="1"/>
          <c:min val="0"/>
        </c:scaling>
        <c:delete val="0"/>
        <c:axPos val="l"/>
        <c:title>
          <c:tx>
            <c:rich>
              <a:bodyPr rot="-5400000" vert="horz"/>
              <a:lstStyle/>
              <a:p>
                <a:pPr>
                  <a:defRPr sz="1200"/>
                </a:pPr>
                <a:r>
                  <a:rPr lang="en-US" sz="1200"/>
                  <a:t>Neutral</a:t>
                </a:r>
                <a:r>
                  <a:rPr lang="en-US" sz="1200" baseline="0"/>
                  <a:t> Score</a:t>
                </a:r>
              </a:p>
            </c:rich>
          </c:tx>
          <c:overlay val="0"/>
        </c:title>
        <c:numFmt formatCode="0.00" sourceLinked="1"/>
        <c:majorTickMark val="out"/>
        <c:minorTickMark val="none"/>
        <c:tickLblPos val="nextTo"/>
        <c:txPr>
          <a:bodyPr/>
          <a:lstStyle/>
          <a:p>
            <a:pPr>
              <a:defRPr sz="1200"/>
            </a:pPr>
            <a:endParaRPr lang="en-US"/>
          </a:p>
        </c:txPr>
        <c:crossAx val="256827408"/>
        <c:crosses val="autoZero"/>
        <c:crossBetween val="between"/>
        <c:majorUnit val="0.2"/>
      </c:valAx>
    </c:plotArea>
    <c:plotVisOnly val="1"/>
    <c:dispBlanksAs val="gap"/>
    <c:showDLblsOverMax val="0"/>
  </c:chart>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Weighted Rheostat Scores</a:t>
            </a:r>
            <a:endParaRPr lang="en-US"/>
          </a:p>
        </c:rich>
      </c:tx>
      <c:overlay val="0"/>
    </c:title>
    <c:autoTitleDeleted val="0"/>
    <c:plotArea>
      <c:layout/>
      <c:barChart>
        <c:barDir val="col"/>
        <c:grouping val="clustered"/>
        <c:varyColors val="0"/>
        <c:ser>
          <c:idx val="0"/>
          <c:order val="0"/>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Results'!$P$7:$P$26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695A-4807-8ECC-3F968CA73294}"/>
            </c:ext>
          </c:extLst>
        </c:ser>
        <c:dLbls>
          <c:showLegendKey val="0"/>
          <c:showVal val="0"/>
          <c:showCatName val="0"/>
          <c:showSerName val="0"/>
          <c:showPercent val="0"/>
          <c:showBubbleSize val="0"/>
        </c:dLbls>
        <c:gapWidth val="150"/>
        <c:axId val="256828976"/>
        <c:axId val="256828192"/>
      </c:barChart>
      <c:catAx>
        <c:axId val="256828976"/>
        <c:scaling>
          <c:orientation val="minMax"/>
        </c:scaling>
        <c:delete val="0"/>
        <c:axPos val="b"/>
        <c:title>
          <c:tx>
            <c:rich>
              <a:bodyPr/>
              <a:lstStyle/>
              <a:p>
                <a:pPr>
                  <a:defRPr sz="1200"/>
                </a:pPr>
                <a:r>
                  <a:rPr lang="en-US" sz="1200"/>
                  <a:t>Position</a:t>
                </a:r>
              </a:p>
            </c:rich>
          </c:tx>
          <c:layout>
            <c:manualLayout>
              <c:xMode val="edge"/>
              <c:yMode val="edge"/>
              <c:x val="0.51440170388537498"/>
              <c:y val="0.89128630705394196"/>
            </c:manualLayout>
          </c:layout>
          <c:overlay val="0"/>
        </c:title>
        <c:numFmt formatCode="General" sourceLinked="1"/>
        <c:majorTickMark val="out"/>
        <c:minorTickMark val="none"/>
        <c:tickLblPos val="nextTo"/>
        <c:txPr>
          <a:bodyPr rot="-5400000" vert="horz"/>
          <a:lstStyle/>
          <a:p>
            <a:pPr>
              <a:defRPr sz="1100"/>
            </a:pPr>
            <a:endParaRPr lang="en-US"/>
          </a:p>
        </c:txPr>
        <c:crossAx val="256828192"/>
        <c:crosses val="autoZero"/>
        <c:auto val="1"/>
        <c:lblAlgn val="ctr"/>
        <c:lblOffset val="100"/>
        <c:noMultiLvlLbl val="0"/>
      </c:catAx>
      <c:valAx>
        <c:axId val="256828192"/>
        <c:scaling>
          <c:orientation val="minMax"/>
          <c:max val="1"/>
          <c:min val="0"/>
        </c:scaling>
        <c:delete val="0"/>
        <c:axPos val="l"/>
        <c:title>
          <c:tx>
            <c:rich>
              <a:bodyPr rot="-5400000" vert="horz"/>
              <a:lstStyle/>
              <a:p>
                <a:pPr>
                  <a:defRPr sz="1200"/>
                </a:pPr>
                <a:r>
                  <a:rPr lang="en-US" sz="1200" baseline="0"/>
                  <a:t>Weighted Rheostat Score</a:t>
                </a:r>
              </a:p>
            </c:rich>
          </c:tx>
          <c:overlay val="0"/>
        </c:title>
        <c:numFmt formatCode="0.00" sourceLinked="1"/>
        <c:majorTickMark val="out"/>
        <c:minorTickMark val="none"/>
        <c:tickLblPos val="nextTo"/>
        <c:txPr>
          <a:bodyPr/>
          <a:lstStyle/>
          <a:p>
            <a:pPr>
              <a:defRPr sz="1200"/>
            </a:pPr>
            <a:endParaRPr lang="en-US"/>
          </a:p>
        </c:txPr>
        <c:crossAx val="256828976"/>
        <c:crosses val="autoZero"/>
        <c:crossBetween val="between"/>
        <c:majorUnit val="0.2"/>
      </c:valAx>
    </c:plotArea>
    <c:plotVisOnly val="1"/>
    <c:dispBlanksAs val="gap"/>
    <c:showDLblsOverMax val="0"/>
  </c:chart>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baseline="0"/>
              <a:t>Toggle Scores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Results'!$Q$7:$Q$26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5D9-4265-93C3-00C4BCA117DC}"/>
            </c:ext>
          </c:extLst>
        </c:ser>
        <c:dLbls>
          <c:showLegendKey val="0"/>
          <c:showVal val="0"/>
          <c:showCatName val="0"/>
          <c:showSerName val="0"/>
          <c:showPercent val="0"/>
          <c:showBubbleSize val="0"/>
        </c:dLbls>
        <c:gapWidth val="150"/>
        <c:axId val="397376632"/>
        <c:axId val="397375848"/>
      </c:barChart>
      <c:catAx>
        <c:axId val="397376632"/>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t>Position</a:t>
                </a:r>
              </a:p>
            </c:rich>
          </c:tx>
          <c:layout>
            <c:manualLayout>
              <c:xMode val="edge"/>
              <c:yMode val="edge"/>
              <c:x val="0.51440170388537498"/>
              <c:y val="0.89128630705394196"/>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5400000" spcFirstLastPara="1" vertOverflow="ellipsis" wrap="square" anchor="ctr" anchorCtr="1"/>
          <a:lstStyle/>
          <a:p>
            <a:pPr>
              <a:defRPr sz="1100" b="0" i="0" u="none" strike="noStrike" kern="1200" baseline="0">
                <a:solidFill>
                  <a:schemeClr val="tx1"/>
                </a:solidFill>
                <a:latin typeface="+mn-lt"/>
                <a:ea typeface="+mn-ea"/>
                <a:cs typeface="+mn-cs"/>
              </a:defRPr>
            </a:pPr>
            <a:endParaRPr lang="en-US"/>
          </a:p>
        </c:txPr>
        <c:crossAx val="397375848"/>
        <c:crosses val="autoZero"/>
        <c:auto val="1"/>
        <c:lblAlgn val="ctr"/>
        <c:lblOffset val="100"/>
        <c:noMultiLvlLbl val="0"/>
      </c:catAx>
      <c:valAx>
        <c:axId val="397375848"/>
        <c:scaling>
          <c:orientation val="minMax"/>
          <c:max val="1"/>
          <c:min val="0"/>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baseline="0"/>
                  <a:t>Toggle Score</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397376632"/>
        <c:crosses val="autoZero"/>
        <c:crossBetween val="between"/>
        <c:majorUnit val="0.2"/>
      </c:valAx>
      <c:spPr>
        <a:solidFill>
          <a:schemeClr val="bg1"/>
        </a:solidFill>
        <a:ln>
          <a:noFill/>
        </a:ln>
        <a:effectLst/>
      </c:spPr>
    </c:plotArea>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3"/>
    </mc:Choice>
    <mc:Fallback>
      <c:style val="33"/>
    </mc:Fallback>
  </mc:AlternateContent>
  <c:chart>
    <c:autoTitleDeleted val="1"/>
    <c:view3D>
      <c:rotX val="36"/>
      <c:rotY val="19"/>
      <c:rAngAx val="0"/>
      <c:perspective val="0"/>
    </c:view3D>
    <c:floor>
      <c:thickness val="0"/>
    </c:floor>
    <c:sideWall>
      <c:thickness val="0"/>
    </c:sideWall>
    <c:backWall>
      <c:thickness val="0"/>
    </c:backWall>
    <c:plotArea>
      <c:layout>
        <c:manualLayout>
          <c:layoutTarget val="inner"/>
          <c:xMode val="edge"/>
          <c:yMode val="edge"/>
          <c:x val="7.4218308589288906E-2"/>
          <c:y val="3.6624891783814999E-2"/>
          <c:w val="0.89936842579791998"/>
          <c:h val="0.87703116626128497"/>
        </c:manualLayout>
      </c:layout>
      <c:bar3DChart>
        <c:barDir val="col"/>
        <c:grouping val="standard"/>
        <c:varyColors val="0"/>
        <c:ser>
          <c:idx val="0"/>
          <c:order val="0"/>
          <c:tx>
            <c:v>Neutral Score</c:v>
          </c:tx>
          <c:spPr>
            <a:solidFill>
              <a:schemeClr val="bg2"/>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Results'!$N$7:$N$26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FA12-467F-A89A-C66A2019E95B}"/>
            </c:ext>
          </c:extLst>
        </c:ser>
        <c:ser>
          <c:idx val="1"/>
          <c:order val="1"/>
          <c:tx>
            <c:v>Weighted Rheostat Score</c:v>
          </c:tx>
          <c:spPr>
            <a:solidFill>
              <a:schemeClr val="bg1">
                <a:lumMod val="50000"/>
              </a:schemeClr>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Results'!$P$7:$P$26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FA12-467F-A89A-C66A2019E95B}"/>
            </c:ext>
          </c:extLst>
        </c:ser>
        <c:ser>
          <c:idx val="2"/>
          <c:order val="2"/>
          <c:tx>
            <c:v>Toggle Score</c:v>
          </c:tx>
          <c:spPr>
            <a:solidFill>
              <a:schemeClr val="tx1"/>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Results'!$Q$7:$Q$26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FA12-467F-A89A-C66A2019E95B}"/>
            </c:ext>
          </c:extLst>
        </c:ser>
        <c:dLbls>
          <c:showLegendKey val="0"/>
          <c:showVal val="0"/>
          <c:showCatName val="0"/>
          <c:showSerName val="0"/>
          <c:showPercent val="0"/>
          <c:showBubbleSize val="0"/>
        </c:dLbls>
        <c:gapWidth val="300"/>
        <c:gapDepth val="220"/>
        <c:shape val="cylinder"/>
        <c:axId val="397375456"/>
        <c:axId val="397376240"/>
        <c:axId val="394961152"/>
      </c:bar3DChart>
      <c:catAx>
        <c:axId val="397375456"/>
        <c:scaling>
          <c:orientation val="minMax"/>
        </c:scaling>
        <c:delete val="0"/>
        <c:axPos val="b"/>
        <c:title>
          <c:tx>
            <c:rich>
              <a:bodyPr/>
              <a:lstStyle/>
              <a:p>
                <a:pPr>
                  <a:defRPr/>
                </a:pPr>
                <a:r>
                  <a:rPr lang="en-US"/>
                  <a:t>Position</a:t>
                </a:r>
              </a:p>
            </c:rich>
          </c:tx>
          <c:layout>
            <c:manualLayout>
              <c:xMode val="edge"/>
              <c:yMode val="edge"/>
              <c:x val="0.459694055418645"/>
              <c:y val="0.89111266850805904"/>
            </c:manualLayout>
          </c:layout>
          <c:overlay val="0"/>
        </c:title>
        <c:numFmt formatCode="General" sourceLinked="0"/>
        <c:majorTickMark val="out"/>
        <c:minorTickMark val="none"/>
        <c:tickLblPos val="nextTo"/>
        <c:txPr>
          <a:bodyPr rot="-5400000" vert="horz"/>
          <a:lstStyle/>
          <a:p>
            <a:pPr>
              <a:defRPr sz="1400"/>
            </a:pPr>
            <a:endParaRPr lang="en-US"/>
          </a:p>
        </c:txPr>
        <c:crossAx val="397376240"/>
        <c:crosses val="autoZero"/>
        <c:auto val="1"/>
        <c:lblAlgn val="ctr"/>
        <c:lblOffset val="100"/>
        <c:noMultiLvlLbl val="0"/>
      </c:catAx>
      <c:valAx>
        <c:axId val="397376240"/>
        <c:scaling>
          <c:orientation val="minMax"/>
          <c:max val="1"/>
        </c:scaling>
        <c:delete val="0"/>
        <c:axPos val="l"/>
        <c:majorGridlines/>
        <c:numFmt formatCode="0.00" sourceLinked="1"/>
        <c:majorTickMark val="out"/>
        <c:minorTickMark val="none"/>
        <c:tickLblPos val="nextTo"/>
        <c:txPr>
          <a:bodyPr/>
          <a:lstStyle/>
          <a:p>
            <a:pPr>
              <a:defRPr sz="1400"/>
            </a:pPr>
            <a:endParaRPr lang="en-US"/>
          </a:p>
        </c:txPr>
        <c:crossAx val="397375456"/>
        <c:crosses val="autoZero"/>
        <c:crossBetween val="between"/>
        <c:majorUnit val="0.2"/>
      </c:valAx>
      <c:serAx>
        <c:axId val="394961152"/>
        <c:scaling>
          <c:orientation val="minMax"/>
        </c:scaling>
        <c:delete val="1"/>
        <c:axPos val="b"/>
        <c:majorGridlines/>
        <c:majorTickMark val="out"/>
        <c:minorTickMark val="none"/>
        <c:tickLblPos val="nextTo"/>
        <c:crossAx val="397376240"/>
        <c:crosses val="autoZero"/>
      </c:serAx>
    </c:plotArea>
    <c:legend>
      <c:legendPos val="r"/>
      <c:layout>
        <c:manualLayout>
          <c:xMode val="edge"/>
          <c:yMode val="edge"/>
          <c:x val="0.674660996573901"/>
          <c:y val="2.84701323329348E-2"/>
          <c:w val="0.233023982689187"/>
          <c:h val="0.15771921507193801"/>
        </c:manualLayout>
      </c:layout>
      <c:overlay val="0"/>
    </c:legend>
    <c:plotVisOnly val="1"/>
    <c:dispBlanksAs val="gap"/>
    <c:showDLblsOverMax val="0"/>
  </c:chart>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347830976"/>
        <c:axId val="347831760"/>
      </c:barChart>
      <c:catAx>
        <c:axId val="347830976"/>
        <c:scaling>
          <c:orientation val="minMax"/>
        </c:scaling>
        <c:delete val="0"/>
        <c:axPos val="b"/>
        <c:majorTickMark val="out"/>
        <c:minorTickMark val="none"/>
        <c:tickLblPos val="nextTo"/>
        <c:crossAx val="347831760"/>
        <c:crosses val="autoZero"/>
        <c:auto val="1"/>
        <c:lblAlgn val="ctr"/>
        <c:lblOffset val="100"/>
        <c:noMultiLvlLbl val="0"/>
      </c:catAx>
      <c:valAx>
        <c:axId val="347831760"/>
        <c:scaling>
          <c:orientation val="minMax"/>
        </c:scaling>
        <c:delete val="0"/>
        <c:axPos val="l"/>
        <c:majorGridlines/>
        <c:majorTickMark val="out"/>
        <c:minorTickMark val="none"/>
        <c:tickLblPos val="nextTo"/>
        <c:crossAx val="347830976"/>
        <c:crosses val="autoZero"/>
        <c:crossBetween val="between"/>
      </c:valAx>
    </c:plotArea>
    <c:legend>
      <c:legendPos val="r"/>
      <c:overlay val="0"/>
    </c:legend>
    <c:plotVisOnly val="1"/>
    <c:dispBlanksAs val="gap"/>
    <c:showDLblsOverMax val="0"/>
  </c:chart>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3"/>
    </mc:Choice>
    <mc:Fallback>
      <c:style val="33"/>
    </mc:Fallback>
  </mc:AlternateContent>
  <c:chart>
    <c:autoTitleDeleted val="0"/>
    <c:view3D>
      <c:rotX val="36"/>
      <c:rotY val="19"/>
      <c:rAngAx val="0"/>
      <c:perspective val="0"/>
    </c:view3D>
    <c:floor>
      <c:thickness val="0"/>
    </c:floor>
    <c:sideWall>
      <c:thickness val="0"/>
    </c:sideWall>
    <c:backWall>
      <c:thickness val="0"/>
    </c:backWall>
    <c:plotArea>
      <c:layout>
        <c:manualLayout>
          <c:layoutTarget val="inner"/>
          <c:xMode val="edge"/>
          <c:yMode val="edge"/>
          <c:x val="8.9400931171249601E-2"/>
          <c:y val="4.4853557190221098E-2"/>
          <c:w val="0.89936842579791998"/>
          <c:h val="0.87703116626128497"/>
        </c:manualLayout>
      </c:layout>
      <c:bar3DChart>
        <c:barDir val="col"/>
        <c:grouping val="standard"/>
        <c:varyColors val="0"/>
        <c:ser>
          <c:idx val="0"/>
          <c:order val="0"/>
          <c:tx>
            <c:v>Neutral Score</c:v>
          </c:tx>
          <c:spPr>
            <a:solidFill>
              <a:schemeClr val="bg2"/>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Results'!$N$7:$N$26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4FE-45C1-BD8E-963736FF1FA0}"/>
            </c:ext>
          </c:extLst>
        </c:ser>
        <c:ser>
          <c:idx val="1"/>
          <c:order val="1"/>
          <c:tx>
            <c:v>Weighted Rheostat Score</c:v>
          </c:tx>
          <c:spPr>
            <a:solidFill>
              <a:schemeClr val="bg1">
                <a:lumMod val="50000"/>
              </a:schemeClr>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Results'!$P$7:$P$26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4FE-45C1-BD8E-963736FF1FA0}"/>
            </c:ext>
          </c:extLst>
        </c:ser>
        <c:ser>
          <c:idx val="2"/>
          <c:order val="2"/>
          <c:tx>
            <c:v>Toggle Score</c:v>
          </c:tx>
          <c:spPr>
            <a:solidFill>
              <a:schemeClr val="tx1"/>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Results'!$Q$7:$Q$26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4FE-45C1-BD8E-963736FF1FA0}"/>
            </c:ext>
          </c:extLst>
        </c:ser>
        <c:dLbls>
          <c:showLegendKey val="0"/>
          <c:showVal val="0"/>
          <c:showCatName val="0"/>
          <c:showSerName val="0"/>
          <c:showPercent val="0"/>
          <c:showBubbleSize val="0"/>
        </c:dLbls>
        <c:gapWidth val="300"/>
        <c:gapDepth val="220"/>
        <c:shape val="cylinder"/>
        <c:axId val="347830584"/>
        <c:axId val="397377024"/>
        <c:axId val="346314936"/>
      </c:bar3DChart>
      <c:catAx>
        <c:axId val="347830584"/>
        <c:scaling>
          <c:orientation val="minMax"/>
        </c:scaling>
        <c:delete val="0"/>
        <c:axPos val="b"/>
        <c:title>
          <c:tx>
            <c:rich>
              <a:bodyPr/>
              <a:lstStyle/>
              <a:p>
                <a:pPr>
                  <a:defRPr/>
                </a:pPr>
                <a:r>
                  <a:rPr lang="en-US"/>
                  <a:t>Position</a:t>
                </a:r>
              </a:p>
            </c:rich>
          </c:tx>
          <c:layout>
            <c:manualLayout>
              <c:xMode val="edge"/>
              <c:yMode val="edge"/>
              <c:x val="0.459694055418645"/>
              <c:y val="0.89111266850805904"/>
            </c:manualLayout>
          </c:layout>
          <c:overlay val="0"/>
        </c:title>
        <c:numFmt formatCode="General" sourceLinked="0"/>
        <c:majorTickMark val="out"/>
        <c:minorTickMark val="none"/>
        <c:tickLblPos val="nextTo"/>
        <c:txPr>
          <a:bodyPr rot="0" vert="horz"/>
          <a:lstStyle/>
          <a:p>
            <a:pPr>
              <a:defRPr sz="800"/>
            </a:pPr>
            <a:endParaRPr lang="en-US"/>
          </a:p>
        </c:txPr>
        <c:crossAx val="397377024"/>
        <c:crosses val="autoZero"/>
        <c:auto val="1"/>
        <c:lblAlgn val="ctr"/>
        <c:lblOffset val="100"/>
        <c:noMultiLvlLbl val="0"/>
      </c:catAx>
      <c:valAx>
        <c:axId val="397377024"/>
        <c:scaling>
          <c:orientation val="minMax"/>
          <c:max val="1"/>
        </c:scaling>
        <c:delete val="0"/>
        <c:axPos val="l"/>
        <c:majorGridlines/>
        <c:numFmt formatCode="0.00" sourceLinked="1"/>
        <c:majorTickMark val="out"/>
        <c:minorTickMark val="none"/>
        <c:tickLblPos val="nextTo"/>
        <c:txPr>
          <a:bodyPr/>
          <a:lstStyle/>
          <a:p>
            <a:pPr>
              <a:defRPr sz="1000"/>
            </a:pPr>
            <a:endParaRPr lang="en-US"/>
          </a:p>
        </c:txPr>
        <c:crossAx val="347830584"/>
        <c:crosses val="autoZero"/>
        <c:crossBetween val="between"/>
        <c:majorUnit val="0.2"/>
      </c:valAx>
      <c:serAx>
        <c:axId val="346314936"/>
        <c:scaling>
          <c:orientation val="minMax"/>
        </c:scaling>
        <c:delete val="1"/>
        <c:axPos val="b"/>
        <c:majorGridlines/>
        <c:majorTickMark val="out"/>
        <c:minorTickMark val="none"/>
        <c:tickLblPos val="nextTo"/>
        <c:crossAx val="397377024"/>
        <c:crosses val="autoZero"/>
      </c:serAx>
    </c:plotArea>
    <c:legend>
      <c:legendPos val="r"/>
      <c:layout>
        <c:manualLayout>
          <c:xMode val="edge"/>
          <c:yMode val="edge"/>
          <c:x val="0.737892977381573"/>
          <c:y val="1.96082672769901E-2"/>
          <c:w val="0.233023982689187"/>
          <c:h val="0.30836950150720099"/>
        </c:manualLayout>
      </c:layout>
      <c:overlay val="0"/>
    </c:legend>
    <c:plotVisOnly val="1"/>
    <c:dispBlanksAs val="gap"/>
    <c:showDLblsOverMax val="0"/>
  </c:chart>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Neutral</a:t>
            </a:r>
            <a:r>
              <a:rPr lang="en-US" baseline="0"/>
              <a:t> Scores</a:t>
            </a:r>
            <a:endParaRPr lang="en-US"/>
          </a:p>
        </c:rich>
      </c:tx>
      <c:overlay val="0"/>
    </c:title>
    <c:autoTitleDeleted val="0"/>
    <c:plotArea>
      <c:layout/>
      <c:barChart>
        <c:barDir val="col"/>
        <c:grouping val="clustered"/>
        <c:varyColors val="0"/>
        <c:ser>
          <c:idx val="1"/>
          <c:order val="1"/>
          <c:spPr>
            <a:solidFill>
              <a:srgbClr val="9BBB59"/>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Results'!$N$7:$N$26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F3A2-45A7-ABDC-86DDEFB0661C}"/>
            </c:ext>
          </c:extLst>
        </c:ser>
        <c:ser>
          <c:idx val="0"/>
          <c:order val="0"/>
          <c:spPr>
            <a:solidFill>
              <a:srgbClr val="9BBB59"/>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Results'!$N$7:$N$26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F3A2-45A7-ABDC-86DDEFB0661C}"/>
            </c:ext>
          </c:extLst>
        </c:ser>
        <c:dLbls>
          <c:showLegendKey val="0"/>
          <c:showVal val="0"/>
          <c:showCatName val="0"/>
          <c:showSerName val="0"/>
          <c:showPercent val="0"/>
          <c:showBubbleSize val="0"/>
        </c:dLbls>
        <c:gapWidth val="150"/>
        <c:axId val="382870128"/>
        <c:axId val="382872480"/>
      </c:barChart>
      <c:catAx>
        <c:axId val="382870128"/>
        <c:scaling>
          <c:orientation val="minMax"/>
        </c:scaling>
        <c:delete val="0"/>
        <c:axPos val="b"/>
        <c:title>
          <c:tx>
            <c:rich>
              <a:bodyPr/>
              <a:lstStyle/>
              <a:p>
                <a:pPr>
                  <a:defRPr sz="1200"/>
                </a:pPr>
                <a:r>
                  <a:rPr lang="en-US" sz="1200"/>
                  <a:t>Position</a:t>
                </a:r>
              </a:p>
            </c:rich>
          </c:tx>
          <c:layout>
            <c:manualLayout>
              <c:xMode val="edge"/>
              <c:yMode val="edge"/>
              <c:x val="0.51440170388537498"/>
              <c:y val="0.89128630705394196"/>
            </c:manualLayout>
          </c:layout>
          <c:overlay val="0"/>
        </c:title>
        <c:numFmt formatCode="General" sourceLinked="1"/>
        <c:majorTickMark val="out"/>
        <c:minorTickMark val="none"/>
        <c:tickLblPos val="nextTo"/>
        <c:txPr>
          <a:bodyPr rot="-5400000" vert="horz"/>
          <a:lstStyle/>
          <a:p>
            <a:pPr>
              <a:defRPr sz="1000"/>
            </a:pPr>
            <a:endParaRPr lang="en-US"/>
          </a:p>
        </c:txPr>
        <c:crossAx val="382872480"/>
        <c:crosses val="autoZero"/>
        <c:auto val="1"/>
        <c:lblAlgn val="ctr"/>
        <c:lblOffset val="100"/>
        <c:noMultiLvlLbl val="0"/>
      </c:catAx>
      <c:valAx>
        <c:axId val="382872480"/>
        <c:scaling>
          <c:orientation val="minMax"/>
          <c:max val="1"/>
          <c:min val="0"/>
        </c:scaling>
        <c:delete val="0"/>
        <c:axPos val="l"/>
        <c:title>
          <c:tx>
            <c:rich>
              <a:bodyPr rot="-5400000" vert="horz"/>
              <a:lstStyle/>
              <a:p>
                <a:pPr>
                  <a:defRPr sz="1200"/>
                </a:pPr>
                <a:r>
                  <a:rPr lang="en-US" sz="1200"/>
                  <a:t>Neutral</a:t>
                </a:r>
                <a:r>
                  <a:rPr lang="en-US" sz="1200" baseline="0"/>
                  <a:t> Score</a:t>
                </a:r>
              </a:p>
            </c:rich>
          </c:tx>
          <c:overlay val="0"/>
        </c:title>
        <c:numFmt formatCode="0.00" sourceLinked="1"/>
        <c:majorTickMark val="out"/>
        <c:minorTickMark val="none"/>
        <c:tickLblPos val="nextTo"/>
        <c:txPr>
          <a:bodyPr/>
          <a:lstStyle/>
          <a:p>
            <a:pPr>
              <a:defRPr sz="1200"/>
            </a:pPr>
            <a:endParaRPr lang="en-US"/>
          </a:p>
        </c:txPr>
        <c:crossAx val="382870128"/>
        <c:crosses val="autoZero"/>
        <c:crossBetween val="between"/>
        <c:majorUnit val="0.2"/>
      </c:valAx>
    </c:plotArea>
    <c:plotVisOnly val="1"/>
    <c:dispBlanksAs val="gap"/>
    <c:showDLblsOverMax val="0"/>
  </c:chart>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Weighted Rheostat Scores</a:t>
            </a:r>
            <a:endParaRPr lang="en-US"/>
          </a:p>
        </c:rich>
      </c:tx>
      <c:overlay val="0"/>
    </c:title>
    <c:autoTitleDeleted val="0"/>
    <c:plotArea>
      <c:layout/>
      <c:barChart>
        <c:barDir val="col"/>
        <c:grouping val="clustered"/>
        <c:varyColors val="0"/>
        <c:ser>
          <c:idx val="0"/>
          <c:order val="0"/>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Results'!$P$7:$P$26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3F1C-46CC-BA77-C902B829AF76}"/>
            </c:ext>
          </c:extLst>
        </c:ser>
        <c:dLbls>
          <c:showLegendKey val="0"/>
          <c:showVal val="0"/>
          <c:showCatName val="0"/>
          <c:showSerName val="0"/>
          <c:showPercent val="0"/>
          <c:showBubbleSize val="0"/>
        </c:dLbls>
        <c:gapWidth val="150"/>
        <c:axId val="382872088"/>
        <c:axId val="382869344"/>
      </c:barChart>
      <c:catAx>
        <c:axId val="382872088"/>
        <c:scaling>
          <c:orientation val="minMax"/>
        </c:scaling>
        <c:delete val="0"/>
        <c:axPos val="b"/>
        <c:title>
          <c:tx>
            <c:rich>
              <a:bodyPr/>
              <a:lstStyle/>
              <a:p>
                <a:pPr>
                  <a:defRPr sz="1200"/>
                </a:pPr>
                <a:r>
                  <a:rPr lang="en-US" sz="1200"/>
                  <a:t>Position</a:t>
                </a:r>
              </a:p>
            </c:rich>
          </c:tx>
          <c:layout>
            <c:manualLayout>
              <c:xMode val="edge"/>
              <c:yMode val="edge"/>
              <c:x val="0.51440170388537498"/>
              <c:y val="0.89128630705394196"/>
            </c:manualLayout>
          </c:layout>
          <c:overlay val="0"/>
        </c:title>
        <c:numFmt formatCode="General" sourceLinked="1"/>
        <c:majorTickMark val="out"/>
        <c:minorTickMark val="none"/>
        <c:tickLblPos val="nextTo"/>
        <c:txPr>
          <a:bodyPr rot="-5400000" vert="horz"/>
          <a:lstStyle/>
          <a:p>
            <a:pPr>
              <a:defRPr sz="1000"/>
            </a:pPr>
            <a:endParaRPr lang="en-US"/>
          </a:p>
        </c:txPr>
        <c:crossAx val="382869344"/>
        <c:crosses val="autoZero"/>
        <c:auto val="1"/>
        <c:lblAlgn val="ctr"/>
        <c:lblOffset val="100"/>
        <c:noMultiLvlLbl val="0"/>
      </c:catAx>
      <c:valAx>
        <c:axId val="382869344"/>
        <c:scaling>
          <c:orientation val="minMax"/>
          <c:max val="1"/>
          <c:min val="0"/>
        </c:scaling>
        <c:delete val="0"/>
        <c:axPos val="l"/>
        <c:title>
          <c:tx>
            <c:rich>
              <a:bodyPr rot="-5400000" vert="horz"/>
              <a:lstStyle/>
              <a:p>
                <a:pPr>
                  <a:defRPr sz="1200"/>
                </a:pPr>
                <a:r>
                  <a:rPr lang="en-US" sz="1200" baseline="0"/>
                  <a:t>Weighted Rheostat Score</a:t>
                </a:r>
              </a:p>
            </c:rich>
          </c:tx>
          <c:overlay val="0"/>
        </c:title>
        <c:numFmt formatCode="0.00" sourceLinked="1"/>
        <c:majorTickMark val="out"/>
        <c:minorTickMark val="none"/>
        <c:tickLblPos val="nextTo"/>
        <c:txPr>
          <a:bodyPr/>
          <a:lstStyle/>
          <a:p>
            <a:pPr>
              <a:defRPr sz="1200"/>
            </a:pPr>
            <a:endParaRPr lang="en-US"/>
          </a:p>
        </c:txPr>
        <c:crossAx val="382872088"/>
        <c:crosses val="autoZero"/>
        <c:crossBetween val="between"/>
        <c:majorUnit val="0.2"/>
      </c:valAx>
    </c:plotArea>
    <c:plotVisOnly val="1"/>
    <c:dispBlanksAs val="gap"/>
    <c:showDLblsOverMax val="0"/>
  </c:chart>
  <c:printSettings>
    <c:headerFooter/>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Toggle Scores</a:t>
            </a:r>
            <a:endParaRPr lang="en-US"/>
          </a:p>
        </c:rich>
      </c:tx>
      <c:overlay val="0"/>
    </c:title>
    <c:autoTitleDeleted val="0"/>
    <c:plotArea>
      <c:layout/>
      <c:barChart>
        <c:barDir val="col"/>
        <c:grouping val="clustered"/>
        <c:varyColors val="0"/>
        <c:ser>
          <c:idx val="0"/>
          <c:order val="0"/>
          <c:spPr>
            <a:solidFill>
              <a:schemeClr val="accent2"/>
            </a:solidFill>
          </c:spPr>
          <c:invertIfNegative val="0"/>
          <c:cat>
            <c:strRef>
              <c:f>'Input and Summary Results'!$L$7:$L$26</c:f>
              <c:strCache>
                <c:ptCount val="20"/>
                <c:pt idx="0">
                  <c:v> </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strCache>
            </c:strRef>
          </c:cat>
          <c:val>
            <c:numRef>
              <c:f>'Input and Summary Results'!$Q$7:$Q$26</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B1BE-4F2A-A953-2FBC5183D86A}"/>
            </c:ext>
          </c:extLst>
        </c:ser>
        <c:dLbls>
          <c:showLegendKey val="0"/>
          <c:showVal val="0"/>
          <c:showCatName val="0"/>
          <c:showSerName val="0"/>
          <c:showPercent val="0"/>
          <c:showBubbleSize val="0"/>
        </c:dLbls>
        <c:gapWidth val="150"/>
        <c:axId val="256867256"/>
        <c:axId val="256867648"/>
      </c:barChart>
      <c:catAx>
        <c:axId val="256867256"/>
        <c:scaling>
          <c:orientation val="minMax"/>
        </c:scaling>
        <c:delete val="0"/>
        <c:axPos val="b"/>
        <c:title>
          <c:tx>
            <c:rich>
              <a:bodyPr/>
              <a:lstStyle/>
              <a:p>
                <a:pPr>
                  <a:defRPr sz="1200"/>
                </a:pPr>
                <a:r>
                  <a:rPr lang="en-US" sz="1200"/>
                  <a:t>Position</a:t>
                </a:r>
              </a:p>
            </c:rich>
          </c:tx>
          <c:layout>
            <c:manualLayout>
              <c:xMode val="edge"/>
              <c:yMode val="edge"/>
              <c:x val="0.51440170388537498"/>
              <c:y val="0.89128630705394196"/>
            </c:manualLayout>
          </c:layout>
          <c:overlay val="0"/>
        </c:title>
        <c:numFmt formatCode="General" sourceLinked="1"/>
        <c:majorTickMark val="out"/>
        <c:minorTickMark val="none"/>
        <c:tickLblPos val="nextTo"/>
        <c:txPr>
          <a:bodyPr rot="-5400000" vert="horz"/>
          <a:lstStyle/>
          <a:p>
            <a:pPr>
              <a:defRPr sz="1000"/>
            </a:pPr>
            <a:endParaRPr lang="en-US"/>
          </a:p>
        </c:txPr>
        <c:crossAx val="256867648"/>
        <c:crosses val="autoZero"/>
        <c:auto val="1"/>
        <c:lblAlgn val="ctr"/>
        <c:lblOffset val="100"/>
        <c:noMultiLvlLbl val="0"/>
      </c:catAx>
      <c:valAx>
        <c:axId val="256867648"/>
        <c:scaling>
          <c:orientation val="minMax"/>
          <c:max val="1"/>
          <c:min val="0"/>
        </c:scaling>
        <c:delete val="0"/>
        <c:axPos val="l"/>
        <c:title>
          <c:tx>
            <c:rich>
              <a:bodyPr rot="-5400000" vert="horz"/>
              <a:lstStyle/>
              <a:p>
                <a:pPr>
                  <a:defRPr sz="1200"/>
                </a:pPr>
                <a:r>
                  <a:rPr lang="en-US" sz="1200" baseline="0"/>
                  <a:t>Toggle Score</a:t>
                </a:r>
              </a:p>
            </c:rich>
          </c:tx>
          <c:overlay val="0"/>
        </c:title>
        <c:numFmt formatCode="0.00" sourceLinked="1"/>
        <c:majorTickMark val="out"/>
        <c:minorTickMark val="none"/>
        <c:tickLblPos val="nextTo"/>
        <c:txPr>
          <a:bodyPr/>
          <a:lstStyle/>
          <a:p>
            <a:pPr>
              <a:defRPr sz="1200"/>
            </a:pPr>
            <a:endParaRPr lang="en-US"/>
          </a:p>
        </c:txPr>
        <c:crossAx val="256867256"/>
        <c:crosses val="autoZero"/>
        <c:crossBetween val="between"/>
        <c:majorUnit val="0.2"/>
      </c:valAx>
    </c:plotArea>
    <c:plotVisOnly val="1"/>
    <c:dispBlanksAs val="gap"/>
    <c:showDLblsOverMax val="0"/>
  </c:chart>
  <c:printSettings>
    <c:headerFooter/>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Plots'!$C$27:$D$27</c:f>
              <c:strCache>
                <c:ptCount val="1"/>
                <c:pt idx="0">
                  <c:v>Position  </c:v>
                </c:pt>
              </c:strCache>
            </c:strRef>
          </c:tx>
          <c:invertIfNegative val="0"/>
          <c:cat>
            <c:strRef>
              <c:f>'Bin Analysis and Plots'!$C$30:$C$49</c:f>
              <c:strCache>
                <c:ptCount val="1"/>
                <c:pt idx="0">
                  <c:v>#NUM!</c:v>
                </c:pt>
              </c:strCache>
            </c:strRef>
          </c:cat>
          <c:val>
            <c:numRef>
              <c:f>'Bin Analysis and Plots'!$K$30:$K$49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15B-4FAB-9429-5BE1F9101EC9}"/>
            </c:ext>
          </c:extLst>
        </c:ser>
        <c:dLbls>
          <c:showLegendKey val="0"/>
          <c:showVal val="0"/>
          <c:showCatName val="0"/>
          <c:showSerName val="0"/>
          <c:showPercent val="0"/>
          <c:showBubbleSize val="0"/>
        </c:dLbls>
        <c:gapWidth val="150"/>
        <c:axId val="256868040"/>
        <c:axId val="256866472"/>
      </c:barChart>
      <c:barChart>
        <c:barDir val="col"/>
        <c:grouping val="clustered"/>
        <c:varyColors val="0"/>
        <c:ser>
          <c:idx val="1"/>
          <c:order val="1"/>
          <c:tx>
            <c:strRef>
              <c:f>'Bin Analysis and Plots'!$E$28</c:f>
              <c:strCache>
                <c:ptCount val="1"/>
                <c:pt idx="0">
                  <c:v>WT Bin</c:v>
                </c:pt>
              </c:strCache>
            </c:strRef>
          </c:tx>
          <c:spPr>
            <a:solidFill>
              <a:schemeClr val="accent3"/>
            </a:solidFill>
          </c:spPr>
          <c:invertIfNegative val="0"/>
          <c:cat>
            <c:strRef>
              <c:f>'Bin Analysis and Plots'!$C$30:$C$49</c:f>
              <c:strCache>
                <c:ptCount val="1"/>
                <c:pt idx="0">
                  <c:v>#NUM!</c:v>
                </c:pt>
              </c:strCache>
            </c:strRef>
          </c:cat>
          <c:val>
            <c:numRef>
              <c:f>'Bin Analysis and Plots'!$E$30:$E$49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15B-4FAB-9429-5BE1F9101EC9}"/>
            </c:ext>
          </c:extLst>
        </c:ser>
        <c:ser>
          <c:idx val="2"/>
          <c:order val="2"/>
          <c:tx>
            <c:strRef>
              <c:f>'Bin Analysis and Plots'!$I$28</c:f>
              <c:strCache>
                <c:ptCount val="1"/>
                <c:pt idx="0">
                  <c:v>Dead Protein</c:v>
                </c:pt>
              </c:strCache>
            </c:strRef>
          </c:tx>
          <c:spPr>
            <a:solidFill>
              <a:schemeClr val="accent2"/>
            </a:solidFill>
          </c:spPr>
          <c:invertIfNegative val="0"/>
          <c:cat>
            <c:strRef>
              <c:f>'Bin Analysis and Plots'!$C$30:$C$49</c:f>
              <c:strCache>
                <c:ptCount val="1"/>
                <c:pt idx="0">
                  <c:v>#NUM!</c:v>
                </c:pt>
              </c:strCache>
            </c:strRef>
          </c:cat>
          <c:val>
            <c:numRef>
              <c:f>'Bin Analysis and Plots'!$I$30:$I$49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15B-4FAB-9429-5BE1F9101EC9}"/>
            </c:ext>
          </c:extLst>
        </c:ser>
        <c:dLbls>
          <c:showLegendKey val="0"/>
          <c:showVal val="0"/>
          <c:showCatName val="0"/>
          <c:showSerName val="0"/>
          <c:showPercent val="0"/>
          <c:showBubbleSize val="0"/>
        </c:dLbls>
        <c:gapWidth val="500"/>
        <c:axId val="398129840"/>
        <c:axId val="256866864"/>
      </c:barChart>
      <c:catAx>
        <c:axId val="256868040"/>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256866472"/>
        <c:crosses val="autoZero"/>
        <c:auto val="1"/>
        <c:lblAlgn val="ctr"/>
        <c:lblOffset val="100"/>
        <c:noMultiLvlLbl val="0"/>
      </c:catAx>
      <c:valAx>
        <c:axId val="256866472"/>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256868040"/>
        <c:crosses val="autoZero"/>
        <c:crossBetween val="between"/>
        <c:majorUnit val="1"/>
      </c:valAx>
      <c:valAx>
        <c:axId val="256866864"/>
        <c:scaling>
          <c:orientation val="minMax"/>
          <c:max val="1"/>
        </c:scaling>
        <c:delete val="0"/>
        <c:axPos val="r"/>
        <c:numFmt formatCode="General" sourceLinked="1"/>
        <c:majorTickMark val="none"/>
        <c:minorTickMark val="none"/>
        <c:tickLblPos val="none"/>
        <c:spPr>
          <a:ln>
            <a:noFill/>
          </a:ln>
        </c:spPr>
        <c:crossAx val="398129840"/>
        <c:crosses val="max"/>
        <c:crossBetween val="between"/>
      </c:valAx>
      <c:catAx>
        <c:axId val="398129840"/>
        <c:scaling>
          <c:orientation val="minMax"/>
        </c:scaling>
        <c:delete val="1"/>
        <c:axPos val="b"/>
        <c:numFmt formatCode="General" sourceLinked="0"/>
        <c:majorTickMark val="out"/>
        <c:minorTickMark val="none"/>
        <c:tickLblPos val="nextTo"/>
        <c:crossAx val="256866864"/>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Plots'!$B$30:$B$49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8834-4C46-A099-BF49572270A8}"/>
            </c:ext>
          </c:extLst>
        </c:ser>
        <c:dLbls>
          <c:showLegendKey val="0"/>
          <c:showVal val="0"/>
          <c:showCatName val="0"/>
          <c:showSerName val="0"/>
          <c:showPercent val="0"/>
          <c:showBubbleSize val="0"/>
        </c:dLbls>
        <c:gapWidth val="150"/>
        <c:axId val="398130232"/>
        <c:axId val="398129448"/>
      </c:barChart>
      <c:catAx>
        <c:axId val="398130232"/>
        <c:scaling>
          <c:orientation val="minMax"/>
        </c:scaling>
        <c:delete val="1"/>
        <c:axPos val="b"/>
        <c:majorTickMark val="out"/>
        <c:minorTickMark val="none"/>
        <c:tickLblPos val="nextTo"/>
        <c:crossAx val="398129448"/>
        <c:crosses val="autoZero"/>
        <c:auto val="1"/>
        <c:lblAlgn val="ctr"/>
        <c:lblOffset val="100"/>
        <c:noMultiLvlLbl val="0"/>
      </c:catAx>
      <c:valAx>
        <c:axId val="39812944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98130232"/>
        <c:crosses val="autoZero"/>
        <c:crossBetween val="between"/>
      </c:valAx>
    </c:plotArea>
    <c:plotVisOnly val="1"/>
    <c:dispBlanksAs val="gap"/>
    <c:showDLblsOverMax val="0"/>
  </c:chart>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Plots'!$B$54:$B$73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9B3-4F1E-A173-F21BDCE095B8}"/>
            </c:ext>
          </c:extLst>
        </c:ser>
        <c:dLbls>
          <c:showLegendKey val="0"/>
          <c:showVal val="0"/>
          <c:showCatName val="0"/>
          <c:showSerName val="0"/>
          <c:showPercent val="0"/>
          <c:showBubbleSize val="0"/>
        </c:dLbls>
        <c:gapWidth val="150"/>
        <c:axId val="398132976"/>
        <c:axId val="178909072"/>
      </c:barChart>
      <c:catAx>
        <c:axId val="398132976"/>
        <c:scaling>
          <c:orientation val="minMax"/>
        </c:scaling>
        <c:delete val="1"/>
        <c:axPos val="b"/>
        <c:majorTickMark val="out"/>
        <c:minorTickMark val="none"/>
        <c:tickLblPos val="nextTo"/>
        <c:crossAx val="178909072"/>
        <c:crosses val="autoZero"/>
        <c:auto val="1"/>
        <c:lblAlgn val="ctr"/>
        <c:lblOffset val="100"/>
        <c:noMultiLvlLbl val="0"/>
      </c:catAx>
      <c:valAx>
        <c:axId val="178909072"/>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98132976"/>
        <c:crosses val="autoZero"/>
        <c:crossBetween val="between"/>
      </c:valAx>
    </c:plotArea>
    <c:plotVisOnly val="1"/>
    <c:dispBlanksAs val="gap"/>
    <c:showDLblsOverMax val="0"/>
  </c:chart>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Plots'!$B$78:$B$97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022-47C2-86F8-CFBE6296C851}"/>
            </c:ext>
          </c:extLst>
        </c:ser>
        <c:dLbls>
          <c:showLegendKey val="0"/>
          <c:showVal val="0"/>
          <c:showCatName val="0"/>
          <c:showSerName val="0"/>
          <c:showPercent val="0"/>
          <c:showBubbleSize val="0"/>
        </c:dLbls>
        <c:gapWidth val="150"/>
        <c:axId val="178909856"/>
        <c:axId val="178909464"/>
      </c:barChart>
      <c:catAx>
        <c:axId val="178909856"/>
        <c:scaling>
          <c:orientation val="minMax"/>
        </c:scaling>
        <c:delete val="1"/>
        <c:axPos val="b"/>
        <c:majorTickMark val="out"/>
        <c:minorTickMark val="none"/>
        <c:tickLblPos val="nextTo"/>
        <c:crossAx val="178909464"/>
        <c:crosses val="autoZero"/>
        <c:auto val="1"/>
        <c:lblAlgn val="ctr"/>
        <c:lblOffset val="100"/>
        <c:noMultiLvlLbl val="0"/>
      </c:catAx>
      <c:valAx>
        <c:axId val="178909464"/>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178909856"/>
        <c:crosses val="autoZero"/>
        <c:crossBetween val="between"/>
      </c:valAx>
    </c:plotArea>
    <c:plotVisOnly val="1"/>
    <c:dispBlanksAs val="gap"/>
    <c:showDLblsOverMax val="0"/>
  </c:chart>
  <c:printSettings>
    <c:headerFooter/>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Plots'!$B$102:$B$121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CA5-466F-83E6-FD69259F9FAC}"/>
            </c:ext>
          </c:extLst>
        </c:ser>
        <c:dLbls>
          <c:showLegendKey val="0"/>
          <c:showVal val="0"/>
          <c:showCatName val="0"/>
          <c:showSerName val="0"/>
          <c:showPercent val="0"/>
          <c:showBubbleSize val="0"/>
        </c:dLbls>
        <c:gapWidth val="150"/>
        <c:axId val="397795696"/>
        <c:axId val="397796088"/>
      </c:barChart>
      <c:catAx>
        <c:axId val="397795696"/>
        <c:scaling>
          <c:orientation val="minMax"/>
        </c:scaling>
        <c:delete val="1"/>
        <c:axPos val="b"/>
        <c:majorTickMark val="out"/>
        <c:minorTickMark val="none"/>
        <c:tickLblPos val="nextTo"/>
        <c:crossAx val="397796088"/>
        <c:crosses val="autoZero"/>
        <c:auto val="1"/>
        <c:lblAlgn val="ctr"/>
        <c:lblOffset val="100"/>
        <c:noMultiLvlLbl val="0"/>
      </c:catAx>
      <c:valAx>
        <c:axId val="39779608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97795696"/>
        <c:crosses val="autoZero"/>
        <c:crossBetween val="between"/>
      </c:valAx>
    </c:plotArea>
    <c:plotVisOnly val="1"/>
    <c:dispBlanksAs val="gap"/>
    <c:showDLblsOverMax val="0"/>
  </c:chart>
  <c:printSettings>
    <c:headerFooter/>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Plots'!$B$126:$B$145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A59-4280-9A18-6B071866D66F}"/>
            </c:ext>
          </c:extLst>
        </c:ser>
        <c:dLbls>
          <c:showLegendKey val="0"/>
          <c:showVal val="0"/>
          <c:showCatName val="0"/>
          <c:showSerName val="0"/>
          <c:showPercent val="0"/>
          <c:showBubbleSize val="0"/>
        </c:dLbls>
        <c:gapWidth val="150"/>
        <c:axId val="397796872"/>
        <c:axId val="397405304"/>
      </c:barChart>
      <c:catAx>
        <c:axId val="397796872"/>
        <c:scaling>
          <c:orientation val="minMax"/>
        </c:scaling>
        <c:delete val="1"/>
        <c:axPos val="b"/>
        <c:majorTickMark val="out"/>
        <c:minorTickMark val="none"/>
        <c:tickLblPos val="nextTo"/>
        <c:crossAx val="397405304"/>
        <c:crosses val="autoZero"/>
        <c:auto val="1"/>
        <c:lblAlgn val="ctr"/>
        <c:lblOffset val="100"/>
        <c:noMultiLvlLbl val="0"/>
      </c:catAx>
      <c:valAx>
        <c:axId val="397405304"/>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97796872"/>
        <c:crosses val="autoZero"/>
        <c:crossBetween val="between"/>
      </c:valAx>
    </c:plotArea>
    <c:plotVisOnly val="1"/>
    <c:dispBlanksAs val="gap"/>
    <c:showDLblsOverMax val="0"/>
  </c:chart>
  <c:printSettings>
    <c:headerFooter/>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Plots'!$B$150:$B$169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7EC5-4DE6-9153-4FF505A49DEB}"/>
            </c:ext>
          </c:extLst>
        </c:ser>
        <c:dLbls>
          <c:showLegendKey val="0"/>
          <c:showVal val="0"/>
          <c:showCatName val="0"/>
          <c:showSerName val="0"/>
          <c:showPercent val="0"/>
          <c:showBubbleSize val="0"/>
        </c:dLbls>
        <c:gapWidth val="150"/>
        <c:axId val="397405696"/>
        <c:axId val="256401248"/>
      </c:barChart>
      <c:catAx>
        <c:axId val="397405696"/>
        <c:scaling>
          <c:orientation val="minMax"/>
        </c:scaling>
        <c:delete val="1"/>
        <c:axPos val="b"/>
        <c:majorTickMark val="out"/>
        <c:minorTickMark val="none"/>
        <c:tickLblPos val="nextTo"/>
        <c:crossAx val="256401248"/>
        <c:crosses val="autoZero"/>
        <c:auto val="1"/>
        <c:lblAlgn val="ctr"/>
        <c:lblOffset val="100"/>
        <c:noMultiLvlLbl val="0"/>
      </c:catAx>
      <c:valAx>
        <c:axId val="25640124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97405696"/>
        <c:crosses val="autoZero"/>
        <c:crossBetween val="between"/>
      </c:valAx>
    </c:plotArea>
    <c:plotVisOnly val="1"/>
    <c:dispBlanksAs val="gap"/>
    <c:showDLblsOverMax val="0"/>
  </c:chart>
  <c:printSettings>
    <c:headerFooter/>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Plots'!$B$174:$B$193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0858-4F37-B8B7-953787E52FAE}"/>
            </c:ext>
          </c:extLst>
        </c:ser>
        <c:dLbls>
          <c:showLegendKey val="0"/>
          <c:showVal val="0"/>
          <c:showCatName val="0"/>
          <c:showSerName val="0"/>
          <c:showPercent val="0"/>
          <c:showBubbleSize val="0"/>
        </c:dLbls>
        <c:gapWidth val="150"/>
        <c:axId val="256402032"/>
        <c:axId val="256862464"/>
      </c:barChart>
      <c:catAx>
        <c:axId val="256402032"/>
        <c:scaling>
          <c:orientation val="minMax"/>
        </c:scaling>
        <c:delete val="1"/>
        <c:axPos val="b"/>
        <c:majorTickMark val="out"/>
        <c:minorTickMark val="none"/>
        <c:tickLblPos val="nextTo"/>
        <c:crossAx val="256862464"/>
        <c:crosses val="autoZero"/>
        <c:auto val="1"/>
        <c:lblAlgn val="ctr"/>
        <c:lblOffset val="100"/>
        <c:noMultiLvlLbl val="0"/>
      </c:catAx>
      <c:valAx>
        <c:axId val="256862464"/>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256402032"/>
        <c:crosses val="autoZero"/>
        <c:crossBetween val="between"/>
      </c:valAx>
    </c:plotArea>
    <c:plotVisOnly val="1"/>
    <c:dispBlanksAs val="gap"/>
    <c:showDLblsOverMax val="0"/>
  </c:chart>
  <c:printSettings>
    <c:headerFooter/>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Plots'!$B$198:$B$217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BB2-4499-AB48-18E57C5958D6}"/>
            </c:ext>
          </c:extLst>
        </c:ser>
        <c:dLbls>
          <c:showLegendKey val="0"/>
          <c:showVal val="0"/>
          <c:showCatName val="0"/>
          <c:showSerName val="0"/>
          <c:showPercent val="0"/>
          <c:showBubbleSize val="0"/>
        </c:dLbls>
        <c:gapWidth val="150"/>
        <c:axId val="181667912"/>
        <c:axId val="181665168"/>
      </c:barChart>
      <c:catAx>
        <c:axId val="181667912"/>
        <c:scaling>
          <c:orientation val="minMax"/>
        </c:scaling>
        <c:delete val="1"/>
        <c:axPos val="b"/>
        <c:majorTickMark val="out"/>
        <c:minorTickMark val="none"/>
        <c:tickLblPos val="nextTo"/>
        <c:crossAx val="181665168"/>
        <c:crosses val="autoZero"/>
        <c:auto val="1"/>
        <c:lblAlgn val="ctr"/>
        <c:lblOffset val="100"/>
        <c:noMultiLvlLbl val="0"/>
      </c:catAx>
      <c:valAx>
        <c:axId val="18166516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181667912"/>
        <c:crosses val="autoZero"/>
        <c:crossBetween val="between"/>
      </c:valAx>
    </c:plotArea>
    <c:plotVisOnly val="1"/>
    <c:dispBlanksAs val="gap"/>
    <c:showDLblsOverMax val="0"/>
  </c:chart>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Plots'!$B$222:$B$241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8829-473D-9F46-552C224542B3}"/>
            </c:ext>
          </c:extLst>
        </c:ser>
        <c:dLbls>
          <c:showLegendKey val="0"/>
          <c:showVal val="0"/>
          <c:showCatName val="0"/>
          <c:showSerName val="0"/>
          <c:showPercent val="0"/>
          <c:showBubbleSize val="0"/>
        </c:dLbls>
        <c:gapWidth val="150"/>
        <c:axId val="180919616"/>
        <c:axId val="256206808"/>
      </c:barChart>
      <c:catAx>
        <c:axId val="180919616"/>
        <c:scaling>
          <c:orientation val="minMax"/>
        </c:scaling>
        <c:delete val="1"/>
        <c:axPos val="b"/>
        <c:majorTickMark val="out"/>
        <c:minorTickMark val="none"/>
        <c:tickLblPos val="nextTo"/>
        <c:crossAx val="256206808"/>
        <c:crosses val="autoZero"/>
        <c:auto val="1"/>
        <c:lblAlgn val="ctr"/>
        <c:lblOffset val="100"/>
        <c:noMultiLvlLbl val="0"/>
      </c:catAx>
      <c:valAx>
        <c:axId val="25620680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180919616"/>
        <c:crosses val="autoZero"/>
        <c:crossBetween val="between"/>
      </c:valAx>
    </c:plotArea>
    <c:plotVisOnly val="1"/>
    <c:dispBlanksAs val="gap"/>
    <c:showDLblsOverMax val="0"/>
  </c:chart>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Plots'!$B$246:$B$265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721D-45AC-BDBD-64649971E463}"/>
            </c:ext>
          </c:extLst>
        </c:ser>
        <c:dLbls>
          <c:showLegendKey val="0"/>
          <c:showVal val="0"/>
          <c:showCatName val="0"/>
          <c:showSerName val="0"/>
          <c:showPercent val="0"/>
          <c:showBubbleSize val="0"/>
        </c:dLbls>
        <c:gapWidth val="150"/>
        <c:axId val="252160592"/>
        <c:axId val="77354920"/>
      </c:barChart>
      <c:catAx>
        <c:axId val="252160592"/>
        <c:scaling>
          <c:orientation val="minMax"/>
        </c:scaling>
        <c:delete val="1"/>
        <c:axPos val="b"/>
        <c:majorTickMark val="out"/>
        <c:minorTickMark val="none"/>
        <c:tickLblPos val="nextTo"/>
        <c:crossAx val="77354920"/>
        <c:crosses val="autoZero"/>
        <c:auto val="1"/>
        <c:lblAlgn val="ctr"/>
        <c:lblOffset val="100"/>
        <c:noMultiLvlLbl val="0"/>
      </c:catAx>
      <c:valAx>
        <c:axId val="77354920"/>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252160592"/>
        <c:crosses val="autoZero"/>
        <c:crossBetween val="between"/>
      </c:valAx>
    </c:plotArea>
    <c:plotVisOnly val="1"/>
    <c:dispBlanksAs val="gap"/>
    <c:showDLblsOverMax val="0"/>
  </c:chart>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Plots'!$B$270:$B$289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2D5A-4454-AEB1-CAE18DF42DB3}"/>
            </c:ext>
          </c:extLst>
        </c:ser>
        <c:dLbls>
          <c:showLegendKey val="0"/>
          <c:showVal val="0"/>
          <c:showCatName val="0"/>
          <c:showSerName val="0"/>
          <c:showPercent val="0"/>
          <c:showBubbleSize val="0"/>
        </c:dLbls>
        <c:gapWidth val="150"/>
        <c:axId val="343369416"/>
        <c:axId val="343369808"/>
      </c:barChart>
      <c:catAx>
        <c:axId val="343369416"/>
        <c:scaling>
          <c:orientation val="minMax"/>
        </c:scaling>
        <c:delete val="1"/>
        <c:axPos val="b"/>
        <c:majorTickMark val="out"/>
        <c:minorTickMark val="none"/>
        <c:tickLblPos val="nextTo"/>
        <c:crossAx val="343369808"/>
        <c:crosses val="autoZero"/>
        <c:auto val="1"/>
        <c:lblAlgn val="ctr"/>
        <c:lblOffset val="100"/>
        <c:noMultiLvlLbl val="0"/>
      </c:catAx>
      <c:valAx>
        <c:axId val="34336980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69416"/>
        <c:crosses val="autoZero"/>
        <c:crossBetween val="between"/>
      </c:valAx>
    </c:plotArea>
    <c:plotVisOnly val="1"/>
    <c:dispBlanksAs val="gap"/>
    <c:showDLblsOverMax val="0"/>
  </c:chart>
  <c:printSettings>
    <c:headerFooter/>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Plots'!$B$294:$B$313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F5B-44B4-9D7E-B002664E5019}"/>
            </c:ext>
          </c:extLst>
        </c:ser>
        <c:dLbls>
          <c:showLegendKey val="0"/>
          <c:showVal val="0"/>
          <c:showCatName val="0"/>
          <c:showSerName val="0"/>
          <c:showPercent val="0"/>
          <c:showBubbleSize val="0"/>
        </c:dLbls>
        <c:gapWidth val="150"/>
        <c:axId val="343370592"/>
        <c:axId val="343370984"/>
      </c:barChart>
      <c:catAx>
        <c:axId val="343370592"/>
        <c:scaling>
          <c:orientation val="minMax"/>
        </c:scaling>
        <c:delete val="1"/>
        <c:axPos val="b"/>
        <c:majorTickMark val="out"/>
        <c:minorTickMark val="none"/>
        <c:tickLblPos val="nextTo"/>
        <c:crossAx val="343370984"/>
        <c:crosses val="autoZero"/>
        <c:auto val="1"/>
        <c:lblAlgn val="ctr"/>
        <c:lblOffset val="100"/>
        <c:noMultiLvlLbl val="0"/>
      </c:catAx>
      <c:valAx>
        <c:axId val="343370984"/>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70592"/>
        <c:crosses val="autoZero"/>
        <c:crossBetween val="between"/>
      </c:valAx>
    </c:plotArea>
    <c:plotVisOnly val="1"/>
    <c:dispBlanksAs val="gap"/>
    <c:showDLblsOverMax val="0"/>
  </c:chart>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Plots'!$B$318:$B$337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8BB6-42B9-BDD4-DAF01917DE28}"/>
            </c:ext>
          </c:extLst>
        </c:ser>
        <c:dLbls>
          <c:showLegendKey val="0"/>
          <c:showVal val="0"/>
          <c:showCatName val="0"/>
          <c:showSerName val="0"/>
          <c:showPercent val="0"/>
          <c:showBubbleSize val="0"/>
        </c:dLbls>
        <c:gapWidth val="150"/>
        <c:axId val="343371768"/>
        <c:axId val="343372160"/>
      </c:barChart>
      <c:catAx>
        <c:axId val="343371768"/>
        <c:scaling>
          <c:orientation val="minMax"/>
        </c:scaling>
        <c:delete val="1"/>
        <c:axPos val="b"/>
        <c:majorTickMark val="out"/>
        <c:minorTickMark val="none"/>
        <c:tickLblPos val="nextTo"/>
        <c:crossAx val="343372160"/>
        <c:crosses val="autoZero"/>
        <c:auto val="1"/>
        <c:lblAlgn val="ctr"/>
        <c:lblOffset val="100"/>
        <c:noMultiLvlLbl val="0"/>
      </c:catAx>
      <c:valAx>
        <c:axId val="343372160"/>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71768"/>
        <c:crosses val="autoZero"/>
        <c:crossBetween val="between"/>
      </c:valAx>
    </c:plotArea>
    <c:plotVisOnly val="1"/>
    <c:dispBlanksAs val="gap"/>
    <c:showDLblsOverMax val="0"/>
  </c:chart>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Plots'!$B$342:$B$361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2DB9-4A68-A135-D55551B0E954}"/>
            </c:ext>
          </c:extLst>
        </c:ser>
        <c:dLbls>
          <c:showLegendKey val="0"/>
          <c:showVal val="0"/>
          <c:showCatName val="0"/>
          <c:showSerName val="0"/>
          <c:showPercent val="0"/>
          <c:showBubbleSize val="0"/>
        </c:dLbls>
        <c:gapWidth val="150"/>
        <c:axId val="343372944"/>
        <c:axId val="343373336"/>
      </c:barChart>
      <c:catAx>
        <c:axId val="343372944"/>
        <c:scaling>
          <c:orientation val="minMax"/>
        </c:scaling>
        <c:delete val="1"/>
        <c:axPos val="b"/>
        <c:majorTickMark val="out"/>
        <c:minorTickMark val="none"/>
        <c:tickLblPos val="nextTo"/>
        <c:crossAx val="343373336"/>
        <c:crosses val="autoZero"/>
        <c:auto val="1"/>
        <c:lblAlgn val="ctr"/>
        <c:lblOffset val="100"/>
        <c:noMultiLvlLbl val="0"/>
      </c:catAx>
      <c:valAx>
        <c:axId val="343373336"/>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72944"/>
        <c:crosses val="autoZero"/>
        <c:crossBetween val="between"/>
      </c:valAx>
    </c:plotArea>
    <c:plotVisOnly val="1"/>
    <c:dispBlanksAs val="gap"/>
    <c:showDLblsOverMax val="0"/>
  </c:chart>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Plots'!$B$366:$B$385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35F-4574-B031-FB07B670D4D5}"/>
            </c:ext>
          </c:extLst>
        </c:ser>
        <c:dLbls>
          <c:showLegendKey val="0"/>
          <c:showVal val="0"/>
          <c:showCatName val="0"/>
          <c:showSerName val="0"/>
          <c:showPercent val="0"/>
          <c:showBubbleSize val="0"/>
        </c:dLbls>
        <c:gapWidth val="150"/>
        <c:axId val="343374120"/>
        <c:axId val="343374512"/>
      </c:barChart>
      <c:catAx>
        <c:axId val="343374120"/>
        <c:scaling>
          <c:orientation val="minMax"/>
        </c:scaling>
        <c:delete val="1"/>
        <c:axPos val="b"/>
        <c:majorTickMark val="out"/>
        <c:minorTickMark val="none"/>
        <c:tickLblPos val="nextTo"/>
        <c:crossAx val="343374512"/>
        <c:crosses val="autoZero"/>
        <c:auto val="1"/>
        <c:lblAlgn val="ctr"/>
        <c:lblOffset val="100"/>
        <c:noMultiLvlLbl val="0"/>
      </c:catAx>
      <c:valAx>
        <c:axId val="343374512"/>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74120"/>
        <c:crosses val="autoZero"/>
        <c:crossBetween val="between"/>
      </c:valAx>
    </c:plotArea>
    <c:plotVisOnly val="1"/>
    <c:dispBlanksAs val="gap"/>
    <c:showDLblsOverMax val="0"/>
  </c:chart>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Plots'!$B$390:$B$409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91B-4FA5-B89E-9AFFF5013E68}"/>
            </c:ext>
          </c:extLst>
        </c:ser>
        <c:dLbls>
          <c:showLegendKey val="0"/>
          <c:showVal val="0"/>
          <c:showCatName val="0"/>
          <c:showSerName val="0"/>
          <c:showPercent val="0"/>
          <c:showBubbleSize val="0"/>
        </c:dLbls>
        <c:gapWidth val="150"/>
        <c:axId val="343375296"/>
        <c:axId val="343375688"/>
      </c:barChart>
      <c:catAx>
        <c:axId val="343375296"/>
        <c:scaling>
          <c:orientation val="minMax"/>
        </c:scaling>
        <c:delete val="1"/>
        <c:axPos val="b"/>
        <c:majorTickMark val="out"/>
        <c:minorTickMark val="none"/>
        <c:tickLblPos val="nextTo"/>
        <c:crossAx val="343375688"/>
        <c:crosses val="autoZero"/>
        <c:auto val="1"/>
        <c:lblAlgn val="ctr"/>
        <c:lblOffset val="100"/>
        <c:noMultiLvlLbl val="0"/>
      </c:catAx>
      <c:valAx>
        <c:axId val="34337568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75296"/>
        <c:crosses val="autoZero"/>
        <c:crossBetween val="between"/>
      </c:valAx>
    </c:plotArea>
    <c:plotVisOnly val="1"/>
    <c:dispBlanksAs val="gap"/>
    <c:showDLblsOverMax val="0"/>
  </c:chart>
  <c:printSettings>
    <c:headerFooter/>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Plots'!$B$414:$B$433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D9F-42FF-AAC7-C5907B4E8975}"/>
            </c:ext>
          </c:extLst>
        </c:ser>
        <c:dLbls>
          <c:showLegendKey val="0"/>
          <c:showVal val="0"/>
          <c:showCatName val="0"/>
          <c:showSerName val="0"/>
          <c:showPercent val="0"/>
          <c:showBubbleSize val="0"/>
        </c:dLbls>
        <c:gapWidth val="150"/>
        <c:axId val="343376472"/>
        <c:axId val="349128152"/>
      </c:barChart>
      <c:catAx>
        <c:axId val="343376472"/>
        <c:scaling>
          <c:orientation val="minMax"/>
        </c:scaling>
        <c:delete val="1"/>
        <c:axPos val="b"/>
        <c:majorTickMark val="out"/>
        <c:minorTickMark val="none"/>
        <c:tickLblPos val="nextTo"/>
        <c:crossAx val="349128152"/>
        <c:crosses val="autoZero"/>
        <c:auto val="1"/>
        <c:lblAlgn val="ctr"/>
        <c:lblOffset val="100"/>
        <c:noMultiLvlLbl val="0"/>
      </c:catAx>
      <c:valAx>
        <c:axId val="349128152"/>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3376472"/>
        <c:crosses val="autoZero"/>
        <c:crossBetween val="between"/>
      </c:valAx>
    </c:plotArea>
    <c:plotVisOnly val="1"/>
    <c:dispBlanksAs val="gap"/>
    <c:showDLblsOverMax val="0"/>
  </c:chart>
  <c:printSettings>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Plots'!$B$438:$B$457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2D66-47A6-B5C1-0CB66A091E1B}"/>
            </c:ext>
          </c:extLst>
        </c:ser>
        <c:dLbls>
          <c:showLegendKey val="0"/>
          <c:showVal val="0"/>
          <c:showCatName val="0"/>
          <c:showSerName val="0"/>
          <c:showPercent val="0"/>
          <c:showBubbleSize val="0"/>
        </c:dLbls>
        <c:gapWidth val="150"/>
        <c:axId val="349128936"/>
        <c:axId val="349129328"/>
      </c:barChart>
      <c:catAx>
        <c:axId val="349128936"/>
        <c:scaling>
          <c:orientation val="minMax"/>
        </c:scaling>
        <c:delete val="1"/>
        <c:axPos val="b"/>
        <c:majorTickMark val="out"/>
        <c:minorTickMark val="none"/>
        <c:tickLblPos val="nextTo"/>
        <c:crossAx val="349129328"/>
        <c:crosses val="autoZero"/>
        <c:auto val="1"/>
        <c:lblAlgn val="ctr"/>
        <c:lblOffset val="100"/>
        <c:noMultiLvlLbl val="0"/>
      </c:catAx>
      <c:valAx>
        <c:axId val="349129328"/>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9128936"/>
        <c:crosses val="autoZero"/>
        <c:crossBetween val="between"/>
      </c:valAx>
    </c:plotArea>
    <c:plotVisOnly val="1"/>
    <c:dispBlanksAs val="gap"/>
    <c:showDLblsOverMax val="0"/>
  </c:chart>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Plots'!$B$462:$B$481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0CE8-45BB-A788-B68189259433}"/>
            </c:ext>
          </c:extLst>
        </c:ser>
        <c:dLbls>
          <c:showLegendKey val="0"/>
          <c:showVal val="0"/>
          <c:showCatName val="0"/>
          <c:showSerName val="0"/>
          <c:showPercent val="0"/>
          <c:showBubbleSize val="0"/>
        </c:dLbls>
        <c:gapWidth val="150"/>
        <c:axId val="349130504"/>
        <c:axId val="349130896"/>
      </c:barChart>
      <c:catAx>
        <c:axId val="349130504"/>
        <c:scaling>
          <c:orientation val="minMax"/>
        </c:scaling>
        <c:delete val="1"/>
        <c:axPos val="b"/>
        <c:majorTickMark val="out"/>
        <c:minorTickMark val="none"/>
        <c:tickLblPos val="nextTo"/>
        <c:crossAx val="349130896"/>
        <c:crosses val="autoZero"/>
        <c:auto val="1"/>
        <c:lblAlgn val="ctr"/>
        <c:lblOffset val="100"/>
        <c:noMultiLvlLbl val="0"/>
      </c:catAx>
      <c:valAx>
        <c:axId val="349130896"/>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9130504"/>
        <c:crosses val="autoZero"/>
        <c:crossBetween val="between"/>
      </c:valAx>
    </c:plotArea>
    <c:plotVisOnly val="1"/>
    <c:dispBlanksAs val="gap"/>
    <c:showDLblsOverMax val="0"/>
  </c:chart>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baseline="0"/>
              <a:t>Functional Data</a:t>
            </a:r>
            <a:endParaRPr lang="en-US"/>
          </a:p>
        </c:rich>
      </c:tx>
      <c:overlay val="0"/>
    </c:title>
    <c:autoTitleDeleted val="0"/>
    <c:plotArea>
      <c:layout/>
      <c:barChart>
        <c:barDir val="col"/>
        <c:grouping val="clustered"/>
        <c:varyColors val="0"/>
        <c:ser>
          <c:idx val="0"/>
          <c:order val="0"/>
          <c:invertIfNegative val="0"/>
          <c:val>
            <c:numRef>
              <c:f>'Bin Analysis and Plots'!$B$486:$B$505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349-43A6-A6DE-6BAF23BF9675}"/>
            </c:ext>
          </c:extLst>
        </c:ser>
        <c:dLbls>
          <c:showLegendKey val="0"/>
          <c:showVal val="0"/>
          <c:showCatName val="0"/>
          <c:showSerName val="0"/>
          <c:showPercent val="0"/>
          <c:showBubbleSize val="0"/>
        </c:dLbls>
        <c:gapWidth val="150"/>
        <c:axId val="349131680"/>
        <c:axId val="349132072"/>
      </c:barChart>
      <c:catAx>
        <c:axId val="349131680"/>
        <c:scaling>
          <c:orientation val="minMax"/>
        </c:scaling>
        <c:delete val="1"/>
        <c:axPos val="b"/>
        <c:majorTickMark val="out"/>
        <c:minorTickMark val="none"/>
        <c:tickLblPos val="nextTo"/>
        <c:crossAx val="349132072"/>
        <c:crosses val="autoZero"/>
        <c:auto val="1"/>
        <c:lblAlgn val="ctr"/>
        <c:lblOffset val="100"/>
        <c:noMultiLvlLbl val="0"/>
      </c:catAx>
      <c:valAx>
        <c:axId val="349132072"/>
        <c:scaling>
          <c:orientation val="minMax"/>
        </c:scaling>
        <c:delete val="0"/>
        <c:axPos val="l"/>
        <c:title>
          <c:tx>
            <c:rich>
              <a:bodyPr rot="-5400000" vert="horz"/>
              <a:lstStyle/>
              <a:p>
                <a:pPr>
                  <a:defRPr sz="1200"/>
                </a:pPr>
                <a:r>
                  <a:rPr lang="en-US" sz="1200"/>
                  <a:t>Functional Data</a:t>
                </a:r>
              </a:p>
            </c:rich>
          </c:tx>
          <c:overlay val="0"/>
        </c:title>
        <c:numFmt formatCode="General" sourceLinked="1"/>
        <c:majorTickMark val="out"/>
        <c:minorTickMark val="none"/>
        <c:tickLblPos val="nextTo"/>
        <c:crossAx val="349131680"/>
        <c:crosses val="autoZero"/>
        <c:crossBetween val="between"/>
      </c:valAx>
    </c:plotArea>
    <c:plotVisOnly val="1"/>
    <c:dispBlanksAs val="gap"/>
    <c:showDLblsOverMax val="0"/>
  </c:chart>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Plots'!$D$3</c:f>
              <c:strCache>
                <c:ptCount val="1"/>
                <c:pt idx="0">
                  <c:v>All</c:v>
                </c:pt>
              </c:strCache>
            </c:strRef>
          </c:tx>
          <c:invertIfNegative val="0"/>
          <c:cat>
            <c:strRef>
              <c:f>'Bin Analysis and Plots'!$C$6:$C$25</c:f>
              <c:strCache>
                <c:ptCount val="1"/>
                <c:pt idx="0">
                  <c:v>#NUM!</c:v>
                </c:pt>
              </c:strCache>
            </c:strRef>
          </c:cat>
          <c:val>
            <c:numRef>
              <c:f>'Bin Analysis and Plots'!$K$6:$K$25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6DFC-4DAF-A197-4BA6915C02E7}"/>
            </c:ext>
          </c:extLst>
        </c:ser>
        <c:dLbls>
          <c:showLegendKey val="0"/>
          <c:showVal val="0"/>
          <c:showCatName val="0"/>
          <c:showSerName val="0"/>
          <c:showPercent val="0"/>
          <c:showBubbleSize val="0"/>
        </c:dLbls>
        <c:gapWidth val="150"/>
        <c:axId val="349132856"/>
        <c:axId val="349133248"/>
      </c:barChart>
      <c:barChart>
        <c:barDir val="col"/>
        <c:grouping val="clustered"/>
        <c:varyColors val="0"/>
        <c:ser>
          <c:idx val="1"/>
          <c:order val="1"/>
          <c:tx>
            <c:strRef>
              <c:f>'Bin Analysis and Plots'!$E$4</c:f>
              <c:strCache>
                <c:ptCount val="1"/>
                <c:pt idx="0">
                  <c:v>Wild Type</c:v>
                </c:pt>
              </c:strCache>
            </c:strRef>
          </c:tx>
          <c:spPr>
            <a:solidFill>
              <a:schemeClr val="accent3"/>
            </a:solidFill>
          </c:spPr>
          <c:invertIfNegative val="0"/>
          <c:cat>
            <c:strRef>
              <c:f>'Bin Analysis and Plots'!$C$6:$C$25</c:f>
              <c:strCache>
                <c:ptCount val="1"/>
                <c:pt idx="0">
                  <c:v>#NUM!</c:v>
                </c:pt>
              </c:strCache>
            </c:strRef>
          </c:cat>
          <c:val>
            <c:numRef>
              <c:f>'Bin Analysis and Plots'!$E$6:$E$25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6DFC-4DAF-A197-4BA6915C02E7}"/>
            </c:ext>
          </c:extLst>
        </c:ser>
        <c:ser>
          <c:idx val="2"/>
          <c:order val="2"/>
          <c:tx>
            <c:strRef>
              <c:f>'Bin Analysis and Plots'!$I$4</c:f>
              <c:strCache>
                <c:ptCount val="1"/>
                <c:pt idx="0">
                  <c:v>Dead Protein</c:v>
                </c:pt>
              </c:strCache>
            </c:strRef>
          </c:tx>
          <c:spPr>
            <a:solidFill>
              <a:schemeClr val="accent2"/>
            </a:solidFill>
          </c:spPr>
          <c:invertIfNegative val="0"/>
          <c:cat>
            <c:strRef>
              <c:f>'Bin Analysis and Plots'!$C$6:$C$25</c:f>
              <c:strCache>
                <c:ptCount val="1"/>
                <c:pt idx="0">
                  <c:v>#NUM!</c:v>
                </c:pt>
              </c:strCache>
            </c:strRef>
          </c:cat>
          <c:val>
            <c:numRef>
              <c:f>'Bin Analysis and Plots'!$I$6:$I$25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6DFC-4DAF-A197-4BA6915C02E7}"/>
            </c:ext>
          </c:extLst>
        </c:ser>
        <c:dLbls>
          <c:showLegendKey val="0"/>
          <c:showVal val="0"/>
          <c:showCatName val="0"/>
          <c:showSerName val="0"/>
          <c:showPercent val="0"/>
          <c:showBubbleSize val="0"/>
        </c:dLbls>
        <c:gapWidth val="500"/>
        <c:axId val="349134032"/>
        <c:axId val="349133640"/>
      </c:barChart>
      <c:catAx>
        <c:axId val="34913285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9133248"/>
        <c:crosses val="autoZero"/>
        <c:auto val="1"/>
        <c:lblAlgn val="ctr"/>
        <c:lblOffset val="100"/>
        <c:noMultiLvlLbl val="0"/>
      </c:catAx>
      <c:valAx>
        <c:axId val="34913324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9132856"/>
        <c:crosses val="autoZero"/>
        <c:crossBetween val="between"/>
        <c:majorUnit val="20"/>
      </c:valAx>
      <c:valAx>
        <c:axId val="349133640"/>
        <c:scaling>
          <c:orientation val="minMax"/>
          <c:max val="1"/>
        </c:scaling>
        <c:delete val="0"/>
        <c:axPos val="r"/>
        <c:numFmt formatCode="General" sourceLinked="1"/>
        <c:majorTickMark val="none"/>
        <c:minorTickMark val="none"/>
        <c:tickLblPos val="none"/>
        <c:spPr>
          <a:ln>
            <a:noFill/>
          </a:ln>
        </c:spPr>
        <c:crossAx val="349134032"/>
        <c:crosses val="max"/>
        <c:crossBetween val="between"/>
      </c:valAx>
      <c:catAx>
        <c:axId val="349134032"/>
        <c:scaling>
          <c:orientation val="minMax"/>
        </c:scaling>
        <c:delete val="1"/>
        <c:axPos val="b"/>
        <c:numFmt formatCode="General" sourceLinked="0"/>
        <c:majorTickMark val="out"/>
        <c:minorTickMark val="none"/>
        <c:tickLblPos val="nextTo"/>
        <c:crossAx val="34913364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Plots'!$C$51:$D$51</c:f>
              <c:strCache>
                <c:ptCount val="1"/>
                <c:pt idx="0">
                  <c:v>Position  </c:v>
                </c:pt>
              </c:strCache>
            </c:strRef>
          </c:tx>
          <c:invertIfNegative val="0"/>
          <c:cat>
            <c:strRef>
              <c:f>'Bin Analysis and Plots'!$C$54:$C$73</c:f>
              <c:strCache>
                <c:ptCount val="1"/>
                <c:pt idx="0">
                  <c:v>#NUM!</c:v>
                </c:pt>
              </c:strCache>
            </c:strRef>
          </c:cat>
          <c:val>
            <c:numRef>
              <c:f>'Bin Analysis and Plots'!$K$54:$K$73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210-4A67-9C19-80C18282AEEB}"/>
            </c:ext>
          </c:extLst>
        </c:ser>
        <c:dLbls>
          <c:showLegendKey val="0"/>
          <c:showVal val="0"/>
          <c:showCatName val="0"/>
          <c:showSerName val="0"/>
          <c:showPercent val="0"/>
          <c:showBubbleSize val="0"/>
        </c:dLbls>
        <c:gapWidth val="150"/>
        <c:axId val="349134816"/>
        <c:axId val="349135208"/>
      </c:barChart>
      <c:barChart>
        <c:barDir val="col"/>
        <c:grouping val="clustered"/>
        <c:varyColors val="0"/>
        <c:ser>
          <c:idx val="1"/>
          <c:order val="1"/>
          <c:tx>
            <c:strRef>
              <c:f>'Bin Analysis and Plots'!$E$52</c:f>
              <c:strCache>
                <c:ptCount val="1"/>
                <c:pt idx="0">
                  <c:v>Wild Type</c:v>
                </c:pt>
              </c:strCache>
            </c:strRef>
          </c:tx>
          <c:spPr>
            <a:solidFill>
              <a:schemeClr val="accent3"/>
            </a:solidFill>
          </c:spPr>
          <c:invertIfNegative val="0"/>
          <c:cat>
            <c:strRef>
              <c:f>'Bin Analysis and Plots'!$C$54:$C$73</c:f>
              <c:strCache>
                <c:ptCount val="1"/>
                <c:pt idx="0">
                  <c:v>#NUM!</c:v>
                </c:pt>
              </c:strCache>
            </c:strRef>
          </c:cat>
          <c:val>
            <c:numRef>
              <c:f>'Bin Analysis and Plots'!$E$54:$E$73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5210-4A67-9C19-80C18282AEEB}"/>
            </c:ext>
          </c:extLst>
        </c:ser>
        <c:ser>
          <c:idx val="2"/>
          <c:order val="2"/>
          <c:tx>
            <c:strRef>
              <c:f>'Bin Analysis and Plots'!$I$52</c:f>
              <c:strCache>
                <c:ptCount val="1"/>
                <c:pt idx="0">
                  <c:v>Dead Protein</c:v>
                </c:pt>
              </c:strCache>
            </c:strRef>
          </c:tx>
          <c:spPr>
            <a:solidFill>
              <a:schemeClr val="accent2"/>
            </a:solidFill>
          </c:spPr>
          <c:invertIfNegative val="0"/>
          <c:cat>
            <c:strRef>
              <c:f>'Bin Analysis and Plots'!$C$54:$C$73</c:f>
              <c:strCache>
                <c:ptCount val="1"/>
                <c:pt idx="0">
                  <c:v>#NUM!</c:v>
                </c:pt>
              </c:strCache>
            </c:strRef>
          </c:cat>
          <c:val>
            <c:numRef>
              <c:f>'Bin Analysis and Plots'!$I$54:$I$73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5210-4A67-9C19-80C18282AEEB}"/>
            </c:ext>
          </c:extLst>
        </c:ser>
        <c:dLbls>
          <c:showLegendKey val="0"/>
          <c:showVal val="0"/>
          <c:showCatName val="0"/>
          <c:showSerName val="0"/>
          <c:showPercent val="0"/>
          <c:showBubbleSize val="0"/>
        </c:dLbls>
        <c:gapWidth val="500"/>
        <c:axId val="345297912"/>
        <c:axId val="349135600"/>
      </c:barChart>
      <c:catAx>
        <c:axId val="34913481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9135208"/>
        <c:crosses val="autoZero"/>
        <c:auto val="1"/>
        <c:lblAlgn val="ctr"/>
        <c:lblOffset val="100"/>
        <c:noMultiLvlLbl val="0"/>
      </c:catAx>
      <c:valAx>
        <c:axId val="34913520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9134816"/>
        <c:crosses val="autoZero"/>
        <c:crossBetween val="between"/>
        <c:majorUnit val="1"/>
      </c:valAx>
      <c:valAx>
        <c:axId val="349135600"/>
        <c:scaling>
          <c:orientation val="minMax"/>
          <c:max val="1"/>
        </c:scaling>
        <c:delete val="0"/>
        <c:axPos val="r"/>
        <c:numFmt formatCode="General" sourceLinked="1"/>
        <c:majorTickMark val="none"/>
        <c:minorTickMark val="none"/>
        <c:tickLblPos val="none"/>
        <c:spPr>
          <a:ln>
            <a:noFill/>
          </a:ln>
        </c:spPr>
        <c:crossAx val="345297912"/>
        <c:crosses val="max"/>
        <c:crossBetween val="between"/>
      </c:valAx>
      <c:catAx>
        <c:axId val="345297912"/>
        <c:scaling>
          <c:orientation val="minMax"/>
        </c:scaling>
        <c:delete val="1"/>
        <c:axPos val="b"/>
        <c:numFmt formatCode="General" sourceLinked="0"/>
        <c:majorTickMark val="out"/>
        <c:minorTickMark val="none"/>
        <c:tickLblPos val="nextTo"/>
        <c:crossAx val="34913560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Plots'!$C$75:$D$75</c:f>
              <c:strCache>
                <c:ptCount val="1"/>
                <c:pt idx="0">
                  <c:v>Position  </c:v>
                </c:pt>
              </c:strCache>
            </c:strRef>
          </c:tx>
          <c:invertIfNegative val="0"/>
          <c:cat>
            <c:strRef>
              <c:f>'Bin Analysis and Plots'!$C$78:$C$97</c:f>
              <c:strCache>
                <c:ptCount val="1"/>
                <c:pt idx="0">
                  <c:v>#NUM!</c:v>
                </c:pt>
              </c:strCache>
            </c:strRef>
          </c:cat>
          <c:val>
            <c:numRef>
              <c:f>'Bin Analysis and Plots'!$K$78:$K$97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8F8-43C7-9ED7-2A995FD4CDE7}"/>
            </c:ext>
          </c:extLst>
        </c:ser>
        <c:dLbls>
          <c:showLegendKey val="0"/>
          <c:showVal val="0"/>
          <c:showCatName val="0"/>
          <c:showSerName val="0"/>
          <c:showPercent val="0"/>
          <c:showBubbleSize val="0"/>
        </c:dLbls>
        <c:gapWidth val="150"/>
        <c:axId val="345298696"/>
        <c:axId val="345299088"/>
      </c:barChart>
      <c:barChart>
        <c:barDir val="col"/>
        <c:grouping val="clustered"/>
        <c:varyColors val="0"/>
        <c:ser>
          <c:idx val="1"/>
          <c:order val="1"/>
          <c:tx>
            <c:strRef>
              <c:f>'Bin Analysis and Plots'!$E$76</c:f>
              <c:strCache>
                <c:ptCount val="1"/>
                <c:pt idx="0">
                  <c:v>Wild Type</c:v>
                </c:pt>
              </c:strCache>
            </c:strRef>
          </c:tx>
          <c:spPr>
            <a:solidFill>
              <a:schemeClr val="accent3"/>
            </a:solidFill>
          </c:spPr>
          <c:invertIfNegative val="0"/>
          <c:cat>
            <c:strRef>
              <c:f>'Bin Analysis and Plots'!$C$78:$C$97</c:f>
              <c:strCache>
                <c:ptCount val="1"/>
                <c:pt idx="0">
                  <c:v>#NUM!</c:v>
                </c:pt>
              </c:strCache>
            </c:strRef>
          </c:cat>
          <c:val>
            <c:numRef>
              <c:f>'Bin Analysis and Plots'!$E$78:$E$97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58F8-43C7-9ED7-2A995FD4CDE7}"/>
            </c:ext>
          </c:extLst>
        </c:ser>
        <c:ser>
          <c:idx val="2"/>
          <c:order val="2"/>
          <c:tx>
            <c:strRef>
              <c:f>'Bin Analysis and Plots'!$I$76</c:f>
              <c:strCache>
                <c:ptCount val="1"/>
                <c:pt idx="0">
                  <c:v>Dead Protein</c:v>
                </c:pt>
              </c:strCache>
            </c:strRef>
          </c:tx>
          <c:spPr>
            <a:solidFill>
              <a:schemeClr val="accent2"/>
            </a:solidFill>
          </c:spPr>
          <c:invertIfNegative val="0"/>
          <c:cat>
            <c:strRef>
              <c:f>'Bin Analysis and Plots'!$C$78:$C$97</c:f>
              <c:strCache>
                <c:ptCount val="1"/>
                <c:pt idx="0">
                  <c:v>#NUM!</c:v>
                </c:pt>
              </c:strCache>
            </c:strRef>
          </c:cat>
          <c:val>
            <c:numRef>
              <c:f>'Bin Analysis and Plots'!$I$78:$I$97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58F8-43C7-9ED7-2A995FD4CDE7}"/>
            </c:ext>
          </c:extLst>
        </c:ser>
        <c:dLbls>
          <c:showLegendKey val="0"/>
          <c:showVal val="0"/>
          <c:showCatName val="0"/>
          <c:showSerName val="0"/>
          <c:showPercent val="0"/>
          <c:showBubbleSize val="0"/>
        </c:dLbls>
        <c:gapWidth val="500"/>
        <c:axId val="345299872"/>
        <c:axId val="345299480"/>
      </c:barChart>
      <c:catAx>
        <c:axId val="34529869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5299088"/>
        <c:crosses val="autoZero"/>
        <c:auto val="1"/>
        <c:lblAlgn val="ctr"/>
        <c:lblOffset val="100"/>
        <c:noMultiLvlLbl val="0"/>
      </c:catAx>
      <c:valAx>
        <c:axId val="34529908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5298696"/>
        <c:crosses val="autoZero"/>
        <c:crossBetween val="between"/>
        <c:majorUnit val="1"/>
      </c:valAx>
      <c:valAx>
        <c:axId val="345299480"/>
        <c:scaling>
          <c:orientation val="minMax"/>
          <c:max val="1"/>
        </c:scaling>
        <c:delete val="0"/>
        <c:axPos val="r"/>
        <c:numFmt formatCode="General" sourceLinked="1"/>
        <c:majorTickMark val="none"/>
        <c:minorTickMark val="none"/>
        <c:tickLblPos val="none"/>
        <c:spPr>
          <a:ln>
            <a:noFill/>
          </a:ln>
        </c:spPr>
        <c:crossAx val="345299872"/>
        <c:crosses val="max"/>
        <c:crossBetween val="between"/>
      </c:valAx>
      <c:catAx>
        <c:axId val="345299872"/>
        <c:scaling>
          <c:orientation val="minMax"/>
        </c:scaling>
        <c:delete val="1"/>
        <c:axPos val="b"/>
        <c:numFmt formatCode="General" sourceLinked="0"/>
        <c:majorTickMark val="out"/>
        <c:minorTickMark val="none"/>
        <c:tickLblPos val="nextTo"/>
        <c:crossAx val="3452994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Plots'!$C$99:$D$99</c:f>
              <c:strCache>
                <c:ptCount val="1"/>
                <c:pt idx="0">
                  <c:v>Position  </c:v>
                </c:pt>
              </c:strCache>
            </c:strRef>
          </c:tx>
          <c:invertIfNegative val="0"/>
          <c:cat>
            <c:strRef>
              <c:f>'Bin Analysis and Plots'!$C$102:$C$121</c:f>
              <c:strCache>
                <c:ptCount val="1"/>
                <c:pt idx="0">
                  <c:v>#NUM!</c:v>
                </c:pt>
              </c:strCache>
            </c:strRef>
          </c:cat>
          <c:val>
            <c:numRef>
              <c:f>'Bin Analysis and Plots'!$K$102:$K$121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BFFF-4E9F-8B6F-CA3408C5C466}"/>
            </c:ext>
          </c:extLst>
        </c:ser>
        <c:dLbls>
          <c:showLegendKey val="0"/>
          <c:showVal val="0"/>
          <c:showCatName val="0"/>
          <c:showSerName val="0"/>
          <c:showPercent val="0"/>
          <c:showBubbleSize val="0"/>
        </c:dLbls>
        <c:gapWidth val="150"/>
        <c:axId val="345300656"/>
        <c:axId val="345301048"/>
      </c:barChart>
      <c:barChart>
        <c:barDir val="col"/>
        <c:grouping val="clustered"/>
        <c:varyColors val="0"/>
        <c:ser>
          <c:idx val="1"/>
          <c:order val="1"/>
          <c:tx>
            <c:strRef>
              <c:f>'Bin Analysis and Plots'!$E$100</c:f>
              <c:strCache>
                <c:ptCount val="1"/>
                <c:pt idx="0">
                  <c:v>Wild Type</c:v>
                </c:pt>
              </c:strCache>
            </c:strRef>
          </c:tx>
          <c:spPr>
            <a:solidFill>
              <a:srgbClr val="9BBB59"/>
            </a:solidFill>
          </c:spPr>
          <c:invertIfNegative val="0"/>
          <c:cat>
            <c:strRef>
              <c:f>'Bin Analysis and Plots'!$C$102:$C$121</c:f>
              <c:strCache>
                <c:ptCount val="1"/>
                <c:pt idx="0">
                  <c:v>#NUM!</c:v>
                </c:pt>
              </c:strCache>
            </c:strRef>
          </c:cat>
          <c:val>
            <c:numRef>
              <c:f>'Bin Analysis and Plots'!$E$102:$E$121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BFFF-4E9F-8B6F-CA3408C5C466}"/>
            </c:ext>
          </c:extLst>
        </c:ser>
        <c:ser>
          <c:idx val="2"/>
          <c:order val="2"/>
          <c:tx>
            <c:strRef>
              <c:f>'Bin Analysis and Plots'!$I$100</c:f>
              <c:strCache>
                <c:ptCount val="1"/>
                <c:pt idx="0">
                  <c:v>Dead Protein</c:v>
                </c:pt>
              </c:strCache>
            </c:strRef>
          </c:tx>
          <c:spPr>
            <a:solidFill>
              <a:schemeClr val="accent2"/>
            </a:solidFill>
          </c:spPr>
          <c:invertIfNegative val="0"/>
          <c:cat>
            <c:strRef>
              <c:f>'Bin Analysis and Plots'!$C$102:$C$121</c:f>
              <c:strCache>
                <c:ptCount val="1"/>
                <c:pt idx="0">
                  <c:v>#NUM!</c:v>
                </c:pt>
              </c:strCache>
            </c:strRef>
          </c:cat>
          <c:val>
            <c:numRef>
              <c:f>'Bin Analysis and Plots'!$I$102:$I$121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BFFF-4E9F-8B6F-CA3408C5C466}"/>
            </c:ext>
          </c:extLst>
        </c:ser>
        <c:dLbls>
          <c:showLegendKey val="0"/>
          <c:showVal val="0"/>
          <c:showCatName val="0"/>
          <c:showSerName val="0"/>
          <c:showPercent val="0"/>
          <c:showBubbleSize val="0"/>
        </c:dLbls>
        <c:gapWidth val="500"/>
        <c:axId val="345301832"/>
        <c:axId val="345301440"/>
      </c:barChart>
      <c:catAx>
        <c:axId val="34530065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5301048"/>
        <c:crosses val="autoZero"/>
        <c:auto val="1"/>
        <c:lblAlgn val="ctr"/>
        <c:lblOffset val="100"/>
        <c:noMultiLvlLbl val="0"/>
      </c:catAx>
      <c:valAx>
        <c:axId val="34530104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5300656"/>
        <c:crosses val="autoZero"/>
        <c:crossBetween val="between"/>
        <c:majorUnit val="1"/>
      </c:valAx>
      <c:valAx>
        <c:axId val="345301440"/>
        <c:scaling>
          <c:orientation val="minMax"/>
          <c:max val="1"/>
        </c:scaling>
        <c:delete val="0"/>
        <c:axPos val="r"/>
        <c:numFmt formatCode="General" sourceLinked="1"/>
        <c:majorTickMark val="none"/>
        <c:minorTickMark val="none"/>
        <c:tickLblPos val="none"/>
        <c:spPr>
          <a:ln>
            <a:noFill/>
          </a:ln>
        </c:spPr>
        <c:crossAx val="345301832"/>
        <c:crosses val="max"/>
        <c:crossBetween val="between"/>
      </c:valAx>
      <c:catAx>
        <c:axId val="345301832"/>
        <c:scaling>
          <c:orientation val="minMax"/>
        </c:scaling>
        <c:delete val="1"/>
        <c:axPos val="b"/>
        <c:numFmt formatCode="General" sourceLinked="0"/>
        <c:majorTickMark val="out"/>
        <c:minorTickMark val="none"/>
        <c:tickLblPos val="nextTo"/>
        <c:crossAx val="34530144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Plots'!$C$123:$D$123</c:f>
              <c:strCache>
                <c:ptCount val="1"/>
                <c:pt idx="0">
                  <c:v>Position  </c:v>
                </c:pt>
              </c:strCache>
            </c:strRef>
          </c:tx>
          <c:invertIfNegative val="0"/>
          <c:cat>
            <c:strRef>
              <c:f>'Bin Analysis and Plots'!$C$126:$C$145</c:f>
              <c:strCache>
                <c:ptCount val="1"/>
                <c:pt idx="0">
                  <c:v>#NUM!</c:v>
                </c:pt>
              </c:strCache>
            </c:strRef>
          </c:cat>
          <c:val>
            <c:numRef>
              <c:f>'Bin Analysis and Plots'!$K$126:$K$145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768E-43F2-82FC-F6F5047015B4}"/>
            </c:ext>
          </c:extLst>
        </c:ser>
        <c:dLbls>
          <c:showLegendKey val="0"/>
          <c:showVal val="0"/>
          <c:showCatName val="0"/>
          <c:showSerName val="0"/>
          <c:showPercent val="0"/>
          <c:showBubbleSize val="0"/>
        </c:dLbls>
        <c:gapWidth val="150"/>
        <c:axId val="345302616"/>
        <c:axId val="345303008"/>
      </c:barChart>
      <c:barChart>
        <c:barDir val="col"/>
        <c:grouping val="clustered"/>
        <c:varyColors val="0"/>
        <c:ser>
          <c:idx val="1"/>
          <c:order val="1"/>
          <c:tx>
            <c:strRef>
              <c:f>'Bin Analysis and Plots'!$E$124</c:f>
              <c:strCache>
                <c:ptCount val="1"/>
                <c:pt idx="0">
                  <c:v>Wild Type</c:v>
                </c:pt>
              </c:strCache>
            </c:strRef>
          </c:tx>
          <c:spPr>
            <a:solidFill>
              <a:schemeClr val="accent3"/>
            </a:solidFill>
          </c:spPr>
          <c:invertIfNegative val="0"/>
          <c:cat>
            <c:strRef>
              <c:f>'Bin Analysis and Plots'!$C$126:$C$145</c:f>
              <c:strCache>
                <c:ptCount val="1"/>
                <c:pt idx="0">
                  <c:v>#NUM!</c:v>
                </c:pt>
              </c:strCache>
            </c:strRef>
          </c:cat>
          <c:val>
            <c:numRef>
              <c:f>'Bin Analysis and Plots'!$E$126:$E$145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768E-43F2-82FC-F6F5047015B4}"/>
            </c:ext>
          </c:extLst>
        </c:ser>
        <c:ser>
          <c:idx val="2"/>
          <c:order val="2"/>
          <c:tx>
            <c:strRef>
              <c:f>'Bin Analysis and Plots'!$I$124</c:f>
              <c:strCache>
                <c:ptCount val="1"/>
                <c:pt idx="0">
                  <c:v>Dead Protein</c:v>
                </c:pt>
              </c:strCache>
            </c:strRef>
          </c:tx>
          <c:spPr>
            <a:solidFill>
              <a:srgbClr val="C0504D"/>
            </a:solidFill>
          </c:spPr>
          <c:invertIfNegative val="0"/>
          <c:cat>
            <c:strRef>
              <c:f>'Bin Analysis and Plots'!$C$126:$C$145</c:f>
              <c:strCache>
                <c:ptCount val="1"/>
                <c:pt idx="0">
                  <c:v>#NUM!</c:v>
                </c:pt>
              </c:strCache>
            </c:strRef>
          </c:cat>
          <c:val>
            <c:numRef>
              <c:f>'Bin Analysis and Plots'!$I$126:$I$145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768E-43F2-82FC-F6F5047015B4}"/>
            </c:ext>
          </c:extLst>
        </c:ser>
        <c:dLbls>
          <c:showLegendKey val="0"/>
          <c:showVal val="0"/>
          <c:showCatName val="0"/>
          <c:showSerName val="0"/>
          <c:showPercent val="0"/>
          <c:showBubbleSize val="0"/>
        </c:dLbls>
        <c:gapWidth val="500"/>
        <c:axId val="345303792"/>
        <c:axId val="345303400"/>
      </c:barChart>
      <c:catAx>
        <c:axId val="34530261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5303008"/>
        <c:crosses val="autoZero"/>
        <c:auto val="1"/>
        <c:lblAlgn val="ctr"/>
        <c:lblOffset val="100"/>
        <c:noMultiLvlLbl val="0"/>
      </c:catAx>
      <c:valAx>
        <c:axId val="34530300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5302616"/>
        <c:crosses val="autoZero"/>
        <c:crossBetween val="between"/>
        <c:majorUnit val="1"/>
      </c:valAx>
      <c:valAx>
        <c:axId val="345303400"/>
        <c:scaling>
          <c:orientation val="minMax"/>
          <c:max val="1"/>
        </c:scaling>
        <c:delete val="0"/>
        <c:axPos val="r"/>
        <c:numFmt formatCode="General" sourceLinked="1"/>
        <c:majorTickMark val="none"/>
        <c:minorTickMark val="none"/>
        <c:tickLblPos val="none"/>
        <c:spPr>
          <a:ln>
            <a:noFill/>
          </a:ln>
        </c:spPr>
        <c:crossAx val="345303792"/>
        <c:crosses val="max"/>
        <c:crossBetween val="between"/>
      </c:valAx>
      <c:catAx>
        <c:axId val="345303792"/>
        <c:scaling>
          <c:orientation val="minMax"/>
        </c:scaling>
        <c:delete val="1"/>
        <c:axPos val="b"/>
        <c:numFmt formatCode="General" sourceLinked="0"/>
        <c:majorTickMark val="out"/>
        <c:minorTickMark val="none"/>
        <c:tickLblPos val="nextTo"/>
        <c:crossAx val="34530340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Plots'!$C$147:$D$147</c:f>
              <c:strCache>
                <c:ptCount val="1"/>
                <c:pt idx="0">
                  <c:v>Position  </c:v>
                </c:pt>
              </c:strCache>
            </c:strRef>
          </c:tx>
          <c:invertIfNegative val="0"/>
          <c:cat>
            <c:strRef>
              <c:f>'Bin Analysis and Plots'!$C$150:$C$169</c:f>
              <c:strCache>
                <c:ptCount val="1"/>
                <c:pt idx="0">
                  <c:v>#NUM!</c:v>
                </c:pt>
              </c:strCache>
            </c:strRef>
          </c:cat>
          <c:val>
            <c:numRef>
              <c:f>'Bin Analysis and Plots'!$K$150:$K$169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0E8-4F7B-A2D6-C5C669A6B10A}"/>
            </c:ext>
          </c:extLst>
        </c:ser>
        <c:dLbls>
          <c:showLegendKey val="0"/>
          <c:showVal val="0"/>
          <c:showCatName val="0"/>
          <c:showSerName val="0"/>
          <c:showPercent val="0"/>
          <c:showBubbleSize val="0"/>
        </c:dLbls>
        <c:gapWidth val="150"/>
        <c:axId val="345304576"/>
        <c:axId val="34530496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Plots'!$C$150:$C$169</c:f>
              <c:strCache>
                <c:ptCount val="1"/>
                <c:pt idx="0">
                  <c:v>#NUM!</c:v>
                </c:pt>
              </c:strCache>
            </c:strRef>
          </c:cat>
          <c:val>
            <c:numRef>
              <c:f>'Bin Analysis and Plots'!$E$150:$E$169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E0E8-4F7B-A2D6-C5C669A6B10A}"/>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Plots'!$C$150:$C$169</c:f>
              <c:strCache>
                <c:ptCount val="1"/>
                <c:pt idx="0">
                  <c:v>#NUM!</c:v>
                </c:pt>
              </c:strCache>
            </c:strRef>
          </c:cat>
          <c:val>
            <c:numRef>
              <c:f>'Bin Analysis and Plots'!$I$150:$I$169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E0E8-4F7B-A2D6-C5C669A6B10A}"/>
            </c:ext>
          </c:extLst>
        </c:ser>
        <c:dLbls>
          <c:showLegendKey val="0"/>
          <c:showVal val="0"/>
          <c:showCatName val="0"/>
          <c:showSerName val="0"/>
          <c:showPercent val="0"/>
          <c:showBubbleSize val="0"/>
        </c:dLbls>
        <c:gapWidth val="500"/>
        <c:axId val="257277472"/>
        <c:axId val="345305360"/>
      </c:barChart>
      <c:catAx>
        <c:axId val="34530457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5304968"/>
        <c:crosses val="autoZero"/>
        <c:auto val="1"/>
        <c:lblAlgn val="ctr"/>
        <c:lblOffset val="100"/>
        <c:noMultiLvlLbl val="0"/>
      </c:catAx>
      <c:valAx>
        <c:axId val="34530496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5304576"/>
        <c:crosses val="autoZero"/>
        <c:crossBetween val="between"/>
        <c:majorUnit val="1"/>
      </c:valAx>
      <c:valAx>
        <c:axId val="345305360"/>
        <c:scaling>
          <c:orientation val="minMax"/>
          <c:max val="1"/>
        </c:scaling>
        <c:delete val="0"/>
        <c:axPos val="r"/>
        <c:numFmt formatCode="General" sourceLinked="1"/>
        <c:majorTickMark val="none"/>
        <c:minorTickMark val="none"/>
        <c:tickLblPos val="none"/>
        <c:spPr>
          <a:ln>
            <a:noFill/>
          </a:ln>
        </c:spPr>
        <c:crossAx val="257277472"/>
        <c:crosses val="max"/>
        <c:crossBetween val="between"/>
      </c:valAx>
      <c:catAx>
        <c:axId val="257277472"/>
        <c:scaling>
          <c:orientation val="minMax"/>
        </c:scaling>
        <c:delete val="1"/>
        <c:axPos val="b"/>
        <c:numFmt formatCode="General" sourceLinked="0"/>
        <c:majorTickMark val="out"/>
        <c:minorTickMark val="none"/>
        <c:tickLblPos val="nextTo"/>
        <c:crossAx val="34530536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Plots'!$C$171:$D$171</c:f>
              <c:strCache>
                <c:ptCount val="1"/>
                <c:pt idx="0">
                  <c:v>Position  </c:v>
                </c:pt>
              </c:strCache>
            </c:strRef>
          </c:tx>
          <c:invertIfNegative val="0"/>
          <c:cat>
            <c:strRef>
              <c:f>'Bin Analysis and Plots'!$C$174:$C$193</c:f>
              <c:strCache>
                <c:ptCount val="1"/>
                <c:pt idx="0">
                  <c:v>#NUM!</c:v>
                </c:pt>
              </c:strCache>
            </c:strRef>
          </c:cat>
          <c:val>
            <c:numRef>
              <c:f>'Bin Analysis and Plots'!$K$174:$K$193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018-416A-A3CC-B6EA6F78373D}"/>
            </c:ext>
          </c:extLst>
        </c:ser>
        <c:dLbls>
          <c:showLegendKey val="0"/>
          <c:showVal val="0"/>
          <c:showCatName val="0"/>
          <c:showSerName val="0"/>
          <c:showPercent val="0"/>
          <c:showBubbleSize val="0"/>
        </c:dLbls>
        <c:gapWidth val="150"/>
        <c:axId val="257278256"/>
        <c:axId val="25727864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Plots'!$C$174:$C$193</c:f>
              <c:strCache>
                <c:ptCount val="1"/>
                <c:pt idx="0">
                  <c:v>#NUM!</c:v>
                </c:pt>
              </c:strCache>
            </c:strRef>
          </c:cat>
          <c:val>
            <c:numRef>
              <c:f>'Bin Analysis and Plots'!$E$174:$E$193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A018-416A-A3CC-B6EA6F78373D}"/>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Plots'!$C$174:$C$193</c:f>
              <c:strCache>
                <c:ptCount val="1"/>
                <c:pt idx="0">
                  <c:v>#NUM!</c:v>
                </c:pt>
              </c:strCache>
            </c:strRef>
          </c:cat>
          <c:val>
            <c:numRef>
              <c:f>'Bin Analysis and Plots'!$I$174:$I$193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A018-416A-A3CC-B6EA6F78373D}"/>
            </c:ext>
          </c:extLst>
        </c:ser>
        <c:dLbls>
          <c:showLegendKey val="0"/>
          <c:showVal val="0"/>
          <c:showCatName val="0"/>
          <c:showSerName val="0"/>
          <c:showPercent val="0"/>
          <c:showBubbleSize val="0"/>
        </c:dLbls>
        <c:gapWidth val="500"/>
        <c:axId val="257279432"/>
        <c:axId val="257279040"/>
      </c:barChart>
      <c:catAx>
        <c:axId val="25727825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257278648"/>
        <c:crosses val="autoZero"/>
        <c:auto val="1"/>
        <c:lblAlgn val="ctr"/>
        <c:lblOffset val="100"/>
        <c:noMultiLvlLbl val="0"/>
      </c:catAx>
      <c:valAx>
        <c:axId val="25727864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257278256"/>
        <c:crosses val="autoZero"/>
        <c:crossBetween val="between"/>
        <c:majorUnit val="1"/>
      </c:valAx>
      <c:valAx>
        <c:axId val="257279040"/>
        <c:scaling>
          <c:orientation val="minMax"/>
          <c:max val="1"/>
        </c:scaling>
        <c:delete val="0"/>
        <c:axPos val="r"/>
        <c:numFmt formatCode="General" sourceLinked="1"/>
        <c:majorTickMark val="none"/>
        <c:minorTickMark val="none"/>
        <c:tickLblPos val="none"/>
        <c:spPr>
          <a:ln>
            <a:noFill/>
          </a:ln>
        </c:spPr>
        <c:crossAx val="257279432"/>
        <c:crosses val="max"/>
        <c:crossBetween val="between"/>
      </c:valAx>
      <c:catAx>
        <c:axId val="257279432"/>
        <c:scaling>
          <c:orientation val="minMax"/>
        </c:scaling>
        <c:delete val="1"/>
        <c:axPos val="b"/>
        <c:numFmt formatCode="General" sourceLinked="0"/>
        <c:majorTickMark val="out"/>
        <c:minorTickMark val="none"/>
        <c:tickLblPos val="nextTo"/>
        <c:crossAx val="25727904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Plots'!$C$195:$D$195</c:f>
              <c:strCache>
                <c:ptCount val="1"/>
                <c:pt idx="0">
                  <c:v>Position  </c:v>
                </c:pt>
              </c:strCache>
            </c:strRef>
          </c:tx>
          <c:invertIfNegative val="0"/>
          <c:cat>
            <c:strRef>
              <c:f>'Bin Analysis and Plots'!$C$198:$C$217</c:f>
              <c:strCache>
                <c:ptCount val="1"/>
                <c:pt idx="0">
                  <c:v>#NUM!</c:v>
                </c:pt>
              </c:strCache>
            </c:strRef>
          </c:cat>
          <c:val>
            <c:numRef>
              <c:f>'Bin Analysis and Plots'!$K$198:$K$217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64FF-4634-B4F1-CD007063CA0D}"/>
            </c:ext>
          </c:extLst>
        </c:ser>
        <c:dLbls>
          <c:showLegendKey val="0"/>
          <c:showVal val="0"/>
          <c:showCatName val="0"/>
          <c:showSerName val="0"/>
          <c:showPercent val="0"/>
          <c:showBubbleSize val="0"/>
        </c:dLbls>
        <c:gapWidth val="150"/>
        <c:axId val="257280216"/>
        <c:axId val="25728060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Plots'!$C$198:$C$217</c:f>
              <c:strCache>
                <c:ptCount val="1"/>
                <c:pt idx="0">
                  <c:v>#NUM!</c:v>
                </c:pt>
              </c:strCache>
            </c:strRef>
          </c:cat>
          <c:val>
            <c:numRef>
              <c:f>'Bin Analysis and Plots'!$E$198:$E$217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64FF-4634-B4F1-CD007063CA0D}"/>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Plots'!$C$198:$C$217</c:f>
              <c:strCache>
                <c:ptCount val="1"/>
                <c:pt idx="0">
                  <c:v>#NUM!</c:v>
                </c:pt>
              </c:strCache>
            </c:strRef>
          </c:cat>
          <c:val>
            <c:numRef>
              <c:f>'Bin Analysis and Plots'!$I$198:$I$217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64FF-4634-B4F1-CD007063CA0D}"/>
            </c:ext>
          </c:extLst>
        </c:ser>
        <c:dLbls>
          <c:showLegendKey val="0"/>
          <c:showVal val="0"/>
          <c:showCatName val="0"/>
          <c:showSerName val="0"/>
          <c:showPercent val="0"/>
          <c:showBubbleSize val="0"/>
        </c:dLbls>
        <c:gapWidth val="500"/>
        <c:axId val="257281392"/>
        <c:axId val="257281000"/>
      </c:barChart>
      <c:catAx>
        <c:axId val="25728021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257280608"/>
        <c:crosses val="autoZero"/>
        <c:auto val="1"/>
        <c:lblAlgn val="ctr"/>
        <c:lblOffset val="100"/>
        <c:noMultiLvlLbl val="0"/>
      </c:catAx>
      <c:valAx>
        <c:axId val="25728060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257280216"/>
        <c:crosses val="autoZero"/>
        <c:crossBetween val="between"/>
        <c:majorUnit val="1"/>
      </c:valAx>
      <c:valAx>
        <c:axId val="257281000"/>
        <c:scaling>
          <c:orientation val="minMax"/>
          <c:max val="1"/>
        </c:scaling>
        <c:delete val="0"/>
        <c:axPos val="r"/>
        <c:numFmt formatCode="General" sourceLinked="1"/>
        <c:majorTickMark val="none"/>
        <c:minorTickMark val="none"/>
        <c:tickLblPos val="none"/>
        <c:spPr>
          <a:ln>
            <a:noFill/>
          </a:ln>
        </c:spPr>
        <c:crossAx val="257281392"/>
        <c:crosses val="max"/>
        <c:crossBetween val="between"/>
      </c:valAx>
      <c:catAx>
        <c:axId val="257281392"/>
        <c:scaling>
          <c:orientation val="minMax"/>
        </c:scaling>
        <c:delete val="1"/>
        <c:axPos val="b"/>
        <c:numFmt formatCode="General" sourceLinked="0"/>
        <c:majorTickMark val="out"/>
        <c:minorTickMark val="none"/>
        <c:tickLblPos val="nextTo"/>
        <c:crossAx val="25728100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Plots'!$C$219:$D$219</c:f>
              <c:strCache>
                <c:ptCount val="1"/>
                <c:pt idx="0">
                  <c:v>Position  </c:v>
                </c:pt>
              </c:strCache>
            </c:strRef>
          </c:tx>
          <c:invertIfNegative val="0"/>
          <c:cat>
            <c:strRef>
              <c:f>'Bin Analysis and Plots'!$C$222:$C$241</c:f>
              <c:strCache>
                <c:ptCount val="1"/>
                <c:pt idx="0">
                  <c:v>#NUM!</c:v>
                </c:pt>
              </c:strCache>
            </c:strRef>
          </c:cat>
          <c:val>
            <c:numRef>
              <c:f>'Bin Analysis and Plots'!$K$222:$K$241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0CD0-4076-8F15-1160E723FF05}"/>
            </c:ext>
          </c:extLst>
        </c:ser>
        <c:dLbls>
          <c:showLegendKey val="0"/>
          <c:showVal val="0"/>
          <c:showCatName val="0"/>
          <c:showSerName val="0"/>
          <c:showPercent val="0"/>
          <c:showBubbleSize val="0"/>
        </c:dLbls>
        <c:gapWidth val="150"/>
        <c:axId val="257282176"/>
        <c:axId val="25728256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Plots'!$C$222:$C$241</c:f>
              <c:strCache>
                <c:ptCount val="1"/>
                <c:pt idx="0">
                  <c:v>#NUM!</c:v>
                </c:pt>
              </c:strCache>
            </c:strRef>
          </c:cat>
          <c:val>
            <c:numRef>
              <c:f>'Bin Analysis and Plots'!$E$222:$E$241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0CD0-4076-8F15-1160E723FF05}"/>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Plots'!$C$222:$C$241</c:f>
              <c:strCache>
                <c:ptCount val="1"/>
                <c:pt idx="0">
                  <c:v>#NUM!</c:v>
                </c:pt>
              </c:strCache>
            </c:strRef>
          </c:cat>
          <c:val>
            <c:numRef>
              <c:f>'Bin Analysis and Plots'!$I$222:$I$241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CD0-4076-8F15-1160E723FF05}"/>
            </c:ext>
          </c:extLst>
        </c:ser>
        <c:dLbls>
          <c:showLegendKey val="0"/>
          <c:showVal val="0"/>
          <c:showCatName val="0"/>
          <c:showSerName val="0"/>
          <c:showPercent val="0"/>
          <c:showBubbleSize val="0"/>
        </c:dLbls>
        <c:gapWidth val="500"/>
        <c:axId val="257283352"/>
        <c:axId val="257282960"/>
      </c:barChart>
      <c:catAx>
        <c:axId val="25728217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257282568"/>
        <c:crosses val="autoZero"/>
        <c:auto val="1"/>
        <c:lblAlgn val="ctr"/>
        <c:lblOffset val="100"/>
        <c:noMultiLvlLbl val="0"/>
      </c:catAx>
      <c:valAx>
        <c:axId val="25728256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257282176"/>
        <c:crosses val="autoZero"/>
        <c:crossBetween val="between"/>
        <c:majorUnit val="1"/>
      </c:valAx>
      <c:valAx>
        <c:axId val="257282960"/>
        <c:scaling>
          <c:orientation val="minMax"/>
          <c:max val="1"/>
        </c:scaling>
        <c:delete val="0"/>
        <c:axPos val="r"/>
        <c:numFmt formatCode="General" sourceLinked="1"/>
        <c:majorTickMark val="none"/>
        <c:minorTickMark val="none"/>
        <c:tickLblPos val="none"/>
        <c:spPr>
          <a:ln>
            <a:noFill/>
          </a:ln>
        </c:spPr>
        <c:crossAx val="257283352"/>
        <c:crosses val="max"/>
        <c:crossBetween val="between"/>
      </c:valAx>
      <c:catAx>
        <c:axId val="257283352"/>
        <c:scaling>
          <c:orientation val="minMax"/>
        </c:scaling>
        <c:delete val="1"/>
        <c:axPos val="b"/>
        <c:numFmt formatCode="General" sourceLinked="0"/>
        <c:majorTickMark val="out"/>
        <c:minorTickMark val="none"/>
        <c:tickLblPos val="nextTo"/>
        <c:crossAx val="25728296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Plots'!$C$243:$D$243</c:f>
              <c:strCache>
                <c:ptCount val="1"/>
                <c:pt idx="0">
                  <c:v>Position  </c:v>
                </c:pt>
              </c:strCache>
            </c:strRef>
          </c:tx>
          <c:invertIfNegative val="0"/>
          <c:cat>
            <c:strRef>
              <c:f>'Bin Analysis and Plots'!$C$246:$C$265</c:f>
              <c:strCache>
                <c:ptCount val="1"/>
                <c:pt idx="0">
                  <c:v>#NUM!</c:v>
                </c:pt>
              </c:strCache>
            </c:strRef>
          </c:cat>
          <c:val>
            <c:numRef>
              <c:f>'Bin Analysis and Plots'!$K$246:$K$265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D2C-4777-884F-66ED300F5BD8}"/>
            </c:ext>
          </c:extLst>
        </c:ser>
        <c:dLbls>
          <c:showLegendKey val="0"/>
          <c:showVal val="0"/>
          <c:showCatName val="0"/>
          <c:showSerName val="0"/>
          <c:showPercent val="0"/>
          <c:showBubbleSize val="0"/>
        </c:dLbls>
        <c:gapWidth val="150"/>
        <c:axId val="257284136"/>
        <c:axId val="25728452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Plots'!$C$246:$C$265</c:f>
              <c:strCache>
                <c:ptCount val="1"/>
                <c:pt idx="0">
                  <c:v>#NUM!</c:v>
                </c:pt>
              </c:strCache>
            </c:strRef>
          </c:cat>
          <c:val>
            <c:numRef>
              <c:f>'Bin Analysis and Plots'!$E$246:$E$265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AD2C-4777-884F-66ED300F5BD8}"/>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Plots'!$C$246:$C$265</c:f>
              <c:strCache>
                <c:ptCount val="1"/>
                <c:pt idx="0">
                  <c:v>#NUM!</c:v>
                </c:pt>
              </c:strCache>
            </c:strRef>
          </c:cat>
          <c:val>
            <c:numRef>
              <c:f>'Bin Analysis and Plots'!$I$246:$I$265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AD2C-4777-884F-66ED300F5BD8}"/>
            </c:ext>
          </c:extLst>
        </c:ser>
        <c:dLbls>
          <c:showLegendKey val="0"/>
          <c:showVal val="0"/>
          <c:showCatName val="0"/>
          <c:showSerName val="0"/>
          <c:showPercent val="0"/>
          <c:showBubbleSize val="0"/>
        </c:dLbls>
        <c:gapWidth val="500"/>
        <c:axId val="342725312"/>
        <c:axId val="257284920"/>
      </c:barChart>
      <c:catAx>
        <c:axId val="25728413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257284528"/>
        <c:crosses val="autoZero"/>
        <c:auto val="1"/>
        <c:lblAlgn val="ctr"/>
        <c:lblOffset val="100"/>
        <c:noMultiLvlLbl val="0"/>
      </c:catAx>
      <c:valAx>
        <c:axId val="25728452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257284136"/>
        <c:crosses val="autoZero"/>
        <c:crossBetween val="between"/>
        <c:majorUnit val="1"/>
      </c:valAx>
      <c:valAx>
        <c:axId val="257284920"/>
        <c:scaling>
          <c:orientation val="minMax"/>
          <c:max val="1"/>
        </c:scaling>
        <c:delete val="0"/>
        <c:axPos val="r"/>
        <c:numFmt formatCode="General" sourceLinked="1"/>
        <c:majorTickMark val="none"/>
        <c:minorTickMark val="none"/>
        <c:tickLblPos val="none"/>
        <c:spPr>
          <a:ln>
            <a:noFill/>
          </a:ln>
        </c:spPr>
        <c:crossAx val="342725312"/>
        <c:crosses val="max"/>
        <c:crossBetween val="between"/>
      </c:valAx>
      <c:catAx>
        <c:axId val="342725312"/>
        <c:scaling>
          <c:orientation val="minMax"/>
        </c:scaling>
        <c:delete val="1"/>
        <c:axPos val="b"/>
        <c:numFmt formatCode="General" sourceLinked="0"/>
        <c:majorTickMark val="out"/>
        <c:minorTickMark val="none"/>
        <c:tickLblPos val="nextTo"/>
        <c:crossAx val="25728492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Plots'!$C$267:$D$267</c:f>
              <c:strCache>
                <c:ptCount val="1"/>
                <c:pt idx="0">
                  <c:v>Position  </c:v>
                </c:pt>
              </c:strCache>
            </c:strRef>
          </c:tx>
          <c:invertIfNegative val="0"/>
          <c:cat>
            <c:strRef>
              <c:f>'Bin Analysis and Plots'!$C$270:$C$289</c:f>
              <c:strCache>
                <c:ptCount val="1"/>
                <c:pt idx="0">
                  <c:v>#NUM!</c:v>
                </c:pt>
              </c:strCache>
            </c:strRef>
          </c:cat>
          <c:val>
            <c:numRef>
              <c:f>'Bin Analysis and Plots'!$K$270:$K$289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0FE-4CBC-B5D1-08307181CBA7}"/>
            </c:ext>
          </c:extLst>
        </c:ser>
        <c:dLbls>
          <c:showLegendKey val="0"/>
          <c:showVal val="0"/>
          <c:showCatName val="0"/>
          <c:showSerName val="0"/>
          <c:showPercent val="0"/>
          <c:showBubbleSize val="0"/>
        </c:dLbls>
        <c:gapWidth val="150"/>
        <c:axId val="342726096"/>
        <c:axId val="34272648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Plots'!$C$270:$C$289</c:f>
              <c:strCache>
                <c:ptCount val="1"/>
                <c:pt idx="0">
                  <c:v>#NUM!</c:v>
                </c:pt>
              </c:strCache>
            </c:strRef>
          </c:cat>
          <c:val>
            <c:numRef>
              <c:f>'Bin Analysis and Plots'!$E$270:$E$289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0FE-4CBC-B5D1-08307181CBA7}"/>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Plots'!$C$270:$C$289</c:f>
              <c:strCache>
                <c:ptCount val="1"/>
                <c:pt idx="0">
                  <c:v>#NUM!</c:v>
                </c:pt>
              </c:strCache>
            </c:strRef>
          </c:cat>
          <c:val>
            <c:numRef>
              <c:f>'Bin Analysis and Plots'!$I$270:$I$289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0FE-4CBC-B5D1-08307181CBA7}"/>
            </c:ext>
          </c:extLst>
        </c:ser>
        <c:dLbls>
          <c:showLegendKey val="0"/>
          <c:showVal val="0"/>
          <c:showCatName val="0"/>
          <c:showSerName val="0"/>
          <c:showPercent val="0"/>
          <c:showBubbleSize val="0"/>
        </c:dLbls>
        <c:gapWidth val="500"/>
        <c:axId val="342727272"/>
        <c:axId val="342726880"/>
      </c:barChart>
      <c:catAx>
        <c:axId val="34272609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2726488"/>
        <c:crosses val="autoZero"/>
        <c:auto val="1"/>
        <c:lblAlgn val="ctr"/>
        <c:lblOffset val="100"/>
        <c:noMultiLvlLbl val="0"/>
      </c:catAx>
      <c:valAx>
        <c:axId val="34272648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2726096"/>
        <c:crosses val="autoZero"/>
        <c:crossBetween val="between"/>
        <c:majorUnit val="1"/>
      </c:valAx>
      <c:valAx>
        <c:axId val="342726880"/>
        <c:scaling>
          <c:orientation val="minMax"/>
          <c:max val="1"/>
        </c:scaling>
        <c:delete val="0"/>
        <c:axPos val="r"/>
        <c:numFmt formatCode="General" sourceLinked="1"/>
        <c:majorTickMark val="none"/>
        <c:minorTickMark val="none"/>
        <c:tickLblPos val="none"/>
        <c:spPr>
          <a:ln>
            <a:noFill/>
          </a:ln>
        </c:spPr>
        <c:crossAx val="342727272"/>
        <c:crosses val="max"/>
        <c:crossBetween val="between"/>
      </c:valAx>
      <c:catAx>
        <c:axId val="342727272"/>
        <c:scaling>
          <c:orientation val="minMax"/>
        </c:scaling>
        <c:delete val="1"/>
        <c:axPos val="b"/>
        <c:numFmt formatCode="General" sourceLinked="0"/>
        <c:majorTickMark val="out"/>
        <c:minorTickMark val="none"/>
        <c:tickLblPos val="nextTo"/>
        <c:crossAx val="3427268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Plots'!$C$291:$D$291</c:f>
              <c:strCache>
                <c:ptCount val="1"/>
                <c:pt idx="0">
                  <c:v>Position  </c:v>
                </c:pt>
              </c:strCache>
            </c:strRef>
          </c:tx>
          <c:invertIfNegative val="0"/>
          <c:cat>
            <c:strRef>
              <c:f>'Bin Analysis and Plots'!$C$294:$C$313</c:f>
              <c:strCache>
                <c:ptCount val="1"/>
                <c:pt idx="0">
                  <c:v>#NUM!</c:v>
                </c:pt>
              </c:strCache>
            </c:strRef>
          </c:cat>
          <c:val>
            <c:numRef>
              <c:f>'Bin Analysis and Plots'!$K$294:$K$313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C3B-48A3-BFE5-9C4454558084}"/>
            </c:ext>
          </c:extLst>
        </c:ser>
        <c:dLbls>
          <c:showLegendKey val="0"/>
          <c:showVal val="0"/>
          <c:showCatName val="0"/>
          <c:showSerName val="0"/>
          <c:showPercent val="0"/>
          <c:showBubbleSize val="0"/>
        </c:dLbls>
        <c:gapWidth val="150"/>
        <c:axId val="342728056"/>
        <c:axId val="34272844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Plots'!$C$294:$C$313</c:f>
              <c:strCache>
                <c:ptCount val="1"/>
                <c:pt idx="0">
                  <c:v>#NUM!</c:v>
                </c:pt>
              </c:strCache>
            </c:strRef>
          </c:cat>
          <c:val>
            <c:numRef>
              <c:f>'Bin Analysis and Plots'!$E$294:$E$313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9C3B-48A3-BFE5-9C4454558084}"/>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Plots'!$C$294:$C$313</c:f>
              <c:strCache>
                <c:ptCount val="1"/>
                <c:pt idx="0">
                  <c:v>#NUM!</c:v>
                </c:pt>
              </c:strCache>
            </c:strRef>
          </c:cat>
          <c:val>
            <c:numRef>
              <c:f>'Bin Analysis and Plots'!$I$294:$I$313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9C3B-48A3-BFE5-9C4454558084}"/>
            </c:ext>
          </c:extLst>
        </c:ser>
        <c:dLbls>
          <c:showLegendKey val="0"/>
          <c:showVal val="0"/>
          <c:showCatName val="0"/>
          <c:showSerName val="0"/>
          <c:showPercent val="0"/>
          <c:showBubbleSize val="0"/>
        </c:dLbls>
        <c:gapWidth val="500"/>
        <c:axId val="342729232"/>
        <c:axId val="342728840"/>
      </c:barChart>
      <c:catAx>
        <c:axId val="34272805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2728448"/>
        <c:crosses val="autoZero"/>
        <c:auto val="1"/>
        <c:lblAlgn val="ctr"/>
        <c:lblOffset val="100"/>
        <c:noMultiLvlLbl val="0"/>
      </c:catAx>
      <c:valAx>
        <c:axId val="34272844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2728056"/>
        <c:crosses val="autoZero"/>
        <c:crossBetween val="between"/>
        <c:majorUnit val="1"/>
      </c:valAx>
      <c:valAx>
        <c:axId val="342728840"/>
        <c:scaling>
          <c:orientation val="minMax"/>
          <c:max val="1"/>
        </c:scaling>
        <c:delete val="0"/>
        <c:axPos val="r"/>
        <c:numFmt formatCode="General" sourceLinked="1"/>
        <c:majorTickMark val="none"/>
        <c:minorTickMark val="none"/>
        <c:tickLblPos val="none"/>
        <c:spPr>
          <a:ln>
            <a:noFill/>
          </a:ln>
        </c:spPr>
        <c:crossAx val="342729232"/>
        <c:crosses val="max"/>
        <c:crossBetween val="between"/>
      </c:valAx>
      <c:catAx>
        <c:axId val="342729232"/>
        <c:scaling>
          <c:orientation val="minMax"/>
        </c:scaling>
        <c:delete val="1"/>
        <c:axPos val="b"/>
        <c:numFmt formatCode="General" sourceLinked="0"/>
        <c:majorTickMark val="out"/>
        <c:minorTickMark val="none"/>
        <c:tickLblPos val="nextTo"/>
        <c:crossAx val="34272884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Plots'!$C$315:$D$315</c:f>
              <c:strCache>
                <c:ptCount val="1"/>
                <c:pt idx="0">
                  <c:v>Position  </c:v>
                </c:pt>
              </c:strCache>
            </c:strRef>
          </c:tx>
          <c:invertIfNegative val="0"/>
          <c:cat>
            <c:strRef>
              <c:f>'Bin Analysis and Plots'!$C$318:$C$337</c:f>
              <c:strCache>
                <c:ptCount val="1"/>
                <c:pt idx="0">
                  <c:v>#NUM!</c:v>
                </c:pt>
              </c:strCache>
            </c:strRef>
          </c:cat>
          <c:val>
            <c:numRef>
              <c:f>'Bin Analysis and Plots'!$K$318:$K$337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713-429E-A360-877096CF1DBA}"/>
            </c:ext>
          </c:extLst>
        </c:ser>
        <c:dLbls>
          <c:showLegendKey val="0"/>
          <c:showVal val="0"/>
          <c:showCatName val="0"/>
          <c:showSerName val="0"/>
          <c:showPercent val="0"/>
          <c:showBubbleSize val="0"/>
        </c:dLbls>
        <c:gapWidth val="150"/>
        <c:axId val="342730016"/>
        <c:axId val="34273040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Plots'!$C$318:$C$337</c:f>
              <c:strCache>
                <c:ptCount val="1"/>
                <c:pt idx="0">
                  <c:v>#NUM!</c:v>
                </c:pt>
              </c:strCache>
            </c:strRef>
          </c:cat>
          <c:val>
            <c:numRef>
              <c:f>'Bin Analysis and Plots'!$E$318:$E$337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4713-429E-A360-877096CF1DBA}"/>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Plots'!$C$318:$C$337</c:f>
              <c:strCache>
                <c:ptCount val="1"/>
                <c:pt idx="0">
                  <c:v>#NUM!</c:v>
                </c:pt>
              </c:strCache>
            </c:strRef>
          </c:cat>
          <c:val>
            <c:numRef>
              <c:f>'Bin Analysis and Plots'!$I$318:$I$337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4713-429E-A360-877096CF1DBA}"/>
            </c:ext>
          </c:extLst>
        </c:ser>
        <c:dLbls>
          <c:showLegendKey val="0"/>
          <c:showVal val="0"/>
          <c:showCatName val="0"/>
          <c:showSerName val="0"/>
          <c:showPercent val="0"/>
          <c:showBubbleSize val="0"/>
        </c:dLbls>
        <c:gapWidth val="500"/>
        <c:axId val="342731192"/>
        <c:axId val="342730800"/>
      </c:barChart>
      <c:catAx>
        <c:axId val="34273001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2730408"/>
        <c:crosses val="autoZero"/>
        <c:auto val="1"/>
        <c:lblAlgn val="ctr"/>
        <c:lblOffset val="100"/>
        <c:noMultiLvlLbl val="0"/>
      </c:catAx>
      <c:valAx>
        <c:axId val="34273040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2730016"/>
        <c:crosses val="autoZero"/>
        <c:crossBetween val="between"/>
        <c:majorUnit val="1"/>
      </c:valAx>
      <c:valAx>
        <c:axId val="342730800"/>
        <c:scaling>
          <c:orientation val="minMax"/>
          <c:max val="1"/>
        </c:scaling>
        <c:delete val="0"/>
        <c:axPos val="r"/>
        <c:numFmt formatCode="General" sourceLinked="1"/>
        <c:majorTickMark val="none"/>
        <c:minorTickMark val="none"/>
        <c:tickLblPos val="none"/>
        <c:spPr>
          <a:ln>
            <a:noFill/>
          </a:ln>
        </c:spPr>
        <c:crossAx val="342731192"/>
        <c:crosses val="max"/>
        <c:crossBetween val="between"/>
      </c:valAx>
      <c:catAx>
        <c:axId val="342731192"/>
        <c:scaling>
          <c:orientation val="minMax"/>
        </c:scaling>
        <c:delete val="1"/>
        <c:axPos val="b"/>
        <c:numFmt formatCode="General" sourceLinked="0"/>
        <c:majorTickMark val="out"/>
        <c:minorTickMark val="none"/>
        <c:tickLblPos val="nextTo"/>
        <c:crossAx val="34273080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Plots'!$C$339:$D$339</c:f>
              <c:strCache>
                <c:ptCount val="1"/>
                <c:pt idx="0">
                  <c:v>Position  </c:v>
                </c:pt>
              </c:strCache>
            </c:strRef>
          </c:tx>
          <c:invertIfNegative val="0"/>
          <c:cat>
            <c:strRef>
              <c:f>'Bin Analysis and Plots'!$C$342:$C$361</c:f>
              <c:strCache>
                <c:ptCount val="1"/>
                <c:pt idx="0">
                  <c:v>#NUM!</c:v>
                </c:pt>
              </c:strCache>
            </c:strRef>
          </c:cat>
          <c:val>
            <c:numRef>
              <c:f>'Bin Analysis and Plots'!$K$342:$K$361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2E70-4114-B6B7-6AB6593D5183}"/>
            </c:ext>
          </c:extLst>
        </c:ser>
        <c:dLbls>
          <c:showLegendKey val="0"/>
          <c:showVal val="0"/>
          <c:showCatName val="0"/>
          <c:showSerName val="0"/>
          <c:showPercent val="0"/>
          <c:showBubbleSize val="0"/>
        </c:dLbls>
        <c:gapWidth val="150"/>
        <c:axId val="342731976"/>
        <c:axId val="34273236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Plots'!$C$342:$C$361</c:f>
              <c:strCache>
                <c:ptCount val="1"/>
                <c:pt idx="0">
                  <c:v>#NUM!</c:v>
                </c:pt>
              </c:strCache>
            </c:strRef>
          </c:cat>
          <c:val>
            <c:numRef>
              <c:f>'Bin Analysis and Plots'!$E$342:$E$361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2E70-4114-B6B7-6AB6593D5183}"/>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Plots'!$C$342:$C$361</c:f>
              <c:strCache>
                <c:ptCount val="1"/>
                <c:pt idx="0">
                  <c:v>#NUM!</c:v>
                </c:pt>
              </c:strCache>
            </c:strRef>
          </c:cat>
          <c:val>
            <c:numRef>
              <c:f>'Bin Analysis and Plots'!$I$342:$I$361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2E70-4114-B6B7-6AB6593D5183}"/>
            </c:ext>
          </c:extLst>
        </c:ser>
        <c:dLbls>
          <c:showLegendKey val="0"/>
          <c:showVal val="0"/>
          <c:showCatName val="0"/>
          <c:showSerName val="0"/>
          <c:showPercent val="0"/>
          <c:showBubbleSize val="0"/>
        </c:dLbls>
        <c:gapWidth val="500"/>
        <c:axId val="354825432"/>
        <c:axId val="342732760"/>
      </c:barChart>
      <c:catAx>
        <c:axId val="34273197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2732368"/>
        <c:crosses val="autoZero"/>
        <c:auto val="1"/>
        <c:lblAlgn val="ctr"/>
        <c:lblOffset val="100"/>
        <c:noMultiLvlLbl val="0"/>
      </c:catAx>
      <c:valAx>
        <c:axId val="34273236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2731976"/>
        <c:crosses val="autoZero"/>
        <c:crossBetween val="between"/>
        <c:majorUnit val="1"/>
      </c:valAx>
      <c:valAx>
        <c:axId val="342732760"/>
        <c:scaling>
          <c:orientation val="minMax"/>
          <c:max val="1"/>
        </c:scaling>
        <c:delete val="0"/>
        <c:axPos val="r"/>
        <c:numFmt formatCode="General" sourceLinked="1"/>
        <c:majorTickMark val="none"/>
        <c:minorTickMark val="none"/>
        <c:tickLblPos val="none"/>
        <c:spPr>
          <a:ln>
            <a:noFill/>
          </a:ln>
        </c:spPr>
        <c:crossAx val="354825432"/>
        <c:crosses val="max"/>
        <c:crossBetween val="between"/>
      </c:valAx>
      <c:catAx>
        <c:axId val="354825432"/>
        <c:scaling>
          <c:orientation val="minMax"/>
        </c:scaling>
        <c:delete val="1"/>
        <c:axPos val="b"/>
        <c:numFmt formatCode="General" sourceLinked="0"/>
        <c:majorTickMark val="out"/>
        <c:minorTickMark val="none"/>
        <c:tickLblPos val="nextTo"/>
        <c:crossAx val="34273276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Plots'!$C$363:$D$363</c:f>
              <c:strCache>
                <c:ptCount val="1"/>
                <c:pt idx="0">
                  <c:v>Position  </c:v>
                </c:pt>
              </c:strCache>
            </c:strRef>
          </c:tx>
          <c:invertIfNegative val="0"/>
          <c:cat>
            <c:strRef>
              <c:f>'Bin Analysis and Plots'!$C$366:$C$385</c:f>
              <c:strCache>
                <c:ptCount val="1"/>
                <c:pt idx="0">
                  <c:v>#NUM!</c:v>
                </c:pt>
              </c:strCache>
            </c:strRef>
          </c:cat>
          <c:val>
            <c:numRef>
              <c:f>'Bin Analysis and Plots'!$K$366:$K$385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A7F-4D5E-BC38-D68CD41FFCA5}"/>
            </c:ext>
          </c:extLst>
        </c:ser>
        <c:dLbls>
          <c:showLegendKey val="0"/>
          <c:showVal val="0"/>
          <c:showCatName val="0"/>
          <c:showSerName val="0"/>
          <c:showPercent val="0"/>
          <c:showBubbleSize val="0"/>
        </c:dLbls>
        <c:gapWidth val="150"/>
        <c:axId val="354826216"/>
        <c:axId val="35482660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Plots'!$C$366:$C$385</c:f>
              <c:strCache>
                <c:ptCount val="1"/>
                <c:pt idx="0">
                  <c:v>#NUM!</c:v>
                </c:pt>
              </c:strCache>
            </c:strRef>
          </c:cat>
          <c:val>
            <c:numRef>
              <c:f>'Bin Analysis and Plots'!$E$366:$E$385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4A7F-4D5E-BC38-D68CD41FFCA5}"/>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Plots'!$C$366:$C$385</c:f>
              <c:strCache>
                <c:ptCount val="1"/>
                <c:pt idx="0">
                  <c:v>#NUM!</c:v>
                </c:pt>
              </c:strCache>
            </c:strRef>
          </c:cat>
          <c:val>
            <c:numRef>
              <c:f>'Bin Analysis and Plots'!$I$366:$I$385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4A7F-4D5E-BC38-D68CD41FFCA5}"/>
            </c:ext>
          </c:extLst>
        </c:ser>
        <c:dLbls>
          <c:showLegendKey val="0"/>
          <c:showVal val="0"/>
          <c:showCatName val="0"/>
          <c:showSerName val="0"/>
          <c:showPercent val="0"/>
          <c:showBubbleSize val="0"/>
        </c:dLbls>
        <c:gapWidth val="500"/>
        <c:axId val="354827392"/>
        <c:axId val="354827000"/>
      </c:barChart>
      <c:catAx>
        <c:axId val="35482621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54826608"/>
        <c:crosses val="autoZero"/>
        <c:auto val="1"/>
        <c:lblAlgn val="ctr"/>
        <c:lblOffset val="100"/>
        <c:noMultiLvlLbl val="0"/>
      </c:catAx>
      <c:valAx>
        <c:axId val="35482660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54826216"/>
        <c:crosses val="autoZero"/>
        <c:crossBetween val="between"/>
        <c:majorUnit val="1"/>
      </c:valAx>
      <c:valAx>
        <c:axId val="354827000"/>
        <c:scaling>
          <c:orientation val="minMax"/>
          <c:max val="1"/>
        </c:scaling>
        <c:delete val="0"/>
        <c:axPos val="r"/>
        <c:numFmt formatCode="General" sourceLinked="1"/>
        <c:majorTickMark val="none"/>
        <c:minorTickMark val="none"/>
        <c:tickLblPos val="none"/>
        <c:spPr>
          <a:ln>
            <a:noFill/>
          </a:ln>
        </c:spPr>
        <c:crossAx val="354827392"/>
        <c:crosses val="max"/>
        <c:crossBetween val="between"/>
      </c:valAx>
      <c:catAx>
        <c:axId val="354827392"/>
        <c:scaling>
          <c:orientation val="minMax"/>
        </c:scaling>
        <c:delete val="1"/>
        <c:axPos val="b"/>
        <c:numFmt formatCode="General" sourceLinked="0"/>
        <c:majorTickMark val="out"/>
        <c:minorTickMark val="none"/>
        <c:tickLblPos val="nextTo"/>
        <c:crossAx val="354827000"/>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Plots'!$C$387:$D$387</c:f>
              <c:strCache>
                <c:ptCount val="1"/>
                <c:pt idx="0">
                  <c:v>Position  </c:v>
                </c:pt>
              </c:strCache>
            </c:strRef>
          </c:tx>
          <c:invertIfNegative val="0"/>
          <c:cat>
            <c:strRef>
              <c:f>'Bin Analysis and Plots'!$C$390:$C$409</c:f>
              <c:strCache>
                <c:ptCount val="1"/>
                <c:pt idx="0">
                  <c:v>#NUM!</c:v>
                </c:pt>
              </c:strCache>
            </c:strRef>
          </c:cat>
          <c:val>
            <c:numRef>
              <c:f>'Bin Analysis and Plots'!$K$390:$K$409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4C0-4675-A1BB-737859D886C5}"/>
            </c:ext>
          </c:extLst>
        </c:ser>
        <c:dLbls>
          <c:showLegendKey val="0"/>
          <c:showVal val="0"/>
          <c:showCatName val="0"/>
          <c:showSerName val="0"/>
          <c:showPercent val="0"/>
          <c:showBubbleSize val="0"/>
        </c:dLbls>
        <c:gapWidth val="150"/>
        <c:axId val="354828176"/>
        <c:axId val="35482856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Plots'!$C$390:$C$409</c:f>
              <c:strCache>
                <c:ptCount val="1"/>
                <c:pt idx="0">
                  <c:v>#NUM!</c:v>
                </c:pt>
              </c:strCache>
            </c:strRef>
          </c:cat>
          <c:val>
            <c:numRef>
              <c:f>'Bin Analysis and Plots'!$E$390:$E$409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14C0-4675-A1BB-737859D886C5}"/>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Plots'!$C$390:$C$409</c:f>
              <c:strCache>
                <c:ptCount val="1"/>
                <c:pt idx="0">
                  <c:v>#NUM!</c:v>
                </c:pt>
              </c:strCache>
            </c:strRef>
          </c:cat>
          <c:val>
            <c:numRef>
              <c:f>'Bin Analysis and Plots'!$I$390:$I$409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14C0-4675-A1BB-737859D886C5}"/>
            </c:ext>
          </c:extLst>
        </c:ser>
        <c:dLbls>
          <c:showLegendKey val="0"/>
          <c:showVal val="0"/>
          <c:showCatName val="0"/>
          <c:showSerName val="0"/>
          <c:showPercent val="0"/>
          <c:showBubbleSize val="0"/>
        </c:dLbls>
        <c:gapWidth val="500"/>
        <c:axId val="354829352"/>
        <c:axId val="354828960"/>
      </c:barChart>
      <c:catAx>
        <c:axId val="35482817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54828568"/>
        <c:crosses val="autoZero"/>
        <c:auto val="1"/>
        <c:lblAlgn val="ctr"/>
        <c:lblOffset val="100"/>
        <c:noMultiLvlLbl val="0"/>
      </c:catAx>
      <c:valAx>
        <c:axId val="35482856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54828176"/>
        <c:crosses val="autoZero"/>
        <c:crossBetween val="between"/>
        <c:majorUnit val="1"/>
      </c:valAx>
      <c:valAx>
        <c:axId val="354828960"/>
        <c:scaling>
          <c:orientation val="minMax"/>
          <c:max val="1"/>
        </c:scaling>
        <c:delete val="0"/>
        <c:axPos val="r"/>
        <c:numFmt formatCode="General" sourceLinked="1"/>
        <c:majorTickMark val="none"/>
        <c:minorTickMark val="none"/>
        <c:tickLblPos val="none"/>
        <c:spPr>
          <a:ln>
            <a:noFill/>
          </a:ln>
        </c:spPr>
        <c:crossAx val="354829352"/>
        <c:crosses val="max"/>
        <c:crossBetween val="between"/>
      </c:valAx>
      <c:catAx>
        <c:axId val="354829352"/>
        <c:scaling>
          <c:orientation val="minMax"/>
        </c:scaling>
        <c:delete val="1"/>
        <c:axPos val="b"/>
        <c:numFmt formatCode="General" sourceLinked="0"/>
        <c:majorTickMark val="out"/>
        <c:minorTickMark val="none"/>
        <c:tickLblPos val="nextTo"/>
        <c:crossAx val="354828960"/>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Plots'!$C$411:$D$411</c:f>
              <c:strCache>
                <c:ptCount val="1"/>
                <c:pt idx="0">
                  <c:v>Position  </c:v>
                </c:pt>
              </c:strCache>
            </c:strRef>
          </c:tx>
          <c:invertIfNegative val="0"/>
          <c:cat>
            <c:strRef>
              <c:f>'Bin Analysis and Plots'!$C$414:$C$433</c:f>
              <c:strCache>
                <c:ptCount val="1"/>
                <c:pt idx="0">
                  <c:v>#NUM!</c:v>
                </c:pt>
              </c:strCache>
            </c:strRef>
          </c:cat>
          <c:val>
            <c:numRef>
              <c:f>'Bin Analysis and Plots'!$K$414:$K$433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145-4DDE-A68A-5720F892D738}"/>
            </c:ext>
          </c:extLst>
        </c:ser>
        <c:dLbls>
          <c:showLegendKey val="0"/>
          <c:showVal val="0"/>
          <c:showCatName val="0"/>
          <c:showSerName val="0"/>
          <c:showPercent val="0"/>
          <c:showBubbleSize val="0"/>
        </c:dLbls>
        <c:gapWidth val="150"/>
        <c:axId val="354830136"/>
        <c:axId val="35483052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Plots'!$C$414:$C$433</c:f>
              <c:strCache>
                <c:ptCount val="1"/>
                <c:pt idx="0">
                  <c:v>#NUM!</c:v>
                </c:pt>
              </c:strCache>
            </c:strRef>
          </c:cat>
          <c:val>
            <c:numRef>
              <c:f>'Bin Analysis and Plots'!$E$414:$E$433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4145-4DDE-A68A-5720F892D738}"/>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Plots'!$C$414:$C$433</c:f>
              <c:strCache>
                <c:ptCount val="1"/>
                <c:pt idx="0">
                  <c:v>#NUM!</c:v>
                </c:pt>
              </c:strCache>
            </c:strRef>
          </c:cat>
          <c:val>
            <c:numRef>
              <c:f>'Bin Analysis and Plots'!$I$414:$I$433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4145-4DDE-A68A-5720F892D738}"/>
            </c:ext>
          </c:extLst>
        </c:ser>
        <c:dLbls>
          <c:showLegendKey val="0"/>
          <c:showVal val="0"/>
          <c:showCatName val="0"/>
          <c:showSerName val="0"/>
          <c:showPercent val="0"/>
          <c:showBubbleSize val="0"/>
        </c:dLbls>
        <c:gapWidth val="500"/>
        <c:axId val="354831312"/>
        <c:axId val="354830920"/>
      </c:barChart>
      <c:catAx>
        <c:axId val="35483013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54830528"/>
        <c:crosses val="autoZero"/>
        <c:auto val="1"/>
        <c:lblAlgn val="ctr"/>
        <c:lblOffset val="100"/>
        <c:noMultiLvlLbl val="0"/>
      </c:catAx>
      <c:valAx>
        <c:axId val="35483052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54830136"/>
        <c:crosses val="autoZero"/>
        <c:crossBetween val="between"/>
        <c:majorUnit val="1"/>
      </c:valAx>
      <c:valAx>
        <c:axId val="354830920"/>
        <c:scaling>
          <c:orientation val="minMax"/>
          <c:max val="1"/>
        </c:scaling>
        <c:delete val="0"/>
        <c:axPos val="r"/>
        <c:numFmt formatCode="General" sourceLinked="1"/>
        <c:majorTickMark val="none"/>
        <c:minorTickMark val="none"/>
        <c:tickLblPos val="none"/>
        <c:spPr>
          <a:ln>
            <a:noFill/>
          </a:ln>
        </c:spPr>
        <c:crossAx val="354831312"/>
        <c:crosses val="max"/>
        <c:crossBetween val="between"/>
      </c:valAx>
      <c:catAx>
        <c:axId val="354831312"/>
        <c:scaling>
          <c:orientation val="minMax"/>
        </c:scaling>
        <c:delete val="1"/>
        <c:axPos val="b"/>
        <c:numFmt formatCode="General" sourceLinked="0"/>
        <c:majorTickMark val="out"/>
        <c:minorTickMark val="none"/>
        <c:tickLblPos val="nextTo"/>
        <c:crossAx val="354830920"/>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Plots'!$C$435:$D$435</c:f>
              <c:strCache>
                <c:ptCount val="1"/>
                <c:pt idx="0">
                  <c:v>Position  </c:v>
                </c:pt>
              </c:strCache>
            </c:strRef>
          </c:tx>
          <c:invertIfNegative val="0"/>
          <c:cat>
            <c:strRef>
              <c:f>'Bin Analysis and Plots'!$C$438:$C$457</c:f>
              <c:strCache>
                <c:ptCount val="1"/>
                <c:pt idx="0">
                  <c:v>#NUM!</c:v>
                </c:pt>
              </c:strCache>
            </c:strRef>
          </c:cat>
          <c:val>
            <c:numRef>
              <c:f>'Bin Analysis and Plots'!$K$438:$K$457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DE6-47F5-A687-E23E99144BF0}"/>
            </c:ext>
          </c:extLst>
        </c:ser>
        <c:dLbls>
          <c:showLegendKey val="0"/>
          <c:showVal val="0"/>
          <c:showCatName val="0"/>
          <c:showSerName val="0"/>
          <c:showPercent val="0"/>
          <c:showBubbleSize val="0"/>
        </c:dLbls>
        <c:gapWidth val="150"/>
        <c:axId val="354832096"/>
        <c:axId val="35483248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Plots'!$C$438:$C$457</c:f>
              <c:strCache>
                <c:ptCount val="1"/>
                <c:pt idx="0">
                  <c:v>#NUM!</c:v>
                </c:pt>
              </c:strCache>
            </c:strRef>
          </c:cat>
          <c:val>
            <c:numRef>
              <c:f>'Bin Analysis and Plots'!$E$438:$E$457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4DE6-47F5-A687-E23E99144BF0}"/>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Plots'!$C$438:$C$457</c:f>
              <c:strCache>
                <c:ptCount val="1"/>
                <c:pt idx="0">
                  <c:v>#NUM!</c:v>
                </c:pt>
              </c:strCache>
            </c:strRef>
          </c:cat>
          <c:val>
            <c:numRef>
              <c:f>'Bin Analysis and Plots'!$I$438:$I$457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4DE6-47F5-A687-E23E99144BF0}"/>
            </c:ext>
          </c:extLst>
        </c:ser>
        <c:dLbls>
          <c:showLegendKey val="0"/>
          <c:showVal val="0"/>
          <c:showCatName val="0"/>
          <c:showSerName val="0"/>
          <c:showPercent val="0"/>
          <c:showBubbleSize val="0"/>
        </c:dLbls>
        <c:gapWidth val="500"/>
        <c:axId val="341066360"/>
        <c:axId val="354832880"/>
      </c:barChart>
      <c:catAx>
        <c:axId val="354832096"/>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54832488"/>
        <c:crosses val="autoZero"/>
        <c:auto val="1"/>
        <c:lblAlgn val="ctr"/>
        <c:lblOffset val="100"/>
        <c:noMultiLvlLbl val="0"/>
      </c:catAx>
      <c:valAx>
        <c:axId val="354832488"/>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54832096"/>
        <c:crosses val="autoZero"/>
        <c:crossBetween val="between"/>
        <c:majorUnit val="1"/>
      </c:valAx>
      <c:valAx>
        <c:axId val="354832880"/>
        <c:scaling>
          <c:orientation val="minMax"/>
          <c:max val="1"/>
        </c:scaling>
        <c:delete val="0"/>
        <c:axPos val="r"/>
        <c:numFmt formatCode="General" sourceLinked="1"/>
        <c:majorTickMark val="none"/>
        <c:minorTickMark val="none"/>
        <c:tickLblPos val="none"/>
        <c:spPr>
          <a:ln>
            <a:noFill/>
          </a:ln>
        </c:spPr>
        <c:crossAx val="341066360"/>
        <c:crosses val="max"/>
        <c:crossBetween val="between"/>
      </c:valAx>
      <c:catAx>
        <c:axId val="341066360"/>
        <c:scaling>
          <c:orientation val="minMax"/>
        </c:scaling>
        <c:delete val="1"/>
        <c:axPos val="b"/>
        <c:numFmt formatCode="General" sourceLinked="0"/>
        <c:majorTickMark val="out"/>
        <c:minorTickMark val="none"/>
        <c:tickLblPos val="nextTo"/>
        <c:crossAx val="354832880"/>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Bin</a:t>
            </a:r>
            <a:r>
              <a:rPr lang="en-US" baseline="0"/>
              <a:t> Sorted Data</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'Bin Analysis and Plots'!$C$459:$D$459</c:f>
              <c:strCache>
                <c:ptCount val="1"/>
                <c:pt idx="0">
                  <c:v>Position  </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'Bin Analysis and Plots'!$C$462:$C$481</c:f>
              <c:strCache>
                <c:ptCount val="1"/>
                <c:pt idx="0">
                  <c:v>#NUM!</c:v>
                </c:pt>
              </c:strCache>
            </c:strRef>
          </c:cat>
          <c:val>
            <c:numRef>
              <c:f>'Bin Analysis and Plots'!$K$462:$K$481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B297-499F-8CBD-E17094E5FFE5}"/>
            </c:ext>
          </c:extLst>
        </c:ser>
        <c:dLbls>
          <c:showLegendKey val="0"/>
          <c:showVal val="0"/>
          <c:showCatName val="0"/>
          <c:showSerName val="0"/>
          <c:showPercent val="0"/>
          <c:showBubbleSize val="0"/>
        </c:dLbls>
        <c:gapWidth val="150"/>
        <c:axId val="341067144"/>
        <c:axId val="341067536"/>
      </c:barChart>
      <c:barChart>
        <c:barDir val="col"/>
        <c:grouping val="clustered"/>
        <c:varyColors val="0"/>
        <c:ser>
          <c:idx val="1"/>
          <c:order val="1"/>
          <c:tx>
            <c:strRef>
              <c:f>'Bin Analysis and Plots'!$E$148</c:f>
              <c:strCache>
                <c:ptCount val="1"/>
                <c:pt idx="0">
                  <c:v>Wild Type</c:v>
                </c:pt>
              </c:strCache>
            </c:strRef>
          </c:tx>
          <c:spPr>
            <a:solidFill>
              <a:schemeClr val="accent3"/>
            </a:solidFill>
            <a:ln>
              <a:noFill/>
            </a:ln>
            <a:effectLst>
              <a:outerShdw blurRad="40000" dist="23000" dir="5400000" rotWithShape="0">
                <a:srgbClr val="000000">
                  <a:alpha val="35000"/>
                </a:srgbClr>
              </a:outerShdw>
            </a:effectLst>
          </c:spPr>
          <c:invertIfNegative val="0"/>
          <c:cat>
            <c:strRef>
              <c:f>'Bin Analysis and Plots'!$C$462:$C$481</c:f>
              <c:strCache>
                <c:ptCount val="1"/>
                <c:pt idx="0">
                  <c:v>#NUM!</c:v>
                </c:pt>
              </c:strCache>
            </c:strRef>
          </c:cat>
          <c:val>
            <c:numRef>
              <c:f>'Bin Analysis and Plots'!$E$462:$E$481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B297-499F-8CBD-E17094E5FFE5}"/>
            </c:ext>
          </c:extLst>
        </c:ser>
        <c:ser>
          <c:idx val="2"/>
          <c:order val="2"/>
          <c:tx>
            <c:strRef>
              <c:f>'Bin Analysis and Plots'!$I$148</c:f>
              <c:strCache>
                <c:ptCount val="1"/>
                <c:pt idx="0">
                  <c:v>Dead Protein</c:v>
                </c:pt>
              </c:strCache>
            </c:strRef>
          </c:tx>
          <c:spPr>
            <a:solidFill>
              <a:schemeClr val="accent2"/>
            </a:solidFill>
            <a:ln>
              <a:noFill/>
            </a:ln>
            <a:effectLst>
              <a:outerShdw blurRad="40000" dist="23000" dir="5400000" rotWithShape="0">
                <a:srgbClr val="000000">
                  <a:alpha val="35000"/>
                </a:srgbClr>
              </a:outerShdw>
            </a:effectLst>
          </c:spPr>
          <c:invertIfNegative val="0"/>
          <c:cat>
            <c:strRef>
              <c:f>'Bin Analysis and Plots'!$C$462:$C$481</c:f>
              <c:strCache>
                <c:ptCount val="1"/>
                <c:pt idx="0">
                  <c:v>#NUM!</c:v>
                </c:pt>
              </c:strCache>
            </c:strRef>
          </c:cat>
          <c:val>
            <c:numRef>
              <c:f>'Bin Analysis and Plots'!$I$462:$I$481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B297-499F-8CBD-E17094E5FFE5}"/>
            </c:ext>
          </c:extLst>
        </c:ser>
        <c:dLbls>
          <c:showLegendKey val="0"/>
          <c:showVal val="0"/>
          <c:showCatName val="0"/>
          <c:showSerName val="0"/>
          <c:showPercent val="0"/>
          <c:showBubbleSize val="0"/>
        </c:dLbls>
        <c:gapWidth val="500"/>
        <c:axId val="341068320"/>
        <c:axId val="341067928"/>
      </c:barChart>
      <c:catAx>
        <c:axId val="341067144"/>
        <c:scaling>
          <c:orientation val="minMax"/>
        </c:scaling>
        <c:delete val="0"/>
        <c:axPos val="b"/>
        <c:title>
          <c:tx>
            <c:rich>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t>Upper Bin Range Limits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0.0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5400000" spcFirstLastPara="1" vertOverflow="ellipsis" wrap="square" anchor="ctr" anchorCtr="1"/>
          <a:lstStyle/>
          <a:p>
            <a:pPr>
              <a:defRPr sz="1000" b="0" i="0" u="none" strike="noStrike" kern="1200" baseline="0">
                <a:solidFill>
                  <a:schemeClr val="tx1"/>
                </a:solidFill>
                <a:latin typeface="+mn-lt"/>
                <a:ea typeface="+mn-ea"/>
                <a:cs typeface="+mn-cs"/>
              </a:defRPr>
            </a:pPr>
            <a:endParaRPr lang="en-US"/>
          </a:p>
        </c:txPr>
        <c:crossAx val="341067536"/>
        <c:crosses val="autoZero"/>
        <c:auto val="1"/>
        <c:lblAlgn val="ctr"/>
        <c:lblOffset val="100"/>
        <c:noMultiLvlLbl val="0"/>
      </c:catAx>
      <c:valAx>
        <c:axId val="341067536"/>
        <c:scaling>
          <c:orientation val="minMax"/>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r>
                  <a:rPr lang="en-US" sz="1200"/>
                  <a:t>Number of Variants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341067144"/>
        <c:crosses val="autoZero"/>
        <c:crossBetween val="between"/>
        <c:majorUnit val="1"/>
      </c:valAx>
      <c:valAx>
        <c:axId val="341067928"/>
        <c:scaling>
          <c:orientation val="minMax"/>
          <c:max val="1"/>
        </c:scaling>
        <c:delete val="0"/>
        <c:axPos val="r"/>
        <c:numFmt formatCode="General" sourceLinked="1"/>
        <c:majorTickMark val="none"/>
        <c:minorTickMark val="none"/>
        <c:tickLblPos val="none"/>
        <c:spPr>
          <a:noFill/>
          <a:ln w="9525" cap="flat" cmpd="sng" algn="ctr">
            <a:no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341068320"/>
        <c:crosses val="max"/>
        <c:crossBetween val="between"/>
      </c:valAx>
      <c:catAx>
        <c:axId val="341068320"/>
        <c:scaling>
          <c:orientation val="minMax"/>
        </c:scaling>
        <c:delete val="1"/>
        <c:axPos val="b"/>
        <c:numFmt formatCode="General" sourceLinked="0"/>
        <c:majorTickMark val="out"/>
        <c:minorTickMark val="none"/>
        <c:tickLblPos val="nextTo"/>
        <c:crossAx val="341067928"/>
        <c:crosses val="autoZero"/>
        <c:auto val="1"/>
        <c:lblAlgn val="ctr"/>
        <c:lblOffset val="100"/>
        <c:noMultiLvlLbl val="0"/>
      </c:catAx>
      <c:spPr>
        <a:solidFill>
          <a:schemeClr val="bg1"/>
        </a:solidFill>
        <a:ln>
          <a:noFill/>
        </a:ln>
        <a:effectLst/>
      </c:spPr>
    </c:plotArea>
    <c:legend>
      <c:legendPos val="r"/>
      <c:layout>
        <c:manualLayout>
          <c:xMode val="edge"/>
          <c:yMode val="edge"/>
          <c:x val="0.68611351706036705"/>
          <c:y val="3.1831437736949499E-2"/>
          <c:w val="0.30277537182852099"/>
          <c:h val="0.25578120443277902"/>
        </c:manualLayout>
      </c:layout>
      <c:overlay val="1"/>
      <c:spPr>
        <a:noFill/>
        <a:ln>
          <a:no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en-US"/>
    </a:p>
  </c:txPr>
  <c:printSettings>
    <c:headerFooter/>
    <c:pageMargins b="1" l="0.75" r="0.75"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a:t>
            </a:r>
            <a:r>
              <a:rPr lang="en-US" baseline="0"/>
              <a:t> Sorted Data</a:t>
            </a:r>
            <a:endParaRPr lang="en-US"/>
          </a:p>
        </c:rich>
      </c:tx>
      <c:overlay val="0"/>
    </c:title>
    <c:autoTitleDeleted val="0"/>
    <c:plotArea>
      <c:layout/>
      <c:barChart>
        <c:barDir val="col"/>
        <c:grouping val="clustered"/>
        <c:varyColors val="0"/>
        <c:ser>
          <c:idx val="0"/>
          <c:order val="0"/>
          <c:tx>
            <c:strRef>
              <c:f>'Bin Analysis and Plots'!$C$483:$D$483</c:f>
              <c:strCache>
                <c:ptCount val="1"/>
                <c:pt idx="0">
                  <c:v>Position  </c:v>
                </c:pt>
              </c:strCache>
            </c:strRef>
          </c:tx>
          <c:invertIfNegative val="0"/>
          <c:cat>
            <c:strRef>
              <c:f>'Bin Analysis and Plots'!$C$486:$C$505</c:f>
              <c:strCache>
                <c:ptCount val="1"/>
                <c:pt idx="0">
                  <c:v>#NUM!</c:v>
                </c:pt>
              </c:strCache>
            </c:strRef>
          </c:cat>
          <c:val>
            <c:numRef>
              <c:f>'Bin Analysis and Plots'!$K$486:$K$505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3ECA-429B-8839-1E563F7C12E3}"/>
            </c:ext>
          </c:extLst>
        </c:ser>
        <c:dLbls>
          <c:showLegendKey val="0"/>
          <c:showVal val="0"/>
          <c:showCatName val="0"/>
          <c:showSerName val="0"/>
          <c:showPercent val="0"/>
          <c:showBubbleSize val="0"/>
        </c:dLbls>
        <c:gapWidth val="150"/>
        <c:axId val="341069104"/>
        <c:axId val="341069496"/>
      </c:barChart>
      <c:barChart>
        <c:barDir val="col"/>
        <c:grouping val="clustered"/>
        <c:varyColors val="0"/>
        <c:ser>
          <c:idx val="1"/>
          <c:order val="1"/>
          <c:tx>
            <c:strRef>
              <c:f>'Bin Analysis and Plots'!$E$148</c:f>
              <c:strCache>
                <c:ptCount val="1"/>
                <c:pt idx="0">
                  <c:v>Wild Type</c:v>
                </c:pt>
              </c:strCache>
            </c:strRef>
          </c:tx>
          <c:spPr>
            <a:solidFill>
              <a:schemeClr val="accent3"/>
            </a:solidFill>
          </c:spPr>
          <c:invertIfNegative val="0"/>
          <c:cat>
            <c:strRef>
              <c:f>'Bin Analysis and Plots'!$C$486:$C$505</c:f>
              <c:strCache>
                <c:ptCount val="1"/>
                <c:pt idx="0">
                  <c:v>#NUM!</c:v>
                </c:pt>
              </c:strCache>
            </c:strRef>
          </c:cat>
          <c:val>
            <c:numRef>
              <c:f>'Bin Analysis and Plots'!$E$486:$E$505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3ECA-429B-8839-1E563F7C12E3}"/>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Plots'!$C$486:$C$505</c:f>
              <c:strCache>
                <c:ptCount val="1"/>
                <c:pt idx="0">
                  <c:v>#NUM!</c:v>
                </c:pt>
              </c:strCache>
            </c:strRef>
          </c:cat>
          <c:val>
            <c:numRef>
              <c:f>'Bin Analysis and Plots'!$I$486:$I$505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3ECA-429B-8839-1E563F7C12E3}"/>
            </c:ext>
          </c:extLst>
        </c:ser>
        <c:dLbls>
          <c:showLegendKey val="0"/>
          <c:showVal val="0"/>
          <c:showCatName val="0"/>
          <c:showSerName val="0"/>
          <c:showPercent val="0"/>
          <c:showBubbleSize val="0"/>
        </c:dLbls>
        <c:gapWidth val="500"/>
        <c:axId val="341070280"/>
        <c:axId val="341069888"/>
      </c:barChart>
      <c:catAx>
        <c:axId val="341069104"/>
        <c:scaling>
          <c:orientation val="minMax"/>
        </c:scaling>
        <c:delete val="0"/>
        <c:axPos val="b"/>
        <c:title>
          <c:tx>
            <c:rich>
              <a:bodyPr/>
              <a:lstStyle/>
              <a:p>
                <a:pPr>
                  <a:defRPr sz="1200"/>
                </a:pPr>
                <a:r>
                  <a:rPr lang="en-US" sz="1200"/>
                  <a:t>Upper Bin Range Limits</a:t>
                </a:r>
              </a:p>
            </c:rich>
          </c:tx>
          <c:overlay val="0"/>
        </c:title>
        <c:numFmt formatCode="#,##0.00" sourceLinked="0"/>
        <c:majorTickMark val="out"/>
        <c:minorTickMark val="none"/>
        <c:tickLblPos val="nextTo"/>
        <c:txPr>
          <a:bodyPr rot="-5400000" vert="horz"/>
          <a:lstStyle/>
          <a:p>
            <a:pPr>
              <a:defRPr/>
            </a:pPr>
            <a:endParaRPr lang="en-US"/>
          </a:p>
        </c:txPr>
        <c:crossAx val="341069496"/>
        <c:crosses val="autoZero"/>
        <c:auto val="1"/>
        <c:lblAlgn val="ctr"/>
        <c:lblOffset val="100"/>
        <c:noMultiLvlLbl val="0"/>
      </c:catAx>
      <c:valAx>
        <c:axId val="341069496"/>
        <c:scaling>
          <c:orientation val="minMax"/>
        </c:scaling>
        <c:delete val="0"/>
        <c:axPos val="l"/>
        <c:title>
          <c:tx>
            <c:rich>
              <a:bodyPr rot="-5400000" vert="horz"/>
              <a:lstStyle/>
              <a:p>
                <a:pPr>
                  <a:defRPr sz="1200"/>
                </a:pPr>
                <a:r>
                  <a:rPr lang="en-US" sz="1200"/>
                  <a:t>Number of Variants</a:t>
                </a:r>
              </a:p>
            </c:rich>
          </c:tx>
          <c:overlay val="0"/>
        </c:title>
        <c:numFmt formatCode="General" sourceLinked="1"/>
        <c:majorTickMark val="out"/>
        <c:minorTickMark val="none"/>
        <c:tickLblPos val="nextTo"/>
        <c:crossAx val="341069104"/>
        <c:crosses val="autoZero"/>
        <c:crossBetween val="between"/>
        <c:majorUnit val="1"/>
      </c:valAx>
      <c:valAx>
        <c:axId val="341069888"/>
        <c:scaling>
          <c:orientation val="minMax"/>
          <c:max val="1"/>
        </c:scaling>
        <c:delete val="0"/>
        <c:axPos val="r"/>
        <c:numFmt formatCode="General" sourceLinked="1"/>
        <c:majorTickMark val="none"/>
        <c:minorTickMark val="none"/>
        <c:tickLblPos val="none"/>
        <c:spPr>
          <a:ln>
            <a:noFill/>
          </a:ln>
        </c:spPr>
        <c:crossAx val="341070280"/>
        <c:crosses val="max"/>
        <c:crossBetween val="between"/>
      </c:valAx>
      <c:catAx>
        <c:axId val="341070280"/>
        <c:scaling>
          <c:orientation val="minMax"/>
        </c:scaling>
        <c:delete val="1"/>
        <c:axPos val="b"/>
        <c:numFmt formatCode="General" sourceLinked="0"/>
        <c:majorTickMark val="out"/>
        <c:minorTickMark val="none"/>
        <c:tickLblPos val="nextTo"/>
        <c:crossAx val="341069888"/>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txPr>
        <a:bodyPr/>
        <a:lstStyle/>
        <a:p>
          <a:pPr>
            <a:defRPr sz="1050"/>
          </a:pPr>
          <a:endParaRPr lang="en-US"/>
        </a:p>
      </c:txPr>
    </c:legend>
    <c:plotVisOnly val="1"/>
    <c:dispBlanksAs val="gap"/>
    <c:showDLblsOverMax val="0"/>
  </c:chart>
  <c:printSettings>
    <c:headerFooter/>
    <c:pageMargins b="1" l="0.75" r="0.75"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341071064"/>
        <c:axId val="341071456"/>
      </c:barChart>
      <c:catAx>
        <c:axId val="341071064"/>
        <c:scaling>
          <c:orientation val="minMax"/>
        </c:scaling>
        <c:delete val="0"/>
        <c:axPos val="b"/>
        <c:majorTickMark val="out"/>
        <c:minorTickMark val="none"/>
        <c:tickLblPos val="nextTo"/>
        <c:crossAx val="341071456"/>
        <c:crosses val="autoZero"/>
        <c:auto val="1"/>
        <c:lblAlgn val="ctr"/>
        <c:lblOffset val="100"/>
        <c:noMultiLvlLbl val="0"/>
      </c:catAx>
      <c:valAx>
        <c:axId val="341071456"/>
        <c:scaling>
          <c:orientation val="minMax"/>
        </c:scaling>
        <c:delete val="0"/>
        <c:axPos val="l"/>
        <c:majorGridlines/>
        <c:majorTickMark val="out"/>
        <c:minorTickMark val="none"/>
        <c:tickLblPos val="nextTo"/>
        <c:crossAx val="341071064"/>
        <c:crosses val="autoZero"/>
        <c:crossBetween val="between"/>
      </c:valAx>
    </c:plotArea>
    <c:legend>
      <c:legendPos val="r"/>
      <c:overlay val="0"/>
    </c:legend>
    <c:plotVisOnly val="1"/>
    <c:dispBlanksAs val="gap"/>
    <c:showDLblsOverMax val="0"/>
  </c:chart>
  <c:txPr>
    <a:bodyPr/>
    <a:lstStyle/>
    <a:p>
      <a:pPr>
        <a:defRPr sz="800"/>
      </a:pPr>
      <a:endParaRPr lang="en-US"/>
    </a:p>
  </c:txPr>
  <c:userShapes r:id="rId1"/>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Plots'!$B$30:$B$49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F4-4E53-BB36-10CBE92EC4F6}"/>
            </c:ext>
          </c:extLst>
        </c:ser>
        <c:dLbls>
          <c:showLegendKey val="0"/>
          <c:showVal val="0"/>
          <c:showCatName val="0"/>
          <c:showSerName val="0"/>
          <c:showPercent val="0"/>
          <c:showBubbleSize val="0"/>
        </c:dLbls>
        <c:gapWidth val="150"/>
        <c:axId val="341072240"/>
        <c:axId val="341072632"/>
      </c:barChart>
      <c:catAx>
        <c:axId val="341072240"/>
        <c:scaling>
          <c:orientation val="minMax"/>
        </c:scaling>
        <c:delete val="1"/>
        <c:axPos val="b"/>
        <c:majorTickMark val="out"/>
        <c:minorTickMark val="none"/>
        <c:tickLblPos val="nextTo"/>
        <c:crossAx val="341072632"/>
        <c:crosses val="autoZero"/>
        <c:auto val="1"/>
        <c:lblAlgn val="ctr"/>
        <c:lblOffset val="100"/>
        <c:noMultiLvlLbl val="0"/>
      </c:catAx>
      <c:valAx>
        <c:axId val="34107263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107224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Plots'!$C$27:$D$27</c:f>
              <c:strCache>
                <c:ptCount val="1"/>
                <c:pt idx="0">
                  <c:v>Position  </c:v>
                </c:pt>
              </c:strCache>
            </c:strRef>
          </c:tx>
          <c:invertIfNegative val="0"/>
          <c:cat>
            <c:strRef>
              <c:f>'Bin Analysis and Plots'!$C$30:$C$49</c:f>
              <c:strCache>
                <c:ptCount val="1"/>
                <c:pt idx="0">
                  <c:v>#NUM!</c:v>
                </c:pt>
              </c:strCache>
            </c:strRef>
          </c:cat>
          <c:val>
            <c:numRef>
              <c:f>'Bin Analysis and Plots'!$K$30:$K$49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2E1-443D-A3B1-3D400D9C0575}"/>
            </c:ext>
          </c:extLst>
        </c:ser>
        <c:dLbls>
          <c:showLegendKey val="0"/>
          <c:showVal val="0"/>
          <c:showCatName val="0"/>
          <c:showSerName val="0"/>
          <c:showPercent val="0"/>
          <c:showBubbleSize val="0"/>
        </c:dLbls>
        <c:gapWidth val="150"/>
        <c:axId val="341073416"/>
        <c:axId val="341073808"/>
      </c:barChart>
      <c:barChart>
        <c:barDir val="col"/>
        <c:grouping val="clustered"/>
        <c:varyColors val="0"/>
        <c:ser>
          <c:idx val="1"/>
          <c:order val="1"/>
          <c:tx>
            <c:strRef>
              <c:f>'Bin Analysis and Plots'!$E$28</c:f>
              <c:strCache>
                <c:ptCount val="1"/>
                <c:pt idx="0">
                  <c:v>WT Bin</c:v>
                </c:pt>
              </c:strCache>
            </c:strRef>
          </c:tx>
          <c:spPr>
            <a:solidFill>
              <a:schemeClr val="accent3"/>
            </a:solidFill>
          </c:spPr>
          <c:invertIfNegative val="0"/>
          <c:cat>
            <c:strRef>
              <c:f>'Bin Analysis and Plots'!$C$30:$C$49</c:f>
              <c:strCache>
                <c:ptCount val="1"/>
                <c:pt idx="0">
                  <c:v>#NUM!</c:v>
                </c:pt>
              </c:strCache>
            </c:strRef>
          </c:cat>
          <c:val>
            <c:numRef>
              <c:f>'Bin Analysis and Plots'!$E$30:$E$49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E2E1-443D-A3B1-3D400D9C0575}"/>
            </c:ext>
          </c:extLst>
        </c:ser>
        <c:ser>
          <c:idx val="2"/>
          <c:order val="2"/>
          <c:tx>
            <c:strRef>
              <c:f>'Bin Analysis and Plots'!$I$28</c:f>
              <c:strCache>
                <c:ptCount val="1"/>
                <c:pt idx="0">
                  <c:v>Dead Protein</c:v>
                </c:pt>
              </c:strCache>
            </c:strRef>
          </c:tx>
          <c:spPr>
            <a:solidFill>
              <a:schemeClr val="accent2"/>
            </a:solidFill>
          </c:spPr>
          <c:invertIfNegative val="0"/>
          <c:cat>
            <c:strRef>
              <c:f>'Bin Analysis and Plots'!$C$30:$C$49</c:f>
              <c:strCache>
                <c:ptCount val="1"/>
                <c:pt idx="0">
                  <c:v>#NUM!</c:v>
                </c:pt>
              </c:strCache>
            </c:strRef>
          </c:cat>
          <c:val>
            <c:numRef>
              <c:f>'Bin Analysis and Plots'!$I$30:$I$49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E2E1-443D-A3B1-3D400D9C0575}"/>
            </c:ext>
          </c:extLst>
        </c:ser>
        <c:dLbls>
          <c:showLegendKey val="0"/>
          <c:showVal val="0"/>
          <c:showCatName val="0"/>
          <c:showSerName val="0"/>
          <c:showPercent val="0"/>
          <c:showBubbleSize val="0"/>
        </c:dLbls>
        <c:gapWidth val="500"/>
        <c:axId val="348481576"/>
        <c:axId val="348481184"/>
      </c:barChart>
      <c:catAx>
        <c:axId val="34107341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1073808"/>
        <c:crosses val="autoZero"/>
        <c:auto val="1"/>
        <c:lblAlgn val="ctr"/>
        <c:lblOffset val="100"/>
        <c:noMultiLvlLbl val="0"/>
      </c:catAx>
      <c:valAx>
        <c:axId val="34107380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073416"/>
        <c:crosses val="autoZero"/>
        <c:crossBetween val="between"/>
        <c:majorUnit val="1"/>
      </c:valAx>
      <c:valAx>
        <c:axId val="348481184"/>
        <c:scaling>
          <c:orientation val="minMax"/>
          <c:max val="1"/>
        </c:scaling>
        <c:delete val="0"/>
        <c:axPos val="r"/>
        <c:numFmt formatCode="General" sourceLinked="1"/>
        <c:majorTickMark val="none"/>
        <c:minorTickMark val="none"/>
        <c:tickLblPos val="none"/>
        <c:spPr>
          <a:ln>
            <a:noFill/>
          </a:ln>
        </c:spPr>
        <c:crossAx val="348481576"/>
        <c:crosses val="max"/>
        <c:crossBetween val="between"/>
      </c:valAx>
      <c:catAx>
        <c:axId val="348481576"/>
        <c:scaling>
          <c:orientation val="minMax"/>
        </c:scaling>
        <c:delete val="1"/>
        <c:axPos val="b"/>
        <c:numFmt formatCode="General" sourceLinked="0"/>
        <c:majorTickMark val="out"/>
        <c:minorTickMark val="none"/>
        <c:tickLblPos val="nextTo"/>
        <c:crossAx val="348481184"/>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Plots'!$B$54:$B$73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4BB-48A6-81DA-3A5360C4E898}"/>
            </c:ext>
          </c:extLst>
        </c:ser>
        <c:dLbls>
          <c:showLegendKey val="0"/>
          <c:showVal val="0"/>
          <c:showCatName val="0"/>
          <c:showSerName val="0"/>
          <c:showPercent val="0"/>
          <c:showBubbleSize val="0"/>
        </c:dLbls>
        <c:gapWidth val="150"/>
        <c:axId val="348482360"/>
        <c:axId val="348482752"/>
      </c:barChart>
      <c:catAx>
        <c:axId val="348482360"/>
        <c:scaling>
          <c:orientation val="minMax"/>
        </c:scaling>
        <c:delete val="1"/>
        <c:axPos val="b"/>
        <c:majorTickMark val="out"/>
        <c:minorTickMark val="none"/>
        <c:tickLblPos val="nextTo"/>
        <c:crossAx val="348482752"/>
        <c:crosses val="autoZero"/>
        <c:auto val="1"/>
        <c:lblAlgn val="ctr"/>
        <c:lblOffset val="100"/>
        <c:noMultiLvlLbl val="0"/>
      </c:catAx>
      <c:valAx>
        <c:axId val="34848275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848236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Plots'!$C$51:$D$51</c:f>
              <c:strCache>
                <c:ptCount val="1"/>
                <c:pt idx="0">
                  <c:v>Position  </c:v>
                </c:pt>
              </c:strCache>
            </c:strRef>
          </c:tx>
          <c:invertIfNegative val="0"/>
          <c:cat>
            <c:numRef>
              <c:f>'Bin Analysis and Plots'!$D$54:$D$73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cat>
          <c:val>
            <c:numRef>
              <c:f>'Bin Analysis and Plots'!$K$54:$K$73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7188-416E-BEF8-F61B08A01FA5}"/>
            </c:ext>
          </c:extLst>
        </c:ser>
        <c:dLbls>
          <c:showLegendKey val="0"/>
          <c:showVal val="0"/>
          <c:showCatName val="0"/>
          <c:showSerName val="0"/>
          <c:showPercent val="0"/>
          <c:showBubbleSize val="0"/>
        </c:dLbls>
        <c:gapWidth val="150"/>
        <c:axId val="348483536"/>
        <c:axId val="348483928"/>
      </c:barChart>
      <c:barChart>
        <c:barDir val="col"/>
        <c:grouping val="clustered"/>
        <c:varyColors val="0"/>
        <c:ser>
          <c:idx val="1"/>
          <c:order val="1"/>
          <c:tx>
            <c:strRef>
              <c:f>'Bin Analysis and Plots'!$E$52</c:f>
              <c:strCache>
                <c:ptCount val="1"/>
                <c:pt idx="0">
                  <c:v>Wild Type</c:v>
                </c:pt>
              </c:strCache>
            </c:strRef>
          </c:tx>
          <c:spPr>
            <a:solidFill>
              <a:schemeClr val="accent3"/>
            </a:solidFill>
          </c:spPr>
          <c:invertIfNegative val="0"/>
          <c:cat>
            <c:strRef>
              <c:f>'Bin Analysis and Plots'!$C$54:$C$73</c:f>
              <c:strCache>
                <c:ptCount val="1"/>
                <c:pt idx="0">
                  <c:v>#NUM!</c:v>
                </c:pt>
              </c:strCache>
            </c:strRef>
          </c:cat>
          <c:val>
            <c:numRef>
              <c:f>'Bin Analysis and Plots'!$E$54:$E$73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7188-416E-BEF8-F61B08A01FA5}"/>
            </c:ext>
          </c:extLst>
        </c:ser>
        <c:ser>
          <c:idx val="2"/>
          <c:order val="2"/>
          <c:tx>
            <c:strRef>
              <c:f>'Bin Analysis and Plots'!$I$52</c:f>
              <c:strCache>
                <c:ptCount val="1"/>
                <c:pt idx="0">
                  <c:v>Dead Protein</c:v>
                </c:pt>
              </c:strCache>
            </c:strRef>
          </c:tx>
          <c:spPr>
            <a:solidFill>
              <a:schemeClr val="accent2"/>
            </a:solidFill>
          </c:spPr>
          <c:invertIfNegative val="0"/>
          <c:cat>
            <c:strRef>
              <c:f>'Bin Analysis and Plots'!$C$54:$C$73</c:f>
              <c:strCache>
                <c:ptCount val="1"/>
                <c:pt idx="0">
                  <c:v>#NUM!</c:v>
                </c:pt>
              </c:strCache>
            </c:strRef>
          </c:cat>
          <c:val>
            <c:numRef>
              <c:f>'Bin Analysis and Plots'!$I$54:$I$73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7188-416E-BEF8-F61B08A01FA5}"/>
            </c:ext>
          </c:extLst>
        </c:ser>
        <c:dLbls>
          <c:showLegendKey val="0"/>
          <c:showVal val="0"/>
          <c:showCatName val="0"/>
          <c:showSerName val="0"/>
          <c:showPercent val="0"/>
          <c:showBubbleSize val="0"/>
        </c:dLbls>
        <c:gapWidth val="500"/>
        <c:axId val="348484712"/>
        <c:axId val="348484320"/>
      </c:barChart>
      <c:catAx>
        <c:axId val="34848353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8483928"/>
        <c:crosses val="autoZero"/>
        <c:auto val="1"/>
        <c:lblAlgn val="ctr"/>
        <c:lblOffset val="100"/>
        <c:noMultiLvlLbl val="0"/>
      </c:catAx>
      <c:valAx>
        <c:axId val="34848392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8483536"/>
        <c:crosses val="autoZero"/>
        <c:crossBetween val="between"/>
        <c:majorUnit val="1"/>
      </c:valAx>
      <c:valAx>
        <c:axId val="348484320"/>
        <c:scaling>
          <c:orientation val="minMax"/>
          <c:max val="1"/>
        </c:scaling>
        <c:delete val="0"/>
        <c:axPos val="r"/>
        <c:numFmt formatCode="General" sourceLinked="1"/>
        <c:majorTickMark val="none"/>
        <c:minorTickMark val="none"/>
        <c:tickLblPos val="none"/>
        <c:spPr>
          <a:ln>
            <a:noFill/>
          </a:ln>
        </c:spPr>
        <c:crossAx val="348484712"/>
        <c:crosses val="max"/>
        <c:crossBetween val="between"/>
      </c:valAx>
      <c:catAx>
        <c:axId val="348484712"/>
        <c:scaling>
          <c:orientation val="minMax"/>
        </c:scaling>
        <c:delete val="1"/>
        <c:axPos val="b"/>
        <c:numFmt formatCode="General" sourceLinked="0"/>
        <c:majorTickMark val="out"/>
        <c:minorTickMark val="none"/>
        <c:tickLblPos val="nextTo"/>
        <c:crossAx val="34848432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Plots'!$B$78:$B$97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B49-4951-BCC2-3C75BE48BD67}"/>
            </c:ext>
          </c:extLst>
        </c:ser>
        <c:dLbls>
          <c:showLegendKey val="0"/>
          <c:showVal val="0"/>
          <c:showCatName val="0"/>
          <c:showSerName val="0"/>
          <c:showPercent val="0"/>
          <c:showBubbleSize val="0"/>
        </c:dLbls>
        <c:gapWidth val="150"/>
        <c:axId val="348485496"/>
        <c:axId val="348485888"/>
      </c:barChart>
      <c:catAx>
        <c:axId val="348485496"/>
        <c:scaling>
          <c:orientation val="minMax"/>
        </c:scaling>
        <c:delete val="1"/>
        <c:axPos val="b"/>
        <c:majorTickMark val="out"/>
        <c:minorTickMark val="none"/>
        <c:tickLblPos val="nextTo"/>
        <c:crossAx val="348485888"/>
        <c:crosses val="autoZero"/>
        <c:auto val="1"/>
        <c:lblAlgn val="ctr"/>
        <c:lblOffset val="100"/>
        <c:noMultiLvlLbl val="0"/>
      </c:catAx>
      <c:valAx>
        <c:axId val="348485888"/>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8485496"/>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Plots'!$B$102:$B$121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AB5-43F0-BDB2-6DB595987093}"/>
            </c:ext>
          </c:extLst>
        </c:ser>
        <c:dLbls>
          <c:showLegendKey val="0"/>
          <c:showVal val="0"/>
          <c:showCatName val="0"/>
          <c:showSerName val="0"/>
          <c:showPercent val="0"/>
          <c:showBubbleSize val="0"/>
        </c:dLbls>
        <c:gapWidth val="150"/>
        <c:axId val="348486672"/>
        <c:axId val="348487064"/>
      </c:barChart>
      <c:catAx>
        <c:axId val="348486672"/>
        <c:scaling>
          <c:orientation val="minMax"/>
        </c:scaling>
        <c:delete val="1"/>
        <c:axPos val="b"/>
        <c:majorTickMark val="out"/>
        <c:minorTickMark val="none"/>
        <c:tickLblPos val="nextTo"/>
        <c:crossAx val="348487064"/>
        <c:crosses val="autoZero"/>
        <c:auto val="1"/>
        <c:lblAlgn val="ctr"/>
        <c:lblOffset val="100"/>
        <c:noMultiLvlLbl val="0"/>
      </c:catAx>
      <c:valAx>
        <c:axId val="348487064"/>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8486672"/>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Plots'!$C$75:$D$75</c:f>
              <c:strCache>
                <c:ptCount val="1"/>
                <c:pt idx="0">
                  <c:v>Position  </c:v>
                </c:pt>
              </c:strCache>
            </c:strRef>
          </c:tx>
          <c:invertIfNegative val="0"/>
          <c:cat>
            <c:strRef>
              <c:f>'Bin Analysis and Plots'!$C$78:$C$97</c:f>
              <c:strCache>
                <c:ptCount val="1"/>
                <c:pt idx="0">
                  <c:v>#NUM!</c:v>
                </c:pt>
              </c:strCache>
            </c:strRef>
          </c:cat>
          <c:val>
            <c:numRef>
              <c:f>'Bin Analysis and Plots'!$K$78:$K$97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2FA-4CFF-8644-87CA54FEA120}"/>
            </c:ext>
          </c:extLst>
        </c:ser>
        <c:dLbls>
          <c:showLegendKey val="0"/>
          <c:showVal val="0"/>
          <c:showCatName val="0"/>
          <c:showSerName val="0"/>
          <c:showPercent val="0"/>
          <c:showBubbleSize val="0"/>
        </c:dLbls>
        <c:gapWidth val="150"/>
        <c:axId val="348487848"/>
        <c:axId val="348488240"/>
      </c:barChart>
      <c:barChart>
        <c:barDir val="col"/>
        <c:grouping val="clustered"/>
        <c:varyColors val="0"/>
        <c:ser>
          <c:idx val="1"/>
          <c:order val="1"/>
          <c:tx>
            <c:strRef>
              <c:f>'Bin Analysis and Plots'!$E$76</c:f>
              <c:strCache>
                <c:ptCount val="1"/>
                <c:pt idx="0">
                  <c:v>Wild Type</c:v>
                </c:pt>
              </c:strCache>
            </c:strRef>
          </c:tx>
          <c:spPr>
            <a:solidFill>
              <a:schemeClr val="accent3"/>
            </a:solidFill>
          </c:spPr>
          <c:invertIfNegative val="0"/>
          <c:cat>
            <c:strRef>
              <c:f>'Bin Analysis and Plots'!$C$78:$C$97</c:f>
              <c:strCache>
                <c:ptCount val="1"/>
                <c:pt idx="0">
                  <c:v>#NUM!</c:v>
                </c:pt>
              </c:strCache>
            </c:strRef>
          </c:cat>
          <c:val>
            <c:numRef>
              <c:f>'Bin Analysis and Plots'!$E$78:$E$97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52FA-4CFF-8644-87CA54FEA120}"/>
            </c:ext>
          </c:extLst>
        </c:ser>
        <c:ser>
          <c:idx val="2"/>
          <c:order val="2"/>
          <c:tx>
            <c:strRef>
              <c:f>'Bin Analysis and Plots'!$I$76</c:f>
              <c:strCache>
                <c:ptCount val="1"/>
                <c:pt idx="0">
                  <c:v>Dead Protein</c:v>
                </c:pt>
              </c:strCache>
            </c:strRef>
          </c:tx>
          <c:spPr>
            <a:solidFill>
              <a:schemeClr val="accent2"/>
            </a:solidFill>
          </c:spPr>
          <c:invertIfNegative val="0"/>
          <c:cat>
            <c:strRef>
              <c:f>'Bin Analysis and Plots'!$C$78:$C$97</c:f>
              <c:strCache>
                <c:ptCount val="1"/>
                <c:pt idx="0">
                  <c:v>#NUM!</c:v>
                </c:pt>
              </c:strCache>
            </c:strRef>
          </c:cat>
          <c:val>
            <c:numRef>
              <c:f>'Bin Analysis and Plots'!$I$78:$I$97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52FA-4CFF-8644-87CA54FEA120}"/>
            </c:ext>
          </c:extLst>
        </c:ser>
        <c:dLbls>
          <c:showLegendKey val="0"/>
          <c:showVal val="0"/>
          <c:showCatName val="0"/>
          <c:showSerName val="0"/>
          <c:showPercent val="0"/>
          <c:showBubbleSize val="0"/>
        </c:dLbls>
        <c:gapWidth val="500"/>
        <c:axId val="348489024"/>
        <c:axId val="348488632"/>
      </c:barChart>
      <c:catAx>
        <c:axId val="348487848"/>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8488240"/>
        <c:crosses val="autoZero"/>
        <c:auto val="1"/>
        <c:lblAlgn val="ctr"/>
        <c:lblOffset val="100"/>
        <c:noMultiLvlLbl val="0"/>
      </c:catAx>
      <c:valAx>
        <c:axId val="348488240"/>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8487848"/>
        <c:crosses val="autoZero"/>
        <c:crossBetween val="between"/>
        <c:majorUnit val="1"/>
      </c:valAx>
      <c:valAx>
        <c:axId val="348488632"/>
        <c:scaling>
          <c:orientation val="minMax"/>
          <c:max val="1"/>
        </c:scaling>
        <c:delete val="0"/>
        <c:axPos val="r"/>
        <c:numFmt formatCode="General" sourceLinked="1"/>
        <c:majorTickMark val="none"/>
        <c:minorTickMark val="none"/>
        <c:tickLblPos val="none"/>
        <c:spPr>
          <a:ln>
            <a:noFill/>
          </a:ln>
        </c:spPr>
        <c:crossAx val="348489024"/>
        <c:crosses val="max"/>
        <c:crossBetween val="between"/>
      </c:valAx>
      <c:catAx>
        <c:axId val="348489024"/>
        <c:scaling>
          <c:orientation val="minMax"/>
        </c:scaling>
        <c:delete val="1"/>
        <c:axPos val="b"/>
        <c:numFmt formatCode="General" sourceLinked="0"/>
        <c:majorTickMark val="out"/>
        <c:minorTickMark val="none"/>
        <c:tickLblPos val="nextTo"/>
        <c:crossAx val="348488632"/>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Plots'!$C$99:$D$99</c:f>
              <c:strCache>
                <c:ptCount val="1"/>
                <c:pt idx="0">
                  <c:v>Position  </c:v>
                </c:pt>
              </c:strCache>
            </c:strRef>
          </c:tx>
          <c:invertIfNegative val="0"/>
          <c:cat>
            <c:strRef>
              <c:f>'Bin Analysis and Plots'!$C$102:$C$121</c:f>
              <c:strCache>
                <c:ptCount val="1"/>
                <c:pt idx="0">
                  <c:v>#NUM!</c:v>
                </c:pt>
              </c:strCache>
            </c:strRef>
          </c:cat>
          <c:val>
            <c:numRef>
              <c:f>'Bin Analysis and Plots'!$K$102:$K$121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0963-4606-9F27-D52C1372CCA2}"/>
            </c:ext>
          </c:extLst>
        </c:ser>
        <c:dLbls>
          <c:showLegendKey val="0"/>
          <c:showVal val="0"/>
          <c:showCatName val="0"/>
          <c:showSerName val="0"/>
          <c:showPercent val="0"/>
          <c:showBubbleSize val="0"/>
        </c:dLbls>
        <c:gapWidth val="150"/>
        <c:axId val="348489808"/>
        <c:axId val="348490200"/>
      </c:barChart>
      <c:barChart>
        <c:barDir val="col"/>
        <c:grouping val="clustered"/>
        <c:varyColors val="0"/>
        <c:ser>
          <c:idx val="1"/>
          <c:order val="1"/>
          <c:tx>
            <c:strRef>
              <c:f>'Bin Analysis and Plots'!$E$100</c:f>
              <c:strCache>
                <c:ptCount val="1"/>
                <c:pt idx="0">
                  <c:v>Wild Type</c:v>
                </c:pt>
              </c:strCache>
            </c:strRef>
          </c:tx>
          <c:spPr>
            <a:solidFill>
              <a:srgbClr val="9BBB59"/>
            </a:solidFill>
          </c:spPr>
          <c:invertIfNegative val="0"/>
          <c:cat>
            <c:strRef>
              <c:f>'Bin Analysis and Plots'!$C$102:$C$121</c:f>
              <c:strCache>
                <c:ptCount val="1"/>
                <c:pt idx="0">
                  <c:v>#NUM!</c:v>
                </c:pt>
              </c:strCache>
            </c:strRef>
          </c:cat>
          <c:val>
            <c:numRef>
              <c:f>'Bin Analysis and Plots'!$E$102:$E$121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0963-4606-9F27-D52C1372CCA2}"/>
            </c:ext>
          </c:extLst>
        </c:ser>
        <c:ser>
          <c:idx val="2"/>
          <c:order val="2"/>
          <c:tx>
            <c:strRef>
              <c:f>'Bin Analysis and Plots'!$I$100</c:f>
              <c:strCache>
                <c:ptCount val="1"/>
                <c:pt idx="0">
                  <c:v>Dead Protein</c:v>
                </c:pt>
              </c:strCache>
            </c:strRef>
          </c:tx>
          <c:spPr>
            <a:solidFill>
              <a:schemeClr val="accent2"/>
            </a:solidFill>
          </c:spPr>
          <c:invertIfNegative val="0"/>
          <c:cat>
            <c:strRef>
              <c:f>'Bin Analysis and Plots'!$C$102:$C$121</c:f>
              <c:strCache>
                <c:ptCount val="1"/>
                <c:pt idx="0">
                  <c:v>#NUM!</c:v>
                </c:pt>
              </c:strCache>
            </c:strRef>
          </c:cat>
          <c:val>
            <c:numRef>
              <c:f>'Bin Analysis and Plots'!$I$102:$I$121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963-4606-9F27-D52C1372CCA2}"/>
            </c:ext>
          </c:extLst>
        </c:ser>
        <c:dLbls>
          <c:showLegendKey val="0"/>
          <c:showVal val="0"/>
          <c:showCatName val="0"/>
          <c:showSerName val="0"/>
          <c:showPercent val="0"/>
          <c:showBubbleSize val="0"/>
        </c:dLbls>
        <c:gapWidth val="500"/>
        <c:axId val="348490984"/>
        <c:axId val="348490592"/>
      </c:barChart>
      <c:catAx>
        <c:axId val="348489808"/>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8490200"/>
        <c:crosses val="autoZero"/>
        <c:auto val="1"/>
        <c:lblAlgn val="ctr"/>
        <c:lblOffset val="100"/>
        <c:noMultiLvlLbl val="0"/>
      </c:catAx>
      <c:valAx>
        <c:axId val="348490200"/>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8489808"/>
        <c:crosses val="autoZero"/>
        <c:crossBetween val="between"/>
        <c:majorUnit val="1"/>
      </c:valAx>
      <c:valAx>
        <c:axId val="348490592"/>
        <c:scaling>
          <c:orientation val="minMax"/>
          <c:max val="1"/>
        </c:scaling>
        <c:delete val="0"/>
        <c:axPos val="r"/>
        <c:numFmt formatCode="General" sourceLinked="1"/>
        <c:majorTickMark val="none"/>
        <c:minorTickMark val="none"/>
        <c:tickLblPos val="none"/>
        <c:spPr>
          <a:ln>
            <a:noFill/>
          </a:ln>
        </c:spPr>
        <c:crossAx val="348490984"/>
        <c:crosses val="max"/>
        <c:crossBetween val="between"/>
      </c:valAx>
      <c:catAx>
        <c:axId val="348490984"/>
        <c:scaling>
          <c:orientation val="minMax"/>
        </c:scaling>
        <c:delete val="1"/>
        <c:axPos val="b"/>
        <c:numFmt formatCode="General" sourceLinked="0"/>
        <c:majorTickMark val="out"/>
        <c:minorTickMark val="none"/>
        <c:tickLblPos val="nextTo"/>
        <c:crossAx val="348490592"/>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48491768"/>
        <c:axId val="348492160"/>
      </c:barChart>
      <c:catAx>
        <c:axId val="348491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492160"/>
        <c:crosses val="autoZero"/>
        <c:auto val="1"/>
        <c:lblAlgn val="ctr"/>
        <c:lblOffset val="100"/>
        <c:noMultiLvlLbl val="0"/>
      </c:catAx>
      <c:valAx>
        <c:axId val="348492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491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Plots'!$B$126:$B$145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D5D-4C00-938F-416C4E1FCDFF}"/>
            </c:ext>
          </c:extLst>
        </c:ser>
        <c:dLbls>
          <c:showLegendKey val="0"/>
          <c:showVal val="0"/>
          <c:showCatName val="0"/>
          <c:showSerName val="0"/>
          <c:showPercent val="0"/>
          <c:showBubbleSize val="0"/>
        </c:dLbls>
        <c:gapWidth val="150"/>
        <c:axId val="348492944"/>
        <c:axId val="348493336"/>
      </c:barChart>
      <c:catAx>
        <c:axId val="348492944"/>
        <c:scaling>
          <c:orientation val="minMax"/>
        </c:scaling>
        <c:delete val="1"/>
        <c:axPos val="b"/>
        <c:majorTickMark val="out"/>
        <c:minorTickMark val="none"/>
        <c:tickLblPos val="nextTo"/>
        <c:crossAx val="348493336"/>
        <c:crosses val="autoZero"/>
        <c:auto val="1"/>
        <c:lblAlgn val="ctr"/>
        <c:lblOffset val="100"/>
        <c:noMultiLvlLbl val="0"/>
      </c:catAx>
      <c:valAx>
        <c:axId val="348493336"/>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8492944"/>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Plots'!$B$150:$B$169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80F-455B-8E73-F16EC1057E04}"/>
            </c:ext>
          </c:extLst>
        </c:ser>
        <c:dLbls>
          <c:showLegendKey val="0"/>
          <c:showVal val="0"/>
          <c:showCatName val="0"/>
          <c:showSerName val="0"/>
          <c:showPercent val="0"/>
          <c:showBubbleSize val="0"/>
        </c:dLbls>
        <c:gapWidth val="150"/>
        <c:axId val="348494120"/>
        <c:axId val="348494512"/>
      </c:barChart>
      <c:catAx>
        <c:axId val="348494120"/>
        <c:scaling>
          <c:orientation val="minMax"/>
        </c:scaling>
        <c:delete val="1"/>
        <c:axPos val="b"/>
        <c:majorTickMark val="out"/>
        <c:minorTickMark val="none"/>
        <c:tickLblPos val="nextTo"/>
        <c:crossAx val="348494512"/>
        <c:crosses val="autoZero"/>
        <c:auto val="1"/>
        <c:lblAlgn val="ctr"/>
        <c:lblOffset val="100"/>
        <c:noMultiLvlLbl val="0"/>
      </c:catAx>
      <c:valAx>
        <c:axId val="34849451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849412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Plots'!$C$123:$D$123</c:f>
              <c:strCache>
                <c:ptCount val="1"/>
                <c:pt idx="0">
                  <c:v>Position  </c:v>
                </c:pt>
              </c:strCache>
            </c:strRef>
          </c:tx>
          <c:invertIfNegative val="0"/>
          <c:cat>
            <c:strRef>
              <c:f>'Bin Analysis and Plots'!$C$126:$C$145</c:f>
              <c:strCache>
                <c:ptCount val="1"/>
                <c:pt idx="0">
                  <c:v>#NUM!</c:v>
                </c:pt>
              </c:strCache>
            </c:strRef>
          </c:cat>
          <c:val>
            <c:numRef>
              <c:f>'Bin Analysis and Plots'!$K$126:$K$145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E87-4F60-9F53-26AE1F0A5CA7}"/>
            </c:ext>
          </c:extLst>
        </c:ser>
        <c:dLbls>
          <c:showLegendKey val="0"/>
          <c:showVal val="0"/>
          <c:showCatName val="0"/>
          <c:showSerName val="0"/>
          <c:showPercent val="0"/>
          <c:showBubbleSize val="0"/>
        </c:dLbls>
        <c:gapWidth val="150"/>
        <c:axId val="348495296"/>
        <c:axId val="348495688"/>
      </c:barChart>
      <c:barChart>
        <c:barDir val="col"/>
        <c:grouping val="clustered"/>
        <c:varyColors val="0"/>
        <c:ser>
          <c:idx val="1"/>
          <c:order val="1"/>
          <c:tx>
            <c:strRef>
              <c:f>'Bin Analysis and Plots'!$E$124</c:f>
              <c:strCache>
                <c:ptCount val="1"/>
                <c:pt idx="0">
                  <c:v>Wild Type</c:v>
                </c:pt>
              </c:strCache>
            </c:strRef>
          </c:tx>
          <c:spPr>
            <a:solidFill>
              <a:schemeClr val="accent3"/>
            </a:solidFill>
          </c:spPr>
          <c:invertIfNegative val="0"/>
          <c:cat>
            <c:strRef>
              <c:f>'Bin Analysis and Plots'!$C$126:$C$145</c:f>
              <c:strCache>
                <c:ptCount val="1"/>
                <c:pt idx="0">
                  <c:v>#NUM!</c:v>
                </c:pt>
              </c:strCache>
            </c:strRef>
          </c:cat>
          <c:val>
            <c:numRef>
              <c:f>'Bin Analysis and Plots'!$E$126:$E$145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9E87-4F60-9F53-26AE1F0A5CA7}"/>
            </c:ext>
          </c:extLst>
        </c:ser>
        <c:ser>
          <c:idx val="2"/>
          <c:order val="2"/>
          <c:tx>
            <c:strRef>
              <c:f>'Bin Analysis and Plots'!$I$124</c:f>
              <c:strCache>
                <c:ptCount val="1"/>
                <c:pt idx="0">
                  <c:v>Dead Protein</c:v>
                </c:pt>
              </c:strCache>
            </c:strRef>
          </c:tx>
          <c:spPr>
            <a:solidFill>
              <a:srgbClr val="C0504D"/>
            </a:solidFill>
          </c:spPr>
          <c:invertIfNegative val="0"/>
          <c:cat>
            <c:strRef>
              <c:f>'Bin Analysis and Plots'!$C$126:$C$145</c:f>
              <c:strCache>
                <c:ptCount val="1"/>
                <c:pt idx="0">
                  <c:v>#NUM!</c:v>
                </c:pt>
              </c:strCache>
            </c:strRef>
          </c:cat>
          <c:val>
            <c:numRef>
              <c:f>'Bin Analysis and Plots'!$I$126:$I$145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9E87-4F60-9F53-26AE1F0A5CA7}"/>
            </c:ext>
          </c:extLst>
        </c:ser>
        <c:dLbls>
          <c:showLegendKey val="0"/>
          <c:showVal val="0"/>
          <c:showCatName val="0"/>
          <c:showSerName val="0"/>
          <c:showPercent val="0"/>
          <c:showBubbleSize val="0"/>
        </c:dLbls>
        <c:gapWidth val="500"/>
        <c:axId val="348496472"/>
        <c:axId val="348496080"/>
      </c:barChart>
      <c:catAx>
        <c:axId val="34849529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8495688"/>
        <c:crosses val="autoZero"/>
        <c:auto val="1"/>
        <c:lblAlgn val="ctr"/>
        <c:lblOffset val="100"/>
        <c:noMultiLvlLbl val="0"/>
      </c:catAx>
      <c:valAx>
        <c:axId val="34849568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8495296"/>
        <c:crosses val="autoZero"/>
        <c:crossBetween val="between"/>
        <c:majorUnit val="1"/>
      </c:valAx>
      <c:valAx>
        <c:axId val="348496080"/>
        <c:scaling>
          <c:orientation val="minMax"/>
          <c:max val="1"/>
        </c:scaling>
        <c:delete val="0"/>
        <c:axPos val="r"/>
        <c:numFmt formatCode="General" sourceLinked="1"/>
        <c:majorTickMark val="none"/>
        <c:minorTickMark val="none"/>
        <c:tickLblPos val="none"/>
        <c:spPr>
          <a:ln>
            <a:noFill/>
          </a:ln>
        </c:spPr>
        <c:crossAx val="348496472"/>
        <c:crosses val="max"/>
        <c:crossBetween val="between"/>
      </c:valAx>
      <c:catAx>
        <c:axId val="348496472"/>
        <c:scaling>
          <c:orientation val="minMax"/>
        </c:scaling>
        <c:delete val="1"/>
        <c:axPos val="b"/>
        <c:numFmt formatCode="General" sourceLinked="0"/>
        <c:majorTickMark val="out"/>
        <c:minorTickMark val="none"/>
        <c:tickLblPos val="nextTo"/>
        <c:crossAx val="3484960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Plots'!$C$147:$D$147</c:f>
              <c:strCache>
                <c:ptCount val="1"/>
                <c:pt idx="0">
                  <c:v>Position  </c:v>
                </c:pt>
              </c:strCache>
            </c:strRef>
          </c:tx>
          <c:invertIfNegative val="0"/>
          <c:cat>
            <c:strRef>
              <c:f>'Bin Analysis and Plots'!$C$150:$C$169</c:f>
              <c:strCache>
                <c:ptCount val="1"/>
                <c:pt idx="0">
                  <c:v>#NUM!</c:v>
                </c:pt>
              </c:strCache>
            </c:strRef>
          </c:cat>
          <c:val>
            <c:numRef>
              <c:f>'Bin Analysis and Plots'!$K$150:$K$169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768-45A5-8092-C292163E1239}"/>
            </c:ext>
          </c:extLst>
        </c:ser>
        <c:dLbls>
          <c:showLegendKey val="0"/>
          <c:showVal val="0"/>
          <c:showCatName val="0"/>
          <c:showSerName val="0"/>
          <c:showPercent val="0"/>
          <c:showBubbleSize val="0"/>
        </c:dLbls>
        <c:gapWidth val="150"/>
        <c:axId val="346149584"/>
        <c:axId val="346149976"/>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Plots'!$C$150:$C$169</c:f>
              <c:strCache>
                <c:ptCount val="1"/>
                <c:pt idx="0">
                  <c:v>#NUM!</c:v>
                </c:pt>
              </c:strCache>
            </c:strRef>
          </c:cat>
          <c:val>
            <c:numRef>
              <c:f>'Bin Analysis and Plots'!$E$150:$E$169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768-45A5-8092-C292163E1239}"/>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Plots'!$C$150:$C$169</c:f>
              <c:strCache>
                <c:ptCount val="1"/>
                <c:pt idx="0">
                  <c:v>#NUM!</c:v>
                </c:pt>
              </c:strCache>
            </c:strRef>
          </c:cat>
          <c:val>
            <c:numRef>
              <c:f>'Bin Analysis and Plots'!$I$150:$I$169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768-45A5-8092-C292163E1239}"/>
            </c:ext>
          </c:extLst>
        </c:ser>
        <c:dLbls>
          <c:showLegendKey val="0"/>
          <c:showVal val="0"/>
          <c:showCatName val="0"/>
          <c:showSerName val="0"/>
          <c:showPercent val="0"/>
          <c:showBubbleSize val="0"/>
        </c:dLbls>
        <c:gapWidth val="500"/>
        <c:axId val="346150760"/>
        <c:axId val="346150368"/>
      </c:barChart>
      <c:catAx>
        <c:axId val="346149584"/>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6149976"/>
        <c:crosses val="autoZero"/>
        <c:auto val="1"/>
        <c:lblAlgn val="ctr"/>
        <c:lblOffset val="100"/>
        <c:noMultiLvlLbl val="0"/>
      </c:catAx>
      <c:valAx>
        <c:axId val="346149976"/>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6149584"/>
        <c:crosses val="autoZero"/>
        <c:crossBetween val="between"/>
        <c:majorUnit val="1"/>
      </c:valAx>
      <c:valAx>
        <c:axId val="346150368"/>
        <c:scaling>
          <c:orientation val="minMax"/>
          <c:max val="1"/>
        </c:scaling>
        <c:delete val="0"/>
        <c:axPos val="r"/>
        <c:numFmt formatCode="General" sourceLinked="1"/>
        <c:majorTickMark val="none"/>
        <c:minorTickMark val="none"/>
        <c:tickLblPos val="none"/>
        <c:spPr>
          <a:ln>
            <a:noFill/>
          </a:ln>
        </c:spPr>
        <c:crossAx val="346150760"/>
        <c:crosses val="max"/>
        <c:crossBetween val="between"/>
      </c:valAx>
      <c:catAx>
        <c:axId val="346150760"/>
        <c:scaling>
          <c:orientation val="minMax"/>
        </c:scaling>
        <c:delete val="1"/>
        <c:axPos val="b"/>
        <c:numFmt formatCode="General" sourceLinked="0"/>
        <c:majorTickMark val="out"/>
        <c:minorTickMark val="none"/>
        <c:tickLblPos val="nextTo"/>
        <c:crossAx val="346150368"/>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Plots'!$B$174:$B$193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8CFE-4765-BEC4-EC1C4D5CC4CD}"/>
            </c:ext>
          </c:extLst>
        </c:ser>
        <c:dLbls>
          <c:showLegendKey val="0"/>
          <c:showVal val="0"/>
          <c:showCatName val="0"/>
          <c:showSerName val="0"/>
          <c:showPercent val="0"/>
          <c:showBubbleSize val="0"/>
        </c:dLbls>
        <c:gapWidth val="150"/>
        <c:axId val="346151544"/>
        <c:axId val="346151936"/>
      </c:barChart>
      <c:catAx>
        <c:axId val="346151544"/>
        <c:scaling>
          <c:orientation val="minMax"/>
        </c:scaling>
        <c:delete val="1"/>
        <c:axPos val="b"/>
        <c:majorTickMark val="out"/>
        <c:minorTickMark val="none"/>
        <c:tickLblPos val="nextTo"/>
        <c:crossAx val="346151936"/>
        <c:crosses val="autoZero"/>
        <c:auto val="1"/>
        <c:lblAlgn val="ctr"/>
        <c:lblOffset val="100"/>
        <c:noMultiLvlLbl val="0"/>
      </c:catAx>
      <c:valAx>
        <c:axId val="346151936"/>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6151544"/>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Plots'!$B$198:$B$217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95C-44C3-A950-6AA60E0F752E}"/>
            </c:ext>
          </c:extLst>
        </c:ser>
        <c:dLbls>
          <c:showLegendKey val="0"/>
          <c:showVal val="0"/>
          <c:showCatName val="0"/>
          <c:showSerName val="0"/>
          <c:showPercent val="0"/>
          <c:showBubbleSize val="0"/>
        </c:dLbls>
        <c:gapWidth val="150"/>
        <c:axId val="346152720"/>
        <c:axId val="346153112"/>
      </c:barChart>
      <c:catAx>
        <c:axId val="346152720"/>
        <c:scaling>
          <c:orientation val="minMax"/>
        </c:scaling>
        <c:delete val="1"/>
        <c:axPos val="b"/>
        <c:majorTickMark val="out"/>
        <c:minorTickMark val="none"/>
        <c:tickLblPos val="nextTo"/>
        <c:crossAx val="346153112"/>
        <c:crosses val="autoZero"/>
        <c:auto val="1"/>
        <c:lblAlgn val="ctr"/>
        <c:lblOffset val="100"/>
        <c:noMultiLvlLbl val="0"/>
      </c:catAx>
      <c:valAx>
        <c:axId val="34615311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615272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Plots'!$C$171:$D$171</c:f>
              <c:strCache>
                <c:ptCount val="1"/>
                <c:pt idx="0">
                  <c:v>Position  </c:v>
                </c:pt>
              </c:strCache>
            </c:strRef>
          </c:tx>
          <c:invertIfNegative val="0"/>
          <c:cat>
            <c:strRef>
              <c:f>'Bin Analysis and Plots'!$C$174:$C$193</c:f>
              <c:strCache>
                <c:ptCount val="1"/>
                <c:pt idx="0">
                  <c:v>#NUM!</c:v>
                </c:pt>
              </c:strCache>
            </c:strRef>
          </c:cat>
          <c:val>
            <c:numRef>
              <c:f>'Bin Analysis and Plots'!$K$174:$K$193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3D7-4F37-A6E1-C606966C9EA5}"/>
            </c:ext>
          </c:extLst>
        </c:ser>
        <c:dLbls>
          <c:showLegendKey val="0"/>
          <c:showVal val="0"/>
          <c:showCatName val="0"/>
          <c:showSerName val="0"/>
          <c:showPercent val="0"/>
          <c:showBubbleSize val="0"/>
        </c:dLbls>
        <c:gapWidth val="150"/>
        <c:axId val="346153896"/>
        <c:axId val="34615428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Plots'!$C$174:$C$193</c:f>
              <c:strCache>
                <c:ptCount val="1"/>
                <c:pt idx="0">
                  <c:v>#NUM!</c:v>
                </c:pt>
              </c:strCache>
            </c:strRef>
          </c:cat>
          <c:val>
            <c:numRef>
              <c:f>'Bin Analysis and Plots'!$E$174:$E$193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A3D7-4F37-A6E1-C606966C9EA5}"/>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Plots'!$C$174:$C$193</c:f>
              <c:strCache>
                <c:ptCount val="1"/>
                <c:pt idx="0">
                  <c:v>#NUM!</c:v>
                </c:pt>
              </c:strCache>
            </c:strRef>
          </c:cat>
          <c:val>
            <c:numRef>
              <c:f>'Bin Analysis and Plots'!$I$174:$I$193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A3D7-4F37-A6E1-C606966C9EA5}"/>
            </c:ext>
          </c:extLst>
        </c:ser>
        <c:dLbls>
          <c:showLegendKey val="0"/>
          <c:showVal val="0"/>
          <c:showCatName val="0"/>
          <c:showSerName val="0"/>
          <c:showPercent val="0"/>
          <c:showBubbleSize val="0"/>
        </c:dLbls>
        <c:gapWidth val="500"/>
        <c:axId val="346155072"/>
        <c:axId val="346154680"/>
      </c:barChart>
      <c:catAx>
        <c:axId val="34615389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6154288"/>
        <c:crosses val="autoZero"/>
        <c:auto val="1"/>
        <c:lblAlgn val="ctr"/>
        <c:lblOffset val="100"/>
        <c:noMultiLvlLbl val="0"/>
      </c:catAx>
      <c:valAx>
        <c:axId val="34615428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6153896"/>
        <c:crosses val="autoZero"/>
        <c:crossBetween val="between"/>
        <c:majorUnit val="1"/>
      </c:valAx>
      <c:valAx>
        <c:axId val="346154680"/>
        <c:scaling>
          <c:orientation val="minMax"/>
          <c:max val="1"/>
        </c:scaling>
        <c:delete val="0"/>
        <c:axPos val="r"/>
        <c:numFmt formatCode="General" sourceLinked="1"/>
        <c:majorTickMark val="none"/>
        <c:minorTickMark val="none"/>
        <c:tickLblPos val="none"/>
        <c:spPr>
          <a:ln>
            <a:noFill/>
          </a:ln>
        </c:spPr>
        <c:crossAx val="346155072"/>
        <c:crosses val="max"/>
        <c:crossBetween val="between"/>
      </c:valAx>
      <c:catAx>
        <c:axId val="346155072"/>
        <c:scaling>
          <c:orientation val="minMax"/>
        </c:scaling>
        <c:delete val="1"/>
        <c:axPos val="b"/>
        <c:numFmt formatCode="General" sourceLinked="0"/>
        <c:majorTickMark val="out"/>
        <c:minorTickMark val="none"/>
        <c:tickLblPos val="nextTo"/>
        <c:crossAx val="3461546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Plots'!$C$195:$D$195</c:f>
              <c:strCache>
                <c:ptCount val="1"/>
                <c:pt idx="0">
                  <c:v>Position  </c:v>
                </c:pt>
              </c:strCache>
            </c:strRef>
          </c:tx>
          <c:invertIfNegative val="0"/>
          <c:cat>
            <c:strRef>
              <c:f>'Bin Analysis and Plots'!$C$198:$C$217</c:f>
              <c:strCache>
                <c:ptCount val="1"/>
                <c:pt idx="0">
                  <c:v>#NUM!</c:v>
                </c:pt>
              </c:strCache>
            </c:strRef>
          </c:cat>
          <c:val>
            <c:numRef>
              <c:f>'Bin Analysis and Plots'!$K$198:$K$217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B2D8-4421-95C9-D7EEEB7F8455}"/>
            </c:ext>
          </c:extLst>
        </c:ser>
        <c:dLbls>
          <c:showLegendKey val="0"/>
          <c:showVal val="0"/>
          <c:showCatName val="0"/>
          <c:showSerName val="0"/>
          <c:showPercent val="0"/>
          <c:showBubbleSize val="0"/>
        </c:dLbls>
        <c:gapWidth val="150"/>
        <c:axId val="346155856"/>
        <c:axId val="34615624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Plots'!$C$198:$C$217</c:f>
              <c:strCache>
                <c:ptCount val="1"/>
                <c:pt idx="0">
                  <c:v>#NUM!</c:v>
                </c:pt>
              </c:strCache>
            </c:strRef>
          </c:cat>
          <c:val>
            <c:numRef>
              <c:f>'Bin Analysis and Plots'!$E$198:$E$217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B2D8-4421-95C9-D7EEEB7F8455}"/>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Plots'!$C$198:$C$217</c:f>
              <c:strCache>
                <c:ptCount val="1"/>
                <c:pt idx="0">
                  <c:v>#NUM!</c:v>
                </c:pt>
              </c:strCache>
            </c:strRef>
          </c:cat>
          <c:val>
            <c:numRef>
              <c:f>'Bin Analysis and Plots'!$I$198:$I$217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B2D8-4421-95C9-D7EEEB7F8455}"/>
            </c:ext>
          </c:extLst>
        </c:ser>
        <c:dLbls>
          <c:showLegendKey val="0"/>
          <c:showVal val="0"/>
          <c:showCatName val="0"/>
          <c:showSerName val="0"/>
          <c:showPercent val="0"/>
          <c:showBubbleSize val="0"/>
        </c:dLbls>
        <c:gapWidth val="500"/>
        <c:axId val="346157032"/>
        <c:axId val="346156640"/>
      </c:barChart>
      <c:catAx>
        <c:axId val="34615585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6156248"/>
        <c:crosses val="autoZero"/>
        <c:auto val="1"/>
        <c:lblAlgn val="ctr"/>
        <c:lblOffset val="100"/>
        <c:noMultiLvlLbl val="0"/>
      </c:catAx>
      <c:valAx>
        <c:axId val="34615624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6155856"/>
        <c:crosses val="autoZero"/>
        <c:crossBetween val="between"/>
        <c:majorUnit val="1"/>
      </c:valAx>
      <c:valAx>
        <c:axId val="346156640"/>
        <c:scaling>
          <c:orientation val="minMax"/>
          <c:max val="1"/>
        </c:scaling>
        <c:delete val="0"/>
        <c:axPos val="r"/>
        <c:numFmt formatCode="General" sourceLinked="1"/>
        <c:majorTickMark val="none"/>
        <c:minorTickMark val="none"/>
        <c:tickLblPos val="none"/>
        <c:spPr>
          <a:ln>
            <a:noFill/>
          </a:ln>
        </c:spPr>
        <c:crossAx val="346157032"/>
        <c:crosses val="max"/>
        <c:crossBetween val="between"/>
      </c:valAx>
      <c:catAx>
        <c:axId val="346157032"/>
        <c:scaling>
          <c:orientation val="minMax"/>
        </c:scaling>
        <c:delete val="1"/>
        <c:axPos val="b"/>
        <c:numFmt formatCode="General" sourceLinked="0"/>
        <c:majorTickMark val="out"/>
        <c:minorTickMark val="none"/>
        <c:tickLblPos val="nextTo"/>
        <c:crossAx val="34615664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46157816"/>
        <c:axId val="346158208"/>
      </c:barChart>
      <c:catAx>
        <c:axId val="346157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58208"/>
        <c:crosses val="autoZero"/>
        <c:auto val="1"/>
        <c:lblAlgn val="ctr"/>
        <c:lblOffset val="100"/>
        <c:noMultiLvlLbl val="0"/>
      </c:catAx>
      <c:valAx>
        <c:axId val="346158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57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Plots'!$B$222:$B$241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F1BB-44C2-944D-91CED4BAF65B}"/>
            </c:ext>
          </c:extLst>
        </c:ser>
        <c:dLbls>
          <c:showLegendKey val="0"/>
          <c:showVal val="0"/>
          <c:showCatName val="0"/>
          <c:showSerName val="0"/>
          <c:showPercent val="0"/>
          <c:showBubbleSize val="0"/>
        </c:dLbls>
        <c:gapWidth val="150"/>
        <c:axId val="346158992"/>
        <c:axId val="346159384"/>
      </c:barChart>
      <c:catAx>
        <c:axId val="346158992"/>
        <c:scaling>
          <c:orientation val="minMax"/>
        </c:scaling>
        <c:delete val="1"/>
        <c:axPos val="b"/>
        <c:majorTickMark val="out"/>
        <c:minorTickMark val="none"/>
        <c:tickLblPos val="nextTo"/>
        <c:crossAx val="346159384"/>
        <c:crosses val="autoZero"/>
        <c:auto val="1"/>
        <c:lblAlgn val="ctr"/>
        <c:lblOffset val="100"/>
        <c:noMultiLvlLbl val="0"/>
      </c:catAx>
      <c:valAx>
        <c:axId val="346159384"/>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6158992"/>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Plots'!$B$246:$B$265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306B-4B16-BADA-651B61C7EB32}"/>
            </c:ext>
          </c:extLst>
        </c:ser>
        <c:dLbls>
          <c:showLegendKey val="0"/>
          <c:showVal val="0"/>
          <c:showCatName val="0"/>
          <c:showSerName val="0"/>
          <c:showPercent val="0"/>
          <c:showBubbleSize val="0"/>
        </c:dLbls>
        <c:gapWidth val="150"/>
        <c:axId val="346160168"/>
        <c:axId val="346160560"/>
      </c:barChart>
      <c:catAx>
        <c:axId val="346160168"/>
        <c:scaling>
          <c:orientation val="minMax"/>
        </c:scaling>
        <c:delete val="1"/>
        <c:axPos val="b"/>
        <c:majorTickMark val="out"/>
        <c:minorTickMark val="none"/>
        <c:tickLblPos val="nextTo"/>
        <c:crossAx val="346160560"/>
        <c:crosses val="autoZero"/>
        <c:auto val="1"/>
        <c:lblAlgn val="ctr"/>
        <c:lblOffset val="100"/>
        <c:noMultiLvlLbl val="0"/>
      </c:catAx>
      <c:valAx>
        <c:axId val="346160560"/>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6160168"/>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Plots'!$B$270:$B$289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4D3-4E44-ACE9-CD209B4926F9}"/>
            </c:ext>
          </c:extLst>
        </c:ser>
        <c:dLbls>
          <c:showLegendKey val="0"/>
          <c:showVal val="0"/>
          <c:showCatName val="0"/>
          <c:showSerName val="0"/>
          <c:showPercent val="0"/>
          <c:showBubbleSize val="0"/>
        </c:dLbls>
        <c:gapWidth val="150"/>
        <c:axId val="346161344"/>
        <c:axId val="346161736"/>
      </c:barChart>
      <c:catAx>
        <c:axId val="346161344"/>
        <c:scaling>
          <c:orientation val="minMax"/>
        </c:scaling>
        <c:delete val="1"/>
        <c:axPos val="b"/>
        <c:majorTickMark val="out"/>
        <c:minorTickMark val="none"/>
        <c:tickLblPos val="nextTo"/>
        <c:crossAx val="346161736"/>
        <c:crosses val="autoZero"/>
        <c:auto val="1"/>
        <c:lblAlgn val="ctr"/>
        <c:lblOffset val="100"/>
        <c:noMultiLvlLbl val="0"/>
      </c:catAx>
      <c:valAx>
        <c:axId val="346161736"/>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6161344"/>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Plots'!$B$294:$B$313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295-475F-B9F5-1EF96C76B9D4}"/>
            </c:ext>
          </c:extLst>
        </c:ser>
        <c:dLbls>
          <c:showLegendKey val="0"/>
          <c:showVal val="0"/>
          <c:showCatName val="0"/>
          <c:showSerName val="0"/>
          <c:showPercent val="0"/>
          <c:showBubbleSize val="0"/>
        </c:dLbls>
        <c:gapWidth val="150"/>
        <c:axId val="346162520"/>
        <c:axId val="346162912"/>
      </c:barChart>
      <c:catAx>
        <c:axId val="346162520"/>
        <c:scaling>
          <c:orientation val="minMax"/>
        </c:scaling>
        <c:delete val="1"/>
        <c:axPos val="b"/>
        <c:majorTickMark val="out"/>
        <c:minorTickMark val="none"/>
        <c:tickLblPos val="nextTo"/>
        <c:crossAx val="346162912"/>
        <c:crosses val="autoZero"/>
        <c:auto val="1"/>
        <c:lblAlgn val="ctr"/>
        <c:lblOffset val="100"/>
        <c:noMultiLvlLbl val="0"/>
      </c:catAx>
      <c:valAx>
        <c:axId val="34616291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616252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Plots'!$C$219:$D$219</c:f>
              <c:strCache>
                <c:ptCount val="1"/>
                <c:pt idx="0">
                  <c:v>Position  </c:v>
                </c:pt>
              </c:strCache>
            </c:strRef>
          </c:tx>
          <c:invertIfNegative val="0"/>
          <c:cat>
            <c:strRef>
              <c:f>'Bin Analysis and Plots'!$C$222:$C$241</c:f>
              <c:strCache>
                <c:ptCount val="1"/>
                <c:pt idx="0">
                  <c:v>#NUM!</c:v>
                </c:pt>
              </c:strCache>
            </c:strRef>
          </c:cat>
          <c:val>
            <c:numRef>
              <c:f>'Bin Analysis and Plots'!$K$222:$K$241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7A0-48E5-8254-4C5B71C8724C}"/>
            </c:ext>
          </c:extLst>
        </c:ser>
        <c:dLbls>
          <c:showLegendKey val="0"/>
          <c:showVal val="0"/>
          <c:showCatName val="0"/>
          <c:showSerName val="0"/>
          <c:showPercent val="0"/>
          <c:showBubbleSize val="0"/>
        </c:dLbls>
        <c:gapWidth val="150"/>
        <c:axId val="346163696"/>
        <c:axId val="34616408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Plots'!$C$222:$C$241</c:f>
              <c:strCache>
                <c:ptCount val="1"/>
                <c:pt idx="0">
                  <c:v>#NUM!</c:v>
                </c:pt>
              </c:strCache>
            </c:strRef>
          </c:cat>
          <c:val>
            <c:numRef>
              <c:f>'Bin Analysis and Plots'!$E$222:$E$241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7A0-48E5-8254-4C5B71C8724C}"/>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Plots'!$C$222:$C$241</c:f>
              <c:strCache>
                <c:ptCount val="1"/>
                <c:pt idx="0">
                  <c:v>#NUM!</c:v>
                </c:pt>
              </c:strCache>
            </c:strRef>
          </c:cat>
          <c:val>
            <c:numRef>
              <c:f>'Bin Analysis and Plots'!$I$222:$I$241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7A0-48E5-8254-4C5B71C8724C}"/>
            </c:ext>
          </c:extLst>
        </c:ser>
        <c:dLbls>
          <c:showLegendKey val="0"/>
          <c:showVal val="0"/>
          <c:showCatName val="0"/>
          <c:showSerName val="0"/>
          <c:showPercent val="0"/>
          <c:showBubbleSize val="0"/>
        </c:dLbls>
        <c:gapWidth val="500"/>
        <c:axId val="346164872"/>
        <c:axId val="346164480"/>
      </c:barChart>
      <c:catAx>
        <c:axId val="34616369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6164088"/>
        <c:crosses val="autoZero"/>
        <c:auto val="1"/>
        <c:lblAlgn val="ctr"/>
        <c:lblOffset val="100"/>
        <c:noMultiLvlLbl val="0"/>
      </c:catAx>
      <c:valAx>
        <c:axId val="34616408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6163696"/>
        <c:crosses val="autoZero"/>
        <c:crossBetween val="between"/>
        <c:majorUnit val="1"/>
      </c:valAx>
      <c:valAx>
        <c:axId val="346164480"/>
        <c:scaling>
          <c:orientation val="minMax"/>
          <c:max val="1"/>
        </c:scaling>
        <c:delete val="0"/>
        <c:axPos val="r"/>
        <c:numFmt formatCode="General" sourceLinked="1"/>
        <c:majorTickMark val="none"/>
        <c:minorTickMark val="none"/>
        <c:tickLblPos val="none"/>
        <c:spPr>
          <a:ln>
            <a:noFill/>
          </a:ln>
        </c:spPr>
        <c:crossAx val="346164872"/>
        <c:crosses val="max"/>
        <c:crossBetween val="between"/>
      </c:valAx>
      <c:catAx>
        <c:axId val="346164872"/>
        <c:scaling>
          <c:orientation val="minMax"/>
        </c:scaling>
        <c:delete val="1"/>
        <c:axPos val="b"/>
        <c:numFmt formatCode="General" sourceLinked="0"/>
        <c:majorTickMark val="out"/>
        <c:minorTickMark val="none"/>
        <c:tickLblPos val="nextTo"/>
        <c:crossAx val="3461644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Plots'!$C$243:$D$243</c:f>
              <c:strCache>
                <c:ptCount val="1"/>
                <c:pt idx="0">
                  <c:v>Position  </c:v>
                </c:pt>
              </c:strCache>
            </c:strRef>
          </c:tx>
          <c:invertIfNegative val="0"/>
          <c:cat>
            <c:strRef>
              <c:f>'Bin Analysis and Plots'!$C$246:$C$265</c:f>
              <c:strCache>
                <c:ptCount val="1"/>
                <c:pt idx="0">
                  <c:v>#NUM!</c:v>
                </c:pt>
              </c:strCache>
            </c:strRef>
          </c:cat>
          <c:val>
            <c:numRef>
              <c:f>'Bin Analysis and Plots'!$K$246:$K$265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3D39-48DB-A7BF-5D8B39423A2E}"/>
            </c:ext>
          </c:extLst>
        </c:ser>
        <c:dLbls>
          <c:showLegendKey val="0"/>
          <c:showVal val="0"/>
          <c:showCatName val="0"/>
          <c:showSerName val="0"/>
          <c:showPercent val="0"/>
          <c:showBubbleSize val="0"/>
        </c:dLbls>
        <c:gapWidth val="150"/>
        <c:axId val="341264176"/>
        <c:axId val="34126456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Plots'!$C$246:$C$265</c:f>
              <c:strCache>
                <c:ptCount val="1"/>
                <c:pt idx="0">
                  <c:v>#NUM!</c:v>
                </c:pt>
              </c:strCache>
            </c:strRef>
          </c:cat>
          <c:val>
            <c:numRef>
              <c:f>'Bin Analysis and Plots'!$E$246:$E$265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3D39-48DB-A7BF-5D8B39423A2E}"/>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Plots'!$C$246:$C$265</c:f>
              <c:strCache>
                <c:ptCount val="1"/>
                <c:pt idx="0">
                  <c:v>#NUM!</c:v>
                </c:pt>
              </c:strCache>
            </c:strRef>
          </c:cat>
          <c:val>
            <c:numRef>
              <c:f>'Bin Analysis and Plots'!$I$246:$I$265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3D39-48DB-A7BF-5D8B39423A2E}"/>
            </c:ext>
          </c:extLst>
        </c:ser>
        <c:dLbls>
          <c:showLegendKey val="0"/>
          <c:showVal val="0"/>
          <c:showCatName val="0"/>
          <c:showSerName val="0"/>
          <c:showPercent val="0"/>
          <c:showBubbleSize val="0"/>
        </c:dLbls>
        <c:gapWidth val="500"/>
        <c:axId val="341265352"/>
        <c:axId val="341264960"/>
      </c:barChart>
      <c:catAx>
        <c:axId val="34126417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1264568"/>
        <c:crosses val="autoZero"/>
        <c:auto val="1"/>
        <c:lblAlgn val="ctr"/>
        <c:lblOffset val="100"/>
        <c:noMultiLvlLbl val="0"/>
      </c:catAx>
      <c:valAx>
        <c:axId val="34126456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264176"/>
        <c:crosses val="autoZero"/>
        <c:crossBetween val="between"/>
        <c:majorUnit val="1"/>
      </c:valAx>
      <c:valAx>
        <c:axId val="341264960"/>
        <c:scaling>
          <c:orientation val="minMax"/>
          <c:max val="1"/>
        </c:scaling>
        <c:delete val="0"/>
        <c:axPos val="r"/>
        <c:numFmt formatCode="General" sourceLinked="1"/>
        <c:majorTickMark val="none"/>
        <c:minorTickMark val="none"/>
        <c:tickLblPos val="none"/>
        <c:spPr>
          <a:ln>
            <a:noFill/>
          </a:ln>
        </c:spPr>
        <c:crossAx val="341265352"/>
        <c:crosses val="max"/>
        <c:crossBetween val="between"/>
      </c:valAx>
      <c:catAx>
        <c:axId val="341265352"/>
        <c:scaling>
          <c:orientation val="minMax"/>
        </c:scaling>
        <c:delete val="1"/>
        <c:axPos val="b"/>
        <c:numFmt formatCode="General" sourceLinked="0"/>
        <c:majorTickMark val="out"/>
        <c:minorTickMark val="none"/>
        <c:tickLblPos val="nextTo"/>
        <c:crossAx val="34126496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Plots'!$C$267:$D$267</c:f>
              <c:strCache>
                <c:ptCount val="1"/>
                <c:pt idx="0">
                  <c:v>Position  </c:v>
                </c:pt>
              </c:strCache>
            </c:strRef>
          </c:tx>
          <c:invertIfNegative val="0"/>
          <c:cat>
            <c:strRef>
              <c:f>'Bin Analysis and Plots'!$C$270:$C$289</c:f>
              <c:strCache>
                <c:ptCount val="1"/>
                <c:pt idx="0">
                  <c:v>#NUM!</c:v>
                </c:pt>
              </c:strCache>
            </c:strRef>
          </c:cat>
          <c:val>
            <c:numRef>
              <c:f>'Bin Analysis and Plots'!$K$270:$K$289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AB4-4791-8806-40E0FC785C5B}"/>
            </c:ext>
          </c:extLst>
        </c:ser>
        <c:dLbls>
          <c:showLegendKey val="0"/>
          <c:showVal val="0"/>
          <c:showCatName val="0"/>
          <c:showSerName val="0"/>
          <c:showPercent val="0"/>
          <c:showBubbleSize val="0"/>
        </c:dLbls>
        <c:gapWidth val="150"/>
        <c:axId val="341266136"/>
        <c:axId val="34126652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Plots'!$C$270:$C$289</c:f>
              <c:strCache>
                <c:ptCount val="1"/>
                <c:pt idx="0">
                  <c:v>#NUM!</c:v>
                </c:pt>
              </c:strCache>
            </c:strRef>
          </c:cat>
          <c:val>
            <c:numRef>
              <c:f>'Bin Analysis and Plots'!$E$270:$E$289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1AB4-4791-8806-40E0FC785C5B}"/>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Plots'!$C$270:$C$289</c:f>
              <c:strCache>
                <c:ptCount val="1"/>
                <c:pt idx="0">
                  <c:v>#NUM!</c:v>
                </c:pt>
              </c:strCache>
            </c:strRef>
          </c:cat>
          <c:val>
            <c:numRef>
              <c:f>'Bin Analysis and Plots'!$I$270:$I$289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1AB4-4791-8806-40E0FC785C5B}"/>
            </c:ext>
          </c:extLst>
        </c:ser>
        <c:dLbls>
          <c:showLegendKey val="0"/>
          <c:showVal val="0"/>
          <c:showCatName val="0"/>
          <c:showSerName val="0"/>
          <c:showPercent val="0"/>
          <c:showBubbleSize val="0"/>
        </c:dLbls>
        <c:gapWidth val="500"/>
        <c:axId val="341267312"/>
        <c:axId val="341266920"/>
      </c:barChart>
      <c:catAx>
        <c:axId val="34126613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1266528"/>
        <c:crosses val="autoZero"/>
        <c:auto val="1"/>
        <c:lblAlgn val="ctr"/>
        <c:lblOffset val="100"/>
        <c:noMultiLvlLbl val="0"/>
      </c:catAx>
      <c:valAx>
        <c:axId val="34126652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266136"/>
        <c:crosses val="autoZero"/>
        <c:crossBetween val="between"/>
        <c:majorUnit val="1"/>
      </c:valAx>
      <c:valAx>
        <c:axId val="341266920"/>
        <c:scaling>
          <c:orientation val="minMax"/>
          <c:max val="1"/>
        </c:scaling>
        <c:delete val="0"/>
        <c:axPos val="r"/>
        <c:numFmt formatCode="General" sourceLinked="1"/>
        <c:majorTickMark val="none"/>
        <c:minorTickMark val="none"/>
        <c:tickLblPos val="none"/>
        <c:spPr>
          <a:ln>
            <a:noFill/>
          </a:ln>
        </c:spPr>
        <c:crossAx val="341267312"/>
        <c:crosses val="max"/>
        <c:crossBetween val="between"/>
      </c:valAx>
      <c:catAx>
        <c:axId val="341267312"/>
        <c:scaling>
          <c:orientation val="minMax"/>
        </c:scaling>
        <c:delete val="1"/>
        <c:axPos val="b"/>
        <c:numFmt formatCode="General" sourceLinked="0"/>
        <c:majorTickMark val="out"/>
        <c:minorTickMark val="none"/>
        <c:tickLblPos val="nextTo"/>
        <c:crossAx val="34126692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Plots'!$C$291:$D$291</c:f>
              <c:strCache>
                <c:ptCount val="1"/>
                <c:pt idx="0">
                  <c:v>Position  </c:v>
                </c:pt>
              </c:strCache>
            </c:strRef>
          </c:tx>
          <c:invertIfNegative val="0"/>
          <c:cat>
            <c:strRef>
              <c:f>'Bin Analysis and Plots'!$C$294:$C$313</c:f>
              <c:strCache>
                <c:ptCount val="1"/>
                <c:pt idx="0">
                  <c:v>#NUM!</c:v>
                </c:pt>
              </c:strCache>
            </c:strRef>
          </c:cat>
          <c:val>
            <c:numRef>
              <c:f>'Bin Analysis and Plots'!$K$294:$K$313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7AF-4343-95A0-26E289C4A8D9}"/>
            </c:ext>
          </c:extLst>
        </c:ser>
        <c:dLbls>
          <c:showLegendKey val="0"/>
          <c:showVal val="0"/>
          <c:showCatName val="0"/>
          <c:showSerName val="0"/>
          <c:showPercent val="0"/>
          <c:showBubbleSize val="0"/>
        </c:dLbls>
        <c:gapWidth val="150"/>
        <c:axId val="341268096"/>
        <c:axId val="34126848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Plots'!$C$294:$C$313</c:f>
              <c:strCache>
                <c:ptCount val="1"/>
                <c:pt idx="0">
                  <c:v>#NUM!</c:v>
                </c:pt>
              </c:strCache>
            </c:strRef>
          </c:cat>
          <c:val>
            <c:numRef>
              <c:f>'Bin Analysis and Plots'!$E$294:$E$313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97AF-4343-95A0-26E289C4A8D9}"/>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Plots'!$C$294:$C$313</c:f>
              <c:strCache>
                <c:ptCount val="1"/>
                <c:pt idx="0">
                  <c:v>#NUM!</c:v>
                </c:pt>
              </c:strCache>
            </c:strRef>
          </c:cat>
          <c:val>
            <c:numRef>
              <c:f>'Bin Analysis and Plots'!$I$294:$I$313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97AF-4343-95A0-26E289C4A8D9}"/>
            </c:ext>
          </c:extLst>
        </c:ser>
        <c:dLbls>
          <c:showLegendKey val="0"/>
          <c:showVal val="0"/>
          <c:showCatName val="0"/>
          <c:showSerName val="0"/>
          <c:showPercent val="0"/>
          <c:showBubbleSize val="0"/>
        </c:dLbls>
        <c:gapWidth val="500"/>
        <c:axId val="341269272"/>
        <c:axId val="341268880"/>
      </c:barChart>
      <c:catAx>
        <c:axId val="34126809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1268488"/>
        <c:crosses val="autoZero"/>
        <c:auto val="1"/>
        <c:lblAlgn val="ctr"/>
        <c:lblOffset val="100"/>
        <c:noMultiLvlLbl val="0"/>
      </c:catAx>
      <c:valAx>
        <c:axId val="34126848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268096"/>
        <c:crosses val="autoZero"/>
        <c:crossBetween val="between"/>
        <c:majorUnit val="1"/>
      </c:valAx>
      <c:valAx>
        <c:axId val="341268880"/>
        <c:scaling>
          <c:orientation val="minMax"/>
          <c:max val="1"/>
        </c:scaling>
        <c:delete val="0"/>
        <c:axPos val="r"/>
        <c:numFmt formatCode="General" sourceLinked="1"/>
        <c:majorTickMark val="none"/>
        <c:minorTickMark val="none"/>
        <c:tickLblPos val="none"/>
        <c:spPr>
          <a:ln>
            <a:noFill/>
          </a:ln>
        </c:spPr>
        <c:crossAx val="341269272"/>
        <c:crosses val="max"/>
        <c:crossBetween val="between"/>
      </c:valAx>
      <c:catAx>
        <c:axId val="341269272"/>
        <c:scaling>
          <c:orientation val="minMax"/>
        </c:scaling>
        <c:delete val="1"/>
        <c:axPos val="b"/>
        <c:numFmt formatCode="General" sourceLinked="0"/>
        <c:majorTickMark val="out"/>
        <c:minorTickMark val="none"/>
        <c:tickLblPos val="nextTo"/>
        <c:crossAx val="3412688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341270056"/>
        <c:axId val="341270448"/>
      </c:barChart>
      <c:catAx>
        <c:axId val="341270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270448"/>
        <c:crosses val="autoZero"/>
        <c:auto val="1"/>
        <c:lblAlgn val="ctr"/>
        <c:lblOffset val="100"/>
        <c:noMultiLvlLbl val="0"/>
      </c:catAx>
      <c:valAx>
        <c:axId val="341270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270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Plots'!$B$318:$B$337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341-419A-8A65-4D0B14296A17}"/>
            </c:ext>
          </c:extLst>
        </c:ser>
        <c:dLbls>
          <c:showLegendKey val="0"/>
          <c:showVal val="0"/>
          <c:showCatName val="0"/>
          <c:showSerName val="0"/>
          <c:showPercent val="0"/>
          <c:showBubbleSize val="0"/>
        </c:dLbls>
        <c:gapWidth val="150"/>
        <c:axId val="341271232"/>
        <c:axId val="341271624"/>
      </c:barChart>
      <c:catAx>
        <c:axId val="341271232"/>
        <c:scaling>
          <c:orientation val="minMax"/>
        </c:scaling>
        <c:delete val="1"/>
        <c:axPos val="b"/>
        <c:majorTickMark val="out"/>
        <c:minorTickMark val="none"/>
        <c:tickLblPos val="nextTo"/>
        <c:crossAx val="341271624"/>
        <c:crosses val="autoZero"/>
        <c:auto val="1"/>
        <c:lblAlgn val="ctr"/>
        <c:lblOffset val="100"/>
        <c:noMultiLvlLbl val="0"/>
      </c:catAx>
      <c:valAx>
        <c:axId val="341271624"/>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1271232"/>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Plots'!$B$342:$B$361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8340-42B2-B22D-030E3C82B529}"/>
            </c:ext>
          </c:extLst>
        </c:ser>
        <c:dLbls>
          <c:showLegendKey val="0"/>
          <c:showVal val="0"/>
          <c:showCatName val="0"/>
          <c:showSerName val="0"/>
          <c:showPercent val="0"/>
          <c:showBubbleSize val="0"/>
        </c:dLbls>
        <c:gapWidth val="150"/>
        <c:axId val="341272408"/>
        <c:axId val="341272800"/>
      </c:barChart>
      <c:catAx>
        <c:axId val="341272408"/>
        <c:scaling>
          <c:orientation val="minMax"/>
        </c:scaling>
        <c:delete val="1"/>
        <c:axPos val="b"/>
        <c:majorTickMark val="out"/>
        <c:minorTickMark val="none"/>
        <c:tickLblPos val="nextTo"/>
        <c:crossAx val="341272800"/>
        <c:crosses val="autoZero"/>
        <c:auto val="1"/>
        <c:lblAlgn val="ctr"/>
        <c:lblOffset val="100"/>
        <c:noMultiLvlLbl val="0"/>
      </c:catAx>
      <c:valAx>
        <c:axId val="341272800"/>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1272408"/>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Plots'!$B$366:$B$385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516-4C26-BD7B-05B6E95E742E}"/>
            </c:ext>
          </c:extLst>
        </c:ser>
        <c:dLbls>
          <c:showLegendKey val="0"/>
          <c:showVal val="0"/>
          <c:showCatName val="0"/>
          <c:showSerName val="0"/>
          <c:showPercent val="0"/>
          <c:showBubbleSize val="0"/>
        </c:dLbls>
        <c:gapWidth val="150"/>
        <c:axId val="341273584"/>
        <c:axId val="341273976"/>
      </c:barChart>
      <c:catAx>
        <c:axId val="341273584"/>
        <c:scaling>
          <c:orientation val="minMax"/>
        </c:scaling>
        <c:delete val="1"/>
        <c:axPos val="b"/>
        <c:majorTickMark val="out"/>
        <c:minorTickMark val="none"/>
        <c:tickLblPos val="nextTo"/>
        <c:crossAx val="341273976"/>
        <c:crosses val="autoZero"/>
        <c:auto val="1"/>
        <c:lblAlgn val="ctr"/>
        <c:lblOffset val="100"/>
        <c:noMultiLvlLbl val="0"/>
      </c:catAx>
      <c:valAx>
        <c:axId val="341273976"/>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1273584"/>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Plots'!$B$390:$B$409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5A5E-4C12-9014-EBD2850BE6F4}"/>
            </c:ext>
          </c:extLst>
        </c:ser>
        <c:dLbls>
          <c:showLegendKey val="0"/>
          <c:showVal val="0"/>
          <c:showCatName val="0"/>
          <c:showSerName val="0"/>
          <c:showPercent val="0"/>
          <c:showBubbleSize val="0"/>
        </c:dLbls>
        <c:gapWidth val="150"/>
        <c:axId val="341274760"/>
        <c:axId val="341275152"/>
      </c:barChart>
      <c:catAx>
        <c:axId val="341274760"/>
        <c:scaling>
          <c:orientation val="minMax"/>
        </c:scaling>
        <c:delete val="1"/>
        <c:axPos val="b"/>
        <c:majorTickMark val="out"/>
        <c:minorTickMark val="none"/>
        <c:tickLblPos val="nextTo"/>
        <c:crossAx val="341275152"/>
        <c:crosses val="autoZero"/>
        <c:auto val="1"/>
        <c:lblAlgn val="ctr"/>
        <c:lblOffset val="100"/>
        <c:noMultiLvlLbl val="0"/>
      </c:catAx>
      <c:valAx>
        <c:axId val="34127515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34127476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Plots'!$C$315:$D$315</c:f>
              <c:strCache>
                <c:ptCount val="1"/>
                <c:pt idx="0">
                  <c:v>Position  </c:v>
                </c:pt>
              </c:strCache>
            </c:strRef>
          </c:tx>
          <c:invertIfNegative val="0"/>
          <c:cat>
            <c:strRef>
              <c:f>'Bin Analysis and Plots'!$C$318:$C$337</c:f>
              <c:strCache>
                <c:ptCount val="1"/>
                <c:pt idx="0">
                  <c:v>#NUM!</c:v>
                </c:pt>
              </c:strCache>
            </c:strRef>
          </c:cat>
          <c:val>
            <c:numRef>
              <c:f>'Bin Analysis and Plots'!$K$318:$K$337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60E3-4B32-835F-1E71091A8223}"/>
            </c:ext>
          </c:extLst>
        </c:ser>
        <c:dLbls>
          <c:showLegendKey val="0"/>
          <c:showVal val="0"/>
          <c:showCatName val="0"/>
          <c:showSerName val="0"/>
          <c:showPercent val="0"/>
          <c:showBubbleSize val="0"/>
        </c:dLbls>
        <c:gapWidth val="150"/>
        <c:axId val="341275936"/>
        <c:axId val="34127632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Plots'!$C$318:$C$337</c:f>
              <c:strCache>
                <c:ptCount val="1"/>
                <c:pt idx="0">
                  <c:v>#NUM!</c:v>
                </c:pt>
              </c:strCache>
            </c:strRef>
          </c:cat>
          <c:val>
            <c:numRef>
              <c:f>'Bin Analysis and Plots'!$E$318:$E$337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60E3-4B32-835F-1E71091A8223}"/>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Plots'!$C$318:$C$337</c:f>
              <c:strCache>
                <c:ptCount val="1"/>
                <c:pt idx="0">
                  <c:v>#NUM!</c:v>
                </c:pt>
              </c:strCache>
            </c:strRef>
          </c:cat>
          <c:val>
            <c:numRef>
              <c:f>'Bin Analysis and Plots'!$I$318:$I$337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60E3-4B32-835F-1E71091A8223}"/>
            </c:ext>
          </c:extLst>
        </c:ser>
        <c:dLbls>
          <c:showLegendKey val="0"/>
          <c:showVal val="0"/>
          <c:showCatName val="0"/>
          <c:showSerName val="0"/>
          <c:showPercent val="0"/>
          <c:showBubbleSize val="0"/>
        </c:dLbls>
        <c:gapWidth val="500"/>
        <c:axId val="341277112"/>
        <c:axId val="341276720"/>
      </c:barChart>
      <c:catAx>
        <c:axId val="34127593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1276328"/>
        <c:crosses val="autoZero"/>
        <c:auto val="1"/>
        <c:lblAlgn val="ctr"/>
        <c:lblOffset val="100"/>
        <c:noMultiLvlLbl val="0"/>
      </c:catAx>
      <c:valAx>
        <c:axId val="34127632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275936"/>
        <c:crosses val="autoZero"/>
        <c:crossBetween val="between"/>
        <c:majorUnit val="1"/>
      </c:valAx>
      <c:valAx>
        <c:axId val="341276720"/>
        <c:scaling>
          <c:orientation val="minMax"/>
          <c:max val="1"/>
        </c:scaling>
        <c:delete val="0"/>
        <c:axPos val="r"/>
        <c:numFmt formatCode="General" sourceLinked="1"/>
        <c:majorTickMark val="none"/>
        <c:minorTickMark val="none"/>
        <c:tickLblPos val="none"/>
        <c:spPr>
          <a:ln>
            <a:noFill/>
          </a:ln>
        </c:spPr>
        <c:crossAx val="341277112"/>
        <c:crosses val="max"/>
        <c:crossBetween val="between"/>
      </c:valAx>
      <c:catAx>
        <c:axId val="341277112"/>
        <c:scaling>
          <c:orientation val="minMax"/>
        </c:scaling>
        <c:delete val="1"/>
        <c:axPos val="b"/>
        <c:numFmt formatCode="General" sourceLinked="0"/>
        <c:majorTickMark val="out"/>
        <c:minorTickMark val="none"/>
        <c:tickLblPos val="nextTo"/>
        <c:crossAx val="34127672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Plots'!$C$339:$D$339</c:f>
              <c:strCache>
                <c:ptCount val="1"/>
                <c:pt idx="0">
                  <c:v>Position  </c:v>
                </c:pt>
              </c:strCache>
            </c:strRef>
          </c:tx>
          <c:invertIfNegative val="0"/>
          <c:cat>
            <c:strRef>
              <c:f>'Bin Analysis and Plots'!$C$342:$C$361</c:f>
              <c:strCache>
                <c:ptCount val="1"/>
                <c:pt idx="0">
                  <c:v>#NUM!</c:v>
                </c:pt>
              </c:strCache>
            </c:strRef>
          </c:cat>
          <c:val>
            <c:numRef>
              <c:f>'Bin Analysis and Plots'!$K$342:$K$361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73C9-4671-9DAD-FCD3E0807984}"/>
            </c:ext>
          </c:extLst>
        </c:ser>
        <c:dLbls>
          <c:showLegendKey val="0"/>
          <c:showVal val="0"/>
          <c:showCatName val="0"/>
          <c:showSerName val="0"/>
          <c:showPercent val="0"/>
          <c:showBubbleSize val="0"/>
        </c:dLbls>
        <c:gapWidth val="150"/>
        <c:axId val="341277896"/>
        <c:axId val="341278288"/>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Plots'!$C$342:$C$361</c:f>
              <c:strCache>
                <c:ptCount val="1"/>
                <c:pt idx="0">
                  <c:v>#NUM!</c:v>
                </c:pt>
              </c:strCache>
            </c:strRef>
          </c:cat>
          <c:val>
            <c:numRef>
              <c:f>'Bin Analysis and Plots'!$E$342:$E$361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73C9-4671-9DAD-FCD3E0807984}"/>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Plots'!$C$342:$C$361</c:f>
              <c:strCache>
                <c:ptCount val="1"/>
                <c:pt idx="0">
                  <c:v>#NUM!</c:v>
                </c:pt>
              </c:strCache>
            </c:strRef>
          </c:cat>
          <c:val>
            <c:numRef>
              <c:f>'Bin Analysis and Plots'!$I$342:$I$361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73C9-4671-9DAD-FCD3E0807984}"/>
            </c:ext>
          </c:extLst>
        </c:ser>
        <c:dLbls>
          <c:showLegendKey val="0"/>
          <c:showVal val="0"/>
          <c:showCatName val="0"/>
          <c:showSerName val="0"/>
          <c:showPercent val="0"/>
          <c:showBubbleSize val="0"/>
        </c:dLbls>
        <c:gapWidth val="500"/>
        <c:axId val="341279072"/>
        <c:axId val="341278680"/>
      </c:barChart>
      <c:catAx>
        <c:axId val="34127789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341278288"/>
        <c:crosses val="autoZero"/>
        <c:auto val="1"/>
        <c:lblAlgn val="ctr"/>
        <c:lblOffset val="100"/>
        <c:noMultiLvlLbl val="0"/>
      </c:catAx>
      <c:valAx>
        <c:axId val="341278288"/>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277896"/>
        <c:crosses val="autoZero"/>
        <c:crossBetween val="between"/>
        <c:majorUnit val="1"/>
      </c:valAx>
      <c:valAx>
        <c:axId val="341278680"/>
        <c:scaling>
          <c:orientation val="minMax"/>
          <c:max val="1"/>
        </c:scaling>
        <c:delete val="0"/>
        <c:axPos val="r"/>
        <c:numFmt formatCode="General" sourceLinked="1"/>
        <c:majorTickMark val="none"/>
        <c:minorTickMark val="none"/>
        <c:tickLblPos val="none"/>
        <c:spPr>
          <a:ln>
            <a:noFill/>
          </a:ln>
        </c:spPr>
        <c:crossAx val="341279072"/>
        <c:crosses val="max"/>
        <c:crossBetween val="between"/>
      </c:valAx>
      <c:catAx>
        <c:axId val="341279072"/>
        <c:scaling>
          <c:orientation val="minMax"/>
        </c:scaling>
        <c:delete val="1"/>
        <c:axPos val="b"/>
        <c:numFmt formatCode="General" sourceLinked="0"/>
        <c:majorTickMark val="out"/>
        <c:minorTickMark val="none"/>
        <c:tickLblPos val="nextTo"/>
        <c:crossAx val="341278680"/>
        <c:crosses val="autoZero"/>
        <c:auto val="1"/>
        <c:lblAlgn val="ctr"/>
        <c:lblOffset val="100"/>
        <c:noMultiLvlLbl val="0"/>
      </c:catAx>
    </c:plotArea>
    <c:legend>
      <c:legendPos val="r"/>
      <c:layout>
        <c:manualLayout>
          <c:xMode val="edge"/>
          <c:yMode val="edge"/>
          <c:x val="0.66389129483814502"/>
          <c:y val="5.9609215514727303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Plots'!$C$363:$D$363</c:f>
              <c:strCache>
                <c:ptCount val="1"/>
                <c:pt idx="0">
                  <c:v>Position  </c:v>
                </c:pt>
              </c:strCache>
            </c:strRef>
          </c:tx>
          <c:invertIfNegative val="0"/>
          <c:cat>
            <c:strRef>
              <c:f>'Bin Analysis and Plots'!$C$366:$C$385</c:f>
              <c:strCache>
                <c:ptCount val="1"/>
                <c:pt idx="0">
                  <c:v>#NUM!</c:v>
                </c:pt>
              </c:strCache>
            </c:strRef>
          </c:cat>
          <c:val>
            <c:numRef>
              <c:f>'Bin Analysis and Plots'!$K$366:$K$385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0211-45CA-A4F0-83F03797AC71}"/>
            </c:ext>
          </c:extLst>
        </c:ser>
        <c:dLbls>
          <c:showLegendKey val="0"/>
          <c:showVal val="0"/>
          <c:showCatName val="0"/>
          <c:showSerName val="0"/>
          <c:showPercent val="0"/>
          <c:showBubbleSize val="0"/>
        </c:dLbls>
        <c:gapWidth val="150"/>
        <c:axId val="341279856"/>
        <c:axId val="253876064"/>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Plots'!$C$366:$C$385</c:f>
              <c:strCache>
                <c:ptCount val="1"/>
                <c:pt idx="0">
                  <c:v>#NUM!</c:v>
                </c:pt>
              </c:strCache>
            </c:strRef>
          </c:cat>
          <c:val>
            <c:numRef>
              <c:f>'Bin Analysis and Plots'!$E$366:$E$385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0211-45CA-A4F0-83F03797AC71}"/>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Plots'!$C$366:$C$385</c:f>
              <c:strCache>
                <c:ptCount val="1"/>
                <c:pt idx="0">
                  <c:v>#NUM!</c:v>
                </c:pt>
              </c:strCache>
            </c:strRef>
          </c:cat>
          <c:val>
            <c:numRef>
              <c:f>'Bin Analysis and Plots'!$I$366:$I$385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211-45CA-A4F0-83F03797AC71}"/>
            </c:ext>
          </c:extLst>
        </c:ser>
        <c:dLbls>
          <c:showLegendKey val="0"/>
          <c:showVal val="0"/>
          <c:showCatName val="0"/>
          <c:showSerName val="0"/>
          <c:showPercent val="0"/>
          <c:showBubbleSize val="0"/>
        </c:dLbls>
        <c:gapWidth val="500"/>
        <c:axId val="253876848"/>
        <c:axId val="253876456"/>
      </c:barChart>
      <c:catAx>
        <c:axId val="341279856"/>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253876064"/>
        <c:crosses val="autoZero"/>
        <c:auto val="1"/>
        <c:lblAlgn val="ctr"/>
        <c:lblOffset val="100"/>
        <c:noMultiLvlLbl val="0"/>
      </c:catAx>
      <c:valAx>
        <c:axId val="253876064"/>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341279856"/>
        <c:crosses val="autoZero"/>
        <c:crossBetween val="between"/>
        <c:majorUnit val="1"/>
      </c:valAx>
      <c:valAx>
        <c:axId val="253876456"/>
        <c:scaling>
          <c:orientation val="minMax"/>
          <c:max val="1"/>
        </c:scaling>
        <c:delete val="0"/>
        <c:axPos val="r"/>
        <c:numFmt formatCode="General" sourceLinked="1"/>
        <c:majorTickMark val="none"/>
        <c:minorTickMark val="none"/>
        <c:tickLblPos val="none"/>
        <c:spPr>
          <a:ln>
            <a:noFill/>
          </a:ln>
        </c:spPr>
        <c:crossAx val="253876848"/>
        <c:crosses val="max"/>
        <c:crossBetween val="between"/>
      </c:valAx>
      <c:catAx>
        <c:axId val="253876848"/>
        <c:scaling>
          <c:orientation val="minMax"/>
        </c:scaling>
        <c:delete val="1"/>
        <c:axPos val="b"/>
        <c:numFmt formatCode="General" sourceLinked="0"/>
        <c:majorTickMark val="out"/>
        <c:minorTickMark val="none"/>
        <c:tickLblPos val="nextTo"/>
        <c:crossAx val="253876456"/>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Plots'!$C$387:$D$387</c:f>
              <c:strCache>
                <c:ptCount val="1"/>
                <c:pt idx="0">
                  <c:v>Position  </c:v>
                </c:pt>
              </c:strCache>
            </c:strRef>
          </c:tx>
          <c:invertIfNegative val="0"/>
          <c:cat>
            <c:strRef>
              <c:f>'Bin Analysis and Plots'!$C$390:$C$409</c:f>
              <c:strCache>
                <c:ptCount val="1"/>
                <c:pt idx="0">
                  <c:v>#NUM!</c:v>
                </c:pt>
              </c:strCache>
            </c:strRef>
          </c:cat>
          <c:val>
            <c:numRef>
              <c:f>'Bin Analysis and Plots'!$K$390:$K$409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15DC-4206-9C86-1895A7401B11}"/>
            </c:ext>
          </c:extLst>
        </c:ser>
        <c:dLbls>
          <c:showLegendKey val="0"/>
          <c:showVal val="0"/>
          <c:showCatName val="0"/>
          <c:showSerName val="0"/>
          <c:showPercent val="0"/>
          <c:showBubbleSize val="0"/>
        </c:dLbls>
        <c:gapWidth val="150"/>
        <c:axId val="253877632"/>
        <c:axId val="253878024"/>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Plots'!$C$390:$C$409</c:f>
              <c:strCache>
                <c:ptCount val="1"/>
                <c:pt idx="0">
                  <c:v>#NUM!</c:v>
                </c:pt>
              </c:strCache>
            </c:strRef>
          </c:cat>
          <c:val>
            <c:numRef>
              <c:f>'Bin Analysis and Plots'!$E$390:$E$409</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15DC-4206-9C86-1895A7401B11}"/>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Plots'!$C$390:$C$409</c:f>
              <c:strCache>
                <c:ptCount val="1"/>
                <c:pt idx="0">
                  <c:v>#NUM!</c:v>
                </c:pt>
              </c:strCache>
            </c:strRef>
          </c:cat>
          <c:val>
            <c:numRef>
              <c:f>'Bin Analysis and Plots'!$I$390:$I$409</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15DC-4206-9C86-1895A7401B11}"/>
            </c:ext>
          </c:extLst>
        </c:ser>
        <c:dLbls>
          <c:showLegendKey val="0"/>
          <c:showVal val="0"/>
          <c:showCatName val="0"/>
          <c:showSerName val="0"/>
          <c:showPercent val="0"/>
          <c:showBubbleSize val="0"/>
        </c:dLbls>
        <c:gapWidth val="500"/>
        <c:axId val="253878808"/>
        <c:axId val="253878416"/>
      </c:barChart>
      <c:catAx>
        <c:axId val="253877632"/>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253878024"/>
        <c:crosses val="autoZero"/>
        <c:auto val="1"/>
        <c:lblAlgn val="ctr"/>
        <c:lblOffset val="100"/>
        <c:noMultiLvlLbl val="0"/>
      </c:catAx>
      <c:valAx>
        <c:axId val="253878024"/>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253877632"/>
        <c:crosses val="autoZero"/>
        <c:crossBetween val="between"/>
        <c:majorUnit val="1"/>
      </c:valAx>
      <c:valAx>
        <c:axId val="253878416"/>
        <c:scaling>
          <c:orientation val="minMax"/>
          <c:max val="1"/>
        </c:scaling>
        <c:delete val="0"/>
        <c:axPos val="r"/>
        <c:numFmt formatCode="General" sourceLinked="1"/>
        <c:majorTickMark val="none"/>
        <c:minorTickMark val="none"/>
        <c:tickLblPos val="none"/>
        <c:spPr>
          <a:ln>
            <a:noFill/>
          </a:ln>
        </c:spPr>
        <c:crossAx val="253878808"/>
        <c:crosses val="max"/>
        <c:crossBetween val="between"/>
      </c:valAx>
      <c:catAx>
        <c:axId val="253878808"/>
        <c:scaling>
          <c:orientation val="minMax"/>
        </c:scaling>
        <c:delete val="1"/>
        <c:axPos val="b"/>
        <c:numFmt formatCode="General" sourceLinked="0"/>
        <c:majorTickMark val="out"/>
        <c:minorTickMark val="none"/>
        <c:tickLblPos val="nextTo"/>
        <c:crossAx val="253878416"/>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253879592"/>
        <c:axId val="253879984"/>
      </c:barChart>
      <c:catAx>
        <c:axId val="253879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879984"/>
        <c:crosses val="autoZero"/>
        <c:auto val="1"/>
        <c:lblAlgn val="ctr"/>
        <c:lblOffset val="100"/>
        <c:noMultiLvlLbl val="0"/>
      </c:catAx>
      <c:valAx>
        <c:axId val="253879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879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Plots'!$B$414:$B$433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566-490C-93B8-CA256376E3D3}"/>
            </c:ext>
          </c:extLst>
        </c:ser>
        <c:dLbls>
          <c:showLegendKey val="0"/>
          <c:showVal val="0"/>
          <c:showCatName val="0"/>
          <c:showSerName val="0"/>
          <c:showPercent val="0"/>
          <c:showBubbleSize val="0"/>
        </c:dLbls>
        <c:gapWidth val="150"/>
        <c:axId val="253880768"/>
        <c:axId val="253881160"/>
      </c:barChart>
      <c:catAx>
        <c:axId val="253880768"/>
        <c:scaling>
          <c:orientation val="minMax"/>
        </c:scaling>
        <c:delete val="1"/>
        <c:axPos val="b"/>
        <c:majorTickMark val="out"/>
        <c:minorTickMark val="none"/>
        <c:tickLblPos val="nextTo"/>
        <c:crossAx val="253881160"/>
        <c:crosses val="autoZero"/>
        <c:auto val="1"/>
        <c:lblAlgn val="ctr"/>
        <c:lblOffset val="100"/>
        <c:noMultiLvlLbl val="0"/>
      </c:catAx>
      <c:valAx>
        <c:axId val="253881160"/>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253880768"/>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Plots'!$B$438:$B$457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87F2-4FB4-9FF7-1B9503804317}"/>
            </c:ext>
          </c:extLst>
        </c:ser>
        <c:dLbls>
          <c:showLegendKey val="0"/>
          <c:showVal val="0"/>
          <c:showCatName val="0"/>
          <c:showSerName val="0"/>
          <c:showPercent val="0"/>
          <c:showBubbleSize val="0"/>
        </c:dLbls>
        <c:gapWidth val="150"/>
        <c:axId val="253881944"/>
        <c:axId val="253882336"/>
      </c:barChart>
      <c:catAx>
        <c:axId val="253881944"/>
        <c:scaling>
          <c:orientation val="minMax"/>
        </c:scaling>
        <c:delete val="1"/>
        <c:axPos val="b"/>
        <c:majorTickMark val="out"/>
        <c:minorTickMark val="none"/>
        <c:tickLblPos val="nextTo"/>
        <c:crossAx val="253882336"/>
        <c:crosses val="autoZero"/>
        <c:auto val="1"/>
        <c:lblAlgn val="ctr"/>
        <c:lblOffset val="100"/>
        <c:noMultiLvlLbl val="0"/>
      </c:catAx>
      <c:valAx>
        <c:axId val="253882336"/>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253881944"/>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Plots'!$B$462:$B$481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A01-4535-B99C-DF51B551D1B2}"/>
            </c:ext>
          </c:extLst>
        </c:ser>
        <c:dLbls>
          <c:showLegendKey val="0"/>
          <c:showVal val="0"/>
          <c:showCatName val="0"/>
          <c:showSerName val="0"/>
          <c:showPercent val="0"/>
          <c:showBubbleSize val="0"/>
        </c:dLbls>
        <c:gapWidth val="150"/>
        <c:axId val="253883120"/>
        <c:axId val="253883512"/>
      </c:barChart>
      <c:catAx>
        <c:axId val="253883120"/>
        <c:scaling>
          <c:orientation val="minMax"/>
        </c:scaling>
        <c:delete val="1"/>
        <c:axPos val="b"/>
        <c:majorTickMark val="out"/>
        <c:minorTickMark val="none"/>
        <c:tickLblPos val="nextTo"/>
        <c:crossAx val="253883512"/>
        <c:crosses val="autoZero"/>
        <c:auto val="1"/>
        <c:lblAlgn val="ctr"/>
        <c:lblOffset val="100"/>
        <c:noMultiLvlLbl val="0"/>
      </c:catAx>
      <c:valAx>
        <c:axId val="253883512"/>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253883120"/>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Functional Data</a:t>
            </a:r>
          </a:p>
        </c:rich>
      </c:tx>
      <c:overlay val="0"/>
    </c:title>
    <c:autoTitleDeleted val="0"/>
    <c:plotArea>
      <c:layout/>
      <c:barChart>
        <c:barDir val="col"/>
        <c:grouping val="clustered"/>
        <c:varyColors val="0"/>
        <c:ser>
          <c:idx val="0"/>
          <c:order val="0"/>
          <c:invertIfNegative val="0"/>
          <c:val>
            <c:numRef>
              <c:f>'Bin Analysis and Plots'!$B$486:$B$505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F255-4A3B-B3CE-185A4F55F143}"/>
            </c:ext>
          </c:extLst>
        </c:ser>
        <c:dLbls>
          <c:showLegendKey val="0"/>
          <c:showVal val="0"/>
          <c:showCatName val="0"/>
          <c:showSerName val="0"/>
          <c:showPercent val="0"/>
          <c:showBubbleSize val="0"/>
        </c:dLbls>
        <c:gapWidth val="150"/>
        <c:axId val="253884296"/>
        <c:axId val="253884688"/>
      </c:barChart>
      <c:catAx>
        <c:axId val="253884296"/>
        <c:scaling>
          <c:orientation val="minMax"/>
        </c:scaling>
        <c:delete val="1"/>
        <c:axPos val="b"/>
        <c:majorTickMark val="out"/>
        <c:minorTickMark val="none"/>
        <c:tickLblPos val="nextTo"/>
        <c:crossAx val="253884688"/>
        <c:crosses val="autoZero"/>
        <c:auto val="1"/>
        <c:lblAlgn val="ctr"/>
        <c:lblOffset val="100"/>
        <c:noMultiLvlLbl val="0"/>
      </c:catAx>
      <c:valAx>
        <c:axId val="253884688"/>
        <c:scaling>
          <c:orientation val="minMax"/>
        </c:scaling>
        <c:delete val="0"/>
        <c:axPos val="l"/>
        <c:title>
          <c:tx>
            <c:rich>
              <a:bodyPr rot="-5400000" vert="horz"/>
              <a:lstStyle/>
              <a:p>
                <a:pPr>
                  <a:defRPr/>
                </a:pPr>
                <a:r>
                  <a:rPr lang="en-US"/>
                  <a:t>Functional Data</a:t>
                </a:r>
              </a:p>
            </c:rich>
          </c:tx>
          <c:overlay val="0"/>
        </c:title>
        <c:numFmt formatCode="General" sourceLinked="1"/>
        <c:majorTickMark val="out"/>
        <c:minorTickMark val="none"/>
        <c:tickLblPos val="nextTo"/>
        <c:crossAx val="253884296"/>
        <c:crosses val="autoZero"/>
        <c:crossBetween val="between"/>
      </c:valAx>
    </c:plotArea>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Plots'!$C$411:$D$411</c:f>
              <c:strCache>
                <c:ptCount val="1"/>
                <c:pt idx="0">
                  <c:v>Position  </c:v>
                </c:pt>
              </c:strCache>
            </c:strRef>
          </c:tx>
          <c:invertIfNegative val="0"/>
          <c:cat>
            <c:strRef>
              <c:f>'Bin Analysis and Plots'!$C$414:$C$433</c:f>
              <c:strCache>
                <c:ptCount val="1"/>
                <c:pt idx="0">
                  <c:v>#NUM!</c:v>
                </c:pt>
              </c:strCache>
            </c:strRef>
          </c:cat>
          <c:val>
            <c:numRef>
              <c:f>'Bin Analysis and Plots'!$K$414:$K$433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E2F7-4A7D-8B69-AF19197C2CCD}"/>
            </c:ext>
          </c:extLst>
        </c:ser>
        <c:dLbls>
          <c:showLegendKey val="0"/>
          <c:showVal val="0"/>
          <c:showCatName val="0"/>
          <c:showSerName val="0"/>
          <c:showPercent val="0"/>
          <c:showBubbleSize val="0"/>
        </c:dLbls>
        <c:gapWidth val="150"/>
        <c:axId val="253885472"/>
        <c:axId val="253885864"/>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Plots'!$C$414:$C$433</c:f>
              <c:strCache>
                <c:ptCount val="1"/>
                <c:pt idx="0">
                  <c:v>#NUM!</c:v>
                </c:pt>
              </c:strCache>
            </c:strRef>
          </c:cat>
          <c:val>
            <c:numRef>
              <c:f>'Bin Analysis and Plots'!$E$414:$E$433</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E2F7-4A7D-8B69-AF19197C2CCD}"/>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Plots'!$C$414:$C$433</c:f>
              <c:strCache>
                <c:ptCount val="1"/>
                <c:pt idx="0">
                  <c:v>#NUM!</c:v>
                </c:pt>
              </c:strCache>
            </c:strRef>
          </c:cat>
          <c:val>
            <c:numRef>
              <c:f>'Bin Analysis and Plots'!$I$414:$I$433</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E2F7-4A7D-8B69-AF19197C2CCD}"/>
            </c:ext>
          </c:extLst>
        </c:ser>
        <c:dLbls>
          <c:showLegendKey val="0"/>
          <c:showVal val="0"/>
          <c:showCatName val="0"/>
          <c:showSerName val="0"/>
          <c:showPercent val="0"/>
          <c:showBubbleSize val="0"/>
        </c:dLbls>
        <c:gapWidth val="500"/>
        <c:axId val="253886648"/>
        <c:axId val="253886256"/>
      </c:barChart>
      <c:catAx>
        <c:axId val="253885472"/>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253885864"/>
        <c:crosses val="autoZero"/>
        <c:auto val="1"/>
        <c:lblAlgn val="ctr"/>
        <c:lblOffset val="100"/>
        <c:noMultiLvlLbl val="0"/>
      </c:catAx>
      <c:valAx>
        <c:axId val="253885864"/>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253885472"/>
        <c:crosses val="autoZero"/>
        <c:crossBetween val="between"/>
        <c:majorUnit val="1"/>
      </c:valAx>
      <c:valAx>
        <c:axId val="253886256"/>
        <c:scaling>
          <c:orientation val="minMax"/>
          <c:max val="1"/>
        </c:scaling>
        <c:delete val="0"/>
        <c:axPos val="r"/>
        <c:numFmt formatCode="General" sourceLinked="1"/>
        <c:majorTickMark val="none"/>
        <c:minorTickMark val="none"/>
        <c:tickLblPos val="none"/>
        <c:spPr>
          <a:ln>
            <a:noFill/>
          </a:ln>
        </c:spPr>
        <c:crossAx val="253886648"/>
        <c:crosses val="max"/>
        <c:crossBetween val="between"/>
      </c:valAx>
      <c:catAx>
        <c:axId val="253886648"/>
        <c:scaling>
          <c:orientation val="minMax"/>
        </c:scaling>
        <c:delete val="1"/>
        <c:axPos val="b"/>
        <c:numFmt formatCode="General" sourceLinked="0"/>
        <c:majorTickMark val="out"/>
        <c:minorTickMark val="none"/>
        <c:tickLblPos val="nextTo"/>
        <c:crossAx val="253886256"/>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Plots'!$C$435:$D$435</c:f>
              <c:strCache>
                <c:ptCount val="1"/>
                <c:pt idx="0">
                  <c:v>Position  </c:v>
                </c:pt>
              </c:strCache>
            </c:strRef>
          </c:tx>
          <c:invertIfNegative val="0"/>
          <c:cat>
            <c:strRef>
              <c:f>'Bin Analysis and Plots'!$C$438:$C$457</c:f>
              <c:strCache>
                <c:ptCount val="1"/>
                <c:pt idx="0">
                  <c:v>#NUM!</c:v>
                </c:pt>
              </c:strCache>
            </c:strRef>
          </c:cat>
          <c:val>
            <c:numRef>
              <c:f>'Bin Analysis and Plots'!$K$438:$K$457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A1F9-42F9-A392-45891F61EFCE}"/>
            </c:ext>
          </c:extLst>
        </c:ser>
        <c:dLbls>
          <c:showLegendKey val="0"/>
          <c:showVal val="0"/>
          <c:showCatName val="0"/>
          <c:showSerName val="0"/>
          <c:showPercent val="0"/>
          <c:showBubbleSize val="0"/>
        </c:dLbls>
        <c:gapWidth val="150"/>
        <c:axId val="253887432"/>
        <c:axId val="253887824"/>
      </c:barChart>
      <c:barChart>
        <c:barDir val="col"/>
        <c:grouping val="clustered"/>
        <c:varyColors val="0"/>
        <c:ser>
          <c:idx val="1"/>
          <c:order val="1"/>
          <c:tx>
            <c:strRef>
              <c:f>'Bin Analysis and Plots'!$E$148</c:f>
              <c:strCache>
                <c:ptCount val="1"/>
                <c:pt idx="0">
                  <c:v>Wild Type</c:v>
                </c:pt>
              </c:strCache>
            </c:strRef>
          </c:tx>
          <c:spPr>
            <a:solidFill>
              <a:srgbClr val="9BBB59"/>
            </a:solidFill>
          </c:spPr>
          <c:invertIfNegative val="0"/>
          <c:cat>
            <c:strRef>
              <c:f>'Bin Analysis and Plots'!$C$438:$C$457</c:f>
              <c:strCache>
                <c:ptCount val="1"/>
                <c:pt idx="0">
                  <c:v>#NUM!</c:v>
                </c:pt>
              </c:strCache>
            </c:strRef>
          </c:cat>
          <c:val>
            <c:numRef>
              <c:f>'Bin Analysis and Plots'!$E$438:$E$457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A1F9-42F9-A392-45891F61EFCE}"/>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Plots'!$C$438:$C$457</c:f>
              <c:strCache>
                <c:ptCount val="1"/>
                <c:pt idx="0">
                  <c:v>#NUM!</c:v>
                </c:pt>
              </c:strCache>
            </c:strRef>
          </c:cat>
          <c:val>
            <c:numRef>
              <c:f>'Bin Analysis and Plots'!$I$438:$I$457</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A1F9-42F9-A392-45891F61EFCE}"/>
            </c:ext>
          </c:extLst>
        </c:ser>
        <c:dLbls>
          <c:showLegendKey val="0"/>
          <c:showVal val="0"/>
          <c:showCatName val="0"/>
          <c:showSerName val="0"/>
          <c:showPercent val="0"/>
          <c:showBubbleSize val="0"/>
        </c:dLbls>
        <c:gapWidth val="500"/>
        <c:axId val="253888608"/>
        <c:axId val="253888216"/>
      </c:barChart>
      <c:catAx>
        <c:axId val="253887432"/>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253887824"/>
        <c:crosses val="autoZero"/>
        <c:auto val="1"/>
        <c:lblAlgn val="ctr"/>
        <c:lblOffset val="100"/>
        <c:noMultiLvlLbl val="0"/>
      </c:catAx>
      <c:valAx>
        <c:axId val="253887824"/>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253887432"/>
        <c:crosses val="autoZero"/>
        <c:crossBetween val="between"/>
        <c:majorUnit val="1"/>
      </c:valAx>
      <c:valAx>
        <c:axId val="253888216"/>
        <c:scaling>
          <c:orientation val="minMax"/>
          <c:max val="1"/>
        </c:scaling>
        <c:delete val="0"/>
        <c:axPos val="r"/>
        <c:numFmt formatCode="General" sourceLinked="1"/>
        <c:majorTickMark val="none"/>
        <c:minorTickMark val="none"/>
        <c:tickLblPos val="none"/>
        <c:spPr>
          <a:ln>
            <a:noFill/>
          </a:ln>
        </c:spPr>
        <c:crossAx val="253888608"/>
        <c:crosses val="max"/>
        <c:crossBetween val="between"/>
      </c:valAx>
      <c:catAx>
        <c:axId val="253888608"/>
        <c:scaling>
          <c:orientation val="minMax"/>
        </c:scaling>
        <c:delete val="1"/>
        <c:axPos val="b"/>
        <c:numFmt formatCode="General" sourceLinked="0"/>
        <c:majorTickMark val="out"/>
        <c:minorTickMark val="none"/>
        <c:tickLblPos val="nextTo"/>
        <c:crossAx val="253888216"/>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Plots'!$C$435:$D$435</c:f>
              <c:strCache>
                <c:ptCount val="1"/>
                <c:pt idx="0">
                  <c:v>Position  </c:v>
                </c:pt>
              </c:strCache>
            </c:strRef>
          </c:tx>
          <c:invertIfNegative val="0"/>
          <c:cat>
            <c:strRef>
              <c:f>'Bin Analysis and Plots'!$C$462:$C$481</c:f>
              <c:strCache>
                <c:ptCount val="1"/>
                <c:pt idx="0">
                  <c:v>#NUM!</c:v>
                </c:pt>
              </c:strCache>
            </c:strRef>
          </c:cat>
          <c:val>
            <c:numRef>
              <c:f>'Bin Analysis and Plots'!$K$462:$K$481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708-4AF9-8DA6-83C21AE8A5A8}"/>
            </c:ext>
          </c:extLst>
        </c:ser>
        <c:dLbls>
          <c:showLegendKey val="0"/>
          <c:showVal val="0"/>
          <c:showCatName val="0"/>
          <c:showSerName val="0"/>
          <c:showPercent val="0"/>
          <c:showBubbleSize val="0"/>
        </c:dLbls>
        <c:gapWidth val="150"/>
        <c:axId val="253889392"/>
        <c:axId val="253889784"/>
      </c:barChart>
      <c:barChart>
        <c:barDir val="col"/>
        <c:grouping val="clustered"/>
        <c:varyColors val="0"/>
        <c:ser>
          <c:idx val="1"/>
          <c:order val="1"/>
          <c:tx>
            <c:strRef>
              <c:f>'Bin Analysis and Plots'!$E$148</c:f>
              <c:strCache>
                <c:ptCount val="1"/>
                <c:pt idx="0">
                  <c:v>Wild Type</c:v>
                </c:pt>
              </c:strCache>
            </c:strRef>
          </c:tx>
          <c:invertIfNegative val="0"/>
          <c:cat>
            <c:strRef>
              <c:f>'Bin Analysis and Plots'!$C$462:$C$481</c:f>
              <c:strCache>
                <c:ptCount val="1"/>
                <c:pt idx="0">
                  <c:v>#NUM!</c:v>
                </c:pt>
              </c:strCache>
            </c:strRef>
          </c:cat>
          <c:val>
            <c:numRef>
              <c:f>'Bin Analysis and Plots'!$E$462:$E$481</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708-4AF9-8DA6-83C21AE8A5A8}"/>
            </c:ext>
          </c:extLst>
        </c:ser>
        <c:ser>
          <c:idx val="2"/>
          <c:order val="2"/>
          <c:tx>
            <c:strRef>
              <c:f>'Bin Analysis and Plots'!$I$148</c:f>
              <c:strCache>
                <c:ptCount val="1"/>
                <c:pt idx="0">
                  <c:v>Dead Protein</c:v>
                </c:pt>
              </c:strCache>
            </c:strRef>
          </c:tx>
          <c:invertIfNegative val="0"/>
          <c:cat>
            <c:strRef>
              <c:f>'Bin Analysis and Plots'!$C$462:$C$481</c:f>
              <c:strCache>
                <c:ptCount val="1"/>
                <c:pt idx="0">
                  <c:v>#NUM!</c:v>
                </c:pt>
              </c:strCache>
            </c:strRef>
          </c:cat>
          <c:val>
            <c:numRef>
              <c:f>'Bin Analysis and Plots'!$I$462:$I$481</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708-4AF9-8DA6-83C21AE8A5A8}"/>
            </c:ext>
          </c:extLst>
        </c:ser>
        <c:dLbls>
          <c:showLegendKey val="0"/>
          <c:showVal val="0"/>
          <c:showCatName val="0"/>
          <c:showSerName val="0"/>
          <c:showPercent val="0"/>
          <c:showBubbleSize val="0"/>
        </c:dLbls>
        <c:gapWidth val="500"/>
        <c:axId val="253890568"/>
        <c:axId val="253890176"/>
      </c:barChart>
      <c:catAx>
        <c:axId val="253889392"/>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253889784"/>
        <c:crosses val="autoZero"/>
        <c:auto val="1"/>
        <c:lblAlgn val="ctr"/>
        <c:lblOffset val="100"/>
        <c:noMultiLvlLbl val="0"/>
      </c:catAx>
      <c:valAx>
        <c:axId val="253889784"/>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253889392"/>
        <c:crosses val="autoZero"/>
        <c:crossBetween val="between"/>
        <c:majorUnit val="1"/>
      </c:valAx>
      <c:valAx>
        <c:axId val="253890176"/>
        <c:scaling>
          <c:orientation val="minMax"/>
          <c:max val="1"/>
        </c:scaling>
        <c:delete val="0"/>
        <c:axPos val="r"/>
        <c:numFmt formatCode="General" sourceLinked="1"/>
        <c:majorTickMark val="none"/>
        <c:minorTickMark val="none"/>
        <c:tickLblPos val="none"/>
        <c:spPr>
          <a:ln>
            <a:noFill/>
          </a:ln>
        </c:spPr>
        <c:crossAx val="253890568"/>
        <c:crosses val="max"/>
        <c:crossBetween val="between"/>
      </c:valAx>
      <c:catAx>
        <c:axId val="253890568"/>
        <c:scaling>
          <c:orientation val="minMax"/>
        </c:scaling>
        <c:delete val="1"/>
        <c:axPos val="b"/>
        <c:numFmt formatCode="General" sourceLinked="0"/>
        <c:majorTickMark val="out"/>
        <c:minorTickMark val="none"/>
        <c:tickLblPos val="nextTo"/>
        <c:crossAx val="253890176"/>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Bin Sorted Data</a:t>
            </a:r>
          </a:p>
        </c:rich>
      </c:tx>
      <c:overlay val="0"/>
    </c:title>
    <c:autoTitleDeleted val="0"/>
    <c:plotArea>
      <c:layout/>
      <c:barChart>
        <c:barDir val="col"/>
        <c:grouping val="clustered"/>
        <c:varyColors val="0"/>
        <c:ser>
          <c:idx val="0"/>
          <c:order val="0"/>
          <c:tx>
            <c:strRef>
              <c:f>'Bin Analysis and Plots'!$C$483:$D$483</c:f>
              <c:strCache>
                <c:ptCount val="1"/>
                <c:pt idx="0">
                  <c:v>Position  </c:v>
                </c:pt>
              </c:strCache>
            </c:strRef>
          </c:tx>
          <c:invertIfNegative val="0"/>
          <c:cat>
            <c:strRef>
              <c:f>'Bin Analysis and Plots'!$C$486:$C$505</c:f>
              <c:strCache>
                <c:ptCount val="1"/>
                <c:pt idx="0">
                  <c:v>#NUM!</c:v>
                </c:pt>
              </c:strCache>
            </c:strRef>
          </c:cat>
          <c:val>
            <c:numRef>
              <c:f>'Bin Analysis and Plots'!$K$486:$K$505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99B8-4BCA-8271-2370639A9A57}"/>
            </c:ext>
          </c:extLst>
        </c:ser>
        <c:dLbls>
          <c:showLegendKey val="0"/>
          <c:showVal val="0"/>
          <c:showCatName val="0"/>
          <c:showSerName val="0"/>
          <c:showPercent val="0"/>
          <c:showBubbleSize val="0"/>
        </c:dLbls>
        <c:gapWidth val="150"/>
        <c:axId val="253891352"/>
        <c:axId val="253891744"/>
      </c:barChart>
      <c:barChart>
        <c:barDir val="col"/>
        <c:grouping val="clustered"/>
        <c:varyColors val="0"/>
        <c:ser>
          <c:idx val="1"/>
          <c:order val="1"/>
          <c:tx>
            <c:strRef>
              <c:f>'Bin Analysis and Plots'!$E$148</c:f>
              <c:strCache>
                <c:ptCount val="1"/>
                <c:pt idx="0">
                  <c:v>Wild Type</c:v>
                </c:pt>
              </c:strCache>
            </c:strRef>
          </c:tx>
          <c:spPr>
            <a:solidFill>
              <a:schemeClr val="accent3"/>
            </a:solidFill>
          </c:spPr>
          <c:invertIfNegative val="0"/>
          <c:cat>
            <c:strRef>
              <c:f>'Bin Analysis and Plots'!$C$486:$C$505</c:f>
              <c:strCache>
                <c:ptCount val="1"/>
                <c:pt idx="0">
                  <c:v>#NUM!</c:v>
                </c:pt>
              </c:strCache>
            </c:strRef>
          </c:cat>
          <c:val>
            <c:numRef>
              <c:f>'Bin Analysis and Plots'!$E$486:$E$505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99B8-4BCA-8271-2370639A9A57}"/>
            </c:ext>
          </c:extLst>
        </c:ser>
        <c:ser>
          <c:idx val="2"/>
          <c:order val="2"/>
          <c:tx>
            <c:strRef>
              <c:f>'Bin Analysis and Plots'!$I$148</c:f>
              <c:strCache>
                <c:ptCount val="1"/>
                <c:pt idx="0">
                  <c:v>Dead Protein</c:v>
                </c:pt>
              </c:strCache>
            </c:strRef>
          </c:tx>
          <c:spPr>
            <a:solidFill>
              <a:schemeClr val="accent2"/>
            </a:solidFill>
          </c:spPr>
          <c:invertIfNegative val="0"/>
          <c:cat>
            <c:strRef>
              <c:f>'Bin Analysis and Plots'!$C$486:$C$505</c:f>
              <c:strCache>
                <c:ptCount val="1"/>
                <c:pt idx="0">
                  <c:v>#NUM!</c:v>
                </c:pt>
              </c:strCache>
            </c:strRef>
          </c:cat>
          <c:val>
            <c:numRef>
              <c:f>'Bin Analysis and Plots'!$I$486:$I$505</c:f>
              <c:numCache>
                <c:formatCode>General</c:formatCode>
                <c:ptCount val="20"/>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99B8-4BCA-8271-2370639A9A57}"/>
            </c:ext>
          </c:extLst>
        </c:ser>
        <c:dLbls>
          <c:showLegendKey val="0"/>
          <c:showVal val="0"/>
          <c:showCatName val="0"/>
          <c:showSerName val="0"/>
          <c:showPercent val="0"/>
          <c:showBubbleSize val="0"/>
        </c:dLbls>
        <c:gapWidth val="500"/>
        <c:axId val="378766200"/>
        <c:axId val="378765808"/>
      </c:barChart>
      <c:catAx>
        <c:axId val="253891352"/>
        <c:scaling>
          <c:orientation val="minMax"/>
        </c:scaling>
        <c:delete val="0"/>
        <c:axPos val="b"/>
        <c:title>
          <c:tx>
            <c:rich>
              <a:bodyPr/>
              <a:lstStyle/>
              <a:p>
                <a:pPr>
                  <a:defRPr/>
                </a:pPr>
                <a:r>
                  <a:rPr lang="en-US"/>
                  <a:t>Upper Bin Range Limits</a:t>
                </a:r>
              </a:p>
            </c:rich>
          </c:tx>
          <c:overlay val="0"/>
        </c:title>
        <c:numFmt formatCode="#,##0.00" sourceLinked="0"/>
        <c:majorTickMark val="out"/>
        <c:minorTickMark val="none"/>
        <c:tickLblPos val="nextTo"/>
        <c:txPr>
          <a:bodyPr rot="-5400000" vert="horz"/>
          <a:lstStyle/>
          <a:p>
            <a:pPr>
              <a:defRPr sz="600"/>
            </a:pPr>
            <a:endParaRPr lang="en-US"/>
          </a:p>
        </c:txPr>
        <c:crossAx val="253891744"/>
        <c:crosses val="autoZero"/>
        <c:auto val="1"/>
        <c:lblAlgn val="ctr"/>
        <c:lblOffset val="100"/>
        <c:noMultiLvlLbl val="0"/>
      </c:catAx>
      <c:valAx>
        <c:axId val="253891744"/>
        <c:scaling>
          <c:orientation val="minMax"/>
        </c:scaling>
        <c:delete val="0"/>
        <c:axPos val="l"/>
        <c:title>
          <c:tx>
            <c:rich>
              <a:bodyPr rot="-5400000" vert="horz"/>
              <a:lstStyle/>
              <a:p>
                <a:pPr>
                  <a:defRPr/>
                </a:pPr>
                <a:r>
                  <a:rPr lang="en-US"/>
                  <a:t>Number of Variants</a:t>
                </a:r>
              </a:p>
            </c:rich>
          </c:tx>
          <c:overlay val="0"/>
        </c:title>
        <c:numFmt formatCode="General" sourceLinked="1"/>
        <c:majorTickMark val="out"/>
        <c:minorTickMark val="none"/>
        <c:tickLblPos val="nextTo"/>
        <c:crossAx val="253891352"/>
        <c:crosses val="autoZero"/>
        <c:crossBetween val="between"/>
        <c:majorUnit val="1"/>
      </c:valAx>
      <c:valAx>
        <c:axId val="378765808"/>
        <c:scaling>
          <c:orientation val="minMax"/>
          <c:max val="1"/>
        </c:scaling>
        <c:delete val="0"/>
        <c:axPos val="r"/>
        <c:numFmt formatCode="General" sourceLinked="1"/>
        <c:majorTickMark val="none"/>
        <c:minorTickMark val="none"/>
        <c:tickLblPos val="none"/>
        <c:spPr>
          <a:ln>
            <a:noFill/>
          </a:ln>
        </c:spPr>
        <c:crossAx val="378766200"/>
        <c:crosses val="max"/>
        <c:crossBetween val="between"/>
      </c:valAx>
      <c:catAx>
        <c:axId val="378766200"/>
        <c:scaling>
          <c:orientation val="minMax"/>
        </c:scaling>
        <c:delete val="1"/>
        <c:axPos val="b"/>
        <c:numFmt formatCode="General" sourceLinked="0"/>
        <c:majorTickMark val="out"/>
        <c:minorTickMark val="none"/>
        <c:tickLblPos val="nextTo"/>
        <c:crossAx val="378765808"/>
        <c:crosses val="autoZero"/>
        <c:auto val="1"/>
        <c:lblAlgn val="ctr"/>
        <c:lblOffset val="100"/>
        <c:noMultiLvlLbl val="0"/>
      </c:catAx>
    </c:plotArea>
    <c:legend>
      <c:legendPos val="r"/>
      <c:layout>
        <c:manualLayout>
          <c:xMode val="edge"/>
          <c:yMode val="edge"/>
          <c:x val="0.68611351706036705"/>
          <c:y val="3.1831437736949499E-2"/>
          <c:w val="0.30277537182852099"/>
          <c:h val="0.25578120443277902"/>
        </c:manualLayout>
      </c:layout>
      <c:overlay val="1"/>
    </c:legend>
    <c:plotVisOnly val="1"/>
    <c:dispBlanksAs val="gap"/>
    <c:showDLblsOverMax val="0"/>
  </c:chart>
  <c:txPr>
    <a:bodyPr/>
    <a:lstStyle/>
    <a:p>
      <a:pPr>
        <a:defRPr sz="800"/>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18">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2">
      <a:schemeClr val="dk1"/>
    </cs:effectRef>
    <cs:fontRef idx="minor">
      <a:schemeClr val="tx1"/>
    </cs:fontRef>
  </cs:dataPoint>
  <cs:dataPoint3D>
    <cs:lnRef idx="0"/>
    <cs:fillRef idx="3">
      <cs:styleClr val="auto"/>
    </cs:fillRef>
    <cs:effectRef idx="2">
      <a:schemeClr val="dk1"/>
    </cs:effectRef>
    <cs:fontRef idx="minor">
      <a:schemeClr val="tx1"/>
    </cs:fontRef>
  </cs:dataPoint3D>
  <cs:dataPointLine>
    <cs:lnRef idx="1">
      <cs:styleClr val="auto"/>
    </cs:lnRef>
    <cs:lineWidthScale>5</cs:lineWidthScale>
    <cs:fillRef idx="0"/>
    <cs:effectRef idx="0"/>
    <cs:fontRef idx="minor">
      <a:schemeClr val="tx1"/>
    </cs:fontRef>
    <cs:spPr>
      <a:ln cap="rnd">
        <a:round/>
      </a:ln>
    </cs:spPr>
  </cs:dataPointLine>
  <cs:dataPointMarker>
    <cs:lnRef idx="1">
      <cs:styleClr val="auto"/>
    </cs:lnRef>
    <cs:fillRef idx="3">
      <cs:styleClr val="auto"/>
    </cs:fillRef>
    <cs:effectRef idx="2">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a:schemeClr val="dk1">
        <a:tint val="95000"/>
      </a:schemeClr>
    </cs:fillRef>
    <cs:effectRef idx="2">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a:schemeClr val="dk1">
        <a:tint val="5000"/>
      </a:schemeClr>
    </cs:fillRef>
    <cs:effectRef idx="2">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18">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3">
      <cs:styleClr val="auto"/>
    </cs:fillRef>
    <cs:effectRef idx="2">
      <a:schemeClr val="dk1"/>
    </cs:effectRef>
    <cs:fontRef idx="minor">
      <a:schemeClr val="tx1"/>
    </cs:fontRef>
  </cs:dataPoint>
  <cs:dataPoint3D>
    <cs:lnRef idx="0"/>
    <cs:fillRef idx="3">
      <cs:styleClr val="auto"/>
    </cs:fillRef>
    <cs:effectRef idx="2">
      <a:schemeClr val="dk1"/>
    </cs:effectRef>
    <cs:fontRef idx="minor">
      <a:schemeClr val="tx1"/>
    </cs:fontRef>
  </cs:dataPoint3D>
  <cs:dataPointLine>
    <cs:lnRef idx="1">
      <cs:styleClr val="auto"/>
    </cs:lnRef>
    <cs:lineWidthScale>5</cs:lineWidthScale>
    <cs:fillRef idx="0"/>
    <cs:effectRef idx="0"/>
    <cs:fontRef idx="minor">
      <a:schemeClr val="tx1"/>
    </cs:fontRef>
    <cs:spPr>
      <a:ln cap="rnd">
        <a:round/>
      </a:ln>
    </cs:spPr>
  </cs:dataPointLine>
  <cs:dataPointMarker>
    <cs:lnRef idx="1">
      <cs:styleClr val="auto"/>
    </cs:lnRef>
    <cs:fillRef idx="3">
      <cs:styleClr val="auto"/>
    </cs:fillRef>
    <cs:effectRef idx="2">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0"/>
    <cs:fillRef idx="3">
      <a:schemeClr val="dk1">
        <a:tint val="95000"/>
      </a:schemeClr>
    </cs:fillRef>
    <cs:effectRef idx="2">
      <a:schemeClr val="dk1"/>
    </cs:effectRef>
    <cs:fontRef idx="minor">
      <a:schemeClr val="tx1"/>
    </cs:fontRef>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0"/>
    <cs:fillRef idx="3">
      <a:schemeClr val="dk1">
        <a:tint val="5000"/>
      </a:schemeClr>
    </cs:fillRef>
    <cs:effectRef idx="2">
      <a:schemeClr val="dk1"/>
    </cs:effectRef>
    <cs:fontRef idx="minor">
      <a:schemeClr val="tx1"/>
    </cs:fontRef>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sheet1.xml><?xml version="1.0" encoding="utf-8"?>
<chartsheet xmlns="http://schemas.openxmlformats.org/spreadsheetml/2006/main" xmlns:r="http://schemas.openxmlformats.org/officeDocument/2006/relationships">
  <sheetPr/>
  <sheetViews>
    <sheetView zoomScale="98" workbookViewId="0" zoomToFit="1"/>
  </sheetViews>
  <pageMargins left="0.75" right="0.75" top="1" bottom="1" header="0.5" footer="0.5"/>
  <drawing r:id="rId1"/>
</chartsheet>
</file>

<file path=xl/chartsheets/sheet2.xml><?xml version="1.0" encoding="utf-8"?>
<chartsheet xmlns="http://schemas.openxmlformats.org/spreadsheetml/2006/main" xmlns:r="http://schemas.openxmlformats.org/officeDocument/2006/relationships">
  <sheetPr/>
  <sheetViews>
    <sheetView zoomScale="215" workbookViewId="0"/>
  </sheetViews>
  <pageMargins left="0.75" right="0.75" top="1" bottom="1" header="0.5" footer="0.5"/>
  <pageSetup orientation="portrait" horizontalDpi="4294967292" verticalDpi="4294967292"/>
  <drawing r:id="rId1"/>
</chartsheet>
</file>

<file path=xl/chartsheets/sheet3.xml><?xml version="1.0" encoding="utf-8"?>
<chartsheet xmlns="http://schemas.openxmlformats.org/spreadsheetml/2006/main" xmlns:r="http://schemas.openxmlformats.org/officeDocument/2006/relationships">
  <sheetPr/>
  <sheetViews>
    <sheetView zoomScale="127"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sheetPr/>
  <sheetViews>
    <sheetView zoomScale="159"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sheetPr/>
  <sheetViews>
    <sheetView zoomScale="88" workbookViewId="0" zoomToFit="1"/>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sheetPr/>
  <sheetViews>
    <sheetView zoomScale="88"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chart" Target="../charts/chart22.xml"/><Relationship Id="rId18" Type="http://schemas.openxmlformats.org/officeDocument/2006/relationships/chart" Target="../charts/chart27.xml"/><Relationship Id="rId26" Type="http://schemas.openxmlformats.org/officeDocument/2006/relationships/chart" Target="../charts/chart35.xml"/><Relationship Id="rId39" Type="http://schemas.openxmlformats.org/officeDocument/2006/relationships/chart" Target="../charts/chart48.xml"/><Relationship Id="rId3" Type="http://schemas.openxmlformats.org/officeDocument/2006/relationships/chart" Target="../charts/chart12.xml"/><Relationship Id="rId21" Type="http://schemas.openxmlformats.org/officeDocument/2006/relationships/chart" Target="../charts/chart30.xml"/><Relationship Id="rId34" Type="http://schemas.openxmlformats.org/officeDocument/2006/relationships/chart" Target="../charts/chart43.xml"/><Relationship Id="rId7" Type="http://schemas.openxmlformats.org/officeDocument/2006/relationships/chart" Target="../charts/chart16.xml"/><Relationship Id="rId12" Type="http://schemas.openxmlformats.org/officeDocument/2006/relationships/chart" Target="../charts/chart21.xml"/><Relationship Id="rId17" Type="http://schemas.openxmlformats.org/officeDocument/2006/relationships/chart" Target="../charts/chart26.xml"/><Relationship Id="rId25" Type="http://schemas.openxmlformats.org/officeDocument/2006/relationships/chart" Target="../charts/chart34.xml"/><Relationship Id="rId33" Type="http://schemas.openxmlformats.org/officeDocument/2006/relationships/chart" Target="../charts/chart42.xml"/><Relationship Id="rId38" Type="http://schemas.openxmlformats.org/officeDocument/2006/relationships/chart" Target="../charts/chart47.xml"/><Relationship Id="rId2" Type="http://schemas.openxmlformats.org/officeDocument/2006/relationships/chart" Target="../charts/chart11.xml"/><Relationship Id="rId16" Type="http://schemas.openxmlformats.org/officeDocument/2006/relationships/chart" Target="../charts/chart25.xml"/><Relationship Id="rId20" Type="http://schemas.openxmlformats.org/officeDocument/2006/relationships/chart" Target="../charts/chart29.xml"/><Relationship Id="rId29" Type="http://schemas.openxmlformats.org/officeDocument/2006/relationships/chart" Target="../charts/chart38.xml"/><Relationship Id="rId41" Type="http://schemas.openxmlformats.org/officeDocument/2006/relationships/chart" Target="../charts/chart50.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chart" Target="../charts/chart20.xml"/><Relationship Id="rId24" Type="http://schemas.openxmlformats.org/officeDocument/2006/relationships/chart" Target="../charts/chart33.xml"/><Relationship Id="rId32" Type="http://schemas.openxmlformats.org/officeDocument/2006/relationships/chart" Target="../charts/chart41.xml"/><Relationship Id="rId37" Type="http://schemas.openxmlformats.org/officeDocument/2006/relationships/chart" Target="../charts/chart46.xml"/><Relationship Id="rId40" Type="http://schemas.openxmlformats.org/officeDocument/2006/relationships/chart" Target="../charts/chart49.xml"/><Relationship Id="rId5" Type="http://schemas.openxmlformats.org/officeDocument/2006/relationships/chart" Target="../charts/chart14.xml"/><Relationship Id="rId15" Type="http://schemas.openxmlformats.org/officeDocument/2006/relationships/chart" Target="../charts/chart24.xml"/><Relationship Id="rId23" Type="http://schemas.openxmlformats.org/officeDocument/2006/relationships/chart" Target="../charts/chart32.xml"/><Relationship Id="rId28" Type="http://schemas.openxmlformats.org/officeDocument/2006/relationships/chart" Target="../charts/chart37.xml"/><Relationship Id="rId36" Type="http://schemas.openxmlformats.org/officeDocument/2006/relationships/chart" Target="../charts/chart45.xml"/><Relationship Id="rId10" Type="http://schemas.openxmlformats.org/officeDocument/2006/relationships/chart" Target="../charts/chart19.xml"/><Relationship Id="rId19" Type="http://schemas.openxmlformats.org/officeDocument/2006/relationships/chart" Target="../charts/chart28.xml"/><Relationship Id="rId31" Type="http://schemas.openxmlformats.org/officeDocument/2006/relationships/chart" Target="../charts/chart40.xml"/><Relationship Id="rId4" Type="http://schemas.openxmlformats.org/officeDocument/2006/relationships/chart" Target="../charts/chart13.xml"/><Relationship Id="rId9" Type="http://schemas.openxmlformats.org/officeDocument/2006/relationships/chart" Target="../charts/chart18.xml"/><Relationship Id="rId14" Type="http://schemas.openxmlformats.org/officeDocument/2006/relationships/chart" Target="../charts/chart23.xml"/><Relationship Id="rId22" Type="http://schemas.openxmlformats.org/officeDocument/2006/relationships/chart" Target="../charts/chart31.xml"/><Relationship Id="rId27" Type="http://schemas.openxmlformats.org/officeDocument/2006/relationships/chart" Target="../charts/chart36.xml"/><Relationship Id="rId30" Type="http://schemas.openxmlformats.org/officeDocument/2006/relationships/chart" Target="../charts/chart39.xml"/><Relationship Id="rId35"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59.xml"/><Relationship Id="rId3" Type="http://schemas.openxmlformats.org/officeDocument/2006/relationships/chart" Target="../charts/chart54.xml"/><Relationship Id="rId7" Type="http://schemas.openxmlformats.org/officeDocument/2006/relationships/chart" Target="../charts/chart58.xml"/><Relationship Id="rId2" Type="http://schemas.openxmlformats.org/officeDocument/2006/relationships/chart" Target="../charts/chart53.xml"/><Relationship Id="rId1" Type="http://schemas.openxmlformats.org/officeDocument/2006/relationships/chart" Target="../charts/chart52.xml"/><Relationship Id="rId6" Type="http://schemas.openxmlformats.org/officeDocument/2006/relationships/chart" Target="../charts/chart57.xml"/><Relationship Id="rId5" Type="http://schemas.openxmlformats.org/officeDocument/2006/relationships/chart" Target="../charts/chart56.xml"/><Relationship Id="rId4" Type="http://schemas.openxmlformats.org/officeDocument/2006/relationships/chart" Target="../charts/chart5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9.xml.rels><?xml version="1.0" encoding="UTF-8" standalone="yes"?>
<Relationships xmlns="http://schemas.openxmlformats.org/package/2006/relationships"><Relationship Id="rId8" Type="http://schemas.openxmlformats.org/officeDocument/2006/relationships/chart" Target="../charts/chart68.xml"/><Relationship Id="rId3" Type="http://schemas.openxmlformats.org/officeDocument/2006/relationships/chart" Target="../charts/chart63.xml"/><Relationship Id="rId7" Type="http://schemas.openxmlformats.org/officeDocument/2006/relationships/chart" Target="../charts/chart67.xml"/><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4" Type="http://schemas.openxmlformats.org/officeDocument/2006/relationships/chart" Target="../charts/chart6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77.xml"/><Relationship Id="rId3" Type="http://schemas.openxmlformats.org/officeDocument/2006/relationships/chart" Target="../charts/chart72.xml"/><Relationship Id="rId7" Type="http://schemas.openxmlformats.org/officeDocument/2006/relationships/chart" Target="../charts/chart76.xml"/><Relationship Id="rId2" Type="http://schemas.openxmlformats.org/officeDocument/2006/relationships/chart" Target="../charts/chart71.xml"/><Relationship Id="rId1" Type="http://schemas.openxmlformats.org/officeDocument/2006/relationships/chart" Target="../charts/chart70.xml"/><Relationship Id="rId6" Type="http://schemas.openxmlformats.org/officeDocument/2006/relationships/chart" Target="../charts/chart75.xml"/><Relationship Id="rId5" Type="http://schemas.openxmlformats.org/officeDocument/2006/relationships/chart" Target="../charts/chart74.xml"/><Relationship Id="rId4" Type="http://schemas.openxmlformats.org/officeDocument/2006/relationships/chart" Target="../charts/chart7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8.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86.xml"/><Relationship Id="rId3" Type="http://schemas.openxmlformats.org/officeDocument/2006/relationships/chart" Target="../charts/chart81.xml"/><Relationship Id="rId7" Type="http://schemas.openxmlformats.org/officeDocument/2006/relationships/chart" Target="../charts/chart85.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chart" Target="../charts/chart84.xml"/><Relationship Id="rId5" Type="http://schemas.openxmlformats.org/officeDocument/2006/relationships/chart" Target="../charts/chart83.xml"/><Relationship Id="rId4" Type="http://schemas.openxmlformats.org/officeDocument/2006/relationships/chart" Target="../charts/chart8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7.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95.xml"/><Relationship Id="rId3" Type="http://schemas.openxmlformats.org/officeDocument/2006/relationships/chart" Target="../charts/chart90.xml"/><Relationship Id="rId7" Type="http://schemas.openxmlformats.org/officeDocument/2006/relationships/chart" Target="../charts/chart94.xml"/><Relationship Id="rId2" Type="http://schemas.openxmlformats.org/officeDocument/2006/relationships/chart" Target="../charts/chart89.xml"/><Relationship Id="rId1" Type="http://schemas.openxmlformats.org/officeDocument/2006/relationships/chart" Target="../charts/chart88.xml"/><Relationship Id="rId6" Type="http://schemas.openxmlformats.org/officeDocument/2006/relationships/chart" Target="../charts/chart93.xml"/><Relationship Id="rId5" Type="http://schemas.openxmlformats.org/officeDocument/2006/relationships/chart" Target="../charts/chart92.xml"/><Relationship Id="rId4" Type="http://schemas.openxmlformats.org/officeDocument/2006/relationships/chart" Target="../charts/chart91.xml"/></Relationships>
</file>

<file path=xl/drawings/drawing1.xml><?xml version="1.0" encoding="utf-8"?>
<xdr:wsDr xmlns:xdr="http://schemas.openxmlformats.org/drawingml/2006/spreadsheetDrawing" xmlns:a="http://schemas.openxmlformats.org/drawingml/2006/main">
  <xdr:twoCellAnchor>
    <xdr:from>
      <xdr:col>0</xdr:col>
      <xdr:colOff>533400</xdr:colOff>
      <xdr:row>0</xdr:row>
      <xdr:rowOff>101600</xdr:rowOff>
    </xdr:from>
    <xdr:to>
      <xdr:col>14</xdr:col>
      <xdr:colOff>533400</xdr:colOff>
      <xdr:row>74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33400" y="101600"/>
          <a:ext cx="11734800" cy="14700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600" b="0" i="0" u="none" strike="noStrike" baseline="0">
            <a:solidFill>
              <a:srgbClr val="000000"/>
            </a:solidFill>
            <a:latin typeface="Arial" panose="020B0604020202020204" pitchFamily="34" charset="0"/>
          </a:endParaRPr>
        </a:p>
        <a:p>
          <a:r>
            <a:rPr lang="en-US" sz="1400" b="0" i="0" u="none" strike="noStrike" baseline="0">
              <a:solidFill>
                <a:sysClr val="windowText" lastClr="000000"/>
              </a:solidFill>
              <a:latin typeface="Arial" panose="020B0604020202020204" pitchFamily="34" charset="0"/>
            </a:rPr>
            <a:t>RheoScale: A Tool to Aggregate and Quantify Experimentally-Determined Substitution Outcomes for Multiple Variants at Individual Protein Positions </a:t>
          </a:r>
        </a:p>
        <a:p>
          <a:endParaRPr lang="en-US" sz="1400" b="0" i="0" u="none" strike="noStrike" baseline="0">
            <a:solidFill>
              <a:srgbClr val="2D96D2"/>
            </a:solidFill>
            <a:latin typeface="Arial" panose="020B0604020202020204" pitchFamily="34" charset="0"/>
          </a:endParaRPr>
        </a:p>
        <a:p>
          <a:r>
            <a:rPr lang="en-US" sz="1400" b="1">
              <a:solidFill>
                <a:schemeClr val="tx1"/>
              </a:solidFill>
            </a:rPr>
            <a:t>How to use this</a:t>
          </a:r>
          <a:r>
            <a:rPr lang="en-US" sz="1400" b="1" baseline="0">
              <a:solidFill>
                <a:schemeClr val="tx1"/>
              </a:solidFill>
            </a:rPr>
            <a:t> RheoScale</a:t>
          </a:r>
          <a:r>
            <a:rPr lang="en-US" sz="1400" b="1">
              <a:solidFill>
                <a:schemeClr val="tx1"/>
              </a:solidFill>
            </a:rPr>
            <a:t> calculator:</a:t>
          </a:r>
        </a:p>
        <a:p>
          <a:endParaRPr lang="en-US" sz="1200">
            <a:solidFill>
              <a:schemeClr val="tx1"/>
            </a:solidFill>
          </a:endParaRPr>
        </a:p>
        <a:p>
          <a:r>
            <a:rPr lang="en-US" sz="1200">
              <a:solidFill>
                <a:schemeClr val="tx1"/>
              </a:solidFill>
            </a:rPr>
            <a:t>The theory,</a:t>
          </a:r>
          <a:r>
            <a:rPr lang="en-US" sz="1200" baseline="0">
              <a:solidFill>
                <a:schemeClr val="tx1"/>
              </a:solidFill>
            </a:rPr>
            <a:t> rationale, and </a:t>
          </a:r>
          <a:r>
            <a:rPr lang="en-US" sz="1200">
              <a:solidFill>
                <a:schemeClr val="tx1"/>
              </a:solidFill>
            </a:rPr>
            <a:t>specifics of data analyses utilized in this calculator are explained in more detail in the associated paper.</a:t>
          </a:r>
        </a:p>
        <a:p>
          <a:endParaRPr lang="en-US" sz="1200">
            <a:solidFill>
              <a:schemeClr val="tx1"/>
            </a:solidFill>
          </a:endParaRPr>
        </a:p>
        <a:p>
          <a:r>
            <a:rPr lang="en-US" sz="1200">
              <a:solidFill>
                <a:schemeClr val="tx1"/>
              </a:solidFill>
            </a:rPr>
            <a:t>This workbook is designed to be used for</a:t>
          </a:r>
          <a:r>
            <a:rPr lang="en-US" sz="1200" baseline="0">
              <a:solidFill>
                <a:schemeClr val="tx1"/>
              </a:solidFill>
            </a:rPr>
            <a:t> a data set in which no more than 20 amino acid positions have been varied.  For data sets with variations at more than 20 positions, the RheoScale calculator for larger data sets should be used instead.  The RheoScale calculator for larger data sets uses identical calculations, but does not generate the graphs present in this calculator. If the summary graphs present in this workbook are desired for a larger data set, then the data set should be broken into subsets and analyzed 20 positions at a time.</a:t>
          </a:r>
        </a:p>
        <a:p>
          <a:endParaRPr lang="en-US" sz="1200" baseline="0">
            <a:solidFill>
              <a:schemeClr val="tx1"/>
            </a:solidFill>
          </a:endParaRPr>
        </a:p>
        <a:p>
          <a:r>
            <a:rPr lang="en-US" sz="1200" b="1">
              <a:solidFill>
                <a:schemeClr val="tx1"/>
              </a:solidFill>
            </a:rPr>
            <a:t>Summary of worksheets in this workbook:</a:t>
          </a:r>
        </a:p>
        <a:p>
          <a:r>
            <a:rPr lang="en-US" sz="1200">
              <a:solidFill>
                <a:schemeClr val="tx1"/>
              </a:solidFill>
            </a:rPr>
            <a:t>1) </a:t>
          </a:r>
          <a:r>
            <a:rPr lang="en-US" sz="1200" i="1">
              <a:solidFill>
                <a:schemeClr val="tx1"/>
              </a:solidFill>
            </a:rPr>
            <a:t>Input and Summary Results </a:t>
          </a:r>
          <a:r>
            <a:rPr lang="en-US" sz="1200">
              <a:solidFill>
                <a:schemeClr val="tx1"/>
              </a:solidFill>
            </a:rPr>
            <a:t>-- primary user interface in which data is entered and parameters are selected.  This is also the sheet where final scores are reported numerically</a:t>
          </a:r>
          <a:r>
            <a:rPr lang="en-US" sz="1200" baseline="0">
              <a:solidFill>
                <a:schemeClr val="tx1"/>
              </a:solidFill>
            </a:rPr>
            <a:t> and graphically.  Clicking on </a:t>
          </a:r>
          <a:r>
            <a:rPr lang="en-US" sz="1200" b="1" baseline="0">
              <a:solidFill>
                <a:srgbClr val="0432FF"/>
              </a:solidFill>
            </a:rPr>
            <a:t>blue text </a:t>
          </a:r>
          <a:r>
            <a:rPr lang="en-US" sz="1200" baseline="0">
              <a:solidFill>
                <a:schemeClr val="tx1"/>
              </a:solidFill>
            </a:rPr>
            <a:t>will show a pop-up window with further explanations.</a:t>
          </a:r>
        </a:p>
        <a:p>
          <a:r>
            <a:rPr lang="en-US" sz="1200">
              <a:solidFill>
                <a:schemeClr val="tx1"/>
              </a:solidFill>
            </a:rPr>
            <a:t>2) </a:t>
          </a:r>
          <a:r>
            <a:rPr lang="en-US" sz="1200" i="1">
              <a:solidFill>
                <a:schemeClr val="tx1"/>
              </a:solidFill>
            </a:rPr>
            <a:t>Summary Charts </a:t>
          </a:r>
          <a:r>
            <a:rPr lang="en-US" sz="1200">
              <a:solidFill>
                <a:schemeClr val="tx1"/>
              </a:solidFill>
            </a:rPr>
            <a:t>-- a printable worksheet that combines all of the graphs from the Input and Summary Results sheet.</a:t>
          </a:r>
        </a:p>
        <a:p>
          <a:r>
            <a:rPr lang="en-US" sz="1200">
              <a:solidFill>
                <a:schemeClr val="tx1"/>
              </a:solidFill>
            </a:rPr>
            <a:t>3) </a:t>
          </a:r>
          <a:r>
            <a:rPr lang="en-US" sz="1200" i="1">
              <a:solidFill>
                <a:schemeClr val="tx1"/>
              </a:solidFill>
            </a:rPr>
            <a:t>Larger Data Sets </a:t>
          </a:r>
          <a:r>
            <a:rPr lang="en-US" sz="1200">
              <a:solidFill>
                <a:schemeClr val="tx1"/>
              </a:solidFill>
            </a:rPr>
            <a:t>-- this worksheet is included for calculating parameters for data sets</a:t>
          </a:r>
          <a:r>
            <a:rPr lang="en-US" sz="1200" baseline="0">
              <a:solidFill>
                <a:schemeClr val="tx1"/>
              </a:solidFill>
            </a:rPr>
            <a:t> that exceed 20 positions.  This worksheet will allow up to 8000 data points to be entered and then a minimum, maximum and number of recommended bins calculated using the entire data set.  These numbers must then be </a:t>
          </a:r>
          <a:r>
            <a:rPr lang="en-US" sz="1200" b="1" baseline="0">
              <a:solidFill>
                <a:schemeClr val="tx1"/>
              </a:solidFill>
            </a:rPr>
            <a:t>manually entered </a:t>
          </a:r>
          <a:r>
            <a:rPr lang="en-US" sz="1200" baseline="0">
              <a:solidFill>
                <a:schemeClr val="tx1"/>
              </a:solidFill>
            </a:rPr>
            <a:t>in override bins on the Input and Summary Results sheet (cells J11:J12) if they are to be used to analyze the original 20 positions.  This worksheet does not automatically interface with the rest of the workbook and should only be used when large data sets are being analyzed in smaller 20 position subsets.</a:t>
          </a:r>
        </a:p>
        <a:p>
          <a:r>
            <a:rPr lang="en-US" sz="1200" baseline="0">
              <a:solidFill>
                <a:schemeClr val="tx1"/>
              </a:solidFill>
            </a:rPr>
            <a:t>4) </a:t>
          </a:r>
          <a:r>
            <a:rPr lang="en-US" sz="1200" i="1" baseline="0">
              <a:solidFill>
                <a:schemeClr val="tx1"/>
              </a:solidFill>
            </a:rPr>
            <a:t>Data Transformation </a:t>
          </a:r>
          <a:r>
            <a:rPr lang="en-US" sz="1200" baseline="0">
              <a:solidFill>
                <a:schemeClr val="tx1"/>
              </a:solidFill>
            </a:rPr>
            <a:t>-- in this worksheet, the data set is converted to a log scale if desired and then analysis of the data set is performed to determine bin parameters.  This sheet does not contain any sections that need input from the user and should generally not be manipulated. Changes on this worksheet have the potential to significantly affect the rest of the calculator.</a:t>
          </a:r>
        </a:p>
        <a:p>
          <a:r>
            <a:rPr lang="en-US" sz="1200" baseline="0">
              <a:solidFill>
                <a:schemeClr val="tx1"/>
              </a:solidFill>
            </a:rPr>
            <a:t>5) </a:t>
          </a:r>
          <a:r>
            <a:rPr lang="en-US" sz="1200" i="1" baseline="0">
              <a:solidFill>
                <a:schemeClr val="tx1"/>
              </a:solidFill>
            </a:rPr>
            <a:t>Weighting</a:t>
          </a:r>
          <a:r>
            <a:rPr lang="en-US" sz="1200" baseline="0">
              <a:solidFill>
                <a:schemeClr val="tx1"/>
              </a:solidFill>
            </a:rPr>
            <a:t> -- this sheet calculates the weighting scale that is applied to the weighted rheostat scores.  This weighting system is designed to lower the importance of variants in bins that contain the wild type or non-functional protein values as well as the adjacent bins.  Using the weighted scores allows those positions with strong and consistent rheostat behavior to be more easily identified compared to those that cluster near wild type or non-functional values.  These weighting values can be overriden on this sheet in cells T6:T25. Overriding the weighting values in these cells will change the calculations for the rest of the calculator. </a:t>
          </a:r>
        </a:p>
        <a:p>
          <a:r>
            <a:rPr lang="en-US" sz="1200" baseline="0">
              <a:solidFill>
                <a:schemeClr val="tx1"/>
              </a:solidFill>
            </a:rPr>
            <a:t>6) </a:t>
          </a:r>
          <a:r>
            <a:rPr lang="en-US" sz="1200" i="1" baseline="0">
              <a:solidFill>
                <a:schemeClr val="tx1"/>
              </a:solidFill>
            </a:rPr>
            <a:t>Bin Analysis and Plots </a:t>
          </a:r>
          <a:r>
            <a:rPr lang="en-US" sz="1200" baseline="0">
              <a:solidFill>
                <a:schemeClr val="tx1"/>
              </a:solidFill>
            </a:rPr>
            <a:t>-- this sheet bins all of the data by position into the bins calculated using the parameters from the first page and then calculates the neutral, rheostat, and toggle scores as well as the binary behavior.  For each position, the scores are reported and two graphs are generated from the functional values at that position and a histogram of how those data values were binned compared to wild type and dead protein values.</a:t>
          </a:r>
        </a:p>
        <a:p>
          <a:r>
            <a:rPr lang="en-US" sz="1200" baseline="0">
              <a:solidFill>
                <a:schemeClr val="tx1"/>
              </a:solidFill>
            </a:rPr>
            <a:t>7) </a:t>
          </a:r>
          <a:r>
            <a:rPr lang="en-US" sz="1200" i="1" baseline="0">
              <a:solidFill>
                <a:schemeClr val="tx1"/>
              </a:solidFill>
            </a:rPr>
            <a:t>Plots Positions X-X </a:t>
          </a:r>
          <a:r>
            <a:rPr lang="en-US" sz="1200" baseline="0">
              <a:solidFill>
                <a:schemeClr val="tx1"/>
              </a:solidFill>
            </a:rPr>
            <a:t>-- these worksheets are printable versions of the graphs reported on the "Bin A nalysis and Plots" sheet.  The position being plotted is present in the legend of the histogram.  These plots update automatically as the data or parameters change.</a:t>
          </a:r>
        </a:p>
        <a:p>
          <a:endParaRPr lang="en-US" sz="1200" baseline="0">
            <a:solidFill>
              <a:schemeClr val="tx1"/>
            </a:solidFill>
          </a:endParaRPr>
        </a:p>
        <a:p>
          <a:r>
            <a:rPr lang="en-US" sz="1200" b="1">
              <a:solidFill>
                <a:schemeClr val="tx1"/>
              </a:solidFill>
            </a:rPr>
            <a:t>Entering data</a:t>
          </a:r>
          <a:r>
            <a:rPr lang="en-US" sz="1200" b="1" baseline="0">
              <a:solidFill>
                <a:schemeClr val="tx1"/>
              </a:solidFill>
            </a:rPr>
            <a:t> o</a:t>
          </a:r>
          <a:r>
            <a:rPr lang="en-US" sz="1200" b="1">
              <a:solidFill>
                <a:schemeClr val="tx1"/>
              </a:solidFill>
            </a:rPr>
            <a:t>n the "Input and Summary Results" worksheet</a:t>
          </a:r>
          <a:r>
            <a:rPr lang="en-US" sz="1200" b="1" baseline="0">
              <a:solidFill>
                <a:schemeClr val="tx1"/>
              </a:solidFill>
            </a:rPr>
            <a:t>:</a:t>
          </a:r>
        </a:p>
        <a:p>
          <a:r>
            <a:rPr lang="en-US" sz="1200" baseline="0">
              <a:solidFill>
                <a:schemeClr val="tx1"/>
              </a:solidFill>
            </a:rPr>
            <a:t>1) The title box should be used to describe the data set being analyzed for future reference.  Any text can be entered here.</a:t>
          </a:r>
        </a:p>
        <a:p>
          <a:endParaRPr lang="en-US" sz="1200" baseline="0">
            <a:solidFill>
              <a:schemeClr val="tx1"/>
            </a:solidFill>
          </a:endParaRPr>
        </a:p>
        <a:p>
          <a:r>
            <a:rPr lang="en-US" sz="1200" baseline="0">
              <a:solidFill>
                <a:schemeClr val="tx1"/>
              </a:solidFill>
            </a:rPr>
            <a:t>2) The wild type value and error must be entered in cells D5:E5.</a:t>
          </a:r>
        </a:p>
        <a:p>
          <a:endParaRPr lang="en-US" sz="1200" baseline="0">
            <a:solidFill>
              <a:schemeClr val="tx1"/>
            </a:solidFill>
          </a:endParaRPr>
        </a:p>
        <a:p>
          <a:r>
            <a:rPr lang="en-US" sz="1200" baseline="0">
              <a:solidFill>
                <a:schemeClr val="tx1"/>
              </a:solidFill>
            </a:rPr>
            <a:t>3) The rest of the data set is entered in columns B-E starting in row 7. Note: Any manipulations (i.e. cutting, organizing, reformatting) of the data sould be completed in a separate file before being pasted into the worksheet. Manipulating the data once it has been entered may cause significant problems with the calculations and should be avoided.</a:t>
          </a:r>
        </a:p>
        <a:p>
          <a:r>
            <a:rPr lang="en-US" sz="1200" baseline="0">
              <a:solidFill>
                <a:schemeClr val="tx1"/>
              </a:solidFill>
            </a:rPr>
            <a:t>	a) The position must be a number that corresponds to the amino acid position in the protein.  No letters may be entered into this column.</a:t>
          </a:r>
        </a:p>
        <a:p>
          <a:pPr lvl="2"/>
          <a:r>
            <a:rPr lang="en-US" sz="1200" baseline="0">
              <a:solidFill>
                <a:schemeClr val="tx1"/>
              </a:solidFill>
            </a:rPr>
            <a:t>b) The mutation should be the code for the amino acid that was substituted at the position listed in the previous cell.  This column is not used in the data analysis but is an important piece of information for future tracking of data and it is strongly recommended that it be included.  Because it is not included in the calculations, it can be in any format (i.e. E52A, A, Ala, etc.)</a:t>
          </a:r>
        </a:p>
        <a:p>
          <a:pPr lvl="2"/>
          <a:r>
            <a:rPr lang="en-US" sz="1200" baseline="0">
              <a:solidFill>
                <a:schemeClr val="tx1"/>
              </a:solidFill>
            </a:rPr>
            <a:t>c) The functional value should be the data being analyzed using this calculator.  This number can represent any type of value from any assay.  The only limitations are zero or negative values if the data is to be converted to a log scale.  In these instances, the zero and negative scores should be replaced with a numerical value one order of magnitude smaller than the smallest measurable value. If removing or replacing negative values has significant implications to the interpretation of the data, it is recommended that the user consider not converting the data to a log scale. </a:t>
          </a:r>
        </a:p>
        <a:p>
          <a:pPr lvl="2"/>
          <a:r>
            <a:rPr lang="en-US" sz="1200" baseline="0">
              <a:solidFill>
                <a:schemeClr val="tx1"/>
              </a:solidFill>
            </a:rPr>
            <a:t>d) The error for each value is used to determine the optimal number of bins for the entire data set.  If these values are not included, a number must be entered into the error override in cell J19 in order for the caculator to determine a recommendation for the number of bins. If the data is converted to a log scale, the errors are also converted accordingly using the formula: measured error * 0.434/functional value on the </a:t>
          </a:r>
          <a:r>
            <a:rPr lang="en-US" sz="1200" i="1" baseline="0">
              <a:solidFill>
                <a:schemeClr val="tx1"/>
              </a:solidFill>
            </a:rPr>
            <a:t>Data transformation</a:t>
          </a:r>
          <a:r>
            <a:rPr lang="en-US" sz="1200" baseline="0">
              <a:solidFill>
                <a:schemeClr val="tx1"/>
              </a:solidFill>
            </a:rPr>
            <a:t> worksheet.</a:t>
          </a:r>
        </a:p>
        <a:p>
          <a:pPr lvl="2"/>
          <a:endParaRPr lang="en-US" sz="1200" baseline="0">
            <a:solidFill>
              <a:schemeClr val="tx1"/>
            </a:solidFill>
          </a:endParaRPr>
        </a:p>
        <a:p>
          <a:pPr lvl="0"/>
          <a:r>
            <a:rPr lang="en-US" sz="1200" baseline="0">
              <a:solidFill>
                <a:schemeClr val="tx1"/>
              </a:solidFill>
            </a:rPr>
            <a:t>4) The calculator will automatically extract the numbers of the positions varied and report them in cells G8:G27.  These values should be examined to ensure that they are consistent with the expected positions mutated in the data set.  If data for more than 20 positions are entered in the data set, this box will only return 20 values and only these 20 will be analyzed using the calculator.  If more than 20 positions need to be analyzed, the calculator for larger data sets should be utilized.</a:t>
          </a:r>
        </a:p>
        <a:p>
          <a:pPr lvl="0"/>
          <a:endParaRPr lang="en-US" sz="1200" baseline="0">
            <a:solidFill>
              <a:schemeClr val="tx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5) For data that spans 1 or 2 orders of magnitude, histogram bins should be calculated using nontransformed (linear) calculations.  If a data set covers more than three orders of magnitude, it should be converted to a log scale by selecting "yes" from the drop down menu in cell J4.  All log calculations are performed on the "Data Transformation" worksheet and all values reported on the "Input and Summary Results" page are reported in the original state (i.e. not converted to a log). Any functional value that has already been converted to a log scale (</a:t>
          </a:r>
          <a:r>
            <a:rPr lang="en-US" sz="1100" i="1" baseline="0">
              <a:solidFill>
                <a:schemeClr val="dk1"/>
              </a:solidFill>
              <a:effectLst/>
              <a:latin typeface="+mn-lt"/>
              <a:ea typeface="+mn-ea"/>
              <a:cs typeface="+mn-cs"/>
            </a:rPr>
            <a:t>e.g.,</a:t>
          </a:r>
          <a:r>
            <a:rPr lang="en-US" sz="1100" baseline="0">
              <a:solidFill>
                <a:schemeClr val="dk1"/>
              </a:solidFill>
              <a:effectLst/>
              <a:latin typeface="+mn-lt"/>
              <a:ea typeface="+mn-ea"/>
              <a:cs typeface="+mn-cs"/>
            </a:rPr>
            <a:t> Gibbs free energy) or doesn't cover more than two orders of magnitude </a:t>
          </a:r>
          <a:r>
            <a:rPr lang="en-US" sz="1100" i="0" baseline="0">
              <a:solidFill>
                <a:schemeClr val="dk1"/>
              </a:solidFill>
              <a:effectLst/>
              <a:latin typeface="+mn-lt"/>
              <a:ea typeface="+mn-ea"/>
              <a:cs typeface="+mn-cs"/>
            </a:rPr>
            <a:t>(</a:t>
          </a:r>
          <a:r>
            <a:rPr lang="en-US" sz="1100" i="1" baseline="0">
              <a:solidFill>
                <a:schemeClr val="dk1"/>
              </a:solidFill>
              <a:effectLst/>
              <a:latin typeface="+mn-lt"/>
              <a:ea typeface="+mn-ea"/>
              <a:cs typeface="+mn-cs"/>
            </a:rPr>
            <a:t>e.g.</a:t>
          </a:r>
          <a:r>
            <a:rPr lang="en-US" sz="1100" baseline="0">
              <a:solidFill>
                <a:schemeClr val="dk1"/>
              </a:solidFill>
              <a:effectLst/>
              <a:latin typeface="+mn-lt"/>
              <a:ea typeface="+mn-ea"/>
              <a:cs typeface="+mn-cs"/>
            </a:rPr>
            <a:t>, Hill number</a:t>
          </a:r>
          <a:r>
            <a:rPr lang="en-US" sz="1100" i="0" baseline="0">
              <a:solidFill>
                <a:schemeClr val="dk1"/>
              </a:solidFill>
              <a:effectLst/>
              <a:latin typeface="+mn-lt"/>
              <a:ea typeface="+mn-ea"/>
              <a:cs typeface="+mn-cs"/>
            </a:rPr>
            <a:t>)</a:t>
          </a:r>
          <a:r>
            <a:rPr lang="en-US" sz="1100" i="1" baseline="0">
              <a:solidFill>
                <a:schemeClr val="dk1"/>
              </a:solidFill>
              <a:effectLst/>
              <a:latin typeface="+mn-lt"/>
              <a:ea typeface="+mn-ea"/>
              <a:cs typeface="+mn-cs"/>
            </a:rPr>
            <a:t>,</a:t>
          </a:r>
          <a:r>
            <a:rPr lang="en-US" sz="1100" baseline="0">
              <a:solidFill>
                <a:schemeClr val="dk1"/>
              </a:solidFill>
              <a:effectLst/>
              <a:latin typeface="+mn-lt"/>
              <a:ea typeface="+mn-ea"/>
              <a:cs typeface="+mn-cs"/>
            </a:rPr>
            <a:t> the user should select "no" in cell J4. A data set that spans between 2 and 3 orders of magnitude should be carefully considered to determine whether a log scale is appropriate or not.</a:t>
          </a:r>
          <a:r>
            <a:rPr lang="en-US" sz="1200" baseline="0">
              <a:solidFill>
                <a:schemeClr val="tx1"/>
              </a:solidFill>
            </a:rPr>
            <a:t> </a:t>
          </a:r>
        </a:p>
        <a:p>
          <a:pPr lvl="0"/>
          <a:endParaRPr lang="en-US" sz="1200" baseline="0">
            <a:solidFill>
              <a:schemeClr val="tx1"/>
            </a:solidFill>
          </a:endParaRPr>
        </a:p>
        <a:p>
          <a:pPr lvl="0"/>
          <a:r>
            <a:rPr lang="en-US" sz="1200" baseline="0">
              <a:solidFill>
                <a:schemeClr val="tx1"/>
              </a:solidFill>
            </a:rPr>
            <a:t>6) The minimum and maximum values for the entire data set are necessary to determine the bins and the bin weighting for the calculator.  The min and max values are calculated automatically and reported in cells J7:J8. If a data set is known to have a different min or max value for this protein or assay, those min or max values can be provided as overrides in cells J11:J12.  If a larger data set is being analyzed in smaller subsets, the max and min for the whole data set can be calculated in the "Larger Data Sets" worksheet, but the values must be manually entered into cells J11:J12. If any data point falls outside of the maximum value, it will be reassigned to be the maximum value for the RheoScale calculations on the "</a:t>
          </a:r>
          <a:r>
            <a:rPr lang="en-US" sz="1200" i="0" baseline="0">
              <a:solidFill>
                <a:schemeClr val="tx1"/>
              </a:solidFill>
            </a:rPr>
            <a:t>Data Transformation"</a:t>
          </a:r>
          <a:r>
            <a:rPr lang="en-US" sz="1200" i="1" baseline="0">
              <a:solidFill>
                <a:schemeClr val="tx1"/>
              </a:solidFill>
            </a:rPr>
            <a:t> </a:t>
          </a:r>
          <a:r>
            <a:rPr lang="en-US" sz="1200" i="0" baseline="0">
              <a:solidFill>
                <a:schemeClr val="tx1"/>
              </a:solidFill>
            </a:rPr>
            <a:t>worksheet</a:t>
          </a:r>
          <a:r>
            <a:rPr lang="en-US" sz="1200" baseline="0">
              <a:solidFill>
                <a:schemeClr val="tx1"/>
              </a:solidFill>
            </a:rPr>
            <a:t>. The number of data points that exceed the maximum value are reported in cell J14 and those data points are shaded red in column D.</a:t>
          </a:r>
        </a:p>
        <a:p>
          <a:pPr lvl="0"/>
          <a:endParaRPr lang="en-US" sz="1200" baseline="0">
            <a:solidFill>
              <a:schemeClr val="tx1"/>
            </a:solidFill>
          </a:endParaRPr>
        </a:p>
        <a:p>
          <a:pPr lvl="0"/>
          <a:r>
            <a:rPr lang="en-US" sz="1200" baseline="0">
              <a:solidFill>
                <a:schemeClr val="tx1"/>
              </a:solidFill>
            </a:rPr>
            <a:t>7) The value that represents a completely nonfunctional protein ("dead") must be defined as either the minimum or maximum value used to analyze the data set and should be selected in cell J16.  The value in cell J17 is the value that is being utilized for a dead protein in the calculations. </a:t>
          </a:r>
        </a:p>
        <a:p>
          <a:pPr lvl="0"/>
          <a:endParaRPr lang="en-US" sz="1200" baseline="0">
            <a:solidFill>
              <a:schemeClr val="tx1"/>
            </a:solidFill>
          </a:endParaRPr>
        </a:p>
        <a:p>
          <a:pPr lvl="0"/>
          <a:r>
            <a:rPr lang="en-US" sz="1200" baseline="0">
              <a:solidFill>
                <a:schemeClr val="tx1"/>
              </a:solidFill>
            </a:rPr>
            <a:t>8)  The error override box is provided in cell J19 for data sets that do not have an error value associated with each functional value.  Alternatively, one error value may better represent the error inherent in the experimental methodology and can be entered in this cell.  This value is used in determining a recommended number of bins for analyzing the data set.  If no error override is desired, this box should be left blank. If error override is included for a data set that is converted to a log scale within the calculator, then the error value entered will be propagated using the wild type as the reference value. The formula for error propagation for log calculations in this case is 0.434*error override/wt functional value. If an alterante approach to error propogation is desired (percent error, etc) then the user should amend the data set before including in the calculator.</a:t>
          </a:r>
        </a:p>
        <a:p>
          <a:pPr lvl="0"/>
          <a:endParaRPr lang="en-US" sz="1200" baseline="0">
            <a:solidFill>
              <a:schemeClr val="tx1"/>
            </a:solidFill>
          </a:endParaRPr>
        </a:p>
        <a:p>
          <a:pPr lvl="0"/>
          <a:r>
            <a:rPr lang="en-US" sz="1200" baseline="0">
              <a:solidFill>
                <a:schemeClr val="tx1"/>
              </a:solidFill>
            </a:rPr>
            <a:t>9) The recommended number of bins is reported in cell J22 and is determined through a combination of the average error for the data set as well as the total number of variants at each position.  A perfect rheostat would occupy 20 bins, but error and representation at each position minimize the number of bins that can be used.  The algorithm for the bin number recommendation can be found in the "</a:t>
          </a:r>
          <a:r>
            <a:rPr lang="en-US" sz="1200" i="0" baseline="0">
              <a:solidFill>
                <a:schemeClr val="tx1"/>
              </a:solidFill>
            </a:rPr>
            <a:t>Data Transformation"</a:t>
          </a:r>
          <a:r>
            <a:rPr lang="en-US" sz="1200" baseline="0">
              <a:solidFill>
                <a:schemeClr val="tx1"/>
              </a:solidFill>
            </a:rPr>
            <a:t> worksheet in cells Q14:R26 and is explained in further detail in the manuscript.  If a different number of bins is desired, that number can be entered into the override cell J23.</a:t>
          </a:r>
        </a:p>
        <a:p>
          <a:pPr lvl="0"/>
          <a:endParaRPr lang="en-US" sz="1200" baseline="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0</xdr:colOff>
      <xdr:row>26</xdr:row>
      <xdr:rowOff>78942</xdr:rowOff>
    </xdr:from>
    <xdr:ext cx="6858000" cy="749821"/>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531600" y="5628842"/>
          <a:ext cx="6858000" cy="74982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rtlCol="0" anchor="t">
          <a:spAutoFit/>
        </a:bodyPr>
        <a:lstStyle/>
        <a:p>
          <a:pPr algn="ctr"/>
          <a:r>
            <a:rPr lang="en-US" sz="1400"/>
            <a:t>A False entry in # of variants indicates too</a:t>
          </a:r>
          <a:r>
            <a:rPr lang="en-US" sz="1400" baseline="0"/>
            <a:t> few variants were entered at this position to calculate scores for this position. These data points are still included in calculations for "All" protein scores</a:t>
          </a:r>
          <a:endParaRPr lang="en-US" sz="1400"/>
        </a:p>
      </xdr:txBody>
    </xdr:sp>
    <xdr:clientData/>
  </xdr:oneCellAnchor>
  <xdr:twoCellAnchor>
    <xdr:from>
      <xdr:col>11</xdr:col>
      <xdr:colOff>63500</xdr:colOff>
      <xdr:row>30</xdr:row>
      <xdr:rowOff>63500</xdr:rowOff>
    </xdr:from>
    <xdr:to>
      <xdr:col>17</xdr:col>
      <xdr:colOff>723900</xdr:colOff>
      <xdr:row>46</xdr:row>
      <xdr:rowOff>76200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139700</xdr:colOff>
      <xdr:row>47</xdr:row>
      <xdr:rowOff>50800</xdr:rowOff>
    </xdr:from>
    <xdr:to>
      <xdr:col>17</xdr:col>
      <xdr:colOff>800100</xdr:colOff>
      <xdr:row>63</xdr:row>
      <xdr:rowOff>63500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101600</xdr:colOff>
      <xdr:row>64</xdr:row>
      <xdr:rowOff>177800</xdr:rowOff>
    </xdr:from>
    <xdr:to>
      <xdr:col>17</xdr:col>
      <xdr:colOff>762000</xdr:colOff>
      <xdr:row>81</xdr:row>
      <xdr:rowOff>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444500</xdr:colOff>
      <xdr:row>4</xdr:row>
      <xdr:rowOff>76200</xdr:rowOff>
    </xdr:from>
    <xdr:to>
      <xdr:col>26</xdr:col>
      <xdr:colOff>495300</xdr:colOff>
      <xdr:row>29</xdr:row>
      <xdr:rowOff>38100</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0" y="0"/>
    <xdr:ext cx="8668712" cy="6292273"/>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0.00272</cdr:x>
      <cdr:y>0.002</cdr:y>
    </cdr:from>
    <cdr:to>
      <cdr:x>0.49457</cdr:x>
      <cdr:y>0.49301</cdr:y>
    </cdr:to>
    <cdr:graphicFrame macro="">
      <cdr:nvGraphicFramePr>
        <cdr:cNvPr id="2" name="Chart 6">
          <a:extLst xmlns:a="http://schemas.openxmlformats.org/drawingml/2006/main">
            <a:ext uri="{FF2B5EF4-FFF2-40B4-BE49-F238E27FC236}">
              <a16:creationId xmlns:a16="http://schemas.microsoft.com/office/drawing/2014/main" id="{76DA223D-A370-4318-BE34-5FA82F747395}"/>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0.50408</cdr:x>
      <cdr:y>0.00399</cdr:y>
    </cdr:from>
    <cdr:to>
      <cdr:x>0.98935</cdr:x>
      <cdr:y>0.49126</cdr:y>
    </cdr:to>
    <cdr:graphicFrame macro="">
      <cdr:nvGraphicFramePr>
        <cdr:cNvPr id="3" name="Chart 7">
          <a:extLst xmlns:a="http://schemas.openxmlformats.org/drawingml/2006/main">
            <a:ext uri="{FF2B5EF4-FFF2-40B4-BE49-F238E27FC236}">
              <a16:creationId xmlns:a16="http://schemas.microsoft.com/office/drawing/2014/main" id="{DE409732-BF80-4437-AF13-14B3E322F4DC}"/>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cdr:graphicFrame>
  </cdr:relSizeAnchor>
  <cdr:relSizeAnchor xmlns:cdr="http://schemas.openxmlformats.org/drawingml/2006/chartDrawing">
    <cdr:from>
      <cdr:x>0.00896</cdr:x>
      <cdr:y>0.50699</cdr:y>
    </cdr:from>
    <cdr:to>
      <cdr:x>0.49424</cdr:x>
      <cdr:y>0.99426</cdr:y>
    </cdr:to>
    <cdr:graphicFrame macro="">
      <cdr:nvGraphicFramePr>
        <cdr:cNvPr id="4" name="Chart 8">
          <a:extLst xmlns:a="http://schemas.openxmlformats.org/drawingml/2006/main">
            <a:ext uri="{FF2B5EF4-FFF2-40B4-BE49-F238E27FC236}">
              <a16:creationId xmlns:a16="http://schemas.microsoft.com/office/drawing/2014/main" id="{478F0F52-DC0F-4DF6-8E70-4B4D9B4BE6A7}"/>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cdr:graphicFrame>
  </cdr:relSizeAnchor>
  <cdr:relSizeAnchor xmlns:cdr="http://schemas.openxmlformats.org/drawingml/2006/chartDrawing">
    <cdr:from>
      <cdr:x>0.50516</cdr:x>
      <cdr:y>0.50599</cdr:y>
    </cdr:from>
    <cdr:to>
      <cdr:x>0.99044</cdr:x>
      <cdr:y>0.99327</cdr:y>
    </cdr:to>
    <cdr:graphicFrame macro="">
      <cdr:nvGraphicFramePr>
        <cdr:cNvPr id="5" name="Chart 9">
          <a:extLst xmlns:a="http://schemas.openxmlformats.org/drawingml/2006/main">
            <a:ext uri="{FF2B5EF4-FFF2-40B4-BE49-F238E27FC236}">
              <a16:creationId xmlns:a16="http://schemas.microsoft.com/office/drawing/2014/main" id="{909F96A1-ED8B-4BA7-AF17-92F2243710F7}"/>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cdr:graphicFrame>
  </cdr:relSizeAnchor>
</c:userShapes>
</file>

<file path=xl/drawings/drawing5.xml><?xml version="1.0" encoding="utf-8"?>
<xdr:wsDr xmlns:xdr="http://schemas.openxmlformats.org/drawingml/2006/spreadsheetDrawing" xmlns:a="http://schemas.openxmlformats.org/drawingml/2006/main">
  <xdr:twoCellAnchor>
    <xdr:from>
      <xdr:col>17</xdr:col>
      <xdr:colOff>1358900</xdr:colOff>
      <xdr:row>27</xdr:row>
      <xdr:rowOff>177800</xdr:rowOff>
    </xdr:from>
    <xdr:to>
      <xdr:col>23</xdr:col>
      <xdr:colOff>266700</xdr:colOff>
      <xdr:row>42</xdr:row>
      <xdr:rowOff>63500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469900</xdr:colOff>
      <xdr:row>27</xdr:row>
      <xdr:rowOff>146050</xdr:rowOff>
    </xdr:from>
    <xdr:to>
      <xdr:col>17</xdr:col>
      <xdr:colOff>965200</xdr:colOff>
      <xdr:row>42</xdr:row>
      <xdr:rowOff>31750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596900</xdr:colOff>
      <xdr:row>52</xdr:row>
      <xdr:rowOff>82550</xdr:rowOff>
    </xdr:from>
    <xdr:to>
      <xdr:col>17</xdr:col>
      <xdr:colOff>1092200</xdr:colOff>
      <xdr:row>66</xdr:row>
      <xdr:rowOff>158750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495300</xdr:colOff>
      <xdr:row>76</xdr:row>
      <xdr:rowOff>19050</xdr:rowOff>
    </xdr:from>
    <xdr:to>
      <xdr:col>17</xdr:col>
      <xdr:colOff>990600</xdr:colOff>
      <xdr:row>90</xdr:row>
      <xdr:rowOff>95250</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508000</xdr:colOff>
      <xdr:row>99</xdr:row>
      <xdr:rowOff>95250</xdr:rowOff>
    </xdr:from>
    <xdr:to>
      <xdr:col>17</xdr:col>
      <xdr:colOff>1003300</xdr:colOff>
      <xdr:row>113</xdr:row>
      <xdr:rowOff>171450</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431800</xdr:colOff>
      <xdr:row>124</xdr:row>
      <xdr:rowOff>19050</xdr:rowOff>
    </xdr:from>
    <xdr:to>
      <xdr:col>17</xdr:col>
      <xdr:colOff>927100</xdr:colOff>
      <xdr:row>138</xdr:row>
      <xdr:rowOff>95250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431800</xdr:colOff>
      <xdr:row>148</xdr:row>
      <xdr:rowOff>44450</xdr:rowOff>
    </xdr:from>
    <xdr:to>
      <xdr:col>17</xdr:col>
      <xdr:colOff>927100</xdr:colOff>
      <xdr:row>162</xdr:row>
      <xdr:rowOff>120650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431800</xdr:colOff>
      <xdr:row>172</xdr:row>
      <xdr:rowOff>31750</xdr:rowOff>
    </xdr:from>
    <xdr:to>
      <xdr:col>17</xdr:col>
      <xdr:colOff>927100</xdr:colOff>
      <xdr:row>186</xdr:row>
      <xdr:rowOff>107950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406400</xdr:colOff>
      <xdr:row>196</xdr:row>
      <xdr:rowOff>19050</xdr:rowOff>
    </xdr:from>
    <xdr:to>
      <xdr:col>17</xdr:col>
      <xdr:colOff>901700</xdr:colOff>
      <xdr:row>210</xdr:row>
      <xdr:rowOff>95250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368300</xdr:colOff>
      <xdr:row>220</xdr:row>
      <xdr:rowOff>19050</xdr:rowOff>
    </xdr:from>
    <xdr:to>
      <xdr:col>17</xdr:col>
      <xdr:colOff>863600</xdr:colOff>
      <xdr:row>234</xdr:row>
      <xdr:rowOff>95250</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406400</xdr:colOff>
      <xdr:row>243</xdr:row>
      <xdr:rowOff>184150</xdr:rowOff>
    </xdr:from>
    <xdr:to>
      <xdr:col>17</xdr:col>
      <xdr:colOff>901700</xdr:colOff>
      <xdr:row>258</xdr:row>
      <xdr:rowOff>69850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419100</xdr:colOff>
      <xdr:row>268</xdr:row>
      <xdr:rowOff>19050</xdr:rowOff>
    </xdr:from>
    <xdr:to>
      <xdr:col>17</xdr:col>
      <xdr:colOff>914400</xdr:colOff>
      <xdr:row>282</xdr:row>
      <xdr:rowOff>95250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419100</xdr:colOff>
      <xdr:row>292</xdr:row>
      <xdr:rowOff>44450</xdr:rowOff>
    </xdr:from>
    <xdr:to>
      <xdr:col>17</xdr:col>
      <xdr:colOff>914400</xdr:colOff>
      <xdr:row>306</xdr:row>
      <xdr:rowOff>120650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406400</xdr:colOff>
      <xdr:row>315</xdr:row>
      <xdr:rowOff>184150</xdr:rowOff>
    </xdr:from>
    <xdr:to>
      <xdr:col>17</xdr:col>
      <xdr:colOff>901700</xdr:colOff>
      <xdr:row>330</xdr:row>
      <xdr:rowOff>69850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406400</xdr:colOff>
      <xdr:row>340</xdr:row>
      <xdr:rowOff>44450</xdr:rowOff>
    </xdr:from>
    <xdr:to>
      <xdr:col>17</xdr:col>
      <xdr:colOff>901700</xdr:colOff>
      <xdr:row>354</xdr:row>
      <xdr:rowOff>120650</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431800</xdr:colOff>
      <xdr:row>364</xdr:row>
      <xdr:rowOff>19050</xdr:rowOff>
    </xdr:from>
    <xdr:to>
      <xdr:col>17</xdr:col>
      <xdr:colOff>927100</xdr:colOff>
      <xdr:row>378</xdr:row>
      <xdr:rowOff>95250</xdr:rowOff>
    </xdr:to>
    <xdr:graphicFrame macro="">
      <xdr:nvGraphicFramePr>
        <xdr:cNvPr id="21" name="Chart 20">
          <a:extLst>
            <a:ext uri="{FF2B5EF4-FFF2-40B4-BE49-F238E27FC236}">
              <a16:creationId xmlns:a16="http://schemas.microsoft.com/office/drawing/2014/main" id="{00000000-0008-0000-06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406400</xdr:colOff>
      <xdr:row>388</xdr:row>
      <xdr:rowOff>19050</xdr:rowOff>
    </xdr:from>
    <xdr:to>
      <xdr:col>17</xdr:col>
      <xdr:colOff>901700</xdr:colOff>
      <xdr:row>402</xdr:row>
      <xdr:rowOff>95250</xdr:rowOff>
    </xdr:to>
    <xdr:graphicFrame macro="">
      <xdr:nvGraphicFramePr>
        <xdr:cNvPr id="22" name="Chart 21">
          <a:extLst>
            <a:ext uri="{FF2B5EF4-FFF2-40B4-BE49-F238E27FC236}">
              <a16:creationId xmlns:a16="http://schemas.microsoft.com/office/drawing/2014/main" id="{00000000-0008-0000-06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431800</xdr:colOff>
      <xdr:row>412</xdr:row>
      <xdr:rowOff>6350</xdr:rowOff>
    </xdr:from>
    <xdr:to>
      <xdr:col>17</xdr:col>
      <xdr:colOff>927100</xdr:colOff>
      <xdr:row>426</xdr:row>
      <xdr:rowOff>82550</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406400</xdr:colOff>
      <xdr:row>436</xdr:row>
      <xdr:rowOff>6350</xdr:rowOff>
    </xdr:from>
    <xdr:to>
      <xdr:col>17</xdr:col>
      <xdr:colOff>901700</xdr:colOff>
      <xdr:row>450</xdr:row>
      <xdr:rowOff>82550</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469900</xdr:colOff>
      <xdr:row>460</xdr:row>
      <xdr:rowOff>57150</xdr:rowOff>
    </xdr:from>
    <xdr:to>
      <xdr:col>17</xdr:col>
      <xdr:colOff>965200</xdr:colOff>
      <xdr:row>474</xdr:row>
      <xdr:rowOff>133350</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495300</xdr:colOff>
      <xdr:row>484</xdr:row>
      <xdr:rowOff>6350</xdr:rowOff>
    </xdr:from>
    <xdr:to>
      <xdr:col>17</xdr:col>
      <xdr:colOff>990600</xdr:colOff>
      <xdr:row>498</xdr:row>
      <xdr:rowOff>82550</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17</xdr:col>
      <xdr:colOff>1320800</xdr:colOff>
      <xdr:row>4</xdr:row>
      <xdr:rowOff>25400</xdr:rowOff>
    </xdr:from>
    <xdr:to>
      <xdr:col>23</xdr:col>
      <xdr:colOff>228600</xdr:colOff>
      <xdr:row>18</xdr:row>
      <xdr:rowOff>101600</xdr:rowOff>
    </xdr:to>
    <xdr:graphicFrame macro="">
      <xdr:nvGraphicFramePr>
        <xdr:cNvPr id="47" name="Chart 46">
          <a:extLst>
            <a:ext uri="{FF2B5EF4-FFF2-40B4-BE49-F238E27FC236}">
              <a16:creationId xmlns:a16="http://schemas.microsoft.com/office/drawing/2014/main" id="{00000000-0008-0000-06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xdr:col>
      <xdr:colOff>1574800</xdr:colOff>
      <xdr:row>52</xdr:row>
      <xdr:rowOff>76200</xdr:rowOff>
    </xdr:from>
    <xdr:to>
      <xdr:col>23</xdr:col>
      <xdr:colOff>482600</xdr:colOff>
      <xdr:row>66</xdr:row>
      <xdr:rowOff>152400</xdr:rowOff>
    </xdr:to>
    <xdr:graphicFrame macro="">
      <xdr:nvGraphicFramePr>
        <xdr:cNvPr id="49" name="Chart 48">
          <a:extLst>
            <a:ext uri="{FF2B5EF4-FFF2-40B4-BE49-F238E27FC236}">
              <a16:creationId xmlns:a16="http://schemas.microsoft.com/office/drawing/2014/main" id="{00000000-0008-0000-06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1473200</xdr:colOff>
      <xdr:row>76</xdr:row>
      <xdr:rowOff>42333</xdr:rowOff>
    </xdr:from>
    <xdr:to>
      <xdr:col>23</xdr:col>
      <xdr:colOff>381000</xdr:colOff>
      <xdr:row>90</xdr:row>
      <xdr:rowOff>118533</xdr:rowOff>
    </xdr:to>
    <xdr:graphicFrame macro="">
      <xdr:nvGraphicFramePr>
        <xdr:cNvPr id="50" name="Chart 49">
          <a:extLst>
            <a:ext uri="{FF2B5EF4-FFF2-40B4-BE49-F238E27FC236}">
              <a16:creationId xmlns:a16="http://schemas.microsoft.com/office/drawing/2014/main" id="{00000000-0008-0000-06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17</xdr:col>
      <xdr:colOff>1540934</xdr:colOff>
      <xdr:row>99</xdr:row>
      <xdr:rowOff>110066</xdr:rowOff>
    </xdr:from>
    <xdr:to>
      <xdr:col>23</xdr:col>
      <xdr:colOff>448734</xdr:colOff>
      <xdr:row>114</xdr:row>
      <xdr:rowOff>0</xdr:rowOff>
    </xdr:to>
    <xdr:graphicFrame macro="">
      <xdr:nvGraphicFramePr>
        <xdr:cNvPr id="51" name="Chart 50">
          <a:extLst>
            <a:ext uri="{FF2B5EF4-FFF2-40B4-BE49-F238E27FC236}">
              <a16:creationId xmlns:a16="http://schemas.microsoft.com/office/drawing/2014/main" id="{00000000-0008-0000-06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17</xdr:col>
      <xdr:colOff>1388534</xdr:colOff>
      <xdr:row>124</xdr:row>
      <xdr:rowOff>42333</xdr:rowOff>
    </xdr:from>
    <xdr:to>
      <xdr:col>23</xdr:col>
      <xdr:colOff>296334</xdr:colOff>
      <xdr:row>138</xdr:row>
      <xdr:rowOff>118533</xdr:rowOff>
    </xdr:to>
    <xdr:graphicFrame macro="">
      <xdr:nvGraphicFramePr>
        <xdr:cNvPr id="52" name="Chart 51">
          <a:extLst>
            <a:ext uri="{FF2B5EF4-FFF2-40B4-BE49-F238E27FC236}">
              <a16:creationId xmlns:a16="http://schemas.microsoft.com/office/drawing/2014/main" id="{00000000-0008-0000-06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17</xdr:col>
      <xdr:colOff>1320801</xdr:colOff>
      <xdr:row>148</xdr:row>
      <xdr:rowOff>42333</xdr:rowOff>
    </xdr:from>
    <xdr:to>
      <xdr:col>23</xdr:col>
      <xdr:colOff>228601</xdr:colOff>
      <xdr:row>162</xdr:row>
      <xdr:rowOff>118533</xdr:rowOff>
    </xdr:to>
    <xdr:graphicFrame macro="">
      <xdr:nvGraphicFramePr>
        <xdr:cNvPr id="53" name="Chart 52">
          <a:extLst>
            <a:ext uri="{FF2B5EF4-FFF2-40B4-BE49-F238E27FC236}">
              <a16:creationId xmlns:a16="http://schemas.microsoft.com/office/drawing/2014/main" id="{00000000-0008-0000-06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17</xdr:col>
      <xdr:colOff>1432561</xdr:colOff>
      <xdr:row>172</xdr:row>
      <xdr:rowOff>32173</xdr:rowOff>
    </xdr:from>
    <xdr:to>
      <xdr:col>23</xdr:col>
      <xdr:colOff>340361</xdr:colOff>
      <xdr:row>186</xdr:row>
      <xdr:rowOff>108373</xdr:rowOff>
    </xdr:to>
    <xdr:graphicFrame macro="">
      <xdr:nvGraphicFramePr>
        <xdr:cNvPr id="29" name="Chart 28">
          <a:extLst>
            <a:ext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17</xdr:col>
      <xdr:colOff>1394461</xdr:colOff>
      <xdr:row>196</xdr:row>
      <xdr:rowOff>32173</xdr:rowOff>
    </xdr:from>
    <xdr:to>
      <xdr:col>23</xdr:col>
      <xdr:colOff>302261</xdr:colOff>
      <xdr:row>210</xdr:row>
      <xdr:rowOff>108373</xdr:rowOff>
    </xdr:to>
    <xdr:graphicFrame macro="">
      <xdr:nvGraphicFramePr>
        <xdr:cNvPr id="30" name="Chart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17</xdr:col>
      <xdr:colOff>1305561</xdr:colOff>
      <xdr:row>220</xdr:row>
      <xdr:rowOff>19473</xdr:rowOff>
    </xdr:from>
    <xdr:to>
      <xdr:col>23</xdr:col>
      <xdr:colOff>213361</xdr:colOff>
      <xdr:row>234</xdr:row>
      <xdr:rowOff>95673</xdr:rowOff>
    </xdr:to>
    <xdr:graphicFrame macro="">
      <xdr:nvGraphicFramePr>
        <xdr:cNvPr id="31" name="Chart 30">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17</xdr:col>
      <xdr:colOff>1432561</xdr:colOff>
      <xdr:row>244</xdr:row>
      <xdr:rowOff>32173</xdr:rowOff>
    </xdr:from>
    <xdr:to>
      <xdr:col>23</xdr:col>
      <xdr:colOff>340361</xdr:colOff>
      <xdr:row>258</xdr:row>
      <xdr:rowOff>108373</xdr:rowOff>
    </xdr:to>
    <xdr:graphicFrame macro="">
      <xdr:nvGraphicFramePr>
        <xdr:cNvPr id="32" name="Chart 31">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17</xdr:col>
      <xdr:colOff>1229361</xdr:colOff>
      <xdr:row>267</xdr:row>
      <xdr:rowOff>184573</xdr:rowOff>
    </xdr:from>
    <xdr:to>
      <xdr:col>23</xdr:col>
      <xdr:colOff>137161</xdr:colOff>
      <xdr:row>282</xdr:row>
      <xdr:rowOff>70273</xdr:rowOff>
    </xdr:to>
    <xdr:graphicFrame macro="">
      <xdr:nvGraphicFramePr>
        <xdr:cNvPr id="33" name="Chart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17</xdr:col>
      <xdr:colOff>1267461</xdr:colOff>
      <xdr:row>292</xdr:row>
      <xdr:rowOff>32173</xdr:rowOff>
    </xdr:from>
    <xdr:to>
      <xdr:col>23</xdr:col>
      <xdr:colOff>175261</xdr:colOff>
      <xdr:row>306</xdr:row>
      <xdr:rowOff>108373</xdr:rowOff>
    </xdr:to>
    <xdr:graphicFrame macro="">
      <xdr:nvGraphicFramePr>
        <xdr:cNvPr id="34" name="Chart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17</xdr:col>
      <xdr:colOff>1292861</xdr:colOff>
      <xdr:row>316</xdr:row>
      <xdr:rowOff>32173</xdr:rowOff>
    </xdr:from>
    <xdr:to>
      <xdr:col>23</xdr:col>
      <xdr:colOff>200661</xdr:colOff>
      <xdr:row>330</xdr:row>
      <xdr:rowOff>108373</xdr:rowOff>
    </xdr:to>
    <xdr:graphicFrame macro="">
      <xdr:nvGraphicFramePr>
        <xdr:cNvPr id="35" name="Chart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17</xdr:col>
      <xdr:colOff>1178561</xdr:colOff>
      <xdr:row>340</xdr:row>
      <xdr:rowOff>32173</xdr:rowOff>
    </xdr:from>
    <xdr:to>
      <xdr:col>23</xdr:col>
      <xdr:colOff>86361</xdr:colOff>
      <xdr:row>354</xdr:row>
      <xdr:rowOff>108373</xdr:rowOff>
    </xdr:to>
    <xdr:graphicFrame macro="">
      <xdr:nvGraphicFramePr>
        <xdr:cNvPr id="36" name="Chart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17</xdr:col>
      <xdr:colOff>1267461</xdr:colOff>
      <xdr:row>363</xdr:row>
      <xdr:rowOff>184573</xdr:rowOff>
    </xdr:from>
    <xdr:to>
      <xdr:col>23</xdr:col>
      <xdr:colOff>175261</xdr:colOff>
      <xdr:row>378</xdr:row>
      <xdr:rowOff>70273</xdr:rowOff>
    </xdr:to>
    <xdr:graphicFrame macro="">
      <xdr:nvGraphicFramePr>
        <xdr:cNvPr id="37" name="Chart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17</xdr:col>
      <xdr:colOff>1280161</xdr:colOff>
      <xdr:row>388</xdr:row>
      <xdr:rowOff>19473</xdr:rowOff>
    </xdr:from>
    <xdr:to>
      <xdr:col>23</xdr:col>
      <xdr:colOff>187961</xdr:colOff>
      <xdr:row>402</xdr:row>
      <xdr:rowOff>95673</xdr:rowOff>
    </xdr:to>
    <xdr:graphicFrame macro="">
      <xdr:nvGraphicFramePr>
        <xdr:cNvPr id="38" name="Chart 37">
          <a:extLst>
            <a:ext uri="{FF2B5EF4-FFF2-40B4-BE49-F238E27FC236}">
              <a16:creationId xmlns:a16="http://schemas.microsoft.com/office/drawing/2014/main" id="{00000000-0008-0000-06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17</xdr:col>
      <xdr:colOff>1254761</xdr:colOff>
      <xdr:row>412</xdr:row>
      <xdr:rowOff>32173</xdr:rowOff>
    </xdr:from>
    <xdr:to>
      <xdr:col>23</xdr:col>
      <xdr:colOff>162561</xdr:colOff>
      <xdr:row>426</xdr:row>
      <xdr:rowOff>108373</xdr:rowOff>
    </xdr:to>
    <xdr:graphicFrame macro="">
      <xdr:nvGraphicFramePr>
        <xdr:cNvPr id="39" name="Chart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17</xdr:col>
      <xdr:colOff>1165861</xdr:colOff>
      <xdr:row>436</xdr:row>
      <xdr:rowOff>6773</xdr:rowOff>
    </xdr:from>
    <xdr:to>
      <xdr:col>23</xdr:col>
      <xdr:colOff>73661</xdr:colOff>
      <xdr:row>450</xdr:row>
      <xdr:rowOff>82973</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17</xdr:col>
      <xdr:colOff>1216661</xdr:colOff>
      <xdr:row>460</xdr:row>
      <xdr:rowOff>57573</xdr:rowOff>
    </xdr:from>
    <xdr:to>
      <xdr:col>23</xdr:col>
      <xdr:colOff>124461</xdr:colOff>
      <xdr:row>474</xdr:row>
      <xdr:rowOff>133773</xdr:rowOff>
    </xdr:to>
    <xdr:graphicFrame macro="">
      <xdr:nvGraphicFramePr>
        <xdr:cNvPr id="41" name="Chart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17</xdr:col>
      <xdr:colOff>1267461</xdr:colOff>
      <xdr:row>483</xdr:row>
      <xdr:rowOff>197273</xdr:rowOff>
    </xdr:from>
    <xdr:to>
      <xdr:col>23</xdr:col>
      <xdr:colOff>175261</xdr:colOff>
      <xdr:row>498</xdr:row>
      <xdr:rowOff>70273</xdr:rowOff>
    </xdr:to>
    <xdr:graphicFrame macro="">
      <xdr:nvGraphicFramePr>
        <xdr:cNvPr id="63" name="Chart 62">
          <a:extLst>
            <a:ext uri="{FF2B5EF4-FFF2-40B4-BE49-F238E27FC236}">
              <a16:creationId xmlns:a16="http://schemas.microsoft.com/office/drawing/2014/main" id="{00000000-0008-0000-06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0" y="0"/>
    <xdr:ext cx="6290930" cy="8120616"/>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0.02063</cdr:x>
      <cdr:y>0.0103</cdr:y>
    </cdr:from>
    <cdr:to>
      <cdr:x>0.5141</cdr:x>
      <cdr:y>0.23575</cdr:y>
    </cdr:to>
    <cdr:graphicFrame macro="">
      <cdr:nvGraphicFramePr>
        <cdr:cNvPr id="2" name="Chart 41">
          <a:extLst xmlns:a="http://schemas.openxmlformats.org/drawingml/2006/main">
            <a:ext uri="{FF2B5EF4-FFF2-40B4-BE49-F238E27FC236}">
              <a16:creationId xmlns:a16="http://schemas.microsoft.com/office/drawing/2014/main" id="{553E5167-371B-493E-9690-991253AF23E9}"/>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0.53136</cdr:x>
      <cdr:y>0.01028</cdr:y>
    </cdr:from>
    <cdr:to>
      <cdr:x>0.96778</cdr:x>
      <cdr:y>0.23573</cdr:y>
    </cdr:to>
    <cdr:graphicFrame macro="">
      <cdr:nvGraphicFramePr>
        <cdr:cNvPr id="3" name="Chart 42">
          <a:extLst xmlns:a="http://schemas.openxmlformats.org/drawingml/2006/main">
            <a:ext uri="{FF2B5EF4-FFF2-40B4-BE49-F238E27FC236}">
              <a16:creationId xmlns:a16="http://schemas.microsoft.com/office/drawing/2014/main" id="{39A5C599-0FE9-4B4B-94FA-3D9D209A8604}"/>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cdr:graphicFrame>
  </cdr:relSizeAnchor>
  <cdr:relSizeAnchor xmlns:cdr="http://schemas.openxmlformats.org/drawingml/2006/chartDrawing">
    <cdr:from>
      <cdr:x>0.02063</cdr:x>
      <cdr:y>0.25943</cdr:y>
    </cdr:from>
    <cdr:to>
      <cdr:x>0.5141</cdr:x>
      <cdr:y>0.48488</cdr:y>
    </cdr:to>
    <cdr:graphicFrame macro="">
      <cdr:nvGraphicFramePr>
        <cdr:cNvPr id="4" name="Chart 41">
          <a:extLst xmlns:a="http://schemas.openxmlformats.org/drawingml/2006/main">
            <a:ext uri="{FF2B5EF4-FFF2-40B4-BE49-F238E27FC236}">
              <a16:creationId xmlns:a16="http://schemas.microsoft.com/office/drawing/2014/main" id="{BC052118-1CBC-491D-9D4E-133EBF5A4D72}"/>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cdr:graphicFrame>
  </cdr:relSizeAnchor>
  <cdr:relSizeAnchor xmlns:cdr="http://schemas.openxmlformats.org/drawingml/2006/chartDrawing">
    <cdr:from>
      <cdr:x>0.5287</cdr:x>
      <cdr:y>0.26111</cdr:y>
    </cdr:from>
    <cdr:to>
      <cdr:x>0.96539</cdr:x>
      <cdr:y>0.48657</cdr:y>
    </cdr:to>
    <cdr:graphicFrame macro="">
      <cdr:nvGraphicFramePr>
        <cdr:cNvPr id="5" name="Chart 42">
          <a:extLst xmlns:a="http://schemas.openxmlformats.org/drawingml/2006/main">
            <a:ext uri="{FF2B5EF4-FFF2-40B4-BE49-F238E27FC236}">
              <a16:creationId xmlns:a16="http://schemas.microsoft.com/office/drawing/2014/main" id="{80431A71-EABF-44CB-97DD-1F16A4D90634}"/>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cdr:graphicFrame>
  </cdr:relSizeAnchor>
  <cdr:relSizeAnchor xmlns:cdr="http://schemas.openxmlformats.org/drawingml/2006/chartDrawing">
    <cdr:from>
      <cdr:x>0.01846</cdr:x>
      <cdr:y>0.50673</cdr:y>
    </cdr:from>
    <cdr:to>
      <cdr:x>0.51192</cdr:x>
      <cdr:y>0.73219</cdr:y>
    </cdr:to>
    <cdr:graphicFrame macro="">
      <cdr:nvGraphicFramePr>
        <cdr:cNvPr id="6" name="Chart 43">
          <a:extLst xmlns:a="http://schemas.openxmlformats.org/drawingml/2006/main">
            <a:ext uri="{FF2B5EF4-FFF2-40B4-BE49-F238E27FC236}">
              <a16:creationId xmlns:a16="http://schemas.microsoft.com/office/drawing/2014/main" id="{C1E73A84-56B7-4A0F-AE6D-0BE96704343D}"/>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cdr:graphicFrame>
  </cdr:relSizeAnchor>
  <cdr:relSizeAnchor xmlns:cdr="http://schemas.openxmlformats.org/drawingml/2006/chartDrawing">
    <cdr:from>
      <cdr:x>0.01739</cdr:x>
      <cdr:y>0.75589</cdr:y>
    </cdr:from>
    <cdr:to>
      <cdr:x>0.51086</cdr:x>
      <cdr:y>0.98135</cdr:y>
    </cdr:to>
    <cdr:graphicFrame macro="">
      <cdr:nvGraphicFramePr>
        <cdr:cNvPr id="7" name="Chart 45">
          <a:extLst xmlns:a="http://schemas.openxmlformats.org/drawingml/2006/main">
            <a:ext uri="{FF2B5EF4-FFF2-40B4-BE49-F238E27FC236}">
              <a16:creationId xmlns:a16="http://schemas.microsoft.com/office/drawing/2014/main" id="{6D51784D-D7D1-4D86-A6F1-2E62A17950F2}"/>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cdr:graphicFrame>
  </cdr:relSizeAnchor>
  <cdr:relSizeAnchor xmlns:cdr="http://schemas.openxmlformats.org/drawingml/2006/chartDrawing">
    <cdr:from>
      <cdr:x>0.52826</cdr:x>
      <cdr:y>0.50673</cdr:y>
    </cdr:from>
    <cdr:to>
      <cdr:x>0.96496</cdr:x>
      <cdr:y>0.73219</cdr:y>
    </cdr:to>
    <cdr:graphicFrame macro="">
      <cdr:nvGraphicFramePr>
        <cdr:cNvPr id="8" name="Chart 44">
          <a:extLst xmlns:a="http://schemas.openxmlformats.org/drawingml/2006/main">
            <a:ext uri="{FF2B5EF4-FFF2-40B4-BE49-F238E27FC236}">
              <a16:creationId xmlns:a16="http://schemas.microsoft.com/office/drawing/2014/main" id="{6136F546-C0EF-45FF-8B48-5BD15314C150}"/>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cdr:graphicFrame>
  </cdr:relSizeAnchor>
  <cdr:relSizeAnchor xmlns:cdr="http://schemas.openxmlformats.org/drawingml/2006/chartDrawing">
    <cdr:from>
      <cdr:x>0.53043</cdr:x>
      <cdr:y>0.75589</cdr:y>
    </cdr:from>
    <cdr:to>
      <cdr:x>0.96713</cdr:x>
      <cdr:y>0.98135</cdr:y>
    </cdr:to>
    <cdr:graphicFrame macro="">
      <cdr:nvGraphicFramePr>
        <cdr:cNvPr id="9" name="Chart 47">
          <a:extLst xmlns:a="http://schemas.openxmlformats.org/drawingml/2006/main">
            <a:ext uri="{FF2B5EF4-FFF2-40B4-BE49-F238E27FC236}">
              <a16:creationId xmlns:a16="http://schemas.microsoft.com/office/drawing/2014/main" id="{84ABBEAB-37A9-4A04-801F-AD9B314B2F0C}"/>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cdr:graphicFrame>
  </cdr:relSizeAnchor>
</c:userShapes>
</file>

<file path=xl/drawings/drawing8.xml><?xml version="1.0" encoding="utf-8"?>
<xdr:wsDr xmlns:xdr="http://schemas.openxmlformats.org/drawingml/2006/spreadsheetDrawing" xmlns:a="http://schemas.openxmlformats.org/drawingml/2006/main">
  <xdr:absoluteAnchor>
    <xdr:pos x="0" y="0"/>
    <xdr:ext cx="6378864" cy="8558068"/>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0.01905</cdr:x>
      <cdr:y>0.0362</cdr:y>
    </cdr:from>
    <cdr:to>
      <cdr:x>0.505</cdr:x>
      <cdr:y>0.24989</cdr:y>
    </cdr:to>
    <cdr:graphicFrame macro="">
      <cdr:nvGraphicFramePr>
        <cdr:cNvPr id="2" name="Chart 53">
          <a:extLst xmlns:a="http://schemas.openxmlformats.org/drawingml/2006/main">
            <a:ext uri="{FF2B5EF4-FFF2-40B4-BE49-F238E27FC236}">
              <a16:creationId xmlns:a16="http://schemas.microsoft.com/office/drawing/2014/main" id="{7E8203A5-D166-43EB-8489-454269363146}"/>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0.01774</cdr:x>
      <cdr:y>0.28095</cdr:y>
    </cdr:from>
    <cdr:to>
      <cdr:x>0.50369</cdr:x>
      <cdr:y>0.49464</cdr:y>
    </cdr:to>
    <cdr:graphicFrame macro="">
      <cdr:nvGraphicFramePr>
        <cdr:cNvPr id="3" name="Chart 54">
          <a:extLst xmlns:a="http://schemas.openxmlformats.org/drawingml/2006/main">
            <a:ext uri="{FF2B5EF4-FFF2-40B4-BE49-F238E27FC236}">
              <a16:creationId xmlns:a16="http://schemas.microsoft.com/office/drawing/2014/main" id="{A02B6E41-5ABF-47F8-975A-FB185815735D}"/>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cdr:graphicFrame>
  </cdr:relSizeAnchor>
  <cdr:relSizeAnchor xmlns:cdr="http://schemas.openxmlformats.org/drawingml/2006/chartDrawing">
    <cdr:from>
      <cdr:x>0.54344</cdr:x>
      <cdr:y>0.03474</cdr:y>
    </cdr:from>
    <cdr:to>
      <cdr:x>0.97348</cdr:x>
      <cdr:y>0.24843</cdr:y>
    </cdr:to>
    <cdr:graphicFrame macro="">
      <cdr:nvGraphicFramePr>
        <cdr:cNvPr id="4" name="Chart 55">
          <a:extLst xmlns:a="http://schemas.openxmlformats.org/drawingml/2006/main">
            <a:ext uri="{FF2B5EF4-FFF2-40B4-BE49-F238E27FC236}">
              <a16:creationId xmlns:a16="http://schemas.microsoft.com/office/drawing/2014/main" id="{4D3079F9-9125-4349-8672-206FE3348E0A}"/>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cdr:graphicFrame>
  </cdr:relSizeAnchor>
  <cdr:relSizeAnchor xmlns:cdr="http://schemas.openxmlformats.org/drawingml/2006/chartDrawing">
    <cdr:from>
      <cdr:x>0.54118</cdr:x>
      <cdr:y>0.28095</cdr:y>
    </cdr:from>
    <cdr:to>
      <cdr:x>0.97122</cdr:x>
      <cdr:y>0.49464</cdr:y>
    </cdr:to>
    <cdr:graphicFrame macro="">
      <cdr:nvGraphicFramePr>
        <cdr:cNvPr id="5" name="Chart 56">
          <a:extLst xmlns:a="http://schemas.openxmlformats.org/drawingml/2006/main">
            <a:ext uri="{FF2B5EF4-FFF2-40B4-BE49-F238E27FC236}">
              <a16:creationId xmlns:a16="http://schemas.microsoft.com/office/drawing/2014/main" id="{ECE59442-AB12-4797-BEBC-88CCDB01CE8E}"/>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cdr:graphicFrame>
  </cdr:relSizeAnchor>
  <cdr:relSizeAnchor xmlns:cdr="http://schemas.openxmlformats.org/drawingml/2006/chartDrawing">
    <cdr:from>
      <cdr:x>0.01774</cdr:x>
      <cdr:y>0.51872</cdr:y>
    </cdr:from>
    <cdr:to>
      <cdr:x>0.50369</cdr:x>
      <cdr:y>0.73241</cdr:y>
    </cdr:to>
    <cdr:graphicFrame macro="">
      <cdr:nvGraphicFramePr>
        <cdr:cNvPr id="6" name="Chart 57">
          <a:extLst xmlns:a="http://schemas.openxmlformats.org/drawingml/2006/main">
            <a:ext uri="{FF2B5EF4-FFF2-40B4-BE49-F238E27FC236}">
              <a16:creationId xmlns:a16="http://schemas.microsoft.com/office/drawing/2014/main" id="{74866AC5-5E9F-46D1-BBEF-7DDDAC61F2AC}"/>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cdr:graphicFrame>
  </cdr:relSizeAnchor>
  <cdr:relSizeAnchor xmlns:cdr="http://schemas.openxmlformats.org/drawingml/2006/chartDrawing">
    <cdr:from>
      <cdr:x>0.01548</cdr:x>
      <cdr:y>0.76155</cdr:y>
    </cdr:from>
    <cdr:to>
      <cdr:x>0.50143</cdr:x>
      <cdr:y>0.97524</cdr:y>
    </cdr:to>
    <cdr:graphicFrame macro="">
      <cdr:nvGraphicFramePr>
        <cdr:cNvPr id="7" name="Chart 58">
          <a:extLst xmlns:a="http://schemas.openxmlformats.org/drawingml/2006/main">
            <a:ext uri="{FF2B5EF4-FFF2-40B4-BE49-F238E27FC236}">
              <a16:creationId xmlns:a16="http://schemas.microsoft.com/office/drawing/2014/main" id="{47CCD249-20E8-4FCC-ACDE-557AEFA99E3E}"/>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cdr:graphicFrame>
  </cdr:relSizeAnchor>
  <cdr:relSizeAnchor xmlns:cdr="http://schemas.openxmlformats.org/drawingml/2006/chartDrawing">
    <cdr:from>
      <cdr:x>0.54118</cdr:x>
      <cdr:y>0.51872</cdr:y>
    </cdr:from>
    <cdr:to>
      <cdr:x>0.97122</cdr:x>
      <cdr:y>0.73241</cdr:y>
    </cdr:to>
    <cdr:graphicFrame macro="">
      <cdr:nvGraphicFramePr>
        <cdr:cNvPr id="8" name="Chart 59">
          <a:extLst xmlns:a="http://schemas.openxmlformats.org/drawingml/2006/main">
            <a:ext uri="{FF2B5EF4-FFF2-40B4-BE49-F238E27FC236}">
              <a16:creationId xmlns:a16="http://schemas.microsoft.com/office/drawing/2014/main" id="{D917575B-2566-47F0-A268-C69CB8DC7956}"/>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cdr:graphicFrame>
  </cdr:relSizeAnchor>
  <cdr:relSizeAnchor xmlns:cdr="http://schemas.openxmlformats.org/drawingml/2006/chartDrawing">
    <cdr:from>
      <cdr:x>0.53665</cdr:x>
      <cdr:y>0.76155</cdr:y>
    </cdr:from>
    <cdr:to>
      <cdr:x>0.9667</cdr:x>
      <cdr:y>0.97524</cdr:y>
    </cdr:to>
    <cdr:graphicFrame macro="">
      <cdr:nvGraphicFramePr>
        <cdr:cNvPr id="9" name="Chart 60">
          <a:extLst xmlns:a="http://schemas.openxmlformats.org/drawingml/2006/main">
            <a:ext uri="{FF2B5EF4-FFF2-40B4-BE49-F238E27FC236}">
              <a16:creationId xmlns:a16="http://schemas.microsoft.com/office/drawing/2014/main" id="{B3EF9406-4514-4846-B601-9727384B57AB}"/>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cdr:graphicFrame>
  </cdr:relSizeAnchor>
</c:userShapes>
</file>

<file path=xl/drawings/drawing10.xml><?xml version="1.0" encoding="utf-8"?>
<xdr:wsDr xmlns:xdr="http://schemas.openxmlformats.org/drawingml/2006/spreadsheetDrawing" xmlns:a="http://schemas.openxmlformats.org/drawingml/2006/main">
  <xdr:absoluteAnchor>
    <xdr:pos x="0" y="0"/>
    <xdr:ext cx="6378864" cy="8558068"/>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0.02226</cdr:x>
      <cdr:y>0.01956</cdr:y>
    </cdr:from>
    <cdr:to>
      <cdr:x>0.50821</cdr:x>
      <cdr:y>0.23325</cdr:y>
    </cdr:to>
    <cdr:graphicFrame macro="">
      <cdr:nvGraphicFramePr>
        <cdr:cNvPr id="2" name="Chart 45">
          <a:extLst xmlns:a="http://schemas.openxmlformats.org/drawingml/2006/main">
            <a:ext uri="{FF2B5EF4-FFF2-40B4-BE49-F238E27FC236}">
              <a16:creationId xmlns:a16="http://schemas.microsoft.com/office/drawing/2014/main" id="{2A90A0D4-224C-4DAE-AADE-A754A731D984}"/>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0.02452</cdr:x>
      <cdr:y>0.25754</cdr:y>
    </cdr:from>
    <cdr:to>
      <cdr:x>0.51048</cdr:x>
      <cdr:y>0.47123</cdr:y>
    </cdr:to>
    <cdr:graphicFrame macro="">
      <cdr:nvGraphicFramePr>
        <cdr:cNvPr id="3" name="Chart 53">
          <a:extLst xmlns:a="http://schemas.openxmlformats.org/drawingml/2006/main">
            <a:ext uri="{FF2B5EF4-FFF2-40B4-BE49-F238E27FC236}">
              <a16:creationId xmlns:a16="http://schemas.microsoft.com/office/drawing/2014/main" id="{7853E981-BCEB-40CA-8C51-2B836B55E479}"/>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cdr:graphicFrame>
  </cdr:relSizeAnchor>
  <cdr:relSizeAnchor xmlns:cdr="http://schemas.openxmlformats.org/drawingml/2006/chartDrawing">
    <cdr:from>
      <cdr:x>0.02452</cdr:x>
      <cdr:y>0.49848</cdr:y>
    </cdr:from>
    <cdr:to>
      <cdr:x>0.51048</cdr:x>
      <cdr:y>0.71218</cdr:y>
    </cdr:to>
    <cdr:graphicFrame macro="">
      <cdr:nvGraphicFramePr>
        <cdr:cNvPr id="4" name="Chart 55">
          <a:extLst xmlns:a="http://schemas.openxmlformats.org/drawingml/2006/main">
            <a:ext uri="{FF2B5EF4-FFF2-40B4-BE49-F238E27FC236}">
              <a16:creationId xmlns:a16="http://schemas.microsoft.com/office/drawing/2014/main" id="{0D5117E0-CE94-4F90-8962-75C23BFF02ED}"/>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cdr:graphicFrame>
  </cdr:relSizeAnchor>
  <cdr:relSizeAnchor xmlns:cdr="http://schemas.openxmlformats.org/drawingml/2006/chartDrawing">
    <cdr:from>
      <cdr:x>0.02679</cdr:x>
      <cdr:y>0.74132</cdr:y>
    </cdr:from>
    <cdr:to>
      <cdr:x>0.51274</cdr:x>
      <cdr:y>0.95501</cdr:y>
    </cdr:to>
    <cdr:graphicFrame macro="">
      <cdr:nvGraphicFramePr>
        <cdr:cNvPr id="5" name="Chart 61">
          <a:extLst xmlns:a="http://schemas.openxmlformats.org/drawingml/2006/main">
            <a:ext uri="{FF2B5EF4-FFF2-40B4-BE49-F238E27FC236}">
              <a16:creationId xmlns:a16="http://schemas.microsoft.com/office/drawing/2014/main" id="{CF2FD27F-7DA1-488E-B959-35D602CB4659}"/>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cdr:graphicFrame>
  </cdr:relSizeAnchor>
  <cdr:relSizeAnchor xmlns:cdr="http://schemas.openxmlformats.org/drawingml/2006/chartDrawing">
    <cdr:from>
      <cdr:x>0.54344</cdr:x>
      <cdr:y>0.01956</cdr:y>
    </cdr:from>
    <cdr:to>
      <cdr:x>0.97348</cdr:x>
      <cdr:y>0.23325</cdr:y>
    </cdr:to>
    <cdr:graphicFrame macro="">
      <cdr:nvGraphicFramePr>
        <cdr:cNvPr id="6" name="Chart 47">
          <a:extLst xmlns:a="http://schemas.openxmlformats.org/drawingml/2006/main">
            <a:ext uri="{FF2B5EF4-FFF2-40B4-BE49-F238E27FC236}">
              <a16:creationId xmlns:a16="http://schemas.microsoft.com/office/drawing/2014/main" id="{A0119EFB-315B-42CE-A85E-9F46F26E4147}"/>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cdr:graphicFrame>
  </cdr:relSizeAnchor>
  <cdr:relSizeAnchor xmlns:cdr="http://schemas.openxmlformats.org/drawingml/2006/chartDrawing">
    <cdr:from>
      <cdr:x>0.5457</cdr:x>
      <cdr:y>0.25734</cdr:y>
    </cdr:from>
    <cdr:to>
      <cdr:x>0.97575</cdr:x>
      <cdr:y>0.47103</cdr:y>
    </cdr:to>
    <cdr:graphicFrame macro="">
      <cdr:nvGraphicFramePr>
        <cdr:cNvPr id="7" name="Chart 54">
          <a:extLst xmlns:a="http://schemas.openxmlformats.org/drawingml/2006/main">
            <a:ext uri="{FF2B5EF4-FFF2-40B4-BE49-F238E27FC236}">
              <a16:creationId xmlns:a16="http://schemas.microsoft.com/office/drawing/2014/main" id="{08B2D19F-D622-4495-BB24-C7E399B537E9}"/>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cdr:graphicFrame>
  </cdr:relSizeAnchor>
  <cdr:relSizeAnchor xmlns:cdr="http://schemas.openxmlformats.org/drawingml/2006/chartDrawing">
    <cdr:from>
      <cdr:x>0.5457</cdr:x>
      <cdr:y>0.49868</cdr:y>
    </cdr:from>
    <cdr:to>
      <cdr:x>0.97575</cdr:x>
      <cdr:y>0.71238</cdr:y>
    </cdr:to>
    <cdr:graphicFrame macro="">
      <cdr:nvGraphicFramePr>
        <cdr:cNvPr id="8" name="Chart 56">
          <a:extLst xmlns:a="http://schemas.openxmlformats.org/drawingml/2006/main">
            <a:ext uri="{FF2B5EF4-FFF2-40B4-BE49-F238E27FC236}">
              <a16:creationId xmlns:a16="http://schemas.microsoft.com/office/drawing/2014/main" id="{CCAC897F-1662-432C-A9C2-000F0B6CD40D}"/>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cdr:graphicFrame>
  </cdr:relSizeAnchor>
  <cdr:relSizeAnchor xmlns:cdr="http://schemas.openxmlformats.org/drawingml/2006/chartDrawing">
    <cdr:from>
      <cdr:x>0.54344</cdr:x>
      <cdr:y>0.74132</cdr:y>
    </cdr:from>
    <cdr:to>
      <cdr:x>0.97348</cdr:x>
      <cdr:y>0.95501</cdr:y>
    </cdr:to>
    <cdr:graphicFrame macro="">
      <cdr:nvGraphicFramePr>
        <cdr:cNvPr id="9" name="Chart 62">
          <a:extLst xmlns:a="http://schemas.openxmlformats.org/drawingml/2006/main">
            <a:ext uri="{FF2B5EF4-FFF2-40B4-BE49-F238E27FC236}">
              <a16:creationId xmlns:a16="http://schemas.microsoft.com/office/drawing/2014/main" id="{05C41DFC-A109-4A52-94E5-019ACA813879}"/>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cdr:graphicFrame>
  </cdr:relSizeAnchor>
</c:userShapes>
</file>

<file path=xl/drawings/drawing12.xml><?xml version="1.0" encoding="utf-8"?>
<xdr:wsDr xmlns:xdr="http://schemas.openxmlformats.org/drawingml/2006/spreadsheetDrawing" xmlns:a="http://schemas.openxmlformats.org/drawingml/2006/main">
  <xdr:absoluteAnchor>
    <xdr:pos x="0" y="0"/>
    <xdr:ext cx="6378864" cy="8558068"/>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0.02036</cdr:x>
      <cdr:y>0.03035</cdr:y>
    </cdr:from>
    <cdr:to>
      <cdr:x>0.50631</cdr:x>
      <cdr:y>0.24405</cdr:y>
    </cdr:to>
    <cdr:graphicFrame macro="">
      <cdr:nvGraphicFramePr>
        <cdr:cNvPr id="2" name="Chart 41">
          <a:extLst xmlns:a="http://schemas.openxmlformats.org/drawingml/2006/main">
            <a:ext uri="{FF2B5EF4-FFF2-40B4-BE49-F238E27FC236}">
              <a16:creationId xmlns:a16="http://schemas.microsoft.com/office/drawing/2014/main" id="{6BFDF6E3-1089-475E-B13C-6B63CCF2D56D}"/>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0.0181</cdr:x>
      <cdr:y>0.28263</cdr:y>
    </cdr:from>
    <cdr:to>
      <cdr:x>0.50405</cdr:x>
      <cdr:y>0.49632</cdr:y>
    </cdr:to>
    <cdr:graphicFrame macro="">
      <cdr:nvGraphicFramePr>
        <cdr:cNvPr id="3" name="Chart 43">
          <a:extLst xmlns:a="http://schemas.openxmlformats.org/drawingml/2006/main">
            <a:ext uri="{FF2B5EF4-FFF2-40B4-BE49-F238E27FC236}">
              <a16:creationId xmlns:a16="http://schemas.microsoft.com/office/drawing/2014/main" id="{B2FBC2B0-2A24-47EA-A09F-8CFD25459E02}"/>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cdr:graphicFrame>
  </cdr:relSizeAnchor>
  <cdr:relSizeAnchor xmlns:cdr="http://schemas.openxmlformats.org/drawingml/2006/chartDrawing">
    <cdr:from>
      <cdr:x>0.0181</cdr:x>
      <cdr:y>0.52715</cdr:y>
    </cdr:from>
    <cdr:to>
      <cdr:x>0.50405</cdr:x>
      <cdr:y>0.74084</cdr:y>
    </cdr:to>
    <cdr:graphicFrame macro="">
      <cdr:nvGraphicFramePr>
        <cdr:cNvPr id="4" name="Chart 45">
          <a:extLst xmlns:a="http://schemas.openxmlformats.org/drawingml/2006/main">
            <a:ext uri="{FF2B5EF4-FFF2-40B4-BE49-F238E27FC236}">
              <a16:creationId xmlns:a16="http://schemas.microsoft.com/office/drawing/2014/main" id="{916C6436-A8C4-498E-A7BB-CA0DCD00FBAB}"/>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cdr:graphicFrame>
  </cdr:relSizeAnchor>
  <cdr:relSizeAnchor xmlns:cdr="http://schemas.openxmlformats.org/drawingml/2006/chartDrawing">
    <cdr:from>
      <cdr:x>0.01774</cdr:x>
      <cdr:y>0.77504</cdr:y>
    </cdr:from>
    <cdr:to>
      <cdr:x>0.50369</cdr:x>
      <cdr:y>0.98874</cdr:y>
    </cdr:to>
    <cdr:graphicFrame macro="">
      <cdr:nvGraphicFramePr>
        <cdr:cNvPr id="5" name="Chart 53">
          <a:extLst xmlns:a="http://schemas.openxmlformats.org/drawingml/2006/main">
            <a:ext uri="{FF2B5EF4-FFF2-40B4-BE49-F238E27FC236}">
              <a16:creationId xmlns:a16="http://schemas.microsoft.com/office/drawing/2014/main" id="{11CCCED5-7CB1-4801-9CB1-444B62B169E6}"/>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cdr:graphicFrame>
  </cdr:relSizeAnchor>
  <cdr:relSizeAnchor xmlns:cdr="http://schemas.openxmlformats.org/drawingml/2006/chartDrawing">
    <cdr:from>
      <cdr:x>0.54344</cdr:x>
      <cdr:y>0.03137</cdr:y>
    </cdr:from>
    <cdr:to>
      <cdr:x>0.97348</cdr:x>
      <cdr:y>0.24506</cdr:y>
    </cdr:to>
    <cdr:graphicFrame macro="">
      <cdr:nvGraphicFramePr>
        <cdr:cNvPr id="6" name="Chart 42">
          <a:extLst xmlns:a="http://schemas.openxmlformats.org/drawingml/2006/main">
            <a:ext uri="{FF2B5EF4-FFF2-40B4-BE49-F238E27FC236}">
              <a16:creationId xmlns:a16="http://schemas.microsoft.com/office/drawing/2014/main" id="{C4010959-B467-4536-B235-7F65A2760A09}"/>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cdr:graphicFrame>
  </cdr:relSizeAnchor>
  <cdr:relSizeAnchor xmlns:cdr="http://schemas.openxmlformats.org/drawingml/2006/chartDrawing">
    <cdr:from>
      <cdr:x>0.54118</cdr:x>
      <cdr:y>0.28769</cdr:y>
    </cdr:from>
    <cdr:to>
      <cdr:x>0.97122</cdr:x>
      <cdr:y>0.50138</cdr:y>
    </cdr:to>
    <cdr:graphicFrame macro="">
      <cdr:nvGraphicFramePr>
        <cdr:cNvPr id="7" name="Chart 44">
          <a:extLst xmlns:a="http://schemas.openxmlformats.org/drawingml/2006/main">
            <a:ext uri="{FF2B5EF4-FFF2-40B4-BE49-F238E27FC236}">
              <a16:creationId xmlns:a16="http://schemas.microsoft.com/office/drawing/2014/main" id="{703CCC79-9D30-4724-96E0-E8F1E678E0E1}"/>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cdr:graphicFrame>
  </cdr:relSizeAnchor>
  <cdr:relSizeAnchor xmlns:cdr="http://schemas.openxmlformats.org/drawingml/2006/chartDrawing">
    <cdr:from>
      <cdr:x>0.54344</cdr:x>
      <cdr:y>0.52735</cdr:y>
    </cdr:from>
    <cdr:to>
      <cdr:x>0.97348</cdr:x>
      <cdr:y>0.74105</cdr:y>
    </cdr:to>
    <cdr:graphicFrame macro="">
      <cdr:nvGraphicFramePr>
        <cdr:cNvPr id="8" name="Chart 47">
          <a:extLst xmlns:a="http://schemas.openxmlformats.org/drawingml/2006/main">
            <a:ext uri="{FF2B5EF4-FFF2-40B4-BE49-F238E27FC236}">
              <a16:creationId xmlns:a16="http://schemas.microsoft.com/office/drawing/2014/main" id="{1D91D7BD-FCEE-40B2-9B53-BF2752DE27EF}"/>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cdr:graphicFrame>
  </cdr:relSizeAnchor>
  <cdr:relSizeAnchor xmlns:cdr="http://schemas.openxmlformats.org/drawingml/2006/chartDrawing">
    <cdr:from>
      <cdr:x>0.5457</cdr:x>
      <cdr:y>0.77504</cdr:y>
    </cdr:from>
    <cdr:to>
      <cdr:x>0.97575</cdr:x>
      <cdr:y>0.98874</cdr:y>
    </cdr:to>
    <cdr:graphicFrame macro="">
      <cdr:nvGraphicFramePr>
        <cdr:cNvPr id="9" name="Chart 54">
          <a:extLst xmlns:a="http://schemas.openxmlformats.org/drawingml/2006/main">
            <a:ext uri="{FF2B5EF4-FFF2-40B4-BE49-F238E27FC236}">
              <a16:creationId xmlns:a16="http://schemas.microsoft.com/office/drawing/2014/main" id="{9C4A73CD-CD28-4710-B35A-9C47C282C5DC}"/>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cdr:graphicFrame>
  </cdr:relSizeAnchor>
</c:userShapes>
</file>

<file path=xl/drawings/drawing14.xml><?xml version="1.0" encoding="utf-8"?>
<xdr:wsDr xmlns:xdr="http://schemas.openxmlformats.org/drawingml/2006/spreadsheetDrawing" xmlns:a="http://schemas.openxmlformats.org/drawingml/2006/main">
  <xdr:absoluteAnchor>
    <xdr:pos x="0" y="0"/>
    <xdr:ext cx="6378864" cy="8558068"/>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0.03167</cdr:x>
      <cdr:y>0.02968</cdr:y>
    </cdr:from>
    <cdr:to>
      <cdr:x>0.51763</cdr:x>
      <cdr:y>0.24337</cdr:y>
    </cdr:to>
    <cdr:graphicFrame macro="">
      <cdr:nvGraphicFramePr>
        <cdr:cNvPr id="2" name="Chart 55">
          <a:extLst xmlns:a="http://schemas.openxmlformats.org/drawingml/2006/main">
            <a:ext uri="{FF2B5EF4-FFF2-40B4-BE49-F238E27FC236}">
              <a16:creationId xmlns:a16="http://schemas.microsoft.com/office/drawing/2014/main" id="{C9049123-E957-4233-B0B9-E79B585EF9C6}"/>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0.03167</cdr:x>
      <cdr:y>0.27926</cdr:y>
    </cdr:from>
    <cdr:to>
      <cdr:x>0.51763</cdr:x>
      <cdr:y>0.49295</cdr:y>
    </cdr:to>
    <cdr:graphicFrame macro="">
      <cdr:nvGraphicFramePr>
        <cdr:cNvPr id="3" name="Chart 57">
          <a:extLst xmlns:a="http://schemas.openxmlformats.org/drawingml/2006/main">
            <a:ext uri="{FF2B5EF4-FFF2-40B4-BE49-F238E27FC236}">
              <a16:creationId xmlns:a16="http://schemas.microsoft.com/office/drawing/2014/main" id="{8200EC44-1F7F-419E-900A-DF032D90B070}"/>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cdr:graphicFrame>
  </cdr:relSizeAnchor>
  <cdr:relSizeAnchor xmlns:cdr="http://schemas.openxmlformats.org/drawingml/2006/chartDrawing">
    <cdr:from>
      <cdr:x>0.02941</cdr:x>
      <cdr:y>0.52546</cdr:y>
    </cdr:from>
    <cdr:to>
      <cdr:x>0.51536</cdr:x>
      <cdr:y>0.73916</cdr:y>
    </cdr:to>
    <cdr:graphicFrame macro="">
      <cdr:nvGraphicFramePr>
        <cdr:cNvPr id="4" name="Chart 59">
          <a:extLst xmlns:a="http://schemas.openxmlformats.org/drawingml/2006/main">
            <a:ext uri="{FF2B5EF4-FFF2-40B4-BE49-F238E27FC236}">
              <a16:creationId xmlns:a16="http://schemas.microsoft.com/office/drawing/2014/main" id="{54C1E0A2-F9A3-4137-BE96-B426131C5535}"/>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cdr:graphicFrame>
  </cdr:relSizeAnchor>
  <cdr:relSizeAnchor xmlns:cdr="http://schemas.openxmlformats.org/drawingml/2006/chartDrawing">
    <cdr:from>
      <cdr:x>0.02679</cdr:x>
      <cdr:y>0.77336</cdr:y>
    </cdr:from>
    <cdr:to>
      <cdr:x>0.51274</cdr:x>
      <cdr:y>0.98705</cdr:y>
    </cdr:to>
    <cdr:graphicFrame macro="">
      <cdr:nvGraphicFramePr>
        <cdr:cNvPr id="5" name="Chart 61">
          <a:extLst xmlns:a="http://schemas.openxmlformats.org/drawingml/2006/main">
            <a:ext uri="{FF2B5EF4-FFF2-40B4-BE49-F238E27FC236}">
              <a16:creationId xmlns:a16="http://schemas.microsoft.com/office/drawing/2014/main" id="{6191F5BF-D45B-49AE-BF12-BDC4D140B141}"/>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cdr:graphicFrame>
  </cdr:relSizeAnchor>
  <cdr:relSizeAnchor xmlns:cdr="http://schemas.openxmlformats.org/drawingml/2006/chartDrawing">
    <cdr:from>
      <cdr:x>0.54796</cdr:x>
      <cdr:y>0.03035</cdr:y>
    </cdr:from>
    <cdr:to>
      <cdr:x>0.97801</cdr:x>
      <cdr:y>0.24405</cdr:y>
    </cdr:to>
    <cdr:graphicFrame macro="">
      <cdr:nvGraphicFramePr>
        <cdr:cNvPr id="6" name="Chart 56">
          <a:extLst xmlns:a="http://schemas.openxmlformats.org/drawingml/2006/main">
            <a:ext uri="{FF2B5EF4-FFF2-40B4-BE49-F238E27FC236}">
              <a16:creationId xmlns:a16="http://schemas.microsoft.com/office/drawing/2014/main" id="{1A9D860A-A087-4988-A6A1-7719CB72DF5D}"/>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cdr:graphicFrame>
  </cdr:relSizeAnchor>
  <cdr:relSizeAnchor xmlns:cdr="http://schemas.openxmlformats.org/drawingml/2006/chartDrawing">
    <cdr:from>
      <cdr:x>0.55023</cdr:x>
      <cdr:y>0.27757</cdr:y>
    </cdr:from>
    <cdr:to>
      <cdr:x>0.98027</cdr:x>
      <cdr:y>0.49126</cdr:y>
    </cdr:to>
    <cdr:graphicFrame macro="">
      <cdr:nvGraphicFramePr>
        <cdr:cNvPr id="7" name="Chart 58">
          <a:extLst xmlns:a="http://schemas.openxmlformats.org/drawingml/2006/main">
            <a:ext uri="{FF2B5EF4-FFF2-40B4-BE49-F238E27FC236}">
              <a16:creationId xmlns:a16="http://schemas.microsoft.com/office/drawing/2014/main" id="{43A1D988-456C-457C-B1BC-AAE8BC8912EF}"/>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cdr:graphicFrame>
  </cdr:relSizeAnchor>
  <cdr:relSizeAnchor xmlns:cdr="http://schemas.openxmlformats.org/drawingml/2006/chartDrawing">
    <cdr:from>
      <cdr:x>0.54796</cdr:x>
      <cdr:y>0.52546</cdr:y>
    </cdr:from>
    <cdr:to>
      <cdr:x>0.97801</cdr:x>
      <cdr:y>0.73916</cdr:y>
    </cdr:to>
    <cdr:graphicFrame macro="">
      <cdr:nvGraphicFramePr>
        <cdr:cNvPr id="8" name="Chart 60">
          <a:extLst xmlns:a="http://schemas.openxmlformats.org/drawingml/2006/main">
            <a:ext uri="{FF2B5EF4-FFF2-40B4-BE49-F238E27FC236}">
              <a16:creationId xmlns:a16="http://schemas.microsoft.com/office/drawing/2014/main" id="{E39679F4-F164-4F87-BC5C-B731329DAD9A}"/>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cdr:graphicFrame>
  </cdr:relSizeAnchor>
  <cdr:relSizeAnchor xmlns:cdr="http://schemas.openxmlformats.org/drawingml/2006/chartDrawing">
    <cdr:from>
      <cdr:x>0.54796</cdr:x>
      <cdr:y>0.77167</cdr:y>
    </cdr:from>
    <cdr:to>
      <cdr:x>0.97801</cdr:x>
      <cdr:y>0.98536</cdr:y>
    </cdr:to>
    <cdr:graphicFrame macro="">
      <cdr:nvGraphicFramePr>
        <cdr:cNvPr id="9" name="Chart 63">
          <a:extLst xmlns:a="http://schemas.openxmlformats.org/drawingml/2006/main">
            <a:ext uri="{FF2B5EF4-FFF2-40B4-BE49-F238E27FC236}">
              <a16:creationId xmlns:a16="http://schemas.microsoft.com/office/drawing/2014/main" id="{A2027703-8803-4CA9-84E2-D9DFCF08C5EB}"/>
            </a:ext>
          </a:extLst>
        </cdr:cNvPr>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cdr:graphicFrame>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M5:P46"/>
  <sheetViews>
    <sheetView tabSelected="1" workbookViewId="0">
      <selection activeCell="G72" sqref="G72"/>
    </sheetView>
  </sheetViews>
  <sheetFormatPr defaultColWidth="11" defaultRowHeight="15.75" x14ac:dyDescent="0.25"/>
  <sheetData>
    <row r="5" spans="16:16" x14ac:dyDescent="0.25">
      <c r="P5" s="12"/>
    </row>
    <row r="43" spans="13:14" x14ac:dyDescent="0.25">
      <c r="M43" t="s">
        <v>96</v>
      </c>
    </row>
    <row r="46" spans="13:14" x14ac:dyDescent="0.25">
      <c r="N46" t="s">
        <v>96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52"/>
  <sheetViews>
    <sheetView workbookViewId="0">
      <selection activeCell="F16" sqref="F16"/>
    </sheetView>
  </sheetViews>
  <sheetFormatPr defaultColWidth="11" defaultRowHeight="15.75" x14ac:dyDescent="0.25"/>
  <cols>
    <col min="1" max="1" width="13.375" customWidth="1"/>
    <col min="4" max="4" width="14.625" customWidth="1"/>
    <col min="9" max="9" width="37.125" bestFit="1" customWidth="1"/>
    <col min="10" max="10" width="9.375" customWidth="1"/>
    <col min="11" max="11" width="11.875" bestFit="1" customWidth="1"/>
    <col min="12" max="12" width="7.5" bestFit="1" customWidth="1"/>
    <col min="13" max="13" width="11.875" bestFit="1" customWidth="1"/>
    <col min="14" max="14" width="7.5" bestFit="1" customWidth="1"/>
    <col min="15" max="15" width="18.875" bestFit="1" customWidth="1"/>
    <col min="16" max="16" width="16.875" bestFit="1" customWidth="1"/>
    <col min="17" max="17" width="16.875" customWidth="1"/>
  </cols>
  <sheetData>
    <row r="1" spans="1:18" ht="16.5" thickBot="1" x14ac:dyDescent="0.3"/>
    <row r="2" spans="1:18" ht="16.5" thickBot="1" x14ac:dyDescent="0.3">
      <c r="A2" s="74" t="s">
        <v>73</v>
      </c>
      <c r="B2" s="91"/>
      <c r="C2" s="92"/>
      <c r="D2" s="92"/>
      <c r="E2" s="92"/>
      <c r="F2" s="93"/>
      <c r="M2" s="91">
        <f>B2</f>
        <v>0</v>
      </c>
      <c r="N2" s="92"/>
      <c r="O2" s="92"/>
      <c r="P2" s="92"/>
      <c r="Q2" s="93"/>
    </row>
    <row r="3" spans="1:18" ht="16.5" thickBot="1" x14ac:dyDescent="0.3"/>
    <row r="4" spans="1:18" ht="21.75" thickBot="1" x14ac:dyDescent="0.4">
      <c r="B4" s="74" t="s">
        <v>0</v>
      </c>
      <c r="C4" s="76" t="s">
        <v>1</v>
      </c>
      <c r="D4" s="74" t="s">
        <v>91</v>
      </c>
      <c r="E4" s="74" t="s">
        <v>3</v>
      </c>
      <c r="G4" s="74" t="s">
        <v>4</v>
      </c>
      <c r="I4" s="78" t="s">
        <v>66</v>
      </c>
      <c r="J4" s="1" t="s">
        <v>61</v>
      </c>
      <c r="L4" s="3"/>
      <c r="M4" s="4"/>
      <c r="N4" s="88" t="s">
        <v>52</v>
      </c>
      <c r="O4" s="89"/>
      <c r="P4" s="89"/>
      <c r="Q4" s="89"/>
      <c r="R4" s="90"/>
    </row>
    <row r="5" spans="1:18" ht="16.5" thickBot="1" x14ac:dyDescent="0.3">
      <c r="A5" s="12" t="s">
        <v>5</v>
      </c>
      <c r="B5" s="12" t="s">
        <v>6</v>
      </c>
      <c r="C5" s="12" t="s">
        <v>6</v>
      </c>
      <c r="D5" s="73"/>
      <c r="E5" s="80"/>
      <c r="L5" s="23" t="s">
        <v>0</v>
      </c>
      <c r="M5" s="75" t="s">
        <v>65</v>
      </c>
      <c r="N5" s="26" t="s">
        <v>53</v>
      </c>
      <c r="O5" s="24" t="s">
        <v>54</v>
      </c>
      <c r="P5" s="75" t="s">
        <v>55</v>
      </c>
      <c r="Q5" s="77" t="s">
        <v>56</v>
      </c>
      <c r="R5" s="25" t="s">
        <v>81</v>
      </c>
    </row>
    <row r="6" spans="1:18" ht="16.5" thickBot="1" x14ac:dyDescent="0.3">
      <c r="A6" s="59" t="s">
        <v>71</v>
      </c>
      <c r="B6" s="27">
        <v>45</v>
      </c>
      <c r="C6" s="27" t="s">
        <v>9</v>
      </c>
      <c r="D6" s="27">
        <v>0.56299999999999994</v>
      </c>
      <c r="E6" s="27">
        <v>3.3999999999999998E-3</v>
      </c>
      <c r="I6" s="74" t="s">
        <v>29</v>
      </c>
      <c r="J6" s="7"/>
      <c r="L6" s="32" t="s">
        <v>28</v>
      </c>
      <c r="M6" s="33" t="b">
        <f>INDEX('Bin Analysis and Plots'!$E$3:$T$505,MATCH($L6,'Bin Analysis and Plots'!$D$3:$D$505,0),MATCH(M$5,'Bin Analysis and Plots'!$E$2:$T$2,0))</f>
        <v>0</v>
      </c>
      <c r="N6" s="34" t="e">
        <f>INDEX('Bin Analysis and Plots'!$E$3:$T$505,MATCH($L6,'Bin Analysis and Plots'!$D$3:$D$505,0),MATCH(N$5,'Bin Analysis and Plots'!$E$2:$T$2,0))</f>
        <v>#N/A</v>
      </c>
      <c r="O6" s="34" t="e">
        <f>INDEX('Bin Analysis and Plots'!$E$3:$T$505,MATCH($L6,'Bin Analysis and Plots'!$D$3:$D$505,0),MATCH(O$5,'Bin Analysis and Plots'!$E$2:$T$2,0))</f>
        <v>#N/A</v>
      </c>
      <c r="P6" s="34" t="e">
        <f>INDEX('Bin Analysis and Plots'!$E$3:$T$505,MATCH($L6,'Bin Analysis and Plots'!$D$3:$D$505,0),MATCH(P$5,'Bin Analysis and Plots'!$E$2:$T$2,0))</f>
        <v>#N/A</v>
      </c>
      <c r="Q6" s="64" t="e">
        <f>INDEX('Bin Analysis and Plots'!$E$3:$T$505,MATCH($L6,'Bin Analysis and Plots'!$D$3:$D$505,0),MATCH(Q$5,'Bin Analysis and Plots'!$E$2:$T$2,0))</f>
        <v>#N/A</v>
      </c>
      <c r="R6" s="35" t="e">
        <f>INDEX('Bin Analysis and Plots'!$E$3:$T$505,MATCH($L6,'Bin Analysis and Plots'!$D$3:$D$505,0),MATCH(R$5,'Bin Analysis and Plots'!$E$2:$T$2,0))</f>
        <v>#N/A</v>
      </c>
    </row>
    <row r="7" spans="1:18" x14ac:dyDescent="0.25">
      <c r="B7" s="82"/>
      <c r="C7" s="83"/>
      <c r="D7" s="83"/>
      <c r="E7" s="84"/>
      <c r="I7" t="s">
        <v>14</v>
      </c>
      <c r="J7">
        <f>IF($J$4="yes",10^('Data Transformation'!R3),'Data Transformation'!R3)</f>
        <v>1</v>
      </c>
      <c r="L7" s="36" t="str">
        <f t="shared" ref="L7:L26" si="0">$G8</f>
        <v xml:space="preserve"> </v>
      </c>
      <c r="M7" s="37" t="str">
        <f>IF(L7=" "," ",(IF($L7&gt;0,INDEX('Bin Analysis and Plots'!$E$3:$T$505,MATCH($L7,'Bin Analysis and Plots'!$D$3:$D$505,0),MATCH(M$5,'Bin Analysis and Plots'!$E$2:$T$2,0))," ")))</f>
        <v xml:space="preserve"> </v>
      </c>
      <c r="N7" s="38" t="str">
        <f>IF($L7=" "," ",(IF($M7=FALSE," ",(IF($M7&gt;0,INDEX('Bin Analysis and Plots'!$E$3:$T$505,MATCH($L7,'Bin Analysis and Plots'!$D$3:$D$505,0),MATCH(N$5,'Bin Analysis and Plots'!$E$2:$T$2,0))," ")))))</f>
        <v xml:space="preserve"> </v>
      </c>
      <c r="O7" s="38" t="str">
        <f>IF($L7=" "," ",(IF($M7=FALSE," ",(IF($M7&gt;0,INDEX('Bin Analysis and Plots'!$E$3:$T$505,MATCH($L7,'Bin Analysis and Plots'!$D$3:$D$505,0),MATCH(O$5,'Bin Analysis and Plots'!$E$2:$T$2,0))," ")))))</f>
        <v xml:space="preserve"> </v>
      </c>
      <c r="P7" s="38" t="str">
        <f>IF($L7=" "," ",(IF($M7=FALSE," ",(IF($M7&gt;0,INDEX('Bin Analysis and Plots'!$E$3:$T$505,MATCH($L7,'Bin Analysis and Plots'!$D$3:$D$505,0),MATCH(P$5,'Bin Analysis and Plots'!$E$2:$T$2,0))," ")))))</f>
        <v xml:space="preserve"> </v>
      </c>
      <c r="Q7" s="65" t="str">
        <f>IF($L7=" "," ",(IF($M7=FALSE," ",(IF($M7&gt;0,INDEX('Bin Analysis and Plots'!$E$3:$T$505,MATCH($L7,'Bin Analysis and Plots'!$D$3:$D$505,0),MATCH(Q$5,'Bin Analysis and Plots'!$E$2:$T$2,0))," ")))))</f>
        <v xml:space="preserve"> </v>
      </c>
      <c r="R7" s="30" t="str">
        <f>IF($L7=" "," ",(IF($M7=FALSE," ",(IF($M7&gt;0,INDEX('Bin Analysis and Plots'!$E$3:$T$505,MATCH($L7,'Bin Analysis and Plots'!$D$3:$D$505,0),MATCH(R$5,'Bin Analysis and Plots'!$E$2:$T$2,0))," ")))))</f>
        <v xml:space="preserve"> </v>
      </c>
    </row>
    <row r="8" spans="1:18" x14ac:dyDescent="0.25">
      <c r="B8" s="85"/>
      <c r="C8" s="86"/>
      <c r="D8" s="86"/>
      <c r="E8" s="87"/>
      <c r="G8" s="42" t="str">
        <f>IFERROR('Data Transformation'!M6," ")</f>
        <v xml:space="preserve"> </v>
      </c>
      <c r="I8" t="s">
        <v>15</v>
      </c>
      <c r="J8">
        <f>IF($J$4="yes",10^('Data Transformation'!R4),'Data Transformation'!R4)</f>
        <v>1</v>
      </c>
      <c r="L8" s="36" t="str">
        <f t="shared" si="0"/>
        <v xml:space="preserve"> </v>
      </c>
      <c r="M8" s="37" t="str">
        <f>IF(L8=" "," ",(IF($L8&gt;0,INDEX('Bin Analysis and Plots'!$E$3:$T$505,MATCH($L8,'Bin Analysis and Plots'!$D$3:$D$505,0),MATCH(M$5,'Bin Analysis and Plots'!$E$2:$T$2,0))," ")))</f>
        <v xml:space="preserve"> </v>
      </c>
      <c r="N8" s="38" t="str">
        <f>IF($L8=" "," ",(IF($M8=FALSE," ",(IF($M8&gt;0,INDEX('Bin Analysis and Plots'!$E$3:$T$505,MATCH($L8,'Bin Analysis and Plots'!$D$3:$D$505,0),MATCH(N$5,'Bin Analysis and Plots'!$E$2:$T$2,0))," ")))))</f>
        <v xml:space="preserve"> </v>
      </c>
      <c r="O8" s="38" t="str">
        <f>IF($L8=" "," ",(IF($M8=FALSE," ",(IF($M8&gt;0,INDEX('Bin Analysis and Plots'!$E$3:$T$505,MATCH($L8,'Bin Analysis and Plots'!$D$3:$D$505,0),MATCH(O$5,'Bin Analysis and Plots'!$E$2:$T$2,0))," ")))))</f>
        <v xml:space="preserve"> </v>
      </c>
      <c r="P8" s="38" t="str">
        <f>IF($L8=" "," ",(IF($M8=FALSE," ",(IF($M8&gt;0,INDEX('Bin Analysis and Plots'!$E$3:$T$505,MATCH($L8,'Bin Analysis and Plots'!$D$3:$D$505,0),MATCH(P$5,'Bin Analysis and Plots'!$E$2:$T$2,0))," ")))))</f>
        <v xml:space="preserve"> </v>
      </c>
      <c r="Q8" s="65" t="str">
        <f>IF($L8=" "," ",(IF($M8=FALSE," ",(IF($M8&gt;0,INDEX('Bin Analysis and Plots'!$E$3:$T$505,MATCH($L8,'Bin Analysis and Plots'!$D$3:$D$505,0),MATCH(Q$5,'Bin Analysis and Plots'!$E$2:$T$2,0))," ")))))</f>
        <v xml:space="preserve"> </v>
      </c>
      <c r="R8" s="30" t="str">
        <f>IF($L8=" "," ",(IF($M8=FALSE," ",(IF($M8&gt;0,INDEX('Bin Analysis and Plots'!$E$3:$T$505,MATCH($L8,'Bin Analysis and Plots'!$D$3:$D$505,0),MATCH(R$5,'Bin Analysis and Plots'!$E$2:$T$2,0))," ")))))</f>
        <v xml:space="preserve"> </v>
      </c>
    </row>
    <row r="9" spans="1:18" x14ac:dyDescent="0.25">
      <c r="B9" s="85"/>
      <c r="C9" s="86"/>
      <c r="D9" s="86"/>
      <c r="E9" s="87"/>
      <c r="G9" s="43" t="str">
        <f>IFERROR('Data Transformation'!M7," ")</f>
        <v xml:space="preserve"> </v>
      </c>
      <c r="L9" s="36" t="str">
        <f t="shared" si="0"/>
        <v xml:space="preserve"> </v>
      </c>
      <c r="M9" s="37" t="str">
        <f>IF(L9=" "," ",(IF($L9&gt;0,INDEX('Bin Analysis and Plots'!$E$3:$T$505,MATCH($L9,'Bin Analysis and Plots'!$D$3:$D$505,0),MATCH(M$5,'Bin Analysis and Plots'!$E$2:$T$2,0))," ")))</f>
        <v xml:space="preserve"> </v>
      </c>
      <c r="N9" s="38" t="str">
        <f>IF($L9=" "," ",(IF($M9=FALSE," ",(IF($M9&gt;0,INDEX('Bin Analysis and Plots'!$E$3:$T$505,MATCH($L9,'Bin Analysis and Plots'!$D$3:$D$505,0),MATCH(N$5,'Bin Analysis and Plots'!$E$2:$T$2,0))," ")))))</f>
        <v xml:space="preserve"> </v>
      </c>
      <c r="O9" s="38" t="str">
        <f>IF($L9=" "," ",(IF($M9=FALSE," ",(IF($M9&gt;0,INDEX('Bin Analysis and Plots'!$E$3:$T$505,MATCH($L9,'Bin Analysis and Plots'!$D$3:$D$505,0),MATCH(O$5,'Bin Analysis and Plots'!$E$2:$T$2,0))," ")))))</f>
        <v xml:space="preserve"> </v>
      </c>
      <c r="P9" s="38" t="str">
        <f>IF($L9=" "," ",(IF($M9=FALSE," ",(IF($M9&gt;0,INDEX('Bin Analysis and Plots'!$E$3:$T$505,MATCH($L9,'Bin Analysis and Plots'!$D$3:$D$505,0),MATCH(P$5,'Bin Analysis and Plots'!$E$2:$T$2,0))," ")))))</f>
        <v xml:space="preserve"> </v>
      </c>
      <c r="Q9" s="65" t="str">
        <f>IF($L9=" "," ",(IF($M9=FALSE," ",(IF($M9&gt;0,INDEX('Bin Analysis and Plots'!$E$3:$T$505,MATCH($L9,'Bin Analysis and Plots'!$D$3:$D$505,0),MATCH(Q$5,'Bin Analysis and Plots'!$E$2:$T$2,0))," ")))))</f>
        <v xml:space="preserve"> </v>
      </c>
      <c r="R9" s="30" t="str">
        <f>IF($L9=" "," ",(IF($M9=FALSE," ",(IF($M9&gt;0,INDEX('Bin Analysis and Plots'!$E$3:$T$505,MATCH($L9,'Bin Analysis and Plots'!$D$3:$D$505,0),MATCH(R$5,'Bin Analysis and Plots'!$E$2:$T$2,0))," ")))))</f>
        <v xml:space="preserve"> </v>
      </c>
    </row>
    <row r="10" spans="1:18" ht="16.5" thickBot="1" x14ac:dyDescent="0.3">
      <c r="B10" s="85"/>
      <c r="C10" s="86"/>
      <c r="D10" s="86"/>
      <c r="E10" s="87"/>
      <c r="G10" s="43" t="str">
        <f>IFERROR('Data Transformation'!M8," ")</f>
        <v xml:space="preserve"> </v>
      </c>
      <c r="I10" s="76" t="s">
        <v>67</v>
      </c>
      <c r="L10" s="36" t="str">
        <f t="shared" si="0"/>
        <v xml:space="preserve"> </v>
      </c>
      <c r="M10" s="37" t="str">
        <f>IF(L10=" "," ",(IF($L10&gt;0,INDEX('Bin Analysis and Plots'!$E$3:$T$505,MATCH($L10,'Bin Analysis and Plots'!$D$3:$D$505,0),MATCH(M$5,'Bin Analysis and Plots'!$E$2:$T$2,0))," ")))</f>
        <v xml:space="preserve"> </v>
      </c>
      <c r="N10" s="38" t="str">
        <f>IF($L10=" "," ",(IF($M10=FALSE," ",(IF($M10&gt;0,INDEX('Bin Analysis and Plots'!$E$3:$T$505,MATCH($L10,'Bin Analysis and Plots'!$D$3:$D$505,0),MATCH(N$5,'Bin Analysis and Plots'!$E$2:$T$2,0))," ")))))</f>
        <v xml:space="preserve"> </v>
      </c>
      <c r="O10" s="38" t="str">
        <f>IF($L10=" "," ",(IF($M10=FALSE," ",(IF($M10&gt;0,INDEX('Bin Analysis and Plots'!$E$3:$T$505,MATCH($L10,'Bin Analysis and Plots'!$D$3:$D$505,0),MATCH(O$5,'Bin Analysis and Plots'!$E$2:$T$2,0))," ")))))</f>
        <v xml:space="preserve"> </v>
      </c>
      <c r="P10" s="38" t="str">
        <f>IF($L10=" "," ",(IF($M10=FALSE," ",(IF($M10&gt;0,INDEX('Bin Analysis and Plots'!$E$3:$T$505,MATCH($L10,'Bin Analysis and Plots'!$D$3:$D$505,0),MATCH(P$5,'Bin Analysis and Plots'!$E$2:$T$2,0))," ")))))</f>
        <v xml:space="preserve"> </v>
      </c>
      <c r="Q10" s="65" t="str">
        <f>IF($L10=" "," ",(IF($M10=FALSE," ",(IF($M10&gt;0,INDEX('Bin Analysis and Plots'!$E$3:$T$505,MATCH($L10,'Bin Analysis and Plots'!$D$3:$D$505,0),MATCH(Q$5,'Bin Analysis and Plots'!$E$2:$T$2,0))," ")))))</f>
        <v xml:space="preserve"> </v>
      </c>
      <c r="R10" s="30" t="str">
        <f>IF($L10=" "," ",(IF($M10=FALSE," ",(IF($M10&gt;0,INDEX('Bin Analysis and Plots'!$E$3:$T$505,MATCH($L10,'Bin Analysis and Plots'!$D$3:$D$505,0),MATCH(R$5,'Bin Analysis and Plots'!$E$2:$T$2,0))," ")))))</f>
        <v xml:space="preserve"> </v>
      </c>
    </row>
    <row r="11" spans="1:18" ht="16.5" thickBot="1" x14ac:dyDescent="0.3">
      <c r="B11" s="85"/>
      <c r="C11" s="86"/>
      <c r="D11" s="86"/>
      <c r="E11" s="87"/>
      <c r="G11" s="43" t="str">
        <f>IFERROR('Data Transformation'!M9," ")</f>
        <v xml:space="preserve"> </v>
      </c>
      <c r="I11" t="s">
        <v>14</v>
      </c>
      <c r="J11" s="1"/>
      <c r="L11" s="36" t="str">
        <f t="shared" si="0"/>
        <v xml:space="preserve"> </v>
      </c>
      <c r="M11" s="37" t="str">
        <f>IF(L11=" "," ",(IF($L11&gt;0,INDEX('Bin Analysis and Plots'!$E$3:$T$505,MATCH($L11,'Bin Analysis and Plots'!$D$3:$D$505,0),MATCH(M$5,'Bin Analysis and Plots'!$E$2:$T$2,0))," ")))</f>
        <v xml:space="preserve"> </v>
      </c>
      <c r="N11" s="38" t="str">
        <f>IF($L11=" "," ",(IF($M11=FALSE," ",(IF($M11&gt;0,INDEX('Bin Analysis and Plots'!$E$3:$T$505,MATCH($L11,'Bin Analysis and Plots'!$D$3:$D$505,0),MATCH(N$5,'Bin Analysis and Plots'!$E$2:$T$2,0))," ")))))</f>
        <v xml:space="preserve"> </v>
      </c>
      <c r="O11" s="38" t="str">
        <f>IF($L11=" "," ",(IF($M11=FALSE," ",(IF($M11&gt;0,INDEX('Bin Analysis and Plots'!$E$3:$T$505,MATCH($L11,'Bin Analysis and Plots'!$D$3:$D$505,0),MATCH(O$5,'Bin Analysis and Plots'!$E$2:$T$2,0))," ")))))</f>
        <v xml:space="preserve"> </v>
      </c>
      <c r="P11" s="38" t="str">
        <f>IF($L11=" "," ",(IF($M11=FALSE," ",(IF($M11&gt;0,INDEX('Bin Analysis and Plots'!$E$3:$T$505,MATCH($L11,'Bin Analysis and Plots'!$D$3:$D$505,0),MATCH(P$5,'Bin Analysis and Plots'!$E$2:$T$2,0))," ")))))</f>
        <v xml:space="preserve"> </v>
      </c>
      <c r="Q11" s="65" t="str">
        <f>IF($L11=" "," ",(IF($M11=FALSE," ",(IF($M11&gt;0,INDEX('Bin Analysis and Plots'!$E$3:$T$505,MATCH($L11,'Bin Analysis and Plots'!$D$3:$D$505,0),MATCH(Q$5,'Bin Analysis and Plots'!$E$2:$T$2,0))," ")))))</f>
        <v xml:space="preserve"> </v>
      </c>
      <c r="R11" s="30" t="str">
        <f>IF($L11=" "," ",(IF($M11=FALSE," ",(IF($M11&gt;0,INDEX('Bin Analysis and Plots'!$E$3:$T$505,MATCH($L11,'Bin Analysis and Plots'!$D$3:$D$505,0),MATCH(R$5,'Bin Analysis and Plots'!$E$2:$T$2,0))," ")))))</f>
        <v xml:space="preserve"> </v>
      </c>
    </row>
    <row r="12" spans="1:18" ht="16.5" thickBot="1" x14ac:dyDescent="0.3">
      <c r="B12" s="85"/>
      <c r="C12" s="86"/>
      <c r="D12" s="86"/>
      <c r="E12" s="87"/>
      <c r="G12" s="43" t="str">
        <f>IFERROR('Data Transformation'!M10," ")</f>
        <v xml:space="preserve"> </v>
      </c>
      <c r="I12" t="s">
        <v>15</v>
      </c>
      <c r="J12" s="1"/>
      <c r="L12" s="36" t="str">
        <f t="shared" si="0"/>
        <v xml:space="preserve"> </v>
      </c>
      <c r="M12" s="37" t="str">
        <f>IF(L12=" "," ",(IF($L12&gt;0,INDEX('Bin Analysis and Plots'!$E$3:$T$505,MATCH($L12,'Bin Analysis and Plots'!$D$3:$D$505,0),MATCH(M$5,'Bin Analysis and Plots'!$E$2:$T$2,0))," ")))</f>
        <v xml:space="preserve"> </v>
      </c>
      <c r="N12" s="38" t="str">
        <f>IF($L12=" "," ",(IF($M12=FALSE," ",(IF($M12&gt;0,INDEX('Bin Analysis and Plots'!$E$3:$T$505,MATCH($L12,'Bin Analysis and Plots'!$D$3:$D$505,0),MATCH(N$5,'Bin Analysis and Plots'!$E$2:$T$2,0))," ")))))</f>
        <v xml:space="preserve"> </v>
      </c>
      <c r="O12" s="38" t="str">
        <f>IF($L12=" "," ",(IF($M12=FALSE," ",(IF($M12&gt;0,INDEX('Bin Analysis and Plots'!$E$3:$T$505,MATCH($L12,'Bin Analysis and Plots'!$D$3:$D$505,0),MATCH(O$5,'Bin Analysis and Plots'!$E$2:$T$2,0))," ")))))</f>
        <v xml:space="preserve"> </v>
      </c>
      <c r="P12" s="38" t="str">
        <f>IF($L12=" "," ",(IF($M12=FALSE," ",(IF($M12&gt;0,INDEX('Bin Analysis and Plots'!$E$3:$T$505,MATCH($L12,'Bin Analysis and Plots'!$D$3:$D$505,0),MATCH(P$5,'Bin Analysis and Plots'!$E$2:$T$2,0))," ")))))</f>
        <v xml:space="preserve"> </v>
      </c>
      <c r="Q12" s="65" t="str">
        <f>IF($L12=" "," ",(IF($M12=FALSE," ",(IF($M12&gt;0,INDEX('Bin Analysis and Plots'!$E$3:$T$505,MATCH($L12,'Bin Analysis and Plots'!$D$3:$D$505,0),MATCH(Q$5,'Bin Analysis and Plots'!$E$2:$T$2,0))," ")))))</f>
        <v xml:space="preserve"> </v>
      </c>
      <c r="R12" s="30" t="str">
        <f>IF($L12=" "," ",(IF($M12=FALSE," ",(IF($M12&gt;0,INDEX('Bin Analysis and Plots'!$E$3:$T$505,MATCH($L12,'Bin Analysis and Plots'!$D$3:$D$505,0),MATCH(R$5,'Bin Analysis and Plots'!$E$2:$T$2,0))," ")))))</f>
        <v xml:space="preserve"> </v>
      </c>
    </row>
    <row r="13" spans="1:18" x14ac:dyDescent="0.25">
      <c r="B13" s="85"/>
      <c r="C13" s="86"/>
      <c r="D13" s="86"/>
      <c r="E13" s="87"/>
      <c r="G13" s="43" t="str">
        <f>IFERROR('Data Transformation'!M11," ")</f>
        <v xml:space="preserve"> </v>
      </c>
      <c r="I13" t="s">
        <v>32</v>
      </c>
      <c r="J13" s="7"/>
      <c r="L13" s="36" t="str">
        <f t="shared" si="0"/>
        <v xml:space="preserve"> </v>
      </c>
      <c r="M13" s="37" t="str">
        <f>IF(L13=" "," ",(IF($L13&gt;0,INDEX('Bin Analysis and Plots'!$E$3:$T$505,MATCH($L13,'Bin Analysis and Plots'!$D$3:$D$505,0),MATCH(M$5,'Bin Analysis and Plots'!$E$2:$T$2,0))," ")))</f>
        <v xml:space="preserve"> </v>
      </c>
      <c r="N13" s="38" t="str">
        <f>IF($L13=" "," ",(IF($M13=FALSE," ",(IF($M13&gt;0,INDEX('Bin Analysis and Plots'!$E$3:$T$505,MATCH($L13,'Bin Analysis and Plots'!$D$3:$D$505,0),MATCH(N$5,'Bin Analysis and Plots'!$E$2:$T$2,0))," ")))))</f>
        <v xml:space="preserve"> </v>
      </c>
      <c r="O13" s="38" t="str">
        <f>IF($L13=" "," ",(IF($M13=FALSE," ",(IF($M13&gt;0,INDEX('Bin Analysis and Plots'!$E$3:$T$505,MATCH($L13,'Bin Analysis and Plots'!$D$3:$D$505,0),MATCH(O$5,'Bin Analysis and Plots'!$E$2:$T$2,0))," ")))))</f>
        <v xml:space="preserve"> </v>
      </c>
      <c r="P13" s="38" t="str">
        <f>IF($L13=" "," ",(IF($M13=FALSE," ",(IF($M13&gt;0,INDEX('Bin Analysis and Plots'!$E$3:$T$505,MATCH($L13,'Bin Analysis and Plots'!$D$3:$D$505,0),MATCH(P$5,'Bin Analysis and Plots'!$E$2:$T$2,0))," ")))))</f>
        <v xml:space="preserve"> </v>
      </c>
      <c r="Q13" s="65" t="str">
        <f>IF($L13=" "," ",(IF($M13=FALSE," ",(IF($M13&gt;0,INDEX('Bin Analysis and Plots'!$E$3:$T$505,MATCH($L13,'Bin Analysis and Plots'!$D$3:$D$505,0),MATCH(Q$5,'Bin Analysis and Plots'!$E$2:$T$2,0))," ")))))</f>
        <v xml:space="preserve"> </v>
      </c>
      <c r="R13" s="30" t="str">
        <f>IF($L13=" "," ",(IF($M13=FALSE," ",(IF($M13&gt;0,INDEX('Bin Analysis and Plots'!$E$3:$T$505,MATCH($L13,'Bin Analysis and Plots'!$D$3:$D$505,0),MATCH(R$5,'Bin Analysis and Plots'!$E$2:$T$2,0))," ")))))</f>
        <v xml:space="preserve"> </v>
      </c>
    </row>
    <row r="14" spans="1:18" x14ac:dyDescent="0.25">
      <c r="B14" s="85"/>
      <c r="C14" s="86"/>
      <c r="D14" s="86"/>
      <c r="E14" s="87"/>
      <c r="G14" s="43" t="str">
        <f>IFERROR('Data Transformation'!M12," ")</f>
        <v xml:space="preserve"> </v>
      </c>
      <c r="I14" t="s">
        <v>97</v>
      </c>
      <c r="J14">
        <f>COUNTIF(D7:D386,"&gt;"&amp;J12)</f>
        <v>0</v>
      </c>
      <c r="L14" s="36" t="str">
        <f t="shared" si="0"/>
        <v xml:space="preserve"> </v>
      </c>
      <c r="M14" s="37" t="str">
        <f>IF(L14=" "," ",(IF($L14&gt;0,INDEX('Bin Analysis and Plots'!$E$3:$T$505,MATCH($L14,'Bin Analysis and Plots'!$D$3:$D$505,0),MATCH(M$5,'Bin Analysis and Plots'!$E$2:$T$2,0))," ")))</f>
        <v xml:space="preserve"> </v>
      </c>
      <c r="N14" s="38" t="str">
        <f>IF($L14=" "," ",(IF($M14=FALSE," ",(IF($M14&gt;0,INDEX('Bin Analysis and Plots'!$E$3:$T$505,MATCH($L14,'Bin Analysis and Plots'!$D$3:$D$505,0),MATCH(N$5,'Bin Analysis and Plots'!$E$2:$T$2,0))," ")))))</f>
        <v xml:space="preserve"> </v>
      </c>
      <c r="O14" s="38" t="str">
        <f>IF($L14=" "," ",(IF($M14=FALSE," ",(IF($M14&gt;0,INDEX('Bin Analysis and Plots'!$E$3:$T$505,MATCH($L14,'Bin Analysis and Plots'!$D$3:$D$505,0),MATCH(O$5,'Bin Analysis and Plots'!$E$2:$T$2,0))," ")))))</f>
        <v xml:space="preserve"> </v>
      </c>
      <c r="P14" s="38" t="str">
        <f>IF($L14=" "," ",(IF($M14=FALSE," ",(IF($M14&gt;0,INDEX('Bin Analysis and Plots'!$E$3:$T$505,MATCH($L14,'Bin Analysis and Plots'!$D$3:$D$505,0),MATCH(P$5,'Bin Analysis and Plots'!$E$2:$T$2,0))," ")))))</f>
        <v xml:space="preserve"> </v>
      </c>
      <c r="Q14" s="65" t="str">
        <f>IF($L14=" "," ",(IF($M14=FALSE," ",(IF($M14&gt;0,INDEX('Bin Analysis and Plots'!$E$3:$T$505,MATCH($L14,'Bin Analysis and Plots'!$D$3:$D$505,0),MATCH(Q$5,'Bin Analysis and Plots'!$E$2:$T$2,0))," ")))))</f>
        <v xml:space="preserve"> </v>
      </c>
      <c r="R14" s="30" t="str">
        <f>IF($L14=" "," ",(IF($M14=FALSE," ",(IF($M14&gt;0,INDEX('Bin Analysis and Plots'!$E$3:$T$505,MATCH($L14,'Bin Analysis and Plots'!$D$3:$D$505,0),MATCH(R$5,'Bin Analysis and Plots'!$E$2:$T$2,0))," ")))))</f>
        <v xml:space="preserve"> </v>
      </c>
    </row>
    <row r="15" spans="1:18" ht="16.5" thickBot="1" x14ac:dyDescent="0.3">
      <c r="B15" s="85"/>
      <c r="C15" s="86"/>
      <c r="D15" s="86"/>
      <c r="E15" s="87"/>
      <c r="G15" s="43" t="str">
        <f>IFERROR('Data Transformation'!M13," ")</f>
        <v xml:space="preserve"> </v>
      </c>
      <c r="L15" s="36" t="str">
        <f t="shared" si="0"/>
        <v xml:space="preserve"> </v>
      </c>
      <c r="M15" s="37" t="str">
        <f>IF(L15=" "," ",(IF($L15&gt;0,INDEX('Bin Analysis and Plots'!$E$3:$T$505,MATCH($L15,'Bin Analysis and Plots'!$D$3:$D$505,0),MATCH(M$5,'Bin Analysis and Plots'!$E$2:$T$2,0))," ")))</f>
        <v xml:space="preserve"> </v>
      </c>
      <c r="N15" s="38" t="str">
        <f>IF($L15=" "," ",(IF($M15=FALSE," ",(IF($M15&gt;0,INDEX('Bin Analysis and Plots'!$E$3:$T$505,MATCH($L15,'Bin Analysis and Plots'!$D$3:$D$505,0),MATCH(N$5,'Bin Analysis and Plots'!$E$2:$T$2,0))," ")))))</f>
        <v xml:space="preserve"> </v>
      </c>
      <c r="O15" s="38" t="str">
        <f>IF($L15=" "," ",(IF($M15=FALSE," ",(IF($M15&gt;0,INDEX('Bin Analysis and Plots'!$E$3:$T$505,MATCH($L15,'Bin Analysis and Plots'!$D$3:$D$505,0),MATCH(O$5,'Bin Analysis and Plots'!$E$2:$T$2,0))," ")))))</f>
        <v xml:space="preserve"> </v>
      </c>
      <c r="P15" s="38" t="str">
        <f>IF($L15=" "," ",(IF($M15=FALSE," ",(IF($M15&gt;0,INDEX('Bin Analysis and Plots'!$E$3:$T$505,MATCH($L15,'Bin Analysis and Plots'!$D$3:$D$505,0),MATCH(P$5,'Bin Analysis and Plots'!$E$2:$T$2,0))," ")))))</f>
        <v xml:space="preserve"> </v>
      </c>
      <c r="Q15" s="65" t="str">
        <f>IF($L15=" "," ",(IF($M15=FALSE," ",(IF($M15&gt;0,INDEX('Bin Analysis and Plots'!$E$3:$T$505,MATCH($L15,'Bin Analysis and Plots'!$D$3:$D$505,0),MATCH(Q$5,'Bin Analysis and Plots'!$E$2:$T$2,0))," ")))))</f>
        <v xml:space="preserve"> </v>
      </c>
      <c r="R15" s="30" t="str">
        <f>IF($L15=" "," ",(IF($M15=FALSE," ",(IF($M15&gt;0,INDEX('Bin Analysis and Plots'!$E$3:$T$505,MATCH($L15,'Bin Analysis and Plots'!$D$3:$D$505,0),MATCH(R$5,'Bin Analysis and Plots'!$E$2:$T$2,0))," ")))))</f>
        <v xml:space="preserve"> </v>
      </c>
    </row>
    <row r="16" spans="1:18" ht="16.5" thickBot="1" x14ac:dyDescent="0.3">
      <c r="B16" s="85"/>
      <c r="C16" s="86"/>
      <c r="D16" s="86"/>
      <c r="E16" s="87"/>
      <c r="G16" s="43" t="str">
        <f>IFERROR('Data Transformation'!M14," ")</f>
        <v xml:space="preserve"> </v>
      </c>
      <c r="I16" s="78" t="s">
        <v>74</v>
      </c>
      <c r="J16" s="1" t="s">
        <v>89</v>
      </c>
      <c r="L16" s="36" t="str">
        <f t="shared" si="0"/>
        <v xml:space="preserve"> </v>
      </c>
      <c r="M16" s="37" t="str">
        <f>IF(L16=" "," ",(IF($L16&gt;0,INDEX('Bin Analysis and Plots'!$E$3:$T$505,MATCH($L16,'Bin Analysis and Plots'!$D$3:$D$505,0),MATCH(M$5,'Bin Analysis and Plots'!$E$2:$T$2,0))," ")))</f>
        <v xml:space="preserve"> </v>
      </c>
      <c r="N16" s="38" t="str">
        <f>IF($L16=" "," ",(IF($M16=FALSE," ",(IF($M16&gt;0,INDEX('Bin Analysis and Plots'!$E$3:$T$505,MATCH($L16,'Bin Analysis and Plots'!$D$3:$D$505,0),MATCH(N$5,'Bin Analysis and Plots'!$E$2:$T$2,0))," ")))))</f>
        <v xml:space="preserve"> </v>
      </c>
      <c r="O16" s="38" t="str">
        <f>IF($L16=" "," ",(IF($M16=FALSE," ",(IF($M16&gt;0,INDEX('Bin Analysis and Plots'!$E$3:$T$505,MATCH($L16,'Bin Analysis and Plots'!$D$3:$D$505,0),MATCH(O$5,'Bin Analysis and Plots'!$E$2:$T$2,0))," ")))))</f>
        <v xml:space="preserve"> </v>
      </c>
      <c r="P16" s="38" t="str">
        <f>IF($L16=" "," ",(IF($M16=FALSE," ",(IF($M16&gt;0,INDEX('Bin Analysis and Plots'!$E$3:$T$505,MATCH($L16,'Bin Analysis and Plots'!$D$3:$D$505,0),MATCH(P$5,'Bin Analysis and Plots'!$E$2:$T$2,0))," ")))))</f>
        <v xml:space="preserve"> </v>
      </c>
      <c r="Q16" s="65" t="str">
        <f>IF($L16=" "," ",(IF($M16=FALSE," ",(IF($M16&gt;0,INDEX('Bin Analysis and Plots'!$E$3:$T$505,MATCH($L16,'Bin Analysis and Plots'!$D$3:$D$505,0),MATCH(Q$5,'Bin Analysis and Plots'!$E$2:$T$2,0))," ")))))</f>
        <v xml:space="preserve"> </v>
      </c>
      <c r="R16" s="30" t="str">
        <f>IF($L16=" "," ",(IF($M16=FALSE," ",(IF($M16&gt;0,INDEX('Bin Analysis and Plots'!$E$3:$T$505,MATCH($L16,'Bin Analysis and Plots'!$D$3:$D$505,0),MATCH(R$5,'Bin Analysis and Plots'!$E$2:$T$2,0))," ")))))</f>
        <v xml:space="preserve"> </v>
      </c>
    </row>
    <row r="17" spans="2:18" x14ac:dyDescent="0.25">
      <c r="B17" s="85"/>
      <c r="C17" s="86"/>
      <c r="D17" s="86"/>
      <c r="E17" s="87"/>
      <c r="G17" s="43" t="str">
        <f>IFERROR('Data Transformation'!M15," ")</f>
        <v xml:space="preserve"> </v>
      </c>
      <c r="J17">
        <f>IF(J16="maximum",'Data Transformation'!U9,'Data Transformation'!U8)</f>
        <v>1</v>
      </c>
      <c r="L17" s="36" t="str">
        <f t="shared" si="0"/>
        <v xml:space="preserve"> </v>
      </c>
      <c r="M17" s="37" t="str">
        <f>IF(L17=" "," ",(IF($L17&gt;0,INDEX('Bin Analysis and Plots'!$E$3:$T$505,MATCH($L17,'Bin Analysis and Plots'!$D$3:$D$505,0),MATCH(M$5,'Bin Analysis and Plots'!$E$2:$T$2,0))," ")))</f>
        <v xml:space="preserve"> </v>
      </c>
      <c r="N17" s="38" t="str">
        <f>IF($L17=" "," ",(IF($M17=FALSE," ",(IF($M17&gt;0,INDEX('Bin Analysis and Plots'!$E$3:$T$505,MATCH($L17,'Bin Analysis and Plots'!$D$3:$D$505,0),MATCH(N$5,'Bin Analysis and Plots'!$E$2:$T$2,0))," ")))))</f>
        <v xml:space="preserve"> </v>
      </c>
      <c r="O17" s="38" t="str">
        <f>IF($L17=" "," ",(IF($M17=FALSE," ",(IF($M17&gt;0,INDEX('Bin Analysis and Plots'!$E$3:$T$505,MATCH($L17,'Bin Analysis and Plots'!$D$3:$D$505,0),MATCH(O$5,'Bin Analysis and Plots'!$E$2:$T$2,0))," ")))))</f>
        <v xml:space="preserve"> </v>
      </c>
      <c r="P17" s="38" t="str">
        <f>IF($L17=" "," ",(IF($M17=FALSE," ",(IF($M17&gt;0,INDEX('Bin Analysis and Plots'!$E$3:$T$505,MATCH($L17,'Bin Analysis and Plots'!$D$3:$D$505,0),MATCH(P$5,'Bin Analysis and Plots'!$E$2:$T$2,0))," ")))))</f>
        <v xml:space="preserve"> </v>
      </c>
      <c r="Q17" s="65" t="str">
        <f>IF($L17=" "," ",(IF($M17=FALSE," ",(IF($M17&gt;0,INDEX('Bin Analysis and Plots'!$E$3:$T$505,MATCH($L17,'Bin Analysis and Plots'!$D$3:$D$505,0),MATCH(Q$5,'Bin Analysis and Plots'!$E$2:$T$2,0))," ")))))</f>
        <v xml:space="preserve"> </v>
      </c>
      <c r="R17" s="30" t="str">
        <f>IF($L17=" "," ",(IF($M17=FALSE," ",(IF($M17&gt;0,INDEX('Bin Analysis and Plots'!$E$3:$T$505,MATCH($L17,'Bin Analysis and Plots'!$D$3:$D$505,0),MATCH(R$5,'Bin Analysis and Plots'!$E$2:$T$2,0))," ")))))</f>
        <v xml:space="preserve"> </v>
      </c>
    </row>
    <row r="18" spans="2:18" ht="16.5" thickBot="1" x14ac:dyDescent="0.3">
      <c r="B18" s="85"/>
      <c r="C18" s="86"/>
      <c r="D18" s="86"/>
      <c r="E18" s="87"/>
      <c r="G18" s="43" t="str">
        <f>IFERROR('Data Transformation'!M16," ")</f>
        <v xml:space="preserve"> </v>
      </c>
      <c r="L18" s="36" t="str">
        <f t="shared" si="0"/>
        <v xml:space="preserve"> </v>
      </c>
      <c r="M18" s="37" t="str">
        <f>IF(L18=" "," ",(IF($L18&gt;0,INDEX('Bin Analysis and Plots'!$E$3:$T$505,MATCH($L18,'Bin Analysis and Plots'!$D$3:$D$505,0),MATCH(M$5,'Bin Analysis and Plots'!$E$2:$T$2,0))," ")))</f>
        <v xml:space="preserve"> </v>
      </c>
      <c r="N18" s="38" t="str">
        <f>IF($L18=" "," ",(IF($M18=FALSE," ",(IF($M18&gt;0,INDEX('Bin Analysis and Plots'!$E$3:$T$505,MATCH($L18,'Bin Analysis and Plots'!$D$3:$D$505,0),MATCH(N$5,'Bin Analysis and Plots'!$E$2:$T$2,0))," ")))))</f>
        <v xml:space="preserve"> </v>
      </c>
      <c r="O18" s="38" t="str">
        <f>IF($L18=" "," ",(IF($M18=FALSE," ",(IF($M18&gt;0,INDEX('Bin Analysis and Plots'!$E$3:$T$505,MATCH($L18,'Bin Analysis and Plots'!$D$3:$D$505,0),MATCH(O$5,'Bin Analysis and Plots'!$E$2:$T$2,0))," ")))))</f>
        <v xml:space="preserve"> </v>
      </c>
      <c r="P18" s="38" t="str">
        <f>IF($L18=" "," ",(IF($M18=FALSE," ",(IF($M18&gt;0,INDEX('Bin Analysis and Plots'!$E$3:$T$505,MATCH($L18,'Bin Analysis and Plots'!$D$3:$D$505,0),MATCH(P$5,'Bin Analysis and Plots'!$E$2:$T$2,0))," ")))))</f>
        <v xml:space="preserve"> </v>
      </c>
      <c r="Q18" s="65" t="str">
        <f>IF($L18=" "," ",(IF($M18=FALSE," ",(IF($M18&gt;0,INDEX('Bin Analysis and Plots'!$E$3:$T$505,MATCH($L18,'Bin Analysis and Plots'!$D$3:$D$505,0),MATCH(Q$5,'Bin Analysis and Plots'!$E$2:$T$2,0))," ")))))</f>
        <v xml:space="preserve"> </v>
      </c>
      <c r="R18" s="30" t="str">
        <f>IF($L18=" "," ",(IF($M18=FALSE," ",(IF($M18&gt;0,INDEX('Bin Analysis and Plots'!$E$3:$T$505,MATCH($L18,'Bin Analysis and Plots'!$D$3:$D$505,0),MATCH(R$5,'Bin Analysis and Plots'!$E$2:$T$2,0))," ")))))</f>
        <v xml:space="preserve"> </v>
      </c>
    </row>
    <row r="19" spans="2:18" ht="16.5" thickBot="1" x14ac:dyDescent="0.3">
      <c r="B19" s="85"/>
      <c r="C19" s="86"/>
      <c r="D19" s="86"/>
      <c r="E19" s="87"/>
      <c r="G19" s="43" t="str">
        <f>IFERROR('Data Transformation'!M17," ")</f>
        <v xml:space="preserve"> </v>
      </c>
      <c r="I19" s="74" t="s">
        <v>93</v>
      </c>
      <c r="J19" s="1"/>
      <c r="L19" s="36" t="str">
        <f t="shared" si="0"/>
        <v xml:space="preserve"> </v>
      </c>
      <c r="M19" s="37" t="str">
        <f>IF(L19=" "," ",(IF($L19&gt;0,INDEX('Bin Analysis and Plots'!$E$3:$T$505,MATCH($L19,'Bin Analysis and Plots'!$D$3:$D$505,0),MATCH(M$5,'Bin Analysis and Plots'!$E$2:$T$2,0))," ")))</f>
        <v xml:space="preserve"> </v>
      </c>
      <c r="N19" s="38" t="str">
        <f>IF($L19=" "," ",(IF($M19=FALSE," ",(IF($M19&gt;0,INDEX('Bin Analysis and Plots'!$E$3:$T$505,MATCH($L19,'Bin Analysis and Plots'!$D$3:$D$505,0),MATCH(N$5,'Bin Analysis and Plots'!$E$2:$T$2,0))," ")))))</f>
        <v xml:space="preserve"> </v>
      </c>
      <c r="O19" s="38" t="str">
        <f>IF($L19=" "," ",(IF($M19=FALSE," ",(IF($M19&gt;0,INDEX('Bin Analysis and Plots'!$E$3:$T$505,MATCH($L19,'Bin Analysis and Plots'!$D$3:$D$505,0),MATCH(O$5,'Bin Analysis and Plots'!$E$2:$T$2,0))," ")))))</f>
        <v xml:space="preserve"> </v>
      </c>
      <c r="P19" s="38" t="str">
        <f>IF($L19=" "," ",(IF($M19=FALSE," ",(IF($M19&gt;0,INDEX('Bin Analysis and Plots'!$E$3:$T$505,MATCH($L19,'Bin Analysis and Plots'!$D$3:$D$505,0),MATCH(P$5,'Bin Analysis and Plots'!$E$2:$T$2,0))," ")))))</f>
        <v xml:space="preserve"> </v>
      </c>
      <c r="Q19" s="65" t="str">
        <f>IF($L19=" "," ",(IF($M19=FALSE," ",(IF($M19&gt;0,INDEX('Bin Analysis and Plots'!$E$3:$T$505,MATCH($L19,'Bin Analysis and Plots'!$D$3:$D$505,0),MATCH(Q$5,'Bin Analysis and Plots'!$E$2:$T$2,0))," ")))))</f>
        <v xml:space="preserve"> </v>
      </c>
      <c r="R19" s="30" t="str">
        <f>IF($L19=" "," ",(IF($M19=FALSE," ",(IF($M19&gt;0,INDEX('Bin Analysis and Plots'!$E$3:$T$505,MATCH($L19,'Bin Analysis and Plots'!$D$3:$D$505,0),MATCH(R$5,'Bin Analysis and Plots'!$E$2:$T$2,0))," ")))))</f>
        <v xml:space="preserve"> </v>
      </c>
    </row>
    <row r="20" spans="2:18" x14ac:dyDescent="0.25">
      <c r="B20" s="85"/>
      <c r="C20" s="86"/>
      <c r="D20" s="86"/>
      <c r="E20" s="87"/>
      <c r="G20" s="43" t="str">
        <f>IFERROR('Data Transformation'!M18," ")</f>
        <v xml:space="preserve"> </v>
      </c>
      <c r="I20" t="str">
        <f>IF(AND(J4="yes",NOT(J19="")),"see note #8 on first page regarding log and error","leave blank if no override")</f>
        <v>leave blank if no override</v>
      </c>
      <c r="L20" s="36" t="str">
        <f t="shared" si="0"/>
        <v xml:space="preserve"> </v>
      </c>
      <c r="M20" s="37" t="str">
        <f>IF(L20=" "," ",(IF($L20&gt;0,INDEX('Bin Analysis and Plots'!$E$3:$T$505,MATCH($L20,'Bin Analysis and Plots'!$D$3:$D$505,0),MATCH(M$5,'Bin Analysis and Plots'!$E$2:$T$2,0))," ")))</f>
        <v xml:space="preserve"> </v>
      </c>
      <c r="N20" s="38" t="str">
        <f>IF($L20=" "," ",(IF($M20=FALSE," ",(IF($M20&gt;0,INDEX('Bin Analysis and Plots'!$E$3:$T$505,MATCH($L20,'Bin Analysis and Plots'!$D$3:$D$505,0),MATCH(N$5,'Bin Analysis and Plots'!$E$2:$T$2,0))," ")))))</f>
        <v xml:space="preserve"> </v>
      </c>
      <c r="O20" s="38" t="str">
        <f>IF($L20=" "," ",(IF($M20=FALSE," ",(IF($M20&gt;0,INDEX('Bin Analysis and Plots'!$E$3:$T$505,MATCH($L20,'Bin Analysis and Plots'!$D$3:$D$505,0),MATCH(O$5,'Bin Analysis and Plots'!$E$2:$T$2,0))," ")))))</f>
        <v xml:space="preserve"> </v>
      </c>
      <c r="P20" s="38" t="str">
        <f>IF($L20=" "," ",(IF($M20=FALSE," ",(IF($M20&gt;0,INDEX('Bin Analysis and Plots'!$E$3:$T$505,MATCH($L20,'Bin Analysis and Plots'!$D$3:$D$505,0),MATCH(P$5,'Bin Analysis and Plots'!$E$2:$T$2,0))," ")))))</f>
        <v xml:space="preserve"> </v>
      </c>
      <c r="Q20" s="65" t="str">
        <f>IF($L20=" "," ",(IF($M20=FALSE," ",(IF($M20&gt;0,INDEX('Bin Analysis and Plots'!$E$3:$T$505,MATCH($L20,'Bin Analysis and Plots'!$D$3:$D$505,0),MATCH(Q$5,'Bin Analysis and Plots'!$E$2:$T$2,0))," ")))))</f>
        <v xml:space="preserve"> </v>
      </c>
      <c r="R20" s="30" t="str">
        <f>IF($L20=" "," ",(IF($M20=FALSE," ",(IF($M20&gt;0,INDEX('Bin Analysis and Plots'!$E$3:$T$505,MATCH($L20,'Bin Analysis and Plots'!$D$3:$D$505,0),MATCH(R$5,'Bin Analysis and Plots'!$E$2:$T$2,0))," ")))))</f>
        <v xml:space="preserve"> </v>
      </c>
    </row>
    <row r="21" spans="2:18" x14ac:dyDescent="0.25">
      <c r="B21" s="85"/>
      <c r="C21" s="86"/>
      <c r="D21" s="86"/>
      <c r="E21" s="87"/>
      <c r="G21" s="43" t="str">
        <f>IFERROR('Data Transformation'!M19," ")</f>
        <v xml:space="preserve"> </v>
      </c>
      <c r="L21" s="36" t="str">
        <f t="shared" si="0"/>
        <v xml:space="preserve"> </v>
      </c>
      <c r="M21" s="37" t="str">
        <f>IF(L21=" "," ",(IF($L21&gt;0,INDEX('Bin Analysis and Plots'!$E$3:$T$505,MATCH($L21,'Bin Analysis and Plots'!$D$3:$D$505,0),MATCH(M$5,'Bin Analysis and Plots'!$E$2:$T$2,0))," ")))</f>
        <v xml:space="preserve"> </v>
      </c>
      <c r="N21" s="38" t="str">
        <f>IF($L21=" "," ",(IF($M21=FALSE," ",(IF($M21&gt;0,INDEX('Bin Analysis and Plots'!$E$3:$T$505,MATCH($L21,'Bin Analysis and Plots'!$D$3:$D$505,0),MATCH(N$5,'Bin Analysis and Plots'!$E$2:$T$2,0))," ")))))</f>
        <v xml:space="preserve"> </v>
      </c>
      <c r="O21" s="38" t="str">
        <f>IF($L21=" "," ",(IF($M21=FALSE," ",(IF($M21&gt;0,INDEX('Bin Analysis and Plots'!$E$3:$T$505,MATCH($L21,'Bin Analysis and Plots'!$D$3:$D$505,0),MATCH(O$5,'Bin Analysis and Plots'!$E$2:$T$2,0))," ")))))</f>
        <v xml:space="preserve"> </v>
      </c>
      <c r="P21" s="38" t="str">
        <f>IF($L21=" "," ",(IF($M21=FALSE," ",(IF($M21&gt;0,INDEX('Bin Analysis and Plots'!$E$3:$T$505,MATCH($L21,'Bin Analysis and Plots'!$D$3:$D$505,0),MATCH(P$5,'Bin Analysis and Plots'!$E$2:$T$2,0))," ")))))</f>
        <v xml:space="preserve"> </v>
      </c>
      <c r="Q21" s="65" t="str">
        <f>IF($L21=" "," ",(IF($M21=FALSE," ",(IF($M21&gt;0,INDEX('Bin Analysis and Plots'!$E$3:$T$505,MATCH($L21,'Bin Analysis and Plots'!$D$3:$D$505,0),MATCH(Q$5,'Bin Analysis and Plots'!$E$2:$T$2,0))," ")))))</f>
        <v xml:space="preserve"> </v>
      </c>
      <c r="R21" s="30" t="str">
        <f>IF($L21=" "," ",(IF($M21=FALSE," ",(IF($M21&gt;0,INDEX('Bin Analysis and Plots'!$E$3:$T$505,MATCH($L21,'Bin Analysis and Plots'!$D$3:$D$505,0),MATCH(R$5,'Bin Analysis and Plots'!$E$2:$T$2,0))," ")))))</f>
        <v xml:space="preserve"> </v>
      </c>
    </row>
    <row r="22" spans="2:18" ht="16.5" thickBot="1" x14ac:dyDescent="0.3">
      <c r="B22" s="85"/>
      <c r="C22" s="86"/>
      <c r="D22" s="86"/>
      <c r="E22" s="87"/>
      <c r="G22" s="43" t="str">
        <f>IFERROR('Data Transformation'!M20," ")</f>
        <v xml:space="preserve"> </v>
      </c>
      <c r="I22" s="79" t="s">
        <v>7</v>
      </c>
      <c r="J22" s="14" t="e">
        <f>'Data Transformation'!R23</f>
        <v>#DIV/0!</v>
      </c>
      <c r="L22" s="36" t="str">
        <f t="shared" si="0"/>
        <v xml:space="preserve"> </v>
      </c>
      <c r="M22" s="37" t="str">
        <f>IF(L22=" "," ",(IF($L22&gt;0,INDEX('Bin Analysis and Plots'!$E$3:$T$505,MATCH($L22,'Bin Analysis and Plots'!$D$3:$D$505,0),MATCH(M$5,'Bin Analysis and Plots'!$E$2:$T$2,0))," ")))</f>
        <v xml:space="preserve"> </v>
      </c>
      <c r="N22" s="38" t="str">
        <f>IF($L22=" "," ",(IF($M22=FALSE," ",(IF($M22&gt;0,INDEX('Bin Analysis and Plots'!$E$3:$T$505,MATCH($L22,'Bin Analysis and Plots'!$D$3:$D$505,0),MATCH(N$5,'Bin Analysis and Plots'!$E$2:$T$2,0))," ")))))</f>
        <v xml:space="preserve"> </v>
      </c>
      <c r="O22" s="38" t="str">
        <f>IF($L22=" "," ",(IF($M22=FALSE," ",(IF($M22&gt;0,INDEX('Bin Analysis and Plots'!$E$3:$T$505,MATCH($L22,'Bin Analysis and Plots'!$D$3:$D$505,0),MATCH(O$5,'Bin Analysis and Plots'!$E$2:$T$2,0))," ")))))</f>
        <v xml:space="preserve"> </v>
      </c>
      <c r="P22" s="38" t="str">
        <f>IF($L22=" "," ",(IF($M22=FALSE," ",(IF($M22&gt;0,INDEX('Bin Analysis and Plots'!$E$3:$T$505,MATCH($L22,'Bin Analysis and Plots'!$D$3:$D$505,0),MATCH(P$5,'Bin Analysis and Plots'!$E$2:$T$2,0))," ")))))</f>
        <v xml:space="preserve"> </v>
      </c>
      <c r="Q22" s="65" t="str">
        <f>IF($L22=" "," ",(IF($M22=FALSE," ",(IF($M22&gt;0,INDEX('Bin Analysis and Plots'!$E$3:$T$505,MATCH($L22,'Bin Analysis and Plots'!$D$3:$D$505,0),MATCH(Q$5,'Bin Analysis and Plots'!$E$2:$T$2,0))," ")))))</f>
        <v xml:space="preserve"> </v>
      </c>
      <c r="R22" s="30" t="str">
        <f>IF($L22=" "," ",(IF($M22=FALSE," ",(IF($M22&gt;0,INDEX('Bin Analysis and Plots'!$E$3:$T$505,MATCH($L22,'Bin Analysis and Plots'!$D$3:$D$505,0),MATCH(R$5,'Bin Analysis and Plots'!$E$2:$T$2,0))," ")))))</f>
        <v xml:space="preserve"> </v>
      </c>
    </row>
    <row r="23" spans="2:18" ht="16.5" thickBot="1" x14ac:dyDescent="0.3">
      <c r="B23" s="85"/>
      <c r="C23" s="86"/>
      <c r="D23" s="86"/>
      <c r="E23" s="87"/>
      <c r="G23" s="43" t="str">
        <f>IFERROR('Data Transformation'!M21," ")</f>
        <v xml:space="preserve"> </v>
      </c>
      <c r="I23" s="53" t="s">
        <v>31</v>
      </c>
      <c r="J23" s="1"/>
      <c r="L23" s="36" t="str">
        <f t="shared" si="0"/>
        <v xml:space="preserve"> </v>
      </c>
      <c r="M23" s="37" t="str">
        <f>IF(L23=" "," ",(IF($L23&gt;0,INDEX('Bin Analysis and Plots'!$E$3:$T$505,MATCH($L23,'Bin Analysis and Plots'!$D$3:$D$505,0),MATCH(M$5,'Bin Analysis and Plots'!$E$2:$T$2,0))," ")))</f>
        <v xml:space="preserve"> </v>
      </c>
      <c r="N23" s="38" t="str">
        <f>IF($L23=" "," ",(IF($M23=FALSE," ",(IF($M23&gt;0,INDEX('Bin Analysis and Plots'!$E$3:$T$505,MATCH($L23,'Bin Analysis and Plots'!$D$3:$D$505,0),MATCH(N$5,'Bin Analysis and Plots'!$E$2:$T$2,0))," ")))))</f>
        <v xml:space="preserve"> </v>
      </c>
      <c r="O23" s="38" t="str">
        <f>IF($L23=" "," ",(IF($M23=FALSE," ",(IF($M23&gt;0,INDEX('Bin Analysis and Plots'!$E$3:$T$505,MATCH($L23,'Bin Analysis and Plots'!$D$3:$D$505,0),MATCH(O$5,'Bin Analysis and Plots'!$E$2:$T$2,0))," ")))))</f>
        <v xml:space="preserve"> </v>
      </c>
      <c r="P23" s="38" t="str">
        <f>IF($L23=" "," ",(IF($M23=FALSE," ",(IF($M23&gt;0,INDEX('Bin Analysis and Plots'!$E$3:$T$505,MATCH($L23,'Bin Analysis and Plots'!$D$3:$D$505,0),MATCH(P$5,'Bin Analysis and Plots'!$E$2:$T$2,0))," ")))))</f>
        <v xml:space="preserve"> </v>
      </c>
      <c r="Q23" s="65" t="str">
        <f>IF($L23=" "," ",(IF($M23=FALSE," ",(IF($M23&gt;0,INDEX('Bin Analysis and Plots'!$E$3:$T$505,MATCH($L23,'Bin Analysis and Plots'!$D$3:$D$505,0),MATCH(Q$5,'Bin Analysis and Plots'!$E$2:$T$2,0))," ")))))</f>
        <v xml:space="preserve"> </v>
      </c>
      <c r="R23" s="30" t="str">
        <f>IF($L23=" "," ",(IF($M23=FALSE," ",(IF($M23&gt;0,INDEX('Bin Analysis and Plots'!$E$3:$T$505,MATCH($L23,'Bin Analysis and Plots'!$D$3:$D$505,0),MATCH(R$5,'Bin Analysis and Plots'!$E$2:$T$2,0))," ")))))</f>
        <v xml:space="preserve"> </v>
      </c>
    </row>
    <row r="24" spans="2:18" x14ac:dyDescent="0.25">
      <c r="B24" s="85"/>
      <c r="C24" s="86"/>
      <c r="D24" s="86"/>
      <c r="E24" s="87"/>
      <c r="G24" s="43" t="str">
        <f>IFERROR('Data Transformation'!M22," ")</f>
        <v xml:space="preserve"> </v>
      </c>
      <c r="I24" t="s">
        <v>32</v>
      </c>
      <c r="L24" s="36" t="str">
        <f t="shared" si="0"/>
        <v xml:space="preserve"> </v>
      </c>
      <c r="M24" s="37" t="str">
        <f>IF(L24=" "," ",(IF($L24&gt;0,INDEX('Bin Analysis and Plots'!$E$3:$T$505,MATCH($L24,'Bin Analysis and Plots'!$D$3:$D$505,0),MATCH(M$5,'Bin Analysis and Plots'!$E$2:$T$2,0))," ")))</f>
        <v xml:space="preserve"> </v>
      </c>
      <c r="N24" s="38" t="str">
        <f>IF($L24=" "," ",(IF($M24=FALSE," ",(IF($M24&gt;0,INDEX('Bin Analysis and Plots'!$E$3:$T$505,MATCH($L24,'Bin Analysis and Plots'!$D$3:$D$505,0),MATCH(N$5,'Bin Analysis and Plots'!$E$2:$T$2,0))," ")))))</f>
        <v xml:space="preserve"> </v>
      </c>
      <c r="O24" s="38" t="str">
        <f>IF($L24=" "," ",(IF($M24=FALSE," ",(IF($M24&gt;0,INDEX('Bin Analysis and Plots'!$E$3:$T$505,MATCH($L24,'Bin Analysis and Plots'!$D$3:$D$505,0),MATCH(O$5,'Bin Analysis and Plots'!$E$2:$T$2,0))," ")))))</f>
        <v xml:space="preserve"> </v>
      </c>
      <c r="P24" s="38" t="str">
        <f>IF($L24=" "," ",(IF($M24=FALSE," ",(IF($M24&gt;0,INDEX('Bin Analysis and Plots'!$E$3:$T$505,MATCH($L24,'Bin Analysis and Plots'!$D$3:$D$505,0),MATCH(P$5,'Bin Analysis and Plots'!$E$2:$T$2,0))," ")))))</f>
        <v xml:space="preserve"> </v>
      </c>
      <c r="Q24" s="65" t="str">
        <f>IF($L24=" "," ",(IF($M24=FALSE," ",(IF($M24&gt;0,INDEX('Bin Analysis and Plots'!$E$3:$T$505,MATCH($L24,'Bin Analysis and Plots'!$D$3:$D$505,0),MATCH(Q$5,'Bin Analysis and Plots'!$E$2:$T$2,0))," ")))))</f>
        <v xml:space="preserve"> </v>
      </c>
      <c r="R24" s="30" t="str">
        <f>IF($L24=" "," ",(IF($M24=FALSE," ",(IF($M24&gt;0,INDEX('Bin Analysis and Plots'!$E$3:$T$505,MATCH($L24,'Bin Analysis and Plots'!$D$3:$D$505,0),MATCH(R$5,'Bin Analysis and Plots'!$E$2:$T$2,0))," ")))))</f>
        <v xml:space="preserve"> </v>
      </c>
    </row>
    <row r="25" spans="2:18" x14ac:dyDescent="0.25">
      <c r="B25" s="85"/>
      <c r="C25" s="86"/>
      <c r="D25" s="86"/>
      <c r="E25" s="87"/>
      <c r="G25" s="43" t="str">
        <f>IFERROR('Data Transformation'!M23," ")</f>
        <v xml:space="preserve"> </v>
      </c>
      <c r="L25" s="36" t="str">
        <f t="shared" si="0"/>
        <v xml:space="preserve"> </v>
      </c>
      <c r="M25" s="37" t="str">
        <f>IF(L25=" "," ",(IF($L25&gt;0,INDEX('Bin Analysis and Plots'!$E$3:$T$505,MATCH($L25,'Bin Analysis and Plots'!$D$3:$D$505,0),MATCH(M$5,'Bin Analysis and Plots'!$E$2:$T$2,0))," ")))</f>
        <v xml:space="preserve"> </v>
      </c>
      <c r="N25" s="38" t="str">
        <f>IF($L25=" "," ",(IF($M25=FALSE," ",(IF($M25&gt;0,INDEX('Bin Analysis and Plots'!$E$3:$T$505,MATCH($L25,'Bin Analysis and Plots'!$D$3:$D$505,0),MATCH(N$5,'Bin Analysis and Plots'!$E$2:$T$2,0))," ")))))</f>
        <v xml:space="preserve"> </v>
      </c>
      <c r="O25" s="38" t="str">
        <f>IF($L25=" "," ",(IF($M25=FALSE," ",(IF($M25&gt;0,INDEX('Bin Analysis and Plots'!$E$3:$T$505,MATCH($L25,'Bin Analysis and Plots'!$D$3:$D$505,0),MATCH(O$5,'Bin Analysis and Plots'!$E$2:$T$2,0))," ")))))</f>
        <v xml:space="preserve"> </v>
      </c>
      <c r="P25" s="38" t="str">
        <f>IF($L25=" "," ",(IF($M25=FALSE," ",(IF($M25&gt;0,INDEX('Bin Analysis and Plots'!$E$3:$T$505,MATCH($L25,'Bin Analysis and Plots'!$D$3:$D$505,0),MATCH(P$5,'Bin Analysis and Plots'!$E$2:$T$2,0))," ")))))</f>
        <v xml:space="preserve"> </v>
      </c>
      <c r="Q25" s="65" t="str">
        <f>IF($L25=" "," ",(IF($M25=FALSE," ",(IF($M25&gt;0,INDEX('Bin Analysis and Plots'!$E$3:$T$505,MATCH($L25,'Bin Analysis and Plots'!$D$3:$D$505,0),MATCH(Q$5,'Bin Analysis and Plots'!$E$2:$T$2,0))," ")))))</f>
        <v xml:space="preserve"> </v>
      </c>
      <c r="R25" s="30" t="str">
        <f>IF($L25=" "," ",(IF($M25=FALSE," ",(IF($M25&gt;0,INDEX('Bin Analysis and Plots'!$E$3:$T$505,MATCH($L25,'Bin Analysis and Plots'!$D$3:$D$505,0),MATCH(R$5,'Bin Analysis and Plots'!$E$2:$T$2,0))," ")))))</f>
        <v xml:space="preserve"> </v>
      </c>
    </row>
    <row r="26" spans="2:18" ht="16.5" thickBot="1" x14ac:dyDescent="0.3">
      <c r="B26" s="85"/>
      <c r="C26" s="86"/>
      <c r="D26" s="86"/>
      <c r="E26" s="87"/>
      <c r="G26" s="43" t="str">
        <f>IFERROR('Data Transformation'!M24," ")</f>
        <v xml:space="preserve"> </v>
      </c>
      <c r="I26" s="13"/>
      <c r="L26" s="39" t="str">
        <f t="shared" si="0"/>
        <v xml:space="preserve"> </v>
      </c>
      <c r="M26" s="40" t="str">
        <f>IF(L26=" "," ",(IF($L26&gt;0,INDEX('Bin Analysis and Plots'!$E$3:$T$505,MATCH($L26,'Bin Analysis and Plots'!$D$3:$D$505,0),MATCH(M$5,'Bin Analysis and Plots'!$E$2:$T$2,0))," ")))</f>
        <v xml:space="preserve"> </v>
      </c>
      <c r="N26" s="41" t="str">
        <f>IF($L26=" "," ",(IF($M26=FALSE," ",(IF($M26&gt;0,INDEX('Bin Analysis and Plots'!$E$3:$T$505,MATCH($L26,'Bin Analysis and Plots'!$D$3:$D$505,0),MATCH(N$5,'Bin Analysis and Plots'!$E$2:$T$2,0))," ")))))</f>
        <v xml:space="preserve"> </v>
      </c>
      <c r="O26" s="41" t="str">
        <f>IF($L26=" "," ",(IF($M26=FALSE," ",(IF($M26&gt;0,INDEX('Bin Analysis and Plots'!$E$3:$T$505,MATCH($L26,'Bin Analysis and Plots'!$D$3:$D$505,0),MATCH(O$5,'Bin Analysis and Plots'!$E$2:$T$2,0))," ")))))</f>
        <v xml:space="preserve"> </v>
      </c>
      <c r="P26" s="41" t="str">
        <f>IF($L26=" "," ",(IF($M26=FALSE," ",(IF($M26&gt;0,INDEX('Bin Analysis and Plots'!$E$3:$T$505,MATCH($L26,'Bin Analysis and Plots'!$D$3:$D$505,0),MATCH(P$5,'Bin Analysis and Plots'!$E$2:$T$2,0))," ")))))</f>
        <v xml:space="preserve"> </v>
      </c>
      <c r="Q26" s="66" t="str">
        <f>IF($L26=" "," ",(IF($M26=FALSE," ",(IF($M26&gt;0,INDEX('Bin Analysis and Plots'!$E$3:$T$505,MATCH($L26,'Bin Analysis and Plots'!$D$3:$D$505,0),MATCH(Q$5,'Bin Analysis and Plots'!$E$2:$T$2,0))," ")))))</f>
        <v xml:space="preserve"> </v>
      </c>
      <c r="R26" s="31" t="str">
        <f>IF($L26=" "," ",(IF($M26=FALSE," ",(IF($M26&gt;0,INDEX('Bin Analysis and Plots'!$E$3:$T$505,MATCH($L26,'Bin Analysis and Plots'!$D$3:$D$505,0),MATCH(R$5,'Bin Analysis and Plots'!$E$2:$T$2,0))," ")))))</f>
        <v xml:space="preserve"> </v>
      </c>
    </row>
    <row r="27" spans="2:18" x14ac:dyDescent="0.25">
      <c r="B27" s="85"/>
      <c r="C27" s="86"/>
      <c r="D27" s="86"/>
      <c r="E27" s="87"/>
      <c r="G27" s="44" t="str">
        <f>IFERROR('Data Transformation'!M25," ")</f>
        <v xml:space="preserve"> </v>
      </c>
    </row>
    <row r="28" spans="2:18" x14ac:dyDescent="0.25">
      <c r="B28" s="85"/>
      <c r="C28" s="86"/>
      <c r="D28" s="86"/>
      <c r="E28" s="87"/>
    </row>
    <row r="29" spans="2:18" x14ac:dyDescent="0.25">
      <c r="B29" s="85"/>
      <c r="C29" s="86"/>
      <c r="D29" s="86"/>
      <c r="E29" s="87"/>
    </row>
    <row r="30" spans="2:18" x14ac:dyDescent="0.25">
      <c r="B30" s="85"/>
      <c r="C30" s="86"/>
      <c r="D30" s="86"/>
      <c r="E30" s="87"/>
    </row>
    <row r="31" spans="2:18" x14ac:dyDescent="0.25">
      <c r="B31" s="85"/>
      <c r="C31" s="86"/>
      <c r="D31" s="86"/>
      <c r="E31" s="87"/>
    </row>
    <row r="32" spans="2:18" x14ac:dyDescent="0.25">
      <c r="B32" s="85"/>
      <c r="C32" s="86"/>
      <c r="D32" s="86"/>
      <c r="E32" s="87"/>
    </row>
    <row r="33" spans="2:21" x14ac:dyDescent="0.25">
      <c r="B33" s="85"/>
      <c r="C33" s="86"/>
      <c r="D33" s="86"/>
      <c r="E33" s="87"/>
      <c r="U33" t="s">
        <v>92</v>
      </c>
    </row>
    <row r="34" spans="2:21" x14ac:dyDescent="0.25">
      <c r="B34" s="85"/>
      <c r="C34" s="86"/>
      <c r="D34" s="86"/>
      <c r="E34" s="87"/>
    </row>
    <row r="35" spans="2:21" x14ac:dyDescent="0.25">
      <c r="B35" s="85"/>
      <c r="C35" s="86"/>
      <c r="D35" s="86"/>
      <c r="E35" s="87"/>
    </row>
    <row r="36" spans="2:21" x14ac:dyDescent="0.25">
      <c r="B36" s="85"/>
      <c r="C36" s="86"/>
      <c r="D36" s="86"/>
      <c r="E36" s="87"/>
    </row>
    <row r="37" spans="2:21" x14ac:dyDescent="0.25">
      <c r="B37" s="85"/>
      <c r="C37" s="86"/>
      <c r="D37" s="86"/>
      <c r="E37" s="87"/>
    </row>
    <row r="38" spans="2:21" x14ac:dyDescent="0.25">
      <c r="B38" s="85"/>
      <c r="C38" s="86"/>
      <c r="D38" s="86"/>
      <c r="E38" s="87"/>
    </row>
    <row r="39" spans="2:21" x14ac:dyDescent="0.25">
      <c r="B39" s="85"/>
      <c r="C39" s="86"/>
      <c r="D39" s="86"/>
      <c r="E39" s="87"/>
    </row>
    <row r="40" spans="2:21" x14ac:dyDescent="0.25">
      <c r="B40" s="85"/>
      <c r="C40" s="86"/>
      <c r="D40" s="86"/>
      <c r="E40" s="87"/>
    </row>
    <row r="41" spans="2:21" x14ac:dyDescent="0.25">
      <c r="B41" s="85"/>
      <c r="C41" s="86"/>
      <c r="D41" s="86"/>
      <c r="E41" s="87"/>
    </row>
    <row r="42" spans="2:21" x14ac:dyDescent="0.25">
      <c r="B42" s="85"/>
      <c r="C42" s="86"/>
      <c r="D42" s="86"/>
      <c r="E42" s="87"/>
    </row>
    <row r="43" spans="2:21" x14ac:dyDescent="0.25">
      <c r="B43" s="85"/>
      <c r="C43" s="86"/>
      <c r="D43" s="86"/>
      <c r="E43" s="87"/>
    </row>
    <row r="44" spans="2:21" x14ac:dyDescent="0.25">
      <c r="B44" s="85"/>
      <c r="C44" s="86"/>
      <c r="D44" s="86"/>
      <c r="E44" s="87"/>
    </row>
    <row r="45" spans="2:21" x14ac:dyDescent="0.25">
      <c r="B45" s="85"/>
      <c r="C45" s="86"/>
      <c r="D45" s="86"/>
      <c r="E45" s="87"/>
    </row>
    <row r="46" spans="2:21" x14ac:dyDescent="0.25">
      <c r="B46" s="85"/>
      <c r="C46" s="86"/>
      <c r="D46" s="86"/>
      <c r="E46" s="87"/>
    </row>
    <row r="47" spans="2:21" x14ac:dyDescent="0.25">
      <c r="B47" s="85"/>
      <c r="C47" s="86"/>
      <c r="D47" s="86"/>
      <c r="E47" s="87"/>
    </row>
    <row r="48" spans="2:21" x14ac:dyDescent="0.25">
      <c r="B48" s="85"/>
      <c r="C48" s="86"/>
      <c r="D48" s="86"/>
      <c r="E48" s="87"/>
    </row>
    <row r="49" spans="2:5" x14ac:dyDescent="0.25">
      <c r="B49" s="85"/>
      <c r="C49" s="86"/>
      <c r="D49" s="86"/>
      <c r="E49" s="87"/>
    </row>
    <row r="50" spans="2:5" x14ac:dyDescent="0.25">
      <c r="B50" s="85"/>
      <c r="C50" s="86"/>
      <c r="D50" s="86"/>
      <c r="E50" s="87"/>
    </row>
    <row r="51" spans="2:5" x14ac:dyDescent="0.25">
      <c r="B51" s="85"/>
      <c r="C51" s="86"/>
      <c r="D51" s="86"/>
      <c r="E51" s="87"/>
    </row>
    <row r="52" spans="2:5" x14ac:dyDescent="0.25">
      <c r="B52" s="85"/>
      <c r="C52" s="86"/>
      <c r="D52" s="86"/>
      <c r="E52" s="87"/>
    </row>
    <row r="53" spans="2:5" x14ac:dyDescent="0.25">
      <c r="B53" s="85"/>
      <c r="C53" s="86"/>
      <c r="D53" s="86"/>
      <c r="E53" s="87"/>
    </row>
    <row r="54" spans="2:5" x14ac:dyDescent="0.25">
      <c r="B54" s="62"/>
      <c r="C54" s="7"/>
      <c r="D54" s="7"/>
      <c r="E54" s="8"/>
    </row>
    <row r="55" spans="2:5" x14ac:dyDescent="0.25">
      <c r="B55" s="62"/>
      <c r="C55" s="7"/>
      <c r="D55" s="7"/>
      <c r="E55" s="8"/>
    </row>
    <row r="56" spans="2:5" x14ac:dyDescent="0.25">
      <c r="B56" s="62"/>
      <c r="C56" s="7"/>
      <c r="D56" s="7"/>
      <c r="E56" s="8"/>
    </row>
    <row r="57" spans="2:5" x14ac:dyDescent="0.25">
      <c r="B57" s="62"/>
      <c r="C57" s="7"/>
      <c r="D57" s="7"/>
      <c r="E57" s="8"/>
    </row>
    <row r="58" spans="2:5" x14ac:dyDescent="0.25">
      <c r="B58" s="62"/>
      <c r="C58" s="7"/>
      <c r="D58" s="7"/>
      <c r="E58" s="8"/>
    </row>
    <row r="59" spans="2:5" x14ac:dyDescent="0.25">
      <c r="B59" s="62"/>
      <c r="C59" s="7"/>
      <c r="D59" s="7"/>
      <c r="E59" s="8"/>
    </row>
    <row r="60" spans="2:5" x14ac:dyDescent="0.25">
      <c r="B60" s="62"/>
      <c r="C60" s="7"/>
      <c r="D60" s="7"/>
      <c r="E60" s="8"/>
    </row>
    <row r="61" spans="2:5" x14ac:dyDescent="0.25">
      <c r="B61" s="62"/>
      <c r="C61" s="7"/>
      <c r="D61" s="7"/>
      <c r="E61" s="8"/>
    </row>
    <row r="62" spans="2:5" x14ac:dyDescent="0.25">
      <c r="B62" s="62"/>
      <c r="C62" s="7"/>
      <c r="D62" s="7"/>
      <c r="E62" s="8"/>
    </row>
    <row r="63" spans="2:5" x14ac:dyDescent="0.25">
      <c r="B63" s="62"/>
      <c r="C63" s="7"/>
      <c r="D63" s="7"/>
      <c r="E63" s="8"/>
    </row>
    <row r="64" spans="2:5" x14ac:dyDescent="0.25">
      <c r="B64" s="62"/>
      <c r="C64" s="7"/>
      <c r="D64" s="7"/>
      <c r="E64" s="8"/>
    </row>
    <row r="65" spans="2:5" x14ac:dyDescent="0.25">
      <c r="B65" s="62"/>
      <c r="C65" s="7"/>
      <c r="D65" s="7"/>
      <c r="E65" s="8"/>
    </row>
    <row r="66" spans="2:5" x14ac:dyDescent="0.25">
      <c r="B66" s="62"/>
      <c r="C66" s="7"/>
      <c r="D66" s="7"/>
      <c r="E66" s="8"/>
    </row>
    <row r="67" spans="2:5" x14ac:dyDescent="0.25">
      <c r="B67" s="62"/>
      <c r="C67" s="7"/>
      <c r="D67" s="7"/>
      <c r="E67" s="8"/>
    </row>
    <row r="68" spans="2:5" x14ac:dyDescent="0.25">
      <c r="B68" s="62"/>
      <c r="C68" s="7"/>
      <c r="D68" s="7"/>
      <c r="E68" s="8"/>
    </row>
    <row r="69" spans="2:5" x14ac:dyDescent="0.25">
      <c r="B69" s="62"/>
      <c r="C69" s="7"/>
      <c r="D69" s="7"/>
      <c r="E69" s="8"/>
    </row>
    <row r="70" spans="2:5" x14ac:dyDescent="0.25">
      <c r="B70" s="62"/>
      <c r="C70" s="7"/>
      <c r="D70" s="7"/>
      <c r="E70" s="8"/>
    </row>
    <row r="71" spans="2:5" x14ac:dyDescent="0.25">
      <c r="B71" s="62"/>
      <c r="C71" s="7"/>
      <c r="D71" s="7"/>
      <c r="E71" s="8"/>
    </row>
    <row r="72" spans="2:5" x14ac:dyDescent="0.25">
      <c r="B72" s="62"/>
      <c r="C72" s="7"/>
      <c r="D72" s="7"/>
      <c r="E72" s="8"/>
    </row>
    <row r="73" spans="2:5" x14ac:dyDescent="0.25">
      <c r="B73" s="62"/>
      <c r="C73" s="7"/>
      <c r="D73" s="7"/>
      <c r="E73" s="8"/>
    </row>
    <row r="74" spans="2:5" x14ac:dyDescent="0.25">
      <c r="B74" s="62"/>
      <c r="C74" s="7"/>
      <c r="D74" s="7"/>
      <c r="E74" s="8"/>
    </row>
    <row r="75" spans="2:5" x14ac:dyDescent="0.25">
      <c r="B75" s="62"/>
      <c r="C75" s="7"/>
      <c r="D75" s="7"/>
      <c r="E75" s="8"/>
    </row>
    <row r="76" spans="2:5" x14ac:dyDescent="0.25">
      <c r="B76" s="62"/>
      <c r="C76" s="7"/>
      <c r="D76" s="7"/>
      <c r="E76" s="8"/>
    </row>
    <row r="77" spans="2:5" x14ac:dyDescent="0.25">
      <c r="B77" s="62"/>
      <c r="C77" s="7"/>
      <c r="D77" s="7"/>
      <c r="E77" s="8"/>
    </row>
    <row r="78" spans="2:5" x14ac:dyDescent="0.25">
      <c r="B78" s="62"/>
      <c r="C78" s="7"/>
      <c r="D78" s="7"/>
      <c r="E78" s="8"/>
    </row>
    <row r="79" spans="2:5" x14ac:dyDescent="0.25">
      <c r="B79" s="62"/>
      <c r="C79" s="7"/>
      <c r="D79" s="7"/>
      <c r="E79" s="8"/>
    </row>
    <row r="80" spans="2:5" x14ac:dyDescent="0.25">
      <c r="B80" s="62"/>
      <c r="C80" s="7"/>
      <c r="D80" s="7"/>
      <c r="E80" s="8"/>
    </row>
    <row r="81" spans="2:5" x14ac:dyDescent="0.25">
      <c r="B81" s="62"/>
      <c r="C81" s="7"/>
      <c r="D81" s="7"/>
      <c r="E81" s="8"/>
    </row>
    <row r="82" spans="2:5" x14ac:dyDescent="0.25">
      <c r="B82" s="62"/>
      <c r="C82" s="7"/>
      <c r="D82" s="7"/>
      <c r="E82" s="8"/>
    </row>
    <row r="83" spans="2:5" x14ac:dyDescent="0.25">
      <c r="B83" s="62"/>
      <c r="C83" s="7"/>
      <c r="D83" s="7"/>
      <c r="E83" s="8"/>
    </row>
    <row r="84" spans="2:5" x14ac:dyDescent="0.25">
      <c r="B84" s="62"/>
      <c r="C84" s="7"/>
      <c r="D84" s="7"/>
      <c r="E84" s="8"/>
    </row>
    <row r="85" spans="2:5" x14ac:dyDescent="0.25">
      <c r="B85" s="62"/>
      <c r="C85" s="7"/>
      <c r="D85" s="7"/>
      <c r="E85" s="8"/>
    </row>
    <row r="86" spans="2:5" x14ac:dyDescent="0.25">
      <c r="B86" s="62"/>
      <c r="C86" s="7"/>
      <c r="D86" s="7"/>
      <c r="E86" s="8"/>
    </row>
    <row r="87" spans="2:5" x14ac:dyDescent="0.25">
      <c r="B87" s="62"/>
      <c r="C87" s="7"/>
      <c r="D87" s="7"/>
      <c r="E87" s="8"/>
    </row>
    <row r="88" spans="2:5" x14ac:dyDescent="0.25">
      <c r="B88" s="62"/>
      <c r="C88" s="7"/>
      <c r="D88" s="7"/>
      <c r="E88" s="8"/>
    </row>
    <row r="89" spans="2:5" x14ac:dyDescent="0.25">
      <c r="B89" s="62"/>
      <c r="C89" s="7"/>
      <c r="D89" s="7"/>
      <c r="E89" s="8"/>
    </row>
    <row r="90" spans="2:5" x14ac:dyDescent="0.25">
      <c r="B90" s="62"/>
      <c r="C90" s="7"/>
      <c r="D90" s="7"/>
      <c r="E90" s="8"/>
    </row>
    <row r="91" spans="2:5" x14ac:dyDescent="0.25">
      <c r="B91" s="62"/>
      <c r="C91" s="7"/>
      <c r="D91" s="7"/>
      <c r="E91" s="8"/>
    </row>
    <row r="92" spans="2:5" x14ac:dyDescent="0.25">
      <c r="B92" s="62"/>
      <c r="C92" s="7"/>
      <c r="D92" s="7"/>
      <c r="E92" s="8"/>
    </row>
    <row r="93" spans="2:5" x14ac:dyDescent="0.25">
      <c r="B93" s="62"/>
      <c r="C93" s="7"/>
      <c r="D93" s="7"/>
      <c r="E93" s="8"/>
    </row>
    <row r="94" spans="2:5" x14ac:dyDescent="0.25">
      <c r="B94" s="62"/>
      <c r="C94" s="7"/>
      <c r="D94" s="7"/>
      <c r="E94" s="8"/>
    </row>
    <row r="95" spans="2:5" x14ac:dyDescent="0.25">
      <c r="B95" s="62"/>
      <c r="C95" s="7"/>
      <c r="D95" s="7"/>
      <c r="E95" s="8"/>
    </row>
    <row r="96" spans="2:5" x14ac:dyDescent="0.25">
      <c r="B96" s="62"/>
      <c r="C96" s="7"/>
      <c r="D96" s="7"/>
      <c r="E96" s="8"/>
    </row>
    <row r="97" spans="2:5" x14ac:dyDescent="0.25">
      <c r="B97" s="62"/>
      <c r="C97" s="7"/>
      <c r="D97" s="7"/>
      <c r="E97" s="8"/>
    </row>
    <row r="98" spans="2:5" x14ac:dyDescent="0.25">
      <c r="B98" s="62"/>
      <c r="C98" s="7"/>
      <c r="D98" s="7"/>
      <c r="E98" s="8"/>
    </row>
    <row r="99" spans="2:5" x14ac:dyDescent="0.25">
      <c r="B99" s="62"/>
      <c r="C99" s="7"/>
      <c r="D99" s="7"/>
      <c r="E99" s="8"/>
    </row>
    <row r="100" spans="2:5" x14ac:dyDescent="0.25">
      <c r="B100" s="62"/>
      <c r="C100" s="7"/>
      <c r="D100" s="7"/>
      <c r="E100" s="8"/>
    </row>
    <row r="101" spans="2:5" x14ac:dyDescent="0.25">
      <c r="B101" s="62"/>
      <c r="C101" s="7"/>
      <c r="D101" s="7"/>
      <c r="E101" s="8"/>
    </row>
    <row r="102" spans="2:5" x14ac:dyDescent="0.25">
      <c r="B102" s="62"/>
      <c r="C102" s="7"/>
      <c r="D102" s="7"/>
      <c r="E102" s="8"/>
    </row>
    <row r="103" spans="2:5" x14ac:dyDescent="0.25">
      <c r="B103" s="62"/>
      <c r="C103" s="7"/>
      <c r="D103" s="7"/>
      <c r="E103" s="8"/>
    </row>
    <row r="104" spans="2:5" x14ac:dyDescent="0.25">
      <c r="B104" s="62"/>
      <c r="C104" s="7"/>
      <c r="D104" s="7"/>
      <c r="E104" s="8"/>
    </row>
    <row r="105" spans="2:5" x14ac:dyDescent="0.25">
      <c r="B105" s="62"/>
      <c r="C105" s="7"/>
      <c r="D105" s="7"/>
      <c r="E105" s="8"/>
    </row>
    <row r="106" spans="2:5" x14ac:dyDescent="0.25">
      <c r="B106" s="62"/>
      <c r="C106" s="7"/>
      <c r="D106" s="7"/>
      <c r="E106" s="8"/>
    </row>
    <row r="107" spans="2:5" x14ac:dyDescent="0.25">
      <c r="B107" s="62"/>
      <c r="C107" s="7"/>
      <c r="D107" s="7"/>
      <c r="E107" s="8"/>
    </row>
    <row r="108" spans="2:5" x14ac:dyDescent="0.25">
      <c r="B108" s="62"/>
      <c r="C108" s="7"/>
      <c r="D108" s="7"/>
      <c r="E108" s="8"/>
    </row>
    <row r="109" spans="2:5" x14ac:dyDescent="0.25">
      <c r="B109" s="62"/>
      <c r="C109" s="7"/>
      <c r="D109" s="7"/>
      <c r="E109" s="8"/>
    </row>
    <row r="110" spans="2:5" x14ac:dyDescent="0.25">
      <c r="B110" s="62"/>
      <c r="C110" s="7"/>
      <c r="D110" s="7"/>
      <c r="E110" s="8"/>
    </row>
    <row r="111" spans="2:5" x14ac:dyDescent="0.25">
      <c r="B111" s="62"/>
      <c r="C111" s="7"/>
      <c r="D111" s="7"/>
      <c r="E111" s="8"/>
    </row>
    <row r="112" spans="2:5" x14ac:dyDescent="0.25">
      <c r="B112" s="62"/>
      <c r="C112" s="7"/>
      <c r="D112" s="7"/>
      <c r="E112" s="8"/>
    </row>
    <row r="113" spans="2:5" x14ac:dyDescent="0.25">
      <c r="B113" s="62"/>
      <c r="C113" s="7"/>
      <c r="D113" s="7"/>
      <c r="E113" s="8"/>
    </row>
    <row r="114" spans="2:5" x14ac:dyDescent="0.25">
      <c r="B114" s="62"/>
      <c r="C114" s="7"/>
      <c r="D114" s="7"/>
      <c r="E114" s="8"/>
    </row>
    <row r="115" spans="2:5" x14ac:dyDescent="0.25">
      <c r="B115" s="62"/>
      <c r="C115" s="7"/>
      <c r="D115" s="7"/>
      <c r="E115" s="8"/>
    </row>
    <row r="116" spans="2:5" x14ac:dyDescent="0.25">
      <c r="B116" s="62"/>
      <c r="C116" s="7"/>
      <c r="D116" s="7"/>
      <c r="E116" s="8"/>
    </row>
    <row r="117" spans="2:5" x14ac:dyDescent="0.25">
      <c r="B117" s="62"/>
      <c r="C117" s="7"/>
      <c r="D117" s="7"/>
      <c r="E117" s="8"/>
    </row>
    <row r="118" spans="2:5" x14ac:dyDescent="0.25">
      <c r="B118" s="62"/>
      <c r="C118" s="7"/>
      <c r="D118" s="7"/>
      <c r="E118" s="8"/>
    </row>
    <row r="119" spans="2:5" x14ac:dyDescent="0.25">
      <c r="B119" s="62"/>
      <c r="C119" s="7"/>
      <c r="D119" s="7"/>
      <c r="E119" s="8"/>
    </row>
    <row r="120" spans="2:5" x14ac:dyDescent="0.25">
      <c r="B120" s="62"/>
      <c r="C120" s="7"/>
      <c r="D120" s="7"/>
      <c r="E120" s="8"/>
    </row>
    <row r="121" spans="2:5" x14ac:dyDescent="0.25">
      <c r="B121" s="62"/>
      <c r="C121" s="7"/>
      <c r="D121" s="7"/>
      <c r="E121" s="8"/>
    </row>
    <row r="122" spans="2:5" x14ac:dyDescent="0.25">
      <c r="B122" s="62"/>
      <c r="C122" s="7"/>
      <c r="D122" s="7"/>
      <c r="E122" s="8"/>
    </row>
    <row r="123" spans="2:5" x14ac:dyDescent="0.25">
      <c r="B123" s="62"/>
      <c r="C123" s="7"/>
      <c r="D123" s="7"/>
      <c r="E123" s="8"/>
    </row>
    <row r="124" spans="2:5" x14ac:dyDescent="0.25">
      <c r="B124" s="62"/>
      <c r="C124" s="7"/>
      <c r="D124" s="7"/>
      <c r="E124" s="8"/>
    </row>
    <row r="125" spans="2:5" x14ac:dyDescent="0.25">
      <c r="B125" s="62"/>
      <c r="C125" s="7"/>
      <c r="D125" s="7"/>
      <c r="E125" s="8"/>
    </row>
    <row r="126" spans="2:5" x14ac:dyDescent="0.25">
      <c r="B126" s="62"/>
      <c r="C126" s="7"/>
      <c r="D126" s="7"/>
      <c r="E126" s="8"/>
    </row>
    <row r="127" spans="2:5" x14ac:dyDescent="0.25">
      <c r="B127" s="62"/>
      <c r="C127" s="7"/>
      <c r="D127" s="7"/>
      <c r="E127" s="8"/>
    </row>
    <row r="128" spans="2:5" x14ac:dyDescent="0.25">
      <c r="B128" s="62"/>
      <c r="C128" s="7"/>
      <c r="D128" s="7"/>
      <c r="E128" s="8"/>
    </row>
    <row r="129" spans="2:5" x14ac:dyDescent="0.25">
      <c r="B129" s="62"/>
      <c r="C129" s="7"/>
      <c r="D129" s="7"/>
      <c r="E129" s="8"/>
    </row>
    <row r="130" spans="2:5" x14ac:dyDescent="0.25">
      <c r="B130" s="62"/>
      <c r="C130" s="7"/>
      <c r="D130" s="7"/>
      <c r="E130" s="8"/>
    </row>
    <row r="131" spans="2:5" x14ac:dyDescent="0.25">
      <c r="B131" s="62"/>
      <c r="C131" s="7"/>
      <c r="D131" s="7"/>
      <c r="E131" s="8"/>
    </row>
    <row r="132" spans="2:5" x14ac:dyDescent="0.25">
      <c r="B132" s="62"/>
      <c r="C132" s="7"/>
      <c r="D132" s="7"/>
      <c r="E132" s="8"/>
    </row>
    <row r="133" spans="2:5" x14ac:dyDescent="0.25">
      <c r="B133" s="62"/>
      <c r="C133" s="7"/>
      <c r="D133" s="7"/>
      <c r="E133" s="8"/>
    </row>
    <row r="134" spans="2:5" x14ac:dyDescent="0.25">
      <c r="B134" s="62"/>
      <c r="C134" s="7"/>
      <c r="D134" s="7"/>
      <c r="E134" s="8"/>
    </row>
    <row r="135" spans="2:5" x14ac:dyDescent="0.25">
      <c r="B135" s="62"/>
      <c r="C135" s="7"/>
      <c r="D135" s="7"/>
      <c r="E135" s="8"/>
    </row>
    <row r="136" spans="2:5" x14ac:dyDescent="0.25">
      <c r="B136" s="62"/>
      <c r="C136" s="7"/>
      <c r="D136" s="7"/>
      <c r="E136" s="8"/>
    </row>
    <row r="137" spans="2:5" x14ac:dyDescent="0.25">
      <c r="B137" s="62"/>
      <c r="C137" s="7"/>
      <c r="D137" s="7"/>
      <c r="E137" s="8"/>
    </row>
    <row r="138" spans="2:5" x14ac:dyDescent="0.25">
      <c r="B138" s="62"/>
      <c r="C138" s="7"/>
      <c r="D138" s="7"/>
      <c r="E138" s="8"/>
    </row>
    <row r="139" spans="2:5" x14ac:dyDescent="0.25">
      <c r="B139" s="62"/>
      <c r="C139" s="7"/>
      <c r="D139" s="7"/>
      <c r="E139" s="8"/>
    </row>
    <row r="140" spans="2:5" x14ac:dyDescent="0.25">
      <c r="B140" s="62"/>
      <c r="C140" s="7"/>
      <c r="D140" s="7"/>
      <c r="E140" s="8"/>
    </row>
    <row r="141" spans="2:5" x14ac:dyDescent="0.25">
      <c r="B141" s="62"/>
      <c r="C141" s="7"/>
      <c r="D141" s="7"/>
      <c r="E141" s="8"/>
    </row>
    <row r="142" spans="2:5" x14ac:dyDescent="0.25">
      <c r="B142" s="62"/>
      <c r="C142" s="7"/>
      <c r="D142" s="7"/>
      <c r="E142" s="8"/>
    </row>
    <row r="143" spans="2:5" x14ac:dyDescent="0.25">
      <c r="B143" s="62"/>
      <c r="C143" s="7"/>
      <c r="D143" s="7"/>
      <c r="E143" s="8"/>
    </row>
    <row r="144" spans="2:5" x14ac:dyDescent="0.25">
      <c r="B144" s="62"/>
      <c r="C144" s="7"/>
      <c r="D144" s="7"/>
      <c r="E144" s="8"/>
    </row>
    <row r="145" spans="2:5" x14ac:dyDescent="0.25">
      <c r="B145" s="62"/>
      <c r="C145" s="7"/>
      <c r="D145" s="7"/>
      <c r="E145" s="8"/>
    </row>
    <row r="146" spans="2:5" x14ac:dyDescent="0.25">
      <c r="B146" s="62"/>
      <c r="C146" s="7"/>
      <c r="D146" s="7"/>
      <c r="E146" s="8"/>
    </row>
    <row r="147" spans="2:5" x14ac:dyDescent="0.25">
      <c r="B147" s="62"/>
      <c r="C147" s="7"/>
      <c r="D147" s="7"/>
      <c r="E147" s="8"/>
    </row>
    <row r="148" spans="2:5" x14ac:dyDescent="0.25">
      <c r="B148" s="62"/>
      <c r="C148" s="7"/>
      <c r="D148" s="7"/>
      <c r="E148" s="8"/>
    </row>
    <row r="149" spans="2:5" x14ac:dyDescent="0.25">
      <c r="B149" s="62"/>
      <c r="C149" s="7"/>
      <c r="D149" s="7"/>
      <c r="E149" s="8"/>
    </row>
    <row r="150" spans="2:5" x14ac:dyDescent="0.25">
      <c r="B150" s="62"/>
      <c r="C150" s="7"/>
      <c r="D150" s="7"/>
      <c r="E150" s="8"/>
    </row>
    <row r="151" spans="2:5" x14ac:dyDescent="0.25">
      <c r="B151" s="62"/>
      <c r="C151" s="7"/>
      <c r="D151" s="7"/>
      <c r="E151" s="8"/>
    </row>
    <row r="152" spans="2:5" x14ac:dyDescent="0.25">
      <c r="B152" s="62"/>
      <c r="C152" s="7"/>
      <c r="D152" s="7"/>
      <c r="E152" s="8"/>
    </row>
    <row r="153" spans="2:5" x14ac:dyDescent="0.25">
      <c r="B153" s="62"/>
      <c r="C153" s="7"/>
      <c r="D153" s="7"/>
      <c r="E153" s="8"/>
    </row>
    <row r="154" spans="2:5" x14ac:dyDescent="0.25">
      <c r="B154" s="62"/>
      <c r="C154" s="7"/>
      <c r="D154" s="7"/>
      <c r="E154" s="8"/>
    </row>
    <row r="155" spans="2:5" x14ac:dyDescent="0.25">
      <c r="B155" s="62"/>
      <c r="C155" s="7"/>
      <c r="D155" s="7"/>
      <c r="E155" s="8"/>
    </row>
    <row r="156" spans="2:5" x14ac:dyDescent="0.25">
      <c r="B156" s="62"/>
      <c r="C156" s="7"/>
      <c r="D156" s="7"/>
      <c r="E156" s="8"/>
    </row>
    <row r="157" spans="2:5" x14ac:dyDescent="0.25">
      <c r="B157" s="62"/>
      <c r="C157" s="7"/>
      <c r="D157" s="7"/>
      <c r="E157" s="8"/>
    </row>
    <row r="158" spans="2:5" x14ac:dyDescent="0.25">
      <c r="B158" s="62"/>
      <c r="C158" s="7"/>
      <c r="D158" s="7"/>
      <c r="E158" s="8"/>
    </row>
    <row r="159" spans="2:5" x14ac:dyDescent="0.25">
      <c r="B159" s="62"/>
      <c r="C159" s="7"/>
      <c r="D159" s="7"/>
      <c r="E159" s="8"/>
    </row>
    <row r="160" spans="2:5" x14ac:dyDescent="0.25">
      <c r="B160" s="62"/>
      <c r="C160" s="7"/>
      <c r="D160" s="7"/>
      <c r="E160" s="8"/>
    </row>
    <row r="161" spans="2:5" x14ac:dyDescent="0.25">
      <c r="B161" s="62"/>
      <c r="C161" s="7"/>
      <c r="D161" s="7"/>
      <c r="E161" s="8"/>
    </row>
    <row r="162" spans="2:5" x14ac:dyDescent="0.25">
      <c r="B162" s="62"/>
      <c r="C162" s="7"/>
      <c r="D162" s="7"/>
      <c r="E162" s="8"/>
    </row>
    <row r="163" spans="2:5" x14ac:dyDescent="0.25">
      <c r="B163" s="62"/>
      <c r="C163" s="7"/>
      <c r="D163" s="7"/>
      <c r="E163" s="8"/>
    </row>
    <row r="164" spans="2:5" x14ac:dyDescent="0.25">
      <c r="B164" s="62"/>
      <c r="C164" s="7"/>
      <c r="D164" s="7"/>
      <c r="E164" s="8"/>
    </row>
    <row r="165" spans="2:5" x14ac:dyDescent="0.25">
      <c r="B165" s="62"/>
      <c r="C165" s="7"/>
      <c r="D165" s="7"/>
      <c r="E165" s="8"/>
    </row>
    <row r="166" spans="2:5" x14ac:dyDescent="0.25">
      <c r="B166" s="62"/>
      <c r="C166" s="7"/>
      <c r="D166" s="7"/>
      <c r="E166" s="8"/>
    </row>
    <row r="167" spans="2:5" x14ac:dyDescent="0.25">
      <c r="B167" s="62"/>
      <c r="C167" s="7"/>
      <c r="D167" s="7"/>
      <c r="E167" s="8"/>
    </row>
    <row r="168" spans="2:5" x14ac:dyDescent="0.25">
      <c r="B168" s="62"/>
      <c r="C168" s="7"/>
      <c r="D168" s="7"/>
      <c r="E168" s="8"/>
    </row>
    <row r="169" spans="2:5" x14ac:dyDescent="0.25">
      <c r="B169" s="62"/>
      <c r="C169" s="7"/>
      <c r="D169" s="7"/>
      <c r="E169" s="8"/>
    </row>
    <row r="170" spans="2:5" x14ac:dyDescent="0.25">
      <c r="B170" s="62"/>
      <c r="C170" s="7"/>
      <c r="D170" s="7"/>
      <c r="E170" s="8"/>
    </row>
    <row r="171" spans="2:5" x14ac:dyDescent="0.25">
      <c r="B171" s="62"/>
      <c r="C171" s="7"/>
      <c r="D171" s="7"/>
      <c r="E171" s="8"/>
    </row>
    <row r="172" spans="2:5" x14ac:dyDescent="0.25">
      <c r="B172" s="62"/>
      <c r="C172" s="7"/>
      <c r="D172" s="7"/>
      <c r="E172" s="8"/>
    </row>
    <row r="173" spans="2:5" x14ac:dyDescent="0.25">
      <c r="B173" s="62"/>
      <c r="C173" s="7"/>
      <c r="D173" s="7"/>
      <c r="E173" s="8"/>
    </row>
    <row r="174" spans="2:5" x14ac:dyDescent="0.25">
      <c r="B174" s="62"/>
      <c r="C174" s="7"/>
      <c r="D174" s="7"/>
      <c r="E174" s="8"/>
    </row>
    <row r="175" spans="2:5" x14ac:dyDescent="0.25">
      <c r="B175" s="62"/>
      <c r="C175" s="7"/>
      <c r="D175" s="7"/>
      <c r="E175" s="8"/>
    </row>
    <row r="176" spans="2:5" x14ac:dyDescent="0.25">
      <c r="B176" s="62"/>
      <c r="C176" s="7"/>
      <c r="D176" s="7"/>
      <c r="E176" s="8"/>
    </row>
    <row r="177" spans="2:5" x14ac:dyDescent="0.25">
      <c r="B177" s="62"/>
      <c r="C177" s="7"/>
      <c r="D177" s="7"/>
      <c r="E177" s="8"/>
    </row>
    <row r="178" spans="2:5" x14ac:dyDescent="0.25">
      <c r="B178" s="62"/>
      <c r="C178" s="7"/>
      <c r="D178" s="7"/>
      <c r="E178" s="8"/>
    </row>
    <row r="179" spans="2:5" x14ac:dyDescent="0.25">
      <c r="B179" s="62"/>
      <c r="C179" s="7"/>
      <c r="D179" s="7"/>
      <c r="E179" s="8"/>
    </row>
    <row r="180" spans="2:5" x14ac:dyDescent="0.25">
      <c r="B180" s="62"/>
      <c r="C180" s="7"/>
      <c r="D180" s="7"/>
      <c r="E180" s="8"/>
    </row>
    <row r="181" spans="2:5" x14ac:dyDescent="0.25">
      <c r="B181" s="62"/>
      <c r="C181" s="7"/>
      <c r="D181" s="7"/>
      <c r="E181" s="8"/>
    </row>
    <row r="182" spans="2:5" x14ac:dyDescent="0.25">
      <c r="B182" s="62"/>
      <c r="C182" s="7"/>
      <c r="D182" s="7"/>
      <c r="E182" s="8"/>
    </row>
    <row r="183" spans="2:5" x14ac:dyDescent="0.25">
      <c r="B183" s="62"/>
      <c r="C183" s="7"/>
      <c r="D183" s="7"/>
      <c r="E183" s="8"/>
    </row>
    <row r="184" spans="2:5" x14ac:dyDescent="0.25">
      <c r="B184" s="62"/>
      <c r="C184" s="7"/>
      <c r="D184" s="7"/>
      <c r="E184" s="8"/>
    </row>
    <row r="185" spans="2:5" x14ac:dyDescent="0.25">
      <c r="B185" s="62"/>
      <c r="C185" s="7"/>
      <c r="D185" s="7"/>
      <c r="E185" s="8"/>
    </row>
    <row r="186" spans="2:5" x14ac:dyDescent="0.25">
      <c r="B186" s="62"/>
      <c r="C186" s="7"/>
      <c r="D186" s="7"/>
      <c r="E186" s="8"/>
    </row>
    <row r="187" spans="2:5" x14ac:dyDescent="0.25">
      <c r="B187" s="62"/>
      <c r="C187" s="7"/>
      <c r="D187" s="7"/>
      <c r="E187" s="8"/>
    </row>
    <row r="188" spans="2:5" x14ac:dyDescent="0.25">
      <c r="B188" s="62"/>
      <c r="C188" s="7"/>
      <c r="D188" s="7"/>
      <c r="E188" s="8"/>
    </row>
    <row r="189" spans="2:5" x14ac:dyDescent="0.25">
      <c r="B189" s="62"/>
      <c r="C189" s="7"/>
      <c r="D189" s="7"/>
      <c r="E189" s="8"/>
    </row>
    <row r="190" spans="2:5" x14ac:dyDescent="0.25">
      <c r="B190" s="62"/>
      <c r="C190" s="7"/>
      <c r="D190" s="7"/>
      <c r="E190" s="8"/>
    </row>
    <row r="191" spans="2:5" x14ac:dyDescent="0.25">
      <c r="B191" s="62"/>
      <c r="C191" s="7"/>
      <c r="D191" s="7"/>
      <c r="E191" s="8"/>
    </row>
    <row r="192" spans="2:5" x14ac:dyDescent="0.25">
      <c r="B192" s="62"/>
      <c r="C192" s="7"/>
      <c r="D192" s="7"/>
      <c r="E192" s="8"/>
    </row>
    <row r="193" spans="2:5" x14ac:dyDescent="0.25">
      <c r="B193" s="62"/>
      <c r="C193" s="7"/>
      <c r="D193" s="7"/>
      <c r="E193" s="8"/>
    </row>
    <row r="194" spans="2:5" x14ac:dyDescent="0.25">
      <c r="B194" s="62"/>
      <c r="C194" s="7"/>
      <c r="D194" s="7"/>
      <c r="E194" s="8"/>
    </row>
    <row r="195" spans="2:5" x14ac:dyDescent="0.25">
      <c r="B195" s="62"/>
      <c r="C195" s="7"/>
      <c r="D195" s="7"/>
      <c r="E195" s="8"/>
    </row>
    <row r="196" spans="2:5" x14ac:dyDescent="0.25">
      <c r="B196" s="62"/>
      <c r="C196" s="7"/>
      <c r="D196" s="7"/>
      <c r="E196" s="8"/>
    </row>
    <row r="197" spans="2:5" x14ac:dyDescent="0.25">
      <c r="B197" s="62"/>
      <c r="C197" s="7"/>
      <c r="D197" s="7"/>
      <c r="E197" s="8"/>
    </row>
    <row r="198" spans="2:5" x14ac:dyDescent="0.25">
      <c r="B198" s="62"/>
      <c r="C198" s="7"/>
      <c r="D198" s="7"/>
      <c r="E198" s="8"/>
    </row>
    <row r="199" spans="2:5" x14ac:dyDescent="0.25">
      <c r="B199" s="62"/>
      <c r="C199" s="7"/>
      <c r="D199" s="7"/>
      <c r="E199" s="8"/>
    </row>
    <row r="200" spans="2:5" x14ac:dyDescent="0.25">
      <c r="B200" s="62"/>
      <c r="C200" s="7"/>
      <c r="D200" s="7"/>
      <c r="E200" s="8"/>
    </row>
    <row r="201" spans="2:5" x14ac:dyDescent="0.25">
      <c r="B201" s="62"/>
      <c r="C201" s="7"/>
      <c r="D201" s="7"/>
      <c r="E201" s="8"/>
    </row>
    <row r="202" spans="2:5" x14ac:dyDescent="0.25">
      <c r="B202" s="62"/>
      <c r="C202" s="7"/>
      <c r="D202" s="7"/>
      <c r="E202" s="8"/>
    </row>
    <row r="203" spans="2:5" x14ac:dyDescent="0.25">
      <c r="B203" s="62"/>
      <c r="C203" s="7"/>
      <c r="D203" s="7"/>
      <c r="E203" s="8"/>
    </row>
    <row r="204" spans="2:5" x14ac:dyDescent="0.25">
      <c r="B204" s="62"/>
      <c r="C204" s="7"/>
      <c r="D204" s="7"/>
      <c r="E204" s="8"/>
    </row>
    <row r="205" spans="2:5" x14ac:dyDescent="0.25">
      <c r="B205" s="62"/>
      <c r="C205" s="7"/>
      <c r="D205" s="7"/>
      <c r="E205" s="8"/>
    </row>
    <row r="206" spans="2:5" x14ac:dyDescent="0.25">
      <c r="B206" s="62"/>
      <c r="C206" s="7"/>
      <c r="D206" s="7"/>
      <c r="E206" s="8"/>
    </row>
    <row r="207" spans="2:5" x14ac:dyDescent="0.25">
      <c r="B207" s="62"/>
      <c r="C207" s="7"/>
      <c r="D207" s="7"/>
      <c r="E207" s="8"/>
    </row>
    <row r="208" spans="2:5" x14ac:dyDescent="0.25">
      <c r="B208" s="62"/>
      <c r="C208" s="7"/>
      <c r="D208" s="7"/>
      <c r="E208" s="8"/>
    </row>
    <row r="209" spans="2:5" x14ac:dyDescent="0.25">
      <c r="B209" s="62"/>
      <c r="C209" s="7"/>
      <c r="D209" s="7"/>
      <c r="E209" s="8"/>
    </row>
    <row r="210" spans="2:5" x14ac:dyDescent="0.25">
      <c r="B210" s="62"/>
      <c r="C210" s="7"/>
      <c r="D210" s="7"/>
      <c r="E210" s="8"/>
    </row>
    <row r="211" spans="2:5" x14ac:dyDescent="0.25">
      <c r="B211" s="62"/>
      <c r="C211" s="7"/>
      <c r="D211" s="7"/>
      <c r="E211" s="8"/>
    </row>
    <row r="212" spans="2:5" x14ac:dyDescent="0.25">
      <c r="B212" s="62"/>
      <c r="C212" s="7"/>
      <c r="D212" s="7"/>
      <c r="E212" s="8"/>
    </row>
    <row r="213" spans="2:5" x14ac:dyDescent="0.25">
      <c r="B213" s="62"/>
      <c r="C213" s="7"/>
      <c r="D213" s="7"/>
      <c r="E213" s="8"/>
    </row>
    <row r="214" spans="2:5" x14ac:dyDescent="0.25">
      <c r="B214" s="62"/>
      <c r="C214" s="7"/>
      <c r="D214" s="7"/>
      <c r="E214" s="8"/>
    </row>
    <row r="215" spans="2:5" x14ac:dyDescent="0.25">
      <c r="B215" s="6"/>
      <c r="C215" s="7"/>
      <c r="D215" s="7"/>
      <c r="E215" s="8"/>
    </row>
    <row r="216" spans="2:5" x14ac:dyDescent="0.25">
      <c r="B216" s="6"/>
      <c r="C216" s="7"/>
      <c r="D216" s="7"/>
      <c r="E216" s="8"/>
    </row>
    <row r="217" spans="2:5" x14ac:dyDescent="0.25">
      <c r="B217" s="6"/>
      <c r="C217" s="7"/>
      <c r="D217" s="7"/>
      <c r="E217" s="8"/>
    </row>
    <row r="218" spans="2:5" x14ac:dyDescent="0.25">
      <c r="B218" s="6"/>
      <c r="C218" s="7"/>
      <c r="D218" s="7"/>
      <c r="E218" s="8"/>
    </row>
    <row r="219" spans="2:5" x14ac:dyDescent="0.25">
      <c r="B219" s="6"/>
      <c r="C219" s="7"/>
      <c r="D219" s="7"/>
      <c r="E219" s="8"/>
    </row>
    <row r="220" spans="2:5" x14ac:dyDescent="0.25">
      <c r="B220" s="6"/>
      <c r="C220" s="7"/>
      <c r="D220" s="7"/>
      <c r="E220" s="8"/>
    </row>
    <row r="221" spans="2:5" x14ac:dyDescent="0.25">
      <c r="B221" s="6"/>
      <c r="C221" s="7"/>
      <c r="D221" s="7"/>
      <c r="E221" s="8"/>
    </row>
    <row r="222" spans="2:5" x14ac:dyDescent="0.25">
      <c r="B222" s="6"/>
      <c r="C222" s="7"/>
      <c r="D222" s="7"/>
      <c r="E222" s="8"/>
    </row>
    <row r="223" spans="2:5" x14ac:dyDescent="0.25">
      <c r="B223" s="6"/>
      <c r="C223" s="7"/>
      <c r="D223" s="7"/>
      <c r="E223" s="8"/>
    </row>
    <row r="224" spans="2:5" x14ac:dyDescent="0.25">
      <c r="B224" s="6"/>
      <c r="C224" s="7"/>
      <c r="D224" s="7"/>
      <c r="E224" s="8"/>
    </row>
    <row r="225" spans="2:5" x14ac:dyDescent="0.25">
      <c r="B225" s="6"/>
      <c r="C225" s="7"/>
      <c r="D225" s="7"/>
      <c r="E225" s="8"/>
    </row>
    <row r="226" spans="2:5" x14ac:dyDescent="0.25">
      <c r="B226" s="6"/>
      <c r="C226" s="7"/>
      <c r="D226" s="7"/>
      <c r="E226" s="8"/>
    </row>
    <row r="227" spans="2:5" x14ac:dyDescent="0.25">
      <c r="B227" s="6"/>
      <c r="C227" s="7"/>
      <c r="D227" s="7"/>
      <c r="E227" s="8"/>
    </row>
    <row r="228" spans="2:5" x14ac:dyDescent="0.25">
      <c r="B228" s="6"/>
      <c r="C228" s="7"/>
      <c r="D228" s="7"/>
      <c r="E228" s="8"/>
    </row>
    <row r="229" spans="2:5" x14ac:dyDescent="0.25">
      <c r="B229" s="6"/>
      <c r="C229" s="7"/>
      <c r="D229" s="7"/>
      <c r="E229" s="8"/>
    </row>
    <row r="230" spans="2:5" x14ac:dyDescent="0.25">
      <c r="B230" s="6"/>
      <c r="C230" s="7"/>
      <c r="D230" s="7"/>
      <c r="E230" s="8"/>
    </row>
    <row r="231" spans="2:5" x14ac:dyDescent="0.25">
      <c r="B231" s="6"/>
      <c r="C231" s="7"/>
      <c r="D231" s="7"/>
      <c r="E231" s="8"/>
    </row>
    <row r="232" spans="2:5" x14ac:dyDescent="0.25">
      <c r="B232" s="6"/>
      <c r="C232" s="7"/>
      <c r="D232" s="7"/>
      <c r="E232" s="8"/>
    </row>
    <row r="233" spans="2:5" x14ac:dyDescent="0.25">
      <c r="B233" s="6"/>
      <c r="C233" s="7"/>
      <c r="D233" s="7"/>
      <c r="E233" s="8"/>
    </row>
    <row r="234" spans="2:5" x14ac:dyDescent="0.25">
      <c r="B234" s="6"/>
      <c r="C234" s="7"/>
      <c r="D234" s="7"/>
      <c r="E234" s="8"/>
    </row>
    <row r="235" spans="2:5" x14ac:dyDescent="0.25">
      <c r="B235" s="6"/>
      <c r="C235" s="7"/>
      <c r="D235" s="7"/>
      <c r="E235" s="8"/>
    </row>
    <row r="236" spans="2:5" x14ac:dyDescent="0.25">
      <c r="B236" s="6"/>
      <c r="C236" s="7"/>
      <c r="D236" s="7"/>
      <c r="E236" s="8"/>
    </row>
    <row r="237" spans="2:5" x14ac:dyDescent="0.25">
      <c r="B237" s="6"/>
      <c r="C237" s="7"/>
      <c r="D237" s="7"/>
      <c r="E237" s="8"/>
    </row>
    <row r="238" spans="2:5" x14ac:dyDescent="0.25">
      <c r="B238" s="6"/>
      <c r="C238" s="7"/>
      <c r="D238" s="7"/>
      <c r="E238" s="8"/>
    </row>
    <row r="239" spans="2:5" x14ac:dyDescent="0.25">
      <c r="B239" s="6"/>
      <c r="C239" s="7"/>
      <c r="D239" s="7"/>
      <c r="E239" s="8"/>
    </row>
    <row r="240" spans="2:5" x14ac:dyDescent="0.25">
      <c r="B240" s="6"/>
      <c r="C240" s="7"/>
      <c r="D240" s="7"/>
      <c r="E240" s="8"/>
    </row>
    <row r="241" spans="2:5" x14ac:dyDescent="0.25">
      <c r="B241" s="6"/>
      <c r="C241" s="7"/>
      <c r="D241" s="7"/>
      <c r="E241" s="8"/>
    </row>
    <row r="242" spans="2:5" x14ac:dyDescent="0.25">
      <c r="B242" s="6"/>
      <c r="C242" s="7"/>
      <c r="D242" s="7"/>
      <c r="E242" s="8"/>
    </row>
    <row r="243" spans="2:5" x14ac:dyDescent="0.25">
      <c r="B243" s="6"/>
      <c r="C243" s="7"/>
      <c r="D243" s="7"/>
      <c r="E243" s="8"/>
    </row>
    <row r="244" spans="2:5" x14ac:dyDescent="0.25">
      <c r="B244" s="6"/>
      <c r="C244" s="7"/>
      <c r="D244" s="7"/>
      <c r="E244" s="8"/>
    </row>
    <row r="245" spans="2:5" x14ac:dyDescent="0.25">
      <c r="B245" s="6"/>
      <c r="C245" s="7"/>
      <c r="D245" s="7"/>
      <c r="E245" s="8"/>
    </row>
    <row r="246" spans="2:5" x14ac:dyDescent="0.25">
      <c r="B246" s="6"/>
      <c r="C246" s="7"/>
      <c r="D246" s="7"/>
      <c r="E246" s="8"/>
    </row>
    <row r="247" spans="2:5" x14ac:dyDescent="0.25">
      <c r="B247" s="6"/>
      <c r="C247" s="7"/>
      <c r="D247" s="7"/>
      <c r="E247" s="8"/>
    </row>
    <row r="248" spans="2:5" x14ac:dyDescent="0.25">
      <c r="B248" s="6"/>
      <c r="C248" s="7"/>
      <c r="D248" s="7"/>
      <c r="E248" s="8"/>
    </row>
    <row r="249" spans="2:5" x14ac:dyDescent="0.25">
      <c r="B249" s="6"/>
      <c r="C249" s="7"/>
      <c r="D249" s="7"/>
      <c r="E249" s="8"/>
    </row>
    <row r="250" spans="2:5" x14ac:dyDescent="0.25">
      <c r="B250" s="6"/>
      <c r="C250" s="7"/>
      <c r="D250" s="7"/>
      <c r="E250" s="8"/>
    </row>
    <row r="251" spans="2:5" x14ac:dyDescent="0.25">
      <c r="B251" s="6"/>
      <c r="C251" s="7"/>
      <c r="D251" s="7"/>
      <c r="E251" s="8"/>
    </row>
    <row r="252" spans="2:5" x14ac:dyDescent="0.25">
      <c r="B252" s="6"/>
      <c r="C252" s="7"/>
      <c r="D252" s="7"/>
      <c r="E252" s="8"/>
    </row>
    <row r="253" spans="2:5" x14ac:dyDescent="0.25">
      <c r="B253" s="6"/>
      <c r="C253" s="7"/>
      <c r="D253" s="7"/>
      <c r="E253" s="8"/>
    </row>
    <row r="254" spans="2:5" x14ac:dyDescent="0.25">
      <c r="B254" s="6"/>
      <c r="C254" s="7"/>
      <c r="D254" s="7"/>
      <c r="E254" s="8"/>
    </row>
    <row r="255" spans="2:5" x14ac:dyDescent="0.25">
      <c r="B255" s="6"/>
      <c r="C255" s="7"/>
      <c r="D255" s="7"/>
      <c r="E255" s="8"/>
    </row>
    <row r="256" spans="2:5" x14ac:dyDescent="0.25">
      <c r="B256" s="6"/>
      <c r="C256" s="7"/>
      <c r="D256" s="7"/>
      <c r="E256" s="8"/>
    </row>
    <row r="257" spans="2:5" x14ac:dyDescent="0.25">
      <c r="B257" s="6"/>
      <c r="C257" s="7"/>
      <c r="D257" s="7"/>
      <c r="E257" s="8"/>
    </row>
    <row r="258" spans="2:5" x14ac:dyDescent="0.25">
      <c r="B258" s="6"/>
      <c r="C258" s="7"/>
      <c r="D258" s="7"/>
      <c r="E258" s="8"/>
    </row>
    <row r="259" spans="2:5" x14ac:dyDescent="0.25">
      <c r="B259" s="6"/>
      <c r="C259" s="7"/>
      <c r="D259" s="7"/>
      <c r="E259" s="8"/>
    </row>
    <row r="260" spans="2:5" x14ac:dyDescent="0.25">
      <c r="B260" s="6"/>
      <c r="C260" s="7"/>
      <c r="D260" s="7"/>
      <c r="E260" s="8"/>
    </row>
    <row r="261" spans="2:5" x14ac:dyDescent="0.25">
      <c r="B261" s="6"/>
      <c r="C261" s="7"/>
      <c r="D261" s="7"/>
      <c r="E261" s="8"/>
    </row>
    <row r="262" spans="2:5" x14ac:dyDescent="0.25">
      <c r="B262" s="6"/>
      <c r="C262" s="7"/>
      <c r="D262" s="7"/>
      <c r="E262" s="8"/>
    </row>
    <row r="263" spans="2:5" x14ac:dyDescent="0.25">
      <c r="B263" s="6"/>
      <c r="C263" s="7"/>
      <c r="D263" s="7"/>
      <c r="E263" s="8"/>
    </row>
    <row r="264" spans="2:5" x14ac:dyDescent="0.25">
      <c r="B264" s="6"/>
      <c r="C264" s="7"/>
      <c r="D264" s="7"/>
      <c r="E264" s="8"/>
    </row>
    <row r="265" spans="2:5" x14ac:dyDescent="0.25">
      <c r="B265" s="6"/>
      <c r="C265" s="7"/>
      <c r="D265" s="7"/>
      <c r="E265" s="8"/>
    </row>
    <row r="266" spans="2:5" x14ac:dyDescent="0.25">
      <c r="B266" s="6"/>
      <c r="C266" s="7"/>
      <c r="D266" s="7"/>
      <c r="E266" s="8"/>
    </row>
    <row r="267" spans="2:5" x14ac:dyDescent="0.25">
      <c r="B267" s="6"/>
      <c r="C267" s="7"/>
      <c r="D267" s="7"/>
      <c r="E267" s="8"/>
    </row>
    <row r="268" spans="2:5" x14ac:dyDescent="0.25">
      <c r="B268" s="6"/>
      <c r="C268" s="7"/>
      <c r="D268" s="7"/>
      <c r="E268" s="8"/>
    </row>
    <row r="269" spans="2:5" x14ac:dyDescent="0.25">
      <c r="B269" s="6"/>
      <c r="C269" s="7"/>
      <c r="D269" s="7"/>
      <c r="E269" s="8"/>
    </row>
    <row r="270" spans="2:5" x14ac:dyDescent="0.25">
      <c r="B270" s="6"/>
      <c r="C270" s="7"/>
      <c r="D270" s="7"/>
      <c r="E270" s="8"/>
    </row>
    <row r="271" spans="2:5" x14ac:dyDescent="0.25">
      <c r="B271" s="6"/>
      <c r="C271" s="7"/>
      <c r="D271" s="7"/>
      <c r="E271" s="8"/>
    </row>
    <row r="272" spans="2:5" x14ac:dyDescent="0.25">
      <c r="B272" s="6"/>
      <c r="C272" s="7"/>
      <c r="D272" s="7"/>
      <c r="E272" s="8"/>
    </row>
    <row r="273" spans="2:5" x14ac:dyDescent="0.25">
      <c r="B273" s="6"/>
      <c r="C273" s="7"/>
      <c r="D273" s="7"/>
      <c r="E273" s="8"/>
    </row>
    <row r="274" spans="2:5" x14ac:dyDescent="0.25">
      <c r="B274" s="6"/>
      <c r="C274" s="7"/>
      <c r="D274" s="7"/>
      <c r="E274" s="8"/>
    </row>
    <row r="275" spans="2:5" x14ac:dyDescent="0.25">
      <c r="B275" s="6"/>
      <c r="C275" s="7"/>
      <c r="D275" s="7"/>
      <c r="E275" s="8"/>
    </row>
    <row r="276" spans="2:5" x14ac:dyDescent="0.25">
      <c r="B276" s="6"/>
      <c r="C276" s="7"/>
      <c r="D276" s="7"/>
      <c r="E276" s="8"/>
    </row>
    <row r="277" spans="2:5" x14ac:dyDescent="0.25">
      <c r="B277" s="6"/>
      <c r="C277" s="7"/>
      <c r="D277" s="7"/>
      <c r="E277" s="8"/>
    </row>
    <row r="278" spans="2:5" x14ac:dyDescent="0.25">
      <c r="B278" s="6"/>
      <c r="C278" s="7"/>
      <c r="D278" s="7"/>
      <c r="E278" s="8"/>
    </row>
    <row r="279" spans="2:5" x14ac:dyDescent="0.25">
      <c r="B279" s="6"/>
      <c r="C279" s="7"/>
      <c r="D279" s="7"/>
      <c r="E279" s="8"/>
    </row>
    <row r="280" spans="2:5" x14ac:dyDescent="0.25">
      <c r="B280" s="6"/>
      <c r="C280" s="7"/>
      <c r="D280" s="7"/>
      <c r="E280" s="8"/>
    </row>
    <row r="281" spans="2:5" x14ac:dyDescent="0.25">
      <c r="B281" s="6"/>
      <c r="C281" s="7"/>
      <c r="D281" s="7"/>
      <c r="E281" s="8"/>
    </row>
    <row r="282" spans="2:5" x14ac:dyDescent="0.25">
      <c r="B282" s="6"/>
      <c r="C282" s="7"/>
      <c r="D282" s="7"/>
      <c r="E282" s="8"/>
    </row>
    <row r="283" spans="2:5" x14ac:dyDescent="0.25">
      <c r="B283" s="6"/>
      <c r="C283" s="7"/>
      <c r="D283" s="7"/>
      <c r="E283" s="8"/>
    </row>
    <row r="284" spans="2:5" x14ac:dyDescent="0.25">
      <c r="B284" s="6"/>
      <c r="C284" s="7"/>
      <c r="D284" s="7"/>
      <c r="E284" s="8"/>
    </row>
    <row r="285" spans="2:5" x14ac:dyDescent="0.25">
      <c r="B285" s="6"/>
      <c r="C285" s="7"/>
      <c r="D285" s="7"/>
      <c r="E285" s="8"/>
    </row>
    <row r="286" spans="2:5" x14ac:dyDescent="0.25">
      <c r="B286" s="6"/>
      <c r="C286" s="7"/>
      <c r="D286" s="7"/>
      <c r="E286" s="8"/>
    </row>
    <row r="287" spans="2:5" x14ac:dyDescent="0.25">
      <c r="B287" s="6"/>
      <c r="C287" s="7"/>
      <c r="D287" s="7"/>
      <c r="E287" s="8"/>
    </row>
    <row r="288" spans="2:5" x14ac:dyDescent="0.25">
      <c r="B288" s="6"/>
      <c r="C288" s="7"/>
      <c r="D288" s="7"/>
      <c r="E288" s="8"/>
    </row>
    <row r="289" spans="2:5" x14ac:dyDescent="0.25">
      <c r="B289" s="6"/>
      <c r="C289" s="7"/>
      <c r="D289" s="7"/>
      <c r="E289" s="8"/>
    </row>
    <row r="290" spans="2:5" x14ac:dyDescent="0.25">
      <c r="B290" s="6"/>
      <c r="C290" s="7"/>
      <c r="D290" s="7"/>
      <c r="E290" s="8"/>
    </row>
    <row r="291" spans="2:5" x14ac:dyDescent="0.25">
      <c r="B291" s="6"/>
      <c r="C291" s="7"/>
      <c r="D291" s="7"/>
      <c r="E291" s="8"/>
    </row>
    <row r="292" spans="2:5" x14ac:dyDescent="0.25">
      <c r="B292" s="6"/>
      <c r="C292" s="7"/>
      <c r="D292" s="7"/>
      <c r="E292" s="8"/>
    </row>
    <row r="293" spans="2:5" x14ac:dyDescent="0.25">
      <c r="B293" s="6"/>
      <c r="C293" s="7"/>
      <c r="D293" s="7"/>
      <c r="E293" s="8"/>
    </row>
    <row r="294" spans="2:5" x14ac:dyDescent="0.25">
      <c r="B294" s="6"/>
      <c r="C294" s="7"/>
      <c r="D294" s="7"/>
      <c r="E294" s="8"/>
    </row>
    <row r="295" spans="2:5" x14ac:dyDescent="0.25">
      <c r="B295" s="6"/>
      <c r="C295" s="7"/>
      <c r="D295" s="7"/>
      <c r="E295" s="8"/>
    </row>
    <row r="296" spans="2:5" x14ac:dyDescent="0.25">
      <c r="B296" s="6"/>
      <c r="C296" s="7"/>
      <c r="D296" s="7"/>
      <c r="E296" s="8"/>
    </row>
    <row r="297" spans="2:5" x14ac:dyDescent="0.25">
      <c r="B297" s="6"/>
      <c r="C297" s="7"/>
      <c r="D297" s="7"/>
      <c r="E297" s="8"/>
    </row>
    <row r="298" spans="2:5" x14ac:dyDescent="0.25">
      <c r="B298" s="6"/>
      <c r="C298" s="7"/>
      <c r="D298" s="7"/>
      <c r="E298" s="8"/>
    </row>
    <row r="299" spans="2:5" x14ac:dyDescent="0.25">
      <c r="B299" s="6"/>
      <c r="C299" s="7"/>
      <c r="D299" s="7"/>
      <c r="E299" s="8"/>
    </row>
    <row r="300" spans="2:5" x14ac:dyDescent="0.25">
      <c r="B300" s="6"/>
      <c r="C300" s="7"/>
      <c r="D300" s="7"/>
      <c r="E300" s="8"/>
    </row>
    <row r="301" spans="2:5" x14ac:dyDescent="0.25">
      <c r="B301" s="6"/>
      <c r="C301" s="7"/>
      <c r="D301" s="7"/>
      <c r="E301" s="8"/>
    </row>
    <row r="302" spans="2:5" x14ac:dyDescent="0.25">
      <c r="B302" s="6"/>
      <c r="C302" s="7"/>
      <c r="D302" s="7"/>
      <c r="E302" s="8"/>
    </row>
    <row r="303" spans="2:5" x14ac:dyDescent="0.25">
      <c r="B303" s="6"/>
      <c r="C303" s="7"/>
      <c r="D303" s="7"/>
      <c r="E303" s="8"/>
    </row>
    <row r="304" spans="2:5" x14ac:dyDescent="0.25">
      <c r="B304" s="6"/>
      <c r="C304" s="7"/>
      <c r="D304" s="7"/>
      <c r="E304" s="8"/>
    </row>
    <row r="305" spans="2:5" x14ac:dyDescent="0.25">
      <c r="B305" s="6"/>
      <c r="C305" s="7"/>
      <c r="D305" s="7"/>
      <c r="E305" s="8"/>
    </row>
    <row r="306" spans="2:5" x14ac:dyDescent="0.25">
      <c r="B306" s="6"/>
      <c r="C306" s="7"/>
      <c r="D306" s="7"/>
      <c r="E306" s="8"/>
    </row>
    <row r="307" spans="2:5" x14ac:dyDescent="0.25">
      <c r="B307" s="6"/>
      <c r="C307" s="7"/>
      <c r="D307" s="7"/>
      <c r="E307" s="8"/>
    </row>
    <row r="308" spans="2:5" x14ac:dyDescent="0.25">
      <c r="B308" s="6"/>
      <c r="C308" s="7"/>
      <c r="D308" s="7"/>
      <c r="E308" s="8"/>
    </row>
    <row r="309" spans="2:5" x14ac:dyDescent="0.25">
      <c r="B309" s="6"/>
      <c r="C309" s="7"/>
      <c r="D309" s="7"/>
      <c r="E309" s="8"/>
    </row>
    <row r="310" spans="2:5" x14ac:dyDescent="0.25">
      <c r="B310" s="6"/>
      <c r="C310" s="7"/>
      <c r="D310" s="7"/>
      <c r="E310" s="8"/>
    </row>
    <row r="311" spans="2:5" x14ac:dyDescent="0.25">
      <c r="B311" s="6"/>
      <c r="C311" s="7"/>
      <c r="D311" s="7"/>
      <c r="E311" s="8"/>
    </row>
    <row r="312" spans="2:5" x14ac:dyDescent="0.25">
      <c r="B312" s="6"/>
      <c r="C312" s="7"/>
      <c r="D312" s="7"/>
      <c r="E312" s="8"/>
    </row>
    <row r="313" spans="2:5" x14ac:dyDescent="0.25">
      <c r="B313" s="6"/>
      <c r="C313" s="7"/>
      <c r="D313" s="7"/>
      <c r="E313" s="8"/>
    </row>
    <row r="314" spans="2:5" x14ac:dyDescent="0.25">
      <c r="B314" s="6"/>
      <c r="C314" s="7"/>
      <c r="D314" s="7"/>
      <c r="E314" s="8"/>
    </row>
    <row r="315" spans="2:5" x14ac:dyDescent="0.25">
      <c r="B315" s="6"/>
      <c r="C315" s="7"/>
      <c r="D315" s="7"/>
      <c r="E315" s="8"/>
    </row>
    <row r="316" spans="2:5" x14ac:dyDescent="0.25">
      <c r="B316" s="6"/>
      <c r="C316" s="7"/>
      <c r="D316" s="7"/>
      <c r="E316" s="8"/>
    </row>
    <row r="317" spans="2:5" x14ac:dyDescent="0.25">
      <c r="B317" s="6"/>
      <c r="C317" s="7"/>
      <c r="D317" s="7"/>
      <c r="E317" s="8"/>
    </row>
    <row r="318" spans="2:5" x14ac:dyDescent="0.25">
      <c r="B318" s="6"/>
      <c r="C318" s="7"/>
      <c r="D318" s="7"/>
      <c r="E318" s="8"/>
    </row>
    <row r="319" spans="2:5" x14ac:dyDescent="0.25">
      <c r="B319" s="6"/>
      <c r="C319" s="7"/>
      <c r="D319" s="7"/>
      <c r="E319" s="8"/>
    </row>
    <row r="320" spans="2:5" x14ac:dyDescent="0.25">
      <c r="B320" s="6"/>
      <c r="C320" s="7"/>
      <c r="D320" s="7"/>
      <c r="E320" s="8"/>
    </row>
    <row r="321" spans="2:5" x14ac:dyDescent="0.25">
      <c r="B321" s="6"/>
      <c r="C321" s="7"/>
      <c r="D321" s="7"/>
      <c r="E321" s="8"/>
    </row>
    <row r="322" spans="2:5" x14ac:dyDescent="0.25">
      <c r="B322" s="6"/>
      <c r="C322" s="7"/>
      <c r="D322" s="7"/>
      <c r="E322" s="8"/>
    </row>
    <row r="323" spans="2:5" x14ac:dyDescent="0.25">
      <c r="B323" s="6"/>
      <c r="C323" s="7"/>
      <c r="D323" s="7"/>
      <c r="E323" s="8"/>
    </row>
    <row r="324" spans="2:5" x14ac:dyDescent="0.25">
      <c r="B324" s="6"/>
      <c r="C324" s="7"/>
      <c r="D324" s="7"/>
      <c r="E324" s="8"/>
    </row>
    <row r="325" spans="2:5" x14ac:dyDescent="0.25">
      <c r="B325" s="6"/>
      <c r="C325" s="7"/>
      <c r="D325" s="7"/>
      <c r="E325" s="8"/>
    </row>
    <row r="326" spans="2:5" x14ac:dyDescent="0.25">
      <c r="B326" s="6"/>
      <c r="C326" s="7"/>
      <c r="D326" s="7"/>
      <c r="E326" s="8"/>
    </row>
    <row r="327" spans="2:5" x14ac:dyDescent="0.25">
      <c r="B327" s="6"/>
      <c r="C327" s="7"/>
      <c r="D327" s="7"/>
      <c r="E327" s="8"/>
    </row>
    <row r="328" spans="2:5" x14ac:dyDescent="0.25">
      <c r="B328" s="6"/>
      <c r="C328" s="7"/>
      <c r="D328" s="7"/>
      <c r="E328" s="8"/>
    </row>
    <row r="329" spans="2:5" x14ac:dyDescent="0.25">
      <c r="B329" s="6"/>
      <c r="C329" s="7"/>
      <c r="D329" s="7"/>
      <c r="E329" s="8"/>
    </row>
    <row r="330" spans="2:5" x14ac:dyDescent="0.25">
      <c r="B330" s="6"/>
      <c r="C330" s="7"/>
      <c r="D330" s="7"/>
      <c r="E330" s="8"/>
    </row>
    <row r="331" spans="2:5" x14ac:dyDescent="0.25">
      <c r="B331" s="6"/>
      <c r="C331" s="7"/>
      <c r="D331" s="7"/>
      <c r="E331" s="8"/>
    </row>
    <row r="332" spans="2:5" x14ac:dyDescent="0.25">
      <c r="B332" s="6"/>
      <c r="C332" s="7"/>
      <c r="D332" s="7"/>
      <c r="E332" s="8"/>
    </row>
    <row r="333" spans="2:5" x14ac:dyDescent="0.25">
      <c r="B333" s="6"/>
      <c r="C333" s="7"/>
      <c r="D333" s="7"/>
      <c r="E333" s="8"/>
    </row>
    <row r="334" spans="2:5" x14ac:dyDescent="0.25">
      <c r="B334" s="6"/>
      <c r="C334" s="7"/>
      <c r="D334" s="7"/>
      <c r="E334" s="8"/>
    </row>
    <row r="335" spans="2:5" x14ac:dyDescent="0.25">
      <c r="B335" s="6"/>
      <c r="C335" s="7"/>
      <c r="D335" s="7"/>
      <c r="E335" s="8"/>
    </row>
    <row r="336" spans="2:5" x14ac:dyDescent="0.25">
      <c r="B336" s="6"/>
      <c r="C336" s="7"/>
      <c r="D336" s="7"/>
      <c r="E336" s="8"/>
    </row>
    <row r="337" spans="2:5" x14ac:dyDescent="0.25">
      <c r="B337" s="6"/>
      <c r="C337" s="7"/>
      <c r="D337" s="7"/>
      <c r="E337" s="8"/>
    </row>
    <row r="338" spans="2:5" x14ac:dyDescent="0.25">
      <c r="B338" s="6"/>
      <c r="C338" s="7"/>
      <c r="D338" s="7"/>
      <c r="E338" s="8"/>
    </row>
    <row r="339" spans="2:5" x14ac:dyDescent="0.25">
      <c r="B339" s="6"/>
      <c r="C339" s="7"/>
      <c r="D339" s="7"/>
      <c r="E339" s="8"/>
    </row>
    <row r="340" spans="2:5" x14ac:dyDescent="0.25">
      <c r="B340" s="6"/>
      <c r="C340" s="7"/>
      <c r="D340" s="7"/>
      <c r="E340" s="8"/>
    </row>
    <row r="341" spans="2:5" x14ac:dyDescent="0.25">
      <c r="B341" s="6"/>
      <c r="C341" s="7"/>
      <c r="D341" s="7"/>
      <c r="E341" s="8"/>
    </row>
    <row r="342" spans="2:5" x14ac:dyDescent="0.25">
      <c r="B342" s="6"/>
      <c r="C342" s="7"/>
      <c r="D342" s="7"/>
      <c r="E342" s="8"/>
    </row>
    <row r="343" spans="2:5" x14ac:dyDescent="0.25">
      <c r="B343" s="6"/>
      <c r="C343" s="7"/>
      <c r="D343" s="7"/>
      <c r="E343" s="8"/>
    </row>
    <row r="344" spans="2:5" x14ac:dyDescent="0.25">
      <c r="B344" s="6"/>
      <c r="C344" s="7"/>
      <c r="D344" s="7"/>
      <c r="E344" s="8"/>
    </row>
    <row r="345" spans="2:5" x14ac:dyDescent="0.25">
      <c r="B345" s="6"/>
      <c r="C345" s="7"/>
      <c r="D345" s="7"/>
      <c r="E345" s="8"/>
    </row>
    <row r="346" spans="2:5" x14ac:dyDescent="0.25">
      <c r="B346" s="6"/>
      <c r="C346" s="7"/>
      <c r="D346" s="7"/>
      <c r="E346" s="8"/>
    </row>
    <row r="347" spans="2:5" x14ac:dyDescent="0.25">
      <c r="B347" s="6"/>
      <c r="C347" s="7"/>
      <c r="D347" s="7"/>
      <c r="E347" s="8"/>
    </row>
    <row r="348" spans="2:5" x14ac:dyDescent="0.25">
      <c r="B348" s="6"/>
      <c r="C348" s="7"/>
      <c r="D348" s="7"/>
      <c r="E348" s="8"/>
    </row>
    <row r="349" spans="2:5" x14ac:dyDescent="0.25">
      <c r="B349" s="6"/>
      <c r="C349" s="7"/>
      <c r="D349" s="7"/>
      <c r="E349" s="8"/>
    </row>
    <row r="350" spans="2:5" x14ac:dyDescent="0.25">
      <c r="B350" s="6"/>
      <c r="C350" s="7"/>
      <c r="D350" s="7"/>
      <c r="E350" s="8"/>
    </row>
    <row r="351" spans="2:5" x14ac:dyDescent="0.25">
      <c r="B351" s="6"/>
      <c r="C351" s="7"/>
      <c r="D351" s="7"/>
      <c r="E351" s="8"/>
    </row>
    <row r="352" spans="2:5" x14ac:dyDescent="0.25">
      <c r="B352" s="6"/>
      <c r="C352" s="7"/>
      <c r="D352" s="7"/>
      <c r="E352" s="8"/>
    </row>
    <row r="353" spans="2:5" x14ac:dyDescent="0.25">
      <c r="B353" s="6"/>
      <c r="C353" s="7"/>
      <c r="D353" s="7"/>
      <c r="E353" s="8"/>
    </row>
    <row r="354" spans="2:5" x14ac:dyDescent="0.25">
      <c r="B354" s="6"/>
      <c r="C354" s="7"/>
      <c r="D354" s="7"/>
      <c r="E354" s="8"/>
    </row>
    <row r="355" spans="2:5" x14ac:dyDescent="0.25">
      <c r="B355" s="6"/>
      <c r="C355" s="7"/>
      <c r="D355" s="7"/>
      <c r="E355" s="8"/>
    </row>
    <row r="356" spans="2:5" x14ac:dyDescent="0.25">
      <c r="B356" s="6"/>
      <c r="C356" s="7"/>
      <c r="D356" s="7"/>
      <c r="E356" s="8"/>
    </row>
    <row r="357" spans="2:5" x14ac:dyDescent="0.25">
      <c r="B357" s="6"/>
      <c r="C357" s="7"/>
      <c r="D357" s="7"/>
      <c r="E357" s="8"/>
    </row>
    <row r="358" spans="2:5" x14ac:dyDescent="0.25">
      <c r="B358" s="6"/>
      <c r="C358" s="7"/>
      <c r="D358" s="7"/>
      <c r="E358" s="8"/>
    </row>
    <row r="359" spans="2:5" x14ac:dyDescent="0.25">
      <c r="B359" s="6"/>
      <c r="C359" s="7"/>
      <c r="D359" s="7"/>
      <c r="E359" s="8"/>
    </row>
    <row r="360" spans="2:5" x14ac:dyDescent="0.25">
      <c r="B360" s="6"/>
      <c r="C360" s="7"/>
      <c r="D360" s="7"/>
      <c r="E360" s="8"/>
    </row>
    <row r="361" spans="2:5" x14ac:dyDescent="0.25">
      <c r="B361" s="6"/>
      <c r="C361" s="7"/>
      <c r="D361" s="7"/>
      <c r="E361" s="8"/>
    </row>
    <row r="362" spans="2:5" x14ac:dyDescent="0.25">
      <c r="B362" s="6"/>
      <c r="C362" s="7"/>
      <c r="D362" s="7"/>
      <c r="E362" s="8"/>
    </row>
    <row r="363" spans="2:5" x14ac:dyDescent="0.25">
      <c r="B363" s="6"/>
      <c r="C363" s="7"/>
      <c r="D363" s="7"/>
      <c r="E363" s="8"/>
    </row>
    <row r="364" spans="2:5" x14ac:dyDescent="0.25">
      <c r="B364" s="6"/>
      <c r="C364" s="7"/>
      <c r="D364" s="7"/>
      <c r="E364" s="8"/>
    </row>
    <row r="365" spans="2:5" x14ac:dyDescent="0.25">
      <c r="B365" s="6"/>
      <c r="C365" s="7"/>
      <c r="D365" s="7"/>
      <c r="E365" s="8"/>
    </row>
    <row r="366" spans="2:5" x14ac:dyDescent="0.25">
      <c r="B366" s="6"/>
      <c r="C366" s="7"/>
      <c r="D366" s="7"/>
      <c r="E366" s="8"/>
    </row>
    <row r="367" spans="2:5" x14ac:dyDescent="0.25">
      <c r="B367" s="6"/>
      <c r="C367" s="7"/>
      <c r="D367" s="7"/>
      <c r="E367" s="8"/>
    </row>
    <row r="368" spans="2:5" x14ac:dyDescent="0.25">
      <c r="B368" s="6"/>
      <c r="C368" s="7"/>
      <c r="D368" s="7"/>
      <c r="E368" s="8"/>
    </row>
    <row r="369" spans="2:5" x14ac:dyDescent="0.25">
      <c r="B369" s="6"/>
      <c r="C369" s="7"/>
      <c r="D369" s="7"/>
      <c r="E369" s="8"/>
    </row>
    <row r="370" spans="2:5" x14ac:dyDescent="0.25">
      <c r="B370" s="6"/>
      <c r="C370" s="7"/>
      <c r="D370" s="7"/>
      <c r="E370" s="8"/>
    </row>
    <row r="371" spans="2:5" x14ac:dyDescent="0.25">
      <c r="B371" s="6"/>
      <c r="C371" s="7"/>
      <c r="D371" s="7"/>
      <c r="E371" s="8"/>
    </row>
    <row r="372" spans="2:5" x14ac:dyDescent="0.25">
      <c r="B372" s="6"/>
      <c r="C372" s="7"/>
      <c r="D372" s="7"/>
      <c r="E372" s="8"/>
    </row>
    <row r="373" spans="2:5" x14ac:dyDescent="0.25">
      <c r="B373" s="6"/>
      <c r="C373" s="7"/>
      <c r="D373" s="7"/>
      <c r="E373" s="8"/>
    </row>
    <row r="374" spans="2:5" x14ac:dyDescent="0.25">
      <c r="B374" s="6"/>
      <c r="C374" s="7"/>
      <c r="D374" s="7"/>
      <c r="E374" s="8"/>
    </row>
    <row r="375" spans="2:5" x14ac:dyDescent="0.25">
      <c r="B375" s="6"/>
      <c r="C375" s="7"/>
      <c r="D375" s="7"/>
      <c r="E375" s="8"/>
    </row>
    <row r="376" spans="2:5" x14ac:dyDescent="0.25">
      <c r="B376" s="6"/>
      <c r="C376" s="7"/>
      <c r="D376" s="7"/>
      <c r="E376" s="8"/>
    </row>
    <row r="377" spans="2:5" x14ac:dyDescent="0.25">
      <c r="B377" s="6"/>
      <c r="C377" s="7"/>
      <c r="D377" s="7"/>
      <c r="E377" s="8"/>
    </row>
    <row r="378" spans="2:5" x14ac:dyDescent="0.25">
      <c r="B378" s="6"/>
      <c r="C378" s="7"/>
      <c r="D378" s="7"/>
      <c r="E378" s="8"/>
    </row>
    <row r="379" spans="2:5" x14ac:dyDescent="0.25">
      <c r="B379" s="6"/>
      <c r="C379" s="7"/>
      <c r="D379" s="7"/>
      <c r="E379" s="8"/>
    </row>
    <row r="380" spans="2:5" x14ac:dyDescent="0.25">
      <c r="B380" s="6"/>
      <c r="C380" s="7"/>
      <c r="D380" s="7"/>
      <c r="E380" s="8"/>
    </row>
    <row r="381" spans="2:5" x14ac:dyDescent="0.25">
      <c r="B381" s="6"/>
      <c r="C381" s="7"/>
      <c r="D381" s="7"/>
      <c r="E381" s="8"/>
    </row>
    <row r="382" spans="2:5" x14ac:dyDescent="0.25">
      <c r="B382" s="6"/>
      <c r="C382" s="7"/>
      <c r="D382" s="7"/>
      <c r="E382" s="8"/>
    </row>
    <row r="383" spans="2:5" x14ac:dyDescent="0.25">
      <c r="B383" s="6"/>
      <c r="C383" s="7"/>
      <c r="D383" s="7"/>
      <c r="E383" s="8"/>
    </row>
    <row r="384" spans="2:5" x14ac:dyDescent="0.25">
      <c r="B384" s="6"/>
      <c r="C384" s="7"/>
      <c r="D384" s="7"/>
      <c r="E384" s="8"/>
    </row>
    <row r="385" spans="2:5" x14ac:dyDescent="0.25">
      <c r="B385" s="6"/>
      <c r="C385" s="7"/>
      <c r="D385" s="7"/>
      <c r="E385" s="8"/>
    </row>
    <row r="386" spans="2:5" ht="16.5" thickBot="1" x14ac:dyDescent="0.3">
      <c r="B386" s="9"/>
      <c r="C386" s="10"/>
      <c r="D386" s="10"/>
      <c r="E386" s="11"/>
    </row>
    <row r="387" spans="2:5" x14ac:dyDescent="0.25">
      <c r="B387" s="7"/>
      <c r="C387" s="7"/>
      <c r="D387" s="7"/>
      <c r="E387" s="7"/>
    </row>
    <row r="388" spans="2:5" x14ac:dyDescent="0.25">
      <c r="B388" s="7"/>
      <c r="C388" s="7"/>
      <c r="D388" s="7"/>
      <c r="E388" s="7"/>
    </row>
    <row r="389" spans="2:5" x14ac:dyDescent="0.25">
      <c r="B389" s="7"/>
      <c r="C389" s="7"/>
      <c r="D389" s="7"/>
      <c r="E389" s="7"/>
    </row>
    <row r="390" spans="2:5" x14ac:dyDescent="0.25">
      <c r="B390" s="7"/>
      <c r="C390" s="7"/>
      <c r="D390" s="7"/>
      <c r="E390" s="7"/>
    </row>
    <row r="391" spans="2:5" x14ac:dyDescent="0.25">
      <c r="B391" s="7"/>
      <c r="C391" s="7"/>
      <c r="D391" s="7"/>
      <c r="E391" s="7"/>
    </row>
    <row r="392" spans="2:5" x14ac:dyDescent="0.25">
      <c r="B392" s="7"/>
      <c r="C392" s="7"/>
      <c r="D392" s="7"/>
      <c r="E392" s="7"/>
    </row>
    <row r="393" spans="2:5" x14ac:dyDescent="0.25">
      <c r="B393" s="7"/>
      <c r="C393" s="7"/>
      <c r="D393" s="7"/>
      <c r="E393" s="7"/>
    </row>
    <row r="394" spans="2:5" x14ac:dyDescent="0.25">
      <c r="B394" s="7"/>
      <c r="C394" s="7"/>
      <c r="D394" s="7"/>
      <c r="E394" s="7"/>
    </row>
    <row r="395" spans="2:5" x14ac:dyDescent="0.25">
      <c r="B395" s="7"/>
      <c r="C395" s="7"/>
      <c r="D395" s="7"/>
      <c r="E395" s="7"/>
    </row>
    <row r="396" spans="2:5" x14ac:dyDescent="0.25">
      <c r="B396" s="7"/>
      <c r="C396" s="7"/>
      <c r="D396" s="7"/>
      <c r="E396" s="7"/>
    </row>
    <row r="397" spans="2:5" x14ac:dyDescent="0.25">
      <c r="B397" s="7"/>
      <c r="C397" s="7"/>
      <c r="D397" s="7"/>
      <c r="E397" s="7"/>
    </row>
    <row r="398" spans="2:5" x14ac:dyDescent="0.25">
      <c r="B398" s="7"/>
      <c r="C398" s="7"/>
      <c r="D398" s="7"/>
      <c r="E398" s="7"/>
    </row>
    <row r="399" spans="2:5" x14ac:dyDescent="0.25">
      <c r="B399" s="7"/>
      <c r="C399" s="7"/>
      <c r="D399" s="7"/>
      <c r="E399" s="7"/>
    </row>
    <row r="400" spans="2:5" x14ac:dyDescent="0.25">
      <c r="B400" s="7"/>
      <c r="C400" s="7"/>
      <c r="D400" s="7"/>
      <c r="E400" s="7"/>
    </row>
    <row r="401" spans="2:5" x14ac:dyDescent="0.25">
      <c r="B401" s="7"/>
      <c r="C401" s="7"/>
      <c r="D401" s="7"/>
      <c r="E401" s="7"/>
    </row>
    <row r="402" spans="2:5" x14ac:dyDescent="0.25">
      <c r="B402" s="7"/>
      <c r="C402" s="7"/>
      <c r="D402" s="7"/>
      <c r="E402" s="7"/>
    </row>
    <row r="403" spans="2:5" x14ac:dyDescent="0.25">
      <c r="B403" s="7"/>
      <c r="C403" s="7"/>
      <c r="D403" s="7"/>
      <c r="E403" s="7"/>
    </row>
    <row r="404" spans="2:5" x14ac:dyDescent="0.25">
      <c r="B404" s="7"/>
      <c r="C404" s="7"/>
      <c r="D404" s="7"/>
      <c r="E404" s="7"/>
    </row>
    <row r="405" spans="2:5" x14ac:dyDescent="0.25">
      <c r="B405" s="7"/>
      <c r="C405" s="7"/>
      <c r="D405" s="7"/>
      <c r="E405" s="7"/>
    </row>
    <row r="406" spans="2:5" x14ac:dyDescent="0.25">
      <c r="B406" s="7"/>
      <c r="C406" s="7"/>
      <c r="D406" s="7"/>
      <c r="E406" s="7"/>
    </row>
    <row r="407" spans="2:5" x14ac:dyDescent="0.25">
      <c r="B407" s="7"/>
      <c r="C407" s="7"/>
      <c r="D407" s="7"/>
      <c r="E407" s="7"/>
    </row>
    <row r="408" spans="2:5" x14ac:dyDescent="0.25">
      <c r="B408" s="7"/>
      <c r="C408" s="7"/>
      <c r="D408" s="7"/>
      <c r="E408" s="7"/>
    </row>
    <row r="409" spans="2:5" x14ac:dyDescent="0.25">
      <c r="B409" s="7"/>
      <c r="C409" s="7"/>
      <c r="D409" s="7"/>
      <c r="E409" s="7"/>
    </row>
    <row r="410" spans="2:5" x14ac:dyDescent="0.25">
      <c r="B410" s="7"/>
      <c r="C410" s="7"/>
      <c r="D410" s="7"/>
      <c r="E410" s="7"/>
    </row>
    <row r="411" spans="2:5" x14ac:dyDescent="0.25">
      <c r="B411" s="7"/>
      <c r="C411" s="7"/>
      <c r="D411" s="7"/>
      <c r="E411" s="7"/>
    </row>
    <row r="412" spans="2:5" x14ac:dyDescent="0.25">
      <c r="B412" s="7"/>
      <c r="C412" s="7"/>
      <c r="D412" s="7"/>
      <c r="E412" s="7"/>
    </row>
    <row r="413" spans="2:5" x14ac:dyDescent="0.25">
      <c r="B413" s="7"/>
      <c r="C413" s="7"/>
      <c r="D413" s="7"/>
      <c r="E413" s="7"/>
    </row>
    <row r="414" spans="2:5" x14ac:dyDescent="0.25">
      <c r="B414" s="7"/>
      <c r="C414" s="7"/>
      <c r="D414" s="7"/>
      <c r="E414" s="7"/>
    </row>
    <row r="415" spans="2:5" x14ac:dyDescent="0.25">
      <c r="B415" s="7"/>
      <c r="C415" s="7"/>
      <c r="D415" s="7"/>
      <c r="E415" s="7"/>
    </row>
    <row r="416" spans="2:5" x14ac:dyDescent="0.25">
      <c r="B416" s="7"/>
      <c r="C416" s="7"/>
      <c r="D416" s="7"/>
      <c r="E416" s="7"/>
    </row>
    <row r="417" spans="2:5" x14ac:dyDescent="0.25">
      <c r="B417" s="7"/>
      <c r="C417" s="7"/>
      <c r="D417" s="7"/>
      <c r="E417" s="7"/>
    </row>
    <row r="418" spans="2:5" x14ac:dyDescent="0.25">
      <c r="B418" s="7"/>
      <c r="C418" s="7"/>
      <c r="D418" s="7"/>
      <c r="E418" s="7"/>
    </row>
    <row r="419" spans="2:5" x14ac:dyDescent="0.25">
      <c r="B419" s="7"/>
      <c r="C419" s="7"/>
      <c r="D419" s="7"/>
      <c r="E419" s="7"/>
    </row>
    <row r="420" spans="2:5" x14ac:dyDescent="0.25">
      <c r="B420" s="7"/>
      <c r="C420" s="7"/>
      <c r="D420" s="7"/>
      <c r="E420" s="7"/>
    </row>
    <row r="421" spans="2:5" x14ac:dyDescent="0.25">
      <c r="B421" s="7"/>
      <c r="C421" s="7"/>
      <c r="D421" s="7"/>
      <c r="E421" s="7"/>
    </row>
    <row r="422" spans="2:5" x14ac:dyDescent="0.25">
      <c r="B422" s="7"/>
      <c r="C422" s="7"/>
      <c r="D422" s="7"/>
      <c r="E422" s="7"/>
    </row>
    <row r="423" spans="2:5" x14ac:dyDescent="0.25">
      <c r="B423" s="7"/>
      <c r="C423" s="7"/>
      <c r="D423" s="7"/>
      <c r="E423" s="7"/>
    </row>
    <row r="424" spans="2:5" x14ac:dyDescent="0.25">
      <c r="B424" s="7"/>
      <c r="C424" s="7"/>
      <c r="D424" s="7"/>
      <c r="E424" s="7"/>
    </row>
    <row r="425" spans="2:5" x14ac:dyDescent="0.25">
      <c r="B425" s="7"/>
      <c r="C425" s="7"/>
      <c r="D425" s="7"/>
      <c r="E425" s="7"/>
    </row>
    <row r="426" spans="2:5" x14ac:dyDescent="0.25">
      <c r="B426" s="7"/>
      <c r="C426" s="7"/>
      <c r="D426" s="7"/>
      <c r="E426" s="7"/>
    </row>
    <row r="427" spans="2:5" x14ac:dyDescent="0.25">
      <c r="B427" s="7"/>
      <c r="C427" s="7"/>
      <c r="D427" s="7"/>
      <c r="E427" s="7"/>
    </row>
    <row r="428" spans="2:5" x14ac:dyDescent="0.25">
      <c r="B428" s="7"/>
      <c r="C428" s="7"/>
      <c r="D428" s="7"/>
      <c r="E428" s="7"/>
    </row>
    <row r="429" spans="2:5" x14ac:dyDescent="0.25">
      <c r="B429" s="7"/>
      <c r="C429" s="7"/>
      <c r="D429" s="7"/>
      <c r="E429" s="7"/>
    </row>
    <row r="430" spans="2:5" x14ac:dyDescent="0.25">
      <c r="B430" s="7"/>
      <c r="C430" s="7"/>
      <c r="D430" s="7"/>
      <c r="E430" s="7"/>
    </row>
    <row r="431" spans="2:5" x14ac:dyDescent="0.25">
      <c r="B431" s="7"/>
      <c r="C431" s="7"/>
      <c r="D431" s="7"/>
      <c r="E431" s="7"/>
    </row>
    <row r="432" spans="2:5" x14ac:dyDescent="0.25">
      <c r="B432" s="7"/>
      <c r="C432" s="7"/>
      <c r="D432" s="7"/>
      <c r="E432" s="7"/>
    </row>
    <row r="433" spans="2:5" x14ac:dyDescent="0.25">
      <c r="B433" s="7"/>
      <c r="C433" s="7"/>
      <c r="D433" s="7"/>
      <c r="E433" s="7"/>
    </row>
    <row r="434" spans="2:5" x14ac:dyDescent="0.25">
      <c r="B434" s="7"/>
      <c r="C434" s="7"/>
      <c r="D434" s="7"/>
      <c r="E434" s="7"/>
    </row>
    <row r="435" spans="2:5" x14ac:dyDescent="0.25">
      <c r="B435" s="7"/>
      <c r="C435" s="7"/>
      <c r="D435" s="7"/>
      <c r="E435" s="7"/>
    </row>
    <row r="436" spans="2:5" x14ac:dyDescent="0.25">
      <c r="B436" s="7"/>
      <c r="C436" s="7"/>
      <c r="D436" s="7"/>
      <c r="E436" s="7"/>
    </row>
    <row r="437" spans="2:5" x14ac:dyDescent="0.25">
      <c r="B437" s="7"/>
      <c r="C437" s="7"/>
      <c r="D437" s="7"/>
      <c r="E437" s="7"/>
    </row>
    <row r="438" spans="2:5" x14ac:dyDescent="0.25">
      <c r="B438" s="7"/>
      <c r="C438" s="7"/>
      <c r="D438" s="7"/>
      <c r="E438" s="7"/>
    </row>
    <row r="439" spans="2:5" x14ac:dyDescent="0.25">
      <c r="B439" s="7"/>
      <c r="C439" s="7"/>
      <c r="D439" s="7"/>
      <c r="E439" s="7"/>
    </row>
    <row r="440" spans="2:5" x14ac:dyDescent="0.25">
      <c r="B440" s="7"/>
      <c r="C440" s="7"/>
      <c r="D440" s="7"/>
      <c r="E440" s="7"/>
    </row>
    <row r="441" spans="2:5" x14ac:dyDescent="0.25">
      <c r="B441" s="7"/>
      <c r="C441" s="7"/>
      <c r="D441" s="7"/>
      <c r="E441" s="7"/>
    </row>
    <row r="442" spans="2:5" x14ac:dyDescent="0.25">
      <c r="B442" s="7"/>
      <c r="C442" s="7"/>
      <c r="D442" s="7"/>
      <c r="E442" s="7"/>
    </row>
    <row r="443" spans="2:5" x14ac:dyDescent="0.25">
      <c r="B443" s="7"/>
      <c r="C443" s="7"/>
      <c r="D443" s="7"/>
      <c r="E443" s="7"/>
    </row>
    <row r="444" spans="2:5" x14ac:dyDescent="0.25">
      <c r="B444" s="7"/>
      <c r="C444" s="7"/>
      <c r="D444" s="7"/>
      <c r="E444" s="7"/>
    </row>
    <row r="445" spans="2:5" x14ac:dyDescent="0.25">
      <c r="B445" s="7"/>
      <c r="C445" s="7"/>
      <c r="D445" s="7"/>
      <c r="E445" s="7"/>
    </row>
    <row r="446" spans="2:5" x14ac:dyDescent="0.25">
      <c r="B446" s="7"/>
      <c r="C446" s="7"/>
      <c r="D446" s="7"/>
      <c r="E446" s="7"/>
    </row>
    <row r="447" spans="2:5" x14ac:dyDescent="0.25">
      <c r="B447" s="7"/>
      <c r="C447" s="7"/>
      <c r="D447" s="7"/>
      <c r="E447" s="7"/>
    </row>
    <row r="448" spans="2:5" x14ac:dyDescent="0.25">
      <c r="B448" s="7"/>
      <c r="C448" s="7"/>
      <c r="D448" s="7"/>
      <c r="E448" s="7"/>
    </row>
    <row r="449" spans="2:5" x14ac:dyDescent="0.25">
      <c r="B449" s="7"/>
      <c r="C449" s="7"/>
      <c r="D449" s="7"/>
      <c r="E449" s="7"/>
    </row>
    <row r="450" spans="2:5" x14ac:dyDescent="0.25">
      <c r="B450" s="7"/>
      <c r="C450" s="7"/>
      <c r="D450" s="7"/>
      <c r="E450" s="7"/>
    </row>
    <row r="451" spans="2:5" x14ac:dyDescent="0.25">
      <c r="B451" s="7"/>
      <c r="C451" s="7"/>
      <c r="D451" s="7"/>
      <c r="E451" s="7"/>
    </row>
    <row r="452" spans="2:5" x14ac:dyDescent="0.25">
      <c r="B452" s="7"/>
      <c r="C452" s="7"/>
      <c r="D452" s="7"/>
      <c r="E452" s="7"/>
    </row>
  </sheetData>
  <sortState ref="B5:E321">
    <sortCondition ref="B5:B321"/>
  </sortState>
  <mergeCells count="3">
    <mergeCell ref="N4:R4"/>
    <mergeCell ref="B2:F2"/>
    <mergeCell ref="M2:Q2"/>
  </mergeCells>
  <conditionalFormatting sqref="J20">
    <cfRule type="containsText" dxfId="18" priority="3" operator="containsText" text="see">
      <formula>NOT(ISERROR(SEARCH("see",J20)))</formula>
    </cfRule>
  </conditionalFormatting>
  <conditionalFormatting sqref="I20">
    <cfRule type="containsText" dxfId="17" priority="2" operator="containsText" text="see">
      <formula>NOT(ISERROR(SEARCH("see",I20)))</formula>
    </cfRule>
    <cfRule type="containsText" dxfId="16" priority="1" operator="containsText" text="see">
      <formula>NOT(ISERROR(SEARCH("see",I20)))</formula>
    </cfRule>
  </conditionalFormatting>
  <dataValidations xWindow="827" yWindow="197" count="26">
    <dataValidation allowBlank="1" showInputMessage="1" showErrorMessage="1" promptTitle="Log Scale" prompt="Any data set that spans more than three orders of magnitude should be converted to a log scale. Data sets that contain negative or zero values will result in errors if converted to a log scale; substitute with a value 10x smaller than the smallest value." sqref="I4"/>
    <dataValidation allowBlank="1" showInputMessage="1" showErrorMessage="1" promptTitle="Nonfunctional Protein Value " prompt="This cell requires the researcher to determine if the nonfunctional (dead) value associated with this protein and assay is a minimum or a maximum value.  The value below this cell will reflect the value used in the calculations for a nonfunctional protein" sqref="I16"/>
    <dataValidation allowBlank="1" showInputMessage="1" showErrorMessage="1" promptTitle="Bin Override" prompt="If the recommended bin number is too small or large to provide meaningful data, a different bin number may be entered as an override. We recommend bin numbers between 7-13 with 10 being a good starting point. Further insight is provided in the manuscript." sqref="I23"/>
    <dataValidation allowBlank="1" showInputMessage="1" showErrorMessage="1" promptTitle="Recommended bin number" prompt="The number of recommended bins is calculated based on the average error of the data set as well as the average number of variants at each position.  This calculation is performed in Data Transformation columns Q and R." sqref="I22"/>
    <dataValidation allowBlank="1" showInputMessage="1" showErrorMessage="1" promptTitle="Positions analyzed" prompt="These positions were isolated from the data set for score calculations. If there are more than 20 positions in the data, only 20 will be selected. Removal of extra positions from the data or using the calculator designed for large data sets is recommended" sqref="G4"/>
    <dataValidation allowBlank="1" showInputMessage="1" showErrorMessage="1" promptTitle="Data Set:" prompt="This box can be used to label the data set being analyzed as well as any other qualifying information." sqref="A2"/>
    <dataValidation allowBlank="1" showInputMessage="1" showErrorMessage="1" promptTitle="Format Example" prompt="This line represents how data should be entered in the columns below.  This data is not included in the analysis, it is simply an example." sqref="A6"/>
    <dataValidation allowBlank="1" showInputMessage="1" showErrorMessage="1" promptTitle="Wild Type" prompt="The functional value and error for wild type should be entered in the boxes to the right." sqref="A5"/>
    <dataValidation allowBlank="1" showInputMessage="1" showErrorMessage="1" promptTitle="Data for wild type" prompt="Enter the functional value for the wild type protein here." sqref="D5"/>
    <dataValidation allowBlank="1" showInputMessage="1" showErrorMessage="1" promptTitle="Error for wild type" prompt="Enter the error for the wild type functional value here." sqref="E5"/>
    <dataValidation allowBlank="1" showInputMessage="1" showErrorMessage="1" promptTitle="Position" prompt="This column should contain the positions at which amino acid substitutions were carried out.  Only one position can be analyzed per row." sqref="B4"/>
    <dataValidation allowBlank="1" showInputMessage="1" showErrorMessage="1" promptTitle="Mutation" prompt="This column should contain the amino acid code (any format) for the mutation at this position.  This column of data is not used in the analysis, but can help track inconsistencies in the data and it is strongly recommended." sqref="C4"/>
    <dataValidation allowBlank="1" showInputMessage="1" showErrorMessage="1" promptTitle="Functional Value" prompt="This column should report the functional value to be analyzed.  Positive, negative, and decimals are all acceptable for these data calculations.  Values of less than or equal to 0 will cause an error if the data is converted to a log scale.  " sqref="D4"/>
    <dataValidation allowBlank="1" showInputMessage="1" showErrorMessage="1" promptTitle="Error" prompt="The error associated with each data point should be recorded in this column.  These errors are necessary to perform the rheostat scale calculations and if not included here, an override value must be entered in J19." sqref="E4"/>
    <dataValidation allowBlank="1" showInputMessage="1" showErrorMessage="1" promptTitle="Data Statistics" prompt="These boxes report the minimum and maximum value from the data set entered.  This value is reported as the true value (not the log of the minimum/maximum value)" sqref="I6"/>
    <dataValidation allowBlank="1" showInputMessage="1" showErrorMessage="1" promptTitle="Min/Max Override" prompt="A data set may not contain the absolute minimum or maximum value associated with the functional data for this protein.  The researcher may enter a min OR max value in the boxes below to override the min or max value found in the data set" sqref="I10"/>
    <dataValidation allowBlank="1" showInputMessage="1" showErrorMessage="1" promptTitle="Position" prompt="Protein position analyzed" sqref="L5"/>
    <dataValidation allowBlank="1" showInputMessage="1" showErrorMessage="1" promptTitle="# of variants" prompt="The number of variants analyzed at any given position.  Any red cells in this column represent positions at which the number of variants is LESS than the number of bins which will artificially lower the rheostat score compared to other positions. " sqref="M5"/>
    <dataValidation allowBlank="1" showInputMessage="1" showErrorMessage="1" promptTitle="Neutral" prompt="The neutral score calculates the fraction of variants that have functional values in the same bin as the wild type protein.  This score ranges from 0-1 with 1 representing every variant having a functional value in the same bin as the wild type." sqref="N5"/>
    <dataValidation allowBlank="1" showInputMessage="1" showErrorMessage="1" promptTitle="Unweighted Rheostat" prompt="The unweighted rheostat score reflects the fraction of possible bins that are occupied by at least one variant at this position.  This score ranges from 0-1 with a score of 1 representing at least one variant present in every possible bin." sqref="O5"/>
    <dataValidation allowBlank="1" showInputMessage="1" showErrorMessage="1" promptTitle="Weighted Rheostat" prompt="The weighted rheostat score represents the fraction of total bins occupied be at least one variant multiplied by a weighting scale and then normalized.  This weighting scale is explained in more detail in the accompanying paper." sqref="P5"/>
    <dataValidation allowBlank="1" showInputMessage="1" showErrorMessage="1" promptTitle="Toggle" prompt="The toggle score represents the fraction of variants with functional values in the same bin as the nonfunctional (dead) protein. This score ranges from 0 to 1 with 1 representing a position at which all variants are non-functional." sqref="Q5"/>
    <dataValidation allowBlank="1" showInputMessage="1" showErrorMessage="1" promptTitle="Binary" prompt="If all of the variants fall in only two distinct bins, the position represents a binary position that is different from a neutral or toggle function.  This column reports binary behavior as a yes/no result." sqref="R5"/>
    <dataValidation allowBlank="1" showInputMessage="1" showErrorMessage="1" promptTitle="all" prompt="This row analyzes the entire data set according to neutral, rheostat, and toggle behavior.  These scores may provide insight into a protein's potential for modification in a rheostat manner. " sqref="L6"/>
    <dataValidation allowBlank="1" showInputMessage="1" showErrorMessage="1" promptTitle="Error override" prompt="If data set does not have errors associated with each data point or if the overall data set is better represented by a predetermined error value, that value can be entered into this override box. " sqref="I19"/>
    <dataValidation allowBlank="1" showInputMessage="1" showErrorMessage="1" promptTitle="Number of Values Above Maximum" prompt="Values in the data set above the maximum entered above will be reassigned to be the maximum value for score calculations and will be counted here. These values are also highlighted red in column D." sqref="I14"/>
  </dataValidations>
  <pageMargins left="0.75" right="0.75" top="1" bottom="1" header="0.5" footer="0.5"/>
  <pageSetup orientation="portrait" horizontalDpi="4294967292" verticalDpi="4294967292" r:id="rId1"/>
  <drawing r:id="rId2"/>
  <extLst>
    <ext xmlns:x14="http://schemas.microsoft.com/office/spreadsheetml/2009/9/main" uri="{78C0D931-6437-407d-A8EE-F0AAD7539E65}">
      <x14:conditionalFormattings>
        <x14:conditionalFormatting xmlns:xm="http://schemas.microsoft.com/office/excel/2006/main">
          <x14:cfRule type="cellIs" priority="12" operator="lessThan" id="{34E6105A-5DF1-7247-B72E-7BC6249930B6}">
            <xm:f>'Data Transformation'!$R$24</xm:f>
            <x14:dxf>
              <font>
                <color rgb="FF9C0006"/>
              </font>
              <fill>
                <patternFill>
                  <bgColor rgb="FFFFC7CE"/>
                </patternFill>
              </fill>
            </x14:dxf>
          </x14:cfRule>
          <xm:sqref>M6:M26</xm:sqref>
        </x14:conditionalFormatting>
      </x14:conditionalFormattings>
    </ext>
    <ext xmlns:x14="http://schemas.microsoft.com/office/spreadsheetml/2009/9/main" uri="{CCE6A557-97BC-4b89-ADB6-D9C93CAAB3DF}">
      <x14:dataValidations xmlns:xm="http://schemas.microsoft.com/office/excel/2006/main" xWindow="827" yWindow="197" count="2">
        <x14:dataValidation type="list" allowBlank="1" showInputMessage="1" showErrorMessage="1">
          <x14:formula1>
            <xm:f>'Data Transformation'!$T$8:$T$9</xm:f>
          </x14:formula1>
          <xm:sqref>J16</xm:sqref>
        </x14:dataValidation>
        <x14:dataValidation type="list" allowBlank="1" showInputMessage="1" showErrorMessage="1">
          <x14:formula1>
            <xm:f>'Data Transformation'!$T$4:$T$5</xm:f>
          </x14:formula1>
          <xm:sqref>J4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8003"/>
  <sheetViews>
    <sheetView workbookViewId="0"/>
  </sheetViews>
  <sheetFormatPr defaultColWidth="11" defaultRowHeight="15.75" x14ac:dyDescent="0.25"/>
  <sheetData>
    <row r="1" spans="1:16" x14ac:dyDescent="0.25">
      <c r="A1" t="s">
        <v>80</v>
      </c>
      <c r="J1" s="2" t="s">
        <v>12</v>
      </c>
      <c r="K1" s="2"/>
      <c r="O1" s="2" t="s">
        <v>79</v>
      </c>
    </row>
    <row r="2" spans="1:16" ht="16.5" thickBot="1" x14ac:dyDescent="0.3">
      <c r="B2" t="s">
        <v>0</v>
      </c>
      <c r="C2" t="s">
        <v>1</v>
      </c>
      <c r="D2" t="s">
        <v>2</v>
      </c>
      <c r="E2" t="s">
        <v>3</v>
      </c>
      <c r="F2" t="s">
        <v>76</v>
      </c>
      <c r="G2" t="s">
        <v>77</v>
      </c>
      <c r="M2" t="s">
        <v>58</v>
      </c>
    </row>
    <row r="3" spans="1:16" x14ac:dyDescent="0.25">
      <c r="B3" s="3"/>
      <c r="C3" s="4"/>
      <c r="D3" s="4"/>
      <c r="E3" s="5"/>
      <c r="F3" t="str">
        <f>IF(B3="","",LOG10(D3))</f>
        <v/>
      </c>
      <c r="G3" t="str">
        <f>IF(E3="", "",0.434*E3/D3)</f>
        <v/>
      </c>
      <c r="J3" t="s">
        <v>60</v>
      </c>
      <c r="L3" t="s">
        <v>57</v>
      </c>
      <c r="M3" t="s">
        <v>65</v>
      </c>
      <c r="O3" t="s">
        <v>14</v>
      </c>
      <c r="P3">
        <f>IF('Input and Summary Results'!$J$4="yes",MIN('Larger Data Sets'!$F$3:$F$8003),MIN('Larger Data Sets'!$D$3:$D$8003))</f>
        <v>0</v>
      </c>
    </row>
    <row r="4" spans="1:16" x14ac:dyDescent="0.25">
      <c r="B4" s="6"/>
      <c r="C4" s="7"/>
      <c r="D4" s="7"/>
      <c r="E4" s="8"/>
      <c r="F4" t="str">
        <f t="shared" ref="F4:F67" si="0">IF(B4="","",LOG10(D4))</f>
        <v/>
      </c>
      <c r="G4" t="str">
        <f t="shared" ref="G4:G67" si="1">IF(E4="", "",0.434*E4/D4)</f>
        <v/>
      </c>
      <c r="J4" t="s">
        <v>28</v>
      </c>
      <c r="L4">
        <f>COUNTIF($B$3:$B$8003,"&gt;0")</f>
        <v>0</v>
      </c>
      <c r="M4" t="b">
        <f t="shared" ref="M4" si="2">IF(L4&gt;4,L4,FALSE)</f>
        <v>0</v>
      </c>
      <c r="O4" t="s">
        <v>15</v>
      </c>
      <c r="P4">
        <f>IF('Input and Summary Results'!$J$4="yes",MAX('Larger Data Sets'!$F$3:$F$8003),MAX('Larger Data Sets'!$D$3:$D$8003))</f>
        <v>0</v>
      </c>
    </row>
    <row r="5" spans="1:16" x14ac:dyDescent="0.25">
      <c r="B5" s="6"/>
      <c r="C5" s="7"/>
      <c r="D5" s="7"/>
      <c r="E5" s="8"/>
      <c r="F5" t="str">
        <f t="shared" si="0"/>
        <v/>
      </c>
      <c r="G5" t="str">
        <f t="shared" si="1"/>
        <v/>
      </c>
      <c r="J5" s="28">
        <f>LOOKUP(2,1/(COUNTIF($J$4:J4,'Larger Data Sets'!$B$3:$B$8003)=0),'Larger Data Sets'!$B$3:$B$8003)</f>
        <v>0</v>
      </c>
      <c r="K5" s="28">
        <f>IFERROR(J5," ")</f>
        <v>0</v>
      </c>
      <c r="L5">
        <f t="shared" ref="L5:L14" si="3">COUNTIF($B$3:$B$8003,$J5)</f>
        <v>0</v>
      </c>
      <c r="M5" t="b">
        <f>IF(L5&gt;4,L5,FALSE)</f>
        <v>0</v>
      </c>
    </row>
    <row r="6" spans="1:16" x14ac:dyDescent="0.25">
      <c r="B6" s="6"/>
      <c r="C6" s="7"/>
      <c r="D6" s="7"/>
      <c r="E6" s="8"/>
      <c r="F6" t="str">
        <f t="shared" si="0"/>
        <v/>
      </c>
      <c r="G6" t="str">
        <f t="shared" si="1"/>
        <v/>
      </c>
      <c r="J6" s="28" t="e">
        <f>LOOKUP(2,1/(COUNTIF($J$4:J5,'Larger Data Sets'!$B$3:$B$8003)=0),'Larger Data Sets'!$B$3:$B$8003)</f>
        <v>#N/A</v>
      </c>
      <c r="K6" s="28" t="str">
        <f t="shared" ref="K6:K69" si="4">IFERROR(J6," ")</f>
        <v xml:space="preserve"> </v>
      </c>
      <c r="L6">
        <f t="shared" si="3"/>
        <v>0</v>
      </c>
      <c r="M6" t="b">
        <f>IF(L6&gt;4,L6+1,FALSE)</f>
        <v>0</v>
      </c>
      <c r="O6" t="s">
        <v>17</v>
      </c>
      <c r="P6" t="e">
        <f>IF('Input and Summary Results'!J4="yes",AVERAGE('Larger Data Sets'!G3:G8003),AVERAGE('Larger Data Sets'!E3:E8003))</f>
        <v>#DIV/0!</v>
      </c>
    </row>
    <row r="7" spans="1:16" x14ac:dyDescent="0.25">
      <c r="B7" s="6"/>
      <c r="C7" s="7"/>
      <c r="D7" s="7"/>
      <c r="E7" s="8"/>
      <c r="F7" t="str">
        <f t="shared" si="0"/>
        <v/>
      </c>
      <c r="G7" t="str">
        <f t="shared" si="1"/>
        <v/>
      </c>
      <c r="J7" s="28" t="e">
        <f>LOOKUP(2,1/(COUNTIF($J$4:J6,'Larger Data Sets'!$B$3:$B$8003)=0),'Larger Data Sets'!$B$3:$B$8003)</f>
        <v>#N/A</v>
      </c>
      <c r="K7" s="28" t="str">
        <f t="shared" si="4"/>
        <v xml:space="preserve"> </v>
      </c>
      <c r="L7">
        <f t="shared" si="3"/>
        <v>0</v>
      </c>
      <c r="M7" t="b">
        <f t="shared" ref="M7:M70" si="5">IF(L7&gt;4,L7+1,FALSE)</f>
        <v>0</v>
      </c>
      <c r="O7" t="s">
        <v>18</v>
      </c>
      <c r="P7" t="e">
        <f>P6*4</f>
        <v>#DIV/0!</v>
      </c>
    </row>
    <row r="8" spans="1:16" x14ac:dyDescent="0.25">
      <c r="B8" s="6"/>
      <c r="C8" s="7"/>
      <c r="D8" s="7"/>
      <c r="E8" s="8"/>
      <c r="F8" t="str">
        <f t="shared" si="0"/>
        <v/>
      </c>
      <c r="G8" t="str">
        <f t="shared" si="1"/>
        <v/>
      </c>
      <c r="J8" s="28" t="e">
        <f>LOOKUP(2,1/(COUNTIF($J$4:J7,'Larger Data Sets'!$B$3:$B$8003)=0),'Larger Data Sets'!$B$3:$B$8003)</f>
        <v>#N/A</v>
      </c>
      <c r="K8" s="28" t="str">
        <f t="shared" si="4"/>
        <v xml:space="preserve"> </v>
      </c>
      <c r="L8">
        <f t="shared" si="3"/>
        <v>0</v>
      </c>
      <c r="M8" t="b">
        <f t="shared" si="5"/>
        <v>0</v>
      </c>
    </row>
    <row r="9" spans="1:16" x14ac:dyDescent="0.25">
      <c r="B9" s="6"/>
      <c r="C9" s="7"/>
      <c r="D9" s="7"/>
      <c r="E9" s="8"/>
      <c r="F9" t="str">
        <f t="shared" si="0"/>
        <v/>
      </c>
      <c r="G9" t="str">
        <f t="shared" si="1"/>
        <v/>
      </c>
      <c r="J9" s="28" t="e">
        <f>LOOKUP(2,1/(COUNTIF($J$4:J8,'Larger Data Sets'!$B$3:$B$8003)=0),'Larger Data Sets'!$B$3:$B$8003)</f>
        <v>#N/A</v>
      </c>
      <c r="K9" s="28" t="str">
        <f t="shared" si="4"/>
        <v xml:space="preserve"> </v>
      </c>
      <c r="L9">
        <f t="shared" si="3"/>
        <v>0</v>
      </c>
      <c r="M9" t="b">
        <f t="shared" si="5"/>
        <v>0</v>
      </c>
      <c r="O9" s="2" t="s">
        <v>19</v>
      </c>
    </row>
    <row r="10" spans="1:16" x14ac:dyDescent="0.25">
      <c r="B10" s="6"/>
      <c r="C10" s="7"/>
      <c r="D10" s="7"/>
      <c r="E10" s="8"/>
      <c r="F10" t="str">
        <f t="shared" si="0"/>
        <v/>
      </c>
      <c r="G10" t="str">
        <f t="shared" si="1"/>
        <v/>
      </c>
      <c r="J10" s="28" t="e">
        <f>LOOKUP(2,1/(COUNTIF($J$4:J9,'Larger Data Sets'!$B$3:$B$8003)=0),'Larger Data Sets'!$B$3:$B$8003)</f>
        <v>#N/A</v>
      </c>
      <c r="K10" s="28" t="str">
        <f t="shared" si="4"/>
        <v xml:space="preserve"> </v>
      </c>
      <c r="L10">
        <f t="shared" si="3"/>
        <v>0</v>
      </c>
      <c r="M10" t="b">
        <f t="shared" si="5"/>
        <v>0</v>
      </c>
      <c r="O10" t="s">
        <v>20</v>
      </c>
      <c r="P10" s="14" t="e">
        <f>(P4-P3)/P7</f>
        <v>#DIV/0!</v>
      </c>
    </row>
    <row r="11" spans="1:16" x14ac:dyDescent="0.25">
      <c r="B11" s="6"/>
      <c r="C11" s="7"/>
      <c r="D11" s="7"/>
      <c r="E11" s="8"/>
      <c r="F11" t="str">
        <f t="shared" si="0"/>
        <v/>
      </c>
      <c r="G11" t="str">
        <f t="shared" si="1"/>
        <v/>
      </c>
      <c r="J11" s="28" t="e">
        <f>LOOKUP(2,1/(COUNTIF($J$4:J10,'Larger Data Sets'!$B$3:$B$8003)=0),'Larger Data Sets'!$B$3:$B$8003)</f>
        <v>#N/A</v>
      </c>
      <c r="K11" s="28" t="str">
        <f t="shared" si="4"/>
        <v xml:space="preserve"> </v>
      </c>
      <c r="L11">
        <f t="shared" si="3"/>
        <v>0</v>
      </c>
      <c r="M11" t="b">
        <f t="shared" si="5"/>
        <v>0</v>
      </c>
      <c r="O11" t="s">
        <v>21</v>
      </c>
      <c r="P11" t="e">
        <f>AVERAGE(M6:M506)</f>
        <v>#DIV/0!</v>
      </c>
    </row>
    <row r="12" spans="1:16" x14ac:dyDescent="0.25">
      <c r="B12" s="6"/>
      <c r="C12" s="7"/>
      <c r="D12" s="7"/>
      <c r="E12" s="8"/>
      <c r="F12" t="str">
        <f t="shared" si="0"/>
        <v/>
      </c>
      <c r="G12" t="str">
        <f t="shared" si="1"/>
        <v/>
      </c>
      <c r="J12" s="28" t="e">
        <f>LOOKUP(2,1/(COUNTIF($J$4:J11,'Larger Data Sets'!$B$3:$B$8003)=0),'Larger Data Sets'!$B$3:$B$8003)</f>
        <v>#N/A</v>
      </c>
      <c r="K12" s="28" t="str">
        <f t="shared" si="4"/>
        <v xml:space="preserve"> </v>
      </c>
      <c r="L12">
        <f t="shared" si="3"/>
        <v>0</v>
      </c>
      <c r="M12" t="b">
        <f t="shared" si="5"/>
        <v>0</v>
      </c>
      <c r="O12" t="s">
        <v>22</v>
      </c>
      <c r="P12" t="e">
        <f>MEDIAN(M6:M506)</f>
        <v>#NUM!</v>
      </c>
    </row>
    <row r="13" spans="1:16" x14ac:dyDescent="0.25">
      <c r="B13" s="6"/>
      <c r="C13" s="7"/>
      <c r="D13" s="7"/>
      <c r="E13" s="8"/>
      <c r="F13" t="str">
        <f t="shared" si="0"/>
        <v/>
      </c>
      <c r="G13" t="str">
        <f t="shared" si="1"/>
        <v/>
      </c>
      <c r="J13" s="28" t="e">
        <f>LOOKUP(2,1/(COUNTIF($J$4:J12,'Larger Data Sets'!$B$3:$B$8003)=0),'Larger Data Sets'!$B$3:$B$8003)</f>
        <v>#N/A</v>
      </c>
      <c r="K13" s="28" t="str">
        <f t="shared" si="4"/>
        <v xml:space="preserve"> </v>
      </c>
      <c r="L13">
        <f t="shared" si="3"/>
        <v>0</v>
      </c>
      <c r="M13" t="b">
        <f t="shared" si="5"/>
        <v>0</v>
      </c>
    </row>
    <row r="14" spans="1:16" x14ac:dyDescent="0.25">
      <c r="B14" s="6"/>
      <c r="C14" s="7"/>
      <c r="D14" s="7"/>
      <c r="E14" s="8"/>
      <c r="F14" t="str">
        <f t="shared" si="0"/>
        <v/>
      </c>
      <c r="G14" t="str">
        <f t="shared" si="1"/>
        <v/>
      </c>
      <c r="J14" s="28" t="e">
        <f>LOOKUP(2,1/(COUNTIF($J$4:J13,'Larger Data Sets'!$B$3:$B$8003)=0),'Larger Data Sets'!$B$3:$B$8003)</f>
        <v>#N/A</v>
      </c>
      <c r="K14" s="28" t="str">
        <f t="shared" si="4"/>
        <v xml:space="preserve"> </v>
      </c>
      <c r="L14">
        <f t="shared" si="3"/>
        <v>0</v>
      </c>
      <c r="M14" t="b">
        <f t="shared" si="5"/>
        <v>0</v>
      </c>
      <c r="O14" t="s">
        <v>23</v>
      </c>
      <c r="P14" s="14" t="e">
        <f>ROUNDDOWN(MIN(P10:P12),0)</f>
        <v>#DIV/0!</v>
      </c>
    </row>
    <row r="15" spans="1:16" x14ac:dyDescent="0.25">
      <c r="B15" s="6"/>
      <c r="C15" s="7"/>
      <c r="D15" s="7"/>
      <c r="E15" s="8"/>
      <c r="F15" t="str">
        <f t="shared" si="0"/>
        <v/>
      </c>
      <c r="G15" t="str">
        <f t="shared" si="1"/>
        <v/>
      </c>
      <c r="J15" s="28" t="e">
        <f>LOOKUP(2,1/(COUNTIF($J$4:J14,'Larger Data Sets'!$B$3:$B$8003)=0),'Larger Data Sets'!$B$3:$B$8003)</f>
        <v>#N/A</v>
      </c>
      <c r="K15" s="28" t="str">
        <f t="shared" si="4"/>
        <v xml:space="preserve"> </v>
      </c>
      <c r="L15">
        <f t="shared" ref="L15" si="6">COUNTIF($B$3:$B$8003,$J15)</f>
        <v>0</v>
      </c>
      <c r="M15" t="b">
        <f t="shared" si="5"/>
        <v>0</v>
      </c>
    </row>
    <row r="16" spans="1:16" x14ac:dyDescent="0.25">
      <c r="B16" s="6"/>
      <c r="C16" s="7"/>
      <c r="D16" s="7"/>
      <c r="E16" s="8"/>
      <c r="F16" t="str">
        <f t="shared" si="0"/>
        <v/>
      </c>
      <c r="G16" t="str">
        <f t="shared" si="1"/>
        <v/>
      </c>
      <c r="J16" s="28" t="e">
        <f>LOOKUP(2,1/(COUNTIF($J$4:J15,'Larger Data Sets'!$B$3:$B$8003)=0),'Larger Data Sets'!$B$3:$B$8003)</f>
        <v>#N/A</v>
      </c>
      <c r="K16" s="28" t="str">
        <f t="shared" si="4"/>
        <v xml:space="preserve"> </v>
      </c>
      <c r="L16">
        <f t="shared" ref="L16:L79" si="7">COUNTIF($B$3:$B$8003,$J16)</f>
        <v>0</v>
      </c>
      <c r="M16" t="b">
        <f t="shared" si="5"/>
        <v>0</v>
      </c>
      <c r="O16" t="s">
        <v>8</v>
      </c>
      <c r="P16" t="e">
        <f>(P4-P3)/P14+0.0000000000001</f>
        <v>#DIV/0!</v>
      </c>
    </row>
    <row r="17" spans="2:13" x14ac:dyDescent="0.25">
      <c r="B17" s="6"/>
      <c r="C17" s="7"/>
      <c r="D17" s="7"/>
      <c r="E17" s="8"/>
      <c r="F17" t="str">
        <f t="shared" si="0"/>
        <v/>
      </c>
      <c r="G17" t="str">
        <f t="shared" si="1"/>
        <v/>
      </c>
      <c r="J17" s="28" t="e">
        <f>LOOKUP(2,1/(COUNTIF($J$4:J16,'Larger Data Sets'!$B$3:$B$8003)=0),'Larger Data Sets'!$B$3:$B$8003)</f>
        <v>#N/A</v>
      </c>
      <c r="K17" s="28" t="str">
        <f t="shared" si="4"/>
        <v xml:space="preserve"> </v>
      </c>
      <c r="L17">
        <f t="shared" si="7"/>
        <v>0</v>
      </c>
      <c r="M17" t="b">
        <f t="shared" si="5"/>
        <v>0</v>
      </c>
    </row>
    <row r="18" spans="2:13" x14ac:dyDescent="0.25">
      <c r="B18" s="6"/>
      <c r="C18" s="7"/>
      <c r="D18" s="7"/>
      <c r="E18" s="8"/>
      <c r="F18" t="str">
        <f t="shared" si="0"/>
        <v/>
      </c>
      <c r="G18" t="str">
        <f t="shared" si="1"/>
        <v/>
      </c>
      <c r="J18" s="28" t="e">
        <f>LOOKUP(2,1/(COUNTIF($J$4:J17,'Larger Data Sets'!$B$3:$B$8003)=0),'Larger Data Sets'!$B$3:$B$8003)</f>
        <v>#N/A</v>
      </c>
      <c r="K18" s="28" t="str">
        <f t="shared" si="4"/>
        <v xml:space="preserve"> </v>
      </c>
      <c r="L18">
        <f t="shared" si="7"/>
        <v>0</v>
      </c>
      <c r="M18" t="b">
        <f t="shared" si="5"/>
        <v>0</v>
      </c>
    </row>
    <row r="19" spans="2:13" x14ac:dyDescent="0.25">
      <c r="B19" s="6"/>
      <c r="C19" s="7"/>
      <c r="D19" s="7"/>
      <c r="E19" s="8"/>
      <c r="F19" t="str">
        <f t="shared" si="0"/>
        <v/>
      </c>
      <c r="G19" t="str">
        <f t="shared" si="1"/>
        <v/>
      </c>
      <c r="J19" s="28" t="e">
        <f>LOOKUP(2,1/(COUNTIF($J$4:J18,'Larger Data Sets'!$B$3:$B$8003)=0),'Larger Data Sets'!$B$3:$B$8003)</f>
        <v>#N/A</v>
      </c>
      <c r="K19" s="28" t="str">
        <f t="shared" si="4"/>
        <v xml:space="preserve"> </v>
      </c>
      <c r="L19">
        <f t="shared" si="7"/>
        <v>0</v>
      </c>
      <c r="M19" t="b">
        <f t="shared" si="5"/>
        <v>0</v>
      </c>
    </row>
    <row r="20" spans="2:13" x14ac:dyDescent="0.25">
      <c r="B20" s="6"/>
      <c r="C20" s="7"/>
      <c r="D20" s="7"/>
      <c r="E20" s="8"/>
      <c r="F20" t="str">
        <f t="shared" si="0"/>
        <v/>
      </c>
      <c r="G20" t="str">
        <f t="shared" si="1"/>
        <v/>
      </c>
      <c r="J20" s="28" t="e">
        <f>LOOKUP(2,1/(COUNTIF($J$4:J19,'Larger Data Sets'!$B$3:$B$8003)=0),'Larger Data Sets'!$B$3:$B$8003)</f>
        <v>#N/A</v>
      </c>
      <c r="K20" s="28" t="str">
        <f t="shared" si="4"/>
        <v xml:space="preserve"> </v>
      </c>
      <c r="L20">
        <f t="shared" si="7"/>
        <v>0</v>
      </c>
      <c r="M20" t="b">
        <f t="shared" si="5"/>
        <v>0</v>
      </c>
    </row>
    <row r="21" spans="2:13" x14ac:dyDescent="0.25">
      <c r="B21" s="6"/>
      <c r="C21" s="7"/>
      <c r="D21" s="7"/>
      <c r="E21" s="8"/>
      <c r="F21" t="str">
        <f t="shared" si="0"/>
        <v/>
      </c>
      <c r="G21" t="str">
        <f t="shared" si="1"/>
        <v/>
      </c>
      <c r="J21" s="28" t="e">
        <f>LOOKUP(2,1/(COUNTIF($J$4:J20,'Larger Data Sets'!$B$3:$B$8003)=0),'Larger Data Sets'!$B$3:$B$8003)</f>
        <v>#N/A</v>
      </c>
      <c r="K21" s="28" t="str">
        <f t="shared" si="4"/>
        <v xml:space="preserve"> </v>
      </c>
      <c r="L21">
        <f t="shared" si="7"/>
        <v>0</v>
      </c>
      <c r="M21" t="b">
        <f t="shared" si="5"/>
        <v>0</v>
      </c>
    </row>
    <row r="22" spans="2:13" x14ac:dyDescent="0.25">
      <c r="B22" s="6"/>
      <c r="C22" s="7"/>
      <c r="D22" s="7"/>
      <c r="E22" s="8"/>
      <c r="F22" t="str">
        <f t="shared" si="0"/>
        <v/>
      </c>
      <c r="G22" t="str">
        <f t="shared" si="1"/>
        <v/>
      </c>
      <c r="J22" s="28" t="e">
        <f>LOOKUP(2,1/(COUNTIF($J$4:J21,'Larger Data Sets'!$B$3:$B$8003)=0),'Larger Data Sets'!$B$3:$B$8003)</f>
        <v>#N/A</v>
      </c>
      <c r="K22" s="28" t="str">
        <f t="shared" si="4"/>
        <v xml:space="preserve"> </v>
      </c>
      <c r="L22">
        <f t="shared" si="7"/>
        <v>0</v>
      </c>
      <c r="M22" t="b">
        <f t="shared" si="5"/>
        <v>0</v>
      </c>
    </row>
    <row r="23" spans="2:13" x14ac:dyDescent="0.25">
      <c r="B23" s="6"/>
      <c r="C23" s="7"/>
      <c r="D23" s="7"/>
      <c r="E23" s="8"/>
      <c r="F23" t="str">
        <f t="shared" si="0"/>
        <v/>
      </c>
      <c r="G23" t="str">
        <f t="shared" si="1"/>
        <v/>
      </c>
      <c r="J23" s="28" t="e">
        <f>LOOKUP(2,1/(COUNTIF($J$4:J22,'Larger Data Sets'!$B$3:$B$8003)=0),'Larger Data Sets'!$B$3:$B$8003)</f>
        <v>#N/A</v>
      </c>
      <c r="K23" s="28" t="str">
        <f t="shared" si="4"/>
        <v xml:space="preserve"> </v>
      </c>
      <c r="L23">
        <f t="shared" si="7"/>
        <v>0</v>
      </c>
      <c r="M23" t="b">
        <f t="shared" si="5"/>
        <v>0</v>
      </c>
    </row>
    <row r="24" spans="2:13" x14ac:dyDescent="0.25">
      <c r="B24" s="6"/>
      <c r="C24" s="7"/>
      <c r="D24" s="7"/>
      <c r="E24" s="8"/>
      <c r="F24" t="str">
        <f t="shared" si="0"/>
        <v/>
      </c>
      <c r="G24" t="str">
        <f t="shared" si="1"/>
        <v/>
      </c>
      <c r="J24" s="28" t="e">
        <f>LOOKUP(2,1/(COUNTIF($J$4:J23,'Larger Data Sets'!$B$3:$B$8003)=0),'Larger Data Sets'!$B$3:$B$8003)</f>
        <v>#N/A</v>
      </c>
      <c r="K24" s="28" t="str">
        <f t="shared" si="4"/>
        <v xml:space="preserve"> </v>
      </c>
      <c r="L24">
        <f t="shared" si="7"/>
        <v>0</v>
      </c>
      <c r="M24" t="b">
        <f t="shared" si="5"/>
        <v>0</v>
      </c>
    </row>
    <row r="25" spans="2:13" x14ac:dyDescent="0.25">
      <c r="B25" s="6"/>
      <c r="C25" s="7"/>
      <c r="D25" s="7"/>
      <c r="E25" s="8"/>
      <c r="F25" t="str">
        <f t="shared" si="0"/>
        <v/>
      </c>
      <c r="G25" t="str">
        <f t="shared" si="1"/>
        <v/>
      </c>
      <c r="J25" s="28" t="e">
        <f>LOOKUP(2,1/(COUNTIF($J$4:J24,'Larger Data Sets'!$B$3:$B$8003)=0),'Larger Data Sets'!$B$3:$B$8003)</f>
        <v>#N/A</v>
      </c>
      <c r="K25" s="28" t="str">
        <f t="shared" si="4"/>
        <v xml:space="preserve"> </v>
      </c>
      <c r="L25">
        <f t="shared" si="7"/>
        <v>0</v>
      </c>
      <c r="M25" t="b">
        <f t="shared" si="5"/>
        <v>0</v>
      </c>
    </row>
    <row r="26" spans="2:13" x14ac:dyDescent="0.25">
      <c r="B26" s="6"/>
      <c r="C26" s="7"/>
      <c r="D26" s="7"/>
      <c r="E26" s="8"/>
      <c r="F26" t="str">
        <f t="shared" si="0"/>
        <v/>
      </c>
      <c r="G26" t="str">
        <f t="shared" si="1"/>
        <v/>
      </c>
      <c r="J26" s="28" t="e">
        <f>LOOKUP(2,1/(COUNTIF($J$4:J25,'Larger Data Sets'!$B$3:$B$8003)=0),'Larger Data Sets'!$B$3:$B$8003)</f>
        <v>#N/A</v>
      </c>
      <c r="K26" s="28" t="str">
        <f t="shared" si="4"/>
        <v xml:space="preserve"> </v>
      </c>
      <c r="L26">
        <f t="shared" si="7"/>
        <v>0</v>
      </c>
      <c r="M26" t="b">
        <f t="shared" si="5"/>
        <v>0</v>
      </c>
    </row>
    <row r="27" spans="2:13" x14ac:dyDescent="0.25">
      <c r="B27" s="6"/>
      <c r="C27" s="7"/>
      <c r="D27" s="7"/>
      <c r="E27" s="8"/>
      <c r="F27" t="str">
        <f t="shared" si="0"/>
        <v/>
      </c>
      <c r="G27" t="str">
        <f t="shared" si="1"/>
        <v/>
      </c>
      <c r="J27" s="28" t="e">
        <f>LOOKUP(2,1/(COUNTIF($J$4:J26,'Larger Data Sets'!$B$3:$B$8003)=0),'Larger Data Sets'!$B$3:$B$8003)</f>
        <v>#N/A</v>
      </c>
      <c r="K27" s="28" t="str">
        <f t="shared" si="4"/>
        <v xml:space="preserve"> </v>
      </c>
      <c r="L27">
        <f t="shared" si="7"/>
        <v>0</v>
      </c>
      <c r="M27" t="b">
        <f t="shared" si="5"/>
        <v>0</v>
      </c>
    </row>
    <row r="28" spans="2:13" x14ac:dyDescent="0.25">
      <c r="B28" s="6"/>
      <c r="C28" s="7"/>
      <c r="D28" s="7"/>
      <c r="E28" s="8"/>
      <c r="F28" t="str">
        <f t="shared" si="0"/>
        <v/>
      </c>
      <c r="G28" t="str">
        <f t="shared" si="1"/>
        <v/>
      </c>
      <c r="J28" s="28" t="e">
        <f>LOOKUP(2,1/(COUNTIF($J$4:J27,'Larger Data Sets'!$B$3:$B$8003)=0),'Larger Data Sets'!$B$3:$B$8003)</f>
        <v>#N/A</v>
      </c>
      <c r="K28" s="28" t="str">
        <f t="shared" si="4"/>
        <v xml:space="preserve"> </v>
      </c>
      <c r="L28">
        <f t="shared" si="7"/>
        <v>0</v>
      </c>
      <c r="M28" t="b">
        <f t="shared" si="5"/>
        <v>0</v>
      </c>
    </row>
    <row r="29" spans="2:13" x14ac:dyDescent="0.25">
      <c r="B29" s="6"/>
      <c r="C29" s="7"/>
      <c r="D29" s="7"/>
      <c r="E29" s="8"/>
      <c r="F29" t="str">
        <f t="shared" si="0"/>
        <v/>
      </c>
      <c r="G29" t="str">
        <f t="shared" si="1"/>
        <v/>
      </c>
      <c r="J29" s="28" t="e">
        <f>LOOKUP(2,1/(COUNTIF($J$4:J28,'Larger Data Sets'!$B$3:$B$8003)=0),'Larger Data Sets'!$B$3:$B$8003)</f>
        <v>#N/A</v>
      </c>
      <c r="K29" s="28" t="str">
        <f t="shared" si="4"/>
        <v xml:space="preserve"> </v>
      </c>
      <c r="L29">
        <f t="shared" si="7"/>
        <v>0</v>
      </c>
      <c r="M29" t="b">
        <f t="shared" si="5"/>
        <v>0</v>
      </c>
    </row>
    <row r="30" spans="2:13" x14ac:dyDescent="0.25">
      <c r="B30" s="6"/>
      <c r="C30" s="7"/>
      <c r="D30" s="7"/>
      <c r="E30" s="8"/>
      <c r="F30" t="str">
        <f t="shared" si="0"/>
        <v/>
      </c>
      <c r="G30" t="str">
        <f t="shared" si="1"/>
        <v/>
      </c>
      <c r="J30" s="28" t="e">
        <f>LOOKUP(2,1/(COUNTIF($J$4:J29,'Larger Data Sets'!$B$3:$B$8003)=0),'Larger Data Sets'!$B$3:$B$8003)</f>
        <v>#N/A</v>
      </c>
      <c r="K30" s="28" t="str">
        <f t="shared" si="4"/>
        <v xml:space="preserve"> </v>
      </c>
      <c r="L30">
        <f t="shared" si="7"/>
        <v>0</v>
      </c>
      <c r="M30" t="b">
        <f t="shared" si="5"/>
        <v>0</v>
      </c>
    </row>
    <row r="31" spans="2:13" x14ac:dyDescent="0.25">
      <c r="B31" s="6"/>
      <c r="C31" s="7"/>
      <c r="D31" s="7"/>
      <c r="E31" s="8"/>
      <c r="F31" t="str">
        <f t="shared" si="0"/>
        <v/>
      </c>
      <c r="G31" t="str">
        <f t="shared" si="1"/>
        <v/>
      </c>
      <c r="J31" s="28" t="e">
        <f>LOOKUP(2,1/(COUNTIF($J$4:J30,'Larger Data Sets'!$B$3:$B$8003)=0),'Larger Data Sets'!$B$3:$B$8003)</f>
        <v>#N/A</v>
      </c>
      <c r="K31" s="28" t="str">
        <f t="shared" si="4"/>
        <v xml:space="preserve"> </v>
      </c>
      <c r="L31">
        <f t="shared" si="7"/>
        <v>0</v>
      </c>
      <c r="M31" t="b">
        <f t="shared" si="5"/>
        <v>0</v>
      </c>
    </row>
    <row r="32" spans="2:13" x14ac:dyDescent="0.25">
      <c r="B32" s="6"/>
      <c r="C32" s="7"/>
      <c r="D32" s="7"/>
      <c r="E32" s="8"/>
      <c r="F32" t="str">
        <f t="shared" si="0"/>
        <v/>
      </c>
      <c r="G32" t="str">
        <f t="shared" si="1"/>
        <v/>
      </c>
      <c r="J32" s="28" t="e">
        <f>LOOKUP(2,1/(COUNTIF($J$4:J31,'Larger Data Sets'!$B$3:$B$8003)=0),'Larger Data Sets'!$B$3:$B$8003)</f>
        <v>#N/A</v>
      </c>
      <c r="K32" s="28" t="str">
        <f t="shared" si="4"/>
        <v xml:space="preserve"> </v>
      </c>
      <c r="L32">
        <f t="shared" si="7"/>
        <v>0</v>
      </c>
      <c r="M32" t="b">
        <f t="shared" si="5"/>
        <v>0</v>
      </c>
    </row>
    <row r="33" spans="2:13" x14ac:dyDescent="0.25">
      <c r="B33" s="6"/>
      <c r="C33" s="7"/>
      <c r="D33" s="7"/>
      <c r="E33" s="8"/>
      <c r="F33" t="str">
        <f t="shared" si="0"/>
        <v/>
      </c>
      <c r="G33" t="str">
        <f t="shared" si="1"/>
        <v/>
      </c>
      <c r="J33" s="28" t="e">
        <f>LOOKUP(2,1/(COUNTIF($J$4:J32,'Larger Data Sets'!$B$3:$B$8003)=0),'Larger Data Sets'!$B$3:$B$8003)</f>
        <v>#N/A</v>
      </c>
      <c r="K33" s="28" t="str">
        <f t="shared" si="4"/>
        <v xml:space="preserve"> </v>
      </c>
      <c r="L33">
        <f t="shared" si="7"/>
        <v>0</v>
      </c>
      <c r="M33" t="b">
        <f t="shared" si="5"/>
        <v>0</v>
      </c>
    </row>
    <row r="34" spans="2:13" x14ac:dyDescent="0.25">
      <c r="B34" s="6"/>
      <c r="C34" s="7"/>
      <c r="D34" s="7"/>
      <c r="E34" s="8"/>
      <c r="F34" t="str">
        <f t="shared" si="0"/>
        <v/>
      </c>
      <c r="G34" t="str">
        <f t="shared" si="1"/>
        <v/>
      </c>
      <c r="J34" s="28" t="e">
        <f>LOOKUP(2,1/(COUNTIF($J$4:J33,'Larger Data Sets'!$B$3:$B$8003)=0),'Larger Data Sets'!$B$3:$B$8003)</f>
        <v>#N/A</v>
      </c>
      <c r="K34" s="28" t="str">
        <f t="shared" si="4"/>
        <v xml:space="preserve"> </v>
      </c>
      <c r="L34">
        <f t="shared" si="7"/>
        <v>0</v>
      </c>
      <c r="M34" t="b">
        <f t="shared" si="5"/>
        <v>0</v>
      </c>
    </row>
    <row r="35" spans="2:13" x14ac:dyDescent="0.25">
      <c r="B35" s="6"/>
      <c r="C35" s="7"/>
      <c r="D35" s="7"/>
      <c r="E35" s="8"/>
      <c r="F35" t="str">
        <f t="shared" si="0"/>
        <v/>
      </c>
      <c r="G35" t="str">
        <f t="shared" si="1"/>
        <v/>
      </c>
      <c r="J35" s="28" t="e">
        <f>LOOKUP(2,1/(COUNTIF($J$4:J34,'Larger Data Sets'!$B$3:$B$8003)=0),'Larger Data Sets'!$B$3:$B$8003)</f>
        <v>#N/A</v>
      </c>
      <c r="K35" s="28" t="str">
        <f t="shared" si="4"/>
        <v xml:space="preserve"> </v>
      </c>
      <c r="L35">
        <f t="shared" si="7"/>
        <v>0</v>
      </c>
      <c r="M35" t="b">
        <f t="shared" si="5"/>
        <v>0</v>
      </c>
    </row>
    <row r="36" spans="2:13" x14ac:dyDescent="0.25">
      <c r="B36" s="6"/>
      <c r="C36" s="7"/>
      <c r="D36" s="7"/>
      <c r="E36" s="8"/>
      <c r="F36" t="str">
        <f t="shared" si="0"/>
        <v/>
      </c>
      <c r="G36" t="str">
        <f t="shared" si="1"/>
        <v/>
      </c>
      <c r="J36" s="28" t="e">
        <f>LOOKUP(2,1/(COUNTIF($J$4:J35,'Larger Data Sets'!$B$3:$B$8003)=0),'Larger Data Sets'!$B$3:$B$8003)</f>
        <v>#N/A</v>
      </c>
      <c r="K36" s="28" t="str">
        <f t="shared" si="4"/>
        <v xml:space="preserve"> </v>
      </c>
      <c r="L36">
        <f t="shared" si="7"/>
        <v>0</v>
      </c>
      <c r="M36" t="b">
        <f t="shared" si="5"/>
        <v>0</v>
      </c>
    </row>
    <row r="37" spans="2:13" x14ac:dyDescent="0.25">
      <c r="B37" s="6"/>
      <c r="C37" s="7"/>
      <c r="D37" s="7"/>
      <c r="E37" s="8"/>
      <c r="F37" t="str">
        <f t="shared" si="0"/>
        <v/>
      </c>
      <c r="G37" t="str">
        <f t="shared" si="1"/>
        <v/>
      </c>
      <c r="J37" s="28" t="e">
        <f>LOOKUP(2,1/(COUNTIF($J$4:J36,'Larger Data Sets'!$B$3:$B$8003)=0),'Larger Data Sets'!$B$3:$B$8003)</f>
        <v>#N/A</v>
      </c>
      <c r="K37" s="28" t="str">
        <f t="shared" si="4"/>
        <v xml:space="preserve"> </v>
      </c>
      <c r="L37">
        <f t="shared" si="7"/>
        <v>0</v>
      </c>
      <c r="M37" t="b">
        <f t="shared" si="5"/>
        <v>0</v>
      </c>
    </row>
    <row r="38" spans="2:13" x14ac:dyDescent="0.25">
      <c r="B38" s="6"/>
      <c r="C38" s="7"/>
      <c r="D38" s="7"/>
      <c r="E38" s="8"/>
      <c r="F38" t="str">
        <f t="shared" si="0"/>
        <v/>
      </c>
      <c r="G38" t="str">
        <f t="shared" si="1"/>
        <v/>
      </c>
      <c r="J38" s="28" t="e">
        <f>LOOKUP(2,1/(COUNTIF($J$4:J37,'Larger Data Sets'!$B$3:$B$8003)=0),'Larger Data Sets'!$B$3:$B$8003)</f>
        <v>#N/A</v>
      </c>
      <c r="K38" s="28" t="str">
        <f t="shared" si="4"/>
        <v xml:space="preserve"> </v>
      </c>
      <c r="L38">
        <f t="shared" si="7"/>
        <v>0</v>
      </c>
      <c r="M38" t="b">
        <f t="shared" si="5"/>
        <v>0</v>
      </c>
    </row>
    <row r="39" spans="2:13" x14ac:dyDescent="0.25">
      <c r="B39" s="6"/>
      <c r="C39" s="7"/>
      <c r="D39" s="7"/>
      <c r="E39" s="8"/>
      <c r="F39" t="str">
        <f t="shared" si="0"/>
        <v/>
      </c>
      <c r="G39" t="str">
        <f t="shared" si="1"/>
        <v/>
      </c>
      <c r="J39" s="28" t="e">
        <f>LOOKUP(2,1/(COUNTIF($J$4:J38,'Larger Data Sets'!$B$3:$B$8003)=0),'Larger Data Sets'!$B$3:$B$8003)</f>
        <v>#N/A</v>
      </c>
      <c r="K39" s="28" t="str">
        <f t="shared" si="4"/>
        <v xml:space="preserve"> </v>
      </c>
      <c r="L39">
        <f t="shared" si="7"/>
        <v>0</v>
      </c>
      <c r="M39" t="b">
        <f t="shared" si="5"/>
        <v>0</v>
      </c>
    </row>
    <row r="40" spans="2:13" x14ac:dyDescent="0.25">
      <c r="B40" s="6"/>
      <c r="C40" s="7"/>
      <c r="D40" s="7"/>
      <c r="E40" s="8"/>
      <c r="F40" t="str">
        <f t="shared" si="0"/>
        <v/>
      </c>
      <c r="G40" t="str">
        <f t="shared" si="1"/>
        <v/>
      </c>
      <c r="J40" s="28" t="e">
        <f>LOOKUP(2,1/(COUNTIF($J$4:J39,'Larger Data Sets'!$B$3:$B$8003)=0),'Larger Data Sets'!$B$3:$B$8003)</f>
        <v>#N/A</v>
      </c>
      <c r="K40" s="28" t="str">
        <f t="shared" si="4"/>
        <v xml:space="preserve"> </v>
      </c>
      <c r="L40">
        <f t="shared" si="7"/>
        <v>0</v>
      </c>
      <c r="M40" t="b">
        <f t="shared" si="5"/>
        <v>0</v>
      </c>
    </row>
    <row r="41" spans="2:13" x14ac:dyDescent="0.25">
      <c r="B41" s="6"/>
      <c r="C41" s="7"/>
      <c r="D41" s="7"/>
      <c r="E41" s="8"/>
      <c r="F41" t="str">
        <f t="shared" si="0"/>
        <v/>
      </c>
      <c r="G41" t="str">
        <f t="shared" si="1"/>
        <v/>
      </c>
      <c r="J41" s="28" t="e">
        <f>LOOKUP(2,1/(COUNTIF($J$4:J40,'Larger Data Sets'!$B$3:$B$8003)=0),'Larger Data Sets'!$B$3:$B$8003)</f>
        <v>#N/A</v>
      </c>
      <c r="K41" s="28" t="str">
        <f t="shared" si="4"/>
        <v xml:space="preserve"> </v>
      </c>
      <c r="L41">
        <f t="shared" si="7"/>
        <v>0</v>
      </c>
      <c r="M41" t="b">
        <f t="shared" si="5"/>
        <v>0</v>
      </c>
    </row>
    <row r="42" spans="2:13" x14ac:dyDescent="0.25">
      <c r="B42" s="6"/>
      <c r="C42" s="7"/>
      <c r="D42" s="7"/>
      <c r="E42" s="8"/>
      <c r="F42" t="str">
        <f t="shared" si="0"/>
        <v/>
      </c>
      <c r="G42" t="str">
        <f t="shared" si="1"/>
        <v/>
      </c>
      <c r="J42" s="28" t="e">
        <f>LOOKUP(2,1/(COUNTIF($J$4:J41,'Larger Data Sets'!$B$3:$B$8003)=0),'Larger Data Sets'!$B$3:$B$8003)</f>
        <v>#N/A</v>
      </c>
      <c r="K42" s="28" t="str">
        <f t="shared" si="4"/>
        <v xml:space="preserve"> </v>
      </c>
      <c r="L42">
        <f t="shared" si="7"/>
        <v>0</v>
      </c>
      <c r="M42" t="b">
        <f t="shared" si="5"/>
        <v>0</v>
      </c>
    </row>
    <row r="43" spans="2:13" x14ac:dyDescent="0.25">
      <c r="B43" s="6"/>
      <c r="C43" s="7"/>
      <c r="D43" s="7"/>
      <c r="E43" s="8"/>
      <c r="F43" t="str">
        <f t="shared" si="0"/>
        <v/>
      </c>
      <c r="G43" t="str">
        <f t="shared" si="1"/>
        <v/>
      </c>
      <c r="J43" s="28" t="e">
        <f>LOOKUP(2,1/(COUNTIF($J$4:J42,'Larger Data Sets'!$B$3:$B$8003)=0),'Larger Data Sets'!$B$3:$B$8003)</f>
        <v>#N/A</v>
      </c>
      <c r="K43" s="28" t="str">
        <f t="shared" si="4"/>
        <v xml:space="preserve"> </v>
      </c>
      <c r="L43">
        <f t="shared" si="7"/>
        <v>0</v>
      </c>
      <c r="M43" t="b">
        <f t="shared" si="5"/>
        <v>0</v>
      </c>
    </row>
    <row r="44" spans="2:13" x14ac:dyDescent="0.25">
      <c r="B44" s="6"/>
      <c r="C44" s="7"/>
      <c r="D44" s="7"/>
      <c r="E44" s="8"/>
      <c r="F44" t="str">
        <f t="shared" si="0"/>
        <v/>
      </c>
      <c r="G44" t="str">
        <f t="shared" si="1"/>
        <v/>
      </c>
      <c r="J44" s="28" t="e">
        <f>LOOKUP(2,1/(COUNTIF($J$4:J43,'Larger Data Sets'!$B$3:$B$8003)=0),'Larger Data Sets'!$B$3:$B$8003)</f>
        <v>#N/A</v>
      </c>
      <c r="K44" s="28" t="str">
        <f t="shared" si="4"/>
        <v xml:space="preserve"> </v>
      </c>
      <c r="L44">
        <f t="shared" si="7"/>
        <v>0</v>
      </c>
      <c r="M44" t="b">
        <f t="shared" si="5"/>
        <v>0</v>
      </c>
    </row>
    <row r="45" spans="2:13" x14ac:dyDescent="0.25">
      <c r="B45" s="6"/>
      <c r="C45" s="7"/>
      <c r="D45" s="7"/>
      <c r="E45" s="8"/>
      <c r="F45" t="str">
        <f t="shared" si="0"/>
        <v/>
      </c>
      <c r="G45" t="str">
        <f t="shared" si="1"/>
        <v/>
      </c>
      <c r="J45" s="28" t="e">
        <f>LOOKUP(2,1/(COUNTIF($J$4:J44,'Larger Data Sets'!$B$3:$B$8003)=0),'Larger Data Sets'!$B$3:$B$8003)</f>
        <v>#N/A</v>
      </c>
      <c r="K45" s="28" t="str">
        <f t="shared" si="4"/>
        <v xml:space="preserve"> </v>
      </c>
      <c r="L45">
        <f t="shared" si="7"/>
        <v>0</v>
      </c>
      <c r="M45" t="b">
        <f t="shared" si="5"/>
        <v>0</v>
      </c>
    </row>
    <row r="46" spans="2:13" x14ac:dyDescent="0.25">
      <c r="B46" s="6"/>
      <c r="C46" s="7"/>
      <c r="D46" s="7"/>
      <c r="E46" s="8"/>
      <c r="F46" t="str">
        <f t="shared" si="0"/>
        <v/>
      </c>
      <c r="G46" t="str">
        <f t="shared" si="1"/>
        <v/>
      </c>
      <c r="J46" s="28" t="e">
        <f>LOOKUP(2,1/(COUNTIF($J$4:J45,'Larger Data Sets'!$B$3:$B$8003)=0),'Larger Data Sets'!$B$3:$B$8003)</f>
        <v>#N/A</v>
      </c>
      <c r="K46" s="28" t="str">
        <f t="shared" si="4"/>
        <v xml:space="preserve"> </v>
      </c>
      <c r="L46">
        <f t="shared" si="7"/>
        <v>0</v>
      </c>
      <c r="M46" t="b">
        <f t="shared" si="5"/>
        <v>0</v>
      </c>
    </row>
    <row r="47" spans="2:13" x14ac:dyDescent="0.25">
      <c r="B47" s="6"/>
      <c r="C47" s="7"/>
      <c r="D47" s="7"/>
      <c r="E47" s="8"/>
      <c r="F47" t="str">
        <f t="shared" si="0"/>
        <v/>
      </c>
      <c r="G47" t="str">
        <f t="shared" si="1"/>
        <v/>
      </c>
      <c r="J47" s="28" t="e">
        <f>LOOKUP(2,1/(COUNTIF($J$4:J46,'Larger Data Sets'!$B$3:$B$8003)=0),'Larger Data Sets'!$B$3:$B$8003)</f>
        <v>#N/A</v>
      </c>
      <c r="K47" s="28" t="str">
        <f t="shared" si="4"/>
        <v xml:space="preserve"> </v>
      </c>
      <c r="L47">
        <f t="shared" si="7"/>
        <v>0</v>
      </c>
      <c r="M47" t="b">
        <f t="shared" si="5"/>
        <v>0</v>
      </c>
    </row>
    <row r="48" spans="2:13" x14ac:dyDescent="0.25">
      <c r="B48" s="6"/>
      <c r="C48" s="7"/>
      <c r="D48" s="7"/>
      <c r="E48" s="8"/>
      <c r="F48" t="str">
        <f t="shared" si="0"/>
        <v/>
      </c>
      <c r="G48" t="str">
        <f t="shared" si="1"/>
        <v/>
      </c>
      <c r="J48" s="28" t="e">
        <f>LOOKUP(2,1/(COUNTIF($J$4:J47,'Larger Data Sets'!$B$3:$B$8003)=0),'Larger Data Sets'!$B$3:$B$8003)</f>
        <v>#N/A</v>
      </c>
      <c r="K48" s="28" t="str">
        <f t="shared" si="4"/>
        <v xml:space="preserve"> </v>
      </c>
      <c r="L48">
        <f t="shared" si="7"/>
        <v>0</v>
      </c>
      <c r="M48" t="b">
        <f t="shared" si="5"/>
        <v>0</v>
      </c>
    </row>
    <row r="49" spans="2:13" x14ac:dyDescent="0.25">
      <c r="B49" s="6"/>
      <c r="C49" s="7"/>
      <c r="D49" s="7"/>
      <c r="E49" s="8"/>
      <c r="F49" t="str">
        <f t="shared" si="0"/>
        <v/>
      </c>
      <c r="G49" t="str">
        <f t="shared" si="1"/>
        <v/>
      </c>
      <c r="J49" s="28" t="e">
        <f>LOOKUP(2,1/(COUNTIF($J$4:J48,'Larger Data Sets'!$B$3:$B$8003)=0),'Larger Data Sets'!$B$3:$B$8003)</f>
        <v>#N/A</v>
      </c>
      <c r="K49" s="28" t="str">
        <f t="shared" si="4"/>
        <v xml:space="preserve"> </v>
      </c>
      <c r="L49">
        <f t="shared" si="7"/>
        <v>0</v>
      </c>
      <c r="M49" t="b">
        <f t="shared" si="5"/>
        <v>0</v>
      </c>
    </row>
    <row r="50" spans="2:13" x14ac:dyDescent="0.25">
      <c r="B50" s="6"/>
      <c r="C50" s="7"/>
      <c r="D50" s="7"/>
      <c r="E50" s="8"/>
      <c r="F50" t="str">
        <f t="shared" si="0"/>
        <v/>
      </c>
      <c r="G50" t="str">
        <f t="shared" si="1"/>
        <v/>
      </c>
      <c r="J50" s="28" t="e">
        <f>LOOKUP(2,1/(COUNTIF($J$4:J49,'Larger Data Sets'!$B$3:$B$8003)=0),'Larger Data Sets'!$B$3:$B$8003)</f>
        <v>#N/A</v>
      </c>
      <c r="K50" s="28" t="str">
        <f t="shared" si="4"/>
        <v xml:space="preserve"> </v>
      </c>
      <c r="L50">
        <f t="shared" si="7"/>
        <v>0</v>
      </c>
      <c r="M50" t="b">
        <f t="shared" si="5"/>
        <v>0</v>
      </c>
    </row>
    <row r="51" spans="2:13" x14ac:dyDescent="0.25">
      <c r="B51" s="6"/>
      <c r="C51" s="7"/>
      <c r="D51" s="7"/>
      <c r="E51" s="8"/>
      <c r="F51" t="str">
        <f t="shared" si="0"/>
        <v/>
      </c>
      <c r="G51" t="str">
        <f t="shared" si="1"/>
        <v/>
      </c>
      <c r="J51" s="28" t="e">
        <f>LOOKUP(2,1/(COUNTIF($J$4:J50,'Larger Data Sets'!$B$3:$B$8003)=0),'Larger Data Sets'!$B$3:$B$8003)</f>
        <v>#N/A</v>
      </c>
      <c r="K51" s="28" t="str">
        <f t="shared" si="4"/>
        <v xml:space="preserve"> </v>
      </c>
      <c r="L51">
        <f t="shared" si="7"/>
        <v>0</v>
      </c>
      <c r="M51" t="b">
        <f t="shared" si="5"/>
        <v>0</v>
      </c>
    </row>
    <row r="52" spans="2:13" x14ac:dyDescent="0.25">
      <c r="B52" s="6"/>
      <c r="C52" s="7"/>
      <c r="D52" s="7"/>
      <c r="E52" s="8"/>
      <c r="F52" t="str">
        <f t="shared" si="0"/>
        <v/>
      </c>
      <c r="G52" t="str">
        <f t="shared" si="1"/>
        <v/>
      </c>
      <c r="J52" s="28" t="e">
        <f>LOOKUP(2,1/(COUNTIF($J$4:J51,'Larger Data Sets'!$B$3:$B$8003)=0),'Larger Data Sets'!$B$3:$B$8003)</f>
        <v>#N/A</v>
      </c>
      <c r="K52" s="28" t="str">
        <f t="shared" si="4"/>
        <v xml:space="preserve"> </v>
      </c>
      <c r="L52">
        <f t="shared" si="7"/>
        <v>0</v>
      </c>
      <c r="M52" t="b">
        <f t="shared" si="5"/>
        <v>0</v>
      </c>
    </row>
    <row r="53" spans="2:13" x14ac:dyDescent="0.25">
      <c r="B53" s="6"/>
      <c r="C53" s="7"/>
      <c r="D53" s="7"/>
      <c r="E53" s="8"/>
      <c r="F53" t="str">
        <f t="shared" si="0"/>
        <v/>
      </c>
      <c r="G53" t="str">
        <f t="shared" si="1"/>
        <v/>
      </c>
      <c r="J53" s="28" t="e">
        <f>LOOKUP(2,1/(COUNTIF($J$4:J52,'Larger Data Sets'!$B$3:$B$8003)=0),'Larger Data Sets'!$B$3:$B$8003)</f>
        <v>#N/A</v>
      </c>
      <c r="K53" s="28" t="str">
        <f t="shared" si="4"/>
        <v xml:space="preserve"> </v>
      </c>
      <c r="L53">
        <f t="shared" si="7"/>
        <v>0</v>
      </c>
      <c r="M53" t="b">
        <f t="shared" si="5"/>
        <v>0</v>
      </c>
    </row>
    <row r="54" spans="2:13" x14ac:dyDescent="0.25">
      <c r="B54" s="6"/>
      <c r="C54" s="7"/>
      <c r="D54" s="7"/>
      <c r="E54" s="8"/>
      <c r="F54" t="str">
        <f t="shared" si="0"/>
        <v/>
      </c>
      <c r="G54" t="str">
        <f t="shared" si="1"/>
        <v/>
      </c>
      <c r="J54" s="28" t="e">
        <f>LOOKUP(2,1/(COUNTIF($J$4:J53,'Larger Data Sets'!$B$3:$B$8003)=0),'Larger Data Sets'!$B$3:$B$8003)</f>
        <v>#N/A</v>
      </c>
      <c r="K54" s="28" t="str">
        <f t="shared" si="4"/>
        <v xml:space="preserve"> </v>
      </c>
      <c r="L54">
        <f t="shared" si="7"/>
        <v>0</v>
      </c>
      <c r="M54" t="b">
        <f t="shared" si="5"/>
        <v>0</v>
      </c>
    </row>
    <row r="55" spans="2:13" x14ac:dyDescent="0.25">
      <c r="B55" s="6"/>
      <c r="C55" s="7"/>
      <c r="D55" s="7"/>
      <c r="E55" s="8"/>
      <c r="F55" t="str">
        <f t="shared" si="0"/>
        <v/>
      </c>
      <c r="G55" t="str">
        <f t="shared" si="1"/>
        <v/>
      </c>
      <c r="J55" s="28" t="e">
        <f>LOOKUP(2,1/(COUNTIF($J$4:J54,'Larger Data Sets'!$B$3:$B$8003)=0),'Larger Data Sets'!$B$3:$B$8003)</f>
        <v>#N/A</v>
      </c>
      <c r="K55" s="28" t="str">
        <f t="shared" si="4"/>
        <v xml:space="preserve"> </v>
      </c>
      <c r="L55">
        <f t="shared" si="7"/>
        <v>0</v>
      </c>
      <c r="M55" t="b">
        <f t="shared" si="5"/>
        <v>0</v>
      </c>
    </row>
    <row r="56" spans="2:13" x14ac:dyDescent="0.25">
      <c r="B56" s="6"/>
      <c r="C56" s="7"/>
      <c r="D56" s="7"/>
      <c r="E56" s="8"/>
      <c r="F56" t="str">
        <f t="shared" si="0"/>
        <v/>
      </c>
      <c r="G56" t="str">
        <f t="shared" si="1"/>
        <v/>
      </c>
      <c r="J56" s="28" t="e">
        <f>LOOKUP(2,1/(COUNTIF($J$4:J55,'Larger Data Sets'!$B$3:$B$8003)=0),'Larger Data Sets'!$B$3:$B$8003)</f>
        <v>#N/A</v>
      </c>
      <c r="K56" s="28" t="str">
        <f t="shared" si="4"/>
        <v xml:space="preserve"> </v>
      </c>
      <c r="L56">
        <f t="shared" si="7"/>
        <v>0</v>
      </c>
      <c r="M56" t="b">
        <f t="shared" si="5"/>
        <v>0</v>
      </c>
    </row>
    <row r="57" spans="2:13" x14ac:dyDescent="0.25">
      <c r="B57" s="6"/>
      <c r="C57" s="7"/>
      <c r="D57" s="7"/>
      <c r="E57" s="8"/>
      <c r="F57" t="str">
        <f t="shared" si="0"/>
        <v/>
      </c>
      <c r="G57" t="str">
        <f t="shared" si="1"/>
        <v/>
      </c>
      <c r="J57" s="28" t="e">
        <f>LOOKUP(2,1/(COUNTIF($J$4:J56,'Larger Data Sets'!$B$3:$B$8003)=0),'Larger Data Sets'!$B$3:$B$8003)</f>
        <v>#N/A</v>
      </c>
      <c r="K57" s="28" t="str">
        <f t="shared" si="4"/>
        <v xml:space="preserve"> </v>
      </c>
      <c r="L57">
        <f t="shared" si="7"/>
        <v>0</v>
      </c>
      <c r="M57" t="b">
        <f t="shared" si="5"/>
        <v>0</v>
      </c>
    </row>
    <row r="58" spans="2:13" x14ac:dyDescent="0.25">
      <c r="B58" s="6"/>
      <c r="C58" s="7"/>
      <c r="D58" s="7"/>
      <c r="E58" s="8"/>
      <c r="F58" t="str">
        <f t="shared" si="0"/>
        <v/>
      </c>
      <c r="G58" t="str">
        <f t="shared" si="1"/>
        <v/>
      </c>
      <c r="J58" s="28" t="e">
        <f>LOOKUP(2,1/(COUNTIF($J$4:J57,'Larger Data Sets'!$B$3:$B$8003)=0),'Larger Data Sets'!$B$3:$B$8003)</f>
        <v>#N/A</v>
      </c>
      <c r="K58" s="28" t="str">
        <f t="shared" si="4"/>
        <v xml:space="preserve"> </v>
      </c>
      <c r="L58">
        <f t="shared" si="7"/>
        <v>0</v>
      </c>
      <c r="M58" t="b">
        <f t="shared" si="5"/>
        <v>0</v>
      </c>
    </row>
    <row r="59" spans="2:13" x14ac:dyDescent="0.25">
      <c r="B59" s="6"/>
      <c r="C59" s="7"/>
      <c r="D59" s="7"/>
      <c r="E59" s="8"/>
      <c r="F59" t="str">
        <f t="shared" si="0"/>
        <v/>
      </c>
      <c r="G59" t="str">
        <f t="shared" si="1"/>
        <v/>
      </c>
      <c r="J59" s="28" t="e">
        <f>LOOKUP(2,1/(COUNTIF($J$4:J58,'Larger Data Sets'!$B$3:$B$8003)=0),'Larger Data Sets'!$B$3:$B$8003)</f>
        <v>#N/A</v>
      </c>
      <c r="K59" s="28" t="str">
        <f t="shared" si="4"/>
        <v xml:space="preserve"> </v>
      </c>
      <c r="L59">
        <f t="shared" si="7"/>
        <v>0</v>
      </c>
      <c r="M59" t="b">
        <f t="shared" si="5"/>
        <v>0</v>
      </c>
    </row>
    <row r="60" spans="2:13" x14ac:dyDescent="0.25">
      <c r="B60" s="6"/>
      <c r="C60" s="7"/>
      <c r="D60" s="7"/>
      <c r="E60" s="8"/>
      <c r="F60" t="str">
        <f t="shared" si="0"/>
        <v/>
      </c>
      <c r="G60" t="str">
        <f t="shared" si="1"/>
        <v/>
      </c>
      <c r="J60" s="28" t="e">
        <f>LOOKUP(2,1/(COUNTIF($J$4:J59,'Larger Data Sets'!$B$3:$B$8003)=0),'Larger Data Sets'!$B$3:$B$8003)</f>
        <v>#N/A</v>
      </c>
      <c r="K60" s="28" t="str">
        <f t="shared" si="4"/>
        <v xml:space="preserve"> </v>
      </c>
      <c r="L60">
        <f t="shared" si="7"/>
        <v>0</v>
      </c>
      <c r="M60" t="b">
        <f t="shared" si="5"/>
        <v>0</v>
      </c>
    </row>
    <row r="61" spans="2:13" x14ac:dyDescent="0.25">
      <c r="B61" s="6"/>
      <c r="C61" s="7"/>
      <c r="D61" s="7"/>
      <c r="E61" s="8"/>
      <c r="F61" t="str">
        <f t="shared" si="0"/>
        <v/>
      </c>
      <c r="G61" t="str">
        <f t="shared" si="1"/>
        <v/>
      </c>
      <c r="J61" s="28" t="e">
        <f>LOOKUP(2,1/(COUNTIF($J$4:J60,'Larger Data Sets'!$B$3:$B$8003)=0),'Larger Data Sets'!$B$3:$B$8003)</f>
        <v>#N/A</v>
      </c>
      <c r="K61" s="28" t="str">
        <f t="shared" si="4"/>
        <v xml:space="preserve"> </v>
      </c>
      <c r="L61">
        <f t="shared" si="7"/>
        <v>0</v>
      </c>
      <c r="M61" t="b">
        <f t="shared" si="5"/>
        <v>0</v>
      </c>
    </row>
    <row r="62" spans="2:13" x14ac:dyDescent="0.25">
      <c r="B62" s="6"/>
      <c r="C62" s="7"/>
      <c r="D62" s="7"/>
      <c r="E62" s="8"/>
      <c r="F62" t="str">
        <f t="shared" si="0"/>
        <v/>
      </c>
      <c r="G62" t="str">
        <f t="shared" si="1"/>
        <v/>
      </c>
      <c r="J62" s="28" t="e">
        <f>LOOKUP(2,1/(COUNTIF($J$4:J61,'Larger Data Sets'!$B$3:$B$8003)=0),'Larger Data Sets'!$B$3:$B$8003)</f>
        <v>#N/A</v>
      </c>
      <c r="K62" s="28" t="str">
        <f t="shared" si="4"/>
        <v xml:space="preserve"> </v>
      </c>
      <c r="L62">
        <f t="shared" si="7"/>
        <v>0</v>
      </c>
      <c r="M62" t="b">
        <f t="shared" si="5"/>
        <v>0</v>
      </c>
    </row>
    <row r="63" spans="2:13" x14ac:dyDescent="0.25">
      <c r="B63" s="6"/>
      <c r="C63" s="7"/>
      <c r="D63" s="7"/>
      <c r="E63" s="8"/>
      <c r="F63" t="str">
        <f t="shared" si="0"/>
        <v/>
      </c>
      <c r="G63" t="str">
        <f t="shared" si="1"/>
        <v/>
      </c>
      <c r="J63" s="28" t="e">
        <f>LOOKUP(2,1/(COUNTIF($J$4:J62,'Larger Data Sets'!$B$3:$B$8003)=0),'Larger Data Sets'!$B$3:$B$8003)</f>
        <v>#N/A</v>
      </c>
      <c r="K63" s="28" t="str">
        <f t="shared" si="4"/>
        <v xml:space="preserve"> </v>
      </c>
      <c r="L63">
        <f t="shared" si="7"/>
        <v>0</v>
      </c>
      <c r="M63" t="b">
        <f t="shared" si="5"/>
        <v>0</v>
      </c>
    </row>
    <row r="64" spans="2:13" x14ac:dyDescent="0.25">
      <c r="B64" s="6"/>
      <c r="C64" s="7"/>
      <c r="D64" s="7"/>
      <c r="E64" s="8"/>
      <c r="F64" t="str">
        <f t="shared" si="0"/>
        <v/>
      </c>
      <c r="G64" t="str">
        <f t="shared" si="1"/>
        <v/>
      </c>
      <c r="J64" s="28" t="e">
        <f>LOOKUP(2,1/(COUNTIF($J$4:J63,'Larger Data Sets'!$B$3:$B$8003)=0),'Larger Data Sets'!$B$3:$B$8003)</f>
        <v>#N/A</v>
      </c>
      <c r="K64" s="28" t="str">
        <f t="shared" si="4"/>
        <v xml:space="preserve"> </v>
      </c>
      <c r="L64">
        <f t="shared" si="7"/>
        <v>0</v>
      </c>
      <c r="M64" t="b">
        <f t="shared" si="5"/>
        <v>0</v>
      </c>
    </row>
    <row r="65" spans="2:13" x14ac:dyDescent="0.25">
      <c r="B65" s="6"/>
      <c r="C65" s="7"/>
      <c r="D65" s="7"/>
      <c r="E65" s="8"/>
      <c r="F65" t="str">
        <f t="shared" si="0"/>
        <v/>
      </c>
      <c r="G65" t="str">
        <f t="shared" si="1"/>
        <v/>
      </c>
      <c r="J65" s="28" t="e">
        <f>LOOKUP(2,1/(COUNTIF($J$4:J64,'Larger Data Sets'!$B$3:$B$8003)=0),'Larger Data Sets'!$B$3:$B$8003)</f>
        <v>#N/A</v>
      </c>
      <c r="K65" s="28" t="str">
        <f t="shared" si="4"/>
        <v xml:space="preserve"> </v>
      </c>
      <c r="L65">
        <f t="shared" si="7"/>
        <v>0</v>
      </c>
      <c r="M65" t="b">
        <f t="shared" si="5"/>
        <v>0</v>
      </c>
    </row>
    <row r="66" spans="2:13" x14ac:dyDescent="0.25">
      <c r="B66" s="6"/>
      <c r="C66" s="7"/>
      <c r="D66" s="7"/>
      <c r="E66" s="8"/>
      <c r="F66" t="str">
        <f t="shared" si="0"/>
        <v/>
      </c>
      <c r="G66" t="str">
        <f t="shared" si="1"/>
        <v/>
      </c>
      <c r="J66" s="28" t="e">
        <f>LOOKUP(2,1/(COUNTIF($J$4:J65,'Larger Data Sets'!$B$3:$B$8003)=0),'Larger Data Sets'!$B$3:$B$8003)</f>
        <v>#N/A</v>
      </c>
      <c r="K66" s="28" t="str">
        <f t="shared" si="4"/>
        <v xml:space="preserve"> </v>
      </c>
      <c r="L66">
        <f t="shared" si="7"/>
        <v>0</v>
      </c>
      <c r="M66" t="b">
        <f t="shared" si="5"/>
        <v>0</v>
      </c>
    </row>
    <row r="67" spans="2:13" x14ac:dyDescent="0.25">
      <c r="B67" s="6"/>
      <c r="C67" s="7"/>
      <c r="D67" s="7"/>
      <c r="E67" s="8"/>
      <c r="F67" t="str">
        <f t="shared" si="0"/>
        <v/>
      </c>
      <c r="G67" t="str">
        <f t="shared" si="1"/>
        <v/>
      </c>
      <c r="J67" s="28" t="e">
        <f>LOOKUP(2,1/(COUNTIF($J$4:J66,'Larger Data Sets'!$B$3:$B$8003)=0),'Larger Data Sets'!$B$3:$B$8003)</f>
        <v>#N/A</v>
      </c>
      <c r="K67" s="28" t="str">
        <f t="shared" si="4"/>
        <v xml:space="preserve"> </v>
      </c>
      <c r="L67">
        <f t="shared" si="7"/>
        <v>0</v>
      </c>
      <c r="M67" t="b">
        <f t="shared" si="5"/>
        <v>0</v>
      </c>
    </row>
    <row r="68" spans="2:13" x14ac:dyDescent="0.25">
      <c r="B68" s="6"/>
      <c r="C68" s="7"/>
      <c r="D68" s="7"/>
      <c r="E68" s="8"/>
      <c r="F68" t="str">
        <f t="shared" ref="F68:F131" si="8">IF(B68="","",LOG10(D68))</f>
        <v/>
      </c>
      <c r="G68" t="str">
        <f t="shared" ref="G68:G131" si="9">IF(E68="", "",0.434*E68/D68)</f>
        <v/>
      </c>
      <c r="J68" s="28" t="e">
        <f>LOOKUP(2,1/(COUNTIF($J$4:J67,'Larger Data Sets'!$B$3:$B$8003)=0),'Larger Data Sets'!$B$3:$B$8003)</f>
        <v>#N/A</v>
      </c>
      <c r="K68" s="28" t="str">
        <f t="shared" si="4"/>
        <v xml:space="preserve"> </v>
      </c>
      <c r="L68">
        <f t="shared" si="7"/>
        <v>0</v>
      </c>
      <c r="M68" t="b">
        <f t="shared" si="5"/>
        <v>0</v>
      </c>
    </row>
    <row r="69" spans="2:13" x14ac:dyDescent="0.25">
      <c r="B69" s="6"/>
      <c r="C69" s="7"/>
      <c r="D69" s="7"/>
      <c r="E69" s="8"/>
      <c r="F69" t="str">
        <f t="shared" si="8"/>
        <v/>
      </c>
      <c r="G69" t="str">
        <f t="shared" si="9"/>
        <v/>
      </c>
      <c r="J69" s="28" t="e">
        <f>LOOKUP(2,1/(COUNTIF($J$4:J68,'Larger Data Sets'!$B$3:$B$8003)=0),'Larger Data Sets'!$B$3:$B$8003)</f>
        <v>#N/A</v>
      </c>
      <c r="K69" s="28" t="str">
        <f t="shared" si="4"/>
        <v xml:space="preserve"> </v>
      </c>
      <c r="L69">
        <f t="shared" si="7"/>
        <v>0</v>
      </c>
      <c r="M69" t="b">
        <f t="shared" si="5"/>
        <v>0</v>
      </c>
    </row>
    <row r="70" spans="2:13" x14ac:dyDescent="0.25">
      <c r="B70" s="6"/>
      <c r="C70" s="7"/>
      <c r="D70" s="7"/>
      <c r="E70" s="8"/>
      <c r="F70" t="str">
        <f t="shared" si="8"/>
        <v/>
      </c>
      <c r="G70" t="str">
        <f t="shared" si="9"/>
        <v/>
      </c>
      <c r="J70" s="28" t="e">
        <f>LOOKUP(2,1/(COUNTIF($J$4:J69,'Larger Data Sets'!$B$3:$B$8003)=0),'Larger Data Sets'!$B$3:$B$8003)</f>
        <v>#N/A</v>
      </c>
      <c r="K70" s="28" t="str">
        <f t="shared" ref="K70:K133" si="10">IFERROR(J70," ")</f>
        <v xml:space="preserve"> </v>
      </c>
      <c r="L70">
        <f t="shared" si="7"/>
        <v>0</v>
      </c>
      <c r="M70" t="b">
        <f t="shared" si="5"/>
        <v>0</v>
      </c>
    </row>
    <row r="71" spans="2:13" x14ac:dyDescent="0.25">
      <c r="B71" s="6"/>
      <c r="C71" s="7"/>
      <c r="D71" s="7"/>
      <c r="E71" s="8"/>
      <c r="F71" t="str">
        <f t="shared" si="8"/>
        <v/>
      </c>
      <c r="G71" t="str">
        <f t="shared" si="9"/>
        <v/>
      </c>
      <c r="J71" s="28" t="e">
        <f>LOOKUP(2,1/(COUNTIF($J$4:J70,'Larger Data Sets'!$B$3:$B$8003)=0),'Larger Data Sets'!$B$3:$B$8003)</f>
        <v>#N/A</v>
      </c>
      <c r="K71" s="28" t="str">
        <f t="shared" si="10"/>
        <v xml:space="preserve"> </v>
      </c>
      <c r="L71">
        <f t="shared" si="7"/>
        <v>0</v>
      </c>
      <c r="M71" t="b">
        <f t="shared" ref="M71:M134" si="11">IF(L71&gt;4,L71+1,FALSE)</f>
        <v>0</v>
      </c>
    </row>
    <row r="72" spans="2:13" x14ac:dyDescent="0.25">
      <c r="B72" s="6"/>
      <c r="C72" s="7"/>
      <c r="D72" s="7"/>
      <c r="E72" s="8"/>
      <c r="F72" t="str">
        <f t="shared" si="8"/>
        <v/>
      </c>
      <c r="G72" t="str">
        <f t="shared" si="9"/>
        <v/>
      </c>
      <c r="J72" s="28" t="e">
        <f>LOOKUP(2,1/(COUNTIF($J$4:J71,'Larger Data Sets'!$B$3:$B$8003)=0),'Larger Data Sets'!$B$3:$B$8003)</f>
        <v>#N/A</v>
      </c>
      <c r="K72" s="28" t="str">
        <f t="shared" si="10"/>
        <v xml:space="preserve"> </v>
      </c>
      <c r="L72">
        <f t="shared" si="7"/>
        <v>0</v>
      </c>
      <c r="M72" t="b">
        <f t="shared" si="11"/>
        <v>0</v>
      </c>
    </row>
    <row r="73" spans="2:13" x14ac:dyDescent="0.25">
      <c r="B73" s="6"/>
      <c r="C73" s="7"/>
      <c r="D73" s="7"/>
      <c r="E73" s="8"/>
      <c r="F73" t="str">
        <f t="shared" si="8"/>
        <v/>
      </c>
      <c r="G73" t="str">
        <f t="shared" si="9"/>
        <v/>
      </c>
      <c r="J73" s="28" t="e">
        <f>LOOKUP(2,1/(COUNTIF($J$4:J72,'Larger Data Sets'!$B$3:$B$8003)=0),'Larger Data Sets'!$B$3:$B$8003)</f>
        <v>#N/A</v>
      </c>
      <c r="K73" s="28" t="str">
        <f t="shared" si="10"/>
        <v xml:space="preserve"> </v>
      </c>
      <c r="L73">
        <f t="shared" si="7"/>
        <v>0</v>
      </c>
      <c r="M73" t="b">
        <f t="shared" si="11"/>
        <v>0</v>
      </c>
    </row>
    <row r="74" spans="2:13" x14ac:dyDescent="0.25">
      <c r="B74" s="6"/>
      <c r="C74" s="7"/>
      <c r="D74" s="7"/>
      <c r="E74" s="8"/>
      <c r="F74" t="str">
        <f t="shared" si="8"/>
        <v/>
      </c>
      <c r="G74" t="str">
        <f t="shared" si="9"/>
        <v/>
      </c>
      <c r="J74" s="28" t="e">
        <f>LOOKUP(2,1/(COUNTIF($J$4:J73,'Larger Data Sets'!$B$3:$B$8003)=0),'Larger Data Sets'!$B$3:$B$8003)</f>
        <v>#N/A</v>
      </c>
      <c r="K74" s="28" t="str">
        <f t="shared" si="10"/>
        <v xml:space="preserve"> </v>
      </c>
      <c r="L74">
        <f t="shared" si="7"/>
        <v>0</v>
      </c>
      <c r="M74" t="b">
        <f t="shared" si="11"/>
        <v>0</v>
      </c>
    </row>
    <row r="75" spans="2:13" x14ac:dyDescent="0.25">
      <c r="B75" s="6"/>
      <c r="C75" s="7"/>
      <c r="D75" s="7"/>
      <c r="E75" s="8"/>
      <c r="F75" t="str">
        <f t="shared" si="8"/>
        <v/>
      </c>
      <c r="G75" t="str">
        <f t="shared" si="9"/>
        <v/>
      </c>
      <c r="J75" s="28" t="e">
        <f>LOOKUP(2,1/(COUNTIF($J$4:J74,'Larger Data Sets'!$B$3:$B$8003)=0),'Larger Data Sets'!$B$3:$B$8003)</f>
        <v>#N/A</v>
      </c>
      <c r="K75" s="28" t="str">
        <f t="shared" si="10"/>
        <v xml:space="preserve"> </v>
      </c>
      <c r="L75">
        <f t="shared" si="7"/>
        <v>0</v>
      </c>
      <c r="M75" t="b">
        <f t="shared" si="11"/>
        <v>0</v>
      </c>
    </row>
    <row r="76" spans="2:13" x14ac:dyDescent="0.25">
      <c r="B76" s="6"/>
      <c r="C76" s="7"/>
      <c r="D76" s="7"/>
      <c r="E76" s="8"/>
      <c r="F76" t="str">
        <f t="shared" si="8"/>
        <v/>
      </c>
      <c r="G76" t="str">
        <f t="shared" si="9"/>
        <v/>
      </c>
      <c r="J76" s="28" t="e">
        <f>LOOKUP(2,1/(COUNTIF($J$4:J75,'Larger Data Sets'!$B$3:$B$8003)=0),'Larger Data Sets'!$B$3:$B$8003)</f>
        <v>#N/A</v>
      </c>
      <c r="K76" s="28" t="str">
        <f t="shared" si="10"/>
        <v xml:space="preserve"> </v>
      </c>
      <c r="L76">
        <f t="shared" si="7"/>
        <v>0</v>
      </c>
      <c r="M76" t="b">
        <f t="shared" si="11"/>
        <v>0</v>
      </c>
    </row>
    <row r="77" spans="2:13" x14ac:dyDescent="0.25">
      <c r="B77" s="6"/>
      <c r="C77" s="7"/>
      <c r="D77" s="7"/>
      <c r="E77" s="8"/>
      <c r="F77" t="str">
        <f t="shared" si="8"/>
        <v/>
      </c>
      <c r="G77" t="str">
        <f t="shared" si="9"/>
        <v/>
      </c>
      <c r="J77" s="28" t="e">
        <f>LOOKUP(2,1/(COUNTIF($J$4:J76,'Larger Data Sets'!$B$3:$B$8003)=0),'Larger Data Sets'!$B$3:$B$8003)</f>
        <v>#N/A</v>
      </c>
      <c r="K77" s="28" t="str">
        <f t="shared" si="10"/>
        <v xml:space="preserve"> </v>
      </c>
      <c r="L77">
        <f t="shared" si="7"/>
        <v>0</v>
      </c>
      <c r="M77" t="b">
        <f t="shared" si="11"/>
        <v>0</v>
      </c>
    </row>
    <row r="78" spans="2:13" x14ac:dyDescent="0.25">
      <c r="B78" s="6"/>
      <c r="C78" s="7"/>
      <c r="D78" s="7"/>
      <c r="E78" s="8"/>
      <c r="F78" t="str">
        <f t="shared" si="8"/>
        <v/>
      </c>
      <c r="G78" t="str">
        <f t="shared" si="9"/>
        <v/>
      </c>
      <c r="J78" s="28" t="e">
        <f>LOOKUP(2,1/(COUNTIF($J$4:J77,'Larger Data Sets'!$B$3:$B$8003)=0),'Larger Data Sets'!$B$3:$B$8003)</f>
        <v>#N/A</v>
      </c>
      <c r="K78" s="28" t="str">
        <f t="shared" si="10"/>
        <v xml:space="preserve"> </v>
      </c>
      <c r="L78">
        <f t="shared" si="7"/>
        <v>0</v>
      </c>
      <c r="M78" t="b">
        <f t="shared" si="11"/>
        <v>0</v>
      </c>
    </row>
    <row r="79" spans="2:13" x14ac:dyDescent="0.25">
      <c r="B79" s="6"/>
      <c r="C79" s="7"/>
      <c r="D79" s="7"/>
      <c r="E79" s="8"/>
      <c r="F79" t="str">
        <f t="shared" si="8"/>
        <v/>
      </c>
      <c r="G79" t="str">
        <f t="shared" si="9"/>
        <v/>
      </c>
      <c r="J79" s="28" t="e">
        <f>LOOKUP(2,1/(COUNTIF($J$4:J78,'Larger Data Sets'!$B$3:$B$8003)=0),'Larger Data Sets'!$B$3:$B$8003)</f>
        <v>#N/A</v>
      </c>
      <c r="K79" s="28" t="str">
        <f t="shared" si="10"/>
        <v xml:space="preserve"> </v>
      </c>
      <c r="L79">
        <f t="shared" si="7"/>
        <v>0</v>
      </c>
      <c r="M79" t="b">
        <f t="shared" si="11"/>
        <v>0</v>
      </c>
    </row>
    <row r="80" spans="2:13" x14ac:dyDescent="0.25">
      <c r="B80" s="6"/>
      <c r="C80" s="7"/>
      <c r="D80" s="7"/>
      <c r="E80" s="8"/>
      <c r="F80" t="str">
        <f t="shared" si="8"/>
        <v/>
      </c>
      <c r="G80" t="str">
        <f t="shared" si="9"/>
        <v/>
      </c>
      <c r="J80" s="28" t="e">
        <f>LOOKUP(2,1/(COUNTIF($J$4:J79,'Larger Data Sets'!$B$3:$B$8003)=0),'Larger Data Sets'!$B$3:$B$8003)</f>
        <v>#N/A</v>
      </c>
      <c r="K80" s="28" t="str">
        <f t="shared" si="10"/>
        <v xml:space="preserve"> </v>
      </c>
      <c r="L80">
        <f t="shared" ref="L80:L143" si="12">COUNTIF($B$3:$B$8003,$J80)</f>
        <v>0</v>
      </c>
      <c r="M80" t="b">
        <f t="shared" si="11"/>
        <v>0</v>
      </c>
    </row>
    <row r="81" spans="2:13" x14ac:dyDescent="0.25">
      <c r="B81" s="6"/>
      <c r="C81" s="7"/>
      <c r="D81" s="7"/>
      <c r="E81" s="8"/>
      <c r="F81" t="str">
        <f t="shared" si="8"/>
        <v/>
      </c>
      <c r="G81" t="str">
        <f t="shared" si="9"/>
        <v/>
      </c>
      <c r="J81" s="28" t="e">
        <f>LOOKUP(2,1/(COUNTIF($J$4:J80,'Larger Data Sets'!$B$3:$B$8003)=0),'Larger Data Sets'!$B$3:$B$8003)</f>
        <v>#N/A</v>
      </c>
      <c r="K81" s="28" t="str">
        <f t="shared" si="10"/>
        <v xml:space="preserve"> </v>
      </c>
      <c r="L81">
        <f t="shared" si="12"/>
        <v>0</v>
      </c>
      <c r="M81" t="b">
        <f t="shared" si="11"/>
        <v>0</v>
      </c>
    </row>
    <row r="82" spans="2:13" x14ac:dyDescent="0.25">
      <c r="B82" s="6"/>
      <c r="C82" s="7"/>
      <c r="D82" s="7"/>
      <c r="E82" s="8"/>
      <c r="F82" t="str">
        <f t="shared" si="8"/>
        <v/>
      </c>
      <c r="G82" t="str">
        <f t="shared" si="9"/>
        <v/>
      </c>
      <c r="J82" s="28" t="e">
        <f>LOOKUP(2,1/(COUNTIF($J$4:J81,'Larger Data Sets'!$B$3:$B$8003)=0),'Larger Data Sets'!$B$3:$B$8003)</f>
        <v>#N/A</v>
      </c>
      <c r="K82" s="28" t="str">
        <f t="shared" si="10"/>
        <v xml:space="preserve"> </v>
      </c>
      <c r="L82">
        <f t="shared" si="12"/>
        <v>0</v>
      </c>
      <c r="M82" t="b">
        <f t="shared" si="11"/>
        <v>0</v>
      </c>
    </row>
    <row r="83" spans="2:13" x14ac:dyDescent="0.25">
      <c r="B83" s="6"/>
      <c r="C83" s="7"/>
      <c r="D83" s="7"/>
      <c r="E83" s="8"/>
      <c r="F83" t="str">
        <f t="shared" si="8"/>
        <v/>
      </c>
      <c r="G83" t="str">
        <f t="shared" si="9"/>
        <v/>
      </c>
      <c r="J83" s="28" t="e">
        <f>LOOKUP(2,1/(COUNTIF($J$4:J82,'Larger Data Sets'!$B$3:$B$8003)=0),'Larger Data Sets'!$B$3:$B$8003)</f>
        <v>#N/A</v>
      </c>
      <c r="K83" s="28" t="str">
        <f t="shared" si="10"/>
        <v xml:space="preserve"> </v>
      </c>
      <c r="L83">
        <f t="shared" si="12"/>
        <v>0</v>
      </c>
      <c r="M83" t="b">
        <f t="shared" si="11"/>
        <v>0</v>
      </c>
    </row>
    <row r="84" spans="2:13" x14ac:dyDescent="0.25">
      <c r="B84" s="6"/>
      <c r="C84" s="7"/>
      <c r="D84" s="7"/>
      <c r="E84" s="8"/>
      <c r="F84" t="str">
        <f t="shared" si="8"/>
        <v/>
      </c>
      <c r="G84" t="str">
        <f t="shared" si="9"/>
        <v/>
      </c>
      <c r="J84" s="28" t="e">
        <f>LOOKUP(2,1/(COUNTIF($J$4:J83,'Larger Data Sets'!$B$3:$B$8003)=0),'Larger Data Sets'!$B$3:$B$8003)</f>
        <v>#N/A</v>
      </c>
      <c r="K84" s="28" t="str">
        <f t="shared" si="10"/>
        <v xml:space="preserve"> </v>
      </c>
      <c r="L84">
        <f t="shared" si="12"/>
        <v>0</v>
      </c>
      <c r="M84" t="b">
        <f t="shared" si="11"/>
        <v>0</v>
      </c>
    </row>
    <row r="85" spans="2:13" x14ac:dyDescent="0.25">
      <c r="B85" s="6"/>
      <c r="C85" s="7"/>
      <c r="D85" s="7"/>
      <c r="E85" s="8"/>
      <c r="F85" t="str">
        <f t="shared" si="8"/>
        <v/>
      </c>
      <c r="G85" t="str">
        <f t="shared" si="9"/>
        <v/>
      </c>
      <c r="J85" s="28" t="e">
        <f>LOOKUP(2,1/(COUNTIF($J$4:J84,'Larger Data Sets'!$B$3:$B$8003)=0),'Larger Data Sets'!$B$3:$B$8003)</f>
        <v>#N/A</v>
      </c>
      <c r="K85" s="28" t="str">
        <f t="shared" si="10"/>
        <v xml:space="preserve"> </v>
      </c>
      <c r="L85">
        <f t="shared" si="12"/>
        <v>0</v>
      </c>
      <c r="M85" t="b">
        <f t="shared" si="11"/>
        <v>0</v>
      </c>
    </row>
    <row r="86" spans="2:13" x14ac:dyDescent="0.25">
      <c r="B86" s="6"/>
      <c r="C86" s="7"/>
      <c r="D86" s="7"/>
      <c r="E86" s="8"/>
      <c r="F86" t="str">
        <f t="shared" si="8"/>
        <v/>
      </c>
      <c r="G86" t="str">
        <f t="shared" si="9"/>
        <v/>
      </c>
      <c r="J86" s="28" t="e">
        <f>LOOKUP(2,1/(COUNTIF($J$4:J85,'Larger Data Sets'!$B$3:$B$8003)=0),'Larger Data Sets'!$B$3:$B$8003)</f>
        <v>#N/A</v>
      </c>
      <c r="K86" s="28" t="str">
        <f t="shared" si="10"/>
        <v xml:space="preserve"> </v>
      </c>
      <c r="L86">
        <f t="shared" si="12"/>
        <v>0</v>
      </c>
      <c r="M86" t="b">
        <f t="shared" si="11"/>
        <v>0</v>
      </c>
    </row>
    <row r="87" spans="2:13" x14ac:dyDescent="0.25">
      <c r="B87" s="6"/>
      <c r="C87" s="7"/>
      <c r="D87" s="7"/>
      <c r="E87" s="8"/>
      <c r="F87" t="str">
        <f t="shared" si="8"/>
        <v/>
      </c>
      <c r="G87" t="str">
        <f t="shared" si="9"/>
        <v/>
      </c>
      <c r="J87" s="28" t="e">
        <f>LOOKUP(2,1/(COUNTIF($J$4:J86,'Larger Data Sets'!$B$3:$B$8003)=0),'Larger Data Sets'!$B$3:$B$8003)</f>
        <v>#N/A</v>
      </c>
      <c r="K87" s="28" t="str">
        <f t="shared" si="10"/>
        <v xml:space="preserve"> </v>
      </c>
      <c r="L87">
        <f t="shared" si="12"/>
        <v>0</v>
      </c>
      <c r="M87" t="b">
        <f t="shared" si="11"/>
        <v>0</v>
      </c>
    </row>
    <row r="88" spans="2:13" x14ac:dyDescent="0.25">
      <c r="B88" s="6"/>
      <c r="C88" s="7"/>
      <c r="D88" s="7"/>
      <c r="E88" s="8"/>
      <c r="F88" t="str">
        <f t="shared" si="8"/>
        <v/>
      </c>
      <c r="G88" t="str">
        <f t="shared" si="9"/>
        <v/>
      </c>
      <c r="J88" s="28" t="e">
        <f>LOOKUP(2,1/(COUNTIF($J$4:J87,'Larger Data Sets'!$B$3:$B$8003)=0),'Larger Data Sets'!$B$3:$B$8003)</f>
        <v>#N/A</v>
      </c>
      <c r="K88" s="28" t="str">
        <f t="shared" si="10"/>
        <v xml:space="preserve"> </v>
      </c>
      <c r="L88">
        <f t="shared" si="12"/>
        <v>0</v>
      </c>
      <c r="M88" t="b">
        <f t="shared" si="11"/>
        <v>0</v>
      </c>
    </row>
    <row r="89" spans="2:13" x14ac:dyDescent="0.25">
      <c r="B89" s="6"/>
      <c r="C89" s="7"/>
      <c r="D89" s="7"/>
      <c r="E89" s="8"/>
      <c r="F89" t="str">
        <f t="shared" si="8"/>
        <v/>
      </c>
      <c r="G89" t="str">
        <f t="shared" si="9"/>
        <v/>
      </c>
      <c r="J89" s="28" t="e">
        <f>LOOKUP(2,1/(COUNTIF($J$4:J88,'Larger Data Sets'!$B$3:$B$8003)=0),'Larger Data Sets'!$B$3:$B$8003)</f>
        <v>#N/A</v>
      </c>
      <c r="K89" s="28" t="str">
        <f t="shared" si="10"/>
        <v xml:space="preserve"> </v>
      </c>
      <c r="L89">
        <f t="shared" si="12"/>
        <v>0</v>
      </c>
      <c r="M89" t="b">
        <f t="shared" si="11"/>
        <v>0</v>
      </c>
    </row>
    <row r="90" spans="2:13" x14ac:dyDescent="0.25">
      <c r="B90" s="6"/>
      <c r="C90" s="7"/>
      <c r="D90" s="7"/>
      <c r="E90" s="8"/>
      <c r="F90" t="str">
        <f t="shared" si="8"/>
        <v/>
      </c>
      <c r="G90" t="str">
        <f t="shared" si="9"/>
        <v/>
      </c>
      <c r="J90" s="28" t="e">
        <f>LOOKUP(2,1/(COUNTIF($J$4:J89,'Larger Data Sets'!$B$3:$B$8003)=0),'Larger Data Sets'!$B$3:$B$8003)</f>
        <v>#N/A</v>
      </c>
      <c r="K90" s="28" t="str">
        <f t="shared" si="10"/>
        <v xml:space="preserve"> </v>
      </c>
      <c r="L90">
        <f t="shared" si="12"/>
        <v>0</v>
      </c>
      <c r="M90" t="b">
        <f t="shared" si="11"/>
        <v>0</v>
      </c>
    </row>
    <row r="91" spans="2:13" x14ac:dyDescent="0.25">
      <c r="B91" s="6"/>
      <c r="C91" s="7"/>
      <c r="D91" s="7"/>
      <c r="E91" s="8"/>
      <c r="F91" t="str">
        <f t="shared" si="8"/>
        <v/>
      </c>
      <c r="G91" t="str">
        <f t="shared" si="9"/>
        <v/>
      </c>
      <c r="J91" s="28" t="e">
        <f>LOOKUP(2,1/(COUNTIF($J$4:J90,'Larger Data Sets'!$B$3:$B$8003)=0),'Larger Data Sets'!$B$3:$B$8003)</f>
        <v>#N/A</v>
      </c>
      <c r="K91" s="28" t="str">
        <f t="shared" si="10"/>
        <v xml:space="preserve"> </v>
      </c>
      <c r="L91">
        <f t="shared" si="12"/>
        <v>0</v>
      </c>
      <c r="M91" t="b">
        <f t="shared" si="11"/>
        <v>0</v>
      </c>
    </row>
    <row r="92" spans="2:13" x14ac:dyDescent="0.25">
      <c r="B92" s="6"/>
      <c r="C92" s="7"/>
      <c r="D92" s="7"/>
      <c r="E92" s="8"/>
      <c r="F92" t="str">
        <f t="shared" si="8"/>
        <v/>
      </c>
      <c r="G92" t="str">
        <f t="shared" si="9"/>
        <v/>
      </c>
      <c r="J92" s="28" t="e">
        <f>LOOKUP(2,1/(COUNTIF($J$4:J91,'Larger Data Sets'!$B$3:$B$8003)=0),'Larger Data Sets'!$B$3:$B$8003)</f>
        <v>#N/A</v>
      </c>
      <c r="K92" s="28" t="str">
        <f t="shared" si="10"/>
        <v xml:space="preserve"> </v>
      </c>
      <c r="L92">
        <f t="shared" si="12"/>
        <v>0</v>
      </c>
      <c r="M92" t="b">
        <f t="shared" si="11"/>
        <v>0</v>
      </c>
    </row>
    <row r="93" spans="2:13" x14ac:dyDescent="0.25">
      <c r="B93" s="6"/>
      <c r="C93" s="7"/>
      <c r="D93" s="7"/>
      <c r="E93" s="8"/>
      <c r="F93" t="str">
        <f t="shared" si="8"/>
        <v/>
      </c>
      <c r="G93" t="str">
        <f t="shared" si="9"/>
        <v/>
      </c>
      <c r="J93" s="28" t="e">
        <f>LOOKUP(2,1/(COUNTIF($J$4:J92,'Larger Data Sets'!$B$3:$B$8003)=0),'Larger Data Sets'!$B$3:$B$8003)</f>
        <v>#N/A</v>
      </c>
      <c r="K93" s="28" t="str">
        <f t="shared" si="10"/>
        <v xml:space="preserve"> </v>
      </c>
      <c r="L93">
        <f t="shared" si="12"/>
        <v>0</v>
      </c>
      <c r="M93" t="b">
        <f t="shared" si="11"/>
        <v>0</v>
      </c>
    </row>
    <row r="94" spans="2:13" x14ac:dyDescent="0.25">
      <c r="B94" s="6"/>
      <c r="C94" s="7"/>
      <c r="D94" s="7"/>
      <c r="E94" s="8"/>
      <c r="F94" t="str">
        <f t="shared" si="8"/>
        <v/>
      </c>
      <c r="G94" t="str">
        <f t="shared" si="9"/>
        <v/>
      </c>
      <c r="J94" s="28" t="e">
        <f>LOOKUP(2,1/(COUNTIF($J$4:J93,'Larger Data Sets'!$B$3:$B$8003)=0),'Larger Data Sets'!$B$3:$B$8003)</f>
        <v>#N/A</v>
      </c>
      <c r="K94" s="28" t="str">
        <f t="shared" si="10"/>
        <v xml:space="preserve"> </v>
      </c>
      <c r="L94">
        <f t="shared" si="12"/>
        <v>0</v>
      </c>
      <c r="M94" t="b">
        <f t="shared" si="11"/>
        <v>0</v>
      </c>
    </row>
    <row r="95" spans="2:13" x14ac:dyDescent="0.25">
      <c r="B95" s="6"/>
      <c r="C95" s="7"/>
      <c r="D95" s="7"/>
      <c r="E95" s="8"/>
      <c r="F95" t="str">
        <f t="shared" si="8"/>
        <v/>
      </c>
      <c r="G95" t="str">
        <f t="shared" si="9"/>
        <v/>
      </c>
      <c r="J95" s="28" t="e">
        <f>LOOKUP(2,1/(COUNTIF($J$4:J94,'Larger Data Sets'!$B$3:$B$8003)=0),'Larger Data Sets'!$B$3:$B$8003)</f>
        <v>#N/A</v>
      </c>
      <c r="K95" s="28" t="str">
        <f t="shared" si="10"/>
        <v xml:space="preserve"> </v>
      </c>
      <c r="L95">
        <f t="shared" si="12"/>
        <v>0</v>
      </c>
      <c r="M95" t="b">
        <f t="shared" si="11"/>
        <v>0</v>
      </c>
    </row>
    <row r="96" spans="2:13" x14ac:dyDescent="0.25">
      <c r="B96" s="6"/>
      <c r="C96" s="7"/>
      <c r="D96" s="7"/>
      <c r="E96" s="8"/>
      <c r="F96" t="str">
        <f t="shared" si="8"/>
        <v/>
      </c>
      <c r="G96" t="str">
        <f t="shared" si="9"/>
        <v/>
      </c>
      <c r="J96" s="28" t="e">
        <f>LOOKUP(2,1/(COUNTIF($J$4:J95,'Larger Data Sets'!$B$3:$B$8003)=0),'Larger Data Sets'!$B$3:$B$8003)</f>
        <v>#N/A</v>
      </c>
      <c r="K96" s="28" t="str">
        <f t="shared" si="10"/>
        <v xml:space="preserve"> </v>
      </c>
      <c r="L96">
        <f t="shared" si="12"/>
        <v>0</v>
      </c>
      <c r="M96" t="b">
        <f t="shared" si="11"/>
        <v>0</v>
      </c>
    </row>
    <row r="97" spans="2:13" x14ac:dyDescent="0.25">
      <c r="B97" s="6"/>
      <c r="C97" s="7"/>
      <c r="D97" s="7"/>
      <c r="E97" s="8"/>
      <c r="F97" t="str">
        <f t="shared" si="8"/>
        <v/>
      </c>
      <c r="G97" t="str">
        <f t="shared" si="9"/>
        <v/>
      </c>
      <c r="J97" s="28" t="e">
        <f>LOOKUP(2,1/(COUNTIF($J$4:J96,'Larger Data Sets'!$B$3:$B$8003)=0),'Larger Data Sets'!$B$3:$B$8003)</f>
        <v>#N/A</v>
      </c>
      <c r="K97" s="28" t="str">
        <f t="shared" si="10"/>
        <v xml:space="preserve"> </v>
      </c>
      <c r="L97">
        <f t="shared" si="12"/>
        <v>0</v>
      </c>
      <c r="M97" t="b">
        <f t="shared" si="11"/>
        <v>0</v>
      </c>
    </row>
    <row r="98" spans="2:13" x14ac:dyDescent="0.25">
      <c r="B98" s="6"/>
      <c r="C98" s="7"/>
      <c r="D98" s="7"/>
      <c r="E98" s="8"/>
      <c r="F98" t="str">
        <f t="shared" si="8"/>
        <v/>
      </c>
      <c r="G98" t="str">
        <f t="shared" si="9"/>
        <v/>
      </c>
      <c r="J98" s="28" t="e">
        <f>LOOKUP(2,1/(COUNTIF($J$4:J97,'Larger Data Sets'!$B$3:$B$8003)=0),'Larger Data Sets'!$B$3:$B$8003)</f>
        <v>#N/A</v>
      </c>
      <c r="K98" s="28" t="str">
        <f t="shared" si="10"/>
        <v xml:space="preserve"> </v>
      </c>
      <c r="L98">
        <f t="shared" si="12"/>
        <v>0</v>
      </c>
      <c r="M98" t="b">
        <f t="shared" si="11"/>
        <v>0</v>
      </c>
    </row>
    <row r="99" spans="2:13" x14ac:dyDescent="0.25">
      <c r="B99" s="6"/>
      <c r="C99" s="7"/>
      <c r="D99" s="7"/>
      <c r="E99" s="8"/>
      <c r="F99" t="str">
        <f t="shared" si="8"/>
        <v/>
      </c>
      <c r="G99" t="str">
        <f t="shared" si="9"/>
        <v/>
      </c>
      <c r="J99" s="28" t="e">
        <f>LOOKUP(2,1/(COUNTIF($J$4:J98,'Larger Data Sets'!$B$3:$B$8003)=0),'Larger Data Sets'!$B$3:$B$8003)</f>
        <v>#N/A</v>
      </c>
      <c r="K99" s="28" t="str">
        <f t="shared" si="10"/>
        <v xml:space="preserve"> </v>
      </c>
      <c r="L99">
        <f t="shared" si="12"/>
        <v>0</v>
      </c>
      <c r="M99" t="b">
        <f t="shared" si="11"/>
        <v>0</v>
      </c>
    </row>
    <row r="100" spans="2:13" x14ac:dyDescent="0.25">
      <c r="B100" s="6"/>
      <c r="C100" s="7"/>
      <c r="D100" s="7"/>
      <c r="E100" s="8"/>
      <c r="F100" t="str">
        <f t="shared" si="8"/>
        <v/>
      </c>
      <c r="G100" t="str">
        <f t="shared" si="9"/>
        <v/>
      </c>
      <c r="J100" s="28" t="e">
        <f>LOOKUP(2,1/(COUNTIF($J$4:J99,'Larger Data Sets'!$B$3:$B$8003)=0),'Larger Data Sets'!$B$3:$B$8003)</f>
        <v>#N/A</v>
      </c>
      <c r="K100" s="28" t="str">
        <f t="shared" si="10"/>
        <v xml:space="preserve"> </v>
      </c>
      <c r="L100">
        <f t="shared" si="12"/>
        <v>0</v>
      </c>
      <c r="M100" t="b">
        <f t="shared" si="11"/>
        <v>0</v>
      </c>
    </row>
    <row r="101" spans="2:13" x14ac:dyDescent="0.25">
      <c r="B101" s="6"/>
      <c r="C101" s="7"/>
      <c r="D101" s="7"/>
      <c r="E101" s="8"/>
      <c r="F101" t="str">
        <f t="shared" si="8"/>
        <v/>
      </c>
      <c r="G101" t="str">
        <f t="shared" si="9"/>
        <v/>
      </c>
      <c r="J101" s="28" t="e">
        <f>LOOKUP(2,1/(COUNTIF($J$4:J100,'Larger Data Sets'!$B$3:$B$8003)=0),'Larger Data Sets'!$B$3:$B$8003)</f>
        <v>#N/A</v>
      </c>
      <c r="K101" s="28" t="str">
        <f t="shared" si="10"/>
        <v xml:space="preserve"> </v>
      </c>
      <c r="L101">
        <f t="shared" si="12"/>
        <v>0</v>
      </c>
      <c r="M101" t="b">
        <f t="shared" si="11"/>
        <v>0</v>
      </c>
    </row>
    <row r="102" spans="2:13" x14ac:dyDescent="0.25">
      <c r="B102" s="6"/>
      <c r="C102" s="7"/>
      <c r="D102" s="7"/>
      <c r="E102" s="8"/>
      <c r="F102" t="str">
        <f t="shared" si="8"/>
        <v/>
      </c>
      <c r="G102" t="str">
        <f t="shared" si="9"/>
        <v/>
      </c>
      <c r="J102" s="28" t="e">
        <f>LOOKUP(2,1/(COUNTIF($J$4:J101,'Larger Data Sets'!$B$3:$B$8003)=0),'Larger Data Sets'!$B$3:$B$8003)</f>
        <v>#N/A</v>
      </c>
      <c r="K102" s="28" t="str">
        <f t="shared" si="10"/>
        <v xml:space="preserve"> </v>
      </c>
      <c r="L102">
        <f t="shared" si="12"/>
        <v>0</v>
      </c>
      <c r="M102" t="b">
        <f t="shared" si="11"/>
        <v>0</v>
      </c>
    </row>
    <row r="103" spans="2:13" x14ac:dyDescent="0.25">
      <c r="B103" s="6"/>
      <c r="C103" s="7"/>
      <c r="D103" s="7"/>
      <c r="E103" s="8"/>
      <c r="F103" t="str">
        <f t="shared" si="8"/>
        <v/>
      </c>
      <c r="G103" t="str">
        <f t="shared" si="9"/>
        <v/>
      </c>
      <c r="J103" s="28" t="e">
        <f>LOOKUP(2,1/(COUNTIF($J$4:J102,'Larger Data Sets'!$B$3:$B$8003)=0),'Larger Data Sets'!$B$3:$B$8003)</f>
        <v>#N/A</v>
      </c>
      <c r="K103" s="28" t="str">
        <f t="shared" si="10"/>
        <v xml:space="preserve"> </v>
      </c>
      <c r="L103">
        <f t="shared" si="12"/>
        <v>0</v>
      </c>
      <c r="M103" t="b">
        <f t="shared" si="11"/>
        <v>0</v>
      </c>
    </row>
    <row r="104" spans="2:13" x14ac:dyDescent="0.25">
      <c r="B104" s="6"/>
      <c r="C104" s="7"/>
      <c r="D104" s="7"/>
      <c r="E104" s="8"/>
      <c r="F104" t="str">
        <f t="shared" si="8"/>
        <v/>
      </c>
      <c r="G104" t="str">
        <f t="shared" si="9"/>
        <v/>
      </c>
      <c r="J104" s="28" t="e">
        <f>LOOKUP(2,1/(COUNTIF($J$4:J103,'Larger Data Sets'!$B$3:$B$8003)=0),'Larger Data Sets'!$B$3:$B$8003)</f>
        <v>#N/A</v>
      </c>
      <c r="K104" s="28" t="str">
        <f t="shared" si="10"/>
        <v xml:space="preserve"> </v>
      </c>
      <c r="L104">
        <f t="shared" si="12"/>
        <v>0</v>
      </c>
      <c r="M104" t="b">
        <f t="shared" si="11"/>
        <v>0</v>
      </c>
    </row>
    <row r="105" spans="2:13" x14ac:dyDescent="0.25">
      <c r="B105" s="6"/>
      <c r="C105" s="7"/>
      <c r="D105" s="7"/>
      <c r="E105" s="8"/>
      <c r="F105" t="str">
        <f t="shared" si="8"/>
        <v/>
      </c>
      <c r="G105" t="str">
        <f t="shared" si="9"/>
        <v/>
      </c>
      <c r="J105" s="28" t="e">
        <f>LOOKUP(2,1/(COUNTIF($J$4:J104,'Larger Data Sets'!$B$3:$B$8003)=0),'Larger Data Sets'!$B$3:$B$8003)</f>
        <v>#N/A</v>
      </c>
      <c r="K105" s="28" t="str">
        <f t="shared" si="10"/>
        <v xml:space="preserve"> </v>
      </c>
      <c r="L105">
        <f t="shared" si="12"/>
        <v>0</v>
      </c>
      <c r="M105" t="b">
        <f t="shared" si="11"/>
        <v>0</v>
      </c>
    </row>
    <row r="106" spans="2:13" x14ac:dyDescent="0.25">
      <c r="B106" s="6"/>
      <c r="C106" s="7"/>
      <c r="D106" s="7"/>
      <c r="E106" s="8"/>
      <c r="F106" t="str">
        <f t="shared" si="8"/>
        <v/>
      </c>
      <c r="G106" t="str">
        <f t="shared" si="9"/>
        <v/>
      </c>
      <c r="J106" s="28" t="e">
        <f>LOOKUP(2,1/(COUNTIF($J$4:J105,'Larger Data Sets'!$B$3:$B$8003)=0),'Larger Data Sets'!$B$3:$B$8003)</f>
        <v>#N/A</v>
      </c>
      <c r="K106" s="28" t="str">
        <f t="shared" si="10"/>
        <v xml:space="preserve"> </v>
      </c>
      <c r="L106">
        <f t="shared" si="12"/>
        <v>0</v>
      </c>
      <c r="M106" t="b">
        <f t="shared" si="11"/>
        <v>0</v>
      </c>
    </row>
    <row r="107" spans="2:13" x14ac:dyDescent="0.25">
      <c r="B107" s="6"/>
      <c r="C107" s="7"/>
      <c r="D107" s="7"/>
      <c r="E107" s="8"/>
      <c r="F107" t="str">
        <f t="shared" si="8"/>
        <v/>
      </c>
      <c r="G107" t="str">
        <f t="shared" si="9"/>
        <v/>
      </c>
      <c r="J107" s="28" t="e">
        <f>LOOKUP(2,1/(COUNTIF($J$4:J106,'Larger Data Sets'!$B$3:$B$8003)=0),'Larger Data Sets'!$B$3:$B$8003)</f>
        <v>#N/A</v>
      </c>
      <c r="K107" s="28" t="str">
        <f t="shared" si="10"/>
        <v xml:space="preserve"> </v>
      </c>
      <c r="L107">
        <f t="shared" si="12"/>
        <v>0</v>
      </c>
      <c r="M107" t="b">
        <f t="shared" si="11"/>
        <v>0</v>
      </c>
    </row>
    <row r="108" spans="2:13" x14ac:dyDescent="0.25">
      <c r="B108" s="6"/>
      <c r="C108" s="7"/>
      <c r="D108" s="7"/>
      <c r="E108" s="8"/>
      <c r="F108" t="str">
        <f t="shared" si="8"/>
        <v/>
      </c>
      <c r="G108" t="str">
        <f t="shared" si="9"/>
        <v/>
      </c>
      <c r="J108" s="28" t="e">
        <f>LOOKUP(2,1/(COUNTIF($J$4:J107,'Larger Data Sets'!$B$3:$B$8003)=0),'Larger Data Sets'!$B$3:$B$8003)</f>
        <v>#N/A</v>
      </c>
      <c r="K108" s="28" t="str">
        <f t="shared" si="10"/>
        <v xml:space="preserve"> </v>
      </c>
      <c r="L108">
        <f t="shared" si="12"/>
        <v>0</v>
      </c>
      <c r="M108" t="b">
        <f t="shared" si="11"/>
        <v>0</v>
      </c>
    </row>
    <row r="109" spans="2:13" x14ac:dyDescent="0.25">
      <c r="B109" s="6"/>
      <c r="C109" s="7"/>
      <c r="D109" s="7"/>
      <c r="E109" s="8"/>
      <c r="F109" t="str">
        <f t="shared" si="8"/>
        <v/>
      </c>
      <c r="G109" t="str">
        <f t="shared" si="9"/>
        <v/>
      </c>
      <c r="J109" s="28" t="e">
        <f>LOOKUP(2,1/(COUNTIF($J$4:J108,'Larger Data Sets'!$B$3:$B$8003)=0),'Larger Data Sets'!$B$3:$B$8003)</f>
        <v>#N/A</v>
      </c>
      <c r="K109" s="28" t="str">
        <f t="shared" si="10"/>
        <v xml:space="preserve"> </v>
      </c>
      <c r="L109">
        <f t="shared" si="12"/>
        <v>0</v>
      </c>
      <c r="M109" t="b">
        <f t="shared" si="11"/>
        <v>0</v>
      </c>
    </row>
    <row r="110" spans="2:13" x14ac:dyDescent="0.25">
      <c r="B110" s="6"/>
      <c r="C110" s="7"/>
      <c r="D110" s="7"/>
      <c r="E110" s="8"/>
      <c r="F110" t="str">
        <f t="shared" si="8"/>
        <v/>
      </c>
      <c r="G110" t="str">
        <f t="shared" si="9"/>
        <v/>
      </c>
      <c r="J110" s="28" t="e">
        <f>LOOKUP(2,1/(COUNTIF($J$4:J109,'Larger Data Sets'!$B$3:$B$8003)=0),'Larger Data Sets'!$B$3:$B$8003)</f>
        <v>#N/A</v>
      </c>
      <c r="K110" s="28" t="str">
        <f t="shared" si="10"/>
        <v xml:space="preserve"> </v>
      </c>
      <c r="L110">
        <f t="shared" si="12"/>
        <v>0</v>
      </c>
      <c r="M110" t="b">
        <f t="shared" si="11"/>
        <v>0</v>
      </c>
    </row>
    <row r="111" spans="2:13" x14ac:dyDescent="0.25">
      <c r="B111" s="6"/>
      <c r="C111" s="7"/>
      <c r="D111" s="7"/>
      <c r="E111" s="8"/>
      <c r="F111" t="str">
        <f t="shared" si="8"/>
        <v/>
      </c>
      <c r="G111" t="str">
        <f t="shared" si="9"/>
        <v/>
      </c>
      <c r="J111" s="28" t="e">
        <f>LOOKUP(2,1/(COUNTIF($J$4:J110,'Larger Data Sets'!$B$3:$B$8003)=0),'Larger Data Sets'!$B$3:$B$8003)</f>
        <v>#N/A</v>
      </c>
      <c r="K111" s="28" t="str">
        <f t="shared" si="10"/>
        <v xml:space="preserve"> </v>
      </c>
      <c r="L111">
        <f t="shared" si="12"/>
        <v>0</v>
      </c>
      <c r="M111" t="b">
        <f t="shared" si="11"/>
        <v>0</v>
      </c>
    </row>
    <row r="112" spans="2:13" x14ac:dyDescent="0.25">
      <c r="B112" s="6"/>
      <c r="C112" s="7"/>
      <c r="D112" s="7"/>
      <c r="E112" s="8"/>
      <c r="F112" t="str">
        <f t="shared" si="8"/>
        <v/>
      </c>
      <c r="G112" t="str">
        <f t="shared" si="9"/>
        <v/>
      </c>
      <c r="J112" s="28" t="e">
        <f>LOOKUP(2,1/(COUNTIF($J$4:J111,'Larger Data Sets'!$B$3:$B$8003)=0),'Larger Data Sets'!$B$3:$B$8003)</f>
        <v>#N/A</v>
      </c>
      <c r="K112" s="28" t="str">
        <f t="shared" si="10"/>
        <v xml:space="preserve"> </v>
      </c>
      <c r="L112">
        <f t="shared" si="12"/>
        <v>0</v>
      </c>
      <c r="M112" t="b">
        <f t="shared" si="11"/>
        <v>0</v>
      </c>
    </row>
    <row r="113" spans="2:13" x14ac:dyDescent="0.25">
      <c r="B113" s="6"/>
      <c r="C113" s="7"/>
      <c r="D113" s="7"/>
      <c r="E113" s="8"/>
      <c r="F113" t="str">
        <f t="shared" si="8"/>
        <v/>
      </c>
      <c r="G113" t="str">
        <f t="shared" si="9"/>
        <v/>
      </c>
      <c r="J113" s="28" t="e">
        <f>LOOKUP(2,1/(COUNTIF($J$4:J112,'Larger Data Sets'!$B$3:$B$8003)=0),'Larger Data Sets'!$B$3:$B$8003)</f>
        <v>#N/A</v>
      </c>
      <c r="K113" s="28" t="str">
        <f t="shared" si="10"/>
        <v xml:space="preserve"> </v>
      </c>
      <c r="L113">
        <f t="shared" si="12"/>
        <v>0</v>
      </c>
      <c r="M113" t="b">
        <f t="shared" si="11"/>
        <v>0</v>
      </c>
    </row>
    <row r="114" spans="2:13" x14ac:dyDescent="0.25">
      <c r="B114" s="6"/>
      <c r="C114" s="7"/>
      <c r="D114" s="7"/>
      <c r="E114" s="8"/>
      <c r="F114" t="str">
        <f t="shared" si="8"/>
        <v/>
      </c>
      <c r="G114" t="str">
        <f t="shared" si="9"/>
        <v/>
      </c>
      <c r="J114" s="28" t="e">
        <f>LOOKUP(2,1/(COUNTIF($J$4:J113,'Larger Data Sets'!$B$3:$B$8003)=0),'Larger Data Sets'!$B$3:$B$8003)</f>
        <v>#N/A</v>
      </c>
      <c r="K114" s="28" t="str">
        <f t="shared" si="10"/>
        <v xml:space="preserve"> </v>
      </c>
      <c r="L114">
        <f t="shared" si="12"/>
        <v>0</v>
      </c>
      <c r="M114" t="b">
        <f t="shared" si="11"/>
        <v>0</v>
      </c>
    </row>
    <row r="115" spans="2:13" x14ac:dyDescent="0.25">
      <c r="B115" s="6"/>
      <c r="C115" s="7"/>
      <c r="D115" s="7"/>
      <c r="E115" s="8"/>
      <c r="F115" t="str">
        <f t="shared" si="8"/>
        <v/>
      </c>
      <c r="G115" t="str">
        <f t="shared" si="9"/>
        <v/>
      </c>
      <c r="J115" s="28" t="e">
        <f>LOOKUP(2,1/(COUNTIF($J$4:J114,'Larger Data Sets'!$B$3:$B$8003)=0),'Larger Data Sets'!$B$3:$B$8003)</f>
        <v>#N/A</v>
      </c>
      <c r="K115" s="28" t="str">
        <f t="shared" si="10"/>
        <v xml:space="preserve"> </v>
      </c>
      <c r="L115">
        <f t="shared" si="12"/>
        <v>0</v>
      </c>
      <c r="M115" t="b">
        <f t="shared" si="11"/>
        <v>0</v>
      </c>
    </row>
    <row r="116" spans="2:13" x14ac:dyDescent="0.25">
      <c r="B116" s="6"/>
      <c r="C116" s="7"/>
      <c r="D116" s="7"/>
      <c r="E116" s="8"/>
      <c r="F116" t="str">
        <f t="shared" si="8"/>
        <v/>
      </c>
      <c r="G116" t="str">
        <f t="shared" si="9"/>
        <v/>
      </c>
      <c r="J116" s="28" t="e">
        <f>LOOKUP(2,1/(COUNTIF($J$4:J115,'Larger Data Sets'!$B$3:$B$8003)=0),'Larger Data Sets'!$B$3:$B$8003)</f>
        <v>#N/A</v>
      </c>
      <c r="K116" s="28" t="str">
        <f t="shared" si="10"/>
        <v xml:space="preserve"> </v>
      </c>
      <c r="L116">
        <f t="shared" si="12"/>
        <v>0</v>
      </c>
      <c r="M116" t="b">
        <f t="shared" si="11"/>
        <v>0</v>
      </c>
    </row>
    <row r="117" spans="2:13" x14ac:dyDescent="0.25">
      <c r="B117" s="6"/>
      <c r="C117" s="7"/>
      <c r="D117" s="7"/>
      <c r="E117" s="8"/>
      <c r="F117" t="str">
        <f t="shared" si="8"/>
        <v/>
      </c>
      <c r="G117" t="str">
        <f t="shared" si="9"/>
        <v/>
      </c>
      <c r="J117" s="28" t="e">
        <f>LOOKUP(2,1/(COUNTIF($J$4:J116,'Larger Data Sets'!$B$3:$B$8003)=0),'Larger Data Sets'!$B$3:$B$8003)</f>
        <v>#N/A</v>
      </c>
      <c r="K117" s="28" t="str">
        <f t="shared" si="10"/>
        <v xml:space="preserve"> </v>
      </c>
      <c r="L117">
        <f t="shared" si="12"/>
        <v>0</v>
      </c>
      <c r="M117" t="b">
        <f t="shared" si="11"/>
        <v>0</v>
      </c>
    </row>
    <row r="118" spans="2:13" x14ac:dyDescent="0.25">
      <c r="B118" s="6"/>
      <c r="C118" s="7"/>
      <c r="D118" s="7"/>
      <c r="E118" s="8"/>
      <c r="F118" t="str">
        <f t="shared" si="8"/>
        <v/>
      </c>
      <c r="G118" t="str">
        <f t="shared" si="9"/>
        <v/>
      </c>
      <c r="J118" s="28" t="e">
        <f>LOOKUP(2,1/(COUNTIF($J$4:J117,'Larger Data Sets'!$B$3:$B$8003)=0),'Larger Data Sets'!$B$3:$B$8003)</f>
        <v>#N/A</v>
      </c>
      <c r="K118" s="28" t="str">
        <f t="shared" si="10"/>
        <v xml:space="preserve"> </v>
      </c>
      <c r="L118">
        <f t="shared" si="12"/>
        <v>0</v>
      </c>
      <c r="M118" t="b">
        <f t="shared" si="11"/>
        <v>0</v>
      </c>
    </row>
    <row r="119" spans="2:13" x14ac:dyDescent="0.25">
      <c r="B119" s="6"/>
      <c r="C119" s="7"/>
      <c r="D119" s="7"/>
      <c r="E119" s="8"/>
      <c r="F119" t="str">
        <f t="shared" si="8"/>
        <v/>
      </c>
      <c r="G119" t="str">
        <f t="shared" si="9"/>
        <v/>
      </c>
      <c r="J119" s="28" t="e">
        <f>LOOKUP(2,1/(COUNTIF($J$4:J118,'Larger Data Sets'!$B$3:$B$8003)=0),'Larger Data Sets'!$B$3:$B$8003)</f>
        <v>#N/A</v>
      </c>
      <c r="K119" s="28" t="str">
        <f t="shared" si="10"/>
        <v xml:space="preserve"> </v>
      </c>
      <c r="L119">
        <f t="shared" si="12"/>
        <v>0</v>
      </c>
      <c r="M119" t="b">
        <f t="shared" si="11"/>
        <v>0</v>
      </c>
    </row>
    <row r="120" spans="2:13" x14ac:dyDescent="0.25">
      <c r="B120" s="6"/>
      <c r="C120" s="7"/>
      <c r="D120" s="7"/>
      <c r="E120" s="8"/>
      <c r="F120" t="str">
        <f t="shared" si="8"/>
        <v/>
      </c>
      <c r="G120" t="str">
        <f t="shared" si="9"/>
        <v/>
      </c>
      <c r="J120" s="28" t="e">
        <f>LOOKUP(2,1/(COUNTIF($J$4:J119,'Larger Data Sets'!$B$3:$B$8003)=0),'Larger Data Sets'!$B$3:$B$8003)</f>
        <v>#N/A</v>
      </c>
      <c r="K120" s="28" t="str">
        <f t="shared" si="10"/>
        <v xml:space="preserve"> </v>
      </c>
      <c r="L120">
        <f t="shared" si="12"/>
        <v>0</v>
      </c>
      <c r="M120" t="b">
        <f t="shared" si="11"/>
        <v>0</v>
      </c>
    </row>
    <row r="121" spans="2:13" x14ac:dyDescent="0.25">
      <c r="B121" s="6"/>
      <c r="C121" s="7"/>
      <c r="D121" s="7"/>
      <c r="E121" s="8"/>
      <c r="F121" t="str">
        <f t="shared" si="8"/>
        <v/>
      </c>
      <c r="G121" t="str">
        <f t="shared" si="9"/>
        <v/>
      </c>
      <c r="J121" s="28" t="e">
        <f>LOOKUP(2,1/(COUNTIF($J$4:J120,'Larger Data Sets'!$B$3:$B$8003)=0),'Larger Data Sets'!$B$3:$B$8003)</f>
        <v>#N/A</v>
      </c>
      <c r="K121" s="28" t="str">
        <f t="shared" si="10"/>
        <v xml:space="preserve"> </v>
      </c>
      <c r="L121">
        <f t="shared" si="12"/>
        <v>0</v>
      </c>
      <c r="M121" t="b">
        <f t="shared" si="11"/>
        <v>0</v>
      </c>
    </row>
    <row r="122" spans="2:13" x14ac:dyDescent="0.25">
      <c r="B122" s="6"/>
      <c r="C122" s="7"/>
      <c r="D122" s="7"/>
      <c r="E122" s="8"/>
      <c r="F122" t="str">
        <f t="shared" si="8"/>
        <v/>
      </c>
      <c r="G122" t="str">
        <f t="shared" si="9"/>
        <v/>
      </c>
      <c r="J122" s="28" t="e">
        <f>LOOKUP(2,1/(COUNTIF($J$4:J121,'Larger Data Sets'!$B$3:$B$8003)=0),'Larger Data Sets'!$B$3:$B$8003)</f>
        <v>#N/A</v>
      </c>
      <c r="K122" s="28" t="str">
        <f t="shared" si="10"/>
        <v xml:space="preserve"> </v>
      </c>
      <c r="L122">
        <f t="shared" si="12"/>
        <v>0</v>
      </c>
      <c r="M122" t="b">
        <f t="shared" si="11"/>
        <v>0</v>
      </c>
    </row>
    <row r="123" spans="2:13" x14ac:dyDescent="0.25">
      <c r="B123" s="6"/>
      <c r="C123" s="7"/>
      <c r="D123" s="7"/>
      <c r="E123" s="8"/>
      <c r="F123" t="str">
        <f t="shared" si="8"/>
        <v/>
      </c>
      <c r="G123" t="str">
        <f t="shared" si="9"/>
        <v/>
      </c>
      <c r="J123" s="28" t="e">
        <f>LOOKUP(2,1/(COUNTIF($J$4:J122,'Larger Data Sets'!$B$3:$B$8003)=0),'Larger Data Sets'!$B$3:$B$8003)</f>
        <v>#N/A</v>
      </c>
      <c r="K123" s="28" t="str">
        <f t="shared" si="10"/>
        <v xml:space="preserve"> </v>
      </c>
      <c r="L123">
        <f t="shared" si="12"/>
        <v>0</v>
      </c>
      <c r="M123" t="b">
        <f t="shared" si="11"/>
        <v>0</v>
      </c>
    </row>
    <row r="124" spans="2:13" x14ac:dyDescent="0.25">
      <c r="B124" s="6"/>
      <c r="C124" s="7"/>
      <c r="D124" s="7"/>
      <c r="E124" s="8"/>
      <c r="F124" t="str">
        <f t="shared" si="8"/>
        <v/>
      </c>
      <c r="G124" t="str">
        <f t="shared" si="9"/>
        <v/>
      </c>
      <c r="J124" s="28" t="e">
        <f>LOOKUP(2,1/(COUNTIF($J$4:J123,'Larger Data Sets'!$B$3:$B$8003)=0),'Larger Data Sets'!$B$3:$B$8003)</f>
        <v>#N/A</v>
      </c>
      <c r="K124" s="28" t="str">
        <f t="shared" si="10"/>
        <v xml:space="preserve"> </v>
      </c>
      <c r="L124">
        <f t="shared" si="12"/>
        <v>0</v>
      </c>
      <c r="M124" t="b">
        <f t="shared" si="11"/>
        <v>0</v>
      </c>
    </row>
    <row r="125" spans="2:13" x14ac:dyDescent="0.25">
      <c r="B125" s="6"/>
      <c r="C125" s="7"/>
      <c r="D125" s="7"/>
      <c r="E125" s="8"/>
      <c r="F125" t="str">
        <f t="shared" si="8"/>
        <v/>
      </c>
      <c r="G125" t="str">
        <f t="shared" si="9"/>
        <v/>
      </c>
      <c r="J125" s="28" t="e">
        <f>LOOKUP(2,1/(COUNTIF($J$4:J124,'Larger Data Sets'!$B$3:$B$8003)=0),'Larger Data Sets'!$B$3:$B$8003)</f>
        <v>#N/A</v>
      </c>
      <c r="K125" s="28" t="str">
        <f t="shared" si="10"/>
        <v xml:space="preserve"> </v>
      </c>
      <c r="L125">
        <f t="shared" si="12"/>
        <v>0</v>
      </c>
      <c r="M125" t="b">
        <f t="shared" si="11"/>
        <v>0</v>
      </c>
    </row>
    <row r="126" spans="2:13" x14ac:dyDescent="0.25">
      <c r="B126" s="6"/>
      <c r="C126" s="7"/>
      <c r="D126" s="7"/>
      <c r="E126" s="8"/>
      <c r="F126" t="str">
        <f t="shared" si="8"/>
        <v/>
      </c>
      <c r="G126" t="str">
        <f t="shared" si="9"/>
        <v/>
      </c>
      <c r="J126" s="28" t="e">
        <f>LOOKUP(2,1/(COUNTIF($J$4:J125,'Larger Data Sets'!$B$3:$B$8003)=0),'Larger Data Sets'!$B$3:$B$8003)</f>
        <v>#N/A</v>
      </c>
      <c r="K126" s="28" t="str">
        <f t="shared" si="10"/>
        <v xml:space="preserve"> </v>
      </c>
      <c r="L126">
        <f t="shared" si="12"/>
        <v>0</v>
      </c>
      <c r="M126" t="b">
        <f t="shared" si="11"/>
        <v>0</v>
      </c>
    </row>
    <row r="127" spans="2:13" x14ac:dyDescent="0.25">
      <c r="B127" s="6"/>
      <c r="C127" s="7"/>
      <c r="D127" s="7"/>
      <c r="E127" s="8"/>
      <c r="F127" t="str">
        <f t="shared" si="8"/>
        <v/>
      </c>
      <c r="G127" t="str">
        <f t="shared" si="9"/>
        <v/>
      </c>
      <c r="J127" s="28" t="e">
        <f>LOOKUP(2,1/(COUNTIF($J$4:J126,'Larger Data Sets'!$B$3:$B$8003)=0),'Larger Data Sets'!$B$3:$B$8003)</f>
        <v>#N/A</v>
      </c>
      <c r="K127" s="28" t="str">
        <f t="shared" si="10"/>
        <v xml:space="preserve"> </v>
      </c>
      <c r="L127">
        <f t="shared" si="12"/>
        <v>0</v>
      </c>
      <c r="M127" t="b">
        <f t="shared" si="11"/>
        <v>0</v>
      </c>
    </row>
    <row r="128" spans="2:13" x14ac:dyDescent="0.25">
      <c r="B128" s="6"/>
      <c r="C128" s="7"/>
      <c r="D128" s="7"/>
      <c r="E128" s="8"/>
      <c r="F128" t="str">
        <f t="shared" si="8"/>
        <v/>
      </c>
      <c r="G128" t="str">
        <f t="shared" si="9"/>
        <v/>
      </c>
      <c r="J128" s="28" t="e">
        <f>LOOKUP(2,1/(COUNTIF($J$4:J127,'Larger Data Sets'!$B$3:$B$8003)=0),'Larger Data Sets'!$B$3:$B$8003)</f>
        <v>#N/A</v>
      </c>
      <c r="K128" s="28" t="str">
        <f t="shared" si="10"/>
        <v xml:space="preserve"> </v>
      </c>
      <c r="L128">
        <f t="shared" si="12"/>
        <v>0</v>
      </c>
      <c r="M128" t="b">
        <f t="shared" si="11"/>
        <v>0</v>
      </c>
    </row>
    <row r="129" spans="2:13" x14ac:dyDescent="0.25">
      <c r="B129" s="6"/>
      <c r="C129" s="7"/>
      <c r="D129" s="7"/>
      <c r="E129" s="8"/>
      <c r="F129" t="str">
        <f t="shared" si="8"/>
        <v/>
      </c>
      <c r="G129" t="str">
        <f t="shared" si="9"/>
        <v/>
      </c>
      <c r="J129" s="28" t="e">
        <f>LOOKUP(2,1/(COUNTIF($J$4:J128,'Larger Data Sets'!$B$3:$B$8003)=0),'Larger Data Sets'!$B$3:$B$8003)</f>
        <v>#N/A</v>
      </c>
      <c r="K129" s="28" t="str">
        <f t="shared" si="10"/>
        <v xml:space="preserve"> </v>
      </c>
      <c r="L129">
        <f t="shared" si="12"/>
        <v>0</v>
      </c>
      <c r="M129" t="b">
        <f t="shared" si="11"/>
        <v>0</v>
      </c>
    </row>
    <row r="130" spans="2:13" x14ac:dyDescent="0.25">
      <c r="B130" s="6"/>
      <c r="C130" s="7"/>
      <c r="D130" s="7"/>
      <c r="E130" s="8"/>
      <c r="F130" t="str">
        <f t="shared" si="8"/>
        <v/>
      </c>
      <c r="G130" t="str">
        <f t="shared" si="9"/>
        <v/>
      </c>
      <c r="J130" s="28" t="e">
        <f>LOOKUP(2,1/(COUNTIF($J$4:J129,'Larger Data Sets'!$B$3:$B$8003)=0),'Larger Data Sets'!$B$3:$B$8003)</f>
        <v>#N/A</v>
      </c>
      <c r="K130" s="28" t="str">
        <f t="shared" si="10"/>
        <v xml:space="preserve"> </v>
      </c>
      <c r="L130">
        <f t="shared" si="12"/>
        <v>0</v>
      </c>
      <c r="M130" t="b">
        <f t="shared" si="11"/>
        <v>0</v>
      </c>
    </row>
    <row r="131" spans="2:13" x14ac:dyDescent="0.25">
      <c r="B131" s="6"/>
      <c r="C131" s="7"/>
      <c r="D131" s="7"/>
      <c r="E131" s="8"/>
      <c r="F131" t="str">
        <f t="shared" si="8"/>
        <v/>
      </c>
      <c r="G131" t="str">
        <f t="shared" si="9"/>
        <v/>
      </c>
      <c r="J131" s="28" t="e">
        <f>LOOKUP(2,1/(COUNTIF($J$4:J130,'Larger Data Sets'!$B$3:$B$8003)=0),'Larger Data Sets'!$B$3:$B$8003)</f>
        <v>#N/A</v>
      </c>
      <c r="K131" s="28" t="str">
        <f t="shared" si="10"/>
        <v xml:space="preserve"> </v>
      </c>
      <c r="L131">
        <f t="shared" si="12"/>
        <v>0</v>
      </c>
      <c r="M131" t="b">
        <f t="shared" si="11"/>
        <v>0</v>
      </c>
    </row>
    <row r="132" spans="2:13" x14ac:dyDescent="0.25">
      <c r="B132" s="6"/>
      <c r="C132" s="7"/>
      <c r="D132" s="7"/>
      <c r="E132" s="8"/>
      <c r="F132" t="str">
        <f t="shared" ref="F132:F195" si="13">IF(B132="","",LOG10(D132))</f>
        <v/>
      </c>
      <c r="G132" t="str">
        <f t="shared" ref="G132:G195" si="14">IF(E132="", "",0.434*E132/D132)</f>
        <v/>
      </c>
      <c r="J132" s="28" t="e">
        <f>LOOKUP(2,1/(COUNTIF($J$4:J131,'Larger Data Sets'!$B$3:$B$8003)=0),'Larger Data Sets'!$B$3:$B$8003)</f>
        <v>#N/A</v>
      </c>
      <c r="K132" s="28" t="str">
        <f t="shared" si="10"/>
        <v xml:space="preserve"> </v>
      </c>
      <c r="L132">
        <f t="shared" si="12"/>
        <v>0</v>
      </c>
      <c r="M132" t="b">
        <f t="shared" si="11"/>
        <v>0</v>
      </c>
    </row>
    <row r="133" spans="2:13" x14ac:dyDescent="0.25">
      <c r="B133" s="6"/>
      <c r="C133" s="7"/>
      <c r="D133" s="7"/>
      <c r="E133" s="8"/>
      <c r="F133" t="str">
        <f t="shared" si="13"/>
        <v/>
      </c>
      <c r="G133" t="str">
        <f t="shared" si="14"/>
        <v/>
      </c>
      <c r="J133" s="28" t="e">
        <f>LOOKUP(2,1/(COUNTIF($J$4:J132,'Larger Data Sets'!$B$3:$B$8003)=0),'Larger Data Sets'!$B$3:$B$8003)</f>
        <v>#N/A</v>
      </c>
      <c r="K133" s="28" t="str">
        <f t="shared" si="10"/>
        <v xml:space="preserve"> </v>
      </c>
      <c r="L133">
        <f t="shared" si="12"/>
        <v>0</v>
      </c>
      <c r="M133" t="b">
        <f t="shared" si="11"/>
        <v>0</v>
      </c>
    </row>
    <row r="134" spans="2:13" x14ac:dyDescent="0.25">
      <c r="B134" s="6"/>
      <c r="C134" s="7"/>
      <c r="D134" s="7"/>
      <c r="E134" s="8"/>
      <c r="F134" t="str">
        <f t="shared" si="13"/>
        <v/>
      </c>
      <c r="G134" t="str">
        <f t="shared" si="14"/>
        <v/>
      </c>
      <c r="J134" s="28" t="e">
        <f>LOOKUP(2,1/(COUNTIF($J$4:J133,'Larger Data Sets'!$B$3:$B$8003)=0),'Larger Data Sets'!$B$3:$B$8003)</f>
        <v>#N/A</v>
      </c>
      <c r="K134" s="28" t="str">
        <f t="shared" ref="K134:K197" si="15">IFERROR(J134," ")</f>
        <v xml:space="preserve"> </v>
      </c>
      <c r="L134">
        <f t="shared" si="12"/>
        <v>0</v>
      </c>
      <c r="M134" t="b">
        <f t="shared" si="11"/>
        <v>0</v>
      </c>
    </row>
    <row r="135" spans="2:13" x14ac:dyDescent="0.25">
      <c r="B135" s="6"/>
      <c r="C135" s="7"/>
      <c r="D135" s="7"/>
      <c r="E135" s="8"/>
      <c r="F135" t="str">
        <f t="shared" si="13"/>
        <v/>
      </c>
      <c r="G135" t="str">
        <f t="shared" si="14"/>
        <v/>
      </c>
      <c r="J135" s="28" t="e">
        <f>LOOKUP(2,1/(COUNTIF($J$4:J134,'Larger Data Sets'!$B$3:$B$8003)=0),'Larger Data Sets'!$B$3:$B$8003)</f>
        <v>#N/A</v>
      </c>
      <c r="K135" s="28" t="str">
        <f t="shared" si="15"/>
        <v xml:space="preserve"> </v>
      </c>
      <c r="L135">
        <f t="shared" si="12"/>
        <v>0</v>
      </c>
      <c r="M135" t="b">
        <f t="shared" ref="M135:M198" si="16">IF(L135&gt;4,L135+1,FALSE)</f>
        <v>0</v>
      </c>
    </row>
    <row r="136" spans="2:13" x14ac:dyDescent="0.25">
      <c r="B136" s="6"/>
      <c r="C136" s="7"/>
      <c r="D136" s="7"/>
      <c r="E136" s="8"/>
      <c r="F136" t="str">
        <f t="shared" si="13"/>
        <v/>
      </c>
      <c r="G136" t="str">
        <f t="shared" si="14"/>
        <v/>
      </c>
      <c r="J136" s="28" t="e">
        <f>LOOKUP(2,1/(COUNTIF($J$4:J135,'Larger Data Sets'!$B$3:$B$8003)=0),'Larger Data Sets'!$B$3:$B$8003)</f>
        <v>#N/A</v>
      </c>
      <c r="K136" s="28" t="str">
        <f t="shared" si="15"/>
        <v xml:space="preserve"> </v>
      </c>
      <c r="L136">
        <f t="shared" si="12"/>
        <v>0</v>
      </c>
      <c r="M136" t="b">
        <f t="shared" si="16"/>
        <v>0</v>
      </c>
    </row>
    <row r="137" spans="2:13" x14ac:dyDescent="0.25">
      <c r="B137" s="6"/>
      <c r="C137" s="7"/>
      <c r="D137" s="7"/>
      <c r="E137" s="8"/>
      <c r="F137" t="str">
        <f t="shared" si="13"/>
        <v/>
      </c>
      <c r="G137" t="str">
        <f t="shared" si="14"/>
        <v/>
      </c>
      <c r="J137" s="28" t="e">
        <f>LOOKUP(2,1/(COUNTIF($J$4:J136,'Larger Data Sets'!$B$3:$B$8003)=0),'Larger Data Sets'!$B$3:$B$8003)</f>
        <v>#N/A</v>
      </c>
      <c r="K137" s="28" t="str">
        <f t="shared" si="15"/>
        <v xml:space="preserve"> </v>
      </c>
      <c r="L137">
        <f t="shared" si="12"/>
        <v>0</v>
      </c>
      <c r="M137" t="b">
        <f t="shared" si="16"/>
        <v>0</v>
      </c>
    </row>
    <row r="138" spans="2:13" x14ac:dyDescent="0.25">
      <c r="B138" s="6"/>
      <c r="C138" s="7"/>
      <c r="D138" s="7"/>
      <c r="E138" s="8"/>
      <c r="F138" t="str">
        <f t="shared" si="13"/>
        <v/>
      </c>
      <c r="G138" t="str">
        <f t="shared" si="14"/>
        <v/>
      </c>
      <c r="J138" s="28" t="e">
        <f>LOOKUP(2,1/(COUNTIF($J$4:J137,'Larger Data Sets'!$B$3:$B$8003)=0),'Larger Data Sets'!$B$3:$B$8003)</f>
        <v>#N/A</v>
      </c>
      <c r="K138" s="28" t="str">
        <f t="shared" si="15"/>
        <v xml:space="preserve"> </v>
      </c>
      <c r="L138">
        <f t="shared" si="12"/>
        <v>0</v>
      </c>
      <c r="M138" t="b">
        <f t="shared" si="16"/>
        <v>0</v>
      </c>
    </row>
    <row r="139" spans="2:13" x14ac:dyDescent="0.25">
      <c r="B139" s="6"/>
      <c r="C139" s="7"/>
      <c r="D139" s="7"/>
      <c r="E139" s="8"/>
      <c r="F139" t="str">
        <f t="shared" si="13"/>
        <v/>
      </c>
      <c r="G139" t="str">
        <f t="shared" si="14"/>
        <v/>
      </c>
      <c r="J139" s="28" t="e">
        <f>LOOKUP(2,1/(COUNTIF($J$4:J138,'Larger Data Sets'!$B$3:$B$8003)=0),'Larger Data Sets'!$B$3:$B$8003)</f>
        <v>#N/A</v>
      </c>
      <c r="K139" s="28" t="str">
        <f t="shared" si="15"/>
        <v xml:space="preserve"> </v>
      </c>
      <c r="L139">
        <f t="shared" si="12"/>
        <v>0</v>
      </c>
      <c r="M139" t="b">
        <f t="shared" si="16"/>
        <v>0</v>
      </c>
    </row>
    <row r="140" spans="2:13" x14ac:dyDescent="0.25">
      <c r="B140" s="6"/>
      <c r="C140" s="7"/>
      <c r="D140" s="7"/>
      <c r="E140" s="8"/>
      <c r="F140" t="str">
        <f t="shared" si="13"/>
        <v/>
      </c>
      <c r="G140" t="str">
        <f t="shared" si="14"/>
        <v/>
      </c>
      <c r="J140" s="28" t="e">
        <f>LOOKUP(2,1/(COUNTIF($J$4:J139,'Larger Data Sets'!$B$3:$B$8003)=0),'Larger Data Sets'!$B$3:$B$8003)</f>
        <v>#N/A</v>
      </c>
      <c r="K140" s="28" t="str">
        <f t="shared" si="15"/>
        <v xml:space="preserve"> </v>
      </c>
      <c r="L140">
        <f t="shared" si="12"/>
        <v>0</v>
      </c>
      <c r="M140" t="b">
        <f t="shared" si="16"/>
        <v>0</v>
      </c>
    </row>
    <row r="141" spans="2:13" x14ac:dyDescent="0.25">
      <c r="B141" s="6"/>
      <c r="C141" s="7"/>
      <c r="D141" s="7"/>
      <c r="E141" s="8"/>
      <c r="F141" t="str">
        <f t="shared" si="13"/>
        <v/>
      </c>
      <c r="G141" t="str">
        <f t="shared" si="14"/>
        <v/>
      </c>
      <c r="J141" s="28" t="e">
        <f>LOOKUP(2,1/(COUNTIF($J$4:J140,'Larger Data Sets'!$B$3:$B$8003)=0),'Larger Data Sets'!$B$3:$B$8003)</f>
        <v>#N/A</v>
      </c>
      <c r="K141" s="28" t="str">
        <f t="shared" si="15"/>
        <v xml:space="preserve"> </v>
      </c>
      <c r="L141">
        <f t="shared" si="12"/>
        <v>0</v>
      </c>
      <c r="M141" t="b">
        <f t="shared" si="16"/>
        <v>0</v>
      </c>
    </row>
    <row r="142" spans="2:13" x14ac:dyDescent="0.25">
      <c r="B142" s="6"/>
      <c r="C142" s="7"/>
      <c r="D142" s="7"/>
      <c r="E142" s="8"/>
      <c r="F142" t="str">
        <f t="shared" si="13"/>
        <v/>
      </c>
      <c r="G142" t="str">
        <f t="shared" si="14"/>
        <v/>
      </c>
      <c r="J142" s="28" t="e">
        <f>LOOKUP(2,1/(COUNTIF($J$4:J141,'Larger Data Sets'!$B$3:$B$8003)=0),'Larger Data Sets'!$B$3:$B$8003)</f>
        <v>#N/A</v>
      </c>
      <c r="K142" s="28" t="str">
        <f t="shared" si="15"/>
        <v xml:space="preserve"> </v>
      </c>
      <c r="L142">
        <f t="shared" si="12"/>
        <v>0</v>
      </c>
      <c r="M142" t="b">
        <f t="shared" si="16"/>
        <v>0</v>
      </c>
    </row>
    <row r="143" spans="2:13" x14ac:dyDescent="0.25">
      <c r="B143" s="6"/>
      <c r="C143" s="7"/>
      <c r="D143" s="7"/>
      <c r="E143" s="8"/>
      <c r="F143" t="str">
        <f t="shared" si="13"/>
        <v/>
      </c>
      <c r="G143" t="str">
        <f t="shared" si="14"/>
        <v/>
      </c>
      <c r="J143" s="28" t="e">
        <f>LOOKUP(2,1/(COUNTIF($J$4:J142,'Larger Data Sets'!$B$3:$B$8003)=0),'Larger Data Sets'!$B$3:$B$8003)</f>
        <v>#N/A</v>
      </c>
      <c r="K143" s="28" t="str">
        <f t="shared" si="15"/>
        <v xml:space="preserve"> </v>
      </c>
      <c r="L143">
        <f t="shared" si="12"/>
        <v>0</v>
      </c>
      <c r="M143" t="b">
        <f t="shared" si="16"/>
        <v>0</v>
      </c>
    </row>
    <row r="144" spans="2:13" x14ac:dyDescent="0.25">
      <c r="B144" s="6"/>
      <c r="C144" s="7"/>
      <c r="D144" s="7"/>
      <c r="E144" s="8"/>
      <c r="F144" t="str">
        <f t="shared" si="13"/>
        <v/>
      </c>
      <c r="G144" t="str">
        <f t="shared" si="14"/>
        <v/>
      </c>
      <c r="J144" s="28" t="e">
        <f>LOOKUP(2,1/(COUNTIF($J$4:J143,'Larger Data Sets'!$B$3:$B$8003)=0),'Larger Data Sets'!$B$3:$B$8003)</f>
        <v>#N/A</v>
      </c>
      <c r="K144" s="28" t="str">
        <f t="shared" si="15"/>
        <v xml:space="preserve"> </v>
      </c>
      <c r="L144">
        <f t="shared" ref="L144:L207" si="17">COUNTIF($B$3:$B$8003,$J144)</f>
        <v>0</v>
      </c>
      <c r="M144" t="b">
        <f t="shared" si="16"/>
        <v>0</v>
      </c>
    </row>
    <row r="145" spans="2:13" x14ac:dyDescent="0.25">
      <c r="B145" s="6"/>
      <c r="C145" s="7"/>
      <c r="D145" s="7"/>
      <c r="E145" s="8"/>
      <c r="F145" t="str">
        <f t="shared" si="13"/>
        <v/>
      </c>
      <c r="G145" t="str">
        <f t="shared" si="14"/>
        <v/>
      </c>
      <c r="J145" s="28" t="e">
        <f>LOOKUP(2,1/(COUNTIF($J$4:J144,'Larger Data Sets'!$B$3:$B$8003)=0),'Larger Data Sets'!$B$3:$B$8003)</f>
        <v>#N/A</v>
      </c>
      <c r="K145" s="28" t="str">
        <f t="shared" si="15"/>
        <v xml:space="preserve"> </v>
      </c>
      <c r="L145">
        <f t="shared" si="17"/>
        <v>0</v>
      </c>
      <c r="M145" t="b">
        <f t="shared" si="16"/>
        <v>0</v>
      </c>
    </row>
    <row r="146" spans="2:13" x14ac:dyDescent="0.25">
      <c r="B146" s="6"/>
      <c r="C146" s="7"/>
      <c r="D146" s="7"/>
      <c r="E146" s="8"/>
      <c r="F146" t="str">
        <f t="shared" si="13"/>
        <v/>
      </c>
      <c r="G146" t="str">
        <f t="shared" si="14"/>
        <v/>
      </c>
      <c r="J146" s="28" t="e">
        <f>LOOKUP(2,1/(COUNTIF($J$4:J145,'Larger Data Sets'!$B$3:$B$8003)=0),'Larger Data Sets'!$B$3:$B$8003)</f>
        <v>#N/A</v>
      </c>
      <c r="K146" s="28" t="str">
        <f t="shared" si="15"/>
        <v xml:space="preserve"> </v>
      </c>
      <c r="L146">
        <f t="shared" si="17"/>
        <v>0</v>
      </c>
      <c r="M146" t="b">
        <f t="shared" si="16"/>
        <v>0</v>
      </c>
    </row>
    <row r="147" spans="2:13" x14ac:dyDescent="0.25">
      <c r="B147" s="6"/>
      <c r="C147" s="7"/>
      <c r="D147" s="7"/>
      <c r="E147" s="8"/>
      <c r="F147" t="str">
        <f t="shared" si="13"/>
        <v/>
      </c>
      <c r="G147" t="str">
        <f t="shared" si="14"/>
        <v/>
      </c>
      <c r="J147" s="28" t="e">
        <f>LOOKUP(2,1/(COUNTIF($J$4:J146,'Larger Data Sets'!$B$3:$B$8003)=0),'Larger Data Sets'!$B$3:$B$8003)</f>
        <v>#N/A</v>
      </c>
      <c r="K147" s="28" t="str">
        <f t="shared" si="15"/>
        <v xml:space="preserve"> </v>
      </c>
      <c r="L147">
        <f t="shared" si="17"/>
        <v>0</v>
      </c>
      <c r="M147" t="b">
        <f t="shared" si="16"/>
        <v>0</v>
      </c>
    </row>
    <row r="148" spans="2:13" x14ac:dyDescent="0.25">
      <c r="B148" s="6"/>
      <c r="C148" s="7"/>
      <c r="D148" s="7"/>
      <c r="E148" s="8"/>
      <c r="F148" t="str">
        <f t="shared" si="13"/>
        <v/>
      </c>
      <c r="G148" t="str">
        <f t="shared" si="14"/>
        <v/>
      </c>
      <c r="J148" s="28" t="e">
        <f>LOOKUP(2,1/(COUNTIF($J$4:J147,'Larger Data Sets'!$B$3:$B$8003)=0),'Larger Data Sets'!$B$3:$B$8003)</f>
        <v>#N/A</v>
      </c>
      <c r="K148" s="28" t="str">
        <f t="shared" si="15"/>
        <v xml:space="preserve"> </v>
      </c>
      <c r="L148">
        <f t="shared" si="17"/>
        <v>0</v>
      </c>
      <c r="M148" t="b">
        <f t="shared" si="16"/>
        <v>0</v>
      </c>
    </row>
    <row r="149" spans="2:13" x14ac:dyDescent="0.25">
      <c r="B149" s="6"/>
      <c r="C149" s="7"/>
      <c r="D149" s="7"/>
      <c r="E149" s="8"/>
      <c r="F149" t="str">
        <f t="shared" si="13"/>
        <v/>
      </c>
      <c r="G149" t="str">
        <f t="shared" si="14"/>
        <v/>
      </c>
      <c r="J149" s="28" t="e">
        <f>LOOKUP(2,1/(COUNTIF($J$4:J148,'Larger Data Sets'!$B$3:$B$8003)=0),'Larger Data Sets'!$B$3:$B$8003)</f>
        <v>#N/A</v>
      </c>
      <c r="K149" s="28" t="str">
        <f t="shared" si="15"/>
        <v xml:space="preserve"> </v>
      </c>
      <c r="L149">
        <f t="shared" si="17"/>
        <v>0</v>
      </c>
      <c r="M149" t="b">
        <f t="shared" si="16"/>
        <v>0</v>
      </c>
    </row>
    <row r="150" spans="2:13" x14ac:dyDescent="0.25">
      <c r="B150" s="6"/>
      <c r="C150" s="7"/>
      <c r="D150" s="7"/>
      <c r="E150" s="8"/>
      <c r="F150" t="str">
        <f t="shared" si="13"/>
        <v/>
      </c>
      <c r="G150" t="str">
        <f t="shared" si="14"/>
        <v/>
      </c>
      <c r="J150" s="28" t="e">
        <f>LOOKUP(2,1/(COUNTIF($J$4:J149,'Larger Data Sets'!$B$3:$B$8003)=0),'Larger Data Sets'!$B$3:$B$8003)</f>
        <v>#N/A</v>
      </c>
      <c r="K150" s="28" t="str">
        <f t="shared" si="15"/>
        <v xml:space="preserve"> </v>
      </c>
      <c r="L150">
        <f t="shared" si="17"/>
        <v>0</v>
      </c>
      <c r="M150" t="b">
        <f t="shared" si="16"/>
        <v>0</v>
      </c>
    </row>
    <row r="151" spans="2:13" x14ac:dyDescent="0.25">
      <c r="B151" s="6"/>
      <c r="C151" s="7"/>
      <c r="D151" s="7"/>
      <c r="E151" s="8"/>
      <c r="F151" t="str">
        <f t="shared" si="13"/>
        <v/>
      </c>
      <c r="G151" t="str">
        <f t="shared" si="14"/>
        <v/>
      </c>
      <c r="J151" s="28" t="e">
        <f>LOOKUP(2,1/(COUNTIF($J$4:J150,'Larger Data Sets'!$B$3:$B$8003)=0),'Larger Data Sets'!$B$3:$B$8003)</f>
        <v>#N/A</v>
      </c>
      <c r="K151" s="28" t="str">
        <f t="shared" si="15"/>
        <v xml:space="preserve"> </v>
      </c>
      <c r="L151">
        <f t="shared" si="17"/>
        <v>0</v>
      </c>
      <c r="M151" t="b">
        <f t="shared" si="16"/>
        <v>0</v>
      </c>
    </row>
    <row r="152" spans="2:13" x14ac:dyDescent="0.25">
      <c r="B152" s="6"/>
      <c r="C152" s="7"/>
      <c r="D152" s="7"/>
      <c r="E152" s="8"/>
      <c r="F152" t="str">
        <f t="shared" si="13"/>
        <v/>
      </c>
      <c r="G152" t="str">
        <f t="shared" si="14"/>
        <v/>
      </c>
      <c r="J152" s="28" t="e">
        <f>LOOKUP(2,1/(COUNTIF($J$4:J151,'Larger Data Sets'!$B$3:$B$8003)=0),'Larger Data Sets'!$B$3:$B$8003)</f>
        <v>#N/A</v>
      </c>
      <c r="K152" s="28" t="str">
        <f t="shared" si="15"/>
        <v xml:space="preserve"> </v>
      </c>
      <c r="L152">
        <f t="shared" si="17"/>
        <v>0</v>
      </c>
      <c r="M152" t="b">
        <f t="shared" si="16"/>
        <v>0</v>
      </c>
    </row>
    <row r="153" spans="2:13" x14ac:dyDescent="0.25">
      <c r="B153" s="6"/>
      <c r="C153" s="7"/>
      <c r="D153" s="7"/>
      <c r="E153" s="8"/>
      <c r="F153" t="str">
        <f t="shared" si="13"/>
        <v/>
      </c>
      <c r="G153" t="str">
        <f t="shared" si="14"/>
        <v/>
      </c>
      <c r="J153" s="28" t="e">
        <f>LOOKUP(2,1/(COUNTIF($J$4:J152,'Larger Data Sets'!$B$3:$B$8003)=0),'Larger Data Sets'!$B$3:$B$8003)</f>
        <v>#N/A</v>
      </c>
      <c r="K153" s="28" t="str">
        <f t="shared" si="15"/>
        <v xml:space="preserve"> </v>
      </c>
      <c r="L153">
        <f t="shared" si="17"/>
        <v>0</v>
      </c>
      <c r="M153" t="b">
        <f t="shared" si="16"/>
        <v>0</v>
      </c>
    </row>
    <row r="154" spans="2:13" x14ac:dyDescent="0.25">
      <c r="B154" s="6"/>
      <c r="C154" s="7"/>
      <c r="D154" s="7"/>
      <c r="E154" s="8"/>
      <c r="F154" t="str">
        <f t="shared" si="13"/>
        <v/>
      </c>
      <c r="G154" t="str">
        <f t="shared" si="14"/>
        <v/>
      </c>
      <c r="J154" s="28" t="e">
        <f>LOOKUP(2,1/(COUNTIF($J$4:J153,'Larger Data Sets'!$B$3:$B$8003)=0),'Larger Data Sets'!$B$3:$B$8003)</f>
        <v>#N/A</v>
      </c>
      <c r="K154" s="28" t="str">
        <f t="shared" si="15"/>
        <v xml:space="preserve"> </v>
      </c>
      <c r="L154">
        <f t="shared" si="17"/>
        <v>0</v>
      </c>
      <c r="M154" t="b">
        <f t="shared" si="16"/>
        <v>0</v>
      </c>
    </row>
    <row r="155" spans="2:13" x14ac:dyDescent="0.25">
      <c r="B155" s="6"/>
      <c r="C155" s="7"/>
      <c r="D155" s="7"/>
      <c r="E155" s="8"/>
      <c r="F155" t="str">
        <f t="shared" si="13"/>
        <v/>
      </c>
      <c r="G155" t="str">
        <f t="shared" si="14"/>
        <v/>
      </c>
      <c r="J155" s="28" t="e">
        <f>LOOKUP(2,1/(COUNTIF($J$4:J154,'Larger Data Sets'!$B$3:$B$8003)=0),'Larger Data Sets'!$B$3:$B$8003)</f>
        <v>#N/A</v>
      </c>
      <c r="K155" s="28" t="str">
        <f t="shared" si="15"/>
        <v xml:space="preserve"> </v>
      </c>
      <c r="L155">
        <f t="shared" si="17"/>
        <v>0</v>
      </c>
      <c r="M155" t="b">
        <f t="shared" si="16"/>
        <v>0</v>
      </c>
    </row>
    <row r="156" spans="2:13" x14ac:dyDescent="0.25">
      <c r="B156" s="6"/>
      <c r="C156" s="7"/>
      <c r="D156" s="7"/>
      <c r="E156" s="8"/>
      <c r="F156" t="str">
        <f t="shared" si="13"/>
        <v/>
      </c>
      <c r="G156" t="str">
        <f t="shared" si="14"/>
        <v/>
      </c>
      <c r="J156" s="28" t="e">
        <f>LOOKUP(2,1/(COUNTIF($J$4:J155,'Larger Data Sets'!$B$3:$B$8003)=0),'Larger Data Sets'!$B$3:$B$8003)</f>
        <v>#N/A</v>
      </c>
      <c r="K156" s="28" t="str">
        <f t="shared" si="15"/>
        <v xml:space="preserve"> </v>
      </c>
      <c r="L156">
        <f t="shared" si="17"/>
        <v>0</v>
      </c>
      <c r="M156" t="b">
        <f t="shared" si="16"/>
        <v>0</v>
      </c>
    </row>
    <row r="157" spans="2:13" x14ac:dyDescent="0.25">
      <c r="B157" s="6"/>
      <c r="C157" s="7"/>
      <c r="D157" s="7"/>
      <c r="E157" s="8"/>
      <c r="F157" t="str">
        <f t="shared" si="13"/>
        <v/>
      </c>
      <c r="G157" t="str">
        <f t="shared" si="14"/>
        <v/>
      </c>
      <c r="J157" s="28" t="e">
        <f>LOOKUP(2,1/(COUNTIF($J$4:J156,'Larger Data Sets'!$B$3:$B$8003)=0),'Larger Data Sets'!$B$3:$B$8003)</f>
        <v>#N/A</v>
      </c>
      <c r="K157" s="28" t="str">
        <f t="shared" si="15"/>
        <v xml:space="preserve"> </v>
      </c>
      <c r="L157">
        <f t="shared" si="17"/>
        <v>0</v>
      </c>
      <c r="M157" t="b">
        <f t="shared" si="16"/>
        <v>0</v>
      </c>
    </row>
    <row r="158" spans="2:13" x14ac:dyDescent="0.25">
      <c r="B158" s="6"/>
      <c r="C158" s="7"/>
      <c r="D158" s="7"/>
      <c r="E158" s="8"/>
      <c r="F158" t="str">
        <f t="shared" si="13"/>
        <v/>
      </c>
      <c r="G158" t="str">
        <f t="shared" si="14"/>
        <v/>
      </c>
      <c r="J158" s="28" t="e">
        <f>LOOKUP(2,1/(COUNTIF($J$4:J157,'Larger Data Sets'!$B$3:$B$8003)=0),'Larger Data Sets'!$B$3:$B$8003)</f>
        <v>#N/A</v>
      </c>
      <c r="K158" s="28" t="str">
        <f t="shared" si="15"/>
        <v xml:space="preserve"> </v>
      </c>
      <c r="L158">
        <f t="shared" si="17"/>
        <v>0</v>
      </c>
      <c r="M158" t="b">
        <f t="shared" si="16"/>
        <v>0</v>
      </c>
    </row>
    <row r="159" spans="2:13" x14ac:dyDescent="0.25">
      <c r="B159" s="6"/>
      <c r="C159" s="7"/>
      <c r="D159" s="7"/>
      <c r="E159" s="8"/>
      <c r="F159" t="str">
        <f t="shared" si="13"/>
        <v/>
      </c>
      <c r="G159" t="str">
        <f t="shared" si="14"/>
        <v/>
      </c>
      <c r="J159" s="28" t="e">
        <f>LOOKUP(2,1/(COUNTIF($J$4:J158,'Larger Data Sets'!$B$3:$B$8003)=0),'Larger Data Sets'!$B$3:$B$8003)</f>
        <v>#N/A</v>
      </c>
      <c r="K159" s="28" t="str">
        <f t="shared" si="15"/>
        <v xml:space="preserve"> </v>
      </c>
      <c r="L159">
        <f t="shared" si="17"/>
        <v>0</v>
      </c>
      <c r="M159" t="b">
        <f t="shared" si="16"/>
        <v>0</v>
      </c>
    </row>
    <row r="160" spans="2:13" x14ac:dyDescent="0.25">
      <c r="B160" s="6"/>
      <c r="C160" s="7"/>
      <c r="D160" s="7"/>
      <c r="E160" s="8"/>
      <c r="F160" t="str">
        <f t="shared" si="13"/>
        <v/>
      </c>
      <c r="G160" t="str">
        <f t="shared" si="14"/>
        <v/>
      </c>
      <c r="J160" s="28" t="e">
        <f>LOOKUP(2,1/(COUNTIF($J$4:J159,'Larger Data Sets'!$B$3:$B$8003)=0),'Larger Data Sets'!$B$3:$B$8003)</f>
        <v>#N/A</v>
      </c>
      <c r="K160" s="28" t="str">
        <f t="shared" si="15"/>
        <v xml:space="preserve"> </v>
      </c>
      <c r="L160">
        <f t="shared" si="17"/>
        <v>0</v>
      </c>
      <c r="M160" t="b">
        <f t="shared" si="16"/>
        <v>0</v>
      </c>
    </row>
    <row r="161" spans="2:13" x14ac:dyDescent="0.25">
      <c r="B161" s="6"/>
      <c r="C161" s="7"/>
      <c r="D161" s="7"/>
      <c r="E161" s="8"/>
      <c r="F161" t="str">
        <f t="shared" si="13"/>
        <v/>
      </c>
      <c r="G161" t="str">
        <f t="shared" si="14"/>
        <v/>
      </c>
      <c r="J161" s="28" t="e">
        <f>LOOKUP(2,1/(COUNTIF($J$4:J160,'Larger Data Sets'!$B$3:$B$8003)=0),'Larger Data Sets'!$B$3:$B$8003)</f>
        <v>#N/A</v>
      </c>
      <c r="K161" s="28" t="str">
        <f t="shared" si="15"/>
        <v xml:space="preserve"> </v>
      </c>
      <c r="L161">
        <f t="shared" si="17"/>
        <v>0</v>
      </c>
      <c r="M161" t="b">
        <f t="shared" si="16"/>
        <v>0</v>
      </c>
    </row>
    <row r="162" spans="2:13" x14ac:dyDescent="0.25">
      <c r="B162" s="6"/>
      <c r="C162" s="7"/>
      <c r="D162" s="7"/>
      <c r="E162" s="8"/>
      <c r="F162" t="str">
        <f t="shared" si="13"/>
        <v/>
      </c>
      <c r="G162" t="str">
        <f t="shared" si="14"/>
        <v/>
      </c>
      <c r="J162" s="28" t="e">
        <f>LOOKUP(2,1/(COUNTIF($J$4:J161,'Larger Data Sets'!$B$3:$B$8003)=0),'Larger Data Sets'!$B$3:$B$8003)</f>
        <v>#N/A</v>
      </c>
      <c r="K162" s="28" t="str">
        <f t="shared" si="15"/>
        <v xml:space="preserve"> </v>
      </c>
      <c r="L162">
        <f t="shared" si="17"/>
        <v>0</v>
      </c>
      <c r="M162" t="b">
        <f t="shared" si="16"/>
        <v>0</v>
      </c>
    </row>
    <row r="163" spans="2:13" x14ac:dyDescent="0.25">
      <c r="B163" s="6"/>
      <c r="C163" s="7"/>
      <c r="D163" s="7"/>
      <c r="E163" s="8"/>
      <c r="F163" t="str">
        <f t="shared" si="13"/>
        <v/>
      </c>
      <c r="G163" t="str">
        <f t="shared" si="14"/>
        <v/>
      </c>
      <c r="J163" s="28" t="e">
        <f>LOOKUP(2,1/(COUNTIF($J$4:J162,'Larger Data Sets'!$B$3:$B$8003)=0),'Larger Data Sets'!$B$3:$B$8003)</f>
        <v>#N/A</v>
      </c>
      <c r="K163" s="28" t="str">
        <f t="shared" si="15"/>
        <v xml:space="preserve"> </v>
      </c>
      <c r="L163">
        <f t="shared" si="17"/>
        <v>0</v>
      </c>
      <c r="M163" t="b">
        <f t="shared" si="16"/>
        <v>0</v>
      </c>
    </row>
    <row r="164" spans="2:13" x14ac:dyDescent="0.25">
      <c r="B164" s="6"/>
      <c r="C164" s="7"/>
      <c r="D164" s="7"/>
      <c r="E164" s="8"/>
      <c r="F164" t="str">
        <f t="shared" si="13"/>
        <v/>
      </c>
      <c r="G164" t="str">
        <f t="shared" si="14"/>
        <v/>
      </c>
      <c r="J164" s="28" t="e">
        <f>LOOKUP(2,1/(COUNTIF($J$4:J163,'Larger Data Sets'!$B$3:$B$8003)=0),'Larger Data Sets'!$B$3:$B$8003)</f>
        <v>#N/A</v>
      </c>
      <c r="K164" s="28" t="str">
        <f t="shared" si="15"/>
        <v xml:space="preserve"> </v>
      </c>
      <c r="L164">
        <f t="shared" si="17"/>
        <v>0</v>
      </c>
      <c r="M164" t="b">
        <f t="shared" si="16"/>
        <v>0</v>
      </c>
    </row>
    <row r="165" spans="2:13" x14ac:dyDescent="0.25">
      <c r="B165" s="6"/>
      <c r="C165" s="7"/>
      <c r="D165" s="7"/>
      <c r="E165" s="8"/>
      <c r="F165" t="str">
        <f t="shared" si="13"/>
        <v/>
      </c>
      <c r="G165" t="str">
        <f t="shared" si="14"/>
        <v/>
      </c>
      <c r="J165" s="28" t="e">
        <f>LOOKUP(2,1/(COUNTIF($J$4:J164,'Larger Data Sets'!$B$3:$B$8003)=0),'Larger Data Sets'!$B$3:$B$8003)</f>
        <v>#N/A</v>
      </c>
      <c r="K165" s="28" t="str">
        <f t="shared" si="15"/>
        <v xml:space="preserve"> </v>
      </c>
      <c r="L165">
        <f t="shared" si="17"/>
        <v>0</v>
      </c>
      <c r="M165" t="b">
        <f t="shared" si="16"/>
        <v>0</v>
      </c>
    </row>
    <row r="166" spans="2:13" x14ac:dyDescent="0.25">
      <c r="B166" s="6"/>
      <c r="C166" s="7"/>
      <c r="D166" s="7"/>
      <c r="E166" s="8"/>
      <c r="F166" t="str">
        <f t="shared" si="13"/>
        <v/>
      </c>
      <c r="G166" t="str">
        <f t="shared" si="14"/>
        <v/>
      </c>
      <c r="J166" s="28" t="e">
        <f>LOOKUP(2,1/(COUNTIF($J$4:J165,'Larger Data Sets'!$B$3:$B$8003)=0),'Larger Data Sets'!$B$3:$B$8003)</f>
        <v>#N/A</v>
      </c>
      <c r="K166" s="28" t="str">
        <f t="shared" si="15"/>
        <v xml:space="preserve"> </v>
      </c>
      <c r="L166">
        <f t="shared" si="17"/>
        <v>0</v>
      </c>
      <c r="M166" t="b">
        <f t="shared" si="16"/>
        <v>0</v>
      </c>
    </row>
    <row r="167" spans="2:13" x14ac:dyDescent="0.25">
      <c r="B167" s="6"/>
      <c r="C167" s="7"/>
      <c r="D167" s="7"/>
      <c r="E167" s="8"/>
      <c r="F167" t="str">
        <f t="shared" si="13"/>
        <v/>
      </c>
      <c r="G167" t="str">
        <f t="shared" si="14"/>
        <v/>
      </c>
      <c r="J167" s="28" t="e">
        <f>LOOKUP(2,1/(COUNTIF($J$4:J166,'Larger Data Sets'!$B$3:$B$8003)=0),'Larger Data Sets'!$B$3:$B$8003)</f>
        <v>#N/A</v>
      </c>
      <c r="K167" s="28" t="str">
        <f t="shared" si="15"/>
        <v xml:space="preserve"> </v>
      </c>
      <c r="L167">
        <f t="shared" si="17"/>
        <v>0</v>
      </c>
      <c r="M167" t="b">
        <f t="shared" si="16"/>
        <v>0</v>
      </c>
    </row>
    <row r="168" spans="2:13" x14ac:dyDescent="0.25">
      <c r="B168" s="6"/>
      <c r="C168" s="7"/>
      <c r="D168" s="7"/>
      <c r="E168" s="8"/>
      <c r="F168" t="str">
        <f t="shared" si="13"/>
        <v/>
      </c>
      <c r="G168" t="str">
        <f t="shared" si="14"/>
        <v/>
      </c>
      <c r="J168" s="28" t="e">
        <f>LOOKUP(2,1/(COUNTIF($J$4:J167,'Larger Data Sets'!$B$3:$B$8003)=0),'Larger Data Sets'!$B$3:$B$8003)</f>
        <v>#N/A</v>
      </c>
      <c r="K168" s="28" t="str">
        <f t="shared" si="15"/>
        <v xml:space="preserve"> </v>
      </c>
      <c r="L168">
        <f t="shared" si="17"/>
        <v>0</v>
      </c>
      <c r="M168" t="b">
        <f t="shared" si="16"/>
        <v>0</v>
      </c>
    </row>
    <row r="169" spans="2:13" x14ac:dyDescent="0.25">
      <c r="B169" s="6"/>
      <c r="C169" s="7"/>
      <c r="D169" s="7"/>
      <c r="E169" s="8"/>
      <c r="F169" t="str">
        <f t="shared" si="13"/>
        <v/>
      </c>
      <c r="G169" t="str">
        <f t="shared" si="14"/>
        <v/>
      </c>
      <c r="J169" s="28" t="e">
        <f>LOOKUP(2,1/(COUNTIF($J$4:J168,'Larger Data Sets'!$B$3:$B$8003)=0),'Larger Data Sets'!$B$3:$B$8003)</f>
        <v>#N/A</v>
      </c>
      <c r="K169" s="28" t="str">
        <f t="shared" si="15"/>
        <v xml:space="preserve"> </v>
      </c>
      <c r="L169">
        <f t="shared" si="17"/>
        <v>0</v>
      </c>
      <c r="M169" t="b">
        <f t="shared" si="16"/>
        <v>0</v>
      </c>
    </row>
    <row r="170" spans="2:13" x14ac:dyDescent="0.25">
      <c r="B170" s="6"/>
      <c r="C170" s="7"/>
      <c r="D170" s="7"/>
      <c r="E170" s="8"/>
      <c r="F170" t="str">
        <f t="shared" si="13"/>
        <v/>
      </c>
      <c r="G170" t="str">
        <f t="shared" si="14"/>
        <v/>
      </c>
      <c r="J170" s="28" t="e">
        <f>LOOKUP(2,1/(COUNTIF($J$4:J169,'Larger Data Sets'!$B$3:$B$8003)=0),'Larger Data Sets'!$B$3:$B$8003)</f>
        <v>#N/A</v>
      </c>
      <c r="K170" s="28" t="str">
        <f t="shared" si="15"/>
        <v xml:space="preserve"> </v>
      </c>
      <c r="L170">
        <f t="shared" si="17"/>
        <v>0</v>
      </c>
      <c r="M170" t="b">
        <f t="shared" si="16"/>
        <v>0</v>
      </c>
    </row>
    <row r="171" spans="2:13" x14ac:dyDescent="0.25">
      <c r="B171" s="6"/>
      <c r="C171" s="7"/>
      <c r="D171" s="7"/>
      <c r="E171" s="8"/>
      <c r="F171" t="str">
        <f t="shared" si="13"/>
        <v/>
      </c>
      <c r="G171" t="str">
        <f t="shared" si="14"/>
        <v/>
      </c>
      <c r="J171" s="28" t="e">
        <f>LOOKUP(2,1/(COUNTIF($J$4:J170,'Larger Data Sets'!$B$3:$B$8003)=0),'Larger Data Sets'!$B$3:$B$8003)</f>
        <v>#N/A</v>
      </c>
      <c r="K171" s="28" t="str">
        <f t="shared" si="15"/>
        <v xml:space="preserve"> </v>
      </c>
      <c r="L171">
        <f t="shared" si="17"/>
        <v>0</v>
      </c>
      <c r="M171" t="b">
        <f t="shared" si="16"/>
        <v>0</v>
      </c>
    </row>
    <row r="172" spans="2:13" x14ac:dyDescent="0.25">
      <c r="B172" s="6"/>
      <c r="C172" s="7"/>
      <c r="D172" s="7"/>
      <c r="E172" s="8"/>
      <c r="F172" t="str">
        <f t="shared" si="13"/>
        <v/>
      </c>
      <c r="G172" t="str">
        <f t="shared" si="14"/>
        <v/>
      </c>
      <c r="J172" s="28" t="e">
        <f>LOOKUP(2,1/(COUNTIF($J$4:J171,'Larger Data Sets'!$B$3:$B$8003)=0),'Larger Data Sets'!$B$3:$B$8003)</f>
        <v>#N/A</v>
      </c>
      <c r="K172" s="28" t="str">
        <f t="shared" si="15"/>
        <v xml:space="preserve"> </v>
      </c>
      <c r="L172">
        <f t="shared" si="17"/>
        <v>0</v>
      </c>
      <c r="M172" t="b">
        <f t="shared" si="16"/>
        <v>0</v>
      </c>
    </row>
    <row r="173" spans="2:13" x14ac:dyDescent="0.25">
      <c r="B173" s="6"/>
      <c r="C173" s="7"/>
      <c r="D173" s="7"/>
      <c r="E173" s="8"/>
      <c r="F173" t="str">
        <f t="shared" si="13"/>
        <v/>
      </c>
      <c r="G173" t="str">
        <f t="shared" si="14"/>
        <v/>
      </c>
      <c r="J173" s="28" t="e">
        <f>LOOKUP(2,1/(COUNTIF($J$4:J172,'Larger Data Sets'!$B$3:$B$8003)=0),'Larger Data Sets'!$B$3:$B$8003)</f>
        <v>#N/A</v>
      </c>
      <c r="K173" s="28" t="str">
        <f t="shared" si="15"/>
        <v xml:space="preserve"> </v>
      </c>
      <c r="L173">
        <f t="shared" si="17"/>
        <v>0</v>
      </c>
      <c r="M173" t="b">
        <f t="shared" si="16"/>
        <v>0</v>
      </c>
    </row>
    <row r="174" spans="2:13" x14ac:dyDescent="0.25">
      <c r="B174" s="6"/>
      <c r="C174" s="7"/>
      <c r="D174" s="7"/>
      <c r="E174" s="8"/>
      <c r="F174" t="str">
        <f t="shared" si="13"/>
        <v/>
      </c>
      <c r="G174" t="str">
        <f t="shared" si="14"/>
        <v/>
      </c>
      <c r="J174" s="28" t="e">
        <f>LOOKUP(2,1/(COUNTIF($J$4:J173,'Larger Data Sets'!$B$3:$B$8003)=0),'Larger Data Sets'!$B$3:$B$8003)</f>
        <v>#N/A</v>
      </c>
      <c r="K174" s="28" t="str">
        <f t="shared" si="15"/>
        <v xml:space="preserve"> </v>
      </c>
      <c r="L174">
        <f t="shared" si="17"/>
        <v>0</v>
      </c>
      <c r="M174" t="b">
        <f t="shared" si="16"/>
        <v>0</v>
      </c>
    </row>
    <row r="175" spans="2:13" x14ac:dyDescent="0.25">
      <c r="B175" s="6"/>
      <c r="C175" s="7"/>
      <c r="D175" s="7"/>
      <c r="E175" s="8"/>
      <c r="F175" t="str">
        <f t="shared" si="13"/>
        <v/>
      </c>
      <c r="G175" t="str">
        <f t="shared" si="14"/>
        <v/>
      </c>
      <c r="J175" s="28" t="e">
        <f>LOOKUP(2,1/(COUNTIF($J$4:J174,'Larger Data Sets'!$B$3:$B$8003)=0),'Larger Data Sets'!$B$3:$B$8003)</f>
        <v>#N/A</v>
      </c>
      <c r="K175" s="28" t="str">
        <f t="shared" si="15"/>
        <v xml:space="preserve"> </v>
      </c>
      <c r="L175">
        <f t="shared" si="17"/>
        <v>0</v>
      </c>
      <c r="M175" t="b">
        <f t="shared" si="16"/>
        <v>0</v>
      </c>
    </row>
    <row r="176" spans="2:13" x14ac:dyDescent="0.25">
      <c r="B176" s="6"/>
      <c r="C176" s="7"/>
      <c r="D176" s="7"/>
      <c r="E176" s="8"/>
      <c r="F176" t="str">
        <f t="shared" si="13"/>
        <v/>
      </c>
      <c r="G176" t="str">
        <f t="shared" si="14"/>
        <v/>
      </c>
      <c r="J176" s="28" t="e">
        <f>LOOKUP(2,1/(COUNTIF($J$4:J175,'Larger Data Sets'!$B$3:$B$8003)=0),'Larger Data Sets'!$B$3:$B$8003)</f>
        <v>#N/A</v>
      </c>
      <c r="K176" s="28" t="str">
        <f t="shared" si="15"/>
        <v xml:space="preserve"> </v>
      </c>
      <c r="L176">
        <f t="shared" si="17"/>
        <v>0</v>
      </c>
      <c r="M176" t="b">
        <f t="shared" si="16"/>
        <v>0</v>
      </c>
    </row>
    <row r="177" spans="2:13" x14ac:dyDescent="0.25">
      <c r="B177" s="6"/>
      <c r="C177" s="7"/>
      <c r="D177" s="7"/>
      <c r="E177" s="8"/>
      <c r="F177" t="str">
        <f t="shared" si="13"/>
        <v/>
      </c>
      <c r="G177" t="str">
        <f t="shared" si="14"/>
        <v/>
      </c>
      <c r="J177" s="28" t="e">
        <f>LOOKUP(2,1/(COUNTIF($J$4:J176,'Larger Data Sets'!$B$3:$B$8003)=0),'Larger Data Sets'!$B$3:$B$8003)</f>
        <v>#N/A</v>
      </c>
      <c r="K177" s="28" t="str">
        <f t="shared" si="15"/>
        <v xml:space="preserve"> </v>
      </c>
      <c r="L177">
        <f t="shared" si="17"/>
        <v>0</v>
      </c>
      <c r="M177" t="b">
        <f t="shared" si="16"/>
        <v>0</v>
      </c>
    </row>
    <row r="178" spans="2:13" x14ac:dyDescent="0.25">
      <c r="B178" s="6"/>
      <c r="C178" s="7"/>
      <c r="D178" s="7"/>
      <c r="E178" s="8"/>
      <c r="F178" t="str">
        <f t="shared" si="13"/>
        <v/>
      </c>
      <c r="G178" t="str">
        <f t="shared" si="14"/>
        <v/>
      </c>
      <c r="J178" s="28" t="e">
        <f>LOOKUP(2,1/(COUNTIF($J$4:J177,'Larger Data Sets'!$B$3:$B$8003)=0),'Larger Data Sets'!$B$3:$B$8003)</f>
        <v>#N/A</v>
      </c>
      <c r="K178" s="28" t="str">
        <f t="shared" si="15"/>
        <v xml:space="preserve"> </v>
      </c>
      <c r="L178">
        <f t="shared" si="17"/>
        <v>0</v>
      </c>
      <c r="M178" t="b">
        <f t="shared" si="16"/>
        <v>0</v>
      </c>
    </row>
    <row r="179" spans="2:13" x14ac:dyDescent="0.25">
      <c r="B179" s="6"/>
      <c r="C179" s="7"/>
      <c r="D179" s="7"/>
      <c r="E179" s="8"/>
      <c r="F179" t="str">
        <f t="shared" si="13"/>
        <v/>
      </c>
      <c r="G179" t="str">
        <f t="shared" si="14"/>
        <v/>
      </c>
      <c r="J179" s="28" t="e">
        <f>LOOKUP(2,1/(COUNTIF($J$4:J178,'Larger Data Sets'!$B$3:$B$8003)=0),'Larger Data Sets'!$B$3:$B$8003)</f>
        <v>#N/A</v>
      </c>
      <c r="K179" s="28" t="str">
        <f t="shared" si="15"/>
        <v xml:space="preserve"> </v>
      </c>
      <c r="L179">
        <f t="shared" si="17"/>
        <v>0</v>
      </c>
      <c r="M179" t="b">
        <f t="shared" si="16"/>
        <v>0</v>
      </c>
    </row>
    <row r="180" spans="2:13" x14ac:dyDescent="0.25">
      <c r="B180" s="6"/>
      <c r="C180" s="7"/>
      <c r="D180" s="7"/>
      <c r="E180" s="8"/>
      <c r="F180" t="str">
        <f t="shared" si="13"/>
        <v/>
      </c>
      <c r="G180" t="str">
        <f t="shared" si="14"/>
        <v/>
      </c>
      <c r="J180" s="28" t="e">
        <f>LOOKUP(2,1/(COUNTIF($J$4:J179,'Larger Data Sets'!$B$3:$B$8003)=0),'Larger Data Sets'!$B$3:$B$8003)</f>
        <v>#N/A</v>
      </c>
      <c r="K180" s="28" t="str">
        <f t="shared" si="15"/>
        <v xml:space="preserve"> </v>
      </c>
      <c r="L180">
        <f t="shared" si="17"/>
        <v>0</v>
      </c>
      <c r="M180" t="b">
        <f t="shared" si="16"/>
        <v>0</v>
      </c>
    </row>
    <row r="181" spans="2:13" x14ac:dyDescent="0.25">
      <c r="B181" s="6"/>
      <c r="C181" s="7"/>
      <c r="D181" s="7"/>
      <c r="E181" s="8"/>
      <c r="F181" t="str">
        <f t="shared" si="13"/>
        <v/>
      </c>
      <c r="G181" t="str">
        <f t="shared" si="14"/>
        <v/>
      </c>
      <c r="J181" s="28" t="e">
        <f>LOOKUP(2,1/(COUNTIF($J$4:J180,'Larger Data Sets'!$B$3:$B$8003)=0),'Larger Data Sets'!$B$3:$B$8003)</f>
        <v>#N/A</v>
      </c>
      <c r="K181" s="28" t="str">
        <f t="shared" si="15"/>
        <v xml:space="preserve"> </v>
      </c>
      <c r="L181">
        <f t="shared" si="17"/>
        <v>0</v>
      </c>
      <c r="M181" t="b">
        <f t="shared" si="16"/>
        <v>0</v>
      </c>
    </row>
    <row r="182" spans="2:13" x14ac:dyDescent="0.25">
      <c r="B182" s="6"/>
      <c r="C182" s="7"/>
      <c r="D182" s="7"/>
      <c r="E182" s="8"/>
      <c r="F182" t="str">
        <f t="shared" si="13"/>
        <v/>
      </c>
      <c r="G182" t="str">
        <f t="shared" si="14"/>
        <v/>
      </c>
      <c r="J182" s="28" t="e">
        <f>LOOKUP(2,1/(COUNTIF($J$4:J181,'Larger Data Sets'!$B$3:$B$8003)=0),'Larger Data Sets'!$B$3:$B$8003)</f>
        <v>#N/A</v>
      </c>
      <c r="K182" s="28" t="str">
        <f t="shared" si="15"/>
        <v xml:space="preserve"> </v>
      </c>
      <c r="L182">
        <f t="shared" si="17"/>
        <v>0</v>
      </c>
      <c r="M182" t="b">
        <f t="shared" si="16"/>
        <v>0</v>
      </c>
    </row>
    <row r="183" spans="2:13" x14ac:dyDescent="0.25">
      <c r="B183" s="6"/>
      <c r="C183" s="7"/>
      <c r="D183" s="7"/>
      <c r="E183" s="8"/>
      <c r="F183" t="str">
        <f t="shared" si="13"/>
        <v/>
      </c>
      <c r="G183" t="str">
        <f t="shared" si="14"/>
        <v/>
      </c>
      <c r="J183" s="28" t="e">
        <f>LOOKUP(2,1/(COUNTIF($J$4:J182,'Larger Data Sets'!$B$3:$B$8003)=0),'Larger Data Sets'!$B$3:$B$8003)</f>
        <v>#N/A</v>
      </c>
      <c r="K183" s="28" t="str">
        <f t="shared" si="15"/>
        <v xml:space="preserve"> </v>
      </c>
      <c r="L183">
        <f t="shared" si="17"/>
        <v>0</v>
      </c>
      <c r="M183" t="b">
        <f t="shared" si="16"/>
        <v>0</v>
      </c>
    </row>
    <row r="184" spans="2:13" x14ac:dyDescent="0.25">
      <c r="B184" s="6"/>
      <c r="C184" s="7"/>
      <c r="D184" s="7"/>
      <c r="E184" s="8"/>
      <c r="F184" t="str">
        <f t="shared" si="13"/>
        <v/>
      </c>
      <c r="G184" t="str">
        <f t="shared" si="14"/>
        <v/>
      </c>
      <c r="J184" s="28" t="e">
        <f>LOOKUP(2,1/(COUNTIF($J$4:J183,'Larger Data Sets'!$B$3:$B$8003)=0),'Larger Data Sets'!$B$3:$B$8003)</f>
        <v>#N/A</v>
      </c>
      <c r="K184" s="28" t="str">
        <f t="shared" si="15"/>
        <v xml:space="preserve"> </v>
      </c>
      <c r="L184">
        <f t="shared" si="17"/>
        <v>0</v>
      </c>
      <c r="M184" t="b">
        <f t="shared" si="16"/>
        <v>0</v>
      </c>
    </row>
    <row r="185" spans="2:13" x14ac:dyDescent="0.25">
      <c r="B185" s="6"/>
      <c r="C185" s="7"/>
      <c r="D185" s="7"/>
      <c r="E185" s="8"/>
      <c r="F185" t="str">
        <f t="shared" si="13"/>
        <v/>
      </c>
      <c r="G185" t="str">
        <f t="shared" si="14"/>
        <v/>
      </c>
      <c r="J185" s="28" t="e">
        <f>LOOKUP(2,1/(COUNTIF($J$4:J184,'Larger Data Sets'!$B$3:$B$8003)=0),'Larger Data Sets'!$B$3:$B$8003)</f>
        <v>#N/A</v>
      </c>
      <c r="K185" s="28" t="str">
        <f t="shared" si="15"/>
        <v xml:space="preserve"> </v>
      </c>
      <c r="L185">
        <f t="shared" si="17"/>
        <v>0</v>
      </c>
      <c r="M185" t="b">
        <f t="shared" si="16"/>
        <v>0</v>
      </c>
    </row>
    <row r="186" spans="2:13" x14ac:dyDescent="0.25">
      <c r="B186" s="6"/>
      <c r="C186" s="7"/>
      <c r="D186" s="7"/>
      <c r="E186" s="8"/>
      <c r="F186" t="str">
        <f t="shared" si="13"/>
        <v/>
      </c>
      <c r="G186" t="str">
        <f t="shared" si="14"/>
        <v/>
      </c>
      <c r="J186" s="28" t="e">
        <f>LOOKUP(2,1/(COUNTIF($J$4:J185,'Larger Data Sets'!$B$3:$B$8003)=0),'Larger Data Sets'!$B$3:$B$8003)</f>
        <v>#N/A</v>
      </c>
      <c r="K186" s="28" t="str">
        <f t="shared" si="15"/>
        <v xml:space="preserve"> </v>
      </c>
      <c r="L186">
        <f t="shared" si="17"/>
        <v>0</v>
      </c>
      <c r="M186" t="b">
        <f t="shared" si="16"/>
        <v>0</v>
      </c>
    </row>
    <row r="187" spans="2:13" x14ac:dyDescent="0.25">
      <c r="B187" s="6"/>
      <c r="C187" s="7"/>
      <c r="D187" s="7"/>
      <c r="E187" s="8"/>
      <c r="F187" t="str">
        <f t="shared" si="13"/>
        <v/>
      </c>
      <c r="G187" t="str">
        <f t="shared" si="14"/>
        <v/>
      </c>
      <c r="J187" s="28" t="e">
        <f>LOOKUP(2,1/(COUNTIF($J$4:J186,'Larger Data Sets'!$B$3:$B$8003)=0),'Larger Data Sets'!$B$3:$B$8003)</f>
        <v>#N/A</v>
      </c>
      <c r="K187" s="28" t="str">
        <f t="shared" si="15"/>
        <v xml:space="preserve"> </v>
      </c>
      <c r="L187">
        <f t="shared" si="17"/>
        <v>0</v>
      </c>
      <c r="M187" t="b">
        <f t="shared" si="16"/>
        <v>0</v>
      </c>
    </row>
    <row r="188" spans="2:13" x14ac:dyDescent="0.25">
      <c r="B188" s="6"/>
      <c r="C188" s="7"/>
      <c r="D188" s="7"/>
      <c r="E188" s="8"/>
      <c r="F188" t="str">
        <f t="shared" si="13"/>
        <v/>
      </c>
      <c r="G188" t="str">
        <f t="shared" si="14"/>
        <v/>
      </c>
      <c r="J188" s="28" t="e">
        <f>LOOKUP(2,1/(COUNTIF($J$4:J187,'Larger Data Sets'!$B$3:$B$8003)=0),'Larger Data Sets'!$B$3:$B$8003)</f>
        <v>#N/A</v>
      </c>
      <c r="K188" s="28" t="str">
        <f t="shared" si="15"/>
        <v xml:space="preserve"> </v>
      </c>
      <c r="L188">
        <f t="shared" si="17"/>
        <v>0</v>
      </c>
      <c r="M188" t="b">
        <f t="shared" si="16"/>
        <v>0</v>
      </c>
    </row>
    <row r="189" spans="2:13" x14ac:dyDescent="0.25">
      <c r="B189" s="6"/>
      <c r="C189" s="7"/>
      <c r="D189" s="7"/>
      <c r="E189" s="8"/>
      <c r="F189" t="str">
        <f t="shared" si="13"/>
        <v/>
      </c>
      <c r="G189" t="str">
        <f t="shared" si="14"/>
        <v/>
      </c>
      <c r="J189" s="28" t="e">
        <f>LOOKUP(2,1/(COUNTIF($J$4:J188,'Larger Data Sets'!$B$3:$B$8003)=0),'Larger Data Sets'!$B$3:$B$8003)</f>
        <v>#N/A</v>
      </c>
      <c r="K189" s="28" t="str">
        <f t="shared" si="15"/>
        <v xml:space="preserve"> </v>
      </c>
      <c r="L189">
        <f t="shared" si="17"/>
        <v>0</v>
      </c>
      <c r="M189" t="b">
        <f t="shared" si="16"/>
        <v>0</v>
      </c>
    </row>
    <row r="190" spans="2:13" x14ac:dyDescent="0.25">
      <c r="B190" s="6"/>
      <c r="C190" s="7"/>
      <c r="D190" s="7"/>
      <c r="E190" s="8"/>
      <c r="F190" t="str">
        <f t="shared" si="13"/>
        <v/>
      </c>
      <c r="G190" t="str">
        <f t="shared" si="14"/>
        <v/>
      </c>
      <c r="J190" s="28" t="e">
        <f>LOOKUP(2,1/(COUNTIF($J$4:J189,'Larger Data Sets'!$B$3:$B$8003)=0),'Larger Data Sets'!$B$3:$B$8003)</f>
        <v>#N/A</v>
      </c>
      <c r="K190" s="28" t="str">
        <f t="shared" si="15"/>
        <v xml:space="preserve"> </v>
      </c>
      <c r="L190">
        <f t="shared" si="17"/>
        <v>0</v>
      </c>
      <c r="M190" t="b">
        <f t="shared" si="16"/>
        <v>0</v>
      </c>
    </row>
    <row r="191" spans="2:13" x14ac:dyDescent="0.25">
      <c r="B191" s="6"/>
      <c r="C191" s="7"/>
      <c r="D191" s="7"/>
      <c r="E191" s="8"/>
      <c r="F191" t="str">
        <f t="shared" si="13"/>
        <v/>
      </c>
      <c r="G191" t="str">
        <f t="shared" si="14"/>
        <v/>
      </c>
      <c r="J191" s="28" t="e">
        <f>LOOKUP(2,1/(COUNTIF($J$4:J190,'Larger Data Sets'!$B$3:$B$8003)=0),'Larger Data Sets'!$B$3:$B$8003)</f>
        <v>#N/A</v>
      </c>
      <c r="K191" s="28" t="str">
        <f t="shared" si="15"/>
        <v xml:space="preserve"> </v>
      </c>
      <c r="L191">
        <f t="shared" si="17"/>
        <v>0</v>
      </c>
      <c r="M191" t="b">
        <f t="shared" si="16"/>
        <v>0</v>
      </c>
    </row>
    <row r="192" spans="2:13" x14ac:dyDescent="0.25">
      <c r="B192" s="6"/>
      <c r="C192" s="7"/>
      <c r="D192" s="7"/>
      <c r="E192" s="8"/>
      <c r="F192" t="str">
        <f t="shared" si="13"/>
        <v/>
      </c>
      <c r="G192" t="str">
        <f t="shared" si="14"/>
        <v/>
      </c>
      <c r="J192" s="28" t="e">
        <f>LOOKUP(2,1/(COUNTIF($J$4:J191,'Larger Data Sets'!$B$3:$B$8003)=0),'Larger Data Sets'!$B$3:$B$8003)</f>
        <v>#N/A</v>
      </c>
      <c r="K192" s="28" t="str">
        <f t="shared" si="15"/>
        <v xml:space="preserve"> </v>
      </c>
      <c r="L192">
        <f t="shared" si="17"/>
        <v>0</v>
      </c>
      <c r="M192" t="b">
        <f t="shared" si="16"/>
        <v>0</v>
      </c>
    </row>
    <row r="193" spans="2:13" x14ac:dyDescent="0.25">
      <c r="B193" s="6"/>
      <c r="C193" s="7"/>
      <c r="D193" s="7"/>
      <c r="E193" s="8"/>
      <c r="F193" t="str">
        <f t="shared" si="13"/>
        <v/>
      </c>
      <c r="G193" t="str">
        <f t="shared" si="14"/>
        <v/>
      </c>
      <c r="J193" s="28" t="e">
        <f>LOOKUP(2,1/(COUNTIF($J$4:J192,'Larger Data Sets'!$B$3:$B$8003)=0),'Larger Data Sets'!$B$3:$B$8003)</f>
        <v>#N/A</v>
      </c>
      <c r="K193" s="28" t="str">
        <f t="shared" si="15"/>
        <v xml:space="preserve"> </v>
      </c>
      <c r="L193">
        <f t="shared" si="17"/>
        <v>0</v>
      </c>
      <c r="M193" t="b">
        <f t="shared" si="16"/>
        <v>0</v>
      </c>
    </row>
    <row r="194" spans="2:13" x14ac:dyDescent="0.25">
      <c r="B194" s="6"/>
      <c r="C194" s="7"/>
      <c r="D194" s="7"/>
      <c r="E194" s="8"/>
      <c r="F194" t="str">
        <f t="shared" si="13"/>
        <v/>
      </c>
      <c r="G194" t="str">
        <f t="shared" si="14"/>
        <v/>
      </c>
      <c r="J194" s="28" t="e">
        <f>LOOKUP(2,1/(COUNTIF($J$4:J193,'Larger Data Sets'!$B$3:$B$8003)=0),'Larger Data Sets'!$B$3:$B$8003)</f>
        <v>#N/A</v>
      </c>
      <c r="K194" s="28" t="str">
        <f t="shared" si="15"/>
        <v xml:space="preserve"> </v>
      </c>
      <c r="L194">
        <f t="shared" si="17"/>
        <v>0</v>
      </c>
      <c r="M194" t="b">
        <f t="shared" si="16"/>
        <v>0</v>
      </c>
    </row>
    <row r="195" spans="2:13" x14ac:dyDescent="0.25">
      <c r="B195" s="6"/>
      <c r="C195" s="7"/>
      <c r="D195" s="7"/>
      <c r="E195" s="8"/>
      <c r="F195" t="str">
        <f t="shared" si="13"/>
        <v/>
      </c>
      <c r="G195" t="str">
        <f t="shared" si="14"/>
        <v/>
      </c>
      <c r="J195" s="28" t="e">
        <f>LOOKUP(2,1/(COUNTIF($J$4:J194,'Larger Data Sets'!$B$3:$B$8003)=0),'Larger Data Sets'!$B$3:$B$8003)</f>
        <v>#N/A</v>
      </c>
      <c r="K195" s="28" t="str">
        <f t="shared" si="15"/>
        <v xml:space="preserve"> </v>
      </c>
      <c r="L195">
        <f t="shared" si="17"/>
        <v>0</v>
      </c>
      <c r="M195" t="b">
        <f t="shared" si="16"/>
        <v>0</v>
      </c>
    </row>
    <row r="196" spans="2:13" x14ac:dyDescent="0.25">
      <c r="B196" s="6"/>
      <c r="C196" s="7"/>
      <c r="D196" s="7"/>
      <c r="E196" s="8"/>
      <c r="F196" t="str">
        <f t="shared" ref="F196:F259" si="18">IF(B196="","",LOG10(D196))</f>
        <v/>
      </c>
      <c r="G196" t="str">
        <f t="shared" ref="G196:G259" si="19">IF(E196="", "",0.434*E196/D196)</f>
        <v/>
      </c>
      <c r="J196" s="28" t="e">
        <f>LOOKUP(2,1/(COUNTIF($J$4:J195,'Larger Data Sets'!$B$3:$B$8003)=0),'Larger Data Sets'!$B$3:$B$8003)</f>
        <v>#N/A</v>
      </c>
      <c r="K196" s="28" t="str">
        <f t="shared" si="15"/>
        <v xml:space="preserve"> </v>
      </c>
      <c r="L196">
        <f t="shared" si="17"/>
        <v>0</v>
      </c>
      <c r="M196" t="b">
        <f t="shared" si="16"/>
        <v>0</v>
      </c>
    </row>
    <row r="197" spans="2:13" x14ac:dyDescent="0.25">
      <c r="B197" s="6"/>
      <c r="C197" s="7"/>
      <c r="D197" s="7"/>
      <c r="E197" s="8"/>
      <c r="F197" t="str">
        <f t="shared" si="18"/>
        <v/>
      </c>
      <c r="G197" t="str">
        <f t="shared" si="19"/>
        <v/>
      </c>
      <c r="J197" s="28" t="e">
        <f>LOOKUP(2,1/(COUNTIF($J$4:J196,'Larger Data Sets'!$B$3:$B$8003)=0),'Larger Data Sets'!$B$3:$B$8003)</f>
        <v>#N/A</v>
      </c>
      <c r="K197" s="28" t="str">
        <f t="shared" si="15"/>
        <v xml:space="preserve"> </v>
      </c>
      <c r="L197">
        <f t="shared" si="17"/>
        <v>0</v>
      </c>
      <c r="M197" t="b">
        <f t="shared" si="16"/>
        <v>0</v>
      </c>
    </row>
    <row r="198" spans="2:13" x14ac:dyDescent="0.25">
      <c r="B198" s="6"/>
      <c r="C198" s="7"/>
      <c r="D198" s="7"/>
      <c r="E198" s="8"/>
      <c r="F198" t="str">
        <f t="shared" si="18"/>
        <v/>
      </c>
      <c r="G198" t="str">
        <f t="shared" si="19"/>
        <v/>
      </c>
      <c r="J198" s="28" t="e">
        <f>LOOKUP(2,1/(COUNTIF($J$4:J197,'Larger Data Sets'!$B$3:$B$8003)=0),'Larger Data Sets'!$B$3:$B$8003)</f>
        <v>#N/A</v>
      </c>
      <c r="K198" s="28" t="str">
        <f t="shared" ref="K198:K261" si="20">IFERROR(J198," ")</f>
        <v xml:space="preserve"> </v>
      </c>
      <c r="L198">
        <f t="shared" si="17"/>
        <v>0</v>
      </c>
      <c r="M198" t="b">
        <f t="shared" si="16"/>
        <v>0</v>
      </c>
    </row>
    <row r="199" spans="2:13" x14ac:dyDescent="0.25">
      <c r="B199" s="6"/>
      <c r="C199" s="7"/>
      <c r="D199" s="7"/>
      <c r="E199" s="8"/>
      <c r="F199" t="str">
        <f t="shared" si="18"/>
        <v/>
      </c>
      <c r="G199" t="str">
        <f t="shared" si="19"/>
        <v/>
      </c>
      <c r="J199" s="28" t="e">
        <f>LOOKUP(2,1/(COUNTIF($J$4:J198,'Larger Data Sets'!$B$3:$B$8003)=0),'Larger Data Sets'!$B$3:$B$8003)</f>
        <v>#N/A</v>
      </c>
      <c r="K199" s="28" t="str">
        <f t="shared" si="20"/>
        <v xml:space="preserve"> </v>
      </c>
      <c r="L199">
        <f t="shared" si="17"/>
        <v>0</v>
      </c>
      <c r="M199" t="b">
        <f t="shared" ref="M199:M262" si="21">IF(L199&gt;4,L199+1,FALSE)</f>
        <v>0</v>
      </c>
    </row>
    <row r="200" spans="2:13" x14ac:dyDescent="0.25">
      <c r="B200" s="6"/>
      <c r="C200" s="7"/>
      <c r="D200" s="7"/>
      <c r="E200" s="8"/>
      <c r="F200" t="str">
        <f t="shared" si="18"/>
        <v/>
      </c>
      <c r="G200" t="str">
        <f t="shared" si="19"/>
        <v/>
      </c>
      <c r="J200" s="28" t="e">
        <f>LOOKUP(2,1/(COUNTIF($J$4:J199,'Larger Data Sets'!$B$3:$B$8003)=0),'Larger Data Sets'!$B$3:$B$8003)</f>
        <v>#N/A</v>
      </c>
      <c r="K200" s="28" t="str">
        <f t="shared" si="20"/>
        <v xml:space="preserve"> </v>
      </c>
      <c r="L200">
        <f t="shared" si="17"/>
        <v>0</v>
      </c>
      <c r="M200" t="b">
        <f t="shared" si="21"/>
        <v>0</v>
      </c>
    </row>
    <row r="201" spans="2:13" x14ac:dyDescent="0.25">
      <c r="B201" s="6"/>
      <c r="C201" s="7"/>
      <c r="D201" s="7"/>
      <c r="E201" s="8"/>
      <c r="F201" t="str">
        <f t="shared" si="18"/>
        <v/>
      </c>
      <c r="G201" t="str">
        <f t="shared" si="19"/>
        <v/>
      </c>
      <c r="J201" s="28" t="e">
        <f>LOOKUP(2,1/(COUNTIF($J$4:J200,'Larger Data Sets'!$B$3:$B$8003)=0),'Larger Data Sets'!$B$3:$B$8003)</f>
        <v>#N/A</v>
      </c>
      <c r="K201" s="28" t="str">
        <f t="shared" si="20"/>
        <v xml:space="preserve"> </v>
      </c>
      <c r="L201">
        <f t="shared" si="17"/>
        <v>0</v>
      </c>
      <c r="M201" t="b">
        <f t="shared" si="21"/>
        <v>0</v>
      </c>
    </row>
    <row r="202" spans="2:13" x14ac:dyDescent="0.25">
      <c r="B202" s="6"/>
      <c r="C202" s="7"/>
      <c r="D202" s="7"/>
      <c r="E202" s="8"/>
      <c r="F202" t="str">
        <f t="shared" si="18"/>
        <v/>
      </c>
      <c r="G202" t="str">
        <f t="shared" si="19"/>
        <v/>
      </c>
      <c r="J202" s="28" t="e">
        <f>LOOKUP(2,1/(COUNTIF($J$4:J201,'Larger Data Sets'!$B$3:$B$8003)=0),'Larger Data Sets'!$B$3:$B$8003)</f>
        <v>#N/A</v>
      </c>
      <c r="K202" s="28" t="str">
        <f t="shared" si="20"/>
        <v xml:space="preserve"> </v>
      </c>
      <c r="L202">
        <f t="shared" si="17"/>
        <v>0</v>
      </c>
      <c r="M202" t="b">
        <f t="shared" si="21"/>
        <v>0</v>
      </c>
    </row>
    <row r="203" spans="2:13" x14ac:dyDescent="0.25">
      <c r="B203" s="6"/>
      <c r="C203" s="7"/>
      <c r="D203" s="7"/>
      <c r="E203" s="8"/>
      <c r="F203" t="str">
        <f t="shared" si="18"/>
        <v/>
      </c>
      <c r="G203" t="str">
        <f t="shared" si="19"/>
        <v/>
      </c>
      <c r="J203" s="28" t="e">
        <f>LOOKUP(2,1/(COUNTIF($J$4:J202,'Larger Data Sets'!$B$3:$B$8003)=0),'Larger Data Sets'!$B$3:$B$8003)</f>
        <v>#N/A</v>
      </c>
      <c r="K203" s="28" t="str">
        <f t="shared" si="20"/>
        <v xml:space="preserve"> </v>
      </c>
      <c r="L203">
        <f t="shared" si="17"/>
        <v>0</v>
      </c>
      <c r="M203" t="b">
        <f t="shared" si="21"/>
        <v>0</v>
      </c>
    </row>
    <row r="204" spans="2:13" x14ac:dyDescent="0.25">
      <c r="B204" s="6"/>
      <c r="C204" s="7"/>
      <c r="D204" s="7"/>
      <c r="E204" s="8"/>
      <c r="F204" t="str">
        <f t="shared" si="18"/>
        <v/>
      </c>
      <c r="G204" t="str">
        <f t="shared" si="19"/>
        <v/>
      </c>
      <c r="J204" s="28" t="e">
        <f>LOOKUP(2,1/(COUNTIF($J$4:J203,'Larger Data Sets'!$B$3:$B$8003)=0),'Larger Data Sets'!$B$3:$B$8003)</f>
        <v>#N/A</v>
      </c>
      <c r="K204" s="28" t="str">
        <f t="shared" si="20"/>
        <v xml:space="preserve"> </v>
      </c>
      <c r="L204">
        <f t="shared" si="17"/>
        <v>0</v>
      </c>
      <c r="M204" t="b">
        <f t="shared" si="21"/>
        <v>0</v>
      </c>
    </row>
    <row r="205" spans="2:13" x14ac:dyDescent="0.25">
      <c r="B205" s="6"/>
      <c r="C205" s="7"/>
      <c r="D205" s="7"/>
      <c r="E205" s="8"/>
      <c r="F205" t="str">
        <f t="shared" si="18"/>
        <v/>
      </c>
      <c r="G205" t="str">
        <f t="shared" si="19"/>
        <v/>
      </c>
      <c r="J205" s="28" t="e">
        <f>LOOKUP(2,1/(COUNTIF($J$4:J204,'Larger Data Sets'!$B$3:$B$8003)=0),'Larger Data Sets'!$B$3:$B$8003)</f>
        <v>#N/A</v>
      </c>
      <c r="K205" s="28" t="str">
        <f t="shared" si="20"/>
        <v xml:space="preserve"> </v>
      </c>
      <c r="L205">
        <f t="shared" si="17"/>
        <v>0</v>
      </c>
      <c r="M205" t="b">
        <f t="shared" si="21"/>
        <v>0</v>
      </c>
    </row>
    <row r="206" spans="2:13" x14ac:dyDescent="0.25">
      <c r="B206" s="6"/>
      <c r="C206" s="7"/>
      <c r="D206" s="7"/>
      <c r="E206" s="8"/>
      <c r="F206" t="str">
        <f t="shared" si="18"/>
        <v/>
      </c>
      <c r="G206" t="str">
        <f t="shared" si="19"/>
        <v/>
      </c>
      <c r="J206" s="28" t="e">
        <f>LOOKUP(2,1/(COUNTIF($J$4:J205,'Larger Data Sets'!$B$3:$B$8003)=0),'Larger Data Sets'!$B$3:$B$8003)</f>
        <v>#N/A</v>
      </c>
      <c r="K206" s="28" t="str">
        <f t="shared" si="20"/>
        <v xml:space="preserve"> </v>
      </c>
      <c r="L206">
        <f t="shared" si="17"/>
        <v>0</v>
      </c>
      <c r="M206" t="b">
        <f t="shared" si="21"/>
        <v>0</v>
      </c>
    </row>
    <row r="207" spans="2:13" x14ac:dyDescent="0.25">
      <c r="B207" s="6"/>
      <c r="C207" s="7"/>
      <c r="D207" s="7"/>
      <c r="E207" s="8"/>
      <c r="F207" t="str">
        <f t="shared" si="18"/>
        <v/>
      </c>
      <c r="G207" t="str">
        <f t="shared" si="19"/>
        <v/>
      </c>
      <c r="J207" s="28" t="e">
        <f>LOOKUP(2,1/(COUNTIF($J$4:J206,'Larger Data Sets'!$B$3:$B$8003)=0),'Larger Data Sets'!$B$3:$B$8003)</f>
        <v>#N/A</v>
      </c>
      <c r="K207" s="28" t="str">
        <f t="shared" si="20"/>
        <v xml:space="preserve"> </v>
      </c>
      <c r="L207">
        <f t="shared" si="17"/>
        <v>0</v>
      </c>
      <c r="M207" t="b">
        <f t="shared" si="21"/>
        <v>0</v>
      </c>
    </row>
    <row r="208" spans="2:13" x14ac:dyDescent="0.25">
      <c r="B208" s="6"/>
      <c r="C208" s="7"/>
      <c r="D208" s="7"/>
      <c r="E208" s="8"/>
      <c r="F208" t="str">
        <f t="shared" si="18"/>
        <v/>
      </c>
      <c r="G208" t="str">
        <f t="shared" si="19"/>
        <v/>
      </c>
      <c r="J208" s="28" t="e">
        <f>LOOKUP(2,1/(COUNTIF($J$4:J207,'Larger Data Sets'!$B$3:$B$8003)=0),'Larger Data Sets'!$B$3:$B$8003)</f>
        <v>#N/A</v>
      </c>
      <c r="K208" s="28" t="str">
        <f t="shared" si="20"/>
        <v xml:space="preserve"> </v>
      </c>
      <c r="L208">
        <f t="shared" ref="L208:L271" si="22">COUNTIF($B$3:$B$8003,$J208)</f>
        <v>0</v>
      </c>
      <c r="M208" t="b">
        <f t="shared" si="21"/>
        <v>0</v>
      </c>
    </row>
    <row r="209" spans="2:13" x14ac:dyDescent="0.25">
      <c r="B209" s="6"/>
      <c r="C209" s="7"/>
      <c r="D209" s="7"/>
      <c r="E209" s="8"/>
      <c r="F209" t="str">
        <f t="shared" si="18"/>
        <v/>
      </c>
      <c r="G209" t="str">
        <f t="shared" si="19"/>
        <v/>
      </c>
      <c r="J209" s="28" t="e">
        <f>LOOKUP(2,1/(COUNTIF($J$4:J208,'Larger Data Sets'!$B$3:$B$8003)=0),'Larger Data Sets'!$B$3:$B$8003)</f>
        <v>#N/A</v>
      </c>
      <c r="K209" s="28" t="str">
        <f t="shared" si="20"/>
        <v xml:space="preserve"> </v>
      </c>
      <c r="L209">
        <f t="shared" si="22"/>
        <v>0</v>
      </c>
      <c r="M209" t="b">
        <f t="shared" si="21"/>
        <v>0</v>
      </c>
    </row>
    <row r="210" spans="2:13" x14ac:dyDescent="0.25">
      <c r="B210" s="6"/>
      <c r="C210" s="7"/>
      <c r="D210" s="7"/>
      <c r="E210" s="8"/>
      <c r="F210" t="str">
        <f t="shared" si="18"/>
        <v/>
      </c>
      <c r="G210" t="str">
        <f t="shared" si="19"/>
        <v/>
      </c>
      <c r="J210" s="28" t="e">
        <f>LOOKUP(2,1/(COUNTIF($J$4:J209,'Larger Data Sets'!$B$3:$B$8003)=0),'Larger Data Sets'!$B$3:$B$8003)</f>
        <v>#N/A</v>
      </c>
      <c r="K210" s="28" t="str">
        <f t="shared" si="20"/>
        <v xml:space="preserve"> </v>
      </c>
      <c r="L210">
        <f t="shared" si="22"/>
        <v>0</v>
      </c>
      <c r="M210" t="b">
        <f t="shared" si="21"/>
        <v>0</v>
      </c>
    </row>
    <row r="211" spans="2:13" x14ac:dyDescent="0.25">
      <c r="B211" s="6"/>
      <c r="C211" s="7"/>
      <c r="D211" s="7"/>
      <c r="E211" s="8"/>
      <c r="F211" t="str">
        <f t="shared" si="18"/>
        <v/>
      </c>
      <c r="G211" t="str">
        <f t="shared" si="19"/>
        <v/>
      </c>
      <c r="J211" s="28" t="e">
        <f>LOOKUP(2,1/(COUNTIF($J$4:J210,'Larger Data Sets'!$B$3:$B$8003)=0),'Larger Data Sets'!$B$3:$B$8003)</f>
        <v>#N/A</v>
      </c>
      <c r="K211" s="28" t="str">
        <f t="shared" si="20"/>
        <v xml:space="preserve"> </v>
      </c>
      <c r="L211">
        <f t="shared" si="22"/>
        <v>0</v>
      </c>
      <c r="M211" t="b">
        <f t="shared" si="21"/>
        <v>0</v>
      </c>
    </row>
    <row r="212" spans="2:13" x14ac:dyDescent="0.25">
      <c r="B212" s="6"/>
      <c r="C212" s="7"/>
      <c r="D212" s="7"/>
      <c r="E212" s="8"/>
      <c r="F212" t="str">
        <f t="shared" si="18"/>
        <v/>
      </c>
      <c r="G212" t="str">
        <f t="shared" si="19"/>
        <v/>
      </c>
      <c r="J212" s="28" t="e">
        <f>LOOKUP(2,1/(COUNTIF($J$4:J211,'Larger Data Sets'!$B$3:$B$8003)=0),'Larger Data Sets'!$B$3:$B$8003)</f>
        <v>#N/A</v>
      </c>
      <c r="K212" s="28" t="str">
        <f t="shared" si="20"/>
        <v xml:space="preserve"> </v>
      </c>
      <c r="L212">
        <f t="shared" si="22"/>
        <v>0</v>
      </c>
      <c r="M212" t="b">
        <f t="shared" si="21"/>
        <v>0</v>
      </c>
    </row>
    <row r="213" spans="2:13" x14ac:dyDescent="0.25">
      <c r="B213" s="6"/>
      <c r="C213" s="7"/>
      <c r="D213" s="7"/>
      <c r="E213" s="8"/>
      <c r="F213" t="str">
        <f t="shared" si="18"/>
        <v/>
      </c>
      <c r="G213" t="str">
        <f t="shared" si="19"/>
        <v/>
      </c>
      <c r="J213" s="28" t="e">
        <f>LOOKUP(2,1/(COUNTIF($J$4:J212,'Larger Data Sets'!$B$3:$B$8003)=0),'Larger Data Sets'!$B$3:$B$8003)</f>
        <v>#N/A</v>
      </c>
      <c r="K213" s="28" t="str">
        <f t="shared" si="20"/>
        <v xml:space="preserve"> </v>
      </c>
      <c r="L213">
        <f t="shared" si="22"/>
        <v>0</v>
      </c>
      <c r="M213" t="b">
        <f t="shared" si="21"/>
        <v>0</v>
      </c>
    </row>
    <row r="214" spans="2:13" x14ac:dyDescent="0.25">
      <c r="B214" s="6"/>
      <c r="C214" s="7"/>
      <c r="D214" s="7"/>
      <c r="E214" s="8"/>
      <c r="F214" t="str">
        <f t="shared" si="18"/>
        <v/>
      </c>
      <c r="G214" t="str">
        <f t="shared" si="19"/>
        <v/>
      </c>
      <c r="J214" s="28" t="e">
        <f>LOOKUP(2,1/(COUNTIF($J$4:J213,'Larger Data Sets'!$B$3:$B$8003)=0),'Larger Data Sets'!$B$3:$B$8003)</f>
        <v>#N/A</v>
      </c>
      <c r="K214" s="28" t="str">
        <f t="shared" si="20"/>
        <v xml:space="preserve"> </v>
      </c>
      <c r="L214">
        <f t="shared" si="22"/>
        <v>0</v>
      </c>
      <c r="M214" t="b">
        <f t="shared" si="21"/>
        <v>0</v>
      </c>
    </row>
    <row r="215" spans="2:13" x14ac:dyDescent="0.25">
      <c r="B215" s="6"/>
      <c r="C215" s="7"/>
      <c r="D215" s="7"/>
      <c r="E215" s="8"/>
      <c r="F215" t="str">
        <f t="shared" si="18"/>
        <v/>
      </c>
      <c r="G215" t="str">
        <f t="shared" si="19"/>
        <v/>
      </c>
      <c r="J215" s="28" t="e">
        <f>LOOKUP(2,1/(COUNTIF($J$4:J214,'Larger Data Sets'!$B$3:$B$8003)=0),'Larger Data Sets'!$B$3:$B$8003)</f>
        <v>#N/A</v>
      </c>
      <c r="K215" s="28" t="str">
        <f t="shared" si="20"/>
        <v xml:space="preserve"> </v>
      </c>
      <c r="L215">
        <f t="shared" si="22"/>
        <v>0</v>
      </c>
      <c r="M215" t="b">
        <f t="shared" si="21"/>
        <v>0</v>
      </c>
    </row>
    <row r="216" spans="2:13" x14ac:dyDescent="0.25">
      <c r="B216" s="6"/>
      <c r="C216" s="7"/>
      <c r="D216" s="7"/>
      <c r="E216" s="8"/>
      <c r="F216" t="str">
        <f t="shared" si="18"/>
        <v/>
      </c>
      <c r="G216" t="str">
        <f t="shared" si="19"/>
        <v/>
      </c>
      <c r="J216" s="28" t="e">
        <f>LOOKUP(2,1/(COUNTIF($J$4:J215,'Larger Data Sets'!$B$3:$B$8003)=0),'Larger Data Sets'!$B$3:$B$8003)</f>
        <v>#N/A</v>
      </c>
      <c r="K216" s="28" t="str">
        <f t="shared" si="20"/>
        <v xml:space="preserve"> </v>
      </c>
      <c r="L216">
        <f t="shared" si="22"/>
        <v>0</v>
      </c>
      <c r="M216" t="b">
        <f t="shared" si="21"/>
        <v>0</v>
      </c>
    </row>
    <row r="217" spans="2:13" x14ac:dyDescent="0.25">
      <c r="B217" s="6"/>
      <c r="C217" s="7"/>
      <c r="D217" s="7"/>
      <c r="E217" s="8"/>
      <c r="F217" t="str">
        <f t="shared" si="18"/>
        <v/>
      </c>
      <c r="G217" t="str">
        <f t="shared" si="19"/>
        <v/>
      </c>
      <c r="J217" s="28" t="e">
        <f>LOOKUP(2,1/(COUNTIF($J$4:J216,'Larger Data Sets'!$B$3:$B$8003)=0),'Larger Data Sets'!$B$3:$B$8003)</f>
        <v>#N/A</v>
      </c>
      <c r="K217" s="28" t="str">
        <f t="shared" si="20"/>
        <v xml:space="preserve"> </v>
      </c>
      <c r="L217">
        <f t="shared" si="22"/>
        <v>0</v>
      </c>
      <c r="M217" t="b">
        <f t="shared" si="21"/>
        <v>0</v>
      </c>
    </row>
    <row r="218" spans="2:13" x14ac:dyDescent="0.25">
      <c r="B218" s="6"/>
      <c r="C218" s="7"/>
      <c r="D218" s="7"/>
      <c r="E218" s="8"/>
      <c r="F218" t="str">
        <f t="shared" si="18"/>
        <v/>
      </c>
      <c r="G218" t="str">
        <f t="shared" si="19"/>
        <v/>
      </c>
      <c r="J218" s="28" t="e">
        <f>LOOKUP(2,1/(COUNTIF($J$4:J217,'Larger Data Sets'!$B$3:$B$8003)=0),'Larger Data Sets'!$B$3:$B$8003)</f>
        <v>#N/A</v>
      </c>
      <c r="K218" s="28" t="str">
        <f t="shared" si="20"/>
        <v xml:space="preserve"> </v>
      </c>
      <c r="L218">
        <f t="shared" si="22"/>
        <v>0</v>
      </c>
      <c r="M218" t="b">
        <f t="shared" si="21"/>
        <v>0</v>
      </c>
    </row>
    <row r="219" spans="2:13" x14ac:dyDescent="0.25">
      <c r="B219" s="6"/>
      <c r="C219" s="7"/>
      <c r="D219" s="7"/>
      <c r="E219" s="8"/>
      <c r="F219" t="str">
        <f t="shared" si="18"/>
        <v/>
      </c>
      <c r="G219" t="str">
        <f t="shared" si="19"/>
        <v/>
      </c>
      <c r="J219" s="28" t="e">
        <f>LOOKUP(2,1/(COUNTIF($J$4:J218,'Larger Data Sets'!$B$3:$B$8003)=0),'Larger Data Sets'!$B$3:$B$8003)</f>
        <v>#N/A</v>
      </c>
      <c r="K219" s="28" t="str">
        <f t="shared" si="20"/>
        <v xml:space="preserve"> </v>
      </c>
      <c r="L219">
        <f t="shared" si="22"/>
        <v>0</v>
      </c>
      <c r="M219" t="b">
        <f t="shared" si="21"/>
        <v>0</v>
      </c>
    </row>
    <row r="220" spans="2:13" x14ac:dyDescent="0.25">
      <c r="B220" s="6"/>
      <c r="C220" s="7"/>
      <c r="D220" s="7"/>
      <c r="E220" s="8"/>
      <c r="F220" t="str">
        <f t="shared" si="18"/>
        <v/>
      </c>
      <c r="G220" t="str">
        <f t="shared" si="19"/>
        <v/>
      </c>
      <c r="J220" s="28" t="e">
        <f>LOOKUP(2,1/(COUNTIF($J$4:J219,'Larger Data Sets'!$B$3:$B$8003)=0),'Larger Data Sets'!$B$3:$B$8003)</f>
        <v>#N/A</v>
      </c>
      <c r="K220" s="28" t="str">
        <f t="shared" si="20"/>
        <v xml:space="preserve"> </v>
      </c>
      <c r="L220">
        <f t="shared" si="22"/>
        <v>0</v>
      </c>
      <c r="M220" t="b">
        <f t="shared" si="21"/>
        <v>0</v>
      </c>
    </row>
    <row r="221" spans="2:13" x14ac:dyDescent="0.25">
      <c r="B221" s="6"/>
      <c r="C221" s="7"/>
      <c r="D221" s="7"/>
      <c r="E221" s="8"/>
      <c r="F221" t="str">
        <f t="shared" si="18"/>
        <v/>
      </c>
      <c r="G221" t="str">
        <f t="shared" si="19"/>
        <v/>
      </c>
      <c r="J221" s="28" t="e">
        <f>LOOKUP(2,1/(COUNTIF($J$4:J220,'Larger Data Sets'!$B$3:$B$8003)=0),'Larger Data Sets'!$B$3:$B$8003)</f>
        <v>#N/A</v>
      </c>
      <c r="K221" s="28" t="str">
        <f t="shared" si="20"/>
        <v xml:space="preserve"> </v>
      </c>
      <c r="L221">
        <f t="shared" si="22"/>
        <v>0</v>
      </c>
      <c r="M221" t="b">
        <f t="shared" si="21"/>
        <v>0</v>
      </c>
    </row>
    <row r="222" spans="2:13" x14ac:dyDescent="0.25">
      <c r="B222" s="6"/>
      <c r="C222" s="7"/>
      <c r="D222" s="7"/>
      <c r="E222" s="8"/>
      <c r="F222" t="str">
        <f t="shared" si="18"/>
        <v/>
      </c>
      <c r="G222" t="str">
        <f t="shared" si="19"/>
        <v/>
      </c>
      <c r="J222" s="28" t="e">
        <f>LOOKUP(2,1/(COUNTIF($J$4:J221,'Larger Data Sets'!$B$3:$B$8003)=0),'Larger Data Sets'!$B$3:$B$8003)</f>
        <v>#N/A</v>
      </c>
      <c r="K222" s="28" t="str">
        <f t="shared" si="20"/>
        <v xml:space="preserve"> </v>
      </c>
      <c r="L222">
        <f t="shared" si="22"/>
        <v>0</v>
      </c>
      <c r="M222" t="b">
        <f t="shared" si="21"/>
        <v>0</v>
      </c>
    </row>
    <row r="223" spans="2:13" x14ac:dyDescent="0.25">
      <c r="B223" s="6"/>
      <c r="C223" s="7"/>
      <c r="D223" s="7"/>
      <c r="E223" s="8"/>
      <c r="F223" t="str">
        <f t="shared" si="18"/>
        <v/>
      </c>
      <c r="G223" t="str">
        <f t="shared" si="19"/>
        <v/>
      </c>
      <c r="J223" s="28" t="e">
        <f>LOOKUP(2,1/(COUNTIF($J$4:J222,'Larger Data Sets'!$B$3:$B$8003)=0),'Larger Data Sets'!$B$3:$B$8003)</f>
        <v>#N/A</v>
      </c>
      <c r="K223" s="28" t="str">
        <f t="shared" si="20"/>
        <v xml:space="preserve"> </v>
      </c>
      <c r="L223">
        <f t="shared" si="22"/>
        <v>0</v>
      </c>
      <c r="M223" t="b">
        <f t="shared" si="21"/>
        <v>0</v>
      </c>
    </row>
    <row r="224" spans="2:13" x14ac:dyDescent="0.25">
      <c r="B224" s="6"/>
      <c r="C224" s="7"/>
      <c r="D224" s="7"/>
      <c r="E224" s="8"/>
      <c r="F224" t="str">
        <f t="shared" si="18"/>
        <v/>
      </c>
      <c r="G224" t="str">
        <f t="shared" si="19"/>
        <v/>
      </c>
      <c r="J224" s="28" t="e">
        <f>LOOKUP(2,1/(COUNTIF($J$4:J223,'Larger Data Sets'!$B$3:$B$8003)=0),'Larger Data Sets'!$B$3:$B$8003)</f>
        <v>#N/A</v>
      </c>
      <c r="K224" s="28" t="str">
        <f t="shared" si="20"/>
        <v xml:space="preserve"> </v>
      </c>
      <c r="L224">
        <f t="shared" si="22"/>
        <v>0</v>
      </c>
      <c r="M224" t="b">
        <f t="shared" si="21"/>
        <v>0</v>
      </c>
    </row>
    <row r="225" spans="2:13" x14ac:dyDescent="0.25">
      <c r="B225" s="6"/>
      <c r="C225" s="7"/>
      <c r="D225" s="7"/>
      <c r="E225" s="8"/>
      <c r="F225" t="str">
        <f t="shared" si="18"/>
        <v/>
      </c>
      <c r="G225" t="str">
        <f t="shared" si="19"/>
        <v/>
      </c>
      <c r="J225" s="28" t="e">
        <f>LOOKUP(2,1/(COUNTIF($J$4:J224,'Larger Data Sets'!$B$3:$B$8003)=0),'Larger Data Sets'!$B$3:$B$8003)</f>
        <v>#N/A</v>
      </c>
      <c r="K225" s="28" t="str">
        <f t="shared" si="20"/>
        <v xml:space="preserve"> </v>
      </c>
      <c r="L225">
        <f t="shared" si="22"/>
        <v>0</v>
      </c>
      <c r="M225" t="b">
        <f t="shared" si="21"/>
        <v>0</v>
      </c>
    </row>
    <row r="226" spans="2:13" x14ac:dyDescent="0.25">
      <c r="B226" s="6"/>
      <c r="C226" s="7"/>
      <c r="D226" s="7"/>
      <c r="E226" s="8"/>
      <c r="F226" t="str">
        <f t="shared" si="18"/>
        <v/>
      </c>
      <c r="G226" t="str">
        <f t="shared" si="19"/>
        <v/>
      </c>
      <c r="J226" s="28" t="e">
        <f>LOOKUP(2,1/(COUNTIF($J$4:J225,'Larger Data Sets'!$B$3:$B$8003)=0),'Larger Data Sets'!$B$3:$B$8003)</f>
        <v>#N/A</v>
      </c>
      <c r="K226" s="28" t="str">
        <f t="shared" si="20"/>
        <v xml:space="preserve"> </v>
      </c>
      <c r="L226">
        <f t="shared" si="22"/>
        <v>0</v>
      </c>
      <c r="M226" t="b">
        <f t="shared" si="21"/>
        <v>0</v>
      </c>
    </row>
    <row r="227" spans="2:13" x14ac:dyDescent="0.25">
      <c r="B227" s="6"/>
      <c r="C227" s="7"/>
      <c r="D227" s="7"/>
      <c r="E227" s="8"/>
      <c r="F227" t="str">
        <f t="shared" si="18"/>
        <v/>
      </c>
      <c r="G227" t="str">
        <f t="shared" si="19"/>
        <v/>
      </c>
      <c r="J227" s="28" t="e">
        <f>LOOKUP(2,1/(COUNTIF($J$4:J226,'Larger Data Sets'!$B$3:$B$8003)=0),'Larger Data Sets'!$B$3:$B$8003)</f>
        <v>#N/A</v>
      </c>
      <c r="K227" s="28" t="str">
        <f t="shared" si="20"/>
        <v xml:space="preserve"> </v>
      </c>
      <c r="L227">
        <f t="shared" si="22"/>
        <v>0</v>
      </c>
      <c r="M227" t="b">
        <f t="shared" si="21"/>
        <v>0</v>
      </c>
    </row>
    <row r="228" spans="2:13" x14ac:dyDescent="0.25">
      <c r="B228" s="6"/>
      <c r="C228" s="7"/>
      <c r="D228" s="7"/>
      <c r="E228" s="8"/>
      <c r="F228" t="str">
        <f t="shared" si="18"/>
        <v/>
      </c>
      <c r="G228" t="str">
        <f t="shared" si="19"/>
        <v/>
      </c>
      <c r="J228" s="28" t="e">
        <f>LOOKUP(2,1/(COUNTIF($J$4:J227,'Larger Data Sets'!$B$3:$B$8003)=0),'Larger Data Sets'!$B$3:$B$8003)</f>
        <v>#N/A</v>
      </c>
      <c r="K228" s="28" t="str">
        <f t="shared" si="20"/>
        <v xml:space="preserve"> </v>
      </c>
      <c r="L228">
        <f t="shared" si="22"/>
        <v>0</v>
      </c>
      <c r="M228" t="b">
        <f t="shared" si="21"/>
        <v>0</v>
      </c>
    </row>
    <row r="229" spans="2:13" x14ac:dyDescent="0.25">
      <c r="B229" s="6"/>
      <c r="C229" s="7"/>
      <c r="D229" s="7"/>
      <c r="E229" s="8"/>
      <c r="F229" t="str">
        <f t="shared" si="18"/>
        <v/>
      </c>
      <c r="G229" t="str">
        <f t="shared" si="19"/>
        <v/>
      </c>
      <c r="J229" s="28" t="e">
        <f>LOOKUP(2,1/(COUNTIF($J$4:J228,'Larger Data Sets'!$B$3:$B$8003)=0),'Larger Data Sets'!$B$3:$B$8003)</f>
        <v>#N/A</v>
      </c>
      <c r="K229" s="28" t="str">
        <f t="shared" si="20"/>
        <v xml:space="preserve"> </v>
      </c>
      <c r="L229">
        <f t="shared" si="22"/>
        <v>0</v>
      </c>
      <c r="M229" t="b">
        <f t="shared" si="21"/>
        <v>0</v>
      </c>
    </row>
    <row r="230" spans="2:13" x14ac:dyDescent="0.25">
      <c r="B230" s="6"/>
      <c r="C230" s="7"/>
      <c r="D230" s="7"/>
      <c r="E230" s="8"/>
      <c r="F230" t="str">
        <f t="shared" si="18"/>
        <v/>
      </c>
      <c r="G230" t="str">
        <f t="shared" si="19"/>
        <v/>
      </c>
      <c r="J230" s="28" t="e">
        <f>LOOKUP(2,1/(COUNTIF($J$4:J229,'Larger Data Sets'!$B$3:$B$8003)=0),'Larger Data Sets'!$B$3:$B$8003)</f>
        <v>#N/A</v>
      </c>
      <c r="K230" s="28" t="str">
        <f t="shared" si="20"/>
        <v xml:space="preserve"> </v>
      </c>
      <c r="L230">
        <f t="shared" si="22"/>
        <v>0</v>
      </c>
      <c r="M230" t="b">
        <f t="shared" si="21"/>
        <v>0</v>
      </c>
    </row>
    <row r="231" spans="2:13" x14ac:dyDescent="0.25">
      <c r="B231" s="6"/>
      <c r="C231" s="7"/>
      <c r="D231" s="7"/>
      <c r="E231" s="8"/>
      <c r="F231" t="str">
        <f t="shared" si="18"/>
        <v/>
      </c>
      <c r="G231" t="str">
        <f t="shared" si="19"/>
        <v/>
      </c>
      <c r="J231" s="28" t="e">
        <f>LOOKUP(2,1/(COUNTIF($J$4:J230,'Larger Data Sets'!$B$3:$B$8003)=0),'Larger Data Sets'!$B$3:$B$8003)</f>
        <v>#N/A</v>
      </c>
      <c r="K231" s="28" t="str">
        <f t="shared" si="20"/>
        <v xml:space="preserve"> </v>
      </c>
      <c r="L231">
        <f t="shared" si="22"/>
        <v>0</v>
      </c>
      <c r="M231" t="b">
        <f t="shared" si="21"/>
        <v>0</v>
      </c>
    </row>
    <row r="232" spans="2:13" x14ac:dyDescent="0.25">
      <c r="B232" s="6"/>
      <c r="C232" s="7"/>
      <c r="D232" s="7"/>
      <c r="E232" s="8"/>
      <c r="F232" t="str">
        <f t="shared" si="18"/>
        <v/>
      </c>
      <c r="G232" t="str">
        <f t="shared" si="19"/>
        <v/>
      </c>
      <c r="J232" s="28" t="e">
        <f>LOOKUP(2,1/(COUNTIF($J$4:J231,'Larger Data Sets'!$B$3:$B$8003)=0),'Larger Data Sets'!$B$3:$B$8003)</f>
        <v>#N/A</v>
      </c>
      <c r="K232" s="28" t="str">
        <f t="shared" si="20"/>
        <v xml:space="preserve"> </v>
      </c>
      <c r="L232">
        <f t="shared" si="22"/>
        <v>0</v>
      </c>
      <c r="M232" t="b">
        <f t="shared" si="21"/>
        <v>0</v>
      </c>
    </row>
    <row r="233" spans="2:13" x14ac:dyDescent="0.25">
      <c r="B233" s="6"/>
      <c r="C233" s="7"/>
      <c r="D233" s="7"/>
      <c r="E233" s="8"/>
      <c r="F233" t="str">
        <f t="shared" si="18"/>
        <v/>
      </c>
      <c r="G233" t="str">
        <f t="shared" si="19"/>
        <v/>
      </c>
      <c r="J233" s="28" t="e">
        <f>LOOKUP(2,1/(COUNTIF($J$4:J232,'Larger Data Sets'!$B$3:$B$8003)=0),'Larger Data Sets'!$B$3:$B$8003)</f>
        <v>#N/A</v>
      </c>
      <c r="K233" s="28" t="str">
        <f t="shared" si="20"/>
        <v xml:space="preserve"> </v>
      </c>
      <c r="L233">
        <f t="shared" si="22"/>
        <v>0</v>
      </c>
      <c r="M233" t="b">
        <f t="shared" si="21"/>
        <v>0</v>
      </c>
    </row>
    <row r="234" spans="2:13" x14ac:dyDescent="0.25">
      <c r="B234" s="6"/>
      <c r="C234" s="7"/>
      <c r="D234" s="7"/>
      <c r="E234" s="8"/>
      <c r="F234" t="str">
        <f t="shared" si="18"/>
        <v/>
      </c>
      <c r="G234" t="str">
        <f t="shared" si="19"/>
        <v/>
      </c>
      <c r="J234" s="28" t="e">
        <f>LOOKUP(2,1/(COUNTIF($J$4:J233,'Larger Data Sets'!$B$3:$B$8003)=0),'Larger Data Sets'!$B$3:$B$8003)</f>
        <v>#N/A</v>
      </c>
      <c r="K234" s="28" t="str">
        <f t="shared" si="20"/>
        <v xml:space="preserve"> </v>
      </c>
      <c r="L234">
        <f t="shared" si="22"/>
        <v>0</v>
      </c>
      <c r="M234" t="b">
        <f t="shared" si="21"/>
        <v>0</v>
      </c>
    </row>
    <row r="235" spans="2:13" x14ac:dyDescent="0.25">
      <c r="B235" s="6"/>
      <c r="C235" s="7"/>
      <c r="D235" s="7"/>
      <c r="E235" s="8"/>
      <c r="F235" t="str">
        <f t="shared" si="18"/>
        <v/>
      </c>
      <c r="G235" t="str">
        <f t="shared" si="19"/>
        <v/>
      </c>
      <c r="J235" s="28" t="e">
        <f>LOOKUP(2,1/(COUNTIF($J$4:J234,'Larger Data Sets'!$B$3:$B$8003)=0),'Larger Data Sets'!$B$3:$B$8003)</f>
        <v>#N/A</v>
      </c>
      <c r="K235" s="28" t="str">
        <f t="shared" si="20"/>
        <v xml:space="preserve"> </v>
      </c>
      <c r="L235">
        <f t="shared" si="22"/>
        <v>0</v>
      </c>
      <c r="M235" t="b">
        <f t="shared" si="21"/>
        <v>0</v>
      </c>
    </row>
    <row r="236" spans="2:13" x14ac:dyDescent="0.25">
      <c r="B236" s="6"/>
      <c r="C236" s="7"/>
      <c r="D236" s="7"/>
      <c r="E236" s="8"/>
      <c r="F236" t="str">
        <f t="shared" si="18"/>
        <v/>
      </c>
      <c r="G236" t="str">
        <f t="shared" si="19"/>
        <v/>
      </c>
      <c r="J236" s="28" t="e">
        <f>LOOKUP(2,1/(COUNTIF($J$4:J235,'Larger Data Sets'!$B$3:$B$8003)=0),'Larger Data Sets'!$B$3:$B$8003)</f>
        <v>#N/A</v>
      </c>
      <c r="K236" s="28" t="str">
        <f t="shared" si="20"/>
        <v xml:space="preserve"> </v>
      </c>
      <c r="L236">
        <f t="shared" si="22"/>
        <v>0</v>
      </c>
      <c r="M236" t="b">
        <f t="shared" si="21"/>
        <v>0</v>
      </c>
    </row>
    <row r="237" spans="2:13" x14ac:dyDescent="0.25">
      <c r="B237" s="6"/>
      <c r="C237" s="7"/>
      <c r="D237" s="7"/>
      <c r="E237" s="8"/>
      <c r="F237" t="str">
        <f t="shared" si="18"/>
        <v/>
      </c>
      <c r="G237" t="str">
        <f t="shared" si="19"/>
        <v/>
      </c>
      <c r="J237" s="28" t="e">
        <f>LOOKUP(2,1/(COUNTIF($J$4:J236,'Larger Data Sets'!$B$3:$B$8003)=0),'Larger Data Sets'!$B$3:$B$8003)</f>
        <v>#N/A</v>
      </c>
      <c r="K237" s="28" t="str">
        <f t="shared" si="20"/>
        <v xml:space="preserve"> </v>
      </c>
      <c r="L237">
        <f t="shared" si="22"/>
        <v>0</v>
      </c>
      <c r="M237" t="b">
        <f t="shared" si="21"/>
        <v>0</v>
      </c>
    </row>
    <row r="238" spans="2:13" x14ac:dyDescent="0.25">
      <c r="B238" s="6"/>
      <c r="C238" s="7"/>
      <c r="D238" s="7"/>
      <c r="E238" s="8"/>
      <c r="F238" t="str">
        <f t="shared" si="18"/>
        <v/>
      </c>
      <c r="G238" t="str">
        <f t="shared" si="19"/>
        <v/>
      </c>
      <c r="J238" s="28" t="e">
        <f>LOOKUP(2,1/(COUNTIF($J$4:J237,'Larger Data Sets'!$B$3:$B$8003)=0),'Larger Data Sets'!$B$3:$B$8003)</f>
        <v>#N/A</v>
      </c>
      <c r="K238" s="28" t="str">
        <f t="shared" si="20"/>
        <v xml:space="preserve"> </v>
      </c>
      <c r="L238">
        <f t="shared" si="22"/>
        <v>0</v>
      </c>
      <c r="M238" t="b">
        <f t="shared" si="21"/>
        <v>0</v>
      </c>
    </row>
    <row r="239" spans="2:13" x14ac:dyDescent="0.25">
      <c r="B239" s="6"/>
      <c r="C239" s="7"/>
      <c r="D239" s="7"/>
      <c r="E239" s="8"/>
      <c r="F239" t="str">
        <f t="shared" si="18"/>
        <v/>
      </c>
      <c r="G239" t="str">
        <f t="shared" si="19"/>
        <v/>
      </c>
      <c r="J239" s="28" t="e">
        <f>LOOKUP(2,1/(COUNTIF($J$4:J238,'Larger Data Sets'!$B$3:$B$8003)=0),'Larger Data Sets'!$B$3:$B$8003)</f>
        <v>#N/A</v>
      </c>
      <c r="K239" s="28" t="str">
        <f t="shared" si="20"/>
        <v xml:space="preserve"> </v>
      </c>
      <c r="L239">
        <f t="shared" si="22"/>
        <v>0</v>
      </c>
      <c r="M239" t="b">
        <f t="shared" si="21"/>
        <v>0</v>
      </c>
    </row>
    <row r="240" spans="2:13" x14ac:dyDescent="0.25">
      <c r="B240" s="6"/>
      <c r="C240" s="7"/>
      <c r="D240" s="7"/>
      <c r="E240" s="8"/>
      <c r="F240" t="str">
        <f t="shared" si="18"/>
        <v/>
      </c>
      <c r="G240" t="str">
        <f t="shared" si="19"/>
        <v/>
      </c>
      <c r="J240" s="28" t="e">
        <f>LOOKUP(2,1/(COUNTIF($J$4:J239,'Larger Data Sets'!$B$3:$B$8003)=0),'Larger Data Sets'!$B$3:$B$8003)</f>
        <v>#N/A</v>
      </c>
      <c r="K240" s="28" t="str">
        <f t="shared" si="20"/>
        <v xml:space="preserve"> </v>
      </c>
      <c r="L240">
        <f t="shared" si="22"/>
        <v>0</v>
      </c>
      <c r="M240" t="b">
        <f t="shared" si="21"/>
        <v>0</v>
      </c>
    </row>
    <row r="241" spans="2:13" x14ac:dyDescent="0.25">
      <c r="B241" s="6"/>
      <c r="C241" s="7"/>
      <c r="D241" s="7"/>
      <c r="E241" s="8"/>
      <c r="F241" t="str">
        <f t="shared" si="18"/>
        <v/>
      </c>
      <c r="G241" t="str">
        <f t="shared" si="19"/>
        <v/>
      </c>
      <c r="J241" s="28" t="e">
        <f>LOOKUP(2,1/(COUNTIF($J$4:J240,'Larger Data Sets'!$B$3:$B$8003)=0),'Larger Data Sets'!$B$3:$B$8003)</f>
        <v>#N/A</v>
      </c>
      <c r="K241" s="28" t="str">
        <f t="shared" si="20"/>
        <v xml:space="preserve"> </v>
      </c>
      <c r="L241">
        <f t="shared" si="22"/>
        <v>0</v>
      </c>
      <c r="M241" t="b">
        <f t="shared" si="21"/>
        <v>0</v>
      </c>
    </row>
    <row r="242" spans="2:13" x14ac:dyDescent="0.25">
      <c r="B242" s="6"/>
      <c r="C242" s="7"/>
      <c r="D242" s="7"/>
      <c r="E242" s="8"/>
      <c r="F242" t="str">
        <f t="shared" si="18"/>
        <v/>
      </c>
      <c r="G242" t="str">
        <f t="shared" si="19"/>
        <v/>
      </c>
      <c r="J242" s="28" t="e">
        <f>LOOKUP(2,1/(COUNTIF($J$4:J241,'Larger Data Sets'!$B$3:$B$8003)=0),'Larger Data Sets'!$B$3:$B$8003)</f>
        <v>#N/A</v>
      </c>
      <c r="K242" s="28" t="str">
        <f t="shared" si="20"/>
        <v xml:space="preserve"> </v>
      </c>
      <c r="L242">
        <f t="shared" si="22"/>
        <v>0</v>
      </c>
      <c r="M242" t="b">
        <f t="shared" si="21"/>
        <v>0</v>
      </c>
    </row>
    <row r="243" spans="2:13" x14ac:dyDescent="0.25">
      <c r="B243" s="6"/>
      <c r="C243" s="7"/>
      <c r="D243" s="7"/>
      <c r="E243" s="8"/>
      <c r="F243" t="str">
        <f t="shared" si="18"/>
        <v/>
      </c>
      <c r="G243" t="str">
        <f t="shared" si="19"/>
        <v/>
      </c>
      <c r="J243" s="28" t="e">
        <f>LOOKUP(2,1/(COUNTIF($J$4:J242,'Larger Data Sets'!$B$3:$B$8003)=0),'Larger Data Sets'!$B$3:$B$8003)</f>
        <v>#N/A</v>
      </c>
      <c r="K243" s="28" t="str">
        <f t="shared" si="20"/>
        <v xml:space="preserve"> </v>
      </c>
      <c r="L243">
        <f t="shared" si="22"/>
        <v>0</v>
      </c>
      <c r="M243" t="b">
        <f t="shared" si="21"/>
        <v>0</v>
      </c>
    </row>
    <row r="244" spans="2:13" x14ac:dyDescent="0.25">
      <c r="B244" s="6"/>
      <c r="C244" s="7"/>
      <c r="D244" s="7"/>
      <c r="E244" s="8"/>
      <c r="F244" t="str">
        <f t="shared" si="18"/>
        <v/>
      </c>
      <c r="G244" t="str">
        <f t="shared" si="19"/>
        <v/>
      </c>
      <c r="J244" s="28" t="e">
        <f>LOOKUP(2,1/(COUNTIF($J$4:J243,'Larger Data Sets'!$B$3:$B$8003)=0),'Larger Data Sets'!$B$3:$B$8003)</f>
        <v>#N/A</v>
      </c>
      <c r="K244" s="28" t="str">
        <f t="shared" si="20"/>
        <v xml:space="preserve"> </v>
      </c>
      <c r="L244">
        <f t="shared" si="22"/>
        <v>0</v>
      </c>
      <c r="M244" t="b">
        <f t="shared" si="21"/>
        <v>0</v>
      </c>
    </row>
    <row r="245" spans="2:13" x14ac:dyDescent="0.25">
      <c r="B245" s="6"/>
      <c r="C245" s="7"/>
      <c r="D245" s="7"/>
      <c r="E245" s="8"/>
      <c r="F245" t="str">
        <f t="shared" si="18"/>
        <v/>
      </c>
      <c r="G245" t="str">
        <f t="shared" si="19"/>
        <v/>
      </c>
      <c r="J245" s="28" t="e">
        <f>LOOKUP(2,1/(COUNTIF($J$4:J244,'Larger Data Sets'!$B$3:$B$8003)=0),'Larger Data Sets'!$B$3:$B$8003)</f>
        <v>#N/A</v>
      </c>
      <c r="K245" s="28" t="str">
        <f t="shared" si="20"/>
        <v xml:space="preserve"> </v>
      </c>
      <c r="L245">
        <f t="shared" si="22"/>
        <v>0</v>
      </c>
      <c r="M245" t="b">
        <f t="shared" si="21"/>
        <v>0</v>
      </c>
    </row>
    <row r="246" spans="2:13" x14ac:dyDescent="0.25">
      <c r="B246" s="6"/>
      <c r="C246" s="7"/>
      <c r="D246" s="7"/>
      <c r="E246" s="8"/>
      <c r="F246" t="str">
        <f t="shared" si="18"/>
        <v/>
      </c>
      <c r="G246" t="str">
        <f t="shared" si="19"/>
        <v/>
      </c>
      <c r="J246" s="28" t="e">
        <f>LOOKUP(2,1/(COUNTIF($J$4:J245,'Larger Data Sets'!$B$3:$B$8003)=0),'Larger Data Sets'!$B$3:$B$8003)</f>
        <v>#N/A</v>
      </c>
      <c r="K246" s="28" t="str">
        <f t="shared" si="20"/>
        <v xml:space="preserve"> </v>
      </c>
      <c r="L246">
        <f t="shared" si="22"/>
        <v>0</v>
      </c>
      <c r="M246" t="b">
        <f t="shared" si="21"/>
        <v>0</v>
      </c>
    </row>
    <row r="247" spans="2:13" x14ac:dyDescent="0.25">
      <c r="B247" s="6"/>
      <c r="C247" s="7"/>
      <c r="D247" s="7"/>
      <c r="E247" s="8"/>
      <c r="F247" t="str">
        <f t="shared" si="18"/>
        <v/>
      </c>
      <c r="G247" t="str">
        <f t="shared" si="19"/>
        <v/>
      </c>
      <c r="J247" s="28" t="e">
        <f>LOOKUP(2,1/(COUNTIF($J$4:J246,'Larger Data Sets'!$B$3:$B$8003)=0),'Larger Data Sets'!$B$3:$B$8003)</f>
        <v>#N/A</v>
      </c>
      <c r="K247" s="28" t="str">
        <f t="shared" si="20"/>
        <v xml:space="preserve"> </v>
      </c>
      <c r="L247">
        <f t="shared" si="22"/>
        <v>0</v>
      </c>
      <c r="M247" t="b">
        <f t="shared" si="21"/>
        <v>0</v>
      </c>
    </row>
    <row r="248" spans="2:13" x14ac:dyDescent="0.25">
      <c r="B248" s="6"/>
      <c r="C248" s="7"/>
      <c r="D248" s="7"/>
      <c r="E248" s="8"/>
      <c r="F248" t="str">
        <f t="shared" si="18"/>
        <v/>
      </c>
      <c r="G248" t="str">
        <f t="shared" si="19"/>
        <v/>
      </c>
      <c r="J248" s="28" t="e">
        <f>LOOKUP(2,1/(COUNTIF($J$4:J247,'Larger Data Sets'!$B$3:$B$8003)=0),'Larger Data Sets'!$B$3:$B$8003)</f>
        <v>#N/A</v>
      </c>
      <c r="K248" s="28" t="str">
        <f t="shared" si="20"/>
        <v xml:space="preserve"> </v>
      </c>
      <c r="L248">
        <f t="shared" si="22"/>
        <v>0</v>
      </c>
      <c r="M248" t="b">
        <f t="shared" si="21"/>
        <v>0</v>
      </c>
    </row>
    <row r="249" spans="2:13" x14ac:dyDescent="0.25">
      <c r="B249" s="6"/>
      <c r="C249" s="7"/>
      <c r="D249" s="7"/>
      <c r="E249" s="8"/>
      <c r="F249" t="str">
        <f t="shared" si="18"/>
        <v/>
      </c>
      <c r="G249" t="str">
        <f t="shared" si="19"/>
        <v/>
      </c>
      <c r="J249" s="28" t="e">
        <f>LOOKUP(2,1/(COUNTIF($J$4:J248,'Larger Data Sets'!$B$3:$B$8003)=0),'Larger Data Sets'!$B$3:$B$8003)</f>
        <v>#N/A</v>
      </c>
      <c r="K249" s="28" t="str">
        <f t="shared" si="20"/>
        <v xml:space="preserve"> </v>
      </c>
      <c r="L249">
        <f t="shared" si="22"/>
        <v>0</v>
      </c>
      <c r="M249" t="b">
        <f t="shared" si="21"/>
        <v>0</v>
      </c>
    </row>
    <row r="250" spans="2:13" x14ac:dyDescent="0.25">
      <c r="B250" s="6"/>
      <c r="C250" s="7"/>
      <c r="D250" s="7"/>
      <c r="E250" s="8"/>
      <c r="F250" t="str">
        <f t="shared" si="18"/>
        <v/>
      </c>
      <c r="G250" t="str">
        <f t="shared" si="19"/>
        <v/>
      </c>
      <c r="J250" s="28" t="e">
        <f>LOOKUP(2,1/(COUNTIF($J$4:J249,'Larger Data Sets'!$B$3:$B$8003)=0),'Larger Data Sets'!$B$3:$B$8003)</f>
        <v>#N/A</v>
      </c>
      <c r="K250" s="28" t="str">
        <f t="shared" si="20"/>
        <v xml:space="preserve"> </v>
      </c>
      <c r="L250">
        <f t="shared" si="22"/>
        <v>0</v>
      </c>
      <c r="M250" t="b">
        <f t="shared" si="21"/>
        <v>0</v>
      </c>
    </row>
    <row r="251" spans="2:13" x14ac:dyDescent="0.25">
      <c r="B251" s="6"/>
      <c r="C251" s="7"/>
      <c r="D251" s="7"/>
      <c r="E251" s="8"/>
      <c r="F251" t="str">
        <f t="shared" si="18"/>
        <v/>
      </c>
      <c r="G251" t="str">
        <f t="shared" si="19"/>
        <v/>
      </c>
      <c r="J251" s="28" t="e">
        <f>LOOKUP(2,1/(COUNTIF($J$4:J250,'Larger Data Sets'!$B$3:$B$8003)=0),'Larger Data Sets'!$B$3:$B$8003)</f>
        <v>#N/A</v>
      </c>
      <c r="K251" s="28" t="str">
        <f t="shared" si="20"/>
        <v xml:space="preserve"> </v>
      </c>
      <c r="L251">
        <f t="shared" si="22"/>
        <v>0</v>
      </c>
      <c r="M251" t="b">
        <f t="shared" si="21"/>
        <v>0</v>
      </c>
    </row>
    <row r="252" spans="2:13" x14ac:dyDescent="0.25">
      <c r="B252" s="6"/>
      <c r="C252" s="7"/>
      <c r="D252" s="7"/>
      <c r="E252" s="8"/>
      <c r="F252" t="str">
        <f t="shared" si="18"/>
        <v/>
      </c>
      <c r="G252" t="str">
        <f t="shared" si="19"/>
        <v/>
      </c>
      <c r="J252" s="28" t="e">
        <f>LOOKUP(2,1/(COUNTIF($J$4:J251,'Larger Data Sets'!$B$3:$B$8003)=0),'Larger Data Sets'!$B$3:$B$8003)</f>
        <v>#N/A</v>
      </c>
      <c r="K252" s="28" t="str">
        <f t="shared" si="20"/>
        <v xml:space="preserve"> </v>
      </c>
      <c r="L252">
        <f t="shared" si="22"/>
        <v>0</v>
      </c>
      <c r="M252" t="b">
        <f t="shared" si="21"/>
        <v>0</v>
      </c>
    </row>
    <row r="253" spans="2:13" x14ac:dyDescent="0.25">
      <c r="B253" s="6"/>
      <c r="C253" s="7"/>
      <c r="D253" s="7"/>
      <c r="E253" s="8"/>
      <c r="F253" t="str">
        <f t="shared" si="18"/>
        <v/>
      </c>
      <c r="G253" t="str">
        <f t="shared" si="19"/>
        <v/>
      </c>
      <c r="J253" s="28" t="e">
        <f>LOOKUP(2,1/(COUNTIF($J$4:J252,'Larger Data Sets'!$B$3:$B$8003)=0),'Larger Data Sets'!$B$3:$B$8003)</f>
        <v>#N/A</v>
      </c>
      <c r="K253" s="28" t="str">
        <f t="shared" si="20"/>
        <v xml:space="preserve"> </v>
      </c>
      <c r="L253">
        <f t="shared" si="22"/>
        <v>0</v>
      </c>
      <c r="M253" t="b">
        <f t="shared" si="21"/>
        <v>0</v>
      </c>
    </row>
    <row r="254" spans="2:13" x14ac:dyDescent="0.25">
      <c r="B254" s="6"/>
      <c r="C254" s="7"/>
      <c r="D254" s="7"/>
      <c r="E254" s="8"/>
      <c r="F254" t="str">
        <f t="shared" si="18"/>
        <v/>
      </c>
      <c r="G254" t="str">
        <f t="shared" si="19"/>
        <v/>
      </c>
      <c r="J254" s="28" t="e">
        <f>LOOKUP(2,1/(COUNTIF($J$4:J253,'Larger Data Sets'!$B$3:$B$8003)=0),'Larger Data Sets'!$B$3:$B$8003)</f>
        <v>#N/A</v>
      </c>
      <c r="K254" s="28" t="str">
        <f t="shared" si="20"/>
        <v xml:space="preserve"> </v>
      </c>
      <c r="L254">
        <f t="shared" si="22"/>
        <v>0</v>
      </c>
      <c r="M254" t="b">
        <f t="shared" si="21"/>
        <v>0</v>
      </c>
    </row>
    <row r="255" spans="2:13" x14ac:dyDescent="0.25">
      <c r="B255" s="6"/>
      <c r="C255" s="7"/>
      <c r="D255" s="7"/>
      <c r="E255" s="8"/>
      <c r="F255" t="str">
        <f t="shared" si="18"/>
        <v/>
      </c>
      <c r="G255" t="str">
        <f t="shared" si="19"/>
        <v/>
      </c>
      <c r="J255" s="28" t="e">
        <f>LOOKUP(2,1/(COUNTIF($J$4:J254,'Larger Data Sets'!$B$3:$B$8003)=0),'Larger Data Sets'!$B$3:$B$8003)</f>
        <v>#N/A</v>
      </c>
      <c r="K255" s="28" t="str">
        <f t="shared" si="20"/>
        <v xml:space="preserve"> </v>
      </c>
      <c r="L255">
        <f t="shared" si="22"/>
        <v>0</v>
      </c>
      <c r="M255" t="b">
        <f t="shared" si="21"/>
        <v>0</v>
      </c>
    </row>
    <row r="256" spans="2:13" x14ac:dyDescent="0.25">
      <c r="B256" s="6"/>
      <c r="C256" s="7"/>
      <c r="D256" s="7"/>
      <c r="E256" s="8"/>
      <c r="F256" t="str">
        <f t="shared" si="18"/>
        <v/>
      </c>
      <c r="G256" t="str">
        <f t="shared" si="19"/>
        <v/>
      </c>
      <c r="J256" s="28" t="e">
        <f>LOOKUP(2,1/(COUNTIF($J$4:J255,'Larger Data Sets'!$B$3:$B$8003)=0),'Larger Data Sets'!$B$3:$B$8003)</f>
        <v>#N/A</v>
      </c>
      <c r="K256" s="28" t="str">
        <f t="shared" si="20"/>
        <v xml:space="preserve"> </v>
      </c>
      <c r="L256">
        <f t="shared" si="22"/>
        <v>0</v>
      </c>
      <c r="M256" t="b">
        <f t="shared" si="21"/>
        <v>0</v>
      </c>
    </row>
    <row r="257" spans="2:13" x14ac:dyDescent="0.25">
      <c r="B257" s="6"/>
      <c r="C257" s="7"/>
      <c r="D257" s="7"/>
      <c r="E257" s="8"/>
      <c r="F257" t="str">
        <f t="shared" si="18"/>
        <v/>
      </c>
      <c r="G257" t="str">
        <f t="shared" si="19"/>
        <v/>
      </c>
      <c r="J257" s="28" t="e">
        <f>LOOKUP(2,1/(COUNTIF($J$4:J256,'Larger Data Sets'!$B$3:$B$8003)=0),'Larger Data Sets'!$B$3:$B$8003)</f>
        <v>#N/A</v>
      </c>
      <c r="K257" s="28" t="str">
        <f t="shared" si="20"/>
        <v xml:space="preserve"> </v>
      </c>
      <c r="L257">
        <f t="shared" si="22"/>
        <v>0</v>
      </c>
      <c r="M257" t="b">
        <f t="shared" si="21"/>
        <v>0</v>
      </c>
    </row>
    <row r="258" spans="2:13" x14ac:dyDescent="0.25">
      <c r="B258" s="6"/>
      <c r="C258" s="7"/>
      <c r="D258" s="7"/>
      <c r="E258" s="8"/>
      <c r="F258" t="str">
        <f t="shared" si="18"/>
        <v/>
      </c>
      <c r="G258" t="str">
        <f t="shared" si="19"/>
        <v/>
      </c>
      <c r="J258" s="28" t="e">
        <f>LOOKUP(2,1/(COUNTIF($J$4:J257,'Larger Data Sets'!$B$3:$B$8003)=0),'Larger Data Sets'!$B$3:$B$8003)</f>
        <v>#N/A</v>
      </c>
      <c r="K258" s="28" t="str">
        <f t="shared" si="20"/>
        <v xml:space="preserve"> </v>
      </c>
      <c r="L258">
        <f t="shared" si="22"/>
        <v>0</v>
      </c>
      <c r="M258" t="b">
        <f t="shared" si="21"/>
        <v>0</v>
      </c>
    </row>
    <row r="259" spans="2:13" x14ac:dyDescent="0.25">
      <c r="B259" s="6"/>
      <c r="C259" s="7"/>
      <c r="D259" s="7"/>
      <c r="E259" s="8"/>
      <c r="F259" t="str">
        <f t="shared" si="18"/>
        <v/>
      </c>
      <c r="G259" t="str">
        <f t="shared" si="19"/>
        <v/>
      </c>
      <c r="J259" s="28" t="e">
        <f>LOOKUP(2,1/(COUNTIF($J$4:J258,'Larger Data Sets'!$B$3:$B$8003)=0),'Larger Data Sets'!$B$3:$B$8003)</f>
        <v>#N/A</v>
      </c>
      <c r="K259" s="28" t="str">
        <f t="shared" si="20"/>
        <v xml:space="preserve"> </v>
      </c>
      <c r="L259">
        <f t="shared" si="22"/>
        <v>0</v>
      </c>
      <c r="M259" t="b">
        <f t="shared" si="21"/>
        <v>0</v>
      </c>
    </row>
    <row r="260" spans="2:13" x14ac:dyDescent="0.25">
      <c r="B260" s="6"/>
      <c r="C260" s="7"/>
      <c r="D260" s="7"/>
      <c r="E260" s="8"/>
      <c r="F260" t="str">
        <f t="shared" ref="F260:F323" si="23">IF(B260="","",LOG10(D260))</f>
        <v/>
      </c>
      <c r="G260" t="str">
        <f t="shared" ref="G260:G323" si="24">IF(E260="", "",0.434*E260/D260)</f>
        <v/>
      </c>
      <c r="J260" s="28" t="e">
        <f>LOOKUP(2,1/(COUNTIF($J$4:J259,'Larger Data Sets'!$B$3:$B$8003)=0),'Larger Data Sets'!$B$3:$B$8003)</f>
        <v>#N/A</v>
      </c>
      <c r="K260" s="28" t="str">
        <f t="shared" si="20"/>
        <v xml:space="preserve"> </v>
      </c>
      <c r="L260">
        <f t="shared" si="22"/>
        <v>0</v>
      </c>
      <c r="M260" t="b">
        <f t="shared" si="21"/>
        <v>0</v>
      </c>
    </row>
    <row r="261" spans="2:13" x14ac:dyDescent="0.25">
      <c r="B261" s="6"/>
      <c r="C261" s="7"/>
      <c r="D261" s="7"/>
      <c r="E261" s="8"/>
      <c r="F261" t="str">
        <f t="shared" si="23"/>
        <v/>
      </c>
      <c r="G261" t="str">
        <f t="shared" si="24"/>
        <v/>
      </c>
      <c r="J261" s="28" t="e">
        <f>LOOKUP(2,1/(COUNTIF($J$4:J260,'Larger Data Sets'!$B$3:$B$8003)=0),'Larger Data Sets'!$B$3:$B$8003)</f>
        <v>#N/A</v>
      </c>
      <c r="K261" s="28" t="str">
        <f t="shared" si="20"/>
        <v xml:space="preserve"> </v>
      </c>
      <c r="L261">
        <f t="shared" si="22"/>
        <v>0</v>
      </c>
      <c r="M261" t="b">
        <f t="shared" si="21"/>
        <v>0</v>
      </c>
    </row>
    <row r="262" spans="2:13" x14ac:dyDescent="0.25">
      <c r="B262" s="6"/>
      <c r="C262" s="7"/>
      <c r="D262" s="7"/>
      <c r="E262" s="8"/>
      <c r="F262" t="str">
        <f t="shared" si="23"/>
        <v/>
      </c>
      <c r="G262" t="str">
        <f t="shared" si="24"/>
        <v/>
      </c>
      <c r="J262" s="28" t="e">
        <f>LOOKUP(2,1/(COUNTIF($J$4:J261,'Larger Data Sets'!$B$3:$B$8003)=0),'Larger Data Sets'!$B$3:$B$8003)</f>
        <v>#N/A</v>
      </c>
      <c r="K262" s="28" t="str">
        <f t="shared" ref="K262:K325" si="25">IFERROR(J262," ")</f>
        <v xml:space="preserve"> </v>
      </c>
      <c r="L262">
        <f t="shared" si="22"/>
        <v>0</v>
      </c>
      <c r="M262" t="b">
        <f t="shared" si="21"/>
        <v>0</v>
      </c>
    </row>
    <row r="263" spans="2:13" x14ac:dyDescent="0.25">
      <c r="B263" s="6"/>
      <c r="C263" s="7"/>
      <c r="D263" s="7"/>
      <c r="E263" s="8"/>
      <c r="F263" t="str">
        <f t="shared" si="23"/>
        <v/>
      </c>
      <c r="G263" t="str">
        <f t="shared" si="24"/>
        <v/>
      </c>
      <c r="J263" s="28" t="e">
        <f>LOOKUP(2,1/(COUNTIF($J$4:J262,'Larger Data Sets'!$B$3:$B$8003)=0),'Larger Data Sets'!$B$3:$B$8003)</f>
        <v>#N/A</v>
      </c>
      <c r="K263" s="28" t="str">
        <f t="shared" si="25"/>
        <v xml:space="preserve"> </v>
      </c>
      <c r="L263">
        <f t="shared" si="22"/>
        <v>0</v>
      </c>
      <c r="M263" t="b">
        <f t="shared" ref="M263:M326" si="26">IF(L263&gt;4,L263+1,FALSE)</f>
        <v>0</v>
      </c>
    </row>
    <row r="264" spans="2:13" x14ac:dyDescent="0.25">
      <c r="B264" s="6"/>
      <c r="C264" s="7"/>
      <c r="D264" s="7"/>
      <c r="E264" s="8"/>
      <c r="F264" t="str">
        <f t="shared" si="23"/>
        <v/>
      </c>
      <c r="G264" t="str">
        <f t="shared" si="24"/>
        <v/>
      </c>
      <c r="J264" s="28" t="e">
        <f>LOOKUP(2,1/(COUNTIF($J$4:J263,'Larger Data Sets'!$B$3:$B$8003)=0),'Larger Data Sets'!$B$3:$B$8003)</f>
        <v>#N/A</v>
      </c>
      <c r="K264" s="28" t="str">
        <f t="shared" si="25"/>
        <v xml:space="preserve"> </v>
      </c>
      <c r="L264">
        <f t="shared" si="22"/>
        <v>0</v>
      </c>
      <c r="M264" t="b">
        <f t="shared" si="26"/>
        <v>0</v>
      </c>
    </row>
    <row r="265" spans="2:13" x14ac:dyDescent="0.25">
      <c r="B265" s="6"/>
      <c r="C265" s="7"/>
      <c r="D265" s="7"/>
      <c r="E265" s="8"/>
      <c r="F265" t="str">
        <f t="shared" si="23"/>
        <v/>
      </c>
      <c r="G265" t="str">
        <f t="shared" si="24"/>
        <v/>
      </c>
      <c r="J265" s="28" t="e">
        <f>LOOKUP(2,1/(COUNTIF($J$4:J264,'Larger Data Sets'!$B$3:$B$8003)=0),'Larger Data Sets'!$B$3:$B$8003)</f>
        <v>#N/A</v>
      </c>
      <c r="K265" s="28" t="str">
        <f t="shared" si="25"/>
        <v xml:space="preserve"> </v>
      </c>
      <c r="L265">
        <f t="shared" si="22"/>
        <v>0</v>
      </c>
      <c r="M265" t="b">
        <f t="shared" si="26"/>
        <v>0</v>
      </c>
    </row>
    <row r="266" spans="2:13" x14ac:dyDescent="0.25">
      <c r="B266" s="6"/>
      <c r="C266" s="7"/>
      <c r="D266" s="7"/>
      <c r="E266" s="8"/>
      <c r="F266" t="str">
        <f t="shared" si="23"/>
        <v/>
      </c>
      <c r="G266" t="str">
        <f t="shared" si="24"/>
        <v/>
      </c>
      <c r="J266" s="28" t="e">
        <f>LOOKUP(2,1/(COUNTIF($J$4:J265,'Larger Data Sets'!$B$3:$B$8003)=0),'Larger Data Sets'!$B$3:$B$8003)</f>
        <v>#N/A</v>
      </c>
      <c r="K266" s="28" t="str">
        <f t="shared" si="25"/>
        <v xml:space="preserve"> </v>
      </c>
      <c r="L266">
        <f t="shared" si="22"/>
        <v>0</v>
      </c>
      <c r="M266" t="b">
        <f t="shared" si="26"/>
        <v>0</v>
      </c>
    </row>
    <row r="267" spans="2:13" x14ac:dyDescent="0.25">
      <c r="B267" s="6"/>
      <c r="C267" s="7"/>
      <c r="D267" s="7"/>
      <c r="E267" s="8"/>
      <c r="F267" t="str">
        <f t="shared" si="23"/>
        <v/>
      </c>
      <c r="G267" t="str">
        <f t="shared" si="24"/>
        <v/>
      </c>
      <c r="J267" s="28" t="e">
        <f>LOOKUP(2,1/(COUNTIF($J$4:J266,'Larger Data Sets'!$B$3:$B$8003)=0),'Larger Data Sets'!$B$3:$B$8003)</f>
        <v>#N/A</v>
      </c>
      <c r="K267" s="28" t="str">
        <f t="shared" si="25"/>
        <v xml:space="preserve"> </v>
      </c>
      <c r="L267">
        <f t="shared" si="22"/>
        <v>0</v>
      </c>
      <c r="M267" t="b">
        <f t="shared" si="26"/>
        <v>0</v>
      </c>
    </row>
    <row r="268" spans="2:13" x14ac:dyDescent="0.25">
      <c r="B268" s="6"/>
      <c r="C268" s="7"/>
      <c r="D268" s="7"/>
      <c r="E268" s="8"/>
      <c r="F268" t="str">
        <f t="shared" si="23"/>
        <v/>
      </c>
      <c r="G268" t="str">
        <f t="shared" si="24"/>
        <v/>
      </c>
      <c r="J268" s="28" t="e">
        <f>LOOKUP(2,1/(COUNTIF($J$4:J267,'Larger Data Sets'!$B$3:$B$8003)=0),'Larger Data Sets'!$B$3:$B$8003)</f>
        <v>#N/A</v>
      </c>
      <c r="K268" s="28" t="str">
        <f t="shared" si="25"/>
        <v xml:space="preserve"> </v>
      </c>
      <c r="L268">
        <f t="shared" si="22"/>
        <v>0</v>
      </c>
      <c r="M268" t="b">
        <f t="shared" si="26"/>
        <v>0</v>
      </c>
    </row>
    <row r="269" spans="2:13" x14ac:dyDescent="0.25">
      <c r="B269" s="6"/>
      <c r="C269" s="7"/>
      <c r="D269" s="7"/>
      <c r="E269" s="8"/>
      <c r="F269" t="str">
        <f t="shared" si="23"/>
        <v/>
      </c>
      <c r="G269" t="str">
        <f t="shared" si="24"/>
        <v/>
      </c>
      <c r="J269" s="28" t="e">
        <f>LOOKUP(2,1/(COUNTIF($J$4:J268,'Larger Data Sets'!$B$3:$B$8003)=0),'Larger Data Sets'!$B$3:$B$8003)</f>
        <v>#N/A</v>
      </c>
      <c r="K269" s="28" t="str">
        <f t="shared" si="25"/>
        <v xml:space="preserve"> </v>
      </c>
      <c r="L269">
        <f t="shared" si="22"/>
        <v>0</v>
      </c>
      <c r="M269" t="b">
        <f t="shared" si="26"/>
        <v>0</v>
      </c>
    </row>
    <row r="270" spans="2:13" x14ac:dyDescent="0.25">
      <c r="B270" s="6"/>
      <c r="C270" s="7"/>
      <c r="D270" s="7"/>
      <c r="E270" s="8"/>
      <c r="F270" t="str">
        <f t="shared" si="23"/>
        <v/>
      </c>
      <c r="G270" t="str">
        <f t="shared" si="24"/>
        <v/>
      </c>
      <c r="J270" s="28" t="e">
        <f>LOOKUP(2,1/(COUNTIF($J$4:J269,'Larger Data Sets'!$B$3:$B$8003)=0),'Larger Data Sets'!$B$3:$B$8003)</f>
        <v>#N/A</v>
      </c>
      <c r="K270" s="28" t="str">
        <f t="shared" si="25"/>
        <v xml:space="preserve"> </v>
      </c>
      <c r="L270">
        <f t="shared" si="22"/>
        <v>0</v>
      </c>
      <c r="M270" t="b">
        <f t="shared" si="26"/>
        <v>0</v>
      </c>
    </row>
    <row r="271" spans="2:13" x14ac:dyDescent="0.25">
      <c r="B271" s="6"/>
      <c r="C271" s="7"/>
      <c r="D271" s="7"/>
      <c r="E271" s="8"/>
      <c r="F271" t="str">
        <f t="shared" si="23"/>
        <v/>
      </c>
      <c r="G271" t="str">
        <f t="shared" si="24"/>
        <v/>
      </c>
      <c r="J271" s="28" t="e">
        <f>LOOKUP(2,1/(COUNTIF($J$4:J270,'Larger Data Sets'!$B$3:$B$8003)=0),'Larger Data Sets'!$B$3:$B$8003)</f>
        <v>#N/A</v>
      </c>
      <c r="K271" s="28" t="str">
        <f t="shared" si="25"/>
        <v xml:space="preserve"> </v>
      </c>
      <c r="L271">
        <f t="shared" si="22"/>
        <v>0</v>
      </c>
      <c r="M271" t="b">
        <f t="shared" si="26"/>
        <v>0</v>
      </c>
    </row>
    <row r="272" spans="2:13" x14ac:dyDescent="0.25">
      <c r="B272" s="6"/>
      <c r="C272" s="7"/>
      <c r="D272" s="7"/>
      <c r="E272" s="8"/>
      <c r="F272" t="str">
        <f t="shared" si="23"/>
        <v/>
      </c>
      <c r="G272" t="str">
        <f t="shared" si="24"/>
        <v/>
      </c>
      <c r="J272" s="28" t="e">
        <f>LOOKUP(2,1/(COUNTIF($J$4:J271,'Larger Data Sets'!$B$3:$B$8003)=0),'Larger Data Sets'!$B$3:$B$8003)</f>
        <v>#N/A</v>
      </c>
      <c r="K272" s="28" t="str">
        <f t="shared" si="25"/>
        <v xml:space="preserve"> </v>
      </c>
      <c r="L272">
        <f t="shared" ref="L272:L335" si="27">COUNTIF($B$3:$B$8003,$J272)</f>
        <v>0</v>
      </c>
      <c r="M272" t="b">
        <f t="shared" si="26"/>
        <v>0</v>
      </c>
    </row>
    <row r="273" spans="2:13" x14ac:dyDescent="0.25">
      <c r="B273" s="6"/>
      <c r="C273" s="7"/>
      <c r="D273" s="7"/>
      <c r="E273" s="8"/>
      <c r="F273" t="str">
        <f t="shared" si="23"/>
        <v/>
      </c>
      <c r="G273" t="str">
        <f t="shared" si="24"/>
        <v/>
      </c>
      <c r="J273" s="28" t="e">
        <f>LOOKUP(2,1/(COUNTIF($J$4:J272,'Larger Data Sets'!$B$3:$B$8003)=0),'Larger Data Sets'!$B$3:$B$8003)</f>
        <v>#N/A</v>
      </c>
      <c r="K273" s="28" t="str">
        <f t="shared" si="25"/>
        <v xml:space="preserve"> </v>
      </c>
      <c r="L273">
        <f t="shared" si="27"/>
        <v>0</v>
      </c>
      <c r="M273" t="b">
        <f t="shared" si="26"/>
        <v>0</v>
      </c>
    </row>
    <row r="274" spans="2:13" x14ac:dyDescent="0.25">
      <c r="B274" s="6"/>
      <c r="C274" s="7"/>
      <c r="D274" s="7"/>
      <c r="E274" s="8"/>
      <c r="F274" t="str">
        <f t="shared" si="23"/>
        <v/>
      </c>
      <c r="G274" t="str">
        <f t="shared" si="24"/>
        <v/>
      </c>
      <c r="J274" s="28" t="e">
        <f>LOOKUP(2,1/(COUNTIF($J$4:J273,'Larger Data Sets'!$B$3:$B$8003)=0),'Larger Data Sets'!$B$3:$B$8003)</f>
        <v>#N/A</v>
      </c>
      <c r="K274" s="28" t="str">
        <f t="shared" si="25"/>
        <v xml:space="preserve"> </v>
      </c>
      <c r="L274">
        <f t="shared" si="27"/>
        <v>0</v>
      </c>
      <c r="M274" t="b">
        <f t="shared" si="26"/>
        <v>0</v>
      </c>
    </row>
    <row r="275" spans="2:13" x14ac:dyDescent="0.25">
      <c r="B275" s="6"/>
      <c r="C275" s="7"/>
      <c r="D275" s="7"/>
      <c r="E275" s="8"/>
      <c r="F275" t="str">
        <f t="shared" si="23"/>
        <v/>
      </c>
      <c r="G275" t="str">
        <f t="shared" si="24"/>
        <v/>
      </c>
      <c r="J275" s="28" t="e">
        <f>LOOKUP(2,1/(COUNTIF($J$4:J274,'Larger Data Sets'!$B$3:$B$8003)=0),'Larger Data Sets'!$B$3:$B$8003)</f>
        <v>#N/A</v>
      </c>
      <c r="K275" s="28" t="str">
        <f t="shared" si="25"/>
        <v xml:space="preserve"> </v>
      </c>
      <c r="L275">
        <f t="shared" si="27"/>
        <v>0</v>
      </c>
      <c r="M275" t="b">
        <f t="shared" si="26"/>
        <v>0</v>
      </c>
    </row>
    <row r="276" spans="2:13" x14ac:dyDescent="0.25">
      <c r="B276" s="6"/>
      <c r="C276" s="7"/>
      <c r="D276" s="7"/>
      <c r="E276" s="8"/>
      <c r="F276" t="str">
        <f t="shared" si="23"/>
        <v/>
      </c>
      <c r="G276" t="str">
        <f t="shared" si="24"/>
        <v/>
      </c>
      <c r="J276" s="28" t="e">
        <f>LOOKUP(2,1/(COUNTIF($J$4:J275,'Larger Data Sets'!$B$3:$B$8003)=0),'Larger Data Sets'!$B$3:$B$8003)</f>
        <v>#N/A</v>
      </c>
      <c r="K276" s="28" t="str">
        <f t="shared" si="25"/>
        <v xml:space="preserve"> </v>
      </c>
      <c r="L276">
        <f t="shared" si="27"/>
        <v>0</v>
      </c>
      <c r="M276" t="b">
        <f t="shared" si="26"/>
        <v>0</v>
      </c>
    </row>
    <row r="277" spans="2:13" x14ac:dyDescent="0.25">
      <c r="B277" s="6"/>
      <c r="C277" s="7"/>
      <c r="D277" s="7"/>
      <c r="E277" s="8"/>
      <c r="F277" t="str">
        <f t="shared" si="23"/>
        <v/>
      </c>
      <c r="G277" t="str">
        <f t="shared" si="24"/>
        <v/>
      </c>
      <c r="J277" s="28" t="e">
        <f>LOOKUP(2,1/(COUNTIF($J$4:J276,'Larger Data Sets'!$B$3:$B$8003)=0),'Larger Data Sets'!$B$3:$B$8003)</f>
        <v>#N/A</v>
      </c>
      <c r="K277" s="28" t="str">
        <f t="shared" si="25"/>
        <v xml:space="preserve"> </v>
      </c>
      <c r="L277">
        <f t="shared" si="27"/>
        <v>0</v>
      </c>
      <c r="M277" t="b">
        <f t="shared" si="26"/>
        <v>0</v>
      </c>
    </row>
    <row r="278" spans="2:13" x14ac:dyDescent="0.25">
      <c r="B278" s="6"/>
      <c r="C278" s="7"/>
      <c r="D278" s="7"/>
      <c r="E278" s="8"/>
      <c r="F278" t="str">
        <f t="shared" si="23"/>
        <v/>
      </c>
      <c r="G278" t="str">
        <f t="shared" si="24"/>
        <v/>
      </c>
      <c r="J278" s="28" t="e">
        <f>LOOKUP(2,1/(COUNTIF($J$4:J277,'Larger Data Sets'!$B$3:$B$8003)=0),'Larger Data Sets'!$B$3:$B$8003)</f>
        <v>#N/A</v>
      </c>
      <c r="K278" s="28" t="str">
        <f t="shared" si="25"/>
        <v xml:space="preserve"> </v>
      </c>
      <c r="L278">
        <f t="shared" si="27"/>
        <v>0</v>
      </c>
      <c r="M278" t="b">
        <f t="shared" si="26"/>
        <v>0</v>
      </c>
    </row>
    <row r="279" spans="2:13" x14ac:dyDescent="0.25">
      <c r="B279" s="6"/>
      <c r="C279" s="7"/>
      <c r="D279" s="7"/>
      <c r="E279" s="8"/>
      <c r="F279" t="str">
        <f t="shared" si="23"/>
        <v/>
      </c>
      <c r="G279" t="str">
        <f t="shared" si="24"/>
        <v/>
      </c>
      <c r="J279" s="28" t="e">
        <f>LOOKUP(2,1/(COUNTIF($J$4:J278,'Larger Data Sets'!$B$3:$B$8003)=0),'Larger Data Sets'!$B$3:$B$8003)</f>
        <v>#N/A</v>
      </c>
      <c r="K279" s="28" t="str">
        <f t="shared" si="25"/>
        <v xml:space="preserve"> </v>
      </c>
      <c r="L279">
        <f t="shared" si="27"/>
        <v>0</v>
      </c>
      <c r="M279" t="b">
        <f t="shared" si="26"/>
        <v>0</v>
      </c>
    </row>
    <row r="280" spans="2:13" x14ac:dyDescent="0.25">
      <c r="B280" s="6"/>
      <c r="C280" s="7"/>
      <c r="D280" s="7"/>
      <c r="E280" s="8"/>
      <c r="F280" t="str">
        <f t="shared" si="23"/>
        <v/>
      </c>
      <c r="G280" t="str">
        <f t="shared" si="24"/>
        <v/>
      </c>
      <c r="J280" s="28" t="e">
        <f>LOOKUP(2,1/(COUNTIF($J$4:J279,'Larger Data Sets'!$B$3:$B$8003)=0),'Larger Data Sets'!$B$3:$B$8003)</f>
        <v>#N/A</v>
      </c>
      <c r="K280" s="28" t="str">
        <f t="shared" si="25"/>
        <v xml:space="preserve"> </v>
      </c>
      <c r="L280">
        <f t="shared" si="27"/>
        <v>0</v>
      </c>
      <c r="M280" t="b">
        <f t="shared" si="26"/>
        <v>0</v>
      </c>
    </row>
    <row r="281" spans="2:13" x14ac:dyDescent="0.25">
      <c r="B281" s="6"/>
      <c r="C281" s="7"/>
      <c r="D281" s="7"/>
      <c r="E281" s="8"/>
      <c r="F281" t="str">
        <f t="shared" si="23"/>
        <v/>
      </c>
      <c r="G281" t="str">
        <f t="shared" si="24"/>
        <v/>
      </c>
      <c r="J281" s="28" t="e">
        <f>LOOKUP(2,1/(COUNTIF($J$4:J280,'Larger Data Sets'!$B$3:$B$8003)=0),'Larger Data Sets'!$B$3:$B$8003)</f>
        <v>#N/A</v>
      </c>
      <c r="K281" s="28" t="str">
        <f t="shared" si="25"/>
        <v xml:space="preserve"> </v>
      </c>
      <c r="L281">
        <f t="shared" si="27"/>
        <v>0</v>
      </c>
      <c r="M281" t="b">
        <f t="shared" si="26"/>
        <v>0</v>
      </c>
    </row>
    <row r="282" spans="2:13" x14ac:dyDescent="0.25">
      <c r="B282" s="6"/>
      <c r="C282" s="7"/>
      <c r="D282" s="7"/>
      <c r="E282" s="8"/>
      <c r="F282" t="str">
        <f t="shared" si="23"/>
        <v/>
      </c>
      <c r="G282" t="str">
        <f t="shared" si="24"/>
        <v/>
      </c>
      <c r="J282" s="28" t="e">
        <f>LOOKUP(2,1/(COUNTIF($J$4:J281,'Larger Data Sets'!$B$3:$B$8003)=0),'Larger Data Sets'!$B$3:$B$8003)</f>
        <v>#N/A</v>
      </c>
      <c r="K282" s="28" t="str">
        <f t="shared" si="25"/>
        <v xml:space="preserve"> </v>
      </c>
      <c r="L282">
        <f t="shared" si="27"/>
        <v>0</v>
      </c>
      <c r="M282" t="b">
        <f t="shared" si="26"/>
        <v>0</v>
      </c>
    </row>
    <row r="283" spans="2:13" x14ac:dyDescent="0.25">
      <c r="B283" s="6"/>
      <c r="C283" s="7"/>
      <c r="D283" s="7"/>
      <c r="E283" s="8"/>
      <c r="F283" t="str">
        <f t="shared" si="23"/>
        <v/>
      </c>
      <c r="G283" t="str">
        <f t="shared" si="24"/>
        <v/>
      </c>
      <c r="J283" s="28" t="e">
        <f>LOOKUP(2,1/(COUNTIF($J$4:J282,'Larger Data Sets'!$B$3:$B$8003)=0),'Larger Data Sets'!$B$3:$B$8003)</f>
        <v>#N/A</v>
      </c>
      <c r="K283" s="28" t="str">
        <f t="shared" si="25"/>
        <v xml:space="preserve"> </v>
      </c>
      <c r="L283">
        <f t="shared" si="27"/>
        <v>0</v>
      </c>
      <c r="M283" t="b">
        <f t="shared" si="26"/>
        <v>0</v>
      </c>
    </row>
    <row r="284" spans="2:13" x14ac:dyDescent="0.25">
      <c r="B284" s="6"/>
      <c r="C284" s="7"/>
      <c r="D284" s="7"/>
      <c r="E284" s="8"/>
      <c r="F284" t="str">
        <f t="shared" si="23"/>
        <v/>
      </c>
      <c r="G284" t="str">
        <f t="shared" si="24"/>
        <v/>
      </c>
      <c r="J284" s="28" t="e">
        <f>LOOKUP(2,1/(COUNTIF($J$4:J283,'Larger Data Sets'!$B$3:$B$8003)=0),'Larger Data Sets'!$B$3:$B$8003)</f>
        <v>#N/A</v>
      </c>
      <c r="K284" s="28" t="str">
        <f t="shared" si="25"/>
        <v xml:space="preserve"> </v>
      </c>
      <c r="L284">
        <f t="shared" si="27"/>
        <v>0</v>
      </c>
      <c r="M284" t="b">
        <f t="shared" si="26"/>
        <v>0</v>
      </c>
    </row>
    <row r="285" spans="2:13" x14ac:dyDescent="0.25">
      <c r="B285" s="6"/>
      <c r="C285" s="7"/>
      <c r="D285" s="7"/>
      <c r="E285" s="8"/>
      <c r="F285" t="str">
        <f t="shared" si="23"/>
        <v/>
      </c>
      <c r="G285" t="str">
        <f t="shared" si="24"/>
        <v/>
      </c>
      <c r="J285" s="28" t="e">
        <f>LOOKUP(2,1/(COUNTIF($J$4:J284,'Larger Data Sets'!$B$3:$B$8003)=0),'Larger Data Sets'!$B$3:$B$8003)</f>
        <v>#N/A</v>
      </c>
      <c r="K285" s="28" t="str">
        <f t="shared" si="25"/>
        <v xml:space="preserve"> </v>
      </c>
      <c r="L285">
        <f t="shared" si="27"/>
        <v>0</v>
      </c>
      <c r="M285" t="b">
        <f t="shared" si="26"/>
        <v>0</v>
      </c>
    </row>
    <row r="286" spans="2:13" x14ac:dyDescent="0.25">
      <c r="B286" s="6"/>
      <c r="C286" s="7"/>
      <c r="D286" s="7"/>
      <c r="E286" s="8"/>
      <c r="F286" t="str">
        <f t="shared" si="23"/>
        <v/>
      </c>
      <c r="G286" t="str">
        <f t="shared" si="24"/>
        <v/>
      </c>
      <c r="J286" s="28" t="e">
        <f>LOOKUP(2,1/(COUNTIF($J$4:J285,'Larger Data Sets'!$B$3:$B$8003)=0),'Larger Data Sets'!$B$3:$B$8003)</f>
        <v>#N/A</v>
      </c>
      <c r="K286" s="28" t="str">
        <f t="shared" si="25"/>
        <v xml:space="preserve"> </v>
      </c>
      <c r="L286">
        <f t="shared" si="27"/>
        <v>0</v>
      </c>
      <c r="M286" t="b">
        <f t="shared" si="26"/>
        <v>0</v>
      </c>
    </row>
    <row r="287" spans="2:13" x14ac:dyDescent="0.25">
      <c r="B287" s="6"/>
      <c r="C287" s="7"/>
      <c r="D287" s="7"/>
      <c r="E287" s="8"/>
      <c r="F287" t="str">
        <f t="shared" si="23"/>
        <v/>
      </c>
      <c r="G287" t="str">
        <f t="shared" si="24"/>
        <v/>
      </c>
      <c r="J287" s="28" t="e">
        <f>LOOKUP(2,1/(COUNTIF($J$4:J286,'Larger Data Sets'!$B$3:$B$8003)=0),'Larger Data Sets'!$B$3:$B$8003)</f>
        <v>#N/A</v>
      </c>
      <c r="K287" s="28" t="str">
        <f t="shared" si="25"/>
        <v xml:space="preserve"> </v>
      </c>
      <c r="L287">
        <f t="shared" si="27"/>
        <v>0</v>
      </c>
      <c r="M287" t="b">
        <f t="shared" si="26"/>
        <v>0</v>
      </c>
    </row>
    <row r="288" spans="2:13" x14ac:dyDescent="0.25">
      <c r="B288" s="6"/>
      <c r="C288" s="7"/>
      <c r="D288" s="7"/>
      <c r="E288" s="8"/>
      <c r="F288" t="str">
        <f t="shared" si="23"/>
        <v/>
      </c>
      <c r="G288" t="str">
        <f t="shared" si="24"/>
        <v/>
      </c>
      <c r="J288" s="28" t="e">
        <f>LOOKUP(2,1/(COUNTIF($J$4:J287,'Larger Data Sets'!$B$3:$B$8003)=0),'Larger Data Sets'!$B$3:$B$8003)</f>
        <v>#N/A</v>
      </c>
      <c r="K288" s="28" t="str">
        <f t="shared" si="25"/>
        <v xml:space="preserve"> </v>
      </c>
      <c r="L288">
        <f t="shared" si="27"/>
        <v>0</v>
      </c>
      <c r="M288" t="b">
        <f t="shared" si="26"/>
        <v>0</v>
      </c>
    </row>
    <row r="289" spans="2:13" x14ac:dyDescent="0.25">
      <c r="B289" s="6"/>
      <c r="C289" s="7"/>
      <c r="D289" s="7"/>
      <c r="E289" s="8"/>
      <c r="F289" t="str">
        <f t="shared" si="23"/>
        <v/>
      </c>
      <c r="G289" t="str">
        <f t="shared" si="24"/>
        <v/>
      </c>
      <c r="J289" s="28" t="e">
        <f>LOOKUP(2,1/(COUNTIF($J$4:J288,'Larger Data Sets'!$B$3:$B$8003)=0),'Larger Data Sets'!$B$3:$B$8003)</f>
        <v>#N/A</v>
      </c>
      <c r="K289" s="28" t="str">
        <f t="shared" si="25"/>
        <v xml:space="preserve"> </v>
      </c>
      <c r="L289">
        <f t="shared" si="27"/>
        <v>0</v>
      </c>
      <c r="M289" t="b">
        <f t="shared" si="26"/>
        <v>0</v>
      </c>
    </row>
    <row r="290" spans="2:13" x14ac:dyDescent="0.25">
      <c r="B290" s="6"/>
      <c r="C290" s="7"/>
      <c r="D290" s="7"/>
      <c r="E290" s="8"/>
      <c r="F290" t="str">
        <f t="shared" si="23"/>
        <v/>
      </c>
      <c r="G290" t="str">
        <f t="shared" si="24"/>
        <v/>
      </c>
      <c r="J290" s="28" t="e">
        <f>LOOKUP(2,1/(COUNTIF($J$4:J289,'Larger Data Sets'!$B$3:$B$8003)=0),'Larger Data Sets'!$B$3:$B$8003)</f>
        <v>#N/A</v>
      </c>
      <c r="K290" s="28" t="str">
        <f t="shared" si="25"/>
        <v xml:space="preserve"> </v>
      </c>
      <c r="L290">
        <f t="shared" si="27"/>
        <v>0</v>
      </c>
      <c r="M290" t="b">
        <f t="shared" si="26"/>
        <v>0</v>
      </c>
    </row>
    <row r="291" spans="2:13" x14ac:dyDescent="0.25">
      <c r="B291" s="6"/>
      <c r="C291" s="7"/>
      <c r="D291" s="7"/>
      <c r="E291" s="8"/>
      <c r="F291" t="str">
        <f t="shared" si="23"/>
        <v/>
      </c>
      <c r="G291" t="str">
        <f t="shared" si="24"/>
        <v/>
      </c>
      <c r="J291" s="28" t="e">
        <f>LOOKUP(2,1/(COUNTIF($J$4:J290,'Larger Data Sets'!$B$3:$B$8003)=0),'Larger Data Sets'!$B$3:$B$8003)</f>
        <v>#N/A</v>
      </c>
      <c r="K291" s="28" t="str">
        <f t="shared" si="25"/>
        <v xml:space="preserve"> </v>
      </c>
      <c r="L291">
        <f t="shared" si="27"/>
        <v>0</v>
      </c>
      <c r="M291" t="b">
        <f t="shared" si="26"/>
        <v>0</v>
      </c>
    </row>
    <row r="292" spans="2:13" x14ac:dyDescent="0.25">
      <c r="B292" s="6"/>
      <c r="C292" s="7"/>
      <c r="D292" s="7"/>
      <c r="E292" s="8"/>
      <c r="F292" t="str">
        <f t="shared" si="23"/>
        <v/>
      </c>
      <c r="G292" t="str">
        <f t="shared" si="24"/>
        <v/>
      </c>
      <c r="J292" s="28" t="e">
        <f>LOOKUP(2,1/(COUNTIF($J$4:J291,'Larger Data Sets'!$B$3:$B$8003)=0),'Larger Data Sets'!$B$3:$B$8003)</f>
        <v>#N/A</v>
      </c>
      <c r="K292" s="28" t="str">
        <f t="shared" si="25"/>
        <v xml:space="preserve"> </v>
      </c>
      <c r="L292">
        <f t="shared" si="27"/>
        <v>0</v>
      </c>
      <c r="M292" t="b">
        <f t="shared" si="26"/>
        <v>0</v>
      </c>
    </row>
    <row r="293" spans="2:13" x14ac:dyDescent="0.25">
      <c r="B293" s="6"/>
      <c r="C293" s="7"/>
      <c r="D293" s="7"/>
      <c r="E293" s="8"/>
      <c r="F293" t="str">
        <f t="shared" si="23"/>
        <v/>
      </c>
      <c r="G293" t="str">
        <f t="shared" si="24"/>
        <v/>
      </c>
      <c r="J293" s="28" t="e">
        <f>LOOKUP(2,1/(COUNTIF($J$4:J292,'Larger Data Sets'!$B$3:$B$8003)=0),'Larger Data Sets'!$B$3:$B$8003)</f>
        <v>#N/A</v>
      </c>
      <c r="K293" s="28" t="str">
        <f t="shared" si="25"/>
        <v xml:space="preserve"> </v>
      </c>
      <c r="L293">
        <f t="shared" si="27"/>
        <v>0</v>
      </c>
      <c r="M293" t="b">
        <f t="shared" si="26"/>
        <v>0</v>
      </c>
    </row>
    <row r="294" spans="2:13" x14ac:dyDescent="0.25">
      <c r="B294" s="6"/>
      <c r="C294" s="7"/>
      <c r="D294" s="7"/>
      <c r="E294" s="8"/>
      <c r="F294" t="str">
        <f t="shared" si="23"/>
        <v/>
      </c>
      <c r="G294" t="str">
        <f t="shared" si="24"/>
        <v/>
      </c>
      <c r="J294" s="28" t="e">
        <f>LOOKUP(2,1/(COUNTIF($J$4:J293,'Larger Data Sets'!$B$3:$B$8003)=0),'Larger Data Sets'!$B$3:$B$8003)</f>
        <v>#N/A</v>
      </c>
      <c r="K294" s="28" t="str">
        <f t="shared" si="25"/>
        <v xml:space="preserve"> </v>
      </c>
      <c r="L294">
        <f t="shared" si="27"/>
        <v>0</v>
      </c>
      <c r="M294" t="b">
        <f t="shared" si="26"/>
        <v>0</v>
      </c>
    </row>
    <row r="295" spans="2:13" x14ac:dyDescent="0.25">
      <c r="B295" s="6"/>
      <c r="C295" s="7"/>
      <c r="D295" s="7"/>
      <c r="E295" s="8"/>
      <c r="F295" t="str">
        <f t="shared" si="23"/>
        <v/>
      </c>
      <c r="G295" t="str">
        <f t="shared" si="24"/>
        <v/>
      </c>
      <c r="J295" s="28" t="e">
        <f>LOOKUP(2,1/(COUNTIF($J$4:J294,'Larger Data Sets'!$B$3:$B$8003)=0),'Larger Data Sets'!$B$3:$B$8003)</f>
        <v>#N/A</v>
      </c>
      <c r="K295" s="28" t="str">
        <f t="shared" si="25"/>
        <v xml:space="preserve"> </v>
      </c>
      <c r="L295">
        <f t="shared" si="27"/>
        <v>0</v>
      </c>
      <c r="M295" t="b">
        <f t="shared" si="26"/>
        <v>0</v>
      </c>
    </row>
    <row r="296" spans="2:13" x14ac:dyDescent="0.25">
      <c r="B296" s="6"/>
      <c r="C296" s="7"/>
      <c r="D296" s="7"/>
      <c r="E296" s="8"/>
      <c r="F296" t="str">
        <f t="shared" si="23"/>
        <v/>
      </c>
      <c r="G296" t="str">
        <f t="shared" si="24"/>
        <v/>
      </c>
      <c r="J296" s="28" t="e">
        <f>LOOKUP(2,1/(COUNTIF($J$4:J295,'Larger Data Sets'!$B$3:$B$8003)=0),'Larger Data Sets'!$B$3:$B$8003)</f>
        <v>#N/A</v>
      </c>
      <c r="K296" s="28" t="str">
        <f t="shared" si="25"/>
        <v xml:space="preserve"> </v>
      </c>
      <c r="L296">
        <f t="shared" si="27"/>
        <v>0</v>
      </c>
      <c r="M296" t="b">
        <f t="shared" si="26"/>
        <v>0</v>
      </c>
    </row>
    <row r="297" spans="2:13" x14ac:dyDescent="0.25">
      <c r="B297" s="6"/>
      <c r="C297" s="7"/>
      <c r="D297" s="7"/>
      <c r="E297" s="8"/>
      <c r="F297" t="str">
        <f t="shared" si="23"/>
        <v/>
      </c>
      <c r="G297" t="str">
        <f t="shared" si="24"/>
        <v/>
      </c>
      <c r="J297" s="28" t="e">
        <f>LOOKUP(2,1/(COUNTIF($J$4:J296,'Larger Data Sets'!$B$3:$B$8003)=0),'Larger Data Sets'!$B$3:$B$8003)</f>
        <v>#N/A</v>
      </c>
      <c r="K297" s="28" t="str">
        <f t="shared" si="25"/>
        <v xml:space="preserve"> </v>
      </c>
      <c r="L297">
        <f t="shared" si="27"/>
        <v>0</v>
      </c>
      <c r="M297" t="b">
        <f t="shared" si="26"/>
        <v>0</v>
      </c>
    </row>
    <row r="298" spans="2:13" x14ac:dyDescent="0.25">
      <c r="B298" s="6"/>
      <c r="C298" s="7"/>
      <c r="D298" s="7"/>
      <c r="E298" s="8"/>
      <c r="F298" t="str">
        <f t="shared" si="23"/>
        <v/>
      </c>
      <c r="G298" t="str">
        <f t="shared" si="24"/>
        <v/>
      </c>
      <c r="J298" s="28" t="e">
        <f>LOOKUP(2,1/(COUNTIF($J$4:J297,'Larger Data Sets'!$B$3:$B$8003)=0),'Larger Data Sets'!$B$3:$B$8003)</f>
        <v>#N/A</v>
      </c>
      <c r="K298" s="28" t="str">
        <f t="shared" si="25"/>
        <v xml:space="preserve"> </v>
      </c>
      <c r="L298">
        <f t="shared" si="27"/>
        <v>0</v>
      </c>
      <c r="M298" t="b">
        <f t="shared" si="26"/>
        <v>0</v>
      </c>
    </row>
    <row r="299" spans="2:13" x14ac:dyDescent="0.25">
      <c r="B299" s="6"/>
      <c r="C299" s="7"/>
      <c r="D299" s="7"/>
      <c r="E299" s="8"/>
      <c r="F299" t="str">
        <f t="shared" si="23"/>
        <v/>
      </c>
      <c r="G299" t="str">
        <f t="shared" si="24"/>
        <v/>
      </c>
      <c r="J299" s="28" t="e">
        <f>LOOKUP(2,1/(COUNTIF($J$4:J298,'Larger Data Sets'!$B$3:$B$8003)=0),'Larger Data Sets'!$B$3:$B$8003)</f>
        <v>#N/A</v>
      </c>
      <c r="K299" s="28" t="str">
        <f t="shared" si="25"/>
        <v xml:space="preserve"> </v>
      </c>
      <c r="L299">
        <f t="shared" si="27"/>
        <v>0</v>
      </c>
      <c r="M299" t="b">
        <f t="shared" si="26"/>
        <v>0</v>
      </c>
    </row>
    <row r="300" spans="2:13" x14ac:dyDescent="0.25">
      <c r="B300" s="6"/>
      <c r="C300" s="7"/>
      <c r="D300" s="7"/>
      <c r="E300" s="8"/>
      <c r="F300" t="str">
        <f t="shared" si="23"/>
        <v/>
      </c>
      <c r="G300" t="str">
        <f t="shared" si="24"/>
        <v/>
      </c>
      <c r="J300" s="28" t="e">
        <f>LOOKUP(2,1/(COUNTIF($J$4:J299,'Larger Data Sets'!$B$3:$B$8003)=0),'Larger Data Sets'!$B$3:$B$8003)</f>
        <v>#N/A</v>
      </c>
      <c r="K300" s="28" t="str">
        <f t="shared" si="25"/>
        <v xml:space="preserve"> </v>
      </c>
      <c r="L300">
        <f t="shared" si="27"/>
        <v>0</v>
      </c>
      <c r="M300" t="b">
        <f t="shared" si="26"/>
        <v>0</v>
      </c>
    </row>
    <row r="301" spans="2:13" x14ac:dyDescent="0.25">
      <c r="B301" s="6"/>
      <c r="C301" s="7"/>
      <c r="D301" s="7"/>
      <c r="E301" s="8"/>
      <c r="F301" t="str">
        <f t="shared" si="23"/>
        <v/>
      </c>
      <c r="G301" t="str">
        <f t="shared" si="24"/>
        <v/>
      </c>
      <c r="J301" s="28" t="e">
        <f>LOOKUP(2,1/(COUNTIF($J$4:J300,'Larger Data Sets'!$B$3:$B$8003)=0),'Larger Data Sets'!$B$3:$B$8003)</f>
        <v>#N/A</v>
      </c>
      <c r="K301" s="28" t="str">
        <f t="shared" si="25"/>
        <v xml:space="preserve"> </v>
      </c>
      <c r="L301">
        <f t="shared" si="27"/>
        <v>0</v>
      </c>
      <c r="M301" t="b">
        <f t="shared" si="26"/>
        <v>0</v>
      </c>
    </row>
    <row r="302" spans="2:13" x14ac:dyDescent="0.25">
      <c r="B302" s="6"/>
      <c r="C302" s="7"/>
      <c r="D302" s="7"/>
      <c r="E302" s="8"/>
      <c r="F302" t="str">
        <f t="shared" si="23"/>
        <v/>
      </c>
      <c r="G302" t="str">
        <f t="shared" si="24"/>
        <v/>
      </c>
      <c r="J302" s="28" t="e">
        <f>LOOKUP(2,1/(COUNTIF($J$4:J301,'Larger Data Sets'!$B$3:$B$8003)=0),'Larger Data Sets'!$B$3:$B$8003)</f>
        <v>#N/A</v>
      </c>
      <c r="K302" s="28" t="str">
        <f t="shared" si="25"/>
        <v xml:space="preserve"> </v>
      </c>
      <c r="L302">
        <f t="shared" si="27"/>
        <v>0</v>
      </c>
      <c r="M302" t="b">
        <f t="shared" si="26"/>
        <v>0</v>
      </c>
    </row>
    <row r="303" spans="2:13" x14ac:dyDescent="0.25">
      <c r="B303" s="6"/>
      <c r="C303" s="7"/>
      <c r="D303" s="7"/>
      <c r="E303" s="8"/>
      <c r="F303" t="str">
        <f t="shared" si="23"/>
        <v/>
      </c>
      <c r="G303" t="str">
        <f t="shared" si="24"/>
        <v/>
      </c>
      <c r="J303" s="28" t="e">
        <f>LOOKUP(2,1/(COUNTIF($J$4:J302,'Larger Data Sets'!$B$3:$B$8003)=0),'Larger Data Sets'!$B$3:$B$8003)</f>
        <v>#N/A</v>
      </c>
      <c r="K303" s="28" t="str">
        <f t="shared" si="25"/>
        <v xml:space="preserve"> </v>
      </c>
      <c r="L303">
        <f t="shared" si="27"/>
        <v>0</v>
      </c>
      <c r="M303" t="b">
        <f t="shared" si="26"/>
        <v>0</v>
      </c>
    </row>
    <row r="304" spans="2:13" x14ac:dyDescent="0.25">
      <c r="B304" s="6"/>
      <c r="C304" s="7"/>
      <c r="D304" s="7"/>
      <c r="E304" s="8"/>
      <c r="F304" t="str">
        <f t="shared" si="23"/>
        <v/>
      </c>
      <c r="G304" t="str">
        <f t="shared" si="24"/>
        <v/>
      </c>
      <c r="J304" s="28" t="e">
        <f>LOOKUP(2,1/(COUNTIF($J$4:J303,'Larger Data Sets'!$B$3:$B$8003)=0),'Larger Data Sets'!$B$3:$B$8003)</f>
        <v>#N/A</v>
      </c>
      <c r="K304" s="28" t="str">
        <f t="shared" si="25"/>
        <v xml:space="preserve"> </v>
      </c>
      <c r="L304">
        <f t="shared" si="27"/>
        <v>0</v>
      </c>
      <c r="M304" t="b">
        <f t="shared" si="26"/>
        <v>0</v>
      </c>
    </row>
    <row r="305" spans="2:13" x14ac:dyDescent="0.25">
      <c r="B305" s="6"/>
      <c r="C305" s="7"/>
      <c r="D305" s="7"/>
      <c r="E305" s="8"/>
      <c r="F305" t="str">
        <f t="shared" si="23"/>
        <v/>
      </c>
      <c r="G305" t="str">
        <f t="shared" si="24"/>
        <v/>
      </c>
      <c r="J305" s="28" t="e">
        <f>LOOKUP(2,1/(COUNTIF($J$4:J304,'Larger Data Sets'!$B$3:$B$8003)=0),'Larger Data Sets'!$B$3:$B$8003)</f>
        <v>#N/A</v>
      </c>
      <c r="K305" s="28" t="str">
        <f t="shared" si="25"/>
        <v xml:space="preserve"> </v>
      </c>
      <c r="L305">
        <f t="shared" si="27"/>
        <v>0</v>
      </c>
      <c r="M305" t="b">
        <f t="shared" si="26"/>
        <v>0</v>
      </c>
    </row>
    <row r="306" spans="2:13" x14ac:dyDescent="0.25">
      <c r="B306" s="6"/>
      <c r="C306" s="7"/>
      <c r="D306" s="7"/>
      <c r="E306" s="8"/>
      <c r="F306" t="str">
        <f t="shared" si="23"/>
        <v/>
      </c>
      <c r="G306" t="str">
        <f t="shared" si="24"/>
        <v/>
      </c>
      <c r="J306" s="28" t="e">
        <f>LOOKUP(2,1/(COUNTIF($J$4:J305,'Larger Data Sets'!$B$3:$B$8003)=0),'Larger Data Sets'!$B$3:$B$8003)</f>
        <v>#N/A</v>
      </c>
      <c r="K306" s="28" t="str">
        <f t="shared" si="25"/>
        <v xml:space="preserve"> </v>
      </c>
      <c r="L306">
        <f t="shared" si="27"/>
        <v>0</v>
      </c>
      <c r="M306" t="b">
        <f t="shared" si="26"/>
        <v>0</v>
      </c>
    </row>
    <row r="307" spans="2:13" x14ac:dyDescent="0.25">
      <c r="B307" s="6"/>
      <c r="C307" s="7"/>
      <c r="D307" s="7"/>
      <c r="E307" s="8"/>
      <c r="F307" t="str">
        <f t="shared" si="23"/>
        <v/>
      </c>
      <c r="G307" t="str">
        <f t="shared" si="24"/>
        <v/>
      </c>
      <c r="J307" s="28" t="e">
        <f>LOOKUP(2,1/(COUNTIF($J$4:J306,'Larger Data Sets'!$B$3:$B$8003)=0),'Larger Data Sets'!$B$3:$B$8003)</f>
        <v>#N/A</v>
      </c>
      <c r="K307" s="28" t="str">
        <f t="shared" si="25"/>
        <v xml:space="preserve"> </v>
      </c>
      <c r="L307">
        <f t="shared" si="27"/>
        <v>0</v>
      </c>
      <c r="M307" t="b">
        <f t="shared" si="26"/>
        <v>0</v>
      </c>
    </row>
    <row r="308" spans="2:13" x14ac:dyDescent="0.25">
      <c r="B308" s="6"/>
      <c r="C308" s="7"/>
      <c r="D308" s="7"/>
      <c r="E308" s="8"/>
      <c r="F308" t="str">
        <f t="shared" si="23"/>
        <v/>
      </c>
      <c r="G308" t="str">
        <f t="shared" si="24"/>
        <v/>
      </c>
      <c r="J308" s="28" t="e">
        <f>LOOKUP(2,1/(COUNTIF($J$4:J307,'Larger Data Sets'!$B$3:$B$8003)=0),'Larger Data Sets'!$B$3:$B$8003)</f>
        <v>#N/A</v>
      </c>
      <c r="K308" s="28" t="str">
        <f t="shared" si="25"/>
        <v xml:space="preserve"> </v>
      </c>
      <c r="L308">
        <f t="shared" si="27"/>
        <v>0</v>
      </c>
      <c r="M308" t="b">
        <f t="shared" si="26"/>
        <v>0</v>
      </c>
    </row>
    <row r="309" spans="2:13" x14ac:dyDescent="0.25">
      <c r="B309" s="6"/>
      <c r="C309" s="7"/>
      <c r="D309" s="7"/>
      <c r="E309" s="8"/>
      <c r="F309" t="str">
        <f t="shared" si="23"/>
        <v/>
      </c>
      <c r="G309" t="str">
        <f t="shared" si="24"/>
        <v/>
      </c>
      <c r="J309" s="28" t="e">
        <f>LOOKUP(2,1/(COUNTIF($J$4:J308,'Larger Data Sets'!$B$3:$B$8003)=0),'Larger Data Sets'!$B$3:$B$8003)</f>
        <v>#N/A</v>
      </c>
      <c r="K309" s="28" t="str">
        <f t="shared" si="25"/>
        <v xml:space="preserve"> </v>
      </c>
      <c r="L309">
        <f t="shared" si="27"/>
        <v>0</v>
      </c>
      <c r="M309" t="b">
        <f t="shared" si="26"/>
        <v>0</v>
      </c>
    </row>
    <row r="310" spans="2:13" x14ac:dyDescent="0.25">
      <c r="B310" s="6"/>
      <c r="C310" s="7"/>
      <c r="D310" s="7"/>
      <c r="E310" s="8"/>
      <c r="F310" t="str">
        <f t="shared" si="23"/>
        <v/>
      </c>
      <c r="G310" t="str">
        <f t="shared" si="24"/>
        <v/>
      </c>
      <c r="J310" s="28" t="e">
        <f>LOOKUP(2,1/(COUNTIF($J$4:J309,'Larger Data Sets'!$B$3:$B$8003)=0),'Larger Data Sets'!$B$3:$B$8003)</f>
        <v>#N/A</v>
      </c>
      <c r="K310" s="28" t="str">
        <f t="shared" si="25"/>
        <v xml:space="preserve"> </v>
      </c>
      <c r="L310">
        <f t="shared" si="27"/>
        <v>0</v>
      </c>
      <c r="M310" t="b">
        <f t="shared" si="26"/>
        <v>0</v>
      </c>
    </row>
    <row r="311" spans="2:13" x14ac:dyDescent="0.25">
      <c r="B311" s="6"/>
      <c r="C311" s="7"/>
      <c r="D311" s="7"/>
      <c r="E311" s="8"/>
      <c r="F311" t="str">
        <f t="shared" si="23"/>
        <v/>
      </c>
      <c r="G311" t="str">
        <f t="shared" si="24"/>
        <v/>
      </c>
      <c r="J311" s="28" t="e">
        <f>LOOKUP(2,1/(COUNTIF($J$4:J310,'Larger Data Sets'!$B$3:$B$8003)=0),'Larger Data Sets'!$B$3:$B$8003)</f>
        <v>#N/A</v>
      </c>
      <c r="K311" s="28" t="str">
        <f t="shared" si="25"/>
        <v xml:space="preserve"> </v>
      </c>
      <c r="L311">
        <f t="shared" si="27"/>
        <v>0</v>
      </c>
      <c r="M311" t="b">
        <f t="shared" si="26"/>
        <v>0</v>
      </c>
    </row>
    <row r="312" spans="2:13" x14ac:dyDescent="0.25">
      <c r="B312" s="6"/>
      <c r="C312" s="7"/>
      <c r="D312" s="7"/>
      <c r="E312" s="8"/>
      <c r="F312" t="str">
        <f t="shared" si="23"/>
        <v/>
      </c>
      <c r="G312" t="str">
        <f t="shared" si="24"/>
        <v/>
      </c>
      <c r="J312" s="28" t="e">
        <f>LOOKUP(2,1/(COUNTIF($J$4:J311,'Larger Data Sets'!$B$3:$B$8003)=0),'Larger Data Sets'!$B$3:$B$8003)</f>
        <v>#N/A</v>
      </c>
      <c r="K312" s="28" t="str">
        <f t="shared" si="25"/>
        <v xml:space="preserve"> </v>
      </c>
      <c r="L312">
        <f t="shared" si="27"/>
        <v>0</v>
      </c>
      <c r="M312" t="b">
        <f t="shared" si="26"/>
        <v>0</v>
      </c>
    </row>
    <row r="313" spans="2:13" x14ac:dyDescent="0.25">
      <c r="B313" s="6"/>
      <c r="C313" s="7"/>
      <c r="D313" s="7"/>
      <c r="E313" s="8"/>
      <c r="F313" t="str">
        <f t="shared" si="23"/>
        <v/>
      </c>
      <c r="G313" t="str">
        <f t="shared" si="24"/>
        <v/>
      </c>
      <c r="J313" s="28" t="e">
        <f>LOOKUP(2,1/(COUNTIF($J$4:J312,'Larger Data Sets'!$B$3:$B$8003)=0),'Larger Data Sets'!$B$3:$B$8003)</f>
        <v>#N/A</v>
      </c>
      <c r="K313" s="28" t="str">
        <f t="shared" si="25"/>
        <v xml:space="preserve"> </v>
      </c>
      <c r="L313">
        <f t="shared" si="27"/>
        <v>0</v>
      </c>
      <c r="M313" t="b">
        <f t="shared" si="26"/>
        <v>0</v>
      </c>
    </row>
    <row r="314" spans="2:13" x14ac:dyDescent="0.25">
      <c r="B314" s="6"/>
      <c r="C314" s="7"/>
      <c r="D314" s="7"/>
      <c r="E314" s="8"/>
      <c r="F314" t="str">
        <f t="shared" si="23"/>
        <v/>
      </c>
      <c r="G314" t="str">
        <f t="shared" si="24"/>
        <v/>
      </c>
      <c r="J314" s="28" t="e">
        <f>LOOKUP(2,1/(COUNTIF($J$4:J313,'Larger Data Sets'!$B$3:$B$8003)=0),'Larger Data Sets'!$B$3:$B$8003)</f>
        <v>#N/A</v>
      </c>
      <c r="K314" s="28" t="str">
        <f t="shared" si="25"/>
        <v xml:space="preserve"> </v>
      </c>
      <c r="L314">
        <f t="shared" si="27"/>
        <v>0</v>
      </c>
      <c r="M314" t="b">
        <f t="shared" si="26"/>
        <v>0</v>
      </c>
    </row>
    <row r="315" spans="2:13" x14ac:dyDescent="0.25">
      <c r="B315" s="6"/>
      <c r="C315" s="7"/>
      <c r="D315" s="7"/>
      <c r="E315" s="8"/>
      <c r="F315" t="str">
        <f t="shared" si="23"/>
        <v/>
      </c>
      <c r="G315" t="str">
        <f t="shared" si="24"/>
        <v/>
      </c>
      <c r="J315" s="28" t="e">
        <f>LOOKUP(2,1/(COUNTIF($J$4:J314,'Larger Data Sets'!$B$3:$B$8003)=0),'Larger Data Sets'!$B$3:$B$8003)</f>
        <v>#N/A</v>
      </c>
      <c r="K315" s="28" t="str">
        <f t="shared" si="25"/>
        <v xml:space="preserve"> </v>
      </c>
      <c r="L315">
        <f t="shared" si="27"/>
        <v>0</v>
      </c>
      <c r="M315" t="b">
        <f t="shared" si="26"/>
        <v>0</v>
      </c>
    </row>
    <row r="316" spans="2:13" x14ac:dyDescent="0.25">
      <c r="B316" s="6"/>
      <c r="C316" s="7"/>
      <c r="D316" s="7"/>
      <c r="E316" s="8"/>
      <c r="F316" t="str">
        <f t="shared" si="23"/>
        <v/>
      </c>
      <c r="G316" t="str">
        <f t="shared" si="24"/>
        <v/>
      </c>
      <c r="J316" s="28" t="e">
        <f>LOOKUP(2,1/(COUNTIF($J$4:J315,'Larger Data Sets'!$B$3:$B$8003)=0),'Larger Data Sets'!$B$3:$B$8003)</f>
        <v>#N/A</v>
      </c>
      <c r="K316" s="28" t="str">
        <f t="shared" si="25"/>
        <v xml:space="preserve"> </v>
      </c>
      <c r="L316">
        <f t="shared" si="27"/>
        <v>0</v>
      </c>
      <c r="M316" t="b">
        <f t="shared" si="26"/>
        <v>0</v>
      </c>
    </row>
    <row r="317" spans="2:13" x14ac:dyDescent="0.25">
      <c r="B317" s="6"/>
      <c r="C317" s="7"/>
      <c r="D317" s="7"/>
      <c r="E317" s="8"/>
      <c r="F317" t="str">
        <f t="shared" si="23"/>
        <v/>
      </c>
      <c r="G317" t="str">
        <f t="shared" si="24"/>
        <v/>
      </c>
      <c r="J317" s="28" t="e">
        <f>LOOKUP(2,1/(COUNTIF($J$4:J316,'Larger Data Sets'!$B$3:$B$8003)=0),'Larger Data Sets'!$B$3:$B$8003)</f>
        <v>#N/A</v>
      </c>
      <c r="K317" s="28" t="str">
        <f t="shared" si="25"/>
        <v xml:space="preserve"> </v>
      </c>
      <c r="L317">
        <f t="shared" si="27"/>
        <v>0</v>
      </c>
      <c r="M317" t="b">
        <f t="shared" si="26"/>
        <v>0</v>
      </c>
    </row>
    <row r="318" spans="2:13" x14ac:dyDescent="0.25">
      <c r="B318" s="6"/>
      <c r="C318" s="7"/>
      <c r="D318" s="7"/>
      <c r="E318" s="8"/>
      <c r="F318" t="str">
        <f t="shared" si="23"/>
        <v/>
      </c>
      <c r="G318" t="str">
        <f t="shared" si="24"/>
        <v/>
      </c>
      <c r="J318" s="28" t="e">
        <f>LOOKUP(2,1/(COUNTIF($J$4:J317,'Larger Data Sets'!$B$3:$B$8003)=0),'Larger Data Sets'!$B$3:$B$8003)</f>
        <v>#N/A</v>
      </c>
      <c r="K318" s="28" t="str">
        <f t="shared" si="25"/>
        <v xml:space="preserve"> </v>
      </c>
      <c r="L318">
        <f t="shared" si="27"/>
        <v>0</v>
      </c>
      <c r="M318" t="b">
        <f t="shared" si="26"/>
        <v>0</v>
      </c>
    </row>
    <row r="319" spans="2:13" x14ac:dyDescent="0.25">
      <c r="B319" s="6"/>
      <c r="C319" s="7"/>
      <c r="D319" s="7"/>
      <c r="E319" s="8"/>
      <c r="F319" t="str">
        <f t="shared" si="23"/>
        <v/>
      </c>
      <c r="G319" t="str">
        <f t="shared" si="24"/>
        <v/>
      </c>
      <c r="J319" s="28" t="e">
        <f>LOOKUP(2,1/(COUNTIF($J$4:J318,'Larger Data Sets'!$B$3:$B$8003)=0),'Larger Data Sets'!$B$3:$B$8003)</f>
        <v>#N/A</v>
      </c>
      <c r="K319" s="28" t="str">
        <f t="shared" si="25"/>
        <v xml:space="preserve"> </v>
      </c>
      <c r="L319">
        <f t="shared" si="27"/>
        <v>0</v>
      </c>
      <c r="M319" t="b">
        <f t="shared" si="26"/>
        <v>0</v>
      </c>
    </row>
    <row r="320" spans="2:13" x14ac:dyDescent="0.25">
      <c r="B320" s="6"/>
      <c r="C320" s="7"/>
      <c r="D320" s="7"/>
      <c r="E320" s="8"/>
      <c r="F320" t="str">
        <f t="shared" si="23"/>
        <v/>
      </c>
      <c r="G320" t="str">
        <f t="shared" si="24"/>
        <v/>
      </c>
      <c r="J320" s="28" t="e">
        <f>LOOKUP(2,1/(COUNTIF($J$4:J319,'Larger Data Sets'!$B$3:$B$8003)=0),'Larger Data Sets'!$B$3:$B$8003)</f>
        <v>#N/A</v>
      </c>
      <c r="K320" s="28" t="str">
        <f t="shared" si="25"/>
        <v xml:space="preserve"> </v>
      </c>
      <c r="L320">
        <f t="shared" si="27"/>
        <v>0</v>
      </c>
      <c r="M320" t="b">
        <f t="shared" si="26"/>
        <v>0</v>
      </c>
    </row>
    <row r="321" spans="2:13" x14ac:dyDescent="0.25">
      <c r="B321" s="6"/>
      <c r="C321" s="7"/>
      <c r="D321" s="7"/>
      <c r="E321" s="8"/>
      <c r="F321" t="str">
        <f t="shared" si="23"/>
        <v/>
      </c>
      <c r="G321" t="str">
        <f t="shared" si="24"/>
        <v/>
      </c>
      <c r="J321" s="28" t="e">
        <f>LOOKUP(2,1/(COUNTIF($J$4:J320,'Larger Data Sets'!$B$3:$B$8003)=0),'Larger Data Sets'!$B$3:$B$8003)</f>
        <v>#N/A</v>
      </c>
      <c r="K321" s="28" t="str">
        <f t="shared" si="25"/>
        <v xml:space="preserve"> </v>
      </c>
      <c r="L321">
        <f t="shared" si="27"/>
        <v>0</v>
      </c>
      <c r="M321" t="b">
        <f t="shared" si="26"/>
        <v>0</v>
      </c>
    </row>
    <row r="322" spans="2:13" x14ac:dyDescent="0.25">
      <c r="B322" s="6"/>
      <c r="C322" s="7"/>
      <c r="D322" s="7"/>
      <c r="E322" s="8"/>
      <c r="F322" t="str">
        <f t="shared" si="23"/>
        <v/>
      </c>
      <c r="G322" t="str">
        <f t="shared" si="24"/>
        <v/>
      </c>
      <c r="J322" s="28" t="e">
        <f>LOOKUP(2,1/(COUNTIF($J$4:J321,'Larger Data Sets'!$B$3:$B$8003)=0),'Larger Data Sets'!$B$3:$B$8003)</f>
        <v>#N/A</v>
      </c>
      <c r="K322" s="28" t="str">
        <f t="shared" si="25"/>
        <v xml:space="preserve"> </v>
      </c>
      <c r="L322">
        <f t="shared" si="27"/>
        <v>0</v>
      </c>
      <c r="M322" t="b">
        <f t="shared" si="26"/>
        <v>0</v>
      </c>
    </row>
    <row r="323" spans="2:13" x14ac:dyDescent="0.25">
      <c r="B323" s="6"/>
      <c r="C323" s="7"/>
      <c r="D323" s="7"/>
      <c r="E323" s="8"/>
      <c r="F323" t="str">
        <f t="shared" si="23"/>
        <v/>
      </c>
      <c r="G323" t="str">
        <f t="shared" si="24"/>
        <v/>
      </c>
      <c r="J323" s="28" t="e">
        <f>LOOKUP(2,1/(COUNTIF($J$4:J322,'Larger Data Sets'!$B$3:$B$8003)=0),'Larger Data Sets'!$B$3:$B$8003)</f>
        <v>#N/A</v>
      </c>
      <c r="K323" s="28" t="str">
        <f t="shared" si="25"/>
        <v xml:space="preserve"> </v>
      </c>
      <c r="L323">
        <f t="shared" si="27"/>
        <v>0</v>
      </c>
      <c r="M323" t="b">
        <f t="shared" si="26"/>
        <v>0</v>
      </c>
    </row>
    <row r="324" spans="2:13" x14ac:dyDescent="0.25">
      <c r="B324" s="6"/>
      <c r="C324" s="7"/>
      <c r="D324" s="7"/>
      <c r="E324" s="8"/>
      <c r="F324" t="str">
        <f t="shared" ref="F324:F387" si="28">IF(B324="","",LOG10(D324))</f>
        <v/>
      </c>
      <c r="G324" t="str">
        <f t="shared" ref="G324:G387" si="29">IF(E324="", "",0.434*E324/D324)</f>
        <v/>
      </c>
      <c r="J324" s="28" t="e">
        <f>LOOKUP(2,1/(COUNTIF($J$4:J323,'Larger Data Sets'!$B$3:$B$8003)=0),'Larger Data Sets'!$B$3:$B$8003)</f>
        <v>#N/A</v>
      </c>
      <c r="K324" s="28" t="str">
        <f t="shared" si="25"/>
        <v xml:space="preserve"> </v>
      </c>
      <c r="L324">
        <f t="shared" si="27"/>
        <v>0</v>
      </c>
      <c r="M324" t="b">
        <f t="shared" si="26"/>
        <v>0</v>
      </c>
    </row>
    <row r="325" spans="2:13" x14ac:dyDescent="0.25">
      <c r="B325" s="6"/>
      <c r="C325" s="7"/>
      <c r="D325" s="7"/>
      <c r="E325" s="8"/>
      <c r="F325" t="str">
        <f t="shared" si="28"/>
        <v/>
      </c>
      <c r="G325" t="str">
        <f t="shared" si="29"/>
        <v/>
      </c>
      <c r="J325" s="28" t="e">
        <f>LOOKUP(2,1/(COUNTIF($J$4:J324,'Larger Data Sets'!$B$3:$B$8003)=0),'Larger Data Sets'!$B$3:$B$8003)</f>
        <v>#N/A</v>
      </c>
      <c r="K325" s="28" t="str">
        <f t="shared" si="25"/>
        <v xml:space="preserve"> </v>
      </c>
      <c r="L325">
        <f t="shared" si="27"/>
        <v>0</v>
      </c>
      <c r="M325" t="b">
        <f t="shared" si="26"/>
        <v>0</v>
      </c>
    </row>
    <row r="326" spans="2:13" x14ac:dyDescent="0.25">
      <c r="B326" s="6"/>
      <c r="C326" s="7"/>
      <c r="D326" s="7"/>
      <c r="E326" s="8"/>
      <c r="F326" t="str">
        <f t="shared" si="28"/>
        <v/>
      </c>
      <c r="G326" t="str">
        <f t="shared" si="29"/>
        <v/>
      </c>
      <c r="J326" s="28" t="e">
        <f>LOOKUP(2,1/(COUNTIF($J$4:J325,'Larger Data Sets'!$B$3:$B$8003)=0),'Larger Data Sets'!$B$3:$B$8003)</f>
        <v>#N/A</v>
      </c>
      <c r="K326" s="28" t="str">
        <f t="shared" ref="K326:K389" si="30">IFERROR(J326," ")</f>
        <v xml:space="preserve"> </v>
      </c>
      <c r="L326">
        <f t="shared" si="27"/>
        <v>0</v>
      </c>
      <c r="M326" t="b">
        <f t="shared" si="26"/>
        <v>0</v>
      </c>
    </row>
    <row r="327" spans="2:13" x14ac:dyDescent="0.25">
      <c r="B327" s="6"/>
      <c r="C327" s="7"/>
      <c r="D327" s="7"/>
      <c r="E327" s="8"/>
      <c r="F327" t="str">
        <f t="shared" si="28"/>
        <v/>
      </c>
      <c r="G327" t="str">
        <f t="shared" si="29"/>
        <v/>
      </c>
      <c r="J327" s="28" t="e">
        <f>LOOKUP(2,1/(COUNTIF($J$4:J326,'Larger Data Sets'!$B$3:$B$8003)=0),'Larger Data Sets'!$B$3:$B$8003)</f>
        <v>#N/A</v>
      </c>
      <c r="K327" s="28" t="str">
        <f t="shared" si="30"/>
        <v xml:space="preserve"> </v>
      </c>
      <c r="L327">
        <f t="shared" si="27"/>
        <v>0</v>
      </c>
      <c r="M327" t="b">
        <f t="shared" ref="M327:M390" si="31">IF(L327&gt;4,L327+1,FALSE)</f>
        <v>0</v>
      </c>
    </row>
    <row r="328" spans="2:13" x14ac:dyDescent="0.25">
      <c r="B328" s="6"/>
      <c r="C328" s="7"/>
      <c r="D328" s="7"/>
      <c r="E328" s="8"/>
      <c r="F328" t="str">
        <f t="shared" si="28"/>
        <v/>
      </c>
      <c r="G328" t="str">
        <f t="shared" si="29"/>
        <v/>
      </c>
      <c r="J328" s="28" t="e">
        <f>LOOKUP(2,1/(COUNTIF($J$4:J327,'Larger Data Sets'!$B$3:$B$8003)=0),'Larger Data Sets'!$B$3:$B$8003)</f>
        <v>#N/A</v>
      </c>
      <c r="K328" s="28" t="str">
        <f t="shared" si="30"/>
        <v xml:space="preserve"> </v>
      </c>
      <c r="L328">
        <f t="shared" si="27"/>
        <v>0</v>
      </c>
      <c r="M328" t="b">
        <f t="shared" si="31"/>
        <v>0</v>
      </c>
    </row>
    <row r="329" spans="2:13" x14ac:dyDescent="0.25">
      <c r="B329" s="6"/>
      <c r="C329" s="7"/>
      <c r="D329" s="7"/>
      <c r="E329" s="8"/>
      <c r="F329" t="str">
        <f t="shared" si="28"/>
        <v/>
      </c>
      <c r="G329" t="str">
        <f t="shared" si="29"/>
        <v/>
      </c>
      <c r="J329" s="28" t="e">
        <f>LOOKUP(2,1/(COUNTIF($J$4:J328,'Larger Data Sets'!$B$3:$B$8003)=0),'Larger Data Sets'!$B$3:$B$8003)</f>
        <v>#N/A</v>
      </c>
      <c r="K329" s="28" t="str">
        <f t="shared" si="30"/>
        <v xml:space="preserve"> </v>
      </c>
      <c r="L329">
        <f t="shared" si="27"/>
        <v>0</v>
      </c>
      <c r="M329" t="b">
        <f t="shared" si="31"/>
        <v>0</v>
      </c>
    </row>
    <row r="330" spans="2:13" x14ac:dyDescent="0.25">
      <c r="B330" s="6"/>
      <c r="C330" s="7"/>
      <c r="D330" s="7"/>
      <c r="E330" s="8"/>
      <c r="F330" t="str">
        <f t="shared" si="28"/>
        <v/>
      </c>
      <c r="G330" t="str">
        <f t="shared" si="29"/>
        <v/>
      </c>
      <c r="J330" s="28" t="e">
        <f>LOOKUP(2,1/(COUNTIF($J$4:J329,'Larger Data Sets'!$B$3:$B$8003)=0),'Larger Data Sets'!$B$3:$B$8003)</f>
        <v>#N/A</v>
      </c>
      <c r="K330" s="28" t="str">
        <f t="shared" si="30"/>
        <v xml:space="preserve"> </v>
      </c>
      <c r="L330">
        <f t="shared" si="27"/>
        <v>0</v>
      </c>
      <c r="M330" t="b">
        <f t="shared" si="31"/>
        <v>0</v>
      </c>
    </row>
    <row r="331" spans="2:13" x14ac:dyDescent="0.25">
      <c r="B331" s="6"/>
      <c r="C331" s="7"/>
      <c r="D331" s="7"/>
      <c r="E331" s="8"/>
      <c r="F331" t="str">
        <f t="shared" si="28"/>
        <v/>
      </c>
      <c r="G331" t="str">
        <f t="shared" si="29"/>
        <v/>
      </c>
      <c r="J331" s="28" t="e">
        <f>LOOKUP(2,1/(COUNTIF($J$4:J330,'Larger Data Sets'!$B$3:$B$8003)=0),'Larger Data Sets'!$B$3:$B$8003)</f>
        <v>#N/A</v>
      </c>
      <c r="K331" s="28" t="str">
        <f t="shared" si="30"/>
        <v xml:space="preserve"> </v>
      </c>
      <c r="L331">
        <f t="shared" si="27"/>
        <v>0</v>
      </c>
      <c r="M331" t="b">
        <f t="shared" si="31"/>
        <v>0</v>
      </c>
    </row>
    <row r="332" spans="2:13" x14ac:dyDescent="0.25">
      <c r="B332" s="6"/>
      <c r="C332" s="7"/>
      <c r="D332" s="7"/>
      <c r="E332" s="8"/>
      <c r="F332" t="str">
        <f t="shared" si="28"/>
        <v/>
      </c>
      <c r="G332" t="str">
        <f t="shared" si="29"/>
        <v/>
      </c>
      <c r="J332" s="28" t="e">
        <f>LOOKUP(2,1/(COUNTIF($J$4:J331,'Larger Data Sets'!$B$3:$B$8003)=0),'Larger Data Sets'!$B$3:$B$8003)</f>
        <v>#N/A</v>
      </c>
      <c r="K332" s="28" t="str">
        <f t="shared" si="30"/>
        <v xml:space="preserve"> </v>
      </c>
      <c r="L332">
        <f t="shared" si="27"/>
        <v>0</v>
      </c>
      <c r="M332" t="b">
        <f t="shared" si="31"/>
        <v>0</v>
      </c>
    </row>
    <row r="333" spans="2:13" x14ac:dyDescent="0.25">
      <c r="B333" s="6"/>
      <c r="C333" s="7"/>
      <c r="D333" s="7"/>
      <c r="E333" s="8"/>
      <c r="F333" t="str">
        <f t="shared" si="28"/>
        <v/>
      </c>
      <c r="G333" t="str">
        <f t="shared" si="29"/>
        <v/>
      </c>
      <c r="J333" s="28" t="e">
        <f>LOOKUP(2,1/(COUNTIF($J$4:J332,'Larger Data Sets'!$B$3:$B$8003)=0),'Larger Data Sets'!$B$3:$B$8003)</f>
        <v>#N/A</v>
      </c>
      <c r="K333" s="28" t="str">
        <f t="shared" si="30"/>
        <v xml:space="preserve"> </v>
      </c>
      <c r="L333">
        <f t="shared" si="27"/>
        <v>0</v>
      </c>
      <c r="M333" t="b">
        <f t="shared" si="31"/>
        <v>0</v>
      </c>
    </row>
    <row r="334" spans="2:13" x14ac:dyDescent="0.25">
      <c r="B334" s="6"/>
      <c r="C334" s="7"/>
      <c r="D334" s="7"/>
      <c r="E334" s="8"/>
      <c r="F334" t="str">
        <f t="shared" si="28"/>
        <v/>
      </c>
      <c r="G334" t="str">
        <f t="shared" si="29"/>
        <v/>
      </c>
      <c r="J334" s="28" t="e">
        <f>LOOKUP(2,1/(COUNTIF($J$4:J333,'Larger Data Sets'!$B$3:$B$8003)=0),'Larger Data Sets'!$B$3:$B$8003)</f>
        <v>#N/A</v>
      </c>
      <c r="K334" s="28" t="str">
        <f t="shared" si="30"/>
        <v xml:space="preserve"> </v>
      </c>
      <c r="L334">
        <f t="shared" si="27"/>
        <v>0</v>
      </c>
      <c r="M334" t="b">
        <f t="shared" si="31"/>
        <v>0</v>
      </c>
    </row>
    <row r="335" spans="2:13" x14ac:dyDescent="0.25">
      <c r="B335" s="6"/>
      <c r="C335" s="7"/>
      <c r="D335" s="7"/>
      <c r="E335" s="8"/>
      <c r="F335" t="str">
        <f t="shared" si="28"/>
        <v/>
      </c>
      <c r="G335" t="str">
        <f t="shared" si="29"/>
        <v/>
      </c>
      <c r="J335" s="28" t="e">
        <f>LOOKUP(2,1/(COUNTIF($J$4:J334,'Larger Data Sets'!$B$3:$B$8003)=0),'Larger Data Sets'!$B$3:$B$8003)</f>
        <v>#N/A</v>
      </c>
      <c r="K335" s="28" t="str">
        <f t="shared" si="30"/>
        <v xml:space="preserve"> </v>
      </c>
      <c r="L335">
        <f t="shared" si="27"/>
        <v>0</v>
      </c>
      <c r="M335" t="b">
        <f t="shared" si="31"/>
        <v>0</v>
      </c>
    </row>
    <row r="336" spans="2:13" x14ac:dyDescent="0.25">
      <c r="B336" s="6"/>
      <c r="C336" s="7"/>
      <c r="D336" s="7"/>
      <c r="E336" s="8"/>
      <c r="F336" t="str">
        <f t="shared" si="28"/>
        <v/>
      </c>
      <c r="G336" t="str">
        <f t="shared" si="29"/>
        <v/>
      </c>
      <c r="J336" s="28" t="e">
        <f>LOOKUP(2,1/(COUNTIF($J$4:J335,'Larger Data Sets'!$B$3:$B$8003)=0),'Larger Data Sets'!$B$3:$B$8003)</f>
        <v>#N/A</v>
      </c>
      <c r="K336" s="28" t="str">
        <f t="shared" si="30"/>
        <v xml:space="preserve"> </v>
      </c>
      <c r="L336">
        <f t="shared" ref="L336:L399" si="32">COUNTIF($B$3:$B$8003,$J336)</f>
        <v>0</v>
      </c>
      <c r="M336" t="b">
        <f t="shared" si="31"/>
        <v>0</v>
      </c>
    </row>
    <row r="337" spans="2:13" x14ac:dyDescent="0.25">
      <c r="B337" s="6"/>
      <c r="C337" s="7"/>
      <c r="D337" s="7"/>
      <c r="E337" s="8"/>
      <c r="F337" t="str">
        <f t="shared" si="28"/>
        <v/>
      </c>
      <c r="G337" t="str">
        <f t="shared" si="29"/>
        <v/>
      </c>
      <c r="J337" s="28" t="e">
        <f>LOOKUP(2,1/(COUNTIF($J$4:J336,'Larger Data Sets'!$B$3:$B$8003)=0),'Larger Data Sets'!$B$3:$B$8003)</f>
        <v>#N/A</v>
      </c>
      <c r="K337" s="28" t="str">
        <f t="shared" si="30"/>
        <v xml:space="preserve"> </v>
      </c>
      <c r="L337">
        <f t="shared" si="32"/>
        <v>0</v>
      </c>
      <c r="M337" t="b">
        <f t="shared" si="31"/>
        <v>0</v>
      </c>
    </row>
    <row r="338" spans="2:13" x14ac:dyDescent="0.25">
      <c r="B338" s="6"/>
      <c r="C338" s="7"/>
      <c r="D338" s="7"/>
      <c r="E338" s="8"/>
      <c r="F338" t="str">
        <f t="shared" si="28"/>
        <v/>
      </c>
      <c r="G338" t="str">
        <f t="shared" si="29"/>
        <v/>
      </c>
      <c r="J338" s="28" t="e">
        <f>LOOKUP(2,1/(COUNTIF($J$4:J337,'Larger Data Sets'!$B$3:$B$8003)=0),'Larger Data Sets'!$B$3:$B$8003)</f>
        <v>#N/A</v>
      </c>
      <c r="K338" s="28" t="str">
        <f t="shared" si="30"/>
        <v xml:space="preserve"> </v>
      </c>
      <c r="L338">
        <f t="shared" si="32"/>
        <v>0</v>
      </c>
      <c r="M338" t="b">
        <f t="shared" si="31"/>
        <v>0</v>
      </c>
    </row>
    <row r="339" spans="2:13" x14ac:dyDescent="0.25">
      <c r="B339" s="6"/>
      <c r="C339" s="7"/>
      <c r="D339" s="7"/>
      <c r="E339" s="8"/>
      <c r="F339" t="str">
        <f t="shared" si="28"/>
        <v/>
      </c>
      <c r="G339" t="str">
        <f t="shared" si="29"/>
        <v/>
      </c>
      <c r="J339" s="28" t="e">
        <f>LOOKUP(2,1/(COUNTIF($J$4:J338,'Larger Data Sets'!$B$3:$B$8003)=0),'Larger Data Sets'!$B$3:$B$8003)</f>
        <v>#N/A</v>
      </c>
      <c r="K339" s="28" t="str">
        <f t="shared" si="30"/>
        <v xml:space="preserve"> </v>
      </c>
      <c r="L339">
        <f t="shared" si="32"/>
        <v>0</v>
      </c>
      <c r="M339" t="b">
        <f t="shared" si="31"/>
        <v>0</v>
      </c>
    </row>
    <row r="340" spans="2:13" x14ac:dyDescent="0.25">
      <c r="B340" s="6"/>
      <c r="C340" s="7"/>
      <c r="D340" s="7"/>
      <c r="E340" s="8"/>
      <c r="F340" t="str">
        <f t="shared" si="28"/>
        <v/>
      </c>
      <c r="G340" t="str">
        <f t="shared" si="29"/>
        <v/>
      </c>
      <c r="J340" s="28" t="e">
        <f>LOOKUP(2,1/(COUNTIF($J$4:J339,'Larger Data Sets'!$B$3:$B$8003)=0),'Larger Data Sets'!$B$3:$B$8003)</f>
        <v>#N/A</v>
      </c>
      <c r="K340" s="28" t="str">
        <f t="shared" si="30"/>
        <v xml:space="preserve"> </v>
      </c>
      <c r="L340">
        <f t="shared" si="32"/>
        <v>0</v>
      </c>
      <c r="M340" t="b">
        <f t="shared" si="31"/>
        <v>0</v>
      </c>
    </row>
    <row r="341" spans="2:13" x14ac:dyDescent="0.25">
      <c r="B341" s="6"/>
      <c r="C341" s="7"/>
      <c r="D341" s="7"/>
      <c r="E341" s="8"/>
      <c r="F341" t="str">
        <f t="shared" si="28"/>
        <v/>
      </c>
      <c r="G341" t="str">
        <f t="shared" si="29"/>
        <v/>
      </c>
      <c r="J341" s="28" t="e">
        <f>LOOKUP(2,1/(COUNTIF($J$4:J340,'Larger Data Sets'!$B$3:$B$8003)=0),'Larger Data Sets'!$B$3:$B$8003)</f>
        <v>#N/A</v>
      </c>
      <c r="K341" s="28" t="str">
        <f t="shared" si="30"/>
        <v xml:space="preserve"> </v>
      </c>
      <c r="L341">
        <f t="shared" si="32"/>
        <v>0</v>
      </c>
      <c r="M341" t="b">
        <f t="shared" si="31"/>
        <v>0</v>
      </c>
    </row>
    <row r="342" spans="2:13" x14ac:dyDescent="0.25">
      <c r="B342" s="6"/>
      <c r="C342" s="7"/>
      <c r="D342" s="7"/>
      <c r="E342" s="8"/>
      <c r="F342" t="str">
        <f t="shared" si="28"/>
        <v/>
      </c>
      <c r="G342" t="str">
        <f t="shared" si="29"/>
        <v/>
      </c>
      <c r="J342" s="28" t="e">
        <f>LOOKUP(2,1/(COUNTIF($J$4:J341,'Larger Data Sets'!$B$3:$B$8003)=0),'Larger Data Sets'!$B$3:$B$8003)</f>
        <v>#N/A</v>
      </c>
      <c r="K342" s="28" t="str">
        <f t="shared" si="30"/>
        <v xml:space="preserve"> </v>
      </c>
      <c r="L342">
        <f t="shared" si="32"/>
        <v>0</v>
      </c>
      <c r="M342" t="b">
        <f t="shared" si="31"/>
        <v>0</v>
      </c>
    </row>
    <row r="343" spans="2:13" x14ac:dyDescent="0.25">
      <c r="B343" s="6"/>
      <c r="C343" s="7"/>
      <c r="D343" s="7"/>
      <c r="E343" s="8"/>
      <c r="F343" t="str">
        <f t="shared" si="28"/>
        <v/>
      </c>
      <c r="G343" t="str">
        <f t="shared" si="29"/>
        <v/>
      </c>
      <c r="J343" s="28" t="e">
        <f>LOOKUP(2,1/(COUNTIF($J$4:J342,'Larger Data Sets'!$B$3:$B$8003)=0),'Larger Data Sets'!$B$3:$B$8003)</f>
        <v>#N/A</v>
      </c>
      <c r="K343" s="28" t="str">
        <f t="shared" si="30"/>
        <v xml:space="preserve"> </v>
      </c>
      <c r="L343">
        <f t="shared" si="32"/>
        <v>0</v>
      </c>
      <c r="M343" t="b">
        <f t="shared" si="31"/>
        <v>0</v>
      </c>
    </row>
    <row r="344" spans="2:13" x14ac:dyDescent="0.25">
      <c r="B344" s="6"/>
      <c r="C344" s="7"/>
      <c r="D344" s="7"/>
      <c r="E344" s="8"/>
      <c r="F344" t="str">
        <f t="shared" si="28"/>
        <v/>
      </c>
      <c r="G344" t="str">
        <f t="shared" si="29"/>
        <v/>
      </c>
      <c r="J344" s="28" t="e">
        <f>LOOKUP(2,1/(COUNTIF($J$4:J343,'Larger Data Sets'!$B$3:$B$8003)=0),'Larger Data Sets'!$B$3:$B$8003)</f>
        <v>#N/A</v>
      </c>
      <c r="K344" s="28" t="str">
        <f t="shared" si="30"/>
        <v xml:space="preserve"> </v>
      </c>
      <c r="L344">
        <f t="shared" si="32"/>
        <v>0</v>
      </c>
      <c r="M344" t="b">
        <f t="shared" si="31"/>
        <v>0</v>
      </c>
    </row>
    <row r="345" spans="2:13" x14ac:dyDescent="0.25">
      <c r="B345" s="6"/>
      <c r="C345" s="7"/>
      <c r="D345" s="7"/>
      <c r="E345" s="8"/>
      <c r="F345" t="str">
        <f t="shared" si="28"/>
        <v/>
      </c>
      <c r="G345" t="str">
        <f t="shared" si="29"/>
        <v/>
      </c>
      <c r="J345" s="28" t="e">
        <f>LOOKUP(2,1/(COUNTIF($J$4:J344,'Larger Data Sets'!$B$3:$B$8003)=0),'Larger Data Sets'!$B$3:$B$8003)</f>
        <v>#N/A</v>
      </c>
      <c r="K345" s="28" t="str">
        <f t="shared" si="30"/>
        <v xml:space="preserve"> </v>
      </c>
      <c r="L345">
        <f t="shared" si="32"/>
        <v>0</v>
      </c>
      <c r="M345" t="b">
        <f t="shared" si="31"/>
        <v>0</v>
      </c>
    </row>
    <row r="346" spans="2:13" x14ac:dyDescent="0.25">
      <c r="B346" s="6"/>
      <c r="C346" s="7"/>
      <c r="D346" s="7"/>
      <c r="E346" s="8"/>
      <c r="F346" t="str">
        <f t="shared" si="28"/>
        <v/>
      </c>
      <c r="G346" t="str">
        <f t="shared" si="29"/>
        <v/>
      </c>
      <c r="J346" s="28" t="e">
        <f>LOOKUP(2,1/(COUNTIF($J$4:J345,'Larger Data Sets'!$B$3:$B$8003)=0),'Larger Data Sets'!$B$3:$B$8003)</f>
        <v>#N/A</v>
      </c>
      <c r="K346" s="28" t="str">
        <f t="shared" si="30"/>
        <v xml:space="preserve"> </v>
      </c>
      <c r="L346">
        <f t="shared" si="32"/>
        <v>0</v>
      </c>
      <c r="M346" t="b">
        <f t="shared" si="31"/>
        <v>0</v>
      </c>
    </row>
    <row r="347" spans="2:13" x14ac:dyDescent="0.25">
      <c r="B347" s="6"/>
      <c r="C347" s="7"/>
      <c r="D347" s="7"/>
      <c r="E347" s="8"/>
      <c r="F347" t="str">
        <f t="shared" si="28"/>
        <v/>
      </c>
      <c r="G347" t="str">
        <f t="shared" si="29"/>
        <v/>
      </c>
      <c r="J347" s="28" t="e">
        <f>LOOKUP(2,1/(COUNTIF($J$4:J346,'Larger Data Sets'!$B$3:$B$8003)=0),'Larger Data Sets'!$B$3:$B$8003)</f>
        <v>#N/A</v>
      </c>
      <c r="K347" s="28" t="str">
        <f t="shared" si="30"/>
        <v xml:space="preserve"> </v>
      </c>
      <c r="L347">
        <f t="shared" si="32"/>
        <v>0</v>
      </c>
      <c r="M347" t="b">
        <f t="shared" si="31"/>
        <v>0</v>
      </c>
    </row>
    <row r="348" spans="2:13" x14ac:dyDescent="0.25">
      <c r="B348" s="6"/>
      <c r="C348" s="7"/>
      <c r="D348" s="7"/>
      <c r="E348" s="8"/>
      <c r="F348" t="str">
        <f t="shared" si="28"/>
        <v/>
      </c>
      <c r="G348" t="str">
        <f t="shared" si="29"/>
        <v/>
      </c>
      <c r="J348" s="28" t="e">
        <f>LOOKUP(2,1/(COUNTIF($J$4:J347,'Larger Data Sets'!$B$3:$B$8003)=0),'Larger Data Sets'!$B$3:$B$8003)</f>
        <v>#N/A</v>
      </c>
      <c r="K348" s="28" t="str">
        <f t="shared" si="30"/>
        <v xml:space="preserve"> </v>
      </c>
      <c r="L348">
        <f t="shared" si="32"/>
        <v>0</v>
      </c>
      <c r="M348" t="b">
        <f t="shared" si="31"/>
        <v>0</v>
      </c>
    </row>
    <row r="349" spans="2:13" x14ac:dyDescent="0.25">
      <c r="B349" s="6"/>
      <c r="C349" s="7"/>
      <c r="D349" s="7"/>
      <c r="E349" s="8"/>
      <c r="F349" t="str">
        <f t="shared" si="28"/>
        <v/>
      </c>
      <c r="G349" t="str">
        <f t="shared" si="29"/>
        <v/>
      </c>
      <c r="J349" s="28" t="e">
        <f>LOOKUP(2,1/(COUNTIF($J$4:J348,'Larger Data Sets'!$B$3:$B$8003)=0),'Larger Data Sets'!$B$3:$B$8003)</f>
        <v>#N/A</v>
      </c>
      <c r="K349" s="28" t="str">
        <f t="shared" si="30"/>
        <v xml:space="preserve"> </v>
      </c>
      <c r="L349">
        <f t="shared" si="32"/>
        <v>0</v>
      </c>
      <c r="M349" t="b">
        <f t="shared" si="31"/>
        <v>0</v>
      </c>
    </row>
    <row r="350" spans="2:13" x14ac:dyDescent="0.25">
      <c r="B350" s="6"/>
      <c r="C350" s="7"/>
      <c r="D350" s="7"/>
      <c r="E350" s="8"/>
      <c r="F350" t="str">
        <f t="shared" si="28"/>
        <v/>
      </c>
      <c r="G350" t="str">
        <f t="shared" si="29"/>
        <v/>
      </c>
      <c r="J350" s="28" t="e">
        <f>LOOKUP(2,1/(COUNTIF($J$4:J349,'Larger Data Sets'!$B$3:$B$8003)=0),'Larger Data Sets'!$B$3:$B$8003)</f>
        <v>#N/A</v>
      </c>
      <c r="K350" s="28" t="str">
        <f t="shared" si="30"/>
        <v xml:space="preserve"> </v>
      </c>
      <c r="L350">
        <f t="shared" si="32"/>
        <v>0</v>
      </c>
      <c r="M350" t="b">
        <f t="shared" si="31"/>
        <v>0</v>
      </c>
    </row>
    <row r="351" spans="2:13" x14ac:dyDescent="0.25">
      <c r="B351" s="6"/>
      <c r="C351" s="7"/>
      <c r="D351" s="7"/>
      <c r="E351" s="8"/>
      <c r="F351" t="str">
        <f t="shared" si="28"/>
        <v/>
      </c>
      <c r="G351" t="str">
        <f t="shared" si="29"/>
        <v/>
      </c>
      <c r="J351" s="28" t="e">
        <f>LOOKUP(2,1/(COUNTIF($J$4:J350,'Larger Data Sets'!$B$3:$B$8003)=0),'Larger Data Sets'!$B$3:$B$8003)</f>
        <v>#N/A</v>
      </c>
      <c r="K351" s="28" t="str">
        <f t="shared" si="30"/>
        <v xml:space="preserve"> </v>
      </c>
      <c r="L351">
        <f t="shared" si="32"/>
        <v>0</v>
      </c>
      <c r="M351" t="b">
        <f t="shared" si="31"/>
        <v>0</v>
      </c>
    </row>
    <row r="352" spans="2:13" x14ac:dyDescent="0.25">
      <c r="B352" s="6"/>
      <c r="C352" s="7"/>
      <c r="D352" s="7"/>
      <c r="E352" s="8"/>
      <c r="F352" t="str">
        <f t="shared" si="28"/>
        <v/>
      </c>
      <c r="G352" t="str">
        <f t="shared" si="29"/>
        <v/>
      </c>
      <c r="J352" s="28" t="e">
        <f>LOOKUP(2,1/(COUNTIF($J$4:J351,'Larger Data Sets'!$B$3:$B$8003)=0),'Larger Data Sets'!$B$3:$B$8003)</f>
        <v>#N/A</v>
      </c>
      <c r="K352" s="28" t="str">
        <f t="shared" si="30"/>
        <v xml:space="preserve"> </v>
      </c>
      <c r="L352">
        <f t="shared" si="32"/>
        <v>0</v>
      </c>
      <c r="M352" t="b">
        <f t="shared" si="31"/>
        <v>0</v>
      </c>
    </row>
    <row r="353" spans="2:13" x14ac:dyDescent="0.25">
      <c r="B353" s="6"/>
      <c r="C353" s="7"/>
      <c r="D353" s="7"/>
      <c r="E353" s="8"/>
      <c r="F353" t="str">
        <f t="shared" si="28"/>
        <v/>
      </c>
      <c r="G353" t="str">
        <f t="shared" si="29"/>
        <v/>
      </c>
      <c r="J353" s="28" t="e">
        <f>LOOKUP(2,1/(COUNTIF($J$4:J352,'Larger Data Sets'!$B$3:$B$8003)=0),'Larger Data Sets'!$B$3:$B$8003)</f>
        <v>#N/A</v>
      </c>
      <c r="K353" s="28" t="str">
        <f t="shared" si="30"/>
        <v xml:space="preserve"> </v>
      </c>
      <c r="L353">
        <f t="shared" si="32"/>
        <v>0</v>
      </c>
      <c r="M353" t="b">
        <f t="shared" si="31"/>
        <v>0</v>
      </c>
    </row>
    <row r="354" spans="2:13" x14ac:dyDescent="0.25">
      <c r="B354" s="6"/>
      <c r="C354" s="7"/>
      <c r="D354" s="7"/>
      <c r="E354" s="8"/>
      <c r="F354" t="str">
        <f t="shared" si="28"/>
        <v/>
      </c>
      <c r="G354" t="str">
        <f t="shared" si="29"/>
        <v/>
      </c>
      <c r="J354" s="28" t="e">
        <f>LOOKUP(2,1/(COUNTIF($J$4:J353,'Larger Data Sets'!$B$3:$B$8003)=0),'Larger Data Sets'!$B$3:$B$8003)</f>
        <v>#N/A</v>
      </c>
      <c r="K354" s="28" t="str">
        <f t="shared" si="30"/>
        <v xml:space="preserve"> </v>
      </c>
      <c r="L354">
        <f t="shared" si="32"/>
        <v>0</v>
      </c>
      <c r="M354" t="b">
        <f t="shared" si="31"/>
        <v>0</v>
      </c>
    </row>
    <row r="355" spans="2:13" x14ac:dyDescent="0.25">
      <c r="B355" s="6"/>
      <c r="C355" s="7"/>
      <c r="D355" s="7"/>
      <c r="E355" s="8"/>
      <c r="F355" t="str">
        <f t="shared" si="28"/>
        <v/>
      </c>
      <c r="G355" t="str">
        <f t="shared" si="29"/>
        <v/>
      </c>
      <c r="J355" s="28" t="e">
        <f>LOOKUP(2,1/(COUNTIF($J$4:J354,'Larger Data Sets'!$B$3:$B$8003)=0),'Larger Data Sets'!$B$3:$B$8003)</f>
        <v>#N/A</v>
      </c>
      <c r="K355" s="28" t="str">
        <f t="shared" si="30"/>
        <v xml:space="preserve"> </v>
      </c>
      <c r="L355">
        <f t="shared" si="32"/>
        <v>0</v>
      </c>
      <c r="M355" t="b">
        <f t="shared" si="31"/>
        <v>0</v>
      </c>
    </row>
    <row r="356" spans="2:13" x14ac:dyDescent="0.25">
      <c r="B356" s="6"/>
      <c r="C356" s="7"/>
      <c r="D356" s="7"/>
      <c r="E356" s="8"/>
      <c r="F356" t="str">
        <f t="shared" si="28"/>
        <v/>
      </c>
      <c r="G356" t="str">
        <f t="shared" si="29"/>
        <v/>
      </c>
      <c r="J356" s="28" t="e">
        <f>LOOKUP(2,1/(COUNTIF($J$4:J355,'Larger Data Sets'!$B$3:$B$8003)=0),'Larger Data Sets'!$B$3:$B$8003)</f>
        <v>#N/A</v>
      </c>
      <c r="K356" s="28" t="str">
        <f t="shared" si="30"/>
        <v xml:space="preserve"> </v>
      </c>
      <c r="L356">
        <f t="shared" si="32"/>
        <v>0</v>
      </c>
      <c r="M356" t="b">
        <f t="shared" si="31"/>
        <v>0</v>
      </c>
    </row>
    <row r="357" spans="2:13" x14ac:dyDescent="0.25">
      <c r="B357" s="6"/>
      <c r="C357" s="7"/>
      <c r="D357" s="7"/>
      <c r="E357" s="8"/>
      <c r="F357" t="str">
        <f t="shared" si="28"/>
        <v/>
      </c>
      <c r="G357" t="str">
        <f t="shared" si="29"/>
        <v/>
      </c>
      <c r="J357" s="28" t="e">
        <f>LOOKUP(2,1/(COUNTIF($J$4:J356,'Larger Data Sets'!$B$3:$B$8003)=0),'Larger Data Sets'!$B$3:$B$8003)</f>
        <v>#N/A</v>
      </c>
      <c r="K357" s="28" t="str">
        <f t="shared" si="30"/>
        <v xml:space="preserve"> </v>
      </c>
      <c r="L357">
        <f t="shared" si="32"/>
        <v>0</v>
      </c>
      <c r="M357" t="b">
        <f t="shared" si="31"/>
        <v>0</v>
      </c>
    </row>
    <row r="358" spans="2:13" x14ac:dyDescent="0.25">
      <c r="B358" s="6"/>
      <c r="C358" s="7"/>
      <c r="D358" s="7"/>
      <c r="E358" s="8"/>
      <c r="F358" t="str">
        <f t="shared" si="28"/>
        <v/>
      </c>
      <c r="G358" t="str">
        <f t="shared" si="29"/>
        <v/>
      </c>
      <c r="J358" s="28" t="e">
        <f>LOOKUP(2,1/(COUNTIF($J$4:J357,'Larger Data Sets'!$B$3:$B$8003)=0),'Larger Data Sets'!$B$3:$B$8003)</f>
        <v>#N/A</v>
      </c>
      <c r="K358" s="28" t="str">
        <f t="shared" si="30"/>
        <v xml:space="preserve"> </v>
      </c>
      <c r="L358">
        <f t="shared" si="32"/>
        <v>0</v>
      </c>
      <c r="M358" t="b">
        <f t="shared" si="31"/>
        <v>0</v>
      </c>
    </row>
    <row r="359" spans="2:13" x14ac:dyDescent="0.25">
      <c r="B359" s="6"/>
      <c r="C359" s="7"/>
      <c r="D359" s="7"/>
      <c r="E359" s="8"/>
      <c r="F359" t="str">
        <f t="shared" si="28"/>
        <v/>
      </c>
      <c r="G359" t="str">
        <f t="shared" si="29"/>
        <v/>
      </c>
      <c r="J359" s="28" t="e">
        <f>LOOKUP(2,1/(COUNTIF($J$4:J358,'Larger Data Sets'!$B$3:$B$8003)=0),'Larger Data Sets'!$B$3:$B$8003)</f>
        <v>#N/A</v>
      </c>
      <c r="K359" s="28" t="str">
        <f t="shared" si="30"/>
        <v xml:space="preserve"> </v>
      </c>
      <c r="L359">
        <f t="shared" si="32"/>
        <v>0</v>
      </c>
      <c r="M359" t="b">
        <f t="shared" si="31"/>
        <v>0</v>
      </c>
    </row>
    <row r="360" spans="2:13" x14ac:dyDescent="0.25">
      <c r="B360" s="6"/>
      <c r="C360" s="7"/>
      <c r="D360" s="7"/>
      <c r="E360" s="8"/>
      <c r="F360" t="str">
        <f t="shared" si="28"/>
        <v/>
      </c>
      <c r="G360" t="str">
        <f t="shared" si="29"/>
        <v/>
      </c>
      <c r="J360" s="28" t="e">
        <f>LOOKUP(2,1/(COUNTIF($J$4:J359,'Larger Data Sets'!$B$3:$B$8003)=0),'Larger Data Sets'!$B$3:$B$8003)</f>
        <v>#N/A</v>
      </c>
      <c r="K360" s="28" t="str">
        <f t="shared" si="30"/>
        <v xml:space="preserve"> </v>
      </c>
      <c r="L360">
        <f t="shared" si="32"/>
        <v>0</v>
      </c>
      <c r="M360" t="b">
        <f t="shared" si="31"/>
        <v>0</v>
      </c>
    </row>
    <row r="361" spans="2:13" x14ac:dyDescent="0.25">
      <c r="B361" s="6"/>
      <c r="C361" s="7"/>
      <c r="D361" s="7"/>
      <c r="E361" s="8"/>
      <c r="F361" t="str">
        <f t="shared" si="28"/>
        <v/>
      </c>
      <c r="G361" t="str">
        <f t="shared" si="29"/>
        <v/>
      </c>
      <c r="J361" s="28" t="e">
        <f>LOOKUP(2,1/(COUNTIF($J$4:J360,'Larger Data Sets'!$B$3:$B$8003)=0),'Larger Data Sets'!$B$3:$B$8003)</f>
        <v>#N/A</v>
      </c>
      <c r="K361" s="28" t="str">
        <f t="shared" si="30"/>
        <v xml:space="preserve"> </v>
      </c>
      <c r="L361">
        <f t="shared" si="32"/>
        <v>0</v>
      </c>
      <c r="M361" t="b">
        <f t="shared" si="31"/>
        <v>0</v>
      </c>
    </row>
    <row r="362" spans="2:13" x14ac:dyDescent="0.25">
      <c r="B362" s="6"/>
      <c r="C362" s="7"/>
      <c r="D362" s="7"/>
      <c r="E362" s="8"/>
      <c r="F362" t="str">
        <f t="shared" si="28"/>
        <v/>
      </c>
      <c r="G362" t="str">
        <f t="shared" si="29"/>
        <v/>
      </c>
      <c r="J362" s="28" t="e">
        <f>LOOKUP(2,1/(COUNTIF($J$4:J361,'Larger Data Sets'!$B$3:$B$8003)=0),'Larger Data Sets'!$B$3:$B$8003)</f>
        <v>#N/A</v>
      </c>
      <c r="K362" s="28" t="str">
        <f t="shared" si="30"/>
        <v xml:space="preserve"> </v>
      </c>
      <c r="L362">
        <f t="shared" si="32"/>
        <v>0</v>
      </c>
      <c r="M362" t="b">
        <f t="shared" si="31"/>
        <v>0</v>
      </c>
    </row>
    <row r="363" spans="2:13" x14ac:dyDescent="0.25">
      <c r="B363" s="6"/>
      <c r="C363" s="7"/>
      <c r="D363" s="7"/>
      <c r="E363" s="8"/>
      <c r="F363" t="str">
        <f t="shared" si="28"/>
        <v/>
      </c>
      <c r="G363" t="str">
        <f t="shared" si="29"/>
        <v/>
      </c>
      <c r="J363" s="28" t="e">
        <f>LOOKUP(2,1/(COUNTIF($J$4:J362,'Larger Data Sets'!$B$3:$B$8003)=0),'Larger Data Sets'!$B$3:$B$8003)</f>
        <v>#N/A</v>
      </c>
      <c r="K363" s="28" t="str">
        <f t="shared" si="30"/>
        <v xml:space="preserve"> </v>
      </c>
      <c r="L363">
        <f t="shared" si="32"/>
        <v>0</v>
      </c>
      <c r="M363" t="b">
        <f t="shared" si="31"/>
        <v>0</v>
      </c>
    </row>
    <row r="364" spans="2:13" x14ac:dyDescent="0.25">
      <c r="B364" s="6"/>
      <c r="C364" s="7"/>
      <c r="D364" s="7"/>
      <c r="E364" s="8"/>
      <c r="F364" t="str">
        <f t="shared" si="28"/>
        <v/>
      </c>
      <c r="G364" t="str">
        <f t="shared" si="29"/>
        <v/>
      </c>
      <c r="J364" s="28" t="e">
        <f>LOOKUP(2,1/(COUNTIF($J$4:J363,'Larger Data Sets'!$B$3:$B$8003)=0),'Larger Data Sets'!$B$3:$B$8003)</f>
        <v>#N/A</v>
      </c>
      <c r="K364" s="28" t="str">
        <f t="shared" si="30"/>
        <v xml:space="preserve"> </v>
      </c>
      <c r="L364">
        <f t="shared" si="32"/>
        <v>0</v>
      </c>
      <c r="M364" t="b">
        <f t="shared" si="31"/>
        <v>0</v>
      </c>
    </row>
    <row r="365" spans="2:13" x14ac:dyDescent="0.25">
      <c r="B365" s="6"/>
      <c r="C365" s="7"/>
      <c r="D365" s="7"/>
      <c r="E365" s="8"/>
      <c r="F365" t="str">
        <f t="shared" si="28"/>
        <v/>
      </c>
      <c r="G365" t="str">
        <f t="shared" si="29"/>
        <v/>
      </c>
      <c r="J365" s="28" t="e">
        <f>LOOKUP(2,1/(COUNTIF($J$4:J364,'Larger Data Sets'!$B$3:$B$8003)=0),'Larger Data Sets'!$B$3:$B$8003)</f>
        <v>#N/A</v>
      </c>
      <c r="K365" s="28" t="str">
        <f t="shared" si="30"/>
        <v xml:space="preserve"> </v>
      </c>
      <c r="L365">
        <f t="shared" si="32"/>
        <v>0</v>
      </c>
      <c r="M365" t="b">
        <f t="shared" si="31"/>
        <v>0</v>
      </c>
    </row>
    <row r="366" spans="2:13" x14ac:dyDescent="0.25">
      <c r="B366" s="6"/>
      <c r="C366" s="7"/>
      <c r="D366" s="7"/>
      <c r="E366" s="8"/>
      <c r="F366" t="str">
        <f t="shared" si="28"/>
        <v/>
      </c>
      <c r="G366" t="str">
        <f t="shared" si="29"/>
        <v/>
      </c>
      <c r="J366" s="28" t="e">
        <f>LOOKUP(2,1/(COUNTIF($J$4:J365,'Larger Data Sets'!$B$3:$B$8003)=0),'Larger Data Sets'!$B$3:$B$8003)</f>
        <v>#N/A</v>
      </c>
      <c r="K366" s="28" t="str">
        <f t="shared" si="30"/>
        <v xml:space="preserve"> </v>
      </c>
      <c r="L366">
        <f t="shared" si="32"/>
        <v>0</v>
      </c>
      <c r="M366" t="b">
        <f t="shared" si="31"/>
        <v>0</v>
      </c>
    </row>
    <row r="367" spans="2:13" x14ac:dyDescent="0.25">
      <c r="B367" s="6"/>
      <c r="C367" s="7"/>
      <c r="D367" s="7"/>
      <c r="E367" s="8"/>
      <c r="F367" t="str">
        <f t="shared" si="28"/>
        <v/>
      </c>
      <c r="G367" t="str">
        <f t="shared" si="29"/>
        <v/>
      </c>
      <c r="J367" s="28" t="e">
        <f>LOOKUP(2,1/(COUNTIF($J$4:J366,'Larger Data Sets'!$B$3:$B$8003)=0),'Larger Data Sets'!$B$3:$B$8003)</f>
        <v>#N/A</v>
      </c>
      <c r="K367" s="28" t="str">
        <f t="shared" si="30"/>
        <v xml:space="preserve"> </v>
      </c>
      <c r="L367">
        <f t="shared" si="32"/>
        <v>0</v>
      </c>
      <c r="M367" t="b">
        <f t="shared" si="31"/>
        <v>0</v>
      </c>
    </row>
    <row r="368" spans="2:13" x14ac:dyDescent="0.25">
      <c r="B368" s="6"/>
      <c r="C368" s="7"/>
      <c r="D368" s="7"/>
      <c r="E368" s="8"/>
      <c r="F368" t="str">
        <f t="shared" si="28"/>
        <v/>
      </c>
      <c r="G368" t="str">
        <f t="shared" si="29"/>
        <v/>
      </c>
      <c r="J368" s="28" t="e">
        <f>LOOKUP(2,1/(COUNTIF($J$4:J367,'Larger Data Sets'!$B$3:$B$8003)=0),'Larger Data Sets'!$B$3:$B$8003)</f>
        <v>#N/A</v>
      </c>
      <c r="K368" s="28" t="str">
        <f t="shared" si="30"/>
        <v xml:space="preserve"> </v>
      </c>
      <c r="L368">
        <f t="shared" si="32"/>
        <v>0</v>
      </c>
      <c r="M368" t="b">
        <f t="shared" si="31"/>
        <v>0</v>
      </c>
    </row>
    <row r="369" spans="2:13" x14ac:dyDescent="0.25">
      <c r="B369" s="6"/>
      <c r="C369" s="7"/>
      <c r="D369" s="7"/>
      <c r="E369" s="8"/>
      <c r="F369" t="str">
        <f t="shared" si="28"/>
        <v/>
      </c>
      <c r="G369" t="str">
        <f t="shared" si="29"/>
        <v/>
      </c>
      <c r="J369" s="28" t="e">
        <f>LOOKUP(2,1/(COUNTIF($J$4:J368,'Larger Data Sets'!$B$3:$B$8003)=0),'Larger Data Sets'!$B$3:$B$8003)</f>
        <v>#N/A</v>
      </c>
      <c r="K369" s="28" t="str">
        <f t="shared" si="30"/>
        <v xml:space="preserve"> </v>
      </c>
      <c r="L369">
        <f t="shared" si="32"/>
        <v>0</v>
      </c>
      <c r="M369" t="b">
        <f t="shared" si="31"/>
        <v>0</v>
      </c>
    </row>
    <row r="370" spans="2:13" x14ac:dyDescent="0.25">
      <c r="B370" s="6"/>
      <c r="C370" s="7"/>
      <c r="D370" s="7"/>
      <c r="E370" s="8"/>
      <c r="F370" t="str">
        <f t="shared" si="28"/>
        <v/>
      </c>
      <c r="G370" t="str">
        <f t="shared" si="29"/>
        <v/>
      </c>
      <c r="J370" s="28" t="e">
        <f>LOOKUP(2,1/(COUNTIF($J$4:J369,'Larger Data Sets'!$B$3:$B$8003)=0),'Larger Data Sets'!$B$3:$B$8003)</f>
        <v>#N/A</v>
      </c>
      <c r="K370" s="28" t="str">
        <f t="shared" si="30"/>
        <v xml:space="preserve"> </v>
      </c>
      <c r="L370">
        <f t="shared" si="32"/>
        <v>0</v>
      </c>
      <c r="M370" t="b">
        <f t="shared" si="31"/>
        <v>0</v>
      </c>
    </row>
    <row r="371" spans="2:13" x14ac:dyDescent="0.25">
      <c r="B371" s="6"/>
      <c r="C371" s="7"/>
      <c r="D371" s="7"/>
      <c r="E371" s="8"/>
      <c r="F371" t="str">
        <f t="shared" si="28"/>
        <v/>
      </c>
      <c r="G371" t="str">
        <f t="shared" si="29"/>
        <v/>
      </c>
      <c r="J371" s="28" t="e">
        <f>LOOKUP(2,1/(COUNTIF($J$4:J370,'Larger Data Sets'!$B$3:$B$8003)=0),'Larger Data Sets'!$B$3:$B$8003)</f>
        <v>#N/A</v>
      </c>
      <c r="K371" s="28" t="str">
        <f t="shared" si="30"/>
        <v xml:space="preserve"> </v>
      </c>
      <c r="L371">
        <f t="shared" si="32"/>
        <v>0</v>
      </c>
      <c r="M371" t="b">
        <f t="shared" si="31"/>
        <v>0</v>
      </c>
    </row>
    <row r="372" spans="2:13" x14ac:dyDescent="0.25">
      <c r="B372" s="6"/>
      <c r="C372" s="7"/>
      <c r="D372" s="7"/>
      <c r="E372" s="8"/>
      <c r="F372" t="str">
        <f t="shared" si="28"/>
        <v/>
      </c>
      <c r="G372" t="str">
        <f t="shared" si="29"/>
        <v/>
      </c>
      <c r="J372" s="28" t="e">
        <f>LOOKUP(2,1/(COUNTIF($J$4:J371,'Larger Data Sets'!$B$3:$B$8003)=0),'Larger Data Sets'!$B$3:$B$8003)</f>
        <v>#N/A</v>
      </c>
      <c r="K372" s="28" t="str">
        <f t="shared" si="30"/>
        <v xml:space="preserve"> </v>
      </c>
      <c r="L372">
        <f t="shared" si="32"/>
        <v>0</v>
      </c>
      <c r="M372" t="b">
        <f t="shared" si="31"/>
        <v>0</v>
      </c>
    </row>
    <row r="373" spans="2:13" x14ac:dyDescent="0.25">
      <c r="B373" s="6"/>
      <c r="C373" s="7"/>
      <c r="D373" s="7"/>
      <c r="E373" s="8"/>
      <c r="F373" t="str">
        <f t="shared" si="28"/>
        <v/>
      </c>
      <c r="G373" t="str">
        <f t="shared" si="29"/>
        <v/>
      </c>
      <c r="J373" s="28" t="e">
        <f>LOOKUP(2,1/(COUNTIF($J$4:J372,'Larger Data Sets'!$B$3:$B$8003)=0),'Larger Data Sets'!$B$3:$B$8003)</f>
        <v>#N/A</v>
      </c>
      <c r="K373" s="28" t="str">
        <f t="shared" si="30"/>
        <v xml:space="preserve"> </v>
      </c>
      <c r="L373">
        <f t="shared" si="32"/>
        <v>0</v>
      </c>
      <c r="M373" t="b">
        <f t="shared" si="31"/>
        <v>0</v>
      </c>
    </row>
    <row r="374" spans="2:13" x14ac:dyDescent="0.25">
      <c r="B374" s="6"/>
      <c r="C374" s="7"/>
      <c r="D374" s="7"/>
      <c r="E374" s="8"/>
      <c r="F374" t="str">
        <f t="shared" si="28"/>
        <v/>
      </c>
      <c r="G374" t="str">
        <f t="shared" si="29"/>
        <v/>
      </c>
      <c r="J374" s="28" t="e">
        <f>LOOKUP(2,1/(COUNTIF($J$4:J373,'Larger Data Sets'!$B$3:$B$8003)=0),'Larger Data Sets'!$B$3:$B$8003)</f>
        <v>#N/A</v>
      </c>
      <c r="K374" s="28" t="str">
        <f t="shared" si="30"/>
        <v xml:space="preserve"> </v>
      </c>
      <c r="L374">
        <f t="shared" si="32"/>
        <v>0</v>
      </c>
      <c r="M374" t="b">
        <f t="shared" si="31"/>
        <v>0</v>
      </c>
    </row>
    <row r="375" spans="2:13" x14ac:dyDescent="0.25">
      <c r="B375" s="6"/>
      <c r="C375" s="7"/>
      <c r="D375" s="7"/>
      <c r="E375" s="8"/>
      <c r="F375" t="str">
        <f t="shared" si="28"/>
        <v/>
      </c>
      <c r="G375" t="str">
        <f t="shared" si="29"/>
        <v/>
      </c>
      <c r="J375" s="28" t="e">
        <f>LOOKUP(2,1/(COUNTIF($J$4:J374,'Larger Data Sets'!$B$3:$B$8003)=0),'Larger Data Sets'!$B$3:$B$8003)</f>
        <v>#N/A</v>
      </c>
      <c r="K375" s="28" t="str">
        <f t="shared" si="30"/>
        <v xml:space="preserve"> </v>
      </c>
      <c r="L375">
        <f t="shared" si="32"/>
        <v>0</v>
      </c>
      <c r="M375" t="b">
        <f t="shared" si="31"/>
        <v>0</v>
      </c>
    </row>
    <row r="376" spans="2:13" x14ac:dyDescent="0.25">
      <c r="B376" s="6"/>
      <c r="C376" s="7"/>
      <c r="D376" s="7"/>
      <c r="E376" s="8"/>
      <c r="F376" t="str">
        <f t="shared" si="28"/>
        <v/>
      </c>
      <c r="G376" t="str">
        <f t="shared" si="29"/>
        <v/>
      </c>
      <c r="J376" s="28" t="e">
        <f>LOOKUP(2,1/(COUNTIF($J$4:J375,'Larger Data Sets'!$B$3:$B$8003)=0),'Larger Data Sets'!$B$3:$B$8003)</f>
        <v>#N/A</v>
      </c>
      <c r="K376" s="28" t="str">
        <f t="shared" si="30"/>
        <v xml:space="preserve"> </v>
      </c>
      <c r="L376">
        <f t="shared" si="32"/>
        <v>0</v>
      </c>
      <c r="M376" t="b">
        <f t="shared" si="31"/>
        <v>0</v>
      </c>
    </row>
    <row r="377" spans="2:13" x14ac:dyDescent="0.25">
      <c r="B377" s="6"/>
      <c r="C377" s="7"/>
      <c r="D377" s="7"/>
      <c r="E377" s="8"/>
      <c r="F377" t="str">
        <f t="shared" si="28"/>
        <v/>
      </c>
      <c r="G377" t="str">
        <f t="shared" si="29"/>
        <v/>
      </c>
      <c r="J377" s="28" t="e">
        <f>LOOKUP(2,1/(COUNTIF($J$4:J376,'Larger Data Sets'!$B$3:$B$8003)=0),'Larger Data Sets'!$B$3:$B$8003)</f>
        <v>#N/A</v>
      </c>
      <c r="K377" s="28" t="str">
        <f t="shared" si="30"/>
        <v xml:space="preserve"> </v>
      </c>
      <c r="L377">
        <f t="shared" si="32"/>
        <v>0</v>
      </c>
      <c r="M377" t="b">
        <f t="shared" si="31"/>
        <v>0</v>
      </c>
    </row>
    <row r="378" spans="2:13" x14ac:dyDescent="0.25">
      <c r="B378" s="6"/>
      <c r="C378" s="7"/>
      <c r="D378" s="7"/>
      <c r="E378" s="8"/>
      <c r="F378" t="str">
        <f t="shared" si="28"/>
        <v/>
      </c>
      <c r="G378" t="str">
        <f t="shared" si="29"/>
        <v/>
      </c>
      <c r="J378" s="28" t="e">
        <f>LOOKUP(2,1/(COUNTIF($J$4:J377,'Larger Data Sets'!$B$3:$B$8003)=0),'Larger Data Sets'!$B$3:$B$8003)</f>
        <v>#N/A</v>
      </c>
      <c r="K378" s="28" t="str">
        <f t="shared" si="30"/>
        <v xml:space="preserve"> </v>
      </c>
      <c r="L378">
        <f t="shared" si="32"/>
        <v>0</v>
      </c>
      <c r="M378" t="b">
        <f t="shared" si="31"/>
        <v>0</v>
      </c>
    </row>
    <row r="379" spans="2:13" x14ac:dyDescent="0.25">
      <c r="B379" s="6"/>
      <c r="C379" s="7"/>
      <c r="D379" s="7"/>
      <c r="E379" s="8"/>
      <c r="F379" t="str">
        <f t="shared" si="28"/>
        <v/>
      </c>
      <c r="G379" t="str">
        <f t="shared" si="29"/>
        <v/>
      </c>
      <c r="J379" s="28" t="e">
        <f>LOOKUP(2,1/(COUNTIF($J$4:J378,'Larger Data Sets'!$B$3:$B$8003)=0),'Larger Data Sets'!$B$3:$B$8003)</f>
        <v>#N/A</v>
      </c>
      <c r="K379" s="28" t="str">
        <f t="shared" si="30"/>
        <v xml:space="preserve"> </v>
      </c>
      <c r="L379">
        <f t="shared" si="32"/>
        <v>0</v>
      </c>
      <c r="M379" t="b">
        <f t="shared" si="31"/>
        <v>0</v>
      </c>
    </row>
    <row r="380" spans="2:13" x14ac:dyDescent="0.25">
      <c r="B380" s="6"/>
      <c r="C380" s="7"/>
      <c r="D380" s="7"/>
      <c r="E380" s="8"/>
      <c r="F380" t="str">
        <f t="shared" si="28"/>
        <v/>
      </c>
      <c r="G380" t="str">
        <f t="shared" si="29"/>
        <v/>
      </c>
      <c r="J380" s="28" t="e">
        <f>LOOKUP(2,1/(COUNTIF($J$4:J379,'Larger Data Sets'!$B$3:$B$8003)=0),'Larger Data Sets'!$B$3:$B$8003)</f>
        <v>#N/A</v>
      </c>
      <c r="K380" s="28" t="str">
        <f t="shared" si="30"/>
        <v xml:space="preserve"> </v>
      </c>
      <c r="L380">
        <f t="shared" si="32"/>
        <v>0</v>
      </c>
      <c r="M380" t="b">
        <f t="shared" si="31"/>
        <v>0</v>
      </c>
    </row>
    <row r="381" spans="2:13" x14ac:dyDescent="0.25">
      <c r="B381" s="6"/>
      <c r="C381" s="7"/>
      <c r="D381" s="7"/>
      <c r="E381" s="8"/>
      <c r="F381" t="str">
        <f t="shared" si="28"/>
        <v/>
      </c>
      <c r="G381" t="str">
        <f t="shared" si="29"/>
        <v/>
      </c>
      <c r="J381" s="28" t="e">
        <f>LOOKUP(2,1/(COUNTIF($J$4:J380,'Larger Data Sets'!$B$3:$B$8003)=0),'Larger Data Sets'!$B$3:$B$8003)</f>
        <v>#N/A</v>
      </c>
      <c r="K381" s="28" t="str">
        <f t="shared" si="30"/>
        <v xml:space="preserve"> </v>
      </c>
      <c r="L381">
        <f t="shared" si="32"/>
        <v>0</v>
      </c>
      <c r="M381" t="b">
        <f t="shared" si="31"/>
        <v>0</v>
      </c>
    </row>
    <row r="382" spans="2:13" x14ac:dyDescent="0.25">
      <c r="B382" s="6"/>
      <c r="C382" s="7"/>
      <c r="D382" s="7"/>
      <c r="E382" s="8"/>
      <c r="F382" t="str">
        <f t="shared" si="28"/>
        <v/>
      </c>
      <c r="G382" t="str">
        <f t="shared" si="29"/>
        <v/>
      </c>
      <c r="J382" s="28" t="e">
        <f>LOOKUP(2,1/(COUNTIF($J$4:J381,'Larger Data Sets'!$B$3:$B$8003)=0),'Larger Data Sets'!$B$3:$B$8003)</f>
        <v>#N/A</v>
      </c>
      <c r="K382" s="28" t="str">
        <f t="shared" si="30"/>
        <v xml:space="preserve"> </v>
      </c>
      <c r="L382">
        <f t="shared" si="32"/>
        <v>0</v>
      </c>
      <c r="M382" t="b">
        <f t="shared" si="31"/>
        <v>0</v>
      </c>
    </row>
    <row r="383" spans="2:13" x14ac:dyDescent="0.25">
      <c r="B383" s="6"/>
      <c r="C383" s="7"/>
      <c r="D383" s="7"/>
      <c r="E383" s="8"/>
      <c r="F383" t="str">
        <f t="shared" si="28"/>
        <v/>
      </c>
      <c r="G383" t="str">
        <f t="shared" si="29"/>
        <v/>
      </c>
      <c r="J383" s="28" t="e">
        <f>LOOKUP(2,1/(COUNTIF($J$4:J382,'Larger Data Sets'!$B$3:$B$8003)=0),'Larger Data Sets'!$B$3:$B$8003)</f>
        <v>#N/A</v>
      </c>
      <c r="K383" s="28" t="str">
        <f t="shared" si="30"/>
        <v xml:space="preserve"> </v>
      </c>
      <c r="L383">
        <f t="shared" si="32"/>
        <v>0</v>
      </c>
      <c r="M383" t="b">
        <f t="shared" si="31"/>
        <v>0</v>
      </c>
    </row>
    <row r="384" spans="2:13" x14ac:dyDescent="0.25">
      <c r="B384" s="6"/>
      <c r="C384" s="7"/>
      <c r="D384" s="7"/>
      <c r="E384" s="8"/>
      <c r="F384" t="str">
        <f t="shared" si="28"/>
        <v/>
      </c>
      <c r="G384" t="str">
        <f t="shared" si="29"/>
        <v/>
      </c>
      <c r="J384" s="28" t="e">
        <f>LOOKUP(2,1/(COUNTIF($J$4:J383,'Larger Data Sets'!$B$3:$B$8003)=0),'Larger Data Sets'!$B$3:$B$8003)</f>
        <v>#N/A</v>
      </c>
      <c r="K384" s="28" t="str">
        <f t="shared" si="30"/>
        <v xml:space="preserve"> </v>
      </c>
      <c r="L384">
        <f t="shared" si="32"/>
        <v>0</v>
      </c>
      <c r="M384" t="b">
        <f t="shared" si="31"/>
        <v>0</v>
      </c>
    </row>
    <row r="385" spans="2:13" x14ac:dyDescent="0.25">
      <c r="B385" s="6"/>
      <c r="C385" s="7"/>
      <c r="D385" s="7"/>
      <c r="E385" s="8"/>
      <c r="F385" t="str">
        <f t="shared" si="28"/>
        <v/>
      </c>
      <c r="G385" t="str">
        <f t="shared" si="29"/>
        <v/>
      </c>
      <c r="J385" s="28" t="e">
        <f>LOOKUP(2,1/(COUNTIF($J$4:J384,'Larger Data Sets'!$B$3:$B$8003)=0),'Larger Data Sets'!$B$3:$B$8003)</f>
        <v>#N/A</v>
      </c>
      <c r="K385" s="28" t="str">
        <f t="shared" si="30"/>
        <v xml:space="preserve"> </v>
      </c>
      <c r="L385">
        <f t="shared" si="32"/>
        <v>0</v>
      </c>
      <c r="M385" t="b">
        <f t="shared" si="31"/>
        <v>0</v>
      </c>
    </row>
    <row r="386" spans="2:13" x14ac:dyDescent="0.25">
      <c r="B386" s="6"/>
      <c r="C386" s="7"/>
      <c r="D386" s="7"/>
      <c r="E386" s="8"/>
      <c r="F386" t="str">
        <f t="shared" si="28"/>
        <v/>
      </c>
      <c r="G386" t="str">
        <f t="shared" si="29"/>
        <v/>
      </c>
      <c r="J386" s="28" t="e">
        <f>LOOKUP(2,1/(COUNTIF($J$4:J385,'Larger Data Sets'!$B$3:$B$8003)=0),'Larger Data Sets'!$B$3:$B$8003)</f>
        <v>#N/A</v>
      </c>
      <c r="K386" s="28" t="str">
        <f t="shared" si="30"/>
        <v xml:space="preserve"> </v>
      </c>
      <c r="L386">
        <f t="shared" si="32"/>
        <v>0</v>
      </c>
      <c r="M386" t="b">
        <f t="shared" si="31"/>
        <v>0</v>
      </c>
    </row>
    <row r="387" spans="2:13" x14ac:dyDescent="0.25">
      <c r="B387" s="6"/>
      <c r="C387" s="7"/>
      <c r="D387" s="7"/>
      <c r="E387" s="8"/>
      <c r="F387" t="str">
        <f t="shared" si="28"/>
        <v/>
      </c>
      <c r="G387" t="str">
        <f t="shared" si="29"/>
        <v/>
      </c>
      <c r="J387" s="28" t="e">
        <f>LOOKUP(2,1/(COUNTIF($J$4:J386,'Larger Data Sets'!$B$3:$B$8003)=0),'Larger Data Sets'!$B$3:$B$8003)</f>
        <v>#N/A</v>
      </c>
      <c r="K387" s="28" t="str">
        <f t="shared" si="30"/>
        <v xml:space="preserve"> </v>
      </c>
      <c r="L387">
        <f t="shared" si="32"/>
        <v>0</v>
      </c>
      <c r="M387" t="b">
        <f t="shared" si="31"/>
        <v>0</v>
      </c>
    </row>
    <row r="388" spans="2:13" x14ac:dyDescent="0.25">
      <c r="B388" s="6"/>
      <c r="C388" s="7"/>
      <c r="D388" s="7"/>
      <c r="E388" s="8"/>
      <c r="F388" t="str">
        <f t="shared" ref="F388:F451" si="33">IF(B388="","",LOG10(D388))</f>
        <v/>
      </c>
      <c r="G388" t="str">
        <f t="shared" ref="G388:G451" si="34">IF(E388="", "",0.434*E388/D388)</f>
        <v/>
      </c>
      <c r="J388" s="28" t="e">
        <f>LOOKUP(2,1/(COUNTIF($J$4:J387,'Larger Data Sets'!$B$3:$B$8003)=0),'Larger Data Sets'!$B$3:$B$8003)</f>
        <v>#N/A</v>
      </c>
      <c r="K388" s="28" t="str">
        <f t="shared" si="30"/>
        <v xml:space="preserve"> </v>
      </c>
      <c r="L388">
        <f t="shared" si="32"/>
        <v>0</v>
      </c>
      <c r="M388" t="b">
        <f t="shared" si="31"/>
        <v>0</v>
      </c>
    </row>
    <row r="389" spans="2:13" x14ac:dyDescent="0.25">
      <c r="B389" s="6"/>
      <c r="C389" s="7"/>
      <c r="D389" s="7"/>
      <c r="E389" s="8"/>
      <c r="F389" t="str">
        <f t="shared" si="33"/>
        <v/>
      </c>
      <c r="G389" t="str">
        <f t="shared" si="34"/>
        <v/>
      </c>
      <c r="J389" s="28" t="e">
        <f>LOOKUP(2,1/(COUNTIF($J$4:J388,'Larger Data Sets'!$B$3:$B$8003)=0),'Larger Data Sets'!$B$3:$B$8003)</f>
        <v>#N/A</v>
      </c>
      <c r="K389" s="28" t="str">
        <f t="shared" si="30"/>
        <v xml:space="preserve"> </v>
      </c>
      <c r="L389">
        <f t="shared" si="32"/>
        <v>0</v>
      </c>
      <c r="M389" t="b">
        <f t="shared" si="31"/>
        <v>0</v>
      </c>
    </row>
    <row r="390" spans="2:13" x14ac:dyDescent="0.25">
      <c r="B390" s="6"/>
      <c r="C390" s="7"/>
      <c r="D390" s="7"/>
      <c r="E390" s="8"/>
      <c r="F390" t="str">
        <f t="shared" si="33"/>
        <v/>
      </c>
      <c r="G390" t="str">
        <f t="shared" si="34"/>
        <v/>
      </c>
      <c r="J390" s="28" t="e">
        <f>LOOKUP(2,1/(COUNTIF($J$4:J389,'Larger Data Sets'!$B$3:$B$8003)=0),'Larger Data Sets'!$B$3:$B$8003)</f>
        <v>#N/A</v>
      </c>
      <c r="K390" s="28" t="str">
        <f t="shared" ref="K390:K453" si="35">IFERROR(J390," ")</f>
        <v xml:space="preserve"> </v>
      </c>
      <c r="L390">
        <f t="shared" si="32"/>
        <v>0</v>
      </c>
      <c r="M390" t="b">
        <f t="shared" si="31"/>
        <v>0</v>
      </c>
    </row>
    <row r="391" spans="2:13" x14ac:dyDescent="0.25">
      <c r="B391" s="6"/>
      <c r="C391" s="7"/>
      <c r="D391" s="7"/>
      <c r="E391" s="8"/>
      <c r="F391" t="str">
        <f t="shared" si="33"/>
        <v/>
      </c>
      <c r="G391" t="str">
        <f t="shared" si="34"/>
        <v/>
      </c>
      <c r="J391" s="28" t="e">
        <f>LOOKUP(2,1/(COUNTIF($J$4:J390,'Larger Data Sets'!$B$3:$B$8003)=0),'Larger Data Sets'!$B$3:$B$8003)</f>
        <v>#N/A</v>
      </c>
      <c r="K391" s="28" t="str">
        <f t="shared" si="35"/>
        <v xml:space="preserve"> </v>
      </c>
      <c r="L391">
        <f t="shared" si="32"/>
        <v>0</v>
      </c>
      <c r="M391" t="b">
        <f t="shared" ref="M391:M454" si="36">IF(L391&gt;4,L391+1,FALSE)</f>
        <v>0</v>
      </c>
    </row>
    <row r="392" spans="2:13" x14ac:dyDescent="0.25">
      <c r="B392" s="6"/>
      <c r="C392" s="7"/>
      <c r="D392" s="7"/>
      <c r="E392" s="8"/>
      <c r="F392" t="str">
        <f t="shared" si="33"/>
        <v/>
      </c>
      <c r="G392" t="str">
        <f t="shared" si="34"/>
        <v/>
      </c>
      <c r="J392" s="28" t="e">
        <f>LOOKUP(2,1/(COUNTIF($J$4:J391,'Larger Data Sets'!$B$3:$B$8003)=0),'Larger Data Sets'!$B$3:$B$8003)</f>
        <v>#N/A</v>
      </c>
      <c r="K392" s="28" t="str">
        <f t="shared" si="35"/>
        <v xml:space="preserve"> </v>
      </c>
      <c r="L392">
        <f t="shared" si="32"/>
        <v>0</v>
      </c>
      <c r="M392" t="b">
        <f t="shared" si="36"/>
        <v>0</v>
      </c>
    </row>
    <row r="393" spans="2:13" x14ac:dyDescent="0.25">
      <c r="B393" s="6"/>
      <c r="C393" s="7"/>
      <c r="D393" s="7"/>
      <c r="E393" s="8"/>
      <c r="F393" t="str">
        <f t="shared" si="33"/>
        <v/>
      </c>
      <c r="G393" t="str">
        <f t="shared" si="34"/>
        <v/>
      </c>
      <c r="J393" s="28" t="e">
        <f>LOOKUP(2,1/(COUNTIF($J$4:J392,'Larger Data Sets'!$B$3:$B$8003)=0),'Larger Data Sets'!$B$3:$B$8003)</f>
        <v>#N/A</v>
      </c>
      <c r="K393" s="28" t="str">
        <f t="shared" si="35"/>
        <v xml:space="preserve"> </v>
      </c>
      <c r="L393">
        <f t="shared" si="32"/>
        <v>0</v>
      </c>
      <c r="M393" t="b">
        <f t="shared" si="36"/>
        <v>0</v>
      </c>
    </row>
    <row r="394" spans="2:13" x14ac:dyDescent="0.25">
      <c r="B394" s="6"/>
      <c r="C394" s="7"/>
      <c r="D394" s="7"/>
      <c r="E394" s="8"/>
      <c r="F394" t="str">
        <f t="shared" si="33"/>
        <v/>
      </c>
      <c r="G394" t="str">
        <f t="shared" si="34"/>
        <v/>
      </c>
      <c r="J394" s="28" t="e">
        <f>LOOKUP(2,1/(COUNTIF($J$4:J393,'Larger Data Sets'!$B$3:$B$8003)=0),'Larger Data Sets'!$B$3:$B$8003)</f>
        <v>#N/A</v>
      </c>
      <c r="K394" s="28" t="str">
        <f t="shared" si="35"/>
        <v xml:space="preserve"> </v>
      </c>
      <c r="L394">
        <f t="shared" si="32"/>
        <v>0</v>
      </c>
      <c r="M394" t="b">
        <f t="shared" si="36"/>
        <v>0</v>
      </c>
    </row>
    <row r="395" spans="2:13" x14ac:dyDescent="0.25">
      <c r="B395" s="6"/>
      <c r="C395" s="7"/>
      <c r="D395" s="7"/>
      <c r="E395" s="8"/>
      <c r="F395" t="str">
        <f t="shared" si="33"/>
        <v/>
      </c>
      <c r="G395" t="str">
        <f t="shared" si="34"/>
        <v/>
      </c>
      <c r="J395" s="28" t="e">
        <f>LOOKUP(2,1/(COUNTIF($J$4:J394,'Larger Data Sets'!$B$3:$B$8003)=0),'Larger Data Sets'!$B$3:$B$8003)</f>
        <v>#N/A</v>
      </c>
      <c r="K395" s="28" t="str">
        <f t="shared" si="35"/>
        <v xml:space="preserve"> </v>
      </c>
      <c r="L395">
        <f t="shared" si="32"/>
        <v>0</v>
      </c>
      <c r="M395" t="b">
        <f t="shared" si="36"/>
        <v>0</v>
      </c>
    </row>
    <row r="396" spans="2:13" x14ac:dyDescent="0.25">
      <c r="B396" s="6"/>
      <c r="C396" s="7"/>
      <c r="D396" s="7"/>
      <c r="E396" s="8"/>
      <c r="F396" t="str">
        <f t="shared" si="33"/>
        <v/>
      </c>
      <c r="G396" t="str">
        <f t="shared" si="34"/>
        <v/>
      </c>
      <c r="J396" s="28" t="e">
        <f>LOOKUP(2,1/(COUNTIF($J$4:J395,'Larger Data Sets'!$B$3:$B$8003)=0),'Larger Data Sets'!$B$3:$B$8003)</f>
        <v>#N/A</v>
      </c>
      <c r="K396" s="28" t="str">
        <f t="shared" si="35"/>
        <v xml:space="preserve"> </v>
      </c>
      <c r="L396">
        <f t="shared" si="32"/>
        <v>0</v>
      </c>
      <c r="M396" t="b">
        <f t="shared" si="36"/>
        <v>0</v>
      </c>
    </row>
    <row r="397" spans="2:13" x14ac:dyDescent="0.25">
      <c r="B397" s="6"/>
      <c r="C397" s="7"/>
      <c r="D397" s="7"/>
      <c r="E397" s="8"/>
      <c r="F397" t="str">
        <f t="shared" si="33"/>
        <v/>
      </c>
      <c r="G397" t="str">
        <f t="shared" si="34"/>
        <v/>
      </c>
      <c r="J397" s="28" t="e">
        <f>LOOKUP(2,1/(COUNTIF($J$4:J396,'Larger Data Sets'!$B$3:$B$8003)=0),'Larger Data Sets'!$B$3:$B$8003)</f>
        <v>#N/A</v>
      </c>
      <c r="K397" s="28" t="str">
        <f t="shared" si="35"/>
        <v xml:space="preserve"> </v>
      </c>
      <c r="L397">
        <f t="shared" si="32"/>
        <v>0</v>
      </c>
      <c r="M397" t="b">
        <f t="shared" si="36"/>
        <v>0</v>
      </c>
    </row>
    <row r="398" spans="2:13" x14ac:dyDescent="0.25">
      <c r="B398" s="6"/>
      <c r="C398" s="7"/>
      <c r="D398" s="7"/>
      <c r="E398" s="8"/>
      <c r="F398" t="str">
        <f t="shared" si="33"/>
        <v/>
      </c>
      <c r="G398" t="str">
        <f t="shared" si="34"/>
        <v/>
      </c>
      <c r="J398" s="28" t="e">
        <f>LOOKUP(2,1/(COUNTIF($J$4:J397,'Larger Data Sets'!$B$3:$B$8003)=0),'Larger Data Sets'!$B$3:$B$8003)</f>
        <v>#N/A</v>
      </c>
      <c r="K398" s="28" t="str">
        <f t="shared" si="35"/>
        <v xml:space="preserve"> </v>
      </c>
      <c r="L398">
        <f t="shared" si="32"/>
        <v>0</v>
      </c>
      <c r="M398" t="b">
        <f t="shared" si="36"/>
        <v>0</v>
      </c>
    </row>
    <row r="399" spans="2:13" x14ac:dyDescent="0.25">
      <c r="B399" s="6"/>
      <c r="C399" s="7"/>
      <c r="D399" s="7"/>
      <c r="E399" s="8"/>
      <c r="F399" t="str">
        <f t="shared" si="33"/>
        <v/>
      </c>
      <c r="G399" t="str">
        <f t="shared" si="34"/>
        <v/>
      </c>
      <c r="J399" s="28" t="e">
        <f>LOOKUP(2,1/(COUNTIF($J$4:J398,'Larger Data Sets'!$B$3:$B$8003)=0),'Larger Data Sets'!$B$3:$B$8003)</f>
        <v>#N/A</v>
      </c>
      <c r="K399" s="28" t="str">
        <f t="shared" si="35"/>
        <v xml:space="preserve"> </v>
      </c>
      <c r="L399">
        <f t="shared" si="32"/>
        <v>0</v>
      </c>
      <c r="M399" t="b">
        <f t="shared" si="36"/>
        <v>0</v>
      </c>
    </row>
    <row r="400" spans="2:13" x14ac:dyDescent="0.25">
      <c r="B400" s="6"/>
      <c r="C400" s="7"/>
      <c r="D400" s="7"/>
      <c r="E400" s="8"/>
      <c r="F400" t="str">
        <f t="shared" si="33"/>
        <v/>
      </c>
      <c r="G400" t="str">
        <f t="shared" si="34"/>
        <v/>
      </c>
      <c r="J400" s="28" t="e">
        <f>LOOKUP(2,1/(COUNTIF($J$4:J399,'Larger Data Sets'!$B$3:$B$8003)=0),'Larger Data Sets'!$B$3:$B$8003)</f>
        <v>#N/A</v>
      </c>
      <c r="K400" s="28" t="str">
        <f t="shared" si="35"/>
        <v xml:space="preserve"> </v>
      </c>
      <c r="L400">
        <f t="shared" ref="L400:L463" si="37">COUNTIF($B$3:$B$8003,$J400)</f>
        <v>0</v>
      </c>
      <c r="M400" t="b">
        <f t="shared" si="36"/>
        <v>0</v>
      </c>
    </row>
    <row r="401" spans="2:13" x14ac:dyDescent="0.25">
      <c r="B401" s="6"/>
      <c r="C401" s="7"/>
      <c r="D401" s="7"/>
      <c r="E401" s="8"/>
      <c r="F401" t="str">
        <f t="shared" si="33"/>
        <v/>
      </c>
      <c r="G401" t="str">
        <f t="shared" si="34"/>
        <v/>
      </c>
      <c r="J401" s="28" t="e">
        <f>LOOKUP(2,1/(COUNTIF($J$4:J400,'Larger Data Sets'!$B$3:$B$8003)=0),'Larger Data Sets'!$B$3:$B$8003)</f>
        <v>#N/A</v>
      </c>
      <c r="K401" s="28" t="str">
        <f t="shared" si="35"/>
        <v xml:space="preserve"> </v>
      </c>
      <c r="L401">
        <f t="shared" si="37"/>
        <v>0</v>
      </c>
      <c r="M401" t="b">
        <f t="shared" si="36"/>
        <v>0</v>
      </c>
    </row>
    <row r="402" spans="2:13" x14ac:dyDescent="0.25">
      <c r="B402" s="6"/>
      <c r="C402" s="7"/>
      <c r="D402" s="7"/>
      <c r="E402" s="8"/>
      <c r="F402" t="str">
        <f t="shared" si="33"/>
        <v/>
      </c>
      <c r="G402" t="str">
        <f t="shared" si="34"/>
        <v/>
      </c>
      <c r="J402" s="28" t="e">
        <f>LOOKUP(2,1/(COUNTIF($J$4:J401,'Larger Data Sets'!$B$3:$B$8003)=0),'Larger Data Sets'!$B$3:$B$8003)</f>
        <v>#N/A</v>
      </c>
      <c r="K402" s="28" t="str">
        <f t="shared" si="35"/>
        <v xml:space="preserve"> </v>
      </c>
      <c r="L402">
        <f t="shared" si="37"/>
        <v>0</v>
      </c>
      <c r="M402" t="b">
        <f t="shared" si="36"/>
        <v>0</v>
      </c>
    </row>
    <row r="403" spans="2:13" x14ac:dyDescent="0.25">
      <c r="B403" s="6"/>
      <c r="C403" s="7"/>
      <c r="D403" s="7"/>
      <c r="E403" s="8"/>
      <c r="F403" t="str">
        <f t="shared" si="33"/>
        <v/>
      </c>
      <c r="G403" t="str">
        <f t="shared" si="34"/>
        <v/>
      </c>
      <c r="J403" s="28" t="e">
        <f>LOOKUP(2,1/(COUNTIF($J$4:J402,'Larger Data Sets'!$B$3:$B$8003)=0),'Larger Data Sets'!$B$3:$B$8003)</f>
        <v>#N/A</v>
      </c>
      <c r="K403" s="28" t="str">
        <f t="shared" si="35"/>
        <v xml:space="preserve"> </v>
      </c>
      <c r="L403">
        <f t="shared" si="37"/>
        <v>0</v>
      </c>
      <c r="M403" t="b">
        <f t="shared" si="36"/>
        <v>0</v>
      </c>
    </row>
    <row r="404" spans="2:13" x14ac:dyDescent="0.25">
      <c r="B404" s="6"/>
      <c r="C404" s="7"/>
      <c r="D404" s="7"/>
      <c r="E404" s="8"/>
      <c r="F404" t="str">
        <f t="shared" si="33"/>
        <v/>
      </c>
      <c r="G404" t="str">
        <f t="shared" si="34"/>
        <v/>
      </c>
      <c r="J404" s="28" t="e">
        <f>LOOKUP(2,1/(COUNTIF($J$4:J403,'Larger Data Sets'!$B$3:$B$8003)=0),'Larger Data Sets'!$B$3:$B$8003)</f>
        <v>#N/A</v>
      </c>
      <c r="K404" s="28" t="str">
        <f t="shared" si="35"/>
        <v xml:space="preserve"> </v>
      </c>
      <c r="L404">
        <f t="shared" si="37"/>
        <v>0</v>
      </c>
      <c r="M404" t="b">
        <f t="shared" si="36"/>
        <v>0</v>
      </c>
    </row>
    <row r="405" spans="2:13" x14ac:dyDescent="0.25">
      <c r="B405" s="6"/>
      <c r="C405" s="7"/>
      <c r="D405" s="7"/>
      <c r="E405" s="8"/>
      <c r="F405" t="str">
        <f t="shared" si="33"/>
        <v/>
      </c>
      <c r="G405" t="str">
        <f t="shared" si="34"/>
        <v/>
      </c>
      <c r="J405" s="28" t="e">
        <f>LOOKUP(2,1/(COUNTIF($J$4:J404,'Larger Data Sets'!$B$3:$B$8003)=0),'Larger Data Sets'!$B$3:$B$8003)</f>
        <v>#N/A</v>
      </c>
      <c r="K405" s="28" t="str">
        <f t="shared" si="35"/>
        <v xml:space="preserve"> </v>
      </c>
      <c r="L405">
        <f t="shared" si="37"/>
        <v>0</v>
      </c>
      <c r="M405" t="b">
        <f t="shared" si="36"/>
        <v>0</v>
      </c>
    </row>
    <row r="406" spans="2:13" x14ac:dyDescent="0.25">
      <c r="B406" s="6"/>
      <c r="C406" s="7"/>
      <c r="D406" s="7"/>
      <c r="E406" s="8"/>
      <c r="F406" t="str">
        <f t="shared" si="33"/>
        <v/>
      </c>
      <c r="G406" t="str">
        <f t="shared" si="34"/>
        <v/>
      </c>
      <c r="J406" s="28" t="e">
        <f>LOOKUP(2,1/(COUNTIF($J$4:J405,'Larger Data Sets'!$B$3:$B$8003)=0),'Larger Data Sets'!$B$3:$B$8003)</f>
        <v>#N/A</v>
      </c>
      <c r="K406" s="28" t="str">
        <f t="shared" si="35"/>
        <v xml:space="preserve"> </v>
      </c>
      <c r="L406">
        <f t="shared" si="37"/>
        <v>0</v>
      </c>
      <c r="M406" t="b">
        <f t="shared" si="36"/>
        <v>0</v>
      </c>
    </row>
    <row r="407" spans="2:13" x14ac:dyDescent="0.25">
      <c r="B407" s="6"/>
      <c r="C407" s="7"/>
      <c r="D407" s="7"/>
      <c r="E407" s="8"/>
      <c r="F407" t="str">
        <f t="shared" si="33"/>
        <v/>
      </c>
      <c r="G407" t="str">
        <f t="shared" si="34"/>
        <v/>
      </c>
      <c r="J407" s="28" t="e">
        <f>LOOKUP(2,1/(COUNTIF($J$4:J406,'Larger Data Sets'!$B$3:$B$8003)=0),'Larger Data Sets'!$B$3:$B$8003)</f>
        <v>#N/A</v>
      </c>
      <c r="K407" s="28" t="str">
        <f t="shared" si="35"/>
        <v xml:space="preserve"> </v>
      </c>
      <c r="L407">
        <f t="shared" si="37"/>
        <v>0</v>
      </c>
      <c r="M407" t="b">
        <f t="shared" si="36"/>
        <v>0</v>
      </c>
    </row>
    <row r="408" spans="2:13" x14ac:dyDescent="0.25">
      <c r="B408" s="6"/>
      <c r="C408" s="7"/>
      <c r="D408" s="7"/>
      <c r="E408" s="8"/>
      <c r="F408" t="str">
        <f t="shared" si="33"/>
        <v/>
      </c>
      <c r="G408" t="str">
        <f t="shared" si="34"/>
        <v/>
      </c>
      <c r="J408" s="28" t="e">
        <f>LOOKUP(2,1/(COUNTIF($J$4:J407,'Larger Data Sets'!$B$3:$B$8003)=0),'Larger Data Sets'!$B$3:$B$8003)</f>
        <v>#N/A</v>
      </c>
      <c r="K408" s="28" t="str">
        <f t="shared" si="35"/>
        <v xml:space="preserve"> </v>
      </c>
      <c r="L408">
        <f t="shared" si="37"/>
        <v>0</v>
      </c>
      <c r="M408" t="b">
        <f t="shared" si="36"/>
        <v>0</v>
      </c>
    </row>
    <row r="409" spans="2:13" x14ac:dyDescent="0.25">
      <c r="B409" s="6"/>
      <c r="C409" s="7"/>
      <c r="D409" s="7"/>
      <c r="E409" s="8"/>
      <c r="F409" t="str">
        <f t="shared" si="33"/>
        <v/>
      </c>
      <c r="G409" t="str">
        <f t="shared" si="34"/>
        <v/>
      </c>
      <c r="J409" s="28" t="e">
        <f>LOOKUP(2,1/(COUNTIF($J$4:J408,'Larger Data Sets'!$B$3:$B$8003)=0),'Larger Data Sets'!$B$3:$B$8003)</f>
        <v>#N/A</v>
      </c>
      <c r="K409" s="28" t="str">
        <f t="shared" si="35"/>
        <v xml:space="preserve"> </v>
      </c>
      <c r="L409">
        <f t="shared" si="37"/>
        <v>0</v>
      </c>
      <c r="M409" t="b">
        <f t="shared" si="36"/>
        <v>0</v>
      </c>
    </row>
    <row r="410" spans="2:13" x14ac:dyDescent="0.25">
      <c r="B410" s="6"/>
      <c r="C410" s="7"/>
      <c r="D410" s="7"/>
      <c r="E410" s="8"/>
      <c r="F410" t="str">
        <f t="shared" si="33"/>
        <v/>
      </c>
      <c r="G410" t="str">
        <f t="shared" si="34"/>
        <v/>
      </c>
      <c r="J410" s="28" t="e">
        <f>LOOKUP(2,1/(COUNTIF($J$4:J409,'Larger Data Sets'!$B$3:$B$8003)=0),'Larger Data Sets'!$B$3:$B$8003)</f>
        <v>#N/A</v>
      </c>
      <c r="K410" s="28" t="str">
        <f t="shared" si="35"/>
        <v xml:space="preserve"> </v>
      </c>
      <c r="L410">
        <f t="shared" si="37"/>
        <v>0</v>
      </c>
      <c r="M410" t="b">
        <f t="shared" si="36"/>
        <v>0</v>
      </c>
    </row>
    <row r="411" spans="2:13" x14ac:dyDescent="0.25">
      <c r="B411" s="6"/>
      <c r="C411" s="7"/>
      <c r="D411" s="7"/>
      <c r="E411" s="8"/>
      <c r="F411" t="str">
        <f t="shared" si="33"/>
        <v/>
      </c>
      <c r="G411" t="str">
        <f t="shared" si="34"/>
        <v/>
      </c>
      <c r="J411" s="28" t="e">
        <f>LOOKUP(2,1/(COUNTIF($J$4:J410,'Larger Data Sets'!$B$3:$B$8003)=0),'Larger Data Sets'!$B$3:$B$8003)</f>
        <v>#N/A</v>
      </c>
      <c r="K411" s="28" t="str">
        <f t="shared" si="35"/>
        <v xml:space="preserve"> </v>
      </c>
      <c r="L411">
        <f t="shared" si="37"/>
        <v>0</v>
      </c>
      <c r="M411" t="b">
        <f t="shared" si="36"/>
        <v>0</v>
      </c>
    </row>
    <row r="412" spans="2:13" x14ac:dyDescent="0.25">
      <c r="B412" s="6"/>
      <c r="C412" s="7"/>
      <c r="D412" s="7"/>
      <c r="E412" s="8"/>
      <c r="F412" t="str">
        <f t="shared" si="33"/>
        <v/>
      </c>
      <c r="G412" t="str">
        <f t="shared" si="34"/>
        <v/>
      </c>
      <c r="J412" s="28" t="e">
        <f>LOOKUP(2,1/(COUNTIF($J$4:J411,'Larger Data Sets'!$B$3:$B$8003)=0),'Larger Data Sets'!$B$3:$B$8003)</f>
        <v>#N/A</v>
      </c>
      <c r="K412" s="28" t="str">
        <f t="shared" si="35"/>
        <v xml:space="preserve"> </v>
      </c>
      <c r="L412">
        <f t="shared" si="37"/>
        <v>0</v>
      </c>
      <c r="M412" t="b">
        <f t="shared" si="36"/>
        <v>0</v>
      </c>
    </row>
    <row r="413" spans="2:13" x14ac:dyDescent="0.25">
      <c r="B413" s="6"/>
      <c r="C413" s="7"/>
      <c r="D413" s="7"/>
      <c r="E413" s="8"/>
      <c r="F413" t="str">
        <f t="shared" si="33"/>
        <v/>
      </c>
      <c r="G413" t="str">
        <f t="shared" si="34"/>
        <v/>
      </c>
      <c r="J413" s="28" t="e">
        <f>LOOKUP(2,1/(COUNTIF($J$4:J412,'Larger Data Sets'!$B$3:$B$8003)=0),'Larger Data Sets'!$B$3:$B$8003)</f>
        <v>#N/A</v>
      </c>
      <c r="K413" s="28" t="str">
        <f t="shared" si="35"/>
        <v xml:space="preserve"> </v>
      </c>
      <c r="L413">
        <f t="shared" si="37"/>
        <v>0</v>
      </c>
      <c r="M413" t="b">
        <f t="shared" si="36"/>
        <v>0</v>
      </c>
    </row>
    <row r="414" spans="2:13" x14ac:dyDescent="0.25">
      <c r="B414" s="6"/>
      <c r="C414" s="7"/>
      <c r="D414" s="7"/>
      <c r="E414" s="8"/>
      <c r="F414" t="str">
        <f t="shared" si="33"/>
        <v/>
      </c>
      <c r="G414" t="str">
        <f t="shared" si="34"/>
        <v/>
      </c>
      <c r="J414" s="28" t="e">
        <f>LOOKUP(2,1/(COUNTIF($J$4:J413,'Larger Data Sets'!$B$3:$B$8003)=0),'Larger Data Sets'!$B$3:$B$8003)</f>
        <v>#N/A</v>
      </c>
      <c r="K414" s="28" t="str">
        <f t="shared" si="35"/>
        <v xml:space="preserve"> </v>
      </c>
      <c r="L414">
        <f t="shared" si="37"/>
        <v>0</v>
      </c>
      <c r="M414" t="b">
        <f t="shared" si="36"/>
        <v>0</v>
      </c>
    </row>
    <row r="415" spans="2:13" x14ac:dyDescent="0.25">
      <c r="B415" s="6"/>
      <c r="C415" s="7"/>
      <c r="D415" s="7"/>
      <c r="E415" s="8"/>
      <c r="F415" t="str">
        <f t="shared" si="33"/>
        <v/>
      </c>
      <c r="G415" t="str">
        <f t="shared" si="34"/>
        <v/>
      </c>
      <c r="J415" s="28" t="e">
        <f>LOOKUP(2,1/(COUNTIF($J$4:J414,'Larger Data Sets'!$B$3:$B$8003)=0),'Larger Data Sets'!$B$3:$B$8003)</f>
        <v>#N/A</v>
      </c>
      <c r="K415" s="28" t="str">
        <f t="shared" si="35"/>
        <v xml:space="preserve"> </v>
      </c>
      <c r="L415">
        <f t="shared" si="37"/>
        <v>0</v>
      </c>
      <c r="M415" t="b">
        <f t="shared" si="36"/>
        <v>0</v>
      </c>
    </row>
    <row r="416" spans="2:13" x14ac:dyDescent="0.25">
      <c r="B416" s="6"/>
      <c r="C416" s="7"/>
      <c r="D416" s="7"/>
      <c r="E416" s="8"/>
      <c r="F416" t="str">
        <f t="shared" si="33"/>
        <v/>
      </c>
      <c r="G416" t="str">
        <f t="shared" si="34"/>
        <v/>
      </c>
      <c r="J416" s="28" t="e">
        <f>LOOKUP(2,1/(COUNTIF($J$4:J415,'Larger Data Sets'!$B$3:$B$8003)=0),'Larger Data Sets'!$B$3:$B$8003)</f>
        <v>#N/A</v>
      </c>
      <c r="K416" s="28" t="str">
        <f t="shared" si="35"/>
        <v xml:space="preserve"> </v>
      </c>
      <c r="L416">
        <f t="shared" si="37"/>
        <v>0</v>
      </c>
      <c r="M416" t="b">
        <f t="shared" si="36"/>
        <v>0</v>
      </c>
    </row>
    <row r="417" spans="2:13" x14ac:dyDescent="0.25">
      <c r="B417" s="6"/>
      <c r="C417" s="7"/>
      <c r="D417" s="7"/>
      <c r="E417" s="8"/>
      <c r="F417" t="str">
        <f t="shared" si="33"/>
        <v/>
      </c>
      <c r="G417" t="str">
        <f t="shared" si="34"/>
        <v/>
      </c>
      <c r="J417" s="28" t="e">
        <f>LOOKUP(2,1/(COUNTIF($J$4:J416,'Larger Data Sets'!$B$3:$B$8003)=0),'Larger Data Sets'!$B$3:$B$8003)</f>
        <v>#N/A</v>
      </c>
      <c r="K417" s="28" t="str">
        <f t="shared" si="35"/>
        <v xml:space="preserve"> </v>
      </c>
      <c r="L417">
        <f t="shared" si="37"/>
        <v>0</v>
      </c>
      <c r="M417" t="b">
        <f t="shared" si="36"/>
        <v>0</v>
      </c>
    </row>
    <row r="418" spans="2:13" x14ac:dyDescent="0.25">
      <c r="B418" s="6"/>
      <c r="C418" s="7"/>
      <c r="D418" s="7"/>
      <c r="E418" s="8"/>
      <c r="F418" t="str">
        <f t="shared" si="33"/>
        <v/>
      </c>
      <c r="G418" t="str">
        <f t="shared" si="34"/>
        <v/>
      </c>
      <c r="J418" s="28" t="e">
        <f>LOOKUP(2,1/(COUNTIF($J$4:J417,'Larger Data Sets'!$B$3:$B$8003)=0),'Larger Data Sets'!$B$3:$B$8003)</f>
        <v>#N/A</v>
      </c>
      <c r="K418" s="28" t="str">
        <f t="shared" si="35"/>
        <v xml:space="preserve"> </v>
      </c>
      <c r="L418">
        <f t="shared" si="37"/>
        <v>0</v>
      </c>
      <c r="M418" t="b">
        <f t="shared" si="36"/>
        <v>0</v>
      </c>
    </row>
    <row r="419" spans="2:13" x14ac:dyDescent="0.25">
      <c r="B419" s="6"/>
      <c r="C419" s="7"/>
      <c r="D419" s="7"/>
      <c r="E419" s="8"/>
      <c r="F419" t="str">
        <f t="shared" si="33"/>
        <v/>
      </c>
      <c r="G419" t="str">
        <f t="shared" si="34"/>
        <v/>
      </c>
      <c r="J419" s="28" t="e">
        <f>LOOKUP(2,1/(COUNTIF($J$4:J418,'Larger Data Sets'!$B$3:$B$8003)=0),'Larger Data Sets'!$B$3:$B$8003)</f>
        <v>#N/A</v>
      </c>
      <c r="K419" s="28" t="str">
        <f t="shared" si="35"/>
        <v xml:space="preserve"> </v>
      </c>
      <c r="L419">
        <f t="shared" si="37"/>
        <v>0</v>
      </c>
      <c r="M419" t="b">
        <f t="shared" si="36"/>
        <v>0</v>
      </c>
    </row>
    <row r="420" spans="2:13" x14ac:dyDescent="0.25">
      <c r="B420" s="6"/>
      <c r="C420" s="7"/>
      <c r="D420" s="7"/>
      <c r="E420" s="8"/>
      <c r="F420" t="str">
        <f t="shared" si="33"/>
        <v/>
      </c>
      <c r="G420" t="str">
        <f t="shared" si="34"/>
        <v/>
      </c>
      <c r="J420" s="28" t="e">
        <f>LOOKUP(2,1/(COUNTIF($J$4:J419,'Larger Data Sets'!$B$3:$B$8003)=0),'Larger Data Sets'!$B$3:$B$8003)</f>
        <v>#N/A</v>
      </c>
      <c r="K420" s="28" t="str">
        <f t="shared" si="35"/>
        <v xml:space="preserve"> </v>
      </c>
      <c r="L420">
        <f t="shared" si="37"/>
        <v>0</v>
      </c>
      <c r="M420" t="b">
        <f t="shared" si="36"/>
        <v>0</v>
      </c>
    </row>
    <row r="421" spans="2:13" x14ac:dyDescent="0.25">
      <c r="B421" s="6"/>
      <c r="C421" s="7"/>
      <c r="D421" s="7"/>
      <c r="E421" s="8"/>
      <c r="F421" t="str">
        <f t="shared" si="33"/>
        <v/>
      </c>
      <c r="G421" t="str">
        <f t="shared" si="34"/>
        <v/>
      </c>
      <c r="J421" s="28" t="e">
        <f>LOOKUP(2,1/(COUNTIF($J$4:J420,'Larger Data Sets'!$B$3:$B$8003)=0),'Larger Data Sets'!$B$3:$B$8003)</f>
        <v>#N/A</v>
      </c>
      <c r="K421" s="28" t="str">
        <f t="shared" si="35"/>
        <v xml:space="preserve"> </v>
      </c>
      <c r="L421">
        <f t="shared" si="37"/>
        <v>0</v>
      </c>
      <c r="M421" t="b">
        <f t="shared" si="36"/>
        <v>0</v>
      </c>
    </row>
    <row r="422" spans="2:13" x14ac:dyDescent="0.25">
      <c r="B422" s="6"/>
      <c r="C422" s="7"/>
      <c r="D422" s="7"/>
      <c r="E422" s="8"/>
      <c r="F422" t="str">
        <f t="shared" si="33"/>
        <v/>
      </c>
      <c r="G422" t="str">
        <f t="shared" si="34"/>
        <v/>
      </c>
      <c r="J422" s="28" t="e">
        <f>LOOKUP(2,1/(COUNTIF($J$4:J421,'Larger Data Sets'!$B$3:$B$8003)=0),'Larger Data Sets'!$B$3:$B$8003)</f>
        <v>#N/A</v>
      </c>
      <c r="K422" s="28" t="str">
        <f t="shared" si="35"/>
        <v xml:space="preserve"> </v>
      </c>
      <c r="L422">
        <f t="shared" si="37"/>
        <v>0</v>
      </c>
      <c r="M422" t="b">
        <f t="shared" si="36"/>
        <v>0</v>
      </c>
    </row>
    <row r="423" spans="2:13" x14ac:dyDescent="0.25">
      <c r="B423" s="6"/>
      <c r="C423" s="7"/>
      <c r="D423" s="7"/>
      <c r="E423" s="8"/>
      <c r="F423" t="str">
        <f t="shared" si="33"/>
        <v/>
      </c>
      <c r="G423" t="str">
        <f t="shared" si="34"/>
        <v/>
      </c>
      <c r="J423" s="28" t="e">
        <f>LOOKUP(2,1/(COUNTIF($J$4:J422,'Larger Data Sets'!$B$3:$B$8003)=0),'Larger Data Sets'!$B$3:$B$8003)</f>
        <v>#N/A</v>
      </c>
      <c r="K423" s="28" t="str">
        <f t="shared" si="35"/>
        <v xml:space="preserve"> </v>
      </c>
      <c r="L423">
        <f t="shared" si="37"/>
        <v>0</v>
      </c>
      <c r="M423" t="b">
        <f t="shared" si="36"/>
        <v>0</v>
      </c>
    </row>
    <row r="424" spans="2:13" x14ac:dyDescent="0.25">
      <c r="B424" s="6"/>
      <c r="C424" s="7"/>
      <c r="D424" s="7"/>
      <c r="E424" s="8"/>
      <c r="F424" t="str">
        <f t="shared" si="33"/>
        <v/>
      </c>
      <c r="G424" t="str">
        <f t="shared" si="34"/>
        <v/>
      </c>
      <c r="J424" s="28" t="e">
        <f>LOOKUP(2,1/(COUNTIF($J$4:J423,'Larger Data Sets'!$B$3:$B$8003)=0),'Larger Data Sets'!$B$3:$B$8003)</f>
        <v>#N/A</v>
      </c>
      <c r="K424" s="28" t="str">
        <f t="shared" si="35"/>
        <v xml:space="preserve"> </v>
      </c>
      <c r="L424">
        <f t="shared" si="37"/>
        <v>0</v>
      </c>
      <c r="M424" t="b">
        <f t="shared" si="36"/>
        <v>0</v>
      </c>
    </row>
    <row r="425" spans="2:13" x14ac:dyDescent="0.25">
      <c r="B425" s="6"/>
      <c r="C425" s="7"/>
      <c r="D425" s="7"/>
      <c r="E425" s="8"/>
      <c r="F425" t="str">
        <f t="shared" si="33"/>
        <v/>
      </c>
      <c r="G425" t="str">
        <f t="shared" si="34"/>
        <v/>
      </c>
      <c r="J425" s="28" t="e">
        <f>LOOKUP(2,1/(COUNTIF($J$4:J424,'Larger Data Sets'!$B$3:$B$8003)=0),'Larger Data Sets'!$B$3:$B$8003)</f>
        <v>#N/A</v>
      </c>
      <c r="K425" s="28" t="str">
        <f t="shared" si="35"/>
        <v xml:space="preserve"> </v>
      </c>
      <c r="L425">
        <f t="shared" si="37"/>
        <v>0</v>
      </c>
      <c r="M425" t="b">
        <f t="shared" si="36"/>
        <v>0</v>
      </c>
    </row>
    <row r="426" spans="2:13" x14ac:dyDescent="0.25">
      <c r="B426" s="6"/>
      <c r="C426" s="7"/>
      <c r="D426" s="7"/>
      <c r="E426" s="8"/>
      <c r="F426" t="str">
        <f t="shared" si="33"/>
        <v/>
      </c>
      <c r="G426" t="str">
        <f t="shared" si="34"/>
        <v/>
      </c>
      <c r="J426" s="28" t="e">
        <f>LOOKUP(2,1/(COUNTIF($J$4:J425,'Larger Data Sets'!$B$3:$B$8003)=0),'Larger Data Sets'!$B$3:$B$8003)</f>
        <v>#N/A</v>
      </c>
      <c r="K426" s="28" t="str">
        <f t="shared" si="35"/>
        <v xml:space="preserve"> </v>
      </c>
      <c r="L426">
        <f t="shared" si="37"/>
        <v>0</v>
      </c>
      <c r="M426" t="b">
        <f t="shared" si="36"/>
        <v>0</v>
      </c>
    </row>
    <row r="427" spans="2:13" x14ac:dyDescent="0.25">
      <c r="B427" s="6"/>
      <c r="C427" s="7"/>
      <c r="D427" s="7"/>
      <c r="E427" s="8"/>
      <c r="F427" t="str">
        <f t="shared" si="33"/>
        <v/>
      </c>
      <c r="G427" t="str">
        <f t="shared" si="34"/>
        <v/>
      </c>
      <c r="J427" s="28" t="e">
        <f>LOOKUP(2,1/(COUNTIF($J$4:J426,'Larger Data Sets'!$B$3:$B$8003)=0),'Larger Data Sets'!$B$3:$B$8003)</f>
        <v>#N/A</v>
      </c>
      <c r="K427" s="28" t="str">
        <f t="shared" si="35"/>
        <v xml:space="preserve"> </v>
      </c>
      <c r="L427">
        <f t="shared" si="37"/>
        <v>0</v>
      </c>
      <c r="M427" t="b">
        <f t="shared" si="36"/>
        <v>0</v>
      </c>
    </row>
    <row r="428" spans="2:13" x14ac:dyDescent="0.25">
      <c r="B428" s="6"/>
      <c r="C428" s="7"/>
      <c r="D428" s="7"/>
      <c r="E428" s="8"/>
      <c r="F428" t="str">
        <f t="shared" si="33"/>
        <v/>
      </c>
      <c r="G428" t="str">
        <f t="shared" si="34"/>
        <v/>
      </c>
      <c r="J428" s="28" t="e">
        <f>LOOKUP(2,1/(COUNTIF($J$4:J427,'Larger Data Sets'!$B$3:$B$8003)=0),'Larger Data Sets'!$B$3:$B$8003)</f>
        <v>#N/A</v>
      </c>
      <c r="K428" s="28" t="str">
        <f t="shared" si="35"/>
        <v xml:space="preserve"> </v>
      </c>
      <c r="L428">
        <f t="shared" si="37"/>
        <v>0</v>
      </c>
      <c r="M428" t="b">
        <f t="shared" si="36"/>
        <v>0</v>
      </c>
    </row>
    <row r="429" spans="2:13" x14ac:dyDescent="0.25">
      <c r="B429" s="6"/>
      <c r="C429" s="7"/>
      <c r="D429" s="7"/>
      <c r="E429" s="8"/>
      <c r="F429" t="str">
        <f t="shared" si="33"/>
        <v/>
      </c>
      <c r="G429" t="str">
        <f t="shared" si="34"/>
        <v/>
      </c>
      <c r="J429" s="28" t="e">
        <f>LOOKUP(2,1/(COUNTIF($J$4:J428,'Larger Data Sets'!$B$3:$B$8003)=0),'Larger Data Sets'!$B$3:$B$8003)</f>
        <v>#N/A</v>
      </c>
      <c r="K429" s="28" t="str">
        <f t="shared" si="35"/>
        <v xml:space="preserve"> </v>
      </c>
      <c r="L429">
        <f t="shared" si="37"/>
        <v>0</v>
      </c>
      <c r="M429" t="b">
        <f t="shared" si="36"/>
        <v>0</v>
      </c>
    </row>
    <row r="430" spans="2:13" x14ac:dyDescent="0.25">
      <c r="B430" s="6"/>
      <c r="C430" s="7"/>
      <c r="D430" s="7"/>
      <c r="E430" s="8"/>
      <c r="F430" t="str">
        <f t="shared" si="33"/>
        <v/>
      </c>
      <c r="G430" t="str">
        <f t="shared" si="34"/>
        <v/>
      </c>
      <c r="J430" s="28" t="e">
        <f>LOOKUP(2,1/(COUNTIF($J$4:J429,'Larger Data Sets'!$B$3:$B$8003)=0),'Larger Data Sets'!$B$3:$B$8003)</f>
        <v>#N/A</v>
      </c>
      <c r="K430" s="28" t="str">
        <f t="shared" si="35"/>
        <v xml:space="preserve"> </v>
      </c>
      <c r="L430">
        <f t="shared" si="37"/>
        <v>0</v>
      </c>
      <c r="M430" t="b">
        <f t="shared" si="36"/>
        <v>0</v>
      </c>
    </row>
    <row r="431" spans="2:13" x14ac:dyDescent="0.25">
      <c r="B431" s="6"/>
      <c r="C431" s="7"/>
      <c r="D431" s="7"/>
      <c r="E431" s="8"/>
      <c r="F431" t="str">
        <f t="shared" si="33"/>
        <v/>
      </c>
      <c r="G431" t="str">
        <f t="shared" si="34"/>
        <v/>
      </c>
      <c r="J431" s="28" t="e">
        <f>LOOKUP(2,1/(COUNTIF($J$4:J430,'Larger Data Sets'!$B$3:$B$8003)=0),'Larger Data Sets'!$B$3:$B$8003)</f>
        <v>#N/A</v>
      </c>
      <c r="K431" s="28" t="str">
        <f t="shared" si="35"/>
        <v xml:space="preserve"> </v>
      </c>
      <c r="L431">
        <f t="shared" si="37"/>
        <v>0</v>
      </c>
      <c r="M431" t="b">
        <f t="shared" si="36"/>
        <v>0</v>
      </c>
    </row>
    <row r="432" spans="2:13" x14ac:dyDescent="0.25">
      <c r="B432" s="6"/>
      <c r="C432" s="7"/>
      <c r="D432" s="7"/>
      <c r="E432" s="8"/>
      <c r="F432" t="str">
        <f t="shared" si="33"/>
        <v/>
      </c>
      <c r="G432" t="str">
        <f t="shared" si="34"/>
        <v/>
      </c>
      <c r="J432" s="28" t="e">
        <f>LOOKUP(2,1/(COUNTIF($J$4:J431,'Larger Data Sets'!$B$3:$B$8003)=0),'Larger Data Sets'!$B$3:$B$8003)</f>
        <v>#N/A</v>
      </c>
      <c r="K432" s="28" t="str">
        <f t="shared" si="35"/>
        <v xml:space="preserve"> </v>
      </c>
      <c r="L432">
        <f t="shared" si="37"/>
        <v>0</v>
      </c>
      <c r="M432" t="b">
        <f t="shared" si="36"/>
        <v>0</v>
      </c>
    </row>
    <row r="433" spans="2:13" x14ac:dyDescent="0.25">
      <c r="B433" s="6"/>
      <c r="C433" s="7"/>
      <c r="D433" s="7"/>
      <c r="E433" s="8"/>
      <c r="F433" t="str">
        <f t="shared" si="33"/>
        <v/>
      </c>
      <c r="G433" t="str">
        <f t="shared" si="34"/>
        <v/>
      </c>
      <c r="J433" s="28" t="e">
        <f>LOOKUP(2,1/(COUNTIF($J$4:J432,'Larger Data Sets'!$B$3:$B$8003)=0),'Larger Data Sets'!$B$3:$B$8003)</f>
        <v>#N/A</v>
      </c>
      <c r="K433" s="28" t="str">
        <f t="shared" si="35"/>
        <v xml:space="preserve"> </v>
      </c>
      <c r="L433">
        <f t="shared" si="37"/>
        <v>0</v>
      </c>
      <c r="M433" t="b">
        <f t="shared" si="36"/>
        <v>0</v>
      </c>
    </row>
    <row r="434" spans="2:13" x14ac:dyDescent="0.25">
      <c r="B434" s="6"/>
      <c r="C434" s="7"/>
      <c r="D434" s="7"/>
      <c r="E434" s="8"/>
      <c r="F434" t="str">
        <f t="shared" si="33"/>
        <v/>
      </c>
      <c r="G434" t="str">
        <f t="shared" si="34"/>
        <v/>
      </c>
      <c r="J434" s="28" t="e">
        <f>LOOKUP(2,1/(COUNTIF($J$4:J433,'Larger Data Sets'!$B$3:$B$8003)=0),'Larger Data Sets'!$B$3:$B$8003)</f>
        <v>#N/A</v>
      </c>
      <c r="K434" s="28" t="str">
        <f t="shared" si="35"/>
        <v xml:space="preserve"> </v>
      </c>
      <c r="L434">
        <f t="shared" si="37"/>
        <v>0</v>
      </c>
      <c r="M434" t="b">
        <f t="shared" si="36"/>
        <v>0</v>
      </c>
    </row>
    <row r="435" spans="2:13" x14ac:dyDescent="0.25">
      <c r="B435" s="6"/>
      <c r="C435" s="7"/>
      <c r="D435" s="7"/>
      <c r="E435" s="8"/>
      <c r="F435" t="str">
        <f t="shared" si="33"/>
        <v/>
      </c>
      <c r="G435" t="str">
        <f t="shared" si="34"/>
        <v/>
      </c>
      <c r="J435" s="28" t="e">
        <f>LOOKUP(2,1/(COUNTIF($J$4:J434,'Larger Data Sets'!$B$3:$B$8003)=0),'Larger Data Sets'!$B$3:$B$8003)</f>
        <v>#N/A</v>
      </c>
      <c r="K435" s="28" t="str">
        <f t="shared" si="35"/>
        <v xml:space="preserve"> </v>
      </c>
      <c r="L435">
        <f t="shared" si="37"/>
        <v>0</v>
      </c>
      <c r="M435" t="b">
        <f t="shared" si="36"/>
        <v>0</v>
      </c>
    </row>
    <row r="436" spans="2:13" x14ac:dyDescent="0.25">
      <c r="B436" s="6"/>
      <c r="C436" s="7"/>
      <c r="D436" s="7"/>
      <c r="E436" s="8"/>
      <c r="F436" t="str">
        <f t="shared" si="33"/>
        <v/>
      </c>
      <c r="G436" t="str">
        <f t="shared" si="34"/>
        <v/>
      </c>
      <c r="J436" s="28" t="e">
        <f>LOOKUP(2,1/(COUNTIF($J$4:J435,'Larger Data Sets'!$B$3:$B$8003)=0),'Larger Data Sets'!$B$3:$B$8003)</f>
        <v>#N/A</v>
      </c>
      <c r="K436" s="28" t="str">
        <f t="shared" si="35"/>
        <v xml:space="preserve"> </v>
      </c>
      <c r="L436">
        <f t="shared" si="37"/>
        <v>0</v>
      </c>
      <c r="M436" t="b">
        <f t="shared" si="36"/>
        <v>0</v>
      </c>
    </row>
    <row r="437" spans="2:13" x14ac:dyDescent="0.25">
      <c r="B437" s="6"/>
      <c r="C437" s="7"/>
      <c r="D437" s="7"/>
      <c r="E437" s="8"/>
      <c r="F437" t="str">
        <f t="shared" si="33"/>
        <v/>
      </c>
      <c r="G437" t="str">
        <f t="shared" si="34"/>
        <v/>
      </c>
      <c r="J437" s="28" t="e">
        <f>LOOKUP(2,1/(COUNTIF($J$4:J436,'Larger Data Sets'!$B$3:$B$8003)=0),'Larger Data Sets'!$B$3:$B$8003)</f>
        <v>#N/A</v>
      </c>
      <c r="K437" s="28" t="str">
        <f t="shared" si="35"/>
        <v xml:space="preserve"> </v>
      </c>
      <c r="L437">
        <f t="shared" si="37"/>
        <v>0</v>
      </c>
      <c r="M437" t="b">
        <f t="shared" si="36"/>
        <v>0</v>
      </c>
    </row>
    <row r="438" spans="2:13" x14ac:dyDescent="0.25">
      <c r="B438" s="6"/>
      <c r="C438" s="7"/>
      <c r="D438" s="7"/>
      <c r="E438" s="8"/>
      <c r="F438" t="str">
        <f t="shared" si="33"/>
        <v/>
      </c>
      <c r="G438" t="str">
        <f t="shared" si="34"/>
        <v/>
      </c>
      <c r="J438" s="28" t="e">
        <f>LOOKUP(2,1/(COUNTIF($J$4:J437,'Larger Data Sets'!$B$3:$B$8003)=0),'Larger Data Sets'!$B$3:$B$8003)</f>
        <v>#N/A</v>
      </c>
      <c r="K438" s="28" t="str">
        <f t="shared" si="35"/>
        <v xml:space="preserve"> </v>
      </c>
      <c r="L438">
        <f t="shared" si="37"/>
        <v>0</v>
      </c>
      <c r="M438" t="b">
        <f t="shared" si="36"/>
        <v>0</v>
      </c>
    </row>
    <row r="439" spans="2:13" x14ac:dyDescent="0.25">
      <c r="B439" s="6"/>
      <c r="C439" s="7"/>
      <c r="D439" s="7"/>
      <c r="E439" s="8"/>
      <c r="F439" t="str">
        <f t="shared" si="33"/>
        <v/>
      </c>
      <c r="G439" t="str">
        <f t="shared" si="34"/>
        <v/>
      </c>
      <c r="J439" s="28" t="e">
        <f>LOOKUP(2,1/(COUNTIF($J$4:J438,'Larger Data Sets'!$B$3:$B$8003)=0),'Larger Data Sets'!$B$3:$B$8003)</f>
        <v>#N/A</v>
      </c>
      <c r="K439" s="28" t="str">
        <f t="shared" si="35"/>
        <v xml:space="preserve"> </v>
      </c>
      <c r="L439">
        <f t="shared" si="37"/>
        <v>0</v>
      </c>
      <c r="M439" t="b">
        <f t="shared" si="36"/>
        <v>0</v>
      </c>
    </row>
    <row r="440" spans="2:13" x14ac:dyDescent="0.25">
      <c r="B440" s="6"/>
      <c r="C440" s="7"/>
      <c r="D440" s="7"/>
      <c r="E440" s="8"/>
      <c r="F440" t="str">
        <f t="shared" si="33"/>
        <v/>
      </c>
      <c r="G440" t="str">
        <f t="shared" si="34"/>
        <v/>
      </c>
      <c r="J440" s="28" t="e">
        <f>LOOKUP(2,1/(COUNTIF($J$4:J439,'Larger Data Sets'!$B$3:$B$8003)=0),'Larger Data Sets'!$B$3:$B$8003)</f>
        <v>#N/A</v>
      </c>
      <c r="K440" s="28" t="str">
        <f t="shared" si="35"/>
        <v xml:space="preserve"> </v>
      </c>
      <c r="L440">
        <f t="shared" si="37"/>
        <v>0</v>
      </c>
      <c r="M440" t="b">
        <f t="shared" si="36"/>
        <v>0</v>
      </c>
    </row>
    <row r="441" spans="2:13" x14ac:dyDescent="0.25">
      <c r="B441" s="6"/>
      <c r="C441" s="7"/>
      <c r="D441" s="7"/>
      <c r="E441" s="8"/>
      <c r="F441" t="str">
        <f t="shared" si="33"/>
        <v/>
      </c>
      <c r="G441" t="str">
        <f t="shared" si="34"/>
        <v/>
      </c>
      <c r="J441" s="28" t="e">
        <f>LOOKUP(2,1/(COUNTIF($J$4:J440,'Larger Data Sets'!$B$3:$B$8003)=0),'Larger Data Sets'!$B$3:$B$8003)</f>
        <v>#N/A</v>
      </c>
      <c r="K441" s="28" t="str">
        <f t="shared" si="35"/>
        <v xml:space="preserve"> </v>
      </c>
      <c r="L441">
        <f t="shared" si="37"/>
        <v>0</v>
      </c>
      <c r="M441" t="b">
        <f t="shared" si="36"/>
        <v>0</v>
      </c>
    </row>
    <row r="442" spans="2:13" x14ac:dyDescent="0.25">
      <c r="B442" s="6"/>
      <c r="C442" s="7"/>
      <c r="D442" s="7"/>
      <c r="E442" s="8"/>
      <c r="F442" t="str">
        <f t="shared" si="33"/>
        <v/>
      </c>
      <c r="G442" t="str">
        <f t="shared" si="34"/>
        <v/>
      </c>
      <c r="J442" s="28" t="e">
        <f>LOOKUP(2,1/(COUNTIF($J$4:J441,'Larger Data Sets'!$B$3:$B$8003)=0),'Larger Data Sets'!$B$3:$B$8003)</f>
        <v>#N/A</v>
      </c>
      <c r="K442" s="28" t="str">
        <f t="shared" si="35"/>
        <v xml:space="preserve"> </v>
      </c>
      <c r="L442">
        <f t="shared" si="37"/>
        <v>0</v>
      </c>
      <c r="M442" t="b">
        <f t="shared" si="36"/>
        <v>0</v>
      </c>
    </row>
    <row r="443" spans="2:13" x14ac:dyDescent="0.25">
      <c r="B443" s="6"/>
      <c r="C443" s="7"/>
      <c r="D443" s="7"/>
      <c r="E443" s="8"/>
      <c r="F443" t="str">
        <f t="shared" si="33"/>
        <v/>
      </c>
      <c r="G443" t="str">
        <f t="shared" si="34"/>
        <v/>
      </c>
      <c r="J443" s="28" t="e">
        <f>LOOKUP(2,1/(COUNTIF($J$4:J442,'Larger Data Sets'!$B$3:$B$8003)=0),'Larger Data Sets'!$B$3:$B$8003)</f>
        <v>#N/A</v>
      </c>
      <c r="K443" s="28" t="str">
        <f t="shared" si="35"/>
        <v xml:space="preserve"> </v>
      </c>
      <c r="L443">
        <f t="shared" si="37"/>
        <v>0</v>
      </c>
      <c r="M443" t="b">
        <f t="shared" si="36"/>
        <v>0</v>
      </c>
    </row>
    <row r="444" spans="2:13" x14ac:dyDescent="0.25">
      <c r="B444" s="6"/>
      <c r="C444" s="7"/>
      <c r="D444" s="7"/>
      <c r="E444" s="8"/>
      <c r="F444" t="str">
        <f t="shared" si="33"/>
        <v/>
      </c>
      <c r="G444" t="str">
        <f t="shared" si="34"/>
        <v/>
      </c>
      <c r="J444" s="28" t="e">
        <f>LOOKUP(2,1/(COUNTIF($J$4:J443,'Larger Data Sets'!$B$3:$B$8003)=0),'Larger Data Sets'!$B$3:$B$8003)</f>
        <v>#N/A</v>
      </c>
      <c r="K444" s="28" t="str">
        <f t="shared" si="35"/>
        <v xml:space="preserve"> </v>
      </c>
      <c r="L444">
        <f t="shared" si="37"/>
        <v>0</v>
      </c>
      <c r="M444" t="b">
        <f t="shared" si="36"/>
        <v>0</v>
      </c>
    </row>
    <row r="445" spans="2:13" x14ac:dyDescent="0.25">
      <c r="B445" s="6"/>
      <c r="C445" s="7"/>
      <c r="D445" s="7"/>
      <c r="E445" s="8"/>
      <c r="F445" t="str">
        <f t="shared" si="33"/>
        <v/>
      </c>
      <c r="G445" t="str">
        <f t="shared" si="34"/>
        <v/>
      </c>
      <c r="J445" s="28" t="e">
        <f>LOOKUP(2,1/(COUNTIF($J$4:J444,'Larger Data Sets'!$B$3:$B$8003)=0),'Larger Data Sets'!$B$3:$B$8003)</f>
        <v>#N/A</v>
      </c>
      <c r="K445" s="28" t="str">
        <f t="shared" si="35"/>
        <v xml:space="preserve"> </v>
      </c>
      <c r="L445">
        <f t="shared" si="37"/>
        <v>0</v>
      </c>
      <c r="M445" t="b">
        <f t="shared" si="36"/>
        <v>0</v>
      </c>
    </row>
    <row r="446" spans="2:13" x14ac:dyDescent="0.25">
      <c r="B446" s="6"/>
      <c r="C446" s="7"/>
      <c r="D446" s="7"/>
      <c r="E446" s="8"/>
      <c r="F446" t="str">
        <f t="shared" si="33"/>
        <v/>
      </c>
      <c r="G446" t="str">
        <f t="shared" si="34"/>
        <v/>
      </c>
      <c r="J446" s="28" t="e">
        <f>LOOKUP(2,1/(COUNTIF($J$4:J445,'Larger Data Sets'!$B$3:$B$8003)=0),'Larger Data Sets'!$B$3:$B$8003)</f>
        <v>#N/A</v>
      </c>
      <c r="K446" s="28" t="str">
        <f t="shared" si="35"/>
        <v xml:space="preserve"> </v>
      </c>
      <c r="L446">
        <f t="shared" si="37"/>
        <v>0</v>
      </c>
      <c r="M446" t="b">
        <f t="shared" si="36"/>
        <v>0</v>
      </c>
    </row>
    <row r="447" spans="2:13" x14ac:dyDescent="0.25">
      <c r="B447" s="6"/>
      <c r="C447" s="7"/>
      <c r="D447" s="7"/>
      <c r="E447" s="8"/>
      <c r="F447" t="str">
        <f t="shared" si="33"/>
        <v/>
      </c>
      <c r="G447" t="str">
        <f t="shared" si="34"/>
        <v/>
      </c>
      <c r="J447" s="28" t="e">
        <f>LOOKUP(2,1/(COUNTIF($J$4:J446,'Larger Data Sets'!$B$3:$B$8003)=0),'Larger Data Sets'!$B$3:$B$8003)</f>
        <v>#N/A</v>
      </c>
      <c r="K447" s="28" t="str">
        <f t="shared" si="35"/>
        <v xml:space="preserve"> </v>
      </c>
      <c r="L447">
        <f t="shared" si="37"/>
        <v>0</v>
      </c>
      <c r="M447" t="b">
        <f t="shared" si="36"/>
        <v>0</v>
      </c>
    </row>
    <row r="448" spans="2:13" x14ac:dyDescent="0.25">
      <c r="B448" s="6"/>
      <c r="C448" s="7"/>
      <c r="D448" s="7"/>
      <c r="E448" s="8"/>
      <c r="F448" t="str">
        <f t="shared" si="33"/>
        <v/>
      </c>
      <c r="G448" t="str">
        <f t="shared" si="34"/>
        <v/>
      </c>
      <c r="J448" s="28" t="e">
        <f>LOOKUP(2,1/(COUNTIF($J$4:J447,'Larger Data Sets'!$B$3:$B$8003)=0),'Larger Data Sets'!$B$3:$B$8003)</f>
        <v>#N/A</v>
      </c>
      <c r="K448" s="28" t="str">
        <f t="shared" si="35"/>
        <v xml:space="preserve"> </v>
      </c>
      <c r="L448">
        <f t="shared" si="37"/>
        <v>0</v>
      </c>
      <c r="M448" t="b">
        <f t="shared" si="36"/>
        <v>0</v>
      </c>
    </row>
    <row r="449" spans="2:13" x14ac:dyDescent="0.25">
      <c r="B449" s="6"/>
      <c r="C449" s="7"/>
      <c r="D449" s="7"/>
      <c r="E449" s="8"/>
      <c r="F449" t="str">
        <f t="shared" si="33"/>
        <v/>
      </c>
      <c r="G449" t="str">
        <f t="shared" si="34"/>
        <v/>
      </c>
      <c r="J449" s="28" t="e">
        <f>LOOKUP(2,1/(COUNTIF($J$4:J448,'Larger Data Sets'!$B$3:$B$8003)=0),'Larger Data Sets'!$B$3:$B$8003)</f>
        <v>#N/A</v>
      </c>
      <c r="K449" s="28" t="str">
        <f t="shared" si="35"/>
        <v xml:space="preserve"> </v>
      </c>
      <c r="L449">
        <f t="shared" si="37"/>
        <v>0</v>
      </c>
      <c r="M449" t="b">
        <f t="shared" si="36"/>
        <v>0</v>
      </c>
    </row>
    <row r="450" spans="2:13" x14ac:dyDescent="0.25">
      <c r="B450" s="6"/>
      <c r="C450" s="7"/>
      <c r="D450" s="7"/>
      <c r="E450" s="8"/>
      <c r="F450" t="str">
        <f t="shared" si="33"/>
        <v/>
      </c>
      <c r="G450" t="str">
        <f t="shared" si="34"/>
        <v/>
      </c>
      <c r="J450" s="28" t="e">
        <f>LOOKUP(2,1/(COUNTIF($J$4:J449,'Larger Data Sets'!$B$3:$B$8003)=0),'Larger Data Sets'!$B$3:$B$8003)</f>
        <v>#N/A</v>
      </c>
      <c r="K450" s="28" t="str">
        <f t="shared" si="35"/>
        <v xml:space="preserve"> </v>
      </c>
      <c r="L450">
        <f t="shared" si="37"/>
        <v>0</v>
      </c>
      <c r="M450" t="b">
        <f t="shared" si="36"/>
        <v>0</v>
      </c>
    </row>
    <row r="451" spans="2:13" x14ac:dyDescent="0.25">
      <c r="B451" s="6"/>
      <c r="C451" s="7"/>
      <c r="D451" s="7"/>
      <c r="E451" s="8"/>
      <c r="F451" t="str">
        <f t="shared" si="33"/>
        <v/>
      </c>
      <c r="G451" t="str">
        <f t="shared" si="34"/>
        <v/>
      </c>
      <c r="J451" s="28" t="e">
        <f>LOOKUP(2,1/(COUNTIF($J$4:J450,'Larger Data Sets'!$B$3:$B$8003)=0),'Larger Data Sets'!$B$3:$B$8003)</f>
        <v>#N/A</v>
      </c>
      <c r="K451" s="28" t="str">
        <f t="shared" si="35"/>
        <v xml:space="preserve"> </v>
      </c>
      <c r="L451">
        <f t="shared" si="37"/>
        <v>0</v>
      </c>
      <c r="M451" t="b">
        <f t="shared" si="36"/>
        <v>0</v>
      </c>
    </row>
    <row r="452" spans="2:13" x14ac:dyDescent="0.25">
      <c r="B452" s="6"/>
      <c r="C452" s="7"/>
      <c r="D452" s="7"/>
      <c r="E452" s="8"/>
      <c r="F452" t="str">
        <f t="shared" ref="F452:F515" si="38">IF(B452="","",LOG10(D452))</f>
        <v/>
      </c>
      <c r="G452" t="str">
        <f t="shared" ref="G452:G515" si="39">IF(E452="", "",0.434*E452/D452)</f>
        <v/>
      </c>
      <c r="J452" s="28" t="e">
        <f>LOOKUP(2,1/(COUNTIF($J$4:J451,'Larger Data Sets'!$B$3:$B$8003)=0),'Larger Data Sets'!$B$3:$B$8003)</f>
        <v>#N/A</v>
      </c>
      <c r="K452" s="28" t="str">
        <f t="shared" si="35"/>
        <v xml:space="preserve"> </v>
      </c>
      <c r="L452">
        <f t="shared" si="37"/>
        <v>0</v>
      </c>
      <c r="M452" t="b">
        <f t="shared" si="36"/>
        <v>0</v>
      </c>
    </row>
    <row r="453" spans="2:13" x14ac:dyDescent="0.25">
      <c r="B453" s="6"/>
      <c r="C453" s="7"/>
      <c r="D453" s="7"/>
      <c r="E453" s="8"/>
      <c r="F453" t="str">
        <f t="shared" si="38"/>
        <v/>
      </c>
      <c r="G453" t="str">
        <f t="shared" si="39"/>
        <v/>
      </c>
      <c r="J453" s="28" t="e">
        <f>LOOKUP(2,1/(COUNTIF($J$4:J452,'Larger Data Sets'!$B$3:$B$8003)=0),'Larger Data Sets'!$B$3:$B$8003)</f>
        <v>#N/A</v>
      </c>
      <c r="K453" s="28" t="str">
        <f t="shared" si="35"/>
        <v xml:space="preserve"> </v>
      </c>
      <c r="L453">
        <f t="shared" si="37"/>
        <v>0</v>
      </c>
      <c r="M453" t="b">
        <f t="shared" si="36"/>
        <v>0</v>
      </c>
    </row>
    <row r="454" spans="2:13" x14ac:dyDescent="0.25">
      <c r="B454" s="6"/>
      <c r="C454" s="7"/>
      <c r="D454" s="7"/>
      <c r="E454" s="8"/>
      <c r="F454" t="str">
        <f t="shared" si="38"/>
        <v/>
      </c>
      <c r="G454" t="str">
        <f t="shared" si="39"/>
        <v/>
      </c>
      <c r="J454" s="28" t="e">
        <f>LOOKUP(2,1/(COUNTIF($J$4:J453,'Larger Data Sets'!$B$3:$B$8003)=0),'Larger Data Sets'!$B$3:$B$8003)</f>
        <v>#N/A</v>
      </c>
      <c r="K454" s="28" t="str">
        <f t="shared" ref="K454:K505" si="40">IFERROR(J454," ")</f>
        <v xml:space="preserve"> </v>
      </c>
      <c r="L454">
        <f t="shared" si="37"/>
        <v>0</v>
      </c>
      <c r="M454" t="b">
        <f t="shared" si="36"/>
        <v>0</v>
      </c>
    </row>
    <row r="455" spans="2:13" x14ac:dyDescent="0.25">
      <c r="B455" s="6"/>
      <c r="C455" s="7"/>
      <c r="D455" s="7"/>
      <c r="E455" s="8"/>
      <c r="F455" t="str">
        <f t="shared" si="38"/>
        <v/>
      </c>
      <c r="G455" t="str">
        <f t="shared" si="39"/>
        <v/>
      </c>
      <c r="J455" s="28" t="e">
        <f>LOOKUP(2,1/(COUNTIF($J$4:J454,'Larger Data Sets'!$B$3:$B$8003)=0),'Larger Data Sets'!$B$3:$B$8003)</f>
        <v>#N/A</v>
      </c>
      <c r="K455" s="28" t="str">
        <f t="shared" si="40"/>
        <v xml:space="preserve"> </v>
      </c>
      <c r="L455">
        <f t="shared" si="37"/>
        <v>0</v>
      </c>
      <c r="M455" t="b">
        <f t="shared" ref="M455:M506" si="41">IF(L455&gt;4,L455+1,FALSE)</f>
        <v>0</v>
      </c>
    </row>
    <row r="456" spans="2:13" x14ac:dyDescent="0.25">
      <c r="B456" s="6"/>
      <c r="C456" s="7"/>
      <c r="D456" s="7"/>
      <c r="E456" s="8"/>
      <c r="F456" t="str">
        <f t="shared" si="38"/>
        <v/>
      </c>
      <c r="G456" t="str">
        <f t="shared" si="39"/>
        <v/>
      </c>
      <c r="J456" s="28" t="e">
        <f>LOOKUP(2,1/(COUNTIF($J$4:J455,'Larger Data Sets'!$B$3:$B$8003)=0),'Larger Data Sets'!$B$3:$B$8003)</f>
        <v>#N/A</v>
      </c>
      <c r="K456" s="28" t="str">
        <f t="shared" si="40"/>
        <v xml:space="preserve"> </v>
      </c>
      <c r="L456">
        <f t="shared" si="37"/>
        <v>0</v>
      </c>
      <c r="M456" t="b">
        <f t="shared" si="41"/>
        <v>0</v>
      </c>
    </row>
    <row r="457" spans="2:13" x14ac:dyDescent="0.25">
      <c r="B457" s="6"/>
      <c r="C457" s="7"/>
      <c r="D457" s="7"/>
      <c r="E457" s="8"/>
      <c r="F457" t="str">
        <f t="shared" si="38"/>
        <v/>
      </c>
      <c r="G457" t="str">
        <f t="shared" si="39"/>
        <v/>
      </c>
      <c r="J457" s="28" t="e">
        <f>LOOKUP(2,1/(COUNTIF($J$4:J456,'Larger Data Sets'!$B$3:$B$8003)=0),'Larger Data Sets'!$B$3:$B$8003)</f>
        <v>#N/A</v>
      </c>
      <c r="K457" s="28" t="str">
        <f t="shared" si="40"/>
        <v xml:space="preserve"> </v>
      </c>
      <c r="L457">
        <f t="shared" si="37"/>
        <v>0</v>
      </c>
      <c r="M457" t="b">
        <f t="shared" si="41"/>
        <v>0</v>
      </c>
    </row>
    <row r="458" spans="2:13" x14ac:dyDescent="0.25">
      <c r="B458" s="6"/>
      <c r="C458" s="7"/>
      <c r="D458" s="7"/>
      <c r="E458" s="8"/>
      <c r="F458" t="str">
        <f t="shared" si="38"/>
        <v/>
      </c>
      <c r="G458" t="str">
        <f t="shared" si="39"/>
        <v/>
      </c>
      <c r="J458" s="28" t="e">
        <f>LOOKUP(2,1/(COUNTIF($J$4:J457,'Larger Data Sets'!$B$3:$B$8003)=0),'Larger Data Sets'!$B$3:$B$8003)</f>
        <v>#N/A</v>
      </c>
      <c r="K458" s="28" t="str">
        <f t="shared" si="40"/>
        <v xml:space="preserve"> </v>
      </c>
      <c r="L458">
        <f t="shared" si="37"/>
        <v>0</v>
      </c>
      <c r="M458" t="b">
        <f t="shared" si="41"/>
        <v>0</v>
      </c>
    </row>
    <row r="459" spans="2:13" x14ac:dyDescent="0.25">
      <c r="B459" s="6"/>
      <c r="C459" s="7"/>
      <c r="D459" s="7"/>
      <c r="E459" s="8"/>
      <c r="F459" t="str">
        <f t="shared" si="38"/>
        <v/>
      </c>
      <c r="G459" t="str">
        <f t="shared" si="39"/>
        <v/>
      </c>
      <c r="J459" s="28" t="e">
        <f>LOOKUP(2,1/(COUNTIF($J$4:J458,'Larger Data Sets'!$B$3:$B$8003)=0),'Larger Data Sets'!$B$3:$B$8003)</f>
        <v>#N/A</v>
      </c>
      <c r="K459" s="28" t="str">
        <f t="shared" si="40"/>
        <v xml:space="preserve"> </v>
      </c>
      <c r="L459">
        <f t="shared" si="37"/>
        <v>0</v>
      </c>
      <c r="M459" t="b">
        <f t="shared" si="41"/>
        <v>0</v>
      </c>
    </row>
    <row r="460" spans="2:13" x14ac:dyDescent="0.25">
      <c r="B460" s="6"/>
      <c r="C460" s="7"/>
      <c r="D460" s="7"/>
      <c r="E460" s="8"/>
      <c r="F460" t="str">
        <f t="shared" si="38"/>
        <v/>
      </c>
      <c r="G460" t="str">
        <f t="shared" si="39"/>
        <v/>
      </c>
      <c r="J460" s="28" t="e">
        <f>LOOKUP(2,1/(COUNTIF($J$4:J459,'Larger Data Sets'!$B$3:$B$8003)=0),'Larger Data Sets'!$B$3:$B$8003)</f>
        <v>#N/A</v>
      </c>
      <c r="K460" s="28" t="str">
        <f t="shared" si="40"/>
        <v xml:space="preserve"> </v>
      </c>
      <c r="L460">
        <f t="shared" si="37"/>
        <v>0</v>
      </c>
      <c r="M460" t="b">
        <f t="shared" si="41"/>
        <v>0</v>
      </c>
    </row>
    <row r="461" spans="2:13" x14ac:dyDescent="0.25">
      <c r="B461" s="6"/>
      <c r="C461" s="7"/>
      <c r="D461" s="7"/>
      <c r="E461" s="8"/>
      <c r="F461" t="str">
        <f t="shared" si="38"/>
        <v/>
      </c>
      <c r="G461" t="str">
        <f t="shared" si="39"/>
        <v/>
      </c>
      <c r="J461" s="28" t="e">
        <f>LOOKUP(2,1/(COUNTIF($J$4:J460,'Larger Data Sets'!$B$3:$B$8003)=0),'Larger Data Sets'!$B$3:$B$8003)</f>
        <v>#N/A</v>
      </c>
      <c r="K461" s="28" t="str">
        <f t="shared" si="40"/>
        <v xml:space="preserve"> </v>
      </c>
      <c r="L461">
        <f t="shared" si="37"/>
        <v>0</v>
      </c>
      <c r="M461" t="b">
        <f t="shared" si="41"/>
        <v>0</v>
      </c>
    </row>
    <row r="462" spans="2:13" x14ac:dyDescent="0.25">
      <c r="B462" s="6"/>
      <c r="C462" s="7"/>
      <c r="D462" s="7"/>
      <c r="E462" s="8"/>
      <c r="F462" t="str">
        <f t="shared" si="38"/>
        <v/>
      </c>
      <c r="G462" t="str">
        <f t="shared" si="39"/>
        <v/>
      </c>
      <c r="J462" s="28" t="e">
        <f>LOOKUP(2,1/(COUNTIF($J$4:J461,'Larger Data Sets'!$B$3:$B$8003)=0),'Larger Data Sets'!$B$3:$B$8003)</f>
        <v>#N/A</v>
      </c>
      <c r="K462" s="28" t="str">
        <f t="shared" si="40"/>
        <v xml:space="preserve"> </v>
      </c>
      <c r="L462">
        <f t="shared" si="37"/>
        <v>0</v>
      </c>
      <c r="M462" t="b">
        <f t="shared" si="41"/>
        <v>0</v>
      </c>
    </row>
    <row r="463" spans="2:13" x14ac:dyDescent="0.25">
      <c r="B463" s="6"/>
      <c r="C463" s="7"/>
      <c r="D463" s="7"/>
      <c r="E463" s="8"/>
      <c r="F463" t="str">
        <f t="shared" si="38"/>
        <v/>
      </c>
      <c r="G463" t="str">
        <f t="shared" si="39"/>
        <v/>
      </c>
      <c r="J463" s="28" t="e">
        <f>LOOKUP(2,1/(COUNTIF($J$4:J462,'Larger Data Sets'!$B$3:$B$8003)=0),'Larger Data Sets'!$B$3:$B$8003)</f>
        <v>#N/A</v>
      </c>
      <c r="K463" s="28" t="str">
        <f t="shared" si="40"/>
        <v xml:space="preserve"> </v>
      </c>
      <c r="L463">
        <f t="shared" si="37"/>
        <v>0</v>
      </c>
      <c r="M463" t="b">
        <f t="shared" si="41"/>
        <v>0</v>
      </c>
    </row>
    <row r="464" spans="2:13" x14ac:dyDescent="0.25">
      <c r="B464" s="6"/>
      <c r="C464" s="7"/>
      <c r="D464" s="7"/>
      <c r="E464" s="8"/>
      <c r="F464" t="str">
        <f t="shared" si="38"/>
        <v/>
      </c>
      <c r="G464" t="str">
        <f t="shared" si="39"/>
        <v/>
      </c>
      <c r="J464" s="28" t="e">
        <f>LOOKUP(2,1/(COUNTIF($J$4:J463,'Larger Data Sets'!$B$3:$B$8003)=0),'Larger Data Sets'!$B$3:$B$8003)</f>
        <v>#N/A</v>
      </c>
      <c r="K464" s="28" t="str">
        <f t="shared" si="40"/>
        <v xml:space="preserve"> </v>
      </c>
      <c r="L464">
        <f t="shared" ref="L464:L505" si="42">COUNTIF($B$3:$B$8003,$J464)</f>
        <v>0</v>
      </c>
      <c r="M464" t="b">
        <f t="shared" si="41"/>
        <v>0</v>
      </c>
    </row>
    <row r="465" spans="2:13" x14ac:dyDescent="0.25">
      <c r="B465" s="6"/>
      <c r="C465" s="7"/>
      <c r="D465" s="7"/>
      <c r="E465" s="8"/>
      <c r="F465" t="str">
        <f t="shared" si="38"/>
        <v/>
      </c>
      <c r="G465" t="str">
        <f t="shared" si="39"/>
        <v/>
      </c>
      <c r="J465" s="28" t="e">
        <f>LOOKUP(2,1/(COUNTIF($J$4:J464,'Larger Data Sets'!$B$3:$B$8003)=0),'Larger Data Sets'!$B$3:$B$8003)</f>
        <v>#N/A</v>
      </c>
      <c r="K465" s="28" t="str">
        <f t="shared" si="40"/>
        <v xml:space="preserve"> </v>
      </c>
      <c r="L465">
        <f t="shared" si="42"/>
        <v>0</v>
      </c>
      <c r="M465" t="b">
        <f t="shared" si="41"/>
        <v>0</v>
      </c>
    </row>
    <row r="466" spans="2:13" x14ac:dyDescent="0.25">
      <c r="B466" s="6"/>
      <c r="C466" s="7"/>
      <c r="D466" s="7"/>
      <c r="E466" s="8"/>
      <c r="F466" t="str">
        <f t="shared" si="38"/>
        <v/>
      </c>
      <c r="G466" t="str">
        <f t="shared" si="39"/>
        <v/>
      </c>
      <c r="J466" s="28" t="e">
        <f>LOOKUP(2,1/(COUNTIF($J$4:J465,'Larger Data Sets'!$B$3:$B$8003)=0),'Larger Data Sets'!$B$3:$B$8003)</f>
        <v>#N/A</v>
      </c>
      <c r="K466" s="28" t="str">
        <f t="shared" si="40"/>
        <v xml:space="preserve"> </v>
      </c>
      <c r="L466">
        <f t="shared" si="42"/>
        <v>0</v>
      </c>
      <c r="M466" t="b">
        <f t="shared" si="41"/>
        <v>0</v>
      </c>
    </row>
    <row r="467" spans="2:13" x14ac:dyDescent="0.25">
      <c r="B467" s="6"/>
      <c r="C467" s="7"/>
      <c r="D467" s="7"/>
      <c r="E467" s="8"/>
      <c r="F467" t="str">
        <f t="shared" si="38"/>
        <v/>
      </c>
      <c r="G467" t="str">
        <f t="shared" si="39"/>
        <v/>
      </c>
      <c r="J467" s="28" t="e">
        <f>LOOKUP(2,1/(COUNTIF($J$4:J466,'Larger Data Sets'!$B$3:$B$8003)=0),'Larger Data Sets'!$B$3:$B$8003)</f>
        <v>#N/A</v>
      </c>
      <c r="K467" s="28" t="str">
        <f t="shared" si="40"/>
        <v xml:space="preserve"> </v>
      </c>
      <c r="L467">
        <f t="shared" si="42"/>
        <v>0</v>
      </c>
      <c r="M467" t="b">
        <f t="shared" si="41"/>
        <v>0</v>
      </c>
    </row>
    <row r="468" spans="2:13" x14ac:dyDescent="0.25">
      <c r="B468" s="6"/>
      <c r="C468" s="7"/>
      <c r="D468" s="7"/>
      <c r="E468" s="8"/>
      <c r="F468" t="str">
        <f t="shared" si="38"/>
        <v/>
      </c>
      <c r="G468" t="str">
        <f t="shared" si="39"/>
        <v/>
      </c>
      <c r="J468" s="28" t="e">
        <f>LOOKUP(2,1/(COUNTIF($J$4:J467,'Larger Data Sets'!$B$3:$B$8003)=0),'Larger Data Sets'!$B$3:$B$8003)</f>
        <v>#N/A</v>
      </c>
      <c r="K468" s="28" t="str">
        <f t="shared" si="40"/>
        <v xml:space="preserve"> </v>
      </c>
      <c r="L468">
        <f t="shared" si="42"/>
        <v>0</v>
      </c>
      <c r="M468" t="b">
        <f t="shared" si="41"/>
        <v>0</v>
      </c>
    </row>
    <row r="469" spans="2:13" x14ac:dyDescent="0.25">
      <c r="B469" s="6"/>
      <c r="C469" s="7"/>
      <c r="D469" s="7"/>
      <c r="E469" s="8"/>
      <c r="F469" t="str">
        <f t="shared" si="38"/>
        <v/>
      </c>
      <c r="G469" t="str">
        <f t="shared" si="39"/>
        <v/>
      </c>
      <c r="J469" s="28" t="e">
        <f>LOOKUP(2,1/(COUNTIF($J$4:J468,'Larger Data Sets'!$B$3:$B$8003)=0),'Larger Data Sets'!$B$3:$B$8003)</f>
        <v>#N/A</v>
      </c>
      <c r="K469" s="28" t="str">
        <f t="shared" si="40"/>
        <v xml:space="preserve"> </v>
      </c>
      <c r="L469">
        <f t="shared" si="42"/>
        <v>0</v>
      </c>
      <c r="M469" t="b">
        <f t="shared" si="41"/>
        <v>0</v>
      </c>
    </row>
    <row r="470" spans="2:13" x14ac:dyDescent="0.25">
      <c r="B470" s="6"/>
      <c r="C470" s="7"/>
      <c r="D470" s="7"/>
      <c r="E470" s="8"/>
      <c r="F470" t="str">
        <f t="shared" si="38"/>
        <v/>
      </c>
      <c r="G470" t="str">
        <f t="shared" si="39"/>
        <v/>
      </c>
      <c r="J470" s="28" t="e">
        <f>LOOKUP(2,1/(COUNTIF($J$4:J469,'Larger Data Sets'!$B$3:$B$8003)=0),'Larger Data Sets'!$B$3:$B$8003)</f>
        <v>#N/A</v>
      </c>
      <c r="K470" s="28" t="str">
        <f t="shared" si="40"/>
        <v xml:space="preserve"> </v>
      </c>
      <c r="L470">
        <f t="shared" si="42"/>
        <v>0</v>
      </c>
      <c r="M470" t="b">
        <f t="shared" si="41"/>
        <v>0</v>
      </c>
    </row>
    <row r="471" spans="2:13" x14ac:dyDescent="0.25">
      <c r="B471" s="6"/>
      <c r="C471" s="7"/>
      <c r="D471" s="7"/>
      <c r="E471" s="8"/>
      <c r="F471" t="str">
        <f t="shared" si="38"/>
        <v/>
      </c>
      <c r="G471" t="str">
        <f t="shared" si="39"/>
        <v/>
      </c>
      <c r="J471" s="28" t="e">
        <f>LOOKUP(2,1/(COUNTIF($J$4:J470,'Larger Data Sets'!$B$3:$B$8003)=0),'Larger Data Sets'!$B$3:$B$8003)</f>
        <v>#N/A</v>
      </c>
      <c r="K471" s="28" t="str">
        <f t="shared" si="40"/>
        <v xml:space="preserve"> </v>
      </c>
      <c r="L471">
        <f t="shared" si="42"/>
        <v>0</v>
      </c>
      <c r="M471" t="b">
        <f t="shared" si="41"/>
        <v>0</v>
      </c>
    </row>
    <row r="472" spans="2:13" x14ac:dyDescent="0.25">
      <c r="B472" s="6"/>
      <c r="C472" s="7"/>
      <c r="D472" s="7"/>
      <c r="E472" s="8"/>
      <c r="F472" t="str">
        <f t="shared" si="38"/>
        <v/>
      </c>
      <c r="G472" t="str">
        <f t="shared" si="39"/>
        <v/>
      </c>
      <c r="J472" s="28" t="e">
        <f>LOOKUP(2,1/(COUNTIF($J$4:J471,'Larger Data Sets'!$B$3:$B$8003)=0),'Larger Data Sets'!$B$3:$B$8003)</f>
        <v>#N/A</v>
      </c>
      <c r="K472" s="28" t="str">
        <f t="shared" si="40"/>
        <v xml:space="preserve"> </v>
      </c>
      <c r="L472">
        <f t="shared" si="42"/>
        <v>0</v>
      </c>
      <c r="M472" t="b">
        <f t="shared" si="41"/>
        <v>0</v>
      </c>
    </row>
    <row r="473" spans="2:13" x14ac:dyDescent="0.25">
      <c r="B473" s="6"/>
      <c r="C473" s="7"/>
      <c r="D473" s="7"/>
      <c r="E473" s="8"/>
      <c r="F473" t="str">
        <f t="shared" si="38"/>
        <v/>
      </c>
      <c r="G473" t="str">
        <f t="shared" si="39"/>
        <v/>
      </c>
      <c r="J473" s="28" t="e">
        <f>LOOKUP(2,1/(COUNTIF($J$4:J472,'Larger Data Sets'!$B$3:$B$8003)=0),'Larger Data Sets'!$B$3:$B$8003)</f>
        <v>#N/A</v>
      </c>
      <c r="K473" s="28" t="str">
        <f t="shared" si="40"/>
        <v xml:space="preserve"> </v>
      </c>
      <c r="L473">
        <f t="shared" si="42"/>
        <v>0</v>
      </c>
      <c r="M473" t="b">
        <f t="shared" si="41"/>
        <v>0</v>
      </c>
    </row>
    <row r="474" spans="2:13" x14ac:dyDescent="0.25">
      <c r="B474" s="6"/>
      <c r="C474" s="7"/>
      <c r="D474" s="7"/>
      <c r="E474" s="8"/>
      <c r="F474" t="str">
        <f t="shared" si="38"/>
        <v/>
      </c>
      <c r="G474" t="str">
        <f t="shared" si="39"/>
        <v/>
      </c>
      <c r="J474" s="28" t="e">
        <f>LOOKUP(2,1/(COUNTIF($J$4:J473,'Larger Data Sets'!$B$3:$B$8003)=0),'Larger Data Sets'!$B$3:$B$8003)</f>
        <v>#N/A</v>
      </c>
      <c r="K474" s="28" t="str">
        <f t="shared" si="40"/>
        <v xml:space="preserve"> </v>
      </c>
      <c r="L474">
        <f t="shared" si="42"/>
        <v>0</v>
      </c>
      <c r="M474" t="b">
        <f t="shared" si="41"/>
        <v>0</v>
      </c>
    </row>
    <row r="475" spans="2:13" x14ac:dyDescent="0.25">
      <c r="B475" s="6"/>
      <c r="C475" s="7"/>
      <c r="D475" s="7"/>
      <c r="E475" s="8"/>
      <c r="F475" t="str">
        <f t="shared" si="38"/>
        <v/>
      </c>
      <c r="G475" t="str">
        <f t="shared" si="39"/>
        <v/>
      </c>
      <c r="J475" s="28" t="e">
        <f>LOOKUP(2,1/(COUNTIF($J$4:J474,'Larger Data Sets'!$B$3:$B$8003)=0),'Larger Data Sets'!$B$3:$B$8003)</f>
        <v>#N/A</v>
      </c>
      <c r="K475" s="28" t="str">
        <f t="shared" si="40"/>
        <v xml:space="preserve"> </v>
      </c>
      <c r="L475">
        <f t="shared" si="42"/>
        <v>0</v>
      </c>
      <c r="M475" t="b">
        <f t="shared" si="41"/>
        <v>0</v>
      </c>
    </row>
    <row r="476" spans="2:13" x14ac:dyDescent="0.25">
      <c r="B476" s="6"/>
      <c r="C476" s="7"/>
      <c r="D476" s="7"/>
      <c r="E476" s="8"/>
      <c r="F476" t="str">
        <f t="shared" si="38"/>
        <v/>
      </c>
      <c r="G476" t="str">
        <f t="shared" si="39"/>
        <v/>
      </c>
      <c r="J476" s="28" t="e">
        <f>LOOKUP(2,1/(COUNTIF($J$4:J475,'Larger Data Sets'!$B$3:$B$8003)=0),'Larger Data Sets'!$B$3:$B$8003)</f>
        <v>#N/A</v>
      </c>
      <c r="K476" s="28" t="str">
        <f t="shared" si="40"/>
        <v xml:space="preserve"> </v>
      </c>
      <c r="L476">
        <f t="shared" si="42"/>
        <v>0</v>
      </c>
      <c r="M476" t="b">
        <f t="shared" si="41"/>
        <v>0</v>
      </c>
    </row>
    <row r="477" spans="2:13" x14ac:dyDescent="0.25">
      <c r="B477" s="6"/>
      <c r="C477" s="7"/>
      <c r="D477" s="7"/>
      <c r="E477" s="8"/>
      <c r="F477" t="str">
        <f t="shared" si="38"/>
        <v/>
      </c>
      <c r="G477" t="str">
        <f t="shared" si="39"/>
        <v/>
      </c>
      <c r="J477" s="28" t="e">
        <f>LOOKUP(2,1/(COUNTIF($J$4:J476,'Larger Data Sets'!$B$3:$B$8003)=0),'Larger Data Sets'!$B$3:$B$8003)</f>
        <v>#N/A</v>
      </c>
      <c r="K477" s="28" t="str">
        <f t="shared" si="40"/>
        <v xml:space="preserve"> </v>
      </c>
      <c r="L477">
        <f t="shared" si="42"/>
        <v>0</v>
      </c>
      <c r="M477" t="b">
        <f t="shared" si="41"/>
        <v>0</v>
      </c>
    </row>
    <row r="478" spans="2:13" x14ac:dyDescent="0.25">
      <c r="B478" s="6"/>
      <c r="C478" s="7"/>
      <c r="D478" s="7"/>
      <c r="E478" s="8"/>
      <c r="F478" t="str">
        <f t="shared" si="38"/>
        <v/>
      </c>
      <c r="G478" t="str">
        <f t="shared" si="39"/>
        <v/>
      </c>
      <c r="J478" s="28" t="e">
        <f>LOOKUP(2,1/(COUNTIF($J$4:J477,'Larger Data Sets'!$B$3:$B$8003)=0),'Larger Data Sets'!$B$3:$B$8003)</f>
        <v>#N/A</v>
      </c>
      <c r="K478" s="28" t="str">
        <f t="shared" si="40"/>
        <v xml:space="preserve"> </v>
      </c>
      <c r="L478">
        <f t="shared" si="42"/>
        <v>0</v>
      </c>
      <c r="M478" t="b">
        <f t="shared" si="41"/>
        <v>0</v>
      </c>
    </row>
    <row r="479" spans="2:13" x14ac:dyDescent="0.25">
      <c r="B479" s="6"/>
      <c r="C479" s="7"/>
      <c r="D479" s="7"/>
      <c r="E479" s="8"/>
      <c r="F479" t="str">
        <f t="shared" si="38"/>
        <v/>
      </c>
      <c r="G479" t="str">
        <f t="shared" si="39"/>
        <v/>
      </c>
      <c r="J479" s="28" t="e">
        <f>LOOKUP(2,1/(COUNTIF($J$4:J478,'Larger Data Sets'!$B$3:$B$8003)=0),'Larger Data Sets'!$B$3:$B$8003)</f>
        <v>#N/A</v>
      </c>
      <c r="K479" s="28" t="str">
        <f t="shared" si="40"/>
        <v xml:space="preserve"> </v>
      </c>
      <c r="L479">
        <f t="shared" si="42"/>
        <v>0</v>
      </c>
      <c r="M479" t="b">
        <f t="shared" si="41"/>
        <v>0</v>
      </c>
    </row>
    <row r="480" spans="2:13" x14ac:dyDescent="0.25">
      <c r="B480" s="6"/>
      <c r="C480" s="7"/>
      <c r="D480" s="7"/>
      <c r="E480" s="8"/>
      <c r="F480" t="str">
        <f t="shared" si="38"/>
        <v/>
      </c>
      <c r="G480" t="str">
        <f t="shared" si="39"/>
        <v/>
      </c>
      <c r="J480" s="28" t="e">
        <f>LOOKUP(2,1/(COUNTIF($J$4:J479,'Larger Data Sets'!$B$3:$B$8003)=0),'Larger Data Sets'!$B$3:$B$8003)</f>
        <v>#N/A</v>
      </c>
      <c r="K480" s="28" t="str">
        <f t="shared" si="40"/>
        <v xml:space="preserve"> </v>
      </c>
      <c r="L480">
        <f t="shared" si="42"/>
        <v>0</v>
      </c>
      <c r="M480" t="b">
        <f t="shared" si="41"/>
        <v>0</v>
      </c>
    </row>
    <row r="481" spans="2:13" x14ac:dyDescent="0.25">
      <c r="B481" s="6"/>
      <c r="C481" s="7"/>
      <c r="D481" s="7"/>
      <c r="E481" s="8"/>
      <c r="F481" t="str">
        <f t="shared" si="38"/>
        <v/>
      </c>
      <c r="G481" t="str">
        <f t="shared" si="39"/>
        <v/>
      </c>
      <c r="J481" s="28" t="e">
        <f>LOOKUP(2,1/(COUNTIF($J$4:J480,'Larger Data Sets'!$B$3:$B$8003)=0),'Larger Data Sets'!$B$3:$B$8003)</f>
        <v>#N/A</v>
      </c>
      <c r="K481" s="28" t="str">
        <f t="shared" si="40"/>
        <v xml:space="preserve"> </v>
      </c>
      <c r="L481">
        <f t="shared" si="42"/>
        <v>0</v>
      </c>
      <c r="M481" t="b">
        <f t="shared" si="41"/>
        <v>0</v>
      </c>
    </row>
    <row r="482" spans="2:13" x14ac:dyDescent="0.25">
      <c r="B482" s="6"/>
      <c r="C482" s="7"/>
      <c r="D482" s="7"/>
      <c r="E482" s="8"/>
      <c r="F482" t="str">
        <f t="shared" si="38"/>
        <v/>
      </c>
      <c r="G482" t="str">
        <f t="shared" si="39"/>
        <v/>
      </c>
      <c r="J482" s="28" t="e">
        <f>LOOKUP(2,1/(COUNTIF($J$4:J481,'Larger Data Sets'!$B$3:$B$8003)=0),'Larger Data Sets'!$B$3:$B$8003)</f>
        <v>#N/A</v>
      </c>
      <c r="K482" s="28" t="str">
        <f t="shared" si="40"/>
        <v xml:space="preserve"> </v>
      </c>
      <c r="L482">
        <f t="shared" si="42"/>
        <v>0</v>
      </c>
      <c r="M482" t="b">
        <f t="shared" si="41"/>
        <v>0</v>
      </c>
    </row>
    <row r="483" spans="2:13" x14ac:dyDescent="0.25">
      <c r="B483" s="6"/>
      <c r="C483" s="7"/>
      <c r="D483" s="7"/>
      <c r="E483" s="8"/>
      <c r="F483" t="str">
        <f t="shared" si="38"/>
        <v/>
      </c>
      <c r="G483" t="str">
        <f t="shared" si="39"/>
        <v/>
      </c>
      <c r="J483" s="28" t="e">
        <f>LOOKUP(2,1/(COUNTIF($J$4:J482,'Larger Data Sets'!$B$3:$B$8003)=0),'Larger Data Sets'!$B$3:$B$8003)</f>
        <v>#N/A</v>
      </c>
      <c r="K483" s="28" t="str">
        <f t="shared" si="40"/>
        <v xml:space="preserve"> </v>
      </c>
      <c r="L483">
        <f t="shared" si="42"/>
        <v>0</v>
      </c>
      <c r="M483" t="b">
        <f t="shared" si="41"/>
        <v>0</v>
      </c>
    </row>
    <row r="484" spans="2:13" x14ac:dyDescent="0.25">
      <c r="B484" s="6"/>
      <c r="C484" s="7"/>
      <c r="D484" s="7"/>
      <c r="E484" s="8"/>
      <c r="F484" t="str">
        <f t="shared" si="38"/>
        <v/>
      </c>
      <c r="G484" t="str">
        <f t="shared" si="39"/>
        <v/>
      </c>
      <c r="J484" s="28" t="e">
        <f>LOOKUP(2,1/(COUNTIF($J$4:J483,'Larger Data Sets'!$B$3:$B$8003)=0),'Larger Data Sets'!$B$3:$B$8003)</f>
        <v>#N/A</v>
      </c>
      <c r="K484" s="28" t="str">
        <f t="shared" si="40"/>
        <v xml:space="preserve"> </v>
      </c>
      <c r="L484">
        <f t="shared" si="42"/>
        <v>0</v>
      </c>
      <c r="M484" t="b">
        <f t="shared" si="41"/>
        <v>0</v>
      </c>
    </row>
    <row r="485" spans="2:13" x14ac:dyDescent="0.25">
      <c r="B485" s="6"/>
      <c r="C485" s="7"/>
      <c r="D485" s="7"/>
      <c r="E485" s="8"/>
      <c r="F485" t="str">
        <f t="shared" si="38"/>
        <v/>
      </c>
      <c r="G485" t="str">
        <f t="shared" si="39"/>
        <v/>
      </c>
      <c r="J485" s="28" t="e">
        <f>LOOKUP(2,1/(COUNTIF($J$4:J484,'Larger Data Sets'!$B$3:$B$8003)=0),'Larger Data Sets'!$B$3:$B$8003)</f>
        <v>#N/A</v>
      </c>
      <c r="K485" s="28" t="str">
        <f t="shared" si="40"/>
        <v xml:space="preserve"> </v>
      </c>
      <c r="L485">
        <f t="shared" si="42"/>
        <v>0</v>
      </c>
      <c r="M485" t="b">
        <f t="shared" si="41"/>
        <v>0</v>
      </c>
    </row>
    <row r="486" spans="2:13" x14ac:dyDescent="0.25">
      <c r="B486" s="6"/>
      <c r="C486" s="7"/>
      <c r="D486" s="7"/>
      <c r="E486" s="8"/>
      <c r="F486" t="str">
        <f t="shared" si="38"/>
        <v/>
      </c>
      <c r="G486" t="str">
        <f t="shared" si="39"/>
        <v/>
      </c>
      <c r="J486" s="28" t="e">
        <f>LOOKUP(2,1/(COUNTIF($J$4:J485,'Larger Data Sets'!$B$3:$B$8003)=0),'Larger Data Sets'!$B$3:$B$8003)</f>
        <v>#N/A</v>
      </c>
      <c r="K486" s="28" t="str">
        <f t="shared" si="40"/>
        <v xml:space="preserve"> </v>
      </c>
      <c r="L486">
        <f t="shared" si="42"/>
        <v>0</v>
      </c>
      <c r="M486" t="b">
        <f t="shared" si="41"/>
        <v>0</v>
      </c>
    </row>
    <row r="487" spans="2:13" x14ac:dyDescent="0.25">
      <c r="B487" s="6"/>
      <c r="C487" s="7"/>
      <c r="D487" s="7"/>
      <c r="E487" s="8"/>
      <c r="F487" t="str">
        <f t="shared" si="38"/>
        <v/>
      </c>
      <c r="G487" t="str">
        <f t="shared" si="39"/>
        <v/>
      </c>
      <c r="J487" s="28" t="e">
        <f>LOOKUP(2,1/(COUNTIF($J$4:J486,'Larger Data Sets'!$B$3:$B$8003)=0),'Larger Data Sets'!$B$3:$B$8003)</f>
        <v>#N/A</v>
      </c>
      <c r="K487" s="28" t="str">
        <f t="shared" si="40"/>
        <v xml:space="preserve"> </v>
      </c>
      <c r="L487">
        <f t="shared" si="42"/>
        <v>0</v>
      </c>
      <c r="M487" t="b">
        <f t="shared" si="41"/>
        <v>0</v>
      </c>
    </row>
    <row r="488" spans="2:13" x14ac:dyDescent="0.25">
      <c r="B488" s="6"/>
      <c r="C488" s="7"/>
      <c r="D488" s="7"/>
      <c r="E488" s="8"/>
      <c r="F488" t="str">
        <f t="shared" si="38"/>
        <v/>
      </c>
      <c r="G488" t="str">
        <f t="shared" si="39"/>
        <v/>
      </c>
      <c r="J488" s="28" t="e">
        <f>LOOKUP(2,1/(COUNTIF($J$4:J487,'Larger Data Sets'!$B$3:$B$8003)=0),'Larger Data Sets'!$B$3:$B$8003)</f>
        <v>#N/A</v>
      </c>
      <c r="K488" s="28" t="str">
        <f t="shared" si="40"/>
        <v xml:space="preserve"> </v>
      </c>
      <c r="L488">
        <f t="shared" si="42"/>
        <v>0</v>
      </c>
      <c r="M488" t="b">
        <f t="shared" si="41"/>
        <v>0</v>
      </c>
    </row>
    <row r="489" spans="2:13" x14ac:dyDescent="0.25">
      <c r="B489" s="6"/>
      <c r="C489" s="7"/>
      <c r="D489" s="7"/>
      <c r="E489" s="8"/>
      <c r="F489" t="str">
        <f t="shared" si="38"/>
        <v/>
      </c>
      <c r="G489" t="str">
        <f t="shared" si="39"/>
        <v/>
      </c>
      <c r="J489" s="28" t="e">
        <f>LOOKUP(2,1/(COUNTIF($J$4:J488,'Larger Data Sets'!$B$3:$B$8003)=0),'Larger Data Sets'!$B$3:$B$8003)</f>
        <v>#N/A</v>
      </c>
      <c r="K489" s="28" t="str">
        <f t="shared" si="40"/>
        <v xml:space="preserve"> </v>
      </c>
      <c r="L489">
        <f t="shared" si="42"/>
        <v>0</v>
      </c>
      <c r="M489" t="b">
        <f t="shared" si="41"/>
        <v>0</v>
      </c>
    </row>
    <row r="490" spans="2:13" x14ac:dyDescent="0.25">
      <c r="B490" s="6"/>
      <c r="C490" s="7"/>
      <c r="D490" s="7"/>
      <c r="E490" s="8"/>
      <c r="F490" t="str">
        <f t="shared" si="38"/>
        <v/>
      </c>
      <c r="G490" t="str">
        <f t="shared" si="39"/>
        <v/>
      </c>
      <c r="J490" s="28" t="e">
        <f>LOOKUP(2,1/(COUNTIF($J$4:J489,'Larger Data Sets'!$B$3:$B$8003)=0),'Larger Data Sets'!$B$3:$B$8003)</f>
        <v>#N/A</v>
      </c>
      <c r="K490" s="28" t="str">
        <f t="shared" si="40"/>
        <v xml:space="preserve"> </v>
      </c>
      <c r="L490">
        <f t="shared" si="42"/>
        <v>0</v>
      </c>
      <c r="M490" t="b">
        <f t="shared" si="41"/>
        <v>0</v>
      </c>
    </row>
    <row r="491" spans="2:13" x14ac:dyDescent="0.25">
      <c r="B491" s="6"/>
      <c r="C491" s="7"/>
      <c r="D491" s="7"/>
      <c r="E491" s="8"/>
      <c r="F491" t="str">
        <f t="shared" si="38"/>
        <v/>
      </c>
      <c r="G491" t="str">
        <f t="shared" si="39"/>
        <v/>
      </c>
      <c r="J491" s="28" t="e">
        <f>LOOKUP(2,1/(COUNTIF($J$4:J490,'Larger Data Sets'!$B$3:$B$8003)=0),'Larger Data Sets'!$B$3:$B$8003)</f>
        <v>#N/A</v>
      </c>
      <c r="K491" s="28" t="str">
        <f t="shared" si="40"/>
        <v xml:space="preserve"> </v>
      </c>
      <c r="L491">
        <f t="shared" si="42"/>
        <v>0</v>
      </c>
      <c r="M491" t="b">
        <f t="shared" si="41"/>
        <v>0</v>
      </c>
    </row>
    <row r="492" spans="2:13" x14ac:dyDescent="0.25">
      <c r="B492" s="6"/>
      <c r="C492" s="7"/>
      <c r="D492" s="7"/>
      <c r="E492" s="8"/>
      <c r="F492" t="str">
        <f t="shared" si="38"/>
        <v/>
      </c>
      <c r="G492" t="str">
        <f t="shared" si="39"/>
        <v/>
      </c>
      <c r="J492" s="28" t="e">
        <f>LOOKUP(2,1/(COUNTIF($J$4:J491,'Larger Data Sets'!$B$3:$B$8003)=0),'Larger Data Sets'!$B$3:$B$8003)</f>
        <v>#N/A</v>
      </c>
      <c r="K492" s="28" t="str">
        <f t="shared" si="40"/>
        <v xml:space="preserve"> </v>
      </c>
      <c r="L492">
        <f t="shared" si="42"/>
        <v>0</v>
      </c>
      <c r="M492" t="b">
        <f t="shared" si="41"/>
        <v>0</v>
      </c>
    </row>
    <row r="493" spans="2:13" x14ac:dyDescent="0.25">
      <c r="B493" s="6"/>
      <c r="C493" s="7"/>
      <c r="D493" s="7"/>
      <c r="E493" s="8"/>
      <c r="F493" t="str">
        <f t="shared" si="38"/>
        <v/>
      </c>
      <c r="G493" t="str">
        <f t="shared" si="39"/>
        <v/>
      </c>
      <c r="J493" s="28" t="e">
        <f>LOOKUP(2,1/(COUNTIF($J$4:J492,'Larger Data Sets'!$B$3:$B$8003)=0),'Larger Data Sets'!$B$3:$B$8003)</f>
        <v>#N/A</v>
      </c>
      <c r="K493" s="28" t="str">
        <f t="shared" si="40"/>
        <v xml:space="preserve"> </v>
      </c>
      <c r="L493">
        <f t="shared" si="42"/>
        <v>0</v>
      </c>
      <c r="M493" t="b">
        <f t="shared" si="41"/>
        <v>0</v>
      </c>
    </row>
    <row r="494" spans="2:13" x14ac:dyDescent="0.25">
      <c r="B494" s="6"/>
      <c r="C494" s="7"/>
      <c r="D494" s="7"/>
      <c r="E494" s="8"/>
      <c r="F494" t="str">
        <f t="shared" si="38"/>
        <v/>
      </c>
      <c r="G494" t="str">
        <f t="shared" si="39"/>
        <v/>
      </c>
      <c r="J494" s="28" t="e">
        <f>LOOKUP(2,1/(COUNTIF($J$4:J493,'Larger Data Sets'!$B$3:$B$8003)=0),'Larger Data Sets'!$B$3:$B$8003)</f>
        <v>#N/A</v>
      </c>
      <c r="K494" s="28" t="str">
        <f t="shared" si="40"/>
        <v xml:space="preserve"> </v>
      </c>
      <c r="L494">
        <f t="shared" si="42"/>
        <v>0</v>
      </c>
      <c r="M494" t="b">
        <f t="shared" si="41"/>
        <v>0</v>
      </c>
    </row>
    <row r="495" spans="2:13" x14ac:dyDescent="0.25">
      <c r="B495" s="6"/>
      <c r="C495" s="7"/>
      <c r="D495" s="7"/>
      <c r="E495" s="8"/>
      <c r="F495" t="str">
        <f t="shared" si="38"/>
        <v/>
      </c>
      <c r="G495" t="str">
        <f t="shared" si="39"/>
        <v/>
      </c>
      <c r="J495" s="28" t="e">
        <f>LOOKUP(2,1/(COUNTIF($J$4:J494,'Larger Data Sets'!$B$3:$B$8003)=0),'Larger Data Sets'!$B$3:$B$8003)</f>
        <v>#N/A</v>
      </c>
      <c r="K495" s="28" t="str">
        <f t="shared" si="40"/>
        <v xml:space="preserve"> </v>
      </c>
      <c r="L495">
        <f t="shared" si="42"/>
        <v>0</v>
      </c>
      <c r="M495" t="b">
        <f t="shared" si="41"/>
        <v>0</v>
      </c>
    </row>
    <row r="496" spans="2:13" x14ac:dyDescent="0.25">
      <c r="B496" s="6"/>
      <c r="C496" s="7"/>
      <c r="D496" s="7"/>
      <c r="E496" s="8"/>
      <c r="F496" t="str">
        <f t="shared" si="38"/>
        <v/>
      </c>
      <c r="G496" t="str">
        <f t="shared" si="39"/>
        <v/>
      </c>
      <c r="J496" s="28" t="e">
        <f>LOOKUP(2,1/(COUNTIF($J$4:J495,'Larger Data Sets'!$B$3:$B$8003)=0),'Larger Data Sets'!$B$3:$B$8003)</f>
        <v>#N/A</v>
      </c>
      <c r="K496" s="28" t="str">
        <f t="shared" si="40"/>
        <v xml:space="preserve"> </v>
      </c>
      <c r="L496">
        <f t="shared" si="42"/>
        <v>0</v>
      </c>
      <c r="M496" t="b">
        <f t="shared" si="41"/>
        <v>0</v>
      </c>
    </row>
    <row r="497" spans="2:13" x14ac:dyDescent="0.25">
      <c r="B497" s="6"/>
      <c r="C497" s="7"/>
      <c r="D497" s="7"/>
      <c r="E497" s="8"/>
      <c r="F497" t="str">
        <f t="shared" si="38"/>
        <v/>
      </c>
      <c r="G497" t="str">
        <f t="shared" si="39"/>
        <v/>
      </c>
      <c r="J497" s="28" t="e">
        <f>LOOKUP(2,1/(COUNTIF($J$4:J496,'Larger Data Sets'!$B$3:$B$8003)=0),'Larger Data Sets'!$B$3:$B$8003)</f>
        <v>#N/A</v>
      </c>
      <c r="K497" s="28" t="str">
        <f t="shared" si="40"/>
        <v xml:space="preserve"> </v>
      </c>
      <c r="L497">
        <f t="shared" si="42"/>
        <v>0</v>
      </c>
      <c r="M497" t="b">
        <f t="shared" si="41"/>
        <v>0</v>
      </c>
    </row>
    <row r="498" spans="2:13" x14ac:dyDescent="0.25">
      <c r="B498" s="6"/>
      <c r="C498" s="7"/>
      <c r="D498" s="7"/>
      <c r="E498" s="8"/>
      <c r="F498" t="str">
        <f t="shared" si="38"/>
        <v/>
      </c>
      <c r="G498" t="str">
        <f t="shared" si="39"/>
        <v/>
      </c>
      <c r="J498" s="28" t="e">
        <f>LOOKUP(2,1/(COUNTIF($J$4:J497,'Larger Data Sets'!$B$3:$B$8003)=0),'Larger Data Sets'!$B$3:$B$8003)</f>
        <v>#N/A</v>
      </c>
      <c r="K498" s="28" t="str">
        <f t="shared" si="40"/>
        <v xml:space="preserve"> </v>
      </c>
      <c r="L498">
        <f t="shared" si="42"/>
        <v>0</v>
      </c>
      <c r="M498" t="b">
        <f t="shared" si="41"/>
        <v>0</v>
      </c>
    </row>
    <row r="499" spans="2:13" x14ac:dyDescent="0.25">
      <c r="B499" s="6"/>
      <c r="C499" s="7"/>
      <c r="D499" s="7"/>
      <c r="E499" s="8"/>
      <c r="F499" t="str">
        <f t="shared" si="38"/>
        <v/>
      </c>
      <c r="G499" t="str">
        <f t="shared" si="39"/>
        <v/>
      </c>
      <c r="J499" s="28" t="e">
        <f>LOOKUP(2,1/(COUNTIF($J$4:J498,'Larger Data Sets'!$B$3:$B$8003)=0),'Larger Data Sets'!$B$3:$B$8003)</f>
        <v>#N/A</v>
      </c>
      <c r="K499" s="28" t="str">
        <f t="shared" si="40"/>
        <v xml:space="preserve"> </v>
      </c>
      <c r="L499">
        <f t="shared" si="42"/>
        <v>0</v>
      </c>
      <c r="M499" t="b">
        <f t="shared" si="41"/>
        <v>0</v>
      </c>
    </row>
    <row r="500" spans="2:13" x14ac:dyDescent="0.25">
      <c r="B500" s="6"/>
      <c r="C500" s="7"/>
      <c r="D500" s="7"/>
      <c r="E500" s="8"/>
      <c r="F500" t="str">
        <f t="shared" si="38"/>
        <v/>
      </c>
      <c r="G500" t="str">
        <f t="shared" si="39"/>
        <v/>
      </c>
      <c r="J500" s="28" t="e">
        <f>LOOKUP(2,1/(COUNTIF($J$4:J499,'Larger Data Sets'!$B$3:$B$8003)=0),'Larger Data Sets'!$B$3:$B$8003)</f>
        <v>#N/A</v>
      </c>
      <c r="K500" s="28" t="str">
        <f t="shared" si="40"/>
        <v xml:space="preserve"> </v>
      </c>
      <c r="L500">
        <f t="shared" si="42"/>
        <v>0</v>
      </c>
      <c r="M500" t="b">
        <f t="shared" si="41"/>
        <v>0</v>
      </c>
    </row>
    <row r="501" spans="2:13" x14ac:dyDescent="0.25">
      <c r="B501" s="6"/>
      <c r="C501" s="7"/>
      <c r="D501" s="7"/>
      <c r="E501" s="8"/>
      <c r="F501" t="str">
        <f t="shared" si="38"/>
        <v/>
      </c>
      <c r="G501" t="str">
        <f t="shared" si="39"/>
        <v/>
      </c>
      <c r="J501" s="28" t="e">
        <f>LOOKUP(2,1/(COUNTIF($J$4:J500,'Larger Data Sets'!$B$3:$B$8003)=0),'Larger Data Sets'!$B$3:$B$8003)</f>
        <v>#N/A</v>
      </c>
      <c r="K501" s="28" t="str">
        <f t="shared" si="40"/>
        <v xml:space="preserve"> </v>
      </c>
      <c r="L501">
        <f t="shared" si="42"/>
        <v>0</v>
      </c>
      <c r="M501" t="b">
        <f t="shared" si="41"/>
        <v>0</v>
      </c>
    </row>
    <row r="502" spans="2:13" x14ac:dyDescent="0.25">
      <c r="B502" s="6"/>
      <c r="C502" s="7"/>
      <c r="D502" s="7"/>
      <c r="E502" s="8"/>
      <c r="F502" t="str">
        <f t="shared" si="38"/>
        <v/>
      </c>
      <c r="G502" t="str">
        <f t="shared" si="39"/>
        <v/>
      </c>
      <c r="J502" s="28" t="e">
        <f>LOOKUP(2,1/(COUNTIF($J$4:J501,'Larger Data Sets'!$B$3:$B$8003)=0),'Larger Data Sets'!$B$3:$B$8003)</f>
        <v>#N/A</v>
      </c>
      <c r="K502" s="28" t="str">
        <f t="shared" si="40"/>
        <v xml:space="preserve"> </v>
      </c>
      <c r="L502">
        <f t="shared" si="42"/>
        <v>0</v>
      </c>
      <c r="M502" t="b">
        <f t="shared" si="41"/>
        <v>0</v>
      </c>
    </row>
    <row r="503" spans="2:13" x14ac:dyDescent="0.25">
      <c r="B503" s="6"/>
      <c r="C503" s="7"/>
      <c r="D503" s="7"/>
      <c r="E503" s="8"/>
      <c r="F503" t="str">
        <f t="shared" si="38"/>
        <v/>
      </c>
      <c r="G503" t="str">
        <f t="shared" si="39"/>
        <v/>
      </c>
      <c r="J503" s="28" t="e">
        <f>LOOKUP(2,1/(COUNTIF($J$4:J502,'Larger Data Sets'!$B$3:$B$8003)=0),'Larger Data Sets'!$B$3:$B$8003)</f>
        <v>#N/A</v>
      </c>
      <c r="K503" s="28" t="str">
        <f t="shared" si="40"/>
        <v xml:space="preserve"> </v>
      </c>
      <c r="L503">
        <f t="shared" si="42"/>
        <v>0</v>
      </c>
      <c r="M503" t="b">
        <f t="shared" si="41"/>
        <v>0</v>
      </c>
    </row>
    <row r="504" spans="2:13" x14ac:dyDescent="0.25">
      <c r="B504" s="6"/>
      <c r="C504" s="7"/>
      <c r="D504" s="7"/>
      <c r="E504" s="8"/>
      <c r="F504" t="str">
        <f t="shared" si="38"/>
        <v/>
      </c>
      <c r="G504" t="str">
        <f t="shared" si="39"/>
        <v/>
      </c>
      <c r="J504" s="28" t="e">
        <f>LOOKUP(2,1/(COUNTIF($J$4:J503,'Larger Data Sets'!$B$3:$B$8003)=0),'Larger Data Sets'!$B$3:$B$8003)</f>
        <v>#N/A</v>
      </c>
      <c r="K504" s="28" t="str">
        <f t="shared" si="40"/>
        <v xml:space="preserve"> </v>
      </c>
      <c r="L504">
        <f t="shared" si="42"/>
        <v>0</v>
      </c>
      <c r="M504" t="b">
        <f t="shared" si="41"/>
        <v>0</v>
      </c>
    </row>
    <row r="505" spans="2:13" x14ac:dyDescent="0.25">
      <c r="B505" s="6"/>
      <c r="C505" s="7"/>
      <c r="D505" s="7"/>
      <c r="E505" s="8"/>
      <c r="F505" t="str">
        <f t="shared" si="38"/>
        <v/>
      </c>
      <c r="G505" t="str">
        <f t="shared" si="39"/>
        <v/>
      </c>
      <c r="J505" s="28" t="e">
        <f>LOOKUP(2,1/(COUNTIF($J$4:J504,'Larger Data Sets'!$B$3:$B$8003)=0),'Larger Data Sets'!$B$3:$B$8003)</f>
        <v>#N/A</v>
      </c>
      <c r="K505" s="28" t="str">
        <f t="shared" si="40"/>
        <v xml:space="preserve"> </v>
      </c>
      <c r="L505">
        <f t="shared" si="42"/>
        <v>0</v>
      </c>
      <c r="M505" t="b">
        <f t="shared" si="41"/>
        <v>0</v>
      </c>
    </row>
    <row r="506" spans="2:13" x14ac:dyDescent="0.25">
      <c r="B506" s="6"/>
      <c r="C506" s="7"/>
      <c r="D506" s="7"/>
      <c r="E506" s="8"/>
      <c r="F506" t="str">
        <f t="shared" si="38"/>
        <v/>
      </c>
      <c r="G506" t="str">
        <f t="shared" si="39"/>
        <v/>
      </c>
      <c r="M506" t="b">
        <f t="shared" si="41"/>
        <v>0</v>
      </c>
    </row>
    <row r="507" spans="2:13" x14ac:dyDescent="0.25">
      <c r="B507" s="6"/>
      <c r="C507" s="7"/>
      <c r="D507" s="7"/>
      <c r="E507" s="8"/>
      <c r="F507" t="str">
        <f t="shared" si="38"/>
        <v/>
      </c>
      <c r="G507" t="str">
        <f t="shared" si="39"/>
        <v/>
      </c>
    </row>
    <row r="508" spans="2:13" x14ac:dyDescent="0.25">
      <c r="B508" s="6"/>
      <c r="C508" s="7"/>
      <c r="D508" s="7"/>
      <c r="E508" s="8"/>
      <c r="F508" t="str">
        <f t="shared" si="38"/>
        <v/>
      </c>
      <c r="G508" t="str">
        <f t="shared" si="39"/>
        <v/>
      </c>
    </row>
    <row r="509" spans="2:13" x14ac:dyDescent="0.25">
      <c r="B509" s="6"/>
      <c r="C509" s="7"/>
      <c r="D509" s="7"/>
      <c r="E509" s="8"/>
      <c r="F509" t="str">
        <f t="shared" si="38"/>
        <v/>
      </c>
      <c r="G509" t="str">
        <f t="shared" si="39"/>
        <v/>
      </c>
    </row>
    <row r="510" spans="2:13" x14ac:dyDescent="0.25">
      <c r="B510" s="6"/>
      <c r="C510" s="7"/>
      <c r="D510" s="7"/>
      <c r="E510" s="8"/>
      <c r="F510" t="str">
        <f t="shared" si="38"/>
        <v/>
      </c>
      <c r="G510" t="str">
        <f t="shared" si="39"/>
        <v/>
      </c>
    </row>
    <row r="511" spans="2:13" x14ac:dyDescent="0.25">
      <c r="B511" s="6"/>
      <c r="C511" s="7"/>
      <c r="D511" s="7"/>
      <c r="E511" s="8"/>
      <c r="F511" t="str">
        <f t="shared" si="38"/>
        <v/>
      </c>
      <c r="G511" t="str">
        <f t="shared" si="39"/>
        <v/>
      </c>
    </row>
    <row r="512" spans="2:13" x14ac:dyDescent="0.25">
      <c r="B512" s="6"/>
      <c r="C512" s="7"/>
      <c r="D512" s="7"/>
      <c r="E512" s="8"/>
      <c r="F512" t="str">
        <f t="shared" si="38"/>
        <v/>
      </c>
      <c r="G512" t="str">
        <f t="shared" si="39"/>
        <v/>
      </c>
    </row>
    <row r="513" spans="2:7" x14ac:dyDescent="0.25">
      <c r="B513" s="6"/>
      <c r="C513" s="7"/>
      <c r="D513" s="7"/>
      <c r="E513" s="8"/>
      <c r="F513" t="str">
        <f t="shared" si="38"/>
        <v/>
      </c>
      <c r="G513" t="str">
        <f t="shared" si="39"/>
        <v/>
      </c>
    </row>
    <row r="514" spans="2:7" x14ac:dyDescent="0.25">
      <c r="B514" s="6"/>
      <c r="C514" s="7"/>
      <c r="D514" s="7"/>
      <c r="E514" s="8"/>
      <c r="F514" t="str">
        <f t="shared" si="38"/>
        <v/>
      </c>
      <c r="G514" t="str">
        <f t="shared" si="39"/>
        <v/>
      </c>
    </row>
    <row r="515" spans="2:7" x14ac:dyDescent="0.25">
      <c r="B515" s="6"/>
      <c r="C515" s="7"/>
      <c r="D515" s="7"/>
      <c r="E515" s="8"/>
      <c r="F515" t="str">
        <f t="shared" si="38"/>
        <v/>
      </c>
      <c r="G515" t="str">
        <f t="shared" si="39"/>
        <v/>
      </c>
    </row>
    <row r="516" spans="2:7" x14ac:dyDescent="0.25">
      <c r="B516" s="6"/>
      <c r="C516" s="7"/>
      <c r="D516" s="7"/>
      <c r="E516" s="8"/>
      <c r="F516" t="str">
        <f t="shared" ref="F516:F579" si="43">IF(B516="","",LOG10(D516))</f>
        <v/>
      </c>
      <c r="G516" t="str">
        <f t="shared" ref="G516:G579" si="44">IF(E516="", "",0.434*E516/D516)</f>
        <v/>
      </c>
    </row>
    <row r="517" spans="2:7" x14ac:dyDescent="0.25">
      <c r="B517" s="6"/>
      <c r="C517" s="7"/>
      <c r="D517" s="7"/>
      <c r="E517" s="8"/>
      <c r="F517" t="str">
        <f t="shared" si="43"/>
        <v/>
      </c>
      <c r="G517" t="str">
        <f t="shared" si="44"/>
        <v/>
      </c>
    </row>
    <row r="518" spans="2:7" x14ac:dyDescent="0.25">
      <c r="B518" s="6"/>
      <c r="C518" s="7"/>
      <c r="D518" s="7"/>
      <c r="E518" s="8"/>
      <c r="F518" t="str">
        <f t="shared" si="43"/>
        <v/>
      </c>
      <c r="G518" t="str">
        <f t="shared" si="44"/>
        <v/>
      </c>
    </row>
    <row r="519" spans="2:7" x14ac:dyDescent="0.25">
      <c r="B519" s="6"/>
      <c r="C519" s="7"/>
      <c r="D519" s="7"/>
      <c r="E519" s="8"/>
      <c r="F519" t="str">
        <f t="shared" si="43"/>
        <v/>
      </c>
      <c r="G519" t="str">
        <f t="shared" si="44"/>
        <v/>
      </c>
    </row>
    <row r="520" spans="2:7" x14ac:dyDescent="0.25">
      <c r="B520" s="6"/>
      <c r="C520" s="7"/>
      <c r="D520" s="7"/>
      <c r="E520" s="8"/>
      <c r="F520" t="str">
        <f t="shared" si="43"/>
        <v/>
      </c>
      <c r="G520" t="str">
        <f t="shared" si="44"/>
        <v/>
      </c>
    </row>
    <row r="521" spans="2:7" x14ac:dyDescent="0.25">
      <c r="B521" s="6"/>
      <c r="C521" s="7"/>
      <c r="D521" s="7"/>
      <c r="E521" s="8"/>
      <c r="F521" t="str">
        <f t="shared" si="43"/>
        <v/>
      </c>
      <c r="G521" t="str">
        <f t="shared" si="44"/>
        <v/>
      </c>
    </row>
    <row r="522" spans="2:7" x14ac:dyDescent="0.25">
      <c r="B522" s="6"/>
      <c r="C522" s="7"/>
      <c r="D522" s="7"/>
      <c r="E522" s="8"/>
      <c r="F522" t="str">
        <f t="shared" si="43"/>
        <v/>
      </c>
      <c r="G522" t="str">
        <f t="shared" si="44"/>
        <v/>
      </c>
    </row>
    <row r="523" spans="2:7" x14ac:dyDescent="0.25">
      <c r="B523" s="6"/>
      <c r="C523" s="7"/>
      <c r="D523" s="7"/>
      <c r="E523" s="8"/>
      <c r="F523" t="str">
        <f t="shared" si="43"/>
        <v/>
      </c>
      <c r="G523" t="str">
        <f t="shared" si="44"/>
        <v/>
      </c>
    </row>
    <row r="524" spans="2:7" x14ac:dyDescent="0.25">
      <c r="B524" s="6"/>
      <c r="C524" s="7"/>
      <c r="D524" s="7"/>
      <c r="E524" s="8"/>
      <c r="F524" t="str">
        <f t="shared" si="43"/>
        <v/>
      </c>
      <c r="G524" t="str">
        <f t="shared" si="44"/>
        <v/>
      </c>
    </row>
    <row r="525" spans="2:7" x14ac:dyDescent="0.25">
      <c r="B525" s="6"/>
      <c r="C525" s="7"/>
      <c r="D525" s="7"/>
      <c r="E525" s="8"/>
      <c r="F525" t="str">
        <f t="shared" si="43"/>
        <v/>
      </c>
      <c r="G525" t="str">
        <f t="shared" si="44"/>
        <v/>
      </c>
    </row>
    <row r="526" spans="2:7" x14ac:dyDescent="0.25">
      <c r="B526" s="6"/>
      <c r="C526" s="7"/>
      <c r="D526" s="7"/>
      <c r="E526" s="8"/>
      <c r="F526" t="str">
        <f t="shared" si="43"/>
        <v/>
      </c>
      <c r="G526" t="str">
        <f t="shared" si="44"/>
        <v/>
      </c>
    </row>
    <row r="527" spans="2:7" x14ac:dyDescent="0.25">
      <c r="B527" s="6"/>
      <c r="C527" s="7"/>
      <c r="D527" s="7"/>
      <c r="E527" s="8"/>
      <c r="F527" t="str">
        <f t="shared" si="43"/>
        <v/>
      </c>
      <c r="G527" t="str">
        <f t="shared" si="44"/>
        <v/>
      </c>
    </row>
    <row r="528" spans="2:7" x14ac:dyDescent="0.25">
      <c r="B528" s="6"/>
      <c r="C528" s="7"/>
      <c r="D528" s="7"/>
      <c r="E528" s="8"/>
      <c r="F528" t="str">
        <f t="shared" si="43"/>
        <v/>
      </c>
      <c r="G528" t="str">
        <f t="shared" si="44"/>
        <v/>
      </c>
    </row>
    <row r="529" spans="2:7" x14ac:dyDescent="0.25">
      <c r="B529" s="6"/>
      <c r="C529" s="7"/>
      <c r="D529" s="7"/>
      <c r="E529" s="8"/>
      <c r="F529" t="str">
        <f t="shared" si="43"/>
        <v/>
      </c>
      <c r="G529" t="str">
        <f t="shared" si="44"/>
        <v/>
      </c>
    </row>
    <row r="530" spans="2:7" x14ac:dyDescent="0.25">
      <c r="B530" s="6"/>
      <c r="C530" s="7"/>
      <c r="D530" s="7"/>
      <c r="E530" s="8"/>
      <c r="F530" t="str">
        <f t="shared" si="43"/>
        <v/>
      </c>
      <c r="G530" t="str">
        <f t="shared" si="44"/>
        <v/>
      </c>
    </row>
    <row r="531" spans="2:7" x14ac:dyDescent="0.25">
      <c r="B531" s="6"/>
      <c r="C531" s="7"/>
      <c r="D531" s="7"/>
      <c r="E531" s="8"/>
      <c r="F531" t="str">
        <f t="shared" si="43"/>
        <v/>
      </c>
      <c r="G531" t="str">
        <f t="shared" si="44"/>
        <v/>
      </c>
    </row>
    <row r="532" spans="2:7" x14ac:dyDescent="0.25">
      <c r="B532" s="6"/>
      <c r="C532" s="7"/>
      <c r="D532" s="7"/>
      <c r="E532" s="8"/>
      <c r="F532" t="str">
        <f t="shared" si="43"/>
        <v/>
      </c>
      <c r="G532" t="str">
        <f t="shared" si="44"/>
        <v/>
      </c>
    </row>
    <row r="533" spans="2:7" x14ac:dyDescent="0.25">
      <c r="B533" s="6"/>
      <c r="C533" s="7"/>
      <c r="D533" s="7"/>
      <c r="E533" s="8"/>
      <c r="F533" t="str">
        <f t="shared" si="43"/>
        <v/>
      </c>
      <c r="G533" t="str">
        <f t="shared" si="44"/>
        <v/>
      </c>
    </row>
    <row r="534" spans="2:7" x14ac:dyDescent="0.25">
      <c r="B534" s="6"/>
      <c r="C534" s="7"/>
      <c r="D534" s="7"/>
      <c r="E534" s="8"/>
      <c r="F534" t="str">
        <f t="shared" si="43"/>
        <v/>
      </c>
      <c r="G534" t="str">
        <f t="shared" si="44"/>
        <v/>
      </c>
    </row>
    <row r="535" spans="2:7" x14ac:dyDescent="0.25">
      <c r="B535" s="6"/>
      <c r="C535" s="7"/>
      <c r="D535" s="7"/>
      <c r="E535" s="8"/>
      <c r="F535" t="str">
        <f t="shared" si="43"/>
        <v/>
      </c>
      <c r="G535" t="str">
        <f t="shared" si="44"/>
        <v/>
      </c>
    </row>
    <row r="536" spans="2:7" x14ac:dyDescent="0.25">
      <c r="B536" s="6"/>
      <c r="C536" s="7"/>
      <c r="D536" s="7"/>
      <c r="E536" s="8"/>
      <c r="F536" t="str">
        <f t="shared" si="43"/>
        <v/>
      </c>
      <c r="G536" t="str">
        <f t="shared" si="44"/>
        <v/>
      </c>
    </row>
    <row r="537" spans="2:7" x14ac:dyDescent="0.25">
      <c r="B537" s="6"/>
      <c r="C537" s="7"/>
      <c r="D537" s="7"/>
      <c r="E537" s="8"/>
      <c r="F537" t="str">
        <f t="shared" si="43"/>
        <v/>
      </c>
      <c r="G537" t="str">
        <f t="shared" si="44"/>
        <v/>
      </c>
    </row>
    <row r="538" spans="2:7" x14ac:dyDescent="0.25">
      <c r="B538" s="6"/>
      <c r="C538" s="7"/>
      <c r="D538" s="7"/>
      <c r="E538" s="8"/>
      <c r="F538" t="str">
        <f t="shared" si="43"/>
        <v/>
      </c>
      <c r="G538" t="str">
        <f t="shared" si="44"/>
        <v/>
      </c>
    </row>
    <row r="539" spans="2:7" x14ac:dyDescent="0.25">
      <c r="B539" s="6"/>
      <c r="C539" s="7"/>
      <c r="D539" s="7"/>
      <c r="E539" s="8"/>
      <c r="F539" t="str">
        <f t="shared" si="43"/>
        <v/>
      </c>
      <c r="G539" t="str">
        <f t="shared" si="44"/>
        <v/>
      </c>
    </row>
    <row r="540" spans="2:7" x14ac:dyDescent="0.25">
      <c r="B540" s="6"/>
      <c r="C540" s="7"/>
      <c r="D540" s="7"/>
      <c r="E540" s="8"/>
      <c r="F540" t="str">
        <f t="shared" si="43"/>
        <v/>
      </c>
      <c r="G540" t="str">
        <f t="shared" si="44"/>
        <v/>
      </c>
    </row>
    <row r="541" spans="2:7" x14ac:dyDescent="0.25">
      <c r="B541" s="6"/>
      <c r="C541" s="7"/>
      <c r="D541" s="7"/>
      <c r="E541" s="8"/>
      <c r="F541" t="str">
        <f t="shared" si="43"/>
        <v/>
      </c>
      <c r="G541" t="str">
        <f t="shared" si="44"/>
        <v/>
      </c>
    </row>
    <row r="542" spans="2:7" x14ac:dyDescent="0.25">
      <c r="B542" s="6"/>
      <c r="C542" s="7"/>
      <c r="D542" s="7"/>
      <c r="E542" s="8"/>
      <c r="F542" t="str">
        <f t="shared" si="43"/>
        <v/>
      </c>
      <c r="G542" t="str">
        <f t="shared" si="44"/>
        <v/>
      </c>
    </row>
    <row r="543" spans="2:7" x14ac:dyDescent="0.25">
      <c r="B543" s="6"/>
      <c r="C543" s="7"/>
      <c r="D543" s="7"/>
      <c r="E543" s="8"/>
      <c r="F543" t="str">
        <f t="shared" si="43"/>
        <v/>
      </c>
      <c r="G543" t="str">
        <f t="shared" si="44"/>
        <v/>
      </c>
    </row>
    <row r="544" spans="2:7" x14ac:dyDescent="0.25">
      <c r="B544" s="6"/>
      <c r="C544" s="7"/>
      <c r="D544" s="7"/>
      <c r="E544" s="8"/>
      <c r="F544" t="str">
        <f t="shared" si="43"/>
        <v/>
      </c>
      <c r="G544" t="str">
        <f t="shared" si="44"/>
        <v/>
      </c>
    </row>
    <row r="545" spans="2:7" x14ac:dyDescent="0.25">
      <c r="B545" s="6"/>
      <c r="C545" s="7"/>
      <c r="D545" s="7"/>
      <c r="E545" s="8"/>
      <c r="F545" t="str">
        <f t="shared" si="43"/>
        <v/>
      </c>
      <c r="G545" t="str">
        <f t="shared" si="44"/>
        <v/>
      </c>
    </row>
    <row r="546" spans="2:7" x14ac:dyDescent="0.25">
      <c r="B546" s="6"/>
      <c r="C546" s="7"/>
      <c r="D546" s="7"/>
      <c r="E546" s="8"/>
      <c r="F546" t="str">
        <f t="shared" si="43"/>
        <v/>
      </c>
      <c r="G546" t="str">
        <f t="shared" si="44"/>
        <v/>
      </c>
    </row>
    <row r="547" spans="2:7" x14ac:dyDescent="0.25">
      <c r="B547" s="6"/>
      <c r="C547" s="7"/>
      <c r="D547" s="7"/>
      <c r="E547" s="8"/>
      <c r="F547" t="str">
        <f t="shared" si="43"/>
        <v/>
      </c>
      <c r="G547" t="str">
        <f t="shared" si="44"/>
        <v/>
      </c>
    </row>
    <row r="548" spans="2:7" x14ac:dyDescent="0.25">
      <c r="B548" s="6"/>
      <c r="C548" s="7"/>
      <c r="D548" s="7"/>
      <c r="E548" s="8"/>
      <c r="F548" t="str">
        <f t="shared" si="43"/>
        <v/>
      </c>
      <c r="G548" t="str">
        <f t="shared" si="44"/>
        <v/>
      </c>
    </row>
    <row r="549" spans="2:7" x14ac:dyDescent="0.25">
      <c r="B549" s="6"/>
      <c r="C549" s="7"/>
      <c r="D549" s="7"/>
      <c r="E549" s="8"/>
      <c r="F549" t="str">
        <f t="shared" si="43"/>
        <v/>
      </c>
      <c r="G549" t="str">
        <f t="shared" si="44"/>
        <v/>
      </c>
    </row>
    <row r="550" spans="2:7" x14ac:dyDescent="0.25">
      <c r="B550" s="6"/>
      <c r="C550" s="7"/>
      <c r="D550" s="7"/>
      <c r="E550" s="8"/>
      <c r="F550" t="str">
        <f t="shared" si="43"/>
        <v/>
      </c>
      <c r="G550" t="str">
        <f t="shared" si="44"/>
        <v/>
      </c>
    </row>
    <row r="551" spans="2:7" x14ac:dyDescent="0.25">
      <c r="B551" s="6"/>
      <c r="C551" s="7"/>
      <c r="D551" s="7"/>
      <c r="E551" s="8"/>
      <c r="F551" t="str">
        <f t="shared" si="43"/>
        <v/>
      </c>
      <c r="G551" t="str">
        <f t="shared" si="44"/>
        <v/>
      </c>
    </row>
    <row r="552" spans="2:7" x14ac:dyDescent="0.25">
      <c r="B552" s="6"/>
      <c r="C552" s="7"/>
      <c r="D552" s="7"/>
      <c r="E552" s="8"/>
      <c r="F552" t="str">
        <f t="shared" si="43"/>
        <v/>
      </c>
      <c r="G552" t="str">
        <f t="shared" si="44"/>
        <v/>
      </c>
    </row>
    <row r="553" spans="2:7" x14ac:dyDescent="0.25">
      <c r="B553" s="6"/>
      <c r="C553" s="7"/>
      <c r="D553" s="7"/>
      <c r="E553" s="8"/>
      <c r="F553" t="str">
        <f t="shared" si="43"/>
        <v/>
      </c>
      <c r="G553" t="str">
        <f t="shared" si="44"/>
        <v/>
      </c>
    </row>
    <row r="554" spans="2:7" x14ac:dyDescent="0.25">
      <c r="B554" s="6"/>
      <c r="C554" s="7"/>
      <c r="D554" s="7"/>
      <c r="E554" s="8"/>
      <c r="F554" t="str">
        <f t="shared" si="43"/>
        <v/>
      </c>
      <c r="G554" t="str">
        <f t="shared" si="44"/>
        <v/>
      </c>
    </row>
    <row r="555" spans="2:7" x14ac:dyDescent="0.25">
      <c r="B555" s="6"/>
      <c r="C555" s="7"/>
      <c r="D555" s="7"/>
      <c r="E555" s="8"/>
      <c r="F555" t="str">
        <f t="shared" si="43"/>
        <v/>
      </c>
      <c r="G555" t="str">
        <f t="shared" si="44"/>
        <v/>
      </c>
    </row>
    <row r="556" spans="2:7" x14ac:dyDescent="0.25">
      <c r="B556" s="6"/>
      <c r="C556" s="7"/>
      <c r="D556" s="7"/>
      <c r="E556" s="8"/>
      <c r="F556" t="str">
        <f t="shared" si="43"/>
        <v/>
      </c>
      <c r="G556" t="str">
        <f t="shared" si="44"/>
        <v/>
      </c>
    </row>
    <row r="557" spans="2:7" x14ac:dyDescent="0.25">
      <c r="B557" s="6"/>
      <c r="C557" s="7"/>
      <c r="D557" s="7"/>
      <c r="E557" s="8"/>
      <c r="F557" t="str">
        <f t="shared" si="43"/>
        <v/>
      </c>
      <c r="G557" t="str">
        <f t="shared" si="44"/>
        <v/>
      </c>
    </row>
    <row r="558" spans="2:7" x14ac:dyDescent="0.25">
      <c r="B558" s="6"/>
      <c r="C558" s="7"/>
      <c r="D558" s="7"/>
      <c r="E558" s="8"/>
      <c r="F558" t="str">
        <f t="shared" si="43"/>
        <v/>
      </c>
      <c r="G558" t="str">
        <f t="shared" si="44"/>
        <v/>
      </c>
    </row>
    <row r="559" spans="2:7" x14ac:dyDescent="0.25">
      <c r="B559" s="6"/>
      <c r="C559" s="7"/>
      <c r="D559" s="7"/>
      <c r="E559" s="8"/>
      <c r="F559" t="str">
        <f t="shared" si="43"/>
        <v/>
      </c>
      <c r="G559" t="str">
        <f t="shared" si="44"/>
        <v/>
      </c>
    </row>
    <row r="560" spans="2:7" x14ac:dyDescent="0.25">
      <c r="B560" s="6"/>
      <c r="C560" s="7"/>
      <c r="D560" s="7"/>
      <c r="E560" s="8"/>
      <c r="F560" t="str">
        <f t="shared" si="43"/>
        <v/>
      </c>
      <c r="G560" t="str">
        <f t="shared" si="44"/>
        <v/>
      </c>
    </row>
    <row r="561" spans="2:7" x14ac:dyDescent="0.25">
      <c r="B561" s="6"/>
      <c r="C561" s="7"/>
      <c r="D561" s="7"/>
      <c r="E561" s="8"/>
      <c r="F561" t="str">
        <f t="shared" si="43"/>
        <v/>
      </c>
      <c r="G561" t="str">
        <f t="shared" si="44"/>
        <v/>
      </c>
    </row>
    <row r="562" spans="2:7" x14ac:dyDescent="0.25">
      <c r="B562" s="6"/>
      <c r="C562" s="7"/>
      <c r="D562" s="7"/>
      <c r="E562" s="8"/>
      <c r="F562" t="str">
        <f t="shared" si="43"/>
        <v/>
      </c>
      <c r="G562" t="str">
        <f t="shared" si="44"/>
        <v/>
      </c>
    </row>
    <row r="563" spans="2:7" x14ac:dyDescent="0.25">
      <c r="B563" s="6"/>
      <c r="C563" s="7"/>
      <c r="D563" s="7"/>
      <c r="E563" s="8"/>
      <c r="F563" t="str">
        <f t="shared" si="43"/>
        <v/>
      </c>
      <c r="G563" t="str">
        <f t="shared" si="44"/>
        <v/>
      </c>
    </row>
    <row r="564" spans="2:7" x14ac:dyDescent="0.25">
      <c r="B564" s="6"/>
      <c r="C564" s="7"/>
      <c r="D564" s="7"/>
      <c r="E564" s="8"/>
      <c r="F564" t="str">
        <f t="shared" si="43"/>
        <v/>
      </c>
      <c r="G564" t="str">
        <f t="shared" si="44"/>
        <v/>
      </c>
    </row>
    <row r="565" spans="2:7" x14ac:dyDescent="0.25">
      <c r="B565" s="6"/>
      <c r="C565" s="7"/>
      <c r="D565" s="7"/>
      <c r="E565" s="8"/>
      <c r="F565" t="str">
        <f t="shared" si="43"/>
        <v/>
      </c>
      <c r="G565" t="str">
        <f t="shared" si="44"/>
        <v/>
      </c>
    </row>
    <row r="566" spans="2:7" x14ac:dyDescent="0.25">
      <c r="B566" s="6"/>
      <c r="C566" s="7"/>
      <c r="D566" s="7"/>
      <c r="E566" s="8"/>
      <c r="F566" t="str">
        <f t="shared" si="43"/>
        <v/>
      </c>
      <c r="G566" t="str">
        <f t="shared" si="44"/>
        <v/>
      </c>
    </row>
    <row r="567" spans="2:7" x14ac:dyDescent="0.25">
      <c r="B567" s="6"/>
      <c r="C567" s="7"/>
      <c r="D567" s="7"/>
      <c r="E567" s="8"/>
      <c r="F567" t="str">
        <f t="shared" si="43"/>
        <v/>
      </c>
      <c r="G567" t="str">
        <f t="shared" si="44"/>
        <v/>
      </c>
    </row>
    <row r="568" spans="2:7" x14ac:dyDescent="0.25">
      <c r="B568" s="6"/>
      <c r="C568" s="7"/>
      <c r="D568" s="7"/>
      <c r="E568" s="8"/>
      <c r="F568" t="str">
        <f t="shared" si="43"/>
        <v/>
      </c>
      <c r="G568" t="str">
        <f t="shared" si="44"/>
        <v/>
      </c>
    </row>
    <row r="569" spans="2:7" x14ac:dyDescent="0.25">
      <c r="B569" s="6"/>
      <c r="C569" s="7"/>
      <c r="D569" s="7"/>
      <c r="E569" s="8"/>
      <c r="F569" t="str">
        <f t="shared" si="43"/>
        <v/>
      </c>
      <c r="G569" t="str">
        <f t="shared" si="44"/>
        <v/>
      </c>
    </row>
    <row r="570" spans="2:7" x14ac:dyDescent="0.25">
      <c r="B570" s="6"/>
      <c r="C570" s="7"/>
      <c r="D570" s="7"/>
      <c r="E570" s="8"/>
      <c r="F570" t="str">
        <f t="shared" si="43"/>
        <v/>
      </c>
      <c r="G570" t="str">
        <f t="shared" si="44"/>
        <v/>
      </c>
    </row>
    <row r="571" spans="2:7" x14ac:dyDescent="0.25">
      <c r="B571" s="6"/>
      <c r="C571" s="7"/>
      <c r="D571" s="7"/>
      <c r="E571" s="8"/>
      <c r="F571" t="str">
        <f t="shared" si="43"/>
        <v/>
      </c>
      <c r="G571" t="str">
        <f t="shared" si="44"/>
        <v/>
      </c>
    </row>
    <row r="572" spans="2:7" x14ac:dyDescent="0.25">
      <c r="B572" s="6"/>
      <c r="C572" s="7"/>
      <c r="D572" s="7"/>
      <c r="E572" s="8"/>
      <c r="F572" t="str">
        <f t="shared" si="43"/>
        <v/>
      </c>
      <c r="G572" t="str">
        <f t="shared" si="44"/>
        <v/>
      </c>
    </row>
    <row r="573" spans="2:7" x14ac:dyDescent="0.25">
      <c r="B573" s="6"/>
      <c r="C573" s="7"/>
      <c r="D573" s="7"/>
      <c r="E573" s="8"/>
      <c r="F573" t="str">
        <f t="shared" si="43"/>
        <v/>
      </c>
      <c r="G573" t="str">
        <f t="shared" si="44"/>
        <v/>
      </c>
    </row>
    <row r="574" spans="2:7" x14ac:dyDescent="0.25">
      <c r="B574" s="6"/>
      <c r="C574" s="7"/>
      <c r="D574" s="7"/>
      <c r="E574" s="8"/>
      <c r="F574" t="str">
        <f t="shared" si="43"/>
        <v/>
      </c>
      <c r="G574" t="str">
        <f t="shared" si="44"/>
        <v/>
      </c>
    </row>
    <row r="575" spans="2:7" x14ac:dyDescent="0.25">
      <c r="B575" s="6"/>
      <c r="C575" s="7"/>
      <c r="D575" s="7"/>
      <c r="E575" s="8"/>
      <c r="F575" t="str">
        <f t="shared" si="43"/>
        <v/>
      </c>
      <c r="G575" t="str">
        <f t="shared" si="44"/>
        <v/>
      </c>
    </row>
    <row r="576" spans="2:7" x14ac:dyDescent="0.25">
      <c r="B576" s="6"/>
      <c r="C576" s="7"/>
      <c r="D576" s="7"/>
      <c r="E576" s="8"/>
      <c r="F576" t="str">
        <f t="shared" si="43"/>
        <v/>
      </c>
      <c r="G576" t="str">
        <f t="shared" si="44"/>
        <v/>
      </c>
    </row>
    <row r="577" spans="2:7" x14ac:dyDescent="0.25">
      <c r="B577" s="6"/>
      <c r="C577" s="7"/>
      <c r="D577" s="7"/>
      <c r="E577" s="8"/>
      <c r="F577" t="str">
        <f t="shared" si="43"/>
        <v/>
      </c>
      <c r="G577" t="str">
        <f t="shared" si="44"/>
        <v/>
      </c>
    </row>
    <row r="578" spans="2:7" x14ac:dyDescent="0.25">
      <c r="B578" s="6"/>
      <c r="C578" s="7"/>
      <c r="D578" s="7"/>
      <c r="E578" s="8"/>
      <c r="F578" t="str">
        <f t="shared" si="43"/>
        <v/>
      </c>
      <c r="G578" t="str">
        <f t="shared" si="44"/>
        <v/>
      </c>
    </row>
    <row r="579" spans="2:7" x14ac:dyDescent="0.25">
      <c r="B579" s="6"/>
      <c r="C579" s="7"/>
      <c r="D579" s="7"/>
      <c r="E579" s="8"/>
      <c r="F579" t="str">
        <f t="shared" si="43"/>
        <v/>
      </c>
      <c r="G579" t="str">
        <f t="shared" si="44"/>
        <v/>
      </c>
    </row>
    <row r="580" spans="2:7" x14ac:dyDescent="0.25">
      <c r="B580" s="6"/>
      <c r="C580" s="7"/>
      <c r="D580" s="7"/>
      <c r="E580" s="8"/>
      <c r="F580" t="str">
        <f t="shared" ref="F580:F643" si="45">IF(B580="","",LOG10(D580))</f>
        <v/>
      </c>
      <c r="G580" t="str">
        <f t="shared" ref="G580:G643" si="46">IF(E580="", "",0.434*E580/D580)</f>
        <v/>
      </c>
    </row>
    <row r="581" spans="2:7" x14ac:dyDescent="0.25">
      <c r="B581" s="6"/>
      <c r="C581" s="7"/>
      <c r="D581" s="7"/>
      <c r="E581" s="8"/>
      <c r="F581" t="str">
        <f t="shared" si="45"/>
        <v/>
      </c>
      <c r="G581" t="str">
        <f t="shared" si="46"/>
        <v/>
      </c>
    </row>
    <row r="582" spans="2:7" x14ac:dyDescent="0.25">
      <c r="B582" s="6"/>
      <c r="C582" s="7"/>
      <c r="D582" s="7"/>
      <c r="E582" s="8"/>
      <c r="F582" t="str">
        <f t="shared" si="45"/>
        <v/>
      </c>
      <c r="G582" t="str">
        <f t="shared" si="46"/>
        <v/>
      </c>
    </row>
    <row r="583" spans="2:7" x14ac:dyDescent="0.25">
      <c r="B583" s="6"/>
      <c r="C583" s="7"/>
      <c r="D583" s="7"/>
      <c r="E583" s="8"/>
      <c r="F583" t="str">
        <f t="shared" si="45"/>
        <v/>
      </c>
      <c r="G583" t="str">
        <f t="shared" si="46"/>
        <v/>
      </c>
    </row>
    <row r="584" spans="2:7" x14ac:dyDescent="0.25">
      <c r="B584" s="6"/>
      <c r="C584" s="7"/>
      <c r="D584" s="7"/>
      <c r="E584" s="8"/>
      <c r="F584" t="str">
        <f t="shared" si="45"/>
        <v/>
      </c>
      <c r="G584" t="str">
        <f t="shared" si="46"/>
        <v/>
      </c>
    </row>
    <row r="585" spans="2:7" x14ac:dyDescent="0.25">
      <c r="B585" s="6"/>
      <c r="C585" s="7"/>
      <c r="D585" s="7"/>
      <c r="E585" s="8"/>
      <c r="F585" t="str">
        <f t="shared" si="45"/>
        <v/>
      </c>
      <c r="G585" t="str">
        <f t="shared" si="46"/>
        <v/>
      </c>
    </row>
    <row r="586" spans="2:7" x14ac:dyDescent="0.25">
      <c r="B586" s="6"/>
      <c r="C586" s="7"/>
      <c r="D586" s="7"/>
      <c r="E586" s="8"/>
      <c r="F586" t="str">
        <f t="shared" si="45"/>
        <v/>
      </c>
      <c r="G586" t="str">
        <f t="shared" si="46"/>
        <v/>
      </c>
    </row>
    <row r="587" spans="2:7" x14ac:dyDescent="0.25">
      <c r="B587" s="6"/>
      <c r="C587" s="7"/>
      <c r="D587" s="7"/>
      <c r="E587" s="8"/>
      <c r="F587" t="str">
        <f t="shared" si="45"/>
        <v/>
      </c>
      <c r="G587" t="str">
        <f t="shared" si="46"/>
        <v/>
      </c>
    </row>
    <row r="588" spans="2:7" x14ac:dyDescent="0.25">
      <c r="B588" s="6"/>
      <c r="C588" s="7"/>
      <c r="D588" s="7"/>
      <c r="E588" s="8"/>
      <c r="F588" t="str">
        <f t="shared" si="45"/>
        <v/>
      </c>
      <c r="G588" t="str">
        <f t="shared" si="46"/>
        <v/>
      </c>
    </row>
    <row r="589" spans="2:7" x14ac:dyDescent="0.25">
      <c r="B589" s="6"/>
      <c r="C589" s="7"/>
      <c r="D589" s="7"/>
      <c r="E589" s="8"/>
      <c r="F589" t="str">
        <f t="shared" si="45"/>
        <v/>
      </c>
      <c r="G589" t="str">
        <f t="shared" si="46"/>
        <v/>
      </c>
    </row>
    <row r="590" spans="2:7" x14ac:dyDescent="0.25">
      <c r="B590" s="6"/>
      <c r="C590" s="7"/>
      <c r="D590" s="7"/>
      <c r="E590" s="8"/>
      <c r="F590" t="str">
        <f t="shared" si="45"/>
        <v/>
      </c>
      <c r="G590" t="str">
        <f t="shared" si="46"/>
        <v/>
      </c>
    </row>
    <row r="591" spans="2:7" x14ac:dyDescent="0.25">
      <c r="B591" s="6"/>
      <c r="C591" s="7"/>
      <c r="D591" s="7"/>
      <c r="E591" s="8"/>
      <c r="F591" t="str">
        <f t="shared" si="45"/>
        <v/>
      </c>
      <c r="G591" t="str">
        <f t="shared" si="46"/>
        <v/>
      </c>
    </row>
    <row r="592" spans="2:7" x14ac:dyDescent="0.25">
      <c r="B592" s="6"/>
      <c r="C592" s="7"/>
      <c r="D592" s="7"/>
      <c r="E592" s="8"/>
      <c r="F592" t="str">
        <f t="shared" si="45"/>
        <v/>
      </c>
      <c r="G592" t="str">
        <f t="shared" si="46"/>
        <v/>
      </c>
    </row>
    <row r="593" spans="2:7" x14ac:dyDescent="0.25">
      <c r="B593" s="6"/>
      <c r="C593" s="7"/>
      <c r="D593" s="7"/>
      <c r="E593" s="8"/>
      <c r="F593" t="str">
        <f t="shared" si="45"/>
        <v/>
      </c>
      <c r="G593" t="str">
        <f t="shared" si="46"/>
        <v/>
      </c>
    </row>
    <row r="594" spans="2:7" x14ac:dyDescent="0.25">
      <c r="B594" s="6"/>
      <c r="C594" s="7"/>
      <c r="D594" s="7"/>
      <c r="E594" s="8"/>
      <c r="F594" t="str">
        <f t="shared" si="45"/>
        <v/>
      </c>
      <c r="G594" t="str">
        <f t="shared" si="46"/>
        <v/>
      </c>
    </row>
    <row r="595" spans="2:7" x14ac:dyDescent="0.25">
      <c r="B595" s="6"/>
      <c r="C595" s="7"/>
      <c r="D595" s="7"/>
      <c r="E595" s="8"/>
      <c r="F595" t="str">
        <f t="shared" si="45"/>
        <v/>
      </c>
      <c r="G595" t="str">
        <f t="shared" si="46"/>
        <v/>
      </c>
    </row>
    <row r="596" spans="2:7" x14ac:dyDescent="0.25">
      <c r="B596" s="6"/>
      <c r="C596" s="7"/>
      <c r="D596" s="7"/>
      <c r="E596" s="8"/>
      <c r="F596" t="str">
        <f t="shared" si="45"/>
        <v/>
      </c>
      <c r="G596" t="str">
        <f t="shared" si="46"/>
        <v/>
      </c>
    </row>
    <row r="597" spans="2:7" x14ac:dyDescent="0.25">
      <c r="B597" s="6"/>
      <c r="C597" s="7"/>
      <c r="D597" s="7"/>
      <c r="E597" s="8"/>
      <c r="F597" t="str">
        <f t="shared" si="45"/>
        <v/>
      </c>
      <c r="G597" t="str">
        <f t="shared" si="46"/>
        <v/>
      </c>
    </row>
    <row r="598" spans="2:7" x14ac:dyDescent="0.25">
      <c r="B598" s="6"/>
      <c r="C598" s="7"/>
      <c r="D598" s="7"/>
      <c r="E598" s="8"/>
      <c r="F598" t="str">
        <f t="shared" si="45"/>
        <v/>
      </c>
      <c r="G598" t="str">
        <f t="shared" si="46"/>
        <v/>
      </c>
    </row>
    <row r="599" spans="2:7" x14ac:dyDescent="0.25">
      <c r="B599" s="6"/>
      <c r="C599" s="7"/>
      <c r="D599" s="7"/>
      <c r="E599" s="8"/>
      <c r="F599" t="str">
        <f t="shared" si="45"/>
        <v/>
      </c>
      <c r="G599" t="str">
        <f t="shared" si="46"/>
        <v/>
      </c>
    </row>
    <row r="600" spans="2:7" x14ac:dyDescent="0.25">
      <c r="B600" s="6"/>
      <c r="C600" s="7"/>
      <c r="D600" s="7"/>
      <c r="E600" s="8"/>
      <c r="F600" t="str">
        <f t="shared" si="45"/>
        <v/>
      </c>
      <c r="G600" t="str">
        <f t="shared" si="46"/>
        <v/>
      </c>
    </row>
    <row r="601" spans="2:7" x14ac:dyDescent="0.25">
      <c r="B601" s="6"/>
      <c r="C601" s="7"/>
      <c r="D601" s="7"/>
      <c r="E601" s="8"/>
      <c r="F601" t="str">
        <f t="shared" si="45"/>
        <v/>
      </c>
      <c r="G601" t="str">
        <f t="shared" si="46"/>
        <v/>
      </c>
    </row>
    <row r="602" spans="2:7" x14ac:dyDescent="0.25">
      <c r="B602" s="6"/>
      <c r="C602" s="7"/>
      <c r="D602" s="7"/>
      <c r="E602" s="8"/>
      <c r="F602" t="str">
        <f t="shared" si="45"/>
        <v/>
      </c>
      <c r="G602" t="str">
        <f t="shared" si="46"/>
        <v/>
      </c>
    </row>
    <row r="603" spans="2:7" x14ac:dyDescent="0.25">
      <c r="B603" s="6"/>
      <c r="C603" s="7"/>
      <c r="D603" s="7"/>
      <c r="E603" s="8"/>
      <c r="F603" t="str">
        <f t="shared" si="45"/>
        <v/>
      </c>
      <c r="G603" t="str">
        <f t="shared" si="46"/>
        <v/>
      </c>
    </row>
    <row r="604" spans="2:7" x14ac:dyDescent="0.25">
      <c r="B604" s="6"/>
      <c r="C604" s="7"/>
      <c r="D604" s="7"/>
      <c r="E604" s="8"/>
      <c r="F604" t="str">
        <f t="shared" si="45"/>
        <v/>
      </c>
      <c r="G604" t="str">
        <f t="shared" si="46"/>
        <v/>
      </c>
    </row>
    <row r="605" spans="2:7" x14ac:dyDescent="0.25">
      <c r="B605" s="6"/>
      <c r="C605" s="7"/>
      <c r="D605" s="7"/>
      <c r="E605" s="8"/>
      <c r="F605" t="str">
        <f t="shared" si="45"/>
        <v/>
      </c>
      <c r="G605" t="str">
        <f t="shared" si="46"/>
        <v/>
      </c>
    </row>
    <row r="606" spans="2:7" x14ac:dyDescent="0.25">
      <c r="B606" s="6"/>
      <c r="C606" s="7"/>
      <c r="D606" s="7"/>
      <c r="E606" s="8"/>
      <c r="F606" t="str">
        <f t="shared" si="45"/>
        <v/>
      </c>
      <c r="G606" t="str">
        <f t="shared" si="46"/>
        <v/>
      </c>
    </row>
    <row r="607" spans="2:7" x14ac:dyDescent="0.25">
      <c r="B607" s="6"/>
      <c r="C607" s="7"/>
      <c r="D607" s="7"/>
      <c r="E607" s="8"/>
      <c r="F607" t="str">
        <f t="shared" si="45"/>
        <v/>
      </c>
      <c r="G607" t="str">
        <f t="shared" si="46"/>
        <v/>
      </c>
    </row>
    <row r="608" spans="2:7" x14ac:dyDescent="0.25">
      <c r="B608" s="6"/>
      <c r="C608" s="7"/>
      <c r="D608" s="7"/>
      <c r="E608" s="8"/>
      <c r="F608" t="str">
        <f t="shared" si="45"/>
        <v/>
      </c>
      <c r="G608" t="str">
        <f t="shared" si="46"/>
        <v/>
      </c>
    </row>
    <row r="609" spans="2:7" x14ac:dyDescent="0.25">
      <c r="B609" s="6"/>
      <c r="C609" s="7"/>
      <c r="D609" s="7"/>
      <c r="E609" s="8"/>
      <c r="F609" t="str">
        <f t="shared" si="45"/>
        <v/>
      </c>
      <c r="G609" t="str">
        <f t="shared" si="46"/>
        <v/>
      </c>
    </row>
    <row r="610" spans="2:7" x14ac:dyDescent="0.25">
      <c r="B610" s="6"/>
      <c r="C610" s="7"/>
      <c r="D610" s="7"/>
      <c r="E610" s="8"/>
      <c r="F610" t="str">
        <f t="shared" si="45"/>
        <v/>
      </c>
      <c r="G610" t="str">
        <f t="shared" si="46"/>
        <v/>
      </c>
    </row>
    <row r="611" spans="2:7" x14ac:dyDescent="0.25">
      <c r="B611" s="6"/>
      <c r="C611" s="7"/>
      <c r="D611" s="7"/>
      <c r="E611" s="8"/>
      <c r="F611" t="str">
        <f t="shared" si="45"/>
        <v/>
      </c>
      <c r="G611" t="str">
        <f t="shared" si="46"/>
        <v/>
      </c>
    </row>
    <row r="612" spans="2:7" x14ac:dyDescent="0.25">
      <c r="B612" s="6"/>
      <c r="C612" s="7"/>
      <c r="D612" s="7"/>
      <c r="E612" s="8"/>
      <c r="F612" t="str">
        <f t="shared" si="45"/>
        <v/>
      </c>
      <c r="G612" t="str">
        <f t="shared" si="46"/>
        <v/>
      </c>
    </row>
    <row r="613" spans="2:7" x14ac:dyDescent="0.25">
      <c r="B613" s="6"/>
      <c r="C613" s="7"/>
      <c r="D613" s="7"/>
      <c r="E613" s="8"/>
      <c r="F613" t="str">
        <f t="shared" si="45"/>
        <v/>
      </c>
      <c r="G613" t="str">
        <f t="shared" si="46"/>
        <v/>
      </c>
    </row>
    <row r="614" spans="2:7" x14ac:dyDescent="0.25">
      <c r="B614" s="6"/>
      <c r="C614" s="7"/>
      <c r="D614" s="7"/>
      <c r="E614" s="8"/>
      <c r="F614" t="str">
        <f t="shared" si="45"/>
        <v/>
      </c>
      <c r="G614" t="str">
        <f t="shared" si="46"/>
        <v/>
      </c>
    </row>
    <row r="615" spans="2:7" x14ac:dyDescent="0.25">
      <c r="B615" s="6"/>
      <c r="C615" s="7"/>
      <c r="D615" s="7"/>
      <c r="E615" s="8"/>
      <c r="F615" t="str">
        <f t="shared" si="45"/>
        <v/>
      </c>
      <c r="G615" t="str">
        <f t="shared" si="46"/>
        <v/>
      </c>
    </row>
    <row r="616" spans="2:7" x14ac:dyDescent="0.25">
      <c r="B616" s="6"/>
      <c r="C616" s="7"/>
      <c r="D616" s="7"/>
      <c r="E616" s="8"/>
      <c r="F616" t="str">
        <f t="shared" si="45"/>
        <v/>
      </c>
      <c r="G616" t="str">
        <f t="shared" si="46"/>
        <v/>
      </c>
    </row>
    <row r="617" spans="2:7" x14ac:dyDescent="0.25">
      <c r="B617" s="6"/>
      <c r="C617" s="7"/>
      <c r="D617" s="7"/>
      <c r="E617" s="8"/>
      <c r="F617" t="str">
        <f t="shared" si="45"/>
        <v/>
      </c>
      <c r="G617" t="str">
        <f t="shared" si="46"/>
        <v/>
      </c>
    </row>
    <row r="618" spans="2:7" x14ac:dyDescent="0.25">
      <c r="B618" s="6"/>
      <c r="C618" s="7"/>
      <c r="D618" s="7"/>
      <c r="E618" s="8"/>
      <c r="F618" t="str">
        <f t="shared" si="45"/>
        <v/>
      </c>
      <c r="G618" t="str">
        <f t="shared" si="46"/>
        <v/>
      </c>
    </row>
    <row r="619" spans="2:7" x14ac:dyDescent="0.25">
      <c r="B619" s="6"/>
      <c r="C619" s="7"/>
      <c r="D619" s="7"/>
      <c r="E619" s="8"/>
      <c r="F619" t="str">
        <f t="shared" si="45"/>
        <v/>
      </c>
      <c r="G619" t="str">
        <f t="shared" si="46"/>
        <v/>
      </c>
    </row>
    <row r="620" spans="2:7" x14ac:dyDescent="0.25">
      <c r="B620" s="6"/>
      <c r="C620" s="7"/>
      <c r="D620" s="7"/>
      <c r="E620" s="8"/>
      <c r="F620" t="str">
        <f t="shared" si="45"/>
        <v/>
      </c>
      <c r="G620" t="str">
        <f t="shared" si="46"/>
        <v/>
      </c>
    </row>
    <row r="621" spans="2:7" x14ac:dyDescent="0.25">
      <c r="B621" s="6"/>
      <c r="C621" s="7"/>
      <c r="D621" s="7"/>
      <c r="E621" s="8"/>
      <c r="F621" t="str">
        <f t="shared" si="45"/>
        <v/>
      </c>
      <c r="G621" t="str">
        <f t="shared" si="46"/>
        <v/>
      </c>
    </row>
    <row r="622" spans="2:7" x14ac:dyDescent="0.25">
      <c r="B622" s="6"/>
      <c r="C622" s="7"/>
      <c r="D622" s="7"/>
      <c r="E622" s="8"/>
      <c r="F622" t="str">
        <f t="shared" si="45"/>
        <v/>
      </c>
      <c r="G622" t="str">
        <f t="shared" si="46"/>
        <v/>
      </c>
    </row>
    <row r="623" spans="2:7" x14ac:dyDescent="0.25">
      <c r="B623" s="6"/>
      <c r="C623" s="7"/>
      <c r="D623" s="7"/>
      <c r="E623" s="8"/>
      <c r="F623" t="str">
        <f t="shared" si="45"/>
        <v/>
      </c>
      <c r="G623" t="str">
        <f t="shared" si="46"/>
        <v/>
      </c>
    </row>
    <row r="624" spans="2:7" x14ac:dyDescent="0.25">
      <c r="B624" s="6"/>
      <c r="C624" s="7"/>
      <c r="D624" s="7"/>
      <c r="E624" s="8"/>
      <c r="F624" t="str">
        <f t="shared" si="45"/>
        <v/>
      </c>
      <c r="G624" t="str">
        <f t="shared" si="46"/>
        <v/>
      </c>
    </row>
    <row r="625" spans="2:7" x14ac:dyDescent="0.25">
      <c r="B625" s="6"/>
      <c r="C625" s="7"/>
      <c r="D625" s="7"/>
      <c r="E625" s="8"/>
      <c r="F625" t="str">
        <f t="shared" si="45"/>
        <v/>
      </c>
      <c r="G625" t="str">
        <f t="shared" si="46"/>
        <v/>
      </c>
    </row>
    <row r="626" spans="2:7" x14ac:dyDescent="0.25">
      <c r="B626" s="6"/>
      <c r="C626" s="7"/>
      <c r="D626" s="7"/>
      <c r="E626" s="8"/>
      <c r="F626" t="str">
        <f t="shared" si="45"/>
        <v/>
      </c>
      <c r="G626" t="str">
        <f t="shared" si="46"/>
        <v/>
      </c>
    </row>
    <row r="627" spans="2:7" x14ac:dyDescent="0.25">
      <c r="B627" s="6"/>
      <c r="C627" s="7"/>
      <c r="D627" s="7"/>
      <c r="E627" s="8"/>
      <c r="F627" t="str">
        <f t="shared" si="45"/>
        <v/>
      </c>
      <c r="G627" t="str">
        <f t="shared" si="46"/>
        <v/>
      </c>
    </row>
    <row r="628" spans="2:7" x14ac:dyDescent="0.25">
      <c r="B628" s="6"/>
      <c r="C628" s="7"/>
      <c r="D628" s="7"/>
      <c r="E628" s="8"/>
      <c r="F628" t="str">
        <f t="shared" si="45"/>
        <v/>
      </c>
      <c r="G628" t="str">
        <f t="shared" si="46"/>
        <v/>
      </c>
    </row>
    <row r="629" spans="2:7" x14ac:dyDescent="0.25">
      <c r="B629" s="6"/>
      <c r="C629" s="7"/>
      <c r="D629" s="7"/>
      <c r="E629" s="8"/>
      <c r="F629" t="str">
        <f t="shared" si="45"/>
        <v/>
      </c>
      <c r="G629" t="str">
        <f t="shared" si="46"/>
        <v/>
      </c>
    </row>
    <row r="630" spans="2:7" x14ac:dyDescent="0.25">
      <c r="B630" s="6"/>
      <c r="C630" s="7"/>
      <c r="D630" s="7"/>
      <c r="E630" s="8"/>
      <c r="F630" t="str">
        <f t="shared" si="45"/>
        <v/>
      </c>
      <c r="G630" t="str">
        <f t="shared" si="46"/>
        <v/>
      </c>
    </row>
    <row r="631" spans="2:7" x14ac:dyDescent="0.25">
      <c r="B631" s="6"/>
      <c r="C631" s="7"/>
      <c r="D631" s="7"/>
      <c r="E631" s="8"/>
      <c r="F631" t="str">
        <f t="shared" si="45"/>
        <v/>
      </c>
      <c r="G631" t="str">
        <f t="shared" si="46"/>
        <v/>
      </c>
    </row>
    <row r="632" spans="2:7" x14ac:dyDescent="0.25">
      <c r="B632" s="6"/>
      <c r="C632" s="7"/>
      <c r="D632" s="7"/>
      <c r="E632" s="8"/>
      <c r="F632" t="str">
        <f t="shared" si="45"/>
        <v/>
      </c>
      <c r="G632" t="str">
        <f t="shared" si="46"/>
        <v/>
      </c>
    </row>
    <row r="633" spans="2:7" x14ac:dyDescent="0.25">
      <c r="B633" s="6"/>
      <c r="C633" s="7"/>
      <c r="D633" s="7"/>
      <c r="E633" s="8"/>
      <c r="F633" t="str">
        <f t="shared" si="45"/>
        <v/>
      </c>
      <c r="G633" t="str">
        <f t="shared" si="46"/>
        <v/>
      </c>
    </row>
    <row r="634" spans="2:7" x14ac:dyDescent="0.25">
      <c r="B634" s="6"/>
      <c r="C634" s="7"/>
      <c r="D634" s="7"/>
      <c r="E634" s="8"/>
      <c r="F634" t="str">
        <f t="shared" si="45"/>
        <v/>
      </c>
      <c r="G634" t="str">
        <f t="shared" si="46"/>
        <v/>
      </c>
    </row>
    <row r="635" spans="2:7" x14ac:dyDescent="0.25">
      <c r="B635" s="6"/>
      <c r="C635" s="7"/>
      <c r="D635" s="7"/>
      <c r="E635" s="8"/>
      <c r="F635" t="str">
        <f t="shared" si="45"/>
        <v/>
      </c>
      <c r="G635" t="str">
        <f t="shared" si="46"/>
        <v/>
      </c>
    </row>
    <row r="636" spans="2:7" x14ac:dyDescent="0.25">
      <c r="B636" s="6"/>
      <c r="C636" s="7"/>
      <c r="D636" s="7"/>
      <c r="E636" s="8"/>
      <c r="F636" t="str">
        <f t="shared" si="45"/>
        <v/>
      </c>
      <c r="G636" t="str">
        <f t="shared" si="46"/>
        <v/>
      </c>
    </row>
    <row r="637" spans="2:7" x14ac:dyDescent="0.25">
      <c r="B637" s="6"/>
      <c r="C637" s="7"/>
      <c r="D637" s="7"/>
      <c r="E637" s="8"/>
      <c r="F637" t="str">
        <f t="shared" si="45"/>
        <v/>
      </c>
      <c r="G637" t="str">
        <f t="shared" si="46"/>
        <v/>
      </c>
    </row>
    <row r="638" spans="2:7" x14ac:dyDescent="0.25">
      <c r="B638" s="6"/>
      <c r="C638" s="7"/>
      <c r="D638" s="7"/>
      <c r="E638" s="8"/>
      <c r="F638" t="str">
        <f t="shared" si="45"/>
        <v/>
      </c>
      <c r="G638" t="str">
        <f t="shared" si="46"/>
        <v/>
      </c>
    </row>
    <row r="639" spans="2:7" x14ac:dyDescent="0.25">
      <c r="B639" s="6"/>
      <c r="C639" s="7"/>
      <c r="D639" s="7"/>
      <c r="E639" s="8"/>
      <c r="F639" t="str">
        <f t="shared" si="45"/>
        <v/>
      </c>
      <c r="G639" t="str">
        <f t="shared" si="46"/>
        <v/>
      </c>
    </row>
    <row r="640" spans="2:7" x14ac:dyDescent="0.25">
      <c r="B640" s="6"/>
      <c r="C640" s="7"/>
      <c r="D640" s="7"/>
      <c r="E640" s="8"/>
      <c r="F640" t="str">
        <f t="shared" si="45"/>
        <v/>
      </c>
      <c r="G640" t="str">
        <f t="shared" si="46"/>
        <v/>
      </c>
    </row>
    <row r="641" spans="2:7" x14ac:dyDescent="0.25">
      <c r="B641" s="6"/>
      <c r="C641" s="7"/>
      <c r="D641" s="7"/>
      <c r="E641" s="8"/>
      <c r="F641" t="str">
        <f t="shared" si="45"/>
        <v/>
      </c>
      <c r="G641" t="str">
        <f t="shared" si="46"/>
        <v/>
      </c>
    </row>
    <row r="642" spans="2:7" x14ac:dyDescent="0.25">
      <c r="B642" s="6"/>
      <c r="C642" s="7"/>
      <c r="D642" s="7"/>
      <c r="E642" s="8"/>
      <c r="F642" t="str">
        <f t="shared" si="45"/>
        <v/>
      </c>
      <c r="G642" t="str">
        <f t="shared" si="46"/>
        <v/>
      </c>
    </row>
    <row r="643" spans="2:7" x14ac:dyDescent="0.25">
      <c r="B643" s="6"/>
      <c r="C643" s="7"/>
      <c r="D643" s="7"/>
      <c r="E643" s="8"/>
      <c r="F643" t="str">
        <f t="shared" si="45"/>
        <v/>
      </c>
      <c r="G643" t="str">
        <f t="shared" si="46"/>
        <v/>
      </c>
    </row>
    <row r="644" spans="2:7" x14ac:dyDescent="0.25">
      <c r="B644" s="6"/>
      <c r="C644" s="7"/>
      <c r="D644" s="7"/>
      <c r="E644" s="8"/>
      <c r="F644" t="str">
        <f t="shared" ref="F644:F707" si="47">IF(B644="","",LOG10(D644))</f>
        <v/>
      </c>
      <c r="G644" t="str">
        <f t="shared" ref="G644:G707" si="48">IF(E644="", "",0.434*E644/D644)</f>
        <v/>
      </c>
    </row>
    <row r="645" spans="2:7" x14ac:dyDescent="0.25">
      <c r="B645" s="6"/>
      <c r="C645" s="7"/>
      <c r="D645" s="7"/>
      <c r="E645" s="8"/>
      <c r="F645" t="str">
        <f t="shared" si="47"/>
        <v/>
      </c>
      <c r="G645" t="str">
        <f t="shared" si="48"/>
        <v/>
      </c>
    </row>
    <row r="646" spans="2:7" x14ac:dyDescent="0.25">
      <c r="B646" s="6"/>
      <c r="C646" s="7"/>
      <c r="D646" s="7"/>
      <c r="E646" s="8"/>
      <c r="F646" t="str">
        <f t="shared" si="47"/>
        <v/>
      </c>
      <c r="G646" t="str">
        <f t="shared" si="48"/>
        <v/>
      </c>
    </row>
    <row r="647" spans="2:7" x14ac:dyDescent="0.25">
      <c r="B647" s="6"/>
      <c r="C647" s="7"/>
      <c r="D647" s="7"/>
      <c r="E647" s="8"/>
      <c r="F647" t="str">
        <f t="shared" si="47"/>
        <v/>
      </c>
      <c r="G647" t="str">
        <f t="shared" si="48"/>
        <v/>
      </c>
    </row>
    <row r="648" spans="2:7" x14ac:dyDescent="0.25">
      <c r="B648" s="6"/>
      <c r="C648" s="7"/>
      <c r="D648" s="7"/>
      <c r="E648" s="8"/>
      <c r="F648" t="str">
        <f t="shared" si="47"/>
        <v/>
      </c>
      <c r="G648" t="str">
        <f t="shared" si="48"/>
        <v/>
      </c>
    </row>
    <row r="649" spans="2:7" x14ac:dyDescent="0.25">
      <c r="B649" s="6"/>
      <c r="C649" s="7"/>
      <c r="D649" s="7"/>
      <c r="E649" s="8"/>
      <c r="F649" t="str">
        <f t="shared" si="47"/>
        <v/>
      </c>
      <c r="G649" t="str">
        <f t="shared" si="48"/>
        <v/>
      </c>
    </row>
    <row r="650" spans="2:7" x14ac:dyDescent="0.25">
      <c r="B650" s="6"/>
      <c r="C650" s="7"/>
      <c r="D650" s="7"/>
      <c r="E650" s="8"/>
      <c r="F650" t="str">
        <f t="shared" si="47"/>
        <v/>
      </c>
      <c r="G650" t="str">
        <f t="shared" si="48"/>
        <v/>
      </c>
    </row>
    <row r="651" spans="2:7" x14ac:dyDescent="0.25">
      <c r="B651" s="6"/>
      <c r="C651" s="7"/>
      <c r="D651" s="7"/>
      <c r="E651" s="8"/>
      <c r="F651" t="str">
        <f t="shared" si="47"/>
        <v/>
      </c>
      <c r="G651" t="str">
        <f t="shared" si="48"/>
        <v/>
      </c>
    </row>
    <row r="652" spans="2:7" x14ac:dyDescent="0.25">
      <c r="B652" s="6"/>
      <c r="C652" s="7"/>
      <c r="D652" s="7"/>
      <c r="E652" s="8"/>
      <c r="F652" t="str">
        <f t="shared" si="47"/>
        <v/>
      </c>
      <c r="G652" t="str">
        <f t="shared" si="48"/>
        <v/>
      </c>
    </row>
    <row r="653" spans="2:7" x14ac:dyDescent="0.25">
      <c r="B653" s="6"/>
      <c r="C653" s="7"/>
      <c r="D653" s="7"/>
      <c r="E653" s="8"/>
      <c r="F653" t="str">
        <f t="shared" si="47"/>
        <v/>
      </c>
      <c r="G653" t="str">
        <f t="shared" si="48"/>
        <v/>
      </c>
    </row>
    <row r="654" spans="2:7" x14ac:dyDescent="0.25">
      <c r="B654" s="6"/>
      <c r="C654" s="7"/>
      <c r="D654" s="7"/>
      <c r="E654" s="8"/>
      <c r="F654" t="str">
        <f t="shared" si="47"/>
        <v/>
      </c>
      <c r="G654" t="str">
        <f t="shared" si="48"/>
        <v/>
      </c>
    </row>
    <row r="655" spans="2:7" x14ac:dyDescent="0.25">
      <c r="B655" s="6"/>
      <c r="C655" s="7"/>
      <c r="D655" s="7"/>
      <c r="E655" s="8"/>
      <c r="F655" t="str">
        <f t="shared" si="47"/>
        <v/>
      </c>
      <c r="G655" t="str">
        <f t="shared" si="48"/>
        <v/>
      </c>
    </row>
    <row r="656" spans="2:7" x14ac:dyDescent="0.25">
      <c r="B656" s="6"/>
      <c r="C656" s="7"/>
      <c r="D656" s="7"/>
      <c r="E656" s="8"/>
      <c r="F656" t="str">
        <f t="shared" si="47"/>
        <v/>
      </c>
      <c r="G656" t="str">
        <f t="shared" si="48"/>
        <v/>
      </c>
    </row>
    <row r="657" spans="2:7" x14ac:dyDescent="0.25">
      <c r="B657" s="6"/>
      <c r="C657" s="7"/>
      <c r="D657" s="7"/>
      <c r="E657" s="8"/>
      <c r="F657" t="str">
        <f t="shared" si="47"/>
        <v/>
      </c>
      <c r="G657" t="str">
        <f t="shared" si="48"/>
        <v/>
      </c>
    </row>
    <row r="658" spans="2:7" x14ac:dyDescent="0.25">
      <c r="B658" s="6"/>
      <c r="C658" s="7"/>
      <c r="D658" s="7"/>
      <c r="E658" s="8"/>
      <c r="F658" t="str">
        <f t="shared" si="47"/>
        <v/>
      </c>
      <c r="G658" t="str">
        <f t="shared" si="48"/>
        <v/>
      </c>
    </row>
    <row r="659" spans="2:7" x14ac:dyDescent="0.25">
      <c r="B659" s="6"/>
      <c r="C659" s="7"/>
      <c r="D659" s="7"/>
      <c r="E659" s="8"/>
      <c r="F659" t="str">
        <f t="shared" si="47"/>
        <v/>
      </c>
      <c r="G659" t="str">
        <f t="shared" si="48"/>
        <v/>
      </c>
    </row>
    <row r="660" spans="2:7" x14ac:dyDescent="0.25">
      <c r="B660" s="6"/>
      <c r="C660" s="7"/>
      <c r="D660" s="7"/>
      <c r="E660" s="8"/>
      <c r="F660" t="str">
        <f t="shared" si="47"/>
        <v/>
      </c>
      <c r="G660" t="str">
        <f t="shared" si="48"/>
        <v/>
      </c>
    </row>
    <row r="661" spans="2:7" x14ac:dyDescent="0.25">
      <c r="B661" s="6"/>
      <c r="C661" s="7"/>
      <c r="D661" s="7"/>
      <c r="E661" s="8"/>
      <c r="F661" t="str">
        <f t="shared" si="47"/>
        <v/>
      </c>
      <c r="G661" t="str">
        <f t="shared" si="48"/>
        <v/>
      </c>
    </row>
    <row r="662" spans="2:7" x14ac:dyDescent="0.25">
      <c r="B662" s="6"/>
      <c r="C662" s="7"/>
      <c r="D662" s="7"/>
      <c r="E662" s="8"/>
      <c r="F662" t="str">
        <f t="shared" si="47"/>
        <v/>
      </c>
      <c r="G662" t="str">
        <f t="shared" si="48"/>
        <v/>
      </c>
    </row>
    <row r="663" spans="2:7" x14ac:dyDescent="0.25">
      <c r="B663" s="6"/>
      <c r="C663" s="7"/>
      <c r="D663" s="7"/>
      <c r="E663" s="8"/>
      <c r="F663" t="str">
        <f t="shared" si="47"/>
        <v/>
      </c>
      <c r="G663" t="str">
        <f t="shared" si="48"/>
        <v/>
      </c>
    </row>
    <row r="664" spans="2:7" x14ac:dyDescent="0.25">
      <c r="B664" s="6"/>
      <c r="C664" s="7"/>
      <c r="D664" s="7"/>
      <c r="E664" s="8"/>
      <c r="F664" t="str">
        <f t="shared" si="47"/>
        <v/>
      </c>
      <c r="G664" t="str">
        <f t="shared" si="48"/>
        <v/>
      </c>
    </row>
    <row r="665" spans="2:7" x14ac:dyDescent="0.25">
      <c r="B665" s="6"/>
      <c r="C665" s="7"/>
      <c r="D665" s="7"/>
      <c r="E665" s="8"/>
      <c r="F665" t="str">
        <f t="shared" si="47"/>
        <v/>
      </c>
      <c r="G665" t="str">
        <f t="shared" si="48"/>
        <v/>
      </c>
    </row>
    <row r="666" spans="2:7" x14ac:dyDescent="0.25">
      <c r="B666" s="6"/>
      <c r="C666" s="7"/>
      <c r="D666" s="7"/>
      <c r="E666" s="8"/>
      <c r="F666" t="str">
        <f t="shared" si="47"/>
        <v/>
      </c>
      <c r="G666" t="str">
        <f t="shared" si="48"/>
        <v/>
      </c>
    </row>
    <row r="667" spans="2:7" x14ac:dyDescent="0.25">
      <c r="B667" s="6"/>
      <c r="C667" s="7"/>
      <c r="D667" s="7"/>
      <c r="E667" s="8"/>
      <c r="F667" t="str">
        <f t="shared" si="47"/>
        <v/>
      </c>
      <c r="G667" t="str">
        <f t="shared" si="48"/>
        <v/>
      </c>
    </row>
    <row r="668" spans="2:7" x14ac:dyDescent="0.25">
      <c r="B668" s="6"/>
      <c r="C668" s="7"/>
      <c r="D668" s="7"/>
      <c r="E668" s="8"/>
      <c r="F668" t="str">
        <f t="shared" si="47"/>
        <v/>
      </c>
      <c r="G668" t="str">
        <f t="shared" si="48"/>
        <v/>
      </c>
    </row>
    <row r="669" spans="2:7" x14ac:dyDescent="0.25">
      <c r="B669" s="6"/>
      <c r="C669" s="7"/>
      <c r="D669" s="7"/>
      <c r="E669" s="8"/>
      <c r="F669" t="str">
        <f t="shared" si="47"/>
        <v/>
      </c>
      <c r="G669" t="str">
        <f t="shared" si="48"/>
        <v/>
      </c>
    </row>
    <row r="670" spans="2:7" x14ac:dyDescent="0.25">
      <c r="B670" s="6"/>
      <c r="C670" s="7"/>
      <c r="D670" s="7"/>
      <c r="E670" s="8"/>
      <c r="F670" t="str">
        <f t="shared" si="47"/>
        <v/>
      </c>
      <c r="G670" t="str">
        <f t="shared" si="48"/>
        <v/>
      </c>
    </row>
    <row r="671" spans="2:7" x14ac:dyDescent="0.25">
      <c r="B671" s="6"/>
      <c r="C671" s="7"/>
      <c r="D671" s="7"/>
      <c r="E671" s="8"/>
      <c r="F671" t="str">
        <f t="shared" si="47"/>
        <v/>
      </c>
      <c r="G671" t="str">
        <f t="shared" si="48"/>
        <v/>
      </c>
    </row>
    <row r="672" spans="2:7" x14ac:dyDescent="0.25">
      <c r="B672" s="6"/>
      <c r="C672" s="7"/>
      <c r="D672" s="7"/>
      <c r="E672" s="8"/>
      <c r="F672" t="str">
        <f t="shared" si="47"/>
        <v/>
      </c>
      <c r="G672" t="str">
        <f t="shared" si="48"/>
        <v/>
      </c>
    </row>
    <row r="673" spans="2:7" x14ac:dyDescent="0.25">
      <c r="B673" s="6"/>
      <c r="C673" s="7"/>
      <c r="D673" s="7"/>
      <c r="E673" s="8"/>
      <c r="F673" t="str">
        <f t="shared" si="47"/>
        <v/>
      </c>
      <c r="G673" t="str">
        <f t="shared" si="48"/>
        <v/>
      </c>
    </row>
    <row r="674" spans="2:7" x14ac:dyDescent="0.25">
      <c r="B674" s="6"/>
      <c r="C674" s="7"/>
      <c r="D674" s="7"/>
      <c r="E674" s="8"/>
      <c r="F674" t="str">
        <f t="shared" si="47"/>
        <v/>
      </c>
      <c r="G674" t="str">
        <f t="shared" si="48"/>
        <v/>
      </c>
    </row>
    <row r="675" spans="2:7" x14ac:dyDescent="0.25">
      <c r="B675" s="6"/>
      <c r="C675" s="7"/>
      <c r="D675" s="7"/>
      <c r="E675" s="8"/>
      <c r="F675" t="str">
        <f t="shared" si="47"/>
        <v/>
      </c>
      <c r="G675" t="str">
        <f t="shared" si="48"/>
        <v/>
      </c>
    </row>
    <row r="676" spans="2:7" x14ac:dyDescent="0.25">
      <c r="B676" s="6"/>
      <c r="C676" s="7"/>
      <c r="D676" s="7"/>
      <c r="E676" s="8"/>
      <c r="F676" t="str">
        <f t="shared" si="47"/>
        <v/>
      </c>
      <c r="G676" t="str">
        <f t="shared" si="48"/>
        <v/>
      </c>
    </row>
    <row r="677" spans="2:7" x14ac:dyDescent="0.25">
      <c r="B677" s="6"/>
      <c r="C677" s="7"/>
      <c r="D677" s="7"/>
      <c r="E677" s="8"/>
      <c r="F677" t="str">
        <f t="shared" si="47"/>
        <v/>
      </c>
      <c r="G677" t="str">
        <f t="shared" si="48"/>
        <v/>
      </c>
    </row>
    <row r="678" spans="2:7" x14ac:dyDescent="0.25">
      <c r="B678" s="6"/>
      <c r="C678" s="7"/>
      <c r="D678" s="7"/>
      <c r="E678" s="8"/>
      <c r="F678" t="str">
        <f t="shared" si="47"/>
        <v/>
      </c>
      <c r="G678" t="str">
        <f t="shared" si="48"/>
        <v/>
      </c>
    </row>
    <row r="679" spans="2:7" x14ac:dyDescent="0.25">
      <c r="B679" s="6"/>
      <c r="C679" s="7"/>
      <c r="D679" s="7"/>
      <c r="E679" s="8"/>
      <c r="F679" t="str">
        <f t="shared" si="47"/>
        <v/>
      </c>
      <c r="G679" t="str">
        <f t="shared" si="48"/>
        <v/>
      </c>
    </row>
    <row r="680" spans="2:7" x14ac:dyDescent="0.25">
      <c r="B680" s="6"/>
      <c r="C680" s="7"/>
      <c r="D680" s="7"/>
      <c r="E680" s="8"/>
      <c r="F680" t="str">
        <f t="shared" si="47"/>
        <v/>
      </c>
      <c r="G680" t="str">
        <f t="shared" si="48"/>
        <v/>
      </c>
    </row>
    <row r="681" spans="2:7" x14ac:dyDescent="0.25">
      <c r="B681" s="6"/>
      <c r="C681" s="7"/>
      <c r="D681" s="7"/>
      <c r="E681" s="8"/>
      <c r="F681" t="str">
        <f t="shared" si="47"/>
        <v/>
      </c>
      <c r="G681" t="str">
        <f t="shared" si="48"/>
        <v/>
      </c>
    </row>
    <row r="682" spans="2:7" x14ac:dyDescent="0.25">
      <c r="B682" s="6"/>
      <c r="C682" s="7"/>
      <c r="D682" s="7"/>
      <c r="E682" s="8"/>
      <c r="F682" t="str">
        <f t="shared" si="47"/>
        <v/>
      </c>
      <c r="G682" t="str">
        <f t="shared" si="48"/>
        <v/>
      </c>
    </row>
    <row r="683" spans="2:7" x14ac:dyDescent="0.25">
      <c r="B683" s="6"/>
      <c r="C683" s="7"/>
      <c r="D683" s="7"/>
      <c r="E683" s="8"/>
      <c r="F683" t="str">
        <f t="shared" si="47"/>
        <v/>
      </c>
      <c r="G683" t="str">
        <f t="shared" si="48"/>
        <v/>
      </c>
    </row>
    <row r="684" spans="2:7" x14ac:dyDescent="0.25">
      <c r="B684" s="6"/>
      <c r="C684" s="7"/>
      <c r="D684" s="7"/>
      <c r="E684" s="8"/>
      <c r="F684" t="str">
        <f t="shared" si="47"/>
        <v/>
      </c>
      <c r="G684" t="str">
        <f t="shared" si="48"/>
        <v/>
      </c>
    </row>
    <row r="685" spans="2:7" x14ac:dyDescent="0.25">
      <c r="B685" s="6"/>
      <c r="C685" s="7"/>
      <c r="D685" s="7"/>
      <c r="E685" s="8"/>
      <c r="F685" t="str">
        <f t="shared" si="47"/>
        <v/>
      </c>
      <c r="G685" t="str">
        <f t="shared" si="48"/>
        <v/>
      </c>
    </row>
    <row r="686" spans="2:7" x14ac:dyDescent="0.25">
      <c r="B686" s="6"/>
      <c r="C686" s="7"/>
      <c r="D686" s="7"/>
      <c r="E686" s="8"/>
      <c r="F686" t="str">
        <f t="shared" si="47"/>
        <v/>
      </c>
      <c r="G686" t="str">
        <f t="shared" si="48"/>
        <v/>
      </c>
    </row>
    <row r="687" spans="2:7" x14ac:dyDescent="0.25">
      <c r="B687" s="6"/>
      <c r="C687" s="7"/>
      <c r="D687" s="7"/>
      <c r="E687" s="8"/>
      <c r="F687" t="str">
        <f t="shared" si="47"/>
        <v/>
      </c>
      <c r="G687" t="str">
        <f t="shared" si="48"/>
        <v/>
      </c>
    </row>
    <row r="688" spans="2:7" x14ac:dyDescent="0.25">
      <c r="B688" s="6"/>
      <c r="C688" s="7"/>
      <c r="D688" s="7"/>
      <c r="E688" s="8"/>
      <c r="F688" t="str">
        <f t="shared" si="47"/>
        <v/>
      </c>
      <c r="G688" t="str">
        <f t="shared" si="48"/>
        <v/>
      </c>
    </row>
    <row r="689" spans="2:7" x14ac:dyDescent="0.25">
      <c r="B689" s="6"/>
      <c r="C689" s="7"/>
      <c r="D689" s="7"/>
      <c r="E689" s="8"/>
      <c r="F689" t="str">
        <f t="shared" si="47"/>
        <v/>
      </c>
      <c r="G689" t="str">
        <f t="shared" si="48"/>
        <v/>
      </c>
    </row>
    <row r="690" spans="2:7" x14ac:dyDescent="0.25">
      <c r="B690" s="6"/>
      <c r="C690" s="7"/>
      <c r="D690" s="7"/>
      <c r="E690" s="8"/>
      <c r="F690" t="str">
        <f t="shared" si="47"/>
        <v/>
      </c>
      <c r="G690" t="str">
        <f t="shared" si="48"/>
        <v/>
      </c>
    </row>
    <row r="691" spans="2:7" x14ac:dyDescent="0.25">
      <c r="B691" s="6"/>
      <c r="C691" s="7"/>
      <c r="D691" s="7"/>
      <c r="E691" s="8"/>
      <c r="F691" t="str">
        <f t="shared" si="47"/>
        <v/>
      </c>
      <c r="G691" t="str">
        <f t="shared" si="48"/>
        <v/>
      </c>
    </row>
    <row r="692" spans="2:7" x14ac:dyDescent="0.25">
      <c r="B692" s="6"/>
      <c r="C692" s="7"/>
      <c r="D692" s="7"/>
      <c r="E692" s="8"/>
      <c r="F692" t="str">
        <f t="shared" si="47"/>
        <v/>
      </c>
      <c r="G692" t="str">
        <f t="shared" si="48"/>
        <v/>
      </c>
    </row>
    <row r="693" spans="2:7" x14ac:dyDescent="0.25">
      <c r="B693" s="6"/>
      <c r="C693" s="7"/>
      <c r="D693" s="7"/>
      <c r="E693" s="8"/>
      <c r="F693" t="str">
        <f t="shared" si="47"/>
        <v/>
      </c>
      <c r="G693" t="str">
        <f t="shared" si="48"/>
        <v/>
      </c>
    </row>
    <row r="694" spans="2:7" x14ac:dyDescent="0.25">
      <c r="B694" s="6"/>
      <c r="C694" s="7"/>
      <c r="D694" s="7"/>
      <c r="E694" s="8"/>
      <c r="F694" t="str">
        <f t="shared" si="47"/>
        <v/>
      </c>
      <c r="G694" t="str">
        <f t="shared" si="48"/>
        <v/>
      </c>
    </row>
    <row r="695" spans="2:7" x14ac:dyDescent="0.25">
      <c r="B695" s="6"/>
      <c r="C695" s="7"/>
      <c r="D695" s="7"/>
      <c r="E695" s="8"/>
      <c r="F695" t="str">
        <f t="shared" si="47"/>
        <v/>
      </c>
      <c r="G695" t="str">
        <f t="shared" si="48"/>
        <v/>
      </c>
    </row>
    <row r="696" spans="2:7" x14ac:dyDescent="0.25">
      <c r="B696" s="6"/>
      <c r="C696" s="7"/>
      <c r="D696" s="7"/>
      <c r="E696" s="8"/>
      <c r="F696" t="str">
        <f t="shared" si="47"/>
        <v/>
      </c>
      <c r="G696" t="str">
        <f t="shared" si="48"/>
        <v/>
      </c>
    </row>
    <row r="697" spans="2:7" x14ac:dyDescent="0.25">
      <c r="B697" s="6"/>
      <c r="C697" s="7"/>
      <c r="D697" s="7"/>
      <c r="E697" s="8"/>
      <c r="F697" t="str">
        <f t="shared" si="47"/>
        <v/>
      </c>
      <c r="G697" t="str">
        <f t="shared" si="48"/>
        <v/>
      </c>
    </row>
    <row r="698" spans="2:7" x14ac:dyDescent="0.25">
      <c r="B698" s="6"/>
      <c r="C698" s="7"/>
      <c r="D698" s="7"/>
      <c r="E698" s="8"/>
      <c r="F698" t="str">
        <f t="shared" si="47"/>
        <v/>
      </c>
      <c r="G698" t="str">
        <f t="shared" si="48"/>
        <v/>
      </c>
    </row>
    <row r="699" spans="2:7" x14ac:dyDescent="0.25">
      <c r="B699" s="6"/>
      <c r="C699" s="7"/>
      <c r="D699" s="7"/>
      <c r="E699" s="8"/>
      <c r="F699" t="str">
        <f t="shared" si="47"/>
        <v/>
      </c>
      <c r="G699" t="str">
        <f t="shared" si="48"/>
        <v/>
      </c>
    </row>
    <row r="700" spans="2:7" x14ac:dyDescent="0.25">
      <c r="B700" s="6"/>
      <c r="C700" s="7"/>
      <c r="D700" s="7"/>
      <c r="E700" s="8"/>
      <c r="F700" t="str">
        <f t="shared" si="47"/>
        <v/>
      </c>
      <c r="G700" t="str">
        <f t="shared" si="48"/>
        <v/>
      </c>
    </row>
    <row r="701" spans="2:7" x14ac:dyDescent="0.25">
      <c r="B701" s="6"/>
      <c r="C701" s="7"/>
      <c r="D701" s="7"/>
      <c r="E701" s="8"/>
      <c r="F701" t="str">
        <f t="shared" si="47"/>
        <v/>
      </c>
      <c r="G701" t="str">
        <f t="shared" si="48"/>
        <v/>
      </c>
    </row>
    <row r="702" spans="2:7" x14ac:dyDescent="0.25">
      <c r="B702" s="6"/>
      <c r="C702" s="7"/>
      <c r="D702" s="7"/>
      <c r="E702" s="8"/>
      <c r="F702" t="str">
        <f t="shared" si="47"/>
        <v/>
      </c>
      <c r="G702" t="str">
        <f t="shared" si="48"/>
        <v/>
      </c>
    </row>
    <row r="703" spans="2:7" x14ac:dyDescent="0.25">
      <c r="B703" s="6"/>
      <c r="C703" s="7"/>
      <c r="D703" s="7"/>
      <c r="E703" s="8"/>
      <c r="F703" t="str">
        <f t="shared" si="47"/>
        <v/>
      </c>
      <c r="G703" t="str">
        <f t="shared" si="48"/>
        <v/>
      </c>
    </row>
    <row r="704" spans="2:7" x14ac:dyDescent="0.25">
      <c r="B704" s="6"/>
      <c r="C704" s="7"/>
      <c r="D704" s="7"/>
      <c r="E704" s="8"/>
      <c r="F704" t="str">
        <f t="shared" si="47"/>
        <v/>
      </c>
      <c r="G704" t="str">
        <f t="shared" si="48"/>
        <v/>
      </c>
    </row>
    <row r="705" spans="2:7" x14ac:dyDescent="0.25">
      <c r="B705" s="6"/>
      <c r="C705" s="7"/>
      <c r="D705" s="7"/>
      <c r="E705" s="8"/>
      <c r="F705" t="str">
        <f t="shared" si="47"/>
        <v/>
      </c>
      <c r="G705" t="str">
        <f t="shared" si="48"/>
        <v/>
      </c>
    </row>
    <row r="706" spans="2:7" x14ac:dyDescent="0.25">
      <c r="B706" s="6"/>
      <c r="C706" s="7"/>
      <c r="D706" s="7"/>
      <c r="E706" s="8"/>
      <c r="F706" t="str">
        <f t="shared" si="47"/>
        <v/>
      </c>
      <c r="G706" t="str">
        <f t="shared" si="48"/>
        <v/>
      </c>
    </row>
    <row r="707" spans="2:7" x14ac:dyDescent="0.25">
      <c r="B707" s="6"/>
      <c r="C707" s="7"/>
      <c r="D707" s="7"/>
      <c r="E707" s="8"/>
      <c r="F707" t="str">
        <f t="shared" si="47"/>
        <v/>
      </c>
      <c r="G707" t="str">
        <f t="shared" si="48"/>
        <v/>
      </c>
    </row>
    <row r="708" spans="2:7" x14ac:dyDescent="0.25">
      <c r="B708" s="6"/>
      <c r="C708" s="7"/>
      <c r="D708" s="7"/>
      <c r="E708" s="8"/>
      <c r="F708" t="str">
        <f t="shared" ref="F708:F771" si="49">IF(B708="","",LOG10(D708))</f>
        <v/>
      </c>
      <c r="G708" t="str">
        <f t="shared" ref="G708:G771" si="50">IF(E708="", "",0.434*E708/D708)</f>
        <v/>
      </c>
    </row>
    <row r="709" spans="2:7" x14ac:dyDescent="0.25">
      <c r="B709" s="6"/>
      <c r="C709" s="7"/>
      <c r="D709" s="7"/>
      <c r="E709" s="8"/>
      <c r="F709" t="str">
        <f t="shared" si="49"/>
        <v/>
      </c>
      <c r="G709" t="str">
        <f t="shared" si="50"/>
        <v/>
      </c>
    </row>
    <row r="710" spans="2:7" x14ac:dyDescent="0.25">
      <c r="B710" s="6"/>
      <c r="C710" s="7"/>
      <c r="D710" s="7"/>
      <c r="E710" s="8"/>
      <c r="F710" t="str">
        <f t="shared" si="49"/>
        <v/>
      </c>
      <c r="G710" t="str">
        <f t="shared" si="50"/>
        <v/>
      </c>
    </row>
    <row r="711" spans="2:7" x14ac:dyDescent="0.25">
      <c r="B711" s="6"/>
      <c r="C711" s="7"/>
      <c r="D711" s="7"/>
      <c r="E711" s="8"/>
      <c r="F711" t="str">
        <f t="shared" si="49"/>
        <v/>
      </c>
      <c r="G711" t="str">
        <f t="shared" si="50"/>
        <v/>
      </c>
    </row>
    <row r="712" spans="2:7" x14ac:dyDescent="0.25">
      <c r="B712" s="6"/>
      <c r="C712" s="7"/>
      <c r="D712" s="7"/>
      <c r="E712" s="8"/>
      <c r="F712" t="str">
        <f t="shared" si="49"/>
        <v/>
      </c>
      <c r="G712" t="str">
        <f t="shared" si="50"/>
        <v/>
      </c>
    </row>
    <row r="713" spans="2:7" x14ac:dyDescent="0.25">
      <c r="B713" s="6"/>
      <c r="C713" s="7"/>
      <c r="D713" s="7"/>
      <c r="E713" s="8"/>
      <c r="F713" t="str">
        <f t="shared" si="49"/>
        <v/>
      </c>
      <c r="G713" t="str">
        <f t="shared" si="50"/>
        <v/>
      </c>
    </row>
    <row r="714" spans="2:7" x14ac:dyDescent="0.25">
      <c r="B714" s="6"/>
      <c r="C714" s="7"/>
      <c r="D714" s="7"/>
      <c r="E714" s="8"/>
      <c r="F714" t="str">
        <f t="shared" si="49"/>
        <v/>
      </c>
      <c r="G714" t="str">
        <f t="shared" si="50"/>
        <v/>
      </c>
    </row>
    <row r="715" spans="2:7" x14ac:dyDescent="0.25">
      <c r="B715" s="6"/>
      <c r="C715" s="7"/>
      <c r="D715" s="7"/>
      <c r="E715" s="8"/>
      <c r="F715" t="str">
        <f t="shared" si="49"/>
        <v/>
      </c>
      <c r="G715" t="str">
        <f t="shared" si="50"/>
        <v/>
      </c>
    </row>
    <row r="716" spans="2:7" x14ac:dyDescent="0.25">
      <c r="B716" s="6"/>
      <c r="C716" s="7"/>
      <c r="D716" s="7"/>
      <c r="E716" s="8"/>
      <c r="F716" t="str">
        <f t="shared" si="49"/>
        <v/>
      </c>
      <c r="G716" t="str">
        <f t="shared" si="50"/>
        <v/>
      </c>
    </row>
    <row r="717" spans="2:7" x14ac:dyDescent="0.25">
      <c r="B717" s="6"/>
      <c r="C717" s="7"/>
      <c r="D717" s="7"/>
      <c r="E717" s="8"/>
      <c r="F717" t="str">
        <f t="shared" si="49"/>
        <v/>
      </c>
      <c r="G717" t="str">
        <f t="shared" si="50"/>
        <v/>
      </c>
    </row>
    <row r="718" spans="2:7" x14ac:dyDescent="0.25">
      <c r="B718" s="6"/>
      <c r="C718" s="7"/>
      <c r="D718" s="7"/>
      <c r="E718" s="8"/>
      <c r="F718" t="str">
        <f t="shared" si="49"/>
        <v/>
      </c>
      <c r="G718" t="str">
        <f t="shared" si="50"/>
        <v/>
      </c>
    </row>
    <row r="719" spans="2:7" x14ac:dyDescent="0.25">
      <c r="B719" s="6"/>
      <c r="C719" s="7"/>
      <c r="D719" s="7"/>
      <c r="E719" s="8"/>
      <c r="F719" t="str">
        <f t="shared" si="49"/>
        <v/>
      </c>
      <c r="G719" t="str">
        <f t="shared" si="50"/>
        <v/>
      </c>
    </row>
    <row r="720" spans="2:7" x14ac:dyDescent="0.25">
      <c r="B720" s="6"/>
      <c r="C720" s="7"/>
      <c r="D720" s="7"/>
      <c r="E720" s="8"/>
      <c r="F720" t="str">
        <f t="shared" si="49"/>
        <v/>
      </c>
      <c r="G720" t="str">
        <f t="shared" si="50"/>
        <v/>
      </c>
    </row>
    <row r="721" spans="2:7" x14ac:dyDescent="0.25">
      <c r="B721" s="6"/>
      <c r="C721" s="7"/>
      <c r="D721" s="7"/>
      <c r="E721" s="8"/>
      <c r="F721" t="str">
        <f t="shared" si="49"/>
        <v/>
      </c>
      <c r="G721" t="str">
        <f t="shared" si="50"/>
        <v/>
      </c>
    </row>
    <row r="722" spans="2:7" x14ac:dyDescent="0.25">
      <c r="B722" s="6"/>
      <c r="C722" s="7"/>
      <c r="D722" s="7"/>
      <c r="E722" s="8"/>
      <c r="F722" t="str">
        <f t="shared" si="49"/>
        <v/>
      </c>
      <c r="G722" t="str">
        <f t="shared" si="50"/>
        <v/>
      </c>
    </row>
    <row r="723" spans="2:7" x14ac:dyDescent="0.25">
      <c r="B723" s="6"/>
      <c r="C723" s="7"/>
      <c r="D723" s="7"/>
      <c r="E723" s="8"/>
      <c r="F723" t="str">
        <f t="shared" si="49"/>
        <v/>
      </c>
      <c r="G723" t="str">
        <f t="shared" si="50"/>
        <v/>
      </c>
    </row>
    <row r="724" spans="2:7" x14ac:dyDescent="0.25">
      <c r="B724" s="6"/>
      <c r="C724" s="7"/>
      <c r="D724" s="7"/>
      <c r="E724" s="8"/>
      <c r="F724" t="str">
        <f t="shared" si="49"/>
        <v/>
      </c>
      <c r="G724" t="str">
        <f t="shared" si="50"/>
        <v/>
      </c>
    </row>
    <row r="725" spans="2:7" x14ac:dyDescent="0.25">
      <c r="B725" s="6"/>
      <c r="C725" s="7"/>
      <c r="D725" s="7"/>
      <c r="E725" s="8"/>
      <c r="F725" t="str">
        <f t="shared" si="49"/>
        <v/>
      </c>
      <c r="G725" t="str">
        <f t="shared" si="50"/>
        <v/>
      </c>
    </row>
    <row r="726" spans="2:7" x14ac:dyDescent="0.25">
      <c r="B726" s="6"/>
      <c r="C726" s="7"/>
      <c r="D726" s="7"/>
      <c r="E726" s="8"/>
      <c r="F726" t="str">
        <f t="shared" si="49"/>
        <v/>
      </c>
      <c r="G726" t="str">
        <f t="shared" si="50"/>
        <v/>
      </c>
    </row>
    <row r="727" spans="2:7" x14ac:dyDescent="0.25">
      <c r="B727" s="6"/>
      <c r="C727" s="7"/>
      <c r="D727" s="7"/>
      <c r="E727" s="8"/>
      <c r="F727" t="str">
        <f t="shared" si="49"/>
        <v/>
      </c>
      <c r="G727" t="str">
        <f t="shared" si="50"/>
        <v/>
      </c>
    </row>
    <row r="728" spans="2:7" x14ac:dyDescent="0.25">
      <c r="B728" s="6"/>
      <c r="C728" s="7"/>
      <c r="D728" s="7"/>
      <c r="E728" s="8"/>
      <c r="F728" t="str">
        <f t="shared" si="49"/>
        <v/>
      </c>
      <c r="G728" t="str">
        <f t="shared" si="50"/>
        <v/>
      </c>
    </row>
    <row r="729" spans="2:7" x14ac:dyDescent="0.25">
      <c r="B729" s="6"/>
      <c r="C729" s="7"/>
      <c r="D729" s="7"/>
      <c r="E729" s="8"/>
      <c r="F729" t="str">
        <f t="shared" si="49"/>
        <v/>
      </c>
      <c r="G729" t="str">
        <f t="shared" si="50"/>
        <v/>
      </c>
    </row>
    <row r="730" spans="2:7" x14ac:dyDescent="0.25">
      <c r="B730" s="6"/>
      <c r="C730" s="7"/>
      <c r="D730" s="7"/>
      <c r="E730" s="8"/>
      <c r="F730" t="str">
        <f t="shared" si="49"/>
        <v/>
      </c>
      <c r="G730" t="str">
        <f t="shared" si="50"/>
        <v/>
      </c>
    </row>
    <row r="731" spans="2:7" x14ac:dyDescent="0.25">
      <c r="B731" s="6"/>
      <c r="C731" s="7"/>
      <c r="D731" s="7"/>
      <c r="E731" s="8"/>
      <c r="F731" t="str">
        <f t="shared" si="49"/>
        <v/>
      </c>
      <c r="G731" t="str">
        <f t="shared" si="50"/>
        <v/>
      </c>
    </row>
    <row r="732" spans="2:7" x14ac:dyDescent="0.25">
      <c r="B732" s="6"/>
      <c r="C732" s="7"/>
      <c r="D732" s="7"/>
      <c r="E732" s="8"/>
      <c r="F732" t="str">
        <f t="shared" si="49"/>
        <v/>
      </c>
      <c r="G732" t="str">
        <f t="shared" si="50"/>
        <v/>
      </c>
    </row>
    <row r="733" spans="2:7" x14ac:dyDescent="0.25">
      <c r="B733" s="6"/>
      <c r="C733" s="7"/>
      <c r="D733" s="7"/>
      <c r="E733" s="8"/>
      <c r="F733" t="str">
        <f t="shared" si="49"/>
        <v/>
      </c>
      <c r="G733" t="str">
        <f t="shared" si="50"/>
        <v/>
      </c>
    </row>
    <row r="734" spans="2:7" x14ac:dyDescent="0.25">
      <c r="B734" s="6"/>
      <c r="C734" s="7"/>
      <c r="D734" s="7"/>
      <c r="E734" s="8"/>
      <c r="F734" t="str">
        <f t="shared" si="49"/>
        <v/>
      </c>
      <c r="G734" t="str">
        <f t="shared" si="50"/>
        <v/>
      </c>
    </row>
    <row r="735" spans="2:7" x14ac:dyDescent="0.25">
      <c r="B735" s="6"/>
      <c r="C735" s="7"/>
      <c r="D735" s="7"/>
      <c r="E735" s="8"/>
      <c r="F735" t="str">
        <f t="shared" si="49"/>
        <v/>
      </c>
      <c r="G735" t="str">
        <f t="shared" si="50"/>
        <v/>
      </c>
    </row>
    <row r="736" spans="2:7" x14ac:dyDescent="0.25">
      <c r="B736" s="6"/>
      <c r="C736" s="7"/>
      <c r="D736" s="7"/>
      <c r="E736" s="8"/>
      <c r="F736" t="str">
        <f t="shared" si="49"/>
        <v/>
      </c>
      <c r="G736" t="str">
        <f t="shared" si="50"/>
        <v/>
      </c>
    </row>
    <row r="737" spans="2:7" x14ac:dyDescent="0.25">
      <c r="B737" s="6"/>
      <c r="C737" s="7"/>
      <c r="D737" s="7"/>
      <c r="E737" s="8"/>
      <c r="F737" t="str">
        <f t="shared" si="49"/>
        <v/>
      </c>
      <c r="G737" t="str">
        <f t="shared" si="50"/>
        <v/>
      </c>
    </row>
    <row r="738" spans="2:7" x14ac:dyDescent="0.25">
      <c r="B738" s="6"/>
      <c r="C738" s="7"/>
      <c r="D738" s="7"/>
      <c r="E738" s="8"/>
      <c r="F738" t="str">
        <f t="shared" si="49"/>
        <v/>
      </c>
      <c r="G738" t="str">
        <f t="shared" si="50"/>
        <v/>
      </c>
    </row>
    <row r="739" spans="2:7" x14ac:dyDescent="0.25">
      <c r="B739" s="6"/>
      <c r="C739" s="7"/>
      <c r="D739" s="7"/>
      <c r="E739" s="8"/>
      <c r="F739" t="str">
        <f t="shared" si="49"/>
        <v/>
      </c>
      <c r="G739" t="str">
        <f t="shared" si="50"/>
        <v/>
      </c>
    </row>
    <row r="740" spans="2:7" x14ac:dyDescent="0.25">
      <c r="B740" s="6"/>
      <c r="C740" s="7"/>
      <c r="D740" s="7"/>
      <c r="E740" s="8"/>
      <c r="F740" t="str">
        <f t="shared" si="49"/>
        <v/>
      </c>
      <c r="G740" t="str">
        <f t="shared" si="50"/>
        <v/>
      </c>
    </row>
    <row r="741" spans="2:7" x14ac:dyDescent="0.25">
      <c r="B741" s="6"/>
      <c r="C741" s="7"/>
      <c r="D741" s="7"/>
      <c r="E741" s="8"/>
      <c r="F741" t="str">
        <f t="shared" si="49"/>
        <v/>
      </c>
      <c r="G741" t="str">
        <f t="shared" si="50"/>
        <v/>
      </c>
    </row>
    <row r="742" spans="2:7" x14ac:dyDescent="0.25">
      <c r="B742" s="6"/>
      <c r="C742" s="7"/>
      <c r="D742" s="7"/>
      <c r="E742" s="8"/>
      <c r="F742" t="str">
        <f t="shared" si="49"/>
        <v/>
      </c>
      <c r="G742" t="str">
        <f t="shared" si="50"/>
        <v/>
      </c>
    </row>
    <row r="743" spans="2:7" x14ac:dyDescent="0.25">
      <c r="B743" s="6"/>
      <c r="C743" s="7"/>
      <c r="D743" s="7"/>
      <c r="E743" s="8"/>
      <c r="F743" t="str">
        <f t="shared" si="49"/>
        <v/>
      </c>
      <c r="G743" t="str">
        <f t="shared" si="50"/>
        <v/>
      </c>
    </row>
    <row r="744" spans="2:7" x14ac:dyDescent="0.25">
      <c r="B744" s="6"/>
      <c r="C744" s="7"/>
      <c r="D744" s="7"/>
      <c r="E744" s="8"/>
      <c r="F744" t="str">
        <f t="shared" si="49"/>
        <v/>
      </c>
      <c r="G744" t="str">
        <f t="shared" si="50"/>
        <v/>
      </c>
    </row>
    <row r="745" spans="2:7" x14ac:dyDescent="0.25">
      <c r="B745" s="6"/>
      <c r="C745" s="7"/>
      <c r="D745" s="7"/>
      <c r="E745" s="8"/>
      <c r="F745" t="str">
        <f t="shared" si="49"/>
        <v/>
      </c>
      <c r="G745" t="str">
        <f t="shared" si="50"/>
        <v/>
      </c>
    </row>
    <row r="746" spans="2:7" x14ac:dyDescent="0.25">
      <c r="B746" s="6"/>
      <c r="C746" s="7"/>
      <c r="D746" s="7"/>
      <c r="E746" s="8"/>
      <c r="F746" t="str">
        <f t="shared" si="49"/>
        <v/>
      </c>
      <c r="G746" t="str">
        <f t="shared" si="50"/>
        <v/>
      </c>
    </row>
    <row r="747" spans="2:7" x14ac:dyDescent="0.25">
      <c r="B747" s="6"/>
      <c r="C747" s="7"/>
      <c r="D747" s="7"/>
      <c r="E747" s="8"/>
      <c r="F747" t="str">
        <f t="shared" si="49"/>
        <v/>
      </c>
      <c r="G747" t="str">
        <f t="shared" si="50"/>
        <v/>
      </c>
    </row>
    <row r="748" spans="2:7" x14ac:dyDescent="0.25">
      <c r="B748" s="6"/>
      <c r="C748" s="7"/>
      <c r="D748" s="7"/>
      <c r="E748" s="8"/>
      <c r="F748" t="str">
        <f t="shared" si="49"/>
        <v/>
      </c>
      <c r="G748" t="str">
        <f t="shared" si="50"/>
        <v/>
      </c>
    </row>
    <row r="749" spans="2:7" x14ac:dyDescent="0.25">
      <c r="B749" s="6"/>
      <c r="C749" s="7"/>
      <c r="D749" s="7"/>
      <c r="E749" s="8"/>
      <c r="F749" t="str">
        <f t="shared" si="49"/>
        <v/>
      </c>
      <c r="G749" t="str">
        <f t="shared" si="50"/>
        <v/>
      </c>
    </row>
    <row r="750" spans="2:7" x14ac:dyDescent="0.25">
      <c r="B750" s="6"/>
      <c r="C750" s="7"/>
      <c r="D750" s="7"/>
      <c r="E750" s="8"/>
      <c r="F750" t="str">
        <f t="shared" si="49"/>
        <v/>
      </c>
      <c r="G750" t="str">
        <f t="shared" si="50"/>
        <v/>
      </c>
    </row>
    <row r="751" spans="2:7" x14ac:dyDescent="0.25">
      <c r="B751" s="6"/>
      <c r="C751" s="7"/>
      <c r="D751" s="7"/>
      <c r="E751" s="8"/>
      <c r="F751" t="str">
        <f t="shared" si="49"/>
        <v/>
      </c>
      <c r="G751" t="str">
        <f t="shared" si="50"/>
        <v/>
      </c>
    </row>
    <row r="752" spans="2:7" x14ac:dyDescent="0.25">
      <c r="B752" s="6"/>
      <c r="C752" s="7"/>
      <c r="D752" s="7"/>
      <c r="E752" s="8"/>
      <c r="F752" t="str">
        <f t="shared" si="49"/>
        <v/>
      </c>
      <c r="G752" t="str">
        <f t="shared" si="50"/>
        <v/>
      </c>
    </row>
    <row r="753" spans="2:7" x14ac:dyDescent="0.25">
      <c r="B753" s="6"/>
      <c r="C753" s="7"/>
      <c r="D753" s="7"/>
      <c r="E753" s="8"/>
      <c r="F753" t="str">
        <f t="shared" si="49"/>
        <v/>
      </c>
      <c r="G753" t="str">
        <f t="shared" si="50"/>
        <v/>
      </c>
    </row>
    <row r="754" spans="2:7" x14ac:dyDescent="0.25">
      <c r="B754" s="6"/>
      <c r="C754" s="7"/>
      <c r="D754" s="7"/>
      <c r="E754" s="8"/>
      <c r="F754" t="str">
        <f t="shared" si="49"/>
        <v/>
      </c>
      <c r="G754" t="str">
        <f t="shared" si="50"/>
        <v/>
      </c>
    </row>
    <row r="755" spans="2:7" x14ac:dyDescent="0.25">
      <c r="B755" s="6"/>
      <c r="C755" s="7"/>
      <c r="D755" s="7"/>
      <c r="E755" s="8"/>
      <c r="F755" t="str">
        <f t="shared" si="49"/>
        <v/>
      </c>
      <c r="G755" t="str">
        <f t="shared" si="50"/>
        <v/>
      </c>
    </row>
    <row r="756" spans="2:7" x14ac:dyDescent="0.25">
      <c r="B756" s="6"/>
      <c r="C756" s="7"/>
      <c r="D756" s="7"/>
      <c r="E756" s="8"/>
      <c r="F756" t="str">
        <f t="shared" si="49"/>
        <v/>
      </c>
      <c r="G756" t="str">
        <f t="shared" si="50"/>
        <v/>
      </c>
    </row>
    <row r="757" spans="2:7" x14ac:dyDescent="0.25">
      <c r="B757" s="6"/>
      <c r="C757" s="7"/>
      <c r="D757" s="7"/>
      <c r="E757" s="8"/>
      <c r="F757" t="str">
        <f t="shared" si="49"/>
        <v/>
      </c>
      <c r="G757" t="str">
        <f t="shared" si="50"/>
        <v/>
      </c>
    </row>
    <row r="758" spans="2:7" x14ac:dyDescent="0.25">
      <c r="B758" s="6"/>
      <c r="C758" s="7"/>
      <c r="D758" s="7"/>
      <c r="E758" s="8"/>
      <c r="F758" t="str">
        <f t="shared" si="49"/>
        <v/>
      </c>
      <c r="G758" t="str">
        <f t="shared" si="50"/>
        <v/>
      </c>
    </row>
    <row r="759" spans="2:7" x14ac:dyDescent="0.25">
      <c r="B759" s="6"/>
      <c r="C759" s="7"/>
      <c r="D759" s="7"/>
      <c r="E759" s="8"/>
      <c r="F759" t="str">
        <f t="shared" si="49"/>
        <v/>
      </c>
      <c r="G759" t="str">
        <f t="shared" si="50"/>
        <v/>
      </c>
    </row>
    <row r="760" spans="2:7" x14ac:dyDescent="0.25">
      <c r="B760" s="6"/>
      <c r="C760" s="7"/>
      <c r="D760" s="7"/>
      <c r="E760" s="8"/>
      <c r="F760" t="str">
        <f t="shared" si="49"/>
        <v/>
      </c>
      <c r="G760" t="str">
        <f t="shared" si="50"/>
        <v/>
      </c>
    </row>
    <row r="761" spans="2:7" x14ac:dyDescent="0.25">
      <c r="B761" s="6"/>
      <c r="C761" s="7"/>
      <c r="D761" s="7"/>
      <c r="E761" s="8"/>
      <c r="F761" t="str">
        <f t="shared" si="49"/>
        <v/>
      </c>
      <c r="G761" t="str">
        <f t="shared" si="50"/>
        <v/>
      </c>
    </row>
    <row r="762" spans="2:7" x14ac:dyDescent="0.25">
      <c r="B762" s="6"/>
      <c r="C762" s="7"/>
      <c r="D762" s="7"/>
      <c r="E762" s="8"/>
      <c r="F762" t="str">
        <f t="shared" si="49"/>
        <v/>
      </c>
      <c r="G762" t="str">
        <f t="shared" si="50"/>
        <v/>
      </c>
    </row>
    <row r="763" spans="2:7" x14ac:dyDescent="0.25">
      <c r="B763" s="6"/>
      <c r="C763" s="7"/>
      <c r="D763" s="7"/>
      <c r="E763" s="8"/>
      <c r="F763" t="str">
        <f t="shared" si="49"/>
        <v/>
      </c>
      <c r="G763" t="str">
        <f t="shared" si="50"/>
        <v/>
      </c>
    </row>
    <row r="764" spans="2:7" x14ac:dyDescent="0.25">
      <c r="B764" s="6"/>
      <c r="C764" s="7"/>
      <c r="D764" s="7"/>
      <c r="E764" s="8"/>
      <c r="F764" t="str">
        <f t="shared" si="49"/>
        <v/>
      </c>
      <c r="G764" t="str">
        <f t="shared" si="50"/>
        <v/>
      </c>
    </row>
    <row r="765" spans="2:7" x14ac:dyDescent="0.25">
      <c r="B765" s="6"/>
      <c r="C765" s="7"/>
      <c r="D765" s="7"/>
      <c r="E765" s="8"/>
      <c r="F765" t="str">
        <f t="shared" si="49"/>
        <v/>
      </c>
      <c r="G765" t="str">
        <f t="shared" si="50"/>
        <v/>
      </c>
    </row>
    <row r="766" spans="2:7" x14ac:dyDescent="0.25">
      <c r="B766" s="6"/>
      <c r="C766" s="7"/>
      <c r="D766" s="7"/>
      <c r="E766" s="8"/>
      <c r="F766" t="str">
        <f t="shared" si="49"/>
        <v/>
      </c>
      <c r="G766" t="str">
        <f t="shared" si="50"/>
        <v/>
      </c>
    </row>
    <row r="767" spans="2:7" x14ac:dyDescent="0.25">
      <c r="B767" s="6"/>
      <c r="C767" s="7"/>
      <c r="D767" s="7"/>
      <c r="E767" s="8"/>
      <c r="F767" t="str">
        <f t="shared" si="49"/>
        <v/>
      </c>
      <c r="G767" t="str">
        <f t="shared" si="50"/>
        <v/>
      </c>
    </row>
    <row r="768" spans="2:7" x14ac:dyDescent="0.25">
      <c r="B768" s="6"/>
      <c r="C768" s="7"/>
      <c r="D768" s="7"/>
      <c r="E768" s="8"/>
      <c r="F768" t="str">
        <f t="shared" si="49"/>
        <v/>
      </c>
      <c r="G768" t="str">
        <f t="shared" si="50"/>
        <v/>
      </c>
    </row>
    <row r="769" spans="2:7" x14ac:dyDescent="0.25">
      <c r="B769" s="6"/>
      <c r="C769" s="7"/>
      <c r="D769" s="7"/>
      <c r="E769" s="8"/>
      <c r="F769" t="str">
        <f t="shared" si="49"/>
        <v/>
      </c>
      <c r="G769" t="str">
        <f t="shared" si="50"/>
        <v/>
      </c>
    </row>
    <row r="770" spans="2:7" x14ac:dyDescent="0.25">
      <c r="B770" s="6"/>
      <c r="C770" s="7"/>
      <c r="D770" s="7"/>
      <c r="E770" s="8"/>
      <c r="F770" t="str">
        <f t="shared" si="49"/>
        <v/>
      </c>
      <c r="G770" t="str">
        <f t="shared" si="50"/>
        <v/>
      </c>
    </row>
    <row r="771" spans="2:7" x14ac:dyDescent="0.25">
      <c r="B771" s="6"/>
      <c r="C771" s="7"/>
      <c r="D771" s="7"/>
      <c r="E771" s="8"/>
      <c r="F771" t="str">
        <f t="shared" si="49"/>
        <v/>
      </c>
      <c r="G771" t="str">
        <f t="shared" si="50"/>
        <v/>
      </c>
    </row>
    <row r="772" spans="2:7" x14ac:dyDescent="0.25">
      <c r="B772" s="6"/>
      <c r="C772" s="7"/>
      <c r="D772" s="7"/>
      <c r="E772" s="8"/>
      <c r="F772" t="str">
        <f t="shared" ref="F772:F835" si="51">IF(B772="","",LOG10(D772))</f>
        <v/>
      </c>
      <c r="G772" t="str">
        <f t="shared" ref="G772:G835" si="52">IF(E772="", "",0.434*E772/D772)</f>
        <v/>
      </c>
    </row>
    <row r="773" spans="2:7" x14ac:dyDescent="0.25">
      <c r="B773" s="6"/>
      <c r="C773" s="7"/>
      <c r="D773" s="7"/>
      <c r="E773" s="8"/>
      <c r="F773" t="str">
        <f t="shared" si="51"/>
        <v/>
      </c>
      <c r="G773" t="str">
        <f t="shared" si="52"/>
        <v/>
      </c>
    </row>
    <row r="774" spans="2:7" x14ac:dyDescent="0.25">
      <c r="B774" s="6"/>
      <c r="C774" s="7"/>
      <c r="D774" s="7"/>
      <c r="E774" s="8"/>
      <c r="F774" t="str">
        <f t="shared" si="51"/>
        <v/>
      </c>
      <c r="G774" t="str">
        <f t="shared" si="52"/>
        <v/>
      </c>
    </row>
    <row r="775" spans="2:7" x14ac:dyDescent="0.25">
      <c r="B775" s="6"/>
      <c r="C775" s="7"/>
      <c r="D775" s="7"/>
      <c r="E775" s="8"/>
      <c r="F775" t="str">
        <f t="shared" si="51"/>
        <v/>
      </c>
      <c r="G775" t="str">
        <f t="shared" si="52"/>
        <v/>
      </c>
    </row>
    <row r="776" spans="2:7" x14ac:dyDescent="0.25">
      <c r="B776" s="6"/>
      <c r="C776" s="7"/>
      <c r="D776" s="7"/>
      <c r="E776" s="8"/>
      <c r="F776" t="str">
        <f t="shared" si="51"/>
        <v/>
      </c>
      <c r="G776" t="str">
        <f t="shared" si="52"/>
        <v/>
      </c>
    </row>
    <row r="777" spans="2:7" x14ac:dyDescent="0.25">
      <c r="B777" s="6"/>
      <c r="C777" s="7"/>
      <c r="D777" s="7"/>
      <c r="E777" s="8"/>
      <c r="F777" t="str">
        <f t="shared" si="51"/>
        <v/>
      </c>
      <c r="G777" t="str">
        <f t="shared" si="52"/>
        <v/>
      </c>
    </row>
    <row r="778" spans="2:7" x14ac:dyDescent="0.25">
      <c r="B778" s="6"/>
      <c r="C778" s="7"/>
      <c r="D778" s="7"/>
      <c r="E778" s="8"/>
      <c r="F778" t="str">
        <f t="shared" si="51"/>
        <v/>
      </c>
      <c r="G778" t="str">
        <f t="shared" si="52"/>
        <v/>
      </c>
    </row>
    <row r="779" spans="2:7" x14ac:dyDescent="0.25">
      <c r="B779" s="6"/>
      <c r="C779" s="7"/>
      <c r="D779" s="7"/>
      <c r="E779" s="8"/>
      <c r="F779" t="str">
        <f t="shared" si="51"/>
        <v/>
      </c>
      <c r="G779" t="str">
        <f t="shared" si="52"/>
        <v/>
      </c>
    </row>
    <row r="780" spans="2:7" x14ac:dyDescent="0.25">
      <c r="B780" s="6"/>
      <c r="C780" s="7"/>
      <c r="D780" s="7"/>
      <c r="E780" s="8"/>
      <c r="F780" t="str">
        <f t="shared" si="51"/>
        <v/>
      </c>
      <c r="G780" t="str">
        <f t="shared" si="52"/>
        <v/>
      </c>
    </row>
    <row r="781" spans="2:7" x14ac:dyDescent="0.25">
      <c r="B781" s="6"/>
      <c r="C781" s="7"/>
      <c r="D781" s="7"/>
      <c r="E781" s="8"/>
      <c r="F781" t="str">
        <f t="shared" si="51"/>
        <v/>
      </c>
      <c r="G781" t="str">
        <f t="shared" si="52"/>
        <v/>
      </c>
    </row>
    <row r="782" spans="2:7" x14ac:dyDescent="0.25">
      <c r="B782" s="6"/>
      <c r="C782" s="7"/>
      <c r="D782" s="7"/>
      <c r="E782" s="8"/>
      <c r="F782" t="str">
        <f t="shared" si="51"/>
        <v/>
      </c>
      <c r="G782" t="str">
        <f t="shared" si="52"/>
        <v/>
      </c>
    </row>
    <row r="783" spans="2:7" x14ac:dyDescent="0.25">
      <c r="B783" s="6"/>
      <c r="C783" s="7"/>
      <c r="D783" s="7"/>
      <c r="E783" s="8"/>
      <c r="F783" t="str">
        <f t="shared" si="51"/>
        <v/>
      </c>
      <c r="G783" t="str">
        <f t="shared" si="52"/>
        <v/>
      </c>
    </row>
    <row r="784" spans="2:7" x14ac:dyDescent="0.25">
      <c r="B784" s="6"/>
      <c r="C784" s="7"/>
      <c r="D784" s="7"/>
      <c r="E784" s="8"/>
      <c r="F784" t="str">
        <f t="shared" si="51"/>
        <v/>
      </c>
      <c r="G784" t="str">
        <f t="shared" si="52"/>
        <v/>
      </c>
    </row>
    <row r="785" spans="2:7" x14ac:dyDescent="0.25">
      <c r="B785" s="6"/>
      <c r="C785" s="7"/>
      <c r="D785" s="7"/>
      <c r="E785" s="8"/>
      <c r="F785" t="str">
        <f t="shared" si="51"/>
        <v/>
      </c>
      <c r="G785" t="str">
        <f t="shared" si="52"/>
        <v/>
      </c>
    </row>
    <row r="786" spans="2:7" x14ac:dyDescent="0.25">
      <c r="B786" s="6"/>
      <c r="C786" s="7"/>
      <c r="D786" s="7"/>
      <c r="E786" s="8"/>
      <c r="F786" t="str">
        <f t="shared" si="51"/>
        <v/>
      </c>
      <c r="G786" t="str">
        <f t="shared" si="52"/>
        <v/>
      </c>
    </row>
    <row r="787" spans="2:7" x14ac:dyDescent="0.25">
      <c r="B787" s="6"/>
      <c r="C787" s="7"/>
      <c r="D787" s="7"/>
      <c r="E787" s="8"/>
      <c r="F787" t="str">
        <f t="shared" si="51"/>
        <v/>
      </c>
      <c r="G787" t="str">
        <f t="shared" si="52"/>
        <v/>
      </c>
    </row>
    <row r="788" spans="2:7" x14ac:dyDescent="0.25">
      <c r="B788" s="6"/>
      <c r="C788" s="7"/>
      <c r="D788" s="7"/>
      <c r="E788" s="8"/>
      <c r="F788" t="str">
        <f t="shared" si="51"/>
        <v/>
      </c>
      <c r="G788" t="str">
        <f t="shared" si="52"/>
        <v/>
      </c>
    </row>
    <row r="789" spans="2:7" x14ac:dyDescent="0.25">
      <c r="B789" s="6"/>
      <c r="C789" s="7"/>
      <c r="D789" s="7"/>
      <c r="E789" s="8"/>
      <c r="F789" t="str">
        <f t="shared" si="51"/>
        <v/>
      </c>
      <c r="G789" t="str">
        <f t="shared" si="52"/>
        <v/>
      </c>
    </row>
    <row r="790" spans="2:7" x14ac:dyDescent="0.25">
      <c r="B790" s="6"/>
      <c r="C790" s="7"/>
      <c r="D790" s="7"/>
      <c r="E790" s="8"/>
      <c r="F790" t="str">
        <f t="shared" si="51"/>
        <v/>
      </c>
      <c r="G790" t="str">
        <f t="shared" si="52"/>
        <v/>
      </c>
    </row>
    <row r="791" spans="2:7" x14ac:dyDescent="0.25">
      <c r="B791" s="6"/>
      <c r="C791" s="7"/>
      <c r="D791" s="7"/>
      <c r="E791" s="8"/>
      <c r="F791" t="str">
        <f t="shared" si="51"/>
        <v/>
      </c>
      <c r="G791" t="str">
        <f t="shared" si="52"/>
        <v/>
      </c>
    </row>
    <row r="792" spans="2:7" x14ac:dyDescent="0.25">
      <c r="B792" s="6"/>
      <c r="C792" s="7"/>
      <c r="D792" s="7"/>
      <c r="E792" s="8"/>
      <c r="F792" t="str">
        <f t="shared" si="51"/>
        <v/>
      </c>
      <c r="G792" t="str">
        <f t="shared" si="52"/>
        <v/>
      </c>
    </row>
    <row r="793" spans="2:7" x14ac:dyDescent="0.25">
      <c r="B793" s="6"/>
      <c r="C793" s="7"/>
      <c r="D793" s="7"/>
      <c r="E793" s="8"/>
      <c r="F793" t="str">
        <f t="shared" si="51"/>
        <v/>
      </c>
      <c r="G793" t="str">
        <f t="shared" si="52"/>
        <v/>
      </c>
    </row>
    <row r="794" spans="2:7" x14ac:dyDescent="0.25">
      <c r="B794" s="6"/>
      <c r="C794" s="7"/>
      <c r="D794" s="7"/>
      <c r="E794" s="8"/>
      <c r="F794" t="str">
        <f t="shared" si="51"/>
        <v/>
      </c>
      <c r="G794" t="str">
        <f t="shared" si="52"/>
        <v/>
      </c>
    </row>
    <row r="795" spans="2:7" x14ac:dyDescent="0.25">
      <c r="B795" s="6"/>
      <c r="C795" s="7"/>
      <c r="D795" s="7"/>
      <c r="E795" s="8"/>
      <c r="F795" t="str">
        <f t="shared" si="51"/>
        <v/>
      </c>
      <c r="G795" t="str">
        <f t="shared" si="52"/>
        <v/>
      </c>
    </row>
    <row r="796" spans="2:7" x14ac:dyDescent="0.25">
      <c r="B796" s="6"/>
      <c r="C796" s="7"/>
      <c r="D796" s="7"/>
      <c r="E796" s="8"/>
      <c r="F796" t="str">
        <f t="shared" si="51"/>
        <v/>
      </c>
      <c r="G796" t="str">
        <f t="shared" si="52"/>
        <v/>
      </c>
    </row>
    <row r="797" spans="2:7" x14ac:dyDescent="0.25">
      <c r="B797" s="6"/>
      <c r="C797" s="7"/>
      <c r="D797" s="7"/>
      <c r="E797" s="8"/>
      <c r="F797" t="str">
        <f t="shared" si="51"/>
        <v/>
      </c>
      <c r="G797" t="str">
        <f t="shared" si="52"/>
        <v/>
      </c>
    </row>
    <row r="798" spans="2:7" x14ac:dyDescent="0.25">
      <c r="B798" s="6"/>
      <c r="C798" s="7"/>
      <c r="D798" s="7"/>
      <c r="E798" s="8"/>
      <c r="F798" t="str">
        <f t="shared" si="51"/>
        <v/>
      </c>
      <c r="G798" t="str">
        <f t="shared" si="52"/>
        <v/>
      </c>
    </row>
    <row r="799" spans="2:7" x14ac:dyDescent="0.25">
      <c r="B799" s="6"/>
      <c r="C799" s="7"/>
      <c r="D799" s="7"/>
      <c r="E799" s="8"/>
      <c r="F799" t="str">
        <f t="shared" si="51"/>
        <v/>
      </c>
      <c r="G799" t="str">
        <f t="shared" si="52"/>
        <v/>
      </c>
    </row>
    <row r="800" spans="2:7" x14ac:dyDescent="0.25">
      <c r="B800" s="6"/>
      <c r="C800" s="7"/>
      <c r="D800" s="7"/>
      <c r="E800" s="8"/>
      <c r="F800" t="str">
        <f t="shared" si="51"/>
        <v/>
      </c>
      <c r="G800" t="str">
        <f t="shared" si="52"/>
        <v/>
      </c>
    </row>
    <row r="801" spans="2:7" x14ac:dyDescent="0.25">
      <c r="B801" s="6"/>
      <c r="C801" s="7"/>
      <c r="D801" s="7"/>
      <c r="E801" s="8"/>
      <c r="F801" t="str">
        <f t="shared" si="51"/>
        <v/>
      </c>
      <c r="G801" t="str">
        <f t="shared" si="52"/>
        <v/>
      </c>
    </row>
    <row r="802" spans="2:7" x14ac:dyDescent="0.25">
      <c r="B802" s="6"/>
      <c r="C802" s="7"/>
      <c r="D802" s="7"/>
      <c r="E802" s="8"/>
      <c r="F802" t="str">
        <f t="shared" si="51"/>
        <v/>
      </c>
      <c r="G802" t="str">
        <f t="shared" si="52"/>
        <v/>
      </c>
    </row>
    <row r="803" spans="2:7" x14ac:dyDescent="0.25">
      <c r="B803" s="6"/>
      <c r="C803" s="7"/>
      <c r="D803" s="7"/>
      <c r="E803" s="8"/>
      <c r="F803" t="str">
        <f t="shared" si="51"/>
        <v/>
      </c>
      <c r="G803" t="str">
        <f t="shared" si="52"/>
        <v/>
      </c>
    </row>
    <row r="804" spans="2:7" x14ac:dyDescent="0.25">
      <c r="B804" s="6"/>
      <c r="C804" s="7"/>
      <c r="D804" s="7"/>
      <c r="E804" s="8"/>
      <c r="F804" t="str">
        <f t="shared" si="51"/>
        <v/>
      </c>
      <c r="G804" t="str">
        <f t="shared" si="52"/>
        <v/>
      </c>
    </row>
    <row r="805" spans="2:7" x14ac:dyDescent="0.25">
      <c r="B805" s="6"/>
      <c r="C805" s="7"/>
      <c r="D805" s="7"/>
      <c r="E805" s="8"/>
      <c r="F805" t="str">
        <f t="shared" si="51"/>
        <v/>
      </c>
      <c r="G805" t="str">
        <f t="shared" si="52"/>
        <v/>
      </c>
    </row>
    <row r="806" spans="2:7" x14ac:dyDescent="0.25">
      <c r="B806" s="6"/>
      <c r="C806" s="7"/>
      <c r="D806" s="7"/>
      <c r="E806" s="8"/>
      <c r="F806" t="str">
        <f t="shared" si="51"/>
        <v/>
      </c>
      <c r="G806" t="str">
        <f t="shared" si="52"/>
        <v/>
      </c>
    </row>
    <row r="807" spans="2:7" x14ac:dyDescent="0.25">
      <c r="B807" s="6"/>
      <c r="C807" s="7"/>
      <c r="D807" s="7"/>
      <c r="E807" s="8"/>
      <c r="F807" t="str">
        <f t="shared" si="51"/>
        <v/>
      </c>
      <c r="G807" t="str">
        <f t="shared" si="52"/>
        <v/>
      </c>
    </row>
    <row r="808" spans="2:7" x14ac:dyDescent="0.25">
      <c r="B808" s="6"/>
      <c r="C808" s="7"/>
      <c r="D808" s="7"/>
      <c r="E808" s="8"/>
      <c r="F808" t="str">
        <f t="shared" si="51"/>
        <v/>
      </c>
      <c r="G808" t="str">
        <f t="shared" si="52"/>
        <v/>
      </c>
    </row>
    <row r="809" spans="2:7" x14ac:dyDescent="0.25">
      <c r="B809" s="6"/>
      <c r="C809" s="7"/>
      <c r="D809" s="7"/>
      <c r="E809" s="8"/>
      <c r="F809" t="str">
        <f t="shared" si="51"/>
        <v/>
      </c>
      <c r="G809" t="str">
        <f t="shared" si="52"/>
        <v/>
      </c>
    </row>
    <row r="810" spans="2:7" x14ac:dyDescent="0.25">
      <c r="B810" s="6"/>
      <c r="C810" s="7"/>
      <c r="D810" s="7"/>
      <c r="E810" s="8"/>
      <c r="F810" t="str">
        <f t="shared" si="51"/>
        <v/>
      </c>
      <c r="G810" t="str">
        <f t="shared" si="52"/>
        <v/>
      </c>
    </row>
    <row r="811" spans="2:7" x14ac:dyDescent="0.25">
      <c r="B811" s="6"/>
      <c r="C811" s="7"/>
      <c r="D811" s="7"/>
      <c r="E811" s="8"/>
      <c r="F811" t="str">
        <f t="shared" si="51"/>
        <v/>
      </c>
      <c r="G811" t="str">
        <f t="shared" si="52"/>
        <v/>
      </c>
    </row>
    <row r="812" spans="2:7" x14ac:dyDescent="0.25">
      <c r="B812" s="6"/>
      <c r="C812" s="7"/>
      <c r="D812" s="7"/>
      <c r="E812" s="8"/>
      <c r="F812" t="str">
        <f t="shared" si="51"/>
        <v/>
      </c>
      <c r="G812" t="str">
        <f t="shared" si="52"/>
        <v/>
      </c>
    </row>
    <row r="813" spans="2:7" x14ac:dyDescent="0.25">
      <c r="B813" s="6"/>
      <c r="C813" s="7"/>
      <c r="D813" s="7"/>
      <c r="E813" s="8"/>
      <c r="F813" t="str">
        <f t="shared" si="51"/>
        <v/>
      </c>
      <c r="G813" t="str">
        <f t="shared" si="52"/>
        <v/>
      </c>
    </row>
    <row r="814" spans="2:7" x14ac:dyDescent="0.25">
      <c r="B814" s="6"/>
      <c r="C814" s="7"/>
      <c r="D814" s="7"/>
      <c r="E814" s="8"/>
      <c r="F814" t="str">
        <f t="shared" si="51"/>
        <v/>
      </c>
      <c r="G814" t="str">
        <f t="shared" si="52"/>
        <v/>
      </c>
    </row>
    <row r="815" spans="2:7" x14ac:dyDescent="0.25">
      <c r="B815" s="6"/>
      <c r="C815" s="7"/>
      <c r="D815" s="7"/>
      <c r="E815" s="8"/>
      <c r="F815" t="str">
        <f t="shared" si="51"/>
        <v/>
      </c>
      <c r="G815" t="str">
        <f t="shared" si="52"/>
        <v/>
      </c>
    </row>
    <row r="816" spans="2:7" x14ac:dyDescent="0.25">
      <c r="B816" s="6"/>
      <c r="C816" s="7"/>
      <c r="D816" s="7"/>
      <c r="E816" s="8"/>
      <c r="F816" t="str">
        <f t="shared" si="51"/>
        <v/>
      </c>
      <c r="G816" t="str">
        <f t="shared" si="52"/>
        <v/>
      </c>
    </row>
    <row r="817" spans="2:7" x14ac:dyDescent="0.25">
      <c r="B817" s="6"/>
      <c r="C817" s="7"/>
      <c r="D817" s="7"/>
      <c r="E817" s="8"/>
      <c r="F817" t="str">
        <f t="shared" si="51"/>
        <v/>
      </c>
      <c r="G817" t="str">
        <f t="shared" si="52"/>
        <v/>
      </c>
    </row>
    <row r="818" spans="2:7" x14ac:dyDescent="0.25">
      <c r="B818" s="6"/>
      <c r="C818" s="7"/>
      <c r="D818" s="7"/>
      <c r="E818" s="8"/>
      <c r="F818" t="str">
        <f t="shared" si="51"/>
        <v/>
      </c>
      <c r="G818" t="str">
        <f t="shared" si="52"/>
        <v/>
      </c>
    </row>
    <row r="819" spans="2:7" x14ac:dyDescent="0.25">
      <c r="B819" s="6"/>
      <c r="C819" s="7"/>
      <c r="D819" s="7"/>
      <c r="E819" s="8"/>
      <c r="F819" t="str">
        <f t="shared" si="51"/>
        <v/>
      </c>
      <c r="G819" t="str">
        <f t="shared" si="52"/>
        <v/>
      </c>
    </row>
    <row r="820" spans="2:7" x14ac:dyDescent="0.25">
      <c r="B820" s="6"/>
      <c r="C820" s="7"/>
      <c r="D820" s="7"/>
      <c r="E820" s="8"/>
      <c r="F820" t="str">
        <f t="shared" si="51"/>
        <v/>
      </c>
      <c r="G820" t="str">
        <f t="shared" si="52"/>
        <v/>
      </c>
    </row>
    <row r="821" spans="2:7" x14ac:dyDescent="0.25">
      <c r="B821" s="6"/>
      <c r="C821" s="7"/>
      <c r="D821" s="7"/>
      <c r="E821" s="8"/>
      <c r="F821" t="str">
        <f t="shared" si="51"/>
        <v/>
      </c>
      <c r="G821" t="str">
        <f t="shared" si="52"/>
        <v/>
      </c>
    </row>
    <row r="822" spans="2:7" x14ac:dyDescent="0.25">
      <c r="B822" s="6"/>
      <c r="C822" s="7"/>
      <c r="D822" s="7"/>
      <c r="E822" s="8"/>
      <c r="F822" t="str">
        <f t="shared" si="51"/>
        <v/>
      </c>
      <c r="G822" t="str">
        <f t="shared" si="52"/>
        <v/>
      </c>
    </row>
    <row r="823" spans="2:7" x14ac:dyDescent="0.25">
      <c r="B823" s="6"/>
      <c r="C823" s="7"/>
      <c r="D823" s="7"/>
      <c r="E823" s="8"/>
      <c r="F823" t="str">
        <f t="shared" si="51"/>
        <v/>
      </c>
      <c r="G823" t="str">
        <f t="shared" si="52"/>
        <v/>
      </c>
    </row>
    <row r="824" spans="2:7" x14ac:dyDescent="0.25">
      <c r="B824" s="6"/>
      <c r="C824" s="7"/>
      <c r="D824" s="7"/>
      <c r="E824" s="8"/>
      <c r="F824" t="str">
        <f t="shared" si="51"/>
        <v/>
      </c>
      <c r="G824" t="str">
        <f t="shared" si="52"/>
        <v/>
      </c>
    </row>
    <row r="825" spans="2:7" x14ac:dyDescent="0.25">
      <c r="B825" s="6"/>
      <c r="C825" s="7"/>
      <c r="D825" s="7"/>
      <c r="E825" s="8"/>
      <c r="F825" t="str">
        <f t="shared" si="51"/>
        <v/>
      </c>
      <c r="G825" t="str">
        <f t="shared" si="52"/>
        <v/>
      </c>
    </row>
    <row r="826" spans="2:7" x14ac:dyDescent="0.25">
      <c r="B826" s="6"/>
      <c r="C826" s="7"/>
      <c r="D826" s="7"/>
      <c r="E826" s="8"/>
      <c r="F826" t="str">
        <f t="shared" si="51"/>
        <v/>
      </c>
      <c r="G826" t="str">
        <f t="shared" si="52"/>
        <v/>
      </c>
    </row>
    <row r="827" spans="2:7" x14ac:dyDescent="0.25">
      <c r="B827" s="6"/>
      <c r="C827" s="7"/>
      <c r="D827" s="7"/>
      <c r="E827" s="8"/>
      <c r="F827" t="str">
        <f t="shared" si="51"/>
        <v/>
      </c>
      <c r="G827" t="str">
        <f t="shared" si="52"/>
        <v/>
      </c>
    </row>
    <row r="828" spans="2:7" x14ac:dyDescent="0.25">
      <c r="B828" s="6"/>
      <c r="C828" s="7"/>
      <c r="D828" s="7"/>
      <c r="E828" s="8"/>
      <c r="F828" t="str">
        <f t="shared" si="51"/>
        <v/>
      </c>
      <c r="G828" t="str">
        <f t="shared" si="52"/>
        <v/>
      </c>
    </row>
    <row r="829" spans="2:7" x14ac:dyDescent="0.25">
      <c r="B829" s="6"/>
      <c r="C829" s="7"/>
      <c r="D829" s="7"/>
      <c r="E829" s="8"/>
      <c r="F829" t="str">
        <f t="shared" si="51"/>
        <v/>
      </c>
      <c r="G829" t="str">
        <f t="shared" si="52"/>
        <v/>
      </c>
    </row>
    <row r="830" spans="2:7" x14ac:dyDescent="0.25">
      <c r="B830" s="6"/>
      <c r="C830" s="7"/>
      <c r="D830" s="7"/>
      <c r="E830" s="8"/>
      <c r="F830" t="str">
        <f t="shared" si="51"/>
        <v/>
      </c>
      <c r="G830" t="str">
        <f t="shared" si="52"/>
        <v/>
      </c>
    </row>
    <row r="831" spans="2:7" x14ac:dyDescent="0.25">
      <c r="B831" s="6"/>
      <c r="C831" s="7"/>
      <c r="D831" s="7"/>
      <c r="E831" s="8"/>
      <c r="F831" t="str">
        <f t="shared" si="51"/>
        <v/>
      </c>
      <c r="G831" t="str">
        <f t="shared" si="52"/>
        <v/>
      </c>
    </row>
    <row r="832" spans="2:7" x14ac:dyDescent="0.25">
      <c r="B832" s="6"/>
      <c r="C832" s="7"/>
      <c r="D832" s="7"/>
      <c r="E832" s="8"/>
      <c r="F832" t="str">
        <f t="shared" si="51"/>
        <v/>
      </c>
      <c r="G832" t="str">
        <f t="shared" si="52"/>
        <v/>
      </c>
    </row>
    <row r="833" spans="2:7" x14ac:dyDescent="0.25">
      <c r="B833" s="6"/>
      <c r="C833" s="7"/>
      <c r="D833" s="7"/>
      <c r="E833" s="8"/>
      <c r="F833" t="str">
        <f t="shared" si="51"/>
        <v/>
      </c>
      <c r="G833" t="str">
        <f t="shared" si="52"/>
        <v/>
      </c>
    </row>
    <row r="834" spans="2:7" x14ac:dyDescent="0.25">
      <c r="B834" s="6"/>
      <c r="C834" s="7"/>
      <c r="D834" s="7"/>
      <c r="E834" s="8"/>
      <c r="F834" t="str">
        <f t="shared" si="51"/>
        <v/>
      </c>
      <c r="G834" t="str">
        <f t="shared" si="52"/>
        <v/>
      </c>
    </row>
    <row r="835" spans="2:7" x14ac:dyDescent="0.25">
      <c r="B835" s="6"/>
      <c r="C835" s="7"/>
      <c r="D835" s="7"/>
      <c r="E835" s="8"/>
      <c r="F835" t="str">
        <f t="shared" si="51"/>
        <v/>
      </c>
      <c r="G835" t="str">
        <f t="shared" si="52"/>
        <v/>
      </c>
    </row>
    <row r="836" spans="2:7" x14ac:dyDescent="0.25">
      <c r="B836" s="6"/>
      <c r="C836" s="7"/>
      <c r="D836" s="7"/>
      <c r="E836" s="8"/>
      <c r="F836" t="str">
        <f t="shared" ref="F836:F899" si="53">IF(B836="","",LOG10(D836))</f>
        <v/>
      </c>
      <c r="G836" t="str">
        <f t="shared" ref="G836:G899" si="54">IF(E836="", "",0.434*E836/D836)</f>
        <v/>
      </c>
    </row>
    <row r="837" spans="2:7" x14ac:dyDescent="0.25">
      <c r="B837" s="6"/>
      <c r="C837" s="7"/>
      <c r="D837" s="7"/>
      <c r="E837" s="8"/>
      <c r="F837" t="str">
        <f t="shared" si="53"/>
        <v/>
      </c>
      <c r="G837" t="str">
        <f t="shared" si="54"/>
        <v/>
      </c>
    </row>
    <row r="838" spans="2:7" x14ac:dyDescent="0.25">
      <c r="B838" s="6"/>
      <c r="C838" s="7"/>
      <c r="D838" s="7"/>
      <c r="E838" s="8"/>
      <c r="F838" t="str">
        <f t="shared" si="53"/>
        <v/>
      </c>
      <c r="G838" t="str">
        <f t="shared" si="54"/>
        <v/>
      </c>
    </row>
    <row r="839" spans="2:7" x14ac:dyDescent="0.25">
      <c r="B839" s="6"/>
      <c r="C839" s="7"/>
      <c r="D839" s="7"/>
      <c r="E839" s="8"/>
      <c r="F839" t="str">
        <f t="shared" si="53"/>
        <v/>
      </c>
      <c r="G839" t="str">
        <f t="shared" si="54"/>
        <v/>
      </c>
    </row>
    <row r="840" spans="2:7" x14ac:dyDescent="0.25">
      <c r="B840" s="6"/>
      <c r="C840" s="7"/>
      <c r="D840" s="7"/>
      <c r="E840" s="8"/>
      <c r="F840" t="str">
        <f t="shared" si="53"/>
        <v/>
      </c>
      <c r="G840" t="str">
        <f t="shared" si="54"/>
        <v/>
      </c>
    </row>
    <row r="841" spans="2:7" x14ac:dyDescent="0.25">
      <c r="B841" s="6"/>
      <c r="C841" s="7"/>
      <c r="D841" s="7"/>
      <c r="E841" s="8"/>
      <c r="F841" t="str">
        <f t="shared" si="53"/>
        <v/>
      </c>
      <c r="G841" t="str">
        <f t="shared" si="54"/>
        <v/>
      </c>
    </row>
    <row r="842" spans="2:7" x14ac:dyDescent="0.25">
      <c r="B842" s="6"/>
      <c r="C842" s="7"/>
      <c r="D842" s="7"/>
      <c r="E842" s="8"/>
      <c r="F842" t="str">
        <f t="shared" si="53"/>
        <v/>
      </c>
      <c r="G842" t="str">
        <f t="shared" si="54"/>
        <v/>
      </c>
    </row>
    <row r="843" spans="2:7" x14ac:dyDescent="0.25">
      <c r="B843" s="6"/>
      <c r="C843" s="7"/>
      <c r="D843" s="7"/>
      <c r="E843" s="8"/>
      <c r="F843" t="str">
        <f t="shared" si="53"/>
        <v/>
      </c>
      <c r="G843" t="str">
        <f t="shared" si="54"/>
        <v/>
      </c>
    </row>
    <row r="844" spans="2:7" x14ac:dyDescent="0.25">
      <c r="B844" s="6"/>
      <c r="C844" s="7"/>
      <c r="D844" s="7"/>
      <c r="E844" s="8"/>
      <c r="F844" t="str">
        <f t="shared" si="53"/>
        <v/>
      </c>
      <c r="G844" t="str">
        <f t="shared" si="54"/>
        <v/>
      </c>
    </row>
    <row r="845" spans="2:7" x14ac:dyDescent="0.25">
      <c r="B845" s="6"/>
      <c r="C845" s="7"/>
      <c r="D845" s="7"/>
      <c r="E845" s="8"/>
      <c r="F845" t="str">
        <f t="shared" si="53"/>
        <v/>
      </c>
      <c r="G845" t="str">
        <f t="shared" si="54"/>
        <v/>
      </c>
    </row>
    <row r="846" spans="2:7" x14ac:dyDescent="0.25">
      <c r="B846" s="6"/>
      <c r="C846" s="7"/>
      <c r="D846" s="7"/>
      <c r="E846" s="8"/>
      <c r="F846" t="str">
        <f t="shared" si="53"/>
        <v/>
      </c>
      <c r="G846" t="str">
        <f t="shared" si="54"/>
        <v/>
      </c>
    </row>
    <row r="847" spans="2:7" x14ac:dyDescent="0.25">
      <c r="B847" s="6"/>
      <c r="C847" s="7"/>
      <c r="D847" s="7"/>
      <c r="E847" s="8"/>
      <c r="F847" t="str">
        <f t="shared" si="53"/>
        <v/>
      </c>
      <c r="G847" t="str">
        <f t="shared" si="54"/>
        <v/>
      </c>
    </row>
    <row r="848" spans="2:7" x14ac:dyDescent="0.25">
      <c r="B848" s="6"/>
      <c r="C848" s="7"/>
      <c r="D848" s="7"/>
      <c r="E848" s="8"/>
      <c r="F848" t="str">
        <f t="shared" si="53"/>
        <v/>
      </c>
      <c r="G848" t="str">
        <f t="shared" si="54"/>
        <v/>
      </c>
    </row>
    <row r="849" spans="2:7" x14ac:dyDescent="0.25">
      <c r="B849" s="6"/>
      <c r="C849" s="7"/>
      <c r="D849" s="7"/>
      <c r="E849" s="8"/>
      <c r="F849" t="str">
        <f t="shared" si="53"/>
        <v/>
      </c>
      <c r="G849" t="str">
        <f t="shared" si="54"/>
        <v/>
      </c>
    </row>
    <row r="850" spans="2:7" x14ac:dyDescent="0.25">
      <c r="B850" s="6"/>
      <c r="C850" s="7"/>
      <c r="D850" s="7"/>
      <c r="E850" s="8"/>
      <c r="F850" t="str">
        <f t="shared" si="53"/>
        <v/>
      </c>
      <c r="G850" t="str">
        <f t="shared" si="54"/>
        <v/>
      </c>
    </row>
    <row r="851" spans="2:7" x14ac:dyDescent="0.25">
      <c r="B851" s="6"/>
      <c r="C851" s="7"/>
      <c r="D851" s="7"/>
      <c r="E851" s="8"/>
      <c r="F851" t="str">
        <f t="shared" si="53"/>
        <v/>
      </c>
      <c r="G851" t="str">
        <f t="shared" si="54"/>
        <v/>
      </c>
    </row>
    <row r="852" spans="2:7" x14ac:dyDescent="0.25">
      <c r="B852" s="6"/>
      <c r="C852" s="7"/>
      <c r="D852" s="7"/>
      <c r="E852" s="8"/>
      <c r="F852" t="str">
        <f t="shared" si="53"/>
        <v/>
      </c>
      <c r="G852" t="str">
        <f t="shared" si="54"/>
        <v/>
      </c>
    </row>
    <row r="853" spans="2:7" x14ac:dyDescent="0.25">
      <c r="B853" s="6"/>
      <c r="C853" s="7"/>
      <c r="D853" s="7"/>
      <c r="E853" s="8"/>
      <c r="F853" t="str">
        <f t="shared" si="53"/>
        <v/>
      </c>
      <c r="G853" t="str">
        <f t="shared" si="54"/>
        <v/>
      </c>
    </row>
    <row r="854" spans="2:7" x14ac:dyDescent="0.25">
      <c r="B854" s="6"/>
      <c r="C854" s="7"/>
      <c r="D854" s="7"/>
      <c r="E854" s="8"/>
      <c r="F854" t="str">
        <f t="shared" si="53"/>
        <v/>
      </c>
      <c r="G854" t="str">
        <f t="shared" si="54"/>
        <v/>
      </c>
    </row>
    <row r="855" spans="2:7" x14ac:dyDescent="0.25">
      <c r="B855" s="6"/>
      <c r="C855" s="7"/>
      <c r="D855" s="7"/>
      <c r="E855" s="8"/>
      <c r="F855" t="str">
        <f t="shared" si="53"/>
        <v/>
      </c>
      <c r="G855" t="str">
        <f t="shared" si="54"/>
        <v/>
      </c>
    </row>
    <row r="856" spans="2:7" x14ac:dyDescent="0.25">
      <c r="B856" s="6"/>
      <c r="C856" s="7"/>
      <c r="D856" s="7"/>
      <c r="E856" s="8"/>
      <c r="F856" t="str">
        <f t="shared" si="53"/>
        <v/>
      </c>
      <c r="G856" t="str">
        <f t="shared" si="54"/>
        <v/>
      </c>
    </row>
    <row r="857" spans="2:7" x14ac:dyDescent="0.25">
      <c r="B857" s="6"/>
      <c r="C857" s="7"/>
      <c r="D857" s="7"/>
      <c r="E857" s="8"/>
      <c r="F857" t="str">
        <f t="shared" si="53"/>
        <v/>
      </c>
      <c r="G857" t="str">
        <f t="shared" si="54"/>
        <v/>
      </c>
    </row>
    <row r="858" spans="2:7" x14ac:dyDescent="0.25">
      <c r="B858" s="6"/>
      <c r="C858" s="7"/>
      <c r="D858" s="7"/>
      <c r="E858" s="8"/>
      <c r="F858" t="str">
        <f t="shared" si="53"/>
        <v/>
      </c>
      <c r="G858" t="str">
        <f t="shared" si="54"/>
        <v/>
      </c>
    </row>
    <row r="859" spans="2:7" x14ac:dyDescent="0.25">
      <c r="B859" s="6"/>
      <c r="C859" s="7"/>
      <c r="D859" s="7"/>
      <c r="E859" s="8"/>
      <c r="F859" t="str">
        <f t="shared" si="53"/>
        <v/>
      </c>
      <c r="G859" t="str">
        <f t="shared" si="54"/>
        <v/>
      </c>
    </row>
    <row r="860" spans="2:7" x14ac:dyDescent="0.25">
      <c r="B860" s="6"/>
      <c r="C860" s="7"/>
      <c r="D860" s="7"/>
      <c r="E860" s="8"/>
      <c r="F860" t="str">
        <f t="shared" si="53"/>
        <v/>
      </c>
      <c r="G860" t="str">
        <f t="shared" si="54"/>
        <v/>
      </c>
    </row>
    <row r="861" spans="2:7" x14ac:dyDescent="0.25">
      <c r="B861" s="6"/>
      <c r="C861" s="7"/>
      <c r="D861" s="7"/>
      <c r="E861" s="8"/>
      <c r="F861" t="str">
        <f t="shared" si="53"/>
        <v/>
      </c>
      <c r="G861" t="str">
        <f t="shared" si="54"/>
        <v/>
      </c>
    </row>
    <row r="862" spans="2:7" x14ac:dyDescent="0.25">
      <c r="B862" s="6"/>
      <c r="C862" s="7"/>
      <c r="D862" s="7"/>
      <c r="E862" s="8"/>
      <c r="F862" t="str">
        <f t="shared" si="53"/>
        <v/>
      </c>
      <c r="G862" t="str">
        <f t="shared" si="54"/>
        <v/>
      </c>
    </row>
    <row r="863" spans="2:7" x14ac:dyDescent="0.25">
      <c r="B863" s="6"/>
      <c r="C863" s="7"/>
      <c r="D863" s="7"/>
      <c r="E863" s="8"/>
      <c r="F863" t="str">
        <f t="shared" si="53"/>
        <v/>
      </c>
      <c r="G863" t="str">
        <f t="shared" si="54"/>
        <v/>
      </c>
    </row>
    <row r="864" spans="2:7" x14ac:dyDescent="0.25">
      <c r="B864" s="6"/>
      <c r="C864" s="7"/>
      <c r="D864" s="7"/>
      <c r="E864" s="8"/>
      <c r="F864" t="str">
        <f t="shared" si="53"/>
        <v/>
      </c>
      <c r="G864" t="str">
        <f t="shared" si="54"/>
        <v/>
      </c>
    </row>
    <row r="865" spans="2:7" x14ac:dyDescent="0.25">
      <c r="B865" s="6"/>
      <c r="C865" s="7"/>
      <c r="D865" s="7"/>
      <c r="E865" s="8"/>
      <c r="F865" t="str">
        <f t="shared" si="53"/>
        <v/>
      </c>
      <c r="G865" t="str">
        <f t="shared" si="54"/>
        <v/>
      </c>
    </row>
    <row r="866" spans="2:7" x14ac:dyDescent="0.25">
      <c r="B866" s="6"/>
      <c r="C866" s="7"/>
      <c r="D866" s="7"/>
      <c r="E866" s="8"/>
      <c r="F866" t="str">
        <f t="shared" si="53"/>
        <v/>
      </c>
      <c r="G866" t="str">
        <f t="shared" si="54"/>
        <v/>
      </c>
    </row>
    <row r="867" spans="2:7" x14ac:dyDescent="0.25">
      <c r="B867" s="6"/>
      <c r="C867" s="7"/>
      <c r="D867" s="7"/>
      <c r="E867" s="8"/>
      <c r="F867" t="str">
        <f t="shared" si="53"/>
        <v/>
      </c>
      <c r="G867" t="str">
        <f t="shared" si="54"/>
        <v/>
      </c>
    </row>
    <row r="868" spans="2:7" x14ac:dyDescent="0.25">
      <c r="B868" s="6"/>
      <c r="C868" s="7"/>
      <c r="D868" s="7"/>
      <c r="E868" s="8"/>
      <c r="F868" t="str">
        <f t="shared" si="53"/>
        <v/>
      </c>
      <c r="G868" t="str">
        <f t="shared" si="54"/>
        <v/>
      </c>
    </row>
    <row r="869" spans="2:7" x14ac:dyDescent="0.25">
      <c r="B869" s="6"/>
      <c r="C869" s="7"/>
      <c r="D869" s="7"/>
      <c r="E869" s="8"/>
      <c r="F869" t="str">
        <f t="shared" si="53"/>
        <v/>
      </c>
      <c r="G869" t="str">
        <f t="shared" si="54"/>
        <v/>
      </c>
    </row>
    <row r="870" spans="2:7" x14ac:dyDescent="0.25">
      <c r="B870" s="6"/>
      <c r="C870" s="7"/>
      <c r="D870" s="7"/>
      <c r="E870" s="8"/>
      <c r="F870" t="str">
        <f t="shared" si="53"/>
        <v/>
      </c>
      <c r="G870" t="str">
        <f t="shared" si="54"/>
        <v/>
      </c>
    </row>
    <row r="871" spans="2:7" x14ac:dyDescent="0.25">
      <c r="B871" s="6"/>
      <c r="C871" s="7"/>
      <c r="D871" s="7"/>
      <c r="E871" s="8"/>
      <c r="F871" t="str">
        <f t="shared" si="53"/>
        <v/>
      </c>
      <c r="G871" t="str">
        <f t="shared" si="54"/>
        <v/>
      </c>
    </row>
    <row r="872" spans="2:7" x14ac:dyDescent="0.25">
      <c r="B872" s="6"/>
      <c r="C872" s="7"/>
      <c r="D872" s="7"/>
      <c r="E872" s="8"/>
      <c r="F872" t="str">
        <f t="shared" si="53"/>
        <v/>
      </c>
      <c r="G872" t="str">
        <f t="shared" si="54"/>
        <v/>
      </c>
    </row>
    <row r="873" spans="2:7" x14ac:dyDescent="0.25">
      <c r="B873" s="6"/>
      <c r="C873" s="7"/>
      <c r="D873" s="7"/>
      <c r="E873" s="8"/>
      <c r="F873" t="str">
        <f t="shared" si="53"/>
        <v/>
      </c>
      <c r="G873" t="str">
        <f t="shared" si="54"/>
        <v/>
      </c>
    </row>
    <row r="874" spans="2:7" x14ac:dyDescent="0.25">
      <c r="B874" s="6"/>
      <c r="C874" s="7"/>
      <c r="D874" s="7"/>
      <c r="E874" s="8"/>
      <c r="F874" t="str">
        <f t="shared" si="53"/>
        <v/>
      </c>
      <c r="G874" t="str">
        <f t="shared" si="54"/>
        <v/>
      </c>
    </row>
    <row r="875" spans="2:7" x14ac:dyDescent="0.25">
      <c r="B875" s="6"/>
      <c r="C875" s="7"/>
      <c r="D875" s="7"/>
      <c r="E875" s="8"/>
      <c r="F875" t="str">
        <f t="shared" si="53"/>
        <v/>
      </c>
      <c r="G875" t="str">
        <f t="shared" si="54"/>
        <v/>
      </c>
    </row>
    <row r="876" spans="2:7" x14ac:dyDescent="0.25">
      <c r="B876" s="6"/>
      <c r="C876" s="7"/>
      <c r="D876" s="7"/>
      <c r="E876" s="8"/>
      <c r="F876" t="str">
        <f t="shared" si="53"/>
        <v/>
      </c>
      <c r="G876" t="str">
        <f t="shared" si="54"/>
        <v/>
      </c>
    </row>
    <row r="877" spans="2:7" x14ac:dyDescent="0.25">
      <c r="B877" s="6"/>
      <c r="C877" s="7"/>
      <c r="D877" s="7"/>
      <c r="E877" s="8"/>
      <c r="F877" t="str">
        <f t="shared" si="53"/>
        <v/>
      </c>
      <c r="G877" t="str">
        <f t="shared" si="54"/>
        <v/>
      </c>
    </row>
    <row r="878" spans="2:7" x14ac:dyDescent="0.25">
      <c r="B878" s="6"/>
      <c r="C878" s="7"/>
      <c r="D878" s="7"/>
      <c r="E878" s="8"/>
      <c r="F878" t="str">
        <f t="shared" si="53"/>
        <v/>
      </c>
      <c r="G878" t="str">
        <f t="shared" si="54"/>
        <v/>
      </c>
    </row>
    <row r="879" spans="2:7" x14ac:dyDescent="0.25">
      <c r="B879" s="6"/>
      <c r="C879" s="7"/>
      <c r="D879" s="7"/>
      <c r="E879" s="8"/>
      <c r="F879" t="str">
        <f t="shared" si="53"/>
        <v/>
      </c>
      <c r="G879" t="str">
        <f t="shared" si="54"/>
        <v/>
      </c>
    </row>
    <row r="880" spans="2:7" x14ac:dyDescent="0.25">
      <c r="B880" s="6"/>
      <c r="C880" s="7"/>
      <c r="D880" s="7"/>
      <c r="E880" s="8"/>
      <c r="F880" t="str">
        <f t="shared" si="53"/>
        <v/>
      </c>
      <c r="G880" t="str">
        <f t="shared" si="54"/>
        <v/>
      </c>
    </row>
    <row r="881" spans="2:7" x14ac:dyDescent="0.25">
      <c r="B881" s="6"/>
      <c r="C881" s="7"/>
      <c r="D881" s="7"/>
      <c r="E881" s="8"/>
      <c r="F881" t="str">
        <f t="shared" si="53"/>
        <v/>
      </c>
      <c r="G881" t="str">
        <f t="shared" si="54"/>
        <v/>
      </c>
    </row>
    <row r="882" spans="2:7" x14ac:dyDescent="0.25">
      <c r="B882" s="6"/>
      <c r="C882" s="7"/>
      <c r="D882" s="7"/>
      <c r="E882" s="8"/>
      <c r="F882" t="str">
        <f t="shared" si="53"/>
        <v/>
      </c>
      <c r="G882" t="str">
        <f t="shared" si="54"/>
        <v/>
      </c>
    </row>
    <row r="883" spans="2:7" x14ac:dyDescent="0.25">
      <c r="B883" s="6"/>
      <c r="C883" s="7"/>
      <c r="D883" s="7"/>
      <c r="E883" s="8"/>
      <c r="F883" t="str">
        <f t="shared" si="53"/>
        <v/>
      </c>
      <c r="G883" t="str">
        <f t="shared" si="54"/>
        <v/>
      </c>
    </row>
    <row r="884" spans="2:7" x14ac:dyDescent="0.25">
      <c r="B884" s="6"/>
      <c r="C884" s="7"/>
      <c r="D884" s="7"/>
      <c r="E884" s="8"/>
      <c r="F884" t="str">
        <f t="shared" si="53"/>
        <v/>
      </c>
      <c r="G884" t="str">
        <f t="shared" si="54"/>
        <v/>
      </c>
    </row>
    <row r="885" spans="2:7" x14ac:dyDescent="0.25">
      <c r="B885" s="6"/>
      <c r="C885" s="7"/>
      <c r="D885" s="7"/>
      <c r="E885" s="8"/>
      <c r="F885" t="str">
        <f t="shared" si="53"/>
        <v/>
      </c>
      <c r="G885" t="str">
        <f t="shared" si="54"/>
        <v/>
      </c>
    </row>
    <row r="886" spans="2:7" x14ac:dyDescent="0.25">
      <c r="B886" s="6"/>
      <c r="C886" s="7"/>
      <c r="D886" s="7"/>
      <c r="E886" s="8"/>
      <c r="F886" t="str">
        <f t="shared" si="53"/>
        <v/>
      </c>
      <c r="G886" t="str">
        <f t="shared" si="54"/>
        <v/>
      </c>
    </row>
    <row r="887" spans="2:7" x14ac:dyDescent="0.25">
      <c r="B887" s="6"/>
      <c r="C887" s="7"/>
      <c r="D887" s="7"/>
      <c r="E887" s="8"/>
      <c r="F887" t="str">
        <f t="shared" si="53"/>
        <v/>
      </c>
      <c r="G887" t="str">
        <f t="shared" si="54"/>
        <v/>
      </c>
    </row>
    <row r="888" spans="2:7" x14ac:dyDescent="0.25">
      <c r="B888" s="6"/>
      <c r="C888" s="7"/>
      <c r="D888" s="7"/>
      <c r="E888" s="8"/>
      <c r="F888" t="str">
        <f t="shared" si="53"/>
        <v/>
      </c>
      <c r="G888" t="str">
        <f t="shared" si="54"/>
        <v/>
      </c>
    </row>
    <row r="889" spans="2:7" x14ac:dyDescent="0.25">
      <c r="B889" s="6"/>
      <c r="C889" s="7"/>
      <c r="D889" s="7"/>
      <c r="E889" s="8"/>
      <c r="F889" t="str">
        <f t="shared" si="53"/>
        <v/>
      </c>
      <c r="G889" t="str">
        <f t="shared" si="54"/>
        <v/>
      </c>
    </row>
    <row r="890" spans="2:7" x14ac:dyDescent="0.25">
      <c r="B890" s="6"/>
      <c r="C890" s="7"/>
      <c r="D890" s="7"/>
      <c r="E890" s="8"/>
      <c r="F890" t="str">
        <f t="shared" si="53"/>
        <v/>
      </c>
      <c r="G890" t="str">
        <f t="shared" si="54"/>
        <v/>
      </c>
    </row>
    <row r="891" spans="2:7" x14ac:dyDescent="0.25">
      <c r="B891" s="6"/>
      <c r="C891" s="7"/>
      <c r="D891" s="7"/>
      <c r="E891" s="8"/>
      <c r="F891" t="str">
        <f t="shared" si="53"/>
        <v/>
      </c>
      <c r="G891" t="str">
        <f t="shared" si="54"/>
        <v/>
      </c>
    </row>
    <row r="892" spans="2:7" x14ac:dyDescent="0.25">
      <c r="B892" s="6"/>
      <c r="C892" s="7"/>
      <c r="D892" s="7"/>
      <c r="E892" s="8"/>
      <c r="F892" t="str">
        <f t="shared" si="53"/>
        <v/>
      </c>
      <c r="G892" t="str">
        <f t="shared" si="54"/>
        <v/>
      </c>
    </row>
    <row r="893" spans="2:7" x14ac:dyDescent="0.25">
      <c r="B893" s="6"/>
      <c r="C893" s="7"/>
      <c r="D893" s="7"/>
      <c r="E893" s="8"/>
      <c r="F893" t="str">
        <f t="shared" si="53"/>
        <v/>
      </c>
      <c r="G893" t="str">
        <f t="shared" si="54"/>
        <v/>
      </c>
    </row>
    <row r="894" spans="2:7" x14ac:dyDescent="0.25">
      <c r="B894" s="6"/>
      <c r="C894" s="7"/>
      <c r="D894" s="7"/>
      <c r="E894" s="8"/>
      <c r="F894" t="str">
        <f t="shared" si="53"/>
        <v/>
      </c>
      <c r="G894" t="str">
        <f t="shared" si="54"/>
        <v/>
      </c>
    </row>
    <row r="895" spans="2:7" x14ac:dyDescent="0.25">
      <c r="B895" s="6"/>
      <c r="C895" s="7"/>
      <c r="D895" s="7"/>
      <c r="E895" s="8"/>
      <c r="F895" t="str">
        <f t="shared" si="53"/>
        <v/>
      </c>
      <c r="G895" t="str">
        <f t="shared" si="54"/>
        <v/>
      </c>
    </row>
    <row r="896" spans="2:7" x14ac:dyDescent="0.25">
      <c r="B896" s="6"/>
      <c r="C896" s="7"/>
      <c r="D896" s="7"/>
      <c r="E896" s="8"/>
      <c r="F896" t="str">
        <f t="shared" si="53"/>
        <v/>
      </c>
      <c r="G896" t="str">
        <f t="shared" si="54"/>
        <v/>
      </c>
    </row>
    <row r="897" spans="2:7" x14ac:dyDescent="0.25">
      <c r="B897" s="6"/>
      <c r="C897" s="7"/>
      <c r="D897" s="7"/>
      <c r="E897" s="8"/>
      <c r="F897" t="str">
        <f t="shared" si="53"/>
        <v/>
      </c>
      <c r="G897" t="str">
        <f t="shared" si="54"/>
        <v/>
      </c>
    </row>
    <row r="898" spans="2:7" x14ac:dyDescent="0.25">
      <c r="B898" s="6"/>
      <c r="C898" s="7"/>
      <c r="D898" s="7"/>
      <c r="E898" s="8"/>
      <c r="F898" t="str">
        <f t="shared" si="53"/>
        <v/>
      </c>
      <c r="G898" t="str">
        <f t="shared" si="54"/>
        <v/>
      </c>
    </row>
    <row r="899" spans="2:7" x14ac:dyDescent="0.25">
      <c r="B899" s="6"/>
      <c r="C899" s="7"/>
      <c r="D899" s="7"/>
      <c r="E899" s="8"/>
      <c r="F899" t="str">
        <f t="shared" si="53"/>
        <v/>
      </c>
      <c r="G899" t="str">
        <f t="shared" si="54"/>
        <v/>
      </c>
    </row>
    <row r="900" spans="2:7" x14ac:dyDescent="0.25">
      <c r="B900" s="6"/>
      <c r="C900" s="7"/>
      <c r="D900" s="7"/>
      <c r="E900" s="8"/>
      <c r="F900" t="str">
        <f t="shared" ref="F900:F963" si="55">IF(B900="","",LOG10(D900))</f>
        <v/>
      </c>
      <c r="G900" t="str">
        <f t="shared" ref="G900:G963" si="56">IF(E900="", "",0.434*E900/D900)</f>
        <v/>
      </c>
    </row>
    <row r="901" spans="2:7" x14ac:dyDescent="0.25">
      <c r="B901" s="6"/>
      <c r="C901" s="7"/>
      <c r="D901" s="7"/>
      <c r="E901" s="8"/>
      <c r="F901" t="str">
        <f t="shared" si="55"/>
        <v/>
      </c>
      <c r="G901" t="str">
        <f t="shared" si="56"/>
        <v/>
      </c>
    </row>
    <row r="902" spans="2:7" x14ac:dyDescent="0.25">
      <c r="B902" s="6"/>
      <c r="C902" s="7"/>
      <c r="D902" s="7"/>
      <c r="E902" s="8"/>
      <c r="F902" t="str">
        <f t="shared" si="55"/>
        <v/>
      </c>
      <c r="G902" t="str">
        <f t="shared" si="56"/>
        <v/>
      </c>
    </row>
    <row r="903" spans="2:7" x14ac:dyDescent="0.25">
      <c r="B903" s="6"/>
      <c r="C903" s="7"/>
      <c r="D903" s="7"/>
      <c r="E903" s="8"/>
      <c r="F903" t="str">
        <f t="shared" si="55"/>
        <v/>
      </c>
      <c r="G903" t="str">
        <f t="shared" si="56"/>
        <v/>
      </c>
    </row>
    <row r="904" spans="2:7" x14ac:dyDescent="0.25">
      <c r="B904" s="6"/>
      <c r="C904" s="7"/>
      <c r="D904" s="7"/>
      <c r="E904" s="8"/>
      <c r="F904" t="str">
        <f t="shared" si="55"/>
        <v/>
      </c>
      <c r="G904" t="str">
        <f t="shared" si="56"/>
        <v/>
      </c>
    </row>
    <row r="905" spans="2:7" x14ac:dyDescent="0.25">
      <c r="B905" s="6"/>
      <c r="C905" s="7"/>
      <c r="D905" s="7"/>
      <c r="E905" s="8"/>
      <c r="F905" t="str">
        <f t="shared" si="55"/>
        <v/>
      </c>
      <c r="G905" t="str">
        <f t="shared" si="56"/>
        <v/>
      </c>
    </row>
    <row r="906" spans="2:7" x14ac:dyDescent="0.25">
      <c r="B906" s="6"/>
      <c r="C906" s="7"/>
      <c r="D906" s="7"/>
      <c r="E906" s="8"/>
      <c r="F906" t="str">
        <f t="shared" si="55"/>
        <v/>
      </c>
      <c r="G906" t="str">
        <f t="shared" si="56"/>
        <v/>
      </c>
    </row>
    <row r="907" spans="2:7" x14ac:dyDescent="0.25">
      <c r="B907" s="6"/>
      <c r="C907" s="7"/>
      <c r="D907" s="7"/>
      <c r="E907" s="8"/>
      <c r="F907" t="str">
        <f t="shared" si="55"/>
        <v/>
      </c>
      <c r="G907" t="str">
        <f t="shared" si="56"/>
        <v/>
      </c>
    </row>
    <row r="908" spans="2:7" x14ac:dyDescent="0.25">
      <c r="B908" s="6"/>
      <c r="C908" s="7"/>
      <c r="D908" s="7"/>
      <c r="E908" s="8"/>
      <c r="F908" t="str">
        <f t="shared" si="55"/>
        <v/>
      </c>
      <c r="G908" t="str">
        <f t="shared" si="56"/>
        <v/>
      </c>
    </row>
    <row r="909" spans="2:7" x14ac:dyDescent="0.25">
      <c r="B909" s="6"/>
      <c r="C909" s="7"/>
      <c r="D909" s="7"/>
      <c r="E909" s="8"/>
      <c r="F909" t="str">
        <f t="shared" si="55"/>
        <v/>
      </c>
      <c r="G909" t="str">
        <f t="shared" si="56"/>
        <v/>
      </c>
    </row>
    <row r="910" spans="2:7" x14ac:dyDescent="0.25">
      <c r="B910" s="6"/>
      <c r="C910" s="7"/>
      <c r="D910" s="7"/>
      <c r="E910" s="8"/>
      <c r="F910" t="str">
        <f t="shared" si="55"/>
        <v/>
      </c>
      <c r="G910" t="str">
        <f t="shared" si="56"/>
        <v/>
      </c>
    </row>
    <row r="911" spans="2:7" x14ac:dyDescent="0.25">
      <c r="B911" s="6"/>
      <c r="C911" s="7"/>
      <c r="D911" s="7"/>
      <c r="E911" s="8"/>
      <c r="F911" t="str">
        <f t="shared" si="55"/>
        <v/>
      </c>
      <c r="G911" t="str">
        <f t="shared" si="56"/>
        <v/>
      </c>
    </row>
    <row r="912" spans="2:7" x14ac:dyDescent="0.25">
      <c r="B912" s="6"/>
      <c r="C912" s="7"/>
      <c r="D912" s="7"/>
      <c r="E912" s="8"/>
      <c r="F912" t="str">
        <f t="shared" si="55"/>
        <v/>
      </c>
      <c r="G912" t="str">
        <f t="shared" si="56"/>
        <v/>
      </c>
    </row>
    <row r="913" spans="2:7" x14ac:dyDescent="0.25">
      <c r="B913" s="6"/>
      <c r="C913" s="7"/>
      <c r="D913" s="7"/>
      <c r="E913" s="8"/>
      <c r="F913" t="str">
        <f t="shared" si="55"/>
        <v/>
      </c>
      <c r="G913" t="str">
        <f t="shared" si="56"/>
        <v/>
      </c>
    </row>
    <row r="914" spans="2:7" x14ac:dyDescent="0.25">
      <c r="B914" s="6"/>
      <c r="C914" s="7"/>
      <c r="D914" s="7"/>
      <c r="E914" s="8"/>
      <c r="F914" t="str">
        <f t="shared" si="55"/>
        <v/>
      </c>
      <c r="G914" t="str">
        <f t="shared" si="56"/>
        <v/>
      </c>
    </row>
    <row r="915" spans="2:7" x14ac:dyDescent="0.25">
      <c r="B915" s="6"/>
      <c r="C915" s="7"/>
      <c r="D915" s="7"/>
      <c r="E915" s="8"/>
      <c r="F915" t="str">
        <f t="shared" si="55"/>
        <v/>
      </c>
      <c r="G915" t="str">
        <f t="shared" si="56"/>
        <v/>
      </c>
    </row>
    <row r="916" spans="2:7" x14ac:dyDescent="0.25">
      <c r="B916" s="6"/>
      <c r="C916" s="7"/>
      <c r="D916" s="7"/>
      <c r="E916" s="8"/>
      <c r="F916" t="str">
        <f t="shared" si="55"/>
        <v/>
      </c>
      <c r="G916" t="str">
        <f t="shared" si="56"/>
        <v/>
      </c>
    </row>
    <row r="917" spans="2:7" x14ac:dyDescent="0.25">
      <c r="B917" s="6"/>
      <c r="C917" s="7"/>
      <c r="D917" s="7"/>
      <c r="E917" s="8"/>
      <c r="F917" t="str">
        <f t="shared" si="55"/>
        <v/>
      </c>
      <c r="G917" t="str">
        <f t="shared" si="56"/>
        <v/>
      </c>
    </row>
    <row r="918" spans="2:7" x14ac:dyDescent="0.25">
      <c r="B918" s="6"/>
      <c r="C918" s="7"/>
      <c r="D918" s="7"/>
      <c r="E918" s="8"/>
      <c r="F918" t="str">
        <f t="shared" si="55"/>
        <v/>
      </c>
      <c r="G918" t="str">
        <f t="shared" si="56"/>
        <v/>
      </c>
    </row>
    <row r="919" spans="2:7" x14ac:dyDescent="0.25">
      <c r="B919" s="6"/>
      <c r="C919" s="7"/>
      <c r="D919" s="7"/>
      <c r="E919" s="8"/>
      <c r="F919" t="str">
        <f t="shared" si="55"/>
        <v/>
      </c>
      <c r="G919" t="str">
        <f t="shared" si="56"/>
        <v/>
      </c>
    </row>
    <row r="920" spans="2:7" x14ac:dyDescent="0.25">
      <c r="B920" s="6"/>
      <c r="C920" s="7"/>
      <c r="D920" s="7"/>
      <c r="E920" s="8"/>
      <c r="F920" t="str">
        <f t="shared" si="55"/>
        <v/>
      </c>
      <c r="G920" t="str">
        <f t="shared" si="56"/>
        <v/>
      </c>
    </row>
    <row r="921" spans="2:7" x14ac:dyDescent="0.25">
      <c r="B921" s="6"/>
      <c r="C921" s="7"/>
      <c r="D921" s="7"/>
      <c r="E921" s="8"/>
      <c r="F921" t="str">
        <f t="shared" si="55"/>
        <v/>
      </c>
      <c r="G921" t="str">
        <f t="shared" si="56"/>
        <v/>
      </c>
    </row>
    <row r="922" spans="2:7" x14ac:dyDescent="0.25">
      <c r="B922" s="6"/>
      <c r="C922" s="7"/>
      <c r="D922" s="7"/>
      <c r="E922" s="8"/>
      <c r="F922" t="str">
        <f t="shared" si="55"/>
        <v/>
      </c>
      <c r="G922" t="str">
        <f t="shared" si="56"/>
        <v/>
      </c>
    </row>
    <row r="923" spans="2:7" x14ac:dyDescent="0.25">
      <c r="B923" s="6"/>
      <c r="C923" s="7"/>
      <c r="D923" s="7"/>
      <c r="E923" s="8"/>
      <c r="F923" t="str">
        <f t="shared" si="55"/>
        <v/>
      </c>
      <c r="G923" t="str">
        <f t="shared" si="56"/>
        <v/>
      </c>
    </row>
    <row r="924" spans="2:7" x14ac:dyDescent="0.25">
      <c r="B924" s="6"/>
      <c r="C924" s="7"/>
      <c r="D924" s="7"/>
      <c r="E924" s="8"/>
      <c r="F924" t="str">
        <f t="shared" si="55"/>
        <v/>
      </c>
      <c r="G924" t="str">
        <f t="shared" si="56"/>
        <v/>
      </c>
    </row>
    <row r="925" spans="2:7" x14ac:dyDescent="0.25">
      <c r="B925" s="6"/>
      <c r="C925" s="7"/>
      <c r="D925" s="7"/>
      <c r="E925" s="8"/>
      <c r="F925" t="str">
        <f t="shared" si="55"/>
        <v/>
      </c>
      <c r="G925" t="str">
        <f t="shared" si="56"/>
        <v/>
      </c>
    </row>
    <row r="926" spans="2:7" x14ac:dyDescent="0.25">
      <c r="B926" s="6"/>
      <c r="C926" s="7"/>
      <c r="D926" s="7"/>
      <c r="E926" s="8"/>
      <c r="F926" t="str">
        <f t="shared" si="55"/>
        <v/>
      </c>
      <c r="G926" t="str">
        <f t="shared" si="56"/>
        <v/>
      </c>
    </row>
    <row r="927" spans="2:7" x14ac:dyDescent="0.25">
      <c r="B927" s="6"/>
      <c r="C927" s="7"/>
      <c r="D927" s="7"/>
      <c r="E927" s="8"/>
      <c r="F927" t="str">
        <f t="shared" si="55"/>
        <v/>
      </c>
      <c r="G927" t="str">
        <f t="shared" si="56"/>
        <v/>
      </c>
    </row>
    <row r="928" spans="2:7" x14ac:dyDescent="0.25">
      <c r="B928" s="6"/>
      <c r="C928" s="7"/>
      <c r="D928" s="7"/>
      <c r="E928" s="8"/>
      <c r="F928" t="str">
        <f t="shared" si="55"/>
        <v/>
      </c>
      <c r="G928" t="str">
        <f t="shared" si="56"/>
        <v/>
      </c>
    </row>
    <row r="929" spans="2:7" x14ac:dyDescent="0.25">
      <c r="B929" s="6"/>
      <c r="C929" s="7"/>
      <c r="D929" s="7"/>
      <c r="E929" s="8"/>
      <c r="F929" t="str">
        <f t="shared" si="55"/>
        <v/>
      </c>
      <c r="G929" t="str">
        <f t="shared" si="56"/>
        <v/>
      </c>
    </row>
    <row r="930" spans="2:7" x14ac:dyDescent="0.25">
      <c r="B930" s="6"/>
      <c r="C930" s="7"/>
      <c r="D930" s="7"/>
      <c r="E930" s="8"/>
      <c r="F930" t="str">
        <f t="shared" si="55"/>
        <v/>
      </c>
      <c r="G930" t="str">
        <f t="shared" si="56"/>
        <v/>
      </c>
    </row>
    <row r="931" spans="2:7" x14ac:dyDescent="0.25">
      <c r="B931" s="6"/>
      <c r="C931" s="7"/>
      <c r="D931" s="7"/>
      <c r="E931" s="8"/>
      <c r="F931" t="str">
        <f t="shared" si="55"/>
        <v/>
      </c>
      <c r="G931" t="str">
        <f t="shared" si="56"/>
        <v/>
      </c>
    </row>
    <row r="932" spans="2:7" x14ac:dyDescent="0.25">
      <c r="B932" s="6"/>
      <c r="C932" s="7"/>
      <c r="D932" s="7"/>
      <c r="E932" s="8"/>
      <c r="F932" t="str">
        <f t="shared" si="55"/>
        <v/>
      </c>
      <c r="G932" t="str">
        <f t="shared" si="56"/>
        <v/>
      </c>
    </row>
    <row r="933" spans="2:7" x14ac:dyDescent="0.25">
      <c r="B933" s="6"/>
      <c r="C933" s="7"/>
      <c r="D933" s="7"/>
      <c r="E933" s="8"/>
      <c r="F933" t="str">
        <f t="shared" si="55"/>
        <v/>
      </c>
      <c r="G933" t="str">
        <f t="shared" si="56"/>
        <v/>
      </c>
    </row>
    <row r="934" spans="2:7" x14ac:dyDescent="0.25">
      <c r="B934" s="6"/>
      <c r="C934" s="7"/>
      <c r="D934" s="7"/>
      <c r="E934" s="8"/>
      <c r="F934" t="str">
        <f t="shared" si="55"/>
        <v/>
      </c>
      <c r="G934" t="str">
        <f t="shared" si="56"/>
        <v/>
      </c>
    </row>
    <row r="935" spans="2:7" x14ac:dyDescent="0.25">
      <c r="B935" s="6"/>
      <c r="C935" s="7"/>
      <c r="D935" s="7"/>
      <c r="E935" s="8"/>
      <c r="F935" t="str">
        <f t="shared" si="55"/>
        <v/>
      </c>
      <c r="G935" t="str">
        <f t="shared" si="56"/>
        <v/>
      </c>
    </row>
    <row r="936" spans="2:7" x14ac:dyDescent="0.25">
      <c r="B936" s="6"/>
      <c r="C936" s="7"/>
      <c r="D936" s="7"/>
      <c r="E936" s="8"/>
      <c r="F936" t="str">
        <f t="shared" si="55"/>
        <v/>
      </c>
      <c r="G936" t="str">
        <f t="shared" si="56"/>
        <v/>
      </c>
    </row>
    <row r="937" spans="2:7" x14ac:dyDescent="0.25">
      <c r="B937" s="6"/>
      <c r="C937" s="7"/>
      <c r="D937" s="7"/>
      <c r="E937" s="8"/>
      <c r="F937" t="str">
        <f t="shared" si="55"/>
        <v/>
      </c>
      <c r="G937" t="str">
        <f t="shared" si="56"/>
        <v/>
      </c>
    </row>
    <row r="938" spans="2:7" x14ac:dyDescent="0.25">
      <c r="B938" s="6"/>
      <c r="C938" s="7"/>
      <c r="D938" s="7"/>
      <c r="E938" s="8"/>
      <c r="F938" t="str">
        <f t="shared" si="55"/>
        <v/>
      </c>
      <c r="G938" t="str">
        <f t="shared" si="56"/>
        <v/>
      </c>
    </row>
    <row r="939" spans="2:7" x14ac:dyDescent="0.25">
      <c r="B939" s="6"/>
      <c r="C939" s="7"/>
      <c r="D939" s="7"/>
      <c r="E939" s="8"/>
      <c r="F939" t="str">
        <f t="shared" si="55"/>
        <v/>
      </c>
      <c r="G939" t="str">
        <f t="shared" si="56"/>
        <v/>
      </c>
    </row>
    <row r="940" spans="2:7" x14ac:dyDescent="0.25">
      <c r="B940" s="6"/>
      <c r="C940" s="7"/>
      <c r="D940" s="7"/>
      <c r="E940" s="8"/>
      <c r="F940" t="str">
        <f t="shared" si="55"/>
        <v/>
      </c>
      <c r="G940" t="str">
        <f t="shared" si="56"/>
        <v/>
      </c>
    </row>
    <row r="941" spans="2:7" x14ac:dyDescent="0.25">
      <c r="B941" s="6"/>
      <c r="C941" s="7"/>
      <c r="D941" s="7"/>
      <c r="E941" s="8"/>
      <c r="F941" t="str">
        <f t="shared" si="55"/>
        <v/>
      </c>
      <c r="G941" t="str">
        <f t="shared" si="56"/>
        <v/>
      </c>
    </row>
    <row r="942" spans="2:7" x14ac:dyDescent="0.25">
      <c r="B942" s="6"/>
      <c r="C942" s="7"/>
      <c r="D942" s="7"/>
      <c r="E942" s="8"/>
      <c r="F942" t="str">
        <f t="shared" si="55"/>
        <v/>
      </c>
      <c r="G942" t="str">
        <f t="shared" si="56"/>
        <v/>
      </c>
    </row>
    <row r="943" spans="2:7" x14ac:dyDescent="0.25">
      <c r="B943" s="6"/>
      <c r="C943" s="7"/>
      <c r="D943" s="7"/>
      <c r="E943" s="8"/>
      <c r="F943" t="str">
        <f t="shared" si="55"/>
        <v/>
      </c>
      <c r="G943" t="str">
        <f t="shared" si="56"/>
        <v/>
      </c>
    </row>
    <row r="944" spans="2:7" x14ac:dyDescent="0.25">
      <c r="B944" s="6"/>
      <c r="C944" s="7"/>
      <c r="D944" s="7"/>
      <c r="E944" s="8"/>
      <c r="F944" t="str">
        <f t="shared" si="55"/>
        <v/>
      </c>
      <c r="G944" t="str">
        <f t="shared" si="56"/>
        <v/>
      </c>
    </row>
    <row r="945" spans="2:7" x14ac:dyDescent="0.25">
      <c r="B945" s="6"/>
      <c r="C945" s="7"/>
      <c r="D945" s="7"/>
      <c r="E945" s="8"/>
      <c r="F945" t="str">
        <f t="shared" si="55"/>
        <v/>
      </c>
      <c r="G945" t="str">
        <f t="shared" si="56"/>
        <v/>
      </c>
    </row>
    <row r="946" spans="2:7" x14ac:dyDescent="0.25">
      <c r="B946" s="6"/>
      <c r="C946" s="7"/>
      <c r="D946" s="7"/>
      <c r="E946" s="8"/>
      <c r="F946" t="str">
        <f t="shared" si="55"/>
        <v/>
      </c>
      <c r="G946" t="str">
        <f t="shared" si="56"/>
        <v/>
      </c>
    </row>
    <row r="947" spans="2:7" x14ac:dyDescent="0.25">
      <c r="B947" s="6"/>
      <c r="C947" s="7"/>
      <c r="D947" s="7"/>
      <c r="E947" s="8"/>
      <c r="F947" t="str">
        <f t="shared" si="55"/>
        <v/>
      </c>
      <c r="G947" t="str">
        <f t="shared" si="56"/>
        <v/>
      </c>
    </row>
    <row r="948" spans="2:7" x14ac:dyDescent="0.25">
      <c r="B948" s="6"/>
      <c r="C948" s="7"/>
      <c r="D948" s="7"/>
      <c r="E948" s="8"/>
      <c r="F948" t="str">
        <f t="shared" si="55"/>
        <v/>
      </c>
      <c r="G948" t="str">
        <f t="shared" si="56"/>
        <v/>
      </c>
    </row>
    <row r="949" spans="2:7" x14ac:dyDescent="0.25">
      <c r="B949" s="6"/>
      <c r="C949" s="7"/>
      <c r="D949" s="7"/>
      <c r="E949" s="8"/>
      <c r="F949" t="str">
        <f t="shared" si="55"/>
        <v/>
      </c>
      <c r="G949" t="str">
        <f t="shared" si="56"/>
        <v/>
      </c>
    </row>
    <row r="950" spans="2:7" x14ac:dyDescent="0.25">
      <c r="B950" s="6"/>
      <c r="C950" s="7"/>
      <c r="D950" s="7"/>
      <c r="E950" s="8"/>
      <c r="F950" t="str">
        <f t="shared" si="55"/>
        <v/>
      </c>
      <c r="G950" t="str">
        <f t="shared" si="56"/>
        <v/>
      </c>
    </row>
    <row r="951" spans="2:7" x14ac:dyDescent="0.25">
      <c r="B951" s="6"/>
      <c r="C951" s="7"/>
      <c r="D951" s="7"/>
      <c r="E951" s="8"/>
      <c r="F951" t="str">
        <f t="shared" si="55"/>
        <v/>
      </c>
      <c r="G951" t="str">
        <f t="shared" si="56"/>
        <v/>
      </c>
    </row>
    <row r="952" spans="2:7" x14ac:dyDescent="0.25">
      <c r="B952" s="6"/>
      <c r="C952" s="7"/>
      <c r="D952" s="7"/>
      <c r="E952" s="8"/>
      <c r="F952" t="str">
        <f t="shared" si="55"/>
        <v/>
      </c>
      <c r="G952" t="str">
        <f t="shared" si="56"/>
        <v/>
      </c>
    </row>
    <row r="953" spans="2:7" x14ac:dyDescent="0.25">
      <c r="B953" s="6"/>
      <c r="C953" s="7"/>
      <c r="D953" s="7"/>
      <c r="E953" s="8"/>
      <c r="F953" t="str">
        <f t="shared" si="55"/>
        <v/>
      </c>
      <c r="G953" t="str">
        <f t="shared" si="56"/>
        <v/>
      </c>
    </row>
    <row r="954" spans="2:7" x14ac:dyDescent="0.25">
      <c r="B954" s="6"/>
      <c r="C954" s="7"/>
      <c r="D954" s="7"/>
      <c r="E954" s="8"/>
      <c r="F954" t="str">
        <f t="shared" si="55"/>
        <v/>
      </c>
      <c r="G954" t="str">
        <f t="shared" si="56"/>
        <v/>
      </c>
    </row>
    <row r="955" spans="2:7" x14ac:dyDescent="0.25">
      <c r="B955" s="6"/>
      <c r="C955" s="7"/>
      <c r="D955" s="7"/>
      <c r="E955" s="8"/>
      <c r="F955" t="str">
        <f t="shared" si="55"/>
        <v/>
      </c>
      <c r="G955" t="str">
        <f t="shared" si="56"/>
        <v/>
      </c>
    </row>
    <row r="956" spans="2:7" x14ac:dyDescent="0.25">
      <c r="B956" s="6"/>
      <c r="C956" s="7"/>
      <c r="D956" s="7"/>
      <c r="E956" s="8"/>
      <c r="F956" t="str">
        <f t="shared" si="55"/>
        <v/>
      </c>
      <c r="G956" t="str">
        <f t="shared" si="56"/>
        <v/>
      </c>
    </row>
    <row r="957" spans="2:7" x14ac:dyDescent="0.25">
      <c r="B957" s="6"/>
      <c r="C957" s="7"/>
      <c r="D957" s="7"/>
      <c r="E957" s="8"/>
      <c r="F957" t="str">
        <f t="shared" si="55"/>
        <v/>
      </c>
      <c r="G957" t="str">
        <f t="shared" si="56"/>
        <v/>
      </c>
    </row>
    <row r="958" spans="2:7" x14ac:dyDescent="0.25">
      <c r="B958" s="6"/>
      <c r="C958" s="7"/>
      <c r="D958" s="7"/>
      <c r="E958" s="8"/>
      <c r="F958" t="str">
        <f t="shared" si="55"/>
        <v/>
      </c>
      <c r="G958" t="str">
        <f t="shared" si="56"/>
        <v/>
      </c>
    </row>
    <row r="959" spans="2:7" x14ac:dyDescent="0.25">
      <c r="B959" s="6"/>
      <c r="C959" s="7"/>
      <c r="D959" s="7"/>
      <c r="E959" s="8"/>
      <c r="F959" t="str">
        <f t="shared" si="55"/>
        <v/>
      </c>
      <c r="G959" t="str">
        <f t="shared" si="56"/>
        <v/>
      </c>
    </row>
    <row r="960" spans="2:7" x14ac:dyDescent="0.25">
      <c r="B960" s="6"/>
      <c r="C960" s="7"/>
      <c r="D960" s="7"/>
      <c r="E960" s="8"/>
      <c r="F960" t="str">
        <f t="shared" si="55"/>
        <v/>
      </c>
      <c r="G960" t="str">
        <f t="shared" si="56"/>
        <v/>
      </c>
    </row>
    <row r="961" spans="2:7" x14ac:dyDescent="0.25">
      <c r="B961" s="6"/>
      <c r="C961" s="7"/>
      <c r="D961" s="7"/>
      <c r="E961" s="8"/>
      <c r="F961" t="str">
        <f t="shared" si="55"/>
        <v/>
      </c>
      <c r="G961" t="str">
        <f t="shared" si="56"/>
        <v/>
      </c>
    </row>
    <row r="962" spans="2:7" x14ac:dyDescent="0.25">
      <c r="B962" s="6"/>
      <c r="C962" s="7"/>
      <c r="D962" s="7"/>
      <c r="E962" s="8"/>
      <c r="F962" t="str">
        <f t="shared" si="55"/>
        <v/>
      </c>
      <c r="G962" t="str">
        <f t="shared" si="56"/>
        <v/>
      </c>
    </row>
    <row r="963" spans="2:7" x14ac:dyDescent="0.25">
      <c r="B963" s="6"/>
      <c r="C963" s="7"/>
      <c r="D963" s="7"/>
      <c r="E963" s="8"/>
      <c r="F963" t="str">
        <f t="shared" si="55"/>
        <v/>
      </c>
      <c r="G963" t="str">
        <f t="shared" si="56"/>
        <v/>
      </c>
    </row>
    <row r="964" spans="2:7" x14ac:dyDescent="0.25">
      <c r="B964" s="6"/>
      <c r="C964" s="7"/>
      <c r="D964" s="7"/>
      <c r="E964" s="8"/>
      <c r="F964" t="str">
        <f t="shared" ref="F964:F1027" si="57">IF(B964="","",LOG10(D964))</f>
        <v/>
      </c>
      <c r="G964" t="str">
        <f t="shared" ref="G964:G1027" si="58">IF(E964="", "",0.434*E964/D964)</f>
        <v/>
      </c>
    </row>
    <row r="965" spans="2:7" x14ac:dyDescent="0.25">
      <c r="B965" s="6"/>
      <c r="C965" s="7"/>
      <c r="D965" s="7"/>
      <c r="E965" s="8"/>
      <c r="F965" t="str">
        <f t="shared" si="57"/>
        <v/>
      </c>
      <c r="G965" t="str">
        <f t="shared" si="58"/>
        <v/>
      </c>
    </row>
    <row r="966" spans="2:7" x14ac:dyDescent="0.25">
      <c r="B966" s="6"/>
      <c r="C966" s="7"/>
      <c r="D966" s="7"/>
      <c r="E966" s="8"/>
      <c r="F966" t="str">
        <f t="shared" si="57"/>
        <v/>
      </c>
      <c r="G966" t="str">
        <f t="shared" si="58"/>
        <v/>
      </c>
    </row>
    <row r="967" spans="2:7" x14ac:dyDescent="0.25">
      <c r="B967" s="6"/>
      <c r="C967" s="7"/>
      <c r="D967" s="7"/>
      <c r="E967" s="8"/>
      <c r="F967" t="str">
        <f t="shared" si="57"/>
        <v/>
      </c>
      <c r="G967" t="str">
        <f t="shared" si="58"/>
        <v/>
      </c>
    </row>
    <row r="968" spans="2:7" x14ac:dyDescent="0.25">
      <c r="B968" s="6"/>
      <c r="C968" s="7"/>
      <c r="D968" s="7"/>
      <c r="E968" s="8"/>
      <c r="F968" t="str">
        <f t="shared" si="57"/>
        <v/>
      </c>
      <c r="G968" t="str">
        <f t="shared" si="58"/>
        <v/>
      </c>
    </row>
    <row r="969" spans="2:7" x14ac:dyDescent="0.25">
      <c r="B969" s="6"/>
      <c r="C969" s="7"/>
      <c r="D969" s="7"/>
      <c r="E969" s="8"/>
      <c r="F969" t="str">
        <f t="shared" si="57"/>
        <v/>
      </c>
      <c r="G969" t="str">
        <f t="shared" si="58"/>
        <v/>
      </c>
    </row>
    <row r="970" spans="2:7" x14ac:dyDescent="0.25">
      <c r="B970" s="6"/>
      <c r="C970" s="7"/>
      <c r="D970" s="7"/>
      <c r="E970" s="8"/>
      <c r="F970" t="str">
        <f t="shared" si="57"/>
        <v/>
      </c>
      <c r="G970" t="str">
        <f t="shared" si="58"/>
        <v/>
      </c>
    </row>
    <row r="971" spans="2:7" x14ac:dyDescent="0.25">
      <c r="B971" s="6"/>
      <c r="C971" s="7"/>
      <c r="D971" s="7"/>
      <c r="E971" s="8"/>
      <c r="F971" t="str">
        <f t="shared" si="57"/>
        <v/>
      </c>
      <c r="G971" t="str">
        <f t="shared" si="58"/>
        <v/>
      </c>
    </row>
    <row r="972" spans="2:7" x14ac:dyDescent="0.25">
      <c r="B972" s="6"/>
      <c r="C972" s="7"/>
      <c r="D972" s="7"/>
      <c r="E972" s="8"/>
      <c r="F972" t="str">
        <f t="shared" si="57"/>
        <v/>
      </c>
      <c r="G972" t="str">
        <f t="shared" si="58"/>
        <v/>
      </c>
    </row>
    <row r="973" spans="2:7" x14ac:dyDescent="0.25">
      <c r="B973" s="6"/>
      <c r="C973" s="7"/>
      <c r="D973" s="7"/>
      <c r="E973" s="8"/>
      <c r="F973" t="str">
        <f t="shared" si="57"/>
        <v/>
      </c>
      <c r="G973" t="str">
        <f t="shared" si="58"/>
        <v/>
      </c>
    </row>
    <row r="974" spans="2:7" x14ac:dyDescent="0.25">
      <c r="B974" s="6"/>
      <c r="C974" s="7"/>
      <c r="D974" s="7"/>
      <c r="E974" s="8"/>
      <c r="F974" t="str">
        <f t="shared" si="57"/>
        <v/>
      </c>
      <c r="G974" t="str">
        <f t="shared" si="58"/>
        <v/>
      </c>
    </row>
    <row r="975" spans="2:7" x14ac:dyDescent="0.25">
      <c r="B975" s="6"/>
      <c r="C975" s="7"/>
      <c r="D975" s="7"/>
      <c r="E975" s="8"/>
      <c r="F975" t="str">
        <f t="shared" si="57"/>
        <v/>
      </c>
      <c r="G975" t="str">
        <f t="shared" si="58"/>
        <v/>
      </c>
    </row>
    <row r="976" spans="2:7" x14ac:dyDescent="0.25">
      <c r="B976" s="6"/>
      <c r="C976" s="7"/>
      <c r="D976" s="7"/>
      <c r="E976" s="8"/>
      <c r="F976" t="str">
        <f t="shared" si="57"/>
        <v/>
      </c>
      <c r="G976" t="str">
        <f t="shared" si="58"/>
        <v/>
      </c>
    </row>
    <row r="977" spans="2:7" x14ac:dyDescent="0.25">
      <c r="B977" s="6"/>
      <c r="C977" s="7"/>
      <c r="D977" s="7"/>
      <c r="E977" s="8"/>
      <c r="F977" t="str">
        <f t="shared" si="57"/>
        <v/>
      </c>
      <c r="G977" t="str">
        <f t="shared" si="58"/>
        <v/>
      </c>
    </row>
    <row r="978" spans="2:7" x14ac:dyDescent="0.25">
      <c r="B978" s="6"/>
      <c r="C978" s="7"/>
      <c r="D978" s="7"/>
      <c r="E978" s="8"/>
      <c r="F978" t="str">
        <f t="shared" si="57"/>
        <v/>
      </c>
      <c r="G978" t="str">
        <f t="shared" si="58"/>
        <v/>
      </c>
    </row>
    <row r="979" spans="2:7" x14ac:dyDescent="0.25">
      <c r="B979" s="6"/>
      <c r="C979" s="7"/>
      <c r="D979" s="7"/>
      <c r="E979" s="8"/>
      <c r="F979" t="str">
        <f t="shared" si="57"/>
        <v/>
      </c>
      <c r="G979" t="str">
        <f t="shared" si="58"/>
        <v/>
      </c>
    </row>
    <row r="980" spans="2:7" x14ac:dyDescent="0.25">
      <c r="B980" s="6"/>
      <c r="C980" s="7"/>
      <c r="D980" s="7"/>
      <c r="E980" s="8"/>
      <c r="F980" t="str">
        <f t="shared" si="57"/>
        <v/>
      </c>
      <c r="G980" t="str">
        <f t="shared" si="58"/>
        <v/>
      </c>
    </row>
    <row r="981" spans="2:7" x14ac:dyDescent="0.25">
      <c r="B981" s="6"/>
      <c r="C981" s="7"/>
      <c r="D981" s="7"/>
      <c r="E981" s="8"/>
      <c r="F981" t="str">
        <f t="shared" si="57"/>
        <v/>
      </c>
      <c r="G981" t="str">
        <f t="shared" si="58"/>
        <v/>
      </c>
    </row>
    <row r="982" spans="2:7" x14ac:dyDescent="0.25">
      <c r="B982" s="6"/>
      <c r="C982" s="7"/>
      <c r="D982" s="7"/>
      <c r="E982" s="8"/>
      <c r="F982" t="str">
        <f t="shared" si="57"/>
        <v/>
      </c>
      <c r="G982" t="str">
        <f t="shared" si="58"/>
        <v/>
      </c>
    </row>
    <row r="983" spans="2:7" x14ac:dyDescent="0.25">
      <c r="B983" s="6"/>
      <c r="C983" s="7"/>
      <c r="D983" s="7"/>
      <c r="E983" s="8"/>
      <c r="F983" t="str">
        <f t="shared" si="57"/>
        <v/>
      </c>
      <c r="G983" t="str">
        <f t="shared" si="58"/>
        <v/>
      </c>
    </row>
    <row r="984" spans="2:7" x14ac:dyDescent="0.25">
      <c r="B984" s="6"/>
      <c r="C984" s="7"/>
      <c r="D984" s="7"/>
      <c r="E984" s="8"/>
      <c r="F984" t="str">
        <f t="shared" si="57"/>
        <v/>
      </c>
      <c r="G984" t="str">
        <f t="shared" si="58"/>
        <v/>
      </c>
    </row>
    <row r="985" spans="2:7" x14ac:dyDescent="0.25">
      <c r="B985" s="6"/>
      <c r="C985" s="7"/>
      <c r="D985" s="7"/>
      <c r="E985" s="8"/>
      <c r="F985" t="str">
        <f t="shared" si="57"/>
        <v/>
      </c>
      <c r="G985" t="str">
        <f t="shared" si="58"/>
        <v/>
      </c>
    </row>
    <row r="986" spans="2:7" x14ac:dyDescent="0.25">
      <c r="B986" s="6"/>
      <c r="C986" s="7"/>
      <c r="D986" s="7"/>
      <c r="E986" s="8"/>
      <c r="F986" t="str">
        <f t="shared" si="57"/>
        <v/>
      </c>
      <c r="G986" t="str">
        <f t="shared" si="58"/>
        <v/>
      </c>
    </row>
    <row r="987" spans="2:7" x14ac:dyDescent="0.25">
      <c r="B987" s="6"/>
      <c r="C987" s="7"/>
      <c r="D987" s="7"/>
      <c r="E987" s="8"/>
      <c r="F987" t="str">
        <f t="shared" si="57"/>
        <v/>
      </c>
      <c r="G987" t="str">
        <f t="shared" si="58"/>
        <v/>
      </c>
    </row>
    <row r="988" spans="2:7" x14ac:dyDescent="0.25">
      <c r="B988" s="6"/>
      <c r="C988" s="7"/>
      <c r="D988" s="7"/>
      <c r="E988" s="8"/>
      <c r="F988" t="str">
        <f t="shared" si="57"/>
        <v/>
      </c>
      <c r="G988" t="str">
        <f t="shared" si="58"/>
        <v/>
      </c>
    </row>
    <row r="989" spans="2:7" x14ac:dyDescent="0.25">
      <c r="B989" s="6"/>
      <c r="C989" s="7"/>
      <c r="D989" s="7"/>
      <c r="E989" s="8"/>
      <c r="F989" t="str">
        <f t="shared" si="57"/>
        <v/>
      </c>
      <c r="G989" t="str">
        <f t="shared" si="58"/>
        <v/>
      </c>
    </row>
    <row r="990" spans="2:7" x14ac:dyDescent="0.25">
      <c r="B990" s="6"/>
      <c r="C990" s="7"/>
      <c r="D990" s="7"/>
      <c r="E990" s="8"/>
      <c r="F990" t="str">
        <f t="shared" si="57"/>
        <v/>
      </c>
      <c r="G990" t="str">
        <f t="shared" si="58"/>
        <v/>
      </c>
    </row>
    <row r="991" spans="2:7" x14ac:dyDescent="0.25">
      <c r="B991" s="6"/>
      <c r="C991" s="7"/>
      <c r="D991" s="7"/>
      <c r="E991" s="8"/>
      <c r="F991" t="str">
        <f t="shared" si="57"/>
        <v/>
      </c>
      <c r="G991" t="str">
        <f t="shared" si="58"/>
        <v/>
      </c>
    </row>
    <row r="992" spans="2:7" x14ac:dyDescent="0.25">
      <c r="B992" s="6"/>
      <c r="C992" s="7"/>
      <c r="D992" s="7"/>
      <c r="E992" s="8"/>
      <c r="F992" t="str">
        <f t="shared" si="57"/>
        <v/>
      </c>
      <c r="G992" t="str">
        <f t="shared" si="58"/>
        <v/>
      </c>
    </row>
    <row r="993" spans="2:7" x14ac:dyDescent="0.25">
      <c r="B993" s="6"/>
      <c r="C993" s="7"/>
      <c r="D993" s="7"/>
      <c r="E993" s="8"/>
      <c r="F993" t="str">
        <f t="shared" si="57"/>
        <v/>
      </c>
      <c r="G993" t="str">
        <f t="shared" si="58"/>
        <v/>
      </c>
    </row>
    <row r="994" spans="2:7" x14ac:dyDescent="0.25">
      <c r="B994" s="6"/>
      <c r="C994" s="7"/>
      <c r="D994" s="7"/>
      <c r="E994" s="8"/>
      <c r="F994" t="str">
        <f t="shared" si="57"/>
        <v/>
      </c>
      <c r="G994" t="str">
        <f t="shared" si="58"/>
        <v/>
      </c>
    </row>
    <row r="995" spans="2:7" x14ac:dyDescent="0.25">
      <c r="B995" s="6"/>
      <c r="C995" s="7"/>
      <c r="D995" s="7"/>
      <c r="E995" s="8"/>
      <c r="F995" t="str">
        <f t="shared" si="57"/>
        <v/>
      </c>
      <c r="G995" t="str">
        <f t="shared" si="58"/>
        <v/>
      </c>
    </row>
    <row r="996" spans="2:7" x14ac:dyDescent="0.25">
      <c r="B996" s="6"/>
      <c r="C996" s="7"/>
      <c r="D996" s="7"/>
      <c r="E996" s="8"/>
      <c r="F996" t="str">
        <f t="shared" si="57"/>
        <v/>
      </c>
      <c r="G996" t="str">
        <f t="shared" si="58"/>
        <v/>
      </c>
    </row>
    <row r="997" spans="2:7" x14ac:dyDescent="0.25">
      <c r="B997" s="6"/>
      <c r="C997" s="7"/>
      <c r="D997" s="7"/>
      <c r="E997" s="8"/>
      <c r="F997" t="str">
        <f t="shared" si="57"/>
        <v/>
      </c>
      <c r="G997" t="str">
        <f t="shared" si="58"/>
        <v/>
      </c>
    </row>
    <row r="998" spans="2:7" x14ac:dyDescent="0.25">
      <c r="B998" s="6"/>
      <c r="C998" s="7"/>
      <c r="D998" s="7"/>
      <c r="E998" s="8"/>
      <c r="F998" t="str">
        <f t="shared" si="57"/>
        <v/>
      </c>
      <c r="G998" t="str">
        <f t="shared" si="58"/>
        <v/>
      </c>
    </row>
    <row r="999" spans="2:7" x14ac:dyDescent="0.25">
      <c r="B999" s="6"/>
      <c r="C999" s="7"/>
      <c r="D999" s="7"/>
      <c r="E999" s="8"/>
      <c r="F999" t="str">
        <f t="shared" si="57"/>
        <v/>
      </c>
      <c r="G999" t="str">
        <f t="shared" si="58"/>
        <v/>
      </c>
    </row>
    <row r="1000" spans="2:7" x14ac:dyDescent="0.25">
      <c r="B1000" s="6"/>
      <c r="C1000" s="7"/>
      <c r="D1000" s="7"/>
      <c r="E1000" s="8"/>
      <c r="F1000" t="str">
        <f t="shared" si="57"/>
        <v/>
      </c>
      <c r="G1000" t="str">
        <f t="shared" si="58"/>
        <v/>
      </c>
    </row>
    <row r="1001" spans="2:7" x14ac:dyDescent="0.25">
      <c r="B1001" s="6"/>
      <c r="C1001" s="7"/>
      <c r="D1001" s="7"/>
      <c r="E1001" s="8"/>
      <c r="F1001" t="str">
        <f t="shared" si="57"/>
        <v/>
      </c>
      <c r="G1001" t="str">
        <f t="shared" si="58"/>
        <v/>
      </c>
    </row>
    <row r="1002" spans="2:7" x14ac:dyDescent="0.25">
      <c r="B1002" s="6"/>
      <c r="C1002" s="7"/>
      <c r="D1002" s="7"/>
      <c r="E1002" s="8"/>
      <c r="F1002" t="str">
        <f t="shared" si="57"/>
        <v/>
      </c>
      <c r="G1002" t="str">
        <f t="shared" si="58"/>
        <v/>
      </c>
    </row>
    <row r="1003" spans="2:7" x14ac:dyDescent="0.25">
      <c r="B1003" s="6"/>
      <c r="C1003" s="7"/>
      <c r="D1003" s="7"/>
      <c r="E1003" s="8"/>
      <c r="F1003" t="str">
        <f t="shared" si="57"/>
        <v/>
      </c>
      <c r="G1003" t="str">
        <f t="shared" si="58"/>
        <v/>
      </c>
    </row>
    <row r="1004" spans="2:7" x14ac:dyDescent="0.25">
      <c r="B1004" s="6"/>
      <c r="C1004" s="7"/>
      <c r="D1004" s="7"/>
      <c r="E1004" s="8"/>
      <c r="F1004" t="str">
        <f t="shared" si="57"/>
        <v/>
      </c>
      <c r="G1004" t="str">
        <f t="shared" si="58"/>
        <v/>
      </c>
    </row>
    <row r="1005" spans="2:7" x14ac:dyDescent="0.25">
      <c r="B1005" s="6"/>
      <c r="C1005" s="7"/>
      <c r="D1005" s="7"/>
      <c r="E1005" s="8"/>
      <c r="F1005" t="str">
        <f t="shared" si="57"/>
        <v/>
      </c>
      <c r="G1005" t="str">
        <f t="shared" si="58"/>
        <v/>
      </c>
    </row>
    <row r="1006" spans="2:7" x14ac:dyDescent="0.25">
      <c r="B1006" s="6"/>
      <c r="C1006" s="7"/>
      <c r="D1006" s="7"/>
      <c r="E1006" s="8"/>
      <c r="F1006" t="str">
        <f t="shared" si="57"/>
        <v/>
      </c>
      <c r="G1006" t="str">
        <f t="shared" si="58"/>
        <v/>
      </c>
    </row>
    <row r="1007" spans="2:7" x14ac:dyDescent="0.25">
      <c r="B1007" s="6"/>
      <c r="C1007" s="7"/>
      <c r="D1007" s="7"/>
      <c r="E1007" s="8"/>
      <c r="F1007" t="str">
        <f t="shared" si="57"/>
        <v/>
      </c>
      <c r="G1007" t="str">
        <f t="shared" si="58"/>
        <v/>
      </c>
    </row>
    <row r="1008" spans="2:7" x14ac:dyDescent="0.25">
      <c r="B1008" s="6"/>
      <c r="C1008" s="7"/>
      <c r="D1008" s="7"/>
      <c r="E1008" s="8"/>
      <c r="F1008" t="str">
        <f t="shared" si="57"/>
        <v/>
      </c>
      <c r="G1008" t="str">
        <f t="shared" si="58"/>
        <v/>
      </c>
    </row>
    <row r="1009" spans="2:7" x14ac:dyDescent="0.25">
      <c r="B1009" s="6"/>
      <c r="C1009" s="7"/>
      <c r="D1009" s="7"/>
      <c r="E1009" s="8"/>
      <c r="F1009" t="str">
        <f t="shared" si="57"/>
        <v/>
      </c>
      <c r="G1009" t="str">
        <f t="shared" si="58"/>
        <v/>
      </c>
    </row>
    <row r="1010" spans="2:7" x14ac:dyDescent="0.25">
      <c r="B1010" s="6"/>
      <c r="C1010" s="7"/>
      <c r="D1010" s="7"/>
      <c r="E1010" s="8"/>
      <c r="F1010" t="str">
        <f t="shared" si="57"/>
        <v/>
      </c>
      <c r="G1010" t="str">
        <f t="shared" si="58"/>
        <v/>
      </c>
    </row>
    <row r="1011" spans="2:7" x14ac:dyDescent="0.25">
      <c r="B1011" s="6"/>
      <c r="C1011" s="7"/>
      <c r="D1011" s="7"/>
      <c r="E1011" s="8"/>
      <c r="F1011" t="str">
        <f t="shared" si="57"/>
        <v/>
      </c>
      <c r="G1011" t="str">
        <f t="shared" si="58"/>
        <v/>
      </c>
    </row>
    <row r="1012" spans="2:7" x14ac:dyDescent="0.25">
      <c r="B1012" s="6"/>
      <c r="C1012" s="7"/>
      <c r="D1012" s="7"/>
      <c r="E1012" s="8"/>
      <c r="F1012" t="str">
        <f t="shared" si="57"/>
        <v/>
      </c>
      <c r="G1012" t="str">
        <f t="shared" si="58"/>
        <v/>
      </c>
    </row>
    <row r="1013" spans="2:7" x14ac:dyDescent="0.25">
      <c r="B1013" s="6"/>
      <c r="C1013" s="7"/>
      <c r="D1013" s="7"/>
      <c r="E1013" s="8"/>
      <c r="F1013" t="str">
        <f t="shared" si="57"/>
        <v/>
      </c>
      <c r="G1013" t="str">
        <f t="shared" si="58"/>
        <v/>
      </c>
    </row>
    <row r="1014" spans="2:7" x14ac:dyDescent="0.25">
      <c r="B1014" s="6"/>
      <c r="C1014" s="7"/>
      <c r="D1014" s="7"/>
      <c r="E1014" s="8"/>
      <c r="F1014" t="str">
        <f t="shared" si="57"/>
        <v/>
      </c>
      <c r="G1014" t="str">
        <f t="shared" si="58"/>
        <v/>
      </c>
    </row>
    <row r="1015" spans="2:7" x14ac:dyDescent="0.25">
      <c r="B1015" s="6"/>
      <c r="C1015" s="7"/>
      <c r="D1015" s="7"/>
      <c r="E1015" s="8"/>
      <c r="F1015" t="str">
        <f t="shared" si="57"/>
        <v/>
      </c>
      <c r="G1015" t="str">
        <f t="shared" si="58"/>
        <v/>
      </c>
    </row>
    <row r="1016" spans="2:7" x14ac:dyDescent="0.25">
      <c r="B1016" s="6"/>
      <c r="C1016" s="7"/>
      <c r="D1016" s="7"/>
      <c r="E1016" s="8"/>
      <c r="F1016" t="str">
        <f t="shared" si="57"/>
        <v/>
      </c>
      <c r="G1016" t="str">
        <f t="shared" si="58"/>
        <v/>
      </c>
    </row>
    <row r="1017" spans="2:7" x14ac:dyDescent="0.25">
      <c r="B1017" s="6"/>
      <c r="C1017" s="7"/>
      <c r="D1017" s="7"/>
      <c r="E1017" s="8"/>
      <c r="F1017" t="str">
        <f t="shared" si="57"/>
        <v/>
      </c>
      <c r="G1017" t="str">
        <f t="shared" si="58"/>
        <v/>
      </c>
    </row>
    <row r="1018" spans="2:7" x14ac:dyDescent="0.25">
      <c r="B1018" s="6"/>
      <c r="C1018" s="7"/>
      <c r="D1018" s="7"/>
      <c r="E1018" s="8"/>
      <c r="F1018" t="str">
        <f t="shared" si="57"/>
        <v/>
      </c>
      <c r="G1018" t="str">
        <f t="shared" si="58"/>
        <v/>
      </c>
    </row>
    <row r="1019" spans="2:7" x14ac:dyDescent="0.25">
      <c r="B1019" s="6"/>
      <c r="C1019" s="7"/>
      <c r="D1019" s="7"/>
      <c r="E1019" s="8"/>
      <c r="F1019" t="str">
        <f t="shared" si="57"/>
        <v/>
      </c>
      <c r="G1019" t="str">
        <f t="shared" si="58"/>
        <v/>
      </c>
    </row>
    <row r="1020" spans="2:7" x14ac:dyDescent="0.25">
      <c r="B1020" s="6"/>
      <c r="C1020" s="7"/>
      <c r="D1020" s="7"/>
      <c r="E1020" s="8"/>
      <c r="F1020" t="str">
        <f t="shared" si="57"/>
        <v/>
      </c>
      <c r="G1020" t="str">
        <f t="shared" si="58"/>
        <v/>
      </c>
    </row>
    <row r="1021" spans="2:7" x14ac:dyDescent="0.25">
      <c r="B1021" s="6"/>
      <c r="C1021" s="7"/>
      <c r="D1021" s="7"/>
      <c r="E1021" s="8"/>
      <c r="F1021" t="str">
        <f t="shared" si="57"/>
        <v/>
      </c>
      <c r="G1021" t="str">
        <f t="shared" si="58"/>
        <v/>
      </c>
    </row>
    <row r="1022" spans="2:7" x14ac:dyDescent="0.25">
      <c r="B1022" s="6"/>
      <c r="C1022" s="7"/>
      <c r="D1022" s="7"/>
      <c r="E1022" s="8"/>
      <c r="F1022" t="str">
        <f t="shared" si="57"/>
        <v/>
      </c>
      <c r="G1022" t="str">
        <f t="shared" si="58"/>
        <v/>
      </c>
    </row>
    <row r="1023" spans="2:7" x14ac:dyDescent="0.25">
      <c r="B1023" s="6"/>
      <c r="C1023" s="7"/>
      <c r="D1023" s="7"/>
      <c r="E1023" s="8"/>
      <c r="F1023" t="str">
        <f t="shared" si="57"/>
        <v/>
      </c>
      <c r="G1023" t="str">
        <f t="shared" si="58"/>
        <v/>
      </c>
    </row>
    <row r="1024" spans="2:7" x14ac:dyDescent="0.25">
      <c r="B1024" s="6"/>
      <c r="C1024" s="7"/>
      <c r="D1024" s="7"/>
      <c r="E1024" s="8"/>
      <c r="F1024" t="str">
        <f t="shared" si="57"/>
        <v/>
      </c>
      <c r="G1024" t="str">
        <f t="shared" si="58"/>
        <v/>
      </c>
    </row>
    <row r="1025" spans="2:7" x14ac:dyDescent="0.25">
      <c r="B1025" s="6"/>
      <c r="C1025" s="7"/>
      <c r="D1025" s="7"/>
      <c r="E1025" s="8"/>
      <c r="F1025" t="str">
        <f t="shared" si="57"/>
        <v/>
      </c>
      <c r="G1025" t="str">
        <f t="shared" si="58"/>
        <v/>
      </c>
    </row>
    <row r="1026" spans="2:7" x14ac:dyDescent="0.25">
      <c r="B1026" s="6"/>
      <c r="C1026" s="7"/>
      <c r="D1026" s="7"/>
      <c r="E1026" s="8"/>
      <c r="F1026" t="str">
        <f t="shared" si="57"/>
        <v/>
      </c>
      <c r="G1026" t="str">
        <f t="shared" si="58"/>
        <v/>
      </c>
    </row>
    <row r="1027" spans="2:7" x14ac:dyDescent="0.25">
      <c r="B1027" s="6"/>
      <c r="C1027" s="7"/>
      <c r="D1027" s="7"/>
      <c r="E1027" s="8"/>
      <c r="F1027" t="str">
        <f t="shared" si="57"/>
        <v/>
      </c>
      <c r="G1027" t="str">
        <f t="shared" si="58"/>
        <v/>
      </c>
    </row>
    <row r="1028" spans="2:7" x14ac:dyDescent="0.25">
      <c r="B1028" s="6"/>
      <c r="C1028" s="7"/>
      <c r="D1028" s="7"/>
      <c r="E1028" s="8"/>
      <c r="F1028" t="str">
        <f t="shared" ref="F1028:F1091" si="59">IF(B1028="","",LOG10(D1028))</f>
        <v/>
      </c>
      <c r="G1028" t="str">
        <f t="shared" ref="G1028:G1091" si="60">IF(E1028="", "",0.434*E1028/D1028)</f>
        <v/>
      </c>
    </row>
    <row r="1029" spans="2:7" x14ac:dyDescent="0.25">
      <c r="B1029" s="6"/>
      <c r="C1029" s="7"/>
      <c r="D1029" s="7"/>
      <c r="E1029" s="8"/>
      <c r="F1029" t="str">
        <f t="shared" si="59"/>
        <v/>
      </c>
      <c r="G1029" t="str">
        <f t="shared" si="60"/>
        <v/>
      </c>
    </row>
    <row r="1030" spans="2:7" x14ac:dyDescent="0.25">
      <c r="B1030" s="6"/>
      <c r="C1030" s="7"/>
      <c r="D1030" s="7"/>
      <c r="E1030" s="8"/>
      <c r="F1030" t="str">
        <f t="shared" si="59"/>
        <v/>
      </c>
      <c r="G1030" t="str">
        <f t="shared" si="60"/>
        <v/>
      </c>
    </row>
    <row r="1031" spans="2:7" x14ac:dyDescent="0.25">
      <c r="B1031" s="6"/>
      <c r="C1031" s="7"/>
      <c r="D1031" s="7"/>
      <c r="E1031" s="8"/>
      <c r="F1031" t="str">
        <f t="shared" si="59"/>
        <v/>
      </c>
      <c r="G1031" t="str">
        <f t="shared" si="60"/>
        <v/>
      </c>
    </row>
    <row r="1032" spans="2:7" x14ac:dyDescent="0.25">
      <c r="B1032" s="6"/>
      <c r="C1032" s="7"/>
      <c r="D1032" s="7"/>
      <c r="E1032" s="8"/>
      <c r="F1032" t="str">
        <f t="shared" si="59"/>
        <v/>
      </c>
      <c r="G1032" t="str">
        <f t="shared" si="60"/>
        <v/>
      </c>
    </row>
    <row r="1033" spans="2:7" x14ac:dyDescent="0.25">
      <c r="B1033" s="6"/>
      <c r="C1033" s="7"/>
      <c r="D1033" s="7"/>
      <c r="E1033" s="8"/>
      <c r="F1033" t="str">
        <f t="shared" si="59"/>
        <v/>
      </c>
      <c r="G1033" t="str">
        <f t="shared" si="60"/>
        <v/>
      </c>
    </row>
    <row r="1034" spans="2:7" x14ac:dyDescent="0.25">
      <c r="B1034" s="6"/>
      <c r="C1034" s="7"/>
      <c r="D1034" s="7"/>
      <c r="E1034" s="8"/>
      <c r="F1034" t="str">
        <f t="shared" si="59"/>
        <v/>
      </c>
      <c r="G1034" t="str">
        <f t="shared" si="60"/>
        <v/>
      </c>
    </row>
    <row r="1035" spans="2:7" x14ac:dyDescent="0.25">
      <c r="B1035" s="6"/>
      <c r="C1035" s="7"/>
      <c r="D1035" s="7"/>
      <c r="E1035" s="8"/>
      <c r="F1035" t="str">
        <f t="shared" si="59"/>
        <v/>
      </c>
      <c r="G1035" t="str">
        <f t="shared" si="60"/>
        <v/>
      </c>
    </row>
    <row r="1036" spans="2:7" x14ac:dyDescent="0.25">
      <c r="B1036" s="6"/>
      <c r="C1036" s="7"/>
      <c r="D1036" s="7"/>
      <c r="E1036" s="8"/>
      <c r="F1036" t="str">
        <f t="shared" si="59"/>
        <v/>
      </c>
      <c r="G1036" t="str">
        <f t="shared" si="60"/>
        <v/>
      </c>
    </row>
    <row r="1037" spans="2:7" x14ac:dyDescent="0.25">
      <c r="B1037" s="6"/>
      <c r="C1037" s="7"/>
      <c r="D1037" s="7"/>
      <c r="E1037" s="8"/>
      <c r="F1037" t="str">
        <f t="shared" si="59"/>
        <v/>
      </c>
      <c r="G1037" t="str">
        <f t="shared" si="60"/>
        <v/>
      </c>
    </row>
    <row r="1038" spans="2:7" x14ac:dyDescent="0.25">
      <c r="B1038" s="6"/>
      <c r="C1038" s="7"/>
      <c r="D1038" s="7"/>
      <c r="E1038" s="8"/>
      <c r="F1038" t="str">
        <f t="shared" si="59"/>
        <v/>
      </c>
      <c r="G1038" t="str">
        <f t="shared" si="60"/>
        <v/>
      </c>
    </row>
    <row r="1039" spans="2:7" x14ac:dyDescent="0.25">
      <c r="B1039" s="6"/>
      <c r="C1039" s="7"/>
      <c r="D1039" s="7"/>
      <c r="E1039" s="8"/>
      <c r="F1039" t="str">
        <f t="shared" si="59"/>
        <v/>
      </c>
      <c r="G1039" t="str">
        <f t="shared" si="60"/>
        <v/>
      </c>
    </row>
    <row r="1040" spans="2:7" x14ac:dyDescent="0.25">
      <c r="B1040" s="6"/>
      <c r="C1040" s="7"/>
      <c r="D1040" s="7"/>
      <c r="E1040" s="8"/>
      <c r="F1040" t="str">
        <f t="shared" si="59"/>
        <v/>
      </c>
      <c r="G1040" t="str">
        <f t="shared" si="60"/>
        <v/>
      </c>
    </row>
    <row r="1041" spans="2:7" x14ac:dyDescent="0.25">
      <c r="B1041" s="6"/>
      <c r="C1041" s="7"/>
      <c r="D1041" s="7"/>
      <c r="E1041" s="8"/>
      <c r="F1041" t="str">
        <f t="shared" si="59"/>
        <v/>
      </c>
      <c r="G1041" t="str">
        <f t="shared" si="60"/>
        <v/>
      </c>
    </row>
    <row r="1042" spans="2:7" x14ac:dyDescent="0.25">
      <c r="B1042" s="6"/>
      <c r="C1042" s="7"/>
      <c r="D1042" s="7"/>
      <c r="E1042" s="8"/>
      <c r="F1042" t="str">
        <f t="shared" si="59"/>
        <v/>
      </c>
      <c r="G1042" t="str">
        <f t="shared" si="60"/>
        <v/>
      </c>
    </row>
    <row r="1043" spans="2:7" x14ac:dyDescent="0.25">
      <c r="B1043" s="6"/>
      <c r="C1043" s="7"/>
      <c r="D1043" s="7"/>
      <c r="E1043" s="8"/>
      <c r="F1043" t="str">
        <f t="shared" si="59"/>
        <v/>
      </c>
      <c r="G1043" t="str">
        <f t="shared" si="60"/>
        <v/>
      </c>
    </row>
    <row r="1044" spans="2:7" x14ac:dyDescent="0.25">
      <c r="B1044" s="6"/>
      <c r="C1044" s="7"/>
      <c r="D1044" s="7"/>
      <c r="E1044" s="8"/>
      <c r="F1044" t="str">
        <f t="shared" si="59"/>
        <v/>
      </c>
      <c r="G1044" t="str">
        <f t="shared" si="60"/>
        <v/>
      </c>
    </row>
    <row r="1045" spans="2:7" x14ac:dyDescent="0.25">
      <c r="B1045" s="6"/>
      <c r="C1045" s="7"/>
      <c r="D1045" s="7"/>
      <c r="E1045" s="8"/>
      <c r="F1045" t="str">
        <f t="shared" si="59"/>
        <v/>
      </c>
      <c r="G1045" t="str">
        <f t="shared" si="60"/>
        <v/>
      </c>
    </row>
    <row r="1046" spans="2:7" x14ac:dyDescent="0.25">
      <c r="B1046" s="6"/>
      <c r="C1046" s="7"/>
      <c r="D1046" s="7"/>
      <c r="E1046" s="8"/>
      <c r="F1046" t="str">
        <f t="shared" si="59"/>
        <v/>
      </c>
      <c r="G1046" t="str">
        <f t="shared" si="60"/>
        <v/>
      </c>
    </row>
    <row r="1047" spans="2:7" x14ac:dyDescent="0.25">
      <c r="B1047" s="6"/>
      <c r="C1047" s="7"/>
      <c r="D1047" s="7"/>
      <c r="E1047" s="8"/>
      <c r="F1047" t="str">
        <f t="shared" si="59"/>
        <v/>
      </c>
      <c r="G1047" t="str">
        <f t="shared" si="60"/>
        <v/>
      </c>
    </row>
    <row r="1048" spans="2:7" x14ac:dyDescent="0.25">
      <c r="B1048" s="6"/>
      <c r="C1048" s="7"/>
      <c r="D1048" s="7"/>
      <c r="E1048" s="8"/>
      <c r="F1048" t="str">
        <f t="shared" si="59"/>
        <v/>
      </c>
      <c r="G1048" t="str">
        <f t="shared" si="60"/>
        <v/>
      </c>
    </row>
    <row r="1049" spans="2:7" x14ac:dyDescent="0.25">
      <c r="B1049" s="6"/>
      <c r="C1049" s="7"/>
      <c r="D1049" s="7"/>
      <c r="E1049" s="8"/>
      <c r="F1049" t="str">
        <f t="shared" si="59"/>
        <v/>
      </c>
      <c r="G1049" t="str">
        <f t="shared" si="60"/>
        <v/>
      </c>
    </row>
    <row r="1050" spans="2:7" x14ac:dyDescent="0.25">
      <c r="B1050" s="6"/>
      <c r="C1050" s="7"/>
      <c r="D1050" s="7"/>
      <c r="E1050" s="8"/>
      <c r="F1050" t="str">
        <f t="shared" si="59"/>
        <v/>
      </c>
      <c r="G1050" t="str">
        <f t="shared" si="60"/>
        <v/>
      </c>
    </row>
    <row r="1051" spans="2:7" x14ac:dyDescent="0.25">
      <c r="B1051" s="6"/>
      <c r="C1051" s="7"/>
      <c r="D1051" s="7"/>
      <c r="E1051" s="8"/>
      <c r="F1051" t="str">
        <f t="shared" si="59"/>
        <v/>
      </c>
      <c r="G1051" t="str">
        <f t="shared" si="60"/>
        <v/>
      </c>
    </row>
    <row r="1052" spans="2:7" x14ac:dyDescent="0.25">
      <c r="B1052" s="6"/>
      <c r="C1052" s="7"/>
      <c r="D1052" s="7"/>
      <c r="E1052" s="8"/>
      <c r="F1052" t="str">
        <f t="shared" si="59"/>
        <v/>
      </c>
      <c r="G1052" t="str">
        <f t="shared" si="60"/>
        <v/>
      </c>
    </row>
    <row r="1053" spans="2:7" x14ac:dyDescent="0.25">
      <c r="B1053" s="6"/>
      <c r="C1053" s="7"/>
      <c r="D1053" s="7"/>
      <c r="E1053" s="8"/>
      <c r="F1053" t="str">
        <f t="shared" si="59"/>
        <v/>
      </c>
      <c r="G1053" t="str">
        <f t="shared" si="60"/>
        <v/>
      </c>
    </row>
    <row r="1054" spans="2:7" x14ac:dyDescent="0.25">
      <c r="B1054" s="6"/>
      <c r="C1054" s="7"/>
      <c r="D1054" s="7"/>
      <c r="E1054" s="8"/>
      <c r="F1054" t="str">
        <f t="shared" si="59"/>
        <v/>
      </c>
      <c r="G1054" t="str">
        <f t="shared" si="60"/>
        <v/>
      </c>
    </row>
    <row r="1055" spans="2:7" x14ac:dyDescent="0.25">
      <c r="B1055" s="6"/>
      <c r="C1055" s="7"/>
      <c r="D1055" s="7"/>
      <c r="E1055" s="8"/>
      <c r="F1055" t="str">
        <f t="shared" si="59"/>
        <v/>
      </c>
      <c r="G1055" t="str">
        <f t="shared" si="60"/>
        <v/>
      </c>
    </row>
    <row r="1056" spans="2:7" x14ac:dyDescent="0.25">
      <c r="B1056" s="6"/>
      <c r="C1056" s="7"/>
      <c r="D1056" s="7"/>
      <c r="E1056" s="8"/>
      <c r="F1056" t="str">
        <f t="shared" si="59"/>
        <v/>
      </c>
      <c r="G1056" t="str">
        <f t="shared" si="60"/>
        <v/>
      </c>
    </row>
    <row r="1057" spans="2:7" x14ac:dyDescent="0.25">
      <c r="B1057" s="6"/>
      <c r="C1057" s="7"/>
      <c r="D1057" s="7"/>
      <c r="E1057" s="8"/>
      <c r="F1057" t="str">
        <f t="shared" si="59"/>
        <v/>
      </c>
      <c r="G1057" t="str">
        <f t="shared" si="60"/>
        <v/>
      </c>
    </row>
    <row r="1058" spans="2:7" x14ac:dyDescent="0.25">
      <c r="B1058" s="6"/>
      <c r="C1058" s="7"/>
      <c r="D1058" s="7"/>
      <c r="E1058" s="8"/>
      <c r="F1058" t="str">
        <f t="shared" si="59"/>
        <v/>
      </c>
      <c r="G1058" t="str">
        <f t="shared" si="60"/>
        <v/>
      </c>
    </row>
    <row r="1059" spans="2:7" x14ac:dyDescent="0.25">
      <c r="B1059" s="6"/>
      <c r="C1059" s="7"/>
      <c r="D1059" s="7"/>
      <c r="E1059" s="8"/>
      <c r="F1059" t="str">
        <f t="shared" si="59"/>
        <v/>
      </c>
      <c r="G1059" t="str">
        <f t="shared" si="60"/>
        <v/>
      </c>
    </row>
    <row r="1060" spans="2:7" x14ac:dyDescent="0.25">
      <c r="B1060" s="6"/>
      <c r="C1060" s="7"/>
      <c r="D1060" s="7"/>
      <c r="E1060" s="8"/>
      <c r="F1060" t="str">
        <f t="shared" si="59"/>
        <v/>
      </c>
      <c r="G1060" t="str">
        <f t="shared" si="60"/>
        <v/>
      </c>
    </row>
    <row r="1061" spans="2:7" x14ac:dyDescent="0.25">
      <c r="B1061" s="6"/>
      <c r="C1061" s="7"/>
      <c r="D1061" s="7"/>
      <c r="E1061" s="8"/>
      <c r="F1061" t="str">
        <f t="shared" si="59"/>
        <v/>
      </c>
      <c r="G1061" t="str">
        <f t="shared" si="60"/>
        <v/>
      </c>
    </row>
    <row r="1062" spans="2:7" x14ac:dyDescent="0.25">
      <c r="B1062" s="6"/>
      <c r="C1062" s="7"/>
      <c r="D1062" s="7"/>
      <c r="E1062" s="8"/>
      <c r="F1062" t="str">
        <f t="shared" si="59"/>
        <v/>
      </c>
      <c r="G1062" t="str">
        <f t="shared" si="60"/>
        <v/>
      </c>
    </row>
    <row r="1063" spans="2:7" x14ac:dyDescent="0.25">
      <c r="B1063" s="6"/>
      <c r="C1063" s="7"/>
      <c r="D1063" s="7"/>
      <c r="E1063" s="8"/>
      <c r="F1063" t="str">
        <f t="shared" si="59"/>
        <v/>
      </c>
      <c r="G1063" t="str">
        <f t="shared" si="60"/>
        <v/>
      </c>
    </row>
    <row r="1064" spans="2:7" x14ac:dyDescent="0.25">
      <c r="B1064" s="6"/>
      <c r="C1064" s="7"/>
      <c r="D1064" s="7"/>
      <c r="E1064" s="8"/>
      <c r="F1064" t="str">
        <f t="shared" si="59"/>
        <v/>
      </c>
      <c r="G1064" t="str">
        <f t="shared" si="60"/>
        <v/>
      </c>
    </row>
    <row r="1065" spans="2:7" x14ac:dyDescent="0.25">
      <c r="B1065" s="6"/>
      <c r="C1065" s="7"/>
      <c r="D1065" s="7"/>
      <c r="E1065" s="8"/>
      <c r="F1065" t="str">
        <f t="shared" si="59"/>
        <v/>
      </c>
      <c r="G1065" t="str">
        <f t="shared" si="60"/>
        <v/>
      </c>
    </row>
    <row r="1066" spans="2:7" x14ac:dyDescent="0.25">
      <c r="B1066" s="6"/>
      <c r="C1066" s="7"/>
      <c r="D1066" s="7"/>
      <c r="E1066" s="8"/>
      <c r="F1066" t="str">
        <f t="shared" si="59"/>
        <v/>
      </c>
      <c r="G1066" t="str">
        <f t="shared" si="60"/>
        <v/>
      </c>
    </row>
    <row r="1067" spans="2:7" x14ac:dyDescent="0.25">
      <c r="B1067" s="6"/>
      <c r="C1067" s="7"/>
      <c r="D1067" s="7"/>
      <c r="E1067" s="8"/>
      <c r="F1067" t="str">
        <f t="shared" si="59"/>
        <v/>
      </c>
      <c r="G1067" t="str">
        <f t="shared" si="60"/>
        <v/>
      </c>
    </row>
    <row r="1068" spans="2:7" x14ac:dyDescent="0.25">
      <c r="B1068" s="6"/>
      <c r="C1068" s="7"/>
      <c r="D1068" s="7"/>
      <c r="E1068" s="8"/>
      <c r="F1068" t="str">
        <f t="shared" si="59"/>
        <v/>
      </c>
      <c r="G1068" t="str">
        <f t="shared" si="60"/>
        <v/>
      </c>
    </row>
    <row r="1069" spans="2:7" x14ac:dyDescent="0.25">
      <c r="B1069" s="6"/>
      <c r="C1069" s="7"/>
      <c r="D1069" s="7"/>
      <c r="E1069" s="8"/>
      <c r="F1069" t="str">
        <f t="shared" si="59"/>
        <v/>
      </c>
      <c r="G1069" t="str">
        <f t="shared" si="60"/>
        <v/>
      </c>
    </row>
    <row r="1070" spans="2:7" x14ac:dyDescent="0.25">
      <c r="B1070" s="6"/>
      <c r="C1070" s="7"/>
      <c r="D1070" s="7"/>
      <c r="E1070" s="8"/>
      <c r="F1070" t="str">
        <f t="shared" si="59"/>
        <v/>
      </c>
      <c r="G1070" t="str">
        <f t="shared" si="60"/>
        <v/>
      </c>
    </row>
    <row r="1071" spans="2:7" x14ac:dyDescent="0.25">
      <c r="B1071" s="6"/>
      <c r="C1071" s="7"/>
      <c r="D1071" s="7"/>
      <c r="E1071" s="8"/>
      <c r="F1071" t="str">
        <f t="shared" si="59"/>
        <v/>
      </c>
      <c r="G1071" t="str">
        <f t="shared" si="60"/>
        <v/>
      </c>
    </row>
    <row r="1072" spans="2:7" x14ac:dyDescent="0.25">
      <c r="B1072" s="6"/>
      <c r="C1072" s="7"/>
      <c r="D1072" s="7"/>
      <c r="E1072" s="8"/>
      <c r="F1072" t="str">
        <f t="shared" si="59"/>
        <v/>
      </c>
      <c r="G1072" t="str">
        <f t="shared" si="60"/>
        <v/>
      </c>
    </row>
    <row r="1073" spans="2:7" x14ac:dyDescent="0.25">
      <c r="B1073" s="6"/>
      <c r="C1073" s="7"/>
      <c r="D1073" s="7"/>
      <c r="E1073" s="8"/>
      <c r="F1073" t="str">
        <f t="shared" si="59"/>
        <v/>
      </c>
      <c r="G1073" t="str">
        <f t="shared" si="60"/>
        <v/>
      </c>
    </row>
    <row r="1074" spans="2:7" x14ac:dyDescent="0.25">
      <c r="B1074" s="6"/>
      <c r="C1074" s="7"/>
      <c r="D1074" s="7"/>
      <c r="E1074" s="8"/>
      <c r="F1074" t="str">
        <f t="shared" si="59"/>
        <v/>
      </c>
      <c r="G1074" t="str">
        <f t="shared" si="60"/>
        <v/>
      </c>
    </row>
    <row r="1075" spans="2:7" x14ac:dyDescent="0.25">
      <c r="B1075" s="6"/>
      <c r="C1075" s="7"/>
      <c r="D1075" s="7"/>
      <c r="E1075" s="8"/>
      <c r="F1075" t="str">
        <f t="shared" si="59"/>
        <v/>
      </c>
      <c r="G1075" t="str">
        <f t="shared" si="60"/>
        <v/>
      </c>
    </row>
    <row r="1076" spans="2:7" x14ac:dyDescent="0.25">
      <c r="B1076" s="6"/>
      <c r="C1076" s="7"/>
      <c r="D1076" s="7"/>
      <c r="E1076" s="8"/>
      <c r="F1076" t="str">
        <f t="shared" si="59"/>
        <v/>
      </c>
      <c r="G1076" t="str">
        <f t="shared" si="60"/>
        <v/>
      </c>
    </row>
    <row r="1077" spans="2:7" x14ac:dyDescent="0.25">
      <c r="B1077" s="6"/>
      <c r="C1077" s="7"/>
      <c r="D1077" s="7"/>
      <c r="E1077" s="8"/>
      <c r="F1077" t="str">
        <f t="shared" si="59"/>
        <v/>
      </c>
      <c r="G1077" t="str">
        <f t="shared" si="60"/>
        <v/>
      </c>
    </row>
    <row r="1078" spans="2:7" x14ac:dyDescent="0.25">
      <c r="B1078" s="6"/>
      <c r="C1078" s="7"/>
      <c r="D1078" s="7"/>
      <c r="E1078" s="8"/>
      <c r="F1078" t="str">
        <f t="shared" si="59"/>
        <v/>
      </c>
      <c r="G1078" t="str">
        <f t="shared" si="60"/>
        <v/>
      </c>
    </row>
    <row r="1079" spans="2:7" x14ac:dyDescent="0.25">
      <c r="B1079" s="6"/>
      <c r="C1079" s="7"/>
      <c r="D1079" s="7"/>
      <c r="E1079" s="8"/>
      <c r="F1079" t="str">
        <f t="shared" si="59"/>
        <v/>
      </c>
      <c r="G1079" t="str">
        <f t="shared" si="60"/>
        <v/>
      </c>
    </row>
    <row r="1080" spans="2:7" x14ac:dyDescent="0.25">
      <c r="B1080" s="6"/>
      <c r="C1080" s="7"/>
      <c r="D1080" s="7"/>
      <c r="E1080" s="8"/>
      <c r="F1080" t="str">
        <f t="shared" si="59"/>
        <v/>
      </c>
      <c r="G1080" t="str">
        <f t="shared" si="60"/>
        <v/>
      </c>
    </row>
    <row r="1081" spans="2:7" x14ac:dyDescent="0.25">
      <c r="B1081" s="6"/>
      <c r="C1081" s="7"/>
      <c r="D1081" s="7"/>
      <c r="E1081" s="8"/>
      <c r="F1081" t="str">
        <f t="shared" si="59"/>
        <v/>
      </c>
      <c r="G1081" t="str">
        <f t="shared" si="60"/>
        <v/>
      </c>
    </row>
    <row r="1082" spans="2:7" x14ac:dyDescent="0.25">
      <c r="B1082" s="6"/>
      <c r="C1082" s="7"/>
      <c r="D1082" s="7"/>
      <c r="E1082" s="8"/>
      <c r="F1082" t="str">
        <f t="shared" si="59"/>
        <v/>
      </c>
      <c r="G1082" t="str">
        <f t="shared" si="60"/>
        <v/>
      </c>
    </row>
    <row r="1083" spans="2:7" x14ac:dyDescent="0.25">
      <c r="B1083" s="6"/>
      <c r="C1083" s="7"/>
      <c r="D1083" s="7"/>
      <c r="E1083" s="8"/>
      <c r="F1083" t="str">
        <f t="shared" si="59"/>
        <v/>
      </c>
      <c r="G1083" t="str">
        <f t="shared" si="60"/>
        <v/>
      </c>
    </row>
    <row r="1084" spans="2:7" x14ac:dyDescent="0.25">
      <c r="B1084" s="6"/>
      <c r="C1084" s="7"/>
      <c r="D1084" s="7"/>
      <c r="E1084" s="8"/>
      <c r="F1084" t="str">
        <f t="shared" si="59"/>
        <v/>
      </c>
      <c r="G1084" t="str">
        <f t="shared" si="60"/>
        <v/>
      </c>
    </row>
    <row r="1085" spans="2:7" x14ac:dyDescent="0.25">
      <c r="B1085" s="6"/>
      <c r="C1085" s="7"/>
      <c r="D1085" s="7"/>
      <c r="E1085" s="8"/>
      <c r="F1085" t="str">
        <f t="shared" si="59"/>
        <v/>
      </c>
      <c r="G1085" t="str">
        <f t="shared" si="60"/>
        <v/>
      </c>
    </row>
    <row r="1086" spans="2:7" x14ac:dyDescent="0.25">
      <c r="B1086" s="6"/>
      <c r="C1086" s="7"/>
      <c r="D1086" s="7"/>
      <c r="E1086" s="8"/>
      <c r="F1086" t="str">
        <f t="shared" si="59"/>
        <v/>
      </c>
      <c r="G1086" t="str">
        <f t="shared" si="60"/>
        <v/>
      </c>
    </row>
    <row r="1087" spans="2:7" x14ac:dyDescent="0.25">
      <c r="B1087" s="6"/>
      <c r="C1087" s="7"/>
      <c r="D1087" s="7"/>
      <c r="E1087" s="8"/>
      <c r="F1087" t="str">
        <f t="shared" si="59"/>
        <v/>
      </c>
      <c r="G1087" t="str">
        <f t="shared" si="60"/>
        <v/>
      </c>
    </row>
    <row r="1088" spans="2:7" x14ac:dyDescent="0.25">
      <c r="B1088" s="6"/>
      <c r="C1088" s="7"/>
      <c r="D1088" s="7"/>
      <c r="E1088" s="8"/>
      <c r="F1088" t="str">
        <f t="shared" si="59"/>
        <v/>
      </c>
      <c r="G1088" t="str">
        <f t="shared" si="60"/>
        <v/>
      </c>
    </row>
    <row r="1089" spans="2:7" x14ac:dyDescent="0.25">
      <c r="B1089" s="6"/>
      <c r="C1089" s="7"/>
      <c r="D1089" s="7"/>
      <c r="E1089" s="8"/>
      <c r="F1089" t="str">
        <f t="shared" si="59"/>
        <v/>
      </c>
      <c r="G1089" t="str">
        <f t="shared" si="60"/>
        <v/>
      </c>
    </row>
    <row r="1090" spans="2:7" x14ac:dyDescent="0.25">
      <c r="B1090" s="6"/>
      <c r="C1090" s="7"/>
      <c r="D1090" s="7"/>
      <c r="E1090" s="8"/>
      <c r="F1090" t="str">
        <f t="shared" si="59"/>
        <v/>
      </c>
      <c r="G1090" t="str">
        <f t="shared" si="60"/>
        <v/>
      </c>
    </row>
    <row r="1091" spans="2:7" x14ac:dyDescent="0.25">
      <c r="B1091" s="6"/>
      <c r="C1091" s="7"/>
      <c r="D1091" s="7"/>
      <c r="E1091" s="8"/>
      <c r="F1091" t="str">
        <f t="shared" si="59"/>
        <v/>
      </c>
      <c r="G1091" t="str">
        <f t="shared" si="60"/>
        <v/>
      </c>
    </row>
    <row r="1092" spans="2:7" x14ac:dyDescent="0.25">
      <c r="B1092" s="6"/>
      <c r="C1092" s="7"/>
      <c r="D1092" s="7"/>
      <c r="E1092" s="8"/>
      <c r="F1092" t="str">
        <f t="shared" ref="F1092:F1155" si="61">IF(B1092="","",LOG10(D1092))</f>
        <v/>
      </c>
      <c r="G1092" t="str">
        <f t="shared" ref="G1092:G1155" si="62">IF(E1092="", "",0.434*E1092/D1092)</f>
        <v/>
      </c>
    </row>
    <row r="1093" spans="2:7" x14ac:dyDescent="0.25">
      <c r="B1093" s="6"/>
      <c r="C1093" s="7"/>
      <c r="D1093" s="7"/>
      <c r="E1093" s="8"/>
      <c r="F1093" t="str">
        <f t="shared" si="61"/>
        <v/>
      </c>
      <c r="G1093" t="str">
        <f t="shared" si="62"/>
        <v/>
      </c>
    </row>
    <row r="1094" spans="2:7" x14ac:dyDescent="0.25">
      <c r="B1094" s="6"/>
      <c r="C1094" s="7"/>
      <c r="D1094" s="7"/>
      <c r="E1094" s="8"/>
      <c r="F1094" t="str">
        <f t="shared" si="61"/>
        <v/>
      </c>
      <c r="G1094" t="str">
        <f t="shared" si="62"/>
        <v/>
      </c>
    </row>
    <row r="1095" spans="2:7" x14ac:dyDescent="0.25">
      <c r="B1095" s="6"/>
      <c r="C1095" s="7"/>
      <c r="D1095" s="7"/>
      <c r="E1095" s="8"/>
      <c r="F1095" t="str">
        <f t="shared" si="61"/>
        <v/>
      </c>
      <c r="G1095" t="str">
        <f t="shared" si="62"/>
        <v/>
      </c>
    </row>
    <row r="1096" spans="2:7" x14ac:dyDescent="0.25">
      <c r="B1096" s="6"/>
      <c r="C1096" s="7"/>
      <c r="D1096" s="7"/>
      <c r="E1096" s="8"/>
      <c r="F1096" t="str">
        <f t="shared" si="61"/>
        <v/>
      </c>
      <c r="G1096" t="str">
        <f t="shared" si="62"/>
        <v/>
      </c>
    </row>
    <row r="1097" spans="2:7" x14ac:dyDescent="0.25">
      <c r="B1097" s="6"/>
      <c r="C1097" s="7"/>
      <c r="D1097" s="7"/>
      <c r="E1097" s="8"/>
      <c r="F1097" t="str">
        <f t="shared" si="61"/>
        <v/>
      </c>
      <c r="G1097" t="str">
        <f t="shared" si="62"/>
        <v/>
      </c>
    </row>
    <row r="1098" spans="2:7" x14ac:dyDescent="0.25">
      <c r="B1098" s="6"/>
      <c r="C1098" s="7"/>
      <c r="D1098" s="7"/>
      <c r="E1098" s="8"/>
      <c r="F1098" t="str">
        <f t="shared" si="61"/>
        <v/>
      </c>
      <c r="G1098" t="str">
        <f t="shared" si="62"/>
        <v/>
      </c>
    </row>
    <row r="1099" spans="2:7" x14ac:dyDescent="0.25">
      <c r="B1099" s="6"/>
      <c r="C1099" s="7"/>
      <c r="D1099" s="7"/>
      <c r="E1099" s="8"/>
      <c r="F1099" t="str">
        <f t="shared" si="61"/>
        <v/>
      </c>
      <c r="G1099" t="str">
        <f t="shared" si="62"/>
        <v/>
      </c>
    </row>
    <row r="1100" spans="2:7" x14ac:dyDescent="0.25">
      <c r="B1100" s="6"/>
      <c r="C1100" s="7"/>
      <c r="D1100" s="7"/>
      <c r="E1100" s="8"/>
      <c r="F1100" t="str">
        <f t="shared" si="61"/>
        <v/>
      </c>
      <c r="G1100" t="str">
        <f t="shared" si="62"/>
        <v/>
      </c>
    </row>
    <row r="1101" spans="2:7" x14ac:dyDescent="0.25">
      <c r="B1101" s="6"/>
      <c r="C1101" s="7"/>
      <c r="D1101" s="7"/>
      <c r="E1101" s="8"/>
      <c r="F1101" t="str">
        <f t="shared" si="61"/>
        <v/>
      </c>
      <c r="G1101" t="str">
        <f t="shared" si="62"/>
        <v/>
      </c>
    </row>
    <row r="1102" spans="2:7" x14ac:dyDescent="0.25">
      <c r="B1102" s="6"/>
      <c r="C1102" s="7"/>
      <c r="D1102" s="7"/>
      <c r="E1102" s="8"/>
      <c r="F1102" t="str">
        <f t="shared" si="61"/>
        <v/>
      </c>
      <c r="G1102" t="str">
        <f t="shared" si="62"/>
        <v/>
      </c>
    </row>
    <row r="1103" spans="2:7" x14ac:dyDescent="0.25">
      <c r="B1103" s="6"/>
      <c r="C1103" s="7"/>
      <c r="D1103" s="7"/>
      <c r="E1103" s="8"/>
      <c r="F1103" t="str">
        <f t="shared" si="61"/>
        <v/>
      </c>
      <c r="G1103" t="str">
        <f t="shared" si="62"/>
        <v/>
      </c>
    </row>
    <row r="1104" spans="2:7" x14ac:dyDescent="0.25">
      <c r="B1104" s="6"/>
      <c r="C1104" s="7"/>
      <c r="D1104" s="7"/>
      <c r="E1104" s="8"/>
      <c r="F1104" t="str">
        <f t="shared" si="61"/>
        <v/>
      </c>
      <c r="G1104" t="str">
        <f t="shared" si="62"/>
        <v/>
      </c>
    </row>
    <row r="1105" spans="2:7" x14ac:dyDescent="0.25">
      <c r="B1105" s="6"/>
      <c r="C1105" s="7"/>
      <c r="D1105" s="7"/>
      <c r="E1105" s="8"/>
      <c r="F1105" t="str">
        <f t="shared" si="61"/>
        <v/>
      </c>
      <c r="G1105" t="str">
        <f t="shared" si="62"/>
        <v/>
      </c>
    </row>
    <row r="1106" spans="2:7" x14ac:dyDescent="0.25">
      <c r="B1106" s="6"/>
      <c r="C1106" s="7"/>
      <c r="D1106" s="7"/>
      <c r="E1106" s="8"/>
      <c r="F1106" t="str">
        <f t="shared" si="61"/>
        <v/>
      </c>
      <c r="G1106" t="str">
        <f t="shared" si="62"/>
        <v/>
      </c>
    </row>
    <row r="1107" spans="2:7" x14ac:dyDescent="0.25">
      <c r="B1107" s="6"/>
      <c r="C1107" s="7"/>
      <c r="D1107" s="7"/>
      <c r="E1107" s="8"/>
      <c r="F1107" t="str">
        <f t="shared" si="61"/>
        <v/>
      </c>
      <c r="G1107" t="str">
        <f t="shared" si="62"/>
        <v/>
      </c>
    </row>
    <row r="1108" spans="2:7" x14ac:dyDescent="0.25">
      <c r="B1108" s="6"/>
      <c r="C1108" s="7"/>
      <c r="D1108" s="7"/>
      <c r="E1108" s="8"/>
      <c r="F1108" t="str">
        <f t="shared" si="61"/>
        <v/>
      </c>
      <c r="G1108" t="str">
        <f t="shared" si="62"/>
        <v/>
      </c>
    </row>
    <row r="1109" spans="2:7" x14ac:dyDescent="0.25">
      <c r="B1109" s="6"/>
      <c r="C1109" s="7"/>
      <c r="D1109" s="7"/>
      <c r="E1109" s="8"/>
      <c r="F1109" t="str">
        <f t="shared" si="61"/>
        <v/>
      </c>
      <c r="G1109" t="str">
        <f t="shared" si="62"/>
        <v/>
      </c>
    </row>
    <row r="1110" spans="2:7" x14ac:dyDescent="0.25">
      <c r="B1110" s="6"/>
      <c r="C1110" s="7"/>
      <c r="D1110" s="7"/>
      <c r="E1110" s="8"/>
      <c r="F1110" t="str">
        <f t="shared" si="61"/>
        <v/>
      </c>
      <c r="G1110" t="str">
        <f t="shared" si="62"/>
        <v/>
      </c>
    </row>
    <row r="1111" spans="2:7" x14ac:dyDescent="0.25">
      <c r="B1111" s="6"/>
      <c r="C1111" s="7"/>
      <c r="D1111" s="7"/>
      <c r="E1111" s="8"/>
      <c r="F1111" t="str">
        <f t="shared" si="61"/>
        <v/>
      </c>
      <c r="G1111" t="str">
        <f t="shared" si="62"/>
        <v/>
      </c>
    </row>
    <row r="1112" spans="2:7" x14ac:dyDescent="0.25">
      <c r="B1112" s="6"/>
      <c r="C1112" s="7"/>
      <c r="D1112" s="7"/>
      <c r="E1112" s="8"/>
      <c r="F1112" t="str">
        <f t="shared" si="61"/>
        <v/>
      </c>
      <c r="G1112" t="str">
        <f t="shared" si="62"/>
        <v/>
      </c>
    </row>
    <row r="1113" spans="2:7" x14ac:dyDescent="0.25">
      <c r="B1113" s="6"/>
      <c r="C1113" s="7"/>
      <c r="D1113" s="7"/>
      <c r="E1113" s="8"/>
      <c r="F1113" t="str">
        <f t="shared" si="61"/>
        <v/>
      </c>
      <c r="G1113" t="str">
        <f t="shared" si="62"/>
        <v/>
      </c>
    </row>
    <row r="1114" spans="2:7" x14ac:dyDescent="0.25">
      <c r="B1114" s="6"/>
      <c r="C1114" s="7"/>
      <c r="D1114" s="7"/>
      <c r="E1114" s="8"/>
      <c r="F1114" t="str">
        <f t="shared" si="61"/>
        <v/>
      </c>
      <c r="G1114" t="str">
        <f t="shared" si="62"/>
        <v/>
      </c>
    </row>
    <row r="1115" spans="2:7" x14ac:dyDescent="0.25">
      <c r="B1115" s="6"/>
      <c r="C1115" s="7"/>
      <c r="D1115" s="7"/>
      <c r="E1115" s="8"/>
      <c r="F1115" t="str">
        <f t="shared" si="61"/>
        <v/>
      </c>
      <c r="G1115" t="str">
        <f t="shared" si="62"/>
        <v/>
      </c>
    </row>
    <row r="1116" spans="2:7" x14ac:dyDescent="0.25">
      <c r="B1116" s="6"/>
      <c r="C1116" s="7"/>
      <c r="D1116" s="7"/>
      <c r="E1116" s="8"/>
      <c r="F1116" t="str">
        <f t="shared" si="61"/>
        <v/>
      </c>
      <c r="G1116" t="str">
        <f t="shared" si="62"/>
        <v/>
      </c>
    </row>
    <row r="1117" spans="2:7" x14ac:dyDescent="0.25">
      <c r="B1117" s="6"/>
      <c r="C1117" s="7"/>
      <c r="D1117" s="7"/>
      <c r="E1117" s="8"/>
      <c r="F1117" t="str">
        <f t="shared" si="61"/>
        <v/>
      </c>
      <c r="G1117" t="str">
        <f t="shared" si="62"/>
        <v/>
      </c>
    </row>
    <row r="1118" spans="2:7" x14ac:dyDescent="0.25">
      <c r="B1118" s="6"/>
      <c r="C1118" s="7"/>
      <c r="D1118" s="7"/>
      <c r="E1118" s="8"/>
      <c r="F1118" t="str">
        <f t="shared" si="61"/>
        <v/>
      </c>
      <c r="G1118" t="str">
        <f t="shared" si="62"/>
        <v/>
      </c>
    </row>
    <row r="1119" spans="2:7" x14ac:dyDescent="0.25">
      <c r="B1119" s="6"/>
      <c r="C1119" s="7"/>
      <c r="D1119" s="7"/>
      <c r="E1119" s="8"/>
      <c r="F1119" t="str">
        <f t="shared" si="61"/>
        <v/>
      </c>
      <c r="G1119" t="str">
        <f t="shared" si="62"/>
        <v/>
      </c>
    </row>
    <row r="1120" spans="2:7" x14ac:dyDescent="0.25">
      <c r="B1120" s="6"/>
      <c r="C1120" s="7"/>
      <c r="D1120" s="7"/>
      <c r="E1120" s="8"/>
      <c r="F1120" t="str">
        <f t="shared" si="61"/>
        <v/>
      </c>
      <c r="G1120" t="str">
        <f t="shared" si="62"/>
        <v/>
      </c>
    </row>
    <row r="1121" spans="2:7" x14ac:dyDescent="0.25">
      <c r="B1121" s="6"/>
      <c r="C1121" s="7"/>
      <c r="D1121" s="7"/>
      <c r="E1121" s="8"/>
      <c r="F1121" t="str">
        <f t="shared" si="61"/>
        <v/>
      </c>
      <c r="G1121" t="str">
        <f t="shared" si="62"/>
        <v/>
      </c>
    </row>
    <row r="1122" spans="2:7" x14ac:dyDescent="0.25">
      <c r="B1122" s="6"/>
      <c r="C1122" s="7"/>
      <c r="D1122" s="7"/>
      <c r="E1122" s="8"/>
      <c r="F1122" t="str">
        <f t="shared" si="61"/>
        <v/>
      </c>
      <c r="G1122" t="str">
        <f t="shared" si="62"/>
        <v/>
      </c>
    </row>
    <row r="1123" spans="2:7" x14ac:dyDescent="0.25">
      <c r="B1123" s="6"/>
      <c r="C1123" s="7"/>
      <c r="D1123" s="7"/>
      <c r="E1123" s="8"/>
      <c r="F1123" t="str">
        <f t="shared" si="61"/>
        <v/>
      </c>
      <c r="G1123" t="str">
        <f t="shared" si="62"/>
        <v/>
      </c>
    </row>
    <row r="1124" spans="2:7" x14ac:dyDescent="0.25">
      <c r="B1124" s="6"/>
      <c r="C1124" s="7"/>
      <c r="D1124" s="7"/>
      <c r="E1124" s="8"/>
      <c r="F1124" t="str">
        <f t="shared" si="61"/>
        <v/>
      </c>
      <c r="G1124" t="str">
        <f t="shared" si="62"/>
        <v/>
      </c>
    </row>
    <row r="1125" spans="2:7" x14ac:dyDescent="0.25">
      <c r="B1125" s="6"/>
      <c r="C1125" s="7"/>
      <c r="D1125" s="7"/>
      <c r="E1125" s="8"/>
      <c r="F1125" t="str">
        <f t="shared" si="61"/>
        <v/>
      </c>
      <c r="G1125" t="str">
        <f t="shared" si="62"/>
        <v/>
      </c>
    </row>
    <row r="1126" spans="2:7" x14ac:dyDescent="0.25">
      <c r="B1126" s="6"/>
      <c r="C1126" s="7"/>
      <c r="D1126" s="7"/>
      <c r="E1126" s="8"/>
      <c r="F1126" t="str">
        <f t="shared" si="61"/>
        <v/>
      </c>
      <c r="G1126" t="str">
        <f t="shared" si="62"/>
        <v/>
      </c>
    </row>
    <row r="1127" spans="2:7" x14ac:dyDescent="0.25">
      <c r="B1127" s="6"/>
      <c r="C1127" s="7"/>
      <c r="D1127" s="7"/>
      <c r="E1127" s="8"/>
      <c r="F1127" t="str">
        <f t="shared" si="61"/>
        <v/>
      </c>
      <c r="G1127" t="str">
        <f t="shared" si="62"/>
        <v/>
      </c>
    </row>
    <row r="1128" spans="2:7" x14ac:dyDescent="0.25">
      <c r="B1128" s="6"/>
      <c r="C1128" s="7"/>
      <c r="D1128" s="7"/>
      <c r="E1128" s="8"/>
      <c r="F1128" t="str">
        <f t="shared" si="61"/>
        <v/>
      </c>
      <c r="G1128" t="str">
        <f t="shared" si="62"/>
        <v/>
      </c>
    </row>
    <row r="1129" spans="2:7" x14ac:dyDescent="0.25">
      <c r="B1129" s="6"/>
      <c r="C1129" s="7"/>
      <c r="D1129" s="7"/>
      <c r="E1129" s="8"/>
      <c r="F1129" t="str">
        <f t="shared" si="61"/>
        <v/>
      </c>
      <c r="G1129" t="str">
        <f t="shared" si="62"/>
        <v/>
      </c>
    </row>
    <row r="1130" spans="2:7" x14ac:dyDescent="0.25">
      <c r="B1130" s="6"/>
      <c r="C1130" s="7"/>
      <c r="D1130" s="7"/>
      <c r="E1130" s="8"/>
      <c r="F1130" t="str">
        <f t="shared" si="61"/>
        <v/>
      </c>
      <c r="G1130" t="str">
        <f t="shared" si="62"/>
        <v/>
      </c>
    </row>
    <row r="1131" spans="2:7" x14ac:dyDescent="0.25">
      <c r="B1131" s="6"/>
      <c r="C1131" s="7"/>
      <c r="D1131" s="7"/>
      <c r="E1131" s="8"/>
      <c r="F1131" t="str">
        <f t="shared" si="61"/>
        <v/>
      </c>
      <c r="G1131" t="str">
        <f t="shared" si="62"/>
        <v/>
      </c>
    </row>
    <row r="1132" spans="2:7" x14ac:dyDescent="0.25">
      <c r="B1132" s="6"/>
      <c r="C1132" s="7"/>
      <c r="D1132" s="7"/>
      <c r="E1132" s="8"/>
      <c r="F1132" t="str">
        <f t="shared" si="61"/>
        <v/>
      </c>
      <c r="G1132" t="str">
        <f t="shared" si="62"/>
        <v/>
      </c>
    </row>
    <row r="1133" spans="2:7" x14ac:dyDescent="0.25">
      <c r="B1133" s="6"/>
      <c r="C1133" s="7"/>
      <c r="D1133" s="7"/>
      <c r="E1133" s="8"/>
      <c r="F1133" t="str">
        <f t="shared" si="61"/>
        <v/>
      </c>
      <c r="G1133" t="str">
        <f t="shared" si="62"/>
        <v/>
      </c>
    </row>
    <row r="1134" spans="2:7" x14ac:dyDescent="0.25">
      <c r="B1134" s="6"/>
      <c r="C1134" s="7"/>
      <c r="D1134" s="7"/>
      <c r="E1134" s="8"/>
      <c r="F1134" t="str">
        <f t="shared" si="61"/>
        <v/>
      </c>
      <c r="G1134" t="str">
        <f t="shared" si="62"/>
        <v/>
      </c>
    </row>
    <row r="1135" spans="2:7" x14ac:dyDescent="0.25">
      <c r="B1135" s="6"/>
      <c r="C1135" s="7"/>
      <c r="D1135" s="7"/>
      <c r="E1135" s="8"/>
      <c r="F1135" t="str">
        <f t="shared" si="61"/>
        <v/>
      </c>
      <c r="G1135" t="str">
        <f t="shared" si="62"/>
        <v/>
      </c>
    </row>
    <row r="1136" spans="2:7" x14ac:dyDescent="0.25">
      <c r="B1136" s="6"/>
      <c r="C1136" s="7"/>
      <c r="D1136" s="7"/>
      <c r="E1136" s="8"/>
      <c r="F1136" t="str">
        <f t="shared" si="61"/>
        <v/>
      </c>
      <c r="G1136" t="str">
        <f t="shared" si="62"/>
        <v/>
      </c>
    </row>
    <row r="1137" spans="2:7" x14ac:dyDescent="0.25">
      <c r="B1137" s="6"/>
      <c r="C1137" s="7"/>
      <c r="D1137" s="7"/>
      <c r="E1137" s="8"/>
      <c r="F1137" t="str">
        <f t="shared" si="61"/>
        <v/>
      </c>
      <c r="G1137" t="str">
        <f t="shared" si="62"/>
        <v/>
      </c>
    </row>
    <row r="1138" spans="2:7" x14ac:dyDescent="0.25">
      <c r="B1138" s="6"/>
      <c r="C1138" s="7"/>
      <c r="D1138" s="7"/>
      <c r="E1138" s="8"/>
      <c r="F1138" t="str">
        <f t="shared" si="61"/>
        <v/>
      </c>
      <c r="G1138" t="str">
        <f t="shared" si="62"/>
        <v/>
      </c>
    </row>
    <row r="1139" spans="2:7" x14ac:dyDescent="0.25">
      <c r="B1139" s="6"/>
      <c r="C1139" s="7"/>
      <c r="D1139" s="7"/>
      <c r="E1139" s="8"/>
      <c r="F1139" t="str">
        <f t="shared" si="61"/>
        <v/>
      </c>
      <c r="G1139" t="str">
        <f t="shared" si="62"/>
        <v/>
      </c>
    </row>
    <row r="1140" spans="2:7" x14ac:dyDescent="0.25">
      <c r="B1140" s="6"/>
      <c r="C1140" s="7"/>
      <c r="D1140" s="7"/>
      <c r="E1140" s="8"/>
      <c r="F1140" t="str">
        <f t="shared" si="61"/>
        <v/>
      </c>
      <c r="G1140" t="str">
        <f t="shared" si="62"/>
        <v/>
      </c>
    </row>
    <row r="1141" spans="2:7" x14ac:dyDescent="0.25">
      <c r="B1141" s="6"/>
      <c r="C1141" s="7"/>
      <c r="D1141" s="7"/>
      <c r="E1141" s="8"/>
      <c r="F1141" t="str">
        <f t="shared" si="61"/>
        <v/>
      </c>
      <c r="G1141" t="str">
        <f t="shared" si="62"/>
        <v/>
      </c>
    </row>
    <row r="1142" spans="2:7" x14ac:dyDescent="0.25">
      <c r="B1142" s="6"/>
      <c r="C1142" s="7"/>
      <c r="D1142" s="7"/>
      <c r="E1142" s="8"/>
      <c r="F1142" t="str">
        <f t="shared" si="61"/>
        <v/>
      </c>
      <c r="G1142" t="str">
        <f t="shared" si="62"/>
        <v/>
      </c>
    </row>
    <row r="1143" spans="2:7" x14ac:dyDescent="0.25">
      <c r="B1143" s="6"/>
      <c r="C1143" s="7"/>
      <c r="D1143" s="7"/>
      <c r="E1143" s="8"/>
      <c r="F1143" t="str">
        <f t="shared" si="61"/>
        <v/>
      </c>
      <c r="G1143" t="str">
        <f t="shared" si="62"/>
        <v/>
      </c>
    </row>
    <row r="1144" spans="2:7" x14ac:dyDescent="0.25">
      <c r="B1144" s="6"/>
      <c r="C1144" s="7"/>
      <c r="D1144" s="7"/>
      <c r="E1144" s="8"/>
      <c r="F1144" t="str">
        <f t="shared" si="61"/>
        <v/>
      </c>
      <c r="G1144" t="str">
        <f t="shared" si="62"/>
        <v/>
      </c>
    </row>
    <row r="1145" spans="2:7" x14ac:dyDescent="0.25">
      <c r="B1145" s="6"/>
      <c r="C1145" s="7"/>
      <c r="D1145" s="7"/>
      <c r="E1145" s="8"/>
      <c r="F1145" t="str">
        <f t="shared" si="61"/>
        <v/>
      </c>
      <c r="G1145" t="str">
        <f t="shared" si="62"/>
        <v/>
      </c>
    </row>
    <row r="1146" spans="2:7" x14ac:dyDescent="0.25">
      <c r="B1146" s="6"/>
      <c r="C1146" s="7"/>
      <c r="D1146" s="7"/>
      <c r="E1146" s="8"/>
      <c r="F1146" t="str">
        <f t="shared" si="61"/>
        <v/>
      </c>
      <c r="G1146" t="str">
        <f t="shared" si="62"/>
        <v/>
      </c>
    </row>
    <row r="1147" spans="2:7" x14ac:dyDescent="0.25">
      <c r="B1147" s="6"/>
      <c r="C1147" s="7"/>
      <c r="D1147" s="7"/>
      <c r="E1147" s="8"/>
      <c r="F1147" t="str">
        <f t="shared" si="61"/>
        <v/>
      </c>
      <c r="G1147" t="str">
        <f t="shared" si="62"/>
        <v/>
      </c>
    </row>
    <row r="1148" spans="2:7" x14ac:dyDescent="0.25">
      <c r="B1148" s="6"/>
      <c r="C1148" s="7"/>
      <c r="D1148" s="7"/>
      <c r="E1148" s="8"/>
      <c r="F1148" t="str">
        <f t="shared" si="61"/>
        <v/>
      </c>
      <c r="G1148" t="str">
        <f t="shared" si="62"/>
        <v/>
      </c>
    </row>
    <row r="1149" spans="2:7" x14ac:dyDescent="0.25">
      <c r="B1149" s="6"/>
      <c r="C1149" s="7"/>
      <c r="D1149" s="7"/>
      <c r="E1149" s="8"/>
      <c r="F1149" t="str">
        <f t="shared" si="61"/>
        <v/>
      </c>
      <c r="G1149" t="str">
        <f t="shared" si="62"/>
        <v/>
      </c>
    </row>
    <row r="1150" spans="2:7" x14ac:dyDescent="0.25">
      <c r="B1150" s="6"/>
      <c r="C1150" s="7"/>
      <c r="D1150" s="7"/>
      <c r="E1150" s="8"/>
      <c r="F1150" t="str">
        <f t="shared" si="61"/>
        <v/>
      </c>
      <c r="G1150" t="str">
        <f t="shared" si="62"/>
        <v/>
      </c>
    </row>
    <row r="1151" spans="2:7" x14ac:dyDescent="0.25">
      <c r="B1151" s="6"/>
      <c r="C1151" s="7"/>
      <c r="D1151" s="7"/>
      <c r="E1151" s="8"/>
      <c r="F1151" t="str">
        <f t="shared" si="61"/>
        <v/>
      </c>
      <c r="G1151" t="str">
        <f t="shared" si="62"/>
        <v/>
      </c>
    </row>
    <row r="1152" spans="2:7" x14ac:dyDescent="0.25">
      <c r="B1152" s="6"/>
      <c r="C1152" s="7"/>
      <c r="D1152" s="7"/>
      <c r="E1152" s="8"/>
      <c r="F1152" t="str">
        <f t="shared" si="61"/>
        <v/>
      </c>
      <c r="G1152" t="str">
        <f t="shared" si="62"/>
        <v/>
      </c>
    </row>
    <row r="1153" spans="2:7" x14ac:dyDescent="0.25">
      <c r="B1153" s="6"/>
      <c r="C1153" s="7"/>
      <c r="D1153" s="7"/>
      <c r="E1153" s="8"/>
      <c r="F1153" t="str">
        <f t="shared" si="61"/>
        <v/>
      </c>
      <c r="G1153" t="str">
        <f t="shared" si="62"/>
        <v/>
      </c>
    </row>
    <row r="1154" spans="2:7" x14ac:dyDescent="0.25">
      <c r="B1154" s="6"/>
      <c r="C1154" s="7"/>
      <c r="D1154" s="7"/>
      <c r="E1154" s="8"/>
      <c r="F1154" t="str">
        <f t="shared" si="61"/>
        <v/>
      </c>
      <c r="G1154" t="str">
        <f t="shared" si="62"/>
        <v/>
      </c>
    </row>
    <row r="1155" spans="2:7" x14ac:dyDescent="0.25">
      <c r="B1155" s="6"/>
      <c r="C1155" s="7"/>
      <c r="D1155" s="7"/>
      <c r="E1155" s="8"/>
      <c r="F1155" t="str">
        <f t="shared" si="61"/>
        <v/>
      </c>
      <c r="G1155" t="str">
        <f t="shared" si="62"/>
        <v/>
      </c>
    </row>
    <row r="1156" spans="2:7" x14ac:dyDescent="0.25">
      <c r="B1156" s="6"/>
      <c r="C1156" s="7"/>
      <c r="D1156" s="7"/>
      <c r="E1156" s="8"/>
      <c r="F1156" t="str">
        <f t="shared" ref="F1156:F1219" si="63">IF(B1156="","",LOG10(D1156))</f>
        <v/>
      </c>
      <c r="G1156" t="str">
        <f t="shared" ref="G1156:G1219" si="64">IF(E1156="", "",0.434*E1156/D1156)</f>
        <v/>
      </c>
    </row>
    <row r="1157" spans="2:7" x14ac:dyDescent="0.25">
      <c r="B1157" s="6"/>
      <c r="C1157" s="7"/>
      <c r="D1157" s="7"/>
      <c r="E1157" s="8"/>
      <c r="F1157" t="str">
        <f t="shared" si="63"/>
        <v/>
      </c>
      <c r="G1157" t="str">
        <f t="shared" si="64"/>
        <v/>
      </c>
    </row>
    <row r="1158" spans="2:7" x14ac:dyDescent="0.25">
      <c r="B1158" s="6"/>
      <c r="C1158" s="7"/>
      <c r="D1158" s="7"/>
      <c r="E1158" s="8"/>
      <c r="F1158" t="str">
        <f t="shared" si="63"/>
        <v/>
      </c>
      <c r="G1158" t="str">
        <f t="shared" si="64"/>
        <v/>
      </c>
    </row>
    <row r="1159" spans="2:7" x14ac:dyDescent="0.25">
      <c r="B1159" s="6"/>
      <c r="C1159" s="7"/>
      <c r="D1159" s="7"/>
      <c r="E1159" s="8"/>
      <c r="F1159" t="str">
        <f t="shared" si="63"/>
        <v/>
      </c>
      <c r="G1159" t="str">
        <f t="shared" si="64"/>
        <v/>
      </c>
    </row>
    <row r="1160" spans="2:7" x14ac:dyDescent="0.25">
      <c r="B1160" s="6"/>
      <c r="C1160" s="7"/>
      <c r="D1160" s="7"/>
      <c r="E1160" s="8"/>
      <c r="F1160" t="str">
        <f t="shared" si="63"/>
        <v/>
      </c>
      <c r="G1160" t="str">
        <f t="shared" si="64"/>
        <v/>
      </c>
    </row>
    <row r="1161" spans="2:7" x14ac:dyDescent="0.25">
      <c r="B1161" s="6"/>
      <c r="C1161" s="7"/>
      <c r="D1161" s="7"/>
      <c r="E1161" s="8"/>
      <c r="F1161" t="str">
        <f t="shared" si="63"/>
        <v/>
      </c>
      <c r="G1161" t="str">
        <f t="shared" si="64"/>
        <v/>
      </c>
    </row>
    <row r="1162" spans="2:7" x14ac:dyDescent="0.25">
      <c r="B1162" s="6"/>
      <c r="C1162" s="7"/>
      <c r="D1162" s="7"/>
      <c r="E1162" s="8"/>
      <c r="F1162" t="str">
        <f t="shared" si="63"/>
        <v/>
      </c>
      <c r="G1162" t="str">
        <f t="shared" si="64"/>
        <v/>
      </c>
    </row>
    <row r="1163" spans="2:7" x14ac:dyDescent="0.25">
      <c r="B1163" s="6"/>
      <c r="C1163" s="7"/>
      <c r="D1163" s="7"/>
      <c r="E1163" s="8"/>
      <c r="F1163" t="str">
        <f t="shared" si="63"/>
        <v/>
      </c>
      <c r="G1163" t="str">
        <f t="shared" si="64"/>
        <v/>
      </c>
    </row>
    <row r="1164" spans="2:7" x14ac:dyDescent="0.25">
      <c r="B1164" s="6"/>
      <c r="C1164" s="7"/>
      <c r="D1164" s="7"/>
      <c r="E1164" s="8"/>
      <c r="F1164" t="str">
        <f t="shared" si="63"/>
        <v/>
      </c>
      <c r="G1164" t="str">
        <f t="shared" si="64"/>
        <v/>
      </c>
    </row>
    <row r="1165" spans="2:7" x14ac:dyDescent="0.25">
      <c r="B1165" s="6"/>
      <c r="C1165" s="7"/>
      <c r="D1165" s="7"/>
      <c r="E1165" s="8"/>
      <c r="F1165" t="str">
        <f t="shared" si="63"/>
        <v/>
      </c>
      <c r="G1165" t="str">
        <f t="shared" si="64"/>
        <v/>
      </c>
    </row>
    <row r="1166" spans="2:7" x14ac:dyDescent="0.25">
      <c r="B1166" s="6"/>
      <c r="C1166" s="7"/>
      <c r="D1166" s="7"/>
      <c r="E1166" s="8"/>
      <c r="F1166" t="str">
        <f t="shared" si="63"/>
        <v/>
      </c>
      <c r="G1166" t="str">
        <f t="shared" si="64"/>
        <v/>
      </c>
    </row>
    <row r="1167" spans="2:7" x14ac:dyDescent="0.25">
      <c r="B1167" s="6"/>
      <c r="C1167" s="7"/>
      <c r="D1167" s="7"/>
      <c r="E1167" s="8"/>
      <c r="F1167" t="str">
        <f t="shared" si="63"/>
        <v/>
      </c>
      <c r="G1167" t="str">
        <f t="shared" si="64"/>
        <v/>
      </c>
    </row>
    <row r="1168" spans="2:7" x14ac:dyDescent="0.25">
      <c r="B1168" s="6"/>
      <c r="C1168" s="7"/>
      <c r="D1168" s="7"/>
      <c r="E1168" s="8"/>
      <c r="F1168" t="str">
        <f t="shared" si="63"/>
        <v/>
      </c>
      <c r="G1168" t="str">
        <f t="shared" si="64"/>
        <v/>
      </c>
    </row>
    <row r="1169" spans="2:7" x14ac:dyDescent="0.25">
      <c r="B1169" s="6"/>
      <c r="C1169" s="7"/>
      <c r="D1169" s="7"/>
      <c r="E1169" s="8"/>
      <c r="F1169" t="str">
        <f t="shared" si="63"/>
        <v/>
      </c>
      <c r="G1169" t="str">
        <f t="shared" si="64"/>
        <v/>
      </c>
    </row>
    <row r="1170" spans="2:7" x14ac:dyDescent="0.25">
      <c r="B1170" s="6"/>
      <c r="C1170" s="7"/>
      <c r="D1170" s="7"/>
      <c r="E1170" s="8"/>
      <c r="F1170" t="str">
        <f t="shared" si="63"/>
        <v/>
      </c>
      <c r="G1170" t="str">
        <f t="shared" si="64"/>
        <v/>
      </c>
    </row>
    <row r="1171" spans="2:7" x14ac:dyDescent="0.25">
      <c r="B1171" s="6"/>
      <c r="C1171" s="7"/>
      <c r="D1171" s="7"/>
      <c r="E1171" s="8"/>
      <c r="F1171" t="str">
        <f t="shared" si="63"/>
        <v/>
      </c>
      <c r="G1171" t="str">
        <f t="shared" si="64"/>
        <v/>
      </c>
    </row>
    <row r="1172" spans="2:7" x14ac:dyDescent="0.25">
      <c r="B1172" s="6"/>
      <c r="C1172" s="7"/>
      <c r="D1172" s="7"/>
      <c r="E1172" s="8"/>
      <c r="F1172" t="str">
        <f t="shared" si="63"/>
        <v/>
      </c>
      <c r="G1172" t="str">
        <f t="shared" si="64"/>
        <v/>
      </c>
    </row>
    <row r="1173" spans="2:7" x14ac:dyDescent="0.25">
      <c r="B1173" s="6"/>
      <c r="C1173" s="7"/>
      <c r="D1173" s="7"/>
      <c r="E1173" s="8"/>
      <c r="F1173" t="str">
        <f t="shared" si="63"/>
        <v/>
      </c>
      <c r="G1173" t="str">
        <f t="shared" si="64"/>
        <v/>
      </c>
    </row>
    <row r="1174" spans="2:7" x14ac:dyDescent="0.25">
      <c r="B1174" s="6"/>
      <c r="C1174" s="7"/>
      <c r="D1174" s="7"/>
      <c r="E1174" s="8"/>
      <c r="F1174" t="str">
        <f t="shared" si="63"/>
        <v/>
      </c>
      <c r="G1174" t="str">
        <f t="shared" si="64"/>
        <v/>
      </c>
    </row>
    <row r="1175" spans="2:7" x14ac:dyDescent="0.25">
      <c r="B1175" s="6"/>
      <c r="C1175" s="7"/>
      <c r="D1175" s="7"/>
      <c r="E1175" s="8"/>
      <c r="F1175" t="str">
        <f t="shared" si="63"/>
        <v/>
      </c>
      <c r="G1175" t="str">
        <f t="shared" si="64"/>
        <v/>
      </c>
    </row>
    <row r="1176" spans="2:7" x14ac:dyDescent="0.25">
      <c r="B1176" s="6"/>
      <c r="C1176" s="7"/>
      <c r="D1176" s="7"/>
      <c r="E1176" s="8"/>
      <c r="F1176" t="str">
        <f t="shared" si="63"/>
        <v/>
      </c>
      <c r="G1176" t="str">
        <f t="shared" si="64"/>
        <v/>
      </c>
    </row>
    <row r="1177" spans="2:7" x14ac:dyDescent="0.25">
      <c r="B1177" s="6"/>
      <c r="C1177" s="7"/>
      <c r="D1177" s="7"/>
      <c r="E1177" s="8"/>
      <c r="F1177" t="str">
        <f t="shared" si="63"/>
        <v/>
      </c>
      <c r="G1177" t="str">
        <f t="shared" si="64"/>
        <v/>
      </c>
    </row>
    <row r="1178" spans="2:7" x14ac:dyDescent="0.25">
      <c r="B1178" s="6"/>
      <c r="C1178" s="7"/>
      <c r="D1178" s="7"/>
      <c r="E1178" s="8"/>
      <c r="F1178" t="str">
        <f t="shared" si="63"/>
        <v/>
      </c>
      <c r="G1178" t="str">
        <f t="shared" si="64"/>
        <v/>
      </c>
    </row>
    <row r="1179" spans="2:7" x14ac:dyDescent="0.25">
      <c r="B1179" s="6"/>
      <c r="C1179" s="7"/>
      <c r="D1179" s="7"/>
      <c r="E1179" s="8"/>
      <c r="F1179" t="str">
        <f t="shared" si="63"/>
        <v/>
      </c>
      <c r="G1179" t="str">
        <f t="shared" si="64"/>
        <v/>
      </c>
    </row>
    <row r="1180" spans="2:7" x14ac:dyDescent="0.25">
      <c r="B1180" s="6"/>
      <c r="C1180" s="7"/>
      <c r="D1180" s="7"/>
      <c r="E1180" s="8"/>
      <c r="F1180" t="str">
        <f t="shared" si="63"/>
        <v/>
      </c>
      <c r="G1180" t="str">
        <f t="shared" si="64"/>
        <v/>
      </c>
    </row>
    <row r="1181" spans="2:7" x14ac:dyDescent="0.25">
      <c r="B1181" s="6"/>
      <c r="C1181" s="7"/>
      <c r="D1181" s="7"/>
      <c r="E1181" s="8"/>
      <c r="F1181" t="str">
        <f t="shared" si="63"/>
        <v/>
      </c>
      <c r="G1181" t="str">
        <f t="shared" si="64"/>
        <v/>
      </c>
    </row>
    <row r="1182" spans="2:7" x14ac:dyDescent="0.25">
      <c r="B1182" s="6"/>
      <c r="C1182" s="7"/>
      <c r="D1182" s="7"/>
      <c r="E1182" s="8"/>
      <c r="F1182" t="str">
        <f t="shared" si="63"/>
        <v/>
      </c>
      <c r="G1182" t="str">
        <f t="shared" si="64"/>
        <v/>
      </c>
    </row>
    <row r="1183" spans="2:7" x14ac:dyDescent="0.25">
      <c r="B1183" s="6"/>
      <c r="C1183" s="7"/>
      <c r="D1183" s="7"/>
      <c r="E1183" s="8"/>
      <c r="F1183" t="str">
        <f t="shared" si="63"/>
        <v/>
      </c>
      <c r="G1183" t="str">
        <f t="shared" si="64"/>
        <v/>
      </c>
    </row>
    <row r="1184" spans="2:7" x14ac:dyDescent="0.25">
      <c r="B1184" s="6"/>
      <c r="C1184" s="7"/>
      <c r="D1184" s="7"/>
      <c r="E1184" s="8"/>
      <c r="F1184" t="str">
        <f t="shared" si="63"/>
        <v/>
      </c>
      <c r="G1184" t="str">
        <f t="shared" si="64"/>
        <v/>
      </c>
    </row>
    <row r="1185" spans="2:7" x14ac:dyDescent="0.25">
      <c r="B1185" s="6"/>
      <c r="C1185" s="7"/>
      <c r="D1185" s="7"/>
      <c r="E1185" s="8"/>
      <c r="F1185" t="str">
        <f t="shared" si="63"/>
        <v/>
      </c>
      <c r="G1185" t="str">
        <f t="shared" si="64"/>
        <v/>
      </c>
    </row>
    <row r="1186" spans="2:7" x14ac:dyDescent="0.25">
      <c r="B1186" s="6"/>
      <c r="C1186" s="7"/>
      <c r="D1186" s="7"/>
      <c r="E1186" s="8"/>
      <c r="F1186" t="str">
        <f t="shared" si="63"/>
        <v/>
      </c>
      <c r="G1186" t="str">
        <f t="shared" si="64"/>
        <v/>
      </c>
    </row>
    <row r="1187" spans="2:7" x14ac:dyDescent="0.25">
      <c r="B1187" s="6"/>
      <c r="C1187" s="7"/>
      <c r="D1187" s="7"/>
      <c r="E1187" s="8"/>
      <c r="F1187" t="str">
        <f t="shared" si="63"/>
        <v/>
      </c>
      <c r="G1187" t="str">
        <f t="shared" si="64"/>
        <v/>
      </c>
    </row>
    <row r="1188" spans="2:7" x14ac:dyDescent="0.25">
      <c r="B1188" s="6"/>
      <c r="C1188" s="7"/>
      <c r="D1188" s="7"/>
      <c r="E1188" s="8"/>
      <c r="F1188" t="str">
        <f t="shared" si="63"/>
        <v/>
      </c>
      <c r="G1188" t="str">
        <f t="shared" si="64"/>
        <v/>
      </c>
    </row>
    <row r="1189" spans="2:7" x14ac:dyDescent="0.25">
      <c r="B1189" s="6"/>
      <c r="C1189" s="7"/>
      <c r="D1189" s="7"/>
      <c r="E1189" s="8"/>
      <c r="F1189" t="str">
        <f t="shared" si="63"/>
        <v/>
      </c>
      <c r="G1189" t="str">
        <f t="shared" si="64"/>
        <v/>
      </c>
    </row>
    <row r="1190" spans="2:7" x14ac:dyDescent="0.25">
      <c r="B1190" s="6"/>
      <c r="C1190" s="7"/>
      <c r="D1190" s="7"/>
      <c r="E1190" s="8"/>
      <c r="F1190" t="str">
        <f t="shared" si="63"/>
        <v/>
      </c>
      <c r="G1190" t="str">
        <f t="shared" si="64"/>
        <v/>
      </c>
    </row>
    <row r="1191" spans="2:7" x14ac:dyDescent="0.25">
      <c r="B1191" s="6"/>
      <c r="C1191" s="7"/>
      <c r="D1191" s="7"/>
      <c r="E1191" s="8"/>
      <c r="F1191" t="str">
        <f t="shared" si="63"/>
        <v/>
      </c>
      <c r="G1191" t="str">
        <f t="shared" si="64"/>
        <v/>
      </c>
    </row>
    <row r="1192" spans="2:7" x14ac:dyDescent="0.25">
      <c r="B1192" s="6"/>
      <c r="C1192" s="7"/>
      <c r="D1192" s="7"/>
      <c r="E1192" s="8"/>
      <c r="F1192" t="str">
        <f t="shared" si="63"/>
        <v/>
      </c>
      <c r="G1192" t="str">
        <f t="shared" si="64"/>
        <v/>
      </c>
    </row>
    <row r="1193" spans="2:7" x14ac:dyDescent="0.25">
      <c r="B1193" s="6"/>
      <c r="C1193" s="7"/>
      <c r="D1193" s="7"/>
      <c r="E1193" s="8"/>
      <c r="F1193" t="str">
        <f t="shared" si="63"/>
        <v/>
      </c>
      <c r="G1193" t="str">
        <f t="shared" si="64"/>
        <v/>
      </c>
    </row>
    <row r="1194" spans="2:7" x14ac:dyDescent="0.25">
      <c r="B1194" s="6"/>
      <c r="C1194" s="7"/>
      <c r="D1194" s="7"/>
      <c r="E1194" s="8"/>
      <c r="F1194" t="str">
        <f t="shared" si="63"/>
        <v/>
      </c>
      <c r="G1194" t="str">
        <f t="shared" si="64"/>
        <v/>
      </c>
    </row>
    <row r="1195" spans="2:7" x14ac:dyDescent="0.25">
      <c r="B1195" s="6"/>
      <c r="C1195" s="7"/>
      <c r="D1195" s="7"/>
      <c r="E1195" s="8"/>
      <c r="F1195" t="str">
        <f t="shared" si="63"/>
        <v/>
      </c>
      <c r="G1195" t="str">
        <f t="shared" si="64"/>
        <v/>
      </c>
    </row>
    <row r="1196" spans="2:7" x14ac:dyDescent="0.25">
      <c r="B1196" s="6"/>
      <c r="C1196" s="7"/>
      <c r="D1196" s="7"/>
      <c r="E1196" s="8"/>
      <c r="F1196" t="str">
        <f t="shared" si="63"/>
        <v/>
      </c>
      <c r="G1196" t="str">
        <f t="shared" si="64"/>
        <v/>
      </c>
    </row>
    <row r="1197" spans="2:7" x14ac:dyDescent="0.25">
      <c r="B1197" s="6"/>
      <c r="C1197" s="7"/>
      <c r="D1197" s="7"/>
      <c r="E1197" s="8"/>
      <c r="F1197" t="str">
        <f t="shared" si="63"/>
        <v/>
      </c>
      <c r="G1197" t="str">
        <f t="shared" si="64"/>
        <v/>
      </c>
    </row>
    <row r="1198" spans="2:7" x14ac:dyDescent="0.25">
      <c r="B1198" s="6"/>
      <c r="C1198" s="7"/>
      <c r="D1198" s="7"/>
      <c r="E1198" s="8"/>
      <c r="F1198" t="str">
        <f t="shared" si="63"/>
        <v/>
      </c>
      <c r="G1198" t="str">
        <f t="shared" si="64"/>
        <v/>
      </c>
    </row>
    <row r="1199" spans="2:7" x14ac:dyDescent="0.25">
      <c r="B1199" s="6"/>
      <c r="C1199" s="7"/>
      <c r="D1199" s="7"/>
      <c r="E1199" s="8"/>
      <c r="F1199" t="str">
        <f t="shared" si="63"/>
        <v/>
      </c>
      <c r="G1199" t="str">
        <f t="shared" si="64"/>
        <v/>
      </c>
    </row>
    <row r="1200" spans="2:7" x14ac:dyDescent="0.25">
      <c r="B1200" s="6"/>
      <c r="C1200" s="7"/>
      <c r="D1200" s="7"/>
      <c r="E1200" s="8"/>
      <c r="F1200" t="str">
        <f t="shared" si="63"/>
        <v/>
      </c>
      <c r="G1200" t="str">
        <f t="shared" si="64"/>
        <v/>
      </c>
    </row>
    <row r="1201" spans="2:7" x14ac:dyDescent="0.25">
      <c r="B1201" s="6"/>
      <c r="C1201" s="7"/>
      <c r="D1201" s="7"/>
      <c r="E1201" s="8"/>
      <c r="F1201" t="str">
        <f t="shared" si="63"/>
        <v/>
      </c>
      <c r="G1201" t="str">
        <f t="shared" si="64"/>
        <v/>
      </c>
    </row>
    <row r="1202" spans="2:7" x14ac:dyDescent="0.25">
      <c r="B1202" s="6"/>
      <c r="C1202" s="7"/>
      <c r="D1202" s="7"/>
      <c r="E1202" s="8"/>
      <c r="F1202" t="str">
        <f t="shared" si="63"/>
        <v/>
      </c>
      <c r="G1202" t="str">
        <f t="shared" si="64"/>
        <v/>
      </c>
    </row>
    <row r="1203" spans="2:7" x14ac:dyDescent="0.25">
      <c r="B1203" s="6"/>
      <c r="C1203" s="7"/>
      <c r="D1203" s="7"/>
      <c r="E1203" s="8"/>
      <c r="F1203" t="str">
        <f t="shared" si="63"/>
        <v/>
      </c>
      <c r="G1203" t="str">
        <f t="shared" si="64"/>
        <v/>
      </c>
    </row>
    <row r="1204" spans="2:7" x14ac:dyDescent="0.25">
      <c r="B1204" s="6"/>
      <c r="C1204" s="7"/>
      <c r="D1204" s="7"/>
      <c r="E1204" s="8"/>
      <c r="F1204" t="str">
        <f t="shared" si="63"/>
        <v/>
      </c>
      <c r="G1204" t="str">
        <f t="shared" si="64"/>
        <v/>
      </c>
    </row>
    <row r="1205" spans="2:7" x14ac:dyDescent="0.25">
      <c r="B1205" s="6"/>
      <c r="C1205" s="7"/>
      <c r="D1205" s="7"/>
      <c r="E1205" s="8"/>
      <c r="F1205" t="str">
        <f t="shared" si="63"/>
        <v/>
      </c>
      <c r="G1205" t="str">
        <f t="shared" si="64"/>
        <v/>
      </c>
    </row>
    <row r="1206" spans="2:7" x14ac:dyDescent="0.25">
      <c r="B1206" s="6"/>
      <c r="C1206" s="7"/>
      <c r="D1206" s="7"/>
      <c r="E1206" s="8"/>
      <c r="F1206" t="str">
        <f t="shared" si="63"/>
        <v/>
      </c>
      <c r="G1206" t="str">
        <f t="shared" si="64"/>
        <v/>
      </c>
    </row>
    <row r="1207" spans="2:7" x14ac:dyDescent="0.25">
      <c r="B1207" s="6"/>
      <c r="C1207" s="7"/>
      <c r="D1207" s="7"/>
      <c r="E1207" s="8"/>
      <c r="F1207" t="str">
        <f t="shared" si="63"/>
        <v/>
      </c>
      <c r="G1207" t="str">
        <f t="shared" si="64"/>
        <v/>
      </c>
    </row>
    <row r="1208" spans="2:7" x14ac:dyDescent="0.25">
      <c r="B1208" s="6"/>
      <c r="C1208" s="7"/>
      <c r="D1208" s="7"/>
      <c r="E1208" s="8"/>
      <c r="F1208" t="str">
        <f t="shared" si="63"/>
        <v/>
      </c>
      <c r="G1208" t="str">
        <f t="shared" si="64"/>
        <v/>
      </c>
    </row>
    <row r="1209" spans="2:7" x14ac:dyDescent="0.25">
      <c r="B1209" s="6"/>
      <c r="C1209" s="7"/>
      <c r="D1209" s="7"/>
      <c r="E1209" s="8"/>
      <c r="F1209" t="str">
        <f t="shared" si="63"/>
        <v/>
      </c>
      <c r="G1209" t="str">
        <f t="shared" si="64"/>
        <v/>
      </c>
    </row>
    <row r="1210" spans="2:7" x14ac:dyDescent="0.25">
      <c r="B1210" s="6"/>
      <c r="C1210" s="7"/>
      <c r="D1210" s="7"/>
      <c r="E1210" s="8"/>
      <c r="F1210" t="str">
        <f t="shared" si="63"/>
        <v/>
      </c>
      <c r="G1210" t="str">
        <f t="shared" si="64"/>
        <v/>
      </c>
    </row>
    <row r="1211" spans="2:7" x14ac:dyDescent="0.25">
      <c r="B1211" s="6"/>
      <c r="C1211" s="7"/>
      <c r="D1211" s="7"/>
      <c r="E1211" s="8"/>
      <c r="F1211" t="str">
        <f t="shared" si="63"/>
        <v/>
      </c>
      <c r="G1211" t="str">
        <f t="shared" si="64"/>
        <v/>
      </c>
    </row>
    <row r="1212" spans="2:7" x14ac:dyDescent="0.25">
      <c r="B1212" s="6"/>
      <c r="C1212" s="7"/>
      <c r="D1212" s="7"/>
      <c r="E1212" s="8"/>
      <c r="F1212" t="str">
        <f t="shared" si="63"/>
        <v/>
      </c>
      <c r="G1212" t="str">
        <f t="shared" si="64"/>
        <v/>
      </c>
    </row>
    <row r="1213" spans="2:7" x14ac:dyDescent="0.25">
      <c r="B1213" s="6"/>
      <c r="C1213" s="7"/>
      <c r="D1213" s="7"/>
      <c r="E1213" s="8"/>
      <c r="F1213" t="str">
        <f t="shared" si="63"/>
        <v/>
      </c>
      <c r="G1213" t="str">
        <f t="shared" si="64"/>
        <v/>
      </c>
    </row>
    <row r="1214" spans="2:7" x14ac:dyDescent="0.25">
      <c r="B1214" s="6"/>
      <c r="C1214" s="7"/>
      <c r="D1214" s="7"/>
      <c r="E1214" s="8"/>
      <c r="F1214" t="str">
        <f t="shared" si="63"/>
        <v/>
      </c>
      <c r="G1214" t="str">
        <f t="shared" si="64"/>
        <v/>
      </c>
    </row>
    <row r="1215" spans="2:7" x14ac:dyDescent="0.25">
      <c r="B1215" s="6"/>
      <c r="C1215" s="7"/>
      <c r="D1215" s="7"/>
      <c r="E1215" s="8"/>
      <c r="F1215" t="str">
        <f t="shared" si="63"/>
        <v/>
      </c>
      <c r="G1215" t="str">
        <f t="shared" si="64"/>
        <v/>
      </c>
    </row>
    <row r="1216" spans="2:7" x14ac:dyDescent="0.25">
      <c r="B1216" s="6"/>
      <c r="C1216" s="7"/>
      <c r="D1216" s="7"/>
      <c r="E1216" s="8"/>
      <c r="F1216" t="str">
        <f t="shared" si="63"/>
        <v/>
      </c>
      <c r="G1216" t="str">
        <f t="shared" si="64"/>
        <v/>
      </c>
    </row>
    <row r="1217" spans="2:7" x14ac:dyDescent="0.25">
      <c r="B1217" s="6"/>
      <c r="C1217" s="7"/>
      <c r="D1217" s="7"/>
      <c r="E1217" s="8"/>
      <c r="F1217" t="str">
        <f t="shared" si="63"/>
        <v/>
      </c>
      <c r="G1217" t="str">
        <f t="shared" si="64"/>
        <v/>
      </c>
    </row>
    <row r="1218" spans="2:7" x14ac:dyDescent="0.25">
      <c r="B1218" s="6"/>
      <c r="C1218" s="7"/>
      <c r="D1218" s="7"/>
      <c r="E1218" s="8"/>
      <c r="F1218" t="str">
        <f t="shared" si="63"/>
        <v/>
      </c>
      <c r="G1218" t="str">
        <f t="shared" si="64"/>
        <v/>
      </c>
    </row>
    <row r="1219" spans="2:7" x14ac:dyDescent="0.25">
      <c r="B1219" s="6"/>
      <c r="C1219" s="7"/>
      <c r="D1219" s="7"/>
      <c r="E1219" s="8"/>
      <c r="F1219" t="str">
        <f t="shared" si="63"/>
        <v/>
      </c>
      <c r="G1219" t="str">
        <f t="shared" si="64"/>
        <v/>
      </c>
    </row>
    <row r="1220" spans="2:7" x14ac:dyDescent="0.25">
      <c r="B1220" s="6"/>
      <c r="C1220" s="7"/>
      <c r="D1220" s="7"/>
      <c r="E1220" s="8"/>
      <c r="F1220" t="str">
        <f t="shared" ref="F1220:F1283" si="65">IF(B1220="","",LOG10(D1220))</f>
        <v/>
      </c>
      <c r="G1220" t="str">
        <f t="shared" ref="G1220:G1283" si="66">IF(E1220="", "",0.434*E1220/D1220)</f>
        <v/>
      </c>
    </row>
    <row r="1221" spans="2:7" x14ac:dyDescent="0.25">
      <c r="B1221" s="6"/>
      <c r="C1221" s="7"/>
      <c r="D1221" s="7"/>
      <c r="E1221" s="8"/>
      <c r="F1221" t="str">
        <f t="shared" si="65"/>
        <v/>
      </c>
      <c r="G1221" t="str">
        <f t="shared" si="66"/>
        <v/>
      </c>
    </row>
    <row r="1222" spans="2:7" x14ac:dyDescent="0.25">
      <c r="B1222" s="6"/>
      <c r="C1222" s="7"/>
      <c r="D1222" s="7"/>
      <c r="E1222" s="8"/>
      <c r="F1222" t="str">
        <f t="shared" si="65"/>
        <v/>
      </c>
      <c r="G1222" t="str">
        <f t="shared" si="66"/>
        <v/>
      </c>
    </row>
    <row r="1223" spans="2:7" x14ac:dyDescent="0.25">
      <c r="B1223" s="6"/>
      <c r="C1223" s="7"/>
      <c r="D1223" s="7"/>
      <c r="E1223" s="8"/>
      <c r="F1223" t="str">
        <f t="shared" si="65"/>
        <v/>
      </c>
      <c r="G1223" t="str">
        <f t="shared" si="66"/>
        <v/>
      </c>
    </row>
    <row r="1224" spans="2:7" x14ac:dyDescent="0.25">
      <c r="B1224" s="6"/>
      <c r="C1224" s="7"/>
      <c r="D1224" s="7"/>
      <c r="E1224" s="8"/>
      <c r="F1224" t="str">
        <f t="shared" si="65"/>
        <v/>
      </c>
      <c r="G1224" t="str">
        <f t="shared" si="66"/>
        <v/>
      </c>
    </row>
    <row r="1225" spans="2:7" x14ac:dyDescent="0.25">
      <c r="B1225" s="6"/>
      <c r="C1225" s="7"/>
      <c r="D1225" s="7"/>
      <c r="E1225" s="8"/>
      <c r="F1225" t="str">
        <f t="shared" si="65"/>
        <v/>
      </c>
      <c r="G1225" t="str">
        <f t="shared" si="66"/>
        <v/>
      </c>
    </row>
    <row r="1226" spans="2:7" x14ac:dyDescent="0.25">
      <c r="B1226" s="6"/>
      <c r="C1226" s="7"/>
      <c r="D1226" s="7"/>
      <c r="E1226" s="8"/>
      <c r="F1226" t="str">
        <f t="shared" si="65"/>
        <v/>
      </c>
      <c r="G1226" t="str">
        <f t="shared" si="66"/>
        <v/>
      </c>
    </row>
    <row r="1227" spans="2:7" x14ac:dyDescent="0.25">
      <c r="B1227" s="6"/>
      <c r="C1227" s="7"/>
      <c r="D1227" s="7"/>
      <c r="E1227" s="8"/>
      <c r="F1227" t="str">
        <f t="shared" si="65"/>
        <v/>
      </c>
      <c r="G1227" t="str">
        <f t="shared" si="66"/>
        <v/>
      </c>
    </row>
    <row r="1228" spans="2:7" x14ac:dyDescent="0.25">
      <c r="B1228" s="6"/>
      <c r="C1228" s="7"/>
      <c r="D1228" s="7"/>
      <c r="E1228" s="8"/>
      <c r="F1228" t="str">
        <f t="shared" si="65"/>
        <v/>
      </c>
      <c r="G1228" t="str">
        <f t="shared" si="66"/>
        <v/>
      </c>
    </row>
    <row r="1229" spans="2:7" x14ac:dyDescent="0.25">
      <c r="B1229" s="6"/>
      <c r="C1229" s="7"/>
      <c r="D1229" s="7"/>
      <c r="E1229" s="8"/>
      <c r="F1229" t="str">
        <f t="shared" si="65"/>
        <v/>
      </c>
      <c r="G1229" t="str">
        <f t="shared" si="66"/>
        <v/>
      </c>
    </row>
    <row r="1230" spans="2:7" x14ac:dyDescent="0.25">
      <c r="B1230" s="6"/>
      <c r="C1230" s="7"/>
      <c r="D1230" s="7"/>
      <c r="E1230" s="8"/>
      <c r="F1230" t="str">
        <f t="shared" si="65"/>
        <v/>
      </c>
      <c r="G1230" t="str">
        <f t="shared" si="66"/>
        <v/>
      </c>
    </row>
    <row r="1231" spans="2:7" x14ac:dyDescent="0.25">
      <c r="B1231" s="6"/>
      <c r="C1231" s="7"/>
      <c r="D1231" s="7"/>
      <c r="E1231" s="8"/>
      <c r="F1231" t="str">
        <f t="shared" si="65"/>
        <v/>
      </c>
      <c r="G1231" t="str">
        <f t="shared" si="66"/>
        <v/>
      </c>
    </row>
    <row r="1232" spans="2:7" x14ac:dyDescent="0.25">
      <c r="B1232" s="6"/>
      <c r="C1232" s="7"/>
      <c r="D1232" s="7"/>
      <c r="E1232" s="8"/>
      <c r="F1232" t="str">
        <f t="shared" si="65"/>
        <v/>
      </c>
      <c r="G1232" t="str">
        <f t="shared" si="66"/>
        <v/>
      </c>
    </row>
    <row r="1233" spans="2:7" x14ac:dyDescent="0.25">
      <c r="B1233" s="6"/>
      <c r="C1233" s="7"/>
      <c r="D1233" s="7"/>
      <c r="E1233" s="8"/>
      <c r="F1233" t="str">
        <f t="shared" si="65"/>
        <v/>
      </c>
      <c r="G1233" t="str">
        <f t="shared" si="66"/>
        <v/>
      </c>
    </row>
    <row r="1234" spans="2:7" x14ac:dyDescent="0.25">
      <c r="B1234" s="6"/>
      <c r="C1234" s="7"/>
      <c r="D1234" s="7"/>
      <c r="E1234" s="8"/>
      <c r="F1234" t="str">
        <f t="shared" si="65"/>
        <v/>
      </c>
      <c r="G1234" t="str">
        <f t="shared" si="66"/>
        <v/>
      </c>
    </row>
    <row r="1235" spans="2:7" x14ac:dyDescent="0.25">
      <c r="B1235" s="6"/>
      <c r="C1235" s="7"/>
      <c r="D1235" s="7"/>
      <c r="E1235" s="8"/>
      <c r="F1235" t="str">
        <f t="shared" si="65"/>
        <v/>
      </c>
      <c r="G1235" t="str">
        <f t="shared" si="66"/>
        <v/>
      </c>
    </row>
    <row r="1236" spans="2:7" x14ac:dyDescent="0.25">
      <c r="B1236" s="6"/>
      <c r="C1236" s="7"/>
      <c r="D1236" s="7"/>
      <c r="E1236" s="8"/>
      <c r="F1236" t="str">
        <f t="shared" si="65"/>
        <v/>
      </c>
      <c r="G1236" t="str">
        <f t="shared" si="66"/>
        <v/>
      </c>
    </row>
    <row r="1237" spans="2:7" x14ac:dyDescent="0.25">
      <c r="B1237" s="6"/>
      <c r="C1237" s="7"/>
      <c r="D1237" s="7"/>
      <c r="E1237" s="8"/>
      <c r="F1237" t="str">
        <f t="shared" si="65"/>
        <v/>
      </c>
      <c r="G1237" t="str">
        <f t="shared" si="66"/>
        <v/>
      </c>
    </row>
    <row r="1238" spans="2:7" x14ac:dyDescent="0.25">
      <c r="B1238" s="6"/>
      <c r="C1238" s="7"/>
      <c r="D1238" s="7"/>
      <c r="E1238" s="8"/>
      <c r="F1238" t="str">
        <f t="shared" si="65"/>
        <v/>
      </c>
      <c r="G1238" t="str">
        <f t="shared" si="66"/>
        <v/>
      </c>
    </row>
    <row r="1239" spans="2:7" x14ac:dyDescent="0.25">
      <c r="B1239" s="6"/>
      <c r="C1239" s="7"/>
      <c r="D1239" s="7"/>
      <c r="E1239" s="8"/>
      <c r="F1239" t="str">
        <f t="shared" si="65"/>
        <v/>
      </c>
      <c r="G1239" t="str">
        <f t="shared" si="66"/>
        <v/>
      </c>
    </row>
    <row r="1240" spans="2:7" x14ac:dyDescent="0.25">
      <c r="B1240" s="6"/>
      <c r="C1240" s="7"/>
      <c r="D1240" s="7"/>
      <c r="E1240" s="8"/>
      <c r="F1240" t="str">
        <f t="shared" si="65"/>
        <v/>
      </c>
      <c r="G1240" t="str">
        <f t="shared" si="66"/>
        <v/>
      </c>
    </row>
    <row r="1241" spans="2:7" x14ac:dyDescent="0.25">
      <c r="B1241" s="6"/>
      <c r="C1241" s="7"/>
      <c r="D1241" s="7"/>
      <c r="E1241" s="8"/>
      <c r="F1241" t="str">
        <f t="shared" si="65"/>
        <v/>
      </c>
      <c r="G1241" t="str">
        <f t="shared" si="66"/>
        <v/>
      </c>
    </row>
    <row r="1242" spans="2:7" x14ac:dyDescent="0.25">
      <c r="B1242" s="6"/>
      <c r="C1242" s="7"/>
      <c r="D1242" s="7"/>
      <c r="E1242" s="8"/>
      <c r="F1242" t="str">
        <f t="shared" si="65"/>
        <v/>
      </c>
      <c r="G1242" t="str">
        <f t="shared" si="66"/>
        <v/>
      </c>
    </row>
    <row r="1243" spans="2:7" x14ac:dyDescent="0.25">
      <c r="B1243" s="6"/>
      <c r="C1243" s="7"/>
      <c r="D1243" s="7"/>
      <c r="E1243" s="8"/>
      <c r="F1243" t="str">
        <f t="shared" si="65"/>
        <v/>
      </c>
      <c r="G1243" t="str">
        <f t="shared" si="66"/>
        <v/>
      </c>
    </row>
    <row r="1244" spans="2:7" x14ac:dyDescent="0.25">
      <c r="B1244" s="6"/>
      <c r="C1244" s="7"/>
      <c r="D1244" s="7"/>
      <c r="E1244" s="8"/>
      <c r="F1244" t="str">
        <f t="shared" si="65"/>
        <v/>
      </c>
      <c r="G1244" t="str">
        <f t="shared" si="66"/>
        <v/>
      </c>
    </row>
    <row r="1245" spans="2:7" x14ac:dyDescent="0.25">
      <c r="B1245" s="6"/>
      <c r="C1245" s="7"/>
      <c r="D1245" s="7"/>
      <c r="E1245" s="8"/>
      <c r="F1245" t="str">
        <f t="shared" si="65"/>
        <v/>
      </c>
      <c r="G1245" t="str">
        <f t="shared" si="66"/>
        <v/>
      </c>
    </row>
    <row r="1246" spans="2:7" x14ac:dyDescent="0.25">
      <c r="B1246" s="6"/>
      <c r="C1246" s="7"/>
      <c r="D1246" s="7"/>
      <c r="E1246" s="8"/>
      <c r="F1246" t="str">
        <f t="shared" si="65"/>
        <v/>
      </c>
      <c r="G1246" t="str">
        <f t="shared" si="66"/>
        <v/>
      </c>
    </row>
    <row r="1247" spans="2:7" x14ac:dyDescent="0.25">
      <c r="B1247" s="6"/>
      <c r="C1247" s="7"/>
      <c r="D1247" s="7"/>
      <c r="E1247" s="8"/>
      <c r="F1247" t="str">
        <f t="shared" si="65"/>
        <v/>
      </c>
      <c r="G1247" t="str">
        <f t="shared" si="66"/>
        <v/>
      </c>
    </row>
    <row r="1248" spans="2:7" x14ac:dyDescent="0.25">
      <c r="B1248" s="6"/>
      <c r="C1248" s="7"/>
      <c r="D1248" s="7"/>
      <c r="E1248" s="8"/>
      <c r="F1248" t="str">
        <f t="shared" si="65"/>
        <v/>
      </c>
      <c r="G1248" t="str">
        <f t="shared" si="66"/>
        <v/>
      </c>
    </row>
    <row r="1249" spans="2:7" x14ac:dyDescent="0.25">
      <c r="B1249" s="6"/>
      <c r="C1249" s="7"/>
      <c r="D1249" s="7"/>
      <c r="E1249" s="8"/>
      <c r="F1249" t="str">
        <f t="shared" si="65"/>
        <v/>
      </c>
      <c r="G1249" t="str">
        <f t="shared" si="66"/>
        <v/>
      </c>
    </row>
    <row r="1250" spans="2:7" x14ac:dyDescent="0.25">
      <c r="B1250" s="6"/>
      <c r="C1250" s="7"/>
      <c r="D1250" s="7"/>
      <c r="E1250" s="8"/>
      <c r="F1250" t="str">
        <f t="shared" si="65"/>
        <v/>
      </c>
      <c r="G1250" t="str">
        <f t="shared" si="66"/>
        <v/>
      </c>
    </row>
    <row r="1251" spans="2:7" x14ac:dyDescent="0.25">
      <c r="B1251" s="6"/>
      <c r="C1251" s="7"/>
      <c r="D1251" s="7"/>
      <c r="E1251" s="8"/>
      <c r="F1251" t="str">
        <f t="shared" si="65"/>
        <v/>
      </c>
      <c r="G1251" t="str">
        <f t="shared" si="66"/>
        <v/>
      </c>
    </row>
    <row r="1252" spans="2:7" x14ac:dyDescent="0.25">
      <c r="B1252" s="6"/>
      <c r="C1252" s="7"/>
      <c r="D1252" s="7"/>
      <c r="E1252" s="8"/>
      <c r="F1252" t="str">
        <f t="shared" si="65"/>
        <v/>
      </c>
      <c r="G1252" t="str">
        <f t="shared" si="66"/>
        <v/>
      </c>
    </row>
    <row r="1253" spans="2:7" x14ac:dyDescent="0.25">
      <c r="B1253" s="6"/>
      <c r="C1253" s="7"/>
      <c r="D1253" s="7"/>
      <c r="E1253" s="8"/>
      <c r="F1253" t="str">
        <f t="shared" si="65"/>
        <v/>
      </c>
      <c r="G1253" t="str">
        <f t="shared" si="66"/>
        <v/>
      </c>
    </row>
    <row r="1254" spans="2:7" x14ac:dyDescent="0.25">
      <c r="B1254" s="6"/>
      <c r="C1254" s="7"/>
      <c r="D1254" s="7"/>
      <c r="E1254" s="8"/>
      <c r="F1254" t="str">
        <f t="shared" si="65"/>
        <v/>
      </c>
      <c r="G1254" t="str">
        <f t="shared" si="66"/>
        <v/>
      </c>
    </row>
    <row r="1255" spans="2:7" x14ac:dyDescent="0.25">
      <c r="B1255" s="6"/>
      <c r="C1255" s="7"/>
      <c r="D1255" s="7"/>
      <c r="E1255" s="8"/>
      <c r="F1255" t="str">
        <f t="shared" si="65"/>
        <v/>
      </c>
      <c r="G1255" t="str">
        <f t="shared" si="66"/>
        <v/>
      </c>
    </row>
    <row r="1256" spans="2:7" x14ac:dyDescent="0.25">
      <c r="B1256" s="6"/>
      <c r="C1256" s="7"/>
      <c r="D1256" s="7"/>
      <c r="E1256" s="8"/>
      <c r="F1256" t="str">
        <f t="shared" si="65"/>
        <v/>
      </c>
      <c r="G1256" t="str">
        <f t="shared" si="66"/>
        <v/>
      </c>
    </row>
    <row r="1257" spans="2:7" x14ac:dyDescent="0.25">
      <c r="B1257" s="6"/>
      <c r="C1257" s="7"/>
      <c r="D1257" s="7"/>
      <c r="E1257" s="8"/>
      <c r="F1257" t="str">
        <f t="shared" si="65"/>
        <v/>
      </c>
      <c r="G1257" t="str">
        <f t="shared" si="66"/>
        <v/>
      </c>
    </row>
    <row r="1258" spans="2:7" x14ac:dyDescent="0.25">
      <c r="B1258" s="6"/>
      <c r="C1258" s="7"/>
      <c r="D1258" s="7"/>
      <c r="E1258" s="8"/>
      <c r="F1258" t="str">
        <f t="shared" si="65"/>
        <v/>
      </c>
      <c r="G1258" t="str">
        <f t="shared" si="66"/>
        <v/>
      </c>
    </row>
    <row r="1259" spans="2:7" x14ac:dyDescent="0.25">
      <c r="B1259" s="6"/>
      <c r="C1259" s="7"/>
      <c r="D1259" s="7"/>
      <c r="E1259" s="8"/>
      <c r="F1259" t="str">
        <f t="shared" si="65"/>
        <v/>
      </c>
      <c r="G1259" t="str">
        <f t="shared" si="66"/>
        <v/>
      </c>
    </row>
    <row r="1260" spans="2:7" x14ac:dyDescent="0.25">
      <c r="B1260" s="6"/>
      <c r="C1260" s="7"/>
      <c r="D1260" s="7"/>
      <c r="E1260" s="8"/>
      <c r="F1260" t="str">
        <f t="shared" si="65"/>
        <v/>
      </c>
      <c r="G1260" t="str">
        <f t="shared" si="66"/>
        <v/>
      </c>
    </row>
    <row r="1261" spans="2:7" x14ac:dyDescent="0.25">
      <c r="B1261" s="6"/>
      <c r="C1261" s="7"/>
      <c r="D1261" s="7"/>
      <c r="E1261" s="8"/>
      <c r="F1261" t="str">
        <f t="shared" si="65"/>
        <v/>
      </c>
      <c r="G1261" t="str">
        <f t="shared" si="66"/>
        <v/>
      </c>
    </row>
    <row r="1262" spans="2:7" x14ac:dyDescent="0.25">
      <c r="B1262" s="6"/>
      <c r="C1262" s="7"/>
      <c r="D1262" s="7"/>
      <c r="E1262" s="8"/>
      <c r="F1262" t="str">
        <f t="shared" si="65"/>
        <v/>
      </c>
      <c r="G1262" t="str">
        <f t="shared" si="66"/>
        <v/>
      </c>
    </row>
    <row r="1263" spans="2:7" x14ac:dyDescent="0.25">
      <c r="B1263" s="6"/>
      <c r="C1263" s="7"/>
      <c r="D1263" s="7"/>
      <c r="E1263" s="8"/>
      <c r="F1263" t="str">
        <f t="shared" si="65"/>
        <v/>
      </c>
      <c r="G1263" t="str">
        <f t="shared" si="66"/>
        <v/>
      </c>
    </row>
    <row r="1264" spans="2:7" x14ac:dyDescent="0.25">
      <c r="B1264" s="6"/>
      <c r="C1264" s="7"/>
      <c r="D1264" s="7"/>
      <c r="E1264" s="8"/>
      <c r="F1264" t="str">
        <f t="shared" si="65"/>
        <v/>
      </c>
      <c r="G1264" t="str">
        <f t="shared" si="66"/>
        <v/>
      </c>
    </row>
    <row r="1265" spans="2:7" x14ac:dyDescent="0.25">
      <c r="B1265" s="6"/>
      <c r="C1265" s="7"/>
      <c r="D1265" s="7"/>
      <c r="E1265" s="8"/>
      <c r="F1265" t="str">
        <f t="shared" si="65"/>
        <v/>
      </c>
      <c r="G1265" t="str">
        <f t="shared" si="66"/>
        <v/>
      </c>
    </row>
    <row r="1266" spans="2:7" x14ac:dyDescent="0.25">
      <c r="B1266" s="6"/>
      <c r="C1266" s="7"/>
      <c r="D1266" s="7"/>
      <c r="E1266" s="8"/>
      <c r="F1266" t="str">
        <f t="shared" si="65"/>
        <v/>
      </c>
      <c r="G1266" t="str">
        <f t="shared" si="66"/>
        <v/>
      </c>
    </row>
    <row r="1267" spans="2:7" x14ac:dyDescent="0.25">
      <c r="B1267" s="6"/>
      <c r="C1267" s="7"/>
      <c r="D1267" s="7"/>
      <c r="E1267" s="8"/>
      <c r="F1267" t="str">
        <f t="shared" si="65"/>
        <v/>
      </c>
      <c r="G1267" t="str">
        <f t="shared" si="66"/>
        <v/>
      </c>
    </row>
    <row r="1268" spans="2:7" x14ac:dyDescent="0.25">
      <c r="B1268" s="6"/>
      <c r="C1268" s="7"/>
      <c r="D1268" s="7"/>
      <c r="E1268" s="8"/>
      <c r="F1268" t="str">
        <f t="shared" si="65"/>
        <v/>
      </c>
      <c r="G1268" t="str">
        <f t="shared" si="66"/>
        <v/>
      </c>
    </row>
    <row r="1269" spans="2:7" x14ac:dyDescent="0.25">
      <c r="B1269" s="6"/>
      <c r="C1269" s="7"/>
      <c r="D1269" s="7"/>
      <c r="E1269" s="8"/>
      <c r="F1269" t="str">
        <f t="shared" si="65"/>
        <v/>
      </c>
      <c r="G1269" t="str">
        <f t="shared" si="66"/>
        <v/>
      </c>
    </row>
    <row r="1270" spans="2:7" x14ac:dyDescent="0.25">
      <c r="B1270" s="6"/>
      <c r="C1270" s="7"/>
      <c r="D1270" s="7"/>
      <c r="E1270" s="8"/>
      <c r="F1270" t="str">
        <f t="shared" si="65"/>
        <v/>
      </c>
      <c r="G1270" t="str">
        <f t="shared" si="66"/>
        <v/>
      </c>
    </row>
    <row r="1271" spans="2:7" x14ac:dyDescent="0.25">
      <c r="B1271" s="6"/>
      <c r="C1271" s="7"/>
      <c r="D1271" s="7"/>
      <c r="E1271" s="8"/>
      <c r="F1271" t="str">
        <f t="shared" si="65"/>
        <v/>
      </c>
      <c r="G1271" t="str">
        <f t="shared" si="66"/>
        <v/>
      </c>
    </row>
    <row r="1272" spans="2:7" x14ac:dyDescent="0.25">
      <c r="B1272" s="6"/>
      <c r="C1272" s="7"/>
      <c r="D1272" s="7"/>
      <c r="E1272" s="8"/>
      <c r="F1272" t="str">
        <f t="shared" si="65"/>
        <v/>
      </c>
      <c r="G1272" t="str">
        <f t="shared" si="66"/>
        <v/>
      </c>
    </row>
    <row r="1273" spans="2:7" x14ac:dyDescent="0.25">
      <c r="B1273" s="6"/>
      <c r="C1273" s="7"/>
      <c r="D1273" s="7"/>
      <c r="E1273" s="8"/>
      <c r="F1273" t="str">
        <f t="shared" si="65"/>
        <v/>
      </c>
      <c r="G1273" t="str">
        <f t="shared" si="66"/>
        <v/>
      </c>
    </row>
    <row r="1274" spans="2:7" x14ac:dyDescent="0.25">
      <c r="B1274" s="6"/>
      <c r="C1274" s="7"/>
      <c r="D1274" s="7"/>
      <c r="E1274" s="8"/>
      <c r="F1274" t="str">
        <f t="shared" si="65"/>
        <v/>
      </c>
      <c r="G1274" t="str">
        <f t="shared" si="66"/>
        <v/>
      </c>
    </row>
    <row r="1275" spans="2:7" x14ac:dyDescent="0.25">
      <c r="B1275" s="6"/>
      <c r="C1275" s="7"/>
      <c r="D1275" s="7"/>
      <c r="E1275" s="8"/>
      <c r="F1275" t="str">
        <f t="shared" si="65"/>
        <v/>
      </c>
      <c r="G1275" t="str">
        <f t="shared" si="66"/>
        <v/>
      </c>
    </row>
    <row r="1276" spans="2:7" x14ac:dyDescent="0.25">
      <c r="B1276" s="6"/>
      <c r="C1276" s="7"/>
      <c r="D1276" s="7"/>
      <c r="E1276" s="8"/>
      <c r="F1276" t="str">
        <f t="shared" si="65"/>
        <v/>
      </c>
      <c r="G1276" t="str">
        <f t="shared" si="66"/>
        <v/>
      </c>
    </row>
    <row r="1277" spans="2:7" x14ac:dyDescent="0.25">
      <c r="B1277" s="6"/>
      <c r="C1277" s="7"/>
      <c r="D1277" s="7"/>
      <c r="E1277" s="8"/>
      <c r="F1277" t="str">
        <f t="shared" si="65"/>
        <v/>
      </c>
      <c r="G1277" t="str">
        <f t="shared" si="66"/>
        <v/>
      </c>
    </row>
    <row r="1278" spans="2:7" x14ac:dyDescent="0.25">
      <c r="B1278" s="6"/>
      <c r="C1278" s="7"/>
      <c r="D1278" s="7"/>
      <c r="E1278" s="8"/>
      <c r="F1278" t="str">
        <f t="shared" si="65"/>
        <v/>
      </c>
      <c r="G1278" t="str">
        <f t="shared" si="66"/>
        <v/>
      </c>
    </row>
    <row r="1279" spans="2:7" x14ac:dyDescent="0.25">
      <c r="B1279" s="6"/>
      <c r="C1279" s="7"/>
      <c r="D1279" s="7"/>
      <c r="E1279" s="8"/>
      <c r="F1279" t="str">
        <f t="shared" si="65"/>
        <v/>
      </c>
      <c r="G1279" t="str">
        <f t="shared" si="66"/>
        <v/>
      </c>
    </row>
    <row r="1280" spans="2:7" x14ac:dyDescent="0.25">
      <c r="B1280" s="6"/>
      <c r="C1280" s="7"/>
      <c r="D1280" s="7"/>
      <c r="E1280" s="8"/>
      <c r="F1280" t="str">
        <f t="shared" si="65"/>
        <v/>
      </c>
      <c r="G1280" t="str">
        <f t="shared" si="66"/>
        <v/>
      </c>
    </row>
    <row r="1281" spans="2:7" x14ac:dyDescent="0.25">
      <c r="B1281" s="6"/>
      <c r="C1281" s="7"/>
      <c r="D1281" s="7"/>
      <c r="E1281" s="8"/>
      <c r="F1281" t="str">
        <f t="shared" si="65"/>
        <v/>
      </c>
      <c r="G1281" t="str">
        <f t="shared" si="66"/>
        <v/>
      </c>
    </row>
    <row r="1282" spans="2:7" x14ac:dyDescent="0.25">
      <c r="B1282" s="6"/>
      <c r="C1282" s="7"/>
      <c r="D1282" s="7"/>
      <c r="E1282" s="8"/>
      <c r="F1282" t="str">
        <f t="shared" si="65"/>
        <v/>
      </c>
      <c r="G1282" t="str">
        <f t="shared" si="66"/>
        <v/>
      </c>
    </row>
    <row r="1283" spans="2:7" x14ac:dyDescent="0.25">
      <c r="B1283" s="6"/>
      <c r="C1283" s="7"/>
      <c r="D1283" s="7"/>
      <c r="E1283" s="8"/>
      <c r="F1283" t="str">
        <f t="shared" si="65"/>
        <v/>
      </c>
      <c r="G1283" t="str">
        <f t="shared" si="66"/>
        <v/>
      </c>
    </row>
    <row r="1284" spans="2:7" x14ac:dyDescent="0.25">
      <c r="B1284" s="6"/>
      <c r="C1284" s="7"/>
      <c r="D1284" s="7"/>
      <c r="E1284" s="8"/>
      <c r="F1284" t="str">
        <f t="shared" ref="F1284:F1347" si="67">IF(B1284="","",LOG10(D1284))</f>
        <v/>
      </c>
      <c r="G1284" t="str">
        <f t="shared" ref="G1284:G1347" si="68">IF(E1284="", "",0.434*E1284/D1284)</f>
        <v/>
      </c>
    </row>
    <row r="1285" spans="2:7" x14ac:dyDescent="0.25">
      <c r="B1285" s="6"/>
      <c r="C1285" s="7"/>
      <c r="D1285" s="7"/>
      <c r="E1285" s="8"/>
      <c r="F1285" t="str">
        <f t="shared" si="67"/>
        <v/>
      </c>
      <c r="G1285" t="str">
        <f t="shared" si="68"/>
        <v/>
      </c>
    </row>
    <row r="1286" spans="2:7" x14ac:dyDescent="0.25">
      <c r="B1286" s="6"/>
      <c r="C1286" s="7"/>
      <c r="D1286" s="7"/>
      <c r="E1286" s="8"/>
      <c r="F1286" t="str">
        <f t="shared" si="67"/>
        <v/>
      </c>
      <c r="G1286" t="str">
        <f t="shared" si="68"/>
        <v/>
      </c>
    </row>
    <row r="1287" spans="2:7" x14ac:dyDescent="0.25">
      <c r="B1287" s="6"/>
      <c r="C1287" s="7"/>
      <c r="D1287" s="7"/>
      <c r="E1287" s="8"/>
      <c r="F1287" t="str">
        <f t="shared" si="67"/>
        <v/>
      </c>
      <c r="G1287" t="str">
        <f t="shared" si="68"/>
        <v/>
      </c>
    </row>
    <row r="1288" spans="2:7" x14ac:dyDescent="0.25">
      <c r="B1288" s="6"/>
      <c r="C1288" s="7"/>
      <c r="D1288" s="7"/>
      <c r="E1288" s="8"/>
      <c r="F1288" t="str">
        <f t="shared" si="67"/>
        <v/>
      </c>
      <c r="G1288" t="str">
        <f t="shared" si="68"/>
        <v/>
      </c>
    </row>
    <row r="1289" spans="2:7" x14ac:dyDescent="0.25">
      <c r="B1289" s="6"/>
      <c r="C1289" s="7"/>
      <c r="D1289" s="7"/>
      <c r="E1289" s="8"/>
      <c r="F1289" t="str">
        <f t="shared" si="67"/>
        <v/>
      </c>
      <c r="G1289" t="str">
        <f t="shared" si="68"/>
        <v/>
      </c>
    </row>
    <row r="1290" spans="2:7" x14ac:dyDescent="0.25">
      <c r="B1290" s="6"/>
      <c r="C1290" s="7"/>
      <c r="D1290" s="7"/>
      <c r="E1290" s="8"/>
      <c r="F1290" t="str">
        <f t="shared" si="67"/>
        <v/>
      </c>
      <c r="G1290" t="str">
        <f t="shared" si="68"/>
        <v/>
      </c>
    </row>
    <row r="1291" spans="2:7" x14ac:dyDescent="0.25">
      <c r="B1291" s="6"/>
      <c r="C1291" s="7"/>
      <c r="D1291" s="7"/>
      <c r="E1291" s="8"/>
      <c r="F1291" t="str">
        <f t="shared" si="67"/>
        <v/>
      </c>
      <c r="G1291" t="str">
        <f t="shared" si="68"/>
        <v/>
      </c>
    </row>
    <row r="1292" spans="2:7" x14ac:dyDescent="0.25">
      <c r="B1292" s="6"/>
      <c r="C1292" s="7"/>
      <c r="D1292" s="7"/>
      <c r="E1292" s="8"/>
      <c r="F1292" t="str">
        <f t="shared" si="67"/>
        <v/>
      </c>
      <c r="G1292" t="str">
        <f t="shared" si="68"/>
        <v/>
      </c>
    </row>
    <row r="1293" spans="2:7" x14ac:dyDescent="0.25">
      <c r="B1293" s="6"/>
      <c r="C1293" s="7"/>
      <c r="D1293" s="7"/>
      <c r="E1293" s="8"/>
      <c r="F1293" t="str">
        <f t="shared" si="67"/>
        <v/>
      </c>
      <c r="G1293" t="str">
        <f t="shared" si="68"/>
        <v/>
      </c>
    </row>
    <row r="1294" spans="2:7" x14ac:dyDescent="0.25">
      <c r="B1294" s="6"/>
      <c r="C1294" s="7"/>
      <c r="D1294" s="7"/>
      <c r="E1294" s="8"/>
      <c r="F1294" t="str">
        <f t="shared" si="67"/>
        <v/>
      </c>
      <c r="G1294" t="str">
        <f t="shared" si="68"/>
        <v/>
      </c>
    </row>
    <row r="1295" spans="2:7" x14ac:dyDescent="0.25">
      <c r="B1295" s="6"/>
      <c r="C1295" s="7"/>
      <c r="D1295" s="7"/>
      <c r="E1295" s="8"/>
      <c r="F1295" t="str">
        <f t="shared" si="67"/>
        <v/>
      </c>
      <c r="G1295" t="str">
        <f t="shared" si="68"/>
        <v/>
      </c>
    </row>
    <row r="1296" spans="2:7" x14ac:dyDescent="0.25">
      <c r="B1296" s="6"/>
      <c r="C1296" s="7"/>
      <c r="D1296" s="7"/>
      <c r="E1296" s="8"/>
      <c r="F1296" t="str">
        <f t="shared" si="67"/>
        <v/>
      </c>
      <c r="G1296" t="str">
        <f t="shared" si="68"/>
        <v/>
      </c>
    </row>
    <row r="1297" spans="2:7" x14ac:dyDescent="0.25">
      <c r="B1297" s="6"/>
      <c r="C1297" s="7"/>
      <c r="D1297" s="7"/>
      <c r="E1297" s="8"/>
      <c r="F1297" t="str">
        <f t="shared" si="67"/>
        <v/>
      </c>
      <c r="G1297" t="str">
        <f t="shared" si="68"/>
        <v/>
      </c>
    </row>
    <row r="1298" spans="2:7" x14ac:dyDescent="0.25">
      <c r="B1298" s="6"/>
      <c r="C1298" s="7"/>
      <c r="D1298" s="7"/>
      <c r="E1298" s="8"/>
      <c r="F1298" t="str">
        <f t="shared" si="67"/>
        <v/>
      </c>
      <c r="G1298" t="str">
        <f t="shared" si="68"/>
        <v/>
      </c>
    </row>
    <row r="1299" spans="2:7" x14ac:dyDescent="0.25">
      <c r="B1299" s="6"/>
      <c r="C1299" s="7"/>
      <c r="D1299" s="7"/>
      <c r="E1299" s="8"/>
      <c r="F1299" t="str">
        <f t="shared" si="67"/>
        <v/>
      </c>
      <c r="G1299" t="str">
        <f t="shared" si="68"/>
        <v/>
      </c>
    </row>
    <row r="1300" spans="2:7" x14ac:dyDescent="0.25">
      <c r="B1300" s="6"/>
      <c r="C1300" s="7"/>
      <c r="D1300" s="7"/>
      <c r="E1300" s="8"/>
      <c r="F1300" t="str">
        <f t="shared" si="67"/>
        <v/>
      </c>
      <c r="G1300" t="str">
        <f t="shared" si="68"/>
        <v/>
      </c>
    </row>
    <row r="1301" spans="2:7" x14ac:dyDescent="0.25">
      <c r="B1301" s="6"/>
      <c r="C1301" s="7"/>
      <c r="D1301" s="7"/>
      <c r="E1301" s="8"/>
      <c r="F1301" t="str">
        <f t="shared" si="67"/>
        <v/>
      </c>
      <c r="G1301" t="str">
        <f t="shared" si="68"/>
        <v/>
      </c>
    </row>
    <row r="1302" spans="2:7" x14ac:dyDescent="0.25">
      <c r="B1302" s="6"/>
      <c r="C1302" s="7"/>
      <c r="D1302" s="7"/>
      <c r="E1302" s="8"/>
      <c r="F1302" t="str">
        <f t="shared" si="67"/>
        <v/>
      </c>
      <c r="G1302" t="str">
        <f t="shared" si="68"/>
        <v/>
      </c>
    </row>
    <row r="1303" spans="2:7" x14ac:dyDescent="0.25">
      <c r="B1303" s="6"/>
      <c r="C1303" s="7"/>
      <c r="D1303" s="7"/>
      <c r="E1303" s="8"/>
      <c r="F1303" t="str">
        <f t="shared" si="67"/>
        <v/>
      </c>
      <c r="G1303" t="str">
        <f t="shared" si="68"/>
        <v/>
      </c>
    </row>
    <row r="1304" spans="2:7" x14ac:dyDescent="0.25">
      <c r="B1304" s="6"/>
      <c r="C1304" s="7"/>
      <c r="D1304" s="7"/>
      <c r="E1304" s="8"/>
      <c r="F1304" t="str">
        <f t="shared" si="67"/>
        <v/>
      </c>
      <c r="G1304" t="str">
        <f t="shared" si="68"/>
        <v/>
      </c>
    </row>
    <row r="1305" spans="2:7" x14ac:dyDescent="0.25">
      <c r="B1305" s="6"/>
      <c r="C1305" s="7"/>
      <c r="D1305" s="7"/>
      <c r="E1305" s="8"/>
      <c r="F1305" t="str">
        <f t="shared" si="67"/>
        <v/>
      </c>
      <c r="G1305" t="str">
        <f t="shared" si="68"/>
        <v/>
      </c>
    </row>
    <row r="1306" spans="2:7" x14ac:dyDescent="0.25">
      <c r="B1306" s="6"/>
      <c r="C1306" s="7"/>
      <c r="D1306" s="7"/>
      <c r="E1306" s="8"/>
      <c r="F1306" t="str">
        <f t="shared" si="67"/>
        <v/>
      </c>
      <c r="G1306" t="str">
        <f t="shared" si="68"/>
        <v/>
      </c>
    </row>
    <row r="1307" spans="2:7" x14ac:dyDescent="0.25">
      <c r="B1307" s="6"/>
      <c r="C1307" s="7"/>
      <c r="D1307" s="7"/>
      <c r="E1307" s="8"/>
      <c r="F1307" t="str">
        <f t="shared" si="67"/>
        <v/>
      </c>
      <c r="G1307" t="str">
        <f t="shared" si="68"/>
        <v/>
      </c>
    </row>
    <row r="1308" spans="2:7" x14ac:dyDescent="0.25">
      <c r="B1308" s="6"/>
      <c r="C1308" s="7"/>
      <c r="D1308" s="7"/>
      <c r="E1308" s="8"/>
      <c r="F1308" t="str">
        <f t="shared" si="67"/>
        <v/>
      </c>
      <c r="G1308" t="str">
        <f t="shared" si="68"/>
        <v/>
      </c>
    </row>
    <row r="1309" spans="2:7" x14ac:dyDescent="0.25">
      <c r="B1309" s="6"/>
      <c r="C1309" s="7"/>
      <c r="D1309" s="7"/>
      <c r="E1309" s="8"/>
      <c r="F1309" t="str">
        <f t="shared" si="67"/>
        <v/>
      </c>
      <c r="G1309" t="str">
        <f t="shared" si="68"/>
        <v/>
      </c>
    </row>
    <row r="1310" spans="2:7" x14ac:dyDescent="0.25">
      <c r="B1310" s="6"/>
      <c r="C1310" s="7"/>
      <c r="D1310" s="7"/>
      <c r="E1310" s="8"/>
      <c r="F1310" t="str">
        <f t="shared" si="67"/>
        <v/>
      </c>
      <c r="G1310" t="str">
        <f t="shared" si="68"/>
        <v/>
      </c>
    </row>
    <row r="1311" spans="2:7" x14ac:dyDescent="0.25">
      <c r="B1311" s="6"/>
      <c r="C1311" s="7"/>
      <c r="D1311" s="7"/>
      <c r="E1311" s="8"/>
      <c r="F1311" t="str">
        <f t="shared" si="67"/>
        <v/>
      </c>
      <c r="G1311" t="str">
        <f t="shared" si="68"/>
        <v/>
      </c>
    </row>
    <row r="1312" spans="2:7" x14ac:dyDescent="0.25">
      <c r="B1312" s="6"/>
      <c r="C1312" s="7"/>
      <c r="D1312" s="7"/>
      <c r="E1312" s="8"/>
      <c r="F1312" t="str">
        <f t="shared" si="67"/>
        <v/>
      </c>
      <c r="G1312" t="str">
        <f t="shared" si="68"/>
        <v/>
      </c>
    </row>
    <row r="1313" spans="2:7" x14ac:dyDescent="0.25">
      <c r="B1313" s="6"/>
      <c r="C1313" s="7"/>
      <c r="D1313" s="7"/>
      <c r="E1313" s="8"/>
      <c r="F1313" t="str">
        <f t="shared" si="67"/>
        <v/>
      </c>
      <c r="G1313" t="str">
        <f t="shared" si="68"/>
        <v/>
      </c>
    </row>
    <row r="1314" spans="2:7" x14ac:dyDescent="0.25">
      <c r="B1314" s="6"/>
      <c r="C1314" s="7"/>
      <c r="D1314" s="7"/>
      <c r="E1314" s="8"/>
      <c r="F1314" t="str">
        <f t="shared" si="67"/>
        <v/>
      </c>
      <c r="G1314" t="str">
        <f t="shared" si="68"/>
        <v/>
      </c>
    </row>
    <row r="1315" spans="2:7" x14ac:dyDescent="0.25">
      <c r="B1315" s="6"/>
      <c r="C1315" s="7"/>
      <c r="D1315" s="7"/>
      <c r="E1315" s="8"/>
      <c r="F1315" t="str">
        <f t="shared" si="67"/>
        <v/>
      </c>
      <c r="G1315" t="str">
        <f t="shared" si="68"/>
        <v/>
      </c>
    </row>
    <row r="1316" spans="2:7" x14ac:dyDescent="0.25">
      <c r="B1316" s="6"/>
      <c r="C1316" s="7"/>
      <c r="D1316" s="7"/>
      <c r="E1316" s="8"/>
      <c r="F1316" t="str">
        <f t="shared" si="67"/>
        <v/>
      </c>
      <c r="G1316" t="str">
        <f t="shared" si="68"/>
        <v/>
      </c>
    </row>
    <row r="1317" spans="2:7" x14ac:dyDescent="0.25">
      <c r="B1317" s="6"/>
      <c r="C1317" s="7"/>
      <c r="D1317" s="7"/>
      <c r="E1317" s="8"/>
      <c r="F1317" t="str">
        <f t="shared" si="67"/>
        <v/>
      </c>
      <c r="G1317" t="str">
        <f t="shared" si="68"/>
        <v/>
      </c>
    </row>
    <row r="1318" spans="2:7" x14ac:dyDescent="0.25">
      <c r="B1318" s="6"/>
      <c r="C1318" s="7"/>
      <c r="D1318" s="7"/>
      <c r="E1318" s="8"/>
      <c r="F1318" t="str">
        <f t="shared" si="67"/>
        <v/>
      </c>
      <c r="G1318" t="str">
        <f t="shared" si="68"/>
        <v/>
      </c>
    </row>
    <row r="1319" spans="2:7" x14ac:dyDescent="0.25">
      <c r="B1319" s="6"/>
      <c r="C1319" s="7"/>
      <c r="D1319" s="7"/>
      <c r="E1319" s="8"/>
      <c r="F1319" t="str">
        <f t="shared" si="67"/>
        <v/>
      </c>
      <c r="G1319" t="str">
        <f t="shared" si="68"/>
        <v/>
      </c>
    </row>
    <row r="1320" spans="2:7" x14ac:dyDescent="0.25">
      <c r="B1320" s="6"/>
      <c r="C1320" s="7"/>
      <c r="D1320" s="7"/>
      <c r="E1320" s="8"/>
      <c r="F1320" t="str">
        <f t="shared" si="67"/>
        <v/>
      </c>
      <c r="G1320" t="str">
        <f t="shared" si="68"/>
        <v/>
      </c>
    </row>
    <row r="1321" spans="2:7" x14ac:dyDescent="0.25">
      <c r="B1321" s="6"/>
      <c r="C1321" s="7"/>
      <c r="D1321" s="7"/>
      <c r="E1321" s="8"/>
      <c r="F1321" t="str">
        <f t="shared" si="67"/>
        <v/>
      </c>
      <c r="G1321" t="str">
        <f t="shared" si="68"/>
        <v/>
      </c>
    </row>
    <row r="1322" spans="2:7" x14ac:dyDescent="0.25">
      <c r="B1322" s="6"/>
      <c r="C1322" s="7"/>
      <c r="D1322" s="7"/>
      <c r="E1322" s="8"/>
      <c r="F1322" t="str">
        <f t="shared" si="67"/>
        <v/>
      </c>
      <c r="G1322" t="str">
        <f t="shared" si="68"/>
        <v/>
      </c>
    </row>
    <row r="1323" spans="2:7" x14ac:dyDescent="0.25">
      <c r="B1323" s="6"/>
      <c r="C1323" s="7"/>
      <c r="D1323" s="7"/>
      <c r="E1323" s="8"/>
      <c r="F1323" t="str">
        <f t="shared" si="67"/>
        <v/>
      </c>
      <c r="G1323" t="str">
        <f t="shared" si="68"/>
        <v/>
      </c>
    </row>
    <row r="1324" spans="2:7" x14ac:dyDescent="0.25">
      <c r="B1324" s="6"/>
      <c r="C1324" s="7"/>
      <c r="D1324" s="7"/>
      <c r="E1324" s="8"/>
      <c r="F1324" t="str">
        <f t="shared" si="67"/>
        <v/>
      </c>
      <c r="G1324" t="str">
        <f t="shared" si="68"/>
        <v/>
      </c>
    </row>
    <row r="1325" spans="2:7" x14ac:dyDescent="0.25">
      <c r="B1325" s="6"/>
      <c r="C1325" s="7"/>
      <c r="D1325" s="7"/>
      <c r="E1325" s="8"/>
      <c r="F1325" t="str">
        <f t="shared" si="67"/>
        <v/>
      </c>
      <c r="G1325" t="str">
        <f t="shared" si="68"/>
        <v/>
      </c>
    </row>
    <row r="1326" spans="2:7" x14ac:dyDescent="0.25">
      <c r="B1326" s="6"/>
      <c r="C1326" s="7"/>
      <c r="D1326" s="7"/>
      <c r="E1326" s="8"/>
      <c r="F1326" t="str">
        <f t="shared" si="67"/>
        <v/>
      </c>
      <c r="G1326" t="str">
        <f t="shared" si="68"/>
        <v/>
      </c>
    </row>
    <row r="1327" spans="2:7" x14ac:dyDescent="0.25">
      <c r="B1327" s="6"/>
      <c r="C1327" s="7"/>
      <c r="D1327" s="7"/>
      <c r="E1327" s="8"/>
      <c r="F1327" t="str">
        <f t="shared" si="67"/>
        <v/>
      </c>
      <c r="G1327" t="str">
        <f t="shared" si="68"/>
        <v/>
      </c>
    </row>
    <row r="1328" spans="2:7" x14ac:dyDescent="0.25">
      <c r="B1328" s="6"/>
      <c r="C1328" s="7"/>
      <c r="D1328" s="7"/>
      <c r="E1328" s="8"/>
      <c r="F1328" t="str">
        <f t="shared" si="67"/>
        <v/>
      </c>
      <c r="G1328" t="str">
        <f t="shared" si="68"/>
        <v/>
      </c>
    </row>
    <row r="1329" spans="2:7" x14ac:dyDescent="0.25">
      <c r="B1329" s="6"/>
      <c r="C1329" s="7"/>
      <c r="D1329" s="7"/>
      <c r="E1329" s="8"/>
      <c r="F1329" t="str">
        <f t="shared" si="67"/>
        <v/>
      </c>
      <c r="G1329" t="str">
        <f t="shared" si="68"/>
        <v/>
      </c>
    </row>
    <row r="1330" spans="2:7" x14ac:dyDescent="0.25">
      <c r="B1330" s="6"/>
      <c r="C1330" s="7"/>
      <c r="D1330" s="7"/>
      <c r="E1330" s="8"/>
      <c r="F1330" t="str">
        <f t="shared" si="67"/>
        <v/>
      </c>
      <c r="G1330" t="str">
        <f t="shared" si="68"/>
        <v/>
      </c>
    </row>
    <row r="1331" spans="2:7" x14ac:dyDescent="0.25">
      <c r="B1331" s="6"/>
      <c r="C1331" s="7"/>
      <c r="D1331" s="7"/>
      <c r="E1331" s="8"/>
      <c r="F1331" t="str">
        <f t="shared" si="67"/>
        <v/>
      </c>
      <c r="G1331" t="str">
        <f t="shared" si="68"/>
        <v/>
      </c>
    </row>
    <row r="1332" spans="2:7" x14ac:dyDescent="0.25">
      <c r="B1332" s="6"/>
      <c r="C1332" s="7"/>
      <c r="D1332" s="7"/>
      <c r="E1332" s="8"/>
      <c r="F1332" t="str">
        <f t="shared" si="67"/>
        <v/>
      </c>
      <c r="G1332" t="str">
        <f t="shared" si="68"/>
        <v/>
      </c>
    </row>
    <row r="1333" spans="2:7" x14ac:dyDescent="0.25">
      <c r="B1333" s="6"/>
      <c r="C1333" s="7"/>
      <c r="D1333" s="7"/>
      <c r="E1333" s="8"/>
      <c r="F1333" t="str">
        <f t="shared" si="67"/>
        <v/>
      </c>
      <c r="G1333" t="str">
        <f t="shared" si="68"/>
        <v/>
      </c>
    </row>
    <row r="1334" spans="2:7" x14ac:dyDescent="0.25">
      <c r="B1334" s="6"/>
      <c r="C1334" s="7"/>
      <c r="D1334" s="7"/>
      <c r="E1334" s="8"/>
      <c r="F1334" t="str">
        <f t="shared" si="67"/>
        <v/>
      </c>
      <c r="G1334" t="str">
        <f t="shared" si="68"/>
        <v/>
      </c>
    </row>
    <row r="1335" spans="2:7" x14ac:dyDescent="0.25">
      <c r="B1335" s="6"/>
      <c r="C1335" s="7"/>
      <c r="D1335" s="7"/>
      <c r="E1335" s="8"/>
      <c r="F1335" t="str">
        <f t="shared" si="67"/>
        <v/>
      </c>
      <c r="G1335" t="str">
        <f t="shared" si="68"/>
        <v/>
      </c>
    </row>
    <row r="1336" spans="2:7" x14ac:dyDescent="0.25">
      <c r="B1336" s="6"/>
      <c r="C1336" s="7"/>
      <c r="D1336" s="7"/>
      <c r="E1336" s="8"/>
      <c r="F1336" t="str">
        <f t="shared" si="67"/>
        <v/>
      </c>
      <c r="G1336" t="str">
        <f t="shared" si="68"/>
        <v/>
      </c>
    </row>
    <row r="1337" spans="2:7" x14ac:dyDescent="0.25">
      <c r="B1337" s="6"/>
      <c r="C1337" s="7"/>
      <c r="D1337" s="7"/>
      <c r="E1337" s="8"/>
      <c r="F1337" t="str">
        <f t="shared" si="67"/>
        <v/>
      </c>
      <c r="G1337" t="str">
        <f t="shared" si="68"/>
        <v/>
      </c>
    </row>
    <row r="1338" spans="2:7" x14ac:dyDescent="0.25">
      <c r="B1338" s="6"/>
      <c r="C1338" s="7"/>
      <c r="D1338" s="7"/>
      <c r="E1338" s="8"/>
      <c r="F1338" t="str">
        <f t="shared" si="67"/>
        <v/>
      </c>
      <c r="G1338" t="str">
        <f t="shared" si="68"/>
        <v/>
      </c>
    </row>
    <row r="1339" spans="2:7" x14ac:dyDescent="0.25">
      <c r="B1339" s="6"/>
      <c r="C1339" s="7"/>
      <c r="D1339" s="7"/>
      <c r="E1339" s="8"/>
      <c r="F1339" t="str">
        <f t="shared" si="67"/>
        <v/>
      </c>
      <c r="G1339" t="str">
        <f t="shared" si="68"/>
        <v/>
      </c>
    </row>
    <row r="1340" spans="2:7" x14ac:dyDescent="0.25">
      <c r="B1340" s="6"/>
      <c r="C1340" s="7"/>
      <c r="D1340" s="7"/>
      <c r="E1340" s="8"/>
      <c r="F1340" t="str">
        <f t="shared" si="67"/>
        <v/>
      </c>
      <c r="G1340" t="str">
        <f t="shared" si="68"/>
        <v/>
      </c>
    </row>
    <row r="1341" spans="2:7" x14ac:dyDescent="0.25">
      <c r="B1341" s="6"/>
      <c r="C1341" s="7"/>
      <c r="D1341" s="7"/>
      <c r="E1341" s="8"/>
      <c r="F1341" t="str">
        <f t="shared" si="67"/>
        <v/>
      </c>
      <c r="G1341" t="str">
        <f t="shared" si="68"/>
        <v/>
      </c>
    </row>
    <row r="1342" spans="2:7" x14ac:dyDescent="0.25">
      <c r="B1342" s="6"/>
      <c r="C1342" s="7"/>
      <c r="D1342" s="7"/>
      <c r="E1342" s="8"/>
      <c r="F1342" t="str">
        <f t="shared" si="67"/>
        <v/>
      </c>
      <c r="G1342" t="str">
        <f t="shared" si="68"/>
        <v/>
      </c>
    </row>
    <row r="1343" spans="2:7" x14ac:dyDescent="0.25">
      <c r="B1343" s="6"/>
      <c r="C1343" s="7"/>
      <c r="D1343" s="7"/>
      <c r="E1343" s="8"/>
      <c r="F1343" t="str">
        <f t="shared" si="67"/>
        <v/>
      </c>
      <c r="G1343" t="str">
        <f t="shared" si="68"/>
        <v/>
      </c>
    </row>
    <row r="1344" spans="2:7" x14ac:dyDescent="0.25">
      <c r="B1344" s="6"/>
      <c r="C1344" s="7"/>
      <c r="D1344" s="7"/>
      <c r="E1344" s="8"/>
      <c r="F1344" t="str">
        <f t="shared" si="67"/>
        <v/>
      </c>
      <c r="G1344" t="str">
        <f t="shared" si="68"/>
        <v/>
      </c>
    </row>
    <row r="1345" spans="2:7" x14ac:dyDescent="0.25">
      <c r="B1345" s="6"/>
      <c r="C1345" s="7"/>
      <c r="D1345" s="7"/>
      <c r="E1345" s="8"/>
      <c r="F1345" t="str">
        <f t="shared" si="67"/>
        <v/>
      </c>
      <c r="G1345" t="str">
        <f t="shared" si="68"/>
        <v/>
      </c>
    </row>
    <row r="1346" spans="2:7" x14ac:dyDescent="0.25">
      <c r="B1346" s="6"/>
      <c r="C1346" s="7"/>
      <c r="D1346" s="7"/>
      <c r="E1346" s="8"/>
      <c r="F1346" t="str">
        <f t="shared" si="67"/>
        <v/>
      </c>
      <c r="G1346" t="str">
        <f t="shared" si="68"/>
        <v/>
      </c>
    </row>
    <row r="1347" spans="2:7" x14ac:dyDescent="0.25">
      <c r="B1347" s="6"/>
      <c r="C1347" s="7"/>
      <c r="D1347" s="7"/>
      <c r="E1347" s="8"/>
      <c r="F1347" t="str">
        <f t="shared" si="67"/>
        <v/>
      </c>
      <c r="G1347" t="str">
        <f t="shared" si="68"/>
        <v/>
      </c>
    </row>
    <row r="1348" spans="2:7" x14ac:dyDescent="0.25">
      <c r="B1348" s="6"/>
      <c r="C1348" s="7"/>
      <c r="D1348" s="7"/>
      <c r="E1348" s="8"/>
      <c r="F1348" t="str">
        <f t="shared" ref="F1348:F1411" si="69">IF(B1348="","",LOG10(D1348))</f>
        <v/>
      </c>
      <c r="G1348" t="str">
        <f t="shared" ref="G1348:G1411" si="70">IF(E1348="", "",0.434*E1348/D1348)</f>
        <v/>
      </c>
    </row>
    <row r="1349" spans="2:7" x14ac:dyDescent="0.25">
      <c r="B1349" s="6"/>
      <c r="C1349" s="7"/>
      <c r="D1349" s="7"/>
      <c r="E1349" s="8"/>
      <c r="F1349" t="str">
        <f t="shared" si="69"/>
        <v/>
      </c>
      <c r="G1349" t="str">
        <f t="shared" si="70"/>
        <v/>
      </c>
    </row>
    <row r="1350" spans="2:7" x14ac:dyDescent="0.25">
      <c r="B1350" s="6"/>
      <c r="C1350" s="7"/>
      <c r="D1350" s="7"/>
      <c r="E1350" s="8"/>
      <c r="F1350" t="str">
        <f t="shared" si="69"/>
        <v/>
      </c>
      <c r="G1350" t="str">
        <f t="shared" si="70"/>
        <v/>
      </c>
    </row>
    <row r="1351" spans="2:7" x14ac:dyDescent="0.25">
      <c r="B1351" s="6"/>
      <c r="C1351" s="7"/>
      <c r="D1351" s="7"/>
      <c r="E1351" s="8"/>
      <c r="F1351" t="str">
        <f t="shared" si="69"/>
        <v/>
      </c>
      <c r="G1351" t="str">
        <f t="shared" si="70"/>
        <v/>
      </c>
    </row>
    <row r="1352" spans="2:7" x14ac:dyDescent="0.25">
      <c r="B1352" s="6"/>
      <c r="C1352" s="7"/>
      <c r="D1352" s="7"/>
      <c r="E1352" s="8"/>
      <c r="F1352" t="str">
        <f t="shared" si="69"/>
        <v/>
      </c>
      <c r="G1352" t="str">
        <f t="shared" si="70"/>
        <v/>
      </c>
    </row>
    <row r="1353" spans="2:7" x14ac:dyDescent="0.25">
      <c r="B1353" s="6"/>
      <c r="C1353" s="7"/>
      <c r="D1353" s="7"/>
      <c r="E1353" s="8"/>
      <c r="F1353" t="str">
        <f t="shared" si="69"/>
        <v/>
      </c>
      <c r="G1353" t="str">
        <f t="shared" si="70"/>
        <v/>
      </c>
    </row>
    <row r="1354" spans="2:7" x14ac:dyDescent="0.25">
      <c r="B1354" s="6"/>
      <c r="C1354" s="7"/>
      <c r="D1354" s="7"/>
      <c r="E1354" s="8"/>
      <c r="F1354" t="str">
        <f t="shared" si="69"/>
        <v/>
      </c>
      <c r="G1354" t="str">
        <f t="shared" si="70"/>
        <v/>
      </c>
    </row>
    <row r="1355" spans="2:7" x14ac:dyDescent="0.25">
      <c r="B1355" s="6"/>
      <c r="C1355" s="7"/>
      <c r="D1355" s="7"/>
      <c r="E1355" s="8"/>
      <c r="F1355" t="str">
        <f t="shared" si="69"/>
        <v/>
      </c>
      <c r="G1355" t="str">
        <f t="shared" si="70"/>
        <v/>
      </c>
    </row>
    <row r="1356" spans="2:7" x14ac:dyDescent="0.25">
      <c r="B1356" s="6"/>
      <c r="C1356" s="7"/>
      <c r="D1356" s="7"/>
      <c r="E1356" s="8"/>
      <c r="F1356" t="str">
        <f t="shared" si="69"/>
        <v/>
      </c>
      <c r="G1356" t="str">
        <f t="shared" si="70"/>
        <v/>
      </c>
    </row>
    <row r="1357" spans="2:7" x14ac:dyDescent="0.25">
      <c r="B1357" s="6"/>
      <c r="C1357" s="7"/>
      <c r="D1357" s="7"/>
      <c r="E1357" s="8"/>
      <c r="F1357" t="str">
        <f t="shared" si="69"/>
        <v/>
      </c>
      <c r="G1357" t="str">
        <f t="shared" si="70"/>
        <v/>
      </c>
    </row>
    <row r="1358" spans="2:7" x14ac:dyDescent="0.25">
      <c r="B1358" s="6"/>
      <c r="C1358" s="7"/>
      <c r="D1358" s="7"/>
      <c r="E1358" s="8"/>
      <c r="F1358" t="str">
        <f t="shared" si="69"/>
        <v/>
      </c>
      <c r="G1358" t="str">
        <f t="shared" si="70"/>
        <v/>
      </c>
    </row>
    <row r="1359" spans="2:7" x14ac:dyDescent="0.25">
      <c r="B1359" s="6"/>
      <c r="C1359" s="7"/>
      <c r="D1359" s="7"/>
      <c r="E1359" s="8"/>
      <c r="F1359" t="str">
        <f t="shared" si="69"/>
        <v/>
      </c>
      <c r="G1359" t="str">
        <f t="shared" si="70"/>
        <v/>
      </c>
    </row>
    <row r="1360" spans="2:7" x14ac:dyDescent="0.25">
      <c r="B1360" s="6"/>
      <c r="C1360" s="7"/>
      <c r="D1360" s="7"/>
      <c r="E1360" s="8"/>
      <c r="F1360" t="str">
        <f t="shared" si="69"/>
        <v/>
      </c>
      <c r="G1360" t="str">
        <f t="shared" si="70"/>
        <v/>
      </c>
    </row>
    <row r="1361" spans="2:7" x14ac:dyDescent="0.25">
      <c r="B1361" s="6"/>
      <c r="C1361" s="7"/>
      <c r="D1361" s="7"/>
      <c r="E1361" s="8"/>
      <c r="F1361" t="str">
        <f t="shared" si="69"/>
        <v/>
      </c>
      <c r="G1361" t="str">
        <f t="shared" si="70"/>
        <v/>
      </c>
    </row>
    <row r="1362" spans="2:7" x14ac:dyDescent="0.25">
      <c r="B1362" s="6"/>
      <c r="C1362" s="7"/>
      <c r="D1362" s="7"/>
      <c r="E1362" s="8"/>
      <c r="F1362" t="str">
        <f t="shared" si="69"/>
        <v/>
      </c>
      <c r="G1362" t="str">
        <f t="shared" si="70"/>
        <v/>
      </c>
    </row>
    <row r="1363" spans="2:7" x14ac:dyDescent="0.25">
      <c r="B1363" s="6"/>
      <c r="C1363" s="7"/>
      <c r="D1363" s="7"/>
      <c r="E1363" s="8"/>
      <c r="F1363" t="str">
        <f t="shared" si="69"/>
        <v/>
      </c>
      <c r="G1363" t="str">
        <f t="shared" si="70"/>
        <v/>
      </c>
    </row>
    <row r="1364" spans="2:7" x14ac:dyDescent="0.25">
      <c r="B1364" s="6"/>
      <c r="C1364" s="7"/>
      <c r="D1364" s="7"/>
      <c r="E1364" s="8"/>
      <c r="F1364" t="str">
        <f t="shared" si="69"/>
        <v/>
      </c>
      <c r="G1364" t="str">
        <f t="shared" si="70"/>
        <v/>
      </c>
    </row>
    <row r="1365" spans="2:7" x14ac:dyDescent="0.25">
      <c r="B1365" s="6"/>
      <c r="C1365" s="7"/>
      <c r="D1365" s="7"/>
      <c r="E1365" s="8"/>
      <c r="F1365" t="str">
        <f t="shared" si="69"/>
        <v/>
      </c>
      <c r="G1365" t="str">
        <f t="shared" si="70"/>
        <v/>
      </c>
    </row>
    <row r="1366" spans="2:7" x14ac:dyDescent="0.25">
      <c r="B1366" s="6"/>
      <c r="C1366" s="7"/>
      <c r="D1366" s="7"/>
      <c r="E1366" s="8"/>
      <c r="F1366" t="str">
        <f t="shared" si="69"/>
        <v/>
      </c>
      <c r="G1366" t="str">
        <f t="shared" si="70"/>
        <v/>
      </c>
    </row>
    <row r="1367" spans="2:7" x14ac:dyDescent="0.25">
      <c r="B1367" s="6"/>
      <c r="C1367" s="7"/>
      <c r="D1367" s="7"/>
      <c r="E1367" s="8"/>
      <c r="F1367" t="str">
        <f t="shared" si="69"/>
        <v/>
      </c>
      <c r="G1367" t="str">
        <f t="shared" si="70"/>
        <v/>
      </c>
    </row>
    <row r="1368" spans="2:7" x14ac:dyDescent="0.25">
      <c r="B1368" s="6"/>
      <c r="C1368" s="7"/>
      <c r="D1368" s="7"/>
      <c r="E1368" s="8"/>
      <c r="F1368" t="str">
        <f t="shared" si="69"/>
        <v/>
      </c>
      <c r="G1368" t="str">
        <f t="shared" si="70"/>
        <v/>
      </c>
    </row>
    <row r="1369" spans="2:7" x14ac:dyDescent="0.25">
      <c r="B1369" s="6"/>
      <c r="C1369" s="7"/>
      <c r="D1369" s="7"/>
      <c r="E1369" s="8"/>
      <c r="F1369" t="str">
        <f t="shared" si="69"/>
        <v/>
      </c>
      <c r="G1369" t="str">
        <f t="shared" si="70"/>
        <v/>
      </c>
    </row>
    <row r="1370" spans="2:7" x14ac:dyDescent="0.25">
      <c r="B1370" s="6"/>
      <c r="C1370" s="7"/>
      <c r="D1370" s="7"/>
      <c r="E1370" s="8"/>
      <c r="F1370" t="str">
        <f t="shared" si="69"/>
        <v/>
      </c>
      <c r="G1370" t="str">
        <f t="shared" si="70"/>
        <v/>
      </c>
    </row>
    <row r="1371" spans="2:7" x14ac:dyDescent="0.25">
      <c r="B1371" s="6"/>
      <c r="C1371" s="7"/>
      <c r="D1371" s="7"/>
      <c r="E1371" s="8"/>
      <c r="F1371" t="str">
        <f t="shared" si="69"/>
        <v/>
      </c>
      <c r="G1371" t="str">
        <f t="shared" si="70"/>
        <v/>
      </c>
    </row>
    <row r="1372" spans="2:7" x14ac:dyDescent="0.25">
      <c r="B1372" s="6"/>
      <c r="C1372" s="7"/>
      <c r="D1372" s="7"/>
      <c r="E1372" s="8"/>
      <c r="F1372" t="str">
        <f t="shared" si="69"/>
        <v/>
      </c>
      <c r="G1372" t="str">
        <f t="shared" si="70"/>
        <v/>
      </c>
    </row>
    <row r="1373" spans="2:7" x14ac:dyDescent="0.25">
      <c r="B1373" s="6"/>
      <c r="C1373" s="7"/>
      <c r="D1373" s="7"/>
      <c r="E1373" s="8"/>
      <c r="F1373" t="str">
        <f t="shared" si="69"/>
        <v/>
      </c>
      <c r="G1373" t="str">
        <f t="shared" si="70"/>
        <v/>
      </c>
    </row>
    <row r="1374" spans="2:7" x14ac:dyDescent="0.25">
      <c r="B1374" s="6"/>
      <c r="C1374" s="7"/>
      <c r="D1374" s="7"/>
      <c r="E1374" s="8"/>
      <c r="F1374" t="str">
        <f t="shared" si="69"/>
        <v/>
      </c>
      <c r="G1374" t="str">
        <f t="shared" si="70"/>
        <v/>
      </c>
    </row>
    <row r="1375" spans="2:7" x14ac:dyDescent="0.25">
      <c r="B1375" s="6"/>
      <c r="C1375" s="7"/>
      <c r="D1375" s="7"/>
      <c r="E1375" s="8"/>
      <c r="F1375" t="str">
        <f t="shared" si="69"/>
        <v/>
      </c>
      <c r="G1375" t="str">
        <f t="shared" si="70"/>
        <v/>
      </c>
    </row>
    <row r="1376" spans="2:7" x14ac:dyDescent="0.25">
      <c r="B1376" s="6"/>
      <c r="C1376" s="7"/>
      <c r="D1376" s="7"/>
      <c r="E1376" s="8"/>
      <c r="F1376" t="str">
        <f t="shared" si="69"/>
        <v/>
      </c>
      <c r="G1376" t="str">
        <f t="shared" si="70"/>
        <v/>
      </c>
    </row>
    <row r="1377" spans="2:7" x14ac:dyDescent="0.25">
      <c r="B1377" s="6"/>
      <c r="C1377" s="7"/>
      <c r="D1377" s="7"/>
      <c r="E1377" s="8"/>
      <c r="F1377" t="str">
        <f t="shared" si="69"/>
        <v/>
      </c>
      <c r="G1377" t="str">
        <f t="shared" si="70"/>
        <v/>
      </c>
    </row>
    <row r="1378" spans="2:7" x14ac:dyDescent="0.25">
      <c r="B1378" s="6"/>
      <c r="C1378" s="7"/>
      <c r="D1378" s="7"/>
      <c r="E1378" s="8"/>
      <c r="F1378" t="str">
        <f t="shared" si="69"/>
        <v/>
      </c>
      <c r="G1378" t="str">
        <f t="shared" si="70"/>
        <v/>
      </c>
    </row>
    <row r="1379" spans="2:7" x14ac:dyDescent="0.25">
      <c r="B1379" s="6"/>
      <c r="C1379" s="7"/>
      <c r="D1379" s="7"/>
      <c r="E1379" s="8"/>
      <c r="F1379" t="str">
        <f t="shared" si="69"/>
        <v/>
      </c>
      <c r="G1379" t="str">
        <f t="shared" si="70"/>
        <v/>
      </c>
    </row>
    <row r="1380" spans="2:7" x14ac:dyDescent="0.25">
      <c r="B1380" s="6"/>
      <c r="C1380" s="7"/>
      <c r="D1380" s="7"/>
      <c r="E1380" s="8"/>
      <c r="F1380" t="str">
        <f t="shared" si="69"/>
        <v/>
      </c>
      <c r="G1380" t="str">
        <f t="shared" si="70"/>
        <v/>
      </c>
    </row>
    <row r="1381" spans="2:7" x14ac:dyDescent="0.25">
      <c r="B1381" s="6"/>
      <c r="C1381" s="7"/>
      <c r="D1381" s="7"/>
      <c r="E1381" s="8"/>
      <c r="F1381" t="str">
        <f t="shared" si="69"/>
        <v/>
      </c>
      <c r="G1381" t="str">
        <f t="shared" si="70"/>
        <v/>
      </c>
    </row>
    <row r="1382" spans="2:7" x14ac:dyDescent="0.25">
      <c r="B1382" s="6"/>
      <c r="C1382" s="7"/>
      <c r="D1382" s="7"/>
      <c r="E1382" s="8"/>
      <c r="F1382" t="str">
        <f t="shared" si="69"/>
        <v/>
      </c>
      <c r="G1382" t="str">
        <f t="shared" si="70"/>
        <v/>
      </c>
    </row>
    <row r="1383" spans="2:7" x14ac:dyDescent="0.25">
      <c r="B1383" s="6"/>
      <c r="C1383" s="7"/>
      <c r="D1383" s="7"/>
      <c r="E1383" s="8"/>
      <c r="F1383" t="str">
        <f t="shared" si="69"/>
        <v/>
      </c>
      <c r="G1383" t="str">
        <f t="shared" si="70"/>
        <v/>
      </c>
    </row>
    <row r="1384" spans="2:7" x14ac:dyDescent="0.25">
      <c r="B1384" s="6"/>
      <c r="C1384" s="7"/>
      <c r="D1384" s="7"/>
      <c r="E1384" s="8"/>
      <c r="F1384" t="str">
        <f t="shared" si="69"/>
        <v/>
      </c>
      <c r="G1384" t="str">
        <f t="shared" si="70"/>
        <v/>
      </c>
    </row>
    <row r="1385" spans="2:7" x14ac:dyDescent="0.25">
      <c r="B1385" s="6"/>
      <c r="C1385" s="7"/>
      <c r="D1385" s="7"/>
      <c r="E1385" s="8"/>
      <c r="F1385" t="str">
        <f t="shared" si="69"/>
        <v/>
      </c>
      <c r="G1385" t="str">
        <f t="shared" si="70"/>
        <v/>
      </c>
    </row>
    <row r="1386" spans="2:7" x14ac:dyDescent="0.25">
      <c r="B1386" s="6"/>
      <c r="C1386" s="7"/>
      <c r="D1386" s="7"/>
      <c r="E1386" s="8"/>
      <c r="F1386" t="str">
        <f t="shared" si="69"/>
        <v/>
      </c>
      <c r="G1386" t="str">
        <f t="shared" si="70"/>
        <v/>
      </c>
    </row>
    <row r="1387" spans="2:7" x14ac:dyDescent="0.25">
      <c r="B1387" s="6"/>
      <c r="C1387" s="7"/>
      <c r="D1387" s="7"/>
      <c r="E1387" s="8"/>
      <c r="F1387" t="str">
        <f t="shared" si="69"/>
        <v/>
      </c>
      <c r="G1387" t="str">
        <f t="shared" si="70"/>
        <v/>
      </c>
    </row>
    <row r="1388" spans="2:7" x14ac:dyDescent="0.25">
      <c r="B1388" s="6"/>
      <c r="C1388" s="7"/>
      <c r="D1388" s="7"/>
      <c r="E1388" s="8"/>
      <c r="F1388" t="str">
        <f t="shared" si="69"/>
        <v/>
      </c>
      <c r="G1388" t="str">
        <f t="shared" si="70"/>
        <v/>
      </c>
    </row>
    <row r="1389" spans="2:7" x14ac:dyDescent="0.25">
      <c r="B1389" s="6"/>
      <c r="C1389" s="7"/>
      <c r="D1389" s="7"/>
      <c r="E1389" s="8"/>
      <c r="F1389" t="str">
        <f t="shared" si="69"/>
        <v/>
      </c>
      <c r="G1389" t="str">
        <f t="shared" si="70"/>
        <v/>
      </c>
    </row>
    <row r="1390" spans="2:7" x14ac:dyDescent="0.25">
      <c r="B1390" s="6"/>
      <c r="C1390" s="7"/>
      <c r="D1390" s="7"/>
      <c r="E1390" s="8"/>
      <c r="F1390" t="str">
        <f t="shared" si="69"/>
        <v/>
      </c>
      <c r="G1390" t="str">
        <f t="shared" si="70"/>
        <v/>
      </c>
    </row>
    <row r="1391" spans="2:7" x14ac:dyDescent="0.25">
      <c r="B1391" s="6"/>
      <c r="C1391" s="7"/>
      <c r="D1391" s="7"/>
      <c r="E1391" s="8"/>
      <c r="F1391" t="str">
        <f t="shared" si="69"/>
        <v/>
      </c>
      <c r="G1391" t="str">
        <f t="shared" si="70"/>
        <v/>
      </c>
    </row>
    <row r="1392" spans="2:7" x14ac:dyDescent="0.25">
      <c r="B1392" s="6"/>
      <c r="C1392" s="7"/>
      <c r="D1392" s="7"/>
      <c r="E1392" s="8"/>
      <c r="F1392" t="str">
        <f t="shared" si="69"/>
        <v/>
      </c>
      <c r="G1392" t="str">
        <f t="shared" si="70"/>
        <v/>
      </c>
    </row>
    <row r="1393" spans="2:7" x14ac:dyDescent="0.25">
      <c r="B1393" s="6"/>
      <c r="C1393" s="7"/>
      <c r="D1393" s="7"/>
      <c r="E1393" s="8"/>
      <c r="F1393" t="str">
        <f t="shared" si="69"/>
        <v/>
      </c>
      <c r="G1393" t="str">
        <f t="shared" si="70"/>
        <v/>
      </c>
    </row>
    <row r="1394" spans="2:7" x14ac:dyDescent="0.25">
      <c r="B1394" s="6"/>
      <c r="C1394" s="7"/>
      <c r="D1394" s="7"/>
      <c r="E1394" s="8"/>
      <c r="F1394" t="str">
        <f t="shared" si="69"/>
        <v/>
      </c>
      <c r="G1394" t="str">
        <f t="shared" si="70"/>
        <v/>
      </c>
    </row>
    <row r="1395" spans="2:7" x14ac:dyDescent="0.25">
      <c r="B1395" s="6"/>
      <c r="C1395" s="7"/>
      <c r="D1395" s="7"/>
      <c r="E1395" s="8"/>
      <c r="F1395" t="str">
        <f t="shared" si="69"/>
        <v/>
      </c>
      <c r="G1395" t="str">
        <f t="shared" si="70"/>
        <v/>
      </c>
    </row>
    <row r="1396" spans="2:7" x14ac:dyDescent="0.25">
      <c r="B1396" s="6"/>
      <c r="C1396" s="7"/>
      <c r="D1396" s="7"/>
      <c r="E1396" s="8"/>
      <c r="F1396" t="str">
        <f t="shared" si="69"/>
        <v/>
      </c>
      <c r="G1396" t="str">
        <f t="shared" si="70"/>
        <v/>
      </c>
    </row>
    <row r="1397" spans="2:7" x14ac:dyDescent="0.25">
      <c r="B1397" s="6"/>
      <c r="C1397" s="7"/>
      <c r="D1397" s="7"/>
      <c r="E1397" s="8"/>
      <c r="F1397" t="str">
        <f t="shared" si="69"/>
        <v/>
      </c>
      <c r="G1397" t="str">
        <f t="shared" si="70"/>
        <v/>
      </c>
    </row>
    <row r="1398" spans="2:7" x14ac:dyDescent="0.25">
      <c r="B1398" s="6"/>
      <c r="C1398" s="7"/>
      <c r="D1398" s="7"/>
      <c r="E1398" s="8"/>
      <c r="F1398" t="str">
        <f t="shared" si="69"/>
        <v/>
      </c>
      <c r="G1398" t="str">
        <f t="shared" si="70"/>
        <v/>
      </c>
    </row>
    <row r="1399" spans="2:7" x14ac:dyDescent="0.25">
      <c r="B1399" s="6"/>
      <c r="C1399" s="7"/>
      <c r="D1399" s="7"/>
      <c r="E1399" s="8"/>
      <c r="F1399" t="str">
        <f t="shared" si="69"/>
        <v/>
      </c>
      <c r="G1399" t="str">
        <f t="shared" si="70"/>
        <v/>
      </c>
    </row>
    <row r="1400" spans="2:7" x14ac:dyDescent="0.25">
      <c r="B1400" s="6"/>
      <c r="C1400" s="7"/>
      <c r="D1400" s="7"/>
      <c r="E1400" s="8"/>
      <c r="F1400" t="str">
        <f t="shared" si="69"/>
        <v/>
      </c>
      <c r="G1400" t="str">
        <f t="shared" si="70"/>
        <v/>
      </c>
    </row>
    <row r="1401" spans="2:7" x14ac:dyDescent="0.25">
      <c r="B1401" s="6"/>
      <c r="C1401" s="7"/>
      <c r="D1401" s="7"/>
      <c r="E1401" s="8"/>
      <c r="F1401" t="str">
        <f t="shared" si="69"/>
        <v/>
      </c>
      <c r="G1401" t="str">
        <f t="shared" si="70"/>
        <v/>
      </c>
    </row>
    <row r="1402" spans="2:7" x14ac:dyDescent="0.25">
      <c r="B1402" s="6"/>
      <c r="C1402" s="7"/>
      <c r="D1402" s="7"/>
      <c r="E1402" s="8"/>
      <c r="F1402" t="str">
        <f t="shared" si="69"/>
        <v/>
      </c>
      <c r="G1402" t="str">
        <f t="shared" si="70"/>
        <v/>
      </c>
    </row>
    <row r="1403" spans="2:7" x14ac:dyDescent="0.25">
      <c r="B1403" s="6"/>
      <c r="C1403" s="7"/>
      <c r="D1403" s="7"/>
      <c r="E1403" s="8"/>
      <c r="F1403" t="str">
        <f t="shared" si="69"/>
        <v/>
      </c>
      <c r="G1403" t="str">
        <f t="shared" si="70"/>
        <v/>
      </c>
    </row>
    <row r="1404" spans="2:7" x14ac:dyDescent="0.25">
      <c r="B1404" s="6"/>
      <c r="C1404" s="7"/>
      <c r="D1404" s="7"/>
      <c r="E1404" s="8"/>
      <c r="F1404" t="str">
        <f t="shared" si="69"/>
        <v/>
      </c>
      <c r="G1404" t="str">
        <f t="shared" si="70"/>
        <v/>
      </c>
    </row>
    <row r="1405" spans="2:7" x14ac:dyDescent="0.25">
      <c r="B1405" s="6"/>
      <c r="C1405" s="7"/>
      <c r="D1405" s="7"/>
      <c r="E1405" s="8"/>
      <c r="F1405" t="str">
        <f t="shared" si="69"/>
        <v/>
      </c>
      <c r="G1405" t="str">
        <f t="shared" si="70"/>
        <v/>
      </c>
    </row>
    <row r="1406" spans="2:7" x14ac:dyDescent="0.25">
      <c r="B1406" s="6"/>
      <c r="C1406" s="7"/>
      <c r="D1406" s="7"/>
      <c r="E1406" s="8"/>
      <c r="F1406" t="str">
        <f t="shared" si="69"/>
        <v/>
      </c>
      <c r="G1406" t="str">
        <f t="shared" si="70"/>
        <v/>
      </c>
    </row>
    <row r="1407" spans="2:7" x14ac:dyDescent="0.25">
      <c r="B1407" s="6"/>
      <c r="C1407" s="7"/>
      <c r="D1407" s="7"/>
      <c r="E1407" s="8"/>
      <c r="F1407" t="str">
        <f t="shared" si="69"/>
        <v/>
      </c>
      <c r="G1407" t="str">
        <f t="shared" si="70"/>
        <v/>
      </c>
    </row>
    <row r="1408" spans="2:7" x14ac:dyDescent="0.25">
      <c r="B1408" s="6"/>
      <c r="C1408" s="7"/>
      <c r="D1408" s="7"/>
      <c r="E1408" s="8"/>
      <c r="F1408" t="str">
        <f t="shared" si="69"/>
        <v/>
      </c>
      <c r="G1408" t="str">
        <f t="shared" si="70"/>
        <v/>
      </c>
    </row>
    <row r="1409" spans="2:7" x14ac:dyDescent="0.25">
      <c r="B1409" s="6"/>
      <c r="C1409" s="7"/>
      <c r="D1409" s="7"/>
      <c r="E1409" s="8"/>
      <c r="F1409" t="str">
        <f t="shared" si="69"/>
        <v/>
      </c>
      <c r="G1409" t="str">
        <f t="shared" si="70"/>
        <v/>
      </c>
    </row>
    <row r="1410" spans="2:7" x14ac:dyDescent="0.25">
      <c r="B1410" s="6"/>
      <c r="C1410" s="7"/>
      <c r="D1410" s="7"/>
      <c r="E1410" s="8"/>
      <c r="F1410" t="str">
        <f t="shared" si="69"/>
        <v/>
      </c>
      <c r="G1410" t="str">
        <f t="shared" si="70"/>
        <v/>
      </c>
    </row>
    <row r="1411" spans="2:7" x14ac:dyDescent="0.25">
      <c r="B1411" s="6"/>
      <c r="C1411" s="7"/>
      <c r="D1411" s="7"/>
      <c r="E1411" s="8"/>
      <c r="F1411" t="str">
        <f t="shared" si="69"/>
        <v/>
      </c>
      <c r="G1411" t="str">
        <f t="shared" si="70"/>
        <v/>
      </c>
    </row>
    <row r="1412" spans="2:7" x14ac:dyDescent="0.25">
      <c r="B1412" s="6"/>
      <c r="C1412" s="7"/>
      <c r="D1412" s="7"/>
      <c r="E1412" s="8"/>
      <c r="F1412" t="str">
        <f t="shared" ref="F1412:F1475" si="71">IF(B1412="","",LOG10(D1412))</f>
        <v/>
      </c>
      <c r="G1412" t="str">
        <f t="shared" ref="G1412:G1475" si="72">IF(E1412="", "",0.434*E1412/D1412)</f>
        <v/>
      </c>
    </row>
    <row r="1413" spans="2:7" x14ac:dyDescent="0.25">
      <c r="B1413" s="6"/>
      <c r="C1413" s="7"/>
      <c r="D1413" s="7"/>
      <c r="E1413" s="8"/>
      <c r="F1413" t="str">
        <f t="shared" si="71"/>
        <v/>
      </c>
      <c r="G1413" t="str">
        <f t="shared" si="72"/>
        <v/>
      </c>
    </row>
    <row r="1414" spans="2:7" x14ac:dyDescent="0.25">
      <c r="B1414" s="6"/>
      <c r="C1414" s="7"/>
      <c r="D1414" s="7"/>
      <c r="E1414" s="8"/>
      <c r="F1414" t="str">
        <f t="shared" si="71"/>
        <v/>
      </c>
      <c r="G1414" t="str">
        <f t="shared" si="72"/>
        <v/>
      </c>
    </row>
    <row r="1415" spans="2:7" x14ac:dyDescent="0.25">
      <c r="B1415" s="6"/>
      <c r="C1415" s="7"/>
      <c r="D1415" s="7"/>
      <c r="E1415" s="8"/>
      <c r="F1415" t="str">
        <f t="shared" si="71"/>
        <v/>
      </c>
      <c r="G1415" t="str">
        <f t="shared" si="72"/>
        <v/>
      </c>
    </row>
    <row r="1416" spans="2:7" x14ac:dyDescent="0.25">
      <c r="B1416" s="6"/>
      <c r="C1416" s="7"/>
      <c r="D1416" s="7"/>
      <c r="E1416" s="8"/>
      <c r="F1416" t="str">
        <f t="shared" si="71"/>
        <v/>
      </c>
      <c r="G1416" t="str">
        <f t="shared" si="72"/>
        <v/>
      </c>
    </row>
    <row r="1417" spans="2:7" x14ac:dyDescent="0.25">
      <c r="B1417" s="6"/>
      <c r="C1417" s="7"/>
      <c r="D1417" s="7"/>
      <c r="E1417" s="8"/>
      <c r="F1417" t="str">
        <f t="shared" si="71"/>
        <v/>
      </c>
      <c r="G1417" t="str">
        <f t="shared" si="72"/>
        <v/>
      </c>
    </row>
    <row r="1418" spans="2:7" x14ac:dyDescent="0.25">
      <c r="B1418" s="6"/>
      <c r="C1418" s="7"/>
      <c r="D1418" s="7"/>
      <c r="E1418" s="8"/>
      <c r="F1418" t="str">
        <f t="shared" si="71"/>
        <v/>
      </c>
      <c r="G1418" t="str">
        <f t="shared" si="72"/>
        <v/>
      </c>
    </row>
    <row r="1419" spans="2:7" x14ac:dyDescent="0.25">
      <c r="B1419" s="6"/>
      <c r="C1419" s="7"/>
      <c r="D1419" s="7"/>
      <c r="E1419" s="8"/>
      <c r="F1419" t="str">
        <f t="shared" si="71"/>
        <v/>
      </c>
      <c r="G1419" t="str">
        <f t="shared" si="72"/>
        <v/>
      </c>
    </row>
    <row r="1420" spans="2:7" x14ac:dyDescent="0.25">
      <c r="B1420" s="6"/>
      <c r="C1420" s="7"/>
      <c r="D1420" s="7"/>
      <c r="E1420" s="8"/>
      <c r="F1420" t="str">
        <f t="shared" si="71"/>
        <v/>
      </c>
      <c r="G1420" t="str">
        <f t="shared" si="72"/>
        <v/>
      </c>
    </row>
    <row r="1421" spans="2:7" x14ac:dyDescent="0.25">
      <c r="B1421" s="6"/>
      <c r="C1421" s="7"/>
      <c r="D1421" s="7"/>
      <c r="E1421" s="8"/>
      <c r="F1421" t="str">
        <f t="shared" si="71"/>
        <v/>
      </c>
      <c r="G1421" t="str">
        <f t="shared" si="72"/>
        <v/>
      </c>
    </row>
    <row r="1422" spans="2:7" x14ac:dyDescent="0.25">
      <c r="B1422" s="6"/>
      <c r="C1422" s="7"/>
      <c r="D1422" s="7"/>
      <c r="E1422" s="8"/>
      <c r="F1422" t="str">
        <f t="shared" si="71"/>
        <v/>
      </c>
      <c r="G1422" t="str">
        <f t="shared" si="72"/>
        <v/>
      </c>
    </row>
    <row r="1423" spans="2:7" x14ac:dyDescent="0.25">
      <c r="B1423" s="6"/>
      <c r="C1423" s="7"/>
      <c r="D1423" s="7"/>
      <c r="E1423" s="8"/>
      <c r="F1423" t="str">
        <f t="shared" si="71"/>
        <v/>
      </c>
      <c r="G1423" t="str">
        <f t="shared" si="72"/>
        <v/>
      </c>
    </row>
    <row r="1424" spans="2:7" x14ac:dyDescent="0.25">
      <c r="B1424" s="6"/>
      <c r="C1424" s="7"/>
      <c r="D1424" s="7"/>
      <c r="E1424" s="8"/>
      <c r="F1424" t="str">
        <f t="shared" si="71"/>
        <v/>
      </c>
      <c r="G1424" t="str">
        <f t="shared" si="72"/>
        <v/>
      </c>
    </row>
    <row r="1425" spans="2:7" x14ac:dyDescent="0.25">
      <c r="B1425" s="6"/>
      <c r="C1425" s="7"/>
      <c r="D1425" s="7"/>
      <c r="E1425" s="8"/>
      <c r="F1425" t="str">
        <f t="shared" si="71"/>
        <v/>
      </c>
      <c r="G1425" t="str">
        <f t="shared" si="72"/>
        <v/>
      </c>
    </row>
    <row r="1426" spans="2:7" x14ac:dyDescent="0.25">
      <c r="B1426" s="6"/>
      <c r="C1426" s="7"/>
      <c r="D1426" s="7"/>
      <c r="E1426" s="8"/>
      <c r="F1426" t="str">
        <f t="shared" si="71"/>
        <v/>
      </c>
      <c r="G1426" t="str">
        <f t="shared" si="72"/>
        <v/>
      </c>
    </row>
    <row r="1427" spans="2:7" x14ac:dyDescent="0.25">
      <c r="B1427" s="6"/>
      <c r="C1427" s="7"/>
      <c r="D1427" s="7"/>
      <c r="E1427" s="8"/>
      <c r="F1427" t="str">
        <f t="shared" si="71"/>
        <v/>
      </c>
      <c r="G1427" t="str">
        <f t="shared" si="72"/>
        <v/>
      </c>
    </row>
    <row r="1428" spans="2:7" x14ac:dyDescent="0.25">
      <c r="B1428" s="6"/>
      <c r="C1428" s="7"/>
      <c r="D1428" s="7"/>
      <c r="E1428" s="8"/>
      <c r="F1428" t="str">
        <f t="shared" si="71"/>
        <v/>
      </c>
      <c r="G1428" t="str">
        <f t="shared" si="72"/>
        <v/>
      </c>
    </row>
    <row r="1429" spans="2:7" x14ac:dyDescent="0.25">
      <c r="B1429" s="6"/>
      <c r="C1429" s="7"/>
      <c r="D1429" s="7"/>
      <c r="E1429" s="8"/>
      <c r="F1429" t="str">
        <f t="shared" si="71"/>
        <v/>
      </c>
      <c r="G1429" t="str">
        <f t="shared" si="72"/>
        <v/>
      </c>
    </row>
    <row r="1430" spans="2:7" x14ac:dyDescent="0.25">
      <c r="B1430" s="6"/>
      <c r="C1430" s="7"/>
      <c r="D1430" s="7"/>
      <c r="E1430" s="8"/>
      <c r="F1430" t="str">
        <f t="shared" si="71"/>
        <v/>
      </c>
      <c r="G1430" t="str">
        <f t="shared" si="72"/>
        <v/>
      </c>
    </row>
    <row r="1431" spans="2:7" x14ac:dyDescent="0.25">
      <c r="B1431" s="6"/>
      <c r="C1431" s="7"/>
      <c r="D1431" s="7"/>
      <c r="E1431" s="8"/>
      <c r="F1431" t="str">
        <f t="shared" si="71"/>
        <v/>
      </c>
      <c r="G1431" t="str">
        <f t="shared" si="72"/>
        <v/>
      </c>
    </row>
    <row r="1432" spans="2:7" x14ac:dyDescent="0.25">
      <c r="B1432" s="6"/>
      <c r="C1432" s="7"/>
      <c r="D1432" s="7"/>
      <c r="E1432" s="8"/>
      <c r="F1432" t="str">
        <f t="shared" si="71"/>
        <v/>
      </c>
      <c r="G1432" t="str">
        <f t="shared" si="72"/>
        <v/>
      </c>
    </row>
    <row r="1433" spans="2:7" x14ac:dyDescent="0.25">
      <c r="B1433" s="6"/>
      <c r="C1433" s="7"/>
      <c r="D1433" s="7"/>
      <c r="E1433" s="8"/>
      <c r="F1433" t="str">
        <f t="shared" si="71"/>
        <v/>
      </c>
      <c r="G1433" t="str">
        <f t="shared" si="72"/>
        <v/>
      </c>
    </row>
    <row r="1434" spans="2:7" x14ac:dyDescent="0.25">
      <c r="B1434" s="6"/>
      <c r="C1434" s="7"/>
      <c r="D1434" s="7"/>
      <c r="E1434" s="8"/>
      <c r="F1434" t="str">
        <f t="shared" si="71"/>
        <v/>
      </c>
      <c r="G1434" t="str">
        <f t="shared" si="72"/>
        <v/>
      </c>
    </row>
    <row r="1435" spans="2:7" x14ac:dyDescent="0.25">
      <c r="B1435" s="6"/>
      <c r="C1435" s="7"/>
      <c r="D1435" s="7"/>
      <c r="E1435" s="8"/>
      <c r="F1435" t="str">
        <f t="shared" si="71"/>
        <v/>
      </c>
      <c r="G1435" t="str">
        <f t="shared" si="72"/>
        <v/>
      </c>
    </row>
    <row r="1436" spans="2:7" x14ac:dyDescent="0.25">
      <c r="B1436" s="6"/>
      <c r="C1436" s="7"/>
      <c r="D1436" s="7"/>
      <c r="E1436" s="8"/>
      <c r="F1436" t="str">
        <f t="shared" si="71"/>
        <v/>
      </c>
      <c r="G1436" t="str">
        <f t="shared" si="72"/>
        <v/>
      </c>
    </row>
    <row r="1437" spans="2:7" x14ac:dyDescent="0.25">
      <c r="B1437" s="6"/>
      <c r="C1437" s="7"/>
      <c r="D1437" s="7"/>
      <c r="E1437" s="8"/>
      <c r="F1437" t="str">
        <f t="shared" si="71"/>
        <v/>
      </c>
      <c r="G1437" t="str">
        <f t="shared" si="72"/>
        <v/>
      </c>
    </row>
    <row r="1438" spans="2:7" x14ac:dyDescent="0.25">
      <c r="B1438" s="6"/>
      <c r="C1438" s="7"/>
      <c r="D1438" s="7"/>
      <c r="E1438" s="8"/>
      <c r="F1438" t="str">
        <f t="shared" si="71"/>
        <v/>
      </c>
      <c r="G1438" t="str">
        <f t="shared" si="72"/>
        <v/>
      </c>
    </row>
    <row r="1439" spans="2:7" x14ac:dyDescent="0.25">
      <c r="B1439" s="6"/>
      <c r="C1439" s="7"/>
      <c r="D1439" s="7"/>
      <c r="E1439" s="8"/>
      <c r="F1439" t="str">
        <f t="shared" si="71"/>
        <v/>
      </c>
      <c r="G1439" t="str">
        <f t="shared" si="72"/>
        <v/>
      </c>
    </row>
    <row r="1440" spans="2:7" x14ac:dyDescent="0.25">
      <c r="B1440" s="6"/>
      <c r="C1440" s="7"/>
      <c r="D1440" s="7"/>
      <c r="E1440" s="8"/>
      <c r="F1440" t="str">
        <f t="shared" si="71"/>
        <v/>
      </c>
      <c r="G1440" t="str">
        <f t="shared" si="72"/>
        <v/>
      </c>
    </row>
    <row r="1441" spans="2:7" x14ac:dyDescent="0.25">
      <c r="B1441" s="6"/>
      <c r="C1441" s="7"/>
      <c r="D1441" s="7"/>
      <c r="E1441" s="8"/>
      <c r="F1441" t="str">
        <f t="shared" si="71"/>
        <v/>
      </c>
      <c r="G1441" t="str">
        <f t="shared" si="72"/>
        <v/>
      </c>
    </row>
    <row r="1442" spans="2:7" x14ac:dyDescent="0.25">
      <c r="B1442" s="6"/>
      <c r="C1442" s="7"/>
      <c r="D1442" s="7"/>
      <c r="E1442" s="8"/>
      <c r="F1442" t="str">
        <f t="shared" si="71"/>
        <v/>
      </c>
      <c r="G1442" t="str">
        <f t="shared" si="72"/>
        <v/>
      </c>
    </row>
    <row r="1443" spans="2:7" x14ac:dyDescent="0.25">
      <c r="B1443" s="6"/>
      <c r="C1443" s="7"/>
      <c r="D1443" s="7"/>
      <c r="E1443" s="8"/>
      <c r="F1443" t="str">
        <f t="shared" si="71"/>
        <v/>
      </c>
      <c r="G1443" t="str">
        <f t="shared" si="72"/>
        <v/>
      </c>
    </row>
    <row r="1444" spans="2:7" x14ac:dyDescent="0.25">
      <c r="B1444" s="6"/>
      <c r="C1444" s="7"/>
      <c r="D1444" s="7"/>
      <c r="E1444" s="8"/>
      <c r="F1444" t="str">
        <f t="shared" si="71"/>
        <v/>
      </c>
      <c r="G1444" t="str">
        <f t="shared" si="72"/>
        <v/>
      </c>
    </row>
    <row r="1445" spans="2:7" x14ac:dyDescent="0.25">
      <c r="B1445" s="6"/>
      <c r="C1445" s="7"/>
      <c r="D1445" s="7"/>
      <c r="E1445" s="8"/>
      <c r="F1445" t="str">
        <f t="shared" si="71"/>
        <v/>
      </c>
      <c r="G1445" t="str">
        <f t="shared" si="72"/>
        <v/>
      </c>
    </row>
    <row r="1446" spans="2:7" x14ac:dyDescent="0.25">
      <c r="B1446" s="6"/>
      <c r="C1446" s="7"/>
      <c r="D1446" s="7"/>
      <c r="E1446" s="8"/>
      <c r="F1446" t="str">
        <f t="shared" si="71"/>
        <v/>
      </c>
      <c r="G1446" t="str">
        <f t="shared" si="72"/>
        <v/>
      </c>
    </row>
    <row r="1447" spans="2:7" x14ac:dyDescent="0.25">
      <c r="B1447" s="6"/>
      <c r="C1447" s="7"/>
      <c r="D1447" s="7"/>
      <c r="E1447" s="8"/>
      <c r="F1447" t="str">
        <f t="shared" si="71"/>
        <v/>
      </c>
      <c r="G1447" t="str">
        <f t="shared" si="72"/>
        <v/>
      </c>
    </row>
    <row r="1448" spans="2:7" x14ac:dyDescent="0.25">
      <c r="B1448" s="6"/>
      <c r="C1448" s="7"/>
      <c r="D1448" s="7"/>
      <c r="E1448" s="8"/>
      <c r="F1448" t="str">
        <f t="shared" si="71"/>
        <v/>
      </c>
      <c r="G1448" t="str">
        <f t="shared" si="72"/>
        <v/>
      </c>
    </row>
    <row r="1449" spans="2:7" x14ac:dyDescent="0.25">
      <c r="B1449" s="6"/>
      <c r="C1449" s="7"/>
      <c r="D1449" s="7"/>
      <c r="E1449" s="8"/>
      <c r="F1449" t="str">
        <f t="shared" si="71"/>
        <v/>
      </c>
      <c r="G1449" t="str">
        <f t="shared" si="72"/>
        <v/>
      </c>
    </row>
    <row r="1450" spans="2:7" x14ac:dyDescent="0.25">
      <c r="B1450" s="6"/>
      <c r="C1450" s="7"/>
      <c r="D1450" s="7"/>
      <c r="E1450" s="8"/>
      <c r="F1450" t="str">
        <f t="shared" si="71"/>
        <v/>
      </c>
      <c r="G1450" t="str">
        <f t="shared" si="72"/>
        <v/>
      </c>
    </row>
    <row r="1451" spans="2:7" x14ac:dyDescent="0.25">
      <c r="B1451" s="6"/>
      <c r="C1451" s="7"/>
      <c r="D1451" s="7"/>
      <c r="E1451" s="8"/>
      <c r="F1451" t="str">
        <f t="shared" si="71"/>
        <v/>
      </c>
      <c r="G1451" t="str">
        <f t="shared" si="72"/>
        <v/>
      </c>
    </row>
    <row r="1452" spans="2:7" x14ac:dyDescent="0.25">
      <c r="B1452" s="6"/>
      <c r="C1452" s="7"/>
      <c r="D1452" s="7"/>
      <c r="E1452" s="8"/>
      <c r="F1452" t="str">
        <f t="shared" si="71"/>
        <v/>
      </c>
      <c r="G1452" t="str">
        <f t="shared" si="72"/>
        <v/>
      </c>
    </row>
    <row r="1453" spans="2:7" x14ac:dyDescent="0.25">
      <c r="B1453" s="6"/>
      <c r="C1453" s="7"/>
      <c r="D1453" s="7"/>
      <c r="E1453" s="8"/>
      <c r="F1453" t="str">
        <f t="shared" si="71"/>
        <v/>
      </c>
      <c r="G1453" t="str">
        <f t="shared" si="72"/>
        <v/>
      </c>
    </row>
    <row r="1454" spans="2:7" x14ac:dyDescent="0.25">
      <c r="B1454" s="6"/>
      <c r="C1454" s="7"/>
      <c r="D1454" s="7"/>
      <c r="E1454" s="8"/>
      <c r="F1454" t="str">
        <f t="shared" si="71"/>
        <v/>
      </c>
      <c r="G1454" t="str">
        <f t="shared" si="72"/>
        <v/>
      </c>
    </row>
    <row r="1455" spans="2:7" x14ac:dyDescent="0.25">
      <c r="B1455" s="6"/>
      <c r="C1455" s="7"/>
      <c r="D1455" s="7"/>
      <c r="E1455" s="8"/>
      <c r="F1455" t="str">
        <f t="shared" si="71"/>
        <v/>
      </c>
      <c r="G1455" t="str">
        <f t="shared" si="72"/>
        <v/>
      </c>
    </row>
    <row r="1456" spans="2:7" x14ac:dyDescent="0.25">
      <c r="B1456" s="6"/>
      <c r="C1456" s="7"/>
      <c r="D1456" s="7"/>
      <c r="E1456" s="8"/>
      <c r="F1456" t="str">
        <f t="shared" si="71"/>
        <v/>
      </c>
      <c r="G1456" t="str">
        <f t="shared" si="72"/>
        <v/>
      </c>
    </row>
    <row r="1457" spans="2:7" x14ac:dyDescent="0.25">
      <c r="B1457" s="6"/>
      <c r="C1457" s="7"/>
      <c r="D1457" s="7"/>
      <c r="E1457" s="8"/>
      <c r="F1457" t="str">
        <f t="shared" si="71"/>
        <v/>
      </c>
      <c r="G1457" t="str">
        <f t="shared" si="72"/>
        <v/>
      </c>
    </row>
    <row r="1458" spans="2:7" x14ac:dyDescent="0.25">
      <c r="B1458" s="6"/>
      <c r="C1458" s="7"/>
      <c r="D1458" s="7"/>
      <c r="E1458" s="8"/>
      <c r="F1458" t="str">
        <f t="shared" si="71"/>
        <v/>
      </c>
      <c r="G1458" t="str">
        <f t="shared" si="72"/>
        <v/>
      </c>
    </row>
    <row r="1459" spans="2:7" x14ac:dyDescent="0.25">
      <c r="B1459" s="6"/>
      <c r="C1459" s="7"/>
      <c r="D1459" s="7"/>
      <c r="E1459" s="8"/>
      <c r="F1459" t="str">
        <f t="shared" si="71"/>
        <v/>
      </c>
      <c r="G1459" t="str">
        <f t="shared" si="72"/>
        <v/>
      </c>
    </row>
    <row r="1460" spans="2:7" x14ac:dyDescent="0.25">
      <c r="B1460" s="6"/>
      <c r="C1460" s="7"/>
      <c r="D1460" s="7"/>
      <c r="E1460" s="8"/>
      <c r="F1460" t="str">
        <f t="shared" si="71"/>
        <v/>
      </c>
      <c r="G1460" t="str">
        <f t="shared" si="72"/>
        <v/>
      </c>
    </row>
    <row r="1461" spans="2:7" x14ac:dyDescent="0.25">
      <c r="B1461" s="6"/>
      <c r="C1461" s="7"/>
      <c r="D1461" s="7"/>
      <c r="E1461" s="8"/>
      <c r="F1461" t="str">
        <f t="shared" si="71"/>
        <v/>
      </c>
      <c r="G1461" t="str">
        <f t="shared" si="72"/>
        <v/>
      </c>
    </row>
    <row r="1462" spans="2:7" x14ac:dyDescent="0.25">
      <c r="B1462" s="6"/>
      <c r="C1462" s="7"/>
      <c r="D1462" s="7"/>
      <c r="E1462" s="8"/>
      <c r="F1462" t="str">
        <f t="shared" si="71"/>
        <v/>
      </c>
      <c r="G1462" t="str">
        <f t="shared" si="72"/>
        <v/>
      </c>
    </row>
    <row r="1463" spans="2:7" x14ac:dyDescent="0.25">
      <c r="B1463" s="6"/>
      <c r="C1463" s="7"/>
      <c r="D1463" s="7"/>
      <c r="E1463" s="8"/>
      <c r="F1463" t="str">
        <f t="shared" si="71"/>
        <v/>
      </c>
      <c r="G1463" t="str">
        <f t="shared" si="72"/>
        <v/>
      </c>
    </row>
    <row r="1464" spans="2:7" x14ac:dyDescent="0.25">
      <c r="B1464" s="6"/>
      <c r="C1464" s="7"/>
      <c r="D1464" s="7"/>
      <c r="E1464" s="8"/>
      <c r="F1464" t="str">
        <f t="shared" si="71"/>
        <v/>
      </c>
      <c r="G1464" t="str">
        <f t="shared" si="72"/>
        <v/>
      </c>
    </row>
    <row r="1465" spans="2:7" x14ac:dyDescent="0.25">
      <c r="B1465" s="6"/>
      <c r="C1465" s="7"/>
      <c r="D1465" s="7"/>
      <c r="E1465" s="8"/>
      <c r="F1465" t="str">
        <f t="shared" si="71"/>
        <v/>
      </c>
      <c r="G1465" t="str">
        <f t="shared" si="72"/>
        <v/>
      </c>
    </row>
    <row r="1466" spans="2:7" x14ac:dyDescent="0.25">
      <c r="B1466" s="6"/>
      <c r="C1466" s="7"/>
      <c r="D1466" s="7"/>
      <c r="E1466" s="8"/>
      <c r="F1466" t="str">
        <f t="shared" si="71"/>
        <v/>
      </c>
      <c r="G1466" t="str">
        <f t="shared" si="72"/>
        <v/>
      </c>
    </row>
    <row r="1467" spans="2:7" x14ac:dyDescent="0.25">
      <c r="B1467" s="6"/>
      <c r="C1467" s="7"/>
      <c r="D1467" s="7"/>
      <c r="E1467" s="8"/>
      <c r="F1467" t="str">
        <f t="shared" si="71"/>
        <v/>
      </c>
      <c r="G1467" t="str">
        <f t="shared" si="72"/>
        <v/>
      </c>
    </row>
    <row r="1468" spans="2:7" x14ac:dyDescent="0.25">
      <c r="B1468" s="6"/>
      <c r="C1468" s="7"/>
      <c r="D1468" s="7"/>
      <c r="E1468" s="8"/>
      <c r="F1468" t="str">
        <f t="shared" si="71"/>
        <v/>
      </c>
      <c r="G1468" t="str">
        <f t="shared" si="72"/>
        <v/>
      </c>
    </row>
    <row r="1469" spans="2:7" x14ac:dyDescent="0.25">
      <c r="B1469" s="6"/>
      <c r="C1469" s="7"/>
      <c r="D1469" s="7"/>
      <c r="E1469" s="8"/>
      <c r="F1469" t="str">
        <f t="shared" si="71"/>
        <v/>
      </c>
      <c r="G1469" t="str">
        <f t="shared" si="72"/>
        <v/>
      </c>
    </row>
    <row r="1470" spans="2:7" x14ac:dyDescent="0.25">
      <c r="B1470" s="6"/>
      <c r="C1470" s="7"/>
      <c r="D1470" s="7"/>
      <c r="E1470" s="8"/>
      <c r="F1470" t="str">
        <f t="shared" si="71"/>
        <v/>
      </c>
      <c r="G1470" t="str">
        <f t="shared" si="72"/>
        <v/>
      </c>
    </row>
    <row r="1471" spans="2:7" x14ac:dyDescent="0.25">
      <c r="B1471" s="6"/>
      <c r="C1471" s="7"/>
      <c r="D1471" s="7"/>
      <c r="E1471" s="8"/>
      <c r="F1471" t="str">
        <f t="shared" si="71"/>
        <v/>
      </c>
      <c r="G1471" t="str">
        <f t="shared" si="72"/>
        <v/>
      </c>
    </row>
    <row r="1472" spans="2:7" x14ac:dyDescent="0.25">
      <c r="B1472" s="6"/>
      <c r="C1472" s="7"/>
      <c r="D1472" s="7"/>
      <c r="E1472" s="8"/>
      <c r="F1472" t="str">
        <f t="shared" si="71"/>
        <v/>
      </c>
      <c r="G1472" t="str">
        <f t="shared" si="72"/>
        <v/>
      </c>
    </row>
    <row r="1473" spans="2:7" x14ac:dyDescent="0.25">
      <c r="B1473" s="6"/>
      <c r="C1473" s="7"/>
      <c r="D1473" s="7"/>
      <c r="E1473" s="8"/>
      <c r="F1473" t="str">
        <f t="shared" si="71"/>
        <v/>
      </c>
      <c r="G1473" t="str">
        <f t="shared" si="72"/>
        <v/>
      </c>
    </row>
    <row r="1474" spans="2:7" x14ac:dyDescent="0.25">
      <c r="B1474" s="6"/>
      <c r="C1474" s="7"/>
      <c r="D1474" s="7"/>
      <c r="E1474" s="8"/>
      <c r="F1474" t="str">
        <f t="shared" si="71"/>
        <v/>
      </c>
      <c r="G1474" t="str">
        <f t="shared" si="72"/>
        <v/>
      </c>
    </row>
    <row r="1475" spans="2:7" x14ac:dyDescent="0.25">
      <c r="B1475" s="6"/>
      <c r="C1475" s="7"/>
      <c r="D1475" s="7"/>
      <c r="E1475" s="8"/>
      <c r="F1475" t="str">
        <f t="shared" si="71"/>
        <v/>
      </c>
      <c r="G1475" t="str">
        <f t="shared" si="72"/>
        <v/>
      </c>
    </row>
    <row r="1476" spans="2:7" x14ac:dyDescent="0.25">
      <c r="B1476" s="6"/>
      <c r="C1476" s="7"/>
      <c r="D1476" s="7"/>
      <c r="E1476" s="8"/>
      <c r="F1476" t="str">
        <f t="shared" ref="F1476:F1539" si="73">IF(B1476="","",LOG10(D1476))</f>
        <v/>
      </c>
      <c r="G1476" t="str">
        <f t="shared" ref="G1476:G1539" si="74">IF(E1476="", "",0.434*E1476/D1476)</f>
        <v/>
      </c>
    </row>
    <row r="1477" spans="2:7" x14ac:dyDescent="0.25">
      <c r="B1477" s="6"/>
      <c r="C1477" s="7"/>
      <c r="D1477" s="7"/>
      <c r="E1477" s="8"/>
      <c r="F1477" t="str">
        <f t="shared" si="73"/>
        <v/>
      </c>
      <c r="G1477" t="str">
        <f t="shared" si="74"/>
        <v/>
      </c>
    </row>
    <row r="1478" spans="2:7" x14ac:dyDescent="0.25">
      <c r="B1478" s="6"/>
      <c r="C1478" s="7"/>
      <c r="D1478" s="7"/>
      <c r="E1478" s="8"/>
      <c r="F1478" t="str">
        <f t="shared" si="73"/>
        <v/>
      </c>
      <c r="G1478" t="str">
        <f t="shared" si="74"/>
        <v/>
      </c>
    </row>
    <row r="1479" spans="2:7" x14ac:dyDescent="0.25">
      <c r="B1479" s="6"/>
      <c r="C1479" s="7"/>
      <c r="D1479" s="7"/>
      <c r="E1479" s="8"/>
      <c r="F1479" t="str">
        <f t="shared" si="73"/>
        <v/>
      </c>
      <c r="G1479" t="str">
        <f t="shared" si="74"/>
        <v/>
      </c>
    </row>
    <row r="1480" spans="2:7" x14ac:dyDescent="0.25">
      <c r="B1480" s="6"/>
      <c r="C1480" s="7"/>
      <c r="D1480" s="7"/>
      <c r="E1480" s="8"/>
      <c r="F1480" t="str">
        <f t="shared" si="73"/>
        <v/>
      </c>
      <c r="G1480" t="str">
        <f t="shared" si="74"/>
        <v/>
      </c>
    </row>
    <row r="1481" spans="2:7" x14ac:dyDescent="0.25">
      <c r="B1481" s="6"/>
      <c r="C1481" s="7"/>
      <c r="D1481" s="7"/>
      <c r="E1481" s="8"/>
      <c r="F1481" t="str">
        <f t="shared" si="73"/>
        <v/>
      </c>
      <c r="G1481" t="str">
        <f t="shared" si="74"/>
        <v/>
      </c>
    </row>
    <row r="1482" spans="2:7" x14ac:dyDescent="0.25">
      <c r="B1482" s="6"/>
      <c r="C1482" s="7"/>
      <c r="D1482" s="7"/>
      <c r="E1482" s="8"/>
      <c r="F1482" t="str">
        <f t="shared" si="73"/>
        <v/>
      </c>
      <c r="G1482" t="str">
        <f t="shared" si="74"/>
        <v/>
      </c>
    </row>
    <row r="1483" spans="2:7" x14ac:dyDescent="0.25">
      <c r="B1483" s="6"/>
      <c r="C1483" s="7"/>
      <c r="D1483" s="7"/>
      <c r="E1483" s="8"/>
      <c r="F1483" t="str">
        <f t="shared" si="73"/>
        <v/>
      </c>
      <c r="G1483" t="str">
        <f t="shared" si="74"/>
        <v/>
      </c>
    </row>
    <row r="1484" spans="2:7" x14ac:dyDescent="0.25">
      <c r="B1484" s="6"/>
      <c r="C1484" s="7"/>
      <c r="D1484" s="7"/>
      <c r="E1484" s="8"/>
      <c r="F1484" t="str">
        <f t="shared" si="73"/>
        <v/>
      </c>
      <c r="G1484" t="str">
        <f t="shared" si="74"/>
        <v/>
      </c>
    </row>
    <row r="1485" spans="2:7" x14ac:dyDescent="0.25">
      <c r="B1485" s="6"/>
      <c r="C1485" s="7"/>
      <c r="D1485" s="7"/>
      <c r="E1485" s="8"/>
      <c r="F1485" t="str">
        <f t="shared" si="73"/>
        <v/>
      </c>
      <c r="G1485" t="str">
        <f t="shared" si="74"/>
        <v/>
      </c>
    </row>
    <row r="1486" spans="2:7" x14ac:dyDescent="0.25">
      <c r="B1486" s="6"/>
      <c r="C1486" s="7"/>
      <c r="D1486" s="7"/>
      <c r="E1486" s="8"/>
      <c r="F1486" t="str">
        <f t="shared" si="73"/>
        <v/>
      </c>
      <c r="G1486" t="str">
        <f t="shared" si="74"/>
        <v/>
      </c>
    </row>
    <row r="1487" spans="2:7" x14ac:dyDescent="0.25">
      <c r="B1487" s="6"/>
      <c r="C1487" s="7"/>
      <c r="D1487" s="7"/>
      <c r="E1487" s="8"/>
      <c r="F1487" t="str">
        <f t="shared" si="73"/>
        <v/>
      </c>
      <c r="G1487" t="str">
        <f t="shared" si="74"/>
        <v/>
      </c>
    </row>
    <row r="1488" spans="2:7" x14ac:dyDescent="0.25">
      <c r="B1488" s="6"/>
      <c r="C1488" s="7"/>
      <c r="D1488" s="7"/>
      <c r="E1488" s="8"/>
      <c r="F1488" t="str">
        <f t="shared" si="73"/>
        <v/>
      </c>
      <c r="G1488" t="str">
        <f t="shared" si="74"/>
        <v/>
      </c>
    </row>
    <row r="1489" spans="2:7" x14ac:dyDescent="0.25">
      <c r="B1489" s="6"/>
      <c r="C1489" s="7"/>
      <c r="D1489" s="7"/>
      <c r="E1489" s="8"/>
      <c r="F1489" t="str">
        <f t="shared" si="73"/>
        <v/>
      </c>
      <c r="G1489" t="str">
        <f t="shared" si="74"/>
        <v/>
      </c>
    </row>
    <row r="1490" spans="2:7" x14ac:dyDescent="0.25">
      <c r="B1490" s="6"/>
      <c r="C1490" s="7"/>
      <c r="D1490" s="7"/>
      <c r="E1490" s="8"/>
      <c r="F1490" t="str">
        <f t="shared" si="73"/>
        <v/>
      </c>
      <c r="G1490" t="str">
        <f t="shared" si="74"/>
        <v/>
      </c>
    </row>
    <row r="1491" spans="2:7" x14ac:dyDescent="0.25">
      <c r="B1491" s="6"/>
      <c r="C1491" s="7"/>
      <c r="D1491" s="7"/>
      <c r="E1491" s="8"/>
      <c r="F1491" t="str">
        <f t="shared" si="73"/>
        <v/>
      </c>
      <c r="G1491" t="str">
        <f t="shared" si="74"/>
        <v/>
      </c>
    </row>
    <row r="1492" spans="2:7" x14ac:dyDescent="0.25">
      <c r="B1492" s="6"/>
      <c r="C1492" s="7"/>
      <c r="D1492" s="7"/>
      <c r="E1492" s="8"/>
      <c r="F1492" t="str">
        <f t="shared" si="73"/>
        <v/>
      </c>
      <c r="G1492" t="str">
        <f t="shared" si="74"/>
        <v/>
      </c>
    </row>
    <row r="1493" spans="2:7" x14ac:dyDescent="0.25">
      <c r="B1493" s="6"/>
      <c r="C1493" s="7"/>
      <c r="D1493" s="7"/>
      <c r="E1493" s="8"/>
      <c r="F1493" t="str">
        <f t="shared" si="73"/>
        <v/>
      </c>
      <c r="G1493" t="str">
        <f t="shared" si="74"/>
        <v/>
      </c>
    </row>
    <row r="1494" spans="2:7" x14ac:dyDescent="0.25">
      <c r="B1494" s="6"/>
      <c r="C1494" s="7"/>
      <c r="D1494" s="7"/>
      <c r="E1494" s="8"/>
      <c r="F1494" t="str">
        <f t="shared" si="73"/>
        <v/>
      </c>
      <c r="G1494" t="str">
        <f t="shared" si="74"/>
        <v/>
      </c>
    </row>
    <row r="1495" spans="2:7" x14ac:dyDescent="0.25">
      <c r="B1495" s="6"/>
      <c r="C1495" s="7"/>
      <c r="D1495" s="7"/>
      <c r="E1495" s="8"/>
      <c r="F1495" t="str">
        <f t="shared" si="73"/>
        <v/>
      </c>
      <c r="G1495" t="str">
        <f t="shared" si="74"/>
        <v/>
      </c>
    </row>
    <row r="1496" spans="2:7" x14ac:dyDescent="0.25">
      <c r="B1496" s="6"/>
      <c r="C1496" s="7"/>
      <c r="D1496" s="7"/>
      <c r="E1496" s="8"/>
      <c r="F1496" t="str">
        <f t="shared" si="73"/>
        <v/>
      </c>
      <c r="G1496" t="str">
        <f t="shared" si="74"/>
        <v/>
      </c>
    </row>
    <row r="1497" spans="2:7" x14ac:dyDescent="0.25">
      <c r="B1497" s="6"/>
      <c r="C1497" s="7"/>
      <c r="D1497" s="7"/>
      <c r="E1497" s="8"/>
      <c r="F1497" t="str">
        <f t="shared" si="73"/>
        <v/>
      </c>
      <c r="G1497" t="str">
        <f t="shared" si="74"/>
        <v/>
      </c>
    </row>
    <row r="1498" spans="2:7" x14ac:dyDescent="0.25">
      <c r="B1498" s="6"/>
      <c r="C1498" s="7"/>
      <c r="D1498" s="7"/>
      <c r="E1498" s="8"/>
      <c r="F1498" t="str">
        <f t="shared" si="73"/>
        <v/>
      </c>
      <c r="G1498" t="str">
        <f t="shared" si="74"/>
        <v/>
      </c>
    </row>
    <row r="1499" spans="2:7" x14ac:dyDescent="0.25">
      <c r="B1499" s="6"/>
      <c r="C1499" s="7"/>
      <c r="D1499" s="7"/>
      <c r="E1499" s="8"/>
      <c r="F1499" t="str">
        <f t="shared" si="73"/>
        <v/>
      </c>
      <c r="G1499" t="str">
        <f t="shared" si="74"/>
        <v/>
      </c>
    </row>
    <row r="1500" spans="2:7" x14ac:dyDescent="0.25">
      <c r="B1500" s="6"/>
      <c r="C1500" s="7"/>
      <c r="D1500" s="7"/>
      <c r="E1500" s="8"/>
      <c r="F1500" t="str">
        <f t="shared" si="73"/>
        <v/>
      </c>
      <c r="G1500" t="str">
        <f t="shared" si="74"/>
        <v/>
      </c>
    </row>
    <row r="1501" spans="2:7" x14ac:dyDescent="0.25">
      <c r="B1501" s="6"/>
      <c r="C1501" s="7"/>
      <c r="D1501" s="7"/>
      <c r="E1501" s="8"/>
      <c r="F1501" t="str">
        <f t="shared" si="73"/>
        <v/>
      </c>
      <c r="G1501" t="str">
        <f t="shared" si="74"/>
        <v/>
      </c>
    </row>
    <row r="1502" spans="2:7" x14ac:dyDescent="0.25">
      <c r="B1502" s="6"/>
      <c r="C1502" s="7"/>
      <c r="D1502" s="7"/>
      <c r="E1502" s="8"/>
      <c r="F1502" t="str">
        <f t="shared" si="73"/>
        <v/>
      </c>
      <c r="G1502" t="str">
        <f t="shared" si="74"/>
        <v/>
      </c>
    </row>
    <row r="1503" spans="2:7" x14ac:dyDescent="0.25">
      <c r="B1503" s="6"/>
      <c r="C1503" s="7"/>
      <c r="D1503" s="7"/>
      <c r="E1503" s="8"/>
      <c r="F1503" t="str">
        <f t="shared" si="73"/>
        <v/>
      </c>
      <c r="G1503" t="str">
        <f t="shared" si="74"/>
        <v/>
      </c>
    </row>
    <row r="1504" spans="2:7" x14ac:dyDescent="0.25">
      <c r="B1504" s="6"/>
      <c r="C1504" s="7"/>
      <c r="D1504" s="7"/>
      <c r="E1504" s="8"/>
      <c r="F1504" t="str">
        <f t="shared" si="73"/>
        <v/>
      </c>
      <c r="G1504" t="str">
        <f t="shared" si="74"/>
        <v/>
      </c>
    </row>
    <row r="1505" spans="2:7" x14ac:dyDescent="0.25">
      <c r="B1505" s="6"/>
      <c r="C1505" s="7"/>
      <c r="D1505" s="7"/>
      <c r="E1505" s="8"/>
      <c r="F1505" t="str">
        <f t="shared" si="73"/>
        <v/>
      </c>
      <c r="G1505" t="str">
        <f t="shared" si="74"/>
        <v/>
      </c>
    </row>
    <row r="1506" spans="2:7" x14ac:dyDescent="0.25">
      <c r="B1506" s="6"/>
      <c r="C1506" s="7"/>
      <c r="D1506" s="7"/>
      <c r="E1506" s="8"/>
      <c r="F1506" t="str">
        <f t="shared" si="73"/>
        <v/>
      </c>
      <c r="G1506" t="str">
        <f t="shared" si="74"/>
        <v/>
      </c>
    </row>
    <row r="1507" spans="2:7" x14ac:dyDescent="0.25">
      <c r="B1507" s="6"/>
      <c r="C1507" s="7"/>
      <c r="D1507" s="7"/>
      <c r="E1507" s="8"/>
      <c r="F1507" t="str">
        <f t="shared" si="73"/>
        <v/>
      </c>
      <c r="G1507" t="str">
        <f t="shared" si="74"/>
        <v/>
      </c>
    </row>
    <row r="1508" spans="2:7" x14ac:dyDescent="0.25">
      <c r="B1508" s="6"/>
      <c r="C1508" s="7"/>
      <c r="D1508" s="7"/>
      <c r="E1508" s="8"/>
      <c r="F1508" t="str">
        <f t="shared" si="73"/>
        <v/>
      </c>
      <c r="G1508" t="str">
        <f t="shared" si="74"/>
        <v/>
      </c>
    </row>
    <row r="1509" spans="2:7" x14ac:dyDescent="0.25">
      <c r="B1509" s="6"/>
      <c r="C1509" s="7"/>
      <c r="D1509" s="7"/>
      <c r="E1509" s="8"/>
      <c r="F1509" t="str">
        <f t="shared" si="73"/>
        <v/>
      </c>
      <c r="G1509" t="str">
        <f t="shared" si="74"/>
        <v/>
      </c>
    </row>
    <row r="1510" spans="2:7" x14ac:dyDescent="0.25">
      <c r="B1510" s="6"/>
      <c r="C1510" s="7"/>
      <c r="D1510" s="7"/>
      <c r="E1510" s="8"/>
      <c r="F1510" t="str">
        <f t="shared" si="73"/>
        <v/>
      </c>
      <c r="G1510" t="str">
        <f t="shared" si="74"/>
        <v/>
      </c>
    </row>
    <row r="1511" spans="2:7" x14ac:dyDescent="0.25">
      <c r="B1511" s="6"/>
      <c r="C1511" s="7"/>
      <c r="D1511" s="7"/>
      <c r="E1511" s="8"/>
      <c r="F1511" t="str">
        <f t="shared" si="73"/>
        <v/>
      </c>
      <c r="G1511" t="str">
        <f t="shared" si="74"/>
        <v/>
      </c>
    </row>
    <row r="1512" spans="2:7" x14ac:dyDescent="0.25">
      <c r="B1512" s="6"/>
      <c r="C1512" s="7"/>
      <c r="D1512" s="7"/>
      <c r="E1512" s="8"/>
      <c r="F1512" t="str">
        <f t="shared" si="73"/>
        <v/>
      </c>
      <c r="G1512" t="str">
        <f t="shared" si="74"/>
        <v/>
      </c>
    </row>
    <row r="1513" spans="2:7" x14ac:dyDescent="0.25">
      <c r="B1513" s="6"/>
      <c r="C1513" s="7"/>
      <c r="D1513" s="7"/>
      <c r="E1513" s="8"/>
      <c r="F1513" t="str">
        <f t="shared" si="73"/>
        <v/>
      </c>
      <c r="G1513" t="str">
        <f t="shared" si="74"/>
        <v/>
      </c>
    </row>
    <row r="1514" spans="2:7" x14ac:dyDescent="0.25">
      <c r="B1514" s="6"/>
      <c r="C1514" s="7"/>
      <c r="D1514" s="7"/>
      <c r="E1514" s="8"/>
      <c r="F1514" t="str">
        <f t="shared" si="73"/>
        <v/>
      </c>
      <c r="G1514" t="str">
        <f t="shared" si="74"/>
        <v/>
      </c>
    </row>
    <row r="1515" spans="2:7" x14ac:dyDescent="0.25">
      <c r="B1515" s="6"/>
      <c r="C1515" s="7"/>
      <c r="D1515" s="7"/>
      <c r="E1515" s="8"/>
      <c r="F1515" t="str">
        <f t="shared" si="73"/>
        <v/>
      </c>
      <c r="G1515" t="str">
        <f t="shared" si="74"/>
        <v/>
      </c>
    </row>
    <row r="1516" spans="2:7" x14ac:dyDescent="0.25">
      <c r="B1516" s="6"/>
      <c r="C1516" s="7"/>
      <c r="D1516" s="7"/>
      <c r="E1516" s="8"/>
      <c r="F1516" t="str">
        <f t="shared" si="73"/>
        <v/>
      </c>
      <c r="G1516" t="str">
        <f t="shared" si="74"/>
        <v/>
      </c>
    </row>
    <row r="1517" spans="2:7" x14ac:dyDescent="0.25">
      <c r="B1517" s="6"/>
      <c r="C1517" s="7"/>
      <c r="D1517" s="7"/>
      <c r="E1517" s="8"/>
      <c r="F1517" t="str">
        <f t="shared" si="73"/>
        <v/>
      </c>
      <c r="G1517" t="str">
        <f t="shared" si="74"/>
        <v/>
      </c>
    </row>
    <row r="1518" spans="2:7" x14ac:dyDescent="0.25">
      <c r="B1518" s="6"/>
      <c r="C1518" s="7"/>
      <c r="D1518" s="7"/>
      <c r="E1518" s="8"/>
      <c r="F1518" t="str">
        <f t="shared" si="73"/>
        <v/>
      </c>
      <c r="G1518" t="str">
        <f t="shared" si="74"/>
        <v/>
      </c>
    </row>
    <row r="1519" spans="2:7" x14ac:dyDescent="0.25">
      <c r="B1519" s="6"/>
      <c r="C1519" s="7"/>
      <c r="D1519" s="7"/>
      <c r="E1519" s="8"/>
      <c r="F1519" t="str">
        <f t="shared" si="73"/>
        <v/>
      </c>
      <c r="G1519" t="str">
        <f t="shared" si="74"/>
        <v/>
      </c>
    </row>
    <row r="1520" spans="2:7" x14ac:dyDescent="0.25">
      <c r="B1520" s="6"/>
      <c r="C1520" s="7"/>
      <c r="D1520" s="7"/>
      <c r="E1520" s="8"/>
      <c r="F1520" t="str">
        <f t="shared" si="73"/>
        <v/>
      </c>
      <c r="G1520" t="str">
        <f t="shared" si="74"/>
        <v/>
      </c>
    </row>
    <row r="1521" spans="2:7" x14ac:dyDescent="0.25">
      <c r="B1521" s="6"/>
      <c r="C1521" s="7"/>
      <c r="D1521" s="7"/>
      <c r="E1521" s="8"/>
      <c r="F1521" t="str">
        <f t="shared" si="73"/>
        <v/>
      </c>
      <c r="G1521" t="str">
        <f t="shared" si="74"/>
        <v/>
      </c>
    </row>
    <row r="1522" spans="2:7" x14ac:dyDescent="0.25">
      <c r="B1522" s="6"/>
      <c r="C1522" s="7"/>
      <c r="D1522" s="7"/>
      <c r="E1522" s="8"/>
      <c r="F1522" t="str">
        <f t="shared" si="73"/>
        <v/>
      </c>
      <c r="G1522" t="str">
        <f t="shared" si="74"/>
        <v/>
      </c>
    </row>
    <row r="1523" spans="2:7" x14ac:dyDescent="0.25">
      <c r="B1523" s="6"/>
      <c r="C1523" s="7"/>
      <c r="D1523" s="7"/>
      <c r="E1523" s="8"/>
      <c r="F1523" t="str">
        <f t="shared" si="73"/>
        <v/>
      </c>
      <c r="G1523" t="str">
        <f t="shared" si="74"/>
        <v/>
      </c>
    </row>
    <row r="1524" spans="2:7" x14ac:dyDescent="0.25">
      <c r="B1524" s="6"/>
      <c r="C1524" s="7"/>
      <c r="D1524" s="7"/>
      <c r="E1524" s="8"/>
      <c r="F1524" t="str">
        <f t="shared" si="73"/>
        <v/>
      </c>
      <c r="G1524" t="str">
        <f t="shared" si="74"/>
        <v/>
      </c>
    </row>
    <row r="1525" spans="2:7" x14ac:dyDescent="0.25">
      <c r="B1525" s="6"/>
      <c r="C1525" s="7"/>
      <c r="D1525" s="7"/>
      <c r="E1525" s="8"/>
      <c r="F1525" t="str">
        <f t="shared" si="73"/>
        <v/>
      </c>
      <c r="G1525" t="str">
        <f t="shared" si="74"/>
        <v/>
      </c>
    </row>
    <row r="1526" spans="2:7" x14ac:dyDescent="0.25">
      <c r="B1526" s="6"/>
      <c r="C1526" s="7"/>
      <c r="D1526" s="7"/>
      <c r="E1526" s="8"/>
      <c r="F1526" t="str">
        <f t="shared" si="73"/>
        <v/>
      </c>
      <c r="G1526" t="str">
        <f t="shared" si="74"/>
        <v/>
      </c>
    </row>
    <row r="1527" spans="2:7" x14ac:dyDescent="0.25">
      <c r="B1527" s="6"/>
      <c r="C1527" s="7"/>
      <c r="D1527" s="7"/>
      <c r="E1527" s="8"/>
      <c r="F1527" t="str">
        <f t="shared" si="73"/>
        <v/>
      </c>
      <c r="G1527" t="str">
        <f t="shared" si="74"/>
        <v/>
      </c>
    </row>
    <row r="1528" spans="2:7" x14ac:dyDescent="0.25">
      <c r="B1528" s="6"/>
      <c r="C1528" s="7"/>
      <c r="D1528" s="7"/>
      <c r="E1528" s="8"/>
      <c r="F1528" t="str">
        <f t="shared" si="73"/>
        <v/>
      </c>
      <c r="G1528" t="str">
        <f t="shared" si="74"/>
        <v/>
      </c>
    </row>
    <row r="1529" spans="2:7" x14ac:dyDescent="0.25">
      <c r="B1529" s="6"/>
      <c r="C1529" s="7"/>
      <c r="D1529" s="7"/>
      <c r="E1529" s="8"/>
      <c r="F1529" t="str">
        <f t="shared" si="73"/>
        <v/>
      </c>
      <c r="G1529" t="str">
        <f t="shared" si="74"/>
        <v/>
      </c>
    </row>
    <row r="1530" spans="2:7" x14ac:dyDescent="0.25">
      <c r="B1530" s="6"/>
      <c r="C1530" s="7"/>
      <c r="D1530" s="7"/>
      <c r="E1530" s="8"/>
      <c r="F1530" t="str">
        <f t="shared" si="73"/>
        <v/>
      </c>
      <c r="G1530" t="str">
        <f t="shared" si="74"/>
        <v/>
      </c>
    </row>
    <row r="1531" spans="2:7" x14ac:dyDescent="0.25">
      <c r="B1531" s="6"/>
      <c r="C1531" s="7"/>
      <c r="D1531" s="7"/>
      <c r="E1531" s="8"/>
      <c r="F1531" t="str">
        <f t="shared" si="73"/>
        <v/>
      </c>
      <c r="G1531" t="str">
        <f t="shared" si="74"/>
        <v/>
      </c>
    </row>
    <row r="1532" spans="2:7" x14ac:dyDescent="0.25">
      <c r="B1532" s="6"/>
      <c r="C1532" s="7"/>
      <c r="D1532" s="7"/>
      <c r="E1532" s="8"/>
      <c r="F1532" t="str">
        <f t="shared" si="73"/>
        <v/>
      </c>
      <c r="G1532" t="str">
        <f t="shared" si="74"/>
        <v/>
      </c>
    </row>
    <row r="1533" spans="2:7" x14ac:dyDescent="0.25">
      <c r="B1533" s="6"/>
      <c r="C1533" s="7"/>
      <c r="D1533" s="7"/>
      <c r="E1533" s="8"/>
      <c r="F1533" t="str">
        <f t="shared" si="73"/>
        <v/>
      </c>
      <c r="G1533" t="str">
        <f t="shared" si="74"/>
        <v/>
      </c>
    </row>
    <row r="1534" spans="2:7" x14ac:dyDescent="0.25">
      <c r="B1534" s="6"/>
      <c r="C1534" s="7"/>
      <c r="D1534" s="7"/>
      <c r="E1534" s="8"/>
      <c r="F1534" t="str">
        <f t="shared" si="73"/>
        <v/>
      </c>
      <c r="G1534" t="str">
        <f t="shared" si="74"/>
        <v/>
      </c>
    </row>
    <row r="1535" spans="2:7" x14ac:dyDescent="0.25">
      <c r="B1535" s="6"/>
      <c r="C1535" s="7"/>
      <c r="D1535" s="7"/>
      <c r="E1535" s="8"/>
      <c r="F1535" t="str">
        <f t="shared" si="73"/>
        <v/>
      </c>
      <c r="G1535" t="str">
        <f t="shared" si="74"/>
        <v/>
      </c>
    </row>
    <row r="1536" spans="2:7" x14ac:dyDescent="0.25">
      <c r="B1536" s="6"/>
      <c r="C1536" s="7"/>
      <c r="D1536" s="7"/>
      <c r="E1536" s="8"/>
      <c r="F1536" t="str">
        <f t="shared" si="73"/>
        <v/>
      </c>
      <c r="G1536" t="str">
        <f t="shared" si="74"/>
        <v/>
      </c>
    </row>
    <row r="1537" spans="2:7" x14ac:dyDescent="0.25">
      <c r="B1537" s="6"/>
      <c r="C1537" s="7"/>
      <c r="D1537" s="7"/>
      <c r="E1537" s="8"/>
      <c r="F1537" t="str">
        <f t="shared" si="73"/>
        <v/>
      </c>
      <c r="G1537" t="str">
        <f t="shared" si="74"/>
        <v/>
      </c>
    </row>
    <row r="1538" spans="2:7" x14ac:dyDescent="0.25">
      <c r="B1538" s="6"/>
      <c r="C1538" s="7"/>
      <c r="D1538" s="7"/>
      <c r="E1538" s="8"/>
      <c r="F1538" t="str">
        <f t="shared" si="73"/>
        <v/>
      </c>
      <c r="G1538" t="str">
        <f t="shared" si="74"/>
        <v/>
      </c>
    </row>
    <row r="1539" spans="2:7" x14ac:dyDescent="0.25">
      <c r="B1539" s="6"/>
      <c r="C1539" s="7"/>
      <c r="D1539" s="7"/>
      <c r="E1539" s="8"/>
      <c r="F1539" t="str">
        <f t="shared" si="73"/>
        <v/>
      </c>
      <c r="G1539" t="str">
        <f t="shared" si="74"/>
        <v/>
      </c>
    </row>
    <row r="1540" spans="2:7" x14ac:dyDescent="0.25">
      <c r="B1540" s="6"/>
      <c r="C1540" s="7"/>
      <c r="D1540" s="7"/>
      <c r="E1540" s="8"/>
      <c r="F1540" t="str">
        <f t="shared" ref="F1540:F1603" si="75">IF(B1540="","",LOG10(D1540))</f>
        <v/>
      </c>
      <c r="G1540" t="str">
        <f t="shared" ref="G1540:G1603" si="76">IF(E1540="", "",0.434*E1540/D1540)</f>
        <v/>
      </c>
    </row>
    <row r="1541" spans="2:7" x14ac:dyDescent="0.25">
      <c r="B1541" s="6"/>
      <c r="C1541" s="7"/>
      <c r="D1541" s="7"/>
      <c r="E1541" s="8"/>
      <c r="F1541" t="str">
        <f t="shared" si="75"/>
        <v/>
      </c>
      <c r="G1541" t="str">
        <f t="shared" si="76"/>
        <v/>
      </c>
    </row>
    <row r="1542" spans="2:7" x14ac:dyDescent="0.25">
      <c r="B1542" s="6"/>
      <c r="C1542" s="7"/>
      <c r="D1542" s="7"/>
      <c r="E1542" s="8"/>
      <c r="F1542" t="str">
        <f t="shared" si="75"/>
        <v/>
      </c>
      <c r="G1542" t="str">
        <f t="shared" si="76"/>
        <v/>
      </c>
    </row>
    <row r="1543" spans="2:7" x14ac:dyDescent="0.25">
      <c r="B1543" s="6"/>
      <c r="C1543" s="7"/>
      <c r="D1543" s="7"/>
      <c r="E1543" s="8"/>
      <c r="F1543" t="str">
        <f t="shared" si="75"/>
        <v/>
      </c>
      <c r="G1543" t="str">
        <f t="shared" si="76"/>
        <v/>
      </c>
    </row>
    <row r="1544" spans="2:7" x14ac:dyDescent="0.25">
      <c r="B1544" s="6"/>
      <c r="C1544" s="7"/>
      <c r="D1544" s="7"/>
      <c r="E1544" s="8"/>
      <c r="F1544" t="str">
        <f t="shared" si="75"/>
        <v/>
      </c>
      <c r="G1544" t="str">
        <f t="shared" si="76"/>
        <v/>
      </c>
    </row>
    <row r="1545" spans="2:7" x14ac:dyDescent="0.25">
      <c r="B1545" s="6"/>
      <c r="C1545" s="7"/>
      <c r="D1545" s="7"/>
      <c r="E1545" s="8"/>
      <c r="F1545" t="str">
        <f t="shared" si="75"/>
        <v/>
      </c>
      <c r="G1545" t="str">
        <f t="shared" si="76"/>
        <v/>
      </c>
    </row>
    <row r="1546" spans="2:7" x14ac:dyDescent="0.25">
      <c r="B1546" s="6"/>
      <c r="C1546" s="7"/>
      <c r="D1546" s="7"/>
      <c r="E1546" s="8"/>
      <c r="F1546" t="str">
        <f t="shared" si="75"/>
        <v/>
      </c>
      <c r="G1546" t="str">
        <f t="shared" si="76"/>
        <v/>
      </c>
    </row>
    <row r="1547" spans="2:7" x14ac:dyDescent="0.25">
      <c r="B1547" s="6"/>
      <c r="C1547" s="7"/>
      <c r="D1547" s="7"/>
      <c r="E1547" s="8"/>
      <c r="F1547" t="str">
        <f t="shared" si="75"/>
        <v/>
      </c>
      <c r="G1547" t="str">
        <f t="shared" si="76"/>
        <v/>
      </c>
    </row>
    <row r="1548" spans="2:7" x14ac:dyDescent="0.25">
      <c r="B1548" s="6"/>
      <c r="C1548" s="7"/>
      <c r="D1548" s="7"/>
      <c r="E1548" s="8"/>
      <c r="F1548" t="str">
        <f t="shared" si="75"/>
        <v/>
      </c>
      <c r="G1548" t="str">
        <f t="shared" si="76"/>
        <v/>
      </c>
    </row>
    <row r="1549" spans="2:7" x14ac:dyDescent="0.25">
      <c r="B1549" s="6"/>
      <c r="C1549" s="7"/>
      <c r="D1549" s="7"/>
      <c r="E1549" s="8"/>
      <c r="F1549" t="str">
        <f t="shared" si="75"/>
        <v/>
      </c>
      <c r="G1549" t="str">
        <f t="shared" si="76"/>
        <v/>
      </c>
    </row>
    <row r="1550" spans="2:7" x14ac:dyDescent="0.25">
      <c r="B1550" s="6"/>
      <c r="C1550" s="7"/>
      <c r="D1550" s="7"/>
      <c r="E1550" s="8"/>
      <c r="F1550" t="str">
        <f t="shared" si="75"/>
        <v/>
      </c>
      <c r="G1550" t="str">
        <f t="shared" si="76"/>
        <v/>
      </c>
    </row>
    <row r="1551" spans="2:7" x14ac:dyDescent="0.25">
      <c r="B1551" s="6"/>
      <c r="C1551" s="7"/>
      <c r="D1551" s="7"/>
      <c r="E1551" s="8"/>
      <c r="F1551" t="str">
        <f t="shared" si="75"/>
        <v/>
      </c>
      <c r="G1551" t="str">
        <f t="shared" si="76"/>
        <v/>
      </c>
    </row>
    <row r="1552" spans="2:7" x14ac:dyDescent="0.25">
      <c r="B1552" s="6"/>
      <c r="C1552" s="7"/>
      <c r="D1552" s="7"/>
      <c r="E1552" s="8"/>
      <c r="F1552" t="str">
        <f t="shared" si="75"/>
        <v/>
      </c>
      <c r="G1552" t="str">
        <f t="shared" si="76"/>
        <v/>
      </c>
    </row>
    <row r="1553" spans="2:7" x14ac:dyDescent="0.25">
      <c r="B1553" s="6"/>
      <c r="C1553" s="7"/>
      <c r="D1553" s="7"/>
      <c r="E1553" s="8"/>
      <c r="F1553" t="str">
        <f t="shared" si="75"/>
        <v/>
      </c>
      <c r="G1553" t="str">
        <f t="shared" si="76"/>
        <v/>
      </c>
    </row>
    <row r="1554" spans="2:7" x14ac:dyDescent="0.25">
      <c r="B1554" s="6"/>
      <c r="C1554" s="7"/>
      <c r="D1554" s="7"/>
      <c r="E1554" s="8"/>
      <c r="F1554" t="str">
        <f t="shared" si="75"/>
        <v/>
      </c>
      <c r="G1554" t="str">
        <f t="shared" si="76"/>
        <v/>
      </c>
    </row>
    <row r="1555" spans="2:7" x14ac:dyDescent="0.25">
      <c r="B1555" s="6"/>
      <c r="C1555" s="7"/>
      <c r="D1555" s="7"/>
      <c r="E1555" s="8"/>
      <c r="F1555" t="str">
        <f t="shared" si="75"/>
        <v/>
      </c>
      <c r="G1555" t="str">
        <f t="shared" si="76"/>
        <v/>
      </c>
    </row>
    <row r="1556" spans="2:7" x14ac:dyDescent="0.25">
      <c r="B1556" s="6"/>
      <c r="C1556" s="7"/>
      <c r="D1556" s="7"/>
      <c r="E1556" s="8"/>
      <c r="F1556" t="str">
        <f t="shared" si="75"/>
        <v/>
      </c>
      <c r="G1556" t="str">
        <f t="shared" si="76"/>
        <v/>
      </c>
    </row>
    <row r="1557" spans="2:7" x14ac:dyDescent="0.25">
      <c r="B1557" s="6"/>
      <c r="C1557" s="7"/>
      <c r="D1557" s="7"/>
      <c r="E1557" s="8"/>
      <c r="F1557" t="str">
        <f t="shared" si="75"/>
        <v/>
      </c>
      <c r="G1557" t="str">
        <f t="shared" si="76"/>
        <v/>
      </c>
    </row>
    <row r="1558" spans="2:7" x14ac:dyDescent="0.25">
      <c r="B1558" s="6"/>
      <c r="C1558" s="7"/>
      <c r="D1558" s="7"/>
      <c r="E1558" s="8"/>
      <c r="F1558" t="str">
        <f t="shared" si="75"/>
        <v/>
      </c>
      <c r="G1558" t="str">
        <f t="shared" si="76"/>
        <v/>
      </c>
    </row>
    <row r="1559" spans="2:7" x14ac:dyDescent="0.25">
      <c r="B1559" s="6"/>
      <c r="C1559" s="7"/>
      <c r="D1559" s="7"/>
      <c r="E1559" s="8"/>
      <c r="F1559" t="str">
        <f t="shared" si="75"/>
        <v/>
      </c>
      <c r="G1559" t="str">
        <f t="shared" si="76"/>
        <v/>
      </c>
    </row>
    <row r="1560" spans="2:7" x14ac:dyDescent="0.25">
      <c r="B1560" s="6"/>
      <c r="C1560" s="7"/>
      <c r="D1560" s="7"/>
      <c r="E1560" s="8"/>
      <c r="F1560" t="str">
        <f t="shared" si="75"/>
        <v/>
      </c>
      <c r="G1560" t="str">
        <f t="shared" si="76"/>
        <v/>
      </c>
    </row>
    <row r="1561" spans="2:7" x14ac:dyDescent="0.25">
      <c r="B1561" s="6"/>
      <c r="C1561" s="7"/>
      <c r="D1561" s="7"/>
      <c r="E1561" s="8"/>
      <c r="F1561" t="str">
        <f t="shared" si="75"/>
        <v/>
      </c>
      <c r="G1561" t="str">
        <f t="shared" si="76"/>
        <v/>
      </c>
    </row>
    <row r="1562" spans="2:7" x14ac:dyDescent="0.25">
      <c r="B1562" s="6"/>
      <c r="C1562" s="7"/>
      <c r="D1562" s="7"/>
      <c r="E1562" s="8"/>
      <c r="F1562" t="str">
        <f t="shared" si="75"/>
        <v/>
      </c>
      <c r="G1562" t="str">
        <f t="shared" si="76"/>
        <v/>
      </c>
    </row>
    <row r="1563" spans="2:7" x14ac:dyDescent="0.25">
      <c r="B1563" s="6"/>
      <c r="C1563" s="7"/>
      <c r="D1563" s="7"/>
      <c r="E1563" s="8"/>
      <c r="F1563" t="str">
        <f t="shared" si="75"/>
        <v/>
      </c>
      <c r="G1563" t="str">
        <f t="shared" si="76"/>
        <v/>
      </c>
    </row>
    <row r="1564" spans="2:7" x14ac:dyDescent="0.25">
      <c r="B1564" s="6"/>
      <c r="C1564" s="7"/>
      <c r="D1564" s="7"/>
      <c r="E1564" s="8"/>
      <c r="F1564" t="str">
        <f t="shared" si="75"/>
        <v/>
      </c>
      <c r="G1564" t="str">
        <f t="shared" si="76"/>
        <v/>
      </c>
    </row>
    <row r="1565" spans="2:7" x14ac:dyDescent="0.25">
      <c r="B1565" s="6"/>
      <c r="C1565" s="7"/>
      <c r="D1565" s="7"/>
      <c r="E1565" s="8"/>
      <c r="F1565" t="str">
        <f t="shared" si="75"/>
        <v/>
      </c>
      <c r="G1565" t="str">
        <f t="shared" si="76"/>
        <v/>
      </c>
    </row>
    <row r="1566" spans="2:7" x14ac:dyDescent="0.25">
      <c r="B1566" s="6"/>
      <c r="C1566" s="7"/>
      <c r="D1566" s="7"/>
      <c r="E1566" s="8"/>
      <c r="F1566" t="str">
        <f t="shared" si="75"/>
        <v/>
      </c>
      <c r="G1566" t="str">
        <f t="shared" si="76"/>
        <v/>
      </c>
    </row>
    <row r="1567" spans="2:7" x14ac:dyDescent="0.25">
      <c r="B1567" s="6"/>
      <c r="C1567" s="7"/>
      <c r="D1567" s="7"/>
      <c r="E1567" s="8"/>
      <c r="F1567" t="str">
        <f t="shared" si="75"/>
        <v/>
      </c>
      <c r="G1567" t="str">
        <f t="shared" si="76"/>
        <v/>
      </c>
    </row>
    <row r="1568" spans="2:7" x14ac:dyDescent="0.25">
      <c r="B1568" s="6"/>
      <c r="C1568" s="7"/>
      <c r="D1568" s="7"/>
      <c r="E1568" s="8"/>
      <c r="F1568" t="str">
        <f t="shared" si="75"/>
        <v/>
      </c>
      <c r="G1568" t="str">
        <f t="shared" si="76"/>
        <v/>
      </c>
    </row>
    <row r="1569" spans="2:7" x14ac:dyDescent="0.25">
      <c r="B1569" s="6"/>
      <c r="C1569" s="7"/>
      <c r="D1569" s="7"/>
      <c r="E1569" s="8"/>
      <c r="F1569" t="str">
        <f t="shared" si="75"/>
        <v/>
      </c>
      <c r="G1569" t="str">
        <f t="shared" si="76"/>
        <v/>
      </c>
    </row>
    <row r="1570" spans="2:7" x14ac:dyDescent="0.25">
      <c r="B1570" s="6"/>
      <c r="C1570" s="7"/>
      <c r="D1570" s="7"/>
      <c r="E1570" s="8"/>
      <c r="F1570" t="str">
        <f t="shared" si="75"/>
        <v/>
      </c>
      <c r="G1570" t="str">
        <f t="shared" si="76"/>
        <v/>
      </c>
    </row>
    <row r="1571" spans="2:7" x14ac:dyDescent="0.25">
      <c r="B1571" s="6"/>
      <c r="C1571" s="7"/>
      <c r="D1571" s="7"/>
      <c r="E1571" s="8"/>
      <c r="F1571" t="str">
        <f t="shared" si="75"/>
        <v/>
      </c>
      <c r="G1571" t="str">
        <f t="shared" si="76"/>
        <v/>
      </c>
    </row>
    <row r="1572" spans="2:7" x14ac:dyDescent="0.25">
      <c r="B1572" s="6"/>
      <c r="C1572" s="7"/>
      <c r="D1572" s="7"/>
      <c r="E1572" s="8"/>
      <c r="F1572" t="str">
        <f t="shared" si="75"/>
        <v/>
      </c>
      <c r="G1572" t="str">
        <f t="shared" si="76"/>
        <v/>
      </c>
    </row>
    <row r="1573" spans="2:7" x14ac:dyDescent="0.25">
      <c r="B1573" s="6"/>
      <c r="C1573" s="7"/>
      <c r="D1573" s="7"/>
      <c r="E1573" s="8"/>
      <c r="F1573" t="str">
        <f t="shared" si="75"/>
        <v/>
      </c>
      <c r="G1573" t="str">
        <f t="shared" si="76"/>
        <v/>
      </c>
    </row>
    <row r="1574" spans="2:7" x14ac:dyDescent="0.25">
      <c r="B1574" s="6"/>
      <c r="C1574" s="7"/>
      <c r="D1574" s="7"/>
      <c r="E1574" s="8"/>
      <c r="F1574" t="str">
        <f t="shared" si="75"/>
        <v/>
      </c>
      <c r="G1574" t="str">
        <f t="shared" si="76"/>
        <v/>
      </c>
    </row>
    <row r="1575" spans="2:7" x14ac:dyDescent="0.25">
      <c r="B1575" s="6"/>
      <c r="C1575" s="7"/>
      <c r="D1575" s="7"/>
      <c r="E1575" s="8"/>
      <c r="F1575" t="str">
        <f t="shared" si="75"/>
        <v/>
      </c>
      <c r="G1575" t="str">
        <f t="shared" si="76"/>
        <v/>
      </c>
    </row>
    <row r="1576" spans="2:7" x14ac:dyDescent="0.25">
      <c r="B1576" s="6"/>
      <c r="C1576" s="7"/>
      <c r="D1576" s="7"/>
      <c r="E1576" s="8"/>
      <c r="F1576" t="str">
        <f t="shared" si="75"/>
        <v/>
      </c>
      <c r="G1576" t="str">
        <f t="shared" si="76"/>
        <v/>
      </c>
    </row>
    <row r="1577" spans="2:7" x14ac:dyDescent="0.25">
      <c r="B1577" s="6"/>
      <c r="C1577" s="7"/>
      <c r="D1577" s="7"/>
      <c r="E1577" s="8"/>
      <c r="F1577" t="str">
        <f t="shared" si="75"/>
        <v/>
      </c>
      <c r="G1577" t="str">
        <f t="shared" si="76"/>
        <v/>
      </c>
    </row>
    <row r="1578" spans="2:7" x14ac:dyDescent="0.25">
      <c r="B1578" s="6"/>
      <c r="C1578" s="7"/>
      <c r="D1578" s="7"/>
      <c r="E1578" s="8"/>
      <c r="F1578" t="str">
        <f t="shared" si="75"/>
        <v/>
      </c>
      <c r="G1578" t="str">
        <f t="shared" si="76"/>
        <v/>
      </c>
    </row>
    <row r="1579" spans="2:7" x14ac:dyDescent="0.25">
      <c r="B1579" s="6"/>
      <c r="C1579" s="7"/>
      <c r="D1579" s="7"/>
      <c r="E1579" s="8"/>
      <c r="F1579" t="str">
        <f t="shared" si="75"/>
        <v/>
      </c>
      <c r="G1579" t="str">
        <f t="shared" si="76"/>
        <v/>
      </c>
    </row>
    <row r="1580" spans="2:7" x14ac:dyDescent="0.25">
      <c r="B1580" s="6"/>
      <c r="C1580" s="7"/>
      <c r="D1580" s="7"/>
      <c r="E1580" s="8"/>
      <c r="F1580" t="str">
        <f t="shared" si="75"/>
        <v/>
      </c>
      <c r="G1580" t="str">
        <f t="shared" si="76"/>
        <v/>
      </c>
    </row>
    <row r="1581" spans="2:7" x14ac:dyDescent="0.25">
      <c r="B1581" s="6"/>
      <c r="C1581" s="7"/>
      <c r="D1581" s="7"/>
      <c r="E1581" s="8"/>
      <c r="F1581" t="str">
        <f t="shared" si="75"/>
        <v/>
      </c>
      <c r="G1581" t="str">
        <f t="shared" si="76"/>
        <v/>
      </c>
    </row>
    <row r="1582" spans="2:7" x14ac:dyDescent="0.25">
      <c r="B1582" s="6"/>
      <c r="C1582" s="7"/>
      <c r="D1582" s="7"/>
      <c r="E1582" s="8"/>
      <c r="F1582" t="str">
        <f t="shared" si="75"/>
        <v/>
      </c>
      <c r="G1582" t="str">
        <f t="shared" si="76"/>
        <v/>
      </c>
    </row>
    <row r="1583" spans="2:7" x14ac:dyDescent="0.25">
      <c r="B1583" s="6"/>
      <c r="C1583" s="7"/>
      <c r="D1583" s="7"/>
      <c r="E1583" s="8"/>
      <c r="F1583" t="str">
        <f t="shared" si="75"/>
        <v/>
      </c>
      <c r="G1583" t="str">
        <f t="shared" si="76"/>
        <v/>
      </c>
    </row>
    <row r="1584" spans="2:7" x14ac:dyDescent="0.25">
      <c r="B1584" s="6"/>
      <c r="C1584" s="7"/>
      <c r="D1584" s="7"/>
      <c r="E1584" s="8"/>
      <c r="F1584" t="str">
        <f t="shared" si="75"/>
        <v/>
      </c>
      <c r="G1584" t="str">
        <f t="shared" si="76"/>
        <v/>
      </c>
    </row>
    <row r="1585" spans="2:7" x14ac:dyDescent="0.25">
      <c r="B1585" s="6"/>
      <c r="C1585" s="7"/>
      <c r="D1585" s="7"/>
      <c r="E1585" s="8"/>
      <c r="F1585" t="str">
        <f t="shared" si="75"/>
        <v/>
      </c>
      <c r="G1585" t="str">
        <f t="shared" si="76"/>
        <v/>
      </c>
    </row>
    <row r="1586" spans="2:7" x14ac:dyDescent="0.25">
      <c r="B1586" s="6"/>
      <c r="C1586" s="7"/>
      <c r="D1586" s="7"/>
      <c r="E1586" s="8"/>
      <c r="F1586" t="str">
        <f t="shared" si="75"/>
        <v/>
      </c>
      <c r="G1586" t="str">
        <f t="shared" si="76"/>
        <v/>
      </c>
    </row>
    <row r="1587" spans="2:7" x14ac:dyDescent="0.25">
      <c r="B1587" s="6"/>
      <c r="C1587" s="7"/>
      <c r="D1587" s="7"/>
      <c r="E1587" s="8"/>
      <c r="F1587" t="str">
        <f t="shared" si="75"/>
        <v/>
      </c>
      <c r="G1587" t="str">
        <f t="shared" si="76"/>
        <v/>
      </c>
    </row>
    <row r="1588" spans="2:7" x14ac:dyDescent="0.25">
      <c r="B1588" s="6"/>
      <c r="C1588" s="7"/>
      <c r="D1588" s="7"/>
      <c r="E1588" s="8"/>
      <c r="F1588" t="str">
        <f t="shared" si="75"/>
        <v/>
      </c>
      <c r="G1588" t="str">
        <f t="shared" si="76"/>
        <v/>
      </c>
    </row>
    <row r="1589" spans="2:7" x14ac:dyDescent="0.25">
      <c r="B1589" s="6"/>
      <c r="C1589" s="7"/>
      <c r="D1589" s="7"/>
      <c r="E1589" s="8"/>
      <c r="F1589" t="str">
        <f t="shared" si="75"/>
        <v/>
      </c>
      <c r="G1589" t="str">
        <f t="shared" si="76"/>
        <v/>
      </c>
    </row>
    <row r="1590" spans="2:7" x14ac:dyDescent="0.25">
      <c r="B1590" s="6"/>
      <c r="C1590" s="7"/>
      <c r="D1590" s="7"/>
      <c r="E1590" s="8"/>
      <c r="F1590" t="str">
        <f t="shared" si="75"/>
        <v/>
      </c>
      <c r="G1590" t="str">
        <f t="shared" si="76"/>
        <v/>
      </c>
    </row>
    <row r="1591" spans="2:7" x14ac:dyDescent="0.25">
      <c r="B1591" s="6"/>
      <c r="C1591" s="7"/>
      <c r="D1591" s="7"/>
      <c r="E1591" s="8"/>
      <c r="F1591" t="str">
        <f t="shared" si="75"/>
        <v/>
      </c>
      <c r="G1591" t="str">
        <f t="shared" si="76"/>
        <v/>
      </c>
    </row>
    <row r="1592" spans="2:7" x14ac:dyDescent="0.25">
      <c r="B1592" s="6"/>
      <c r="C1592" s="7"/>
      <c r="D1592" s="7"/>
      <c r="E1592" s="8"/>
      <c r="F1592" t="str">
        <f t="shared" si="75"/>
        <v/>
      </c>
      <c r="G1592" t="str">
        <f t="shared" si="76"/>
        <v/>
      </c>
    </row>
    <row r="1593" spans="2:7" x14ac:dyDescent="0.25">
      <c r="B1593" s="6"/>
      <c r="C1593" s="7"/>
      <c r="D1593" s="7"/>
      <c r="E1593" s="8"/>
      <c r="F1593" t="str">
        <f t="shared" si="75"/>
        <v/>
      </c>
      <c r="G1593" t="str">
        <f t="shared" si="76"/>
        <v/>
      </c>
    </row>
    <row r="1594" spans="2:7" x14ac:dyDescent="0.25">
      <c r="B1594" s="6"/>
      <c r="C1594" s="7"/>
      <c r="D1594" s="7"/>
      <c r="E1594" s="8"/>
      <c r="F1594" t="str">
        <f t="shared" si="75"/>
        <v/>
      </c>
      <c r="G1594" t="str">
        <f t="shared" si="76"/>
        <v/>
      </c>
    </row>
    <row r="1595" spans="2:7" x14ac:dyDescent="0.25">
      <c r="B1595" s="6"/>
      <c r="C1595" s="7"/>
      <c r="D1595" s="7"/>
      <c r="E1595" s="8"/>
      <c r="F1595" t="str">
        <f t="shared" si="75"/>
        <v/>
      </c>
      <c r="G1595" t="str">
        <f t="shared" si="76"/>
        <v/>
      </c>
    </row>
    <row r="1596" spans="2:7" x14ac:dyDescent="0.25">
      <c r="B1596" s="6"/>
      <c r="C1596" s="7"/>
      <c r="D1596" s="7"/>
      <c r="E1596" s="8"/>
      <c r="F1596" t="str">
        <f t="shared" si="75"/>
        <v/>
      </c>
      <c r="G1596" t="str">
        <f t="shared" si="76"/>
        <v/>
      </c>
    </row>
    <row r="1597" spans="2:7" x14ac:dyDescent="0.25">
      <c r="B1597" s="6"/>
      <c r="C1597" s="7"/>
      <c r="D1597" s="7"/>
      <c r="E1597" s="8"/>
      <c r="F1597" t="str">
        <f t="shared" si="75"/>
        <v/>
      </c>
      <c r="G1597" t="str">
        <f t="shared" si="76"/>
        <v/>
      </c>
    </row>
    <row r="1598" spans="2:7" x14ac:dyDescent="0.25">
      <c r="B1598" s="6"/>
      <c r="C1598" s="7"/>
      <c r="D1598" s="7"/>
      <c r="E1598" s="8"/>
      <c r="F1598" t="str">
        <f t="shared" si="75"/>
        <v/>
      </c>
      <c r="G1598" t="str">
        <f t="shared" si="76"/>
        <v/>
      </c>
    </row>
    <row r="1599" spans="2:7" x14ac:dyDescent="0.25">
      <c r="B1599" s="6"/>
      <c r="C1599" s="7"/>
      <c r="D1599" s="7"/>
      <c r="E1599" s="8"/>
      <c r="F1599" t="str">
        <f t="shared" si="75"/>
        <v/>
      </c>
      <c r="G1599" t="str">
        <f t="shared" si="76"/>
        <v/>
      </c>
    </row>
    <row r="1600" spans="2:7" x14ac:dyDescent="0.25">
      <c r="B1600" s="6"/>
      <c r="C1600" s="7"/>
      <c r="D1600" s="7"/>
      <c r="E1600" s="8"/>
      <c r="F1600" t="str">
        <f t="shared" si="75"/>
        <v/>
      </c>
      <c r="G1600" t="str">
        <f t="shared" si="76"/>
        <v/>
      </c>
    </row>
    <row r="1601" spans="2:7" x14ac:dyDescent="0.25">
      <c r="B1601" s="6"/>
      <c r="C1601" s="7"/>
      <c r="D1601" s="7"/>
      <c r="E1601" s="8"/>
      <c r="F1601" t="str">
        <f t="shared" si="75"/>
        <v/>
      </c>
      <c r="G1601" t="str">
        <f t="shared" si="76"/>
        <v/>
      </c>
    </row>
    <row r="1602" spans="2:7" x14ac:dyDescent="0.25">
      <c r="B1602" s="6"/>
      <c r="C1602" s="7"/>
      <c r="D1602" s="7"/>
      <c r="E1602" s="8"/>
      <c r="F1602" t="str">
        <f t="shared" si="75"/>
        <v/>
      </c>
      <c r="G1602" t="str">
        <f t="shared" si="76"/>
        <v/>
      </c>
    </row>
    <row r="1603" spans="2:7" x14ac:dyDescent="0.25">
      <c r="B1603" s="6"/>
      <c r="C1603" s="7"/>
      <c r="D1603" s="7"/>
      <c r="E1603" s="8"/>
      <c r="F1603" t="str">
        <f t="shared" si="75"/>
        <v/>
      </c>
      <c r="G1603" t="str">
        <f t="shared" si="76"/>
        <v/>
      </c>
    </row>
    <row r="1604" spans="2:7" x14ac:dyDescent="0.25">
      <c r="B1604" s="6"/>
      <c r="C1604" s="7"/>
      <c r="D1604" s="7"/>
      <c r="E1604" s="8"/>
      <c r="F1604" t="str">
        <f t="shared" ref="F1604:F1667" si="77">IF(B1604="","",LOG10(D1604))</f>
        <v/>
      </c>
      <c r="G1604" t="str">
        <f t="shared" ref="G1604:G1667" si="78">IF(E1604="", "",0.434*E1604/D1604)</f>
        <v/>
      </c>
    </row>
    <row r="1605" spans="2:7" x14ac:dyDescent="0.25">
      <c r="B1605" s="6"/>
      <c r="C1605" s="7"/>
      <c r="D1605" s="7"/>
      <c r="E1605" s="8"/>
      <c r="F1605" t="str">
        <f t="shared" si="77"/>
        <v/>
      </c>
      <c r="G1605" t="str">
        <f t="shared" si="78"/>
        <v/>
      </c>
    </row>
    <row r="1606" spans="2:7" x14ac:dyDescent="0.25">
      <c r="B1606" s="6"/>
      <c r="C1606" s="7"/>
      <c r="D1606" s="7"/>
      <c r="E1606" s="8"/>
      <c r="F1606" t="str">
        <f t="shared" si="77"/>
        <v/>
      </c>
      <c r="G1606" t="str">
        <f t="shared" si="78"/>
        <v/>
      </c>
    </row>
    <row r="1607" spans="2:7" x14ac:dyDescent="0.25">
      <c r="B1607" s="6"/>
      <c r="C1607" s="7"/>
      <c r="D1607" s="7"/>
      <c r="E1607" s="8"/>
      <c r="F1607" t="str">
        <f t="shared" si="77"/>
        <v/>
      </c>
      <c r="G1607" t="str">
        <f t="shared" si="78"/>
        <v/>
      </c>
    </row>
    <row r="1608" spans="2:7" x14ac:dyDescent="0.25">
      <c r="B1608" s="6"/>
      <c r="C1608" s="7"/>
      <c r="D1608" s="7"/>
      <c r="E1608" s="8"/>
      <c r="F1608" t="str">
        <f t="shared" si="77"/>
        <v/>
      </c>
      <c r="G1608" t="str">
        <f t="shared" si="78"/>
        <v/>
      </c>
    </row>
    <row r="1609" spans="2:7" x14ac:dyDescent="0.25">
      <c r="B1609" s="6"/>
      <c r="C1609" s="7"/>
      <c r="D1609" s="7"/>
      <c r="E1609" s="8"/>
      <c r="F1609" t="str">
        <f t="shared" si="77"/>
        <v/>
      </c>
      <c r="G1609" t="str">
        <f t="shared" si="78"/>
        <v/>
      </c>
    </row>
    <row r="1610" spans="2:7" x14ac:dyDescent="0.25">
      <c r="B1610" s="6"/>
      <c r="C1610" s="7"/>
      <c r="D1610" s="7"/>
      <c r="E1610" s="8"/>
      <c r="F1610" t="str">
        <f t="shared" si="77"/>
        <v/>
      </c>
      <c r="G1610" t="str">
        <f t="shared" si="78"/>
        <v/>
      </c>
    </row>
    <row r="1611" spans="2:7" x14ac:dyDescent="0.25">
      <c r="B1611" s="6"/>
      <c r="C1611" s="7"/>
      <c r="D1611" s="7"/>
      <c r="E1611" s="8"/>
      <c r="F1611" t="str">
        <f t="shared" si="77"/>
        <v/>
      </c>
      <c r="G1611" t="str">
        <f t="shared" si="78"/>
        <v/>
      </c>
    </row>
    <row r="1612" spans="2:7" x14ac:dyDescent="0.25">
      <c r="B1612" s="6"/>
      <c r="C1612" s="7"/>
      <c r="D1612" s="7"/>
      <c r="E1612" s="8"/>
      <c r="F1612" t="str">
        <f t="shared" si="77"/>
        <v/>
      </c>
      <c r="G1612" t="str">
        <f t="shared" si="78"/>
        <v/>
      </c>
    </row>
    <row r="1613" spans="2:7" x14ac:dyDescent="0.25">
      <c r="B1613" s="6"/>
      <c r="C1613" s="7"/>
      <c r="D1613" s="7"/>
      <c r="E1613" s="8"/>
      <c r="F1613" t="str">
        <f t="shared" si="77"/>
        <v/>
      </c>
      <c r="G1613" t="str">
        <f t="shared" si="78"/>
        <v/>
      </c>
    </row>
    <row r="1614" spans="2:7" x14ac:dyDescent="0.25">
      <c r="B1614" s="6"/>
      <c r="C1614" s="7"/>
      <c r="D1614" s="7"/>
      <c r="E1614" s="8"/>
      <c r="F1614" t="str">
        <f t="shared" si="77"/>
        <v/>
      </c>
      <c r="G1614" t="str">
        <f t="shared" si="78"/>
        <v/>
      </c>
    </row>
    <row r="1615" spans="2:7" x14ac:dyDescent="0.25">
      <c r="B1615" s="6"/>
      <c r="C1615" s="7"/>
      <c r="D1615" s="7"/>
      <c r="E1615" s="8"/>
      <c r="F1615" t="str">
        <f t="shared" si="77"/>
        <v/>
      </c>
      <c r="G1615" t="str">
        <f t="shared" si="78"/>
        <v/>
      </c>
    </row>
    <row r="1616" spans="2:7" x14ac:dyDescent="0.25">
      <c r="B1616" s="6"/>
      <c r="C1616" s="7"/>
      <c r="D1616" s="7"/>
      <c r="E1616" s="8"/>
      <c r="F1616" t="str">
        <f t="shared" si="77"/>
        <v/>
      </c>
      <c r="G1616" t="str">
        <f t="shared" si="78"/>
        <v/>
      </c>
    </row>
    <row r="1617" spans="2:7" x14ac:dyDescent="0.25">
      <c r="B1617" s="6"/>
      <c r="C1617" s="7"/>
      <c r="D1617" s="7"/>
      <c r="E1617" s="8"/>
      <c r="F1617" t="str">
        <f t="shared" si="77"/>
        <v/>
      </c>
      <c r="G1617" t="str">
        <f t="shared" si="78"/>
        <v/>
      </c>
    </row>
    <row r="1618" spans="2:7" x14ac:dyDescent="0.25">
      <c r="B1618" s="6"/>
      <c r="C1618" s="7"/>
      <c r="D1618" s="7"/>
      <c r="E1618" s="8"/>
      <c r="F1618" t="str">
        <f t="shared" si="77"/>
        <v/>
      </c>
      <c r="G1618" t="str">
        <f t="shared" si="78"/>
        <v/>
      </c>
    </row>
    <row r="1619" spans="2:7" x14ac:dyDescent="0.25">
      <c r="B1619" s="6"/>
      <c r="C1619" s="7"/>
      <c r="D1619" s="7"/>
      <c r="E1619" s="8"/>
      <c r="F1619" t="str">
        <f t="shared" si="77"/>
        <v/>
      </c>
      <c r="G1619" t="str">
        <f t="shared" si="78"/>
        <v/>
      </c>
    </row>
    <row r="1620" spans="2:7" x14ac:dyDescent="0.25">
      <c r="B1620" s="6"/>
      <c r="C1620" s="7"/>
      <c r="D1620" s="7"/>
      <c r="E1620" s="8"/>
      <c r="F1620" t="str">
        <f t="shared" si="77"/>
        <v/>
      </c>
      <c r="G1620" t="str">
        <f t="shared" si="78"/>
        <v/>
      </c>
    </row>
    <row r="1621" spans="2:7" x14ac:dyDescent="0.25">
      <c r="B1621" s="6"/>
      <c r="C1621" s="7"/>
      <c r="D1621" s="7"/>
      <c r="E1621" s="8"/>
      <c r="F1621" t="str">
        <f t="shared" si="77"/>
        <v/>
      </c>
      <c r="G1621" t="str">
        <f t="shared" si="78"/>
        <v/>
      </c>
    </row>
    <row r="1622" spans="2:7" x14ac:dyDescent="0.25">
      <c r="B1622" s="6"/>
      <c r="C1622" s="7"/>
      <c r="D1622" s="7"/>
      <c r="E1622" s="8"/>
      <c r="F1622" t="str">
        <f t="shared" si="77"/>
        <v/>
      </c>
      <c r="G1622" t="str">
        <f t="shared" si="78"/>
        <v/>
      </c>
    </row>
    <row r="1623" spans="2:7" x14ac:dyDescent="0.25">
      <c r="B1623" s="6"/>
      <c r="C1623" s="7"/>
      <c r="D1623" s="7"/>
      <c r="E1623" s="8"/>
      <c r="F1623" t="str">
        <f t="shared" si="77"/>
        <v/>
      </c>
      <c r="G1623" t="str">
        <f t="shared" si="78"/>
        <v/>
      </c>
    </row>
    <row r="1624" spans="2:7" x14ac:dyDescent="0.25">
      <c r="B1624" s="6"/>
      <c r="C1624" s="7"/>
      <c r="D1624" s="7"/>
      <c r="E1624" s="8"/>
      <c r="F1624" t="str">
        <f t="shared" si="77"/>
        <v/>
      </c>
      <c r="G1624" t="str">
        <f t="shared" si="78"/>
        <v/>
      </c>
    </row>
    <row r="1625" spans="2:7" x14ac:dyDescent="0.25">
      <c r="B1625" s="6"/>
      <c r="C1625" s="7"/>
      <c r="D1625" s="7"/>
      <c r="E1625" s="8"/>
      <c r="F1625" t="str">
        <f t="shared" si="77"/>
        <v/>
      </c>
      <c r="G1625" t="str">
        <f t="shared" si="78"/>
        <v/>
      </c>
    </row>
    <row r="1626" spans="2:7" x14ac:dyDescent="0.25">
      <c r="B1626" s="6"/>
      <c r="C1626" s="7"/>
      <c r="D1626" s="7"/>
      <c r="E1626" s="8"/>
      <c r="F1626" t="str">
        <f t="shared" si="77"/>
        <v/>
      </c>
      <c r="G1626" t="str">
        <f t="shared" si="78"/>
        <v/>
      </c>
    </row>
    <row r="1627" spans="2:7" x14ac:dyDescent="0.25">
      <c r="B1627" s="6"/>
      <c r="C1627" s="7"/>
      <c r="D1627" s="7"/>
      <c r="E1627" s="8"/>
      <c r="F1627" t="str">
        <f t="shared" si="77"/>
        <v/>
      </c>
      <c r="G1627" t="str">
        <f t="shared" si="78"/>
        <v/>
      </c>
    </row>
    <row r="1628" spans="2:7" x14ac:dyDescent="0.25">
      <c r="B1628" s="6"/>
      <c r="C1628" s="7"/>
      <c r="D1628" s="7"/>
      <c r="E1628" s="8"/>
      <c r="F1628" t="str">
        <f t="shared" si="77"/>
        <v/>
      </c>
      <c r="G1628" t="str">
        <f t="shared" si="78"/>
        <v/>
      </c>
    </row>
    <row r="1629" spans="2:7" x14ac:dyDescent="0.25">
      <c r="B1629" s="6"/>
      <c r="C1629" s="7"/>
      <c r="D1629" s="7"/>
      <c r="E1629" s="8"/>
      <c r="F1629" t="str">
        <f t="shared" si="77"/>
        <v/>
      </c>
      <c r="G1629" t="str">
        <f t="shared" si="78"/>
        <v/>
      </c>
    </row>
    <row r="1630" spans="2:7" x14ac:dyDescent="0.25">
      <c r="B1630" s="6"/>
      <c r="C1630" s="7"/>
      <c r="D1630" s="7"/>
      <c r="E1630" s="8"/>
      <c r="F1630" t="str">
        <f t="shared" si="77"/>
        <v/>
      </c>
      <c r="G1630" t="str">
        <f t="shared" si="78"/>
        <v/>
      </c>
    </row>
    <row r="1631" spans="2:7" x14ac:dyDescent="0.25">
      <c r="B1631" s="6"/>
      <c r="C1631" s="7"/>
      <c r="D1631" s="7"/>
      <c r="E1631" s="8"/>
      <c r="F1631" t="str">
        <f t="shared" si="77"/>
        <v/>
      </c>
      <c r="G1631" t="str">
        <f t="shared" si="78"/>
        <v/>
      </c>
    </row>
    <row r="1632" spans="2:7" x14ac:dyDescent="0.25">
      <c r="B1632" s="6"/>
      <c r="C1632" s="7"/>
      <c r="D1632" s="7"/>
      <c r="E1632" s="8"/>
      <c r="F1632" t="str">
        <f t="shared" si="77"/>
        <v/>
      </c>
      <c r="G1632" t="str">
        <f t="shared" si="78"/>
        <v/>
      </c>
    </row>
    <row r="1633" spans="2:7" x14ac:dyDescent="0.25">
      <c r="B1633" s="6"/>
      <c r="C1633" s="7"/>
      <c r="D1633" s="7"/>
      <c r="E1633" s="8"/>
      <c r="F1633" t="str">
        <f t="shared" si="77"/>
        <v/>
      </c>
      <c r="G1633" t="str">
        <f t="shared" si="78"/>
        <v/>
      </c>
    </row>
    <row r="1634" spans="2:7" x14ac:dyDescent="0.25">
      <c r="B1634" s="6"/>
      <c r="C1634" s="7"/>
      <c r="D1634" s="7"/>
      <c r="E1634" s="8"/>
      <c r="F1634" t="str">
        <f t="shared" si="77"/>
        <v/>
      </c>
      <c r="G1634" t="str">
        <f t="shared" si="78"/>
        <v/>
      </c>
    </row>
    <row r="1635" spans="2:7" x14ac:dyDescent="0.25">
      <c r="B1635" s="6"/>
      <c r="C1635" s="7"/>
      <c r="D1635" s="7"/>
      <c r="E1635" s="8"/>
      <c r="F1635" t="str">
        <f t="shared" si="77"/>
        <v/>
      </c>
      <c r="G1635" t="str">
        <f t="shared" si="78"/>
        <v/>
      </c>
    </row>
    <row r="1636" spans="2:7" x14ac:dyDescent="0.25">
      <c r="B1636" s="6"/>
      <c r="C1636" s="7"/>
      <c r="D1636" s="7"/>
      <c r="E1636" s="8"/>
      <c r="F1636" t="str">
        <f t="shared" si="77"/>
        <v/>
      </c>
      <c r="G1636" t="str">
        <f t="shared" si="78"/>
        <v/>
      </c>
    </row>
    <row r="1637" spans="2:7" x14ac:dyDescent="0.25">
      <c r="B1637" s="6"/>
      <c r="C1637" s="7"/>
      <c r="D1637" s="7"/>
      <c r="E1637" s="8"/>
      <c r="F1637" t="str">
        <f t="shared" si="77"/>
        <v/>
      </c>
      <c r="G1637" t="str">
        <f t="shared" si="78"/>
        <v/>
      </c>
    </row>
    <row r="1638" spans="2:7" x14ac:dyDescent="0.25">
      <c r="B1638" s="6"/>
      <c r="C1638" s="7"/>
      <c r="D1638" s="7"/>
      <c r="E1638" s="8"/>
      <c r="F1638" t="str">
        <f t="shared" si="77"/>
        <v/>
      </c>
      <c r="G1638" t="str">
        <f t="shared" si="78"/>
        <v/>
      </c>
    </row>
    <row r="1639" spans="2:7" x14ac:dyDescent="0.25">
      <c r="B1639" s="6"/>
      <c r="C1639" s="7"/>
      <c r="D1639" s="7"/>
      <c r="E1639" s="8"/>
      <c r="F1639" t="str">
        <f t="shared" si="77"/>
        <v/>
      </c>
      <c r="G1639" t="str">
        <f t="shared" si="78"/>
        <v/>
      </c>
    </row>
    <row r="1640" spans="2:7" x14ac:dyDescent="0.25">
      <c r="B1640" s="6"/>
      <c r="C1640" s="7"/>
      <c r="D1640" s="7"/>
      <c r="E1640" s="8"/>
      <c r="F1640" t="str">
        <f t="shared" si="77"/>
        <v/>
      </c>
      <c r="G1640" t="str">
        <f t="shared" si="78"/>
        <v/>
      </c>
    </row>
    <row r="1641" spans="2:7" x14ac:dyDescent="0.25">
      <c r="B1641" s="6"/>
      <c r="C1641" s="7"/>
      <c r="D1641" s="7"/>
      <c r="E1641" s="8"/>
      <c r="F1641" t="str">
        <f t="shared" si="77"/>
        <v/>
      </c>
      <c r="G1641" t="str">
        <f t="shared" si="78"/>
        <v/>
      </c>
    </row>
    <row r="1642" spans="2:7" x14ac:dyDescent="0.25">
      <c r="B1642" s="6"/>
      <c r="C1642" s="7"/>
      <c r="D1642" s="7"/>
      <c r="E1642" s="8"/>
      <c r="F1642" t="str">
        <f t="shared" si="77"/>
        <v/>
      </c>
      <c r="G1642" t="str">
        <f t="shared" si="78"/>
        <v/>
      </c>
    </row>
    <row r="1643" spans="2:7" x14ac:dyDescent="0.25">
      <c r="B1643" s="6"/>
      <c r="C1643" s="7"/>
      <c r="D1643" s="7"/>
      <c r="E1643" s="8"/>
      <c r="F1643" t="str">
        <f t="shared" si="77"/>
        <v/>
      </c>
      <c r="G1643" t="str">
        <f t="shared" si="78"/>
        <v/>
      </c>
    </row>
    <row r="1644" spans="2:7" x14ac:dyDescent="0.25">
      <c r="B1644" s="6"/>
      <c r="C1644" s="7"/>
      <c r="D1644" s="7"/>
      <c r="E1644" s="8"/>
      <c r="F1644" t="str">
        <f t="shared" si="77"/>
        <v/>
      </c>
      <c r="G1644" t="str">
        <f t="shared" si="78"/>
        <v/>
      </c>
    </row>
    <row r="1645" spans="2:7" x14ac:dyDescent="0.25">
      <c r="B1645" s="6"/>
      <c r="C1645" s="7"/>
      <c r="D1645" s="7"/>
      <c r="E1645" s="8"/>
      <c r="F1645" t="str">
        <f t="shared" si="77"/>
        <v/>
      </c>
      <c r="G1645" t="str">
        <f t="shared" si="78"/>
        <v/>
      </c>
    </row>
    <row r="1646" spans="2:7" x14ac:dyDescent="0.25">
      <c r="B1646" s="6"/>
      <c r="C1646" s="7"/>
      <c r="D1646" s="7"/>
      <c r="E1646" s="8"/>
      <c r="F1646" t="str">
        <f t="shared" si="77"/>
        <v/>
      </c>
      <c r="G1646" t="str">
        <f t="shared" si="78"/>
        <v/>
      </c>
    </row>
    <row r="1647" spans="2:7" x14ac:dyDescent="0.25">
      <c r="B1647" s="6"/>
      <c r="C1647" s="7"/>
      <c r="D1647" s="7"/>
      <c r="E1647" s="8"/>
      <c r="F1647" t="str">
        <f t="shared" si="77"/>
        <v/>
      </c>
      <c r="G1647" t="str">
        <f t="shared" si="78"/>
        <v/>
      </c>
    </row>
    <row r="1648" spans="2:7" x14ac:dyDescent="0.25">
      <c r="B1648" s="6"/>
      <c r="C1648" s="7"/>
      <c r="D1648" s="7"/>
      <c r="E1648" s="8"/>
      <c r="F1648" t="str">
        <f t="shared" si="77"/>
        <v/>
      </c>
      <c r="G1648" t="str">
        <f t="shared" si="78"/>
        <v/>
      </c>
    </row>
    <row r="1649" spans="2:7" x14ac:dyDescent="0.25">
      <c r="B1649" s="6"/>
      <c r="C1649" s="7"/>
      <c r="D1649" s="7"/>
      <c r="E1649" s="8"/>
      <c r="F1649" t="str">
        <f t="shared" si="77"/>
        <v/>
      </c>
      <c r="G1649" t="str">
        <f t="shared" si="78"/>
        <v/>
      </c>
    </row>
    <row r="1650" spans="2:7" x14ac:dyDescent="0.25">
      <c r="B1650" s="6"/>
      <c r="C1650" s="7"/>
      <c r="D1650" s="7"/>
      <c r="E1650" s="8"/>
      <c r="F1650" t="str">
        <f t="shared" si="77"/>
        <v/>
      </c>
      <c r="G1650" t="str">
        <f t="shared" si="78"/>
        <v/>
      </c>
    </row>
    <row r="1651" spans="2:7" x14ac:dyDescent="0.25">
      <c r="B1651" s="6"/>
      <c r="C1651" s="7"/>
      <c r="D1651" s="7"/>
      <c r="E1651" s="8"/>
      <c r="F1651" t="str">
        <f t="shared" si="77"/>
        <v/>
      </c>
      <c r="G1651" t="str">
        <f t="shared" si="78"/>
        <v/>
      </c>
    </row>
    <row r="1652" spans="2:7" x14ac:dyDescent="0.25">
      <c r="B1652" s="6"/>
      <c r="C1652" s="7"/>
      <c r="D1652" s="7"/>
      <c r="E1652" s="8"/>
      <c r="F1652" t="str">
        <f t="shared" si="77"/>
        <v/>
      </c>
      <c r="G1652" t="str">
        <f t="shared" si="78"/>
        <v/>
      </c>
    </row>
    <row r="1653" spans="2:7" x14ac:dyDescent="0.25">
      <c r="B1653" s="6"/>
      <c r="C1653" s="7"/>
      <c r="D1653" s="7"/>
      <c r="E1653" s="8"/>
      <c r="F1653" t="str">
        <f t="shared" si="77"/>
        <v/>
      </c>
      <c r="G1653" t="str">
        <f t="shared" si="78"/>
        <v/>
      </c>
    </row>
    <row r="1654" spans="2:7" x14ac:dyDescent="0.25">
      <c r="B1654" s="6"/>
      <c r="C1654" s="7"/>
      <c r="D1654" s="7"/>
      <c r="E1654" s="8"/>
      <c r="F1654" t="str">
        <f t="shared" si="77"/>
        <v/>
      </c>
      <c r="G1654" t="str">
        <f t="shared" si="78"/>
        <v/>
      </c>
    </row>
    <row r="1655" spans="2:7" x14ac:dyDescent="0.25">
      <c r="B1655" s="6"/>
      <c r="C1655" s="7"/>
      <c r="D1655" s="7"/>
      <c r="E1655" s="8"/>
      <c r="F1655" t="str">
        <f t="shared" si="77"/>
        <v/>
      </c>
      <c r="G1655" t="str">
        <f t="shared" si="78"/>
        <v/>
      </c>
    </row>
    <row r="1656" spans="2:7" x14ac:dyDescent="0.25">
      <c r="B1656" s="6"/>
      <c r="C1656" s="7"/>
      <c r="D1656" s="7"/>
      <c r="E1656" s="8"/>
      <c r="F1656" t="str">
        <f t="shared" si="77"/>
        <v/>
      </c>
      <c r="G1656" t="str">
        <f t="shared" si="78"/>
        <v/>
      </c>
    </row>
    <row r="1657" spans="2:7" x14ac:dyDescent="0.25">
      <c r="B1657" s="6"/>
      <c r="C1657" s="7"/>
      <c r="D1657" s="7"/>
      <c r="E1657" s="8"/>
      <c r="F1657" t="str">
        <f t="shared" si="77"/>
        <v/>
      </c>
      <c r="G1657" t="str">
        <f t="shared" si="78"/>
        <v/>
      </c>
    </row>
    <row r="1658" spans="2:7" x14ac:dyDescent="0.25">
      <c r="B1658" s="6"/>
      <c r="C1658" s="7"/>
      <c r="D1658" s="7"/>
      <c r="E1658" s="8"/>
      <c r="F1658" t="str">
        <f t="shared" si="77"/>
        <v/>
      </c>
      <c r="G1658" t="str">
        <f t="shared" si="78"/>
        <v/>
      </c>
    </row>
    <row r="1659" spans="2:7" x14ac:dyDescent="0.25">
      <c r="B1659" s="6"/>
      <c r="C1659" s="7"/>
      <c r="D1659" s="7"/>
      <c r="E1659" s="8"/>
      <c r="F1659" t="str">
        <f t="shared" si="77"/>
        <v/>
      </c>
      <c r="G1659" t="str">
        <f t="shared" si="78"/>
        <v/>
      </c>
    </row>
    <row r="1660" spans="2:7" x14ac:dyDescent="0.25">
      <c r="B1660" s="6"/>
      <c r="C1660" s="7"/>
      <c r="D1660" s="7"/>
      <c r="E1660" s="8"/>
      <c r="F1660" t="str">
        <f t="shared" si="77"/>
        <v/>
      </c>
      <c r="G1660" t="str">
        <f t="shared" si="78"/>
        <v/>
      </c>
    </row>
    <row r="1661" spans="2:7" x14ac:dyDescent="0.25">
      <c r="B1661" s="6"/>
      <c r="C1661" s="7"/>
      <c r="D1661" s="7"/>
      <c r="E1661" s="8"/>
      <c r="F1661" t="str">
        <f t="shared" si="77"/>
        <v/>
      </c>
      <c r="G1661" t="str">
        <f t="shared" si="78"/>
        <v/>
      </c>
    </row>
    <row r="1662" spans="2:7" x14ac:dyDescent="0.25">
      <c r="B1662" s="6"/>
      <c r="C1662" s="7"/>
      <c r="D1662" s="7"/>
      <c r="E1662" s="8"/>
      <c r="F1662" t="str">
        <f t="shared" si="77"/>
        <v/>
      </c>
      <c r="G1662" t="str">
        <f t="shared" si="78"/>
        <v/>
      </c>
    </row>
    <row r="1663" spans="2:7" x14ac:dyDescent="0.25">
      <c r="B1663" s="6"/>
      <c r="C1663" s="7"/>
      <c r="D1663" s="7"/>
      <c r="E1663" s="8"/>
      <c r="F1663" t="str">
        <f t="shared" si="77"/>
        <v/>
      </c>
      <c r="G1663" t="str">
        <f t="shared" si="78"/>
        <v/>
      </c>
    </row>
    <row r="1664" spans="2:7" x14ac:dyDescent="0.25">
      <c r="B1664" s="6"/>
      <c r="C1664" s="7"/>
      <c r="D1664" s="7"/>
      <c r="E1664" s="8"/>
      <c r="F1664" t="str">
        <f t="shared" si="77"/>
        <v/>
      </c>
      <c r="G1664" t="str">
        <f t="shared" si="78"/>
        <v/>
      </c>
    </row>
    <row r="1665" spans="2:7" x14ac:dyDescent="0.25">
      <c r="B1665" s="6"/>
      <c r="C1665" s="7"/>
      <c r="D1665" s="7"/>
      <c r="E1665" s="8"/>
      <c r="F1665" t="str">
        <f t="shared" si="77"/>
        <v/>
      </c>
      <c r="G1665" t="str">
        <f t="shared" si="78"/>
        <v/>
      </c>
    </row>
    <row r="1666" spans="2:7" x14ac:dyDescent="0.25">
      <c r="B1666" s="6"/>
      <c r="C1666" s="7"/>
      <c r="D1666" s="7"/>
      <c r="E1666" s="8"/>
      <c r="F1666" t="str">
        <f t="shared" si="77"/>
        <v/>
      </c>
      <c r="G1666" t="str">
        <f t="shared" si="78"/>
        <v/>
      </c>
    </row>
    <row r="1667" spans="2:7" x14ac:dyDescent="0.25">
      <c r="B1667" s="6"/>
      <c r="C1667" s="7"/>
      <c r="D1667" s="7"/>
      <c r="E1667" s="8"/>
      <c r="F1667" t="str">
        <f t="shared" si="77"/>
        <v/>
      </c>
      <c r="G1667" t="str">
        <f t="shared" si="78"/>
        <v/>
      </c>
    </row>
    <row r="1668" spans="2:7" x14ac:dyDescent="0.25">
      <c r="B1668" s="6"/>
      <c r="C1668" s="7"/>
      <c r="D1668" s="7"/>
      <c r="E1668" s="8"/>
      <c r="F1668" t="str">
        <f t="shared" ref="F1668:F1731" si="79">IF(B1668="","",LOG10(D1668))</f>
        <v/>
      </c>
      <c r="G1668" t="str">
        <f t="shared" ref="G1668:G1731" si="80">IF(E1668="", "",0.434*E1668/D1668)</f>
        <v/>
      </c>
    </row>
    <row r="1669" spans="2:7" x14ac:dyDescent="0.25">
      <c r="B1669" s="6"/>
      <c r="C1669" s="7"/>
      <c r="D1669" s="7"/>
      <c r="E1669" s="8"/>
      <c r="F1669" t="str">
        <f t="shared" si="79"/>
        <v/>
      </c>
      <c r="G1669" t="str">
        <f t="shared" si="80"/>
        <v/>
      </c>
    </row>
    <row r="1670" spans="2:7" x14ac:dyDescent="0.25">
      <c r="B1670" s="6"/>
      <c r="C1670" s="7"/>
      <c r="D1670" s="7"/>
      <c r="E1670" s="8"/>
      <c r="F1670" t="str">
        <f t="shared" si="79"/>
        <v/>
      </c>
      <c r="G1670" t="str">
        <f t="shared" si="80"/>
        <v/>
      </c>
    </row>
    <row r="1671" spans="2:7" x14ac:dyDescent="0.25">
      <c r="B1671" s="6"/>
      <c r="C1671" s="7"/>
      <c r="D1671" s="7"/>
      <c r="E1671" s="8"/>
      <c r="F1671" t="str">
        <f t="shared" si="79"/>
        <v/>
      </c>
      <c r="G1671" t="str">
        <f t="shared" si="80"/>
        <v/>
      </c>
    </row>
    <row r="1672" spans="2:7" x14ac:dyDescent="0.25">
      <c r="B1672" s="6"/>
      <c r="C1672" s="7"/>
      <c r="D1672" s="7"/>
      <c r="E1672" s="8"/>
      <c r="F1672" t="str">
        <f t="shared" si="79"/>
        <v/>
      </c>
      <c r="G1672" t="str">
        <f t="shared" si="80"/>
        <v/>
      </c>
    </row>
    <row r="1673" spans="2:7" x14ac:dyDescent="0.25">
      <c r="B1673" s="6"/>
      <c r="C1673" s="7"/>
      <c r="D1673" s="7"/>
      <c r="E1673" s="8"/>
      <c r="F1673" t="str">
        <f t="shared" si="79"/>
        <v/>
      </c>
      <c r="G1673" t="str">
        <f t="shared" si="80"/>
        <v/>
      </c>
    </row>
    <row r="1674" spans="2:7" x14ac:dyDescent="0.25">
      <c r="B1674" s="6"/>
      <c r="C1674" s="7"/>
      <c r="D1674" s="7"/>
      <c r="E1674" s="8"/>
      <c r="F1674" t="str">
        <f t="shared" si="79"/>
        <v/>
      </c>
      <c r="G1674" t="str">
        <f t="shared" si="80"/>
        <v/>
      </c>
    </row>
    <row r="1675" spans="2:7" x14ac:dyDescent="0.25">
      <c r="B1675" s="6"/>
      <c r="C1675" s="7"/>
      <c r="D1675" s="7"/>
      <c r="E1675" s="8"/>
      <c r="F1675" t="str">
        <f t="shared" si="79"/>
        <v/>
      </c>
      <c r="G1675" t="str">
        <f t="shared" si="80"/>
        <v/>
      </c>
    </row>
    <row r="1676" spans="2:7" x14ac:dyDescent="0.25">
      <c r="B1676" s="6"/>
      <c r="C1676" s="7"/>
      <c r="D1676" s="7"/>
      <c r="E1676" s="8"/>
      <c r="F1676" t="str">
        <f t="shared" si="79"/>
        <v/>
      </c>
      <c r="G1676" t="str">
        <f t="shared" si="80"/>
        <v/>
      </c>
    </row>
    <row r="1677" spans="2:7" x14ac:dyDescent="0.25">
      <c r="B1677" s="6"/>
      <c r="C1677" s="7"/>
      <c r="D1677" s="7"/>
      <c r="E1677" s="8"/>
      <c r="F1677" t="str">
        <f t="shared" si="79"/>
        <v/>
      </c>
      <c r="G1677" t="str">
        <f t="shared" si="80"/>
        <v/>
      </c>
    </row>
    <row r="1678" spans="2:7" x14ac:dyDescent="0.25">
      <c r="B1678" s="6"/>
      <c r="C1678" s="7"/>
      <c r="D1678" s="7"/>
      <c r="E1678" s="8"/>
      <c r="F1678" t="str">
        <f t="shared" si="79"/>
        <v/>
      </c>
      <c r="G1678" t="str">
        <f t="shared" si="80"/>
        <v/>
      </c>
    </row>
    <row r="1679" spans="2:7" x14ac:dyDescent="0.25">
      <c r="B1679" s="6"/>
      <c r="C1679" s="7"/>
      <c r="D1679" s="7"/>
      <c r="E1679" s="8"/>
      <c r="F1679" t="str">
        <f t="shared" si="79"/>
        <v/>
      </c>
      <c r="G1679" t="str">
        <f t="shared" si="80"/>
        <v/>
      </c>
    </row>
    <row r="1680" spans="2:7" x14ac:dyDescent="0.25">
      <c r="B1680" s="6"/>
      <c r="C1680" s="7"/>
      <c r="D1680" s="7"/>
      <c r="E1680" s="8"/>
      <c r="F1680" t="str">
        <f t="shared" si="79"/>
        <v/>
      </c>
      <c r="G1680" t="str">
        <f t="shared" si="80"/>
        <v/>
      </c>
    </row>
    <row r="1681" spans="2:7" x14ac:dyDescent="0.25">
      <c r="B1681" s="6"/>
      <c r="C1681" s="7"/>
      <c r="D1681" s="7"/>
      <c r="E1681" s="8"/>
      <c r="F1681" t="str">
        <f t="shared" si="79"/>
        <v/>
      </c>
      <c r="G1681" t="str">
        <f t="shared" si="80"/>
        <v/>
      </c>
    </row>
    <row r="1682" spans="2:7" x14ac:dyDescent="0.25">
      <c r="B1682" s="6"/>
      <c r="C1682" s="7"/>
      <c r="D1682" s="7"/>
      <c r="E1682" s="8"/>
      <c r="F1682" t="str">
        <f t="shared" si="79"/>
        <v/>
      </c>
      <c r="G1682" t="str">
        <f t="shared" si="80"/>
        <v/>
      </c>
    </row>
    <row r="1683" spans="2:7" x14ac:dyDescent="0.25">
      <c r="B1683" s="6"/>
      <c r="C1683" s="7"/>
      <c r="D1683" s="7"/>
      <c r="E1683" s="8"/>
      <c r="F1683" t="str">
        <f t="shared" si="79"/>
        <v/>
      </c>
      <c r="G1683" t="str">
        <f t="shared" si="80"/>
        <v/>
      </c>
    </row>
    <row r="1684" spans="2:7" x14ac:dyDescent="0.25">
      <c r="B1684" s="6"/>
      <c r="C1684" s="7"/>
      <c r="D1684" s="7"/>
      <c r="E1684" s="8"/>
      <c r="F1684" t="str">
        <f t="shared" si="79"/>
        <v/>
      </c>
      <c r="G1684" t="str">
        <f t="shared" si="80"/>
        <v/>
      </c>
    </row>
    <row r="1685" spans="2:7" x14ac:dyDescent="0.25">
      <c r="B1685" s="6"/>
      <c r="C1685" s="7"/>
      <c r="D1685" s="7"/>
      <c r="E1685" s="8"/>
      <c r="F1685" t="str">
        <f t="shared" si="79"/>
        <v/>
      </c>
      <c r="G1685" t="str">
        <f t="shared" si="80"/>
        <v/>
      </c>
    </row>
    <row r="1686" spans="2:7" x14ac:dyDescent="0.25">
      <c r="B1686" s="6"/>
      <c r="C1686" s="7"/>
      <c r="D1686" s="7"/>
      <c r="E1686" s="8"/>
      <c r="F1686" t="str">
        <f t="shared" si="79"/>
        <v/>
      </c>
      <c r="G1686" t="str">
        <f t="shared" si="80"/>
        <v/>
      </c>
    </row>
    <row r="1687" spans="2:7" x14ac:dyDescent="0.25">
      <c r="B1687" s="6"/>
      <c r="C1687" s="7"/>
      <c r="D1687" s="7"/>
      <c r="E1687" s="8"/>
      <c r="F1687" t="str">
        <f t="shared" si="79"/>
        <v/>
      </c>
      <c r="G1687" t="str">
        <f t="shared" si="80"/>
        <v/>
      </c>
    </row>
    <row r="1688" spans="2:7" x14ac:dyDescent="0.25">
      <c r="B1688" s="6"/>
      <c r="C1688" s="7"/>
      <c r="D1688" s="7"/>
      <c r="E1688" s="8"/>
      <c r="F1688" t="str">
        <f t="shared" si="79"/>
        <v/>
      </c>
      <c r="G1688" t="str">
        <f t="shared" si="80"/>
        <v/>
      </c>
    </row>
    <row r="1689" spans="2:7" x14ac:dyDescent="0.25">
      <c r="B1689" s="6"/>
      <c r="C1689" s="7"/>
      <c r="D1689" s="7"/>
      <c r="E1689" s="8"/>
      <c r="F1689" t="str">
        <f t="shared" si="79"/>
        <v/>
      </c>
      <c r="G1689" t="str">
        <f t="shared" si="80"/>
        <v/>
      </c>
    </row>
    <row r="1690" spans="2:7" x14ac:dyDescent="0.25">
      <c r="B1690" s="6"/>
      <c r="C1690" s="7"/>
      <c r="D1690" s="7"/>
      <c r="E1690" s="8"/>
      <c r="F1690" t="str">
        <f t="shared" si="79"/>
        <v/>
      </c>
      <c r="G1690" t="str">
        <f t="shared" si="80"/>
        <v/>
      </c>
    </row>
    <row r="1691" spans="2:7" x14ac:dyDescent="0.25">
      <c r="B1691" s="6"/>
      <c r="C1691" s="7"/>
      <c r="D1691" s="7"/>
      <c r="E1691" s="8"/>
      <c r="F1691" t="str">
        <f t="shared" si="79"/>
        <v/>
      </c>
      <c r="G1691" t="str">
        <f t="shared" si="80"/>
        <v/>
      </c>
    </row>
    <row r="1692" spans="2:7" x14ac:dyDescent="0.25">
      <c r="B1692" s="6"/>
      <c r="C1692" s="7"/>
      <c r="D1692" s="7"/>
      <c r="E1692" s="8"/>
      <c r="F1692" t="str">
        <f t="shared" si="79"/>
        <v/>
      </c>
      <c r="G1692" t="str">
        <f t="shared" si="80"/>
        <v/>
      </c>
    </row>
    <row r="1693" spans="2:7" x14ac:dyDescent="0.25">
      <c r="B1693" s="6"/>
      <c r="C1693" s="7"/>
      <c r="D1693" s="7"/>
      <c r="E1693" s="8"/>
      <c r="F1693" t="str">
        <f t="shared" si="79"/>
        <v/>
      </c>
      <c r="G1693" t="str">
        <f t="shared" si="80"/>
        <v/>
      </c>
    </row>
    <row r="1694" spans="2:7" x14ac:dyDescent="0.25">
      <c r="B1694" s="6"/>
      <c r="C1694" s="7"/>
      <c r="D1694" s="7"/>
      <c r="E1694" s="8"/>
      <c r="F1694" t="str">
        <f t="shared" si="79"/>
        <v/>
      </c>
      <c r="G1694" t="str">
        <f t="shared" si="80"/>
        <v/>
      </c>
    </row>
    <row r="1695" spans="2:7" x14ac:dyDescent="0.25">
      <c r="B1695" s="6"/>
      <c r="C1695" s="7"/>
      <c r="D1695" s="7"/>
      <c r="E1695" s="8"/>
      <c r="F1695" t="str">
        <f t="shared" si="79"/>
        <v/>
      </c>
      <c r="G1695" t="str">
        <f t="shared" si="80"/>
        <v/>
      </c>
    </row>
    <row r="1696" spans="2:7" x14ac:dyDescent="0.25">
      <c r="B1696" s="6"/>
      <c r="C1696" s="7"/>
      <c r="D1696" s="7"/>
      <c r="E1696" s="8"/>
      <c r="F1696" t="str">
        <f t="shared" si="79"/>
        <v/>
      </c>
      <c r="G1696" t="str">
        <f t="shared" si="80"/>
        <v/>
      </c>
    </row>
    <row r="1697" spans="2:7" x14ac:dyDescent="0.25">
      <c r="B1697" s="6"/>
      <c r="C1697" s="7"/>
      <c r="D1697" s="7"/>
      <c r="E1697" s="8"/>
      <c r="F1697" t="str">
        <f t="shared" si="79"/>
        <v/>
      </c>
      <c r="G1697" t="str">
        <f t="shared" si="80"/>
        <v/>
      </c>
    </row>
    <row r="1698" spans="2:7" x14ac:dyDescent="0.25">
      <c r="B1698" s="6"/>
      <c r="C1698" s="7"/>
      <c r="D1698" s="7"/>
      <c r="E1698" s="8"/>
      <c r="F1698" t="str">
        <f t="shared" si="79"/>
        <v/>
      </c>
      <c r="G1698" t="str">
        <f t="shared" si="80"/>
        <v/>
      </c>
    </row>
    <row r="1699" spans="2:7" x14ac:dyDescent="0.25">
      <c r="B1699" s="6"/>
      <c r="C1699" s="7"/>
      <c r="D1699" s="7"/>
      <c r="E1699" s="8"/>
      <c r="F1699" t="str">
        <f t="shared" si="79"/>
        <v/>
      </c>
      <c r="G1699" t="str">
        <f t="shared" si="80"/>
        <v/>
      </c>
    </row>
    <row r="1700" spans="2:7" x14ac:dyDescent="0.25">
      <c r="B1700" s="6"/>
      <c r="C1700" s="7"/>
      <c r="D1700" s="7"/>
      <c r="E1700" s="8"/>
      <c r="F1700" t="str">
        <f t="shared" si="79"/>
        <v/>
      </c>
      <c r="G1700" t="str">
        <f t="shared" si="80"/>
        <v/>
      </c>
    </row>
    <row r="1701" spans="2:7" x14ac:dyDescent="0.25">
      <c r="B1701" s="6"/>
      <c r="C1701" s="7"/>
      <c r="D1701" s="7"/>
      <c r="E1701" s="8"/>
      <c r="F1701" t="str">
        <f t="shared" si="79"/>
        <v/>
      </c>
      <c r="G1701" t="str">
        <f t="shared" si="80"/>
        <v/>
      </c>
    </row>
    <row r="1702" spans="2:7" x14ac:dyDescent="0.25">
      <c r="B1702" s="6"/>
      <c r="C1702" s="7"/>
      <c r="D1702" s="7"/>
      <c r="E1702" s="8"/>
      <c r="F1702" t="str">
        <f t="shared" si="79"/>
        <v/>
      </c>
      <c r="G1702" t="str">
        <f t="shared" si="80"/>
        <v/>
      </c>
    </row>
    <row r="1703" spans="2:7" x14ac:dyDescent="0.25">
      <c r="B1703" s="6"/>
      <c r="C1703" s="7"/>
      <c r="D1703" s="7"/>
      <c r="E1703" s="8"/>
      <c r="F1703" t="str">
        <f t="shared" si="79"/>
        <v/>
      </c>
      <c r="G1703" t="str">
        <f t="shared" si="80"/>
        <v/>
      </c>
    </row>
    <row r="1704" spans="2:7" x14ac:dyDescent="0.25">
      <c r="B1704" s="6"/>
      <c r="C1704" s="7"/>
      <c r="D1704" s="7"/>
      <c r="E1704" s="8"/>
      <c r="F1704" t="str">
        <f t="shared" si="79"/>
        <v/>
      </c>
      <c r="G1704" t="str">
        <f t="shared" si="80"/>
        <v/>
      </c>
    </row>
    <row r="1705" spans="2:7" x14ac:dyDescent="0.25">
      <c r="B1705" s="6"/>
      <c r="C1705" s="7"/>
      <c r="D1705" s="7"/>
      <c r="E1705" s="8"/>
      <c r="F1705" t="str">
        <f t="shared" si="79"/>
        <v/>
      </c>
      <c r="G1705" t="str">
        <f t="shared" si="80"/>
        <v/>
      </c>
    </row>
    <row r="1706" spans="2:7" x14ac:dyDescent="0.25">
      <c r="B1706" s="6"/>
      <c r="C1706" s="7"/>
      <c r="D1706" s="7"/>
      <c r="E1706" s="8"/>
      <c r="F1706" t="str">
        <f t="shared" si="79"/>
        <v/>
      </c>
      <c r="G1706" t="str">
        <f t="shared" si="80"/>
        <v/>
      </c>
    </row>
    <row r="1707" spans="2:7" x14ac:dyDescent="0.25">
      <c r="B1707" s="6"/>
      <c r="C1707" s="7"/>
      <c r="D1707" s="7"/>
      <c r="E1707" s="8"/>
      <c r="F1707" t="str">
        <f t="shared" si="79"/>
        <v/>
      </c>
      <c r="G1707" t="str">
        <f t="shared" si="80"/>
        <v/>
      </c>
    </row>
    <row r="1708" spans="2:7" x14ac:dyDescent="0.25">
      <c r="B1708" s="6"/>
      <c r="C1708" s="7"/>
      <c r="D1708" s="7"/>
      <c r="E1708" s="8"/>
      <c r="F1708" t="str">
        <f t="shared" si="79"/>
        <v/>
      </c>
      <c r="G1708" t="str">
        <f t="shared" si="80"/>
        <v/>
      </c>
    </row>
    <row r="1709" spans="2:7" x14ac:dyDescent="0.25">
      <c r="B1709" s="6"/>
      <c r="C1709" s="7"/>
      <c r="D1709" s="7"/>
      <c r="E1709" s="8"/>
      <c r="F1709" t="str">
        <f t="shared" si="79"/>
        <v/>
      </c>
      <c r="G1709" t="str">
        <f t="shared" si="80"/>
        <v/>
      </c>
    </row>
    <row r="1710" spans="2:7" x14ac:dyDescent="0.25">
      <c r="B1710" s="6"/>
      <c r="C1710" s="7"/>
      <c r="D1710" s="7"/>
      <c r="E1710" s="8"/>
      <c r="F1710" t="str">
        <f t="shared" si="79"/>
        <v/>
      </c>
      <c r="G1710" t="str">
        <f t="shared" si="80"/>
        <v/>
      </c>
    </row>
    <row r="1711" spans="2:7" x14ac:dyDescent="0.25">
      <c r="B1711" s="6"/>
      <c r="C1711" s="7"/>
      <c r="D1711" s="7"/>
      <c r="E1711" s="8"/>
      <c r="F1711" t="str">
        <f t="shared" si="79"/>
        <v/>
      </c>
      <c r="G1711" t="str">
        <f t="shared" si="80"/>
        <v/>
      </c>
    </row>
    <row r="1712" spans="2:7" x14ac:dyDescent="0.25">
      <c r="B1712" s="6"/>
      <c r="C1712" s="7"/>
      <c r="D1712" s="7"/>
      <c r="E1712" s="8"/>
      <c r="F1712" t="str">
        <f t="shared" si="79"/>
        <v/>
      </c>
      <c r="G1712" t="str">
        <f t="shared" si="80"/>
        <v/>
      </c>
    </row>
    <row r="1713" spans="2:7" x14ac:dyDescent="0.25">
      <c r="B1713" s="6"/>
      <c r="C1713" s="7"/>
      <c r="D1713" s="7"/>
      <c r="E1713" s="8"/>
      <c r="F1713" t="str">
        <f t="shared" si="79"/>
        <v/>
      </c>
      <c r="G1713" t="str">
        <f t="shared" si="80"/>
        <v/>
      </c>
    </row>
    <row r="1714" spans="2:7" x14ac:dyDescent="0.25">
      <c r="B1714" s="6"/>
      <c r="C1714" s="7"/>
      <c r="D1714" s="7"/>
      <c r="E1714" s="8"/>
      <c r="F1714" t="str">
        <f t="shared" si="79"/>
        <v/>
      </c>
      <c r="G1714" t="str">
        <f t="shared" si="80"/>
        <v/>
      </c>
    </row>
    <row r="1715" spans="2:7" x14ac:dyDescent="0.25">
      <c r="B1715" s="6"/>
      <c r="C1715" s="7"/>
      <c r="D1715" s="7"/>
      <c r="E1715" s="8"/>
      <c r="F1715" t="str">
        <f t="shared" si="79"/>
        <v/>
      </c>
      <c r="G1715" t="str">
        <f t="shared" si="80"/>
        <v/>
      </c>
    </row>
    <row r="1716" spans="2:7" x14ac:dyDescent="0.25">
      <c r="B1716" s="6"/>
      <c r="C1716" s="7"/>
      <c r="D1716" s="7"/>
      <c r="E1716" s="8"/>
      <c r="F1716" t="str">
        <f t="shared" si="79"/>
        <v/>
      </c>
      <c r="G1716" t="str">
        <f t="shared" si="80"/>
        <v/>
      </c>
    </row>
    <row r="1717" spans="2:7" x14ac:dyDescent="0.25">
      <c r="B1717" s="6"/>
      <c r="C1717" s="7"/>
      <c r="D1717" s="7"/>
      <c r="E1717" s="8"/>
      <c r="F1717" t="str">
        <f t="shared" si="79"/>
        <v/>
      </c>
      <c r="G1717" t="str">
        <f t="shared" si="80"/>
        <v/>
      </c>
    </row>
    <row r="1718" spans="2:7" x14ac:dyDescent="0.25">
      <c r="B1718" s="6"/>
      <c r="C1718" s="7"/>
      <c r="D1718" s="7"/>
      <c r="E1718" s="8"/>
      <c r="F1718" t="str">
        <f t="shared" si="79"/>
        <v/>
      </c>
      <c r="G1718" t="str">
        <f t="shared" si="80"/>
        <v/>
      </c>
    </row>
    <row r="1719" spans="2:7" x14ac:dyDescent="0.25">
      <c r="B1719" s="6"/>
      <c r="C1719" s="7"/>
      <c r="D1719" s="7"/>
      <c r="E1719" s="8"/>
      <c r="F1719" t="str">
        <f t="shared" si="79"/>
        <v/>
      </c>
      <c r="G1719" t="str">
        <f t="shared" si="80"/>
        <v/>
      </c>
    </row>
    <row r="1720" spans="2:7" x14ac:dyDescent="0.25">
      <c r="B1720" s="6"/>
      <c r="C1720" s="7"/>
      <c r="D1720" s="7"/>
      <c r="E1720" s="8"/>
      <c r="F1720" t="str">
        <f t="shared" si="79"/>
        <v/>
      </c>
      <c r="G1720" t="str">
        <f t="shared" si="80"/>
        <v/>
      </c>
    </row>
    <row r="1721" spans="2:7" x14ac:dyDescent="0.25">
      <c r="B1721" s="6"/>
      <c r="C1721" s="7"/>
      <c r="D1721" s="7"/>
      <c r="E1721" s="8"/>
      <c r="F1721" t="str">
        <f t="shared" si="79"/>
        <v/>
      </c>
      <c r="G1721" t="str">
        <f t="shared" si="80"/>
        <v/>
      </c>
    </row>
    <row r="1722" spans="2:7" x14ac:dyDescent="0.25">
      <c r="B1722" s="6"/>
      <c r="C1722" s="7"/>
      <c r="D1722" s="7"/>
      <c r="E1722" s="8"/>
      <c r="F1722" t="str">
        <f t="shared" si="79"/>
        <v/>
      </c>
      <c r="G1722" t="str">
        <f t="shared" si="80"/>
        <v/>
      </c>
    </row>
    <row r="1723" spans="2:7" x14ac:dyDescent="0.25">
      <c r="B1723" s="6"/>
      <c r="C1723" s="7"/>
      <c r="D1723" s="7"/>
      <c r="E1723" s="8"/>
      <c r="F1723" t="str">
        <f t="shared" si="79"/>
        <v/>
      </c>
      <c r="G1723" t="str">
        <f t="shared" si="80"/>
        <v/>
      </c>
    </row>
    <row r="1724" spans="2:7" x14ac:dyDescent="0.25">
      <c r="B1724" s="6"/>
      <c r="C1724" s="7"/>
      <c r="D1724" s="7"/>
      <c r="E1724" s="8"/>
      <c r="F1724" t="str">
        <f t="shared" si="79"/>
        <v/>
      </c>
      <c r="G1724" t="str">
        <f t="shared" si="80"/>
        <v/>
      </c>
    </row>
    <row r="1725" spans="2:7" x14ac:dyDescent="0.25">
      <c r="B1725" s="6"/>
      <c r="C1725" s="7"/>
      <c r="D1725" s="7"/>
      <c r="E1725" s="8"/>
      <c r="F1725" t="str">
        <f t="shared" si="79"/>
        <v/>
      </c>
      <c r="G1725" t="str">
        <f t="shared" si="80"/>
        <v/>
      </c>
    </row>
    <row r="1726" spans="2:7" x14ac:dyDescent="0.25">
      <c r="B1726" s="6"/>
      <c r="C1726" s="7"/>
      <c r="D1726" s="7"/>
      <c r="E1726" s="8"/>
      <c r="F1726" t="str">
        <f t="shared" si="79"/>
        <v/>
      </c>
      <c r="G1726" t="str">
        <f t="shared" si="80"/>
        <v/>
      </c>
    </row>
    <row r="1727" spans="2:7" x14ac:dyDescent="0.25">
      <c r="B1727" s="6"/>
      <c r="C1727" s="7"/>
      <c r="D1727" s="7"/>
      <c r="E1727" s="8"/>
      <c r="F1727" t="str">
        <f t="shared" si="79"/>
        <v/>
      </c>
      <c r="G1727" t="str">
        <f t="shared" si="80"/>
        <v/>
      </c>
    </row>
    <row r="1728" spans="2:7" x14ac:dyDescent="0.25">
      <c r="B1728" s="6"/>
      <c r="C1728" s="7"/>
      <c r="D1728" s="7"/>
      <c r="E1728" s="8"/>
      <c r="F1728" t="str">
        <f t="shared" si="79"/>
        <v/>
      </c>
      <c r="G1728" t="str">
        <f t="shared" si="80"/>
        <v/>
      </c>
    </row>
    <row r="1729" spans="2:7" x14ac:dyDescent="0.25">
      <c r="B1729" s="6"/>
      <c r="C1729" s="7"/>
      <c r="D1729" s="7"/>
      <c r="E1729" s="8"/>
      <c r="F1729" t="str">
        <f t="shared" si="79"/>
        <v/>
      </c>
      <c r="G1729" t="str">
        <f t="shared" si="80"/>
        <v/>
      </c>
    </row>
    <row r="1730" spans="2:7" x14ac:dyDescent="0.25">
      <c r="B1730" s="6"/>
      <c r="C1730" s="7"/>
      <c r="D1730" s="7"/>
      <c r="E1730" s="8"/>
      <c r="F1730" t="str">
        <f t="shared" si="79"/>
        <v/>
      </c>
      <c r="G1730" t="str">
        <f t="shared" si="80"/>
        <v/>
      </c>
    </row>
    <row r="1731" spans="2:7" x14ac:dyDescent="0.25">
      <c r="B1731" s="6"/>
      <c r="C1731" s="7"/>
      <c r="D1731" s="7"/>
      <c r="E1731" s="8"/>
      <c r="F1731" t="str">
        <f t="shared" si="79"/>
        <v/>
      </c>
      <c r="G1731" t="str">
        <f t="shared" si="80"/>
        <v/>
      </c>
    </row>
    <row r="1732" spans="2:7" x14ac:dyDescent="0.25">
      <c r="B1732" s="6"/>
      <c r="C1732" s="7"/>
      <c r="D1732" s="7"/>
      <c r="E1732" s="8"/>
      <c r="F1732" t="str">
        <f t="shared" ref="F1732:F1795" si="81">IF(B1732="","",LOG10(D1732))</f>
        <v/>
      </c>
      <c r="G1732" t="str">
        <f t="shared" ref="G1732:G1795" si="82">IF(E1732="", "",0.434*E1732/D1732)</f>
        <v/>
      </c>
    </row>
    <row r="1733" spans="2:7" x14ac:dyDescent="0.25">
      <c r="B1733" s="6"/>
      <c r="C1733" s="7"/>
      <c r="D1733" s="7"/>
      <c r="E1733" s="8"/>
      <c r="F1733" t="str">
        <f t="shared" si="81"/>
        <v/>
      </c>
      <c r="G1733" t="str">
        <f t="shared" si="82"/>
        <v/>
      </c>
    </row>
    <row r="1734" spans="2:7" x14ac:dyDescent="0.25">
      <c r="B1734" s="6"/>
      <c r="C1734" s="7"/>
      <c r="D1734" s="7"/>
      <c r="E1734" s="8"/>
      <c r="F1734" t="str">
        <f t="shared" si="81"/>
        <v/>
      </c>
      <c r="G1734" t="str">
        <f t="shared" si="82"/>
        <v/>
      </c>
    </row>
    <row r="1735" spans="2:7" x14ac:dyDescent="0.25">
      <c r="B1735" s="6"/>
      <c r="C1735" s="7"/>
      <c r="D1735" s="7"/>
      <c r="E1735" s="8"/>
      <c r="F1735" t="str">
        <f t="shared" si="81"/>
        <v/>
      </c>
      <c r="G1735" t="str">
        <f t="shared" si="82"/>
        <v/>
      </c>
    </row>
    <row r="1736" spans="2:7" x14ac:dyDescent="0.25">
      <c r="B1736" s="6"/>
      <c r="C1736" s="7"/>
      <c r="D1736" s="7"/>
      <c r="E1736" s="8"/>
      <c r="F1736" t="str">
        <f t="shared" si="81"/>
        <v/>
      </c>
      <c r="G1736" t="str">
        <f t="shared" si="82"/>
        <v/>
      </c>
    </row>
    <row r="1737" spans="2:7" x14ac:dyDescent="0.25">
      <c r="B1737" s="6"/>
      <c r="C1737" s="7"/>
      <c r="D1737" s="7"/>
      <c r="E1737" s="8"/>
      <c r="F1737" t="str">
        <f t="shared" si="81"/>
        <v/>
      </c>
      <c r="G1737" t="str">
        <f t="shared" si="82"/>
        <v/>
      </c>
    </row>
    <row r="1738" spans="2:7" x14ac:dyDescent="0.25">
      <c r="B1738" s="6"/>
      <c r="C1738" s="7"/>
      <c r="D1738" s="7"/>
      <c r="E1738" s="8"/>
      <c r="F1738" t="str">
        <f t="shared" si="81"/>
        <v/>
      </c>
      <c r="G1738" t="str">
        <f t="shared" si="82"/>
        <v/>
      </c>
    </row>
    <row r="1739" spans="2:7" x14ac:dyDescent="0.25">
      <c r="B1739" s="6"/>
      <c r="C1739" s="7"/>
      <c r="D1739" s="7"/>
      <c r="E1739" s="8"/>
      <c r="F1739" t="str">
        <f t="shared" si="81"/>
        <v/>
      </c>
      <c r="G1739" t="str">
        <f t="shared" si="82"/>
        <v/>
      </c>
    </row>
    <row r="1740" spans="2:7" x14ac:dyDescent="0.25">
      <c r="B1740" s="6"/>
      <c r="C1740" s="7"/>
      <c r="D1740" s="7"/>
      <c r="E1740" s="8"/>
      <c r="F1740" t="str">
        <f t="shared" si="81"/>
        <v/>
      </c>
      <c r="G1740" t="str">
        <f t="shared" si="82"/>
        <v/>
      </c>
    </row>
    <row r="1741" spans="2:7" x14ac:dyDescent="0.25">
      <c r="B1741" s="6"/>
      <c r="C1741" s="7"/>
      <c r="D1741" s="7"/>
      <c r="E1741" s="8"/>
      <c r="F1741" t="str">
        <f t="shared" si="81"/>
        <v/>
      </c>
      <c r="G1741" t="str">
        <f t="shared" si="82"/>
        <v/>
      </c>
    </row>
    <row r="1742" spans="2:7" x14ac:dyDescent="0.25">
      <c r="B1742" s="6"/>
      <c r="C1742" s="7"/>
      <c r="D1742" s="7"/>
      <c r="E1742" s="8"/>
      <c r="F1742" t="str">
        <f t="shared" si="81"/>
        <v/>
      </c>
      <c r="G1742" t="str">
        <f t="shared" si="82"/>
        <v/>
      </c>
    </row>
    <row r="1743" spans="2:7" x14ac:dyDescent="0.25">
      <c r="B1743" s="6"/>
      <c r="C1743" s="7"/>
      <c r="D1743" s="7"/>
      <c r="E1743" s="8"/>
      <c r="F1743" t="str">
        <f t="shared" si="81"/>
        <v/>
      </c>
      <c r="G1743" t="str">
        <f t="shared" si="82"/>
        <v/>
      </c>
    </row>
    <row r="1744" spans="2:7" x14ac:dyDescent="0.25">
      <c r="B1744" s="6"/>
      <c r="C1744" s="7"/>
      <c r="D1744" s="7"/>
      <c r="E1744" s="8"/>
      <c r="F1744" t="str">
        <f t="shared" si="81"/>
        <v/>
      </c>
      <c r="G1744" t="str">
        <f t="shared" si="82"/>
        <v/>
      </c>
    </row>
    <row r="1745" spans="2:7" x14ac:dyDescent="0.25">
      <c r="B1745" s="6"/>
      <c r="C1745" s="7"/>
      <c r="D1745" s="7"/>
      <c r="E1745" s="8"/>
      <c r="F1745" t="str">
        <f t="shared" si="81"/>
        <v/>
      </c>
      <c r="G1745" t="str">
        <f t="shared" si="82"/>
        <v/>
      </c>
    </row>
    <row r="1746" spans="2:7" x14ac:dyDescent="0.25">
      <c r="B1746" s="6"/>
      <c r="C1746" s="7"/>
      <c r="D1746" s="7"/>
      <c r="E1746" s="8"/>
      <c r="F1746" t="str">
        <f t="shared" si="81"/>
        <v/>
      </c>
      <c r="G1746" t="str">
        <f t="shared" si="82"/>
        <v/>
      </c>
    </row>
    <row r="1747" spans="2:7" x14ac:dyDescent="0.25">
      <c r="B1747" s="6"/>
      <c r="C1747" s="7"/>
      <c r="D1747" s="7"/>
      <c r="E1747" s="8"/>
      <c r="F1747" t="str">
        <f t="shared" si="81"/>
        <v/>
      </c>
      <c r="G1747" t="str">
        <f t="shared" si="82"/>
        <v/>
      </c>
    </row>
    <row r="1748" spans="2:7" x14ac:dyDescent="0.25">
      <c r="B1748" s="6"/>
      <c r="C1748" s="7"/>
      <c r="D1748" s="7"/>
      <c r="E1748" s="8"/>
      <c r="F1748" t="str">
        <f t="shared" si="81"/>
        <v/>
      </c>
      <c r="G1748" t="str">
        <f t="shared" si="82"/>
        <v/>
      </c>
    </row>
    <row r="1749" spans="2:7" x14ac:dyDescent="0.25">
      <c r="B1749" s="6"/>
      <c r="C1749" s="7"/>
      <c r="D1749" s="7"/>
      <c r="E1749" s="8"/>
      <c r="F1749" t="str">
        <f t="shared" si="81"/>
        <v/>
      </c>
      <c r="G1749" t="str">
        <f t="shared" si="82"/>
        <v/>
      </c>
    </row>
    <row r="1750" spans="2:7" x14ac:dyDescent="0.25">
      <c r="B1750" s="6"/>
      <c r="C1750" s="7"/>
      <c r="D1750" s="7"/>
      <c r="E1750" s="8"/>
      <c r="F1750" t="str">
        <f t="shared" si="81"/>
        <v/>
      </c>
      <c r="G1750" t="str">
        <f t="shared" si="82"/>
        <v/>
      </c>
    </row>
    <row r="1751" spans="2:7" x14ac:dyDescent="0.25">
      <c r="B1751" s="6"/>
      <c r="C1751" s="7"/>
      <c r="D1751" s="7"/>
      <c r="E1751" s="8"/>
      <c r="F1751" t="str">
        <f t="shared" si="81"/>
        <v/>
      </c>
      <c r="G1751" t="str">
        <f t="shared" si="82"/>
        <v/>
      </c>
    </row>
    <row r="1752" spans="2:7" x14ac:dyDescent="0.25">
      <c r="B1752" s="6"/>
      <c r="C1752" s="7"/>
      <c r="D1752" s="7"/>
      <c r="E1752" s="8"/>
      <c r="F1752" t="str">
        <f t="shared" si="81"/>
        <v/>
      </c>
      <c r="G1752" t="str">
        <f t="shared" si="82"/>
        <v/>
      </c>
    </row>
    <row r="1753" spans="2:7" x14ac:dyDescent="0.25">
      <c r="B1753" s="6"/>
      <c r="C1753" s="7"/>
      <c r="D1753" s="7"/>
      <c r="E1753" s="8"/>
      <c r="F1753" t="str">
        <f t="shared" si="81"/>
        <v/>
      </c>
      <c r="G1753" t="str">
        <f t="shared" si="82"/>
        <v/>
      </c>
    </row>
    <row r="1754" spans="2:7" x14ac:dyDescent="0.25">
      <c r="B1754" s="6"/>
      <c r="C1754" s="7"/>
      <c r="D1754" s="7"/>
      <c r="E1754" s="8"/>
      <c r="F1754" t="str">
        <f t="shared" si="81"/>
        <v/>
      </c>
      <c r="G1754" t="str">
        <f t="shared" si="82"/>
        <v/>
      </c>
    </row>
    <row r="1755" spans="2:7" x14ac:dyDescent="0.25">
      <c r="B1755" s="6"/>
      <c r="C1755" s="7"/>
      <c r="D1755" s="7"/>
      <c r="E1755" s="8"/>
      <c r="F1755" t="str">
        <f t="shared" si="81"/>
        <v/>
      </c>
      <c r="G1755" t="str">
        <f t="shared" si="82"/>
        <v/>
      </c>
    </row>
    <row r="1756" spans="2:7" x14ac:dyDescent="0.25">
      <c r="B1756" s="6"/>
      <c r="C1756" s="7"/>
      <c r="D1756" s="7"/>
      <c r="E1756" s="8"/>
      <c r="F1756" t="str">
        <f t="shared" si="81"/>
        <v/>
      </c>
      <c r="G1756" t="str">
        <f t="shared" si="82"/>
        <v/>
      </c>
    </row>
    <row r="1757" spans="2:7" x14ac:dyDescent="0.25">
      <c r="B1757" s="6"/>
      <c r="C1757" s="7"/>
      <c r="D1757" s="7"/>
      <c r="E1757" s="8"/>
      <c r="F1757" t="str">
        <f t="shared" si="81"/>
        <v/>
      </c>
      <c r="G1757" t="str">
        <f t="shared" si="82"/>
        <v/>
      </c>
    </row>
    <row r="1758" spans="2:7" x14ac:dyDescent="0.25">
      <c r="B1758" s="6"/>
      <c r="C1758" s="7"/>
      <c r="D1758" s="7"/>
      <c r="E1758" s="8"/>
      <c r="F1758" t="str">
        <f t="shared" si="81"/>
        <v/>
      </c>
      <c r="G1758" t="str">
        <f t="shared" si="82"/>
        <v/>
      </c>
    </row>
    <row r="1759" spans="2:7" x14ac:dyDescent="0.25">
      <c r="B1759" s="6"/>
      <c r="C1759" s="7"/>
      <c r="D1759" s="7"/>
      <c r="E1759" s="8"/>
      <c r="F1759" t="str">
        <f t="shared" si="81"/>
        <v/>
      </c>
      <c r="G1759" t="str">
        <f t="shared" si="82"/>
        <v/>
      </c>
    </row>
    <row r="1760" spans="2:7" x14ac:dyDescent="0.25">
      <c r="B1760" s="6"/>
      <c r="C1760" s="7"/>
      <c r="D1760" s="7"/>
      <c r="E1760" s="8"/>
      <c r="F1760" t="str">
        <f t="shared" si="81"/>
        <v/>
      </c>
      <c r="G1760" t="str">
        <f t="shared" si="82"/>
        <v/>
      </c>
    </row>
    <row r="1761" spans="2:7" x14ac:dyDescent="0.25">
      <c r="B1761" s="6"/>
      <c r="C1761" s="7"/>
      <c r="D1761" s="7"/>
      <c r="E1761" s="8"/>
      <c r="F1761" t="str">
        <f t="shared" si="81"/>
        <v/>
      </c>
      <c r="G1761" t="str">
        <f t="shared" si="82"/>
        <v/>
      </c>
    </row>
    <row r="1762" spans="2:7" x14ac:dyDescent="0.25">
      <c r="B1762" s="6"/>
      <c r="C1762" s="7"/>
      <c r="D1762" s="7"/>
      <c r="E1762" s="8"/>
      <c r="F1762" t="str">
        <f t="shared" si="81"/>
        <v/>
      </c>
      <c r="G1762" t="str">
        <f t="shared" si="82"/>
        <v/>
      </c>
    </row>
    <row r="1763" spans="2:7" x14ac:dyDescent="0.25">
      <c r="B1763" s="6"/>
      <c r="C1763" s="7"/>
      <c r="D1763" s="7"/>
      <c r="E1763" s="8"/>
      <c r="F1763" t="str">
        <f t="shared" si="81"/>
        <v/>
      </c>
      <c r="G1763" t="str">
        <f t="shared" si="82"/>
        <v/>
      </c>
    </row>
    <row r="1764" spans="2:7" x14ac:dyDescent="0.25">
      <c r="B1764" s="6"/>
      <c r="C1764" s="7"/>
      <c r="D1764" s="7"/>
      <c r="E1764" s="8"/>
      <c r="F1764" t="str">
        <f t="shared" si="81"/>
        <v/>
      </c>
      <c r="G1764" t="str">
        <f t="shared" si="82"/>
        <v/>
      </c>
    </row>
    <row r="1765" spans="2:7" x14ac:dyDescent="0.25">
      <c r="B1765" s="6"/>
      <c r="C1765" s="7"/>
      <c r="D1765" s="7"/>
      <c r="E1765" s="8"/>
      <c r="F1765" t="str">
        <f t="shared" si="81"/>
        <v/>
      </c>
      <c r="G1765" t="str">
        <f t="shared" si="82"/>
        <v/>
      </c>
    </row>
    <row r="1766" spans="2:7" x14ac:dyDescent="0.25">
      <c r="B1766" s="6"/>
      <c r="C1766" s="7"/>
      <c r="D1766" s="7"/>
      <c r="E1766" s="8"/>
      <c r="F1766" t="str">
        <f t="shared" si="81"/>
        <v/>
      </c>
      <c r="G1766" t="str">
        <f t="shared" si="82"/>
        <v/>
      </c>
    </row>
    <row r="1767" spans="2:7" x14ac:dyDescent="0.25">
      <c r="B1767" s="6"/>
      <c r="C1767" s="7"/>
      <c r="D1767" s="7"/>
      <c r="E1767" s="8"/>
      <c r="F1767" t="str">
        <f t="shared" si="81"/>
        <v/>
      </c>
      <c r="G1767" t="str">
        <f t="shared" si="82"/>
        <v/>
      </c>
    </row>
    <row r="1768" spans="2:7" x14ac:dyDescent="0.25">
      <c r="B1768" s="6"/>
      <c r="C1768" s="7"/>
      <c r="D1768" s="7"/>
      <c r="E1768" s="8"/>
      <c r="F1768" t="str">
        <f t="shared" si="81"/>
        <v/>
      </c>
      <c r="G1768" t="str">
        <f t="shared" si="82"/>
        <v/>
      </c>
    </row>
    <row r="1769" spans="2:7" x14ac:dyDescent="0.25">
      <c r="B1769" s="6"/>
      <c r="C1769" s="7"/>
      <c r="D1769" s="7"/>
      <c r="E1769" s="8"/>
      <c r="F1769" t="str">
        <f t="shared" si="81"/>
        <v/>
      </c>
      <c r="G1769" t="str">
        <f t="shared" si="82"/>
        <v/>
      </c>
    </row>
    <row r="1770" spans="2:7" x14ac:dyDescent="0.25">
      <c r="B1770" s="6"/>
      <c r="C1770" s="7"/>
      <c r="D1770" s="7"/>
      <c r="E1770" s="8"/>
      <c r="F1770" t="str">
        <f t="shared" si="81"/>
        <v/>
      </c>
      <c r="G1770" t="str">
        <f t="shared" si="82"/>
        <v/>
      </c>
    </row>
    <row r="1771" spans="2:7" x14ac:dyDescent="0.25">
      <c r="B1771" s="6"/>
      <c r="C1771" s="7"/>
      <c r="D1771" s="7"/>
      <c r="E1771" s="8"/>
      <c r="F1771" t="str">
        <f t="shared" si="81"/>
        <v/>
      </c>
      <c r="G1771" t="str">
        <f t="shared" si="82"/>
        <v/>
      </c>
    </row>
    <row r="1772" spans="2:7" x14ac:dyDescent="0.25">
      <c r="B1772" s="6"/>
      <c r="C1772" s="7"/>
      <c r="D1772" s="7"/>
      <c r="E1772" s="8"/>
      <c r="F1772" t="str">
        <f t="shared" si="81"/>
        <v/>
      </c>
      <c r="G1772" t="str">
        <f t="shared" si="82"/>
        <v/>
      </c>
    </row>
    <row r="1773" spans="2:7" x14ac:dyDescent="0.25">
      <c r="B1773" s="6"/>
      <c r="C1773" s="7"/>
      <c r="D1773" s="7"/>
      <c r="E1773" s="8"/>
      <c r="F1773" t="str">
        <f t="shared" si="81"/>
        <v/>
      </c>
      <c r="G1773" t="str">
        <f t="shared" si="82"/>
        <v/>
      </c>
    </row>
    <row r="1774" spans="2:7" x14ac:dyDescent="0.25">
      <c r="B1774" s="6"/>
      <c r="C1774" s="7"/>
      <c r="D1774" s="7"/>
      <c r="E1774" s="8"/>
      <c r="F1774" t="str">
        <f t="shared" si="81"/>
        <v/>
      </c>
      <c r="G1774" t="str">
        <f t="shared" si="82"/>
        <v/>
      </c>
    </row>
    <row r="1775" spans="2:7" x14ac:dyDescent="0.25">
      <c r="B1775" s="6"/>
      <c r="C1775" s="7"/>
      <c r="D1775" s="7"/>
      <c r="E1775" s="8"/>
      <c r="F1775" t="str">
        <f t="shared" si="81"/>
        <v/>
      </c>
      <c r="G1775" t="str">
        <f t="shared" si="82"/>
        <v/>
      </c>
    </row>
    <row r="1776" spans="2:7" x14ac:dyDescent="0.25">
      <c r="B1776" s="6"/>
      <c r="C1776" s="7"/>
      <c r="D1776" s="7"/>
      <c r="E1776" s="8"/>
      <c r="F1776" t="str">
        <f t="shared" si="81"/>
        <v/>
      </c>
      <c r="G1776" t="str">
        <f t="shared" si="82"/>
        <v/>
      </c>
    </row>
    <row r="1777" spans="2:7" x14ac:dyDescent="0.25">
      <c r="B1777" s="6"/>
      <c r="C1777" s="7"/>
      <c r="D1777" s="7"/>
      <c r="E1777" s="8"/>
      <c r="F1777" t="str">
        <f t="shared" si="81"/>
        <v/>
      </c>
      <c r="G1777" t="str">
        <f t="shared" si="82"/>
        <v/>
      </c>
    </row>
    <row r="1778" spans="2:7" x14ac:dyDescent="0.25">
      <c r="B1778" s="6"/>
      <c r="C1778" s="7"/>
      <c r="D1778" s="7"/>
      <c r="E1778" s="8"/>
      <c r="F1778" t="str">
        <f t="shared" si="81"/>
        <v/>
      </c>
      <c r="G1778" t="str">
        <f t="shared" si="82"/>
        <v/>
      </c>
    </row>
    <row r="1779" spans="2:7" x14ac:dyDescent="0.25">
      <c r="B1779" s="6"/>
      <c r="C1779" s="7"/>
      <c r="D1779" s="7"/>
      <c r="E1779" s="8"/>
      <c r="F1779" t="str">
        <f t="shared" si="81"/>
        <v/>
      </c>
      <c r="G1779" t="str">
        <f t="shared" si="82"/>
        <v/>
      </c>
    </row>
    <row r="1780" spans="2:7" x14ac:dyDescent="0.25">
      <c r="B1780" s="6"/>
      <c r="C1780" s="7"/>
      <c r="D1780" s="7"/>
      <c r="E1780" s="8"/>
      <c r="F1780" t="str">
        <f t="shared" si="81"/>
        <v/>
      </c>
      <c r="G1780" t="str">
        <f t="shared" si="82"/>
        <v/>
      </c>
    </row>
    <row r="1781" spans="2:7" x14ac:dyDescent="0.25">
      <c r="B1781" s="6"/>
      <c r="C1781" s="7"/>
      <c r="D1781" s="7"/>
      <c r="E1781" s="8"/>
      <c r="F1781" t="str">
        <f t="shared" si="81"/>
        <v/>
      </c>
      <c r="G1781" t="str">
        <f t="shared" si="82"/>
        <v/>
      </c>
    </row>
    <row r="1782" spans="2:7" x14ac:dyDescent="0.25">
      <c r="B1782" s="6"/>
      <c r="C1782" s="7"/>
      <c r="D1782" s="7"/>
      <c r="E1782" s="8"/>
      <c r="F1782" t="str">
        <f t="shared" si="81"/>
        <v/>
      </c>
      <c r="G1782" t="str">
        <f t="shared" si="82"/>
        <v/>
      </c>
    </row>
    <row r="1783" spans="2:7" x14ac:dyDescent="0.25">
      <c r="B1783" s="6"/>
      <c r="C1783" s="7"/>
      <c r="D1783" s="7"/>
      <c r="E1783" s="8"/>
      <c r="F1783" t="str">
        <f t="shared" si="81"/>
        <v/>
      </c>
      <c r="G1783" t="str">
        <f t="shared" si="82"/>
        <v/>
      </c>
    </row>
    <row r="1784" spans="2:7" x14ac:dyDescent="0.25">
      <c r="B1784" s="6"/>
      <c r="C1784" s="7"/>
      <c r="D1784" s="7"/>
      <c r="E1784" s="8"/>
      <c r="F1784" t="str">
        <f t="shared" si="81"/>
        <v/>
      </c>
      <c r="G1784" t="str">
        <f t="shared" si="82"/>
        <v/>
      </c>
    </row>
    <row r="1785" spans="2:7" x14ac:dyDescent="0.25">
      <c r="B1785" s="6"/>
      <c r="C1785" s="7"/>
      <c r="D1785" s="7"/>
      <c r="E1785" s="8"/>
      <c r="F1785" t="str">
        <f t="shared" si="81"/>
        <v/>
      </c>
      <c r="G1785" t="str">
        <f t="shared" si="82"/>
        <v/>
      </c>
    </row>
    <row r="1786" spans="2:7" x14ac:dyDescent="0.25">
      <c r="B1786" s="6"/>
      <c r="C1786" s="7"/>
      <c r="D1786" s="7"/>
      <c r="E1786" s="8"/>
      <c r="F1786" t="str">
        <f t="shared" si="81"/>
        <v/>
      </c>
      <c r="G1786" t="str">
        <f t="shared" si="82"/>
        <v/>
      </c>
    </row>
    <row r="1787" spans="2:7" x14ac:dyDescent="0.25">
      <c r="B1787" s="6"/>
      <c r="C1787" s="7"/>
      <c r="D1787" s="7"/>
      <c r="E1787" s="8"/>
      <c r="F1787" t="str">
        <f t="shared" si="81"/>
        <v/>
      </c>
      <c r="G1787" t="str">
        <f t="shared" si="82"/>
        <v/>
      </c>
    </row>
    <row r="1788" spans="2:7" x14ac:dyDescent="0.25">
      <c r="B1788" s="6"/>
      <c r="C1788" s="7"/>
      <c r="D1788" s="7"/>
      <c r="E1788" s="8"/>
      <c r="F1788" t="str">
        <f t="shared" si="81"/>
        <v/>
      </c>
      <c r="G1788" t="str">
        <f t="shared" si="82"/>
        <v/>
      </c>
    </row>
    <row r="1789" spans="2:7" x14ac:dyDescent="0.25">
      <c r="B1789" s="6"/>
      <c r="C1789" s="7"/>
      <c r="D1789" s="7"/>
      <c r="E1789" s="8"/>
      <c r="F1789" t="str">
        <f t="shared" si="81"/>
        <v/>
      </c>
      <c r="G1789" t="str">
        <f t="shared" si="82"/>
        <v/>
      </c>
    </row>
    <row r="1790" spans="2:7" x14ac:dyDescent="0.25">
      <c r="B1790" s="6"/>
      <c r="C1790" s="7"/>
      <c r="D1790" s="7"/>
      <c r="E1790" s="8"/>
      <c r="F1790" t="str">
        <f t="shared" si="81"/>
        <v/>
      </c>
      <c r="G1790" t="str">
        <f t="shared" si="82"/>
        <v/>
      </c>
    </row>
    <row r="1791" spans="2:7" x14ac:dyDescent="0.25">
      <c r="B1791" s="6"/>
      <c r="C1791" s="7"/>
      <c r="D1791" s="7"/>
      <c r="E1791" s="8"/>
      <c r="F1791" t="str">
        <f t="shared" si="81"/>
        <v/>
      </c>
      <c r="G1791" t="str">
        <f t="shared" si="82"/>
        <v/>
      </c>
    </row>
    <row r="1792" spans="2:7" x14ac:dyDescent="0.25">
      <c r="B1792" s="6"/>
      <c r="C1792" s="7"/>
      <c r="D1792" s="7"/>
      <c r="E1792" s="8"/>
      <c r="F1792" t="str">
        <f t="shared" si="81"/>
        <v/>
      </c>
      <c r="G1792" t="str">
        <f t="shared" si="82"/>
        <v/>
      </c>
    </row>
    <row r="1793" spans="2:7" x14ac:dyDescent="0.25">
      <c r="B1793" s="6"/>
      <c r="C1793" s="7"/>
      <c r="D1793" s="7"/>
      <c r="E1793" s="8"/>
      <c r="F1793" t="str">
        <f t="shared" si="81"/>
        <v/>
      </c>
      <c r="G1793" t="str">
        <f t="shared" si="82"/>
        <v/>
      </c>
    </row>
    <row r="1794" spans="2:7" x14ac:dyDescent="0.25">
      <c r="B1794" s="6"/>
      <c r="C1794" s="7"/>
      <c r="D1794" s="7"/>
      <c r="E1794" s="8"/>
      <c r="F1794" t="str">
        <f t="shared" si="81"/>
        <v/>
      </c>
      <c r="G1794" t="str">
        <f t="shared" si="82"/>
        <v/>
      </c>
    </row>
    <row r="1795" spans="2:7" x14ac:dyDescent="0.25">
      <c r="B1795" s="6"/>
      <c r="C1795" s="7"/>
      <c r="D1795" s="7"/>
      <c r="E1795" s="8"/>
      <c r="F1795" t="str">
        <f t="shared" si="81"/>
        <v/>
      </c>
      <c r="G1795" t="str">
        <f t="shared" si="82"/>
        <v/>
      </c>
    </row>
    <row r="1796" spans="2:7" x14ac:dyDescent="0.25">
      <c r="B1796" s="6"/>
      <c r="C1796" s="7"/>
      <c r="D1796" s="7"/>
      <c r="E1796" s="8"/>
      <c r="F1796" t="str">
        <f t="shared" ref="F1796:F1859" si="83">IF(B1796="","",LOG10(D1796))</f>
        <v/>
      </c>
      <c r="G1796" t="str">
        <f t="shared" ref="G1796:G1859" si="84">IF(E1796="", "",0.434*E1796/D1796)</f>
        <v/>
      </c>
    </row>
    <row r="1797" spans="2:7" x14ac:dyDescent="0.25">
      <c r="B1797" s="6"/>
      <c r="C1797" s="7"/>
      <c r="D1797" s="7"/>
      <c r="E1797" s="8"/>
      <c r="F1797" t="str">
        <f t="shared" si="83"/>
        <v/>
      </c>
      <c r="G1797" t="str">
        <f t="shared" si="84"/>
        <v/>
      </c>
    </row>
    <row r="1798" spans="2:7" x14ac:dyDescent="0.25">
      <c r="B1798" s="6"/>
      <c r="C1798" s="7"/>
      <c r="D1798" s="7"/>
      <c r="E1798" s="8"/>
      <c r="F1798" t="str">
        <f t="shared" si="83"/>
        <v/>
      </c>
      <c r="G1798" t="str">
        <f t="shared" si="84"/>
        <v/>
      </c>
    </row>
    <row r="1799" spans="2:7" x14ac:dyDescent="0.25">
      <c r="B1799" s="6"/>
      <c r="C1799" s="7"/>
      <c r="D1799" s="7"/>
      <c r="E1799" s="8"/>
      <c r="F1799" t="str">
        <f t="shared" si="83"/>
        <v/>
      </c>
      <c r="G1799" t="str">
        <f t="shared" si="84"/>
        <v/>
      </c>
    </row>
    <row r="1800" spans="2:7" x14ac:dyDescent="0.25">
      <c r="B1800" s="6"/>
      <c r="C1800" s="7"/>
      <c r="D1800" s="7"/>
      <c r="E1800" s="8"/>
      <c r="F1800" t="str">
        <f t="shared" si="83"/>
        <v/>
      </c>
      <c r="G1800" t="str">
        <f t="shared" si="84"/>
        <v/>
      </c>
    </row>
    <row r="1801" spans="2:7" x14ac:dyDescent="0.25">
      <c r="B1801" s="6"/>
      <c r="C1801" s="7"/>
      <c r="D1801" s="7"/>
      <c r="E1801" s="8"/>
      <c r="F1801" t="str">
        <f t="shared" si="83"/>
        <v/>
      </c>
      <c r="G1801" t="str">
        <f t="shared" si="84"/>
        <v/>
      </c>
    </row>
    <row r="1802" spans="2:7" x14ac:dyDescent="0.25">
      <c r="B1802" s="6"/>
      <c r="C1802" s="7"/>
      <c r="D1802" s="7"/>
      <c r="E1802" s="8"/>
      <c r="F1802" t="str">
        <f t="shared" si="83"/>
        <v/>
      </c>
      <c r="G1802" t="str">
        <f t="shared" si="84"/>
        <v/>
      </c>
    </row>
    <row r="1803" spans="2:7" x14ac:dyDescent="0.25">
      <c r="B1803" s="6"/>
      <c r="C1803" s="7"/>
      <c r="D1803" s="7"/>
      <c r="E1803" s="8"/>
      <c r="F1803" t="str">
        <f t="shared" si="83"/>
        <v/>
      </c>
      <c r="G1803" t="str">
        <f t="shared" si="84"/>
        <v/>
      </c>
    </row>
    <row r="1804" spans="2:7" x14ac:dyDescent="0.25">
      <c r="B1804" s="6"/>
      <c r="C1804" s="7"/>
      <c r="D1804" s="7"/>
      <c r="E1804" s="8"/>
      <c r="F1804" t="str">
        <f t="shared" si="83"/>
        <v/>
      </c>
      <c r="G1804" t="str">
        <f t="shared" si="84"/>
        <v/>
      </c>
    </row>
    <row r="1805" spans="2:7" x14ac:dyDescent="0.25">
      <c r="B1805" s="6"/>
      <c r="C1805" s="7"/>
      <c r="D1805" s="7"/>
      <c r="E1805" s="8"/>
      <c r="F1805" t="str">
        <f t="shared" si="83"/>
        <v/>
      </c>
      <c r="G1805" t="str">
        <f t="shared" si="84"/>
        <v/>
      </c>
    </row>
    <row r="1806" spans="2:7" x14ac:dyDescent="0.25">
      <c r="B1806" s="6"/>
      <c r="C1806" s="7"/>
      <c r="D1806" s="7"/>
      <c r="E1806" s="8"/>
      <c r="F1806" t="str">
        <f t="shared" si="83"/>
        <v/>
      </c>
      <c r="G1806" t="str">
        <f t="shared" si="84"/>
        <v/>
      </c>
    </row>
    <row r="1807" spans="2:7" x14ac:dyDescent="0.25">
      <c r="B1807" s="6"/>
      <c r="C1807" s="7"/>
      <c r="D1807" s="7"/>
      <c r="E1807" s="8"/>
      <c r="F1807" t="str">
        <f t="shared" si="83"/>
        <v/>
      </c>
      <c r="G1807" t="str">
        <f t="shared" si="84"/>
        <v/>
      </c>
    </row>
    <row r="1808" spans="2:7" x14ac:dyDescent="0.25">
      <c r="B1808" s="6"/>
      <c r="C1808" s="7"/>
      <c r="D1808" s="7"/>
      <c r="E1808" s="8"/>
      <c r="F1808" t="str">
        <f t="shared" si="83"/>
        <v/>
      </c>
      <c r="G1808" t="str">
        <f t="shared" si="84"/>
        <v/>
      </c>
    </row>
    <row r="1809" spans="2:7" x14ac:dyDescent="0.25">
      <c r="B1809" s="6"/>
      <c r="C1809" s="7"/>
      <c r="D1809" s="7"/>
      <c r="E1809" s="8"/>
      <c r="F1809" t="str">
        <f t="shared" si="83"/>
        <v/>
      </c>
      <c r="G1809" t="str">
        <f t="shared" si="84"/>
        <v/>
      </c>
    </row>
    <row r="1810" spans="2:7" x14ac:dyDescent="0.25">
      <c r="B1810" s="6"/>
      <c r="C1810" s="7"/>
      <c r="D1810" s="7"/>
      <c r="E1810" s="8"/>
      <c r="F1810" t="str">
        <f t="shared" si="83"/>
        <v/>
      </c>
      <c r="G1810" t="str">
        <f t="shared" si="84"/>
        <v/>
      </c>
    </row>
    <row r="1811" spans="2:7" x14ac:dyDescent="0.25">
      <c r="B1811" s="6"/>
      <c r="C1811" s="7"/>
      <c r="D1811" s="7"/>
      <c r="E1811" s="8"/>
      <c r="F1811" t="str">
        <f t="shared" si="83"/>
        <v/>
      </c>
      <c r="G1811" t="str">
        <f t="shared" si="84"/>
        <v/>
      </c>
    </row>
    <row r="1812" spans="2:7" x14ac:dyDescent="0.25">
      <c r="B1812" s="6"/>
      <c r="C1812" s="7"/>
      <c r="D1812" s="7"/>
      <c r="E1812" s="8"/>
      <c r="F1812" t="str">
        <f t="shared" si="83"/>
        <v/>
      </c>
      <c r="G1812" t="str">
        <f t="shared" si="84"/>
        <v/>
      </c>
    </row>
    <row r="1813" spans="2:7" x14ac:dyDescent="0.25">
      <c r="B1813" s="6"/>
      <c r="C1813" s="7"/>
      <c r="D1813" s="7"/>
      <c r="E1813" s="8"/>
      <c r="F1813" t="str">
        <f t="shared" si="83"/>
        <v/>
      </c>
      <c r="G1813" t="str">
        <f t="shared" si="84"/>
        <v/>
      </c>
    </row>
    <row r="1814" spans="2:7" x14ac:dyDescent="0.25">
      <c r="B1814" s="6"/>
      <c r="C1814" s="7"/>
      <c r="D1814" s="7"/>
      <c r="E1814" s="8"/>
      <c r="F1814" t="str">
        <f t="shared" si="83"/>
        <v/>
      </c>
      <c r="G1814" t="str">
        <f t="shared" si="84"/>
        <v/>
      </c>
    </row>
    <row r="1815" spans="2:7" x14ac:dyDescent="0.25">
      <c r="B1815" s="6"/>
      <c r="C1815" s="7"/>
      <c r="D1815" s="7"/>
      <c r="E1815" s="8"/>
      <c r="F1815" t="str">
        <f t="shared" si="83"/>
        <v/>
      </c>
      <c r="G1815" t="str">
        <f t="shared" si="84"/>
        <v/>
      </c>
    </row>
    <row r="1816" spans="2:7" x14ac:dyDescent="0.25">
      <c r="B1816" s="6"/>
      <c r="C1816" s="7"/>
      <c r="D1816" s="7"/>
      <c r="E1816" s="8"/>
      <c r="F1816" t="str">
        <f t="shared" si="83"/>
        <v/>
      </c>
      <c r="G1816" t="str">
        <f t="shared" si="84"/>
        <v/>
      </c>
    </row>
    <row r="1817" spans="2:7" x14ac:dyDescent="0.25">
      <c r="B1817" s="6"/>
      <c r="C1817" s="7"/>
      <c r="D1817" s="7"/>
      <c r="E1817" s="8"/>
      <c r="F1817" t="str">
        <f t="shared" si="83"/>
        <v/>
      </c>
      <c r="G1817" t="str">
        <f t="shared" si="84"/>
        <v/>
      </c>
    </row>
    <row r="1818" spans="2:7" x14ac:dyDescent="0.25">
      <c r="B1818" s="6"/>
      <c r="C1818" s="7"/>
      <c r="D1818" s="7"/>
      <c r="E1818" s="8"/>
      <c r="F1818" t="str">
        <f t="shared" si="83"/>
        <v/>
      </c>
      <c r="G1818" t="str">
        <f t="shared" si="84"/>
        <v/>
      </c>
    </row>
    <row r="1819" spans="2:7" x14ac:dyDescent="0.25">
      <c r="B1819" s="6"/>
      <c r="C1819" s="7"/>
      <c r="D1819" s="7"/>
      <c r="E1819" s="8"/>
      <c r="F1819" t="str">
        <f t="shared" si="83"/>
        <v/>
      </c>
      <c r="G1819" t="str">
        <f t="shared" si="84"/>
        <v/>
      </c>
    </row>
    <row r="1820" spans="2:7" x14ac:dyDescent="0.25">
      <c r="B1820" s="6"/>
      <c r="C1820" s="7"/>
      <c r="D1820" s="7"/>
      <c r="E1820" s="8"/>
      <c r="F1820" t="str">
        <f t="shared" si="83"/>
        <v/>
      </c>
      <c r="G1820" t="str">
        <f t="shared" si="84"/>
        <v/>
      </c>
    </row>
    <row r="1821" spans="2:7" x14ac:dyDescent="0.25">
      <c r="B1821" s="6"/>
      <c r="C1821" s="7"/>
      <c r="D1821" s="7"/>
      <c r="E1821" s="8"/>
      <c r="F1821" t="str">
        <f t="shared" si="83"/>
        <v/>
      </c>
      <c r="G1821" t="str">
        <f t="shared" si="84"/>
        <v/>
      </c>
    </row>
    <row r="1822" spans="2:7" x14ac:dyDescent="0.25">
      <c r="B1822" s="6"/>
      <c r="C1822" s="7"/>
      <c r="D1822" s="7"/>
      <c r="E1822" s="8"/>
      <c r="F1822" t="str">
        <f t="shared" si="83"/>
        <v/>
      </c>
      <c r="G1822" t="str">
        <f t="shared" si="84"/>
        <v/>
      </c>
    </row>
    <row r="1823" spans="2:7" x14ac:dyDescent="0.25">
      <c r="B1823" s="6"/>
      <c r="C1823" s="7"/>
      <c r="D1823" s="7"/>
      <c r="E1823" s="8"/>
      <c r="F1823" t="str">
        <f t="shared" si="83"/>
        <v/>
      </c>
      <c r="G1823" t="str">
        <f t="shared" si="84"/>
        <v/>
      </c>
    </row>
    <row r="1824" spans="2:7" x14ac:dyDescent="0.25">
      <c r="B1824" s="6"/>
      <c r="C1824" s="7"/>
      <c r="D1824" s="7"/>
      <c r="E1824" s="8"/>
      <c r="F1824" t="str">
        <f t="shared" si="83"/>
        <v/>
      </c>
      <c r="G1824" t="str">
        <f t="shared" si="84"/>
        <v/>
      </c>
    </row>
    <row r="1825" spans="2:7" x14ac:dyDescent="0.25">
      <c r="B1825" s="6"/>
      <c r="C1825" s="7"/>
      <c r="D1825" s="7"/>
      <c r="E1825" s="8"/>
      <c r="F1825" t="str">
        <f t="shared" si="83"/>
        <v/>
      </c>
      <c r="G1825" t="str">
        <f t="shared" si="84"/>
        <v/>
      </c>
    </row>
    <row r="1826" spans="2:7" x14ac:dyDescent="0.25">
      <c r="B1826" s="6"/>
      <c r="C1826" s="7"/>
      <c r="D1826" s="7"/>
      <c r="E1826" s="8"/>
      <c r="F1826" t="str">
        <f t="shared" si="83"/>
        <v/>
      </c>
      <c r="G1826" t="str">
        <f t="shared" si="84"/>
        <v/>
      </c>
    </row>
    <row r="1827" spans="2:7" x14ac:dyDescent="0.25">
      <c r="B1827" s="6"/>
      <c r="C1827" s="7"/>
      <c r="D1827" s="7"/>
      <c r="E1827" s="8"/>
      <c r="F1827" t="str">
        <f t="shared" si="83"/>
        <v/>
      </c>
      <c r="G1827" t="str">
        <f t="shared" si="84"/>
        <v/>
      </c>
    </row>
    <row r="1828" spans="2:7" x14ac:dyDescent="0.25">
      <c r="B1828" s="6"/>
      <c r="C1828" s="7"/>
      <c r="D1828" s="7"/>
      <c r="E1828" s="8"/>
      <c r="F1828" t="str">
        <f t="shared" si="83"/>
        <v/>
      </c>
      <c r="G1828" t="str">
        <f t="shared" si="84"/>
        <v/>
      </c>
    </row>
    <row r="1829" spans="2:7" x14ac:dyDescent="0.25">
      <c r="B1829" s="6"/>
      <c r="C1829" s="7"/>
      <c r="D1829" s="7"/>
      <c r="E1829" s="8"/>
      <c r="F1829" t="str">
        <f t="shared" si="83"/>
        <v/>
      </c>
      <c r="G1829" t="str">
        <f t="shared" si="84"/>
        <v/>
      </c>
    </row>
    <row r="1830" spans="2:7" x14ac:dyDescent="0.25">
      <c r="B1830" s="6"/>
      <c r="C1830" s="7"/>
      <c r="D1830" s="7"/>
      <c r="E1830" s="8"/>
      <c r="F1830" t="str">
        <f t="shared" si="83"/>
        <v/>
      </c>
      <c r="G1830" t="str">
        <f t="shared" si="84"/>
        <v/>
      </c>
    </row>
    <row r="1831" spans="2:7" x14ac:dyDescent="0.25">
      <c r="B1831" s="6"/>
      <c r="C1831" s="7"/>
      <c r="D1831" s="7"/>
      <c r="E1831" s="8"/>
      <c r="F1831" t="str">
        <f t="shared" si="83"/>
        <v/>
      </c>
      <c r="G1831" t="str">
        <f t="shared" si="84"/>
        <v/>
      </c>
    </row>
    <row r="1832" spans="2:7" x14ac:dyDescent="0.25">
      <c r="B1832" s="6"/>
      <c r="C1832" s="7"/>
      <c r="D1832" s="7"/>
      <c r="E1832" s="8"/>
      <c r="F1832" t="str">
        <f t="shared" si="83"/>
        <v/>
      </c>
      <c r="G1832" t="str">
        <f t="shared" si="84"/>
        <v/>
      </c>
    </row>
    <row r="1833" spans="2:7" x14ac:dyDescent="0.25">
      <c r="B1833" s="6"/>
      <c r="C1833" s="7"/>
      <c r="D1833" s="7"/>
      <c r="E1833" s="8"/>
      <c r="F1833" t="str">
        <f t="shared" si="83"/>
        <v/>
      </c>
      <c r="G1833" t="str">
        <f t="shared" si="84"/>
        <v/>
      </c>
    </row>
    <row r="1834" spans="2:7" x14ac:dyDescent="0.25">
      <c r="B1834" s="6"/>
      <c r="C1834" s="7"/>
      <c r="D1834" s="7"/>
      <c r="E1834" s="8"/>
      <c r="F1834" t="str">
        <f t="shared" si="83"/>
        <v/>
      </c>
      <c r="G1834" t="str">
        <f t="shared" si="84"/>
        <v/>
      </c>
    </row>
    <row r="1835" spans="2:7" x14ac:dyDescent="0.25">
      <c r="B1835" s="6"/>
      <c r="C1835" s="7"/>
      <c r="D1835" s="7"/>
      <c r="E1835" s="8"/>
      <c r="F1835" t="str">
        <f t="shared" si="83"/>
        <v/>
      </c>
      <c r="G1835" t="str">
        <f t="shared" si="84"/>
        <v/>
      </c>
    </row>
    <row r="1836" spans="2:7" x14ac:dyDescent="0.25">
      <c r="B1836" s="6"/>
      <c r="C1836" s="7"/>
      <c r="D1836" s="7"/>
      <c r="E1836" s="8"/>
      <c r="F1836" t="str">
        <f t="shared" si="83"/>
        <v/>
      </c>
      <c r="G1836" t="str">
        <f t="shared" si="84"/>
        <v/>
      </c>
    </row>
    <row r="1837" spans="2:7" x14ac:dyDescent="0.25">
      <c r="B1837" s="6"/>
      <c r="C1837" s="7"/>
      <c r="D1837" s="7"/>
      <c r="E1837" s="8"/>
      <c r="F1837" t="str">
        <f t="shared" si="83"/>
        <v/>
      </c>
      <c r="G1837" t="str">
        <f t="shared" si="84"/>
        <v/>
      </c>
    </row>
    <row r="1838" spans="2:7" x14ac:dyDescent="0.25">
      <c r="B1838" s="6"/>
      <c r="C1838" s="7"/>
      <c r="D1838" s="7"/>
      <c r="E1838" s="8"/>
      <c r="F1838" t="str">
        <f t="shared" si="83"/>
        <v/>
      </c>
      <c r="G1838" t="str">
        <f t="shared" si="84"/>
        <v/>
      </c>
    </row>
    <row r="1839" spans="2:7" x14ac:dyDescent="0.25">
      <c r="B1839" s="6"/>
      <c r="C1839" s="7"/>
      <c r="D1839" s="7"/>
      <c r="E1839" s="8"/>
      <c r="F1839" t="str">
        <f t="shared" si="83"/>
        <v/>
      </c>
      <c r="G1839" t="str">
        <f t="shared" si="84"/>
        <v/>
      </c>
    </row>
    <row r="1840" spans="2:7" x14ac:dyDescent="0.25">
      <c r="B1840" s="6"/>
      <c r="C1840" s="7"/>
      <c r="D1840" s="7"/>
      <c r="E1840" s="8"/>
      <c r="F1840" t="str">
        <f t="shared" si="83"/>
        <v/>
      </c>
      <c r="G1840" t="str">
        <f t="shared" si="84"/>
        <v/>
      </c>
    </row>
    <row r="1841" spans="2:7" x14ac:dyDescent="0.25">
      <c r="B1841" s="6"/>
      <c r="C1841" s="7"/>
      <c r="D1841" s="7"/>
      <c r="E1841" s="8"/>
      <c r="F1841" t="str">
        <f t="shared" si="83"/>
        <v/>
      </c>
      <c r="G1841" t="str">
        <f t="shared" si="84"/>
        <v/>
      </c>
    </row>
    <row r="1842" spans="2:7" x14ac:dyDescent="0.25">
      <c r="B1842" s="6"/>
      <c r="C1842" s="7"/>
      <c r="D1842" s="7"/>
      <c r="E1842" s="8"/>
      <c r="F1842" t="str">
        <f t="shared" si="83"/>
        <v/>
      </c>
      <c r="G1842" t="str">
        <f t="shared" si="84"/>
        <v/>
      </c>
    </row>
    <row r="1843" spans="2:7" x14ac:dyDescent="0.25">
      <c r="B1843" s="6"/>
      <c r="C1843" s="7"/>
      <c r="D1843" s="7"/>
      <c r="E1843" s="8"/>
      <c r="F1843" t="str">
        <f t="shared" si="83"/>
        <v/>
      </c>
      <c r="G1843" t="str">
        <f t="shared" si="84"/>
        <v/>
      </c>
    </row>
    <row r="1844" spans="2:7" x14ac:dyDescent="0.25">
      <c r="B1844" s="6"/>
      <c r="C1844" s="7"/>
      <c r="D1844" s="7"/>
      <c r="E1844" s="8"/>
      <c r="F1844" t="str">
        <f t="shared" si="83"/>
        <v/>
      </c>
      <c r="G1844" t="str">
        <f t="shared" si="84"/>
        <v/>
      </c>
    </row>
    <row r="1845" spans="2:7" x14ac:dyDescent="0.25">
      <c r="B1845" s="6"/>
      <c r="C1845" s="7"/>
      <c r="D1845" s="7"/>
      <c r="E1845" s="8"/>
      <c r="F1845" t="str">
        <f t="shared" si="83"/>
        <v/>
      </c>
      <c r="G1845" t="str">
        <f t="shared" si="84"/>
        <v/>
      </c>
    </row>
    <row r="1846" spans="2:7" x14ac:dyDescent="0.25">
      <c r="B1846" s="6"/>
      <c r="C1846" s="7"/>
      <c r="D1846" s="7"/>
      <c r="E1846" s="8"/>
      <c r="F1846" t="str">
        <f t="shared" si="83"/>
        <v/>
      </c>
      <c r="G1846" t="str">
        <f t="shared" si="84"/>
        <v/>
      </c>
    </row>
    <row r="1847" spans="2:7" x14ac:dyDescent="0.25">
      <c r="B1847" s="6"/>
      <c r="C1847" s="7"/>
      <c r="D1847" s="7"/>
      <c r="E1847" s="8"/>
      <c r="F1847" t="str">
        <f t="shared" si="83"/>
        <v/>
      </c>
      <c r="G1847" t="str">
        <f t="shared" si="84"/>
        <v/>
      </c>
    </row>
    <row r="1848" spans="2:7" x14ac:dyDescent="0.25">
      <c r="B1848" s="6"/>
      <c r="C1848" s="7"/>
      <c r="D1848" s="7"/>
      <c r="E1848" s="8"/>
      <c r="F1848" t="str">
        <f t="shared" si="83"/>
        <v/>
      </c>
      <c r="G1848" t="str">
        <f t="shared" si="84"/>
        <v/>
      </c>
    </row>
    <row r="1849" spans="2:7" x14ac:dyDescent="0.25">
      <c r="B1849" s="6"/>
      <c r="C1849" s="7"/>
      <c r="D1849" s="7"/>
      <c r="E1849" s="8"/>
      <c r="F1849" t="str">
        <f t="shared" si="83"/>
        <v/>
      </c>
      <c r="G1849" t="str">
        <f t="shared" si="84"/>
        <v/>
      </c>
    </row>
    <row r="1850" spans="2:7" x14ac:dyDescent="0.25">
      <c r="B1850" s="6"/>
      <c r="C1850" s="7"/>
      <c r="D1850" s="7"/>
      <c r="E1850" s="8"/>
      <c r="F1850" t="str">
        <f t="shared" si="83"/>
        <v/>
      </c>
      <c r="G1850" t="str">
        <f t="shared" si="84"/>
        <v/>
      </c>
    </row>
    <row r="1851" spans="2:7" x14ac:dyDescent="0.25">
      <c r="B1851" s="6"/>
      <c r="C1851" s="7"/>
      <c r="D1851" s="7"/>
      <c r="E1851" s="8"/>
      <c r="F1851" t="str">
        <f t="shared" si="83"/>
        <v/>
      </c>
      <c r="G1851" t="str">
        <f t="shared" si="84"/>
        <v/>
      </c>
    </row>
    <row r="1852" spans="2:7" x14ac:dyDescent="0.25">
      <c r="B1852" s="6"/>
      <c r="C1852" s="7"/>
      <c r="D1852" s="7"/>
      <c r="E1852" s="8"/>
      <c r="F1852" t="str">
        <f t="shared" si="83"/>
        <v/>
      </c>
      <c r="G1852" t="str">
        <f t="shared" si="84"/>
        <v/>
      </c>
    </row>
    <row r="1853" spans="2:7" x14ac:dyDescent="0.25">
      <c r="B1853" s="6"/>
      <c r="C1853" s="7"/>
      <c r="D1853" s="7"/>
      <c r="E1853" s="8"/>
      <c r="F1853" t="str">
        <f t="shared" si="83"/>
        <v/>
      </c>
      <c r="G1853" t="str">
        <f t="shared" si="84"/>
        <v/>
      </c>
    </row>
    <row r="1854" spans="2:7" x14ac:dyDescent="0.25">
      <c r="B1854" s="6"/>
      <c r="C1854" s="7"/>
      <c r="D1854" s="7"/>
      <c r="E1854" s="8"/>
      <c r="F1854" t="str">
        <f t="shared" si="83"/>
        <v/>
      </c>
      <c r="G1854" t="str">
        <f t="shared" si="84"/>
        <v/>
      </c>
    </row>
    <row r="1855" spans="2:7" x14ac:dyDescent="0.25">
      <c r="B1855" s="6"/>
      <c r="C1855" s="7"/>
      <c r="D1855" s="7"/>
      <c r="E1855" s="8"/>
      <c r="F1855" t="str">
        <f t="shared" si="83"/>
        <v/>
      </c>
      <c r="G1855" t="str">
        <f t="shared" si="84"/>
        <v/>
      </c>
    </row>
    <row r="1856" spans="2:7" x14ac:dyDescent="0.25">
      <c r="B1856" s="6"/>
      <c r="C1856" s="7"/>
      <c r="D1856" s="7"/>
      <c r="E1856" s="8"/>
      <c r="F1856" t="str">
        <f t="shared" si="83"/>
        <v/>
      </c>
      <c r="G1856" t="str">
        <f t="shared" si="84"/>
        <v/>
      </c>
    </row>
    <row r="1857" spans="2:7" x14ac:dyDescent="0.25">
      <c r="B1857" s="6"/>
      <c r="C1857" s="7"/>
      <c r="D1857" s="7"/>
      <c r="E1857" s="8"/>
      <c r="F1857" t="str">
        <f t="shared" si="83"/>
        <v/>
      </c>
      <c r="G1857" t="str">
        <f t="shared" si="84"/>
        <v/>
      </c>
    </row>
    <row r="1858" spans="2:7" x14ac:dyDescent="0.25">
      <c r="B1858" s="6"/>
      <c r="C1858" s="7"/>
      <c r="D1858" s="7"/>
      <c r="E1858" s="8"/>
      <c r="F1858" t="str">
        <f t="shared" si="83"/>
        <v/>
      </c>
      <c r="G1858" t="str">
        <f t="shared" si="84"/>
        <v/>
      </c>
    </row>
    <row r="1859" spans="2:7" x14ac:dyDescent="0.25">
      <c r="B1859" s="6"/>
      <c r="C1859" s="7"/>
      <c r="D1859" s="7"/>
      <c r="E1859" s="8"/>
      <c r="F1859" t="str">
        <f t="shared" si="83"/>
        <v/>
      </c>
      <c r="G1859" t="str">
        <f t="shared" si="84"/>
        <v/>
      </c>
    </row>
    <row r="1860" spans="2:7" x14ac:dyDescent="0.25">
      <c r="B1860" s="6"/>
      <c r="C1860" s="7"/>
      <c r="D1860" s="7"/>
      <c r="E1860" s="8"/>
      <c r="F1860" t="str">
        <f t="shared" ref="F1860:F1923" si="85">IF(B1860="","",LOG10(D1860))</f>
        <v/>
      </c>
      <c r="G1860" t="str">
        <f t="shared" ref="G1860:G1923" si="86">IF(E1860="", "",0.434*E1860/D1860)</f>
        <v/>
      </c>
    </row>
    <row r="1861" spans="2:7" x14ac:dyDescent="0.25">
      <c r="B1861" s="6"/>
      <c r="C1861" s="7"/>
      <c r="D1861" s="7"/>
      <c r="E1861" s="8"/>
      <c r="F1861" t="str">
        <f t="shared" si="85"/>
        <v/>
      </c>
      <c r="G1861" t="str">
        <f t="shared" si="86"/>
        <v/>
      </c>
    </row>
    <row r="1862" spans="2:7" x14ac:dyDescent="0.25">
      <c r="B1862" s="6"/>
      <c r="C1862" s="7"/>
      <c r="D1862" s="7"/>
      <c r="E1862" s="8"/>
      <c r="F1862" t="str">
        <f t="shared" si="85"/>
        <v/>
      </c>
      <c r="G1862" t="str">
        <f t="shared" si="86"/>
        <v/>
      </c>
    </row>
    <row r="1863" spans="2:7" x14ac:dyDescent="0.25">
      <c r="B1863" s="6"/>
      <c r="C1863" s="7"/>
      <c r="D1863" s="7"/>
      <c r="E1863" s="8"/>
      <c r="F1863" t="str">
        <f t="shared" si="85"/>
        <v/>
      </c>
      <c r="G1863" t="str">
        <f t="shared" si="86"/>
        <v/>
      </c>
    </row>
    <row r="1864" spans="2:7" x14ac:dyDescent="0.25">
      <c r="B1864" s="6"/>
      <c r="C1864" s="7"/>
      <c r="D1864" s="7"/>
      <c r="E1864" s="8"/>
      <c r="F1864" t="str">
        <f t="shared" si="85"/>
        <v/>
      </c>
      <c r="G1864" t="str">
        <f t="shared" si="86"/>
        <v/>
      </c>
    </row>
    <row r="1865" spans="2:7" x14ac:dyDescent="0.25">
      <c r="B1865" s="6"/>
      <c r="C1865" s="7"/>
      <c r="D1865" s="7"/>
      <c r="E1865" s="8"/>
      <c r="F1865" t="str">
        <f t="shared" si="85"/>
        <v/>
      </c>
      <c r="G1865" t="str">
        <f t="shared" si="86"/>
        <v/>
      </c>
    </row>
    <row r="1866" spans="2:7" x14ac:dyDescent="0.25">
      <c r="B1866" s="6"/>
      <c r="C1866" s="7"/>
      <c r="D1866" s="7"/>
      <c r="E1866" s="8"/>
      <c r="F1866" t="str">
        <f t="shared" si="85"/>
        <v/>
      </c>
      <c r="G1866" t="str">
        <f t="shared" si="86"/>
        <v/>
      </c>
    </row>
    <row r="1867" spans="2:7" x14ac:dyDescent="0.25">
      <c r="B1867" s="6"/>
      <c r="C1867" s="7"/>
      <c r="D1867" s="7"/>
      <c r="E1867" s="8"/>
      <c r="F1867" t="str">
        <f t="shared" si="85"/>
        <v/>
      </c>
      <c r="G1867" t="str">
        <f t="shared" si="86"/>
        <v/>
      </c>
    </row>
    <row r="1868" spans="2:7" x14ac:dyDescent="0.25">
      <c r="B1868" s="6"/>
      <c r="C1868" s="7"/>
      <c r="D1868" s="7"/>
      <c r="E1868" s="8"/>
      <c r="F1868" t="str">
        <f t="shared" si="85"/>
        <v/>
      </c>
      <c r="G1868" t="str">
        <f t="shared" si="86"/>
        <v/>
      </c>
    </row>
    <row r="1869" spans="2:7" x14ac:dyDescent="0.25">
      <c r="B1869" s="6"/>
      <c r="C1869" s="7"/>
      <c r="D1869" s="7"/>
      <c r="E1869" s="8"/>
      <c r="F1869" t="str">
        <f t="shared" si="85"/>
        <v/>
      </c>
      <c r="G1869" t="str">
        <f t="shared" si="86"/>
        <v/>
      </c>
    </row>
    <row r="1870" spans="2:7" x14ac:dyDescent="0.25">
      <c r="B1870" s="6"/>
      <c r="C1870" s="7"/>
      <c r="D1870" s="7"/>
      <c r="E1870" s="8"/>
      <c r="F1870" t="str">
        <f t="shared" si="85"/>
        <v/>
      </c>
      <c r="G1870" t="str">
        <f t="shared" si="86"/>
        <v/>
      </c>
    </row>
    <row r="1871" spans="2:7" x14ac:dyDescent="0.25">
      <c r="B1871" s="6"/>
      <c r="C1871" s="7"/>
      <c r="D1871" s="7"/>
      <c r="E1871" s="8"/>
      <c r="F1871" t="str">
        <f t="shared" si="85"/>
        <v/>
      </c>
      <c r="G1871" t="str">
        <f t="shared" si="86"/>
        <v/>
      </c>
    </row>
    <row r="1872" spans="2:7" x14ac:dyDescent="0.25">
      <c r="B1872" s="6"/>
      <c r="C1872" s="7"/>
      <c r="D1872" s="7"/>
      <c r="E1872" s="8"/>
      <c r="F1872" t="str">
        <f t="shared" si="85"/>
        <v/>
      </c>
      <c r="G1872" t="str">
        <f t="shared" si="86"/>
        <v/>
      </c>
    </row>
    <row r="1873" spans="2:7" x14ac:dyDescent="0.25">
      <c r="B1873" s="6"/>
      <c r="C1873" s="7"/>
      <c r="D1873" s="7"/>
      <c r="E1873" s="8"/>
      <c r="F1873" t="str">
        <f t="shared" si="85"/>
        <v/>
      </c>
      <c r="G1873" t="str">
        <f t="shared" si="86"/>
        <v/>
      </c>
    </row>
    <row r="1874" spans="2:7" x14ac:dyDescent="0.25">
      <c r="B1874" s="6"/>
      <c r="C1874" s="7"/>
      <c r="D1874" s="7"/>
      <c r="E1874" s="8"/>
      <c r="F1874" t="str">
        <f t="shared" si="85"/>
        <v/>
      </c>
      <c r="G1874" t="str">
        <f t="shared" si="86"/>
        <v/>
      </c>
    </row>
    <row r="1875" spans="2:7" x14ac:dyDescent="0.25">
      <c r="B1875" s="6"/>
      <c r="C1875" s="7"/>
      <c r="D1875" s="7"/>
      <c r="E1875" s="8"/>
      <c r="F1875" t="str">
        <f t="shared" si="85"/>
        <v/>
      </c>
      <c r="G1875" t="str">
        <f t="shared" si="86"/>
        <v/>
      </c>
    </row>
    <row r="1876" spans="2:7" x14ac:dyDescent="0.25">
      <c r="B1876" s="6"/>
      <c r="C1876" s="7"/>
      <c r="D1876" s="7"/>
      <c r="E1876" s="8"/>
      <c r="F1876" t="str">
        <f t="shared" si="85"/>
        <v/>
      </c>
      <c r="G1876" t="str">
        <f t="shared" si="86"/>
        <v/>
      </c>
    </row>
    <row r="1877" spans="2:7" x14ac:dyDescent="0.25">
      <c r="B1877" s="6"/>
      <c r="C1877" s="7"/>
      <c r="D1877" s="7"/>
      <c r="E1877" s="8"/>
      <c r="F1877" t="str">
        <f t="shared" si="85"/>
        <v/>
      </c>
      <c r="G1877" t="str">
        <f t="shared" si="86"/>
        <v/>
      </c>
    </row>
    <row r="1878" spans="2:7" x14ac:dyDescent="0.25">
      <c r="B1878" s="6"/>
      <c r="C1878" s="7"/>
      <c r="D1878" s="7"/>
      <c r="E1878" s="8"/>
      <c r="F1878" t="str">
        <f t="shared" si="85"/>
        <v/>
      </c>
      <c r="G1878" t="str">
        <f t="shared" si="86"/>
        <v/>
      </c>
    </row>
    <row r="1879" spans="2:7" x14ac:dyDescent="0.25">
      <c r="B1879" s="6"/>
      <c r="C1879" s="7"/>
      <c r="D1879" s="7"/>
      <c r="E1879" s="8"/>
      <c r="F1879" t="str">
        <f t="shared" si="85"/>
        <v/>
      </c>
      <c r="G1879" t="str">
        <f t="shared" si="86"/>
        <v/>
      </c>
    </row>
    <row r="1880" spans="2:7" x14ac:dyDescent="0.25">
      <c r="B1880" s="6"/>
      <c r="C1880" s="7"/>
      <c r="D1880" s="7"/>
      <c r="E1880" s="8"/>
      <c r="F1880" t="str">
        <f t="shared" si="85"/>
        <v/>
      </c>
      <c r="G1880" t="str">
        <f t="shared" si="86"/>
        <v/>
      </c>
    </row>
    <row r="1881" spans="2:7" x14ac:dyDescent="0.25">
      <c r="B1881" s="6"/>
      <c r="C1881" s="7"/>
      <c r="D1881" s="7"/>
      <c r="E1881" s="8"/>
      <c r="F1881" t="str">
        <f t="shared" si="85"/>
        <v/>
      </c>
      <c r="G1881" t="str">
        <f t="shared" si="86"/>
        <v/>
      </c>
    </row>
    <row r="1882" spans="2:7" x14ac:dyDescent="0.25">
      <c r="B1882" s="6"/>
      <c r="C1882" s="7"/>
      <c r="D1882" s="7"/>
      <c r="E1882" s="8"/>
      <c r="F1882" t="str">
        <f t="shared" si="85"/>
        <v/>
      </c>
      <c r="G1882" t="str">
        <f t="shared" si="86"/>
        <v/>
      </c>
    </row>
    <row r="1883" spans="2:7" x14ac:dyDescent="0.25">
      <c r="B1883" s="6"/>
      <c r="C1883" s="7"/>
      <c r="D1883" s="7"/>
      <c r="E1883" s="8"/>
      <c r="F1883" t="str">
        <f t="shared" si="85"/>
        <v/>
      </c>
      <c r="G1883" t="str">
        <f t="shared" si="86"/>
        <v/>
      </c>
    </row>
    <row r="1884" spans="2:7" x14ac:dyDescent="0.25">
      <c r="B1884" s="6"/>
      <c r="C1884" s="7"/>
      <c r="D1884" s="7"/>
      <c r="E1884" s="8"/>
      <c r="F1884" t="str">
        <f t="shared" si="85"/>
        <v/>
      </c>
      <c r="G1884" t="str">
        <f t="shared" si="86"/>
        <v/>
      </c>
    </row>
    <row r="1885" spans="2:7" x14ac:dyDescent="0.25">
      <c r="B1885" s="6"/>
      <c r="C1885" s="7"/>
      <c r="D1885" s="7"/>
      <c r="E1885" s="8"/>
      <c r="F1885" t="str">
        <f t="shared" si="85"/>
        <v/>
      </c>
      <c r="G1885" t="str">
        <f t="shared" si="86"/>
        <v/>
      </c>
    </row>
    <row r="1886" spans="2:7" x14ac:dyDescent="0.25">
      <c r="B1886" s="6"/>
      <c r="C1886" s="7"/>
      <c r="D1886" s="7"/>
      <c r="E1886" s="8"/>
      <c r="F1886" t="str">
        <f t="shared" si="85"/>
        <v/>
      </c>
      <c r="G1886" t="str">
        <f t="shared" si="86"/>
        <v/>
      </c>
    </row>
    <row r="1887" spans="2:7" x14ac:dyDescent="0.25">
      <c r="B1887" s="6"/>
      <c r="C1887" s="7"/>
      <c r="D1887" s="7"/>
      <c r="E1887" s="8"/>
      <c r="F1887" t="str">
        <f t="shared" si="85"/>
        <v/>
      </c>
      <c r="G1887" t="str">
        <f t="shared" si="86"/>
        <v/>
      </c>
    </row>
    <row r="1888" spans="2:7" x14ac:dyDescent="0.25">
      <c r="B1888" s="6"/>
      <c r="C1888" s="7"/>
      <c r="D1888" s="7"/>
      <c r="E1888" s="8"/>
      <c r="F1888" t="str">
        <f t="shared" si="85"/>
        <v/>
      </c>
      <c r="G1888" t="str">
        <f t="shared" si="86"/>
        <v/>
      </c>
    </row>
    <row r="1889" spans="2:7" x14ac:dyDescent="0.25">
      <c r="B1889" s="6"/>
      <c r="C1889" s="7"/>
      <c r="D1889" s="7"/>
      <c r="E1889" s="8"/>
      <c r="F1889" t="str">
        <f t="shared" si="85"/>
        <v/>
      </c>
      <c r="G1889" t="str">
        <f t="shared" si="86"/>
        <v/>
      </c>
    </row>
    <row r="1890" spans="2:7" x14ac:dyDescent="0.25">
      <c r="B1890" s="6"/>
      <c r="C1890" s="7"/>
      <c r="D1890" s="7"/>
      <c r="E1890" s="8"/>
      <c r="F1890" t="str">
        <f t="shared" si="85"/>
        <v/>
      </c>
      <c r="G1890" t="str">
        <f t="shared" si="86"/>
        <v/>
      </c>
    </row>
    <row r="1891" spans="2:7" x14ac:dyDescent="0.25">
      <c r="B1891" s="6"/>
      <c r="C1891" s="7"/>
      <c r="D1891" s="7"/>
      <c r="E1891" s="8"/>
      <c r="F1891" t="str">
        <f t="shared" si="85"/>
        <v/>
      </c>
      <c r="G1891" t="str">
        <f t="shared" si="86"/>
        <v/>
      </c>
    </row>
    <row r="1892" spans="2:7" x14ac:dyDescent="0.25">
      <c r="B1892" s="6"/>
      <c r="C1892" s="7"/>
      <c r="D1892" s="7"/>
      <c r="E1892" s="8"/>
      <c r="F1892" t="str">
        <f t="shared" si="85"/>
        <v/>
      </c>
      <c r="G1892" t="str">
        <f t="shared" si="86"/>
        <v/>
      </c>
    </row>
    <row r="1893" spans="2:7" x14ac:dyDescent="0.25">
      <c r="B1893" s="6"/>
      <c r="C1893" s="7"/>
      <c r="D1893" s="7"/>
      <c r="E1893" s="8"/>
      <c r="F1893" t="str">
        <f t="shared" si="85"/>
        <v/>
      </c>
      <c r="G1893" t="str">
        <f t="shared" si="86"/>
        <v/>
      </c>
    </row>
    <row r="1894" spans="2:7" x14ac:dyDescent="0.25">
      <c r="B1894" s="6"/>
      <c r="C1894" s="7"/>
      <c r="D1894" s="7"/>
      <c r="E1894" s="8"/>
      <c r="F1894" t="str">
        <f t="shared" si="85"/>
        <v/>
      </c>
      <c r="G1894" t="str">
        <f t="shared" si="86"/>
        <v/>
      </c>
    </row>
    <row r="1895" spans="2:7" x14ac:dyDescent="0.25">
      <c r="B1895" s="6"/>
      <c r="C1895" s="7"/>
      <c r="D1895" s="7"/>
      <c r="E1895" s="8"/>
      <c r="F1895" t="str">
        <f t="shared" si="85"/>
        <v/>
      </c>
      <c r="G1895" t="str">
        <f t="shared" si="86"/>
        <v/>
      </c>
    </row>
    <row r="1896" spans="2:7" x14ac:dyDescent="0.25">
      <c r="B1896" s="6"/>
      <c r="C1896" s="7"/>
      <c r="D1896" s="7"/>
      <c r="E1896" s="8"/>
      <c r="F1896" t="str">
        <f t="shared" si="85"/>
        <v/>
      </c>
      <c r="G1896" t="str">
        <f t="shared" si="86"/>
        <v/>
      </c>
    </row>
    <row r="1897" spans="2:7" x14ac:dyDescent="0.25">
      <c r="B1897" s="6"/>
      <c r="C1897" s="7"/>
      <c r="D1897" s="7"/>
      <c r="E1897" s="8"/>
      <c r="F1897" t="str">
        <f t="shared" si="85"/>
        <v/>
      </c>
      <c r="G1897" t="str">
        <f t="shared" si="86"/>
        <v/>
      </c>
    </row>
    <row r="1898" spans="2:7" x14ac:dyDescent="0.25">
      <c r="B1898" s="6"/>
      <c r="C1898" s="7"/>
      <c r="D1898" s="7"/>
      <c r="E1898" s="8"/>
      <c r="F1898" t="str">
        <f t="shared" si="85"/>
        <v/>
      </c>
      <c r="G1898" t="str">
        <f t="shared" si="86"/>
        <v/>
      </c>
    </row>
    <row r="1899" spans="2:7" x14ac:dyDescent="0.25">
      <c r="B1899" s="6"/>
      <c r="C1899" s="7"/>
      <c r="D1899" s="7"/>
      <c r="E1899" s="8"/>
      <c r="F1899" t="str">
        <f t="shared" si="85"/>
        <v/>
      </c>
      <c r="G1899" t="str">
        <f t="shared" si="86"/>
        <v/>
      </c>
    </row>
    <row r="1900" spans="2:7" x14ac:dyDescent="0.25">
      <c r="B1900" s="6"/>
      <c r="C1900" s="7"/>
      <c r="D1900" s="7"/>
      <c r="E1900" s="8"/>
      <c r="F1900" t="str">
        <f t="shared" si="85"/>
        <v/>
      </c>
      <c r="G1900" t="str">
        <f t="shared" si="86"/>
        <v/>
      </c>
    </row>
    <row r="1901" spans="2:7" x14ac:dyDescent="0.25">
      <c r="B1901" s="6"/>
      <c r="C1901" s="7"/>
      <c r="D1901" s="7"/>
      <c r="E1901" s="8"/>
      <c r="F1901" t="str">
        <f t="shared" si="85"/>
        <v/>
      </c>
      <c r="G1901" t="str">
        <f t="shared" si="86"/>
        <v/>
      </c>
    </row>
    <row r="1902" spans="2:7" x14ac:dyDescent="0.25">
      <c r="B1902" s="6"/>
      <c r="C1902" s="7"/>
      <c r="D1902" s="7"/>
      <c r="E1902" s="8"/>
      <c r="F1902" t="str">
        <f t="shared" si="85"/>
        <v/>
      </c>
      <c r="G1902" t="str">
        <f t="shared" si="86"/>
        <v/>
      </c>
    </row>
    <row r="1903" spans="2:7" x14ac:dyDescent="0.25">
      <c r="B1903" s="6"/>
      <c r="C1903" s="7"/>
      <c r="D1903" s="7"/>
      <c r="E1903" s="8"/>
      <c r="F1903" t="str">
        <f t="shared" si="85"/>
        <v/>
      </c>
      <c r="G1903" t="str">
        <f t="shared" si="86"/>
        <v/>
      </c>
    </row>
    <row r="1904" spans="2:7" x14ac:dyDescent="0.25">
      <c r="B1904" s="6"/>
      <c r="C1904" s="7"/>
      <c r="D1904" s="7"/>
      <c r="E1904" s="8"/>
      <c r="F1904" t="str">
        <f t="shared" si="85"/>
        <v/>
      </c>
      <c r="G1904" t="str">
        <f t="shared" si="86"/>
        <v/>
      </c>
    </row>
    <row r="1905" spans="2:7" x14ac:dyDescent="0.25">
      <c r="B1905" s="6"/>
      <c r="C1905" s="7"/>
      <c r="D1905" s="7"/>
      <c r="E1905" s="8"/>
      <c r="F1905" t="str">
        <f t="shared" si="85"/>
        <v/>
      </c>
      <c r="G1905" t="str">
        <f t="shared" si="86"/>
        <v/>
      </c>
    </row>
    <row r="1906" spans="2:7" x14ac:dyDescent="0.25">
      <c r="B1906" s="6"/>
      <c r="C1906" s="7"/>
      <c r="D1906" s="7"/>
      <c r="E1906" s="8"/>
      <c r="F1906" t="str">
        <f t="shared" si="85"/>
        <v/>
      </c>
      <c r="G1906" t="str">
        <f t="shared" si="86"/>
        <v/>
      </c>
    </row>
    <row r="1907" spans="2:7" x14ac:dyDescent="0.25">
      <c r="B1907" s="6"/>
      <c r="C1907" s="7"/>
      <c r="D1907" s="7"/>
      <c r="E1907" s="8"/>
      <c r="F1907" t="str">
        <f t="shared" si="85"/>
        <v/>
      </c>
      <c r="G1907" t="str">
        <f t="shared" si="86"/>
        <v/>
      </c>
    </row>
    <row r="1908" spans="2:7" x14ac:dyDescent="0.25">
      <c r="B1908" s="6"/>
      <c r="C1908" s="7"/>
      <c r="D1908" s="7"/>
      <c r="E1908" s="8"/>
      <c r="F1908" t="str">
        <f t="shared" si="85"/>
        <v/>
      </c>
      <c r="G1908" t="str">
        <f t="shared" si="86"/>
        <v/>
      </c>
    </row>
    <row r="1909" spans="2:7" x14ac:dyDescent="0.25">
      <c r="B1909" s="6"/>
      <c r="C1909" s="7"/>
      <c r="D1909" s="7"/>
      <c r="E1909" s="8"/>
      <c r="F1909" t="str">
        <f t="shared" si="85"/>
        <v/>
      </c>
      <c r="G1909" t="str">
        <f t="shared" si="86"/>
        <v/>
      </c>
    </row>
    <row r="1910" spans="2:7" x14ac:dyDescent="0.25">
      <c r="B1910" s="6"/>
      <c r="C1910" s="7"/>
      <c r="D1910" s="7"/>
      <c r="E1910" s="8"/>
      <c r="F1910" t="str">
        <f t="shared" si="85"/>
        <v/>
      </c>
      <c r="G1910" t="str">
        <f t="shared" si="86"/>
        <v/>
      </c>
    </row>
    <row r="1911" spans="2:7" x14ac:dyDescent="0.25">
      <c r="B1911" s="6"/>
      <c r="C1911" s="7"/>
      <c r="D1911" s="7"/>
      <c r="E1911" s="8"/>
      <c r="F1911" t="str">
        <f t="shared" si="85"/>
        <v/>
      </c>
      <c r="G1911" t="str">
        <f t="shared" si="86"/>
        <v/>
      </c>
    </row>
    <row r="1912" spans="2:7" x14ac:dyDescent="0.25">
      <c r="B1912" s="6"/>
      <c r="C1912" s="7"/>
      <c r="D1912" s="7"/>
      <c r="E1912" s="8"/>
      <c r="F1912" t="str">
        <f t="shared" si="85"/>
        <v/>
      </c>
      <c r="G1912" t="str">
        <f t="shared" si="86"/>
        <v/>
      </c>
    </row>
    <row r="1913" spans="2:7" x14ac:dyDescent="0.25">
      <c r="B1913" s="6"/>
      <c r="C1913" s="7"/>
      <c r="D1913" s="7"/>
      <c r="E1913" s="8"/>
      <c r="F1913" t="str">
        <f t="shared" si="85"/>
        <v/>
      </c>
      <c r="G1913" t="str">
        <f t="shared" si="86"/>
        <v/>
      </c>
    </row>
    <row r="1914" spans="2:7" x14ac:dyDescent="0.25">
      <c r="B1914" s="6"/>
      <c r="C1914" s="7"/>
      <c r="D1914" s="7"/>
      <c r="E1914" s="8"/>
      <c r="F1914" t="str">
        <f t="shared" si="85"/>
        <v/>
      </c>
      <c r="G1914" t="str">
        <f t="shared" si="86"/>
        <v/>
      </c>
    </row>
    <row r="1915" spans="2:7" x14ac:dyDescent="0.25">
      <c r="B1915" s="6"/>
      <c r="C1915" s="7"/>
      <c r="D1915" s="7"/>
      <c r="E1915" s="8"/>
      <c r="F1915" t="str">
        <f t="shared" si="85"/>
        <v/>
      </c>
      <c r="G1915" t="str">
        <f t="shared" si="86"/>
        <v/>
      </c>
    </row>
    <row r="1916" spans="2:7" x14ac:dyDescent="0.25">
      <c r="B1916" s="6"/>
      <c r="C1916" s="7"/>
      <c r="D1916" s="7"/>
      <c r="E1916" s="8"/>
      <c r="F1916" t="str">
        <f t="shared" si="85"/>
        <v/>
      </c>
      <c r="G1916" t="str">
        <f t="shared" si="86"/>
        <v/>
      </c>
    </row>
    <row r="1917" spans="2:7" x14ac:dyDescent="0.25">
      <c r="B1917" s="6"/>
      <c r="C1917" s="7"/>
      <c r="D1917" s="7"/>
      <c r="E1917" s="8"/>
      <c r="F1917" t="str">
        <f t="shared" si="85"/>
        <v/>
      </c>
      <c r="G1917" t="str">
        <f t="shared" si="86"/>
        <v/>
      </c>
    </row>
    <row r="1918" spans="2:7" x14ac:dyDescent="0.25">
      <c r="B1918" s="6"/>
      <c r="C1918" s="7"/>
      <c r="D1918" s="7"/>
      <c r="E1918" s="8"/>
      <c r="F1918" t="str">
        <f t="shared" si="85"/>
        <v/>
      </c>
      <c r="G1918" t="str">
        <f t="shared" si="86"/>
        <v/>
      </c>
    </row>
    <row r="1919" spans="2:7" x14ac:dyDescent="0.25">
      <c r="B1919" s="6"/>
      <c r="C1919" s="7"/>
      <c r="D1919" s="7"/>
      <c r="E1919" s="8"/>
      <c r="F1919" t="str">
        <f t="shared" si="85"/>
        <v/>
      </c>
      <c r="G1919" t="str">
        <f t="shared" si="86"/>
        <v/>
      </c>
    </row>
    <row r="1920" spans="2:7" x14ac:dyDescent="0.25">
      <c r="B1920" s="6"/>
      <c r="C1920" s="7"/>
      <c r="D1920" s="7"/>
      <c r="E1920" s="8"/>
      <c r="F1920" t="str">
        <f t="shared" si="85"/>
        <v/>
      </c>
      <c r="G1920" t="str">
        <f t="shared" si="86"/>
        <v/>
      </c>
    </row>
    <row r="1921" spans="2:7" x14ac:dyDescent="0.25">
      <c r="B1921" s="6"/>
      <c r="C1921" s="7"/>
      <c r="D1921" s="7"/>
      <c r="E1921" s="8"/>
      <c r="F1921" t="str">
        <f t="shared" si="85"/>
        <v/>
      </c>
      <c r="G1921" t="str">
        <f t="shared" si="86"/>
        <v/>
      </c>
    </row>
    <row r="1922" spans="2:7" x14ac:dyDescent="0.25">
      <c r="B1922" s="6"/>
      <c r="C1922" s="7"/>
      <c r="D1922" s="7"/>
      <c r="E1922" s="8"/>
      <c r="F1922" t="str">
        <f t="shared" si="85"/>
        <v/>
      </c>
      <c r="G1922" t="str">
        <f t="shared" si="86"/>
        <v/>
      </c>
    </row>
    <row r="1923" spans="2:7" x14ac:dyDescent="0.25">
      <c r="B1923" s="6"/>
      <c r="C1923" s="7"/>
      <c r="D1923" s="7"/>
      <c r="E1923" s="8"/>
      <c r="F1923" t="str">
        <f t="shared" si="85"/>
        <v/>
      </c>
      <c r="G1923" t="str">
        <f t="shared" si="86"/>
        <v/>
      </c>
    </row>
    <row r="1924" spans="2:7" x14ac:dyDescent="0.25">
      <c r="B1924" s="6"/>
      <c r="C1924" s="7"/>
      <c r="D1924" s="7"/>
      <c r="E1924" s="8"/>
      <c r="F1924" t="str">
        <f t="shared" ref="F1924:F1987" si="87">IF(B1924="","",LOG10(D1924))</f>
        <v/>
      </c>
      <c r="G1924" t="str">
        <f t="shared" ref="G1924:G1987" si="88">IF(E1924="", "",0.434*E1924/D1924)</f>
        <v/>
      </c>
    </row>
    <row r="1925" spans="2:7" x14ac:dyDescent="0.25">
      <c r="B1925" s="6"/>
      <c r="C1925" s="7"/>
      <c r="D1925" s="7"/>
      <c r="E1925" s="8"/>
      <c r="F1925" t="str">
        <f t="shared" si="87"/>
        <v/>
      </c>
      <c r="G1925" t="str">
        <f t="shared" si="88"/>
        <v/>
      </c>
    </row>
    <row r="1926" spans="2:7" x14ac:dyDescent="0.25">
      <c r="B1926" s="6"/>
      <c r="C1926" s="7"/>
      <c r="D1926" s="7"/>
      <c r="E1926" s="8"/>
      <c r="F1926" t="str">
        <f t="shared" si="87"/>
        <v/>
      </c>
      <c r="G1926" t="str">
        <f t="shared" si="88"/>
        <v/>
      </c>
    </row>
    <row r="1927" spans="2:7" x14ac:dyDescent="0.25">
      <c r="B1927" s="6"/>
      <c r="C1927" s="7"/>
      <c r="D1927" s="7"/>
      <c r="E1927" s="8"/>
      <c r="F1927" t="str">
        <f t="shared" si="87"/>
        <v/>
      </c>
      <c r="G1927" t="str">
        <f t="shared" si="88"/>
        <v/>
      </c>
    </row>
    <row r="1928" spans="2:7" x14ac:dyDescent="0.25">
      <c r="B1928" s="6"/>
      <c r="C1928" s="7"/>
      <c r="D1928" s="7"/>
      <c r="E1928" s="8"/>
      <c r="F1928" t="str">
        <f t="shared" si="87"/>
        <v/>
      </c>
      <c r="G1928" t="str">
        <f t="shared" si="88"/>
        <v/>
      </c>
    </row>
    <row r="1929" spans="2:7" x14ac:dyDescent="0.25">
      <c r="B1929" s="6"/>
      <c r="C1929" s="7"/>
      <c r="D1929" s="7"/>
      <c r="E1929" s="8"/>
      <c r="F1929" t="str">
        <f t="shared" si="87"/>
        <v/>
      </c>
      <c r="G1929" t="str">
        <f t="shared" si="88"/>
        <v/>
      </c>
    </row>
    <row r="1930" spans="2:7" x14ac:dyDescent="0.25">
      <c r="B1930" s="6"/>
      <c r="C1930" s="7"/>
      <c r="D1930" s="7"/>
      <c r="E1930" s="8"/>
      <c r="F1930" t="str">
        <f t="shared" si="87"/>
        <v/>
      </c>
      <c r="G1930" t="str">
        <f t="shared" si="88"/>
        <v/>
      </c>
    </row>
    <row r="1931" spans="2:7" x14ac:dyDescent="0.25">
      <c r="B1931" s="6"/>
      <c r="C1931" s="7"/>
      <c r="D1931" s="7"/>
      <c r="E1931" s="8"/>
      <c r="F1931" t="str">
        <f t="shared" si="87"/>
        <v/>
      </c>
      <c r="G1931" t="str">
        <f t="shared" si="88"/>
        <v/>
      </c>
    </row>
    <row r="1932" spans="2:7" x14ac:dyDescent="0.25">
      <c r="B1932" s="6"/>
      <c r="C1932" s="7"/>
      <c r="D1932" s="7"/>
      <c r="E1932" s="8"/>
      <c r="F1932" t="str">
        <f t="shared" si="87"/>
        <v/>
      </c>
      <c r="G1932" t="str">
        <f t="shared" si="88"/>
        <v/>
      </c>
    </row>
    <row r="1933" spans="2:7" x14ac:dyDescent="0.25">
      <c r="B1933" s="6"/>
      <c r="C1933" s="7"/>
      <c r="D1933" s="7"/>
      <c r="E1933" s="8"/>
      <c r="F1933" t="str">
        <f t="shared" si="87"/>
        <v/>
      </c>
      <c r="G1933" t="str">
        <f t="shared" si="88"/>
        <v/>
      </c>
    </row>
    <row r="1934" spans="2:7" x14ac:dyDescent="0.25">
      <c r="B1934" s="6"/>
      <c r="C1934" s="7"/>
      <c r="D1934" s="7"/>
      <c r="E1934" s="8"/>
      <c r="F1934" t="str">
        <f t="shared" si="87"/>
        <v/>
      </c>
      <c r="G1934" t="str">
        <f t="shared" si="88"/>
        <v/>
      </c>
    </row>
    <row r="1935" spans="2:7" x14ac:dyDescent="0.25">
      <c r="B1935" s="6"/>
      <c r="C1935" s="7"/>
      <c r="D1935" s="7"/>
      <c r="E1935" s="8"/>
      <c r="F1935" t="str">
        <f t="shared" si="87"/>
        <v/>
      </c>
      <c r="G1935" t="str">
        <f t="shared" si="88"/>
        <v/>
      </c>
    </row>
    <row r="1936" spans="2:7" x14ac:dyDescent="0.25">
      <c r="B1936" s="6"/>
      <c r="C1936" s="7"/>
      <c r="D1936" s="7"/>
      <c r="E1936" s="8"/>
      <c r="F1936" t="str">
        <f t="shared" si="87"/>
        <v/>
      </c>
      <c r="G1936" t="str">
        <f t="shared" si="88"/>
        <v/>
      </c>
    </row>
    <row r="1937" spans="2:7" x14ac:dyDescent="0.25">
      <c r="B1937" s="6"/>
      <c r="C1937" s="7"/>
      <c r="D1937" s="7"/>
      <c r="E1937" s="8"/>
      <c r="F1937" t="str">
        <f t="shared" si="87"/>
        <v/>
      </c>
      <c r="G1937" t="str">
        <f t="shared" si="88"/>
        <v/>
      </c>
    </row>
    <row r="1938" spans="2:7" x14ac:dyDescent="0.25">
      <c r="B1938" s="6"/>
      <c r="C1938" s="7"/>
      <c r="D1938" s="7"/>
      <c r="E1938" s="8"/>
      <c r="F1938" t="str">
        <f t="shared" si="87"/>
        <v/>
      </c>
      <c r="G1938" t="str">
        <f t="shared" si="88"/>
        <v/>
      </c>
    </row>
    <row r="1939" spans="2:7" x14ac:dyDescent="0.25">
      <c r="B1939" s="6"/>
      <c r="C1939" s="7"/>
      <c r="D1939" s="7"/>
      <c r="E1939" s="8"/>
      <c r="F1939" t="str">
        <f t="shared" si="87"/>
        <v/>
      </c>
      <c r="G1939" t="str">
        <f t="shared" si="88"/>
        <v/>
      </c>
    </row>
    <row r="1940" spans="2:7" x14ac:dyDescent="0.25">
      <c r="B1940" s="6"/>
      <c r="C1940" s="7"/>
      <c r="D1940" s="7"/>
      <c r="E1940" s="8"/>
      <c r="F1940" t="str">
        <f t="shared" si="87"/>
        <v/>
      </c>
      <c r="G1940" t="str">
        <f t="shared" si="88"/>
        <v/>
      </c>
    </row>
    <row r="1941" spans="2:7" x14ac:dyDescent="0.25">
      <c r="B1941" s="6"/>
      <c r="C1941" s="7"/>
      <c r="D1941" s="7"/>
      <c r="E1941" s="8"/>
      <c r="F1941" t="str">
        <f t="shared" si="87"/>
        <v/>
      </c>
      <c r="G1941" t="str">
        <f t="shared" si="88"/>
        <v/>
      </c>
    </row>
    <row r="1942" spans="2:7" x14ac:dyDescent="0.25">
      <c r="B1942" s="6"/>
      <c r="C1942" s="7"/>
      <c r="D1942" s="7"/>
      <c r="E1942" s="8"/>
      <c r="F1942" t="str">
        <f t="shared" si="87"/>
        <v/>
      </c>
      <c r="G1942" t="str">
        <f t="shared" si="88"/>
        <v/>
      </c>
    </row>
    <row r="1943" spans="2:7" x14ac:dyDescent="0.25">
      <c r="B1943" s="6"/>
      <c r="C1943" s="7"/>
      <c r="D1943" s="7"/>
      <c r="E1943" s="8"/>
      <c r="F1943" t="str">
        <f t="shared" si="87"/>
        <v/>
      </c>
      <c r="G1943" t="str">
        <f t="shared" si="88"/>
        <v/>
      </c>
    </row>
    <row r="1944" spans="2:7" x14ac:dyDescent="0.25">
      <c r="B1944" s="6"/>
      <c r="C1944" s="7"/>
      <c r="D1944" s="7"/>
      <c r="E1944" s="8"/>
      <c r="F1944" t="str">
        <f t="shared" si="87"/>
        <v/>
      </c>
      <c r="G1944" t="str">
        <f t="shared" si="88"/>
        <v/>
      </c>
    </row>
    <row r="1945" spans="2:7" x14ac:dyDescent="0.25">
      <c r="B1945" s="6"/>
      <c r="C1945" s="7"/>
      <c r="D1945" s="7"/>
      <c r="E1945" s="8"/>
      <c r="F1945" t="str">
        <f t="shared" si="87"/>
        <v/>
      </c>
      <c r="G1945" t="str">
        <f t="shared" si="88"/>
        <v/>
      </c>
    </row>
    <row r="1946" spans="2:7" x14ac:dyDescent="0.25">
      <c r="B1946" s="6"/>
      <c r="C1946" s="7"/>
      <c r="D1946" s="7"/>
      <c r="E1946" s="8"/>
      <c r="F1946" t="str">
        <f t="shared" si="87"/>
        <v/>
      </c>
      <c r="G1946" t="str">
        <f t="shared" si="88"/>
        <v/>
      </c>
    </row>
    <row r="1947" spans="2:7" x14ac:dyDescent="0.25">
      <c r="B1947" s="6"/>
      <c r="C1947" s="7"/>
      <c r="D1947" s="7"/>
      <c r="E1947" s="8"/>
      <c r="F1947" t="str">
        <f t="shared" si="87"/>
        <v/>
      </c>
      <c r="G1947" t="str">
        <f t="shared" si="88"/>
        <v/>
      </c>
    </row>
    <row r="1948" spans="2:7" x14ac:dyDescent="0.25">
      <c r="B1948" s="6"/>
      <c r="C1948" s="7"/>
      <c r="D1948" s="7"/>
      <c r="E1948" s="8"/>
      <c r="F1948" t="str">
        <f t="shared" si="87"/>
        <v/>
      </c>
      <c r="G1948" t="str">
        <f t="shared" si="88"/>
        <v/>
      </c>
    </row>
    <row r="1949" spans="2:7" x14ac:dyDescent="0.25">
      <c r="B1949" s="6"/>
      <c r="C1949" s="7"/>
      <c r="D1949" s="7"/>
      <c r="E1949" s="8"/>
      <c r="F1949" t="str">
        <f t="shared" si="87"/>
        <v/>
      </c>
      <c r="G1949" t="str">
        <f t="shared" si="88"/>
        <v/>
      </c>
    </row>
    <row r="1950" spans="2:7" x14ac:dyDescent="0.25">
      <c r="B1950" s="6"/>
      <c r="C1950" s="7"/>
      <c r="D1950" s="7"/>
      <c r="E1950" s="8"/>
      <c r="F1950" t="str">
        <f t="shared" si="87"/>
        <v/>
      </c>
      <c r="G1950" t="str">
        <f t="shared" si="88"/>
        <v/>
      </c>
    </row>
    <row r="1951" spans="2:7" x14ac:dyDescent="0.25">
      <c r="B1951" s="6"/>
      <c r="C1951" s="7"/>
      <c r="D1951" s="7"/>
      <c r="E1951" s="8"/>
      <c r="F1951" t="str">
        <f t="shared" si="87"/>
        <v/>
      </c>
      <c r="G1951" t="str">
        <f t="shared" si="88"/>
        <v/>
      </c>
    </row>
    <row r="1952" spans="2:7" x14ac:dyDescent="0.25">
      <c r="B1952" s="6"/>
      <c r="C1952" s="7"/>
      <c r="D1952" s="7"/>
      <c r="E1952" s="8"/>
      <c r="F1952" t="str">
        <f t="shared" si="87"/>
        <v/>
      </c>
      <c r="G1952" t="str">
        <f t="shared" si="88"/>
        <v/>
      </c>
    </row>
    <row r="1953" spans="2:7" x14ac:dyDescent="0.25">
      <c r="B1953" s="6"/>
      <c r="C1953" s="7"/>
      <c r="D1953" s="7"/>
      <c r="E1953" s="8"/>
      <c r="F1953" t="str">
        <f t="shared" si="87"/>
        <v/>
      </c>
      <c r="G1953" t="str">
        <f t="shared" si="88"/>
        <v/>
      </c>
    </row>
    <row r="1954" spans="2:7" x14ac:dyDescent="0.25">
      <c r="B1954" s="6"/>
      <c r="C1954" s="7"/>
      <c r="D1954" s="7"/>
      <c r="E1954" s="8"/>
      <c r="F1954" t="str">
        <f t="shared" si="87"/>
        <v/>
      </c>
      <c r="G1954" t="str">
        <f t="shared" si="88"/>
        <v/>
      </c>
    </row>
    <row r="1955" spans="2:7" x14ac:dyDescent="0.25">
      <c r="B1955" s="6"/>
      <c r="C1955" s="7"/>
      <c r="D1955" s="7"/>
      <c r="E1955" s="8"/>
      <c r="F1955" t="str">
        <f t="shared" si="87"/>
        <v/>
      </c>
      <c r="G1955" t="str">
        <f t="shared" si="88"/>
        <v/>
      </c>
    </row>
    <row r="1956" spans="2:7" x14ac:dyDescent="0.25">
      <c r="B1956" s="6"/>
      <c r="C1956" s="7"/>
      <c r="D1956" s="7"/>
      <c r="E1956" s="8"/>
      <c r="F1956" t="str">
        <f t="shared" si="87"/>
        <v/>
      </c>
      <c r="G1956" t="str">
        <f t="shared" si="88"/>
        <v/>
      </c>
    </row>
    <row r="1957" spans="2:7" x14ac:dyDescent="0.25">
      <c r="B1957" s="6"/>
      <c r="C1957" s="7"/>
      <c r="D1957" s="7"/>
      <c r="E1957" s="8"/>
      <c r="F1957" t="str">
        <f t="shared" si="87"/>
        <v/>
      </c>
      <c r="G1957" t="str">
        <f t="shared" si="88"/>
        <v/>
      </c>
    </row>
    <row r="1958" spans="2:7" x14ac:dyDescent="0.25">
      <c r="B1958" s="6"/>
      <c r="C1958" s="7"/>
      <c r="D1958" s="7"/>
      <c r="E1958" s="8"/>
      <c r="F1958" t="str">
        <f t="shared" si="87"/>
        <v/>
      </c>
      <c r="G1958" t="str">
        <f t="shared" si="88"/>
        <v/>
      </c>
    </row>
    <row r="1959" spans="2:7" x14ac:dyDescent="0.25">
      <c r="B1959" s="6"/>
      <c r="C1959" s="7"/>
      <c r="D1959" s="7"/>
      <c r="E1959" s="8"/>
      <c r="F1959" t="str">
        <f t="shared" si="87"/>
        <v/>
      </c>
      <c r="G1959" t="str">
        <f t="shared" si="88"/>
        <v/>
      </c>
    </row>
    <row r="1960" spans="2:7" x14ac:dyDescent="0.25">
      <c r="B1960" s="6"/>
      <c r="C1960" s="7"/>
      <c r="D1960" s="7"/>
      <c r="E1960" s="8"/>
      <c r="F1960" t="str">
        <f t="shared" si="87"/>
        <v/>
      </c>
      <c r="G1960" t="str">
        <f t="shared" si="88"/>
        <v/>
      </c>
    </row>
    <row r="1961" spans="2:7" x14ac:dyDescent="0.25">
      <c r="B1961" s="6"/>
      <c r="C1961" s="7"/>
      <c r="D1961" s="7"/>
      <c r="E1961" s="8"/>
      <c r="F1961" t="str">
        <f t="shared" si="87"/>
        <v/>
      </c>
      <c r="G1961" t="str">
        <f t="shared" si="88"/>
        <v/>
      </c>
    </row>
    <row r="1962" spans="2:7" x14ac:dyDescent="0.25">
      <c r="B1962" s="6"/>
      <c r="C1962" s="7"/>
      <c r="D1962" s="7"/>
      <c r="E1962" s="8"/>
      <c r="F1962" t="str">
        <f t="shared" si="87"/>
        <v/>
      </c>
      <c r="G1962" t="str">
        <f t="shared" si="88"/>
        <v/>
      </c>
    </row>
    <row r="1963" spans="2:7" x14ac:dyDescent="0.25">
      <c r="B1963" s="6"/>
      <c r="C1963" s="7"/>
      <c r="D1963" s="7"/>
      <c r="E1963" s="8"/>
      <c r="F1963" t="str">
        <f t="shared" si="87"/>
        <v/>
      </c>
      <c r="G1963" t="str">
        <f t="shared" si="88"/>
        <v/>
      </c>
    </row>
    <row r="1964" spans="2:7" x14ac:dyDescent="0.25">
      <c r="B1964" s="6"/>
      <c r="C1964" s="7"/>
      <c r="D1964" s="7"/>
      <c r="E1964" s="8"/>
      <c r="F1964" t="str">
        <f t="shared" si="87"/>
        <v/>
      </c>
      <c r="G1964" t="str">
        <f t="shared" si="88"/>
        <v/>
      </c>
    </row>
    <row r="1965" spans="2:7" x14ac:dyDescent="0.25">
      <c r="B1965" s="6"/>
      <c r="C1965" s="7"/>
      <c r="D1965" s="7"/>
      <c r="E1965" s="8"/>
      <c r="F1965" t="str">
        <f t="shared" si="87"/>
        <v/>
      </c>
      <c r="G1965" t="str">
        <f t="shared" si="88"/>
        <v/>
      </c>
    </row>
    <row r="1966" spans="2:7" x14ac:dyDescent="0.25">
      <c r="B1966" s="6"/>
      <c r="C1966" s="7"/>
      <c r="D1966" s="7"/>
      <c r="E1966" s="8"/>
      <c r="F1966" t="str">
        <f t="shared" si="87"/>
        <v/>
      </c>
      <c r="G1966" t="str">
        <f t="shared" si="88"/>
        <v/>
      </c>
    </row>
    <row r="1967" spans="2:7" x14ac:dyDescent="0.25">
      <c r="B1967" s="6"/>
      <c r="C1967" s="7"/>
      <c r="D1967" s="7"/>
      <c r="E1967" s="8"/>
      <c r="F1967" t="str">
        <f t="shared" si="87"/>
        <v/>
      </c>
      <c r="G1967" t="str">
        <f t="shared" si="88"/>
        <v/>
      </c>
    </row>
    <row r="1968" spans="2:7" x14ac:dyDescent="0.25">
      <c r="B1968" s="6"/>
      <c r="C1968" s="7"/>
      <c r="D1968" s="7"/>
      <c r="E1968" s="8"/>
      <c r="F1968" t="str">
        <f t="shared" si="87"/>
        <v/>
      </c>
      <c r="G1968" t="str">
        <f t="shared" si="88"/>
        <v/>
      </c>
    </row>
    <row r="1969" spans="2:7" x14ac:dyDescent="0.25">
      <c r="B1969" s="6"/>
      <c r="C1969" s="7"/>
      <c r="D1969" s="7"/>
      <c r="E1969" s="8"/>
      <c r="F1969" t="str">
        <f t="shared" si="87"/>
        <v/>
      </c>
      <c r="G1969" t="str">
        <f t="shared" si="88"/>
        <v/>
      </c>
    </row>
    <row r="1970" spans="2:7" x14ac:dyDescent="0.25">
      <c r="B1970" s="6"/>
      <c r="C1970" s="7"/>
      <c r="D1970" s="7"/>
      <c r="E1970" s="8"/>
      <c r="F1970" t="str">
        <f t="shared" si="87"/>
        <v/>
      </c>
      <c r="G1970" t="str">
        <f t="shared" si="88"/>
        <v/>
      </c>
    </row>
    <row r="1971" spans="2:7" x14ac:dyDescent="0.25">
      <c r="B1971" s="6"/>
      <c r="C1971" s="7"/>
      <c r="D1971" s="7"/>
      <c r="E1971" s="8"/>
      <c r="F1971" t="str">
        <f t="shared" si="87"/>
        <v/>
      </c>
      <c r="G1971" t="str">
        <f t="shared" si="88"/>
        <v/>
      </c>
    </row>
    <row r="1972" spans="2:7" x14ac:dyDescent="0.25">
      <c r="B1972" s="6"/>
      <c r="C1972" s="7"/>
      <c r="D1972" s="7"/>
      <c r="E1972" s="8"/>
      <c r="F1972" t="str">
        <f t="shared" si="87"/>
        <v/>
      </c>
      <c r="G1972" t="str">
        <f t="shared" si="88"/>
        <v/>
      </c>
    </row>
    <row r="1973" spans="2:7" x14ac:dyDescent="0.25">
      <c r="B1973" s="6"/>
      <c r="C1973" s="7"/>
      <c r="D1973" s="7"/>
      <c r="E1973" s="8"/>
      <c r="F1973" t="str">
        <f t="shared" si="87"/>
        <v/>
      </c>
      <c r="G1973" t="str">
        <f t="shared" si="88"/>
        <v/>
      </c>
    </row>
    <row r="1974" spans="2:7" x14ac:dyDescent="0.25">
      <c r="B1974" s="6"/>
      <c r="C1974" s="7"/>
      <c r="D1974" s="7"/>
      <c r="E1974" s="8"/>
      <c r="F1974" t="str">
        <f t="shared" si="87"/>
        <v/>
      </c>
      <c r="G1974" t="str">
        <f t="shared" si="88"/>
        <v/>
      </c>
    </row>
    <row r="1975" spans="2:7" x14ac:dyDescent="0.25">
      <c r="B1975" s="6"/>
      <c r="C1975" s="7"/>
      <c r="D1975" s="7"/>
      <c r="E1975" s="8"/>
      <c r="F1975" t="str">
        <f t="shared" si="87"/>
        <v/>
      </c>
      <c r="G1975" t="str">
        <f t="shared" si="88"/>
        <v/>
      </c>
    </row>
    <row r="1976" spans="2:7" x14ac:dyDescent="0.25">
      <c r="B1976" s="6"/>
      <c r="C1976" s="7"/>
      <c r="D1976" s="7"/>
      <c r="E1976" s="8"/>
      <c r="F1976" t="str">
        <f t="shared" si="87"/>
        <v/>
      </c>
      <c r="G1976" t="str">
        <f t="shared" si="88"/>
        <v/>
      </c>
    </row>
    <row r="1977" spans="2:7" x14ac:dyDescent="0.25">
      <c r="B1977" s="6"/>
      <c r="C1977" s="7"/>
      <c r="D1977" s="7"/>
      <c r="E1977" s="8"/>
      <c r="F1977" t="str">
        <f t="shared" si="87"/>
        <v/>
      </c>
      <c r="G1977" t="str">
        <f t="shared" si="88"/>
        <v/>
      </c>
    </row>
    <row r="1978" spans="2:7" x14ac:dyDescent="0.25">
      <c r="B1978" s="6"/>
      <c r="C1978" s="7"/>
      <c r="D1978" s="7"/>
      <c r="E1978" s="8"/>
      <c r="F1978" t="str">
        <f t="shared" si="87"/>
        <v/>
      </c>
      <c r="G1978" t="str">
        <f t="shared" si="88"/>
        <v/>
      </c>
    </row>
    <row r="1979" spans="2:7" x14ac:dyDescent="0.25">
      <c r="B1979" s="6"/>
      <c r="C1979" s="7"/>
      <c r="D1979" s="7"/>
      <c r="E1979" s="8"/>
      <c r="F1979" t="str">
        <f t="shared" si="87"/>
        <v/>
      </c>
      <c r="G1979" t="str">
        <f t="shared" si="88"/>
        <v/>
      </c>
    </row>
    <row r="1980" spans="2:7" x14ac:dyDescent="0.25">
      <c r="B1980" s="6"/>
      <c r="C1980" s="7"/>
      <c r="D1980" s="7"/>
      <c r="E1980" s="8"/>
      <c r="F1980" t="str">
        <f t="shared" si="87"/>
        <v/>
      </c>
      <c r="G1980" t="str">
        <f t="shared" si="88"/>
        <v/>
      </c>
    </row>
    <row r="1981" spans="2:7" x14ac:dyDescent="0.25">
      <c r="B1981" s="6"/>
      <c r="C1981" s="7"/>
      <c r="D1981" s="7"/>
      <c r="E1981" s="8"/>
      <c r="F1981" t="str">
        <f t="shared" si="87"/>
        <v/>
      </c>
      <c r="G1981" t="str">
        <f t="shared" si="88"/>
        <v/>
      </c>
    </row>
    <row r="1982" spans="2:7" x14ac:dyDescent="0.25">
      <c r="B1982" s="6"/>
      <c r="C1982" s="7"/>
      <c r="D1982" s="7"/>
      <c r="E1982" s="8"/>
      <c r="F1982" t="str">
        <f t="shared" si="87"/>
        <v/>
      </c>
      <c r="G1982" t="str">
        <f t="shared" si="88"/>
        <v/>
      </c>
    </row>
    <row r="1983" spans="2:7" x14ac:dyDescent="0.25">
      <c r="B1983" s="6"/>
      <c r="C1983" s="7"/>
      <c r="D1983" s="7"/>
      <c r="E1983" s="8"/>
      <c r="F1983" t="str">
        <f t="shared" si="87"/>
        <v/>
      </c>
      <c r="G1983" t="str">
        <f t="shared" si="88"/>
        <v/>
      </c>
    </row>
    <row r="1984" spans="2:7" x14ac:dyDescent="0.25">
      <c r="B1984" s="6"/>
      <c r="C1984" s="7"/>
      <c r="D1984" s="7"/>
      <c r="E1984" s="8"/>
      <c r="F1984" t="str">
        <f t="shared" si="87"/>
        <v/>
      </c>
      <c r="G1984" t="str">
        <f t="shared" si="88"/>
        <v/>
      </c>
    </row>
    <row r="1985" spans="2:7" x14ac:dyDescent="0.25">
      <c r="B1985" s="6"/>
      <c r="C1985" s="7"/>
      <c r="D1985" s="7"/>
      <c r="E1985" s="8"/>
      <c r="F1985" t="str">
        <f t="shared" si="87"/>
        <v/>
      </c>
      <c r="G1985" t="str">
        <f t="shared" si="88"/>
        <v/>
      </c>
    </row>
    <row r="1986" spans="2:7" x14ac:dyDescent="0.25">
      <c r="B1986" s="6"/>
      <c r="C1986" s="7"/>
      <c r="D1986" s="7"/>
      <c r="E1986" s="8"/>
      <c r="F1986" t="str">
        <f t="shared" si="87"/>
        <v/>
      </c>
      <c r="G1986" t="str">
        <f t="shared" si="88"/>
        <v/>
      </c>
    </row>
    <row r="1987" spans="2:7" x14ac:dyDescent="0.25">
      <c r="B1987" s="6"/>
      <c r="C1987" s="7"/>
      <c r="D1987" s="7"/>
      <c r="E1987" s="8"/>
      <c r="F1987" t="str">
        <f t="shared" si="87"/>
        <v/>
      </c>
      <c r="G1987" t="str">
        <f t="shared" si="88"/>
        <v/>
      </c>
    </row>
    <row r="1988" spans="2:7" x14ac:dyDescent="0.25">
      <c r="B1988" s="6"/>
      <c r="C1988" s="7"/>
      <c r="D1988" s="7"/>
      <c r="E1988" s="8"/>
      <c r="F1988" t="str">
        <f t="shared" ref="F1988:F2051" si="89">IF(B1988="","",LOG10(D1988))</f>
        <v/>
      </c>
      <c r="G1988" t="str">
        <f t="shared" ref="G1988:G2051" si="90">IF(E1988="", "",0.434*E1988/D1988)</f>
        <v/>
      </c>
    </row>
    <row r="1989" spans="2:7" x14ac:dyDescent="0.25">
      <c r="B1989" s="6"/>
      <c r="C1989" s="7"/>
      <c r="D1989" s="7"/>
      <c r="E1989" s="8"/>
      <c r="F1989" t="str">
        <f t="shared" si="89"/>
        <v/>
      </c>
      <c r="G1989" t="str">
        <f t="shared" si="90"/>
        <v/>
      </c>
    </row>
    <row r="1990" spans="2:7" x14ac:dyDescent="0.25">
      <c r="B1990" s="6"/>
      <c r="C1990" s="7"/>
      <c r="D1990" s="7"/>
      <c r="E1990" s="8"/>
      <c r="F1990" t="str">
        <f t="shared" si="89"/>
        <v/>
      </c>
      <c r="G1990" t="str">
        <f t="shared" si="90"/>
        <v/>
      </c>
    </row>
    <row r="1991" spans="2:7" x14ac:dyDescent="0.25">
      <c r="B1991" s="6"/>
      <c r="C1991" s="7"/>
      <c r="D1991" s="7"/>
      <c r="E1991" s="8"/>
      <c r="F1991" t="str">
        <f t="shared" si="89"/>
        <v/>
      </c>
      <c r="G1991" t="str">
        <f t="shared" si="90"/>
        <v/>
      </c>
    </row>
    <row r="1992" spans="2:7" x14ac:dyDescent="0.25">
      <c r="B1992" s="6"/>
      <c r="C1992" s="7"/>
      <c r="D1992" s="7"/>
      <c r="E1992" s="8"/>
      <c r="F1992" t="str">
        <f t="shared" si="89"/>
        <v/>
      </c>
      <c r="G1992" t="str">
        <f t="shared" si="90"/>
        <v/>
      </c>
    </row>
    <row r="1993" spans="2:7" x14ac:dyDescent="0.25">
      <c r="B1993" s="6"/>
      <c r="C1993" s="7"/>
      <c r="D1993" s="7"/>
      <c r="E1993" s="8"/>
      <c r="F1993" t="str">
        <f t="shared" si="89"/>
        <v/>
      </c>
      <c r="G1993" t="str">
        <f t="shared" si="90"/>
        <v/>
      </c>
    </row>
    <row r="1994" spans="2:7" x14ac:dyDescent="0.25">
      <c r="B1994" s="6"/>
      <c r="C1994" s="7"/>
      <c r="D1994" s="7"/>
      <c r="E1994" s="8"/>
      <c r="F1994" t="str">
        <f t="shared" si="89"/>
        <v/>
      </c>
      <c r="G1994" t="str">
        <f t="shared" si="90"/>
        <v/>
      </c>
    </row>
    <row r="1995" spans="2:7" x14ac:dyDescent="0.25">
      <c r="B1995" s="6"/>
      <c r="C1995" s="7"/>
      <c r="D1995" s="7"/>
      <c r="E1995" s="8"/>
      <c r="F1995" t="str">
        <f t="shared" si="89"/>
        <v/>
      </c>
      <c r="G1995" t="str">
        <f t="shared" si="90"/>
        <v/>
      </c>
    </row>
    <row r="1996" spans="2:7" x14ac:dyDescent="0.25">
      <c r="B1996" s="6"/>
      <c r="C1996" s="7"/>
      <c r="D1996" s="7"/>
      <c r="E1996" s="8"/>
      <c r="F1996" t="str">
        <f t="shared" si="89"/>
        <v/>
      </c>
      <c r="G1996" t="str">
        <f t="shared" si="90"/>
        <v/>
      </c>
    </row>
    <row r="1997" spans="2:7" x14ac:dyDescent="0.25">
      <c r="B1997" s="6"/>
      <c r="C1997" s="7"/>
      <c r="D1997" s="7"/>
      <c r="E1997" s="8"/>
      <c r="F1997" t="str">
        <f t="shared" si="89"/>
        <v/>
      </c>
      <c r="G1997" t="str">
        <f t="shared" si="90"/>
        <v/>
      </c>
    </row>
    <row r="1998" spans="2:7" x14ac:dyDescent="0.25">
      <c r="B1998" s="6"/>
      <c r="C1998" s="7"/>
      <c r="D1998" s="7"/>
      <c r="E1998" s="8"/>
      <c r="F1998" t="str">
        <f t="shared" si="89"/>
        <v/>
      </c>
      <c r="G1998" t="str">
        <f t="shared" si="90"/>
        <v/>
      </c>
    </row>
    <row r="1999" spans="2:7" x14ac:dyDescent="0.25">
      <c r="B1999" s="6"/>
      <c r="C1999" s="7"/>
      <c r="D1999" s="7"/>
      <c r="E1999" s="8"/>
      <c r="F1999" t="str">
        <f t="shared" si="89"/>
        <v/>
      </c>
      <c r="G1999" t="str">
        <f t="shared" si="90"/>
        <v/>
      </c>
    </row>
    <row r="2000" spans="2:7" x14ac:dyDescent="0.25">
      <c r="B2000" s="6"/>
      <c r="C2000" s="7"/>
      <c r="D2000" s="7"/>
      <c r="E2000" s="8"/>
      <c r="F2000" t="str">
        <f t="shared" si="89"/>
        <v/>
      </c>
      <c r="G2000" t="str">
        <f t="shared" si="90"/>
        <v/>
      </c>
    </row>
    <row r="2001" spans="2:7" x14ac:dyDescent="0.25">
      <c r="B2001" s="6"/>
      <c r="C2001" s="7"/>
      <c r="D2001" s="7"/>
      <c r="E2001" s="8"/>
      <c r="F2001" t="str">
        <f t="shared" si="89"/>
        <v/>
      </c>
      <c r="G2001" t="str">
        <f t="shared" si="90"/>
        <v/>
      </c>
    </row>
    <row r="2002" spans="2:7" x14ac:dyDescent="0.25">
      <c r="B2002" s="6"/>
      <c r="C2002" s="7"/>
      <c r="D2002" s="7"/>
      <c r="E2002" s="8"/>
      <c r="F2002" t="str">
        <f t="shared" si="89"/>
        <v/>
      </c>
      <c r="G2002" t="str">
        <f t="shared" si="90"/>
        <v/>
      </c>
    </row>
    <row r="2003" spans="2:7" x14ac:dyDescent="0.25">
      <c r="B2003" s="6"/>
      <c r="C2003" s="7"/>
      <c r="D2003" s="7"/>
      <c r="E2003" s="8"/>
      <c r="F2003" t="str">
        <f t="shared" si="89"/>
        <v/>
      </c>
      <c r="G2003" t="str">
        <f t="shared" si="90"/>
        <v/>
      </c>
    </row>
    <row r="2004" spans="2:7" x14ac:dyDescent="0.25">
      <c r="B2004" s="6"/>
      <c r="C2004" s="7"/>
      <c r="D2004" s="7"/>
      <c r="E2004" s="8"/>
      <c r="F2004" t="str">
        <f t="shared" si="89"/>
        <v/>
      </c>
      <c r="G2004" t="str">
        <f t="shared" si="90"/>
        <v/>
      </c>
    </row>
    <row r="2005" spans="2:7" x14ac:dyDescent="0.25">
      <c r="B2005" s="6"/>
      <c r="C2005" s="7"/>
      <c r="D2005" s="7"/>
      <c r="E2005" s="8"/>
      <c r="F2005" t="str">
        <f t="shared" si="89"/>
        <v/>
      </c>
      <c r="G2005" t="str">
        <f t="shared" si="90"/>
        <v/>
      </c>
    </row>
    <row r="2006" spans="2:7" x14ac:dyDescent="0.25">
      <c r="B2006" s="6"/>
      <c r="C2006" s="7"/>
      <c r="D2006" s="7"/>
      <c r="E2006" s="8"/>
      <c r="F2006" t="str">
        <f t="shared" si="89"/>
        <v/>
      </c>
      <c r="G2006" t="str">
        <f t="shared" si="90"/>
        <v/>
      </c>
    </row>
    <row r="2007" spans="2:7" x14ac:dyDescent="0.25">
      <c r="B2007" s="6"/>
      <c r="C2007" s="7"/>
      <c r="D2007" s="7"/>
      <c r="E2007" s="8"/>
      <c r="F2007" t="str">
        <f t="shared" si="89"/>
        <v/>
      </c>
      <c r="G2007" t="str">
        <f t="shared" si="90"/>
        <v/>
      </c>
    </row>
    <row r="2008" spans="2:7" x14ac:dyDescent="0.25">
      <c r="B2008" s="6"/>
      <c r="C2008" s="7"/>
      <c r="D2008" s="7"/>
      <c r="E2008" s="8"/>
      <c r="F2008" t="str">
        <f t="shared" si="89"/>
        <v/>
      </c>
      <c r="G2008" t="str">
        <f t="shared" si="90"/>
        <v/>
      </c>
    </row>
    <row r="2009" spans="2:7" x14ac:dyDescent="0.25">
      <c r="B2009" s="6"/>
      <c r="C2009" s="7"/>
      <c r="D2009" s="7"/>
      <c r="E2009" s="8"/>
      <c r="F2009" t="str">
        <f t="shared" si="89"/>
        <v/>
      </c>
      <c r="G2009" t="str">
        <f t="shared" si="90"/>
        <v/>
      </c>
    </row>
    <row r="2010" spans="2:7" x14ac:dyDescent="0.25">
      <c r="B2010" s="6"/>
      <c r="C2010" s="7"/>
      <c r="D2010" s="7"/>
      <c r="E2010" s="8"/>
      <c r="F2010" t="str">
        <f t="shared" si="89"/>
        <v/>
      </c>
      <c r="G2010" t="str">
        <f t="shared" si="90"/>
        <v/>
      </c>
    </row>
    <row r="2011" spans="2:7" x14ac:dyDescent="0.25">
      <c r="B2011" s="6"/>
      <c r="C2011" s="7"/>
      <c r="D2011" s="7"/>
      <c r="E2011" s="8"/>
      <c r="F2011" t="str">
        <f t="shared" si="89"/>
        <v/>
      </c>
      <c r="G2011" t="str">
        <f t="shared" si="90"/>
        <v/>
      </c>
    </row>
    <row r="2012" spans="2:7" x14ac:dyDescent="0.25">
      <c r="B2012" s="6"/>
      <c r="C2012" s="7"/>
      <c r="D2012" s="7"/>
      <c r="E2012" s="8"/>
      <c r="F2012" t="str">
        <f t="shared" si="89"/>
        <v/>
      </c>
      <c r="G2012" t="str">
        <f t="shared" si="90"/>
        <v/>
      </c>
    </row>
    <row r="2013" spans="2:7" x14ac:dyDescent="0.25">
      <c r="B2013" s="6"/>
      <c r="C2013" s="7"/>
      <c r="D2013" s="7"/>
      <c r="E2013" s="8"/>
      <c r="F2013" t="str">
        <f t="shared" si="89"/>
        <v/>
      </c>
      <c r="G2013" t="str">
        <f t="shared" si="90"/>
        <v/>
      </c>
    </row>
    <row r="2014" spans="2:7" x14ac:dyDescent="0.25">
      <c r="B2014" s="6"/>
      <c r="C2014" s="7"/>
      <c r="D2014" s="7"/>
      <c r="E2014" s="8"/>
      <c r="F2014" t="str">
        <f t="shared" si="89"/>
        <v/>
      </c>
      <c r="G2014" t="str">
        <f t="shared" si="90"/>
        <v/>
      </c>
    </row>
    <row r="2015" spans="2:7" x14ac:dyDescent="0.25">
      <c r="B2015" s="6"/>
      <c r="C2015" s="7"/>
      <c r="D2015" s="7"/>
      <c r="E2015" s="8"/>
      <c r="F2015" t="str">
        <f t="shared" si="89"/>
        <v/>
      </c>
      <c r="G2015" t="str">
        <f t="shared" si="90"/>
        <v/>
      </c>
    </row>
    <row r="2016" spans="2:7" x14ac:dyDescent="0.25">
      <c r="B2016" s="6"/>
      <c r="C2016" s="7"/>
      <c r="D2016" s="7"/>
      <c r="E2016" s="8"/>
      <c r="F2016" t="str">
        <f t="shared" si="89"/>
        <v/>
      </c>
      <c r="G2016" t="str">
        <f t="shared" si="90"/>
        <v/>
      </c>
    </row>
    <row r="2017" spans="2:7" x14ac:dyDescent="0.25">
      <c r="B2017" s="6"/>
      <c r="C2017" s="7"/>
      <c r="D2017" s="7"/>
      <c r="E2017" s="8"/>
      <c r="F2017" t="str">
        <f t="shared" si="89"/>
        <v/>
      </c>
      <c r="G2017" t="str">
        <f t="shared" si="90"/>
        <v/>
      </c>
    </row>
    <row r="2018" spans="2:7" x14ac:dyDescent="0.25">
      <c r="B2018" s="6"/>
      <c r="C2018" s="7"/>
      <c r="D2018" s="7"/>
      <c r="E2018" s="8"/>
      <c r="F2018" t="str">
        <f t="shared" si="89"/>
        <v/>
      </c>
      <c r="G2018" t="str">
        <f t="shared" si="90"/>
        <v/>
      </c>
    </row>
    <row r="2019" spans="2:7" x14ac:dyDescent="0.25">
      <c r="B2019" s="6"/>
      <c r="C2019" s="7"/>
      <c r="D2019" s="7"/>
      <c r="E2019" s="8"/>
      <c r="F2019" t="str">
        <f t="shared" si="89"/>
        <v/>
      </c>
      <c r="G2019" t="str">
        <f t="shared" si="90"/>
        <v/>
      </c>
    </row>
    <row r="2020" spans="2:7" x14ac:dyDescent="0.25">
      <c r="B2020" s="6"/>
      <c r="C2020" s="7"/>
      <c r="D2020" s="7"/>
      <c r="E2020" s="8"/>
      <c r="F2020" t="str">
        <f t="shared" si="89"/>
        <v/>
      </c>
      <c r="G2020" t="str">
        <f t="shared" si="90"/>
        <v/>
      </c>
    </row>
    <row r="2021" spans="2:7" x14ac:dyDescent="0.25">
      <c r="B2021" s="6"/>
      <c r="C2021" s="7"/>
      <c r="D2021" s="7"/>
      <c r="E2021" s="8"/>
      <c r="F2021" t="str">
        <f t="shared" si="89"/>
        <v/>
      </c>
      <c r="G2021" t="str">
        <f t="shared" si="90"/>
        <v/>
      </c>
    </row>
    <row r="2022" spans="2:7" x14ac:dyDescent="0.25">
      <c r="B2022" s="6"/>
      <c r="C2022" s="7"/>
      <c r="D2022" s="7"/>
      <c r="E2022" s="8"/>
      <c r="F2022" t="str">
        <f t="shared" si="89"/>
        <v/>
      </c>
      <c r="G2022" t="str">
        <f t="shared" si="90"/>
        <v/>
      </c>
    </row>
    <row r="2023" spans="2:7" x14ac:dyDescent="0.25">
      <c r="B2023" s="6"/>
      <c r="C2023" s="7"/>
      <c r="D2023" s="7"/>
      <c r="E2023" s="8"/>
      <c r="F2023" t="str">
        <f t="shared" si="89"/>
        <v/>
      </c>
      <c r="G2023" t="str">
        <f t="shared" si="90"/>
        <v/>
      </c>
    </row>
    <row r="2024" spans="2:7" x14ac:dyDescent="0.25">
      <c r="B2024" s="6"/>
      <c r="C2024" s="7"/>
      <c r="D2024" s="7"/>
      <c r="E2024" s="8"/>
      <c r="F2024" t="str">
        <f t="shared" si="89"/>
        <v/>
      </c>
      <c r="G2024" t="str">
        <f t="shared" si="90"/>
        <v/>
      </c>
    </row>
    <row r="2025" spans="2:7" x14ac:dyDescent="0.25">
      <c r="B2025" s="6"/>
      <c r="C2025" s="7"/>
      <c r="D2025" s="7"/>
      <c r="E2025" s="8"/>
      <c r="F2025" t="str">
        <f t="shared" si="89"/>
        <v/>
      </c>
      <c r="G2025" t="str">
        <f t="shared" si="90"/>
        <v/>
      </c>
    </row>
    <row r="2026" spans="2:7" x14ac:dyDescent="0.25">
      <c r="B2026" s="6"/>
      <c r="C2026" s="7"/>
      <c r="D2026" s="7"/>
      <c r="E2026" s="8"/>
      <c r="F2026" t="str">
        <f t="shared" si="89"/>
        <v/>
      </c>
      <c r="G2026" t="str">
        <f t="shared" si="90"/>
        <v/>
      </c>
    </row>
    <row r="2027" spans="2:7" x14ac:dyDescent="0.25">
      <c r="B2027" s="6"/>
      <c r="C2027" s="7"/>
      <c r="D2027" s="7"/>
      <c r="E2027" s="8"/>
      <c r="F2027" t="str">
        <f t="shared" si="89"/>
        <v/>
      </c>
      <c r="G2027" t="str">
        <f t="shared" si="90"/>
        <v/>
      </c>
    </row>
    <row r="2028" spans="2:7" x14ac:dyDescent="0.25">
      <c r="B2028" s="6"/>
      <c r="C2028" s="7"/>
      <c r="D2028" s="7"/>
      <c r="E2028" s="8"/>
      <c r="F2028" t="str">
        <f t="shared" si="89"/>
        <v/>
      </c>
      <c r="G2028" t="str">
        <f t="shared" si="90"/>
        <v/>
      </c>
    </row>
    <row r="2029" spans="2:7" x14ac:dyDescent="0.25">
      <c r="B2029" s="6"/>
      <c r="C2029" s="7"/>
      <c r="D2029" s="7"/>
      <c r="E2029" s="8"/>
      <c r="F2029" t="str">
        <f t="shared" si="89"/>
        <v/>
      </c>
      <c r="G2029" t="str">
        <f t="shared" si="90"/>
        <v/>
      </c>
    </row>
    <row r="2030" spans="2:7" x14ac:dyDescent="0.25">
      <c r="B2030" s="6"/>
      <c r="C2030" s="7"/>
      <c r="D2030" s="7"/>
      <c r="E2030" s="8"/>
      <c r="F2030" t="str">
        <f t="shared" si="89"/>
        <v/>
      </c>
      <c r="G2030" t="str">
        <f t="shared" si="90"/>
        <v/>
      </c>
    </row>
    <row r="2031" spans="2:7" x14ac:dyDescent="0.25">
      <c r="B2031" s="6"/>
      <c r="C2031" s="7"/>
      <c r="D2031" s="7"/>
      <c r="E2031" s="8"/>
      <c r="F2031" t="str">
        <f t="shared" si="89"/>
        <v/>
      </c>
      <c r="G2031" t="str">
        <f t="shared" si="90"/>
        <v/>
      </c>
    </row>
    <row r="2032" spans="2:7" x14ac:dyDescent="0.25">
      <c r="B2032" s="6"/>
      <c r="C2032" s="7"/>
      <c r="D2032" s="7"/>
      <c r="E2032" s="8"/>
      <c r="F2032" t="str">
        <f t="shared" si="89"/>
        <v/>
      </c>
      <c r="G2032" t="str">
        <f t="shared" si="90"/>
        <v/>
      </c>
    </row>
    <row r="2033" spans="2:7" x14ac:dyDescent="0.25">
      <c r="B2033" s="6"/>
      <c r="C2033" s="7"/>
      <c r="D2033" s="7"/>
      <c r="E2033" s="8"/>
      <c r="F2033" t="str">
        <f t="shared" si="89"/>
        <v/>
      </c>
      <c r="G2033" t="str">
        <f t="shared" si="90"/>
        <v/>
      </c>
    </row>
    <row r="2034" spans="2:7" x14ac:dyDescent="0.25">
      <c r="B2034" s="6"/>
      <c r="C2034" s="7"/>
      <c r="D2034" s="7"/>
      <c r="E2034" s="8"/>
      <c r="F2034" t="str">
        <f t="shared" si="89"/>
        <v/>
      </c>
      <c r="G2034" t="str">
        <f t="shared" si="90"/>
        <v/>
      </c>
    </row>
    <row r="2035" spans="2:7" x14ac:dyDescent="0.25">
      <c r="B2035" s="6"/>
      <c r="C2035" s="7"/>
      <c r="D2035" s="7"/>
      <c r="E2035" s="8"/>
      <c r="F2035" t="str">
        <f t="shared" si="89"/>
        <v/>
      </c>
      <c r="G2035" t="str">
        <f t="shared" si="90"/>
        <v/>
      </c>
    </row>
    <row r="2036" spans="2:7" x14ac:dyDescent="0.25">
      <c r="B2036" s="6"/>
      <c r="C2036" s="7"/>
      <c r="D2036" s="7"/>
      <c r="E2036" s="8"/>
      <c r="F2036" t="str">
        <f t="shared" si="89"/>
        <v/>
      </c>
      <c r="G2036" t="str">
        <f t="shared" si="90"/>
        <v/>
      </c>
    </row>
    <row r="2037" spans="2:7" x14ac:dyDescent="0.25">
      <c r="B2037" s="6"/>
      <c r="C2037" s="7"/>
      <c r="D2037" s="7"/>
      <c r="E2037" s="8"/>
      <c r="F2037" t="str">
        <f t="shared" si="89"/>
        <v/>
      </c>
      <c r="G2037" t="str">
        <f t="shared" si="90"/>
        <v/>
      </c>
    </row>
    <row r="2038" spans="2:7" x14ac:dyDescent="0.25">
      <c r="B2038" s="6"/>
      <c r="C2038" s="7"/>
      <c r="D2038" s="7"/>
      <c r="E2038" s="8"/>
      <c r="F2038" t="str">
        <f t="shared" si="89"/>
        <v/>
      </c>
      <c r="G2038" t="str">
        <f t="shared" si="90"/>
        <v/>
      </c>
    </row>
    <row r="2039" spans="2:7" x14ac:dyDescent="0.25">
      <c r="B2039" s="6"/>
      <c r="C2039" s="7"/>
      <c r="D2039" s="7"/>
      <c r="E2039" s="8"/>
      <c r="F2039" t="str">
        <f t="shared" si="89"/>
        <v/>
      </c>
      <c r="G2039" t="str">
        <f t="shared" si="90"/>
        <v/>
      </c>
    </row>
    <row r="2040" spans="2:7" x14ac:dyDescent="0.25">
      <c r="B2040" s="6"/>
      <c r="C2040" s="7"/>
      <c r="D2040" s="7"/>
      <c r="E2040" s="8"/>
      <c r="F2040" t="str">
        <f t="shared" si="89"/>
        <v/>
      </c>
      <c r="G2040" t="str">
        <f t="shared" si="90"/>
        <v/>
      </c>
    </row>
    <row r="2041" spans="2:7" x14ac:dyDescent="0.25">
      <c r="B2041" s="6"/>
      <c r="C2041" s="7"/>
      <c r="D2041" s="7"/>
      <c r="E2041" s="8"/>
      <c r="F2041" t="str">
        <f t="shared" si="89"/>
        <v/>
      </c>
      <c r="G2041" t="str">
        <f t="shared" si="90"/>
        <v/>
      </c>
    </row>
    <row r="2042" spans="2:7" x14ac:dyDescent="0.25">
      <c r="B2042" s="6"/>
      <c r="C2042" s="7"/>
      <c r="D2042" s="7"/>
      <c r="E2042" s="8"/>
      <c r="F2042" t="str">
        <f t="shared" si="89"/>
        <v/>
      </c>
      <c r="G2042" t="str">
        <f t="shared" si="90"/>
        <v/>
      </c>
    </row>
    <row r="2043" spans="2:7" x14ac:dyDescent="0.25">
      <c r="B2043" s="6"/>
      <c r="C2043" s="7"/>
      <c r="D2043" s="7"/>
      <c r="E2043" s="8"/>
      <c r="F2043" t="str">
        <f t="shared" si="89"/>
        <v/>
      </c>
      <c r="G2043" t="str">
        <f t="shared" si="90"/>
        <v/>
      </c>
    </row>
    <row r="2044" spans="2:7" x14ac:dyDescent="0.25">
      <c r="B2044" s="6"/>
      <c r="C2044" s="7"/>
      <c r="D2044" s="7"/>
      <c r="E2044" s="8"/>
      <c r="F2044" t="str">
        <f t="shared" si="89"/>
        <v/>
      </c>
      <c r="G2044" t="str">
        <f t="shared" si="90"/>
        <v/>
      </c>
    </row>
    <row r="2045" spans="2:7" x14ac:dyDescent="0.25">
      <c r="B2045" s="6"/>
      <c r="C2045" s="7"/>
      <c r="D2045" s="7"/>
      <c r="E2045" s="8"/>
      <c r="F2045" t="str">
        <f t="shared" si="89"/>
        <v/>
      </c>
      <c r="G2045" t="str">
        <f t="shared" si="90"/>
        <v/>
      </c>
    </row>
    <row r="2046" spans="2:7" x14ac:dyDescent="0.25">
      <c r="B2046" s="6"/>
      <c r="C2046" s="7"/>
      <c r="D2046" s="7"/>
      <c r="E2046" s="8"/>
      <c r="F2046" t="str">
        <f t="shared" si="89"/>
        <v/>
      </c>
      <c r="G2046" t="str">
        <f t="shared" si="90"/>
        <v/>
      </c>
    </row>
    <row r="2047" spans="2:7" x14ac:dyDescent="0.25">
      <c r="B2047" s="6"/>
      <c r="C2047" s="7"/>
      <c r="D2047" s="7"/>
      <c r="E2047" s="8"/>
      <c r="F2047" t="str">
        <f t="shared" si="89"/>
        <v/>
      </c>
      <c r="G2047" t="str">
        <f t="shared" si="90"/>
        <v/>
      </c>
    </row>
    <row r="2048" spans="2:7" x14ac:dyDescent="0.25">
      <c r="B2048" s="6"/>
      <c r="C2048" s="7"/>
      <c r="D2048" s="7"/>
      <c r="E2048" s="8"/>
      <c r="F2048" t="str">
        <f t="shared" si="89"/>
        <v/>
      </c>
      <c r="G2048" t="str">
        <f t="shared" si="90"/>
        <v/>
      </c>
    </row>
    <row r="2049" spans="2:7" x14ac:dyDescent="0.25">
      <c r="B2049" s="6"/>
      <c r="C2049" s="7"/>
      <c r="D2049" s="7"/>
      <c r="E2049" s="8"/>
      <c r="F2049" t="str">
        <f t="shared" si="89"/>
        <v/>
      </c>
      <c r="G2049" t="str">
        <f t="shared" si="90"/>
        <v/>
      </c>
    </row>
    <row r="2050" spans="2:7" x14ac:dyDescent="0.25">
      <c r="B2050" s="6"/>
      <c r="C2050" s="7"/>
      <c r="D2050" s="7"/>
      <c r="E2050" s="8"/>
      <c r="F2050" t="str">
        <f t="shared" si="89"/>
        <v/>
      </c>
      <c r="G2050" t="str">
        <f t="shared" si="90"/>
        <v/>
      </c>
    </row>
    <row r="2051" spans="2:7" x14ac:dyDescent="0.25">
      <c r="B2051" s="6"/>
      <c r="C2051" s="7"/>
      <c r="D2051" s="7"/>
      <c r="E2051" s="8"/>
      <c r="F2051" t="str">
        <f t="shared" si="89"/>
        <v/>
      </c>
      <c r="G2051" t="str">
        <f t="shared" si="90"/>
        <v/>
      </c>
    </row>
    <row r="2052" spans="2:7" x14ac:dyDescent="0.25">
      <c r="B2052" s="6"/>
      <c r="C2052" s="7"/>
      <c r="D2052" s="7"/>
      <c r="E2052" s="8"/>
      <c r="F2052" t="str">
        <f t="shared" ref="F2052:F2115" si="91">IF(B2052="","",LOG10(D2052))</f>
        <v/>
      </c>
      <c r="G2052" t="str">
        <f t="shared" ref="G2052:G2115" si="92">IF(E2052="", "",0.434*E2052/D2052)</f>
        <v/>
      </c>
    </row>
    <row r="2053" spans="2:7" x14ac:dyDescent="0.25">
      <c r="B2053" s="6"/>
      <c r="C2053" s="7"/>
      <c r="D2053" s="7"/>
      <c r="E2053" s="8"/>
      <c r="F2053" t="str">
        <f t="shared" si="91"/>
        <v/>
      </c>
      <c r="G2053" t="str">
        <f t="shared" si="92"/>
        <v/>
      </c>
    </row>
    <row r="2054" spans="2:7" x14ac:dyDescent="0.25">
      <c r="B2054" s="6"/>
      <c r="C2054" s="7"/>
      <c r="D2054" s="7"/>
      <c r="E2054" s="8"/>
      <c r="F2054" t="str">
        <f t="shared" si="91"/>
        <v/>
      </c>
      <c r="G2054" t="str">
        <f t="shared" si="92"/>
        <v/>
      </c>
    </row>
    <row r="2055" spans="2:7" x14ac:dyDescent="0.25">
      <c r="B2055" s="6"/>
      <c r="C2055" s="7"/>
      <c r="D2055" s="7"/>
      <c r="E2055" s="8"/>
      <c r="F2055" t="str">
        <f t="shared" si="91"/>
        <v/>
      </c>
      <c r="G2055" t="str">
        <f t="shared" si="92"/>
        <v/>
      </c>
    </row>
    <row r="2056" spans="2:7" x14ac:dyDescent="0.25">
      <c r="B2056" s="6"/>
      <c r="C2056" s="7"/>
      <c r="D2056" s="7"/>
      <c r="E2056" s="8"/>
      <c r="F2056" t="str">
        <f t="shared" si="91"/>
        <v/>
      </c>
      <c r="G2056" t="str">
        <f t="shared" si="92"/>
        <v/>
      </c>
    </row>
    <row r="2057" spans="2:7" x14ac:dyDescent="0.25">
      <c r="B2057" s="6"/>
      <c r="C2057" s="7"/>
      <c r="D2057" s="7"/>
      <c r="E2057" s="8"/>
      <c r="F2057" t="str">
        <f t="shared" si="91"/>
        <v/>
      </c>
      <c r="G2057" t="str">
        <f t="shared" si="92"/>
        <v/>
      </c>
    </row>
    <row r="2058" spans="2:7" x14ac:dyDescent="0.25">
      <c r="B2058" s="6"/>
      <c r="C2058" s="7"/>
      <c r="D2058" s="7"/>
      <c r="E2058" s="8"/>
      <c r="F2058" t="str">
        <f t="shared" si="91"/>
        <v/>
      </c>
      <c r="G2058" t="str">
        <f t="shared" si="92"/>
        <v/>
      </c>
    </row>
    <row r="2059" spans="2:7" x14ac:dyDescent="0.25">
      <c r="B2059" s="6"/>
      <c r="C2059" s="7"/>
      <c r="D2059" s="7"/>
      <c r="E2059" s="8"/>
      <c r="F2059" t="str">
        <f t="shared" si="91"/>
        <v/>
      </c>
      <c r="G2059" t="str">
        <f t="shared" si="92"/>
        <v/>
      </c>
    </row>
    <row r="2060" spans="2:7" x14ac:dyDescent="0.25">
      <c r="B2060" s="6"/>
      <c r="C2060" s="7"/>
      <c r="D2060" s="7"/>
      <c r="E2060" s="8"/>
      <c r="F2060" t="str">
        <f t="shared" si="91"/>
        <v/>
      </c>
      <c r="G2060" t="str">
        <f t="shared" si="92"/>
        <v/>
      </c>
    </row>
    <row r="2061" spans="2:7" x14ac:dyDescent="0.25">
      <c r="B2061" s="6"/>
      <c r="C2061" s="7"/>
      <c r="D2061" s="7"/>
      <c r="E2061" s="8"/>
      <c r="F2061" t="str">
        <f t="shared" si="91"/>
        <v/>
      </c>
      <c r="G2061" t="str">
        <f t="shared" si="92"/>
        <v/>
      </c>
    </row>
    <row r="2062" spans="2:7" x14ac:dyDescent="0.25">
      <c r="B2062" s="6"/>
      <c r="C2062" s="7"/>
      <c r="D2062" s="7"/>
      <c r="E2062" s="8"/>
      <c r="F2062" t="str">
        <f t="shared" si="91"/>
        <v/>
      </c>
      <c r="G2062" t="str">
        <f t="shared" si="92"/>
        <v/>
      </c>
    </row>
    <row r="2063" spans="2:7" x14ac:dyDescent="0.25">
      <c r="B2063" s="6"/>
      <c r="C2063" s="7"/>
      <c r="D2063" s="7"/>
      <c r="E2063" s="8"/>
      <c r="F2063" t="str">
        <f t="shared" si="91"/>
        <v/>
      </c>
      <c r="G2063" t="str">
        <f t="shared" si="92"/>
        <v/>
      </c>
    </row>
    <row r="2064" spans="2:7" x14ac:dyDescent="0.25">
      <c r="B2064" s="6"/>
      <c r="C2064" s="7"/>
      <c r="D2064" s="7"/>
      <c r="E2064" s="8"/>
      <c r="F2064" t="str">
        <f t="shared" si="91"/>
        <v/>
      </c>
      <c r="G2064" t="str">
        <f t="shared" si="92"/>
        <v/>
      </c>
    </row>
    <row r="2065" spans="2:7" x14ac:dyDescent="0.25">
      <c r="B2065" s="6"/>
      <c r="C2065" s="7"/>
      <c r="D2065" s="7"/>
      <c r="E2065" s="8"/>
      <c r="F2065" t="str">
        <f t="shared" si="91"/>
        <v/>
      </c>
      <c r="G2065" t="str">
        <f t="shared" si="92"/>
        <v/>
      </c>
    </row>
    <row r="2066" spans="2:7" x14ac:dyDescent="0.25">
      <c r="B2066" s="6"/>
      <c r="C2066" s="7"/>
      <c r="D2066" s="7"/>
      <c r="E2066" s="8"/>
      <c r="F2066" t="str">
        <f t="shared" si="91"/>
        <v/>
      </c>
      <c r="G2066" t="str">
        <f t="shared" si="92"/>
        <v/>
      </c>
    </row>
    <row r="2067" spans="2:7" x14ac:dyDescent="0.25">
      <c r="B2067" s="6"/>
      <c r="C2067" s="7"/>
      <c r="D2067" s="7"/>
      <c r="E2067" s="8"/>
      <c r="F2067" t="str">
        <f t="shared" si="91"/>
        <v/>
      </c>
      <c r="G2067" t="str">
        <f t="shared" si="92"/>
        <v/>
      </c>
    </row>
    <row r="2068" spans="2:7" x14ac:dyDescent="0.25">
      <c r="B2068" s="6"/>
      <c r="C2068" s="7"/>
      <c r="D2068" s="7"/>
      <c r="E2068" s="8"/>
      <c r="F2068" t="str">
        <f t="shared" si="91"/>
        <v/>
      </c>
      <c r="G2068" t="str">
        <f t="shared" si="92"/>
        <v/>
      </c>
    </row>
    <row r="2069" spans="2:7" x14ac:dyDescent="0.25">
      <c r="B2069" s="6"/>
      <c r="C2069" s="7"/>
      <c r="D2069" s="7"/>
      <c r="E2069" s="8"/>
      <c r="F2069" t="str">
        <f t="shared" si="91"/>
        <v/>
      </c>
      <c r="G2069" t="str">
        <f t="shared" si="92"/>
        <v/>
      </c>
    </row>
    <row r="2070" spans="2:7" x14ac:dyDescent="0.25">
      <c r="B2070" s="6"/>
      <c r="C2070" s="7"/>
      <c r="D2070" s="7"/>
      <c r="E2070" s="8"/>
      <c r="F2070" t="str">
        <f t="shared" si="91"/>
        <v/>
      </c>
      <c r="G2070" t="str">
        <f t="shared" si="92"/>
        <v/>
      </c>
    </row>
    <row r="2071" spans="2:7" x14ac:dyDescent="0.25">
      <c r="B2071" s="6"/>
      <c r="C2071" s="7"/>
      <c r="D2071" s="7"/>
      <c r="E2071" s="8"/>
      <c r="F2071" t="str">
        <f t="shared" si="91"/>
        <v/>
      </c>
      <c r="G2071" t="str">
        <f t="shared" si="92"/>
        <v/>
      </c>
    </row>
    <row r="2072" spans="2:7" x14ac:dyDescent="0.25">
      <c r="B2072" s="6"/>
      <c r="C2072" s="7"/>
      <c r="D2072" s="7"/>
      <c r="E2072" s="8"/>
      <c r="F2072" t="str">
        <f t="shared" si="91"/>
        <v/>
      </c>
      <c r="G2072" t="str">
        <f t="shared" si="92"/>
        <v/>
      </c>
    </row>
    <row r="2073" spans="2:7" x14ac:dyDescent="0.25">
      <c r="B2073" s="6"/>
      <c r="C2073" s="7"/>
      <c r="D2073" s="7"/>
      <c r="E2073" s="8"/>
      <c r="F2073" t="str">
        <f t="shared" si="91"/>
        <v/>
      </c>
      <c r="G2073" t="str">
        <f t="shared" si="92"/>
        <v/>
      </c>
    </row>
    <row r="2074" spans="2:7" x14ac:dyDescent="0.25">
      <c r="B2074" s="6"/>
      <c r="C2074" s="7"/>
      <c r="D2074" s="7"/>
      <c r="E2074" s="8"/>
      <c r="F2074" t="str">
        <f t="shared" si="91"/>
        <v/>
      </c>
      <c r="G2074" t="str">
        <f t="shared" si="92"/>
        <v/>
      </c>
    </row>
    <row r="2075" spans="2:7" x14ac:dyDescent="0.25">
      <c r="B2075" s="6"/>
      <c r="C2075" s="7"/>
      <c r="D2075" s="7"/>
      <c r="E2075" s="8"/>
      <c r="F2075" t="str">
        <f t="shared" si="91"/>
        <v/>
      </c>
      <c r="G2075" t="str">
        <f t="shared" si="92"/>
        <v/>
      </c>
    </row>
    <row r="2076" spans="2:7" x14ac:dyDescent="0.25">
      <c r="B2076" s="6"/>
      <c r="C2076" s="7"/>
      <c r="D2076" s="7"/>
      <c r="E2076" s="8"/>
      <c r="F2076" t="str">
        <f t="shared" si="91"/>
        <v/>
      </c>
      <c r="G2076" t="str">
        <f t="shared" si="92"/>
        <v/>
      </c>
    </row>
    <row r="2077" spans="2:7" x14ac:dyDescent="0.25">
      <c r="B2077" s="6"/>
      <c r="C2077" s="7"/>
      <c r="D2077" s="7"/>
      <c r="E2077" s="8"/>
      <c r="F2077" t="str">
        <f t="shared" si="91"/>
        <v/>
      </c>
      <c r="G2077" t="str">
        <f t="shared" si="92"/>
        <v/>
      </c>
    </row>
    <row r="2078" spans="2:7" x14ac:dyDescent="0.25">
      <c r="B2078" s="6"/>
      <c r="C2078" s="7"/>
      <c r="D2078" s="7"/>
      <c r="E2078" s="8"/>
      <c r="F2078" t="str">
        <f t="shared" si="91"/>
        <v/>
      </c>
      <c r="G2078" t="str">
        <f t="shared" si="92"/>
        <v/>
      </c>
    </row>
    <row r="2079" spans="2:7" x14ac:dyDescent="0.25">
      <c r="B2079" s="6"/>
      <c r="C2079" s="7"/>
      <c r="D2079" s="7"/>
      <c r="E2079" s="8"/>
      <c r="F2079" t="str">
        <f t="shared" si="91"/>
        <v/>
      </c>
      <c r="G2079" t="str">
        <f t="shared" si="92"/>
        <v/>
      </c>
    </row>
    <row r="2080" spans="2:7" x14ac:dyDescent="0.25">
      <c r="B2080" s="6"/>
      <c r="C2080" s="7"/>
      <c r="D2080" s="7"/>
      <c r="E2080" s="8"/>
      <c r="F2080" t="str">
        <f t="shared" si="91"/>
        <v/>
      </c>
      <c r="G2080" t="str">
        <f t="shared" si="92"/>
        <v/>
      </c>
    </row>
    <row r="2081" spans="2:7" x14ac:dyDescent="0.25">
      <c r="B2081" s="6"/>
      <c r="C2081" s="7"/>
      <c r="D2081" s="7"/>
      <c r="E2081" s="8"/>
      <c r="F2081" t="str">
        <f t="shared" si="91"/>
        <v/>
      </c>
      <c r="G2081" t="str">
        <f t="shared" si="92"/>
        <v/>
      </c>
    </row>
    <row r="2082" spans="2:7" x14ac:dyDescent="0.25">
      <c r="B2082" s="6"/>
      <c r="C2082" s="7"/>
      <c r="D2082" s="7"/>
      <c r="E2082" s="8"/>
      <c r="F2082" t="str">
        <f t="shared" si="91"/>
        <v/>
      </c>
      <c r="G2082" t="str">
        <f t="shared" si="92"/>
        <v/>
      </c>
    </row>
    <row r="2083" spans="2:7" x14ac:dyDescent="0.25">
      <c r="B2083" s="6"/>
      <c r="C2083" s="7"/>
      <c r="D2083" s="7"/>
      <c r="E2083" s="8"/>
      <c r="F2083" t="str">
        <f t="shared" si="91"/>
        <v/>
      </c>
      <c r="G2083" t="str">
        <f t="shared" si="92"/>
        <v/>
      </c>
    </row>
    <row r="2084" spans="2:7" x14ac:dyDescent="0.25">
      <c r="B2084" s="6"/>
      <c r="C2084" s="7"/>
      <c r="D2084" s="7"/>
      <c r="E2084" s="8"/>
      <c r="F2084" t="str">
        <f t="shared" si="91"/>
        <v/>
      </c>
      <c r="G2084" t="str">
        <f t="shared" si="92"/>
        <v/>
      </c>
    </row>
    <row r="2085" spans="2:7" x14ac:dyDescent="0.25">
      <c r="B2085" s="6"/>
      <c r="C2085" s="7"/>
      <c r="D2085" s="7"/>
      <c r="E2085" s="8"/>
      <c r="F2085" t="str">
        <f t="shared" si="91"/>
        <v/>
      </c>
      <c r="G2085" t="str">
        <f t="shared" si="92"/>
        <v/>
      </c>
    </row>
    <row r="2086" spans="2:7" x14ac:dyDescent="0.25">
      <c r="B2086" s="6"/>
      <c r="C2086" s="7"/>
      <c r="D2086" s="7"/>
      <c r="E2086" s="8"/>
      <c r="F2086" t="str">
        <f t="shared" si="91"/>
        <v/>
      </c>
      <c r="G2086" t="str">
        <f t="shared" si="92"/>
        <v/>
      </c>
    </row>
    <row r="2087" spans="2:7" x14ac:dyDescent="0.25">
      <c r="B2087" s="6"/>
      <c r="C2087" s="7"/>
      <c r="D2087" s="7"/>
      <c r="E2087" s="8"/>
      <c r="F2087" t="str">
        <f t="shared" si="91"/>
        <v/>
      </c>
      <c r="G2087" t="str">
        <f t="shared" si="92"/>
        <v/>
      </c>
    </row>
    <row r="2088" spans="2:7" x14ac:dyDescent="0.25">
      <c r="B2088" s="6"/>
      <c r="C2088" s="7"/>
      <c r="D2088" s="7"/>
      <c r="E2088" s="8"/>
      <c r="F2088" t="str">
        <f t="shared" si="91"/>
        <v/>
      </c>
      <c r="G2088" t="str">
        <f t="shared" si="92"/>
        <v/>
      </c>
    </row>
    <row r="2089" spans="2:7" x14ac:dyDescent="0.25">
      <c r="B2089" s="6"/>
      <c r="C2089" s="7"/>
      <c r="D2089" s="7"/>
      <c r="E2089" s="8"/>
      <c r="F2089" t="str">
        <f t="shared" si="91"/>
        <v/>
      </c>
      <c r="G2089" t="str">
        <f t="shared" si="92"/>
        <v/>
      </c>
    </row>
    <row r="2090" spans="2:7" x14ac:dyDescent="0.25">
      <c r="B2090" s="6"/>
      <c r="C2090" s="7"/>
      <c r="D2090" s="7"/>
      <c r="E2090" s="8"/>
      <c r="F2090" t="str">
        <f t="shared" si="91"/>
        <v/>
      </c>
      <c r="G2090" t="str">
        <f t="shared" si="92"/>
        <v/>
      </c>
    </row>
    <row r="2091" spans="2:7" x14ac:dyDescent="0.25">
      <c r="B2091" s="6"/>
      <c r="C2091" s="7"/>
      <c r="D2091" s="7"/>
      <c r="E2091" s="8"/>
      <c r="F2091" t="str">
        <f t="shared" si="91"/>
        <v/>
      </c>
      <c r="G2091" t="str">
        <f t="shared" si="92"/>
        <v/>
      </c>
    </row>
    <row r="2092" spans="2:7" x14ac:dyDescent="0.25">
      <c r="B2092" s="6"/>
      <c r="C2092" s="7"/>
      <c r="D2092" s="7"/>
      <c r="E2092" s="8"/>
      <c r="F2092" t="str">
        <f t="shared" si="91"/>
        <v/>
      </c>
      <c r="G2092" t="str">
        <f t="shared" si="92"/>
        <v/>
      </c>
    </row>
    <row r="2093" spans="2:7" x14ac:dyDescent="0.25">
      <c r="B2093" s="6"/>
      <c r="C2093" s="7"/>
      <c r="D2093" s="7"/>
      <c r="E2093" s="8"/>
      <c r="F2093" t="str">
        <f t="shared" si="91"/>
        <v/>
      </c>
      <c r="G2093" t="str">
        <f t="shared" si="92"/>
        <v/>
      </c>
    </row>
    <row r="2094" spans="2:7" x14ac:dyDescent="0.25">
      <c r="B2094" s="6"/>
      <c r="C2094" s="7"/>
      <c r="D2094" s="7"/>
      <c r="E2094" s="8"/>
      <c r="F2094" t="str">
        <f t="shared" si="91"/>
        <v/>
      </c>
      <c r="G2094" t="str">
        <f t="shared" si="92"/>
        <v/>
      </c>
    </row>
    <row r="2095" spans="2:7" x14ac:dyDescent="0.25">
      <c r="B2095" s="6"/>
      <c r="C2095" s="7"/>
      <c r="D2095" s="7"/>
      <c r="E2095" s="8"/>
      <c r="F2095" t="str">
        <f t="shared" si="91"/>
        <v/>
      </c>
      <c r="G2095" t="str">
        <f t="shared" si="92"/>
        <v/>
      </c>
    </row>
    <row r="2096" spans="2:7" x14ac:dyDescent="0.25">
      <c r="B2096" s="6"/>
      <c r="C2096" s="7"/>
      <c r="D2096" s="7"/>
      <c r="E2096" s="8"/>
      <c r="F2096" t="str">
        <f t="shared" si="91"/>
        <v/>
      </c>
      <c r="G2096" t="str">
        <f t="shared" si="92"/>
        <v/>
      </c>
    </row>
    <row r="2097" spans="2:7" x14ac:dyDescent="0.25">
      <c r="B2097" s="6"/>
      <c r="C2097" s="7"/>
      <c r="D2097" s="7"/>
      <c r="E2097" s="8"/>
      <c r="F2097" t="str">
        <f t="shared" si="91"/>
        <v/>
      </c>
      <c r="G2097" t="str">
        <f t="shared" si="92"/>
        <v/>
      </c>
    </row>
    <row r="2098" spans="2:7" x14ac:dyDescent="0.25">
      <c r="B2098" s="6"/>
      <c r="C2098" s="7"/>
      <c r="D2098" s="7"/>
      <c r="E2098" s="8"/>
      <c r="F2098" t="str">
        <f t="shared" si="91"/>
        <v/>
      </c>
      <c r="G2098" t="str">
        <f t="shared" si="92"/>
        <v/>
      </c>
    </row>
    <row r="2099" spans="2:7" x14ac:dyDescent="0.25">
      <c r="B2099" s="6"/>
      <c r="C2099" s="7"/>
      <c r="D2099" s="7"/>
      <c r="E2099" s="8"/>
      <c r="F2099" t="str">
        <f t="shared" si="91"/>
        <v/>
      </c>
      <c r="G2099" t="str">
        <f t="shared" si="92"/>
        <v/>
      </c>
    </row>
    <row r="2100" spans="2:7" x14ac:dyDescent="0.25">
      <c r="B2100" s="6"/>
      <c r="C2100" s="7"/>
      <c r="D2100" s="7"/>
      <c r="E2100" s="8"/>
      <c r="F2100" t="str">
        <f t="shared" si="91"/>
        <v/>
      </c>
      <c r="G2100" t="str">
        <f t="shared" si="92"/>
        <v/>
      </c>
    </row>
    <row r="2101" spans="2:7" x14ac:dyDescent="0.25">
      <c r="B2101" s="6"/>
      <c r="C2101" s="7"/>
      <c r="D2101" s="7"/>
      <c r="E2101" s="8"/>
      <c r="F2101" t="str">
        <f t="shared" si="91"/>
        <v/>
      </c>
      <c r="G2101" t="str">
        <f t="shared" si="92"/>
        <v/>
      </c>
    </row>
    <row r="2102" spans="2:7" x14ac:dyDescent="0.25">
      <c r="B2102" s="6"/>
      <c r="C2102" s="7"/>
      <c r="D2102" s="7"/>
      <c r="E2102" s="8"/>
      <c r="F2102" t="str">
        <f t="shared" si="91"/>
        <v/>
      </c>
      <c r="G2102" t="str">
        <f t="shared" si="92"/>
        <v/>
      </c>
    </row>
    <row r="2103" spans="2:7" x14ac:dyDescent="0.25">
      <c r="B2103" s="6"/>
      <c r="C2103" s="7"/>
      <c r="D2103" s="7"/>
      <c r="E2103" s="8"/>
      <c r="F2103" t="str">
        <f t="shared" si="91"/>
        <v/>
      </c>
      <c r="G2103" t="str">
        <f t="shared" si="92"/>
        <v/>
      </c>
    </row>
    <row r="2104" spans="2:7" x14ac:dyDescent="0.25">
      <c r="B2104" s="6"/>
      <c r="C2104" s="7"/>
      <c r="D2104" s="7"/>
      <c r="E2104" s="8"/>
      <c r="F2104" t="str">
        <f t="shared" si="91"/>
        <v/>
      </c>
      <c r="G2104" t="str">
        <f t="shared" si="92"/>
        <v/>
      </c>
    </row>
    <row r="2105" spans="2:7" x14ac:dyDescent="0.25">
      <c r="B2105" s="6"/>
      <c r="C2105" s="7"/>
      <c r="D2105" s="7"/>
      <c r="E2105" s="8"/>
      <c r="F2105" t="str">
        <f t="shared" si="91"/>
        <v/>
      </c>
      <c r="G2105" t="str">
        <f t="shared" si="92"/>
        <v/>
      </c>
    </row>
    <row r="2106" spans="2:7" x14ac:dyDescent="0.25">
      <c r="B2106" s="6"/>
      <c r="C2106" s="7"/>
      <c r="D2106" s="7"/>
      <c r="E2106" s="8"/>
      <c r="F2106" t="str">
        <f t="shared" si="91"/>
        <v/>
      </c>
      <c r="G2106" t="str">
        <f t="shared" si="92"/>
        <v/>
      </c>
    </row>
    <row r="2107" spans="2:7" x14ac:dyDescent="0.25">
      <c r="B2107" s="6"/>
      <c r="C2107" s="7"/>
      <c r="D2107" s="7"/>
      <c r="E2107" s="8"/>
      <c r="F2107" t="str">
        <f t="shared" si="91"/>
        <v/>
      </c>
      <c r="G2107" t="str">
        <f t="shared" si="92"/>
        <v/>
      </c>
    </row>
    <row r="2108" spans="2:7" x14ac:dyDescent="0.25">
      <c r="B2108" s="6"/>
      <c r="C2108" s="7"/>
      <c r="D2108" s="7"/>
      <c r="E2108" s="8"/>
      <c r="F2108" t="str">
        <f t="shared" si="91"/>
        <v/>
      </c>
      <c r="G2108" t="str">
        <f t="shared" si="92"/>
        <v/>
      </c>
    </row>
    <row r="2109" spans="2:7" x14ac:dyDescent="0.25">
      <c r="B2109" s="6"/>
      <c r="C2109" s="7"/>
      <c r="D2109" s="7"/>
      <c r="E2109" s="8"/>
      <c r="F2109" t="str">
        <f t="shared" si="91"/>
        <v/>
      </c>
      <c r="G2109" t="str">
        <f t="shared" si="92"/>
        <v/>
      </c>
    </row>
    <row r="2110" spans="2:7" x14ac:dyDescent="0.25">
      <c r="B2110" s="6"/>
      <c r="C2110" s="7"/>
      <c r="D2110" s="7"/>
      <c r="E2110" s="8"/>
      <c r="F2110" t="str">
        <f t="shared" si="91"/>
        <v/>
      </c>
      <c r="G2110" t="str">
        <f t="shared" si="92"/>
        <v/>
      </c>
    </row>
    <row r="2111" spans="2:7" x14ac:dyDescent="0.25">
      <c r="B2111" s="6"/>
      <c r="C2111" s="7"/>
      <c r="D2111" s="7"/>
      <c r="E2111" s="8"/>
      <c r="F2111" t="str">
        <f t="shared" si="91"/>
        <v/>
      </c>
      <c r="G2111" t="str">
        <f t="shared" si="92"/>
        <v/>
      </c>
    </row>
    <row r="2112" spans="2:7" x14ac:dyDescent="0.25">
      <c r="B2112" s="6"/>
      <c r="C2112" s="7"/>
      <c r="D2112" s="7"/>
      <c r="E2112" s="8"/>
      <c r="F2112" t="str">
        <f t="shared" si="91"/>
        <v/>
      </c>
      <c r="G2112" t="str">
        <f t="shared" si="92"/>
        <v/>
      </c>
    </row>
    <row r="2113" spans="2:7" x14ac:dyDescent="0.25">
      <c r="B2113" s="6"/>
      <c r="C2113" s="7"/>
      <c r="D2113" s="7"/>
      <c r="E2113" s="8"/>
      <c r="F2113" t="str">
        <f t="shared" si="91"/>
        <v/>
      </c>
      <c r="G2113" t="str">
        <f t="shared" si="92"/>
        <v/>
      </c>
    </row>
    <row r="2114" spans="2:7" x14ac:dyDescent="0.25">
      <c r="B2114" s="6"/>
      <c r="C2114" s="7"/>
      <c r="D2114" s="7"/>
      <c r="E2114" s="8"/>
      <c r="F2114" t="str">
        <f t="shared" si="91"/>
        <v/>
      </c>
      <c r="G2114" t="str">
        <f t="shared" si="92"/>
        <v/>
      </c>
    </row>
    <row r="2115" spans="2:7" x14ac:dyDescent="0.25">
      <c r="B2115" s="6"/>
      <c r="C2115" s="7"/>
      <c r="D2115" s="7"/>
      <c r="E2115" s="8"/>
      <c r="F2115" t="str">
        <f t="shared" si="91"/>
        <v/>
      </c>
      <c r="G2115" t="str">
        <f t="shared" si="92"/>
        <v/>
      </c>
    </row>
    <row r="2116" spans="2:7" x14ac:dyDescent="0.25">
      <c r="B2116" s="6"/>
      <c r="C2116" s="7"/>
      <c r="D2116" s="7"/>
      <c r="E2116" s="8"/>
      <c r="F2116" t="str">
        <f t="shared" ref="F2116:F2179" si="93">IF(B2116="","",LOG10(D2116))</f>
        <v/>
      </c>
      <c r="G2116" t="str">
        <f t="shared" ref="G2116:G2179" si="94">IF(E2116="", "",0.434*E2116/D2116)</f>
        <v/>
      </c>
    </row>
    <row r="2117" spans="2:7" x14ac:dyDescent="0.25">
      <c r="B2117" s="6"/>
      <c r="C2117" s="7"/>
      <c r="D2117" s="7"/>
      <c r="E2117" s="8"/>
      <c r="F2117" t="str">
        <f t="shared" si="93"/>
        <v/>
      </c>
      <c r="G2117" t="str">
        <f t="shared" si="94"/>
        <v/>
      </c>
    </row>
    <row r="2118" spans="2:7" x14ac:dyDescent="0.25">
      <c r="B2118" s="6"/>
      <c r="C2118" s="7"/>
      <c r="D2118" s="7"/>
      <c r="E2118" s="8"/>
      <c r="F2118" t="str">
        <f t="shared" si="93"/>
        <v/>
      </c>
      <c r="G2118" t="str">
        <f t="shared" si="94"/>
        <v/>
      </c>
    </row>
    <row r="2119" spans="2:7" x14ac:dyDescent="0.25">
      <c r="B2119" s="6"/>
      <c r="C2119" s="7"/>
      <c r="D2119" s="7"/>
      <c r="E2119" s="8"/>
      <c r="F2119" t="str">
        <f t="shared" si="93"/>
        <v/>
      </c>
      <c r="G2119" t="str">
        <f t="shared" si="94"/>
        <v/>
      </c>
    </row>
    <row r="2120" spans="2:7" x14ac:dyDescent="0.25">
      <c r="B2120" s="6"/>
      <c r="C2120" s="7"/>
      <c r="D2120" s="7"/>
      <c r="E2120" s="8"/>
      <c r="F2120" t="str">
        <f t="shared" si="93"/>
        <v/>
      </c>
      <c r="G2120" t="str">
        <f t="shared" si="94"/>
        <v/>
      </c>
    </row>
    <row r="2121" spans="2:7" x14ac:dyDescent="0.25">
      <c r="B2121" s="6"/>
      <c r="C2121" s="7"/>
      <c r="D2121" s="7"/>
      <c r="E2121" s="8"/>
      <c r="F2121" t="str">
        <f t="shared" si="93"/>
        <v/>
      </c>
      <c r="G2121" t="str">
        <f t="shared" si="94"/>
        <v/>
      </c>
    </row>
    <row r="2122" spans="2:7" x14ac:dyDescent="0.25">
      <c r="B2122" s="6"/>
      <c r="C2122" s="7"/>
      <c r="D2122" s="7"/>
      <c r="E2122" s="8"/>
      <c r="F2122" t="str">
        <f t="shared" si="93"/>
        <v/>
      </c>
      <c r="G2122" t="str">
        <f t="shared" si="94"/>
        <v/>
      </c>
    </row>
    <row r="2123" spans="2:7" x14ac:dyDescent="0.25">
      <c r="B2123" s="6"/>
      <c r="C2123" s="7"/>
      <c r="D2123" s="7"/>
      <c r="E2123" s="8"/>
      <c r="F2123" t="str">
        <f t="shared" si="93"/>
        <v/>
      </c>
      <c r="G2123" t="str">
        <f t="shared" si="94"/>
        <v/>
      </c>
    </row>
    <row r="2124" spans="2:7" x14ac:dyDescent="0.25">
      <c r="B2124" s="6"/>
      <c r="C2124" s="7"/>
      <c r="D2124" s="7"/>
      <c r="E2124" s="8"/>
      <c r="F2124" t="str">
        <f t="shared" si="93"/>
        <v/>
      </c>
      <c r="G2124" t="str">
        <f t="shared" si="94"/>
        <v/>
      </c>
    </row>
    <row r="2125" spans="2:7" x14ac:dyDescent="0.25">
      <c r="B2125" s="6"/>
      <c r="C2125" s="7"/>
      <c r="D2125" s="7"/>
      <c r="E2125" s="8"/>
      <c r="F2125" t="str">
        <f t="shared" si="93"/>
        <v/>
      </c>
      <c r="G2125" t="str">
        <f t="shared" si="94"/>
        <v/>
      </c>
    </row>
    <row r="2126" spans="2:7" x14ac:dyDescent="0.25">
      <c r="B2126" s="6"/>
      <c r="C2126" s="7"/>
      <c r="D2126" s="7"/>
      <c r="E2126" s="8"/>
      <c r="F2126" t="str">
        <f t="shared" si="93"/>
        <v/>
      </c>
      <c r="G2126" t="str">
        <f t="shared" si="94"/>
        <v/>
      </c>
    </row>
    <row r="2127" spans="2:7" x14ac:dyDescent="0.25">
      <c r="B2127" s="6"/>
      <c r="C2127" s="7"/>
      <c r="D2127" s="7"/>
      <c r="E2127" s="8"/>
      <c r="F2127" t="str">
        <f t="shared" si="93"/>
        <v/>
      </c>
      <c r="G2127" t="str">
        <f t="shared" si="94"/>
        <v/>
      </c>
    </row>
    <row r="2128" spans="2:7" x14ac:dyDescent="0.25">
      <c r="B2128" s="6"/>
      <c r="C2128" s="7"/>
      <c r="D2128" s="7"/>
      <c r="E2128" s="8"/>
      <c r="F2128" t="str">
        <f t="shared" si="93"/>
        <v/>
      </c>
      <c r="G2128" t="str">
        <f t="shared" si="94"/>
        <v/>
      </c>
    </row>
    <row r="2129" spans="2:7" x14ac:dyDescent="0.25">
      <c r="B2129" s="6"/>
      <c r="C2129" s="7"/>
      <c r="D2129" s="7"/>
      <c r="E2129" s="8"/>
      <c r="F2129" t="str">
        <f t="shared" si="93"/>
        <v/>
      </c>
      <c r="G2129" t="str">
        <f t="shared" si="94"/>
        <v/>
      </c>
    </row>
    <row r="2130" spans="2:7" x14ac:dyDescent="0.25">
      <c r="B2130" s="6"/>
      <c r="C2130" s="7"/>
      <c r="D2130" s="7"/>
      <c r="E2130" s="8"/>
      <c r="F2130" t="str">
        <f t="shared" si="93"/>
        <v/>
      </c>
      <c r="G2130" t="str">
        <f t="shared" si="94"/>
        <v/>
      </c>
    </row>
    <row r="2131" spans="2:7" x14ac:dyDescent="0.25">
      <c r="B2131" s="6"/>
      <c r="C2131" s="7"/>
      <c r="D2131" s="7"/>
      <c r="E2131" s="8"/>
      <c r="F2131" t="str">
        <f t="shared" si="93"/>
        <v/>
      </c>
      <c r="G2131" t="str">
        <f t="shared" si="94"/>
        <v/>
      </c>
    </row>
    <row r="2132" spans="2:7" x14ac:dyDescent="0.25">
      <c r="B2132" s="6"/>
      <c r="C2132" s="7"/>
      <c r="D2132" s="7"/>
      <c r="E2132" s="8"/>
      <c r="F2132" t="str">
        <f t="shared" si="93"/>
        <v/>
      </c>
      <c r="G2132" t="str">
        <f t="shared" si="94"/>
        <v/>
      </c>
    </row>
    <row r="2133" spans="2:7" x14ac:dyDescent="0.25">
      <c r="B2133" s="6"/>
      <c r="C2133" s="7"/>
      <c r="D2133" s="7"/>
      <c r="E2133" s="8"/>
      <c r="F2133" t="str">
        <f t="shared" si="93"/>
        <v/>
      </c>
      <c r="G2133" t="str">
        <f t="shared" si="94"/>
        <v/>
      </c>
    </row>
    <row r="2134" spans="2:7" x14ac:dyDescent="0.25">
      <c r="B2134" s="6"/>
      <c r="C2134" s="7"/>
      <c r="D2134" s="7"/>
      <c r="E2134" s="8"/>
      <c r="F2134" t="str">
        <f t="shared" si="93"/>
        <v/>
      </c>
      <c r="G2134" t="str">
        <f t="shared" si="94"/>
        <v/>
      </c>
    </row>
    <row r="2135" spans="2:7" x14ac:dyDescent="0.25">
      <c r="B2135" s="6"/>
      <c r="C2135" s="7"/>
      <c r="D2135" s="7"/>
      <c r="E2135" s="8"/>
      <c r="F2135" t="str">
        <f t="shared" si="93"/>
        <v/>
      </c>
      <c r="G2135" t="str">
        <f t="shared" si="94"/>
        <v/>
      </c>
    </row>
    <row r="2136" spans="2:7" x14ac:dyDescent="0.25">
      <c r="B2136" s="6"/>
      <c r="C2136" s="7"/>
      <c r="D2136" s="7"/>
      <c r="E2136" s="8"/>
      <c r="F2136" t="str">
        <f t="shared" si="93"/>
        <v/>
      </c>
      <c r="G2136" t="str">
        <f t="shared" si="94"/>
        <v/>
      </c>
    </row>
    <row r="2137" spans="2:7" x14ac:dyDescent="0.25">
      <c r="B2137" s="6"/>
      <c r="C2137" s="7"/>
      <c r="D2137" s="7"/>
      <c r="E2137" s="8"/>
      <c r="F2137" t="str">
        <f t="shared" si="93"/>
        <v/>
      </c>
      <c r="G2137" t="str">
        <f t="shared" si="94"/>
        <v/>
      </c>
    </row>
    <row r="2138" spans="2:7" x14ac:dyDescent="0.25">
      <c r="B2138" s="6"/>
      <c r="C2138" s="7"/>
      <c r="D2138" s="7"/>
      <c r="E2138" s="8"/>
      <c r="F2138" t="str">
        <f t="shared" si="93"/>
        <v/>
      </c>
      <c r="G2138" t="str">
        <f t="shared" si="94"/>
        <v/>
      </c>
    </row>
    <row r="2139" spans="2:7" x14ac:dyDescent="0.25">
      <c r="B2139" s="6"/>
      <c r="C2139" s="7"/>
      <c r="D2139" s="7"/>
      <c r="E2139" s="8"/>
      <c r="F2139" t="str">
        <f t="shared" si="93"/>
        <v/>
      </c>
      <c r="G2139" t="str">
        <f t="shared" si="94"/>
        <v/>
      </c>
    </row>
    <row r="2140" spans="2:7" x14ac:dyDescent="0.25">
      <c r="B2140" s="6"/>
      <c r="C2140" s="7"/>
      <c r="D2140" s="7"/>
      <c r="E2140" s="8"/>
      <c r="F2140" t="str">
        <f t="shared" si="93"/>
        <v/>
      </c>
      <c r="G2140" t="str">
        <f t="shared" si="94"/>
        <v/>
      </c>
    </row>
    <row r="2141" spans="2:7" x14ac:dyDescent="0.25">
      <c r="B2141" s="6"/>
      <c r="C2141" s="7"/>
      <c r="D2141" s="7"/>
      <c r="E2141" s="8"/>
      <c r="F2141" t="str">
        <f t="shared" si="93"/>
        <v/>
      </c>
      <c r="G2141" t="str">
        <f t="shared" si="94"/>
        <v/>
      </c>
    </row>
    <row r="2142" spans="2:7" x14ac:dyDescent="0.25">
      <c r="B2142" s="6"/>
      <c r="C2142" s="7"/>
      <c r="D2142" s="7"/>
      <c r="E2142" s="8"/>
      <c r="F2142" t="str">
        <f t="shared" si="93"/>
        <v/>
      </c>
      <c r="G2142" t="str">
        <f t="shared" si="94"/>
        <v/>
      </c>
    </row>
    <row r="2143" spans="2:7" x14ac:dyDescent="0.25">
      <c r="B2143" s="6"/>
      <c r="C2143" s="7"/>
      <c r="D2143" s="7"/>
      <c r="E2143" s="8"/>
      <c r="F2143" t="str">
        <f t="shared" si="93"/>
        <v/>
      </c>
      <c r="G2143" t="str">
        <f t="shared" si="94"/>
        <v/>
      </c>
    </row>
    <row r="2144" spans="2:7" x14ac:dyDescent="0.25">
      <c r="B2144" s="6"/>
      <c r="C2144" s="7"/>
      <c r="D2144" s="7"/>
      <c r="E2144" s="8"/>
      <c r="F2144" t="str">
        <f t="shared" si="93"/>
        <v/>
      </c>
      <c r="G2144" t="str">
        <f t="shared" si="94"/>
        <v/>
      </c>
    </row>
    <row r="2145" spans="2:7" x14ac:dyDescent="0.25">
      <c r="B2145" s="6"/>
      <c r="C2145" s="7"/>
      <c r="D2145" s="7"/>
      <c r="E2145" s="8"/>
      <c r="F2145" t="str">
        <f t="shared" si="93"/>
        <v/>
      </c>
      <c r="G2145" t="str">
        <f t="shared" si="94"/>
        <v/>
      </c>
    </row>
    <row r="2146" spans="2:7" x14ac:dyDescent="0.25">
      <c r="B2146" s="6"/>
      <c r="C2146" s="7"/>
      <c r="D2146" s="7"/>
      <c r="E2146" s="8"/>
      <c r="F2146" t="str">
        <f t="shared" si="93"/>
        <v/>
      </c>
      <c r="G2146" t="str">
        <f t="shared" si="94"/>
        <v/>
      </c>
    </row>
    <row r="2147" spans="2:7" x14ac:dyDescent="0.25">
      <c r="B2147" s="6"/>
      <c r="C2147" s="7"/>
      <c r="D2147" s="7"/>
      <c r="E2147" s="8"/>
      <c r="F2147" t="str">
        <f t="shared" si="93"/>
        <v/>
      </c>
      <c r="G2147" t="str">
        <f t="shared" si="94"/>
        <v/>
      </c>
    </row>
    <row r="2148" spans="2:7" x14ac:dyDescent="0.25">
      <c r="B2148" s="6"/>
      <c r="C2148" s="7"/>
      <c r="D2148" s="7"/>
      <c r="E2148" s="8"/>
      <c r="F2148" t="str">
        <f t="shared" si="93"/>
        <v/>
      </c>
      <c r="G2148" t="str">
        <f t="shared" si="94"/>
        <v/>
      </c>
    </row>
    <row r="2149" spans="2:7" x14ac:dyDescent="0.25">
      <c r="B2149" s="6"/>
      <c r="C2149" s="7"/>
      <c r="D2149" s="7"/>
      <c r="E2149" s="8"/>
      <c r="F2149" t="str">
        <f t="shared" si="93"/>
        <v/>
      </c>
      <c r="G2149" t="str">
        <f t="shared" si="94"/>
        <v/>
      </c>
    </row>
    <row r="2150" spans="2:7" x14ac:dyDescent="0.25">
      <c r="B2150" s="6"/>
      <c r="C2150" s="7"/>
      <c r="D2150" s="7"/>
      <c r="E2150" s="8"/>
      <c r="F2150" t="str">
        <f t="shared" si="93"/>
        <v/>
      </c>
      <c r="G2150" t="str">
        <f t="shared" si="94"/>
        <v/>
      </c>
    </row>
    <row r="2151" spans="2:7" x14ac:dyDescent="0.25">
      <c r="B2151" s="6"/>
      <c r="C2151" s="7"/>
      <c r="D2151" s="7"/>
      <c r="E2151" s="8"/>
      <c r="F2151" t="str">
        <f t="shared" si="93"/>
        <v/>
      </c>
      <c r="G2151" t="str">
        <f t="shared" si="94"/>
        <v/>
      </c>
    </row>
    <row r="2152" spans="2:7" x14ac:dyDescent="0.25">
      <c r="B2152" s="6"/>
      <c r="C2152" s="7"/>
      <c r="D2152" s="7"/>
      <c r="E2152" s="8"/>
      <c r="F2152" t="str">
        <f t="shared" si="93"/>
        <v/>
      </c>
      <c r="G2152" t="str">
        <f t="shared" si="94"/>
        <v/>
      </c>
    </row>
    <row r="2153" spans="2:7" x14ac:dyDescent="0.25">
      <c r="B2153" s="6"/>
      <c r="C2153" s="7"/>
      <c r="D2153" s="7"/>
      <c r="E2153" s="8"/>
      <c r="F2153" t="str">
        <f t="shared" si="93"/>
        <v/>
      </c>
      <c r="G2153" t="str">
        <f t="shared" si="94"/>
        <v/>
      </c>
    </row>
    <row r="2154" spans="2:7" x14ac:dyDescent="0.25">
      <c r="B2154" s="6"/>
      <c r="C2154" s="7"/>
      <c r="D2154" s="7"/>
      <c r="E2154" s="8"/>
      <c r="F2154" t="str">
        <f t="shared" si="93"/>
        <v/>
      </c>
      <c r="G2154" t="str">
        <f t="shared" si="94"/>
        <v/>
      </c>
    </row>
    <row r="2155" spans="2:7" x14ac:dyDescent="0.25">
      <c r="B2155" s="6"/>
      <c r="C2155" s="7"/>
      <c r="D2155" s="7"/>
      <c r="E2155" s="8"/>
      <c r="F2155" t="str">
        <f t="shared" si="93"/>
        <v/>
      </c>
      <c r="G2155" t="str">
        <f t="shared" si="94"/>
        <v/>
      </c>
    </row>
    <row r="2156" spans="2:7" x14ac:dyDescent="0.25">
      <c r="B2156" s="6"/>
      <c r="C2156" s="7"/>
      <c r="D2156" s="7"/>
      <c r="E2156" s="8"/>
      <c r="F2156" t="str">
        <f t="shared" si="93"/>
        <v/>
      </c>
      <c r="G2156" t="str">
        <f t="shared" si="94"/>
        <v/>
      </c>
    </row>
    <row r="2157" spans="2:7" x14ac:dyDescent="0.25">
      <c r="B2157" s="6"/>
      <c r="C2157" s="7"/>
      <c r="D2157" s="7"/>
      <c r="E2157" s="8"/>
      <c r="F2157" t="str">
        <f t="shared" si="93"/>
        <v/>
      </c>
      <c r="G2157" t="str">
        <f t="shared" si="94"/>
        <v/>
      </c>
    </row>
    <row r="2158" spans="2:7" x14ac:dyDescent="0.25">
      <c r="B2158" s="6"/>
      <c r="C2158" s="7"/>
      <c r="D2158" s="7"/>
      <c r="E2158" s="8"/>
      <c r="F2158" t="str">
        <f t="shared" si="93"/>
        <v/>
      </c>
      <c r="G2158" t="str">
        <f t="shared" si="94"/>
        <v/>
      </c>
    </row>
    <row r="2159" spans="2:7" x14ac:dyDescent="0.25">
      <c r="B2159" s="6"/>
      <c r="C2159" s="7"/>
      <c r="D2159" s="7"/>
      <c r="E2159" s="8"/>
      <c r="F2159" t="str">
        <f t="shared" si="93"/>
        <v/>
      </c>
      <c r="G2159" t="str">
        <f t="shared" si="94"/>
        <v/>
      </c>
    </row>
    <row r="2160" spans="2:7" x14ac:dyDescent="0.25">
      <c r="B2160" s="6"/>
      <c r="C2160" s="7"/>
      <c r="D2160" s="7"/>
      <c r="E2160" s="8"/>
      <c r="F2160" t="str">
        <f t="shared" si="93"/>
        <v/>
      </c>
      <c r="G2160" t="str">
        <f t="shared" si="94"/>
        <v/>
      </c>
    </row>
    <row r="2161" spans="2:7" x14ac:dyDescent="0.25">
      <c r="B2161" s="6"/>
      <c r="C2161" s="7"/>
      <c r="D2161" s="7"/>
      <c r="E2161" s="8"/>
      <c r="F2161" t="str">
        <f t="shared" si="93"/>
        <v/>
      </c>
      <c r="G2161" t="str">
        <f t="shared" si="94"/>
        <v/>
      </c>
    </row>
    <row r="2162" spans="2:7" x14ac:dyDescent="0.25">
      <c r="B2162" s="6"/>
      <c r="C2162" s="7"/>
      <c r="D2162" s="7"/>
      <c r="E2162" s="8"/>
      <c r="F2162" t="str">
        <f t="shared" si="93"/>
        <v/>
      </c>
      <c r="G2162" t="str">
        <f t="shared" si="94"/>
        <v/>
      </c>
    </row>
    <row r="2163" spans="2:7" x14ac:dyDescent="0.25">
      <c r="B2163" s="6"/>
      <c r="C2163" s="7"/>
      <c r="D2163" s="7"/>
      <c r="E2163" s="8"/>
      <c r="F2163" t="str">
        <f t="shared" si="93"/>
        <v/>
      </c>
      <c r="G2163" t="str">
        <f t="shared" si="94"/>
        <v/>
      </c>
    </row>
    <row r="2164" spans="2:7" x14ac:dyDescent="0.25">
      <c r="B2164" s="6"/>
      <c r="C2164" s="7"/>
      <c r="D2164" s="7"/>
      <c r="E2164" s="8"/>
      <c r="F2164" t="str">
        <f t="shared" si="93"/>
        <v/>
      </c>
      <c r="G2164" t="str">
        <f t="shared" si="94"/>
        <v/>
      </c>
    </row>
    <row r="2165" spans="2:7" x14ac:dyDescent="0.25">
      <c r="B2165" s="6"/>
      <c r="C2165" s="7"/>
      <c r="D2165" s="7"/>
      <c r="E2165" s="8"/>
      <c r="F2165" t="str">
        <f t="shared" si="93"/>
        <v/>
      </c>
      <c r="G2165" t="str">
        <f t="shared" si="94"/>
        <v/>
      </c>
    </row>
    <row r="2166" spans="2:7" x14ac:dyDescent="0.25">
      <c r="B2166" s="6"/>
      <c r="C2166" s="7"/>
      <c r="D2166" s="7"/>
      <c r="E2166" s="8"/>
      <c r="F2166" t="str">
        <f t="shared" si="93"/>
        <v/>
      </c>
      <c r="G2166" t="str">
        <f t="shared" si="94"/>
        <v/>
      </c>
    </row>
    <row r="2167" spans="2:7" x14ac:dyDescent="0.25">
      <c r="B2167" s="6"/>
      <c r="C2167" s="7"/>
      <c r="D2167" s="7"/>
      <c r="E2167" s="8"/>
      <c r="F2167" t="str">
        <f t="shared" si="93"/>
        <v/>
      </c>
      <c r="G2167" t="str">
        <f t="shared" si="94"/>
        <v/>
      </c>
    </row>
    <row r="2168" spans="2:7" x14ac:dyDescent="0.25">
      <c r="B2168" s="6"/>
      <c r="C2168" s="7"/>
      <c r="D2168" s="7"/>
      <c r="E2168" s="8"/>
      <c r="F2168" t="str">
        <f t="shared" si="93"/>
        <v/>
      </c>
      <c r="G2168" t="str">
        <f t="shared" si="94"/>
        <v/>
      </c>
    </row>
    <row r="2169" spans="2:7" x14ac:dyDescent="0.25">
      <c r="B2169" s="6"/>
      <c r="C2169" s="7"/>
      <c r="D2169" s="7"/>
      <c r="E2169" s="8"/>
      <c r="F2169" t="str">
        <f t="shared" si="93"/>
        <v/>
      </c>
      <c r="G2169" t="str">
        <f t="shared" si="94"/>
        <v/>
      </c>
    </row>
    <row r="2170" spans="2:7" x14ac:dyDescent="0.25">
      <c r="B2170" s="6"/>
      <c r="C2170" s="7"/>
      <c r="D2170" s="7"/>
      <c r="E2170" s="8"/>
      <c r="F2170" t="str">
        <f t="shared" si="93"/>
        <v/>
      </c>
      <c r="G2170" t="str">
        <f t="shared" si="94"/>
        <v/>
      </c>
    </row>
    <row r="2171" spans="2:7" x14ac:dyDescent="0.25">
      <c r="B2171" s="6"/>
      <c r="C2171" s="7"/>
      <c r="D2171" s="7"/>
      <c r="E2171" s="8"/>
      <c r="F2171" t="str">
        <f t="shared" si="93"/>
        <v/>
      </c>
      <c r="G2171" t="str">
        <f t="shared" si="94"/>
        <v/>
      </c>
    </row>
    <row r="2172" spans="2:7" x14ac:dyDescent="0.25">
      <c r="B2172" s="6"/>
      <c r="C2172" s="7"/>
      <c r="D2172" s="7"/>
      <c r="E2172" s="8"/>
      <c r="F2172" t="str">
        <f t="shared" si="93"/>
        <v/>
      </c>
      <c r="G2172" t="str">
        <f t="shared" si="94"/>
        <v/>
      </c>
    </row>
    <row r="2173" spans="2:7" x14ac:dyDescent="0.25">
      <c r="B2173" s="6"/>
      <c r="C2173" s="7"/>
      <c r="D2173" s="7"/>
      <c r="E2173" s="8"/>
      <c r="F2173" t="str">
        <f t="shared" si="93"/>
        <v/>
      </c>
      <c r="G2173" t="str">
        <f t="shared" si="94"/>
        <v/>
      </c>
    </row>
    <row r="2174" spans="2:7" x14ac:dyDescent="0.25">
      <c r="B2174" s="6"/>
      <c r="C2174" s="7"/>
      <c r="D2174" s="7"/>
      <c r="E2174" s="8"/>
      <c r="F2174" t="str">
        <f t="shared" si="93"/>
        <v/>
      </c>
      <c r="G2174" t="str">
        <f t="shared" si="94"/>
        <v/>
      </c>
    </row>
    <row r="2175" spans="2:7" x14ac:dyDescent="0.25">
      <c r="B2175" s="6"/>
      <c r="C2175" s="7"/>
      <c r="D2175" s="7"/>
      <c r="E2175" s="8"/>
      <c r="F2175" t="str">
        <f t="shared" si="93"/>
        <v/>
      </c>
      <c r="G2175" t="str">
        <f t="shared" si="94"/>
        <v/>
      </c>
    </row>
    <row r="2176" spans="2:7" x14ac:dyDescent="0.25">
      <c r="B2176" s="6"/>
      <c r="C2176" s="7"/>
      <c r="D2176" s="7"/>
      <c r="E2176" s="8"/>
      <c r="F2176" t="str">
        <f t="shared" si="93"/>
        <v/>
      </c>
      <c r="G2176" t="str">
        <f t="shared" si="94"/>
        <v/>
      </c>
    </row>
    <row r="2177" spans="2:7" x14ac:dyDescent="0.25">
      <c r="B2177" s="6"/>
      <c r="C2177" s="7"/>
      <c r="D2177" s="7"/>
      <c r="E2177" s="8"/>
      <c r="F2177" t="str">
        <f t="shared" si="93"/>
        <v/>
      </c>
      <c r="G2177" t="str">
        <f t="shared" si="94"/>
        <v/>
      </c>
    </row>
    <row r="2178" spans="2:7" x14ac:dyDescent="0.25">
      <c r="B2178" s="6"/>
      <c r="C2178" s="7"/>
      <c r="D2178" s="7"/>
      <c r="E2178" s="8"/>
      <c r="F2178" t="str">
        <f t="shared" si="93"/>
        <v/>
      </c>
      <c r="G2178" t="str">
        <f t="shared" si="94"/>
        <v/>
      </c>
    </row>
    <row r="2179" spans="2:7" x14ac:dyDescent="0.25">
      <c r="B2179" s="6"/>
      <c r="C2179" s="7"/>
      <c r="D2179" s="7"/>
      <c r="E2179" s="8"/>
      <c r="F2179" t="str">
        <f t="shared" si="93"/>
        <v/>
      </c>
      <c r="G2179" t="str">
        <f t="shared" si="94"/>
        <v/>
      </c>
    </row>
    <row r="2180" spans="2:7" x14ac:dyDescent="0.25">
      <c r="B2180" s="6"/>
      <c r="C2180" s="7"/>
      <c r="D2180" s="7"/>
      <c r="E2180" s="8"/>
      <c r="F2180" t="str">
        <f t="shared" ref="F2180:F2243" si="95">IF(B2180="","",LOG10(D2180))</f>
        <v/>
      </c>
      <c r="G2180" t="str">
        <f t="shared" ref="G2180:G2243" si="96">IF(E2180="", "",0.434*E2180/D2180)</f>
        <v/>
      </c>
    </row>
    <row r="2181" spans="2:7" x14ac:dyDescent="0.25">
      <c r="B2181" s="6"/>
      <c r="C2181" s="7"/>
      <c r="D2181" s="7"/>
      <c r="E2181" s="8"/>
      <c r="F2181" t="str">
        <f t="shared" si="95"/>
        <v/>
      </c>
      <c r="G2181" t="str">
        <f t="shared" si="96"/>
        <v/>
      </c>
    </row>
    <row r="2182" spans="2:7" x14ac:dyDescent="0.25">
      <c r="B2182" s="6"/>
      <c r="C2182" s="7"/>
      <c r="D2182" s="7"/>
      <c r="E2182" s="8"/>
      <c r="F2182" t="str">
        <f t="shared" si="95"/>
        <v/>
      </c>
      <c r="G2182" t="str">
        <f t="shared" si="96"/>
        <v/>
      </c>
    </row>
    <row r="2183" spans="2:7" x14ac:dyDescent="0.25">
      <c r="B2183" s="6"/>
      <c r="C2183" s="7"/>
      <c r="D2183" s="7"/>
      <c r="E2183" s="8"/>
      <c r="F2183" t="str">
        <f t="shared" si="95"/>
        <v/>
      </c>
      <c r="G2183" t="str">
        <f t="shared" si="96"/>
        <v/>
      </c>
    </row>
    <row r="2184" spans="2:7" x14ac:dyDescent="0.25">
      <c r="B2184" s="6"/>
      <c r="C2184" s="7"/>
      <c r="D2184" s="7"/>
      <c r="E2184" s="8"/>
      <c r="F2184" t="str">
        <f t="shared" si="95"/>
        <v/>
      </c>
      <c r="G2184" t="str">
        <f t="shared" si="96"/>
        <v/>
      </c>
    </row>
    <row r="2185" spans="2:7" x14ac:dyDescent="0.25">
      <c r="B2185" s="6"/>
      <c r="C2185" s="7"/>
      <c r="D2185" s="7"/>
      <c r="E2185" s="8"/>
      <c r="F2185" t="str">
        <f t="shared" si="95"/>
        <v/>
      </c>
      <c r="G2185" t="str">
        <f t="shared" si="96"/>
        <v/>
      </c>
    </row>
    <row r="2186" spans="2:7" x14ac:dyDescent="0.25">
      <c r="B2186" s="6"/>
      <c r="C2186" s="7"/>
      <c r="D2186" s="7"/>
      <c r="E2186" s="8"/>
      <c r="F2186" t="str">
        <f t="shared" si="95"/>
        <v/>
      </c>
      <c r="G2186" t="str">
        <f t="shared" si="96"/>
        <v/>
      </c>
    </row>
    <row r="2187" spans="2:7" x14ac:dyDescent="0.25">
      <c r="B2187" s="6"/>
      <c r="C2187" s="7"/>
      <c r="D2187" s="7"/>
      <c r="E2187" s="8"/>
      <c r="F2187" t="str">
        <f t="shared" si="95"/>
        <v/>
      </c>
      <c r="G2187" t="str">
        <f t="shared" si="96"/>
        <v/>
      </c>
    </row>
    <row r="2188" spans="2:7" x14ac:dyDescent="0.25">
      <c r="B2188" s="6"/>
      <c r="C2188" s="7"/>
      <c r="D2188" s="7"/>
      <c r="E2188" s="8"/>
      <c r="F2188" t="str">
        <f t="shared" si="95"/>
        <v/>
      </c>
      <c r="G2188" t="str">
        <f t="shared" si="96"/>
        <v/>
      </c>
    </row>
    <row r="2189" spans="2:7" x14ac:dyDescent="0.25">
      <c r="B2189" s="6"/>
      <c r="C2189" s="7"/>
      <c r="D2189" s="7"/>
      <c r="E2189" s="8"/>
      <c r="F2189" t="str">
        <f t="shared" si="95"/>
        <v/>
      </c>
      <c r="G2189" t="str">
        <f t="shared" si="96"/>
        <v/>
      </c>
    </row>
    <row r="2190" spans="2:7" x14ac:dyDescent="0.25">
      <c r="B2190" s="6"/>
      <c r="C2190" s="7"/>
      <c r="D2190" s="7"/>
      <c r="E2190" s="8"/>
      <c r="F2190" t="str">
        <f t="shared" si="95"/>
        <v/>
      </c>
      <c r="G2190" t="str">
        <f t="shared" si="96"/>
        <v/>
      </c>
    </row>
    <row r="2191" spans="2:7" x14ac:dyDescent="0.25">
      <c r="B2191" s="6"/>
      <c r="C2191" s="7"/>
      <c r="D2191" s="7"/>
      <c r="E2191" s="8"/>
      <c r="F2191" t="str">
        <f t="shared" si="95"/>
        <v/>
      </c>
      <c r="G2191" t="str">
        <f t="shared" si="96"/>
        <v/>
      </c>
    </row>
    <row r="2192" spans="2:7" x14ac:dyDescent="0.25">
      <c r="B2192" s="6"/>
      <c r="C2192" s="7"/>
      <c r="D2192" s="7"/>
      <c r="E2192" s="8"/>
      <c r="F2192" t="str">
        <f t="shared" si="95"/>
        <v/>
      </c>
      <c r="G2192" t="str">
        <f t="shared" si="96"/>
        <v/>
      </c>
    </row>
    <row r="2193" spans="2:7" x14ac:dyDescent="0.25">
      <c r="B2193" s="6"/>
      <c r="C2193" s="7"/>
      <c r="D2193" s="7"/>
      <c r="E2193" s="8"/>
      <c r="F2193" t="str">
        <f t="shared" si="95"/>
        <v/>
      </c>
      <c r="G2193" t="str">
        <f t="shared" si="96"/>
        <v/>
      </c>
    </row>
    <row r="2194" spans="2:7" x14ac:dyDescent="0.25">
      <c r="B2194" s="6"/>
      <c r="C2194" s="7"/>
      <c r="D2194" s="7"/>
      <c r="E2194" s="8"/>
      <c r="F2194" t="str">
        <f t="shared" si="95"/>
        <v/>
      </c>
      <c r="G2194" t="str">
        <f t="shared" si="96"/>
        <v/>
      </c>
    </row>
    <row r="2195" spans="2:7" x14ac:dyDescent="0.25">
      <c r="B2195" s="6"/>
      <c r="C2195" s="7"/>
      <c r="D2195" s="7"/>
      <c r="E2195" s="8"/>
      <c r="F2195" t="str">
        <f t="shared" si="95"/>
        <v/>
      </c>
      <c r="G2195" t="str">
        <f t="shared" si="96"/>
        <v/>
      </c>
    </row>
    <row r="2196" spans="2:7" x14ac:dyDescent="0.25">
      <c r="B2196" s="6"/>
      <c r="C2196" s="7"/>
      <c r="D2196" s="7"/>
      <c r="E2196" s="8"/>
      <c r="F2196" t="str">
        <f t="shared" si="95"/>
        <v/>
      </c>
      <c r="G2196" t="str">
        <f t="shared" si="96"/>
        <v/>
      </c>
    </row>
    <row r="2197" spans="2:7" x14ac:dyDescent="0.25">
      <c r="B2197" s="6"/>
      <c r="C2197" s="7"/>
      <c r="D2197" s="7"/>
      <c r="E2197" s="8"/>
      <c r="F2197" t="str">
        <f t="shared" si="95"/>
        <v/>
      </c>
      <c r="G2197" t="str">
        <f t="shared" si="96"/>
        <v/>
      </c>
    </row>
    <row r="2198" spans="2:7" x14ac:dyDescent="0.25">
      <c r="B2198" s="6"/>
      <c r="C2198" s="7"/>
      <c r="D2198" s="7"/>
      <c r="E2198" s="8"/>
      <c r="F2198" t="str">
        <f t="shared" si="95"/>
        <v/>
      </c>
      <c r="G2198" t="str">
        <f t="shared" si="96"/>
        <v/>
      </c>
    </row>
    <row r="2199" spans="2:7" x14ac:dyDescent="0.25">
      <c r="B2199" s="6"/>
      <c r="C2199" s="7"/>
      <c r="D2199" s="7"/>
      <c r="E2199" s="8"/>
      <c r="F2199" t="str">
        <f t="shared" si="95"/>
        <v/>
      </c>
      <c r="G2199" t="str">
        <f t="shared" si="96"/>
        <v/>
      </c>
    </row>
    <row r="2200" spans="2:7" x14ac:dyDescent="0.25">
      <c r="B2200" s="6"/>
      <c r="C2200" s="7"/>
      <c r="D2200" s="7"/>
      <c r="E2200" s="8"/>
      <c r="F2200" t="str">
        <f t="shared" si="95"/>
        <v/>
      </c>
      <c r="G2200" t="str">
        <f t="shared" si="96"/>
        <v/>
      </c>
    </row>
    <row r="2201" spans="2:7" x14ac:dyDescent="0.25">
      <c r="B2201" s="6"/>
      <c r="C2201" s="7"/>
      <c r="D2201" s="7"/>
      <c r="E2201" s="8"/>
      <c r="F2201" t="str">
        <f t="shared" si="95"/>
        <v/>
      </c>
      <c r="G2201" t="str">
        <f t="shared" si="96"/>
        <v/>
      </c>
    </row>
    <row r="2202" spans="2:7" x14ac:dyDescent="0.25">
      <c r="B2202" s="6"/>
      <c r="C2202" s="7"/>
      <c r="D2202" s="7"/>
      <c r="E2202" s="8"/>
      <c r="F2202" t="str">
        <f t="shared" si="95"/>
        <v/>
      </c>
      <c r="G2202" t="str">
        <f t="shared" si="96"/>
        <v/>
      </c>
    </row>
    <row r="2203" spans="2:7" x14ac:dyDescent="0.25">
      <c r="B2203" s="6"/>
      <c r="C2203" s="7"/>
      <c r="D2203" s="7"/>
      <c r="E2203" s="8"/>
      <c r="F2203" t="str">
        <f t="shared" si="95"/>
        <v/>
      </c>
      <c r="G2203" t="str">
        <f t="shared" si="96"/>
        <v/>
      </c>
    </row>
    <row r="2204" spans="2:7" x14ac:dyDescent="0.25">
      <c r="B2204" s="6"/>
      <c r="C2204" s="7"/>
      <c r="D2204" s="7"/>
      <c r="E2204" s="8"/>
      <c r="F2204" t="str">
        <f t="shared" si="95"/>
        <v/>
      </c>
      <c r="G2204" t="str">
        <f t="shared" si="96"/>
        <v/>
      </c>
    </row>
    <row r="2205" spans="2:7" x14ac:dyDescent="0.25">
      <c r="B2205" s="6"/>
      <c r="C2205" s="7"/>
      <c r="D2205" s="7"/>
      <c r="E2205" s="8"/>
      <c r="F2205" t="str">
        <f t="shared" si="95"/>
        <v/>
      </c>
      <c r="G2205" t="str">
        <f t="shared" si="96"/>
        <v/>
      </c>
    </row>
    <row r="2206" spans="2:7" x14ac:dyDescent="0.25">
      <c r="B2206" s="6"/>
      <c r="C2206" s="7"/>
      <c r="D2206" s="7"/>
      <c r="E2206" s="8"/>
      <c r="F2206" t="str">
        <f t="shared" si="95"/>
        <v/>
      </c>
      <c r="G2206" t="str">
        <f t="shared" si="96"/>
        <v/>
      </c>
    </row>
    <row r="2207" spans="2:7" x14ac:dyDescent="0.25">
      <c r="B2207" s="6"/>
      <c r="C2207" s="7"/>
      <c r="D2207" s="7"/>
      <c r="E2207" s="8"/>
      <c r="F2207" t="str">
        <f t="shared" si="95"/>
        <v/>
      </c>
      <c r="G2207" t="str">
        <f t="shared" si="96"/>
        <v/>
      </c>
    </row>
    <row r="2208" spans="2:7" x14ac:dyDescent="0.25">
      <c r="B2208" s="6"/>
      <c r="C2208" s="7"/>
      <c r="D2208" s="7"/>
      <c r="E2208" s="8"/>
      <c r="F2208" t="str">
        <f t="shared" si="95"/>
        <v/>
      </c>
      <c r="G2208" t="str">
        <f t="shared" si="96"/>
        <v/>
      </c>
    </row>
    <row r="2209" spans="2:7" x14ac:dyDescent="0.25">
      <c r="B2209" s="6"/>
      <c r="C2209" s="7"/>
      <c r="D2209" s="7"/>
      <c r="E2209" s="8"/>
      <c r="F2209" t="str">
        <f t="shared" si="95"/>
        <v/>
      </c>
      <c r="G2209" t="str">
        <f t="shared" si="96"/>
        <v/>
      </c>
    </row>
    <row r="2210" spans="2:7" x14ac:dyDescent="0.25">
      <c r="B2210" s="6"/>
      <c r="C2210" s="7"/>
      <c r="D2210" s="7"/>
      <c r="E2210" s="8"/>
      <c r="F2210" t="str">
        <f t="shared" si="95"/>
        <v/>
      </c>
      <c r="G2210" t="str">
        <f t="shared" si="96"/>
        <v/>
      </c>
    </row>
    <row r="2211" spans="2:7" x14ac:dyDescent="0.25">
      <c r="B2211" s="6"/>
      <c r="C2211" s="7"/>
      <c r="D2211" s="7"/>
      <c r="E2211" s="8"/>
      <c r="F2211" t="str">
        <f t="shared" si="95"/>
        <v/>
      </c>
      <c r="G2211" t="str">
        <f t="shared" si="96"/>
        <v/>
      </c>
    </row>
    <row r="2212" spans="2:7" x14ac:dyDescent="0.25">
      <c r="B2212" s="6"/>
      <c r="C2212" s="7"/>
      <c r="D2212" s="7"/>
      <c r="E2212" s="8"/>
      <c r="F2212" t="str">
        <f t="shared" si="95"/>
        <v/>
      </c>
      <c r="G2212" t="str">
        <f t="shared" si="96"/>
        <v/>
      </c>
    </row>
    <row r="2213" spans="2:7" x14ac:dyDescent="0.25">
      <c r="B2213" s="6"/>
      <c r="C2213" s="7"/>
      <c r="D2213" s="7"/>
      <c r="E2213" s="8"/>
      <c r="F2213" t="str">
        <f t="shared" si="95"/>
        <v/>
      </c>
      <c r="G2213" t="str">
        <f t="shared" si="96"/>
        <v/>
      </c>
    </row>
    <row r="2214" spans="2:7" x14ac:dyDescent="0.25">
      <c r="B2214" s="6"/>
      <c r="C2214" s="7"/>
      <c r="D2214" s="7"/>
      <c r="E2214" s="8"/>
      <c r="F2214" t="str">
        <f t="shared" si="95"/>
        <v/>
      </c>
      <c r="G2214" t="str">
        <f t="shared" si="96"/>
        <v/>
      </c>
    </row>
    <row r="2215" spans="2:7" x14ac:dyDescent="0.25">
      <c r="B2215" s="6"/>
      <c r="C2215" s="7"/>
      <c r="D2215" s="7"/>
      <c r="E2215" s="8"/>
      <c r="F2215" t="str">
        <f t="shared" si="95"/>
        <v/>
      </c>
      <c r="G2215" t="str">
        <f t="shared" si="96"/>
        <v/>
      </c>
    </row>
    <row r="2216" spans="2:7" x14ac:dyDescent="0.25">
      <c r="B2216" s="6"/>
      <c r="C2216" s="7"/>
      <c r="D2216" s="7"/>
      <c r="E2216" s="8"/>
      <c r="F2216" t="str">
        <f t="shared" si="95"/>
        <v/>
      </c>
      <c r="G2216" t="str">
        <f t="shared" si="96"/>
        <v/>
      </c>
    </row>
    <row r="2217" spans="2:7" x14ac:dyDescent="0.25">
      <c r="B2217" s="6"/>
      <c r="C2217" s="7"/>
      <c r="D2217" s="7"/>
      <c r="E2217" s="8"/>
      <c r="F2217" t="str">
        <f t="shared" si="95"/>
        <v/>
      </c>
      <c r="G2217" t="str">
        <f t="shared" si="96"/>
        <v/>
      </c>
    </row>
    <row r="2218" spans="2:7" x14ac:dyDescent="0.25">
      <c r="B2218" s="6"/>
      <c r="C2218" s="7"/>
      <c r="D2218" s="7"/>
      <c r="E2218" s="8"/>
      <c r="F2218" t="str">
        <f t="shared" si="95"/>
        <v/>
      </c>
      <c r="G2218" t="str">
        <f t="shared" si="96"/>
        <v/>
      </c>
    </row>
    <row r="2219" spans="2:7" x14ac:dyDescent="0.25">
      <c r="B2219" s="6"/>
      <c r="C2219" s="7"/>
      <c r="D2219" s="7"/>
      <c r="E2219" s="8"/>
      <c r="F2219" t="str">
        <f t="shared" si="95"/>
        <v/>
      </c>
      <c r="G2219" t="str">
        <f t="shared" si="96"/>
        <v/>
      </c>
    </row>
    <row r="2220" spans="2:7" x14ac:dyDescent="0.25">
      <c r="B2220" s="6"/>
      <c r="C2220" s="7"/>
      <c r="D2220" s="7"/>
      <c r="E2220" s="8"/>
      <c r="F2220" t="str">
        <f t="shared" si="95"/>
        <v/>
      </c>
      <c r="G2220" t="str">
        <f t="shared" si="96"/>
        <v/>
      </c>
    </row>
    <row r="2221" spans="2:7" x14ac:dyDescent="0.25">
      <c r="B2221" s="6"/>
      <c r="C2221" s="7"/>
      <c r="D2221" s="7"/>
      <c r="E2221" s="8"/>
      <c r="F2221" t="str">
        <f t="shared" si="95"/>
        <v/>
      </c>
      <c r="G2221" t="str">
        <f t="shared" si="96"/>
        <v/>
      </c>
    </row>
    <row r="2222" spans="2:7" x14ac:dyDescent="0.25">
      <c r="B2222" s="6"/>
      <c r="C2222" s="7"/>
      <c r="D2222" s="7"/>
      <c r="E2222" s="8"/>
      <c r="F2222" t="str">
        <f t="shared" si="95"/>
        <v/>
      </c>
      <c r="G2222" t="str">
        <f t="shared" si="96"/>
        <v/>
      </c>
    </row>
    <row r="2223" spans="2:7" x14ac:dyDescent="0.25">
      <c r="B2223" s="6"/>
      <c r="C2223" s="7"/>
      <c r="D2223" s="7"/>
      <c r="E2223" s="8"/>
      <c r="F2223" t="str">
        <f t="shared" si="95"/>
        <v/>
      </c>
      <c r="G2223" t="str">
        <f t="shared" si="96"/>
        <v/>
      </c>
    </row>
    <row r="2224" spans="2:7" x14ac:dyDescent="0.25">
      <c r="B2224" s="6"/>
      <c r="C2224" s="7"/>
      <c r="D2224" s="7"/>
      <c r="E2224" s="8"/>
      <c r="F2224" t="str">
        <f t="shared" si="95"/>
        <v/>
      </c>
      <c r="G2224" t="str">
        <f t="shared" si="96"/>
        <v/>
      </c>
    </row>
    <row r="2225" spans="2:7" x14ac:dyDescent="0.25">
      <c r="B2225" s="6"/>
      <c r="C2225" s="7"/>
      <c r="D2225" s="7"/>
      <c r="E2225" s="8"/>
      <c r="F2225" t="str">
        <f t="shared" si="95"/>
        <v/>
      </c>
      <c r="G2225" t="str">
        <f t="shared" si="96"/>
        <v/>
      </c>
    </row>
    <row r="2226" spans="2:7" x14ac:dyDescent="0.25">
      <c r="B2226" s="6"/>
      <c r="C2226" s="7"/>
      <c r="D2226" s="7"/>
      <c r="E2226" s="8"/>
      <c r="F2226" t="str">
        <f t="shared" si="95"/>
        <v/>
      </c>
      <c r="G2226" t="str">
        <f t="shared" si="96"/>
        <v/>
      </c>
    </row>
    <row r="2227" spans="2:7" x14ac:dyDescent="0.25">
      <c r="B2227" s="6"/>
      <c r="C2227" s="7"/>
      <c r="D2227" s="7"/>
      <c r="E2227" s="8"/>
      <c r="F2227" t="str">
        <f t="shared" si="95"/>
        <v/>
      </c>
      <c r="G2227" t="str">
        <f t="shared" si="96"/>
        <v/>
      </c>
    </row>
    <row r="2228" spans="2:7" x14ac:dyDescent="0.25">
      <c r="B2228" s="6"/>
      <c r="C2228" s="7"/>
      <c r="D2228" s="7"/>
      <c r="E2228" s="8"/>
      <c r="F2228" t="str">
        <f t="shared" si="95"/>
        <v/>
      </c>
      <c r="G2228" t="str">
        <f t="shared" si="96"/>
        <v/>
      </c>
    </row>
    <row r="2229" spans="2:7" x14ac:dyDescent="0.25">
      <c r="B2229" s="6"/>
      <c r="C2229" s="7"/>
      <c r="D2229" s="7"/>
      <c r="E2229" s="8"/>
      <c r="F2229" t="str">
        <f t="shared" si="95"/>
        <v/>
      </c>
      <c r="G2229" t="str">
        <f t="shared" si="96"/>
        <v/>
      </c>
    </row>
    <row r="2230" spans="2:7" x14ac:dyDescent="0.25">
      <c r="B2230" s="6"/>
      <c r="C2230" s="7"/>
      <c r="D2230" s="7"/>
      <c r="E2230" s="8"/>
      <c r="F2230" t="str">
        <f t="shared" si="95"/>
        <v/>
      </c>
      <c r="G2230" t="str">
        <f t="shared" si="96"/>
        <v/>
      </c>
    </row>
    <row r="2231" spans="2:7" x14ac:dyDescent="0.25">
      <c r="B2231" s="6"/>
      <c r="C2231" s="7"/>
      <c r="D2231" s="7"/>
      <c r="E2231" s="8"/>
      <c r="F2231" t="str">
        <f t="shared" si="95"/>
        <v/>
      </c>
      <c r="G2231" t="str">
        <f t="shared" si="96"/>
        <v/>
      </c>
    </row>
    <row r="2232" spans="2:7" x14ac:dyDescent="0.25">
      <c r="B2232" s="6"/>
      <c r="C2232" s="7"/>
      <c r="D2232" s="7"/>
      <c r="E2232" s="8"/>
      <c r="F2232" t="str">
        <f t="shared" si="95"/>
        <v/>
      </c>
      <c r="G2232" t="str">
        <f t="shared" si="96"/>
        <v/>
      </c>
    </row>
    <row r="2233" spans="2:7" x14ac:dyDescent="0.25">
      <c r="B2233" s="6"/>
      <c r="C2233" s="7"/>
      <c r="D2233" s="7"/>
      <c r="E2233" s="8"/>
      <c r="F2233" t="str">
        <f t="shared" si="95"/>
        <v/>
      </c>
      <c r="G2233" t="str">
        <f t="shared" si="96"/>
        <v/>
      </c>
    </row>
    <row r="2234" spans="2:7" x14ac:dyDescent="0.25">
      <c r="B2234" s="6"/>
      <c r="C2234" s="7"/>
      <c r="D2234" s="7"/>
      <c r="E2234" s="8"/>
      <c r="F2234" t="str">
        <f t="shared" si="95"/>
        <v/>
      </c>
      <c r="G2234" t="str">
        <f t="shared" si="96"/>
        <v/>
      </c>
    </row>
    <row r="2235" spans="2:7" x14ac:dyDescent="0.25">
      <c r="B2235" s="6"/>
      <c r="C2235" s="7"/>
      <c r="D2235" s="7"/>
      <c r="E2235" s="8"/>
      <c r="F2235" t="str">
        <f t="shared" si="95"/>
        <v/>
      </c>
      <c r="G2235" t="str">
        <f t="shared" si="96"/>
        <v/>
      </c>
    </row>
    <row r="2236" spans="2:7" x14ac:dyDescent="0.25">
      <c r="B2236" s="6"/>
      <c r="C2236" s="7"/>
      <c r="D2236" s="7"/>
      <c r="E2236" s="8"/>
      <c r="F2236" t="str">
        <f t="shared" si="95"/>
        <v/>
      </c>
      <c r="G2236" t="str">
        <f t="shared" si="96"/>
        <v/>
      </c>
    </row>
    <row r="2237" spans="2:7" x14ac:dyDescent="0.25">
      <c r="B2237" s="6"/>
      <c r="C2237" s="7"/>
      <c r="D2237" s="7"/>
      <c r="E2237" s="8"/>
      <c r="F2237" t="str">
        <f t="shared" si="95"/>
        <v/>
      </c>
      <c r="G2237" t="str">
        <f t="shared" si="96"/>
        <v/>
      </c>
    </row>
    <row r="2238" spans="2:7" x14ac:dyDescent="0.25">
      <c r="B2238" s="6"/>
      <c r="C2238" s="7"/>
      <c r="D2238" s="7"/>
      <c r="E2238" s="8"/>
      <c r="F2238" t="str">
        <f t="shared" si="95"/>
        <v/>
      </c>
      <c r="G2238" t="str">
        <f t="shared" si="96"/>
        <v/>
      </c>
    </row>
    <row r="2239" spans="2:7" x14ac:dyDescent="0.25">
      <c r="B2239" s="6"/>
      <c r="C2239" s="7"/>
      <c r="D2239" s="7"/>
      <c r="E2239" s="8"/>
      <c r="F2239" t="str">
        <f t="shared" si="95"/>
        <v/>
      </c>
      <c r="G2239" t="str">
        <f t="shared" si="96"/>
        <v/>
      </c>
    </row>
    <row r="2240" spans="2:7" x14ac:dyDescent="0.25">
      <c r="B2240" s="6"/>
      <c r="C2240" s="7"/>
      <c r="D2240" s="7"/>
      <c r="E2240" s="8"/>
      <c r="F2240" t="str">
        <f t="shared" si="95"/>
        <v/>
      </c>
      <c r="G2240" t="str">
        <f t="shared" si="96"/>
        <v/>
      </c>
    </row>
    <row r="2241" spans="2:7" x14ac:dyDescent="0.25">
      <c r="B2241" s="6"/>
      <c r="C2241" s="7"/>
      <c r="D2241" s="7"/>
      <c r="E2241" s="8"/>
      <c r="F2241" t="str">
        <f t="shared" si="95"/>
        <v/>
      </c>
      <c r="G2241" t="str">
        <f t="shared" si="96"/>
        <v/>
      </c>
    </row>
    <row r="2242" spans="2:7" x14ac:dyDescent="0.25">
      <c r="B2242" s="6"/>
      <c r="C2242" s="7"/>
      <c r="D2242" s="7"/>
      <c r="E2242" s="8"/>
      <c r="F2242" t="str">
        <f t="shared" si="95"/>
        <v/>
      </c>
      <c r="G2242" t="str">
        <f t="shared" si="96"/>
        <v/>
      </c>
    </row>
    <row r="2243" spans="2:7" x14ac:dyDescent="0.25">
      <c r="B2243" s="6"/>
      <c r="C2243" s="7"/>
      <c r="D2243" s="7"/>
      <c r="E2243" s="8"/>
      <c r="F2243" t="str">
        <f t="shared" si="95"/>
        <v/>
      </c>
      <c r="G2243" t="str">
        <f t="shared" si="96"/>
        <v/>
      </c>
    </row>
    <row r="2244" spans="2:7" x14ac:dyDescent="0.25">
      <c r="B2244" s="6"/>
      <c r="C2244" s="7"/>
      <c r="D2244" s="7"/>
      <c r="E2244" s="8"/>
      <c r="F2244" t="str">
        <f t="shared" ref="F2244:F2307" si="97">IF(B2244="","",LOG10(D2244))</f>
        <v/>
      </c>
      <c r="G2244" t="str">
        <f t="shared" ref="G2244:G2307" si="98">IF(E2244="", "",0.434*E2244/D2244)</f>
        <v/>
      </c>
    </row>
    <row r="2245" spans="2:7" x14ac:dyDescent="0.25">
      <c r="B2245" s="6"/>
      <c r="C2245" s="7"/>
      <c r="D2245" s="7"/>
      <c r="E2245" s="8"/>
      <c r="F2245" t="str">
        <f t="shared" si="97"/>
        <v/>
      </c>
      <c r="G2245" t="str">
        <f t="shared" si="98"/>
        <v/>
      </c>
    </row>
    <row r="2246" spans="2:7" x14ac:dyDescent="0.25">
      <c r="B2246" s="6"/>
      <c r="C2246" s="7"/>
      <c r="D2246" s="7"/>
      <c r="E2246" s="8"/>
      <c r="F2246" t="str">
        <f t="shared" si="97"/>
        <v/>
      </c>
      <c r="G2246" t="str">
        <f t="shared" si="98"/>
        <v/>
      </c>
    </row>
    <row r="2247" spans="2:7" x14ac:dyDescent="0.25">
      <c r="B2247" s="6"/>
      <c r="C2247" s="7"/>
      <c r="D2247" s="7"/>
      <c r="E2247" s="8"/>
      <c r="F2247" t="str">
        <f t="shared" si="97"/>
        <v/>
      </c>
      <c r="G2247" t="str">
        <f t="shared" si="98"/>
        <v/>
      </c>
    </row>
    <row r="2248" spans="2:7" x14ac:dyDescent="0.25">
      <c r="B2248" s="6"/>
      <c r="C2248" s="7"/>
      <c r="D2248" s="7"/>
      <c r="E2248" s="8"/>
      <c r="F2248" t="str">
        <f t="shared" si="97"/>
        <v/>
      </c>
      <c r="G2248" t="str">
        <f t="shared" si="98"/>
        <v/>
      </c>
    </row>
    <row r="2249" spans="2:7" x14ac:dyDescent="0.25">
      <c r="B2249" s="6"/>
      <c r="C2249" s="7"/>
      <c r="D2249" s="7"/>
      <c r="E2249" s="8"/>
      <c r="F2249" t="str">
        <f t="shared" si="97"/>
        <v/>
      </c>
      <c r="G2249" t="str">
        <f t="shared" si="98"/>
        <v/>
      </c>
    </row>
    <row r="2250" spans="2:7" x14ac:dyDescent="0.25">
      <c r="B2250" s="6"/>
      <c r="C2250" s="7"/>
      <c r="D2250" s="7"/>
      <c r="E2250" s="8"/>
      <c r="F2250" t="str">
        <f t="shared" si="97"/>
        <v/>
      </c>
      <c r="G2250" t="str">
        <f t="shared" si="98"/>
        <v/>
      </c>
    </row>
    <row r="2251" spans="2:7" x14ac:dyDescent="0.25">
      <c r="B2251" s="6"/>
      <c r="C2251" s="7"/>
      <c r="D2251" s="7"/>
      <c r="E2251" s="8"/>
      <c r="F2251" t="str">
        <f t="shared" si="97"/>
        <v/>
      </c>
      <c r="G2251" t="str">
        <f t="shared" si="98"/>
        <v/>
      </c>
    </row>
    <row r="2252" spans="2:7" x14ac:dyDescent="0.25">
      <c r="B2252" s="6"/>
      <c r="C2252" s="7"/>
      <c r="D2252" s="7"/>
      <c r="E2252" s="8"/>
      <c r="F2252" t="str">
        <f t="shared" si="97"/>
        <v/>
      </c>
      <c r="G2252" t="str">
        <f t="shared" si="98"/>
        <v/>
      </c>
    </row>
    <row r="2253" spans="2:7" x14ac:dyDescent="0.25">
      <c r="B2253" s="6"/>
      <c r="C2253" s="7"/>
      <c r="D2253" s="7"/>
      <c r="E2253" s="8"/>
      <c r="F2253" t="str">
        <f t="shared" si="97"/>
        <v/>
      </c>
      <c r="G2253" t="str">
        <f t="shared" si="98"/>
        <v/>
      </c>
    </row>
    <row r="2254" spans="2:7" x14ac:dyDescent="0.25">
      <c r="B2254" s="6"/>
      <c r="C2254" s="7"/>
      <c r="D2254" s="7"/>
      <c r="E2254" s="8"/>
      <c r="F2254" t="str">
        <f t="shared" si="97"/>
        <v/>
      </c>
      <c r="G2254" t="str">
        <f t="shared" si="98"/>
        <v/>
      </c>
    </row>
    <row r="2255" spans="2:7" x14ac:dyDescent="0.25">
      <c r="B2255" s="6"/>
      <c r="C2255" s="7"/>
      <c r="D2255" s="7"/>
      <c r="E2255" s="8"/>
      <c r="F2255" t="str">
        <f t="shared" si="97"/>
        <v/>
      </c>
      <c r="G2255" t="str">
        <f t="shared" si="98"/>
        <v/>
      </c>
    </row>
    <row r="2256" spans="2:7" x14ac:dyDescent="0.25">
      <c r="B2256" s="6"/>
      <c r="C2256" s="7"/>
      <c r="D2256" s="7"/>
      <c r="E2256" s="8"/>
      <c r="F2256" t="str">
        <f t="shared" si="97"/>
        <v/>
      </c>
      <c r="G2256" t="str">
        <f t="shared" si="98"/>
        <v/>
      </c>
    </row>
    <row r="2257" spans="2:7" x14ac:dyDescent="0.25">
      <c r="B2257" s="6"/>
      <c r="C2257" s="7"/>
      <c r="D2257" s="7"/>
      <c r="E2257" s="8"/>
      <c r="F2257" t="str">
        <f t="shared" si="97"/>
        <v/>
      </c>
      <c r="G2257" t="str">
        <f t="shared" si="98"/>
        <v/>
      </c>
    </row>
    <row r="2258" spans="2:7" x14ac:dyDescent="0.25">
      <c r="B2258" s="6"/>
      <c r="C2258" s="7"/>
      <c r="D2258" s="7"/>
      <c r="E2258" s="8"/>
      <c r="F2258" t="str">
        <f t="shared" si="97"/>
        <v/>
      </c>
      <c r="G2258" t="str">
        <f t="shared" si="98"/>
        <v/>
      </c>
    </row>
    <row r="2259" spans="2:7" x14ac:dyDescent="0.25">
      <c r="B2259" s="6"/>
      <c r="C2259" s="7"/>
      <c r="D2259" s="7"/>
      <c r="E2259" s="8"/>
      <c r="F2259" t="str">
        <f t="shared" si="97"/>
        <v/>
      </c>
      <c r="G2259" t="str">
        <f t="shared" si="98"/>
        <v/>
      </c>
    </row>
    <row r="2260" spans="2:7" x14ac:dyDescent="0.25">
      <c r="B2260" s="6"/>
      <c r="C2260" s="7"/>
      <c r="D2260" s="7"/>
      <c r="E2260" s="8"/>
      <c r="F2260" t="str">
        <f t="shared" si="97"/>
        <v/>
      </c>
      <c r="G2260" t="str">
        <f t="shared" si="98"/>
        <v/>
      </c>
    </row>
    <row r="2261" spans="2:7" x14ac:dyDescent="0.25">
      <c r="B2261" s="6"/>
      <c r="C2261" s="7"/>
      <c r="D2261" s="7"/>
      <c r="E2261" s="8"/>
      <c r="F2261" t="str">
        <f t="shared" si="97"/>
        <v/>
      </c>
      <c r="G2261" t="str">
        <f t="shared" si="98"/>
        <v/>
      </c>
    </row>
    <row r="2262" spans="2:7" x14ac:dyDescent="0.25">
      <c r="B2262" s="6"/>
      <c r="C2262" s="7"/>
      <c r="D2262" s="7"/>
      <c r="E2262" s="8"/>
      <c r="F2262" t="str">
        <f t="shared" si="97"/>
        <v/>
      </c>
      <c r="G2262" t="str">
        <f t="shared" si="98"/>
        <v/>
      </c>
    </row>
    <row r="2263" spans="2:7" x14ac:dyDescent="0.25">
      <c r="B2263" s="6"/>
      <c r="C2263" s="7"/>
      <c r="D2263" s="7"/>
      <c r="E2263" s="8"/>
      <c r="F2263" t="str">
        <f t="shared" si="97"/>
        <v/>
      </c>
      <c r="G2263" t="str">
        <f t="shared" si="98"/>
        <v/>
      </c>
    </row>
    <row r="2264" spans="2:7" x14ac:dyDescent="0.25">
      <c r="B2264" s="6"/>
      <c r="C2264" s="7"/>
      <c r="D2264" s="7"/>
      <c r="E2264" s="8"/>
      <c r="F2264" t="str">
        <f t="shared" si="97"/>
        <v/>
      </c>
      <c r="G2264" t="str">
        <f t="shared" si="98"/>
        <v/>
      </c>
    </row>
    <row r="2265" spans="2:7" x14ac:dyDescent="0.25">
      <c r="B2265" s="6"/>
      <c r="C2265" s="7"/>
      <c r="D2265" s="7"/>
      <c r="E2265" s="8"/>
      <c r="F2265" t="str">
        <f t="shared" si="97"/>
        <v/>
      </c>
      <c r="G2265" t="str">
        <f t="shared" si="98"/>
        <v/>
      </c>
    </row>
    <row r="2266" spans="2:7" x14ac:dyDescent="0.25">
      <c r="B2266" s="6"/>
      <c r="C2266" s="7"/>
      <c r="D2266" s="7"/>
      <c r="E2266" s="8"/>
      <c r="F2266" t="str">
        <f t="shared" si="97"/>
        <v/>
      </c>
      <c r="G2266" t="str">
        <f t="shared" si="98"/>
        <v/>
      </c>
    </row>
    <row r="2267" spans="2:7" x14ac:dyDescent="0.25">
      <c r="B2267" s="6"/>
      <c r="C2267" s="7"/>
      <c r="D2267" s="7"/>
      <c r="E2267" s="8"/>
      <c r="F2267" t="str">
        <f t="shared" si="97"/>
        <v/>
      </c>
      <c r="G2267" t="str">
        <f t="shared" si="98"/>
        <v/>
      </c>
    </row>
    <row r="2268" spans="2:7" x14ac:dyDescent="0.25">
      <c r="B2268" s="6"/>
      <c r="C2268" s="7"/>
      <c r="D2268" s="7"/>
      <c r="E2268" s="8"/>
      <c r="F2268" t="str">
        <f t="shared" si="97"/>
        <v/>
      </c>
      <c r="G2268" t="str">
        <f t="shared" si="98"/>
        <v/>
      </c>
    </row>
    <row r="2269" spans="2:7" x14ac:dyDescent="0.25">
      <c r="B2269" s="6"/>
      <c r="C2269" s="7"/>
      <c r="D2269" s="7"/>
      <c r="E2269" s="8"/>
      <c r="F2269" t="str">
        <f t="shared" si="97"/>
        <v/>
      </c>
      <c r="G2269" t="str">
        <f t="shared" si="98"/>
        <v/>
      </c>
    </row>
    <row r="2270" spans="2:7" x14ac:dyDescent="0.25">
      <c r="B2270" s="6"/>
      <c r="C2270" s="7"/>
      <c r="D2270" s="7"/>
      <c r="E2270" s="8"/>
      <c r="F2270" t="str">
        <f t="shared" si="97"/>
        <v/>
      </c>
      <c r="G2270" t="str">
        <f t="shared" si="98"/>
        <v/>
      </c>
    </row>
    <row r="2271" spans="2:7" x14ac:dyDescent="0.25">
      <c r="B2271" s="6"/>
      <c r="C2271" s="7"/>
      <c r="D2271" s="7"/>
      <c r="E2271" s="8"/>
      <c r="F2271" t="str">
        <f t="shared" si="97"/>
        <v/>
      </c>
      <c r="G2271" t="str">
        <f t="shared" si="98"/>
        <v/>
      </c>
    </row>
    <row r="2272" spans="2:7" x14ac:dyDescent="0.25">
      <c r="B2272" s="6"/>
      <c r="C2272" s="7"/>
      <c r="D2272" s="7"/>
      <c r="E2272" s="8"/>
      <c r="F2272" t="str">
        <f t="shared" si="97"/>
        <v/>
      </c>
      <c r="G2272" t="str">
        <f t="shared" si="98"/>
        <v/>
      </c>
    </row>
    <row r="2273" spans="2:7" x14ac:dyDescent="0.25">
      <c r="B2273" s="6"/>
      <c r="C2273" s="7"/>
      <c r="D2273" s="7"/>
      <c r="E2273" s="8"/>
      <c r="F2273" t="str">
        <f t="shared" si="97"/>
        <v/>
      </c>
      <c r="G2273" t="str">
        <f t="shared" si="98"/>
        <v/>
      </c>
    </row>
    <row r="2274" spans="2:7" x14ac:dyDescent="0.25">
      <c r="B2274" s="6"/>
      <c r="C2274" s="7"/>
      <c r="D2274" s="7"/>
      <c r="E2274" s="8"/>
      <c r="F2274" t="str">
        <f t="shared" si="97"/>
        <v/>
      </c>
      <c r="G2274" t="str">
        <f t="shared" si="98"/>
        <v/>
      </c>
    </row>
    <row r="2275" spans="2:7" x14ac:dyDescent="0.25">
      <c r="B2275" s="6"/>
      <c r="C2275" s="7"/>
      <c r="D2275" s="7"/>
      <c r="E2275" s="8"/>
      <c r="F2275" t="str">
        <f t="shared" si="97"/>
        <v/>
      </c>
      <c r="G2275" t="str">
        <f t="shared" si="98"/>
        <v/>
      </c>
    </row>
    <row r="2276" spans="2:7" x14ac:dyDescent="0.25">
      <c r="B2276" s="6"/>
      <c r="C2276" s="7"/>
      <c r="D2276" s="7"/>
      <c r="E2276" s="8"/>
      <c r="F2276" t="str">
        <f t="shared" si="97"/>
        <v/>
      </c>
      <c r="G2276" t="str">
        <f t="shared" si="98"/>
        <v/>
      </c>
    </row>
    <row r="2277" spans="2:7" x14ac:dyDescent="0.25">
      <c r="B2277" s="6"/>
      <c r="C2277" s="7"/>
      <c r="D2277" s="7"/>
      <c r="E2277" s="8"/>
      <c r="F2277" t="str">
        <f t="shared" si="97"/>
        <v/>
      </c>
      <c r="G2277" t="str">
        <f t="shared" si="98"/>
        <v/>
      </c>
    </row>
    <row r="2278" spans="2:7" x14ac:dyDescent="0.25">
      <c r="B2278" s="6"/>
      <c r="C2278" s="7"/>
      <c r="D2278" s="7"/>
      <c r="E2278" s="8"/>
      <c r="F2278" t="str">
        <f t="shared" si="97"/>
        <v/>
      </c>
      <c r="G2278" t="str">
        <f t="shared" si="98"/>
        <v/>
      </c>
    </row>
    <row r="2279" spans="2:7" x14ac:dyDescent="0.25">
      <c r="B2279" s="6"/>
      <c r="C2279" s="7"/>
      <c r="D2279" s="7"/>
      <c r="E2279" s="8"/>
      <c r="F2279" t="str">
        <f t="shared" si="97"/>
        <v/>
      </c>
      <c r="G2279" t="str">
        <f t="shared" si="98"/>
        <v/>
      </c>
    </row>
    <row r="2280" spans="2:7" x14ac:dyDescent="0.25">
      <c r="B2280" s="6"/>
      <c r="C2280" s="7"/>
      <c r="D2280" s="7"/>
      <c r="E2280" s="8"/>
      <c r="F2280" t="str">
        <f t="shared" si="97"/>
        <v/>
      </c>
      <c r="G2280" t="str">
        <f t="shared" si="98"/>
        <v/>
      </c>
    </row>
    <row r="2281" spans="2:7" x14ac:dyDescent="0.25">
      <c r="B2281" s="6"/>
      <c r="C2281" s="7"/>
      <c r="D2281" s="7"/>
      <c r="E2281" s="8"/>
      <c r="F2281" t="str">
        <f t="shared" si="97"/>
        <v/>
      </c>
      <c r="G2281" t="str">
        <f t="shared" si="98"/>
        <v/>
      </c>
    </row>
    <row r="2282" spans="2:7" x14ac:dyDescent="0.25">
      <c r="B2282" s="6"/>
      <c r="C2282" s="7"/>
      <c r="D2282" s="7"/>
      <c r="E2282" s="8"/>
      <c r="F2282" t="str">
        <f t="shared" si="97"/>
        <v/>
      </c>
      <c r="G2282" t="str">
        <f t="shared" si="98"/>
        <v/>
      </c>
    </row>
    <row r="2283" spans="2:7" x14ac:dyDescent="0.25">
      <c r="B2283" s="6"/>
      <c r="C2283" s="7"/>
      <c r="D2283" s="7"/>
      <c r="E2283" s="8"/>
      <c r="F2283" t="str">
        <f t="shared" si="97"/>
        <v/>
      </c>
      <c r="G2283" t="str">
        <f t="shared" si="98"/>
        <v/>
      </c>
    </row>
    <row r="2284" spans="2:7" x14ac:dyDescent="0.25">
      <c r="B2284" s="6"/>
      <c r="C2284" s="7"/>
      <c r="D2284" s="7"/>
      <c r="E2284" s="8"/>
      <c r="F2284" t="str">
        <f t="shared" si="97"/>
        <v/>
      </c>
      <c r="G2284" t="str">
        <f t="shared" si="98"/>
        <v/>
      </c>
    </row>
    <row r="2285" spans="2:7" x14ac:dyDescent="0.25">
      <c r="B2285" s="6"/>
      <c r="C2285" s="7"/>
      <c r="D2285" s="7"/>
      <c r="E2285" s="8"/>
      <c r="F2285" t="str">
        <f t="shared" si="97"/>
        <v/>
      </c>
      <c r="G2285" t="str">
        <f t="shared" si="98"/>
        <v/>
      </c>
    </row>
    <row r="2286" spans="2:7" x14ac:dyDescent="0.25">
      <c r="B2286" s="6"/>
      <c r="C2286" s="7"/>
      <c r="D2286" s="7"/>
      <c r="E2286" s="8"/>
      <c r="F2286" t="str">
        <f t="shared" si="97"/>
        <v/>
      </c>
      <c r="G2286" t="str">
        <f t="shared" si="98"/>
        <v/>
      </c>
    </row>
    <row r="2287" spans="2:7" x14ac:dyDescent="0.25">
      <c r="B2287" s="6"/>
      <c r="C2287" s="7"/>
      <c r="D2287" s="7"/>
      <c r="E2287" s="8"/>
      <c r="F2287" t="str">
        <f t="shared" si="97"/>
        <v/>
      </c>
      <c r="G2287" t="str">
        <f t="shared" si="98"/>
        <v/>
      </c>
    </row>
    <row r="2288" spans="2:7" x14ac:dyDescent="0.25">
      <c r="B2288" s="6"/>
      <c r="C2288" s="7"/>
      <c r="D2288" s="7"/>
      <c r="E2288" s="8"/>
      <c r="F2288" t="str">
        <f t="shared" si="97"/>
        <v/>
      </c>
      <c r="G2288" t="str">
        <f t="shared" si="98"/>
        <v/>
      </c>
    </row>
    <row r="2289" spans="2:7" x14ac:dyDescent="0.25">
      <c r="B2289" s="6"/>
      <c r="C2289" s="7"/>
      <c r="D2289" s="7"/>
      <c r="E2289" s="8"/>
      <c r="F2289" t="str">
        <f t="shared" si="97"/>
        <v/>
      </c>
      <c r="G2289" t="str">
        <f t="shared" si="98"/>
        <v/>
      </c>
    </row>
    <row r="2290" spans="2:7" x14ac:dyDescent="0.25">
      <c r="B2290" s="6"/>
      <c r="C2290" s="7"/>
      <c r="D2290" s="7"/>
      <c r="E2290" s="8"/>
      <c r="F2290" t="str">
        <f t="shared" si="97"/>
        <v/>
      </c>
      <c r="G2290" t="str">
        <f t="shared" si="98"/>
        <v/>
      </c>
    </row>
    <row r="2291" spans="2:7" x14ac:dyDescent="0.25">
      <c r="B2291" s="6"/>
      <c r="C2291" s="7"/>
      <c r="D2291" s="7"/>
      <c r="E2291" s="8"/>
      <c r="F2291" t="str">
        <f t="shared" si="97"/>
        <v/>
      </c>
      <c r="G2291" t="str">
        <f t="shared" si="98"/>
        <v/>
      </c>
    </row>
    <row r="2292" spans="2:7" x14ac:dyDescent="0.25">
      <c r="B2292" s="6"/>
      <c r="C2292" s="7"/>
      <c r="D2292" s="7"/>
      <c r="E2292" s="8"/>
      <c r="F2292" t="str">
        <f t="shared" si="97"/>
        <v/>
      </c>
      <c r="G2292" t="str">
        <f t="shared" si="98"/>
        <v/>
      </c>
    </row>
    <row r="2293" spans="2:7" x14ac:dyDescent="0.25">
      <c r="B2293" s="6"/>
      <c r="C2293" s="7"/>
      <c r="D2293" s="7"/>
      <c r="E2293" s="8"/>
      <c r="F2293" t="str">
        <f t="shared" si="97"/>
        <v/>
      </c>
      <c r="G2293" t="str">
        <f t="shared" si="98"/>
        <v/>
      </c>
    </row>
    <row r="2294" spans="2:7" x14ac:dyDescent="0.25">
      <c r="B2294" s="6"/>
      <c r="C2294" s="7"/>
      <c r="D2294" s="7"/>
      <c r="E2294" s="8"/>
      <c r="F2294" t="str">
        <f t="shared" si="97"/>
        <v/>
      </c>
      <c r="G2294" t="str">
        <f t="shared" si="98"/>
        <v/>
      </c>
    </row>
    <row r="2295" spans="2:7" x14ac:dyDescent="0.25">
      <c r="B2295" s="6"/>
      <c r="C2295" s="7"/>
      <c r="D2295" s="7"/>
      <c r="E2295" s="8"/>
      <c r="F2295" t="str">
        <f t="shared" si="97"/>
        <v/>
      </c>
      <c r="G2295" t="str">
        <f t="shared" si="98"/>
        <v/>
      </c>
    </row>
    <row r="2296" spans="2:7" x14ac:dyDescent="0.25">
      <c r="B2296" s="6"/>
      <c r="C2296" s="7"/>
      <c r="D2296" s="7"/>
      <c r="E2296" s="8"/>
      <c r="F2296" t="str">
        <f t="shared" si="97"/>
        <v/>
      </c>
      <c r="G2296" t="str">
        <f t="shared" si="98"/>
        <v/>
      </c>
    </row>
    <row r="2297" spans="2:7" x14ac:dyDescent="0.25">
      <c r="B2297" s="6"/>
      <c r="C2297" s="7"/>
      <c r="D2297" s="7"/>
      <c r="E2297" s="8"/>
      <c r="F2297" t="str">
        <f t="shared" si="97"/>
        <v/>
      </c>
      <c r="G2297" t="str">
        <f t="shared" si="98"/>
        <v/>
      </c>
    </row>
    <row r="2298" spans="2:7" x14ac:dyDescent="0.25">
      <c r="B2298" s="6"/>
      <c r="C2298" s="7"/>
      <c r="D2298" s="7"/>
      <c r="E2298" s="8"/>
      <c r="F2298" t="str">
        <f t="shared" si="97"/>
        <v/>
      </c>
      <c r="G2298" t="str">
        <f t="shared" si="98"/>
        <v/>
      </c>
    </row>
    <row r="2299" spans="2:7" x14ac:dyDescent="0.25">
      <c r="B2299" s="6"/>
      <c r="C2299" s="7"/>
      <c r="D2299" s="7"/>
      <c r="E2299" s="8"/>
      <c r="F2299" t="str">
        <f t="shared" si="97"/>
        <v/>
      </c>
      <c r="G2299" t="str">
        <f t="shared" si="98"/>
        <v/>
      </c>
    </row>
    <row r="2300" spans="2:7" x14ac:dyDescent="0.25">
      <c r="B2300" s="6"/>
      <c r="C2300" s="7"/>
      <c r="D2300" s="7"/>
      <c r="E2300" s="8"/>
      <c r="F2300" t="str">
        <f t="shared" si="97"/>
        <v/>
      </c>
      <c r="G2300" t="str">
        <f t="shared" si="98"/>
        <v/>
      </c>
    </row>
    <row r="2301" spans="2:7" x14ac:dyDescent="0.25">
      <c r="B2301" s="6"/>
      <c r="C2301" s="7"/>
      <c r="D2301" s="7"/>
      <c r="E2301" s="8"/>
      <c r="F2301" t="str">
        <f t="shared" si="97"/>
        <v/>
      </c>
      <c r="G2301" t="str">
        <f t="shared" si="98"/>
        <v/>
      </c>
    </row>
    <row r="2302" spans="2:7" x14ac:dyDescent="0.25">
      <c r="B2302" s="6"/>
      <c r="C2302" s="7"/>
      <c r="D2302" s="7"/>
      <c r="E2302" s="8"/>
      <c r="F2302" t="str">
        <f t="shared" si="97"/>
        <v/>
      </c>
      <c r="G2302" t="str">
        <f t="shared" si="98"/>
        <v/>
      </c>
    </row>
    <row r="2303" spans="2:7" x14ac:dyDescent="0.25">
      <c r="B2303" s="6"/>
      <c r="C2303" s="7"/>
      <c r="D2303" s="7"/>
      <c r="E2303" s="8"/>
      <c r="F2303" t="str">
        <f t="shared" si="97"/>
        <v/>
      </c>
      <c r="G2303" t="str">
        <f t="shared" si="98"/>
        <v/>
      </c>
    </row>
    <row r="2304" spans="2:7" x14ac:dyDescent="0.25">
      <c r="B2304" s="6"/>
      <c r="C2304" s="7"/>
      <c r="D2304" s="7"/>
      <c r="E2304" s="8"/>
      <c r="F2304" t="str">
        <f t="shared" si="97"/>
        <v/>
      </c>
      <c r="G2304" t="str">
        <f t="shared" si="98"/>
        <v/>
      </c>
    </row>
    <row r="2305" spans="2:7" x14ac:dyDescent="0.25">
      <c r="B2305" s="6"/>
      <c r="C2305" s="7"/>
      <c r="D2305" s="7"/>
      <c r="E2305" s="8"/>
      <c r="F2305" t="str">
        <f t="shared" si="97"/>
        <v/>
      </c>
      <c r="G2305" t="str">
        <f t="shared" si="98"/>
        <v/>
      </c>
    </row>
    <row r="2306" spans="2:7" x14ac:dyDescent="0.25">
      <c r="B2306" s="6"/>
      <c r="C2306" s="7"/>
      <c r="D2306" s="7"/>
      <c r="E2306" s="8"/>
      <c r="F2306" t="str">
        <f t="shared" si="97"/>
        <v/>
      </c>
      <c r="G2306" t="str">
        <f t="shared" si="98"/>
        <v/>
      </c>
    </row>
    <row r="2307" spans="2:7" x14ac:dyDescent="0.25">
      <c r="B2307" s="6"/>
      <c r="C2307" s="7"/>
      <c r="D2307" s="7"/>
      <c r="E2307" s="8"/>
      <c r="F2307" t="str">
        <f t="shared" si="97"/>
        <v/>
      </c>
      <c r="G2307" t="str">
        <f t="shared" si="98"/>
        <v/>
      </c>
    </row>
    <row r="2308" spans="2:7" x14ac:dyDescent="0.25">
      <c r="B2308" s="6"/>
      <c r="C2308" s="7"/>
      <c r="D2308" s="7"/>
      <c r="E2308" s="8"/>
      <c r="F2308" t="str">
        <f t="shared" ref="F2308:F2371" si="99">IF(B2308="","",LOG10(D2308))</f>
        <v/>
      </c>
      <c r="G2308" t="str">
        <f t="shared" ref="G2308:G2371" si="100">IF(E2308="", "",0.434*E2308/D2308)</f>
        <v/>
      </c>
    </row>
    <row r="2309" spans="2:7" x14ac:dyDescent="0.25">
      <c r="B2309" s="6"/>
      <c r="C2309" s="7"/>
      <c r="D2309" s="7"/>
      <c r="E2309" s="8"/>
      <c r="F2309" t="str">
        <f t="shared" si="99"/>
        <v/>
      </c>
      <c r="G2309" t="str">
        <f t="shared" si="100"/>
        <v/>
      </c>
    </row>
    <row r="2310" spans="2:7" x14ac:dyDescent="0.25">
      <c r="B2310" s="6"/>
      <c r="C2310" s="7"/>
      <c r="D2310" s="7"/>
      <c r="E2310" s="8"/>
      <c r="F2310" t="str">
        <f t="shared" si="99"/>
        <v/>
      </c>
      <c r="G2310" t="str">
        <f t="shared" si="100"/>
        <v/>
      </c>
    </row>
    <row r="2311" spans="2:7" x14ac:dyDescent="0.25">
      <c r="B2311" s="6"/>
      <c r="C2311" s="7"/>
      <c r="D2311" s="7"/>
      <c r="E2311" s="8"/>
      <c r="F2311" t="str">
        <f t="shared" si="99"/>
        <v/>
      </c>
      <c r="G2311" t="str">
        <f t="shared" si="100"/>
        <v/>
      </c>
    </row>
    <row r="2312" spans="2:7" x14ac:dyDescent="0.25">
      <c r="B2312" s="6"/>
      <c r="C2312" s="7"/>
      <c r="D2312" s="7"/>
      <c r="E2312" s="8"/>
      <c r="F2312" t="str">
        <f t="shared" si="99"/>
        <v/>
      </c>
      <c r="G2312" t="str">
        <f t="shared" si="100"/>
        <v/>
      </c>
    </row>
    <row r="2313" spans="2:7" x14ac:dyDescent="0.25">
      <c r="B2313" s="6"/>
      <c r="C2313" s="7"/>
      <c r="D2313" s="7"/>
      <c r="E2313" s="8"/>
      <c r="F2313" t="str">
        <f t="shared" si="99"/>
        <v/>
      </c>
      <c r="G2313" t="str">
        <f t="shared" si="100"/>
        <v/>
      </c>
    </row>
    <row r="2314" spans="2:7" x14ac:dyDescent="0.25">
      <c r="B2314" s="6"/>
      <c r="C2314" s="7"/>
      <c r="D2314" s="7"/>
      <c r="E2314" s="8"/>
      <c r="F2314" t="str">
        <f t="shared" si="99"/>
        <v/>
      </c>
      <c r="G2314" t="str">
        <f t="shared" si="100"/>
        <v/>
      </c>
    </row>
    <row r="2315" spans="2:7" x14ac:dyDescent="0.25">
      <c r="B2315" s="6"/>
      <c r="C2315" s="7"/>
      <c r="D2315" s="7"/>
      <c r="E2315" s="8"/>
      <c r="F2315" t="str">
        <f t="shared" si="99"/>
        <v/>
      </c>
      <c r="G2315" t="str">
        <f t="shared" si="100"/>
        <v/>
      </c>
    </row>
    <row r="2316" spans="2:7" x14ac:dyDescent="0.25">
      <c r="B2316" s="6"/>
      <c r="C2316" s="7"/>
      <c r="D2316" s="7"/>
      <c r="E2316" s="8"/>
      <c r="F2316" t="str">
        <f t="shared" si="99"/>
        <v/>
      </c>
      <c r="G2316" t="str">
        <f t="shared" si="100"/>
        <v/>
      </c>
    </row>
    <row r="2317" spans="2:7" x14ac:dyDescent="0.25">
      <c r="B2317" s="6"/>
      <c r="C2317" s="7"/>
      <c r="D2317" s="7"/>
      <c r="E2317" s="8"/>
      <c r="F2317" t="str">
        <f t="shared" si="99"/>
        <v/>
      </c>
      <c r="G2317" t="str">
        <f t="shared" si="100"/>
        <v/>
      </c>
    </row>
    <row r="2318" spans="2:7" x14ac:dyDescent="0.25">
      <c r="B2318" s="6"/>
      <c r="C2318" s="7"/>
      <c r="D2318" s="7"/>
      <c r="E2318" s="8"/>
      <c r="F2318" t="str">
        <f t="shared" si="99"/>
        <v/>
      </c>
      <c r="G2318" t="str">
        <f t="shared" si="100"/>
        <v/>
      </c>
    </row>
    <row r="2319" spans="2:7" x14ac:dyDescent="0.25">
      <c r="B2319" s="6"/>
      <c r="C2319" s="7"/>
      <c r="D2319" s="7"/>
      <c r="E2319" s="8"/>
      <c r="F2319" t="str">
        <f t="shared" si="99"/>
        <v/>
      </c>
      <c r="G2319" t="str">
        <f t="shared" si="100"/>
        <v/>
      </c>
    </row>
    <row r="2320" spans="2:7" x14ac:dyDescent="0.25">
      <c r="B2320" s="6"/>
      <c r="C2320" s="7"/>
      <c r="D2320" s="7"/>
      <c r="E2320" s="8"/>
      <c r="F2320" t="str">
        <f t="shared" si="99"/>
        <v/>
      </c>
      <c r="G2320" t="str">
        <f t="shared" si="100"/>
        <v/>
      </c>
    </row>
    <row r="2321" spans="2:7" x14ac:dyDescent="0.25">
      <c r="B2321" s="6"/>
      <c r="C2321" s="7"/>
      <c r="D2321" s="7"/>
      <c r="E2321" s="8"/>
      <c r="F2321" t="str">
        <f t="shared" si="99"/>
        <v/>
      </c>
      <c r="G2321" t="str">
        <f t="shared" si="100"/>
        <v/>
      </c>
    </row>
    <row r="2322" spans="2:7" x14ac:dyDescent="0.25">
      <c r="B2322" s="6"/>
      <c r="C2322" s="7"/>
      <c r="D2322" s="7"/>
      <c r="E2322" s="8"/>
      <c r="F2322" t="str">
        <f t="shared" si="99"/>
        <v/>
      </c>
      <c r="G2322" t="str">
        <f t="shared" si="100"/>
        <v/>
      </c>
    </row>
    <row r="2323" spans="2:7" x14ac:dyDescent="0.25">
      <c r="B2323" s="6"/>
      <c r="C2323" s="7"/>
      <c r="D2323" s="7"/>
      <c r="E2323" s="8"/>
      <c r="F2323" t="str">
        <f t="shared" si="99"/>
        <v/>
      </c>
      <c r="G2323" t="str">
        <f t="shared" si="100"/>
        <v/>
      </c>
    </row>
    <row r="2324" spans="2:7" x14ac:dyDescent="0.25">
      <c r="B2324" s="6"/>
      <c r="C2324" s="7"/>
      <c r="D2324" s="7"/>
      <c r="E2324" s="8"/>
      <c r="F2324" t="str">
        <f t="shared" si="99"/>
        <v/>
      </c>
      <c r="G2324" t="str">
        <f t="shared" si="100"/>
        <v/>
      </c>
    </row>
    <row r="2325" spans="2:7" x14ac:dyDescent="0.25">
      <c r="B2325" s="6"/>
      <c r="C2325" s="7"/>
      <c r="D2325" s="7"/>
      <c r="E2325" s="8"/>
      <c r="F2325" t="str">
        <f t="shared" si="99"/>
        <v/>
      </c>
      <c r="G2325" t="str">
        <f t="shared" si="100"/>
        <v/>
      </c>
    </row>
    <row r="2326" spans="2:7" x14ac:dyDescent="0.25">
      <c r="B2326" s="6"/>
      <c r="C2326" s="7"/>
      <c r="D2326" s="7"/>
      <c r="E2326" s="8"/>
      <c r="F2326" t="str">
        <f t="shared" si="99"/>
        <v/>
      </c>
      <c r="G2326" t="str">
        <f t="shared" si="100"/>
        <v/>
      </c>
    </row>
    <row r="2327" spans="2:7" x14ac:dyDescent="0.25">
      <c r="B2327" s="6"/>
      <c r="C2327" s="7"/>
      <c r="D2327" s="7"/>
      <c r="E2327" s="8"/>
      <c r="F2327" t="str">
        <f t="shared" si="99"/>
        <v/>
      </c>
      <c r="G2327" t="str">
        <f t="shared" si="100"/>
        <v/>
      </c>
    </row>
    <row r="2328" spans="2:7" x14ac:dyDescent="0.25">
      <c r="B2328" s="6"/>
      <c r="C2328" s="7"/>
      <c r="D2328" s="7"/>
      <c r="E2328" s="8"/>
      <c r="F2328" t="str">
        <f t="shared" si="99"/>
        <v/>
      </c>
      <c r="G2328" t="str">
        <f t="shared" si="100"/>
        <v/>
      </c>
    </row>
    <row r="2329" spans="2:7" x14ac:dyDescent="0.25">
      <c r="B2329" s="6"/>
      <c r="C2329" s="7"/>
      <c r="D2329" s="7"/>
      <c r="E2329" s="8"/>
      <c r="F2329" t="str">
        <f t="shared" si="99"/>
        <v/>
      </c>
      <c r="G2329" t="str">
        <f t="shared" si="100"/>
        <v/>
      </c>
    </row>
    <row r="2330" spans="2:7" x14ac:dyDescent="0.25">
      <c r="B2330" s="6"/>
      <c r="C2330" s="7"/>
      <c r="D2330" s="7"/>
      <c r="E2330" s="8"/>
      <c r="F2330" t="str">
        <f t="shared" si="99"/>
        <v/>
      </c>
      <c r="G2330" t="str">
        <f t="shared" si="100"/>
        <v/>
      </c>
    </row>
    <row r="2331" spans="2:7" x14ac:dyDescent="0.25">
      <c r="B2331" s="6"/>
      <c r="C2331" s="7"/>
      <c r="D2331" s="7"/>
      <c r="E2331" s="8"/>
      <c r="F2331" t="str">
        <f t="shared" si="99"/>
        <v/>
      </c>
      <c r="G2331" t="str">
        <f t="shared" si="100"/>
        <v/>
      </c>
    </row>
    <row r="2332" spans="2:7" x14ac:dyDescent="0.25">
      <c r="B2332" s="6"/>
      <c r="C2332" s="7"/>
      <c r="D2332" s="7"/>
      <c r="E2332" s="8"/>
      <c r="F2332" t="str">
        <f t="shared" si="99"/>
        <v/>
      </c>
      <c r="G2332" t="str">
        <f t="shared" si="100"/>
        <v/>
      </c>
    </row>
    <row r="2333" spans="2:7" x14ac:dyDescent="0.25">
      <c r="B2333" s="6"/>
      <c r="C2333" s="7"/>
      <c r="D2333" s="7"/>
      <c r="E2333" s="8"/>
      <c r="F2333" t="str">
        <f t="shared" si="99"/>
        <v/>
      </c>
      <c r="G2333" t="str">
        <f t="shared" si="100"/>
        <v/>
      </c>
    </row>
    <row r="2334" spans="2:7" x14ac:dyDescent="0.25">
      <c r="B2334" s="6"/>
      <c r="C2334" s="7"/>
      <c r="D2334" s="7"/>
      <c r="E2334" s="8"/>
      <c r="F2334" t="str">
        <f t="shared" si="99"/>
        <v/>
      </c>
      <c r="G2334" t="str">
        <f t="shared" si="100"/>
        <v/>
      </c>
    </row>
    <row r="2335" spans="2:7" x14ac:dyDescent="0.25">
      <c r="B2335" s="6"/>
      <c r="C2335" s="7"/>
      <c r="D2335" s="7"/>
      <c r="E2335" s="8"/>
      <c r="F2335" t="str">
        <f t="shared" si="99"/>
        <v/>
      </c>
      <c r="G2335" t="str">
        <f t="shared" si="100"/>
        <v/>
      </c>
    </row>
    <row r="2336" spans="2:7" x14ac:dyDescent="0.25">
      <c r="B2336" s="6"/>
      <c r="C2336" s="7"/>
      <c r="D2336" s="7"/>
      <c r="E2336" s="8"/>
      <c r="F2336" t="str">
        <f t="shared" si="99"/>
        <v/>
      </c>
      <c r="G2336" t="str">
        <f t="shared" si="100"/>
        <v/>
      </c>
    </row>
    <row r="2337" spans="2:7" x14ac:dyDescent="0.25">
      <c r="B2337" s="6"/>
      <c r="C2337" s="7"/>
      <c r="D2337" s="7"/>
      <c r="E2337" s="8"/>
      <c r="F2337" t="str">
        <f t="shared" si="99"/>
        <v/>
      </c>
      <c r="G2337" t="str">
        <f t="shared" si="100"/>
        <v/>
      </c>
    </row>
    <row r="2338" spans="2:7" x14ac:dyDescent="0.25">
      <c r="B2338" s="6"/>
      <c r="C2338" s="7"/>
      <c r="D2338" s="7"/>
      <c r="E2338" s="8"/>
      <c r="F2338" t="str">
        <f t="shared" si="99"/>
        <v/>
      </c>
      <c r="G2338" t="str">
        <f t="shared" si="100"/>
        <v/>
      </c>
    </row>
    <row r="2339" spans="2:7" x14ac:dyDescent="0.25">
      <c r="B2339" s="6"/>
      <c r="C2339" s="7"/>
      <c r="D2339" s="7"/>
      <c r="E2339" s="8"/>
      <c r="F2339" t="str">
        <f t="shared" si="99"/>
        <v/>
      </c>
      <c r="G2339" t="str">
        <f t="shared" si="100"/>
        <v/>
      </c>
    </row>
    <row r="2340" spans="2:7" x14ac:dyDescent="0.25">
      <c r="B2340" s="6"/>
      <c r="C2340" s="7"/>
      <c r="D2340" s="7"/>
      <c r="E2340" s="8"/>
      <c r="F2340" t="str">
        <f t="shared" si="99"/>
        <v/>
      </c>
      <c r="G2340" t="str">
        <f t="shared" si="100"/>
        <v/>
      </c>
    </row>
    <row r="2341" spans="2:7" x14ac:dyDescent="0.25">
      <c r="B2341" s="6"/>
      <c r="C2341" s="7"/>
      <c r="D2341" s="7"/>
      <c r="E2341" s="8"/>
      <c r="F2341" t="str">
        <f t="shared" si="99"/>
        <v/>
      </c>
      <c r="G2341" t="str">
        <f t="shared" si="100"/>
        <v/>
      </c>
    </row>
    <row r="2342" spans="2:7" x14ac:dyDescent="0.25">
      <c r="B2342" s="6"/>
      <c r="C2342" s="7"/>
      <c r="D2342" s="7"/>
      <c r="E2342" s="8"/>
      <c r="F2342" t="str">
        <f t="shared" si="99"/>
        <v/>
      </c>
      <c r="G2342" t="str">
        <f t="shared" si="100"/>
        <v/>
      </c>
    </row>
    <row r="2343" spans="2:7" x14ac:dyDescent="0.25">
      <c r="B2343" s="6"/>
      <c r="C2343" s="7"/>
      <c r="D2343" s="7"/>
      <c r="E2343" s="8"/>
      <c r="F2343" t="str">
        <f t="shared" si="99"/>
        <v/>
      </c>
      <c r="G2343" t="str">
        <f t="shared" si="100"/>
        <v/>
      </c>
    </row>
    <row r="2344" spans="2:7" x14ac:dyDescent="0.25">
      <c r="B2344" s="6"/>
      <c r="C2344" s="7"/>
      <c r="D2344" s="7"/>
      <c r="E2344" s="8"/>
      <c r="F2344" t="str">
        <f t="shared" si="99"/>
        <v/>
      </c>
      <c r="G2344" t="str">
        <f t="shared" si="100"/>
        <v/>
      </c>
    </row>
    <row r="2345" spans="2:7" x14ac:dyDescent="0.25">
      <c r="B2345" s="6"/>
      <c r="C2345" s="7"/>
      <c r="D2345" s="7"/>
      <c r="E2345" s="8"/>
      <c r="F2345" t="str">
        <f t="shared" si="99"/>
        <v/>
      </c>
      <c r="G2345" t="str">
        <f t="shared" si="100"/>
        <v/>
      </c>
    </row>
    <row r="2346" spans="2:7" x14ac:dyDescent="0.25">
      <c r="B2346" s="6"/>
      <c r="C2346" s="7"/>
      <c r="D2346" s="7"/>
      <c r="E2346" s="8"/>
      <c r="F2346" t="str">
        <f t="shared" si="99"/>
        <v/>
      </c>
      <c r="G2346" t="str">
        <f t="shared" si="100"/>
        <v/>
      </c>
    </row>
    <row r="2347" spans="2:7" x14ac:dyDescent="0.25">
      <c r="B2347" s="6"/>
      <c r="C2347" s="7"/>
      <c r="D2347" s="7"/>
      <c r="E2347" s="8"/>
      <c r="F2347" t="str">
        <f t="shared" si="99"/>
        <v/>
      </c>
      <c r="G2347" t="str">
        <f t="shared" si="100"/>
        <v/>
      </c>
    </row>
    <row r="2348" spans="2:7" x14ac:dyDescent="0.25">
      <c r="B2348" s="6"/>
      <c r="C2348" s="7"/>
      <c r="D2348" s="7"/>
      <c r="E2348" s="8"/>
      <c r="F2348" t="str">
        <f t="shared" si="99"/>
        <v/>
      </c>
      <c r="G2348" t="str">
        <f t="shared" si="100"/>
        <v/>
      </c>
    </row>
    <row r="2349" spans="2:7" x14ac:dyDescent="0.25">
      <c r="B2349" s="6"/>
      <c r="C2349" s="7"/>
      <c r="D2349" s="7"/>
      <c r="E2349" s="8"/>
      <c r="F2349" t="str">
        <f t="shared" si="99"/>
        <v/>
      </c>
      <c r="G2349" t="str">
        <f t="shared" si="100"/>
        <v/>
      </c>
    </row>
    <row r="2350" spans="2:7" x14ac:dyDescent="0.25">
      <c r="B2350" s="6"/>
      <c r="C2350" s="7"/>
      <c r="D2350" s="7"/>
      <c r="E2350" s="8"/>
      <c r="F2350" t="str">
        <f t="shared" si="99"/>
        <v/>
      </c>
      <c r="G2350" t="str">
        <f t="shared" si="100"/>
        <v/>
      </c>
    </row>
    <row r="2351" spans="2:7" x14ac:dyDescent="0.25">
      <c r="B2351" s="6"/>
      <c r="C2351" s="7"/>
      <c r="D2351" s="7"/>
      <c r="E2351" s="8"/>
      <c r="F2351" t="str">
        <f t="shared" si="99"/>
        <v/>
      </c>
      <c r="G2351" t="str">
        <f t="shared" si="100"/>
        <v/>
      </c>
    </row>
    <row r="2352" spans="2:7" x14ac:dyDescent="0.25">
      <c r="B2352" s="6"/>
      <c r="C2352" s="7"/>
      <c r="D2352" s="7"/>
      <c r="E2352" s="8"/>
      <c r="F2352" t="str">
        <f t="shared" si="99"/>
        <v/>
      </c>
      <c r="G2352" t="str">
        <f t="shared" si="100"/>
        <v/>
      </c>
    </row>
    <row r="2353" spans="2:7" x14ac:dyDescent="0.25">
      <c r="B2353" s="6"/>
      <c r="C2353" s="7"/>
      <c r="D2353" s="7"/>
      <c r="E2353" s="8"/>
      <c r="F2353" t="str">
        <f t="shared" si="99"/>
        <v/>
      </c>
      <c r="G2353" t="str">
        <f t="shared" si="100"/>
        <v/>
      </c>
    </row>
    <row r="2354" spans="2:7" x14ac:dyDescent="0.25">
      <c r="B2354" s="6"/>
      <c r="C2354" s="7"/>
      <c r="D2354" s="7"/>
      <c r="E2354" s="8"/>
      <c r="F2354" t="str">
        <f t="shared" si="99"/>
        <v/>
      </c>
      <c r="G2354" t="str">
        <f t="shared" si="100"/>
        <v/>
      </c>
    </row>
    <row r="2355" spans="2:7" x14ac:dyDescent="0.25">
      <c r="B2355" s="6"/>
      <c r="C2355" s="7"/>
      <c r="D2355" s="7"/>
      <c r="E2355" s="8"/>
      <c r="F2355" t="str">
        <f t="shared" si="99"/>
        <v/>
      </c>
      <c r="G2355" t="str">
        <f t="shared" si="100"/>
        <v/>
      </c>
    </row>
    <row r="2356" spans="2:7" x14ac:dyDescent="0.25">
      <c r="B2356" s="6"/>
      <c r="C2356" s="7"/>
      <c r="D2356" s="7"/>
      <c r="E2356" s="8"/>
      <c r="F2356" t="str">
        <f t="shared" si="99"/>
        <v/>
      </c>
      <c r="G2356" t="str">
        <f t="shared" si="100"/>
        <v/>
      </c>
    </row>
    <row r="2357" spans="2:7" x14ac:dyDescent="0.25">
      <c r="B2357" s="6"/>
      <c r="C2357" s="7"/>
      <c r="D2357" s="7"/>
      <c r="E2357" s="8"/>
      <c r="F2357" t="str">
        <f t="shared" si="99"/>
        <v/>
      </c>
      <c r="G2357" t="str">
        <f t="shared" si="100"/>
        <v/>
      </c>
    </row>
    <row r="2358" spans="2:7" x14ac:dyDescent="0.25">
      <c r="B2358" s="6"/>
      <c r="C2358" s="7"/>
      <c r="D2358" s="7"/>
      <c r="E2358" s="8"/>
      <c r="F2358" t="str">
        <f t="shared" si="99"/>
        <v/>
      </c>
      <c r="G2358" t="str">
        <f t="shared" si="100"/>
        <v/>
      </c>
    </row>
    <row r="2359" spans="2:7" x14ac:dyDescent="0.25">
      <c r="B2359" s="6"/>
      <c r="C2359" s="7"/>
      <c r="D2359" s="7"/>
      <c r="E2359" s="8"/>
      <c r="F2359" t="str">
        <f t="shared" si="99"/>
        <v/>
      </c>
      <c r="G2359" t="str">
        <f t="shared" si="100"/>
        <v/>
      </c>
    </row>
    <row r="2360" spans="2:7" x14ac:dyDescent="0.25">
      <c r="B2360" s="6"/>
      <c r="C2360" s="7"/>
      <c r="D2360" s="7"/>
      <c r="E2360" s="8"/>
      <c r="F2360" t="str">
        <f t="shared" si="99"/>
        <v/>
      </c>
      <c r="G2360" t="str">
        <f t="shared" si="100"/>
        <v/>
      </c>
    </row>
    <row r="2361" spans="2:7" x14ac:dyDescent="0.25">
      <c r="B2361" s="6"/>
      <c r="C2361" s="7"/>
      <c r="D2361" s="7"/>
      <c r="E2361" s="8"/>
      <c r="F2361" t="str">
        <f t="shared" si="99"/>
        <v/>
      </c>
      <c r="G2361" t="str">
        <f t="shared" si="100"/>
        <v/>
      </c>
    </row>
    <row r="2362" spans="2:7" x14ac:dyDescent="0.25">
      <c r="B2362" s="6"/>
      <c r="C2362" s="7"/>
      <c r="D2362" s="7"/>
      <c r="E2362" s="8"/>
      <c r="F2362" t="str">
        <f t="shared" si="99"/>
        <v/>
      </c>
      <c r="G2362" t="str">
        <f t="shared" si="100"/>
        <v/>
      </c>
    </row>
    <row r="2363" spans="2:7" x14ac:dyDescent="0.25">
      <c r="B2363" s="6"/>
      <c r="C2363" s="7"/>
      <c r="D2363" s="7"/>
      <c r="E2363" s="8"/>
      <c r="F2363" t="str">
        <f t="shared" si="99"/>
        <v/>
      </c>
      <c r="G2363" t="str">
        <f t="shared" si="100"/>
        <v/>
      </c>
    </row>
    <row r="2364" spans="2:7" x14ac:dyDescent="0.25">
      <c r="B2364" s="6"/>
      <c r="C2364" s="7"/>
      <c r="D2364" s="7"/>
      <c r="E2364" s="8"/>
      <c r="F2364" t="str">
        <f t="shared" si="99"/>
        <v/>
      </c>
      <c r="G2364" t="str">
        <f t="shared" si="100"/>
        <v/>
      </c>
    </row>
    <row r="2365" spans="2:7" x14ac:dyDescent="0.25">
      <c r="B2365" s="6"/>
      <c r="C2365" s="7"/>
      <c r="D2365" s="7"/>
      <c r="E2365" s="8"/>
      <c r="F2365" t="str">
        <f t="shared" si="99"/>
        <v/>
      </c>
      <c r="G2365" t="str">
        <f t="shared" si="100"/>
        <v/>
      </c>
    </row>
    <row r="2366" spans="2:7" x14ac:dyDescent="0.25">
      <c r="B2366" s="6"/>
      <c r="C2366" s="7"/>
      <c r="D2366" s="7"/>
      <c r="E2366" s="8"/>
      <c r="F2366" t="str">
        <f t="shared" si="99"/>
        <v/>
      </c>
      <c r="G2366" t="str">
        <f t="shared" si="100"/>
        <v/>
      </c>
    </row>
    <row r="2367" spans="2:7" x14ac:dyDescent="0.25">
      <c r="B2367" s="6"/>
      <c r="C2367" s="7"/>
      <c r="D2367" s="7"/>
      <c r="E2367" s="8"/>
      <c r="F2367" t="str">
        <f t="shared" si="99"/>
        <v/>
      </c>
      <c r="G2367" t="str">
        <f t="shared" si="100"/>
        <v/>
      </c>
    </row>
    <row r="2368" spans="2:7" x14ac:dyDescent="0.25">
      <c r="B2368" s="6"/>
      <c r="C2368" s="7"/>
      <c r="D2368" s="7"/>
      <c r="E2368" s="8"/>
      <c r="F2368" t="str">
        <f t="shared" si="99"/>
        <v/>
      </c>
      <c r="G2368" t="str">
        <f t="shared" si="100"/>
        <v/>
      </c>
    </row>
    <row r="2369" spans="2:7" x14ac:dyDescent="0.25">
      <c r="B2369" s="6"/>
      <c r="C2369" s="7"/>
      <c r="D2369" s="7"/>
      <c r="E2369" s="8"/>
      <c r="F2369" t="str">
        <f t="shared" si="99"/>
        <v/>
      </c>
      <c r="G2369" t="str">
        <f t="shared" si="100"/>
        <v/>
      </c>
    </row>
    <row r="2370" spans="2:7" x14ac:dyDescent="0.25">
      <c r="B2370" s="6"/>
      <c r="C2370" s="7"/>
      <c r="D2370" s="7"/>
      <c r="E2370" s="8"/>
      <c r="F2370" t="str">
        <f t="shared" si="99"/>
        <v/>
      </c>
      <c r="G2370" t="str">
        <f t="shared" si="100"/>
        <v/>
      </c>
    </row>
    <row r="2371" spans="2:7" x14ac:dyDescent="0.25">
      <c r="B2371" s="6"/>
      <c r="C2371" s="7"/>
      <c r="D2371" s="7"/>
      <c r="E2371" s="8"/>
      <c r="F2371" t="str">
        <f t="shared" si="99"/>
        <v/>
      </c>
      <c r="G2371" t="str">
        <f t="shared" si="100"/>
        <v/>
      </c>
    </row>
    <row r="2372" spans="2:7" x14ac:dyDescent="0.25">
      <c r="B2372" s="6"/>
      <c r="C2372" s="7"/>
      <c r="D2372" s="7"/>
      <c r="E2372" s="8"/>
      <c r="F2372" t="str">
        <f t="shared" ref="F2372:F2435" si="101">IF(B2372="","",LOG10(D2372))</f>
        <v/>
      </c>
      <c r="G2372" t="str">
        <f t="shared" ref="G2372:G2435" si="102">IF(E2372="", "",0.434*E2372/D2372)</f>
        <v/>
      </c>
    </row>
    <row r="2373" spans="2:7" x14ac:dyDescent="0.25">
      <c r="B2373" s="6"/>
      <c r="C2373" s="7"/>
      <c r="D2373" s="7"/>
      <c r="E2373" s="8"/>
      <c r="F2373" t="str">
        <f t="shared" si="101"/>
        <v/>
      </c>
      <c r="G2373" t="str">
        <f t="shared" si="102"/>
        <v/>
      </c>
    </row>
    <row r="2374" spans="2:7" x14ac:dyDescent="0.25">
      <c r="B2374" s="6"/>
      <c r="C2374" s="7"/>
      <c r="D2374" s="7"/>
      <c r="E2374" s="8"/>
      <c r="F2374" t="str">
        <f t="shared" si="101"/>
        <v/>
      </c>
      <c r="G2374" t="str">
        <f t="shared" si="102"/>
        <v/>
      </c>
    </row>
    <row r="2375" spans="2:7" x14ac:dyDescent="0.25">
      <c r="B2375" s="6"/>
      <c r="C2375" s="7"/>
      <c r="D2375" s="7"/>
      <c r="E2375" s="8"/>
      <c r="F2375" t="str">
        <f t="shared" si="101"/>
        <v/>
      </c>
      <c r="G2375" t="str">
        <f t="shared" si="102"/>
        <v/>
      </c>
    </row>
    <row r="2376" spans="2:7" x14ac:dyDescent="0.25">
      <c r="B2376" s="6"/>
      <c r="C2376" s="7"/>
      <c r="D2376" s="7"/>
      <c r="E2376" s="8"/>
      <c r="F2376" t="str">
        <f t="shared" si="101"/>
        <v/>
      </c>
      <c r="G2376" t="str">
        <f t="shared" si="102"/>
        <v/>
      </c>
    </row>
    <row r="2377" spans="2:7" x14ac:dyDescent="0.25">
      <c r="B2377" s="6"/>
      <c r="C2377" s="7"/>
      <c r="D2377" s="7"/>
      <c r="E2377" s="8"/>
      <c r="F2377" t="str">
        <f t="shared" si="101"/>
        <v/>
      </c>
      <c r="G2377" t="str">
        <f t="shared" si="102"/>
        <v/>
      </c>
    </row>
    <row r="2378" spans="2:7" x14ac:dyDescent="0.25">
      <c r="B2378" s="6"/>
      <c r="C2378" s="7"/>
      <c r="D2378" s="7"/>
      <c r="E2378" s="8"/>
      <c r="F2378" t="str">
        <f t="shared" si="101"/>
        <v/>
      </c>
      <c r="G2378" t="str">
        <f t="shared" si="102"/>
        <v/>
      </c>
    </row>
    <row r="2379" spans="2:7" x14ac:dyDescent="0.25">
      <c r="B2379" s="6"/>
      <c r="C2379" s="7"/>
      <c r="D2379" s="7"/>
      <c r="E2379" s="8"/>
      <c r="F2379" t="str">
        <f t="shared" si="101"/>
        <v/>
      </c>
      <c r="G2379" t="str">
        <f t="shared" si="102"/>
        <v/>
      </c>
    </row>
    <row r="2380" spans="2:7" x14ac:dyDescent="0.25">
      <c r="B2380" s="6"/>
      <c r="C2380" s="7"/>
      <c r="D2380" s="7"/>
      <c r="E2380" s="8"/>
      <c r="F2380" t="str">
        <f t="shared" si="101"/>
        <v/>
      </c>
      <c r="G2380" t="str">
        <f t="shared" si="102"/>
        <v/>
      </c>
    </row>
    <row r="2381" spans="2:7" x14ac:dyDescent="0.25">
      <c r="B2381" s="6"/>
      <c r="C2381" s="7"/>
      <c r="D2381" s="7"/>
      <c r="E2381" s="8"/>
      <c r="F2381" t="str">
        <f t="shared" si="101"/>
        <v/>
      </c>
      <c r="G2381" t="str">
        <f t="shared" si="102"/>
        <v/>
      </c>
    </row>
    <row r="2382" spans="2:7" x14ac:dyDescent="0.25">
      <c r="B2382" s="6"/>
      <c r="C2382" s="7"/>
      <c r="D2382" s="7"/>
      <c r="E2382" s="8"/>
      <c r="F2382" t="str">
        <f t="shared" si="101"/>
        <v/>
      </c>
      <c r="G2382" t="str">
        <f t="shared" si="102"/>
        <v/>
      </c>
    </row>
    <row r="2383" spans="2:7" x14ac:dyDescent="0.25">
      <c r="B2383" s="6"/>
      <c r="C2383" s="7"/>
      <c r="D2383" s="7"/>
      <c r="E2383" s="8"/>
      <c r="F2383" t="str">
        <f t="shared" si="101"/>
        <v/>
      </c>
      <c r="G2383" t="str">
        <f t="shared" si="102"/>
        <v/>
      </c>
    </row>
    <row r="2384" spans="2:7" x14ac:dyDescent="0.25">
      <c r="B2384" s="6"/>
      <c r="C2384" s="7"/>
      <c r="D2384" s="7"/>
      <c r="E2384" s="8"/>
      <c r="F2384" t="str">
        <f t="shared" si="101"/>
        <v/>
      </c>
      <c r="G2384" t="str">
        <f t="shared" si="102"/>
        <v/>
      </c>
    </row>
    <row r="2385" spans="2:7" x14ac:dyDescent="0.25">
      <c r="B2385" s="6"/>
      <c r="C2385" s="7"/>
      <c r="D2385" s="7"/>
      <c r="E2385" s="8"/>
      <c r="F2385" t="str">
        <f t="shared" si="101"/>
        <v/>
      </c>
      <c r="G2385" t="str">
        <f t="shared" si="102"/>
        <v/>
      </c>
    </row>
    <row r="2386" spans="2:7" x14ac:dyDescent="0.25">
      <c r="B2386" s="6"/>
      <c r="C2386" s="7"/>
      <c r="D2386" s="7"/>
      <c r="E2386" s="8"/>
      <c r="F2386" t="str">
        <f t="shared" si="101"/>
        <v/>
      </c>
      <c r="G2386" t="str">
        <f t="shared" si="102"/>
        <v/>
      </c>
    </row>
    <row r="2387" spans="2:7" x14ac:dyDescent="0.25">
      <c r="B2387" s="6"/>
      <c r="C2387" s="7"/>
      <c r="D2387" s="7"/>
      <c r="E2387" s="8"/>
      <c r="F2387" t="str">
        <f t="shared" si="101"/>
        <v/>
      </c>
      <c r="G2387" t="str">
        <f t="shared" si="102"/>
        <v/>
      </c>
    </row>
    <row r="2388" spans="2:7" x14ac:dyDescent="0.25">
      <c r="B2388" s="6"/>
      <c r="C2388" s="7"/>
      <c r="D2388" s="7"/>
      <c r="E2388" s="8"/>
      <c r="F2388" t="str">
        <f t="shared" si="101"/>
        <v/>
      </c>
      <c r="G2388" t="str">
        <f t="shared" si="102"/>
        <v/>
      </c>
    </row>
    <row r="2389" spans="2:7" x14ac:dyDescent="0.25">
      <c r="B2389" s="6"/>
      <c r="C2389" s="7"/>
      <c r="D2389" s="7"/>
      <c r="E2389" s="8"/>
      <c r="F2389" t="str">
        <f t="shared" si="101"/>
        <v/>
      </c>
      <c r="G2389" t="str">
        <f t="shared" si="102"/>
        <v/>
      </c>
    </row>
    <row r="2390" spans="2:7" x14ac:dyDescent="0.25">
      <c r="B2390" s="6"/>
      <c r="C2390" s="7"/>
      <c r="D2390" s="7"/>
      <c r="E2390" s="8"/>
      <c r="F2390" t="str">
        <f t="shared" si="101"/>
        <v/>
      </c>
      <c r="G2390" t="str">
        <f t="shared" si="102"/>
        <v/>
      </c>
    </row>
    <row r="2391" spans="2:7" x14ac:dyDescent="0.25">
      <c r="B2391" s="6"/>
      <c r="C2391" s="7"/>
      <c r="D2391" s="7"/>
      <c r="E2391" s="8"/>
      <c r="F2391" t="str">
        <f t="shared" si="101"/>
        <v/>
      </c>
      <c r="G2391" t="str">
        <f t="shared" si="102"/>
        <v/>
      </c>
    </row>
    <row r="2392" spans="2:7" x14ac:dyDescent="0.25">
      <c r="B2392" s="6"/>
      <c r="C2392" s="7"/>
      <c r="D2392" s="7"/>
      <c r="E2392" s="8"/>
      <c r="F2392" t="str">
        <f t="shared" si="101"/>
        <v/>
      </c>
      <c r="G2392" t="str">
        <f t="shared" si="102"/>
        <v/>
      </c>
    </row>
    <row r="2393" spans="2:7" x14ac:dyDescent="0.25">
      <c r="B2393" s="6"/>
      <c r="C2393" s="7"/>
      <c r="D2393" s="7"/>
      <c r="E2393" s="8"/>
      <c r="F2393" t="str">
        <f t="shared" si="101"/>
        <v/>
      </c>
      <c r="G2393" t="str">
        <f t="shared" si="102"/>
        <v/>
      </c>
    </row>
    <row r="2394" spans="2:7" x14ac:dyDescent="0.25">
      <c r="B2394" s="6"/>
      <c r="C2394" s="7"/>
      <c r="D2394" s="7"/>
      <c r="E2394" s="8"/>
      <c r="F2394" t="str">
        <f t="shared" si="101"/>
        <v/>
      </c>
      <c r="G2394" t="str">
        <f t="shared" si="102"/>
        <v/>
      </c>
    </row>
    <row r="2395" spans="2:7" x14ac:dyDescent="0.25">
      <c r="B2395" s="6"/>
      <c r="C2395" s="7"/>
      <c r="D2395" s="7"/>
      <c r="E2395" s="8"/>
      <c r="F2395" t="str">
        <f t="shared" si="101"/>
        <v/>
      </c>
      <c r="G2395" t="str">
        <f t="shared" si="102"/>
        <v/>
      </c>
    </row>
    <row r="2396" spans="2:7" x14ac:dyDescent="0.25">
      <c r="B2396" s="6"/>
      <c r="C2396" s="7"/>
      <c r="D2396" s="7"/>
      <c r="E2396" s="8"/>
      <c r="F2396" t="str">
        <f t="shared" si="101"/>
        <v/>
      </c>
      <c r="G2396" t="str">
        <f t="shared" si="102"/>
        <v/>
      </c>
    </row>
    <row r="2397" spans="2:7" x14ac:dyDescent="0.25">
      <c r="B2397" s="6"/>
      <c r="C2397" s="7"/>
      <c r="D2397" s="7"/>
      <c r="E2397" s="8"/>
      <c r="F2397" t="str">
        <f t="shared" si="101"/>
        <v/>
      </c>
      <c r="G2397" t="str">
        <f t="shared" si="102"/>
        <v/>
      </c>
    </row>
    <row r="2398" spans="2:7" x14ac:dyDescent="0.25">
      <c r="B2398" s="6"/>
      <c r="C2398" s="7"/>
      <c r="D2398" s="7"/>
      <c r="E2398" s="8"/>
      <c r="F2398" t="str">
        <f t="shared" si="101"/>
        <v/>
      </c>
      <c r="G2398" t="str">
        <f t="shared" si="102"/>
        <v/>
      </c>
    </row>
    <row r="2399" spans="2:7" x14ac:dyDescent="0.25">
      <c r="B2399" s="6"/>
      <c r="C2399" s="7"/>
      <c r="D2399" s="7"/>
      <c r="E2399" s="8"/>
      <c r="F2399" t="str">
        <f t="shared" si="101"/>
        <v/>
      </c>
      <c r="G2399" t="str">
        <f t="shared" si="102"/>
        <v/>
      </c>
    </row>
    <row r="2400" spans="2:7" x14ac:dyDescent="0.25">
      <c r="B2400" s="6"/>
      <c r="C2400" s="7"/>
      <c r="D2400" s="7"/>
      <c r="E2400" s="8"/>
      <c r="F2400" t="str">
        <f t="shared" si="101"/>
        <v/>
      </c>
      <c r="G2400" t="str">
        <f t="shared" si="102"/>
        <v/>
      </c>
    </row>
    <row r="2401" spans="2:7" x14ac:dyDescent="0.25">
      <c r="B2401" s="6"/>
      <c r="C2401" s="7"/>
      <c r="D2401" s="7"/>
      <c r="E2401" s="8"/>
      <c r="F2401" t="str">
        <f t="shared" si="101"/>
        <v/>
      </c>
      <c r="G2401" t="str">
        <f t="shared" si="102"/>
        <v/>
      </c>
    </row>
    <row r="2402" spans="2:7" x14ac:dyDescent="0.25">
      <c r="B2402" s="6"/>
      <c r="C2402" s="7"/>
      <c r="D2402" s="7"/>
      <c r="E2402" s="8"/>
      <c r="F2402" t="str">
        <f t="shared" si="101"/>
        <v/>
      </c>
      <c r="G2402" t="str">
        <f t="shared" si="102"/>
        <v/>
      </c>
    </row>
    <row r="2403" spans="2:7" x14ac:dyDescent="0.25">
      <c r="B2403" s="6"/>
      <c r="C2403" s="7"/>
      <c r="D2403" s="7"/>
      <c r="E2403" s="8"/>
      <c r="F2403" t="str">
        <f t="shared" si="101"/>
        <v/>
      </c>
      <c r="G2403" t="str">
        <f t="shared" si="102"/>
        <v/>
      </c>
    </row>
    <row r="2404" spans="2:7" x14ac:dyDescent="0.25">
      <c r="B2404" s="6"/>
      <c r="C2404" s="7"/>
      <c r="D2404" s="7"/>
      <c r="E2404" s="8"/>
      <c r="F2404" t="str">
        <f t="shared" si="101"/>
        <v/>
      </c>
      <c r="G2404" t="str">
        <f t="shared" si="102"/>
        <v/>
      </c>
    </row>
    <row r="2405" spans="2:7" x14ac:dyDescent="0.25">
      <c r="B2405" s="6"/>
      <c r="C2405" s="7"/>
      <c r="D2405" s="7"/>
      <c r="E2405" s="8"/>
      <c r="F2405" t="str">
        <f t="shared" si="101"/>
        <v/>
      </c>
      <c r="G2405" t="str">
        <f t="shared" si="102"/>
        <v/>
      </c>
    </row>
    <row r="2406" spans="2:7" x14ac:dyDescent="0.25">
      <c r="B2406" s="6"/>
      <c r="C2406" s="7"/>
      <c r="D2406" s="7"/>
      <c r="E2406" s="8"/>
      <c r="F2406" t="str">
        <f t="shared" si="101"/>
        <v/>
      </c>
      <c r="G2406" t="str">
        <f t="shared" si="102"/>
        <v/>
      </c>
    </row>
    <row r="2407" spans="2:7" x14ac:dyDescent="0.25">
      <c r="B2407" s="6"/>
      <c r="C2407" s="7"/>
      <c r="D2407" s="7"/>
      <c r="E2407" s="8"/>
      <c r="F2407" t="str">
        <f t="shared" si="101"/>
        <v/>
      </c>
      <c r="G2407" t="str">
        <f t="shared" si="102"/>
        <v/>
      </c>
    </row>
    <row r="2408" spans="2:7" x14ac:dyDescent="0.25">
      <c r="B2408" s="6"/>
      <c r="C2408" s="7"/>
      <c r="D2408" s="7"/>
      <c r="E2408" s="8"/>
      <c r="F2408" t="str">
        <f t="shared" si="101"/>
        <v/>
      </c>
      <c r="G2408" t="str">
        <f t="shared" si="102"/>
        <v/>
      </c>
    </row>
    <row r="2409" spans="2:7" x14ac:dyDescent="0.25">
      <c r="B2409" s="6"/>
      <c r="C2409" s="7"/>
      <c r="D2409" s="7"/>
      <c r="E2409" s="8"/>
      <c r="F2409" t="str">
        <f t="shared" si="101"/>
        <v/>
      </c>
      <c r="G2409" t="str">
        <f t="shared" si="102"/>
        <v/>
      </c>
    </row>
    <row r="2410" spans="2:7" x14ac:dyDescent="0.25">
      <c r="B2410" s="6"/>
      <c r="C2410" s="7"/>
      <c r="D2410" s="7"/>
      <c r="E2410" s="8"/>
      <c r="F2410" t="str">
        <f t="shared" si="101"/>
        <v/>
      </c>
      <c r="G2410" t="str">
        <f t="shared" si="102"/>
        <v/>
      </c>
    </row>
    <row r="2411" spans="2:7" x14ac:dyDescent="0.25">
      <c r="B2411" s="6"/>
      <c r="C2411" s="7"/>
      <c r="D2411" s="7"/>
      <c r="E2411" s="8"/>
      <c r="F2411" t="str">
        <f t="shared" si="101"/>
        <v/>
      </c>
      <c r="G2411" t="str">
        <f t="shared" si="102"/>
        <v/>
      </c>
    </row>
    <row r="2412" spans="2:7" x14ac:dyDescent="0.25">
      <c r="B2412" s="6"/>
      <c r="C2412" s="7"/>
      <c r="D2412" s="7"/>
      <c r="E2412" s="8"/>
      <c r="F2412" t="str">
        <f t="shared" si="101"/>
        <v/>
      </c>
      <c r="G2412" t="str">
        <f t="shared" si="102"/>
        <v/>
      </c>
    </row>
    <row r="2413" spans="2:7" x14ac:dyDescent="0.25">
      <c r="B2413" s="6"/>
      <c r="C2413" s="7"/>
      <c r="D2413" s="7"/>
      <c r="E2413" s="8"/>
      <c r="F2413" t="str">
        <f t="shared" si="101"/>
        <v/>
      </c>
      <c r="G2413" t="str">
        <f t="shared" si="102"/>
        <v/>
      </c>
    </row>
    <row r="2414" spans="2:7" x14ac:dyDescent="0.25">
      <c r="B2414" s="6"/>
      <c r="C2414" s="7"/>
      <c r="D2414" s="7"/>
      <c r="E2414" s="8"/>
      <c r="F2414" t="str">
        <f t="shared" si="101"/>
        <v/>
      </c>
      <c r="G2414" t="str">
        <f t="shared" si="102"/>
        <v/>
      </c>
    </row>
    <row r="2415" spans="2:7" x14ac:dyDescent="0.25">
      <c r="B2415" s="6"/>
      <c r="C2415" s="7"/>
      <c r="D2415" s="7"/>
      <c r="E2415" s="8"/>
      <c r="F2415" t="str">
        <f t="shared" si="101"/>
        <v/>
      </c>
      <c r="G2415" t="str">
        <f t="shared" si="102"/>
        <v/>
      </c>
    </row>
    <row r="2416" spans="2:7" x14ac:dyDescent="0.25">
      <c r="B2416" s="6"/>
      <c r="C2416" s="7"/>
      <c r="D2416" s="7"/>
      <c r="E2416" s="8"/>
      <c r="F2416" t="str">
        <f t="shared" si="101"/>
        <v/>
      </c>
      <c r="G2416" t="str">
        <f t="shared" si="102"/>
        <v/>
      </c>
    </row>
    <row r="2417" spans="2:7" x14ac:dyDescent="0.25">
      <c r="B2417" s="6"/>
      <c r="C2417" s="7"/>
      <c r="D2417" s="7"/>
      <c r="E2417" s="8"/>
      <c r="F2417" t="str">
        <f t="shared" si="101"/>
        <v/>
      </c>
      <c r="G2417" t="str">
        <f t="shared" si="102"/>
        <v/>
      </c>
    </row>
    <row r="2418" spans="2:7" x14ac:dyDescent="0.25">
      <c r="B2418" s="6"/>
      <c r="C2418" s="7"/>
      <c r="D2418" s="7"/>
      <c r="E2418" s="8"/>
      <c r="F2418" t="str">
        <f t="shared" si="101"/>
        <v/>
      </c>
      <c r="G2418" t="str">
        <f t="shared" si="102"/>
        <v/>
      </c>
    </row>
    <row r="2419" spans="2:7" x14ac:dyDescent="0.25">
      <c r="B2419" s="6"/>
      <c r="C2419" s="7"/>
      <c r="D2419" s="7"/>
      <c r="E2419" s="8"/>
      <c r="F2419" t="str">
        <f t="shared" si="101"/>
        <v/>
      </c>
      <c r="G2419" t="str">
        <f t="shared" si="102"/>
        <v/>
      </c>
    </row>
    <row r="2420" spans="2:7" x14ac:dyDescent="0.25">
      <c r="B2420" s="6"/>
      <c r="C2420" s="7"/>
      <c r="D2420" s="7"/>
      <c r="E2420" s="8"/>
      <c r="F2420" t="str">
        <f t="shared" si="101"/>
        <v/>
      </c>
      <c r="G2420" t="str">
        <f t="shared" si="102"/>
        <v/>
      </c>
    </row>
    <row r="2421" spans="2:7" x14ac:dyDescent="0.25">
      <c r="B2421" s="6"/>
      <c r="C2421" s="7"/>
      <c r="D2421" s="7"/>
      <c r="E2421" s="8"/>
      <c r="F2421" t="str">
        <f t="shared" si="101"/>
        <v/>
      </c>
      <c r="G2421" t="str">
        <f t="shared" si="102"/>
        <v/>
      </c>
    </row>
    <row r="2422" spans="2:7" x14ac:dyDescent="0.25">
      <c r="B2422" s="6"/>
      <c r="C2422" s="7"/>
      <c r="D2422" s="7"/>
      <c r="E2422" s="8"/>
      <c r="F2422" t="str">
        <f t="shared" si="101"/>
        <v/>
      </c>
      <c r="G2422" t="str">
        <f t="shared" si="102"/>
        <v/>
      </c>
    </row>
    <row r="2423" spans="2:7" x14ac:dyDescent="0.25">
      <c r="B2423" s="6"/>
      <c r="C2423" s="7"/>
      <c r="D2423" s="7"/>
      <c r="E2423" s="8"/>
      <c r="F2423" t="str">
        <f t="shared" si="101"/>
        <v/>
      </c>
      <c r="G2423" t="str">
        <f t="shared" si="102"/>
        <v/>
      </c>
    </row>
    <row r="2424" spans="2:7" x14ac:dyDescent="0.25">
      <c r="B2424" s="6"/>
      <c r="C2424" s="7"/>
      <c r="D2424" s="7"/>
      <c r="E2424" s="8"/>
      <c r="F2424" t="str">
        <f t="shared" si="101"/>
        <v/>
      </c>
      <c r="G2424" t="str">
        <f t="shared" si="102"/>
        <v/>
      </c>
    </row>
    <row r="2425" spans="2:7" x14ac:dyDescent="0.25">
      <c r="B2425" s="6"/>
      <c r="C2425" s="7"/>
      <c r="D2425" s="7"/>
      <c r="E2425" s="8"/>
      <c r="F2425" t="str">
        <f t="shared" si="101"/>
        <v/>
      </c>
      <c r="G2425" t="str">
        <f t="shared" si="102"/>
        <v/>
      </c>
    </row>
    <row r="2426" spans="2:7" x14ac:dyDescent="0.25">
      <c r="B2426" s="6"/>
      <c r="C2426" s="7"/>
      <c r="D2426" s="7"/>
      <c r="E2426" s="8"/>
      <c r="F2426" t="str">
        <f t="shared" si="101"/>
        <v/>
      </c>
      <c r="G2426" t="str">
        <f t="shared" si="102"/>
        <v/>
      </c>
    </row>
    <row r="2427" spans="2:7" x14ac:dyDescent="0.25">
      <c r="B2427" s="6"/>
      <c r="C2427" s="7"/>
      <c r="D2427" s="7"/>
      <c r="E2427" s="8"/>
      <c r="F2427" t="str">
        <f t="shared" si="101"/>
        <v/>
      </c>
      <c r="G2427" t="str">
        <f t="shared" si="102"/>
        <v/>
      </c>
    </row>
    <row r="2428" spans="2:7" x14ac:dyDescent="0.25">
      <c r="B2428" s="6"/>
      <c r="C2428" s="7"/>
      <c r="D2428" s="7"/>
      <c r="E2428" s="8"/>
      <c r="F2428" t="str">
        <f t="shared" si="101"/>
        <v/>
      </c>
      <c r="G2428" t="str">
        <f t="shared" si="102"/>
        <v/>
      </c>
    </row>
    <row r="2429" spans="2:7" x14ac:dyDescent="0.25">
      <c r="B2429" s="6"/>
      <c r="C2429" s="7"/>
      <c r="D2429" s="7"/>
      <c r="E2429" s="8"/>
      <c r="F2429" t="str">
        <f t="shared" si="101"/>
        <v/>
      </c>
      <c r="G2429" t="str">
        <f t="shared" si="102"/>
        <v/>
      </c>
    </row>
    <row r="2430" spans="2:7" x14ac:dyDescent="0.25">
      <c r="B2430" s="6"/>
      <c r="C2430" s="7"/>
      <c r="D2430" s="7"/>
      <c r="E2430" s="8"/>
      <c r="F2430" t="str">
        <f t="shared" si="101"/>
        <v/>
      </c>
      <c r="G2430" t="str">
        <f t="shared" si="102"/>
        <v/>
      </c>
    </row>
    <row r="2431" spans="2:7" x14ac:dyDescent="0.25">
      <c r="B2431" s="6"/>
      <c r="C2431" s="7"/>
      <c r="D2431" s="7"/>
      <c r="E2431" s="8"/>
      <c r="F2431" t="str">
        <f t="shared" si="101"/>
        <v/>
      </c>
      <c r="G2431" t="str">
        <f t="shared" si="102"/>
        <v/>
      </c>
    </row>
    <row r="2432" spans="2:7" x14ac:dyDescent="0.25">
      <c r="B2432" s="6"/>
      <c r="C2432" s="7"/>
      <c r="D2432" s="7"/>
      <c r="E2432" s="8"/>
      <c r="F2432" t="str">
        <f t="shared" si="101"/>
        <v/>
      </c>
      <c r="G2432" t="str">
        <f t="shared" si="102"/>
        <v/>
      </c>
    </row>
    <row r="2433" spans="2:7" x14ac:dyDescent="0.25">
      <c r="B2433" s="6"/>
      <c r="C2433" s="7"/>
      <c r="D2433" s="7"/>
      <c r="E2433" s="8"/>
      <c r="F2433" t="str">
        <f t="shared" si="101"/>
        <v/>
      </c>
      <c r="G2433" t="str">
        <f t="shared" si="102"/>
        <v/>
      </c>
    </row>
    <row r="2434" spans="2:7" x14ac:dyDescent="0.25">
      <c r="B2434" s="6"/>
      <c r="C2434" s="7"/>
      <c r="D2434" s="7"/>
      <c r="E2434" s="8"/>
      <c r="F2434" t="str">
        <f t="shared" si="101"/>
        <v/>
      </c>
      <c r="G2434" t="str">
        <f t="shared" si="102"/>
        <v/>
      </c>
    </row>
    <row r="2435" spans="2:7" x14ac:dyDescent="0.25">
      <c r="B2435" s="6"/>
      <c r="C2435" s="7"/>
      <c r="D2435" s="7"/>
      <c r="E2435" s="8"/>
      <c r="F2435" t="str">
        <f t="shared" si="101"/>
        <v/>
      </c>
      <c r="G2435" t="str">
        <f t="shared" si="102"/>
        <v/>
      </c>
    </row>
    <row r="2436" spans="2:7" x14ac:dyDescent="0.25">
      <c r="B2436" s="6"/>
      <c r="C2436" s="7"/>
      <c r="D2436" s="7"/>
      <c r="E2436" s="8"/>
      <c r="F2436" t="str">
        <f t="shared" ref="F2436:F2499" si="103">IF(B2436="","",LOG10(D2436))</f>
        <v/>
      </c>
      <c r="G2436" t="str">
        <f t="shared" ref="G2436:G2499" si="104">IF(E2436="", "",0.434*E2436/D2436)</f>
        <v/>
      </c>
    </row>
    <row r="2437" spans="2:7" x14ac:dyDescent="0.25">
      <c r="B2437" s="6"/>
      <c r="C2437" s="7"/>
      <c r="D2437" s="7"/>
      <c r="E2437" s="8"/>
      <c r="F2437" t="str">
        <f t="shared" si="103"/>
        <v/>
      </c>
      <c r="G2437" t="str">
        <f t="shared" si="104"/>
        <v/>
      </c>
    </row>
    <row r="2438" spans="2:7" x14ac:dyDescent="0.25">
      <c r="B2438" s="6"/>
      <c r="C2438" s="7"/>
      <c r="D2438" s="7"/>
      <c r="E2438" s="8"/>
      <c r="F2438" t="str">
        <f t="shared" si="103"/>
        <v/>
      </c>
      <c r="G2438" t="str">
        <f t="shared" si="104"/>
        <v/>
      </c>
    </row>
    <row r="2439" spans="2:7" x14ac:dyDescent="0.25">
      <c r="B2439" s="6"/>
      <c r="C2439" s="7"/>
      <c r="D2439" s="7"/>
      <c r="E2439" s="8"/>
      <c r="F2439" t="str">
        <f t="shared" si="103"/>
        <v/>
      </c>
      <c r="G2439" t="str">
        <f t="shared" si="104"/>
        <v/>
      </c>
    </row>
    <row r="2440" spans="2:7" x14ac:dyDescent="0.25">
      <c r="B2440" s="6"/>
      <c r="C2440" s="7"/>
      <c r="D2440" s="7"/>
      <c r="E2440" s="8"/>
      <c r="F2440" t="str">
        <f t="shared" si="103"/>
        <v/>
      </c>
      <c r="G2440" t="str">
        <f t="shared" si="104"/>
        <v/>
      </c>
    </row>
    <row r="2441" spans="2:7" x14ac:dyDescent="0.25">
      <c r="B2441" s="6"/>
      <c r="C2441" s="7"/>
      <c r="D2441" s="7"/>
      <c r="E2441" s="8"/>
      <c r="F2441" t="str">
        <f t="shared" si="103"/>
        <v/>
      </c>
      <c r="G2441" t="str">
        <f t="shared" si="104"/>
        <v/>
      </c>
    </row>
    <row r="2442" spans="2:7" x14ac:dyDescent="0.25">
      <c r="B2442" s="6"/>
      <c r="C2442" s="7"/>
      <c r="D2442" s="7"/>
      <c r="E2442" s="8"/>
      <c r="F2442" t="str">
        <f t="shared" si="103"/>
        <v/>
      </c>
      <c r="G2442" t="str">
        <f t="shared" si="104"/>
        <v/>
      </c>
    </row>
    <row r="2443" spans="2:7" x14ac:dyDescent="0.25">
      <c r="B2443" s="6"/>
      <c r="C2443" s="7"/>
      <c r="D2443" s="7"/>
      <c r="E2443" s="8"/>
      <c r="F2443" t="str">
        <f t="shared" si="103"/>
        <v/>
      </c>
      <c r="G2443" t="str">
        <f t="shared" si="104"/>
        <v/>
      </c>
    </row>
    <row r="2444" spans="2:7" x14ac:dyDescent="0.25">
      <c r="B2444" s="6"/>
      <c r="C2444" s="7"/>
      <c r="D2444" s="7"/>
      <c r="E2444" s="8"/>
      <c r="F2444" t="str">
        <f t="shared" si="103"/>
        <v/>
      </c>
      <c r="G2444" t="str">
        <f t="shared" si="104"/>
        <v/>
      </c>
    </row>
    <row r="2445" spans="2:7" x14ac:dyDescent="0.25">
      <c r="B2445" s="6"/>
      <c r="C2445" s="7"/>
      <c r="D2445" s="7"/>
      <c r="E2445" s="8"/>
      <c r="F2445" t="str">
        <f t="shared" si="103"/>
        <v/>
      </c>
      <c r="G2445" t="str">
        <f t="shared" si="104"/>
        <v/>
      </c>
    </row>
    <row r="2446" spans="2:7" x14ac:dyDescent="0.25">
      <c r="B2446" s="6"/>
      <c r="C2446" s="7"/>
      <c r="D2446" s="7"/>
      <c r="E2446" s="8"/>
      <c r="F2446" t="str">
        <f t="shared" si="103"/>
        <v/>
      </c>
      <c r="G2446" t="str">
        <f t="shared" si="104"/>
        <v/>
      </c>
    </row>
    <row r="2447" spans="2:7" x14ac:dyDescent="0.25">
      <c r="B2447" s="6"/>
      <c r="C2447" s="7"/>
      <c r="D2447" s="7"/>
      <c r="E2447" s="8"/>
      <c r="F2447" t="str">
        <f t="shared" si="103"/>
        <v/>
      </c>
      <c r="G2447" t="str">
        <f t="shared" si="104"/>
        <v/>
      </c>
    </row>
    <row r="2448" spans="2:7" x14ac:dyDescent="0.25">
      <c r="B2448" s="6"/>
      <c r="C2448" s="7"/>
      <c r="D2448" s="7"/>
      <c r="E2448" s="8"/>
      <c r="F2448" t="str">
        <f t="shared" si="103"/>
        <v/>
      </c>
      <c r="G2448" t="str">
        <f t="shared" si="104"/>
        <v/>
      </c>
    </row>
    <row r="2449" spans="2:7" x14ac:dyDescent="0.25">
      <c r="B2449" s="6"/>
      <c r="C2449" s="7"/>
      <c r="D2449" s="7"/>
      <c r="E2449" s="8"/>
      <c r="F2449" t="str">
        <f t="shared" si="103"/>
        <v/>
      </c>
      <c r="G2449" t="str">
        <f t="shared" si="104"/>
        <v/>
      </c>
    </row>
    <row r="2450" spans="2:7" x14ac:dyDescent="0.25">
      <c r="B2450" s="6"/>
      <c r="C2450" s="7"/>
      <c r="D2450" s="7"/>
      <c r="E2450" s="8"/>
      <c r="F2450" t="str">
        <f t="shared" si="103"/>
        <v/>
      </c>
      <c r="G2450" t="str">
        <f t="shared" si="104"/>
        <v/>
      </c>
    </row>
    <row r="2451" spans="2:7" x14ac:dyDescent="0.25">
      <c r="B2451" s="6"/>
      <c r="C2451" s="7"/>
      <c r="D2451" s="7"/>
      <c r="E2451" s="8"/>
      <c r="F2451" t="str">
        <f t="shared" si="103"/>
        <v/>
      </c>
      <c r="G2451" t="str">
        <f t="shared" si="104"/>
        <v/>
      </c>
    </row>
    <row r="2452" spans="2:7" x14ac:dyDescent="0.25">
      <c r="B2452" s="6"/>
      <c r="C2452" s="7"/>
      <c r="D2452" s="7"/>
      <c r="E2452" s="8"/>
      <c r="F2452" t="str">
        <f t="shared" si="103"/>
        <v/>
      </c>
      <c r="G2452" t="str">
        <f t="shared" si="104"/>
        <v/>
      </c>
    </row>
    <row r="2453" spans="2:7" x14ac:dyDescent="0.25">
      <c r="B2453" s="6"/>
      <c r="C2453" s="7"/>
      <c r="D2453" s="7"/>
      <c r="E2453" s="8"/>
      <c r="F2453" t="str">
        <f t="shared" si="103"/>
        <v/>
      </c>
      <c r="G2453" t="str">
        <f t="shared" si="104"/>
        <v/>
      </c>
    </row>
    <row r="2454" spans="2:7" x14ac:dyDescent="0.25">
      <c r="B2454" s="6"/>
      <c r="C2454" s="7"/>
      <c r="D2454" s="7"/>
      <c r="E2454" s="8"/>
      <c r="F2454" t="str">
        <f t="shared" si="103"/>
        <v/>
      </c>
      <c r="G2454" t="str">
        <f t="shared" si="104"/>
        <v/>
      </c>
    </row>
    <row r="2455" spans="2:7" x14ac:dyDescent="0.25">
      <c r="B2455" s="6"/>
      <c r="C2455" s="7"/>
      <c r="D2455" s="7"/>
      <c r="E2455" s="8"/>
      <c r="F2455" t="str">
        <f t="shared" si="103"/>
        <v/>
      </c>
      <c r="G2455" t="str">
        <f t="shared" si="104"/>
        <v/>
      </c>
    </row>
    <row r="2456" spans="2:7" x14ac:dyDescent="0.25">
      <c r="B2456" s="6"/>
      <c r="C2456" s="7"/>
      <c r="D2456" s="7"/>
      <c r="E2456" s="8"/>
      <c r="F2456" t="str">
        <f t="shared" si="103"/>
        <v/>
      </c>
      <c r="G2456" t="str">
        <f t="shared" si="104"/>
        <v/>
      </c>
    </row>
    <row r="2457" spans="2:7" x14ac:dyDescent="0.25">
      <c r="B2457" s="6"/>
      <c r="C2457" s="7"/>
      <c r="D2457" s="7"/>
      <c r="E2457" s="8"/>
      <c r="F2457" t="str">
        <f t="shared" si="103"/>
        <v/>
      </c>
      <c r="G2457" t="str">
        <f t="shared" si="104"/>
        <v/>
      </c>
    </row>
    <row r="2458" spans="2:7" x14ac:dyDescent="0.25">
      <c r="B2458" s="6"/>
      <c r="C2458" s="7"/>
      <c r="D2458" s="7"/>
      <c r="E2458" s="8"/>
      <c r="F2458" t="str">
        <f t="shared" si="103"/>
        <v/>
      </c>
      <c r="G2458" t="str">
        <f t="shared" si="104"/>
        <v/>
      </c>
    </row>
    <row r="2459" spans="2:7" x14ac:dyDescent="0.25">
      <c r="B2459" s="6"/>
      <c r="C2459" s="7"/>
      <c r="D2459" s="7"/>
      <c r="E2459" s="8"/>
      <c r="F2459" t="str">
        <f t="shared" si="103"/>
        <v/>
      </c>
      <c r="G2459" t="str">
        <f t="shared" si="104"/>
        <v/>
      </c>
    </row>
    <row r="2460" spans="2:7" x14ac:dyDescent="0.25">
      <c r="B2460" s="6"/>
      <c r="C2460" s="7"/>
      <c r="D2460" s="7"/>
      <c r="E2460" s="8"/>
      <c r="F2460" t="str">
        <f t="shared" si="103"/>
        <v/>
      </c>
      <c r="G2460" t="str">
        <f t="shared" si="104"/>
        <v/>
      </c>
    </row>
    <row r="2461" spans="2:7" x14ac:dyDescent="0.25">
      <c r="B2461" s="6"/>
      <c r="C2461" s="7"/>
      <c r="D2461" s="7"/>
      <c r="E2461" s="8"/>
      <c r="F2461" t="str">
        <f t="shared" si="103"/>
        <v/>
      </c>
      <c r="G2461" t="str">
        <f t="shared" si="104"/>
        <v/>
      </c>
    </row>
    <row r="2462" spans="2:7" x14ac:dyDescent="0.25">
      <c r="B2462" s="6"/>
      <c r="C2462" s="7"/>
      <c r="D2462" s="7"/>
      <c r="E2462" s="8"/>
      <c r="F2462" t="str">
        <f t="shared" si="103"/>
        <v/>
      </c>
      <c r="G2462" t="str">
        <f t="shared" si="104"/>
        <v/>
      </c>
    </row>
    <row r="2463" spans="2:7" x14ac:dyDescent="0.25">
      <c r="B2463" s="6"/>
      <c r="C2463" s="7"/>
      <c r="D2463" s="7"/>
      <c r="E2463" s="8"/>
      <c r="F2463" t="str">
        <f t="shared" si="103"/>
        <v/>
      </c>
      <c r="G2463" t="str">
        <f t="shared" si="104"/>
        <v/>
      </c>
    </row>
    <row r="2464" spans="2:7" x14ac:dyDescent="0.25">
      <c r="B2464" s="6"/>
      <c r="C2464" s="7"/>
      <c r="D2464" s="7"/>
      <c r="E2464" s="8"/>
      <c r="F2464" t="str">
        <f t="shared" si="103"/>
        <v/>
      </c>
      <c r="G2464" t="str">
        <f t="shared" si="104"/>
        <v/>
      </c>
    </row>
    <row r="2465" spans="2:7" x14ac:dyDescent="0.25">
      <c r="B2465" s="6"/>
      <c r="C2465" s="7"/>
      <c r="D2465" s="7"/>
      <c r="E2465" s="8"/>
      <c r="F2465" t="str">
        <f t="shared" si="103"/>
        <v/>
      </c>
      <c r="G2465" t="str">
        <f t="shared" si="104"/>
        <v/>
      </c>
    </row>
    <row r="2466" spans="2:7" x14ac:dyDescent="0.25">
      <c r="B2466" s="6"/>
      <c r="C2466" s="7"/>
      <c r="D2466" s="7"/>
      <c r="E2466" s="8"/>
      <c r="F2466" t="str">
        <f t="shared" si="103"/>
        <v/>
      </c>
      <c r="G2466" t="str">
        <f t="shared" si="104"/>
        <v/>
      </c>
    </row>
    <row r="2467" spans="2:7" x14ac:dyDescent="0.25">
      <c r="B2467" s="6"/>
      <c r="C2467" s="7"/>
      <c r="D2467" s="7"/>
      <c r="E2467" s="8"/>
      <c r="F2467" t="str">
        <f t="shared" si="103"/>
        <v/>
      </c>
      <c r="G2467" t="str">
        <f t="shared" si="104"/>
        <v/>
      </c>
    </row>
    <row r="2468" spans="2:7" x14ac:dyDescent="0.25">
      <c r="B2468" s="6"/>
      <c r="C2468" s="7"/>
      <c r="D2468" s="7"/>
      <c r="E2468" s="8"/>
      <c r="F2468" t="str">
        <f t="shared" si="103"/>
        <v/>
      </c>
      <c r="G2468" t="str">
        <f t="shared" si="104"/>
        <v/>
      </c>
    </row>
    <row r="2469" spans="2:7" x14ac:dyDescent="0.25">
      <c r="B2469" s="6"/>
      <c r="C2469" s="7"/>
      <c r="D2469" s="7"/>
      <c r="E2469" s="8"/>
      <c r="F2469" t="str">
        <f t="shared" si="103"/>
        <v/>
      </c>
      <c r="G2469" t="str">
        <f t="shared" si="104"/>
        <v/>
      </c>
    </row>
    <row r="2470" spans="2:7" x14ac:dyDescent="0.25">
      <c r="B2470" s="6"/>
      <c r="C2470" s="7"/>
      <c r="D2470" s="7"/>
      <c r="E2470" s="8"/>
      <c r="F2470" t="str">
        <f t="shared" si="103"/>
        <v/>
      </c>
      <c r="G2470" t="str">
        <f t="shared" si="104"/>
        <v/>
      </c>
    </row>
    <row r="2471" spans="2:7" x14ac:dyDescent="0.25">
      <c r="B2471" s="6"/>
      <c r="C2471" s="7"/>
      <c r="D2471" s="7"/>
      <c r="E2471" s="8"/>
      <c r="F2471" t="str">
        <f t="shared" si="103"/>
        <v/>
      </c>
      <c r="G2471" t="str">
        <f t="shared" si="104"/>
        <v/>
      </c>
    </row>
    <row r="2472" spans="2:7" x14ac:dyDescent="0.25">
      <c r="B2472" s="6"/>
      <c r="C2472" s="7"/>
      <c r="D2472" s="7"/>
      <c r="E2472" s="8"/>
      <c r="F2472" t="str">
        <f t="shared" si="103"/>
        <v/>
      </c>
      <c r="G2472" t="str">
        <f t="shared" si="104"/>
        <v/>
      </c>
    </row>
    <row r="2473" spans="2:7" x14ac:dyDescent="0.25">
      <c r="B2473" s="6"/>
      <c r="C2473" s="7"/>
      <c r="D2473" s="7"/>
      <c r="E2473" s="8"/>
      <c r="F2473" t="str">
        <f t="shared" si="103"/>
        <v/>
      </c>
      <c r="G2473" t="str">
        <f t="shared" si="104"/>
        <v/>
      </c>
    </row>
    <row r="2474" spans="2:7" x14ac:dyDescent="0.25">
      <c r="B2474" s="6"/>
      <c r="C2474" s="7"/>
      <c r="D2474" s="7"/>
      <c r="E2474" s="8"/>
      <c r="F2474" t="str">
        <f t="shared" si="103"/>
        <v/>
      </c>
      <c r="G2474" t="str">
        <f t="shared" si="104"/>
        <v/>
      </c>
    </row>
    <row r="2475" spans="2:7" x14ac:dyDescent="0.25">
      <c r="B2475" s="6"/>
      <c r="C2475" s="7"/>
      <c r="D2475" s="7"/>
      <c r="E2475" s="8"/>
      <c r="F2475" t="str">
        <f t="shared" si="103"/>
        <v/>
      </c>
      <c r="G2475" t="str">
        <f t="shared" si="104"/>
        <v/>
      </c>
    </row>
    <row r="2476" spans="2:7" x14ac:dyDescent="0.25">
      <c r="B2476" s="6"/>
      <c r="C2476" s="7"/>
      <c r="D2476" s="7"/>
      <c r="E2476" s="8"/>
      <c r="F2476" t="str">
        <f t="shared" si="103"/>
        <v/>
      </c>
      <c r="G2476" t="str">
        <f t="shared" si="104"/>
        <v/>
      </c>
    </row>
    <row r="2477" spans="2:7" x14ac:dyDescent="0.25">
      <c r="B2477" s="6"/>
      <c r="C2477" s="7"/>
      <c r="D2477" s="7"/>
      <c r="E2477" s="8"/>
      <c r="F2477" t="str">
        <f t="shared" si="103"/>
        <v/>
      </c>
      <c r="G2477" t="str">
        <f t="shared" si="104"/>
        <v/>
      </c>
    </row>
    <row r="2478" spans="2:7" x14ac:dyDescent="0.25">
      <c r="B2478" s="6"/>
      <c r="C2478" s="7"/>
      <c r="D2478" s="7"/>
      <c r="E2478" s="8"/>
      <c r="F2478" t="str">
        <f t="shared" si="103"/>
        <v/>
      </c>
      <c r="G2478" t="str">
        <f t="shared" si="104"/>
        <v/>
      </c>
    </row>
    <row r="2479" spans="2:7" x14ac:dyDescent="0.25">
      <c r="B2479" s="6"/>
      <c r="C2479" s="7"/>
      <c r="D2479" s="7"/>
      <c r="E2479" s="8"/>
      <c r="F2479" t="str">
        <f t="shared" si="103"/>
        <v/>
      </c>
      <c r="G2479" t="str">
        <f t="shared" si="104"/>
        <v/>
      </c>
    </row>
    <row r="2480" spans="2:7" x14ac:dyDescent="0.25">
      <c r="B2480" s="6"/>
      <c r="C2480" s="7"/>
      <c r="D2480" s="7"/>
      <c r="E2480" s="8"/>
      <c r="F2480" t="str">
        <f t="shared" si="103"/>
        <v/>
      </c>
      <c r="G2480" t="str">
        <f t="shared" si="104"/>
        <v/>
      </c>
    </row>
    <row r="2481" spans="2:7" x14ac:dyDescent="0.25">
      <c r="B2481" s="6"/>
      <c r="C2481" s="7"/>
      <c r="D2481" s="7"/>
      <c r="E2481" s="8"/>
      <c r="F2481" t="str">
        <f t="shared" si="103"/>
        <v/>
      </c>
      <c r="G2481" t="str">
        <f t="shared" si="104"/>
        <v/>
      </c>
    </row>
    <row r="2482" spans="2:7" x14ac:dyDescent="0.25">
      <c r="B2482" s="6"/>
      <c r="C2482" s="7"/>
      <c r="D2482" s="7"/>
      <c r="E2482" s="8"/>
      <c r="F2482" t="str">
        <f t="shared" si="103"/>
        <v/>
      </c>
      <c r="G2482" t="str">
        <f t="shared" si="104"/>
        <v/>
      </c>
    </row>
    <row r="2483" spans="2:7" x14ac:dyDescent="0.25">
      <c r="B2483" s="6"/>
      <c r="C2483" s="7"/>
      <c r="D2483" s="7"/>
      <c r="E2483" s="8"/>
      <c r="F2483" t="str">
        <f t="shared" si="103"/>
        <v/>
      </c>
      <c r="G2483" t="str">
        <f t="shared" si="104"/>
        <v/>
      </c>
    </row>
    <row r="2484" spans="2:7" x14ac:dyDescent="0.25">
      <c r="B2484" s="6"/>
      <c r="C2484" s="7"/>
      <c r="D2484" s="7"/>
      <c r="E2484" s="8"/>
      <c r="F2484" t="str">
        <f t="shared" si="103"/>
        <v/>
      </c>
      <c r="G2484" t="str">
        <f t="shared" si="104"/>
        <v/>
      </c>
    </row>
    <row r="2485" spans="2:7" x14ac:dyDescent="0.25">
      <c r="B2485" s="6"/>
      <c r="C2485" s="7"/>
      <c r="D2485" s="7"/>
      <c r="E2485" s="8"/>
      <c r="F2485" t="str">
        <f t="shared" si="103"/>
        <v/>
      </c>
      <c r="G2485" t="str">
        <f t="shared" si="104"/>
        <v/>
      </c>
    </row>
    <row r="2486" spans="2:7" x14ac:dyDescent="0.25">
      <c r="B2486" s="6"/>
      <c r="C2486" s="7"/>
      <c r="D2486" s="7"/>
      <c r="E2486" s="8"/>
      <c r="F2486" t="str">
        <f t="shared" si="103"/>
        <v/>
      </c>
      <c r="G2486" t="str">
        <f t="shared" si="104"/>
        <v/>
      </c>
    </row>
    <row r="2487" spans="2:7" x14ac:dyDescent="0.25">
      <c r="B2487" s="6"/>
      <c r="C2487" s="7"/>
      <c r="D2487" s="7"/>
      <c r="E2487" s="8"/>
      <c r="F2487" t="str">
        <f t="shared" si="103"/>
        <v/>
      </c>
      <c r="G2487" t="str">
        <f t="shared" si="104"/>
        <v/>
      </c>
    </row>
    <row r="2488" spans="2:7" x14ac:dyDescent="0.25">
      <c r="B2488" s="6"/>
      <c r="C2488" s="7"/>
      <c r="D2488" s="7"/>
      <c r="E2488" s="8"/>
      <c r="F2488" t="str">
        <f t="shared" si="103"/>
        <v/>
      </c>
      <c r="G2488" t="str">
        <f t="shared" si="104"/>
        <v/>
      </c>
    </row>
    <row r="2489" spans="2:7" x14ac:dyDescent="0.25">
      <c r="B2489" s="6"/>
      <c r="C2489" s="7"/>
      <c r="D2489" s="7"/>
      <c r="E2489" s="8"/>
      <c r="F2489" t="str">
        <f t="shared" si="103"/>
        <v/>
      </c>
      <c r="G2489" t="str">
        <f t="shared" si="104"/>
        <v/>
      </c>
    </row>
    <row r="2490" spans="2:7" x14ac:dyDescent="0.25">
      <c r="B2490" s="6"/>
      <c r="C2490" s="7"/>
      <c r="D2490" s="7"/>
      <c r="E2490" s="8"/>
      <c r="F2490" t="str">
        <f t="shared" si="103"/>
        <v/>
      </c>
      <c r="G2490" t="str">
        <f t="shared" si="104"/>
        <v/>
      </c>
    </row>
    <row r="2491" spans="2:7" x14ac:dyDescent="0.25">
      <c r="B2491" s="6"/>
      <c r="C2491" s="7"/>
      <c r="D2491" s="7"/>
      <c r="E2491" s="8"/>
      <c r="F2491" t="str">
        <f t="shared" si="103"/>
        <v/>
      </c>
      <c r="G2491" t="str">
        <f t="shared" si="104"/>
        <v/>
      </c>
    </row>
    <row r="2492" spans="2:7" x14ac:dyDescent="0.25">
      <c r="B2492" s="6"/>
      <c r="C2492" s="7"/>
      <c r="D2492" s="7"/>
      <c r="E2492" s="8"/>
      <c r="F2492" t="str">
        <f t="shared" si="103"/>
        <v/>
      </c>
      <c r="G2492" t="str">
        <f t="shared" si="104"/>
        <v/>
      </c>
    </row>
    <row r="2493" spans="2:7" x14ac:dyDescent="0.25">
      <c r="B2493" s="6"/>
      <c r="C2493" s="7"/>
      <c r="D2493" s="7"/>
      <c r="E2493" s="8"/>
      <c r="F2493" t="str">
        <f t="shared" si="103"/>
        <v/>
      </c>
      <c r="G2493" t="str">
        <f t="shared" si="104"/>
        <v/>
      </c>
    </row>
    <row r="2494" spans="2:7" x14ac:dyDescent="0.25">
      <c r="B2494" s="6"/>
      <c r="C2494" s="7"/>
      <c r="D2494" s="7"/>
      <c r="E2494" s="8"/>
      <c r="F2494" t="str">
        <f t="shared" si="103"/>
        <v/>
      </c>
      <c r="G2494" t="str">
        <f t="shared" si="104"/>
        <v/>
      </c>
    </row>
    <row r="2495" spans="2:7" x14ac:dyDescent="0.25">
      <c r="B2495" s="6"/>
      <c r="C2495" s="7"/>
      <c r="D2495" s="7"/>
      <c r="E2495" s="8"/>
      <c r="F2495" t="str">
        <f t="shared" si="103"/>
        <v/>
      </c>
      <c r="G2495" t="str">
        <f t="shared" si="104"/>
        <v/>
      </c>
    </row>
    <row r="2496" spans="2:7" x14ac:dyDescent="0.25">
      <c r="B2496" s="6"/>
      <c r="C2496" s="7"/>
      <c r="D2496" s="7"/>
      <c r="E2496" s="8"/>
      <c r="F2496" t="str">
        <f t="shared" si="103"/>
        <v/>
      </c>
      <c r="G2496" t="str">
        <f t="shared" si="104"/>
        <v/>
      </c>
    </row>
    <row r="2497" spans="2:7" x14ac:dyDescent="0.25">
      <c r="B2497" s="6"/>
      <c r="C2497" s="7"/>
      <c r="D2497" s="7"/>
      <c r="E2497" s="8"/>
      <c r="F2497" t="str">
        <f t="shared" si="103"/>
        <v/>
      </c>
      <c r="G2497" t="str">
        <f t="shared" si="104"/>
        <v/>
      </c>
    </row>
    <row r="2498" spans="2:7" x14ac:dyDescent="0.25">
      <c r="B2498" s="6"/>
      <c r="C2498" s="7"/>
      <c r="D2498" s="7"/>
      <c r="E2498" s="8"/>
      <c r="F2498" t="str">
        <f t="shared" si="103"/>
        <v/>
      </c>
      <c r="G2498" t="str">
        <f t="shared" si="104"/>
        <v/>
      </c>
    </row>
    <row r="2499" spans="2:7" x14ac:dyDescent="0.25">
      <c r="B2499" s="6"/>
      <c r="C2499" s="7"/>
      <c r="D2499" s="7"/>
      <c r="E2499" s="8"/>
      <c r="F2499" t="str">
        <f t="shared" si="103"/>
        <v/>
      </c>
      <c r="G2499" t="str">
        <f t="shared" si="104"/>
        <v/>
      </c>
    </row>
    <row r="2500" spans="2:7" x14ac:dyDescent="0.25">
      <c r="B2500" s="6"/>
      <c r="C2500" s="7"/>
      <c r="D2500" s="7"/>
      <c r="E2500" s="8"/>
      <c r="F2500" t="str">
        <f t="shared" ref="F2500:F2563" si="105">IF(B2500="","",LOG10(D2500))</f>
        <v/>
      </c>
      <c r="G2500" t="str">
        <f t="shared" ref="G2500:G2563" si="106">IF(E2500="", "",0.434*E2500/D2500)</f>
        <v/>
      </c>
    </row>
    <row r="2501" spans="2:7" x14ac:dyDescent="0.25">
      <c r="B2501" s="6"/>
      <c r="C2501" s="7"/>
      <c r="D2501" s="7"/>
      <c r="E2501" s="8"/>
      <c r="F2501" t="str">
        <f t="shared" si="105"/>
        <v/>
      </c>
      <c r="G2501" t="str">
        <f t="shared" si="106"/>
        <v/>
      </c>
    </row>
    <row r="2502" spans="2:7" x14ac:dyDescent="0.25">
      <c r="B2502" s="6"/>
      <c r="C2502" s="7"/>
      <c r="D2502" s="7"/>
      <c r="E2502" s="8"/>
      <c r="F2502" t="str">
        <f t="shared" si="105"/>
        <v/>
      </c>
      <c r="G2502" t="str">
        <f t="shared" si="106"/>
        <v/>
      </c>
    </row>
    <row r="2503" spans="2:7" x14ac:dyDescent="0.25">
      <c r="B2503" s="6"/>
      <c r="C2503" s="7"/>
      <c r="D2503" s="7"/>
      <c r="E2503" s="8"/>
      <c r="F2503" t="str">
        <f t="shared" si="105"/>
        <v/>
      </c>
      <c r="G2503" t="str">
        <f t="shared" si="106"/>
        <v/>
      </c>
    </row>
    <row r="2504" spans="2:7" x14ac:dyDescent="0.25">
      <c r="B2504" s="6"/>
      <c r="C2504" s="7"/>
      <c r="D2504" s="7"/>
      <c r="E2504" s="8"/>
      <c r="F2504" t="str">
        <f t="shared" si="105"/>
        <v/>
      </c>
      <c r="G2504" t="str">
        <f t="shared" si="106"/>
        <v/>
      </c>
    </row>
    <row r="2505" spans="2:7" x14ac:dyDescent="0.25">
      <c r="B2505" s="6"/>
      <c r="C2505" s="7"/>
      <c r="D2505" s="7"/>
      <c r="E2505" s="8"/>
      <c r="F2505" t="str">
        <f t="shared" si="105"/>
        <v/>
      </c>
      <c r="G2505" t="str">
        <f t="shared" si="106"/>
        <v/>
      </c>
    </row>
    <row r="2506" spans="2:7" x14ac:dyDescent="0.25">
      <c r="B2506" s="6"/>
      <c r="C2506" s="7"/>
      <c r="D2506" s="7"/>
      <c r="E2506" s="8"/>
      <c r="F2506" t="str">
        <f t="shared" si="105"/>
        <v/>
      </c>
      <c r="G2506" t="str">
        <f t="shared" si="106"/>
        <v/>
      </c>
    </row>
    <row r="2507" spans="2:7" x14ac:dyDescent="0.25">
      <c r="B2507" s="6"/>
      <c r="C2507" s="7"/>
      <c r="D2507" s="7"/>
      <c r="E2507" s="8"/>
      <c r="F2507" t="str">
        <f t="shared" si="105"/>
        <v/>
      </c>
      <c r="G2507" t="str">
        <f t="shared" si="106"/>
        <v/>
      </c>
    </row>
    <row r="2508" spans="2:7" x14ac:dyDescent="0.25">
      <c r="B2508" s="6"/>
      <c r="C2508" s="7"/>
      <c r="D2508" s="7"/>
      <c r="E2508" s="8"/>
      <c r="F2508" t="str">
        <f t="shared" si="105"/>
        <v/>
      </c>
      <c r="G2508" t="str">
        <f t="shared" si="106"/>
        <v/>
      </c>
    </row>
    <row r="2509" spans="2:7" x14ac:dyDescent="0.25">
      <c r="B2509" s="6"/>
      <c r="C2509" s="7"/>
      <c r="D2509" s="7"/>
      <c r="E2509" s="8"/>
      <c r="F2509" t="str">
        <f t="shared" si="105"/>
        <v/>
      </c>
      <c r="G2509" t="str">
        <f t="shared" si="106"/>
        <v/>
      </c>
    </row>
    <row r="2510" spans="2:7" x14ac:dyDescent="0.25">
      <c r="B2510" s="6"/>
      <c r="C2510" s="7"/>
      <c r="D2510" s="7"/>
      <c r="E2510" s="8"/>
      <c r="F2510" t="str">
        <f t="shared" si="105"/>
        <v/>
      </c>
      <c r="G2510" t="str">
        <f t="shared" si="106"/>
        <v/>
      </c>
    </row>
    <row r="2511" spans="2:7" x14ac:dyDescent="0.25">
      <c r="B2511" s="6"/>
      <c r="C2511" s="7"/>
      <c r="D2511" s="7"/>
      <c r="E2511" s="8"/>
      <c r="F2511" t="str">
        <f t="shared" si="105"/>
        <v/>
      </c>
      <c r="G2511" t="str">
        <f t="shared" si="106"/>
        <v/>
      </c>
    </row>
    <row r="2512" spans="2:7" x14ac:dyDescent="0.25">
      <c r="B2512" s="6"/>
      <c r="C2512" s="7"/>
      <c r="D2512" s="7"/>
      <c r="E2512" s="8"/>
      <c r="F2512" t="str">
        <f t="shared" si="105"/>
        <v/>
      </c>
      <c r="G2512" t="str">
        <f t="shared" si="106"/>
        <v/>
      </c>
    </row>
    <row r="2513" spans="2:7" x14ac:dyDescent="0.25">
      <c r="B2513" s="6"/>
      <c r="C2513" s="7"/>
      <c r="D2513" s="7"/>
      <c r="E2513" s="8"/>
      <c r="F2513" t="str">
        <f t="shared" si="105"/>
        <v/>
      </c>
      <c r="G2513" t="str">
        <f t="shared" si="106"/>
        <v/>
      </c>
    </row>
    <row r="2514" spans="2:7" x14ac:dyDescent="0.25">
      <c r="B2514" s="6"/>
      <c r="C2514" s="7"/>
      <c r="D2514" s="7"/>
      <c r="E2514" s="8"/>
      <c r="F2514" t="str">
        <f t="shared" si="105"/>
        <v/>
      </c>
      <c r="G2514" t="str">
        <f t="shared" si="106"/>
        <v/>
      </c>
    </row>
    <row r="2515" spans="2:7" x14ac:dyDescent="0.25">
      <c r="B2515" s="6"/>
      <c r="C2515" s="7"/>
      <c r="D2515" s="7"/>
      <c r="E2515" s="8"/>
      <c r="F2515" t="str">
        <f t="shared" si="105"/>
        <v/>
      </c>
      <c r="G2515" t="str">
        <f t="shared" si="106"/>
        <v/>
      </c>
    </row>
    <row r="2516" spans="2:7" x14ac:dyDescent="0.25">
      <c r="B2516" s="6"/>
      <c r="C2516" s="7"/>
      <c r="D2516" s="7"/>
      <c r="E2516" s="8"/>
      <c r="F2516" t="str">
        <f t="shared" si="105"/>
        <v/>
      </c>
      <c r="G2516" t="str">
        <f t="shared" si="106"/>
        <v/>
      </c>
    </row>
    <row r="2517" spans="2:7" x14ac:dyDescent="0.25">
      <c r="B2517" s="6"/>
      <c r="C2517" s="7"/>
      <c r="D2517" s="7"/>
      <c r="E2517" s="8"/>
      <c r="F2517" t="str">
        <f t="shared" si="105"/>
        <v/>
      </c>
      <c r="G2517" t="str">
        <f t="shared" si="106"/>
        <v/>
      </c>
    </row>
    <row r="2518" spans="2:7" x14ac:dyDescent="0.25">
      <c r="B2518" s="6"/>
      <c r="C2518" s="7"/>
      <c r="D2518" s="7"/>
      <c r="E2518" s="8"/>
      <c r="F2518" t="str">
        <f t="shared" si="105"/>
        <v/>
      </c>
      <c r="G2518" t="str">
        <f t="shared" si="106"/>
        <v/>
      </c>
    </row>
    <row r="2519" spans="2:7" x14ac:dyDescent="0.25">
      <c r="B2519" s="6"/>
      <c r="C2519" s="7"/>
      <c r="D2519" s="7"/>
      <c r="E2519" s="8"/>
      <c r="F2519" t="str">
        <f t="shared" si="105"/>
        <v/>
      </c>
      <c r="G2519" t="str">
        <f t="shared" si="106"/>
        <v/>
      </c>
    </row>
    <row r="2520" spans="2:7" x14ac:dyDescent="0.25">
      <c r="B2520" s="6"/>
      <c r="C2520" s="7"/>
      <c r="D2520" s="7"/>
      <c r="E2520" s="8"/>
      <c r="F2520" t="str">
        <f t="shared" si="105"/>
        <v/>
      </c>
      <c r="G2520" t="str">
        <f t="shared" si="106"/>
        <v/>
      </c>
    </row>
    <row r="2521" spans="2:7" x14ac:dyDescent="0.25">
      <c r="B2521" s="6"/>
      <c r="C2521" s="7"/>
      <c r="D2521" s="7"/>
      <c r="E2521" s="8"/>
      <c r="F2521" t="str">
        <f t="shared" si="105"/>
        <v/>
      </c>
      <c r="G2521" t="str">
        <f t="shared" si="106"/>
        <v/>
      </c>
    </row>
    <row r="2522" spans="2:7" x14ac:dyDescent="0.25">
      <c r="B2522" s="6"/>
      <c r="C2522" s="7"/>
      <c r="D2522" s="7"/>
      <c r="E2522" s="8"/>
      <c r="F2522" t="str">
        <f t="shared" si="105"/>
        <v/>
      </c>
      <c r="G2522" t="str">
        <f t="shared" si="106"/>
        <v/>
      </c>
    </row>
    <row r="2523" spans="2:7" x14ac:dyDescent="0.25">
      <c r="B2523" s="6"/>
      <c r="C2523" s="7"/>
      <c r="D2523" s="7"/>
      <c r="E2523" s="8"/>
      <c r="F2523" t="str">
        <f t="shared" si="105"/>
        <v/>
      </c>
      <c r="G2523" t="str">
        <f t="shared" si="106"/>
        <v/>
      </c>
    </row>
    <row r="2524" spans="2:7" x14ac:dyDescent="0.25">
      <c r="B2524" s="6"/>
      <c r="C2524" s="7"/>
      <c r="D2524" s="7"/>
      <c r="E2524" s="8"/>
      <c r="F2524" t="str">
        <f t="shared" si="105"/>
        <v/>
      </c>
      <c r="G2524" t="str">
        <f t="shared" si="106"/>
        <v/>
      </c>
    </row>
    <row r="2525" spans="2:7" x14ac:dyDescent="0.25">
      <c r="B2525" s="6"/>
      <c r="C2525" s="7"/>
      <c r="D2525" s="7"/>
      <c r="E2525" s="8"/>
      <c r="F2525" t="str">
        <f t="shared" si="105"/>
        <v/>
      </c>
      <c r="G2525" t="str">
        <f t="shared" si="106"/>
        <v/>
      </c>
    </row>
    <row r="2526" spans="2:7" x14ac:dyDescent="0.25">
      <c r="B2526" s="6"/>
      <c r="C2526" s="7"/>
      <c r="D2526" s="7"/>
      <c r="E2526" s="8"/>
      <c r="F2526" t="str">
        <f t="shared" si="105"/>
        <v/>
      </c>
      <c r="G2526" t="str">
        <f t="shared" si="106"/>
        <v/>
      </c>
    </row>
    <row r="2527" spans="2:7" x14ac:dyDescent="0.25">
      <c r="B2527" s="6"/>
      <c r="C2527" s="7"/>
      <c r="D2527" s="7"/>
      <c r="E2527" s="8"/>
      <c r="F2527" t="str">
        <f t="shared" si="105"/>
        <v/>
      </c>
      <c r="G2527" t="str">
        <f t="shared" si="106"/>
        <v/>
      </c>
    </row>
    <row r="2528" spans="2:7" x14ac:dyDescent="0.25">
      <c r="B2528" s="6"/>
      <c r="C2528" s="7"/>
      <c r="D2528" s="7"/>
      <c r="E2528" s="8"/>
      <c r="F2528" t="str">
        <f t="shared" si="105"/>
        <v/>
      </c>
      <c r="G2528" t="str">
        <f t="shared" si="106"/>
        <v/>
      </c>
    </row>
    <row r="2529" spans="2:7" x14ac:dyDescent="0.25">
      <c r="B2529" s="6"/>
      <c r="C2529" s="7"/>
      <c r="D2529" s="7"/>
      <c r="E2529" s="8"/>
      <c r="F2529" t="str">
        <f t="shared" si="105"/>
        <v/>
      </c>
      <c r="G2529" t="str">
        <f t="shared" si="106"/>
        <v/>
      </c>
    </row>
    <row r="2530" spans="2:7" x14ac:dyDescent="0.25">
      <c r="B2530" s="6"/>
      <c r="C2530" s="7"/>
      <c r="D2530" s="7"/>
      <c r="E2530" s="8"/>
      <c r="F2530" t="str">
        <f t="shared" si="105"/>
        <v/>
      </c>
      <c r="G2530" t="str">
        <f t="shared" si="106"/>
        <v/>
      </c>
    </row>
    <row r="2531" spans="2:7" x14ac:dyDescent="0.25">
      <c r="B2531" s="6"/>
      <c r="C2531" s="7"/>
      <c r="D2531" s="7"/>
      <c r="E2531" s="8"/>
      <c r="F2531" t="str">
        <f t="shared" si="105"/>
        <v/>
      </c>
      <c r="G2531" t="str">
        <f t="shared" si="106"/>
        <v/>
      </c>
    </row>
    <row r="2532" spans="2:7" x14ac:dyDescent="0.25">
      <c r="B2532" s="6"/>
      <c r="C2532" s="7"/>
      <c r="D2532" s="7"/>
      <c r="E2532" s="8"/>
      <c r="F2532" t="str">
        <f t="shared" si="105"/>
        <v/>
      </c>
      <c r="G2532" t="str">
        <f t="shared" si="106"/>
        <v/>
      </c>
    </row>
    <row r="2533" spans="2:7" x14ac:dyDescent="0.25">
      <c r="B2533" s="6"/>
      <c r="C2533" s="7"/>
      <c r="D2533" s="7"/>
      <c r="E2533" s="8"/>
      <c r="F2533" t="str">
        <f t="shared" si="105"/>
        <v/>
      </c>
      <c r="G2533" t="str">
        <f t="shared" si="106"/>
        <v/>
      </c>
    </row>
    <row r="2534" spans="2:7" x14ac:dyDescent="0.25">
      <c r="B2534" s="6"/>
      <c r="C2534" s="7"/>
      <c r="D2534" s="7"/>
      <c r="E2534" s="8"/>
      <c r="F2534" t="str">
        <f t="shared" si="105"/>
        <v/>
      </c>
      <c r="G2534" t="str">
        <f t="shared" si="106"/>
        <v/>
      </c>
    </row>
    <row r="2535" spans="2:7" x14ac:dyDescent="0.25">
      <c r="B2535" s="6"/>
      <c r="C2535" s="7"/>
      <c r="D2535" s="7"/>
      <c r="E2535" s="8"/>
      <c r="F2535" t="str">
        <f t="shared" si="105"/>
        <v/>
      </c>
      <c r="G2535" t="str">
        <f t="shared" si="106"/>
        <v/>
      </c>
    </row>
    <row r="2536" spans="2:7" x14ac:dyDescent="0.25">
      <c r="B2536" s="6"/>
      <c r="C2536" s="7"/>
      <c r="D2536" s="7"/>
      <c r="E2536" s="8"/>
      <c r="F2536" t="str">
        <f t="shared" si="105"/>
        <v/>
      </c>
      <c r="G2536" t="str">
        <f t="shared" si="106"/>
        <v/>
      </c>
    </row>
    <row r="2537" spans="2:7" x14ac:dyDescent="0.25">
      <c r="B2537" s="6"/>
      <c r="C2537" s="7"/>
      <c r="D2537" s="7"/>
      <c r="E2537" s="8"/>
      <c r="F2537" t="str">
        <f t="shared" si="105"/>
        <v/>
      </c>
      <c r="G2537" t="str">
        <f t="shared" si="106"/>
        <v/>
      </c>
    </row>
    <row r="2538" spans="2:7" x14ac:dyDescent="0.25">
      <c r="B2538" s="6"/>
      <c r="C2538" s="7"/>
      <c r="D2538" s="7"/>
      <c r="E2538" s="8"/>
      <c r="F2538" t="str">
        <f t="shared" si="105"/>
        <v/>
      </c>
      <c r="G2538" t="str">
        <f t="shared" si="106"/>
        <v/>
      </c>
    </row>
    <row r="2539" spans="2:7" x14ac:dyDescent="0.25">
      <c r="B2539" s="6"/>
      <c r="C2539" s="7"/>
      <c r="D2539" s="7"/>
      <c r="E2539" s="8"/>
      <c r="F2539" t="str">
        <f t="shared" si="105"/>
        <v/>
      </c>
      <c r="G2539" t="str">
        <f t="shared" si="106"/>
        <v/>
      </c>
    </row>
    <row r="2540" spans="2:7" x14ac:dyDescent="0.25">
      <c r="B2540" s="6"/>
      <c r="C2540" s="7"/>
      <c r="D2540" s="7"/>
      <c r="E2540" s="8"/>
      <c r="F2540" t="str">
        <f t="shared" si="105"/>
        <v/>
      </c>
      <c r="G2540" t="str">
        <f t="shared" si="106"/>
        <v/>
      </c>
    </row>
    <row r="2541" spans="2:7" x14ac:dyDescent="0.25">
      <c r="B2541" s="6"/>
      <c r="C2541" s="7"/>
      <c r="D2541" s="7"/>
      <c r="E2541" s="8"/>
      <c r="F2541" t="str">
        <f t="shared" si="105"/>
        <v/>
      </c>
      <c r="G2541" t="str">
        <f t="shared" si="106"/>
        <v/>
      </c>
    </row>
    <row r="2542" spans="2:7" x14ac:dyDescent="0.25">
      <c r="B2542" s="6"/>
      <c r="C2542" s="7"/>
      <c r="D2542" s="7"/>
      <c r="E2542" s="8"/>
      <c r="F2542" t="str">
        <f t="shared" si="105"/>
        <v/>
      </c>
      <c r="G2542" t="str">
        <f t="shared" si="106"/>
        <v/>
      </c>
    </row>
    <row r="2543" spans="2:7" x14ac:dyDescent="0.25">
      <c r="B2543" s="6"/>
      <c r="C2543" s="7"/>
      <c r="D2543" s="7"/>
      <c r="E2543" s="8"/>
      <c r="F2543" t="str">
        <f t="shared" si="105"/>
        <v/>
      </c>
      <c r="G2543" t="str">
        <f t="shared" si="106"/>
        <v/>
      </c>
    </row>
    <row r="2544" spans="2:7" x14ac:dyDescent="0.25">
      <c r="B2544" s="6"/>
      <c r="C2544" s="7"/>
      <c r="D2544" s="7"/>
      <c r="E2544" s="8"/>
      <c r="F2544" t="str">
        <f t="shared" si="105"/>
        <v/>
      </c>
      <c r="G2544" t="str">
        <f t="shared" si="106"/>
        <v/>
      </c>
    </row>
    <row r="2545" spans="2:7" x14ac:dyDescent="0.25">
      <c r="B2545" s="6"/>
      <c r="C2545" s="7"/>
      <c r="D2545" s="7"/>
      <c r="E2545" s="8"/>
      <c r="F2545" t="str">
        <f t="shared" si="105"/>
        <v/>
      </c>
      <c r="G2545" t="str">
        <f t="shared" si="106"/>
        <v/>
      </c>
    </row>
    <row r="2546" spans="2:7" x14ac:dyDescent="0.25">
      <c r="B2546" s="6"/>
      <c r="C2546" s="7"/>
      <c r="D2546" s="7"/>
      <c r="E2546" s="8"/>
      <c r="F2546" t="str">
        <f t="shared" si="105"/>
        <v/>
      </c>
      <c r="G2546" t="str">
        <f t="shared" si="106"/>
        <v/>
      </c>
    </row>
    <row r="2547" spans="2:7" x14ac:dyDescent="0.25">
      <c r="B2547" s="6"/>
      <c r="C2547" s="7"/>
      <c r="D2547" s="7"/>
      <c r="E2547" s="8"/>
      <c r="F2547" t="str">
        <f t="shared" si="105"/>
        <v/>
      </c>
      <c r="G2547" t="str">
        <f t="shared" si="106"/>
        <v/>
      </c>
    </row>
    <row r="2548" spans="2:7" x14ac:dyDescent="0.25">
      <c r="B2548" s="6"/>
      <c r="C2548" s="7"/>
      <c r="D2548" s="7"/>
      <c r="E2548" s="8"/>
      <c r="F2548" t="str">
        <f t="shared" si="105"/>
        <v/>
      </c>
      <c r="G2548" t="str">
        <f t="shared" si="106"/>
        <v/>
      </c>
    </row>
    <row r="2549" spans="2:7" x14ac:dyDescent="0.25">
      <c r="B2549" s="6"/>
      <c r="C2549" s="7"/>
      <c r="D2549" s="7"/>
      <c r="E2549" s="8"/>
      <c r="F2549" t="str">
        <f t="shared" si="105"/>
        <v/>
      </c>
      <c r="G2549" t="str">
        <f t="shared" si="106"/>
        <v/>
      </c>
    </row>
    <row r="2550" spans="2:7" x14ac:dyDescent="0.25">
      <c r="B2550" s="6"/>
      <c r="C2550" s="7"/>
      <c r="D2550" s="7"/>
      <c r="E2550" s="8"/>
      <c r="F2550" t="str">
        <f t="shared" si="105"/>
        <v/>
      </c>
      <c r="G2550" t="str">
        <f t="shared" si="106"/>
        <v/>
      </c>
    </row>
    <row r="2551" spans="2:7" x14ac:dyDescent="0.25">
      <c r="B2551" s="6"/>
      <c r="C2551" s="7"/>
      <c r="D2551" s="7"/>
      <c r="E2551" s="8"/>
      <c r="F2551" t="str">
        <f t="shared" si="105"/>
        <v/>
      </c>
      <c r="G2551" t="str">
        <f t="shared" si="106"/>
        <v/>
      </c>
    </row>
    <row r="2552" spans="2:7" x14ac:dyDescent="0.25">
      <c r="B2552" s="6"/>
      <c r="C2552" s="7"/>
      <c r="D2552" s="7"/>
      <c r="E2552" s="8"/>
      <c r="F2552" t="str">
        <f t="shared" si="105"/>
        <v/>
      </c>
      <c r="G2552" t="str">
        <f t="shared" si="106"/>
        <v/>
      </c>
    </row>
    <row r="2553" spans="2:7" x14ac:dyDescent="0.25">
      <c r="B2553" s="6"/>
      <c r="C2553" s="7"/>
      <c r="D2553" s="7"/>
      <c r="E2553" s="8"/>
      <c r="F2553" t="str">
        <f t="shared" si="105"/>
        <v/>
      </c>
      <c r="G2553" t="str">
        <f t="shared" si="106"/>
        <v/>
      </c>
    </row>
    <row r="2554" spans="2:7" x14ac:dyDescent="0.25">
      <c r="B2554" s="6"/>
      <c r="C2554" s="7"/>
      <c r="D2554" s="7"/>
      <c r="E2554" s="8"/>
      <c r="F2554" t="str">
        <f t="shared" si="105"/>
        <v/>
      </c>
      <c r="G2554" t="str">
        <f t="shared" si="106"/>
        <v/>
      </c>
    </row>
    <row r="2555" spans="2:7" x14ac:dyDescent="0.25">
      <c r="B2555" s="6"/>
      <c r="C2555" s="7"/>
      <c r="D2555" s="7"/>
      <c r="E2555" s="8"/>
      <c r="F2555" t="str">
        <f t="shared" si="105"/>
        <v/>
      </c>
      <c r="G2555" t="str">
        <f t="shared" si="106"/>
        <v/>
      </c>
    </row>
    <row r="2556" spans="2:7" x14ac:dyDescent="0.25">
      <c r="B2556" s="6"/>
      <c r="C2556" s="7"/>
      <c r="D2556" s="7"/>
      <c r="E2556" s="8"/>
      <c r="F2556" t="str">
        <f t="shared" si="105"/>
        <v/>
      </c>
      <c r="G2556" t="str">
        <f t="shared" si="106"/>
        <v/>
      </c>
    </row>
    <row r="2557" spans="2:7" x14ac:dyDescent="0.25">
      <c r="B2557" s="6"/>
      <c r="C2557" s="7"/>
      <c r="D2557" s="7"/>
      <c r="E2557" s="8"/>
      <c r="F2557" t="str">
        <f t="shared" si="105"/>
        <v/>
      </c>
      <c r="G2557" t="str">
        <f t="shared" si="106"/>
        <v/>
      </c>
    </row>
    <row r="2558" spans="2:7" x14ac:dyDescent="0.25">
      <c r="B2558" s="6"/>
      <c r="C2558" s="7"/>
      <c r="D2558" s="7"/>
      <c r="E2558" s="8"/>
      <c r="F2558" t="str">
        <f t="shared" si="105"/>
        <v/>
      </c>
      <c r="G2558" t="str">
        <f t="shared" si="106"/>
        <v/>
      </c>
    </row>
    <row r="2559" spans="2:7" x14ac:dyDescent="0.25">
      <c r="B2559" s="6"/>
      <c r="C2559" s="7"/>
      <c r="D2559" s="7"/>
      <c r="E2559" s="8"/>
      <c r="F2559" t="str">
        <f t="shared" si="105"/>
        <v/>
      </c>
      <c r="G2559" t="str">
        <f t="shared" si="106"/>
        <v/>
      </c>
    </row>
    <row r="2560" spans="2:7" x14ac:dyDescent="0.25">
      <c r="B2560" s="6"/>
      <c r="C2560" s="7"/>
      <c r="D2560" s="7"/>
      <c r="E2560" s="8"/>
      <c r="F2560" t="str">
        <f t="shared" si="105"/>
        <v/>
      </c>
      <c r="G2560" t="str">
        <f t="shared" si="106"/>
        <v/>
      </c>
    </row>
    <row r="2561" spans="2:7" x14ac:dyDescent="0.25">
      <c r="B2561" s="6"/>
      <c r="C2561" s="7"/>
      <c r="D2561" s="7"/>
      <c r="E2561" s="8"/>
      <c r="F2561" t="str">
        <f t="shared" si="105"/>
        <v/>
      </c>
      <c r="G2561" t="str">
        <f t="shared" si="106"/>
        <v/>
      </c>
    </row>
    <row r="2562" spans="2:7" x14ac:dyDescent="0.25">
      <c r="B2562" s="6"/>
      <c r="C2562" s="7"/>
      <c r="D2562" s="7"/>
      <c r="E2562" s="8"/>
      <c r="F2562" t="str">
        <f t="shared" si="105"/>
        <v/>
      </c>
      <c r="G2562" t="str">
        <f t="shared" si="106"/>
        <v/>
      </c>
    </row>
    <row r="2563" spans="2:7" x14ac:dyDescent="0.25">
      <c r="B2563" s="6"/>
      <c r="C2563" s="7"/>
      <c r="D2563" s="7"/>
      <c r="E2563" s="8"/>
      <c r="F2563" t="str">
        <f t="shared" si="105"/>
        <v/>
      </c>
      <c r="G2563" t="str">
        <f t="shared" si="106"/>
        <v/>
      </c>
    </row>
    <row r="2564" spans="2:7" x14ac:dyDescent="0.25">
      <c r="B2564" s="6"/>
      <c r="C2564" s="7"/>
      <c r="D2564" s="7"/>
      <c r="E2564" s="8"/>
      <c r="F2564" t="str">
        <f t="shared" ref="F2564:F2627" si="107">IF(B2564="","",LOG10(D2564))</f>
        <v/>
      </c>
      <c r="G2564" t="str">
        <f t="shared" ref="G2564:G2627" si="108">IF(E2564="", "",0.434*E2564/D2564)</f>
        <v/>
      </c>
    </row>
    <row r="2565" spans="2:7" x14ac:dyDescent="0.25">
      <c r="B2565" s="6"/>
      <c r="C2565" s="7"/>
      <c r="D2565" s="7"/>
      <c r="E2565" s="8"/>
      <c r="F2565" t="str">
        <f t="shared" si="107"/>
        <v/>
      </c>
      <c r="G2565" t="str">
        <f t="shared" si="108"/>
        <v/>
      </c>
    </row>
    <row r="2566" spans="2:7" x14ac:dyDescent="0.25">
      <c r="B2566" s="6"/>
      <c r="C2566" s="7"/>
      <c r="D2566" s="7"/>
      <c r="E2566" s="8"/>
      <c r="F2566" t="str">
        <f t="shared" si="107"/>
        <v/>
      </c>
      <c r="G2566" t="str">
        <f t="shared" si="108"/>
        <v/>
      </c>
    </row>
    <row r="2567" spans="2:7" x14ac:dyDescent="0.25">
      <c r="B2567" s="6"/>
      <c r="C2567" s="7"/>
      <c r="D2567" s="7"/>
      <c r="E2567" s="8"/>
      <c r="F2567" t="str">
        <f t="shared" si="107"/>
        <v/>
      </c>
      <c r="G2567" t="str">
        <f t="shared" si="108"/>
        <v/>
      </c>
    </row>
    <row r="2568" spans="2:7" x14ac:dyDescent="0.25">
      <c r="B2568" s="6"/>
      <c r="C2568" s="7"/>
      <c r="D2568" s="7"/>
      <c r="E2568" s="8"/>
      <c r="F2568" t="str">
        <f t="shared" si="107"/>
        <v/>
      </c>
      <c r="G2568" t="str">
        <f t="shared" si="108"/>
        <v/>
      </c>
    </row>
    <row r="2569" spans="2:7" x14ac:dyDescent="0.25">
      <c r="B2569" s="6"/>
      <c r="C2569" s="7"/>
      <c r="D2569" s="7"/>
      <c r="E2569" s="8"/>
      <c r="F2569" t="str">
        <f t="shared" si="107"/>
        <v/>
      </c>
      <c r="G2569" t="str">
        <f t="shared" si="108"/>
        <v/>
      </c>
    </row>
    <row r="2570" spans="2:7" x14ac:dyDescent="0.25">
      <c r="B2570" s="6"/>
      <c r="C2570" s="7"/>
      <c r="D2570" s="7"/>
      <c r="E2570" s="8"/>
      <c r="F2570" t="str">
        <f t="shared" si="107"/>
        <v/>
      </c>
      <c r="G2570" t="str">
        <f t="shared" si="108"/>
        <v/>
      </c>
    </row>
    <row r="2571" spans="2:7" x14ac:dyDescent="0.25">
      <c r="B2571" s="6"/>
      <c r="C2571" s="7"/>
      <c r="D2571" s="7"/>
      <c r="E2571" s="8"/>
      <c r="F2571" t="str">
        <f t="shared" si="107"/>
        <v/>
      </c>
      <c r="G2571" t="str">
        <f t="shared" si="108"/>
        <v/>
      </c>
    </row>
    <row r="2572" spans="2:7" x14ac:dyDescent="0.25">
      <c r="B2572" s="6"/>
      <c r="C2572" s="7"/>
      <c r="D2572" s="7"/>
      <c r="E2572" s="8"/>
      <c r="F2572" t="str">
        <f t="shared" si="107"/>
        <v/>
      </c>
      <c r="G2572" t="str">
        <f t="shared" si="108"/>
        <v/>
      </c>
    </row>
    <row r="2573" spans="2:7" x14ac:dyDescent="0.25">
      <c r="B2573" s="6"/>
      <c r="C2573" s="7"/>
      <c r="D2573" s="7"/>
      <c r="E2573" s="8"/>
      <c r="F2573" t="str">
        <f t="shared" si="107"/>
        <v/>
      </c>
      <c r="G2573" t="str">
        <f t="shared" si="108"/>
        <v/>
      </c>
    </row>
    <row r="2574" spans="2:7" x14ac:dyDescent="0.25">
      <c r="B2574" s="6"/>
      <c r="C2574" s="7"/>
      <c r="D2574" s="7"/>
      <c r="E2574" s="8"/>
      <c r="F2574" t="str">
        <f t="shared" si="107"/>
        <v/>
      </c>
      <c r="G2574" t="str">
        <f t="shared" si="108"/>
        <v/>
      </c>
    </row>
    <row r="2575" spans="2:7" x14ac:dyDescent="0.25">
      <c r="B2575" s="6"/>
      <c r="C2575" s="7"/>
      <c r="D2575" s="7"/>
      <c r="E2575" s="8"/>
      <c r="F2575" t="str">
        <f t="shared" si="107"/>
        <v/>
      </c>
      <c r="G2575" t="str">
        <f t="shared" si="108"/>
        <v/>
      </c>
    </row>
    <row r="2576" spans="2:7" x14ac:dyDescent="0.25">
      <c r="B2576" s="6"/>
      <c r="C2576" s="7"/>
      <c r="D2576" s="7"/>
      <c r="E2576" s="8"/>
      <c r="F2576" t="str">
        <f t="shared" si="107"/>
        <v/>
      </c>
      <c r="G2576" t="str">
        <f t="shared" si="108"/>
        <v/>
      </c>
    </row>
    <row r="2577" spans="2:7" x14ac:dyDescent="0.25">
      <c r="B2577" s="6"/>
      <c r="C2577" s="7"/>
      <c r="D2577" s="7"/>
      <c r="E2577" s="8"/>
      <c r="F2577" t="str">
        <f t="shared" si="107"/>
        <v/>
      </c>
      <c r="G2577" t="str">
        <f t="shared" si="108"/>
        <v/>
      </c>
    </row>
    <row r="2578" spans="2:7" x14ac:dyDescent="0.25">
      <c r="B2578" s="6"/>
      <c r="C2578" s="7"/>
      <c r="D2578" s="7"/>
      <c r="E2578" s="8"/>
      <c r="F2578" t="str">
        <f t="shared" si="107"/>
        <v/>
      </c>
      <c r="G2578" t="str">
        <f t="shared" si="108"/>
        <v/>
      </c>
    </row>
    <row r="2579" spans="2:7" x14ac:dyDescent="0.25">
      <c r="B2579" s="6"/>
      <c r="C2579" s="7"/>
      <c r="D2579" s="7"/>
      <c r="E2579" s="8"/>
      <c r="F2579" t="str">
        <f t="shared" si="107"/>
        <v/>
      </c>
      <c r="G2579" t="str">
        <f t="shared" si="108"/>
        <v/>
      </c>
    </row>
    <row r="2580" spans="2:7" x14ac:dyDescent="0.25">
      <c r="B2580" s="6"/>
      <c r="C2580" s="7"/>
      <c r="D2580" s="7"/>
      <c r="E2580" s="8"/>
      <c r="F2580" t="str">
        <f t="shared" si="107"/>
        <v/>
      </c>
      <c r="G2580" t="str">
        <f t="shared" si="108"/>
        <v/>
      </c>
    </row>
    <row r="2581" spans="2:7" x14ac:dyDescent="0.25">
      <c r="B2581" s="6"/>
      <c r="C2581" s="7"/>
      <c r="D2581" s="7"/>
      <c r="E2581" s="8"/>
      <c r="F2581" t="str">
        <f t="shared" si="107"/>
        <v/>
      </c>
      <c r="G2581" t="str">
        <f t="shared" si="108"/>
        <v/>
      </c>
    </row>
    <row r="2582" spans="2:7" x14ac:dyDescent="0.25">
      <c r="B2582" s="6"/>
      <c r="C2582" s="7"/>
      <c r="D2582" s="7"/>
      <c r="E2582" s="8"/>
      <c r="F2582" t="str">
        <f t="shared" si="107"/>
        <v/>
      </c>
      <c r="G2582" t="str">
        <f t="shared" si="108"/>
        <v/>
      </c>
    </row>
    <row r="2583" spans="2:7" x14ac:dyDescent="0.25">
      <c r="B2583" s="6"/>
      <c r="C2583" s="7"/>
      <c r="D2583" s="7"/>
      <c r="E2583" s="8"/>
      <c r="F2583" t="str">
        <f t="shared" si="107"/>
        <v/>
      </c>
      <c r="G2583" t="str">
        <f t="shared" si="108"/>
        <v/>
      </c>
    </row>
    <row r="2584" spans="2:7" x14ac:dyDescent="0.25">
      <c r="B2584" s="6"/>
      <c r="C2584" s="7"/>
      <c r="D2584" s="7"/>
      <c r="E2584" s="8"/>
      <c r="F2584" t="str">
        <f t="shared" si="107"/>
        <v/>
      </c>
      <c r="G2584" t="str">
        <f t="shared" si="108"/>
        <v/>
      </c>
    </row>
    <row r="2585" spans="2:7" x14ac:dyDescent="0.25">
      <c r="B2585" s="6"/>
      <c r="C2585" s="7"/>
      <c r="D2585" s="7"/>
      <c r="E2585" s="8"/>
      <c r="F2585" t="str">
        <f t="shared" si="107"/>
        <v/>
      </c>
      <c r="G2585" t="str">
        <f t="shared" si="108"/>
        <v/>
      </c>
    </row>
    <row r="2586" spans="2:7" x14ac:dyDescent="0.25">
      <c r="B2586" s="6"/>
      <c r="C2586" s="7"/>
      <c r="D2586" s="7"/>
      <c r="E2586" s="8"/>
      <c r="F2586" t="str">
        <f t="shared" si="107"/>
        <v/>
      </c>
      <c r="G2586" t="str">
        <f t="shared" si="108"/>
        <v/>
      </c>
    </row>
    <row r="2587" spans="2:7" x14ac:dyDescent="0.25">
      <c r="B2587" s="6"/>
      <c r="C2587" s="7"/>
      <c r="D2587" s="7"/>
      <c r="E2587" s="8"/>
      <c r="F2587" t="str">
        <f t="shared" si="107"/>
        <v/>
      </c>
      <c r="G2587" t="str">
        <f t="shared" si="108"/>
        <v/>
      </c>
    </row>
    <row r="2588" spans="2:7" x14ac:dyDescent="0.25">
      <c r="B2588" s="6"/>
      <c r="C2588" s="7"/>
      <c r="D2588" s="7"/>
      <c r="E2588" s="8"/>
      <c r="F2588" t="str">
        <f t="shared" si="107"/>
        <v/>
      </c>
      <c r="G2588" t="str">
        <f t="shared" si="108"/>
        <v/>
      </c>
    </row>
    <row r="2589" spans="2:7" x14ac:dyDescent="0.25">
      <c r="B2589" s="6"/>
      <c r="C2589" s="7"/>
      <c r="D2589" s="7"/>
      <c r="E2589" s="8"/>
      <c r="F2589" t="str">
        <f t="shared" si="107"/>
        <v/>
      </c>
      <c r="G2589" t="str">
        <f t="shared" si="108"/>
        <v/>
      </c>
    </row>
    <row r="2590" spans="2:7" x14ac:dyDescent="0.25">
      <c r="B2590" s="6"/>
      <c r="C2590" s="7"/>
      <c r="D2590" s="7"/>
      <c r="E2590" s="8"/>
      <c r="F2590" t="str">
        <f t="shared" si="107"/>
        <v/>
      </c>
      <c r="G2590" t="str">
        <f t="shared" si="108"/>
        <v/>
      </c>
    </row>
    <row r="2591" spans="2:7" x14ac:dyDescent="0.25">
      <c r="B2591" s="6"/>
      <c r="C2591" s="7"/>
      <c r="D2591" s="7"/>
      <c r="E2591" s="8"/>
      <c r="F2591" t="str">
        <f t="shared" si="107"/>
        <v/>
      </c>
      <c r="G2591" t="str">
        <f t="shared" si="108"/>
        <v/>
      </c>
    </row>
    <row r="2592" spans="2:7" x14ac:dyDescent="0.25">
      <c r="B2592" s="6"/>
      <c r="C2592" s="7"/>
      <c r="D2592" s="7"/>
      <c r="E2592" s="8"/>
      <c r="F2592" t="str">
        <f t="shared" si="107"/>
        <v/>
      </c>
      <c r="G2592" t="str">
        <f t="shared" si="108"/>
        <v/>
      </c>
    </row>
    <row r="2593" spans="2:7" x14ac:dyDescent="0.25">
      <c r="B2593" s="6"/>
      <c r="C2593" s="7"/>
      <c r="D2593" s="7"/>
      <c r="E2593" s="8"/>
      <c r="F2593" t="str">
        <f t="shared" si="107"/>
        <v/>
      </c>
      <c r="G2593" t="str">
        <f t="shared" si="108"/>
        <v/>
      </c>
    </row>
    <row r="2594" spans="2:7" x14ac:dyDescent="0.25">
      <c r="B2594" s="6"/>
      <c r="C2594" s="7"/>
      <c r="D2594" s="7"/>
      <c r="E2594" s="8"/>
      <c r="F2594" t="str">
        <f t="shared" si="107"/>
        <v/>
      </c>
      <c r="G2594" t="str">
        <f t="shared" si="108"/>
        <v/>
      </c>
    </row>
    <row r="2595" spans="2:7" x14ac:dyDescent="0.25">
      <c r="B2595" s="6"/>
      <c r="C2595" s="7"/>
      <c r="D2595" s="7"/>
      <c r="E2595" s="8"/>
      <c r="F2595" t="str">
        <f t="shared" si="107"/>
        <v/>
      </c>
      <c r="G2595" t="str">
        <f t="shared" si="108"/>
        <v/>
      </c>
    </row>
    <row r="2596" spans="2:7" x14ac:dyDescent="0.25">
      <c r="B2596" s="6"/>
      <c r="C2596" s="7"/>
      <c r="D2596" s="7"/>
      <c r="E2596" s="8"/>
      <c r="F2596" t="str">
        <f t="shared" si="107"/>
        <v/>
      </c>
      <c r="G2596" t="str">
        <f t="shared" si="108"/>
        <v/>
      </c>
    </row>
    <row r="2597" spans="2:7" x14ac:dyDescent="0.25">
      <c r="B2597" s="6"/>
      <c r="C2597" s="7"/>
      <c r="D2597" s="7"/>
      <c r="E2597" s="8"/>
      <c r="F2597" t="str">
        <f t="shared" si="107"/>
        <v/>
      </c>
      <c r="G2597" t="str">
        <f t="shared" si="108"/>
        <v/>
      </c>
    </row>
    <row r="2598" spans="2:7" x14ac:dyDescent="0.25">
      <c r="B2598" s="6"/>
      <c r="C2598" s="7"/>
      <c r="D2598" s="7"/>
      <c r="E2598" s="8"/>
      <c r="F2598" t="str">
        <f t="shared" si="107"/>
        <v/>
      </c>
      <c r="G2598" t="str">
        <f t="shared" si="108"/>
        <v/>
      </c>
    </row>
    <row r="2599" spans="2:7" x14ac:dyDescent="0.25">
      <c r="B2599" s="6"/>
      <c r="C2599" s="7"/>
      <c r="D2599" s="7"/>
      <c r="E2599" s="8"/>
      <c r="F2599" t="str">
        <f t="shared" si="107"/>
        <v/>
      </c>
      <c r="G2599" t="str">
        <f t="shared" si="108"/>
        <v/>
      </c>
    </row>
    <row r="2600" spans="2:7" x14ac:dyDescent="0.25">
      <c r="B2600" s="6"/>
      <c r="C2600" s="7"/>
      <c r="D2600" s="7"/>
      <c r="E2600" s="8"/>
      <c r="F2600" t="str">
        <f t="shared" si="107"/>
        <v/>
      </c>
      <c r="G2600" t="str">
        <f t="shared" si="108"/>
        <v/>
      </c>
    </row>
    <row r="2601" spans="2:7" x14ac:dyDescent="0.25">
      <c r="B2601" s="6"/>
      <c r="C2601" s="7"/>
      <c r="D2601" s="7"/>
      <c r="E2601" s="8"/>
      <c r="F2601" t="str">
        <f t="shared" si="107"/>
        <v/>
      </c>
      <c r="G2601" t="str">
        <f t="shared" si="108"/>
        <v/>
      </c>
    </row>
    <row r="2602" spans="2:7" x14ac:dyDescent="0.25">
      <c r="B2602" s="6"/>
      <c r="C2602" s="7"/>
      <c r="D2602" s="7"/>
      <c r="E2602" s="8"/>
      <c r="F2602" t="str">
        <f t="shared" si="107"/>
        <v/>
      </c>
      <c r="G2602" t="str">
        <f t="shared" si="108"/>
        <v/>
      </c>
    </row>
    <row r="2603" spans="2:7" x14ac:dyDescent="0.25">
      <c r="B2603" s="6"/>
      <c r="C2603" s="7"/>
      <c r="D2603" s="7"/>
      <c r="E2603" s="8"/>
      <c r="F2603" t="str">
        <f t="shared" si="107"/>
        <v/>
      </c>
      <c r="G2603" t="str">
        <f t="shared" si="108"/>
        <v/>
      </c>
    </row>
    <row r="2604" spans="2:7" x14ac:dyDescent="0.25">
      <c r="B2604" s="6"/>
      <c r="C2604" s="7"/>
      <c r="D2604" s="7"/>
      <c r="E2604" s="8"/>
      <c r="F2604" t="str">
        <f t="shared" si="107"/>
        <v/>
      </c>
      <c r="G2604" t="str">
        <f t="shared" si="108"/>
        <v/>
      </c>
    </row>
    <row r="2605" spans="2:7" x14ac:dyDescent="0.25">
      <c r="B2605" s="6"/>
      <c r="C2605" s="7"/>
      <c r="D2605" s="7"/>
      <c r="E2605" s="8"/>
      <c r="F2605" t="str">
        <f t="shared" si="107"/>
        <v/>
      </c>
      <c r="G2605" t="str">
        <f t="shared" si="108"/>
        <v/>
      </c>
    </row>
    <row r="2606" spans="2:7" x14ac:dyDescent="0.25">
      <c r="B2606" s="6"/>
      <c r="C2606" s="7"/>
      <c r="D2606" s="7"/>
      <c r="E2606" s="8"/>
      <c r="F2606" t="str">
        <f t="shared" si="107"/>
        <v/>
      </c>
      <c r="G2606" t="str">
        <f t="shared" si="108"/>
        <v/>
      </c>
    </row>
    <row r="2607" spans="2:7" x14ac:dyDescent="0.25">
      <c r="B2607" s="6"/>
      <c r="C2607" s="7"/>
      <c r="D2607" s="7"/>
      <c r="E2607" s="8"/>
      <c r="F2607" t="str">
        <f t="shared" si="107"/>
        <v/>
      </c>
      <c r="G2607" t="str">
        <f t="shared" si="108"/>
        <v/>
      </c>
    </row>
    <row r="2608" spans="2:7" x14ac:dyDescent="0.25">
      <c r="B2608" s="6"/>
      <c r="C2608" s="7"/>
      <c r="D2608" s="7"/>
      <c r="E2608" s="8"/>
      <c r="F2608" t="str">
        <f t="shared" si="107"/>
        <v/>
      </c>
      <c r="G2608" t="str">
        <f t="shared" si="108"/>
        <v/>
      </c>
    </row>
    <row r="2609" spans="2:7" x14ac:dyDescent="0.25">
      <c r="B2609" s="6"/>
      <c r="C2609" s="7"/>
      <c r="D2609" s="7"/>
      <c r="E2609" s="8"/>
      <c r="F2609" t="str">
        <f t="shared" si="107"/>
        <v/>
      </c>
      <c r="G2609" t="str">
        <f t="shared" si="108"/>
        <v/>
      </c>
    </row>
    <row r="2610" spans="2:7" x14ac:dyDescent="0.25">
      <c r="B2610" s="6"/>
      <c r="C2610" s="7"/>
      <c r="D2610" s="7"/>
      <c r="E2610" s="8"/>
      <c r="F2610" t="str">
        <f t="shared" si="107"/>
        <v/>
      </c>
      <c r="G2610" t="str">
        <f t="shared" si="108"/>
        <v/>
      </c>
    </row>
    <row r="2611" spans="2:7" x14ac:dyDescent="0.25">
      <c r="B2611" s="6"/>
      <c r="C2611" s="7"/>
      <c r="D2611" s="7"/>
      <c r="E2611" s="8"/>
      <c r="F2611" t="str">
        <f t="shared" si="107"/>
        <v/>
      </c>
      <c r="G2611" t="str">
        <f t="shared" si="108"/>
        <v/>
      </c>
    </row>
    <row r="2612" spans="2:7" x14ac:dyDescent="0.25">
      <c r="B2612" s="6"/>
      <c r="C2612" s="7"/>
      <c r="D2612" s="7"/>
      <c r="E2612" s="8"/>
      <c r="F2612" t="str">
        <f t="shared" si="107"/>
        <v/>
      </c>
      <c r="G2612" t="str">
        <f t="shared" si="108"/>
        <v/>
      </c>
    </row>
    <row r="2613" spans="2:7" x14ac:dyDescent="0.25">
      <c r="B2613" s="6"/>
      <c r="C2613" s="7"/>
      <c r="D2613" s="7"/>
      <c r="E2613" s="8"/>
      <c r="F2613" t="str">
        <f t="shared" si="107"/>
        <v/>
      </c>
      <c r="G2613" t="str">
        <f t="shared" si="108"/>
        <v/>
      </c>
    </row>
    <row r="2614" spans="2:7" x14ac:dyDescent="0.25">
      <c r="B2614" s="6"/>
      <c r="C2614" s="7"/>
      <c r="D2614" s="7"/>
      <c r="E2614" s="8"/>
      <c r="F2614" t="str">
        <f t="shared" si="107"/>
        <v/>
      </c>
      <c r="G2614" t="str">
        <f t="shared" si="108"/>
        <v/>
      </c>
    </row>
    <row r="2615" spans="2:7" x14ac:dyDescent="0.25">
      <c r="B2615" s="6"/>
      <c r="C2615" s="7"/>
      <c r="D2615" s="7"/>
      <c r="E2615" s="8"/>
      <c r="F2615" t="str">
        <f t="shared" si="107"/>
        <v/>
      </c>
      <c r="G2615" t="str">
        <f t="shared" si="108"/>
        <v/>
      </c>
    </row>
    <row r="2616" spans="2:7" x14ac:dyDescent="0.25">
      <c r="B2616" s="6"/>
      <c r="C2616" s="7"/>
      <c r="D2616" s="7"/>
      <c r="E2616" s="8"/>
      <c r="F2616" t="str">
        <f t="shared" si="107"/>
        <v/>
      </c>
      <c r="G2616" t="str">
        <f t="shared" si="108"/>
        <v/>
      </c>
    </row>
    <row r="2617" spans="2:7" x14ac:dyDescent="0.25">
      <c r="B2617" s="6"/>
      <c r="C2617" s="7"/>
      <c r="D2617" s="7"/>
      <c r="E2617" s="8"/>
      <c r="F2617" t="str">
        <f t="shared" si="107"/>
        <v/>
      </c>
      <c r="G2617" t="str">
        <f t="shared" si="108"/>
        <v/>
      </c>
    </row>
    <row r="2618" spans="2:7" x14ac:dyDescent="0.25">
      <c r="B2618" s="6"/>
      <c r="C2618" s="7"/>
      <c r="D2618" s="7"/>
      <c r="E2618" s="8"/>
      <c r="F2618" t="str">
        <f t="shared" si="107"/>
        <v/>
      </c>
      <c r="G2618" t="str">
        <f t="shared" si="108"/>
        <v/>
      </c>
    </row>
    <row r="2619" spans="2:7" x14ac:dyDescent="0.25">
      <c r="B2619" s="6"/>
      <c r="C2619" s="7"/>
      <c r="D2619" s="7"/>
      <c r="E2619" s="8"/>
      <c r="F2619" t="str">
        <f t="shared" si="107"/>
        <v/>
      </c>
      <c r="G2619" t="str">
        <f t="shared" si="108"/>
        <v/>
      </c>
    </row>
    <row r="2620" spans="2:7" x14ac:dyDescent="0.25">
      <c r="B2620" s="6"/>
      <c r="C2620" s="7"/>
      <c r="D2620" s="7"/>
      <c r="E2620" s="8"/>
      <c r="F2620" t="str">
        <f t="shared" si="107"/>
        <v/>
      </c>
      <c r="G2620" t="str">
        <f t="shared" si="108"/>
        <v/>
      </c>
    </row>
    <row r="2621" spans="2:7" x14ac:dyDescent="0.25">
      <c r="B2621" s="6"/>
      <c r="C2621" s="7"/>
      <c r="D2621" s="7"/>
      <c r="E2621" s="8"/>
      <c r="F2621" t="str">
        <f t="shared" si="107"/>
        <v/>
      </c>
      <c r="G2621" t="str">
        <f t="shared" si="108"/>
        <v/>
      </c>
    </row>
    <row r="2622" spans="2:7" x14ac:dyDescent="0.25">
      <c r="B2622" s="6"/>
      <c r="C2622" s="7"/>
      <c r="D2622" s="7"/>
      <c r="E2622" s="8"/>
      <c r="F2622" t="str">
        <f t="shared" si="107"/>
        <v/>
      </c>
      <c r="G2622" t="str">
        <f t="shared" si="108"/>
        <v/>
      </c>
    </row>
    <row r="2623" spans="2:7" x14ac:dyDescent="0.25">
      <c r="B2623" s="6"/>
      <c r="C2623" s="7"/>
      <c r="D2623" s="7"/>
      <c r="E2623" s="8"/>
      <c r="F2623" t="str">
        <f t="shared" si="107"/>
        <v/>
      </c>
      <c r="G2623" t="str">
        <f t="shared" si="108"/>
        <v/>
      </c>
    </row>
    <row r="2624" spans="2:7" x14ac:dyDescent="0.25">
      <c r="B2624" s="6"/>
      <c r="C2624" s="7"/>
      <c r="D2624" s="7"/>
      <c r="E2624" s="8"/>
      <c r="F2624" t="str">
        <f t="shared" si="107"/>
        <v/>
      </c>
      <c r="G2624" t="str">
        <f t="shared" si="108"/>
        <v/>
      </c>
    </row>
    <row r="2625" spans="2:7" x14ac:dyDescent="0.25">
      <c r="B2625" s="6"/>
      <c r="C2625" s="7"/>
      <c r="D2625" s="7"/>
      <c r="E2625" s="8"/>
      <c r="F2625" t="str">
        <f t="shared" si="107"/>
        <v/>
      </c>
      <c r="G2625" t="str">
        <f t="shared" si="108"/>
        <v/>
      </c>
    </row>
    <row r="2626" spans="2:7" x14ac:dyDescent="0.25">
      <c r="B2626" s="6"/>
      <c r="C2626" s="7"/>
      <c r="D2626" s="7"/>
      <c r="E2626" s="8"/>
      <c r="F2626" t="str">
        <f t="shared" si="107"/>
        <v/>
      </c>
      <c r="G2626" t="str">
        <f t="shared" si="108"/>
        <v/>
      </c>
    </row>
    <row r="2627" spans="2:7" x14ac:dyDescent="0.25">
      <c r="B2627" s="6"/>
      <c r="C2627" s="7"/>
      <c r="D2627" s="7"/>
      <c r="E2627" s="8"/>
      <c r="F2627" t="str">
        <f t="shared" si="107"/>
        <v/>
      </c>
      <c r="G2627" t="str">
        <f t="shared" si="108"/>
        <v/>
      </c>
    </row>
    <row r="2628" spans="2:7" x14ac:dyDescent="0.25">
      <c r="B2628" s="6"/>
      <c r="C2628" s="7"/>
      <c r="D2628" s="7"/>
      <c r="E2628" s="8"/>
      <c r="F2628" t="str">
        <f t="shared" ref="F2628:F2691" si="109">IF(B2628="","",LOG10(D2628))</f>
        <v/>
      </c>
      <c r="G2628" t="str">
        <f t="shared" ref="G2628:G2691" si="110">IF(E2628="", "",0.434*E2628/D2628)</f>
        <v/>
      </c>
    </row>
    <row r="2629" spans="2:7" x14ac:dyDescent="0.25">
      <c r="B2629" s="6"/>
      <c r="C2629" s="7"/>
      <c r="D2629" s="7"/>
      <c r="E2629" s="8"/>
      <c r="F2629" t="str">
        <f t="shared" si="109"/>
        <v/>
      </c>
      <c r="G2629" t="str">
        <f t="shared" si="110"/>
        <v/>
      </c>
    </row>
    <row r="2630" spans="2:7" x14ac:dyDescent="0.25">
      <c r="B2630" s="6"/>
      <c r="C2630" s="7"/>
      <c r="D2630" s="7"/>
      <c r="E2630" s="8"/>
      <c r="F2630" t="str">
        <f t="shared" si="109"/>
        <v/>
      </c>
      <c r="G2630" t="str">
        <f t="shared" si="110"/>
        <v/>
      </c>
    </row>
    <row r="2631" spans="2:7" x14ac:dyDescent="0.25">
      <c r="B2631" s="6"/>
      <c r="C2631" s="7"/>
      <c r="D2631" s="7"/>
      <c r="E2631" s="8"/>
      <c r="F2631" t="str">
        <f t="shared" si="109"/>
        <v/>
      </c>
      <c r="G2631" t="str">
        <f t="shared" si="110"/>
        <v/>
      </c>
    </row>
    <row r="2632" spans="2:7" x14ac:dyDescent="0.25">
      <c r="B2632" s="6"/>
      <c r="C2632" s="7"/>
      <c r="D2632" s="7"/>
      <c r="E2632" s="8"/>
      <c r="F2632" t="str">
        <f t="shared" si="109"/>
        <v/>
      </c>
      <c r="G2632" t="str">
        <f t="shared" si="110"/>
        <v/>
      </c>
    </row>
    <row r="2633" spans="2:7" x14ac:dyDescent="0.25">
      <c r="B2633" s="6"/>
      <c r="C2633" s="7"/>
      <c r="D2633" s="7"/>
      <c r="E2633" s="8"/>
      <c r="F2633" t="str">
        <f t="shared" si="109"/>
        <v/>
      </c>
      <c r="G2633" t="str">
        <f t="shared" si="110"/>
        <v/>
      </c>
    </row>
    <row r="2634" spans="2:7" x14ac:dyDescent="0.25">
      <c r="B2634" s="6"/>
      <c r="C2634" s="7"/>
      <c r="D2634" s="7"/>
      <c r="E2634" s="8"/>
      <c r="F2634" t="str">
        <f t="shared" si="109"/>
        <v/>
      </c>
      <c r="G2634" t="str">
        <f t="shared" si="110"/>
        <v/>
      </c>
    </row>
    <row r="2635" spans="2:7" x14ac:dyDescent="0.25">
      <c r="B2635" s="6"/>
      <c r="C2635" s="7"/>
      <c r="D2635" s="7"/>
      <c r="E2635" s="8"/>
      <c r="F2635" t="str">
        <f t="shared" si="109"/>
        <v/>
      </c>
      <c r="G2635" t="str">
        <f t="shared" si="110"/>
        <v/>
      </c>
    </row>
    <row r="2636" spans="2:7" x14ac:dyDescent="0.25">
      <c r="B2636" s="6"/>
      <c r="C2636" s="7"/>
      <c r="D2636" s="7"/>
      <c r="E2636" s="8"/>
      <c r="F2636" t="str">
        <f t="shared" si="109"/>
        <v/>
      </c>
      <c r="G2636" t="str">
        <f t="shared" si="110"/>
        <v/>
      </c>
    </row>
    <row r="2637" spans="2:7" x14ac:dyDescent="0.25">
      <c r="B2637" s="6"/>
      <c r="C2637" s="7"/>
      <c r="D2637" s="7"/>
      <c r="E2637" s="8"/>
      <c r="F2637" t="str">
        <f t="shared" si="109"/>
        <v/>
      </c>
      <c r="G2637" t="str">
        <f t="shared" si="110"/>
        <v/>
      </c>
    </row>
    <row r="2638" spans="2:7" x14ac:dyDescent="0.25">
      <c r="B2638" s="6"/>
      <c r="C2638" s="7"/>
      <c r="D2638" s="7"/>
      <c r="E2638" s="8"/>
      <c r="F2638" t="str">
        <f t="shared" si="109"/>
        <v/>
      </c>
      <c r="G2638" t="str">
        <f t="shared" si="110"/>
        <v/>
      </c>
    </row>
    <row r="2639" spans="2:7" x14ac:dyDescent="0.25">
      <c r="B2639" s="6"/>
      <c r="C2639" s="7"/>
      <c r="D2639" s="7"/>
      <c r="E2639" s="8"/>
      <c r="F2639" t="str">
        <f t="shared" si="109"/>
        <v/>
      </c>
      <c r="G2639" t="str">
        <f t="shared" si="110"/>
        <v/>
      </c>
    </row>
    <row r="2640" spans="2:7" x14ac:dyDescent="0.25">
      <c r="B2640" s="6"/>
      <c r="C2640" s="7"/>
      <c r="D2640" s="7"/>
      <c r="E2640" s="8"/>
      <c r="F2640" t="str">
        <f t="shared" si="109"/>
        <v/>
      </c>
      <c r="G2640" t="str">
        <f t="shared" si="110"/>
        <v/>
      </c>
    </row>
    <row r="2641" spans="2:7" x14ac:dyDescent="0.25">
      <c r="B2641" s="6"/>
      <c r="C2641" s="7"/>
      <c r="D2641" s="7"/>
      <c r="E2641" s="8"/>
      <c r="F2641" t="str">
        <f t="shared" si="109"/>
        <v/>
      </c>
      <c r="G2641" t="str">
        <f t="shared" si="110"/>
        <v/>
      </c>
    </row>
    <row r="2642" spans="2:7" x14ac:dyDescent="0.25">
      <c r="B2642" s="6"/>
      <c r="C2642" s="7"/>
      <c r="D2642" s="7"/>
      <c r="E2642" s="8"/>
      <c r="F2642" t="str">
        <f t="shared" si="109"/>
        <v/>
      </c>
      <c r="G2642" t="str">
        <f t="shared" si="110"/>
        <v/>
      </c>
    </row>
    <row r="2643" spans="2:7" x14ac:dyDescent="0.25">
      <c r="B2643" s="6"/>
      <c r="C2643" s="7"/>
      <c r="D2643" s="7"/>
      <c r="E2643" s="8"/>
      <c r="F2643" t="str">
        <f t="shared" si="109"/>
        <v/>
      </c>
      <c r="G2643" t="str">
        <f t="shared" si="110"/>
        <v/>
      </c>
    </row>
    <row r="2644" spans="2:7" x14ac:dyDescent="0.25">
      <c r="B2644" s="6"/>
      <c r="C2644" s="7"/>
      <c r="D2644" s="7"/>
      <c r="E2644" s="8"/>
      <c r="F2644" t="str">
        <f t="shared" si="109"/>
        <v/>
      </c>
      <c r="G2644" t="str">
        <f t="shared" si="110"/>
        <v/>
      </c>
    </row>
    <row r="2645" spans="2:7" x14ac:dyDescent="0.25">
      <c r="B2645" s="6"/>
      <c r="C2645" s="7"/>
      <c r="D2645" s="7"/>
      <c r="E2645" s="8"/>
      <c r="F2645" t="str">
        <f t="shared" si="109"/>
        <v/>
      </c>
      <c r="G2645" t="str">
        <f t="shared" si="110"/>
        <v/>
      </c>
    </row>
    <row r="2646" spans="2:7" x14ac:dyDescent="0.25">
      <c r="B2646" s="6"/>
      <c r="C2646" s="7"/>
      <c r="D2646" s="7"/>
      <c r="E2646" s="8"/>
      <c r="F2646" t="str">
        <f t="shared" si="109"/>
        <v/>
      </c>
      <c r="G2646" t="str">
        <f t="shared" si="110"/>
        <v/>
      </c>
    </row>
    <row r="2647" spans="2:7" x14ac:dyDescent="0.25">
      <c r="B2647" s="6"/>
      <c r="C2647" s="7"/>
      <c r="D2647" s="7"/>
      <c r="E2647" s="8"/>
      <c r="F2647" t="str">
        <f t="shared" si="109"/>
        <v/>
      </c>
      <c r="G2647" t="str">
        <f t="shared" si="110"/>
        <v/>
      </c>
    </row>
    <row r="2648" spans="2:7" x14ac:dyDescent="0.25">
      <c r="B2648" s="6"/>
      <c r="C2648" s="7"/>
      <c r="D2648" s="7"/>
      <c r="E2648" s="8"/>
      <c r="F2648" t="str">
        <f t="shared" si="109"/>
        <v/>
      </c>
      <c r="G2648" t="str">
        <f t="shared" si="110"/>
        <v/>
      </c>
    </row>
    <row r="2649" spans="2:7" x14ac:dyDescent="0.25">
      <c r="B2649" s="6"/>
      <c r="C2649" s="7"/>
      <c r="D2649" s="7"/>
      <c r="E2649" s="8"/>
      <c r="F2649" t="str">
        <f t="shared" si="109"/>
        <v/>
      </c>
      <c r="G2649" t="str">
        <f t="shared" si="110"/>
        <v/>
      </c>
    </row>
    <row r="2650" spans="2:7" x14ac:dyDescent="0.25">
      <c r="B2650" s="6"/>
      <c r="C2650" s="7"/>
      <c r="D2650" s="7"/>
      <c r="E2650" s="8"/>
      <c r="F2650" t="str">
        <f t="shared" si="109"/>
        <v/>
      </c>
      <c r="G2650" t="str">
        <f t="shared" si="110"/>
        <v/>
      </c>
    </row>
    <row r="2651" spans="2:7" x14ac:dyDescent="0.25">
      <c r="B2651" s="6"/>
      <c r="C2651" s="7"/>
      <c r="D2651" s="7"/>
      <c r="E2651" s="8"/>
      <c r="F2651" t="str">
        <f t="shared" si="109"/>
        <v/>
      </c>
      <c r="G2651" t="str">
        <f t="shared" si="110"/>
        <v/>
      </c>
    </row>
    <row r="2652" spans="2:7" x14ac:dyDescent="0.25">
      <c r="B2652" s="6"/>
      <c r="C2652" s="7"/>
      <c r="D2652" s="7"/>
      <c r="E2652" s="8"/>
      <c r="F2652" t="str">
        <f t="shared" si="109"/>
        <v/>
      </c>
      <c r="G2652" t="str">
        <f t="shared" si="110"/>
        <v/>
      </c>
    </row>
    <row r="2653" spans="2:7" x14ac:dyDescent="0.25">
      <c r="B2653" s="6"/>
      <c r="C2653" s="7"/>
      <c r="D2653" s="7"/>
      <c r="E2653" s="8"/>
      <c r="F2653" t="str">
        <f t="shared" si="109"/>
        <v/>
      </c>
      <c r="G2653" t="str">
        <f t="shared" si="110"/>
        <v/>
      </c>
    </row>
    <row r="2654" spans="2:7" x14ac:dyDescent="0.25">
      <c r="B2654" s="6"/>
      <c r="C2654" s="7"/>
      <c r="D2654" s="7"/>
      <c r="E2654" s="8"/>
      <c r="F2654" t="str">
        <f t="shared" si="109"/>
        <v/>
      </c>
      <c r="G2654" t="str">
        <f t="shared" si="110"/>
        <v/>
      </c>
    </row>
    <row r="2655" spans="2:7" x14ac:dyDescent="0.25">
      <c r="B2655" s="6"/>
      <c r="C2655" s="7"/>
      <c r="D2655" s="7"/>
      <c r="E2655" s="8"/>
      <c r="F2655" t="str">
        <f t="shared" si="109"/>
        <v/>
      </c>
      <c r="G2655" t="str">
        <f t="shared" si="110"/>
        <v/>
      </c>
    </row>
    <row r="2656" spans="2:7" x14ac:dyDescent="0.25">
      <c r="B2656" s="6"/>
      <c r="C2656" s="7"/>
      <c r="D2656" s="7"/>
      <c r="E2656" s="8"/>
      <c r="F2656" t="str">
        <f t="shared" si="109"/>
        <v/>
      </c>
      <c r="G2656" t="str">
        <f t="shared" si="110"/>
        <v/>
      </c>
    </row>
    <row r="2657" spans="2:7" x14ac:dyDescent="0.25">
      <c r="B2657" s="6"/>
      <c r="C2657" s="7"/>
      <c r="D2657" s="7"/>
      <c r="E2657" s="8"/>
      <c r="F2657" t="str">
        <f t="shared" si="109"/>
        <v/>
      </c>
      <c r="G2657" t="str">
        <f t="shared" si="110"/>
        <v/>
      </c>
    </row>
    <row r="2658" spans="2:7" x14ac:dyDescent="0.25">
      <c r="B2658" s="6"/>
      <c r="C2658" s="7"/>
      <c r="D2658" s="7"/>
      <c r="E2658" s="8"/>
      <c r="F2658" t="str">
        <f t="shared" si="109"/>
        <v/>
      </c>
      <c r="G2658" t="str">
        <f t="shared" si="110"/>
        <v/>
      </c>
    </row>
    <row r="2659" spans="2:7" x14ac:dyDescent="0.25">
      <c r="B2659" s="6"/>
      <c r="C2659" s="7"/>
      <c r="D2659" s="7"/>
      <c r="E2659" s="8"/>
      <c r="F2659" t="str">
        <f t="shared" si="109"/>
        <v/>
      </c>
      <c r="G2659" t="str">
        <f t="shared" si="110"/>
        <v/>
      </c>
    </row>
    <row r="2660" spans="2:7" x14ac:dyDescent="0.25">
      <c r="B2660" s="6"/>
      <c r="C2660" s="7"/>
      <c r="D2660" s="7"/>
      <c r="E2660" s="8"/>
      <c r="F2660" t="str">
        <f t="shared" si="109"/>
        <v/>
      </c>
      <c r="G2660" t="str">
        <f t="shared" si="110"/>
        <v/>
      </c>
    </row>
    <row r="2661" spans="2:7" x14ac:dyDescent="0.25">
      <c r="B2661" s="6"/>
      <c r="C2661" s="7"/>
      <c r="D2661" s="7"/>
      <c r="E2661" s="8"/>
      <c r="F2661" t="str">
        <f t="shared" si="109"/>
        <v/>
      </c>
      <c r="G2661" t="str">
        <f t="shared" si="110"/>
        <v/>
      </c>
    </row>
    <row r="2662" spans="2:7" x14ac:dyDescent="0.25">
      <c r="B2662" s="6"/>
      <c r="C2662" s="7"/>
      <c r="D2662" s="7"/>
      <c r="E2662" s="8"/>
      <c r="F2662" t="str">
        <f t="shared" si="109"/>
        <v/>
      </c>
      <c r="G2662" t="str">
        <f t="shared" si="110"/>
        <v/>
      </c>
    </row>
    <row r="2663" spans="2:7" x14ac:dyDescent="0.25">
      <c r="B2663" s="6"/>
      <c r="C2663" s="7"/>
      <c r="D2663" s="7"/>
      <c r="E2663" s="8"/>
      <c r="F2663" t="str">
        <f t="shared" si="109"/>
        <v/>
      </c>
      <c r="G2663" t="str">
        <f t="shared" si="110"/>
        <v/>
      </c>
    </row>
    <row r="2664" spans="2:7" x14ac:dyDescent="0.25">
      <c r="B2664" s="6"/>
      <c r="C2664" s="7"/>
      <c r="D2664" s="7"/>
      <c r="E2664" s="8"/>
      <c r="F2664" t="str">
        <f t="shared" si="109"/>
        <v/>
      </c>
      <c r="G2664" t="str">
        <f t="shared" si="110"/>
        <v/>
      </c>
    </row>
    <row r="2665" spans="2:7" x14ac:dyDescent="0.25">
      <c r="B2665" s="6"/>
      <c r="C2665" s="7"/>
      <c r="D2665" s="7"/>
      <c r="E2665" s="8"/>
      <c r="F2665" t="str">
        <f t="shared" si="109"/>
        <v/>
      </c>
      <c r="G2665" t="str">
        <f t="shared" si="110"/>
        <v/>
      </c>
    </row>
    <row r="2666" spans="2:7" x14ac:dyDescent="0.25">
      <c r="B2666" s="6"/>
      <c r="C2666" s="7"/>
      <c r="D2666" s="7"/>
      <c r="E2666" s="8"/>
      <c r="F2666" t="str">
        <f t="shared" si="109"/>
        <v/>
      </c>
      <c r="G2666" t="str">
        <f t="shared" si="110"/>
        <v/>
      </c>
    </row>
    <row r="2667" spans="2:7" x14ac:dyDescent="0.25">
      <c r="B2667" s="6"/>
      <c r="C2667" s="7"/>
      <c r="D2667" s="7"/>
      <c r="E2667" s="8"/>
      <c r="F2667" t="str">
        <f t="shared" si="109"/>
        <v/>
      </c>
      <c r="G2667" t="str">
        <f t="shared" si="110"/>
        <v/>
      </c>
    </row>
    <row r="2668" spans="2:7" x14ac:dyDescent="0.25">
      <c r="B2668" s="6"/>
      <c r="C2668" s="7"/>
      <c r="D2668" s="7"/>
      <c r="E2668" s="8"/>
      <c r="F2668" t="str">
        <f t="shared" si="109"/>
        <v/>
      </c>
      <c r="G2668" t="str">
        <f t="shared" si="110"/>
        <v/>
      </c>
    </row>
    <row r="2669" spans="2:7" x14ac:dyDescent="0.25">
      <c r="B2669" s="6"/>
      <c r="C2669" s="7"/>
      <c r="D2669" s="7"/>
      <c r="E2669" s="8"/>
      <c r="F2669" t="str">
        <f t="shared" si="109"/>
        <v/>
      </c>
      <c r="G2669" t="str">
        <f t="shared" si="110"/>
        <v/>
      </c>
    </row>
    <row r="2670" spans="2:7" x14ac:dyDescent="0.25">
      <c r="B2670" s="6"/>
      <c r="C2670" s="7"/>
      <c r="D2670" s="7"/>
      <c r="E2670" s="8"/>
      <c r="F2670" t="str">
        <f t="shared" si="109"/>
        <v/>
      </c>
      <c r="G2670" t="str">
        <f t="shared" si="110"/>
        <v/>
      </c>
    </row>
    <row r="2671" spans="2:7" x14ac:dyDescent="0.25">
      <c r="B2671" s="6"/>
      <c r="C2671" s="7"/>
      <c r="D2671" s="7"/>
      <c r="E2671" s="8"/>
      <c r="F2671" t="str">
        <f t="shared" si="109"/>
        <v/>
      </c>
      <c r="G2671" t="str">
        <f t="shared" si="110"/>
        <v/>
      </c>
    </row>
    <row r="2672" spans="2:7" x14ac:dyDescent="0.25">
      <c r="B2672" s="6"/>
      <c r="C2672" s="7"/>
      <c r="D2672" s="7"/>
      <c r="E2672" s="8"/>
      <c r="F2672" t="str">
        <f t="shared" si="109"/>
        <v/>
      </c>
      <c r="G2672" t="str">
        <f t="shared" si="110"/>
        <v/>
      </c>
    </row>
    <row r="2673" spans="2:7" x14ac:dyDescent="0.25">
      <c r="B2673" s="6"/>
      <c r="C2673" s="7"/>
      <c r="D2673" s="7"/>
      <c r="E2673" s="8"/>
      <c r="F2673" t="str">
        <f t="shared" si="109"/>
        <v/>
      </c>
      <c r="G2673" t="str">
        <f t="shared" si="110"/>
        <v/>
      </c>
    </row>
    <row r="2674" spans="2:7" x14ac:dyDescent="0.25">
      <c r="B2674" s="6"/>
      <c r="C2674" s="7"/>
      <c r="D2674" s="7"/>
      <c r="E2674" s="8"/>
      <c r="F2674" t="str">
        <f t="shared" si="109"/>
        <v/>
      </c>
      <c r="G2674" t="str">
        <f t="shared" si="110"/>
        <v/>
      </c>
    </row>
    <row r="2675" spans="2:7" x14ac:dyDescent="0.25">
      <c r="B2675" s="6"/>
      <c r="C2675" s="7"/>
      <c r="D2675" s="7"/>
      <c r="E2675" s="8"/>
      <c r="F2675" t="str">
        <f t="shared" si="109"/>
        <v/>
      </c>
      <c r="G2675" t="str">
        <f t="shared" si="110"/>
        <v/>
      </c>
    </row>
    <row r="2676" spans="2:7" x14ac:dyDescent="0.25">
      <c r="B2676" s="6"/>
      <c r="C2676" s="7"/>
      <c r="D2676" s="7"/>
      <c r="E2676" s="8"/>
      <c r="F2676" t="str">
        <f t="shared" si="109"/>
        <v/>
      </c>
      <c r="G2676" t="str">
        <f t="shared" si="110"/>
        <v/>
      </c>
    </row>
    <row r="2677" spans="2:7" x14ac:dyDescent="0.25">
      <c r="B2677" s="6"/>
      <c r="C2677" s="7"/>
      <c r="D2677" s="7"/>
      <c r="E2677" s="8"/>
      <c r="F2677" t="str">
        <f t="shared" si="109"/>
        <v/>
      </c>
      <c r="G2677" t="str">
        <f t="shared" si="110"/>
        <v/>
      </c>
    </row>
    <row r="2678" spans="2:7" x14ac:dyDescent="0.25">
      <c r="B2678" s="6"/>
      <c r="C2678" s="7"/>
      <c r="D2678" s="7"/>
      <c r="E2678" s="8"/>
      <c r="F2678" t="str">
        <f t="shared" si="109"/>
        <v/>
      </c>
      <c r="G2678" t="str">
        <f t="shared" si="110"/>
        <v/>
      </c>
    </row>
    <row r="2679" spans="2:7" x14ac:dyDescent="0.25">
      <c r="B2679" s="6"/>
      <c r="C2679" s="7"/>
      <c r="D2679" s="7"/>
      <c r="E2679" s="8"/>
      <c r="F2679" t="str">
        <f t="shared" si="109"/>
        <v/>
      </c>
      <c r="G2679" t="str">
        <f t="shared" si="110"/>
        <v/>
      </c>
    </row>
    <row r="2680" spans="2:7" x14ac:dyDescent="0.25">
      <c r="B2680" s="6"/>
      <c r="C2680" s="7"/>
      <c r="D2680" s="7"/>
      <c r="E2680" s="8"/>
      <c r="F2680" t="str">
        <f t="shared" si="109"/>
        <v/>
      </c>
      <c r="G2680" t="str">
        <f t="shared" si="110"/>
        <v/>
      </c>
    </row>
    <row r="2681" spans="2:7" x14ac:dyDescent="0.25">
      <c r="B2681" s="6"/>
      <c r="C2681" s="7"/>
      <c r="D2681" s="7"/>
      <c r="E2681" s="8"/>
      <c r="F2681" t="str">
        <f t="shared" si="109"/>
        <v/>
      </c>
      <c r="G2681" t="str">
        <f t="shared" si="110"/>
        <v/>
      </c>
    </row>
    <row r="2682" spans="2:7" x14ac:dyDescent="0.25">
      <c r="B2682" s="6"/>
      <c r="C2682" s="7"/>
      <c r="D2682" s="7"/>
      <c r="E2682" s="8"/>
      <c r="F2682" t="str">
        <f t="shared" si="109"/>
        <v/>
      </c>
      <c r="G2682" t="str">
        <f t="shared" si="110"/>
        <v/>
      </c>
    </row>
    <row r="2683" spans="2:7" x14ac:dyDescent="0.25">
      <c r="B2683" s="6"/>
      <c r="C2683" s="7"/>
      <c r="D2683" s="7"/>
      <c r="E2683" s="8"/>
      <c r="F2683" t="str">
        <f t="shared" si="109"/>
        <v/>
      </c>
      <c r="G2683" t="str">
        <f t="shared" si="110"/>
        <v/>
      </c>
    </row>
    <row r="2684" spans="2:7" x14ac:dyDescent="0.25">
      <c r="B2684" s="6"/>
      <c r="C2684" s="7"/>
      <c r="D2684" s="7"/>
      <c r="E2684" s="8"/>
      <c r="F2684" t="str">
        <f t="shared" si="109"/>
        <v/>
      </c>
      <c r="G2684" t="str">
        <f t="shared" si="110"/>
        <v/>
      </c>
    </row>
    <row r="2685" spans="2:7" x14ac:dyDescent="0.25">
      <c r="B2685" s="6"/>
      <c r="C2685" s="7"/>
      <c r="D2685" s="7"/>
      <c r="E2685" s="8"/>
      <c r="F2685" t="str">
        <f t="shared" si="109"/>
        <v/>
      </c>
      <c r="G2685" t="str">
        <f t="shared" si="110"/>
        <v/>
      </c>
    </row>
    <row r="2686" spans="2:7" x14ac:dyDescent="0.25">
      <c r="B2686" s="6"/>
      <c r="C2686" s="7"/>
      <c r="D2686" s="7"/>
      <c r="E2686" s="8"/>
      <c r="F2686" t="str">
        <f t="shared" si="109"/>
        <v/>
      </c>
      <c r="G2686" t="str">
        <f t="shared" si="110"/>
        <v/>
      </c>
    </row>
    <row r="2687" spans="2:7" x14ac:dyDescent="0.25">
      <c r="B2687" s="6"/>
      <c r="C2687" s="7"/>
      <c r="D2687" s="7"/>
      <c r="E2687" s="8"/>
      <c r="F2687" t="str">
        <f t="shared" si="109"/>
        <v/>
      </c>
      <c r="G2687" t="str">
        <f t="shared" si="110"/>
        <v/>
      </c>
    </row>
    <row r="2688" spans="2:7" x14ac:dyDescent="0.25">
      <c r="B2688" s="6"/>
      <c r="C2688" s="7"/>
      <c r="D2688" s="7"/>
      <c r="E2688" s="8"/>
      <c r="F2688" t="str">
        <f t="shared" si="109"/>
        <v/>
      </c>
      <c r="G2688" t="str">
        <f t="shared" si="110"/>
        <v/>
      </c>
    </row>
    <row r="2689" spans="2:7" x14ac:dyDescent="0.25">
      <c r="B2689" s="6"/>
      <c r="C2689" s="7"/>
      <c r="D2689" s="7"/>
      <c r="E2689" s="8"/>
      <c r="F2689" t="str">
        <f t="shared" si="109"/>
        <v/>
      </c>
      <c r="G2689" t="str">
        <f t="shared" si="110"/>
        <v/>
      </c>
    </row>
    <row r="2690" spans="2:7" x14ac:dyDescent="0.25">
      <c r="B2690" s="6"/>
      <c r="C2690" s="7"/>
      <c r="D2690" s="7"/>
      <c r="E2690" s="8"/>
      <c r="F2690" t="str">
        <f t="shared" si="109"/>
        <v/>
      </c>
      <c r="G2690" t="str">
        <f t="shared" si="110"/>
        <v/>
      </c>
    </row>
    <row r="2691" spans="2:7" x14ac:dyDescent="0.25">
      <c r="B2691" s="6"/>
      <c r="C2691" s="7"/>
      <c r="D2691" s="7"/>
      <c r="E2691" s="8"/>
      <c r="F2691" t="str">
        <f t="shared" si="109"/>
        <v/>
      </c>
      <c r="G2691" t="str">
        <f t="shared" si="110"/>
        <v/>
      </c>
    </row>
    <row r="2692" spans="2:7" x14ac:dyDescent="0.25">
      <c r="B2692" s="6"/>
      <c r="C2692" s="7"/>
      <c r="D2692" s="7"/>
      <c r="E2692" s="8"/>
      <c r="F2692" t="str">
        <f t="shared" ref="F2692:F2755" si="111">IF(B2692="","",LOG10(D2692))</f>
        <v/>
      </c>
      <c r="G2692" t="str">
        <f t="shared" ref="G2692:G2755" si="112">IF(E2692="", "",0.434*E2692/D2692)</f>
        <v/>
      </c>
    </row>
    <row r="2693" spans="2:7" x14ac:dyDescent="0.25">
      <c r="B2693" s="6"/>
      <c r="C2693" s="7"/>
      <c r="D2693" s="7"/>
      <c r="E2693" s="8"/>
      <c r="F2693" t="str">
        <f t="shared" si="111"/>
        <v/>
      </c>
      <c r="G2693" t="str">
        <f t="shared" si="112"/>
        <v/>
      </c>
    </row>
    <row r="2694" spans="2:7" x14ac:dyDescent="0.25">
      <c r="B2694" s="6"/>
      <c r="C2694" s="7"/>
      <c r="D2694" s="7"/>
      <c r="E2694" s="8"/>
      <c r="F2694" t="str">
        <f t="shared" si="111"/>
        <v/>
      </c>
      <c r="G2694" t="str">
        <f t="shared" si="112"/>
        <v/>
      </c>
    </row>
    <row r="2695" spans="2:7" x14ac:dyDescent="0.25">
      <c r="B2695" s="6"/>
      <c r="C2695" s="7"/>
      <c r="D2695" s="7"/>
      <c r="E2695" s="8"/>
      <c r="F2695" t="str">
        <f t="shared" si="111"/>
        <v/>
      </c>
      <c r="G2695" t="str">
        <f t="shared" si="112"/>
        <v/>
      </c>
    </row>
    <row r="2696" spans="2:7" x14ac:dyDescent="0.25">
      <c r="B2696" s="6"/>
      <c r="C2696" s="7"/>
      <c r="D2696" s="7"/>
      <c r="E2696" s="8"/>
      <c r="F2696" t="str">
        <f t="shared" si="111"/>
        <v/>
      </c>
      <c r="G2696" t="str">
        <f t="shared" si="112"/>
        <v/>
      </c>
    </row>
    <row r="2697" spans="2:7" x14ac:dyDescent="0.25">
      <c r="B2697" s="6"/>
      <c r="C2697" s="7"/>
      <c r="D2697" s="7"/>
      <c r="E2697" s="8"/>
      <c r="F2697" t="str">
        <f t="shared" si="111"/>
        <v/>
      </c>
      <c r="G2697" t="str">
        <f t="shared" si="112"/>
        <v/>
      </c>
    </row>
    <row r="2698" spans="2:7" x14ac:dyDescent="0.25">
      <c r="B2698" s="6"/>
      <c r="C2698" s="7"/>
      <c r="D2698" s="7"/>
      <c r="E2698" s="8"/>
      <c r="F2698" t="str">
        <f t="shared" si="111"/>
        <v/>
      </c>
      <c r="G2698" t="str">
        <f t="shared" si="112"/>
        <v/>
      </c>
    </row>
    <row r="2699" spans="2:7" x14ac:dyDescent="0.25">
      <c r="B2699" s="6"/>
      <c r="C2699" s="7"/>
      <c r="D2699" s="7"/>
      <c r="E2699" s="8"/>
      <c r="F2699" t="str">
        <f t="shared" si="111"/>
        <v/>
      </c>
      <c r="G2699" t="str">
        <f t="shared" si="112"/>
        <v/>
      </c>
    </row>
    <row r="2700" spans="2:7" x14ac:dyDescent="0.25">
      <c r="B2700" s="6"/>
      <c r="C2700" s="7"/>
      <c r="D2700" s="7"/>
      <c r="E2700" s="8"/>
      <c r="F2700" t="str">
        <f t="shared" si="111"/>
        <v/>
      </c>
      <c r="G2700" t="str">
        <f t="shared" si="112"/>
        <v/>
      </c>
    </row>
    <row r="2701" spans="2:7" x14ac:dyDescent="0.25">
      <c r="B2701" s="6"/>
      <c r="C2701" s="7"/>
      <c r="D2701" s="7"/>
      <c r="E2701" s="8"/>
      <c r="F2701" t="str">
        <f t="shared" si="111"/>
        <v/>
      </c>
      <c r="G2701" t="str">
        <f t="shared" si="112"/>
        <v/>
      </c>
    </row>
    <row r="2702" spans="2:7" x14ac:dyDescent="0.25">
      <c r="B2702" s="6"/>
      <c r="C2702" s="7"/>
      <c r="D2702" s="7"/>
      <c r="E2702" s="8"/>
      <c r="F2702" t="str">
        <f t="shared" si="111"/>
        <v/>
      </c>
      <c r="G2702" t="str">
        <f t="shared" si="112"/>
        <v/>
      </c>
    </row>
    <row r="2703" spans="2:7" x14ac:dyDescent="0.25">
      <c r="B2703" s="6"/>
      <c r="C2703" s="7"/>
      <c r="D2703" s="7"/>
      <c r="E2703" s="8"/>
      <c r="F2703" t="str">
        <f t="shared" si="111"/>
        <v/>
      </c>
      <c r="G2703" t="str">
        <f t="shared" si="112"/>
        <v/>
      </c>
    </row>
    <row r="2704" spans="2:7" x14ac:dyDescent="0.25">
      <c r="B2704" s="6"/>
      <c r="C2704" s="7"/>
      <c r="D2704" s="7"/>
      <c r="E2704" s="8"/>
      <c r="F2704" t="str">
        <f t="shared" si="111"/>
        <v/>
      </c>
      <c r="G2704" t="str">
        <f t="shared" si="112"/>
        <v/>
      </c>
    </row>
    <row r="2705" spans="2:7" x14ac:dyDescent="0.25">
      <c r="B2705" s="6"/>
      <c r="C2705" s="7"/>
      <c r="D2705" s="7"/>
      <c r="E2705" s="8"/>
      <c r="F2705" t="str">
        <f t="shared" si="111"/>
        <v/>
      </c>
      <c r="G2705" t="str">
        <f t="shared" si="112"/>
        <v/>
      </c>
    </row>
    <row r="2706" spans="2:7" x14ac:dyDescent="0.25">
      <c r="B2706" s="6"/>
      <c r="C2706" s="7"/>
      <c r="D2706" s="7"/>
      <c r="E2706" s="8"/>
      <c r="F2706" t="str">
        <f t="shared" si="111"/>
        <v/>
      </c>
      <c r="G2706" t="str">
        <f t="shared" si="112"/>
        <v/>
      </c>
    </row>
    <row r="2707" spans="2:7" x14ac:dyDescent="0.25">
      <c r="B2707" s="6"/>
      <c r="C2707" s="7"/>
      <c r="D2707" s="7"/>
      <c r="E2707" s="8"/>
      <c r="F2707" t="str">
        <f t="shared" si="111"/>
        <v/>
      </c>
      <c r="G2707" t="str">
        <f t="shared" si="112"/>
        <v/>
      </c>
    </row>
    <row r="2708" spans="2:7" x14ac:dyDescent="0.25">
      <c r="B2708" s="6"/>
      <c r="C2708" s="7"/>
      <c r="D2708" s="7"/>
      <c r="E2708" s="8"/>
      <c r="F2708" t="str">
        <f t="shared" si="111"/>
        <v/>
      </c>
      <c r="G2708" t="str">
        <f t="shared" si="112"/>
        <v/>
      </c>
    </row>
    <row r="2709" spans="2:7" x14ac:dyDescent="0.25">
      <c r="B2709" s="6"/>
      <c r="C2709" s="7"/>
      <c r="D2709" s="7"/>
      <c r="E2709" s="8"/>
      <c r="F2709" t="str">
        <f t="shared" si="111"/>
        <v/>
      </c>
      <c r="G2709" t="str">
        <f t="shared" si="112"/>
        <v/>
      </c>
    </row>
    <row r="2710" spans="2:7" x14ac:dyDescent="0.25">
      <c r="B2710" s="6"/>
      <c r="C2710" s="7"/>
      <c r="D2710" s="7"/>
      <c r="E2710" s="8"/>
      <c r="F2710" t="str">
        <f t="shared" si="111"/>
        <v/>
      </c>
      <c r="G2710" t="str">
        <f t="shared" si="112"/>
        <v/>
      </c>
    </row>
    <row r="2711" spans="2:7" x14ac:dyDescent="0.25">
      <c r="B2711" s="6"/>
      <c r="C2711" s="7"/>
      <c r="D2711" s="7"/>
      <c r="E2711" s="8"/>
      <c r="F2711" t="str">
        <f t="shared" si="111"/>
        <v/>
      </c>
      <c r="G2711" t="str">
        <f t="shared" si="112"/>
        <v/>
      </c>
    </row>
    <row r="2712" spans="2:7" x14ac:dyDescent="0.25">
      <c r="B2712" s="6"/>
      <c r="C2712" s="7"/>
      <c r="D2712" s="7"/>
      <c r="E2712" s="8"/>
      <c r="F2712" t="str">
        <f t="shared" si="111"/>
        <v/>
      </c>
      <c r="G2712" t="str">
        <f t="shared" si="112"/>
        <v/>
      </c>
    </row>
    <row r="2713" spans="2:7" x14ac:dyDescent="0.25">
      <c r="B2713" s="6"/>
      <c r="C2713" s="7"/>
      <c r="D2713" s="7"/>
      <c r="E2713" s="8"/>
      <c r="F2713" t="str">
        <f t="shared" si="111"/>
        <v/>
      </c>
      <c r="G2713" t="str">
        <f t="shared" si="112"/>
        <v/>
      </c>
    </row>
    <row r="2714" spans="2:7" x14ac:dyDescent="0.25">
      <c r="B2714" s="6"/>
      <c r="C2714" s="7"/>
      <c r="D2714" s="7"/>
      <c r="E2714" s="8"/>
      <c r="F2714" t="str">
        <f t="shared" si="111"/>
        <v/>
      </c>
      <c r="G2714" t="str">
        <f t="shared" si="112"/>
        <v/>
      </c>
    </row>
    <row r="2715" spans="2:7" x14ac:dyDescent="0.25">
      <c r="B2715" s="6"/>
      <c r="C2715" s="7"/>
      <c r="D2715" s="7"/>
      <c r="E2715" s="8"/>
      <c r="F2715" t="str">
        <f t="shared" si="111"/>
        <v/>
      </c>
      <c r="G2715" t="str">
        <f t="shared" si="112"/>
        <v/>
      </c>
    </row>
    <row r="2716" spans="2:7" x14ac:dyDescent="0.25">
      <c r="B2716" s="6"/>
      <c r="C2716" s="7"/>
      <c r="D2716" s="7"/>
      <c r="E2716" s="8"/>
      <c r="F2716" t="str">
        <f t="shared" si="111"/>
        <v/>
      </c>
      <c r="G2716" t="str">
        <f t="shared" si="112"/>
        <v/>
      </c>
    </row>
    <row r="2717" spans="2:7" x14ac:dyDescent="0.25">
      <c r="B2717" s="6"/>
      <c r="C2717" s="7"/>
      <c r="D2717" s="7"/>
      <c r="E2717" s="8"/>
      <c r="F2717" t="str">
        <f t="shared" si="111"/>
        <v/>
      </c>
      <c r="G2717" t="str">
        <f t="shared" si="112"/>
        <v/>
      </c>
    </row>
    <row r="2718" spans="2:7" x14ac:dyDescent="0.25">
      <c r="B2718" s="6"/>
      <c r="C2718" s="7"/>
      <c r="D2718" s="7"/>
      <c r="E2718" s="8"/>
      <c r="F2718" t="str">
        <f t="shared" si="111"/>
        <v/>
      </c>
      <c r="G2718" t="str">
        <f t="shared" si="112"/>
        <v/>
      </c>
    </row>
    <row r="2719" spans="2:7" x14ac:dyDescent="0.25">
      <c r="B2719" s="6"/>
      <c r="C2719" s="7"/>
      <c r="D2719" s="7"/>
      <c r="E2719" s="8"/>
      <c r="F2719" t="str">
        <f t="shared" si="111"/>
        <v/>
      </c>
      <c r="G2719" t="str">
        <f t="shared" si="112"/>
        <v/>
      </c>
    </row>
    <row r="2720" spans="2:7" x14ac:dyDescent="0.25">
      <c r="B2720" s="6"/>
      <c r="C2720" s="7"/>
      <c r="D2720" s="7"/>
      <c r="E2720" s="8"/>
      <c r="F2720" t="str">
        <f t="shared" si="111"/>
        <v/>
      </c>
      <c r="G2720" t="str">
        <f t="shared" si="112"/>
        <v/>
      </c>
    </row>
    <row r="2721" spans="2:7" x14ac:dyDescent="0.25">
      <c r="B2721" s="6"/>
      <c r="C2721" s="7"/>
      <c r="D2721" s="7"/>
      <c r="E2721" s="8"/>
      <c r="F2721" t="str">
        <f t="shared" si="111"/>
        <v/>
      </c>
      <c r="G2721" t="str">
        <f t="shared" si="112"/>
        <v/>
      </c>
    </row>
    <row r="2722" spans="2:7" x14ac:dyDescent="0.25">
      <c r="B2722" s="6"/>
      <c r="C2722" s="7"/>
      <c r="D2722" s="7"/>
      <c r="E2722" s="8"/>
      <c r="F2722" t="str">
        <f t="shared" si="111"/>
        <v/>
      </c>
      <c r="G2722" t="str">
        <f t="shared" si="112"/>
        <v/>
      </c>
    </row>
    <row r="2723" spans="2:7" x14ac:dyDescent="0.25">
      <c r="B2723" s="6"/>
      <c r="C2723" s="7"/>
      <c r="D2723" s="7"/>
      <c r="E2723" s="8"/>
      <c r="F2723" t="str">
        <f t="shared" si="111"/>
        <v/>
      </c>
      <c r="G2723" t="str">
        <f t="shared" si="112"/>
        <v/>
      </c>
    </row>
    <row r="2724" spans="2:7" x14ac:dyDescent="0.25">
      <c r="B2724" s="6"/>
      <c r="C2724" s="7"/>
      <c r="D2724" s="7"/>
      <c r="E2724" s="8"/>
      <c r="F2724" t="str">
        <f t="shared" si="111"/>
        <v/>
      </c>
      <c r="G2724" t="str">
        <f t="shared" si="112"/>
        <v/>
      </c>
    </row>
    <row r="2725" spans="2:7" x14ac:dyDescent="0.25">
      <c r="B2725" s="6"/>
      <c r="C2725" s="7"/>
      <c r="D2725" s="7"/>
      <c r="E2725" s="8"/>
      <c r="F2725" t="str">
        <f t="shared" si="111"/>
        <v/>
      </c>
      <c r="G2725" t="str">
        <f t="shared" si="112"/>
        <v/>
      </c>
    </row>
    <row r="2726" spans="2:7" x14ac:dyDescent="0.25">
      <c r="B2726" s="6"/>
      <c r="C2726" s="7"/>
      <c r="D2726" s="7"/>
      <c r="E2726" s="8"/>
      <c r="F2726" t="str">
        <f t="shared" si="111"/>
        <v/>
      </c>
      <c r="G2726" t="str">
        <f t="shared" si="112"/>
        <v/>
      </c>
    </row>
    <row r="2727" spans="2:7" x14ac:dyDescent="0.25">
      <c r="B2727" s="6"/>
      <c r="C2727" s="7"/>
      <c r="D2727" s="7"/>
      <c r="E2727" s="8"/>
      <c r="F2727" t="str">
        <f t="shared" si="111"/>
        <v/>
      </c>
      <c r="G2727" t="str">
        <f t="shared" si="112"/>
        <v/>
      </c>
    </row>
    <row r="2728" spans="2:7" x14ac:dyDescent="0.25">
      <c r="B2728" s="6"/>
      <c r="C2728" s="7"/>
      <c r="D2728" s="7"/>
      <c r="E2728" s="8"/>
      <c r="F2728" t="str">
        <f t="shared" si="111"/>
        <v/>
      </c>
      <c r="G2728" t="str">
        <f t="shared" si="112"/>
        <v/>
      </c>
    </row>
    <row r="2729" spans="2:7" x14ac:dyDescent="0.25">
      <c r="B2729" s="6"/>
      <c r="C2729" s="7"/>
      <c r="D2729" s="7"/>
      <c r="E2729" s="8"/>
      <c r="F2729" t="str">
        <f t="shared" si="111"/>
        <v/>
      </c>
      <c r="G2729" t="str">
        <f t="shared" si="112"/>
        <v/>
      </c>
    </row>
    <row r="2730" spans="2:7" x14ac:dyDescent="0.25">
      <c r="B2730" s="6"/>
      <c r="C2730" s="7"/>
      <c r="D2730" s="7"/>
      <c r="E2730" s="8"/>
      <c r="F2730" t="str">
        <f t="shared" si="111"/>
        <v/>
      </c>
      <c r="G2730" t="str">
        <f t="shared" si="112"/>
        <v/>
      </c>
    </row>
    <row r="2731" spans="2:7" x14ac:dyDescent="0.25">
      <c r="B2731" s="6"/>
      <c r="C2731" s="7"/>
      <c r="D2731" s="7"/>
      <c r="E2731" s="8"/>
      <c r="F2731" t="str">
        <f t="shared" si="111"/>
        <v/>
      </c>
      <c r="G2731" t="str">
        <f t="shared" si="112"/>
        <v/>
      </c>
    </row>
    <row r="2732" spans="2:7" x14ac:dyDescent="0.25">
      <c r="B2732" s="6"/>
      <c r="C2732" s="7"/>
      <c r="D2732" s="7"/>
      <c r="E2732" s="8"/>
      <c r="F2732" t="str">
        <f t="shared" si="111"/>
        <v/>
      </c>
      <c r="G2732" t="str">
        <f t="shared" si="112"/>
        <v/>
      </c>
    </row>
    <row r="2733" spans="2:7" x14ac:dyDescent="0.25">
      <c r="B2733" s="6"/>
      <c r="C2733" s="7"/>
      <c r="D2733" s="7"/>
      <c r="E2733" s="8"/>
      <c r="F2733" t="str">
        <f t="shared" si="111"/>
        <v/>
      </c>
      <c r="G2733" t="str">
        <f t="shared" si="112"/>
        <v/>
      </c>
    </row>
    <row r="2734" spans="2:7" x14ac:dyDescent="0.25">
      <c r="B2734" s="6"/>
      <c r="C2734" s="7"/>
      <c r="D2734" s="7"/>
      <c r="E2734" s="8"/>
      <c r="F2734" t="str">
        <f t="shared" si="111"/>
        <v/>
      </c>
      <c r="G2734" t="str">
        <f t="shared" si="112"/>
        <v/>
      </c>
    </row>
    <row r="2735" spans="2:7" x14ac:dyDescent="0.25">
      <c r="B2735" s="6"/>
      <c r="C2735" s="7"/>
      <c r="D2735" s="7"/>
      <c r="E2735" s="8"/>
      <c r="F2735" t="str">
        <f t="shared" si="111"/>
        <v/>
      </c>
      <c r="G2735" t="str">
        <f t="shared" si="112"/>
        <v/>
      </c>
    </row>
    <row r="2736" spans="2:7" x14ac:dyDescent="0.25">
      <c r="B2736" s="6"/>
      <c r="C2736" s="7"/>
      <c r="D2736" s="7"/>
      <c r="E2736" s="8"/>
      <c r="F2736" t="str">
        <f t="shared" si="111"/>
        <v/>
      </c>
      <c r="G2736" t="str">
        <f t="shared" si="112"/>
        <v/>
      </c>
    </row>
    <row r="2737" spans="2:7" x14ac:dyDescent="0.25">
      <c r="B2737" s="6"/>
      <c r="C2737" s="7"/>
      <c r="D2737" s="7"/>
      <c r="E2737" s="8"/>
      <c r="F2737" t="str">
        <f t="shared" si="111"/>
        <v/>
      </c>
      <c r="G2737" t="str">
        <f t="shared" si="112"/>
        <v/>
      </c>
    </row>
    <row r="2738" spans="2:7" x14ac:dyDescent="0.25">
      <c r="B2738" s="6"/>
      <c r="C2738" s="7"/>
      <c r="D2738" s="7"/>
      <c r="E2738" s="8"/>
      <c r="F2738" t="str">
        <f t="shared" si="111"/>
        <v/>
      </c>
      <c r="G2738" t="str">
        <f t="shared" si="112"/>
        <v/>
      </c>
    </row>
    <row r="2739" spans="2:7" x14ac:dyDescent="0.25">
      <c r="B2739" s="6"/>
      <c r="C2739" s="7"/>
      <c r="D2739" s="7"/>
      <c r="E2739" s="8"/>
      <c r="F2739" t="str">
        <f t="shared" si="111"/>
        <v/>
      </c>
      <c r="G2739" t="str">
        <f t="shared" si="112"/>
        <v/>
      </c>
    </row>
    <row r="2740" spans="2:7" x14ac:dyDescent="0.25">
      <c r="B2740" s="6"/>
      <c r="C2740" s="7"/>
      <c r="D2740" s="7"/>
      <c r="E2740" s="8"/>
      <c r="F2740" t="str">
        <f t="shared" si="111"/>
        <v/>
      </c>
      <c r="G2740" t="str">
        <f t="shared" si="112"/>
        <v/>
      </c>
    </row>
    <row r="2741" spans="2:7" x14ac:dyDescent="0.25">
      <c r="B2741" s="6"/>
      <c r="C2741" s="7"/>
      <c r="D2741" s="7"/>
      <c r="E2741" s="8"/>
      <c r="F2741" t="str">
        <f t="shared" si="111"/>
        <v/>
      </c>
      <c r="G2741" t="str">
        <f t="shared" si="112"/>
        <v/>
      </c>
    </row>
    <row r="2742" spans="2:7" x14ac:dyDescent="0.25">
      <c r="B2742" s="6"/>
      <c r="C2742" s="7"/>
      <c r="D2742" s="7"/>
      <c r="E2742" s="8"/>
      <c r="F2742" t="str">
        <f t="shared" si="111"/>
        <v/>
      </c>
      <c r="G2742" t="str">
        <f t="shared" si="112"/>
        <v/>
      </c>
    </row>
    <row r="2743" spans="2:7" x14ac:dyDescent="0.25">
      <c r="B2743" s="6"/>
      <c r="C2743" s="7"/>
      <c r="D2743" s="7"/>
      <c r="E2743" s="8"/>
      <c r="F2743" t="str">
        <f t="shared" si="111"/>
        <v/>
      </c>
      <c r="G2743" t="str">
        <f t="shared" si="112"/>
        <v/>
      </c>
    </row>
    <row r="2744" spans="2:7" x14ac:dyDescent="0.25">
      <c r="B2744" s="6"/>
      <c r="C2744" s="7"/>
      <c r="D2744" s="7"/>
      <c r="E2744" s="8"/>
      <c r="F2744" t="str">
        <f t="shared" si="111"/>
        <v/>
      </c>
      <c r="G2744" t="str">
        <f t="shared" si="112"/>
        <v/>
      </c>
    </row>
    <row r="2745" spans="2:7" x14ac:dyDescent="0.25">
      <c r="B2745" s="6"/>
      <c r="C2745" s="7"/>
      <c r="D2745" s="7"/>
      <c r="E2745" s="8"/>
      <c r="F2745" t="str">
        <f t="shared" si="111"/>
        <v/>
      </c>
      <c r="G2745" t="str">
        <f t="shared" si="112"/>
        <v/>
      </c>
    </row>
    <row r="2746" spans="2:7" x14ac:dyDescent="0.25">
      <c r="B2746" s="6"/>
      <c r="C2746" s="7"/>
      <c r="D2746" s="7"/>
      <c r="E2746" s="8"/>
      <c r="F2746" t="str">
        <f t="shared" si="111"/>
        <v/>
      </c>
      <c r="G2746" t="str">
        <f t="shared" si="112"/>
        <v/>
      </c>
    </row>
    <row r="2747" spans="2:7" x14ac:dyDescent="0.25">
      <c r="B2747" s="6"/>
      <c r="C2747" s="7"/>
      <c r="D2747" s="7"/>
      <c r="E2747" s="8"/>
      <c r="F2747" t="str">
        <f t="shared" si="111"/>
        <v/>
      </c>
      <c r="G2747" t="str">
        <f t="shared" si="112"/>
        <v/>
      </c>
    </row>
    <row r="2748" spans="2:7" x14ac:dyDescent="0.25">
      <c r="B2748" s="6"/>
      <c r="C2748" s="7"/>
      <c r="D2748" s="7"/>
      <c r="E2748" s="8"/>
      <c r="F2748" t="str">
        <f t="shared" si="111"/>
        <v/>
      </c>
      <c r="G2748" t="str">
        <f t="shared" si="112"/>
        <v/>
      </c>
    </row>
    <row r="2749" spans="2:7" x14ac:dyDescent="0.25">
      <c r="B2749" s="6"/>
      <c r="C2749" s="7"/>
      <c r="D2749" s="7"/>
      <c r="E2749" s="8"/>
      <c r="F2749" t="str">
        <f t="shared" si="111"/>
        <v/>
      </c>
      <c r="G2749" t="str">
        <f t="shared" si="112"/>
        <v/>
      </c>
    </row>
    <row r="2750" spans="2:7" x14ac:dyDescent="0.25">
      <c r="B2750" s="6"/>
      <c r="C2750" s="7"/>
      <c r="D2750" s="7"/>
      <c r="E2750" s="8"/>
      <c r="F2750" t="str">
        <f t="shared" si="111"/>
        <v/>
      </c>
      <c r="G2750" t="str">
        <f t="shared" si="112"/>
        <v/>
      </c>
    </row>
    <row r="2751" spans="2:7" x14ac:dyDescent="0.25">
      <c r="B2751" s="6"/>
      <c r="C2751" s="7"/>
      <c r="D2751" s="7"/>
      <c r="E2751" s="8"/>
      <c r="F2751" t="str">
        <f t="shared" si="111"/>
        <v/>
      </c>
      <c r="G2751" t="str">
        <f t="shared" si="112"/>
        <v/>
      </c>
    </row>
    <row r="2752" spans="2:7" x14ac:dyDescent="0.25">
      <c r="B2752" s="6"/>
      <c r="C2752" s="7"/>
      <c r="D2752" s="7"/>
      <c r="E2752" s="8"/>
      <c r="F2752" t="str">
        <f t="shared" si="111"/>
        <v/>
      </c>
      <c r="G2752" t="str">
        <f t="shared" si="112"/>
        <v/>
      </c>
    </row>
    <row r="2753" spans="2:7" x14ac:dyDescent="0.25">
      <c r="B2753" s="6"/>
      <c r="C2753" s="7"/>
      <c r="D2753" s="7"/>
      <c r="E2753" s="8"/>
      <c r="F2753" t="str">
        <f t="shared" si="111"/>
        <v/>
      </c>
      <c r="G2753" t="str">
        <f t="shared" si="112"/>
        <v/>
      </c>
    </row>
    <row r="2754" spans="2:7" x14ac:dyDescent="0.25">
      <c r="B2754" s="6"/>
      <c r="C2754" s="7"/>
      <c r="D2754" s="7"/>
      <c r="E2754" s="8"/>
      <c r="F2754" t="str">
        <f t="shared" si="111"/>
        <v/>
      </c>
      <c r="G2754" t="str">
        <f t="shared" si="112"/>
        <v/>
      </c>
    </row>
    <row r="2755" spans="2:7" x14ac:dyDescent="0.25">
      <c r="B2755" s="6"/>
      <c r="C2755" s="7"/>
      <c r="D2755" s="7"/>
      <c r="E2755" s="8"/>
      <c r="F2755" t="str">
        <f t="shared" si="111"/>
        <v/>
      </c>
      <c r="G2755" t="str">
        <f t="shared" si="112"/>
        <v/>
      </c>
    </row>
    <row r="2756" spans="2:7" x14ac:dyDescent="0.25">
      <c r="B2756" s="6"/>
      <c r="C2756" s="7"/>
      <c r="D2756" s="7"/>
      <c r="E2756" s="8"/>
      <c r="F2756" t="str">
        <f t="shared" ref="F2756:F2819" si="113">IF(B2756="","",LOG10(D2756))</f>
        <v/>
      </c>
      <c r="G2756" t="str">
        <f t="shared" ref="G2756:G2819" si="114">IF(E2756="", "",0.434*E2756/D2756)</f>
        <v/>
      </c>
    </row>
    <row r="2757" spans="2:7" x14ac:dyDescent="0.25">
      <c r="B2757" s="6"/>
      <c r="C2757" s="7"/>
      <c r="D2757" s="7"/>
      <c r="E2757" s="8"/>
      <c r="F2757" t="str">
        <f t="shared" si="113"/>
        <v/>
      </c>
      <c r="G2757" t="str">
        <f t="shared" si="114"/>
        <v/>
      </c>
    </row>
    <row r="2758" spans="2:7" x14ac:dyDescent="0.25">
      <c r="B2758" s="6"/>
      <c r="C2758" s="7"/>
      <c r="D2758" s="7"/>
      <c r="E2758" s="8"/>
      <c r="F2758" t="str">
        <f t="shared" si="113"/>
        <v/>
      </c>
      <c r="G2758" t="str">
        <f t="shared" si="114"/>
        <v/>
      </c>
    </row>
    <row r="2759" spans="2:7" x14ac:dyDescent="0.25">
      <c r="B2759" s="6"/>
      <c r="C2759" s="7"/>
      <c r="D2759" s="7"/>
      <c r="E2759" s="8"/>
      <c r="F2759" t="str">
        <f t="shared" si="113"/>
        <v/>
      </c>
      <c r="G2759" t="str">
        <f t="shared" si="114"/>
        <v/>
      </c>
    </row>
    <row r="2760" spans="2:7" x14ac:dyDescent="0.25">
      <c r="B2760" s="6"/>
      <c r="C2760" s="7"/>
      <c r="D2760" s="7"/>
      <c r="E2760" s="8"/>
      <c r="F2760" t="str">
        <f t="shared" si="113"/>
        <v/>
      </c>
      <c r="G2760" t="str">
        <f t="shared" si="114"/>
        <v/>
      </c>
    </row>
    <row r="2761" spans="2:7" x14ac:dyDescent="0.25">
      <c r="B2761" s="6"/>
      <c r="C2761" s="7"/>
      <c r="D2761" s="7"/>
      <c r="E2761" s="8"/>
      <c r="F2761" t="str">
        <f t="shared" si="113"/>
        <v/>
      </c>
      <c r="G2761" t="str">
        <f t="shared" si="114"/>
        <v/>
      </c>
    </row>
    <row r="2762" spans="2:7" x14ac:dyDescent="0.25">
      <c r="B2762" s="6"/>
      <c r="C2762" s="7"/>
      <c r="D2762" s="7"/>
      <c r="E2762" s="8"/>
      <c r="F2762" t="str">
        <f t="shared" si="113"/>
        <v/>
      </c>
      <c r="G2762" t="str">
        <f t="shared" si="114"/>
        <v/>
      </c>
    </row>
    <row r="2763" spans="2:7" x14ac:dyDescent="0.25">
      <c r="B2763" s="6"/>
      <c r="C2763" s="7"/>
      <c r="D2763" s="7"/>
      <c r="E2763" s="8"/>
      <c r="F2763" t="str">
        <f t="shared" si="113"/>
        <v/>
      </c>
      <c r="G2763" t="str">
        <f t="shared" si="114"/>
        <v/>
      </c>
    </row>
    <row r="2764" spans="2:7" x14ac:dyDescent="0.25">
      <c r="B2764" s="6"/>
      <c r="C2764" s="7"/>
      <c r="D2764" s="7"/>
      <c r="E2764" s="8"/>
      <c r="F2764" t="str">
        <f t="shared" si="113"/>
        <v/>
      </c>
      <c r="G2764" t="str">
        <f t="shared" si="114"/>
        <v/>
      </c>
    </row>
    <row r="2765" spans="2:7" x14ac:dyDescent="0.25">
      <c r="B2765" s="6"/>
      <c r="C2765" s="7"/>
      <c r="D2765" s="7"/>
      <c r="E2765" s="8"/>
      <c r="F2765" t="str">
        <f t="shared" si="113"/>
        <v/>
      </c>
      <c r="G2765" t="str">
        <f t="shared" si="114"/>
        <v/>
      </c>
    </row>
    <row r="2766" spans="2:7" x14ac:dyDescent="0.25">
      <c r="B2766" s="6"/>
      <c r="C2766" s="7"/>
      <c r="D2766" s="7"/>
      <c r="E2766" s="8"/>
      <c r="F2766" t="str">
        <f t="shared" si="113"/>
        <v/>
      </c>
      <c r="G2766" t="str">
        <f t="shared" si="114"/>
        <v/>
      </c>
    </row>
    <row r="2767" spans="2:7" x14ac:dyDescent="0.25">
      <c r="B2767" s="6"/>
      <c r="C2767" s="7"/>
      <c r="D2767" s="7"/>
      <c r="E2767" s="8"/>
      <c r="F2767" t="str">
        <f t="shared" si="113"/>
        <v/>
      </c>
      <c r="G2767" t="str">
        <f t="shared" si="114"/>
        <v/>
      </c>
    </row>
    <row r="2768" spans="2:7" x14ac:dyDescent="0.25">
      <c r="B2768" s="6"/>
      <c r="C2768" s="7"/>
      <c r="D2768" s="7"/>
      <c r="E2768" s="8"/>
      <c r="F2768" t="str">
        <f t="shared" si="113"/>
        <v/>
      </c>
      <c r="G2768" t="str">
        <f t="shared" si="114"/>
        <v/>
      </c>
    </row>
    <row r="2769" spans="2:7" x14ac:dyDescent="0.25">
      <c r="B2769" s="6"/>
      <c r="C2769" s="7"/>
      <c r="D2769" s="7"/>
      <c r="E2769" s="8"/>
      <c r="F2769" t="str">
        <f t="shared" si="113"/>
        <v/>
      </c>
      <c r="G2769" t="str">
        <f t="shared" si="114"/>
        <v/>
      </c>
    </row>
    <row r="2770" spans="2:7" x14ac:dyDescent="0.25">
      <c r="B2770" s="6"/>
      <c r="C2770" s="7"/>
      <c r="D2770" s="7"/>
      <c r="E2770" s="8"/>
      <c r="F2770" t="str">
        <f t="shared" si="113"/>
        <v/>
      </c>
      <c r="G2770" t="str">
        <f t="shared" si="114"/>
        <v/>
      </c>
    </row>
    <row r="2771" spans="2:7" x14ac:dyDescent="0.25">
      <c r="B2771" s="6"/>
      <c r="C2771" s="7"/>
      <c r="D2771" s="7"/>
      <c r="E2771" s="8"/>
      <c r="F2771" t="str">
        <f t="shared" si="113"/>
        <v/>
      </c>
      <c r="G2771" t="str">
        <f t="shared" si="114"/>
        <v/>
      </c>
    </row>
    <row r="2772" spans="2:7" x14ac:dyDescent="0.25">
      <c r="B2772" s="6"/>
      <c r="C2772" s="7"/>
      <c r="D2772" s="7"/>
      <c r="E2772" s="8"/>
      <c r="F2772" t="str">
        <f t="shared" si="113"/>
        <v/>
      </c>
      <c r="G2772" t="str">
        <f t="shared" si="114"/>
        <v/>
      </c>
    </row>
    <row r="2773" spans="2:7" x14ac:dyDescent="0.25">
      <c r="B2773" s="6"/>
      <c r="C2773" s="7"/>
      <c r="D2773" s="7"/>
      <c r="E2773" s="8"/>
      <c r="F2773" t="str">
        <f t="shared" si="113"/>
        <v/>
      </c>
      <c r="G2773" t="str">
        <f t="shared" si="114"/>
        <v/>
      </c>
    </row>
    <row r="2774" spans="2:7" x14ac:dyDescent="0.25">
      <c r="B2774" s="6"/>
      <c r="C2774" s="7"/>
      <c r="D2774" s="7"/>
      <c r="E2774" s="8"/>
      <c r="F2774" t="str">
        <f t="shared" si="113"/>
        <v/>
      </c>
      <c r="G2774" t="str">
        <f t="shared" si="114"/>
        <v/>
      </c>
    </row>
    <row r="2775" spans="2:7" x14ac:dyDescent="0.25">
      <c r="B2775" s="6"/>
      <c r="C2775" s="7"/>
      <c r="D2775" s="7"/>
      <c r="E2775" s="8"/>
      <c r="F2775" t="str">
        <f t="shared" si="113"/>
        <v/>
      </c>
      <c r="G2775" t="str">
        <f t="shared" si="114"/>
        <v/>
      </c>
    </row>
    <row r="2776" spans="2:7" x14ac:dyDescent="0.25">
      <c r="B2776" s="6"/>
      <c r="C2776" s="7"/>
      <c r="D2776" s="7"/>
      <c r="E2776" s="8"/>
      <c r="F2776" t="str">
        <f t="shared" si="113"/>
        <v/>
      </c>
      <c r="G2776" t="str">
        <f t="shared" si="114"/>
        <v/>
      </c>
    </row>
    <row r="2777" spans="2:7" x14ac:dyDescent="0.25">
      <c r="B2777" s="6"/>
      <c r="C2777" s="7"/>
      <c r="D2777" s="7"/>
      <c r="E2777" s="8"/>
      <c r="F2777" t="str">
        <f t="shared" si="113"/>
        <v/>
      </c>
      <c r="G2777" t="str">
        <f t="shared" si="114"/>
        <v/>
      </c>
    </row>
    <row r="2778" spans="2:7" x14ac:dyDescent="0.25">
      <c r="B2778" s="6"/>
      <c r="C2778" s="7"/>
      <c r="D2778" s="7"/>
      <c r="E2778" s="8"/>
      <c r="F2778" t="str">
        <f t="shared" si="113"/>
        <v/>
      </c>
      <c r="G2778" t="str">
        <f t="shared" si="114"/>
        <v/>
      </c>
    </row>
    <row r="2779" spans="2:7" x14ac:dyDescent="0.25">
      <c r="B2779" s="6"/>
      <c r="C2779" s="7"/>
      <c r="D2779" s="7"/>
      <c r="E2779" s="8"/>
      <c r="F2779" t="str">
        <f t="shared" si="113"/>
        <v/>
      </c>
      <c r="G2779" t="str">
        <f t="shared" si="114"/>
        <v/>
      </c>
    </row>
    <row r="2780" spans="2:7" x14ac:dyDescent="0.25">
      <c r="B2780" s="6"/>
      <c r="C2780" s="7"/>
      <c r="D2780" s="7"/>
      <c r="E2780" s="8"/>
      <c r="F2780" t="str">
        <f t="shared" si="113"/>
        <v/>
      </c>
      <c r="G2780" t="str">
        <f t="shared" si="114"/>
        <v/>
      </c>
    </row>
    <row r="2781" spans="2:7" x14ac:dyDescent="0.25">
      <c r="B2781" s="6"/>
      <c r="C2781" s="7"/>
      <c r="D2781" s="7"/>
      <c r="E2781" s="8"/>
      <c r="F2781" t="str">
        <f t="shared" si="113"/>
        <v/>
      </c>
      <c r="G2781" t="str">
        <f t="shared" si="114"/>
        <v/>
      </c>
    </row>
    <row r="2782" spans="2:7" x14ac:dyDescent="0.25">
      <c r="B2782" s="6"/>
      <c r="C2782" s="7"/>
      <c r="D2782" s="7"/>
      <c r="E2782" s="8"/>
      <c r="F2782" t="str">
        <f t="shared" si="113"/>
        <v/>
      </c>
      <c r="G2782" t="str">
        <f t="shared" si="114"/>
        <v/>
      </c>
    </row>
    <row r="2783" spans="2:7" x14ac:dyDescent="0.25">
      <c r="B2783" s="6"/>
      <c r="C2783" s="7"/>
      <c r="D2783" s="7"/>
      <c r="E2783" s="8"/>
      <c r="F2783" t="str">
        <f t="shared" si="113"/>
        <v/>
      </c>
      <c r="G2783" t="str">
        <f t="shared" si="114"/>
        <v/>
      </c>
    </row>
    <row r="2784" spans="2:7" x14ac:dyDescent="0.25">
      <c r="B2784" s="6"/>
      <c r="C2784" s="7"/>
      <c r="D2784" s="7"/>
      <c r="E2784" s="8"/>
      <c r="F2784" t="str">
        <f t="shared" si="113"/>
        <v/>
      </c>
      <c r="G2784" t="str">
        <f t="shared" si="114"/>
        <v/>
      </c>
    </row>
    <row r="2785" spans="2:7" x14ac:dyDescent="0.25">
      <c r="B2785" s="6"/>
      <c r="C2785" s="7"/>
      <c r="D2785" s="7"/>
      <c r="E2785" s="8"/>
      <c r="F2785" t="str">
        <f t="shared" si="113"/>
        <v/>
      </c>
      <c r="G2785" t="str">
        <f t="shared" si="114"/>
        <v/>
      </c>
    </row>
    <row r="2786" spans="2:7" x14ac:dyDescent="0.25">
      <c r="B2786" s="6"/>
      <c r="C2786" s="7"/>
      <c r="D2786" s="7"/>
      <c r="E2786" s="8"/>
      <c r="F2786" t="str">
        <f t="shared" si="113"/>
        <v/>
      </c>
      <c r="G2786" t="str">
        <f t="shared" si="114"/>
        <v/>
      </c>
    </row>
    <row r="2787" spans="2:7" x14ac:dyDescent="0.25">
      <c r="B2787" s="6"/>
      <c r="C2787" s="7"/>
      <c r="D2787" s="7"/>
      <c r="E2787" s="8"/>
      <c r="F2787" t="str">
        <f t="shared" si="113"/>
        <v/>
      </c>
      <c r="G2787" t="str">
        <f t="shared" si="114"/>
        <v/>
      </c>
    </row>
    <row r="2788" spans="2:7" x14ac:dyDescent="0.25">
      <c r="B2788" s="6"/>
      <c r="C2788" s="7"/>
      <c r="D2788" s="7"/>
      <c r="E2788" s="8"/>
      <c r="F2788" t="str">
        <f t="shared" si="113"/>
        <v/>
      </c>
      <c r="G2788" t="str">
        <f t="shared" si="114"/>
        <v/>
      </c>
    </row>
    <row r="2789" spans="2:7" x14ac:dyDescent="0.25">
      <c r="B2789" s="6"/>
      <c r="C2789" s="7"/>
      <c r="D2789" s="7"/>
      <c r="E2789" s="8"/>
      <c r="F2789" t="str">
        <f t="shared" si="113"/>
        <v/>
      </c>
      <c r="G2789" t="str">
        <f t="shared" si="114"/>
        <v/>
      </c>
    </row>
    <row r="2790" spans="2:7" x14ac:dyDescent="0.25">
      <c r="B2790" s="6"/>
      <c r="C2790" s="7"/>
      <c r="D2790" s="7"/>
      <c r="E2790" s="8"/>
      <c r="F2790" t="str">
        <f t="shared" si="113"/>
        <v/>
      </c>
      <c r="G2790" t="str">
        <f t="shared" si="114"/>
        <v/>
      </c>
    </row>
    <row r="2791" spans="2:7" x14ac:dyDescent="0.25">
      <c r="B2791" s="6"/>
      <c r="C2791" s="7"/>
      <c r="D2791" s="7"/>
      <c r="E2791" s="8"/>
      <c r="F2791" t="str">
        <f t="shared" si="113"/>
        <v/>
      </c>
      <c r="G2791" t="str">
        <f t="shared" si="114"/>
        <v/>
      </c>
    </row>
    <row r="2792" spans="2:7" x14ac:dyDescent="0.25">
      <c r="B2792" s="6"/>
      <c r="C2792" s="7"/>
      <c r="D2792" s="7"/>
      <c r="E2792" s="8"/>
      <c r="F2792" t="str">
        <f t="shared" si="113"/>
        <v/>
      </c>
      <c r="G2792" t="str">
        <f t="shared" si="114"/>
        <v/>
      </c>
    </row>
    <row r="2793" spans="2:7" x14ac:dyDescent="0.25">
      <c r="B2793" s="6"/>
      <c r="C2793" s="7"/>
      <c r="D2793" s="7"/>
      <c r="E2793" s="8"/>
      <c r="F2793" t="str">
        <f t="shared" si="113"/>
        <v/>
      </c>
      <c r="G2793" t="str">
        <f t="shared" si="114"/>
        <v/>
      </c>
    </row>
    <row r="2794" spans="2:7" x14ac:dyDescent="0.25">
      <c r="B2794" s="6"/>
      <c r="C2794" s="7"/>
      <c r="D2794" s="7"/>
      <c r="E2794" s="8"/>
      <c r="F2794" t="str">
        <f t="shared" si="113"/>
        <v/>
      </c>
      <c r="G2794" t="str">
        <f t="shared" si="114"/>
        <v/>
      </c>
    </row>
    <row r="2795" spans="2:7" x14ac:dyDescent="0.25">
      <c r="B2795" s="6"/>
      <c r="C2795" s="7"/>
      <c r="D2795" s="7"/>
      <c r="E2795" s="8"/>
      <c r="F2795" t="str">
        <f t="shared" si="113"/>
        <v/>
      </c>
      <c r="G2795" t="str">
        <f t="shared" si="114"/>
        <v/>
      </c>
    </row>
    <row r="2796" spans="2:7" x14ac:dyDescent="0.25">
      <c r="B2796" s="6"/>
      <c r="C2796" s="7"/>
      <c r="D2796" s="7"/>
      <c r="E2796" s="8"/>
      <c r="F2796" t="str">
        <f t="shared" si="113"/>
        <v/>
      </c>
      <c r="G2796" t="str">
        <f t="shared" si="114"/>
        <v/>
      </c>
    </row>
    <row r="2797" spans="2:7" x14ac:dyDescent="0.25">
      <c r="B2797" s="6"/>
      <c r="C2797" s="7"/>
      <c r="D2797" s="7"/>
      <c r="E2797" s="8"/>
      <c r="F2797" t="str">
        <f t="shared" si="113"/>
        <v/>
      </c>
      <c r="G2797" t="str">
        <f t="shared" si="114"/>
        <v/>
      </c>
    </row>
    <row r="2798" spans="2:7" x14ac:dyDescent="0.25">
      <c r="B2798" s="6"/>
      <c r="C2798" s="7"/>
      <c r="D2798" s="7"/>
      <c r="E2798" s="8"/>
      <c r="F2798" t="str">
        <f t="shared" si="113"/>
        <v/>
      </c>
      <c r="G2798" t="str">
        <f t="shared" si="114"/>
        <v/>
      </c>
    </row>
    <row r="2799" spans="2:7" x14ac:dyDescent="0.25">
      <c r="B2799" s="6"/>
      <c r="C2799" s="7"/>
      <c r="D2799" s="7"/>
      <c r="E2799" s="8"/>
      <c r="F2799" t="str">
        <f t="shared" si="113"/>
        <v/>
      </c>
      <c r="G2799" t="str">
        <f t="shared" si="114"/>
        <v/>
      </c>
    </row>
    <row r="2800" spans="2:7" x14ac:dyDescent="0.25">
      <c r="B2800" s="6"/>
      <c r="C2800" s="7"/>
      <c r="D2800" s="7"/>
      <c r="E2800" s="8"/>
      <c r="F2800" t="str">
        <f t="shared" si="113"/>
        <v/>
      </c>
      <c r="G2800" t="str">
        <f t="shared" si="114"/>
        <v/>
      </c>
    </row>
    <row r="2801" spans="2:7" x14ac:dyDescent="0.25">
      <c r="B2801" s="6"/>
      <c r="C2801" s="7"/>
      <c r="D2801" s="7"/>
      <c r="E2801" s="8"/>
      <c r="F2801" t="str">
        <f t="shared" si="113"/>
        <v/>
      </c>
      <c r="G2801" t="str">
        <f t="shared" si="114"/>
        <v/>
      </c>
    </row>
    <row r="2802" spans="2:7" x14ac:dyDescent="0.25">
      <c r="B2802" s="6"/>
      <c r="C2802" s="7"/>
      <c r="D2802" s="7"/>
      <c r="E2802" s="8"/>
      <c r="F2802" t="str">
        <f t="shared" si="113"/>
        <v/>
      </c>
      <c r="G2802" t="str">
        <f t="shared" si="114"/>
        <v/>
      </c>
    </row>
    <row r="2803" spans="2:7" x14ac:dyDescent="0.25">
      <c r="B2803" s="6"/>
      <c r="C2803" s="7"/>
      <c r="D2803" s="7"/>
      <c r="E2803" s="8"/>
      <c r="F2803" t="str">
        <f t="shared" si="113"/>
        <v/>
      </c>
      <c r="G2803" t="str">
        <f t="shared" si="114"/>
        <v/>
      </c>
    </row>
    <row r="2804" spans="2:7" x14ac:dyDescent="0.25">
      <c r="B2804" s="6"/>
      <c r="C2804" s="7"/>
      <c r="D2804" s="7"/>
      <c r="E2804" s="8"/>
      <c r="F2804" t="str">
        <f t="shared" si="113"/>
        <v/>
      </c>
      <c r="G2804" t="str">
        <f t="shared" si="114"/>
        <v/>
      </c>
    </row>
    <row r="2805" spans="2:7" x14ac:dyDescent="0.25">
      <c r="B2805" s="6"/>
      <c r="C2805" s="7"/>
      <c r="D2805" s="7"/>
      <c r="E2805" s="8"/>
      <c r="F2805" t="str">
        <f t="shared" si="113"/>
        <v/>
      </c>
      <c r="G2805" t="str">
        <f t="shared" si="114"/>
        <v/>
      </c>
    </row>
    <row r="2806" spans="2:7" x14ac:dyDescent="0.25">
      <c r="B2806" s="6"/>
      <c r="C2806" s="7"/>
      <c r="D2806" s="7"/>
      <c r="E2806" s="8"/>
      <c r="F2806" t="str">
        <f t="shared" si="113"/>
        <v/>
      </c>
      <c r="G2806" t="str">
        <f t="shared" si="114"/>
        <v/>
      </c>
    </row>
    <row r="2807" spans="2:7" x14ac:dyDescent="0.25">
      <c r="B2807" s="6"/>
      <c r="C2807" s="7"/>
      <c r="D2807" s="7"/>
      <c r="E2807" s="8"/>
      <c r="F2807" t="str">
        <f t="shared" si="113"/>
        <v/>
      </c>
      <c r="G2807" t="str">
        <f t="shared" si="114"/>
        <v/>
      </c>
    </row>
    <row r="2808" spans="2:7" x14ac:dyDescent="0.25">
      <c r="B2808" s="6"/>
      <c r="C2808" s="7"/>
      <c r="D2808" s="7"/>
      <c r="E2808" s="8"/>
      <c r="F2808" t="str">
        <f t="shared" si="113"/>
        <v/>
      </c>
      <c r="G2808" t="str">
        <f t="shared" si="114"/>
        <v/>
      </c>
    </row>
    <row r="2809" spans="2:7" x14ac:dyDescent="0.25">
      <c r="B2809" s="6"/>
      <c r="C2809" s="7"/>
      <c r="D2809" s="7"/>
      <c r="E2809" s="8"/>
      <c r="F2809" t="str">
        <f t="shared" si="113"/>
        <v/>
      </c>
      <c r="G2809" t="str">
        <f t="shared" si="114"/>
        <v/>
      </c>
    </row>
    <row r="2810" spans="2:7" x14ac:dyDescent="0.25">
      <c r="B2810" s="6"/>
      <c r="C2810" s="7"/>
      <c r="D2810" s="7"/>
      <c r="E2810" s="8"/>
      <c r="F2810" t="str">
        <f t="shared" si="113"/>
        <v/>
      </c>
      <c r="G2810" t="str">
        <f t="shared" si="114"/>
        <v/>
      </c>
    </row>
    <row r="2811" spans="2:7" x14ac:dyDescent="0.25">
      <c r="B2811" s="6"/>
      <c r="C2811" s="7"/>
      <c r="D2811" s="7"/>
      <c r="E2811" s="8"/>
      <c r="F2811" t="str">
        <f t="shared" si="113"/>
        <v/>
      </c>
      <c r="G2811" t="str">
        <f t="shared" si="114"/>
        <v/>
      </c>
    </row>
    <row r="2812" spans="2:7" x14ac:dyDescent="0.25">
      <c r="B2812" s="6"/>
      <c r="C2812" s="7"/>
      <c r="D2812" s="7"/>
      <c r="E2812" s="8"/>
      <c r="F2812" t="str">
        <f t="shared" si="113"/>
        <v/>
      </c>
      <c r="G2812" t="str">
        <f t="shared" si="114"/>
        <v/>
      </c>
    </row>
    <row r="2813" spans="2:7" x14ac:dyDescent="0.25">
      <c r="B2813" s="6"/>
      <c r="C2813" s="7"/>
      <c r="D2813" s="7"/>
      <c r="E2813" s="8"/>
      <c r="F2813" t="str">
        <f t="shared" si="113"/>
        <v/>
      </c>
      <c r="G2813" t="str">
        <f t="shared" si="114"/>
        <v/>
      </c>
    </row>
    <row r="2814" spans="2:7" x14ac:dyDescent="0.25">
      <c r="B2814" s="6"/>
      <c r="C2814" s="7"/>
      <c r="D2814" s="7"/>
      <c r="E2814" s="8"/>
      <c r="F2814" t="str">
        <f t="shared" si="113"/>
        <v/>
      </c>
      <c r="G2814" t="str">
        <f t="shared" si="114"/>
        <v/>
      </c>
    </row>
    <row r="2815" spans="2:7" x14ac:dyDescent="0.25">
      <c r="B2815" s="6"/>
      <c r="C2815" s="7"/>
      <c r="D2815" s="7"/>
      <c r="E2815" s="8"/>
      <c r="F2815" t="str">
        <f t="shared" si="113"/>
        <v/>
      </c>
      <c r="G2815" t="str">
        <f t="shared" si="114"/>
        <v/>
      </c>
    </row>
    <row r="2816" spans="2:7" x14ac:dyDescent="0.25">
      <c r="B2816" s="6"/>
      <c r="C2816" s="7"/>
      <c r="D2816" s="7"/>
      <c r="E2816" s="8"/>
      <c r="F2816" t="str">
        <f t="shared" si="113"/>
        <v/>
      </c>
      <c r="G2816" t="str">
        <f t="shared" si="114"/>
        <v/>
      </c>
    </row>
    <row r="2817" spans="2:7" x14ac:dyDescent="0.25">
      <c r="B2817" s="6"/>
      <c r="C2817" s="7"/>
      <c r="D2817" s="7"/>
      <c r="E2817" s="8"/>
      <c r="F2817" t="str">
        <f t="shared" si="113"/>
        <v/>
      </c>
      <c r="G2817" t="str">
        <f t="shared" si="114"/>
        <v/>
      </c>
    </row>
    <row r="2818" spans="2:7" x14ac:dyDescent="0.25">
      <c r="B2818" s="6"/>
      <c r="C2818" s="7"/>
      <c r="D2818" s="7"/>
      <c r="E2818" s="8"/>
      <c r="F2818" t="str">
        <f t="shared" si="113"/>
        <v/>
      </c>
      <c r="G2818" t="str">
        <f t="shared" si="114"/>
        <v/>
      </c>
    </row>
    <row r="2819" spans="2:7" x14ac:dyDescent="0.25">
      <c r="B2819" s="6"/>
      <c r="C2819" s="7"/>
      <c r="D2819" s="7"/>
      <c r="E2819" s="8"/>
      <c r="F2819" t="str">
        <f t="shared" si="113"/>
        <v/>
      </c>
      <c r="G2819" t="str">
        <f t="shared" si="114"/>
        <v/>
      </c>
    </row>
    <row r="2820" spans="2:7" x14ac:dyDescent="0.25">
      <c r="B2820" s="6"/>
      <c r="C2820" s="7"/>
      <c r="D2820" s="7"/>
      <c r="E2820" s="8"/>
      <c r="F2820" t="str">
        <f t="shared" ref="F2820:F2883" si="115">IF(B2820="","",LOG10(D2820))</f>
        <v/>
      </c>
      <c r="G2820" t="str">
        <f t="shared" ref="G2820:G2883" si="116">IF(E2820="", "",0.434*E2820/D2820)</f>
        <v/>
      </c>
    </row>
    <row r="2821" spans="2:7" x14ac:dyDescent="0.25">
      <c r="B2821" s="6"/>
      <c r="C2821" s="7"/>
      <c r="D2821" s="7"/>
      <c r="E2821" s="8"/>
      <c r="F2821" t="str">
        <f t="shared" si="115"/>
        <v/>
      </c>
      <c r="G2821" t="str">
        <f t="shared" si="116"/>
        <v/>
      </c>
    </row>
    <row r="2822" spans="2:7" x14ac:dyDescent="0.25">
      <c r="B2822" s="6"/>
      <c r="C2822" s="7"/>
      <c r="D2822" s="7"/>
      <c r="E2822" s="8"/>
      <c r="F2822" t="str">
        <f t="shared" si="115"/>
        <v/>
      </c>
      <c r="G2822" t="str">
        <f t="shared" si="116"/>
        <v/>
      </c>
    </row>
    <row r="2823" spans="2:7" x14ac:dyDescent="0.25">
      <c r="B2823" s="6"/>
      <c r="C2823" s="7"/>
      <c r="D2823" s="7"/>
      <c r="E2823" s="8"/>
      <c r="F2823" t="str">
        <f t="shared" si="115"/>
        <v/>
      </c>
      <c r="G2823" t="str">
        <f t="shared" si="116"/>
        <v/>
      </c>
    </row>
    <row r="2824" spans="2:7" x14ac:dyDescent="0.25">
      <c r="B2824" s="6"/>
      <c r="C2824" s="7"/>
      <c r="D2824" s="7"/>
      <c r="E2824" s="8"/>
      <c r="F2824" t="str">
        <f t="shared" si="115"/>
        <v/>
      </c>
      <c r="G2824" t="str">
        <f t="shared" si="116"/>
        <v/>
      </c>
    </row>
    <row r="2825" spans="2:7" x14ac:dyDescent="0.25">
      <c r="B2825" s="6"/>
      <c r="C2825" s="7"/>
      <c r="D2825" s="7"/>
      <c r="E2825" s="8"/>
      <c r="F2825" t="str">
        <f t="shared" si="115"/>
        <v/>
      </c>
      <c r="G2825" t="str">
        <f t="shared" si="116"/>
        <v/>
      </c>
    </row>
    <row r="2826" spans="2:7" x14ac:dyDescent="0.25">
      <c r="B2826" s="6"/>
      <c r="C2826" s="7"/>
      <c r="D2826" s="7"/>
      <c r="E2826" s="8"/>
      <c r="F2826" t="str">
        <f t="shared" si="115"/>
        <v/>
      </c>
      <c r="G2826" t="str">
        <f t="shared" si="116"/>
        <v/>
      </c>
    </row>
    <row r="2827" spans="2:7" x14ac:dyDescent="0.25">
      <c r="B2827" s="6"/>
      <c r="C2827" s="7"/>
      <c r="D2827" s="7"/>
      <c r="E2827" s="8"/>
      <c r="F2827" t="str">
        <f t="shared" si="115"/>
        <v/>
      </c>
      <c r="G2827" t="str">
        <f t="shared" si="116"/>
        <v/>
      </c>
    </row>
    <row r="2828" spans="2:7" x14ac:dyDescent="0.25">
      <c r="B2828" s="6"/>
      <c r="C2828" s="7"/>
      <c r="D2828" s="7"/>
      <c r="E2828" s="8"/>
      <c r="F2828" t="str">
        <f t="shared" si="115"/>
        <v/>
      </c>
      <c r="G2828" t="str">
        <f t="shared" si="116"/>
        <v/>
      </c>
    </row>
    <row r="2829" spans="2:7" x14ac:dyDescent="0.25">
      <c r="B2829" s="6"/>
      <c r="C2829" s="7"/>
      <c r="D2829" s="7"/>
      <c r="E2829" s="8"/>
      <c r="F2829" t="str">
        <f t="shared" si="115"/>
        <v/>
      </c>
      <c r="G2829" t="str">
        <f t="shared" si="116"/>
        <v/>
      </c>
    </row>
    <row r="2830" spans="2:7" x14ac:dyDescent="0.25">
      <c r="B2830" s="6"/>
      <c r="C2830" s="7"/>
      <c r="D2830" s="7"/>
      <c r="E2830" s="8"/>
      <c r="F2830" t="str">
        <f t="shared" si="115"/>
        <v/>
      </c>
      <c r="G2830" t="str">
        <f t="shared" si="116"/>
        <v/>
      </c>
    </row>
    <row r="2831" spans="2:7" x14ac:dyDescent="0.25">
      <c r="B2831" s="6"/>
      <c r="C2831" s="7"/>
      <c r="D2831" s="7"/>
      <c r="E2831" s="8"/>
      <c r="F2831" t="str">
        <f t="shared" si="115"/>
        <v/>
      </c>
      <c r="G2831" t="str">
        <f t="shared" si="116"/>
        <v/>
      </c>
    </row>
    <row r="2832" spans="2:7" x14ac:dyDescent="0.25">
      <c r="B2832" s="6"/>
      <c r="C2832" s="7"/>
      <c r="D2832" s="7"/>
      <c r="E2832" s="8"/>
      <c r="F2832" t="str">
        <f t="shared" si="115"/>
        <v/>
      </c>
      <c r="G2832" t="str">
        <f t="shared" si="116"/>
        <v/>
      </c>
    </row>
    <row r="2833" spans="2:7" x14ac:dyDescent="0.25">
      <c r="B2833" s="6"/>
      <c r="C2833" s="7"/>
      <c r="D2833" s="7"/>
      <c r="E2833" s="8"/>
      <c r="F2833" t="str">
        <f t="shared" si="115"/>
        <v/>
      </c>
      <c r="G2833" t="str">
        <f t="shared" si="116"/>
        <v/>
      </c>
    </row>
    <row r="2834" spans="2:7" x14ac:dyDescent="0.25">
      <c r="B2834" s="6"/>
      <c r="C2834" s="7"/>
      <c r="D2834" s="7"/>
      <c r="E2834" s="8"/>
      <c r="F2834" t="str">
        <f t="shared" si="115"/>
        <v/>
      </c>
      <c r="G2834" t="str">
        <f t="shared" si="116"/>
        <v/>
      </c>
    </row>
    <row r="2835" spans="2:7" x14ac:dyDescent="0.25">
      <c r="B2835" s="6"/>
      <c r="C2835" s="7"/>
      <c r="D2835" s="7"/>
      <c r="E2835" s="8"/>
      <c r="F2835" t="str">
        <f t="shared" si="115"/>
        <v/>
      </c>
      <c r="G2835" t="str">
        <f t="shared" si="116"/>
        <v/>
      </c>
    </row>
    <row r="2836" spans="2:7" x14ac:dyDescent="0.25">
      <c r="B2836" s="6"/>
      <c r="C2836" s="7"/>
      <c r="D2836" s="7"/>
      <c r="E2836" s="8"/>
      <c r="F2836" t="str">
        <f t="shared" si="115"/>
        <v/>
      </c>
      <c r="G2836" t="str">
        <f t="shared" si="116"/>
        <v/>
      </c>
    </row>
    <row r="2837" spans="2:7" x14ac:dyDescent="0.25">
      <c r="B2837" s="6"/>
      <c r="C2837" s="7"/>
      <c r="D2837" s="7"/>
      <c r="E2837" s="8"/>
      <c r="F2837" t="str">
        <f t="shared" si="115"/>
        <v/>
      </c>
      <c r="G2837" t="str">
        <f t="shared" si="116"/>
        <v/>
      </c>
    </row>
    <row r="2838" spans="2:7" x14ac:dyDescent="0.25">
      <c r="B2838" s="6"/>
      <c r="C2838" s="7"/>
      <c r="D2838" s="7"/>
      <c r="E2838" s="8"/>
      <c r="F2838" t="str">
        <f t="shared" si="115"/>
        <v/>
      </c>
      <c r="G2838" t="str">
        <f t="shared" si="116"/>
        <v/>
      </c>
    </row>
    <row r="2839" spans="2:7" x14ac:dyDescent="0.25">
      <c r="B2839" s="6"/>
      <c r="C2839" s="7"/>
      <c r="D2839" s="7"/>
      <c r="E2839" s="8"/>
      <c r="F2839" t="str">
        <f t="shared" si="115"/>
        <v/>
      </c>
      <c r="G2839" t="str">
        <f t="shared" si="116"/>
        <v/>
      </c>
    </row>
    <row r="2840" spans="2:7" x14ac:dyDescent="0.25">
      <c r="B2840" s="6"/>
      <c r="C2840" s="7"/>
      <c r="D2840" s="7"/>
      <c r="E2840" s="8"/>
      <c r="F2840" t="str">
        <f t="shared" si="115"/>
        <v/>
      </c>
      <c r="G2840" t="str">
        <f t="shared" si="116"/>
        <v/>
      </c>
    </row>
    <row r="2841" spans="2:7" x14ac:dyDescent="0.25">
      <c r="B2841" s="6"/>
      <c r="C2841" s="7"/>
      <c r="D2841" s="7"/>
      <c r="E2841" s="8"/>
      <c r="F2841" t="str">
        <f t="shared" si="115"/>
        <v/>
      </c>
      <c r="G2841" t="str">
        <f t="shared" si="116"/>
        <v/>
      </c>
    </row>
    <row r="2842" spans="2:7" x14ac:dyDescent="0.25">
      <c r="B2842" s="6"/>
      <c r="C2842" s="7"/>
      <c r="D2842" s="7"/>
      <c r="E2842" s="8"/>
      <c r="F2842" t="str">
        <f t="shared" si="115"/>
        <v/>
      </c>
      <c r="G2842" t="str">
        <f t="shared" si="116"/>
        <v/>
      </c>
    </row>
    <row r="2843" spans="2:7" x14ac:dyDescent="0.25">
      <c r="B2843" s="6"/>
      <c r="C2843" s="7"/>
      <c r="D2843" s="7"/>
      <c r="E2843" s="8"/>
      <c r="F2843" t="str">
        <f t="shared" si="115"/>
        <v/>
      </c>
      <c r="G2843" t="str">
        <f t="shared" si="116"/>
        <v/>
      </c>
    </row>
    <row r="2844" spans="2:7" x14ac:dyDescent="0.25">
      <c r="B2844" s="6"/>
      <c r="C2844" s="7"/>
      <c r="D2844" s="7"/>
      <c r="E2844" s="8"/>
      <c r="F2844" t="str">
        <f t="shared" si="115"/>
        <v/>
      </c>
      <c r="G2844" t="str">
        <f t="shared" si="116"/>
        <v/>
      </c>
    </row>
    <row r="2845" spans="2:7" x14ac:dyDescent="0.25">
      <c r="B2845" s="6"/>
      <c r="C2845" s="7"/>
      <c r="D2845" s="7"/>
      <c r="E2845" s="8"/>
      <c r="F2845" t="str">
        <f t="shared" si="115"/>
        <v/>
      </c>
      <c r="G2845" t="str">
        <f t="shared" si="116"/>
        <v/>
      </c>
    </row>
    <row r="2846" spans="2:7" x14ac:dyDescent="0.25">
      <c r="B2846" s="6"/>
      <c r="C2846" s="7"/>
      <c r="D2846" s="7"/>
      <c r="E2846" s="8"/>
      <c r="F2846" t="str">
        <f t="shared" si="115"/>
        <v/>
      </c>
      <c r="G2846" t="str">
        <f t="shared" si="116"/>
        <v/>
      </c>
    </row>
    <row r="2847" spans="2:7" x14ac:dyDescent="0.25">
      <c r="B2847" s="6"/>
      <c r="C2847" s="7"/>
      <c r="D2847" s="7"/>
      <c r="E2847" s="8"/>
      <c r="F2847" t="str">
        <f t="shared" si="115"/>
        <v/>
      </c>
      <c r="G2847" t="str">
        <f t="shared" si="116"/>
        <v/>
      </c>
    </row>
    <row r="2848" spans="2:7" x14ac:dyDescent="0.25">
      <c r="B2848" s="6"/>
      <c r="C2848" s="7"/>
      <c r="D2848" s="7"/>
      <c r="E2848" s="8"/>
      <c r="F2848" t="str">
        <f t="shared" si="115"/>
        <v/>
      </c>
      <c r="G2848" t="str">
        <f t="shared" si="116"/>
        <v/>
      </c>
    </row>
    <row r="2849" spans="2:7" x14ac:dyDescent="0.25">
      <c r="B2849" s="6"/>
      <c r="C2849" s="7"/>
      <c r="D2849" s="7"/>
      <c r="E2849" s="8"/>
      <c r="F2849" t="str">
        <f t="shared" si="115"/>
        <v/>
      </c>
      <c r="G2849" t="str">
        <f t="shared" si="116"/>
        <v/>
      </c>
    </row>
    <row r="2850" spans="2:7" x14ac:dyDescent="0.25">
      <c r="B2850" s="6"/>
      <c r="C2850" s="7"/>
      <c r="D2850" s="7"/>
      <c r="E2850" s="8"/>
      <c r="F2850" t="str">
        <f t="shared" si="115"/>
        <v/>
      </c>
      <c r="G2850" t="str">
        <f t="shared" si="116"/>
        <v/>
      </c>
    </row>
    <row r="2851" spans="2:7" x14ac:dyDescent="0.25">
      <c r="B2851" s="6"/>
      <c r="C2851" s="7"/>
      <c r="D2851" s="7"/>
      <c r="E2851" s="8"/>
      <c r="F2851" t="str">
        <f t="shared" si="115"/>
        <v/>
      </c>
      <c r="G2851" t="str">
        <f t="shared" si="116"/>
        <v/>
      </c>
    </row>
    <row r="2852" spans="2:7" x14ac:dyDescent="0.25">
      <c r="B2852" s="6"/>
      <c r="C2852" s="7"/>
      <c r="D2852" s="7"/>
      <c r="E2852" s="8"/>
      <c r="F2852" t="str">
        <f t="shared" si="115"/>
        <v/>
      </c>
      <c r="G2852" t="str">
        <f t="shared" si="116"/>
        <v/>
      </c>
    </row>
    <row r="2853" spans="2:7" x14ac:dyDescent="0.25">
      <c r="B2853" s="6"/>
      <c r="C2853" s="7"/>
      <c r="D2853" s="7"/>
      <c r="E2853" s="8"/>
      <c r="F2853" t="str">
        <f t="shared" si="115"/>
        <v/>
      </c>
      <c r="G2853" t="str">
        <f t="shared" si="116"/>
        <v/>
      </c>
    </row>
    <row r="2854" spans="2:7" x14ac:dyDescent="0.25">
      <c r="B2854" s="6"/>
      <c r="C2854" s="7"/>
      <c r="D2854" s="7"/>
      <c r="E2854" s="8"/>
      <c r="F2854" t="str">
        <f t="shared" si="115"/>
        <v/>
      </c>
      <c r="G2854" t="str">
        <f t="shared" si="116"/>
        <v/>
      </c>
    </row>
    <row r="2855" spans="2:7" x14ac:dyDescent="0.25">
      <c r="B2855" s="6"/>
      <c r="C2855" s="7"/>
      <c r="D2855" s="7"/>
      <c r="E2855" s="8"/>
      <c r="F2855" t="str">
        <f t="shared" si="115"/>
        <v/>
      </c>
      <c r="G2855" t="str">
        <f t="shared" si="116"/>
        <v/>
      </c>
    </row>
    <row r="2856" spans="2:7" x14ac:dyDescent="0.25">
      <c r="B2856" s="6"/>
      <c r="C2856" s="7"/>
      <c r="D2856" s="7"/>
      <c r="E2856" s="8"/>
      <c r="F2856" t="str">
        <f t="shared" si="115"/>
        <v/>
      </c>
      <c r="G2856" t="str">
        <f t="shared" si="116"/>
        <v/>
      </c>
    </row>
    <row r="2857" spans="2:7" x14ac:dyDescent="0.25">
      <c r="B2857" s="6"/>
      <c r="C2857" s="7"/>
      <c r="D2857" s="7"/>
      <c r="E2857" s="8"/>
      <c r="F2857" t="str">
        <f t="shared" si="115"/>
        <v/>
      </c>
      <c r="G2857" t="str">
        <f t="shared" si="116"/>
        <v/>
      </c>
    </row>
    <row r="2858" spans="2:7" x14ac:dyDescent="0.25">
      <c r="B2858" s="6"/>
      <c r="C2858" s="7"/>
      <c r="D2858" s="7"/>
      <c r="E2858" s="8"/>
      <c r="F2858" t="str">
        <f t="shared" si="115"/>
        <v/>
      </c>
      <c r="G2858" t="str">
        <f t="shared" si="116"/>
        <v/>
      </c>
    </row>
    <row r="2859" spans="2:7" x14ac:dyDescent="0.25">
      <c r="B2859" s="6"/>
      <c r="C2859" s="7"/>
      <c r="D2859" s="7"/>
      <c r="E2859" s="8"/>
      <c r="F2859" t="str">
        <f t="shared" si="115"/>
        <v/>
      </c>
      <c r="G2859" t="str">
        <f t="shared" si="116"/>
        <v/>
      </c>
    </row>
    <row r="2860" spans="2:7" x14ac:dyDescent="0.25">
      <c r="B2860" s="6"/>
      <c r="C2860" s="7"/>
      <c r="D2860" s="7"/>
      <c r="E2860" s="8"/>
      <c r="F2860" t="str">
        <f t="shared" si="115"/>
        <v/>
      </c>
      <c r="G2860" t="str">
        <f t="shared" si="116"/>
        <v/>
      </c>
    </row>
    <row r="2861" spans="2:7" x14ac:dyDescent="0.25">
      <c r="B2861" s="6"/>
      <c r="C2861" s="7"/>
      <c r="D2861" s="7"/>
      <c r="E2861" s="8"/>
      <c r="F2861" t="str">
        <f t="shared" si="115"/>
        <v/>
      </c>
      <c r="G2861" t="str">
        <f t="shared" si="116"/>
        <v/>
      </c>
    </row>
    <row r="2862" spans="2:7" x14ac:dyDescent="0.25">
      <c r="B2862" s="6"/>
      <c r="C2862" s="7"/>
      <c r="D2862" s="7"/>
      <c r="E2862" s="8"/>
      <c r="F2862" t="str">
        <f t="shared" si="115"/>
        <v/>
      </c>
      <c r="G2862" t="str">
        <f t="shared" si="116"/>
        <v/>
      </c>
    </row>
    <row r="2863" spans="2:7" x14ac:dyDescent="0.25">
      <c r="B2863" s="6"/>
      <c r="C2863" s="7"/>
      <c r="D2863" s="7"/>
      <c r="E2863" s="8"/>
      <c r="F2863" t="str">
        <f t="shared" si="115"/>
        <v/>
      </c>
      <c r="G2863" t="str">
        <f t="shared" si="116"/>
        <v/>
      </c>
    </row>
    <row r="2864" spans="2:7" x14ac:dyDescent="0.25">
      <c r="B2864" s="6"/>
      <c r="C2864" s="7"/>
      <c r="D2864" s="7"/>
      <c r="E2864" s="8"/>
      <c r="F2864" t="str">
        <f t="shared" si="115"/>
        <v/>
      </c>
      <c r="G2864" t="str">
        <f t="shared" si="116"/>
        <v/>
      </c>
    </row>
    <row r="2865" spans="2:7" x14ac:dyDescent="0.25">
      <c r="B2865" s="6"/>
      <c r="C2865" s="7"/>
      <c r="D2865" s="7"/>
      <c r="E2865" s="8"/>
      <c r="F2865" t="str">
        <f t="shared" si="115"/>
        <v/>
      </c>
      <c r="G2865" t="str">
        <f t="shared" si="116"/>
        <v/>
      </c>
    </row>
    <row r="2866" spans="2:7" x14ac:dyDescent="0.25">
      <c r="B2866" s="6"/>
      <c r="C2866" s="7"/>
      <c r="D2866" s="7"/>
      <c r="E2866" s="8"/>
      <c r="F2866" t="str">
        <f t="shared" si="115"/>
        <v/>
      </c>
      <c r="G2866" t="str">
        <f t="shared" si="116"/>
        <v/>
      </c>
    </row>
    <row r="2867" spans="2:7" x14ac:dyDescent="0.25">
      <c r="B2867" s="6"/>
      <c r="C2867" s="7"/>
      <c r="D2867" s="7"/>
      <c r="E2867" s="8"/>
      <c r="F2867" t="str">
        <f t="shared" si="115"/>
        <v/>
      </c>
      <c r="G2867" t="str">
        <f t="shared" si="116"/>
        <v/>
      </c>
    </row>
    <row r="2868" spans="2:7" x14ac:dyDescent="0.25">
      <c r="B2868" s="6"/>
      <c r="C2868" s="7"/>
      <c r="D2868" s="7"/>
      <c r="E2868" s="8"/>
      <c r="F2868" t="str">
        <f t="shared" si="115"/>
        <v/>
      </c>
      <c r="G2868" t="str">
        <f t="shared" si="116"/>
        <v/>
      </c>
    </row>
    <row r="2869" spans="2:7" x14ac:dyDescent="0.25">
      <c r="B2869" s="6"/>
      <c r="C2869" s="7"/>
      <c r="D2869" s="7"/>
      <c r="E2869" s="8"/>
      <c r="F2869" t="str">
        <f t="shared" si="115"/>
        <v/>
      </c>
      <c r="G2869" t="str">
        <f t="shared" si="116"/>
        <v/>
      </c>
    </row>
    <row r="2870" spans="2:7" x14ac:dyDescent="0.25">
      <c r="B2870" s="6"/>
      <c r="C2870" s="7"/>
      <c r="D2870" s="7"/>
      <c r="E2870" s="8"/>
      <c r="F2870" t="str">
        <f t="shared" si="115"/>
        <v/>
      </c>
      <c r="G2870" t="str">
        <f t="shared" si="116"/>
        <v/>
      </c>
    </row>
    <row r="2871" spans="2:7" x14ac:dyDescent="0.25">
      <c r="B2871" s="6"/>
      <c r="C2871" s="7"/>
      <c r="D2871" s="7"/>
      <c r="E2871" s="8"/>
      <c r="F2871" t="str">
        <f t="shared" si="115"/>
        <v/>
      </c>
      <c r="G2871" t="str">
        <f t="shared" si="116"/>
        <v/>
      </c>
    </row>
    <row r="2872" spans="2:7" x14ac:dyDescent="0.25">
      <c r="B2872" s="6"/>
      <c r="C2872" s="7"/>
      <c r="D2872" s="7"/>
      <c r="E2872" s="8"/>
      <c r="F2872" t="str">
        <f t="shared" si="115"/>
        <v/>
      </c>
      <c r="G2872" t="str">
        <f t="shared" si="116"/>
        <v/>
      </c>
    </row>
    <row r="2873" spans="2:7" x14ac:dyDescent="0.25">
      <c r="B2873" s="6"/>
      <c r="C2873" s="7"/>
      <c r="D2873" s="7"/>
      <c r="E2873" s="8"/>
      <c r="F2873" t="str">
        <f t="shared" si="115"/>
        <v/>
      </c>
      <c r="G2873" t="str">
        <f t="shared" si="116"/>
        <v/>
      </c>
    </row>
    <row r="2874" spans="2:7" x14ac:dyDescent="0.25">
      <c r="B2874" s="6"/>
      <c r="C2874" s="7"/>
      <c r="D2874" s="7"/>
      <c r="E2874" s="8"/>
      <c r="F2874" t="str">
        <f t="shared" si="115"/>
        <v/>
      </c>
      <c r="G2874" t="str">
        <f t="shared" si="116"/>
        <v/>
      </c>
    </row>
    <row r="2875" spans="2:7" x14ac:dyDescent="0.25">
      <c r="B2875" s="6"/>
      <c r="C2875" s="7"/>
      <c r="D2875" s="7"/>
      <c r="E2875" s="8"/>
      <c r="F2875" t="str">
        <f t="shared" si="115"/>
        <v/>
      </c>
      <c r="G2875" t="str">
        <f t="shared" si="116"/>
        <v/>
      </c>
    </row>
    <row r="2876" spans="2:7" x14ac:dyDescent="0.25">
      <c r="B2876" s="6"/>
      <c r="C2876" s="7"/>
      <c r="D2876" s="7"/>
      <c r="E2876" s="8"/>
      <c r="F2876" t="str">
        <f t="shared" si="115"/>
        <v/>
      </c>
      <c r="G2876" t="str">
        <f t="shared" si="116"/>
        <v/>
      </c>
    </row>
    <row r="2877" spans="2:7" x14ac:dyDescent="0.25">
      <c r="B2877" s="6"/>
      <c r="C2877" s="7"/>
      <c r="D2877" s="7"/>
      <c r="E2877" s="8"/>
      <c r="F2877" t="str">
        <f t="shared" si="115"/>
        <v/>
      </c>
      <c r="G2877" t="str">
        <f t="shared" si="116"/>
        <v/>
      </c>
    </row>
    <row r="2878" spans="2:7" x14ac:dyDescent="0.25">
      <c r="B2878" s="6"/>
      <c r="C2878" s="7"/>
      <c r="D2878" s="7"/>
      <c r="E2878" s="8"/>
      <c r="F2878" t="str">
        <f t="shared" si="115"/>
        <v/>
      </c>
      <c r="G2878" t="str">
        <f t="shared" si="116"/>
        <v/>
      </c>
    </row>
    <row r="2879" spans="2:7" x14ac:dyDescent="0.25">
      <c r="B2879" s="6"/>
      <c r="C2879" s="7"/>
      <c r="D2879" s="7"/>
      <c r="E2879" s="8"/>
      <c r="F2879" t="str">
        <f t="shared" si="115"/>
        <v/>
      </c>
      <c r="G2879" t="str">
        <f t="shared" si="116"/>
        <v/>
      </c>
    </row>
    <row r="2880" spans="2:7" x14ac:dyDescent="0.25">
      <c r="B2880" s="6"/>
      <c r="C2880" s="7"/>
      <c r="D2880" s="7"/>
      <c r="E2880" s="8"/>
      <c r="F2880" t="str">
        <f t="shared" si="115"/>
        <v/>
      </c>
      <c r="G2880" t="str">
        <f t="shared" si="116"/>
        <v/>
      </c>
    </row>
    <row r="2881" spans="2:7" x14ac:dyDescent="0.25">
      <c r="B2881" s="6"/>
      <c r="C2881" s="7"/>
      <c r="D2881" s="7"/>
      <c r="E2881" s="8"/>
      <c r="F2881" t="str">
        <f t="shared" si="115"/>
        <v/>
      </c>
      <c r="G2881" t="str">
        <f t="shared" si="116"/>
        <v/>
      </c>
    </row>
    <row r="2882" spans="2:7" x14ac:dyDescent="0.25">
      <c r="B2882" s="6"/>
      <c r="C2882" s="7"/>
      <c r="D2882" s="7"/>
      <c r="E2882" s="8"/>
      <c r="F2882" t="str">
        <f t="shared" si="115"/>
        <v/>
      </c>
      <c r="G2882" t="str">
        <f t="shared" si="116"/>
        <v/>
      </c>
    </row>
    <row r="2883" spans="2:7" x14ac:dyDescent="0.25">
      <c r="B2883" s="6"/>
      <c r="C2883" s="7"/>
      <c r="D2883" s="7"/>
      <c r="E2883" s="8"/>
      <c r="F2883" t="str">
        <f t="shared" si="115"/>
        <v/>
      </c>
      <c r="G2883" t="str">
        <f t="shared" si="116"/>
        <v/>
      </c>
    </row>
    <row r="2884" spans="2:7" x14ac:dyDescent="0.25">
      <c r="B2884" s="6"/>
      <c r="C2884" s="7"/>
      <c r="D2884" s="7"/>
      <c r="E2884" s="8"/>
      <c r="F2884" t="str">
        <f t="shared" ref="F2884:F2947" si="117">IF(B2884="","",LOG10(D2884))</f>
        <v/>
      </c>
      <c r="G2884" t="str">
        <f t="shared" ref="G2884:G2947" si="118">IF(E2884="", "",0.434*E2884/D2884)</f>
        <v/>
      </c>
    </row>
    <row r="2885" spans="2:7" x14ac:dyDescent="0.25">
      <c r="B2885" s="6"/>
      <c r="C2885" s="7"/>
      <c r="D2885" s="7"/>
      <c r="E2885" s="8"/>
      <c r="F2885" t="str">
        <f t="shared" si="117"/>
        <v/>
      </c>
      <c r="G2885" t="str">
        <f t="shared" si="118"/>
        <v/>
      </c>
    </row>
    <row r="2886" spans="2:7" x14ac:dyDescent="0.25">
      <c r="B2886" s="6"/>
      <c r="C2886" s="7"/>
      <c r="D2886" s="7"/>
      <c r="E2886" s="8"/>
      <c r="F2886" t="str">
        <f t="shared" si="117"/>
        <v/>
      </c>
      <c r="G2886" t="str">
        <f t="shared" si="118"/>
        <v/>
      </c>
    </row>
    <row r="2887" spans="2:7" x14ac:dyDescent="0.25">
      <c r="B2887" s="6"/>
      <c r="C2887" s="7"/>
      <c r="D2887" s="7"/>
      <c r="E2887" s="8"/>
      <c r="F2887" t="str">
        <f t="shared" si="117"/>
        <v/>
      </c>
      <c r="G2887" t="str">
        <f t="shared" si="118"/>
        <v/>
      </c>
    </row>
    <row r="2888" spans="2:7" x14ac:dyDescent="0.25">
      <c r="B2888" s="6"/>
      <c r="C2888" s="7"/>
      <c r="D2888" s="7"/>
      <c r="E2888" s="8"/>
      <c r="F2888" t="str">
        <f t="shared" si="117"/>
        <v/>
      </c>
      <c r="G2888" t="str">
        <f t="shared" si="118"/>
        <v/>
      </c>
    </row>
    <row r="2889" spans="2:7" x14ac:dyDescent="0.25">
      <c r="B2889" s="6"/>
      <c r="C2889" s="7"/>
      <c r="D2889" s="7"/>
      <c r="E2889" s="8"/>
      <c r="F2889" t="str">
        <f t="shared" si="117"/>
        <v/>
      </c>
      <c r="G2889" t="str">
        <f t="shared" si="118"/>
        <v/>
      </c>
    </row>
    <row r="2890" spans="2:7" x14ac:dyDescent="0.25">
      <c r="B2890" s="6"/>
      <c r="C2890" s="7"/>
      <c r="D2890" s="7"/>
      <c r="E2890" s="8"/>
      <c r="F2890" t="str">
        <f t="shared" si="117"/>
        <v/>
      </c>
      <c r="G2890" t="str">
        <f t="shared" si="118"/>
        <v/>
      </c>
    </row>
    <row r="2891" spans="2:7" x14ac:dyDescent="0.25">
      <c r="B2891" s="6"/>
      <c r="C2891" s="7"/>
      <c r="D2891" s="7"/>
      <c r="E2891" s="8"/>
      <c r="F2891" t="str">
        <f t="shared" si="117"/>
        <v/>
      </c>
      <c r="G2891" t="str">
        <f t="shared" si="118"/>
        <v/>
      </c>
    </row>
    <row r="2892" spans="2:7" x14ac:dyDescent="0.25">
      <c r="B2892" s="6"/>
      <c r="C2892" s="7"/>
      <c r="D2892" s="7"/>
      <c r="E2892" s="8"/>
      <c r="F2892" t="str">
        <f t="shared" si="117"/>
        <v/>
      </c>
      <c r="G2892" t="str">
        <f t="shared" si="118"/>
        <v/>
      </c>
    </row>
    <row r="2893" spans="2:7" x14ac:dyDescent="0.25">
      <c r="B2893" s="6"/>
      <c r="C2893" s="7"/>
      <c r="D2893" s="7"/>
      <c r="E2893" s="8"/>
      <c r="F2893" t="str">
        <f t="shared" si="117"/>
        <v/>
      </c>
      <c r="G2893" t="str">
        <f t="shared" si="118"/>
        <v/>
      </c>
    </row>
    <row r="2894" spans="2:7" x14ac:dyDescent="0.25">
      <c r="B2894" s="6"/>
      <c r="C2894" s="7"/>
      <c r="D2894" s="7"/>
      <c r="E2894" s="8"/>
      <c r="F2894" t="str">
        <f t="shared" si="117"/>
        <v/>
      </c>
      <c r="G2894" t="str">
        <f t="shared" si="118"/>
        <v/>
      </c>
    </row>
    <row r="2895" spans="2:7" x14ac:dyDescent="0.25">
      <c r="B2895" s="6"/>
      <c r="C2895" s="7"/>
      <c r="D2895" s="7"/>
      <c r="E2895" s="8"/>
      <c r="F2895" t="str">
        <f t="shared" si="117"/>
        <v/>
      </c>
      <c r="G2895" t="str">
        <f t="shared" si="118"/>
        <v/>
      </c>
    </row>
    <row r="2896" spans="2:7" x14ac:dyDescent="0.25">
      <c r="B2896" s="6"/>
      <c r="C2896" s="7"/>
      <c r="D2896" s="7"/>
      <c r="E2896" s="8"/>
      <c r="F2896" t="str">
        <f t="shared" si="117"/>
        <v/>
      </c>
      <c r="G2896" t="str">
        <f t="shared" si="118"/>
        <v/>
      </c>
    </row>
    <row r="2897" spans="2:7" x14ac:dyDescent="0.25">
      <c r="B2897" s="6"/>
      <c r="C2897" s="7"/>
      <c r="D2897" s="7"/>
      <c r="E2897" s="8"/>
      <c r="F2897" t="str">
        <f t="shared" si="117"/>
        <v/>
      </c>
      <c r="G2897" t="str">
        <f t="shared" si="118"/>
        <v/>
      </c>
    </row>
    <row r="2898" spans="2:7" x14ac:dyDescent="0.25">
      <c r="B2898" s="6"/>
      <c r="C2898" s="7"/>
      <c r="D2898" s="7"/>
      <c r="E2898" s="8"/>
      <c r="F2898" t="str">
        <f t="shared" si="117"/>
        <v/>
      </c>
      <c r="G2898" t="str">
        <f t="shared" si="118"/>
        <v/>
      </c>
    </row>
    <row r="2899" spans="2:7" x14ac:dyDescent="0.25">
      <c r="B2899" s="6"/>
      <c r="C2899" s="7"/>
      <c r="D2899" s="7"/>
      <c r="E2899" s="8"/>
      <c r="F2899" t="str">
        <f t="shared" si="117"/>
        <v/>
      </c>
      <c r="G2899" t="str">
        <f t="shared" si="118"/>
        <v/>
      </c>
    </row>
    <row r="2900" spans="2:7" x14ac:dyDescent="0.25">
      <c r="B2900" s="6"/>
      <c r="C2900" s="7"/>
      <c r="D2900" s="7"/>
      <c r="E2900" s="8"/>
      <c r="F2900" t="str">
        <f t="shared" si="117"/>
        <v/>
      </c>
      <c r="G2900" t="str">
        <f t="shared" si="118"/>
        <v/>
      </c>
    </row>
    <row r="2901" spans="2:7" x14ac:dyDescent="0.25">
      <c r="B2901" s="6"/>
      <c r="C2901" s="7"/>
      <c r="D2901" s="7"/>
      <c r="E2901" s="8"/>
      <c r="F2901" t="str">
        <f t="shared" si="117"/>
        <v/>
      </c>
      <c r="G2901" t="str">
        <f t="shared" si="118"/>
        <v/>
      </c>
    </row>
    <row r="2902" spans="2:7" x14ac:dyDescent="0.25">
      <c r="B2902" s="6"/>
      <c r="C2902" s="7"/>
      <c r="D2902" s="7"/>
      <c r="E2902" s="8"/>
      <c r="F2902" t="str">
        <f t="shared" si="117"/>
        <v/>
      </c>
      <c r="G2902" t="str">
        <f t="shared" si="118"/>
        <v/>
      </c>
    </row>
    <row r="2903" spans="2:7" x14ac:dyDescent="0.25">
      <c r="B2903" s="6"/>
      <c r="C2903" s="7"/>
      <c r="D2903" s="7"/>
      <c r="E2903" s="8"/>
      <c r="F2903" t="str">
        <f t="shared" si="117"/>
        <v/>
      </c>
      <c r="G2903" t="str">
        <f t="shared" si="118"/>
        <v/>
      </c>
    </row>
    <row r="2904" spans="2:7" x14ac:dyDescent="0.25">
      <c r="B2904" s="6"/>
      <c r="C2904" s="7"/>
      <c r="D2904" s="7"/>
      <c r="E2904" s="8"/>
      <c r="F2904" t="str">
        <f t="shared" si="117"/>
        <v/>
      </c>
      <c r="G2904" t="str">
        <f t="shared" si="118"/>
        <v/>
      </c>
    </row>
    <row r="2905" spans="2:7" x14ac:dyDescent="0.25">
      <c r="B2905" s="6"/>
      <c r="C2905" s="7"/>
      <c r="D2905" s="7"/>
      <c r="E2905" s="8"/>
      <c r="F2905" t="str">
        <f t="shared" si="117"/>
        <v/>
      </c>
      <c r="G2905" t="str">
        <f t="shared" si="118"/>
        <v/>
      </c>
    </row>
    <row r="2906" spans="2:7" x14ac:dyDescent="0.25">
      <c r="B2906" s="6"/>
      <c r="C2906" s="7"/>
      <c r="D2906" s="7"/>
      <c r="E2906" s="8"/>
      <c r="F2906" t="str">
        <f t="shared" si="117"/>
        <v/>
      </c>
      <c r="G2906" t="str">
        <f t="shared" si="118"/>
        <v/>
      </c>
    </row>
    <row r="2907" spans="2:7" x14ac:dyDescent="0.25">
      <c r="B2907" s="6"/>
      <c r="C2907" s="7"/>
      <c r="D2907" s="7"/>
      <c r="E2907" s="8"/>
      <c r="F2907" t="str">
        <f t="shared" si="117"/>
        <v/>
      </c>
      <c r="G2907" t="str">
        <f t="shared" si="118"/>
        <v/>
      </c>
    </row>
    <row r="2908" spans="2:7" x14ac:dyDescent="0.25">
      <c r="B2908" s="6"/>
      <c r="C2908" s="7"/>
      <c r="D2908" s="7"/>
      <c r="E2908" s="8"/>
      <c r="F2908" t="str">
        <f t="shared" si="117"/>
        <v/>
      </c>
      <c r="G2908" t="str">
        <f t="shared" si="118"/>
        <v/>
      </c>
    </row>
    <row r="2909" spans="2:7" x14ac:dyDescent="0.25">
      <c r="B2909" s="6"/>
      <c r="C2909" s="7"/>
      <c r="D2909" s="7"/>
      <c r="E2909" s="8"/>
      <c r="F2909" t="str">
        <f t="shared" si="117"/>
        <v/>
      </c>
      <c r="G2909" t="str">
        <f t="shared" si="118"/>
        <v/>
      </c>
    </row>
    <row r="2910" spans="2:7" x14ac:dyDescent="0.25">
      <c r="B2910" s="6"/>
      <c r="C2910" s="7"/>
      <c r="D2910" s="7"/>
      <c r="E2910" s="8"/>
      <c r="F2910" t="str">
        <f t="shared" si="117"/>
        <v/>
      </c>
      <c r="G2910" t="str">
        <f t="shared" si="118"/>
        <v/>
      </c>
    </row>
    <row r="2911" spans="2:7" x14ac:dyDescent="0.25">
      <c r="B2911" s="6"/>
      <c r="C2911" s="7"/>
      <c r="D2911" s="7"/>
      <c r="E2911" s="8"/>
      <c r="F2911" t="str">
        <f t="shared" si="117"/>
        <v/>
      </c>
      <c r="G2911" t="str">
        <f t="shared" si="118"/>
        <v/>
      </c>
    </row>
    <row r="2912" spans="2:7" x14ac:dyDescent="0.25">
      <c r="B2912" s="6"/>
      <c r="C2912" s="7"/>
      <c r="D2912" s="7"/>
      <c r="E2912" s="8"/>
      <c r="F2912" t="str">
        <f t="shared" si="117"/>
        <v/>
      </c>
      <c r="G2912" t="str">
        <f t="shared" si="118"/>
        <v/>
      </c>
    </row>
    <row r="2913" spans="2:7" x14ac:dyDescent="0.25">
      <c r="B2913" s="6"/>
      <c r="C2913" s="7"/>
      <c r="D2913" s="7"/>
      <c r="E2913" s="8"/>
      <c r="F2913" t="str">
        <f t="shared" si="117"/>
        <v/>
      </c>
      <c r="G2913" t="str">
        <f t="shared" si="118"/>
        <v/>
      </c>
    </row>
    <row r="2914" spans="2:7" x14ac:dyDescent="0.25">
      <c r="B2914" s="6"/>
      <c r="C2914" s="7"/>
      <c r="D2914" s="7"/>
      <c r="E2914" s="8"/>
      <c r="F2914" t="str">
        <f t="shared" si="117"/>
        <v/>
      </c>
      <c r="G2914" t="str">
        <f t="shared" si="118"/>
        <v/>
      </c>
    </row>
    <row r="2915" spans="2:7" x14ac:dyDescent="0.25">
      <c r="B2915" s="6"/>
      <c r="C2915" s="7"/>
      <c r="D2915" s="7"/>
      <c r="E2915" s="8"/>
      <c r="F2915" t="str">
        <f t="shared" si="117"/>
        <v/>
      </c>
      <c r="G2915" t="str">
        <f t="shared" si="118"/>
        <v/>
      </c>
    </row>
    <row r="2916" spans="2:7" x14ac:dyDescent="0.25">
      <c r="B2916" s="6"/>
      <c r="C2916" s="7"/>
      <c r="D2916" s="7"/>
      <c r="E2916" s="8"/>
      <c r="F2916" t="str">
        <f t="shared" si="117"/>
        <v/>
      </c>
      <c r="G2916" t="str">
        <f t="shared" si="118"/>
        <v/>
      </c>
    </row>
    <row r="2917" spans="2:7" x14ac:dyDescent="0.25">
      <c r="B2917" s="6"/>
      <c r="C2917" s="7"/>
      <c r="D2917" s="7"/>
      <c r="E2917" s="8"/>
      <c r="F2917" t="str">
        <f t="shared" si="117"/>
        <v/>
      </c>
      <c r="G2917" t="str">
        <f t="shared" si="118"/>
        <v/>
      </c>
    </row>
    <row r="2918" spans="2:7" x14ac:dyDescent="0.25">
      <c r="B2918" s="6"/>
      <c r="C2918" s="7"/>
      <c r="D2918" s="7"/>
      <c r="E2918" s="8"/>
      <c r="F2918" t="str">
        <f t="shared" si="117"/>
        <v/>
      </c>
      <c r="G2918" t="str">
        <f t="shared" si="118"/>
        <v/>
      </c>
    </row>
    <row r="2919" spans="2:7" x14ac:dyDescent="0.25">
      <c r="B2919" s="6"/>
      <c r="C2919" s="7"/>
      <c r="D2919" s="7"/>
      <c r="E2919" s="8"/>
      <c r="F2919" t="str">
        <f t="shared" si="117"/>
        <v/>
      </c>
      <c r="G2919" t="str">
        <f t="shared" si="118"/>
        <v/>
      </c>
    </row>
    <row r="2920" spans="2:7" x14ac:dyDescent="0.25">
      <c r="B2920" s="6"/>
      <c r="C2920" s="7"/>
      <c r="D2920" s="7"/>
      <c r="E2920" s="8"/>
      <c r="F2920" t="str">
        <f t="shared" si="117"/>
        <v/>
      </c>
      <c r="G2920" t="str">
        <f t="shared" si="118"/>
        <v/>
      </c>
    </row>
    <row r="2921" spans="2:7" x14ac:dyDescent="0.25">
      <c r="B2921" s="6"/>
      <c r="C2921" s="7"/>
      <c r="D2921" s="7"/>
      <c r="E2921" s="8"/>
      <c r="F2921" t="str">
        <f t="shared" si="117"/>
        <v/>
      </c>
      <c r="G2921" t="str">
        <f t="shared" si="118"/>
        <v/>
      </c>
    </row>
    <row r="2922" spans="2:7" x14ac:dyDescent="0.25">
      <c r="B2922" s="6"/>
      <c r="C2922" s="7"/>
      <c r="D2922" s="7"/>
      <c r="E2922" s="8"/>
      <c r="F2922" t="str">
        <f t="shared" si="117"/>
        <v/>
      </c>
      <c r="G2922" t="str">
        <f t="shared" si="118"/>
        <v/>
      </c>
    </row>
    <row r="2923" spans="2:7" x14ac:dyDescent="0.25">
      <c r="B2923" s="6"/>
      <c r="C2923" s="7"/>
      <c r="D2923" s="7"/>
      <c r="E2923" s="8"/>
      <c r="F2923" t="str">
        <f t="shared" si="117"/>
        <v/>
      </c>
      <c r="G2923" t="str">
        <f t="shared" si="118"/>
        <v/>
      </c>
    </row>
    <row r="2924" spans="2:7" x14ac:dyDescent="0.25">
      <c r="B2924" s="6"/>
      <c r="C2924" s="7"/>
      <c r="D2924" s="7"/>
      <c r="E2924" s="8"/>
      <c r="F2924" t="str">
        <f t="shared" si="117"/>
        <v/>
      </c>
      <c r="G2924" t="str">
        <f t="shared" si="118"/>
        <v/>
      </c>
    </row>
    <row r="2925" spans="2:7" x14ac:dyDescent="0.25">
      <c r="B2925" s="6"/>
      <c r="C2925" s="7"/>
      <c r="D2925" s="7"/>
      <c r="E2925" s="8"/>
      <c r="F2925" t="str">
        <f t="shared" si="117"/>
        <v/>
      </c>
      <c r="G2925" t="str">
        <f t="shared" si="118"/>
        <v/>
      </c>
    </row>
    <row r="2926" spans="2:7" x14ac:dyDescent="0.25">
      <c r="B2926" s="6"/>
      <c r="C2926" s="7"/>
      <c r="D2926" s="7"/>
      <c r="E2926" s="8"/>
      <c r="F2926" t="str">
        <f t="shared" si="117"/>
        <v/>
      </c>
      <c r="G2926" t="str">
        <f t="shared" si="118"/>
        <v/>
      </c>
    </row>
    <row r="2927" spans="2:7" x14ac:dyDescent="0.25">
      <c r="B2927" s="6"/>
      <c r="C2927" s="7"/>
      <c r="D2927" s="7"/>
      <c r="E2927" s="8"/>
      <c r="F2927" t="str">
        <f t="shared" si="117"/>
        <v/>
      </c>
      <c r="G2927" t="str">
        <f t="shared" si="118"/>
        <v/>
      </c>
    </row>
    <row r="2928" spans="2:7" x14ac:dyDescent="0.25">
      <c r="B2928" s="6"/>
      <c r="C2928" s="7"/>
      <c r="D2928" s="7"/>
      <c r="E2928" s="8"/>
      <c r="F2928" t="str">
        <f t="shared" si="117"/>
        <v/>
      </c>
      <c r="G2928" t="str">
        <f t="shared" si="118"/>
        <v/>
      </c>
    </row>
    <row r="2929" spans="2:7" x14ac:dyDescent="0.25">
      <c r="B2929" s="6"/>
      <c r="C2929" s="7"/>
      <c r="D2929" s="7"/>
      <c r="E2929" s="8"/>
      <c r="F2929" t="str">
        <f t="shared" si="117"/>
        <v/>
      </c>
      <c r="G2929" t="str">
        <f t="shared" si="118"/>
        <v/>
      </c>
    </row>
    <row r="2930" spans="2:7" x14ac:dyDescent="0.25">
      <c r="B2930" s="6"/>
      <c r="C2930" s="7"/>
      <c r="D2930" s="7"/>
      <c r="E2930" s="8"/>
      <c r="F2930" t="str">
        <f t="shared" si="117"/>
        <v/>
      </c>
      <c r="G2930" t="str">
        <f t="shared" si="118"/>
        <v/>
      </c>
    </row>
    <row r="2931" spans="2:7" x14ac:dyDescent="0.25">
      <c r="B2931" s="6"/>
      <c r="C2931" s="7"/>
      <c r="D2931" s="7"/>
      <c r="E2931" s="8"/>
      <c r="F2931" t="str">
        <f t="shared" si="117"/>
        <v/>
      </c>
      <c r="G2931" t="str">
        <f t="shared" si="118"/>
        <v/>
      </c>
    </row>
    <row r="2932" spans="2:7" x14ac:dyDescent="0.25">
      <c r="B2932" s="6"/>
      <c r="C2932" s="7"/>
      <c r="D2932" s="7"/>
      <c r="E2932" s="8"/>
      <c r="F2932" t="str">
        <f t="shared" si="117"/>
        <v/>
      </c>
      <c r="G2932" t="str">
        <f t="shared" si="118"/>
        <v/>
      </c>
    </row>
    <row r="2933" spans="2:7" x14ac:dyDescent="0.25">
      <c r="B2933" s="6"/>
      <c r="C2933" s="7"/>
      <c r="D2933" s="7"/>
      <c r="E2933" s="8"/>
      <c r="F2933" t="str">
        <f t="shared" si="117"/>
        <v/>
      </c>
      <c r="G2933" t="str">
        <f t="shared" si="118"/>
        <v/>
      </c>
    </row>
    <row r="2934" spans="2:7" x14ac:dyDescent="0.25">
      <c r="B2934" s="6"/>
      <c r="C2934" s="7"/>
      <c r="D2934" s="7"/>
      <c r="E2934" s="8"/>
      <c r="F2934" t="str">
        <f t="shared" si="117"/>
        <v/>
      </c>
      <c r="G2934" t="str">
        <f t="shared" si="118"/>
        <v/>
      </c>
    </row>
    <row r="2935" spans="2:7" x14ac:dyDescent="0.25">
      <c r="B2935" s="6"/>
      <c r="C2935" s="7"/>
      <c r="D2935" s="7"/>
      <c r="E2935" s="8"/>
      <c r="F2935" t="str">
        <f t="shared" si="117"/>
        <v/>
      </c>
      <c r="G2935" t="str">
        <f t="shared" si="118"/>
        <v/>
      </c>
    </row>
    <row r="2936" spans="2:7" x14ac:dyDescent="0.25">
      <c r="B2936" s="6"/>
      <c r="C2936" s="7"/>
      <c r="D2936" s="7"/>
      <c r="E2936" s="8"/>
      <c r="F2936" t="str">
        <f t="shared" si="117"/>
        <v/>
      </c>
      <c r="G2936" t="str">
        <f t="shared" si="118"/>
        <v/>
      </c>
    </row>
    <row r="2937" spans="2:7" x14ac:dyDescent="0.25">
      <c r="B2937" s="6"/>
      <c r="C2937" s="7"/>
      <c r="D2937" s="7"/>
      <c r="E2937" s="8"/>
      <c r="F2937" t="str">
        <f t="shared" si="117"/>
        <v/>
      </c>
      <c r="G2937" t="str">
        <f t="shared" si="118"/>
        <v/>
      </c>
    </row>
    <row r="2938" spans="2:7" x14ac:dyDescent="0.25">
      <c r="B2938" s="6"/>
      <c r="C2938" s="7"/>
      <c r="D2938" s="7"/>
      <c r="E2938" s="8"/>
      <c r="F2938" t="str">
        <f t="shared" si="117"/>
        <v/>
      </c>
      <c r="G2938" t="str">
        <f t="shared" si="118"/>
        <v/>
      </c>
    </row>
    <row r="2939" spans="2:7" x14ac:dyDescent="0.25">
      <c r="B2939" s="6"/>
      <c r="C2939" s="7"/>
      <c r="D2939" s="7"/>
      <c r="E2939" s="8"/>
      <c r="F2939" t="str">
        <f t="shared" si="117"/>
        <v/>
      </c>
      <c r="G2939" t="str">
        <f t="shared" si="118"/>
        <v/>
      </c>
    </row>
    <row r="2940" spans="2:7" x14ac:dyDescent="0.25">
      <c r="B2940" s="6"/>
      <c r="C2940" s="7"/>
      <c r="D2940" s="7"/>
      <c r="E2940" s="8"/>
      <c r="F2940" t="str">
        <f t="shared" si="117"/>
        <v/>
      </c>
      <c r="G2940" t="str">
        <f t="shared" si="118"/>
        <v/>
      </c>
    </row>
    <row r="2941" spans="2:7" x14ac:dyDescent="0.25">
      <c r="B2941" s="6"/>
      <c r="C2941" s="7"/>
      <c r="D2941" s="7"/>
      <c r="E2941" s="8"/>
      <c r="F2941" t="str">
        <f t="shared" si="117"/>
        <v/>
      </c>
      <c r="G2941" t="str">
        <f t="shared" si="118"/>
        <v/>
      </c>
    </row>
    <row r="2942" spans="2:7" x14ac:dyDescent="0.25">
      <c r="B2942" s="6"/>
      <c r="C2942" s="7"/>
      <c r="D2942" s="7"/>
      <c r="E2942" s="8"/>
      <c r="F2942" t="str">
        <f t="shared" si="117"/>
        <v/>
      </c>
      <c r="G2942" t="str">
        <f t="shared" si="118"/>
        <v/>
      </c>
    </row>
    <row r="2943" spans="2:7" x14ac:dyDescent="0.25">
      <c r="B2943" s="6"/>
      <c r="C2943" s="7"/>
      <c r="D2943" s="7"/>
      <c r="E2943" s="8"/>
      <c r="F2943" t="str">
        <f t="shared" si="117"/>
        <v/>
      </c>
      <c r="G2943" t="str">
        <f t="shared" si="118"/>
        <v/>
      </c>
    </row>
    <row r="2944" spans="2:7" x14ac:dyDescent="0.25">
      <c r="B2944" s="6"/>
      <c r="C2944" s="7"/>
      <c r="D2944" s="7"/>
      <c r="E2944" s="8"/>
      <c r="F2944" t="str">
        <f t="shared" si="117"/>
        <v/>
      </c>
      <c r="G2944" t="str">
        <f t="shared" si="118"/>
        <v/>
      </c>
    </row>
    <row r="2945" spans="2:7" x14ac:dyDescent="0.25">
      <c r="B2945" s="6"/>
      <c r="C2945" s="7"/>
      <c r="D2945" s="7"/>
      <c r="E2945" s="8"/>
      <c r="F2945" t="str">
        <f t="shared" si="117"/>
        <v/>
      </c>
      <c r="G2945" t="str">
        <f t="shared" si="118"/>
        <v/>
      </c>
    </row>
    <row r="2946" spans="2:7" x14ac:dyDescent="0.25">
      <c r="B2946" s="6"/>
      <c r="C2946" s="7"/>
      <c r="D2946" s="7"/>
      <c r="E2946" s="8"/>
      <c r="F2946" t="str">
        <f t="shared" si="117"/>
        <v/>
      </c>
      <c r="G2946" t="str">
        <f t="shared" si="118"/>
        <v/>
      </c>
    </row>
    <row r="2947" spans="2:7" x14ac:dyDescent="0.25">
      <c r="B2947" s="6"/>
      <c r="C2947" s="7"/>
      <c r="D2947" s="7"/>
      <c r="E2947" s="8"/>
      <c r="F2947" t="str">
        <f t="shared" si="117"/>
        <v/>
      </c>
      <c r="G2947" t="str">
        <f t="shared" si="118"/>
        <v/>
      </c>
    </row>
    <row r="2948" spans="2:7" x14ac:dyDescent="0.25">
      <c r="B2948" s="6"/>
      <c r="C2948" s="7"/>
      <c r="D2948" s="7"/>
      <c r="E2948" s="8"/>
      <c r="F2948" t="str">
        <f t="shared" ref="F2948:F3011" si="119">IF(B2948="","",LOG10(D2948))</f>
        <v/>
      </c>
      <c r="G2948" t="str">
        <f t="shared" ref="G2948:G3011" si="120">IF(E2948="", "",0.434*E2948/D2948)</f>
        <v/>
      </c>
    </row>
    <row r="2949" spans="2:7" x14ac:dyDescent="0.25">
      <c r="B2949" s="6"/>
      <c r="C2949" s="7"/>
      <c r="D2949" s="7"/>
      <c r="E2949" s="8"/>
      <c r="F2949" t="str">
        <f t="shared" si="119"/>
        <v/>
      </c>
      <c r="G2949" t="str">
        <f t="shared" si="120"/>
        <v/>
      </c>
    </row>
    <row r="2950" spans="2:7" x14ac:dyDescent="0.25">
      <c r="B2950" s="6"/>
      <c r="C2950" s="7"/>
      <c r="D2950" s="7"/>
      <c r="E2950" s="8"/>
      <c r="F2950" t="str">
        <f t="shared" si="119"/>
        <v/>
      </c>
      <c r="G2950" t="str">
        <f t="shared" si="120"/>
        <v/>
      </c>
    </row>
    <row r="2951" spans="2:7" x14ac:dyDescent="0.25">
      <c r="B2951" s="6"/>
      <c r="C2951" s="7"/>
      <c r="D2951" s="7"/>
      <c r="E2951" s="8"/>
      <c r="F2951" t="str">
        <f t="shared" si="119"/>
        <v/>
      </c>
      <c r="G2951" t="str">
        <f t="shared" si="120"/>
        <v/>
      </c>
    </row>
    <row r="2952" spans="2:7" x14ac:dyDescent="0.25">
      <c r="B2952" s="6"/>
      <c r="C2952" s="7"/>
      <c r="D2952" s="7"/>
      <c r="E2952" s="8"/>
      <c r="F2952" t="str">
        <f t="shared" si="119"/>
        <v/>
      </c>
      <c r="G2952" t="str">
        <f t="shared" si="120"/>
        <v/>
      </c>
    </row>
    <row r="2953" spans="2:7" x14ac:dyDescent="0.25">
      <c r="B2953" s="6"/>
      <c r="C2953" s="7"/>
      <c r="D2953" s="7"/>
      <c r="E2953" s="8"/>
      <c r="F2953" t="str">
        <f t="shared" si="119"/>
        <v/>
      </c>
      <c r="G2953" t="str">
        <f t="shared" si="120"/>
        <v/>
      </c>
    </row>
    <row r="2954" spans="2:7" x14ac:dyDescent="0.25">
      <c r="B2954" s="6"/>
      <c r="C2954" s="7"/>
      <c r="D2954" s="7"/>
      <c r="E2954" s="8"/>
      <c r="F2954" t="str">
        <f t="shared" si="119"/>
        <v/>
      </c>
      <c r="G2954" t="str">
        <f t="shared" si="120"/>
        <v/>
      </c>
    </row>
    <row r="2955" spans="2:7" x14ac:dyDescent="0.25">
      <c r="B2955" s="6"/>
      <c r="C2955" s="7"/>
      <c r="D2955" s="7"/>
      <c r="E2955" s="8"/>
      <c r="F2955" t="str">
        <f t="shared" si="119"/>
        <v/>
      </c>
      <c r="G2955" t="str">
        <f t="shared" si="120"/>
        <v/>
      </c>
    </row>
    <row r="2956" spans="2:7" x14ac:dyDescent="0.25">
      <c r="B2956" s="6"/>
      <c r="C2956" s="7"/>
      <c r="D2956" s="7"/>
      <c r="E2956" s="8"/>
      <c r="F2956" t="str">
        <f t="shared" si="119"/>
        <v/>
      </c>
      <c r="G2956" t="str">
        <f t="shared" si="120"/>
        <v/>
      </c>
    </row>
    <row r="2957" spans="2:7" x14ac:dyDescent="0.25">
      <c r="B2957" s="6"/>
      <c r="C2957" s="7"/>
      <c r="D2957" s="7"/>
      <c r="E2957" s="8"/>
      <c r="F2957" t="str">
        <f t="shared" si="119"/>
        <v/>
      </c>
      <c r="G2957" t="str">
        <f t="shared" si="120"/>
        <v/>
      </c>
    </row>
    <row r="2958" spans="2:7" x14ac:dyDescent="0.25">
      <c r="B2958" s="6"/>
      <c r="C2958" s="7"/>
      <c r="D2958" s="7"/>
      <c r="E2958" s="8"/>
      <c r="F2958" t="str">
        <f t="shared" si="119"/>
        <v/>
      </c>
      <c r="G2958" t="str">
        <f t="shared" si="120"/>
        <v/>
      </c>
    </row>
    <row r="2959" spans="2:7" x14ac:dyDescent="0.25">
      <c r="B2959" s="6"/>
      <c r="C2959" s="7"/>
      <c r="D2959" s="7"/>
      <c r="E2959" s="8"/>
      <c r="F2959" t="str">
        <f t="shared" si="119"/>
        <v/>
      </c>
      <c r="G2959" t="str">
        <f t="shared" si="120"/>
        <v/>
      </c>
    </row>
    <row r="2960" spans="2:7" x14ac:dyDescent="0.25">
      <c r="B2960" s="6"/>
      <c r="C2960" s="7"/>
      <c r="D2960" s="7"/>
      <c r="E2960" s="8"/>
      <c r="F2960" t="str">
        <f t="shared" si="119"/>
        <v/>
      </c>
      <c r="G2960" t="str">
        <f t="shared" si="120"/>
        <v/>
      </c>
    </row>
    <row r="2961" spans="2:7" x14ac:dyDescent="0.25">
      <c r="B2961" s="6"/>
      <c r="C2961" s="7"/>
      <c r="D2961" s="7"/>
      <c r="E2961" s="8"/>
      <c r="F2961" t="str">
        <f t="shared" si="119"/>
        <v/>
      </c>
      <c r="G2961" t="str">
        <f t="shared" si="120"/>
        <v/>
      </c>
    </row>
    <row r="2962" spans="2:7" x14ac:dyDescent="0.25">
      <c r="B2962" s="6"/>
      <c r="C2962" s="7"/>
      <c r="D2962" s="7"/>
      <c r="E2962" s="8"/>
      <c r="F2962" t="str">
        <f t="shared" si="119"/>
        <v/>
      </c>
      <c r="G2962" t="str">
        <f t="shared" si="120"/>
        <v/>
      </c>
    </row>
    <row r="2963" spans="2:7" x14ac:dyDescent="0.25">
      <c r="B2963" s="6"/>
      <c r="C2963" s="7"/>
      <c r="D2963" s="7"/>
      <c r="E2963" s="8"/>
      <c r="F2963" t="str">
        <f t="shared" si="119"/>
        <v/>
      </c>
      <c r="G2963" t="str">
        <f t="shared" si="120"/>
        <v/>
      </c>
    </row>
    <row r="2964" spans="2:7" x14ac:dyDescent="0.25">
      <c r="B2964" s="6"/>
      <c r="C2964" s="7"/>
      <c r="D2964" s="7"/>
      <c r="E2964" s="8"/>
      <c r="F2964" t="str">
        <f t="shared" si="119"/>
        <v/>
      </c>
      <c r="G2964" t="str">
        <f t="shared" si="120"/>
        <v/>
      </c>
    </row>
    <row r="2965" spans="2:7" x14ac:dyDescent="0.25">
      <c r="B2965" s="6"/>
      <c r="C2965" s="7"/>
      <c r="D2965" s="7"/>
      <c r="E2965" s="8"/>
      <c r="F2965" t="str">
        <f t="shared" si="119"/>
        <v/>
      </c>
      <c r="G2965" t="str">
        <f t="shared" si="120"/>
        <v/>
      </c>
    </row>
    <row r="2966" spans="2:7" x14ac:dyDescent="0.25">
      <c r="B2966" s="6"/>
      <c r="C2966" s="7"/>
      <c r="D2966" s="7"/>
      <c r="E2966" s="8"/>
      <c r="F2966" t="str">
        <f t="shared" si="119"/>
        <v/>
      </c>
      <c r="G2966" t="str">
        <f t="shared" si="120"/>
        <v/>
      </c>
    </row>
    <row r="2967" spans="2:7" x14ac:dyDescent="0.25">
      <c r="B2967" s="6"/>
      <c r="C2967" s="7"/>
      <c r="D2967" s="7"/>
      <c r="E2967" s="8"/>
      <c r="F2967" t="str">
        <f t="shared" si="119"/>
        <v/>
      </c>
      <c r="G2967" t="str">
        <f t="shared" si="120"/>
        <v/>
      </c>
    </row>
    <row r="2968" spans="2:7" x14ac:dyDescent="0.25">
      <c r="B2968" s="6"/>
      <c r="C2968" s="7"/>
      <c r="D2968" s="7"/>
      <c r="E2968" s="8"/>
      <c r="F2968" t="str">
        <f t="shared" si="119"/>
        <v/>
      </c>
      <c r="G2968" t="str">
        <f t="shared" si="120"/>
        <v/>
      </c>
    </row>
    <row r="2969" spans="2:7" x14ac:dyDescent="0.25">
      <c r="B2969" s="6"/>
      <c r="C2969" s="7"/>
      <c r="D2969" s="7"/>
      <c r="E2969" s="8"/>
      <c r="F2969" t="str">
        <f t="shared" si="119"/>
        <v/>
      </c>
      <c r="G2969" t="str">
        <f t="shared" si="120"/>
        <v/>
      </c>
    </row>
    <row r="2970" spans="2:7" x14ac:dyDescent="0.25">
      <c r="B2970" s="6"/>
      <c r="C2970" s="7"/>
      <c r="D2970" s="7"/>
      <c r="E2970" s="8"/>
      <c r="F2970" t="str">
        <f t="shared" si="119"/>
        <v/>
      </c>
      <c r="G2970" t="str">
        <f t="shared" si="120"/>
        <v/>
      </c>
    </row>
    <row r="2971" spans="2:7" x14ac:dyDescent="0.25">
      <c r="B2971" s="6"/>
      <c r="C2971" s="7"/>
      <c r="D2971" s="7"/>
      <c r="E2971" s="8"/>
      <c r="F2971" t="str">
        <f t="shared" si="119"/>
        <v/>
      </c>
      <c r="G2971" t="str">
        <f t="shared" si="120"/>
        <v/>
      </c>
    </row>
    <row r="2972" spans="2:7" x14ac:dyDescent="0.25">
      <c r="B2972" s="6"/>
      <c r="C2972" s="7"/>
      <c r="D2972" s="7"/>
      <c r="E2972" s="8"/>
      <c r="F2972" t="str">
        <f t="shared" si="119"/>
        <v/>
      </c>
      <c r="G2972" t="str">
        <f t="shared" si="120"/>
        <v/>
      </c>
    </row>
    <row r="2973" spans="2:7" x14ac:dyDescent="0.25">
      <c r="B2973" s="6"/>
      <c r="C2973" s="7"/>
      <c r="D2973" s="7"/>
      <c r="E2973" s="8"/>
      <c r="F2973" t="str">
        <f t="shared" si="119"/>
        <v/>
      </c>
      <c r="G2973" t="str">
        <f t="shared" si="120"/>
        <v/>
      </c>
    </row>
    <row r="2974" spans="2:7" x14ac:dyDescent="0.25">
      <c r="B2974" s="6"/>
      <c r="C2974" s="7"/>
      <c r="D2974" s="7"/>
      <c r="E2974" s="8"/>
      <c r="F2974" t="str">
        <f t="shared" si="119"/>
        <v/>
      </c>
      <c r="G2974" t="str">
        <f t="shared" si="120"/>
        <v/>
      </c>
    </row>
    <row r="2975" spans="2:7" x14ac:dyDescent="0.25">
      <c r="B2975" s="6"/>
      <c r="C2975" s="7"/>
      <c r="D2975" s="7"/>
      <c r="E2975" s="8"/>
      <c r="F2975" t="str">
        <f t="shared" si="119"/>
        <v/>
      </c>
      <c r="G2975" t="str">
        <f t="shared" si="120"/>
        <v/>
      </c>
    </row>
    <row r="2976" spans="2:7" x14ac:dyDescent="0.25">
      <c r="B2976" s="6"/>
      <c r="C2976" s="7"/>
      <c r="D2976" s="7"/>
      <c r="E2976" s="8"/>
      <c r="F2976" t="str">
        <f t="shared" si="119"/>
        <v/>
      </c>
      <c r="G2976" t="str">
        <f t="shared" si="120"/>
        <v/>
      </c>
    </row>
    <row r="2977" spans="2:7" x14ac:dyDescent="0.25">
      <c r="B2977" s="6"/>
      <c r="C2977" s="7"/>
      <c r="D2977" s="7"/>
      <c r="E2977" s="8"/>
      <c r="F2977" t="str">
        <f t="shared" si="119"/>
        <v/>
      </c>
      <c r="G2977" t="str">
        <f t="shared" si="120"/>
        <v/>
      </c>
    </row>
    <row r="2978" spans="2:7" x14ac:dyDescent="0.25">
      <c r="B2978" s="6"/>
      <c r="C2978" s="7"/>
      <c r="D2978" s="7"/>
      <c r="E2978" s="8"/>
      <c r="F2978" t="str">
        <f t="shared" si="119"/>
        <v/>
      </c>
      <c r="G2978" t="str">
        <f t="shared" si="120"/>
        <v/>
      </c>
    </row>
    <row r="2979" spans="2:7" x14ac:dyDescent="0.25">
      <c r="B2979" s="6"/>
      <c r="C2979" s="7"/>
      <c r="D2979" s="7"/>
      <c r="E2979" s="8"/>
      <c r="F2979" t="str">
        <f t="shared" si="119"/>
        <v/>
      </c>
      <c r="G2979" t="str">
        <f t="shared" si="120"/>
        <v/>
      </c>
    </row>
    <row r="2980" spans="2:7" x14ac:dyDescent="0.25">
      <c r="B2980" s="6"/>
      <c r="C2980" s="7"/>
      <c r="D2980" s="7"/>
      <c r="E2980" s="8"/>
      <c r="F2980" t="str">
        <f t="shared" si="119"/>
        <v/>
      </c>
      <c r="G2980" t="str">
        <f t="shared" si="120"/>
        <v/>
      </c>
    </row>
    <row r="2981" spans="2:7" x14ac:dyDescent="0.25">
      <c r="B2981" s="6"/>
      <c r="C2981" s="7"/>
      <c r="D2981" s="7"/>
      <c r="E2981" s="8"/>
      <c r="F2981" t="str">
        <f t="shared" si="119"/>
        <v/>
      </c>
      <c r="G2981" t="str">
        <f t="shared" si="120"/>
        <v/>
      </c>
    </row>
    <row r="2982" spans="2:7" x14ac:dyDescent="0.25">
      <c r="B2982" s="6"/>
      <c r="C2982" s="7"/>
      <c r="D2982" s="7"/>
      <c r="E2982" s="8"/>
      <c r="F2982" t="str">
        <f t="shared" si="119"/>
        <v/>
      </c>
      <c r="G2982" t="str">
        <f t="shared" si="120"/>
        <v/>
      </c>
    </row>
    <row r="2983" spans="2:7" x14ac:dyDescent="0.25">
      <c r="B2983" s="6"/>
      <c r="C2983" s="7"/>
      <c r="D2983" s="7"/>
      <c r="E2983" s="8"/>
      <c r="F2983" t="str">
        <f t="shared" si="119"/>
        <v/>
      </c>
      <c r="G2983" t="str">
        <f t="shared" si="120"/>
        <v/>
      </c>
    </row>
    <row r="2984" spans="2:7" x14ac:dyDescent="0.25">
      <c r="B2984" s="6"/>
      <c r="C2984" s="7"/>
      <c r="D2984" s="7"/>
      <c r="E2984" s="8"/>
      <c r="F2984" t="str">
        <f t="shared" si="119"/>
        <v/>
      </c>
      <c r="G2984" t="str">
        <f t="shared" si="120"/>
        <v/>
      </c>
    </row>
    <row r="2985" spans="2:7" x14ac:dyDescent="0.25">
      <c r="B2985" s="6"/>
      <c r="C2985" s="7"/>
      <c r="D2985" s="7"/>
      <c r="E2985" s="8"/>
      <c r="F2985" t="str">
        <f t="shared" si="119"/>
        <v/>
      </c>
      <c r="G2985" t="str">
        <f t="shared" si="120"/>
        <v/>
      </c>
    </row>
    <row r="2986" spans="2:7" x14ac:dyDescent="0.25">
      <c r="B2986" s="6"/>
      <c r="C2986" s="7"/>
      <c r="D2986" s="7"/>
      <c r="E2986" s="8"/>
      <c r="F2986" t="str">
        <f t="shared" si="119"/>
        <v/>
      </c>
      <c r="G2986" t="str">
        <f t="shared" si="120"/>
        <v/>
      </c>
    </row>
    <row r="2987" spans="2:7" x14ac:dyDescent="0.25">
      <c r="B2987" s="6"/>
      <c r="C2987" s="7"/>
      <c r="D2987" s="7"/>
      <c r="E2987" s="8"/>
      <c r="F2987" t="str">
        <f t="shared" si="119"/>
        <v/>
      </c>
      <c r="G2987" t="str">
        <f t="shared" si="120"/>
        <v/>
      </c>
    </row>
    <row r="2988" spans="2:7" x14ac:dyDescent="0.25">
      <c r="B2988" s="6"/>
      <c r="C2988" s="7"/>
      <c r="D2988" s="7"/>
      <c r="E2988" s="8"/>
      <c r="F2988" t="str">
        <f t="shared" si="119"/>
        <v/>
      </c>
      <c r="G2988" t="str">
        <f t="shared" si="120"/>
        <v/>
      </c>
    </row>
    <row r="2989" spans="2:7" x14ac:dyDescent="0.25">
      <c r="B2989" s="6"/>
      <c r="C2989" s="7"/>
      <c r="D2989" s="7"/>
      <c r="E2989" s="8"/>
      <c r="F2989" t="str">
        <f t="shared" si="119"/>
        <v/>
      </c>
      <c r="G2989" t="str">
        <f t="shared" si="120"/>
        <v/>
      </c>
    </row>
    <row r="2990" spans="2:7" x14ac:dyDescent="0.25">
      <c r="B2990" s="6"/>
      <c r="C2990" s="7"/>
      <c r="D2990" s="7"/>
      <c r="E2990" s="8"/>
      <c r="F2990" t="str">
        <f t="shared" si="119"/>
        <v/>
      </c>
      <c r="G2990" t="str">
        <f t="shared" si="120"/>
        <v/>
      </c>
    </row>
    <row r="2991" spans="2:7" x14ac:dyDescent="0.25">
      <c r="B2991" s="6"/>
      <c r="C2991" s="7"/>
      <c r="D2991" s="7"/>
      <c r="E2991" s="8"/>
      <c r="F2991" t="str">
        <f t="shared" si="119"/>
        <v/>
      </c>
      <c r="G2991" t="str">
        <f t="shared" si="120"/>
        <v/>
      </c>
    </row>
    <row r="2992" spans="2:7" x14ac:dyDescent="0.25">
      <c r="B2992" s="6"/>
      <c r="C2992" s="7"/>
      <c r="D2992" s="7"/>
      <c r="E2992" s="8"/>
      <c r="F2992" t="str">
        <f t="shared" si="119"/>
        <v/>
      </c>
      <c r="G2992" t="str">
        <f t="shared" si="120"/>
        <v/>
      </c>
    </row>
    <row r="2993" spans="2:7" x14ac:dyDescent="0.25">
      <c r="B2993" s="6"/>
      <c r="C2993" s="7"/>
      <c r="D2993" s="7"/>
      <c r="E2993" s="8"/>
      <c r="F2993" t="str">
        <f t="shared" si="119"/>
        <v/>
      </c>
      <c r="G2993" t="str">
        <f t="shared" si="120"/>
        <v/>
      </c>
    </row>
    <row r="2994" spans="2:7" x14ac:dyDescent="0.25">
      <c r="B2994" s="6"/>
      <c r="C2994" s="7"/>
      <c r="D2994" s="7"/>
      <c r="E2994" s="8"/>
      <c r="F2994" t="str">
        <f t="shared" si="119"/>
        <v/>
      </c>
      <c r="G2994" t="str">
        <f t="shared" si="120"/>
        <v/>
      </c>
    </row>
    <row r="2995" spans="2:7" x14ac:dyDescent="0.25">
      <c r="B2995" s="6"/>
      <c r="C2995" s="7"/>
      <c r="D2995" s="7"/>
      <c r="E2995" s="8"/>
      <c r="F2995" t="str">
        <f t="shared" si="119"/>
        <v/>
      </c>
      <c r="G2995" t="str">
        <f t="shared" si="120"/>
        <v/>
      </c>
    </row>
    <row r="2996" spans="2:7" x14ac:dyDescent="0.25">
      <c r="B2996" s="6"/>
      <c r="C2996" s="7"/>
      <c r="D2996" s="7"/>
      <c r="E2996" s="8"/>
      <c r="F2996" t="str">
        <f t="shared" si="119"/>
        <v/>
      </c>
      <c r="G2996" t="str">
        <f t="shared" si="120"/>
        <v/>
      </c>
    </row>
    <row r="2997" spans="2:7" x14ac:dyDescent="0.25">
      <c r="B2997" s="6"/>
      <c r="C2997" s="7"/>
      <c r="D2997" s="7"/>
      <c r="E2997" s="8"/>
      <c r="F2997" t="str">
        <f t="shared" si="119"/>
        <v/>
      </c>
      <c r="G2997" t="str">
        <f t="shared" si="120"/>
        <v/>
      </c>
    </row>
    <row r="2998" spans="2:7" x14ac:dyDescent="0.25">
      <c r="B2998" s="6"/>
      <c r="C2998" s="7"/>
      <c r="D2998" s="7"/>
      <c r="E2998" s="8"/>
      <c r="F2998" t="str">
        <f t="shared" si="119"/>
        <v/>
      </c>
      <c r="G2998" t="str">
        <f t="shared" si="120"/>
        <v/>
      </c>
    </row>
    <row r="2999" spans="2:7" x14ac:dyDescent="0.25">
      <c r="B2999" s="6"/>
      <c r="C2999" s="7"/>
      <c r="D2999" s="7"/>
      <c r="E2999" s="8"/>
      <c r="F2999" t="str">
        <f t="shared" si="119"/>
        <v/>
      </c>
      <c r="G2999" t="str">
        <f t="shared" si="120"/>
        <v/>
      </c>
    </row>
    <row r="3000" spans="2:7" x14ac:dyDescent="0.25">
      <c r="B3000" s="6"/>
      <c r="C3000" s="7"/>
      <c r="D3000" s="7"/>
      <c r="E3000" s="8"/>
      <c r="F3000" t="str">
        <f t="shared" si="119"/>
        <v/>
      </c>
      <c r="G3000" t="str">
        <f t="shared" si="120"/>
        <v/>
      </c>
    </row>
    <row r="3001" spans="2:7" x14ac:dyDescent="0.25">
      <c r="B3001" s="6"/>
      <c r="C3001" s="7"/>
      <c r="D3001" s="7"/>
      <c r="E3001" s="8"/>
      <c r="F3001" t="str">
        <f t="shared" si="119"/>
        <v/>
      </c>
      <c r="G3001" t="str">
        <f t="shared" si="120"/>
        <v/>
      </c>
    </row>
    <row r="3002" spans="2:7" x14ac:dyDescent="0.25">
      <c r="B3002" s="6"/>
      <c r="C3002" s="7"/>
      <c r="D3002" s="7"/>
      <c r="E3002" s="8"/>
      <c r="F3002" t="str">
        <f t="shared" si="119"/>
        <v/>
      </c>
      <c r="G3002" t="str">
        <f t="shared" si="120"/>
        <v/>
      </c>
    </row>
    <row r="3003" spans="2:7" x14ac:dyDescent="0.25">
      <c r="B3003" s="6"/>
      <c r="C3003" s="7"/>
      <c r="D3003" s="7"/>
      <c r="E3003" s="8"/>
      <c r="F3003" t="str">
        <f t="shared" si="119"/>
        <v/>
      </c>
      <c r="G3003" t="str">
        <f t="shared" si="120"/>
        <v/>
      </c>
    </row>
    <row r="3004" spans="2:7" x14ac:dyDescent="0.25">
      <c r="B3004" s="6"/>
      <c r="C3004" s="7"/>
      <c r="D3004" s="7"/>
      <c r="E3004" s="8"/>
      <c r="F3004" t="str">
        <f t="shared" si="119"/>
        <v/>
      </c>
      <c r="G3004" t="str">
        <f t="shared" si="120"/>
        <v/>
      </c>
    </row>
    <row r="3005" spans="2:7" x14ac:dyDescent="0.25">
      <c r="B3005" s="6"/>
      <c r="C3005" s="7"/>
      <c r="D3005" s="7"/>
      <c r="E3005" s="8"/>
      <c r="F3005" t="str">
        <f t="shared" si="119"/>
        <v/>
      </c>
      <c r="G3005" t="str">
        <f t="shared" si="120"/>
        <v/>
      </c>
    </row>
    <row r="3006" spans="2:7" x14ac:dyDescent="0.25">
      <c r="B3006" s="6"/>
      <c r="C3006" s="7"/>
      <c r="D3006" s="7"/>
      <c r="E3006" s="8"/>
      <c r="F3006" t="str">
        <f t="shared" si="119"/>
        <v/>
      </c>
      <c r="G3006" t="str">
        <f t="shared" si="120"/>
        <v/>
      </c>
    </row>
    <row r="3007" spans="2:7" x14ac:dyDescent="0.25">
      <c r="B3007" s="6"/>
      <c r="C3007" s="7"/>
      <c r="D3007" s="7"/>
      <c r="E3007" s="8"/>
      <c r="F3007" t="str">
        <f t="shared" si="119"/>
        <v/>
      </c>
      <c r="G3007" t="str">
        <f t="shared" si="120"/>
        <v/>
      </c>
    </row>
    <row r="3008" spans="2:7" x14ac:dyDescent="0.25">
      <c r="B3008" s="6"/>
      <c r="C3008" s="7"/>
      <c r="D3008" s="7"/>
      <c r="E3008" s="8"/>
      <c r="F3008" t="str">
        <f t="shared" si="119"/>
        <v/>
      </c>
      <c r="G3008" t="str">
        <f t="shared" si="120"/>
        <v/>
      </c>
    </row>
    <row r="3009" spans="2:7" x14ac:dyDescent="0.25">
      <c r="B3009" s="6"/>
      <c r="C3009" s="7"/>
      <c r="D3009" s="7"/>
      <c r="E3009" s="8"/>
      <c r="F3009" t="str">
        <f t="shared" si="119"/>
        <v/>
      </c>
      <c r="G3009" t="str">
        <f t="shared" si="120"/>
        <v/>
      </c>
    </row>
    <row r="3010" spans="2:7" x14ac:dyDescent="0.25">
      <c r="B3010" s="6"/>
      <c r="C3010" s="7"/>
      <c r="D3010" s="7"/>
      <c r="E3010" s="8"/>
      <c r="F3010" t="str">
        <f t="shared" si="119"/>
        <v/>
      </c>
      <c r="G3010" t="str">
        <f t="shared" si="120"/>
        <v/>
      </c>
    </row>
    <row r="3011" spans="2:7" x14ac:dyDescent="0.25">
      <c r="B3011" s="6"/>
      <c r="C3011" s="7"/>
      <c r="D3011" s="7"/>
      <c r="E3011" s="8"/>
      <c r="F3011" t="str">
        <f t="shared" si="119"/>
        <v/>
      </c>
      <c r="G3011" t="str">
        <f t="shared" si="120"/>
        <v/>
      </c>
    </row>
    <row r="3012" spans="2:7" x14ac:dyDescent="0.25">
      <c r="B3012" s="6"/>
      <c r="C3012" s="7"/>
      <c r="D3012" s="7"/>
      <c r="E3012" s="8"/>
      <c r="F3012" t="str">
        <f t="shared" ref="F3012:F3075" si="121">IF(B3012="","",LOG10(D3012))</f>
        <v/>
      </c>
      <c r="G3012" t="str">
        <f t="shared" ref="G3012:G3075" si="122">IF(E3012="", "",0.434*E3012/D3012)</f>
        <v/>
      </c>
    </row>
    <row r="3013" spans="2:7" x14ac:dyDescent="0.25">
      <c r="B3013" s="6"/>
      <c r="C3013" s="7"/>
      <c r="D3013" s="7"/>
      <c r="E3013" s="8"/>
      <c r="F3013" t="str">
        <f t="shared" si="121"/>
        <v/>
      </c>
      <c r="G3013" t="str">
        <f t="shared" si="122"/>
        <v/>
      </c>
    </row>
    <row r="3014" spans="2:7" x14ac:dyDescent="0.25">
      <c r="B3014" s="6"/>
      <c r="C3014" s="7"/>
      <c r="D3014" s="7"/>
      <c r="E3014" s="8"/>
      <c r="F3014" t="str">
        <f t="shared" si="121"/>
        <v/>
      </c>
      <c r="G3014" t="str">
        <f t="shared" si="122"/>
        <v/>
      </c>
    </row>
    <row r="3015" spans="2:7" x14ac:dyDescent="0.25">
      <c r="B3015" s="6"/>
      <c r="C3015" s="7"/>
      <c r="D3015" s="7"/>
      <c r="E3015" s="8"/>
      <c r="F3015" t="str">
        <f t="shared" si="121"/>
        <v/>
      </c>
      <c r="G3015" t="str">
        <f t="shared" si="122"/>
        <v/>
      </c>
    </row>
    <row r="3016" spans="2:7" x14ac:dyDescent="0.25">
      <c r="B3016" s="6"/>
      <c r="C3016" s="7"/>
      <c r="D3016" s="7"/>
      <c r="E3016" s="8"/>
      <c r="F3016" t="str">
        <f t="shared" si="121"/>
        <v/>
      </c>
      <c r="G3016" t="str">
        <f t="shared" si="122"/>
        <v/>
      </c>
    </row>
    <row r="3017" spans="2:7" x14ac:dyDescent="0.25">
      <c r="B3017" s="6"/>
      <c r="C3017" s="7"/>
      <c r="D3017" s="7"/>
      <c r="E3017" s="8"/>
      <c r="F3017" t="str">
        <f t="shared" si="121"/>
        <v/>
      </c>
      <c r="G3017" t="str">
        <f t="shared" si="122"/>
        <v/>
      </c>
    </row>
    <row r="3018" spans="2:7" x14ac:dyDescent="0.25">
      <c r="B3018" s="6"/>
      <c r="C3018" s="7"/>
      <c r="D3018" s="7"/>
      <c r="E3018" s="8"/>
      <c r="F3018" t="str">
        <f t="shared" si="121"/>
        <v/>
      </c>
      <c r="G3018" t="str">
        <f t="shared" si="122"/>
        <v/>
      </c>
    </row>
    <row r="3019" spans="2:7" x14ac:dyDescent="0.25">
      <c r="B3019" s="6"/>
      <c r="C3019" s="7"/>
      <c r="D3019" s="7"/>
      <c r="E3019" s="8"/>
      <c r="F3019" t="str">
        <f t="shared" si="121"/>
        <v/>
      </c>
      <c r="G3019" t="str">
        <f t="shared" si="122"/>
        <v/>
      </c>
    </row>
    <row r="3020" spans="2:7" x14ac:dyDescent="0.25">
      <c r="B3020" s="6"/>
      <c r="C3020" s="7"/>
      <c r="D3020" s="7"/>
      <c r="E3020" s="8"/>
      <c r="F3020" t="str">
        <f t="shared" si="121"/>
        <v/>
      </c>
      <c r="G3020" t="str">
        <f t="shared" si="122"/>
        <v/>
      </c>
    </row>
    <row r="3021" spans="2:7" x14ac:dyDescent="0.25">
      <c r="B3021" s="6"/>
      <c r="C3021" s="7"/>
      <c r="D3021" s="7"/>
      <c r="E3021" s="8"/>
      <c r="F3021" t="str">
        <f t="shared" si="121"/>
        <v/>
      </c>
      <c r="G3021" t="str">
        <f t="shared" si="122"/>
        <v/>
      </c>
    </row>
    <row r="3022" spans="2:7" x14ac:dyDescent="0.25">
      <c r="B3022" s="6"/>
      <c r="C3022" s="7"/>
      <c r="D3022" s="7"/>
      <c r="E3022" s="8"/>
      <c r="F3022" t="str">
        <f t="shared" si="121"/>
        <v/>
      </c>
      <c r="G3022" t="str">
        <f t="shared" si="122"/>
        <v/>
      </c>
    </row>
    <row r="3023" spans="2:7" x14ac:dyDescent="0.25">
      <c r="B3023" s="6"/>
      <c r="C3023" s="7"/>
      <c r="D3023" s="7"/>
      <c r="E3023" s="8"/>
      <c r="F3023" t="str">
        <f t="shared" si="121"/>
        <v/>
      </c>
      <c r="G3023" t="str">
        <f t="shared" si="122"/>
        <v/>
      </c>
    </row>
    <row r="3024" spans="2:7" x14ac:dyDescent="0.25">
      <c r="B3024" s="6"/>
      <c r="C3024" s="7"/>
      <c r="D3024" s="7"/>
      <c r="E3024" s="8"/>
      <c r="F3024" t="str">
        <f t="shared" si="121"/>
        <v/>
      </c>
      <c r="G3024" t="str">
        <f t="shared" si="122"/>
        <v/>
      </c>
    </row>
    <row r="3025" spans="2:7" x14ac:dyDescent="0.25">
      <c r="B3025" s="6"/>
      <c r="C3025" s="7"/>
      <c r="D3025" s="7"/>
      <c r="E3025" s="8"/>
      <c r="F3025" t="str">
        <f t="shared" si="121"/>
        <v/>
      </c>
      <c r="G3025" t="str">
        <f t="shared" si="122"/>
        <v/>
      </c>
    </row>
    <row r="3026" spans="2:7" x14ac:dyDescent="0.25">
      <c r="B3026" s="6"/>
      <c r="C3026" s="7"/>
      <c r="D3026" s="7"/>
      <c r="E3026" s="8"/>
      <c r="F3026" t="str">
        <f t="shared" si="121"/>
        <v/>
      </c>
      <c r="G3026" t="str">
        <f t="shared" si="122"/>
        <v/>
      </c>
    </row>
    <row r="3027" spans="2:7" x14ac:dyDescent="0.25">
      <c r="B3027" s="6"/>
      <c r="C3027" s="7"/>
      <c r="D3027" s="7"/>
      <c r="E3027" s="8"/>
      <c r="F3027" t="str">
        <f t="shared" si="121"/>
        <v/>
      </c>
      <c r="G3027" t="str">
        <f t="shared" si="122"/>
        <v/>
      </c>
    </row>
    <row r="3028" spans="2:7" x14ac:dyDescent="0.25">
      <c r="B3028" s="6"/>
      <c r="C3028" s="7"/>
      <c r="D3028" s="7"/>
      <c r="E3028" s="8"/>
      <c r="F3028" t="str">
        <f t="shared" si="121"/>
        <v/>
      </c>
      <c r="G3028" t="str">
        <f t="shared" si="122"/>
        <v/>
      </c>
    </row>
    <row r="3029" spans="2:7" x14ac:dyDescent="0.25">
      <c r="B3029" s="6"/>
      <c r="C3029" s="7"/>
      <c r="D3029" s="7"/>
      <c r="E3029" s="8"/>
      <c r="F3029" t="str">
        <f t="shared" si="121"/>
        <v/>
      </c>
      <c r="G3029" t="str">
        <f t="shared" si="122"/>
        <v/>
      </c>
    </row>
    <row r="3030" spans="2:7" x14ac:dyDescent="0.25">
      <c r="B3030" s="6"/>
      <c r="C3030" s="7"/>
      <c r="D3030" s="7"/>
      <c r="E3030" s="8"/>
      <c r="F3030" t="str">
        <f t="shared" si="121"/>
        <v/>
      </c>
      <c r="G3030" t="str">
        <f t="shared" si="122"/>
        <v/>
      </c>
    </row>
    <row r="3031" spans="2:7" x14ac:dyDescent="0.25">
      <c r="B3031" s="6"/>
      <c r="C3031" s="7"/>
      <c r="D3031" s="7"/>
      <c r="E3031" s="8"/>
      <c r="F3031" t="str">
        <f t="shared" si="121"/>
        <v/>
      </c>
      <c r="G3031" t="str">
        <f t="shared" si="122"/>
        <v/>
      </c>
    </row>
    <row r="3032" spans="2:7" x14ac:dyDescent="0.25">
      <c r="B3032" s="6"/>
      <c r="C3032" s="7"/>
      <c r="D3032" s="7"/>
      <c r="E3032" s="8"/>
      <c r="F3032" t="str">
        <f t="shared" si="121"/>
        <v/>
      </c>
      <c r="G3032" t="str">
        <f t="shared" si="122"/>
        <v/>
      </c>
    </row>
    <row r="3033" spans="2:7" x14ac:dyDescent="0.25">
      <c r="B3033" s="6"/>
      <c r="C3033" s="7"/>
      <c r="D3033" s="7"/>
      <c r="E3033" s="8"/>
      <c r="F3033" t="str">
        <f t="shared" si="121"/>
        <v/>
      </c>
      <c r="G3033" t="str">
        <f t="shared" si="122"/>
        <v/>
      </c>
    </row>
    <row r="3034" spans="2:7" x14ac:dyDescent="0.25">
      <c r="B3034" s="6"/>
      <c r="C3034" s="7"/>
      <c r="D3034" s="7"/>
      <c r="E3034" s="8"/>
      <c r="F3034" t="str">
        <f t="shared" si="121"/>
        <v/>
      </c>
      <c r="G3034" t="str">
        <f t="shared" si="122"/>
        <v/>
      </c>
    </row>
    <row r="3035" spans="2:7" x14ac:dyDescent="0.25">
      <c r="B3035" s="6"/>
      <c r="C3035" s="7"/>
      <c r="D3035" s="7"/>
      <c r="E3035" s="8"/>
      <c r="F3035" t="str">
        <f t="shared" si="121"/>
        <v/>
      </c>
      <c r="G3035" t="str">
        <f t="shared" si="122"/>
        <v/>
      </c>
    </row>
    <row r="3036" spans="2:7" x14ac:dyDescent="0.25">
      <c r="B3036" s="6"/>
      <c r="C3036" s="7"/>
      <c r="D3036" s="7"/>
      <c r="E3036" s="8"/>
      <c r="F3036" t="str">
        <f t="shared" si="121"/>
        <v/>
      </c>
      <c r="G3036" t="str">
        <f t="shared" si="122"/>
        <v/>
      </c>
    </row>
    <row r="3037" spans="2:7" x14ac:dyDescent="0.25">
      <c r="B3037" s="6"/>
      <c r="C3037" s="7"/>
      <c r="D3037" s="7"/>
      <c r="E3037" s="8"/>
      <c r="F3037" t="str">
        <f t="shared" si="121"/>
        <v/>
      </c>
      <c r="G3037" t="str">
        <f t="shared" si="122"/>
        <v/>
      </c>
    </row>
    <row r="3038" spans="2:7" x14ac:dyDescent="0.25">
      <c r="B3038" s="6"/>
      <c r="C3038" s="7"/>
      <c r="D3038" s="7"/>
      <c r="E3038" s="8"/>
      <c r="F3038" t="str">
        <f t="shared" si="121"/>
        <v/>
      </c>
      <c r="G3038" t="str">
        <f t="shared" si="122"/>
        <v/>
      </c>
    </row>
    <row r="3039" spans="2:7" x14ac:dyDescent="0.25">
      <c r="B3039" s="6"/>
      <c r="C3039" s="7"/>
      <c r="D3039" s="7"/>
      <c r="E3039" s="8"/>
      <c r="F3039" t="str">
        <f t="shared" si="121"/>
        <v/>
      </c>
      <c r="G3039" t="str">
        <f t="shared" si="122"/>
        <v/>
      </c>
    </row>
    <row r="3040" spans="2:7" x14ac:dyDescent="0.25">
      <c r="B3040" s="6"/>
      <c r="C3040" s="7"/>
      <c r="D3040" s="7"/>
      <c r="E3040" s="8"/>
      <c r="F3040" t="str">
        <f t="shared" si="121"/>
        <v/>
      </c>
      <c r="G3040" t="str">
        <f t="shared" si="122"/>
        <v/>
      </c>
    </row>
    <row r="3041" spans="2:7" x14ac:dyDescent="0.25">
      <c r="B3041" s="6"/>
      <c r="C3041" s="7"/>
      <c r="D3041" s="7"/>
      <c r="E3041" s="8"/>
      <c r="F3041" t="str">
        <f t="shared" si="121"/>
        <v/>
      </c>
      <c r="G3041" t="str">
        <f t="shared" si="122"/>
        <v/>
      </c>
    </row>
    <row r="3042" spans="2:7" x14ac:dyDescent="0.25">
      <c r="B3042" s="6"/>
      <c r="C3042" s="7"/>
      <c r="D3042" s="7"/>
      <c r="E3042" s="8"/>
      <c r="F3042" t="str">
        <f t="shared" si="121"/>
        <v/>
      </c>
      <c r="G3042" t="str">
        <f t="shared" si="122"/>
        <v/>
      </c>
    </row>
    <row r="3043" spans="2:7" x14ac:dyDescent="0.25">
      <c r="B3043" s="6"/>
      <c r="C3043" s="7"/>
      <c r="D3043" s="7"/>
      <c r="E3043" s="8"/>
      <c r="F3043" t="str">
        <f t="shared" si="121"/>
        <v/>
      </c>
      <c r="G3043" t="str">
        <f t="shared" si="122"/>
        <v/>
      </c>
    </row>
    <row r="3044" spans="2:7" x14ac:dyDescent="0.25">
      <c r="B3044" s="6"/>
      <c r="C3044" s="7"/>
      <c r="D3044" s="7"/>
      <c r="E3044" s="8"/>
      <c r="F3044" t="str">
        <f t="shared" si="121"/>
        <v/>
      </c>
      <c r="G3044" t="str">
        <f t="shared" si="122"/>
        <v/>
      </c>
    </row>
    <row r="3045" spans="2:7" x14ac:dyDescent="0.25">
      <c r="B3045" s="6"/>
      <c r="C3045" s="7"/>
      <c r="D3045" s="7"/>
      <c r="E3045" s="8"/>
      <c r="F3045" t="str">
        <f t="shared" si="121"/>
        <v/>
      </c>
      <c r="G3045" t="str">
        <f t="shared" si="122"/>
        <v/>
      </c>
    </row>
    <row r="3046" spans="2:7" x14ac:dyDescent="0.25">
      <c r="B3046" s="6"/>
      <c r="C3046" s="7"/>
      <c r="D3046" s="7"/>
      <c r="E3046" s="8"/>
      <c r="F3046" t="str">
        <f t="shared" si="121"/>
        <v/>
      </c>
      <c r="G3046" t="str">
        <f t="shared" si="122"/>
        <v/>
      </c>
    </row>
    <row r="3047" spans="2:7" x14ac:dyDescent="0.25">
      <c r="B3047" s="6"/>
      <c r="C3047" s="7"/>
      <c r="D3047" s="7"/>
      <c r="E3047" s="8"/>
      <c r="F3047" t="str">
        <f t="shared" si="121"/>
        <v/>
      </c>
      <c r="G3047" t="str">
        <f t="shared" si="122"/>
        <v/>
      </c>
    </row>
    <row r="3048" spans="2:7" x14ac:dyDescent="0.25">
      <c r="B3048" s="6"/>
      <c r="C3048" s="7"/>
      <c r="D3048" s="7"/>
      <c r="E3048" s="8"/>
      <c r="F3048" t="str">
        <f t="shared" si="121"/>
        <v/>
      </c>
      <c r="G3048" t="str">
        <f t="shared" si="122"/>
        <v/>
      </c>
    </row>
    <row r="3049" spans="2:7" x14ac:dyDescent="0.25">
      <c r="B3049" s="6"/>
      <c r="C3049" s="7"/>
      <c r="D3049" s="7"/>
      <c r="E3049" s="8"/>
      <c r="F3049" t="str">
        <f t="shared" si="121"/>
        <v/>
      </c>
      <c r="G3049" t="str">
        <f t="shared" si="122"/>
        <v/>
      </c>
    </row>
    <row r="3050" spans="2:7" x14ac:dyDescent="0.25">
      <c r="B3050" s="6"/>
      <c r="C3050" s="7"/>
      <c r="D3050" s="7"/>
      <c r="E3050" s="8"/>
      <c r="F3050" t="str">
        <f t="shared" si="121"/>
        <v/>
      </c>
      <c r="G3050" t="str">
        <f t="shared" si="122"/>
        <v/>
      </c>
    </row>
    <row r="3051" spans="2:7" x14ac:dyDescent="0.25">
      <c r="B3051" s="6"/>
      <c r="C3051" s="7"/>
      <c r="D3051" s="7"/>
      <c r="E3051" s="8"/>
      <c r="F3051" t="str">
        <f t="shared" si="121"/>
        <v/>
      </c>
      <c r="G3051" t="str">
        <f t="shared" si="122"/>
        <v/>
      </c>
    </row>
    <row r="3052" spans="2:7" x14ac:dyDescent="0.25">
      <c r="B3052" s="6"/>
      <c r="C3052" s="7"/>
      <c r="D3052" s="7"/>
      <c r="E3052" s="8"/>
      <c r="F3052" t="str">
        <f t="shared" si="121"/>
        <v/>
      </c>
      <c r="G3052" t="str">
        <f t="shared" si="122"/>
        <v/>
      </c>
    </row>
    <row r="3053" spans="2:7" x14ac:dyDescent="0.25">
      <c r="B3053" s="6"/>
      <c r="C3053" s="7"/>
      <c r="D3053" s="7"/>
      <c r="E3053" s="8"/>
      <c r="F3053" t="str">
        <f t="shared" si="121"/>
        <v/>
      </c>
      <c r="G3053" t="str">
        <f t="shared" si="122"/>
        <v/>
      </c>
    </row>
    <row r="3054" spans="2:7" x14ac:dyDescent="0.25">
      <c r="B3054" s="6"/>
      <c r="C3054" s="7"/>
      <c r="D3054" s="7"/>
      <c r="E3054" s="8"/>
      <c r="F3054" t="str">
        <f t="shared" si="121"/>
        <v/>
      </c>
      <c r="G3054" t="str">
        <f t="shared" si="122"/>
        <v/>
      </c>
    </row>
    <row r="3055" spans="2:7" x14ac:dyDescent="0.25">
      <c r="B3055" s="6"/>
      <c r="C3055" s="7"/>
      <c r="D3055" s="7"/>
      <c r="E3055" s="8"/>
      <c r="F3055" t="str">
        <f t="shared" si="121"/>
        <v/>
      </c>
      <c r="G3055" t="str">
        <f t="shared" si="122"/>
        <v/>
      </c>
    </row>
    <row r="3056" spans="2:7" x14ac:dyDescent="0.25">
      <c r="B3056" s="6"/>
      <c r="C3056" s="7"/>
      <c r="D3056" s="7"/>
      <c r="E3056" s="8"/>
      <c r="F3056" t="str">
        <f t="shared" si="121"/>
        <v/>
      </c>
      <c r="G3056" t="str">
        <f t="shared" si="122"/>
        <v/>
      </c>
    </row>
    <row r="3057" spans="2:7" x14ac:dyDescent="0.25">
      <c r="B3057" s="6"/>
      <c r="C3057" s="7"/>
      <c r="D3057" s="7"/>
      <c r="E3057" s="8"/>
      <c r="F3057" t="str">
        <f t="shared" si="121"/>
        <v/>
      </c>
      <c r="G3057" t="str">
        <f t="shared" si="122"/>
        <v/>
      </c>
    </row>
    <row r="3058" spans="2:7" x14ac:dyDescent="0.25">
      <c r="B3058" s="6"/>
      <c r="C3058" s="7"/>
      <c r="D3058" s="7"/>
      <c r="E3058" s="8"/>
      <c r="F3058" t="str">
        <f t="shared" si="121"/>
        <v/>
      </c>
      <c r="G3058" t="str">
        <f t="shared" si="122"/>
        <v/>
      </c>
    </row>
    <row r="3059" spans="2:7" x14ac:dyDescent="0.25">
      <c r="B3059" s="6"/>
      <c r="C3059" s="7"/>
      <c r="D3059" s="7"/>
      <c r="E3059" s="8"/>
      <c r="F3059" t="str">
        <f t="shared" si="121"/>
        <v/>
      </c>
      <c r="G3059" t="str">
        <f t="shared" si="122"/>
        <v/>
      </c>
    </row>
    <row r="3060" spans="2:7" x14ac:dyDescent="0.25">
      <c r="B3060" s="6"/>
      <c r="C3060" s="7"/>
      <c r="D3060" s="7"/>
      <c r="E3060" s="8"/>
      <c r="F3060" t="str">
        <f t="shared" si="121"/>
        <v/>
      </c>
      <c r="G3060" t="str">
        <f t="shared" si="122"/>
        <v/>
      </c>
    </row>
    <row r="3061" spans="2:7" x14ac:dyDescent="0.25">
      <c r="B3061" s="6"/>
      <c r="C3061" s="7"/>
      <c r="D3061" s="7"/>
      <c r="E3061" s="8"/>
      <c r="F3061" t="str">
        <f t="shared" si="121"/>
        <v/>
      </c>
      <c r="G3061" t="str">
        <f t="shared" si="122"/>
        <v/>
      </c>
    </row>
    <row r="3062" spans="2:7" x14ac:dyDescent="0.25">
      <c r="B3062" s="6"/>
      <c r="C3062" s="7"/>
      <c r="D3062" s="7"/>
      <c r="E3062" s="8"/>
      <c r="F3062" t="str">
        <f t="shared" si="121"/>
        <v/>
      </c>
      <c r="G3062" t="str">
        <f t="shared" si="122"/>
        <v/>
      </c>
    </row>
    <row r="3063" spans="2:7" x14ac:dyDescent="0.25">
      <c r="B3063" s="6"/>
      <c r="C3063" s="7"/>
      <c r="D3063" s="7"/>
      <c r="E3063" s="8"/>
      <c r="F3063" t="str">
        <f t="shared" si="121"/>
        <v/>
      </c>
      <c r="G3063" t="str">
        <f t="shared" si="122"/>
        <v/>
      </c>
    </row>
    <row r="3064" spans="2:7" x14ac:dyDescent="0.25">
      <c r="B3064" s="6"/>
      <c r="C3064" s="7"/>
      <c r="D3064" s="7"/>
      <c r="E3064" s="8"/>
      <c r="F3064" t="str">
        <f t="shared" si="121"/>
        <v/>
      </c>
      <c r="G3064" t="str">
        <f t="shared" si="122"/>
        <v/>
      </c>
    </row>
    <row r="3065" spans="2:7" x14ac:dyDescent="0.25">
      <c r="B3065" s="6"/>
      <c r="C3065" s="7"/>
      <c r="D3065" s="7"/>
      <c r="E3065" s="8"/>
      <c r="F3065" t="str">
        <f t="shared" si="121"/>
        <v/>
      </c>
      <c r="G3065" t="str">
        <f t="shared" si="122"/>
        <v/>
      </c>
    </row>
    <row r="3066" spans="2:7" x14ac:dyDescent="0.25">
      <c r="B3066" s="6"/>
      <c r="C3066" s="7"/>
      <c r="D3066" s="7"/>
      <c r="E3066" s="8"/>
      <c r="F3066" t="str">
        <f t="shared" si="121"/>
        <v/>
      </c>
      <c r="G3066" t="str">
        <f t="shared" si="122"/>
        <v/>
      </c>
    </row>
    <row r="3067" spans="2:7" x14ac:dyDescent="0.25">
      <c r="B3067" s="6"/>
      <c r="C3067" s="7"/>
      <c r="D3067" s="7"/>
      <c r="E3067" s="8"/>
      <c r="F3067" t="str">
        <f t="shared" si="121"/>
        <v/>
      </c>
      <c r="G3067" t="str">
        <f t="shared" si="122"/>
        <v/>
      </c>
    </row>
    <row r="3068" spans="2:7" x14ac:dyDescent="0.25">
      <c r="B3068" s="6"/>
      <c r="C3068" s="7"/>
      <c r="D3068" s="7"/>
      <c r="E3068" s="8"/>
      <c r="F3068" t="str">
        <f t="shared" si="121"/>
        <v/>
      </c>
      <c r="G3068" t="str">
        <f t="shared" si="122"/>
        <v/>
      </c>
    </row>
    <row r="3069" spans="2:7" x14ac:dyDescent="0.25">
      <c r="B3069" s="6"/>
      <c r="C3069" s="7"/>
      <c r="D3069" s="7"/>
      <c r="E3069" s="8"/>
      <c r="F3069" t="str">
        <f t="shared" si="121"/>
        <v/>
      </c>
      <c r="G3069" t="str">
        <f t="shared" si="122"/>
        <v/>
      </c>
    </row>
    <row r="3070" spans="2:7" x14ac:dyDescent="0.25">
      <c r="B3070" s="6"/>
      <c r="C3070" s="7"/>
      <c r="D3070" s="7"/>
      <c r="E3070" s="8"/>
      <c r="F3070" t="str">
        <f t="shared" si="121"/>
        <v/>
      </c>
      <c r="G3070" t="str">
        <f t="shared" si="122"/>
        <v/>
      </c>
    </row>
    <row r="3071" spans="2:7" x14ac:dyDescent="0.25">
      <c r="B3071" s="6"/>
      <c r="C3071" s="7"/>
      <c r="D3071" s="7"/>
      <c r="E3071" s="8"/>
      <c r="F3071" t="str">
        <f t="shared" si="121"/>
        <v/>
      </c>
      <c r="G3071" t="str">
        <f t="shared" si="122"/>
        <v/>
      </c>
    </row>
    <row r="3072" spans="2:7" x14ac:dyDescent="0.25">
      <c r="B3072" s="6"/>
      <c r="C3072" s="7"/>
      <c r="D3072" s="7"/>
      <c r="E3072" s="8"/>
      <c r="F3072" t="str">
        <f t="shared" si="121"/>
        <v/>
      </c>
      <c r="G3072" t="str">
        <f t="shared" si="122"/>
        <v/>
      </c>
    </row>
    <row r="3073" spans="2:7" x14ac:dyDescent="0.25">
      <c r="B3073" s="6"/>
      <c r="C3073" s="7"/>
      <c r="D3073" s="7"/>
      <c r="E3073" s="8"/>
      <c r="F3073" t="str">
        <f t="shared" si="121"/>
        <v/>
      </c>
      <c r="G3073" t="str">
        <f t="shared" si="122"/>
        <v/>
      </c>
    </row>
    <row r="3074" spans="2:7" x14ac:dyDescent="0.25">
      <c r="B3074" s="6"/>
      <c r="C3074" s="7"/>
      <c r="D3074" s="7"/>
      <c r="E3074" s="8"/>
      <c r="F3074" t="str">
        <f t="shared" si="121"/>
        <v/>
      </c>
      <c r="G3074" t="str">
        <f t="shared" si="122"/>
        <v/>
      </c>
    </row>
    <row r="3075" spans="2:7" x14ac:dyDescent="0.25">
      <c r="B3075" s="6"/>
      <c r="C3075" s="7"/>
      <c r="D3075" s="7"/>
      <c r="E3075" s="8"/>
      <c r="F3075" t="str">
        <f t="shared" si="121"/>
        <v/>
      </c>
      <c r="G3075" t="str">
        <f t="shared" si="122"/>
        <v/>
      </c>
    </row>
    <row r="3076" spans="2:7" x14ac:dyDescent="0.25">
      <c r="B3076" s="6"/>
      <c r="C3076" s="7"/>
      <c r="D3076" s="7"/>
      <c r="E3076" s="8"/>
      <c r="F3076" t="str">
        <f t="shared" ref="F3076:F3139" si="123">IF(B3076="","",LOG10(D3076))</f>
        <v/>
      </c>
      <c r="G3076" t="str">
        <f t="shared" ref="G3076:G3139" si="124">IF(E3076="", "",0.434*E3076/D3076)</f>
        <v/>
      </c>
    </row>
    <row r="3077" spans="2:7" x14ac:dyDescent="0.25">
      <c r="B3077" s="6"/>
      <c r="C3077" s="7"/>
      <c r="D3077" s="7"/>
      <c r="E3077" s="8"/>
      <c r="F3077" t="str">
        <f t="shared" si="123"/>
        <v/>
      </c>
      <c r="G3077" t="str">
        <f t="shared" si="124"/>
        <v/>
      </c>
    </row>
    <row r="3078" spans="2:7" x14ac:dyDescent="0.25">
      <c r="B3078" s="6"/>
      <c r="C3078" s="7"/>
      <c r="D3078" s="7"/>
      <c r="E3078" s="8"/>
      <c r="F3078" t="str">
        <f t="shared" si="123"/>
        <v/>
      </c>
      <c r="G3078" t="str">
        <f t="shared" si="124"/>
        <v/>
      </c>
    </row>
    <row r="3079" spans="2:7" x14ac:dyDescent="0.25">
      <c r="B3079" s="6"/>
      <c r="C3079" s="7"/>
      <c r="D3079" s="7"/>
      <c r="E3079" s="8"/>
      <c r="F3079" t="str">
        <f t="shared" si="123"/>
        <v/>
      </c>
      <c r="G3079" t="str">
        <f t="shared" si="124"/>
        <v/>
      </c>
    </row>
    <row r="3080" spans="2:7" x14ac:dyDescent="0.25">
      <c r="B3080" s="6"/>
      <c r="C3080" s="7"/>
      <c r="D3080" s="7"/>
      <c r="E3080" s="8"/>
      <c r="F3080" t="str">
        <f t="shared" si="123"/>
        <v/>
      </c>
      <c r="G3080" t="str">
        <f t="shared" si="124"/>
        <v/>
      </c>
    </row>
    <row r="3081" spans="2:7" x14ac:dyDescent="0.25">
      <c r="B3081" s="6"/>
      <c r="C3081" s="7"/>
      <c r="D3081" s="7"/>
      <c r="E3081" s="8"/>
      <c r="F3081" t="str">
        <f t="shared" si="123"/>
        <v/>
      </c>
      <c r="G3081" t="str">
        <f t="shared" si="124"/>
        <v/>
      </c>
    </row>
    <row r="3082" spans="2:7" x14ac:dyDescent="0.25">
      <c r="B3082" s="6"/>
      <c r="C3082" s="7"/>
      <c r="D3082" s="7"/>
      <c r="E3082" s="8"/>
      <c r="F3082" t="str">
        <f t="shared" si="123"/>
        <v/>
      </c>
      <c r="G3082" t="str">
        <f t="shared" si="124"/>
        <v/>
      </c>
    </row>
    <row r="3083" spans="2:7" x14ac:dyDescent="0.25">
      <c r="B3083" s="6"/>
      <c r="C3083" s="7"/>
      <c r="D3083" s="7"/>
      <c r="E3083" s="8"/>
      <c r="F3083" t="str">
        <f t="shared" si="123"/>
        <v/>
      </c>
      <c r="G3083" t="str">
        <f t="shared" si="124"/>
        <v/>
      </c>
    </row>
    <row r="3084" spans="2:7" x14ac:dyDescent="0.25">
      <c r="B3084" s="6"/>
      <c r="C3084" s="7"/>
      <c r="D3084" s="7"/>
      <c r="E3084" s="8"/>
      <c r="F3084" t="str">
        <f t="shared" si="123"/>
        <v/>
      </c>
      <c r="G3084" t="str">
        <f t="shared" si="124"/>
        <v/>
      </c>
    </row>
    <row r="3085" spans="2:7" x14ac:dyDescent="0.25">
      <c r="B3085" s="6"/>
      <c r="C3085" s="7"/>
      <c r="D3085" s="7"/>
      <c r="E3085" s="8"/>
      <c r="F3085" t="str">
        <f t="shared" si="123"/>
        <v/>
      </c>
      <c r="G3085" t="str">
        <f t="shared" si="124"/>
        <v/>
      </c>
    </row>
    <row r="3086" spans="2:7" x14ac:dyDescent="0.25">
      <c r="B3086" s="6"/>
      <c r="C3086" s="7"/>
      <c r="D3086" s="7"/>
      <c r="E3086" s="8"/>
      <c r="F3086" t="str">
        <f t="shared" si="123"/>
        <v/>
      </c>
      <c r="G3086" t="str">
        <f t="shared" si="124"/>
        <v/>
      </c>
    </row>
    <row r="3087" spans="2:7" x14ac:dyDescent="0.25">
      <c r="B3087" s="6"/>
      <c r="C3087" s="7"/>
      <c r="D3087" s="7"/>
      <c r="E3087" s="8"/>
      <c r="F3087" t="str">
        <f t="shared" si="123"/>
        <v/>
      </c>
      <c r="G3087" t="str">
        <f t="shared" si="124"/>
        <v/>
      </c>
    </row>
    <row r="3088" spans="2:7" x14ac:dyDescent="0.25">
      <c r="B3088" s="6"/>
      <c r="C3088" s="7"/>
      <c r="D3088" s="7"/>
      <c r="E3088" s="8"/>
      <c r="F3088" t="str">
        <f t="shared" si="123"/>
        <v/>
      </c>
      <c r="G3088" t="str">
        <f t="shared" si="124"/>
        <v/>
      </c>
    </row>
    <row r="3089" spans="2:7" x14ac:dyDescent="0.25">
      <c r="B3089" s="6"/>
      <c r="C3089" s="7"/>
      <c r="D3089" s="7"/>
      <c r="E3089" s="8"/>
      <c r="F3089" t="str">
        <f t="shared" si="123"/>
        <v/>
      </c>
      <c r="G3089" t="str">
        <f t="shared" si="124"/>
        <v/>
      </c>
    </row>
    <row r="3090" spans="2:7" x14ac:dyDescent="0.25">
      <c r="B3090" s="6"/>
      <c r="C3090" s="7"/>
      <c r="D3090" s="7"/>
      <c r="E3090" s="8"/>
      <c r="F3090" t="str">
        <f t="shared" si="123"/>
        <v/>
      </c>
      <c r="G3090" t="str">
        <f t="shared" si="124"/>
        <v/>
      </c>
    </row>
    <row r="3091" spans="2:7" x14ac:dyDescent="0.25">
      <c r="B3091" s="6"/>
      <c r="C3091" s="7"/>
      <c r="D3091" s="7"/>
      <c r="E3091" s="8"/>
      <c r="F3091" t="str">
        <f t="shared" si="123"/>
        <v/>
      </c>
      <c r="G3091" t="str">
        <f t="shared" si="124"/>
        <v/>
      </c>
    </row>
    <row r="3092" spans="2:7" x14ac:dyDescent="0.25">
      <c r="B3092" s="6"/>
      <c r="C3092" s="7"/>
      <c r="D3092" s="7"/>
      <c r="E3092" s="8"/>
      <c r="F3092" t="str">
        <f t="shared" si="123"/>
        <v/>
      </c>
      <c r="G3092" t="str">
        <f t="shared" si="124"/>
        <v/>
      </c>
    </row>
    <row r="3093" spans="2:7" x14ac:dyDescent="0.25">
      <c r="B3093" s="6"/>
      <c r="C3093" s="7"/>
      <c r="D3093" s="7"/>
      <c r="E3093" s="8"/>
      <c r="F3093" t="str">
        <f t="shared" si="123"/>
        <v/>
      </c>
      <c r="G3093" t="str">
        <f t="shared" si="124"/>
        <v/>
      </c>
    </row>
    <row r="3094" spans="2:7" x14ac:dyDescent="0.25">
      <c r="B3094" s="6"/>
      <c r="C3094" s="7"/>
      <c r="D3094" s="7"/>
      <c r="E3094" s="8"/>
      <c r="F3094" t="str">
        <f t="shared" si="123"/>
        <v/>
      </c>
      <c r="G3094" t="str">
        <f t="shared" si="124"/>
        <v/>
      </c>
    </row>
    <row r="3095" spans="2:7" x14ac:dyDescent="0.25">
      <c r="B3095" s="6"/>
      <c r="C3095" s="7"/>
      <c r="D3095" s="7"/>
      <c r="E3095" s="8"/>
      <c r="F3095" t="str">
        <f t="shared" si="123"/>
        <v/>
      </c>
      <c r="G3095" t="str">
        <f t="shared" si="124"/>
        <v/>
      </c>
    </row>
    <row r="3096" spans="2:7" x14ac:dyDescent="0.25">
      <c r="B3096" s="6"/>
      <c r="C3096" s="7"/>
      <c r="D3096" s="7"/>
      <c r="E3096" s="8"/>
      <c r="F3096" t="str">
        <f t="shared" si="123"/>
        <v/>
      </c>
      <c r="G3096" t="str">
        <f t="shared" si="124"/>
        <v/>
      </c>
    </row>
    <row r="3097" spans="2:7" x14ac:dyDescent="0.25">
      <c r="B3097" s="6"/>
      <c r="C3097" s="7"/>
      <c r="D3097" s="7"/>
      <c r="E3097" s="8"/>
      <c r="F3097" t="str">
        <f t="shared" si="123"/>
        <v/>
      </c>
      <c r="G3097" t="str">
        <f t="shared" si="124"/>
        <v/>
      </c>
    </row>
    <row r="3098" spans="2:7" x14ac:dyDescent="0.25">
      <c r="B3098" s="6"/>
      <c r="C3098" s="7"/>
      <c r="D3098" s="7"/>
      <c r="E3098" s="8"/>
      <c r="F3098" t="str">
        <f t="shared" si="123"/>
        <v/>
      </c>
      <c r="G3098" t="str">
        <f t="shared" si="124"/>
        <v/>
      </c>
    </row>
    <row r="3099" spans="2:7" x14ac:dyDescent="0.25">
      <c r="B3099" s="6"/>
      <c r="C3099" s="7"/>
      <c r="D3099" s="7"/>
      <c r="E3099" s="8"/>
      <c r="F3099" t="str">
        <f t="shared" si="123"/>
        <v/>
      </c>
      <c r="G3099" t="str">
        <f t="shared" si="124"/>
        <v/>
      </c>
    </row>
    <row r="3100" spans="2:7" x14ac:dyDescent="0.25">
      <c r="B3100" s="6"/>
      <c r="C3100" s="7"/>
      <c r="D3100" s="7"/>
      <c r="E3100" s="8"/>
      <c r="F3100" t="str">
        <f t="shared" si="123"/>
        <v/>
      </c>
      <c r="G3100" t="str">
        <f t="shared" si="124"/>
        <v/>
      </c>
    </row>
    <row r="3101" spans="2:7" x14ac:dyDescent="0.25">
      <c r="B3101" s="6"/>
      <c r="C3101" s="7"/>
      <c r="D3101" s="7"/>
      <c r="E3101" s="8"/>
      <c r="F3101" t="str">
        <f t="shared" si="123"/>
        <v/>
      </c>
      <c r="G3101" t="str">
        <f t="shared" si="124"/>
        <v/>
      </c>
    </row>
    <row r="3102" spans="2:7" x14ac:dyDescent="0.25">
      <c r="B3102" s="6"/>
      <c r="C3102" s="7"/>
      <c r="D3102" s="7"/>
      <c r="E3102" s="8"/>
      <c r="F3102" t="str">
        <f t="shared" si="123"/>
        <v/>
      </c>
      <c r="G3102" t="str">
        <f t="shared" si="124"/>
        <v/>
      </c>
    </row>
    <row r="3103" spans="2:7" x14ac:dyDescent="0.25">
      <c r="B3103" s="6"/>
      <c r="C3103" s="7"/>
      <c r="D3103" s="7"/>
      <c r="E3103" s="8"/>
      <c r="F3103" t="str">
        <f t="shared" si="123"/>
        <v/>
      </c>
      <c r="G3103" t="str">
        <f t="shared" si="124"/>
        <v/>
      </c>
    </row>
    <row r="3104" spans="2:7" x14ac:dyDescent="0.25">
      <c r="B3104" s="6"/>
      <c r="C3104" s="7"/>
      <c r="D3104" s="7"/>
      <c r="E3104" s="8"/>
      <c r="F3104" t="str">
        <f t="shared" si="123"/>
        <v/>
      </c>
      <c r="G3104" t="str">
        <f t="shared" si="124"/>
        <v/>
      </c>
    </row>
    <row r="3105" spans="2:7" x14ac:dyDescent="0.25">
      <c r="B3105" s="6"/>
      <c r="C3105" s="7"/>
      <c r="D3105" s="7"/>
      <c r="E3105" s="8"/>
      <c r="F3105" t="str">
        <f t="shared" si="123"/>
        <v/>
      </c>
      <c r="G3105" t="str">
        <f t="shared" si="124"/>
        <v/>
      </c>
    </row>
    <row r="3106" spans="2:7" x14ac:dyDescent="0.25">
      <c r="B3106" s="6"/>
      <c r="C3106" s="7"/>
      <c r="D3106" s="7"/>
      <c r="E3106" s="8"/>
      <c r="F3106" t="str">
        <f t="shared" si="123"/>
        <v/>
      </c>
      <c r="G3106" t="str">
        <f t="shared" si="124"/>
        <v/>
      </c>
    </row>
    <row r="3107" spans="2:7" x14ac:dyDescent="0.25">
      <c r="B3107" s="6"/>
      <c r="C3107" s="7"/>
      <c r="D3107" s="7"/>
      <c r="E3107" s="8"/>
      <c r="F3107" t="str">
        <f t="shared" si="123"/>
        <v/>
      </c>
      <c r="G3107" t="str">
        <f t="shared" si="124"/>
        <v/>
      </c>
    </row>
    <row r="3108" spans="2:7" x14ac:dyDescent="0.25">
      <c r="B3108" s="6"/>
      <c r="C3108" s="7"/>
      <c r="D3108" s="7"/>
      <c r="E3108" s="8"/>
      <c r="F3108" t="str">
        <f t="shared" si="123"/>
        <v/>
      </c>
      <c r="G3108" t="str">
        <f t="shared" si="124"/>
        <v/>
      </c>
    </row>
    <row r="3109" spans="2:7" x14ac:dyDescent="0.25">
      <c r="B3109" s="6"/>
      <c r="C3109" s="7"/>
      <c r="D3109" s="7"/>
      <c r="E3109" s="8"/>
      <c r="F3109" t="str">
        <f t="shared" si="123"/>
        <v/>
      </c>
      <c r="G3109" t="str">
        <f t="shared" si="124"/>
        <v/>
      </c>
    </row>
    <row r="3110" spans="2:7" x14ac:dyDescent="0.25">
      <c r="B3110" s="6"/>
      <c r="C3110" s="7"/>
      <c r="D3110" s="7"/>
      <c r="E3110" s="8"/>
      <c r="F3110" t="str">
        <f t="shared" si="123"/>
        <v/>
      </c>
      <c r="G3110" t="str">
        <f t="shared" si="124"/>
        <v/>
      </c>
    </row>
    <row r="3111" spans="2:7" x14ac:dyDescent="0.25">
      <c r="B3111" s="6"/>
      <c r="C3111" s="7"/>
      <c r="D3111" s="7"/>
      <c r="E3111" s="8"/>
      <c r="F3111" t="str">
        <f t="shared" si="123"/>
        <v/>
      </c>
      <c r="G3111" t="str">
        <f t="shared" si="124"/>
        <v/>
      </c>
    </row>
    <row r="3112" spans="2:7" x14ac:dyDescent="0.25">
      <c r="B3112" s="6"/>
      <c r="C3112" s="7"/>
      <c r="D3112" s="7"/>
      <c r="E3112" s="8"/>
      <c r="F3112" t="str">
        <f t="shared" si="123"/>
        <v/>
      </c>
      <c r="G3112" t="str">
        <f t="shared" si="124"/>
        <v/>
      </c>
    </row>
    <row r="3113" spans="2:7" x14ac:dyDescent="0.25">
      <c r="B3113" s="6"/>
      <c r="C3113" s="7"/>
      <c r="D3113" s="7"/>
      <c r="E3113" s="8"/>
      <c r="F3113" t="str">
        <f t="shared" si="123"/>
        <v/>
      </c>
      <c r="G3113" t="str">
        <f t="shared" si="124"/>
        <v/>
      </c>
    </row>
    <row r="3114" spans="2:7" x14ac:dyDescent="0.25">
      <c r="B3114" s="6"/>
      <c r="C3114" s="7"/>
      <c r="D3114" s="7"/>
      <c r="E3114" s="8"/>
      <c r="F3114" t="str">
        <f t="shared" si="123"/>
        <v/>
      </c>
      <c r="G3114" t="str">
        <f t="shared" si="124"/>
        <v/>
      </c>
    </row>
    <row r="3115" spans="2:7" x14ac:dyDescent="0.25">
      <c r="B3115" s="6"/>
      <c r="C3115" s="7"/>
      <c r="D3115" s="7"/>
      <c r="E3115" s="8"/>
      <c r="F3115" t="str">
        <f t="shared" si="123"/>
        <v/>
      </c>
      <c r="G3115" t="str">
        <f t="shared" si="124"/>
        <v/>
      </c>
    </row>
    <row r="3116" spans="2:7" x14ac:dyDescent="0.25">
      <c r="B3116" s="6"/>
      <c r="C3116" s="7"/>
      <c r="D3116" s="7"/>
      <c r="E3116" s="8"/>
      <c r="F3116" t="str">
        <f t="shared" si="123"/>
        <v/>
      </c>
      <c r="G3116" t="str">
        <f t="shared" si="124"/>
        <v/>
      </c>
    </row>
    <row r="3117" spans="2:7" x14ac:dyDescent="0.25">
      <c r="B3117" s="6"/>
      <c r="C3117" s="7"/>
      <c r="D3117" s="7"/>
      <c r="E3117" s="8"/>
      <c r="F3117" t="str">
        <f t="shared" si="123"/>
        <v/>
      </c>
      <c r="G3117" t="str">
        <f t="shared" si="124"/>
        <v/>
      </c>
    </row>
    <row r="3118" spans="2:7" x14ac:dyDescent="0.25">
      <c r="B3118" s="6"/>
      <c r="C3118" s="7"/>
      <c r="D3118" s="7"/>
      <c r="E3118" s="8"/>
      <c r="F3118" t="str">
        <f t="shared" si="123"/>
        <v/>
      </c>
      <c r="G3118" t="str">
        <f t="shared" si="124"/>
        <v/>
      </c>
    </row>
    <row r="3119" spans="2:7" x14ac:dyDescent="0.25">
      <c r="B3119" s="6"/>
      <c r="C3119" s="7"/>
      <c r="D3119" s="7"/>
      <c r="E3119" s="8"/>
      <c r="F3119" t="str">
        <f t="shared" si="123"/>
        <v/>
      </c>
      <c r="G3119" t="str">
        <f t="shared" si="124"/>
        <v/>
      </c>
    </row>
    <row r="3120" spans="2:7" x14ac:dyDescent="0.25">
      <c r="B3120" s="6"/>
      <c r="C3120" s="7"/>
      <c r="D3120" s="7"/>
      <c r="E3120" s="8"/>
      <c r="F3120" t="str">
        <f t="shared" si="123"/>
        <v/>
      </c>
      <c r="G3120" t="str">
        <f t="shared" si="124"/>
        <v/>
      </c>
    </row>
    <row r="3121" spans="2:7" x14ac:dyDescent="0.25">
      <c r="B3121" s="6"/>
      <c r="C3121" s="7"/>
      <c r="D3121" s="7"/>
      <c r="E3121" s="8"/>
      <c r="F3121" t="str">
        <f t="shared" si="123"/>
        <v/>
      </c>
      <c r="G3121" t="str">
        <f t="shared" si="124"/>
        <v/>
      </c>
    </row>
    <row r="3122" spans="2:7" x14ac:dyDescent="0.25">
      <c r="B3122" s="6"/>
      <c r="C3122" s="7"/>
      <c r="D3122" s="7"/>
      <c r="E3122" s="8"/>
      <c r="F3122" t="str">
        <f t="shared" si="123"/>
        <v/>
      </c>
      <c r="G3122" t="str">
        <f t="shared" si="124"/>
        <v/>
      </c>
    </row>
    <row r="3123" spans="2:7" x14ac:dyDescent="0.25">
      <c r="B3123" s="6"/>
      <c r="C3123" s="7"/>
      <c r="D3123" s="7"/>
      <c r="E3123" s="8"/>
      <c r="F3123" t="str">
        <f t="shared" si="123"/>
        <v/>
      </c>
      <c r="G3123" t="str">
        <f t="shared" si="124"/>
        <v/>
      </c>
    </row>
    <row r="3124" spans="2:7" x14ac:dyDescent="0.25">
      <c r="B3124" s="6"/>
      <c r="C3124" s="7"/>
      <c r="D3124" s="7"/>
      <c r="E3124" s="8"/>
      <c r="F3124" t="str">
        <f t="shared" si="123"/>
        <v/>
      </c>
      <c r="G3124" t="str">
        <f t="shared" si="124"/>
        <v/>
      </c>
    </row>
    <row r="3125" spans="2:7" x14ac:dyDescent="0.25">
      <c r="B3125" s="6"/>
      <c r="C3125" s="7"/>
      <c r="D3125" s="7"/>
      <c r="E3125" s="8"/>
      <c r="F3125" t="str">
        <f t="shared" si="123"/>
        <v/>
      </c>
      <c r="G3125" t="str">
        <f t="shared" si="124"/>
        <v/>
      </c>
    </row>
    <row r="3126" spans="2:7" x14ac:dyDescent="0.25">
      <c r="B3126" s="6"/>
      <c r="C3126" s="7"/>
      <c r="D3126" s="7"/>
      <c r="E3126" s="8"/>
      <c r="F3126" t="str">
        <f t="shared" si="123"/>
        <v/>
      </c>
      <c r="G3126" t="str">
        <f t="shared" si="124"/>
        <v/>
      </c>
    </row>
    <row r="3127" spans="2:7" x14ac:dyDescent="0.25">
      <c r="B3127" s="6"/>
      <c r="C3127" s="7"/>
      <c r="D3127" s="7"/>
      <c r="E3127" s="8"/>
      <c r="F3127" t="str">
        <f t="shared" si="123"/>
        <v/>
      </c>
      <c r="G3127" t="str">
        <f t="shared" si="124"/>
        <v/>
      </c>
    </row>
    <row r="3128" spans="2:7" x14ac:dyDescent="0.25">
      <c r="B3128" s="6"/>
      <c r="C3128" s="7"/>
      <c r="D3128" s="7"/>
      <c r="E3128" s="8"/>
      <c r="F3128" t="str">
        <f t="shared" si="123"/>
        <v/>
      </c>
      <c r="G3128" t="str">
        <f t="shared" si="124"/>
        <v/>
      </c>
    </row>
    <row r="3129" spans="2:7" x14ac:dyDescent="0.25">
      <c r="B3129" s="6"/>
      <c r="C3129" s="7"/>
      <c r="D3129" s="7"/>
      <c r="E3129" s="8"/>
      <c r="F3129" t="str">
        <f t="shared" si="123"/>
        <v/>
      </c>
      <c r="G3129" t="str">
        <f t="shared" si="124"/>
        <v/>
      </c>
    </row>
    <row r="3130" spans="2:7" x14ac:dyDescent="0.25">
      <c r="B3130" s="6"/>
      <c r="C3130" s="7"/>
      <c r="D3130" s="7"/>
      <c r="E3130" s="8"/>
      <c r="F3130" t="str">
        <f t="shared" si="123"/>
        <v/>
      </c>
      <c r="G3130" t="str">
        <f t="shared" si="124"/>
        <v/>
      </c>
    </row>
    <row r="3131" spans="2:7" x14ac:dyDescent="0.25">
      <c r="B3131" s="6"/>
      <c r="C3131" s="7"/>
      <c r="D3131" s="7"/>
      <c r="E3131" s="8"/>
      <c r="F3131" t="str">
        <f t="shared" si="123"/>
        <v/>
      </c>
      <c r="G3131" t="str">
        <f t="shared" si="124"/>
        <v/>
      </c>
    </row>
    <row r="3132" spans="2:7" x14ac:dyDescent="0.25">
      <c r="B3132" s="6"/>
      <c r="C3132" s="7"/>
      <c r="D3132" s="7"/>
      <c r="E3132" s="8"/>
      <c r="F3132" t="str">
        <f t="shared" si="123"/>
        <v/>
      </c>
      <c r="G3132" t="str">
        <f t="shared" si="124"/>
        <v/>
      </c>
    </row>
    <row r="3133" spans="2:7" x14ac:dyDescent="0.25">
      <c r="B3133" s="6"/>
      <c r="C3133" s="7"/>
      <c r="D3133" s="7"/>
      <c r="E3133" s="8"/>
      <c r="F3133" t="str">
        <f t="shared" si="123"/>
        <v/>
      </c>
      <c r="G3133" t="str">
        <f t="shared" si="124"/>
        <v/>
      </c>
    </row>
    <row r="3134" spans="2:7" x14ac:dyDescent="0.25">
      <c r="B3134" s="6"/>
      <c r="C3134" s="7"/>
      <c r="D3134" s="7"/>
      <c r="E3134" s="8"/>
      <c r="F3134" t="str">
        <f t="shared" si="123"/>
        <v/>
      </c>
      <c r="G3134" t="str">
        <f t="shared" si="124"/>
        <v/>
      </c>
    </row>
    <row r="3135" spans="2:7" x14ac:dyDescent="0.25">
      <c r="B3135" s="6"/>
      <c r="C3135" s="7"/>
      <c r="D3135" s="7"/>
      <c r="E3135" s="8"/>
      <c r="F3135" t="str">
        <f t="shared" si="123"/>
        <v/>
      </c>
      <c r="G3135" t="str">
        <f t="shared" si="124"/>
        <v/>
      </c>
    </row>
    <row r="3136" spans="2:7" x14ac:dyDescent="0.25">
      <c r="B3136" s="6"/>
      <c r="C3136" s="7"/>
      <c r="D3136" s="7"/>
      <c r="E3136" s="8"/>
      <c r="F3136" t="str">
        <f t="shared" si="123"/>
        <v/>
      </c>
      <c r="G3136" t="str">
        <f t="shared" si="124"/>
        <v/>
      </c>
    </row>
    <row r="3137" spans="2:7" x14ac:dyDescent="0.25">
      <c r="B3137" s="6"/>
      <c r="C3137" s="7"/>
      <c r="D3137" s="7"/>
      <c r="E3137" s="8"/>
      <c r="F3137" t="str">
        <f t="shared" si="123"/>
        <v/>
      </c>
      <c r="G3137" t="str">
        <f t="shared" si="124"/>
        <v/>
      </c>
    </row>
    <row r="3138" spans="2:7" x14ac:dyDescent="0.25">
      <c r="B3138" s="6"/>
      <c r="C3138" s="7"/>
      <c r="D3138" s="7"/>
      <c r="E3138" s="8"/>
      <c r="F3138" t="str">
        <f t="shared" si="123"/>
        <v/>
      </c>
      <c r="G3138" t="str">
        <f t="shared" si="124"/>
        <v/>
      </c>
    </row>
    <row r="3139" spans="2:7" x14ac:dyDescent="0.25">
      <c r="B3139" s="6"/>
      <c r="C3139" s="7"/>
      <c r="D3139" s="7"/>
      <c r="E3139" s="8"/>
      <c r="F3139" t="str">
        <f t="shared" si="123"/>
        <v/>
      </c>
      <c r="G3139" t="str">
        <f t="shared" si="124"/>
        <v/>
      </c>
    </row>
    <row r="3140" spans="2:7" x14ac:dyDescent="0.25">
      <c r="B3140" s="6"/>
      <c r="C3140" s="7"/>
      <c r="D3140" s="7"/>
      <c r="E3140" s="8"/>
      <c r="F3140" t="str">
        <f t="shared" ref="F3140:F3203" si="125">IF(B3140="","",LOG10(D3140))</f>
        <v/>
      </c>
      <c r="G3140" t="str">
        <f t="shared" ref="G3140:G3203" si="126">IF(E3140="", "",0.434*E3140/D3140)</f>
        <v/>
      </c>
    </row>
    <row r="3141" spans="2:7" x14ac:dyDescent="0.25">
      <c r="B3141" s="6"/>
      <c r="C3141" s="7"/>
      <c r="D3141" s="7"/>
      <c r="E3141" s="8"/>
      <c r="F3141" t="str">
        <f t="shared" si="125"/>
        <v/>
      </c>
      <c r="G3141" t="str">
        <f t="shared" si="126"/>
        <v/>
      </c>
    </row>
    <row r="3142" spans="2:7" x14ac:dyDescent="0.25">
      <c r="B3142" s="6"/>
      <c r="C3142" s="7"/>
      <c r="D3142" s="7"/>
      <c r="E3142" s="8"/>
      <c r="F3142" t="str">
        <f t="shared" si="125"/>
        <v/>
      </c>
      <c r="G3142" t="str">
        <f t="shared" si="126"/>
        <v/>
      </c>
    </row>
    <row r="3143" spans="2:7" x14ac:dyDescent="0.25">
      <c r="B3143" s="6"/>
      <c r="C3143" s="7"/>
      <c r="D3143" s="7"/>
      <c r="E3143" s="8"/>
      <c r="F3143" t="str">
        <f t="shared" si="125"/>
        <v/>
      </c>
      <c r="G3143" t="str">
        <f t="shared" si="126"/>
        <v/>
      </c>
    </row>
    <row r="3144" spans="2:7" x14ac:dyDescent="0.25">
      <c r="B3144" s="6"/>
      <c r="C3144" s="7"/>
      <c r="D3144" s="7"/>
      <c r="E3144" s="8"/>
      <c r="F3144" t="str">
        <f t="shared" si="125"/>
        <v/>
      </c>
      <c r="G3144" t="str">
        <f t="shared" si="126"/>
        <v/>
      </c>
    </row>
    <row r="3145" spans="2:7" x14ac:dyDescent="0.25">
      <c r="B3145" s="6"/>
      <c r="C3145" s="7"/>
      <c r="D3145" s="7"/>
      <c r="E3145" s="8"/>
      <c r="F3145" t="str">
        <f t="shared" si="125"/>
        <v/>
      </c>
      <c r="G3145" t="str">
        <f t="shared" si="126"/>
        <v/>
      </c>
    </row>
    <row r="3146" spans="2:7" x14ac:dyDescent="0.25">
      <c r="B3146" s="6"/>
      <c r="C3146" s="7"/>
      <c r="D3146" s="7"/>
      <c r="E3146" s="8"/>
      <c r="F3146" t="str">
        <f t="shared" si="125"/>
        <v/>
      </c>
      <c r="G3146" t="str">
        <f t="shared" si="126"/>
        <v/>
      </c>
    </row>
    <row r="3147" spans="2:7" x14ac:dyDescent="0.25">
      <c r="B3147" s="6"/>
      <c r="C3147" s="7"/>
      <c r="D3147" s="7"/>
      <c r="E3147" s="8"/>
      <c r="F3147" t="str">
        <f t="shared" si="125"/>
        <v/>
      </c>
      <c r="G3147" t="str">
        <f t="shared" si="126"/>
        <v/>
      </c>
    </row>
    <row r="3148" spans="2:7" x14ac:dyDescent="0.25">
      <c r="B3148" s="6"/>
      <c r="C3148" s="7"/>
      <c r="D3148" s="7"/>
      <c r="E3148" s="8"/>
      <c r="F3148" t="str">
        <f t="shared" si="125"/>
        <v/>
      </c>
      <c r="G3148" t="str">
        <f t="shared" si="126"/>
        <v/>
      </c>
    </row>
    <row r="3149" spans="2:7" x14ac:dyDescent="0.25">
      <c r="B3149" s="6"/>
      <c r="C3149" s="7"/>
      <c r="D3149" s="7"/>
      <c r="E3149" s="8"/>
      <c r="F3149" t="str">
        <f t="shared" si="125"/>
        <v/>
      </c>
      <c r="G3149" t="str">
        <f t="shared" si="126"/>
        <v/>
      </c>
    </row>
    <row r="3150" spans="2:7" x14ac:dyDescent="0.25">
      <c r="B3150" s="6"/>
      <c r="C3150" s="7"/>
      <c r="D3150" s="7"/>
      <c r="E3150" s="8"/>
      <c r="F3150" t="str">
        <f t="shared" si="125"/>
        <v/>
      </c>
      <c r="G3150" t="str">
        <f t="shared" si="126"/>
        <v/>
      </c>
    </row>
    <row r="3151" spans="2:7" x14ac:dyDescent="0.25">
      <c r="B3151" s="6"/>
      <c r="C3151" s="7"/>
      <c r="D3151" s="7"/>
      <c r="E3151" s="8"/>
      <c r="F3151" t="str">
        <f t="shared" si="125"/>
        <v/>
      </c>
      <c r="G3151" t="str">
        <f t="shared" si="126"/>
        <v/>
      </c>
    </row>
    <row r="3152" spans="2:7" x14ac:dyDescent="0.25">
      <c r="B3152" s="6"/>
      <c r="C3152" s="7"/>
      <c r="D3152" s="7"/>
      <c r="E3152" s="8"/>
      <c r="F3152" t="str">
        <f t="shared" si="125"/>
        <v/>
      </c>
      <c r="G3152" t="str">
        <f t="shared" si="126"/>
        <v/>
      </c>
    </row>
    <row r="3153" spans="2:7" x14ac:dyDescent="0.25">
      <c r="B3153" s="6"/>
      <c r="C3153" s="7"/>
      <c r="D3153" s="7"/>
      <c r="E3153" s="8"/>
      <c r="F3153" t="str">
        <f t="shared" si="125"/>
        <v/>
      </c>
      <c r="G3153" t="str">
        <f t="shared" si="126"/>
        <v/>
      </c>
    </row>
    <row r="3154" spans="2:7" x14ac:dyDescent="0.25">
      <c r="B3154" s="6"/>
      <c r="C3154" s="7"/>
      <c r="D3154" s="7"/>
      <c r="E3154" s="8"/>
      <c r="F3154" t="str">
        <f t="shared" si="125"/>
        <v/>
      </c>
      <c r="G3154" t="str">
        <f t="shared" si="126"/>
        <v/>
      </c>
    </row>
    <row r="3155" spans="2:7" x14ac:dyDescent="0.25">
      <c r="B3155" s="6"/>
      <c r="C3155" s="7"/>
      <c r="D3155" s="7"/>
      <c r="E3155" s="8"/>
      <c r="F3155" t="str">
        <f t="shared" si="125"/>
        <v/>
      </c>
      <c r="G3155" t="str">
        <f t="shared" si="126"/>
        <v/>
      </c>
    </row>
    <row r="3156" spans="2:7" x14ac:dyDescent="0.25">
      <c r="B3156" s="6"/>
      <c r="C3156" s="7"/>
      <c r="D3156" s="7"/>
      <c r="E3156" s="8"/>
      <c r="F3156" t="str">
        <f t="shared" si="125"/>
        <v/>
      </c>
      <c r="G3156" t="str">
        <f t="shared" si="126"/>
        <v/>
      </c>
    </row>
    <row r="3157" spans="2:7" x14ac:dyDescent="0.25">
      <c r="B3157" s="6"/>
      <c r="C3157" s="7"/>
      <c r="D3157" s="7"/>
      <c r="E3157" s="8"/>
      <c r="F3157" t="str">
        <f t="shared" si="125"/>
        <v/>
      </c>
      <c r="G3157" t="str">
        <f t="shared" si="126"/>
        <v/>
      </c>
    </row>
    <row r="3158" spans="2:7" x14ac:dyDescent="0.25">
      <c r="B3158" s="6"/>
      <c r="C3158" s="7"/>
      <c r="D3158" s="7"/>
      <c r="E3158" s="8"/>
      <c r="F3158" t="str">
        <f t="shared" si="125"/>
        <v/>
      </c>
      <c r="G3158" t="str">
        <f t="shared" si="126"/>
        <v/>
      </c>
    </row>
    <row r="3159" spans="2:7" x14ac:dyDescent="0.25">
      <c r="B3159" s="6"/>
      <c r="C3159" s="7"/>
      <c r="D3159" s="7"/>
      <c r="E3159" s="8"/>
      <c r="F3159" t="str">
        <f t="shared" si="125"/>
        <v/>
      </c>
      <c r="G3159" t="str">
        <f t="shared" si="126"/>
        <v/>
      </c>
    </row>
    <row r="3160" spans="2:7" x14ac:dyDescent="0.25">
      <c r="B3160" s="6"/>
      <c r="C3160" s="7"/>
      <c r="D3160" s="7"/>
      <c r="E3160" s="8"/>
      <c r="F3160" t="str">
        <f t="shared" si="125"/>
        <v/>
      </c>
      <c r="G3160" t="str">
        <f t="shared" si="126"/>
        <v/>
      </c>
    </row>
    <row r="3161" spans="2:7" x14ac:dyDescent="0.25">
      <c r="B3161" s="6"/>
      <c r="C3161" s="7"/>
      <c r="D3161" s="7"/>
      <c r="E3161" s="8"/>
      <c r="F3161" t="str">
        <f t="shared" si="125"/>
        <v/>
      </c>
      <c r="G3161" t="str">
        <f t="shared" si="126"/>
        <v/>
      </c>
    </row>
    <row r="3162" spans="2:7" x14ac:dyDescent="0.25">
      <c r="B3162" s="6"/>
      <c r="C3162" s="7"/>
      <c r="D3162" s="7"/>
      <c r="E3162" s="8"/>
      <c r="F3162" t="str">
        <f t="shared" si="125"/>
        <v/>
      </c>
      <c r="G3162" t="str">
        <f t="shared" si="126"/>
        <v/>
      </c>
    </row>
    <row r="3163" spans="2:7" x14ac:dyDescent="0.25">
      <c r="B3163" s="6"/>
      <c r="C3163" s="7"/>
      <c r="D3163" s="7"/>
      <c r="E3163" s="8"/>
      <c r="F3163" t="str">
        <f t="shared" si="125"/>
        <v/>
      </c>
      <c r="G3163" t="str">
        <f t="shared" si="126"/>
        <v/>
      </c>
    </row>
    <row r="3164" spans="2:7" x14ac:dyDescent="0.25">
      <c r="B3164" s="6"/>
      <c r="C3164" s="7"/>
      <c r="D3164" s="7"/>
      <c r="E3164" s="8"/>
      <c r="F3164" t="str">
        <f t="shared" si="125"/>
        <v/>
      </c>
      <c r="G3164" t="str">
        <f t="shared" si="126"/>
        <v/>
      </c>
    </row>
    <row r="3165" spans="2:7" x14ac:dyDescent="0.25">
      <c r="B3165" s="6"/>
      <c r="C3165" s="7"/>
      <c r="D3165" s="7"/>
      <c r="E3165" s="8"/>
      <c r="F3165" t="str">
        <f t="shared" si="125"/>
        <v/>
      </c>
      <c r="G3165" t="str">
        <f t="shared" si="126"/>
        <v/>
      </c>
    </row>
    <row r="3166" spans="2:7" x14ac:dyDescent="0.25">
      <c r="B3166" s="6"/>
      <c r="C3166" s="7"/>
      <c r="D3166" s="7"/>
      <c r="E3166" s="8"/>
      <c r="F3166" t="str">
        <f t="shared" si="125"/>
        <v/>
      </c>
      <c r="G3166" t="str">
        <f t="shared" si="126"/>
        <v/>
      </c>
    </row>
    <row r="3167" spans="2:7" x14ac:dyDescent="0.25">
      <c r="B3167" s="6"/>
      <c r="C3167" s="7"/>
      <c r="D3167" s="7"/>
      <c r="E3167" s="8"/>
      <c r="F3167" t="str">
        <f t="shared" si="125"/>
        <v/>
      </c>
      <c r="G3167" t="str">
        <f t="shared" si="126"/>
        <v/>
      </c>
    </row>
    <row r="3168" spans="2:7" x14ac:dyDescent="0.25">
      <c r="B3168" s="6"/>
      <c r="C3168" s="7"/>
      <c r="D3168" s="7"/>
      <c r="E3168" s="8"/>
      <c r="F3168" t="str">
        <f t="shared" si="125"/>
        <v/>
      </c>
      <c r="G3168" t="str">
        <f t="shared" si="126"/>
        <v/>
      </c>
    </row>
    <row r="3169" spans="2:7" x14ac:dyDescent="0.25">
      <c r="B3169" s="6"/>
      <c r="C3169" s="7"/>
      <c r="D3169" s="7"/>
      <c r="E3169" s="8"/>
      <c r="F3169" t="str">
        <f t="shared" si="125"/>
        <v/>
      </c>
      <c r="G3169" t="str">
        <f t="shared" si="126"/>
        <v/>
      </c>
    </row>
    <row r="3170" spans="2:7" x14ac:dyDescent="0.25">
      <c r="B3170" s="6"/>
      <c r="C3170" s="7"/>
      <c r="D3170" s="7"/>
      <c r="E3170" s="8"/>
      <c r="F3170" t="str">
        <f t="shared" si="125"/>
        <v/>
      </c>
      <c r="G3170" t="str">
        <f t="shared" si="126"/>
        <v/>
      </c>
    </row>
    <row r="3171" spans="2:7" x14ac:dyDescent="0.25">
      <c r="B3171" s="6"/>
      <c r="C3171" s="7"/>
      <c r="D3171" s="7"/>
      <c r="E3171" s="8"/>
      <c r="F3171" t="str">
        <f t="shared" si="125"/>
        <v/>
      </c>
      <c r="G3171" t="str">
        <f t="shared" si="126"/>
        <v/>
      </c>
    </row>
    <row r="3172" spans="2:7" x14ac:dyDescent="0.25">
      <c r="B3172" s="6"/>
      <c r="C3172" s="7"/>
      <c r="D3172" s="7"/>
      <c r="E3172" s="8"/>
      <c r="F3172" t="str">
        <f t="shared" si="125"/>
        <v/>
      </c>
      <c r="G3172" t="str">
        <f t="shared" si="126"/>
        <v/>
      </c>
    </row>
    <row r="3173" spans="2:7" x14ac:dyDescent="0.25">
      <c r="B3173" s="6"/>
      <c r="C3173" s="7"/>
      <c r="D3173" s="7"/>
      <c r="E3173" s="8"/>
      <c r="F3173" t="str">
        <f t="shared" si="125"/>
        <v/>
      </c>
      <c r="G3173" t="str">
        <f t="shared" si="126"/>
        <v/>
      </c>
    </row>
    <row r="3174" spans="2:7" x14ac:dyDescent="0.25">
      <c r="B3174" s="6"/>
      <c r="C3174" s="7"/>
      <c r="D3174" s="7"/>
      <c r="E3174" s="8"/>
      <c r="F3174" t="str">
        <f t="shared" si="125"/>
        <v/>
      </c>
      <c r="G3174" t="str">
        <f t="shared" si="126"/>
        <v/>
      </c>
    </row>
    <row r="3175" spans="2:7" x14ac:dyDescent="0.25">
      <c r="B3175" s="6"/>
      <c r="C3175" s="7"/>
      <c r="D3175" s="7"/>
      <c r="E3175" s="8"/>
      <c r="F3175" t="str">
        <f t="shared" si="125"/>
        <v/>
      </c>
      <c r="G3175" t="str">
        <f t="shared" si="126"/>
        <v/>
      </c>
    </row>
    <row r="3176" spans="2:7" x14ac:dyDescent="0.25">
      <c r="B3176" s="6"/>
      <c r="C3176" s="7"/>
      <c r="D3176" s="7"/>
      <c r="E3176" s="8"/>
      <c r="F3176" t="str">
        <f t="shared" si="125"/>
        <v/>
      </c>
      <c r="G3176" t="str">
        <f t="shared" si="126"/>
        <v/>
      </c>
    </row>
    <row r="3177" spans="2:7" x14ac:dyDescent="0.25">
      <c r="B3177" s="6"/>
      <c r="C3177" s="7"/>
      <c r="D3177" s="7"/>
      <c r="E3177" s="8"/>
      <c r="F3177" t="str">
        <f t="shared" si="125"/>
        <v/>
      </c>
      <c r="G3177" t="str">
        <f t="shared" si="126"/>
        <v/>
      </c>
    </row>
    <row r="3178" spans="2:7" x14ac:dyDescent="0.25">
      <c r="B3178" s="6"/>
      <c r="C3178" s="7"/>
      <c r="D3178" s="7"/>
      <c r="E3178" s="8"/>
      <c r="F3178" t="str">
        <f t="shared" si="125"/>
        <v/>
      </c>
      <c r="G3178" t="str">
        <f t="shared" si="126"/>
        <v/>
      </c>
    </row>
    <row r="3179" spans="2:7" x14ac:dyDescent="0.25">
      <c r="B3179" s="6"/>
      <c r="C3179" s="7"/>
      <c r="D3179" s="7"/>
      <c r="E3179" s="8"/>
      <c r="F3179" t="str">
        <f t="shared" si="125"/>
        <v/>
      </c>
      <c r="G3179" t="str">
        <f t="shared" si="126"/>
        <v/>
      </c>
    </row>
    <row r="3180" spans="2:7" x14ac:dyDescent="0.25">
      <c r="B3180" s="6"/>
      <c r="C3180" s="7"/>
      <c r="D3180" s="7"/>
      <c r="E3180" s="8"/>
      <c r="F3180" t="str">
        <f t="shared" si="125"/>
        <v/>
      </c>
      <c r="G3180" t="str">
        <f t="shared" si="126"/>
        <v/>
      </c>
    </row>
    <row r="3181" spans="2:7" x14ac:dyDescent="0.25">
      <c r="B3181" s="6"/>
      <c r="C3181" s="7"/>
      <c r="D3181" s="7"/>
      <c r="E3181" s="8"/>
      <c r="F3181" t="str">
        <f t="shared" si="125"/>
        <v/>
      </c>
      <c r="G3181" t="str">
        <f t="shared" si="126"/>
        <v/>
      </c>
    </row>
    <row r="3182" spans="2:7" x14ac:dyDescent="0.25">
      <c r="B3182" s="6"/>
      <c r="C3182" s="7"/>
      <c r="D3182" s="7"/>
      <c r="E3182" s="8"/>
      <c r="F3182" t="str">
        <f t="shared" si="125"/>
        <v/>
      </c>
      <c r="G3182" t="str">
        <f t="shared" si="126"/>
        <v/>
      </c>
    </row>
    <row r="3183" spans="2:7" x14ac:dyDescent="0.25">
      <c r="B3183" s="6"/>
      <c r="C3183" s="7"/>
      <c r="D3183" s="7"/>
      <c r="E3183" s="8"/>
      <c r="F3183" t="str">
        <f t="shared" si="125"/>
        <v/>
      </c>
      <c r="G3183" t="str">
        <f t="shared" si="126"/>
        <v/>
      </c>
    </row>
    <row r="3184" spans="2:7" x14ac:dyDescent="0.25">
      <c r="B3184" s="6"/>
      <c r="C3184" s="7"/>
      <c r="D3184" s="7"/>
      <c r="E3184" s="8"/>
      <c r="F3184" t="str">
        <f t="shared" si="125"/>
        <v/>
      </c>
      <c r="G3184" t="str">
        <f t="shared" si="126"/>
        <v/>
      </c>
    </row>
    <row r="3185" spans="2:7" x14ac:dyDescent="0.25">
      <c r="B3185" s="6"/>
      <c r="C3185" s="7"/>
      <c r="D3185" s="7"/>
      <c r="E3185" s="8"/>
      <c r="F3185" t="str">
        <f t="shared" si="125"/>
        <v/>
      </c>
      <c r="G3185" t="str">
        <f t="shared" si="126"/>
        <v/>
      </c>
    </row>
    <row r="3186" spans="2:7" x14ac:dyDescent="0.25">
      <c r="B3186" s="6"/>
      <c r="C3186" s="7"/>
      <c r="D3186" s="7"/>
      <c r="E3186" s="8"/>
      <c r="F3186" t="str">
        <f t="shared" si="125"/>
        <v/>
      </c>
      <c r="G3186" t="str">
        <f t="shared" si="126"/>
        <v/>
      </c>
    </row>
    <row r="3187" spans="2:7" x14ac:dyDescent="0.25">
      <c r="B3187" s="6"/>
      <c r="C3187" s="7"/>
      <c r="D3187" s="7"/>
      <c r="E3187" s="8"/>
      <c r="F3187" t="str">
        <f t="shared" si="125"/>
        <v/>
      </c>
      <c r="G3187" t="str">
        <f t="shared" si="126"/>
        <v/>
      </c>
    </row>
    <row r="3188" spans="2:7" x14ac:dyDescent="0.25">
      <c r="B3188" s="6"/>
      <c r="C3188" s="7"/>
      <c r="D3188" s="7"/>
      <c r="E3188" s="8"/>
      <c r="F3188" t="str">
        <f t="shared" si="125"/>
        <v/>
      </c>
      <c r="G3188" t="str">
        <f t="shared" si="126"/>
        <v/>
      </c>
    </row>
    <row r="3189" spans="2:7" x14ac:dyDescent="0.25">
      <c r="B3189" s="6"/>
      <c r="C3189" s="7"/>
      <c r="D3189" s="7"/>
      <c r="E3189" s="8"/>
      <c r="F3189" t="str">
        <f t="shared" si="125"/>
        <v/>
      </c>
      <c r="G3189" t="str">
        <f t="shared" si="126"/>
        <v/>
      </c>
    </row>
    <row r="3190" spans="2:7" x14ac:dyDescent="0.25">
      <c r="B3190" s="6"/>
      <c r="C3190" s="7"/>
      <c r="D3190" s="7"/>
      <c r="E3190" s="8"/>
      <c r="F3190" t="str">
        <f t="shared" si="125"/>
        <v/>
      </c>
      <c r="G3190" t="str">
        <f t="shared" si="126"/>
        <v/>
      </c>
    </row>
    <row r="3191" spans="2:7" x14ac:dyDescent="0.25">
      <c r="B3191" s="6"/>
      <c r="C3191" s="7"/>
      <c r="D3191" s="7"/>
      <c r="E3191" s="8"/>
      <c r="F3191" t="str">
        <f t="shared" si="125"/>
        <v/>
      </c>
      <c r="G3191" t="str">
        <f t="shared" si="126"/>
        <v/>
      </c>
    </row>
    <row r="3192" spans="2:7" x14ac:dyDescent="0.25">
      <c r="B3192" s="6"/>
      <c r="C3192" s="7"/>
      <c r="D3192" s="7"/>
      <c r="E3192" s="8"/>
      <c r="F3192" t="str">
        <f t="shared" si="125"/>
        <v/>
      </c>
      <c r="G3192" t="str">
        <f t="shared" si="126"/>
        <v/>
      </c>
    </row>
    <row r="3193" spans="2:7" x14ac:dyDescent="0.25">
      <c r="B3193" s="6"/>
      <c r="C3193" s="7"/>
      <c r="D3193" s="7"/>
      <c r="E3193" s="8"/>
      <c r="F3193" t="str">
        <f t="shared" si="125"/>
        <v/>
      </c>
      <c r="G3193" t="str">
        <f t="shared" si="126"/>
        <v/>
      </c>
    </row>
    <row r="3194" spans="2:7" x14ac:dyDescent="0.25">
      <c r="B3194" s="6"/>
      <c r="C3194" s="7"/>
      <c r="D3194" s="7"/>
      <c r="E3194" s="8"/>
      <c r="F3194" t="str">
        <f t="shared" si="125"/>
        <v/>
      </c>
      <c r="G3194" t="str">
        <f t="shared" si="126"/>
        <v/>
      </c>
    </row>
    <row r="3195" spans="2:7" x14ac:dyDescent="0.25">
      <c r="B3195" s="6"/>
      <c r="C3195" s="7"/>
      <c r="D3195" s="7"/>
      <c r="E3195" s="8"/>
      <c r="F3195" t="str">
        <f t="shared" si="125"/>
        <v/>
      </c>
      <c r="G3195" t="str">
        <f t="shared" si="126"/>
        <v/>
      </c>
    </row>
    <row r="3196" spans="2:7" x14ac:dyDescent="0.25">
      <c r="B3196" s="6"/>
      <c r="C3196" s="7"/>
      <c r="D3196" s="7"/>
      <c r="E3196" s="8"/>
      <c r="F3196" t="str">
        <f t="shared" si="125"/>
        <v/>
      </c>
      <c r="G3196" t="str">
        <f t="shared" si="126"/>
        <v/>
      </c>
    </row>
    <row r="3197" spans="2:7" x14ac:dyDescent="0.25">
      <c r="B3197" s="6"/>
      <c r="C3197" s="7"/>
      <c r="D3197" s="7"/>
      <c r="E3197" s="8"/>
      <c r="F3197" t="str">
        <f t="shared" si="125"/>
        <v/>
      </c>
      <c r="G3197" t="str">
        <f t="shared" si="126"/>
        <v/>
      </c>
    </row>
    <row r="3198" spans="2:7" x14ac:dyDescent="0.25">
      <c r="B3198" s="6"/>
      <c r="C3198" s="7"/>
      <c r="D3198" s="7"/>
      <c r="E3198" s="8"/>
      <c r="F3198" t="str">
        <f t="shared" si="125"/>
        <v/>
      </c>
      <c r="G3198" t="str">
        <f t="shared" si="126"/>
        <v/>
      </c>
    </row>
    <row r="3199" spans="2:7" x14ac:dyDescent="0.25">
      <c r="B3199" s="6"/>
      <c r="C3199" s="7"/>
      <c r="D3199" s="7"/>
      <c r="E3199" s="8"/>
      <c r="F3199" t="str">
        <f t="shared" si="125"/>
        <v/>
      </c>
      <c r="G3199" t="str">
        <f t="shared" si="126"/>
        <v/>
      </c>
    </row>
    <row r="3200" spans="2:7" x14ac:dyDescent="0.25">
      <c r="B3200" s="6"/>
      <c r="C3200" s="7"/>
      <c r="D3200" s="7"/>
      <c r="E3200" s="8"/>
      <c r="F3200" t="str">
        <f t="shared" si="125"/>
        <v/>
      </c>
      <c r="G3200" t="str">
        <f t="shared" si="126"/>
        <v/>
      </c>
    </row>
    <row r="3201" spans="2:7" x14ac:dyDescent="0.25">
      <c r="B3201" s="6"/>
      <c r="C3201" s="7"/>
      <c r="D3201" s="7"/>
      <c r="E3201" s="8"/>
      <c r="F3201" t="str">
        <f t="shared" si="125"/>
        <v/>
      </c>
      <c r="G3201" t="str">
        <f t="shared" si="126"/>
        <v/>
      </c>
    </row>
    <row r="3202" spans="2:7" x14ac:dyDescent="0.25">
      <c r="B3202" s="6"/>
      <c r="C3202" s="7"/>
      <c r="D3202" s="7"/>
      <c r="E3202" s="8"/>
      <c r="F3202" t="str">
        <f t="shared" si="125"/>
        <v/>
      </c>
      <c r="G3202" t="str">
        <f t="shared" si="126"/>
        <v/>
      </c>
    </row>
    <row r="3203" spans="2:7" x14ac:dyDescent="0.25">
      <c r="B3203" s="6"/>
      <c r="C3203" s="7"/>
      <c r="D3203" s="7"/>
      <c r="E3203" s="8"/>
      <c r="F3203" t="str">
        <f t="shared" si="125"/>
        <v/>
      </c>
      <c r="G3203" t="str">
        <f t="shared" si="126"/>
        <v/>
      </c>
    </row>
    <row r="3204" spans="2:7" x14ac:dyDescent="0.25">
      <c r="B3204" s="6"/>
      <c r="C3204" s="7"/>
      <c r="D3204" s="7"/>
      <c r="E3204" s="8"/>
      <c r="F3204" t="str">
        <f t="shared" ref="F3204:F3267" si="127">IF(B3204="","",LOG10(D3204))</f>
        <v/>
      </c>
      <c r="G3204" t="str">
        <f t="shared" ref="G3204:G3267" si="128">IF(E3204="", "",0.434*E3204/D3204)</f>
        <v/>
      </c>
    </row>
    <row r="3205" spans="2:7" x14ac:dyDescent="0.25">
      <c r="B3205" s="6"/>
      <c r="C3205" s="7"/>
      <c r="D3205" s="7"/>
      <c r="E3205" s="8"/>
      <c r="F3205" t="str">
        <f t="shared" si="127"/>
        <v/>
      </c>
      <c r="G3205" t="str">
        <f t="shared" si="128"/>
        <v/>
      </c>
    </row>
    <row r="3206" spans="2:7" x14ac:dyDescent="0.25">
      <c r="B3206" s="6"/>
      <c r="C3206" s="7"/>
      <c r="D3206" s="7"/>
      <c r="E3206" s="8"/>
      <c r="F3206" t="str">
        <f t="shared" si="127"/>
        <v/>
      </c>
      <c r="G3206" t="str">
        <f t="shared" si="128"/>
        <v/>
      </c>
    </row>
    <row r="3207" spans="2:7" x14ac:dyDescent="0.25">
      <c r="B3207" s="6"/>
      <c r="C3207" s="7"/>
      <c r="D3207" s="7"/>
      <c r="E3207" s="8"/>
      <c r="F3207" t="str">
        <f t="shared" si="127"/>
        <v/>
      </c>
      <c r="G3207" t="str">
        <f t="shared" si="128"/>
        <v/>
      </c>
    </row>
    <row r="3208" spans="2:7" x14ac:dyDescent="0.25">
      <c r="B3208" s="6"/>
      <c r="C3208" s="7"/>
      <c r="D3208" s="7"/>
      <c r="E3208" s="8"/>
      <c r="F3208" t="str">
        <f t="shared" si="127"/>
        <v/>
      </c>
      <c r="G3208" t="str">
        <f t="shared" si="128"/>
        <v/>
      </c>
    </row>
    <row r="3209" spans="2:7" x14ac:dyDescent="0.25">
      <c r="B3209" s="6"/>
      <c r="C3209" s="7"/>
      <c r="D3209" s="7"/>
      <c r="E3209" s="8"/>
      <c r="F3209" t="str">
        <f t="shared" si="127"/>
        <v/>
      </c>
      <c r="G3209" t="str">
        <f t="shared" si="128"/>
        <v/>
      </c>
    </row>
    <row r="3210" spans="2:7" x14ac:dyDescent="0.25">
      <c r="B3210" s="6"/>
      <c r="C3210" s="7"/>
      <c r="D3210" s="7"/>
      <c r="E3210" s="8"/>
      <c r="F3210" t="str">
        <f t="shared" si="127"/>
        <v/>
      </c>
      <c r="G3210" t="str">
        <f t="shared" si="128"/>
        <v/>
      </c>
    </row>
    <row r="3211" spans="2:7" x14ac:dyDescent="0.25">
      <c r="B3211" s="6"/>
      <c r="C3211" s="7"/>
      <c r="D3211" s="7"/>
      <c r="E3211" s="8"/>
      <c r="F3211" t="str">
        <f t="shared" si="127"/>
        <v/>
      </c>
      <c r="G3211" t="str">
        <f t="shared" si="128"/>
        <v/>
      </c>
    </row>
    <row r="3212" spans="2:7" x14ac:dyDescent="0.25">
      <c r="B3212" s="6"/>
      <c r="C3212" s="7"/>
      <c r="D3212" s="7"/>
      <c r="E3212" s="8"/>
      <c r="F3212" t="str">
        <f t="shared" si="127"/>
        <v/>
      </c>
      <c r="G3212" t="str">
        <f t="shared" si="128"/>
        <v/>
      </c>
    </row>
    <row r="3213" spans="2:7" x14ac:dyDescent="0.25">
      <c r="B3213" s="6"/>
      <c r="C3213" s="7"/>
      <c r="D3213" s="7"/>
      <c r="E3213" s="8"/>
      <c r="F3213" t="str">
        <f t="shared" si="127"/>
        <v/>
      </c>
      <c r="G3213" t="str">
        <f t="shared" si="128"/>
        <v/>
      </c>
    </row>
    <row r="3214" spans="2:7" x14ac:dyDescent="0.25">
      <c r="B3214" s="6"/>
      <c r="C3214" s="7"/>
      <c r="D3214" s="7"/>
      <c r="E3214" s="8"/>
      <c r="F3214" t="str">
        <f t="shared" si="127"/>
        <v/>
      </c>
      <c r="G3214" t="str">
        <f t="shared" si="128"/>
        <v/>
      </c>
    </row>
    <row r="3215" spans="2:7" x14ac:dyDescent="0.25">
      <c r="B3215" s="6"/>
      <c r="C3215" s="7"/>
      <c r="D3215" s="7"/>
      <c r="E3215" s="8"/>
      <c r="F3215" t="str">
        <f t="shared" si="127"/>
        <v/>
      </c>
      <c r="G3215" t="str">
        <f t="shared" si="128"/>
        <v/>
      </c>
    </row>
    <row r="3216" spans="2:7" x14ac:dyDescent="0.25">
      <c r="B3216" s="6"/>
      <c r="C3216" s="7"/>
      <c r="D3216" s="7"/>
      <c r="E3216" s="8"/>
      <c r="F3216" t="str">
        <f t="shared" si="127"/>
        <v/>
      </c>
      <c r="G3216" t="str">
        <f t="shared" si="128"/>
        <v/>
      </c>
    </row>
    <row r="3217" spans="2:7" x14ac:dyDescent="0.25">
      <c r="B3217" s="6"/>
      <c r="C3217" s="7"/>
      <c r="D3217" s="7"/>
      <c r="E3217" s="8"/>
      <c r="F3217" t="str">
        <f t="shared" si="127"/>
        <v/>
      </c>
      <c r="G3217" t="str">
        <f t="shared" si="128"/>
        <v/>
      </c>
    </row>
    <row r="3218" spans="2:7" x14ac:dyDescent="0.25">
      <c r="B3218" s="6"/>
      <c r="C3218" s="7"/>
      <c r="D3218" s="7"/>
      <c r="E3218" s="8"/>
      <c r="F3218" t="str">
        <f t="shared" si="127"/>
        <v/>
      </c>
      <c r="G3218" t="str">
        <f t="shared" si="128"/>
        <v/>
      </c>
    </row>
    <row r="3219" spans="2:7" x14ac:dyDescent="0.25">
      <c r="B3219" s="6"/>
      <c r="C3219" s="7"/>
      <c r="D3219" s="7"/>
      <c r="E3219" s="8"/>
      <c r="F3219" t="str">
        <f t="shared" si="127"/>
        <v/>
      </c>
      <c r="G3219" t="str">
        <f t="shared" si="128"/>
        <v/>
      </c>
    </row>
    <row r="3220" spans="2:7" x14ac:dyDescent="0.25">
      <c r="B3220" s="6"/>
      <c r="C3220" s="7"/>
      <c r="D3220" s="7"/>
      <c r="E3220" s="8"/>
      <c r="F3220" t="str">
        <f t="shared" si="127"/>
        <v/>
      </c>
      <c r="G3220" t="str">
        <f t="shared" si="128"/>
        <v/>
      </c>
    </row>
    <row r="3221" spans="2:7" x14ac:dyDescent="0.25">
      <c r="B3221" s="6"/>
      <c r="C3221" s="7"/>
      <c r="D3221" s="7"/>
      <c r="E3221" s="8"/>
      <c r="F3221" t="str">
        <f t="shared" si="127"/>
        <v/>
      </c>
      <c r="G3221" t="str">
        <f t="shared" si="128"/>
        <v/>
      </c>
    </row>
    <row r="3222" spans="2:7" x14ac:dyDescent="0.25">
      <c r="B3222" s="6"/>
      <c r="C3222" s="7"/>
      <c r="D3222" s="7"/>
      <c r="E3222" s="8"/>
      <c r="F3222" t="str">
        <f t="shared" si="127"/>
        <v/>
      </c>
      <c r="G3222" t="str">
        <f t="shared" si="128"/>
        <v/>
      </c>
    </row>
    <row r="3223" spans="2:7" x14ac:dyDescent="0.25">
      <c r="B3223" s="6"/>
      <c r="C3223" s="7"/>
      <c r="D3223" s="7"/>
      <c r="E3223" s="8"/>
      <c r="F3223" t="str">
        <f t="shared" si="127"/>
        <v/>
      </c>
      <c r="G3223" t="str">
        <f t="shared" si="128"/>
        <v/>
      </c>
    </row>
    <row r="3224" spans="2:7" x14ac:dyDescent="0.25">
      <c r="B3224" s="6"/>
      <c r="C3224" s="7"/>
      <c r="D3224" s="7"/>
      <c r="E3224" s="8"/>
      <c r="F3224" t="str">
        <f t="shared" si="127"/>
        <v/>
      </c>
      <c r="G3224" t="str">
        <f t="shared" si="128"/>
        <v/>
      </c>
    </row>
    <row r="3225" spans="2:7" x14ac:dyDescent="0.25">
      <c r="B3225" s="6"/>
      <c r="C3225" s="7"/>
      <c r="D3225" s="7"/>
      <c r="E3225" s="8"/>
      <c r="F3225" t="str">
        <f t="shared" si="127"/>
        <v/>
      </c>
      <c r="G3225" t="str">
        <f t="shared" si="128"/>
        <v/>
      </c>
    </row>
    <row r="3226" spans="2:7" x14ac:dyDescent="0.25">
      <c r="B3226" s="6"/>
      <c r="C3226" s="7"/>
      <c r="D3226" s="7"/>
      <c r="E3226" s="8"/>
      <c r="F3226" t="str">
        <f t="shared" si="127"/>
        <v/>
      </c>
      <c r="G3226" t="str">
        <f t="shared" si="128"/>
        <v/>
      </c>
    </row>
    <row r="3227" spans="2:7" x14ac:dyDescent="0.25">
      <c r="B3227" s="6"/>
      <c r="C3227" s="7"/>
      <c r="D3227" s="7"/>
      <c r="E3227" s="8"/>
      <c r="F3227" t="str">
        <f t="shared" si="127"/>
        <v/>
      </c>
      <c r="G3227" t="str">
        <f t="shared" si="128"/>
        <v/>
      </c>
    </row>
    <row r="3228" spans="2:7" x14ac:dyDescent="0.25">
      <c r="B3228" s="6"/>
      <c r="C3228" s="7"/>
      <c r="D3228" s="7"/>
      <c r="E3228" s="8"/>
      <c r="F3228" t="str">
        <f t="shared" si="127"/>
        <v/>
      </c>
      <c r="G3228" t="str">
        <f t="shared" si="128"/>
        <v/>
      </c>
    </row>
    <row r="3229" spans="2:7" x14ac:dyDescent="0.25">
      <c r="B3229" s="6"/>
      <c r="C3229" s="7"/>
      <c r="D3229" s="7"/>
      <c r="E3229" s="8"/>
      <c r="F3229" t="str">
        <f t="shared" si="127"/>
        <v/>
      </c>
      <c r="G3229" t="str">
        <f t="shared" si="128"/>
        <v/>
      </c>
    </row>
    <row r="3230" spans="2:7" x14ac:dyDescent="0.25">
      <c r="B3230" s="6"/>
      <c r="C3230" s="7"/>
      <c r="D3230" s="7"/>
      <c r="E3230" s="8"/>
      <c r="F3230" t="str">
        <f t="shared" si="127"/>
        <v/>
      </c>
      <c r="G3230" t="str">
        <f t="shared" si="128"/>
        <v/>
      </c>
    </row>
    <row r="3231" spans="2:7" x14ac:dyDescent="0.25">
      <c r="B3231" s="6"/>
      <c r="C3231" s="7"/>
      <c r="D3231" s="7"/>
      <c r="E3231" s="8"/>
      <c r="F3231" t="str">
        <f t="shared" si="127"/>
        <v/>
      </c>
      <c r="G3231" t="str">
        <f t="shared" si="128"/>
        <v/>
      </c>
    </row>
    <row r="3232" spans="2:7" x14ac:dyDescent="0.25">
      <c r="B3232" s="6"/>
      <c r="C3232" s="7"/>
      <c r="D3232" s="7"/>
      <c r="E3232" s="8"/>
      <c r="F3232" t="str">
        <f t="shared" si="127"/>
        <v/>
      </c>
      <c r="G3232" t="str">
        <f t="shared" si="128"/>
        <v/>
      </c>
    </row>
    <row r="3233" spans="2:7" x14ac:dyDescent="0.25">
      <c r="B3233" s="6"/>
      <c r="C3233" s="7"/>
      <c r="D3233" s="7"/>
      <c r="E3233" s="8"/>
      <c r="F3233" t="str">
        <f t="shared" si="127"/>
        <v/>
      </c>
      <c r="G3233" t="str">
        <f t="shared" si="128"/>
        <v/>
      </c>
    </row>
    <row r="3234" spans="2:7" x14ac:dyDescent="0.25">
      <c r="B3234" s="6"/>
      <c r="C3234" s="7"/>
      <c r="D3234" s="7"/>
      <c r="E3234" s="8"/>
      <c r="F3234" t="str">
        <f t="shared" si="127"/>
        <v/>
      </c>
      <c r="G3234" t="str">
        <f t="shared" si="128"/>
        <v/>
      </c>
    </row>
    <row r="3235" spans="2:7" x14ac:dyDescent="0.25">
      <c r="B3235" s="6"/>
      <c r="C3235" s="7"/>
      <c r="D3235" s="7"/>
      <c r="E3235" s="8"/>
      <c r="F3235" t="str">
        <f t="shared" si="127"/>
        <v/>
      </c>
      <c r="G3235" t="str">
        <f t="shared" si="128"/>
        <v/>
      </c>
    </row>
    <row r="3236" spans="2:7" x14ac:dyDescent="0.25">
      <c r="B3236" s="6"/>
      <c r="C3236" s="7"/>
      <c r="D3236" s="7"/>
      <c r="E3236" s="8"/>
      <c r="F3236" t="str">
        <f t="shared" si="127"/>
        <v/>
      </c>
      <c r="G3236" t="str">
        <f t="shared" si="128"/>
        <v/>
      </c>
    </row>
    <row r="3237" spans="2:7" x14ac:dyDescent="0.25">
      <c r="B3237" s="6"/>
      <c r="C3237" s="7"/>
      <c r="D3237" s="7"/>
      <c r="E3237" s="8"/>
      <c r="F3237" t="str">
        <f t="shared" si="127"/>
        <v/>
      </c>
      <c r="G3237" t="str">
        <f t="shared" si="128"/>
        <v/>
      </c>
    </row>
    <row r="3238" spans="2:7" x14ac:dyDescent="0.25">
      <c r="B3238" s="6"/>
      <c r="C3238" s="7"/>
      <c r="D3238" s="7"/>
      <c r="E3238" s="8"/>
      <c r="F3238" t="str">
        <f t="shared" si="127"/>
        <v/>
      </c>
      <c r="G3238" t="str">
        <f t="shared" si="128"/>
        <v/>
      </c>
    </row>
    <row r="3239" spans="2:7" x14ac:dyDescent="0.25">
      <c r="B3239" s="6"/>
      <c r="C3239" s="7"/>
      <c r="D3239" s="7"/>
      <c r="E3239" s="8"/>
      <c r="F3239" t="str">
        <f t="shared" si="127"/>
        <v/>
      </c>
      <c r="G3239" t="str">
        <f t="shared" si="128"/>
        <v/>
      </c>
    </row>
    <row r="3240" spans="2:7" x14ac:dyDescent="0.25">
      <c r="B3240" s="6"/>
      <c r="C3240" s="7"/>
      <c r="D3240" s="7"/>
      <c r="E3240" s="8"/>
      <c r="F3240" t="str">
        <f t="shared" si="127"/>
        <v/>
      </c>
      <c r="G3240" t="str">
        <f t="shared" si="128"/>
        <v/>
      </c>
    </row>
    <row r="3241" spans="2:7" x14ac:dyDescent="0.25">
      <c r="B3241" s="6"/>
      <c r="C3241" s="7"/>
      <c r="D3241" s="7"/>
      <c r="E3241" s="8"/>
      <c r="F3241" t="str">
        <f t="shared" si="127"/>
        <v/>
      </c>
      <c r="G3241" t="str">
        <f t="shared" si="128"/>
        <v/>
      </c>
    </row>
    <row r="3242" spans="2:7" x14ac:dyDescent="0.25">
      <c r="B3242" s="6"/>
      <c r="C3242" s="7"/>
      <c r="D3242" s="7"/>
      <c r="E3242" s="8"/>
      <c r="F3242" t="str">
        <f t="shared" si="127"/>
        <v/>
      </c>
      <c r="G3242" t="str">
        <f t="shared" si="128"/>
        <v/>
      </c>
    </row>
    <row r="3243" spans="2:7" x14ac:dyDescent="0.25">
      <c r="B3243" s="6"/>
      <c r="C3243" s="7"/>
      <c r="D3243" s="7"/>
      <c r="E3243" s="8"/>
      <c r="F3243" t="str">
        <f t="shared" si="127"/>
        <v/>
      </c>
      <c r="G3243" t="str">
        <f t="shared" si="128"/>
        <v/>
      </c>
    </row>
    <row r="3244" spans="2:7" x14ac:dyDescent="0.25">
      <c r="B3244" s="6"/>
      <c r="C3244" s="7"/>
      <c r="D3244" s="7"/>
      <c r="E3244" s="8"/>
      <c r="F3244" t="str">
        <f t="shared" si="127"/>
        <v/>
      </c>
      <c r="G3244" t="str">
        <f t="shared" si="128"/>
        <v/>
      </c>
    </row>
    <row r="3245" spans="2:7" x14ac:dyDescent="0.25">
      <c r="B3245" s="6"/>
      <c r="C3245" s="7"/>
      <c r="D3245" s="7"/>
      <c r="E3245" s="8"/>
      <c r="F3245" t="str">
        <f t="shared" si="127"/>
        <v/>
      </c>
      <c r="G3245" t="str">
        <f t="shared" si="128"/>
        <v/>
      </c>
    </row>
    <row r="3246" spans="2:7" x14ac:dyDescent="0.25">
      <c r="B3246" s="6"/>
      <c r="C3246" s="7"/>
      <c r="D3246" s="7"/>
      <c r="E3246" s="8"/>
      <c r="F3246" t="str">
        <f t="shared" si="127"/>
        <v/>
      </c>
      <c r="G3246" t="str">
        <f t="shared" si="128"/>
        <v/>
      </c>
    </row>
    <row r="3247" spans="2:7" x14ac:dyDescent="0.25">
      <c r="B3247" s="6"/>
      <c r="C3247" s="7"/>
      <c r="D3247" s="7"/>
      <c r="E3247" s="8"/>
      <c r="F3247" t="str">
        <f t="shared" si="127"/>
        <v/>
      </c>
      <c r="G3247" t="str">
        <f t="shared" si="128"/>
        <v/>
      </c>
    </row>
    <row r="3248" spans="2:7" x14ac:dyDescent="0.25">
      <c r="B3248" s="6"/>
      <c r="C3248" s="7"/>
      <c r="D3248" s="7"/>
      <c r="E3248" s="8"/>
      <c r="F3248" t="str">
        <f t="shared" si="127"/>
        <v/>
      </c>
      <c r="G3248" t="str">
        <f t="shared" si="128"/>
        <v/>
      </c>
    </row>
    <row r="3249" spans="2:7" x14ac:dyDescent="0.25">
      <c r="B3249" s="6"/>
      <c r="C3249" s="7"/>
      <c r="D3249" s="7"/>
      <c r="E3249" s="8"/>
      <c r="F3249" t="str">
        <f t="shared" si="127"/>
        <v/>
      </c>
      <c r="G3249" t="str">
        <f t="shared" si="128"/>
        <v/>
      </c>
    </row>
    <row r="3250" spans="2:7" x14ac:dyDescent="0.25">
      <c r="B3250" s="6"/>
      <c r="C3250" s="7"/>
      <c r="D3250" s="7"/>
      <c r="E3250" s="8"/>
      <c r="F3250" t="str">
        <f t="shared" si="127"/>
        <v/>
      </c>
      <c r="G3250" t="str">
        <f t="shared" si="128"/>
        <v/>
      </c>
    </row>
    <row r="3251" spans="2:7" x14ac:dyDescent="0.25">
      <c r="B3251" s="6"/>
      <c r="C3251" s="7"/>
      <c r="D3251" s="7"/>
      <c r="E3251" s="8"/>
      <c r="F3251" t="str">
        <f t="shared" si="127"/>
        <v/>
      </c>
      <c r="G3251" t="str">
        <f t="shared" si="128"/>
        <v/>
      </c>
    </row>
    <row r="3252" spans="2:7" x14ac:dyDescent="0.25">
      <c r="B3252" s="6"/>
      <c r="C3252" s="7"/>
      <c r="D3252" s="7"/>
      <c r="E3252" s="8"/>
      <c r="F3252" t="str">
        <f t="shared" si="127"/>
        <v/>
      </c>
      <c r="G3252" t="str">
        <f t="shared" si="128"/>
        <v/>
      </c>
    </row>
    <row r="3253" spans="2:7" x14ac:dyDescent="0.25">
      <c r="B3253" s="6"/>
      <c r="C3253" s="7"/>
      <c r="D3253" s="7"/>
      <c r="E3253" s="8"/>
      <c r="F3253" t="str">
        <f t="shared" si="127"/>
        <v/>
      </c>
      <c r="G3253" t="str">
        <f t="shared" si="128"/>
        <v/>
      </c>
    </row>
    <row r="3254" spans="2:7" x14ac:dyDescent="0.25">
      <c r="B3254" s="6"/>
      <c r="C3254" s="7"/>
      <c r="D3254" s="7"/>
      <c r="E3254" s="8"/>
      <c r="F3254" t="str">
        <f t="shared" si="127"/>
        <v/>
      </c>
      <c r="G3254" t="str">
        <f t="shared" si="128"/>
        <v/>
      </c>
    </row>
    <row r="3255" spans="2:7" x14ac:dyDescent="0.25">
      <c r="B3255" s="6"/>
      <c r="C3255" s="7"/>
      <c r="D3255" s="7"/>
      <c r="E3255" s="8"/>
      <c r="F3255" t="str">
        <f t="shared" si="127"/>
        <v/>
      </c>
      <c r="G3255" t="str">
        <f t="shared" si="128"/>
        <v/>
      </c>
    </row>
    <row r="3256" spans="2:7" x14ac:dyDescent="0.25">
      <c r="B3256" s="6"/>
      <c r="C3256" s="7"/>
      <c r="D3256" s="7"/>
      <c r="E3256" s="8"/>
      <c r="F3256" t="str">
        <f t="shared" si="127"/>
        <v/>
      </c>
      <c r="G3256" t="str">
        <f t="shared" si="128"/>
        <v/>
      </c>
    </row>
    <row r="3257" spans="2:7" x14ac:dyDescent="0.25">
      <c r="B3257" s="6"/>
      <c r="C3257" s="7"/>
      <c r="D3257" s="7"/>
      <c r="E3257" s="8"/>
      <c r="F3257" t="str">
        <f t="shared" si="127"/>
        <v/>
      </c>
      <c r="G3257" t="str">
        <f t="shared" si="128"/>
        <v/>
      </c>
    </row>
    <row r="3258" spans="2:7" x14ac:dyDescent="0.25">
      <c r="B3258" s="6"/>
      <c r="C3258" s="7"/>
      <c r="D3258" s="7"/>
      <c r="E3258" s="8"/>
      <c r="F3258" t="str">
        <f t="shared" si="127"/>
        <v/>
      </c>
      <c r="G3258" t="str">
        <f t="shared" si="128"/>
        <v/>
      </c>
    </row>
    <row r="3259" spans="2:7" x14ac:dyDescent="0.25">
      <c r="B3259" s="6"/>
      <c r="C3259" s="7"/>
      <c r="D3259" s="7"/>
      <c r="E3259" s="8"/>
      <c r="F3259" t="str">
        <f t="shared" si="127"/>
        <v/>
      </c>
      <c r="G3259" t="str">
        <f t="shared" si="128"/>
        <v/>
      </c>
    </row>
    <row r="3260" spans="2:7" x14ac:dyDescent="0.25">
      <c r="B3260" s="6"/>
      <c r="C3260" s="7"/>
      <c r="D3260" s="7"/>
      <c r="E3260" s="8"/>
      <c r="F3260" t="str">
        <f t="shared" si="127"/>
        <v/>
      </c>
      <c r="G3260" t="str">
        <f t="shared" si="128"/>
        <v/>
      </c>
    </row>
    <row r="3261" spans="2:7" x14ac:dyDescent="0.25">
      <c r="B3261" s="6"/>
      <c r="C3261" s="7"/>
      <c r="D3261" s="7"/>
      <c r="E3261" s="8"/>
      <c r="F3261" t="str">
        <f t="shared" si="127"/>
        <v/>
      </c>
      <c r="G3261" t="str">
        <f t="shared" si="128"/>
        <v/>
      </c>
    </row>
    <row r="3262" spans="2:7" x14ac:dyDescent="0.25">
      <c r="B3262" s="6"/>
      <c r="C3262" s="7"/>
      <c r="D3262" s="7"/>
      <c r="E3262" s="8"/>
      <c r="F3262" t="str">
        <f t="shared" si="127"/>
        <v/>
      </c>
      <c r="G3262" t="str">
        <f t="shared" si="128"/>
        <v/>
      </c>
    </row>
    <row r="3263" spans="2:7" x14ac:dyDescent="0.25">
      <c r="B3263" s="6"/>
      <c r="C3263" s="7"/>
      <c r="D3263" s="7"/>
      <c r="E3263" s="8"/>
      <c r="F3263" t="str">
        <f t="shared" si="127"/>
        <v/>
      </c>
      <c r="G3263" t="str">
        <f t="shared" si="128"/>
        <v/>
      </c>
    </row>
    <row r="3264" spans="2:7" x14ac:dyDescent="0.25">
      <c r="B3264" s="6"/>
      <c r="C3264" s="7"/>
      <c r="D3264" s="7"/>
      <c r="E3264" s="8"/>
      <c r="F3264" t="str">
        <f t="shared" si="127"/>
        <v/>
      </c>
      <c r="G3264" t="str">
        <f t="shared" si="128"/>
        <v/>
      </c>
    </row>
    <row r="3265" spans="2:7" x14ac:dyDescent="0.25">
      <c r="B3265" s="6"/>
      <c r="C3265" s="7"/>
      <c r="D3265" s="7"/>
      <c r="E3265" s="8"/>
      <c r="F3265" t="str">
        <f t="shared" si="127"/>
        <v/>
      </c>
      <c r="G3265" t="str">
        <f t="shared" si="128"/>
        <v/>
      </c>
    </row>
    <row r="3266" spans="2:7" x14ac:dyDescent="0.25">
      <c r="B3266" s="6"/>
      <c r="C3266" s="7"/>
      <c r="D3266" s="7"/>
      <c r="E3266" s="8"/>
      <c r="F3266" t="str">
        <f t="shared" si="127"/>
        <v/>
      </c>
      <c r="G3266" t="str">
        <f t="shared" si="128"/>
        <v/>
      </c>
    </row>
    <row r="3267" spans="2:7" x14ac:dyDescent="0.25">
      <c r="B3267" s="6"/>
      <c r="C3267" s="7"/>
      <c r="D3267" s="7"/>
      <c r="E3267" s="8"/>
      <c r="F3267" t="str">
        <f t="shared" si="127"/>
        <v/>
      </c>
      <c r="G3267" t="str">
        <f t="shared" si="128"/>
        <v/>
      </c>
    </row>
    <row r="3268" spans="2:7" x14ac:dyDescent="0.25">
      <c r="B3268" s="6"/>
      <c r="C3268" s="7"/>
      <c r="D3268" s="7"/>
      <c r="E3268" s="8"/>
      <c r="F3268" t="str">
        <f t="shared" ref="F3268:F3331" si="129">IF(B3268="","",LOG10(D3268))</f>
        <v/>
      </c>
      <c r="G3268" t="str">
        <f t="shared" ref="G3268:G3331" si="130">IF(E3268="", "",0.434*E3268/D3268)</f>
        <v/>
      </c>
    </row>
    <row r="3269" spans="2:7" x14ac:dyDescent="0.25">
      <c r="B3269" s="6"/>
      <c r="C3269" s="7"/>
      <c r="D3269" s="7"/>
      <c r="E3269" s="8"/>
      <c r="F3269" t="str">
        <f t="shared" si="129"/>
        <v/>
      </c>
      <c r="G3269" t="str">
        <f t="shared" si="130"/>
        <v/>
      </c>
    </row>
    <row r="3270" spans="2:7" x14ac:dyDescent="0.25">
      <c r="B3270" s="6"/>
      <c r="C3270" s="7"/>
      <c r="D3270" s="7"/>
      <c r="E3270" s="8"/>
      <c r="F3270" t="str">
        <f t="shared" si="129"/>
        <v/>
      </c>
      <c r="G3270" t="str">
        <f t="shared" si="130"/>
        <v/>
      </c>
    </row>
    <row r="3271" spans="2:7" x14ac:dyDescent="0.25">
      <c r="B3271" s="6"/>
      <c r="C3271" s="7"/>
      <c r="D3271" s="7"/>
      <c r="E3271" s="8"/>
      <c r="F3271" t="str">
        <f t="shared" si="129"/>
        <v/>
      </c>
      <c r="G3271" t="str">
        <f t="shared" si="130"/>
        <v/>
      </c>
    </row>
    <row r="3272" spans="2:7" x14ac:dyDescent="0.25">
      <c r="B3272" s="6"/>
      <c r="C3272" s="7"/>
      <c r="D3272" s="7"/>
      <c r="E3272" s="8"/>
      <c r="F3272" t="str">
        <f t="shared" si="129"/>
        <v/>
      </c>
      <c r="G3272" t="str">
        <f t="shared" si="130"/>
        <v/>
      </c>
    </row>
    <row r="3273" spans="2:7" x14ac:dyDescent="0.25">
      <c r="B3273" s="6"/>
      <c r="C3273" s="7"/>
      <c r="D3273" s="7"/>
      <c r="E3273" s="8"/>
      <c r="F3273" t="str">
        <f t="shared" si="129"/>
        <v/>
      </c>
      <c r="G3273" t="str">
        <f t="shared" si="130"/>
        <v/>
      </c>
    </row>
    <row r="3274" spans="2:7" x14ac:dyDescent="0.25">
      <c r="B3274" s="6"/>
      <c r="C3274" s="7"/>
      <c r="D3274" s="7"/>
      <c r="E3274" s="8"/>
      <c r="F3274" t="str">
        <f t="shared" si="129"/>
        <v/>
      </c>
      <c r="G3274" t="str">
        <f t="shared" si="130"/>
        <v/>
      </c>
    </row>
    <row r="3275" spans="2:7" x14ac:dyDescent="0.25">
      <c r="B3275" s="6"/>
      <c r="C3275" s="7"/>
      <c r="D3275" s="7"/>
      <c r="E3275" s="8"/>
      <c r="F3275" t="str">
        <f t="shared" si="129"/>
        <v/>
      </c>
      <c r="G3275" t="str">
        <f t="shared" si="130"/>
        <v/>
      </c>
    </row>
    <row r="3276" spans="2:7" x14ac:dyDescent="0.25">
      <c r="B3276" s="6"/>
      <c r="C3276" s="7"/>
      <c r="D3276" s="7"/>
      <c r="E3276" s="8"/>
      <c r="F3276" t="str">
        <f t="shared" si="129"/>
        <v/>
      </c>
      <c r="G3276" t="str">
        <f t="shared" si="130"/>
        <v/>
      </c>
    </row>
    <row r="3277" spans="2:7" x14ac:dyDescent="0.25">
      <c r="B3277" s="6"/>
      <c r="C3277" s="7"/>
      <c r="D3277" s="7"/>
      <c r="E3277" s="8"/>
      <c r="F3277" t="str">
        <f t="shared" si="129"/>
        <v/>
      </c>
      <c r="G3277" t="str">
        <f t="shared" si="130"/>
        <v/>
      </c>
    </row>
    <row r="3278" spans="2:7" x14ac:dyDescent="0.25">
      <c r="B3278" s="6"/>
      <c r="C3278" s="7"/>
      <c r="D3278" s="7"/>
      <c r="E3278" s="8"/>
      <c r="F3278" t="str">
        <f t="shared" si="129"/>
        <v/>
      </c>
      <c r="G3278" t="str">
        <f t="shared" si="130"/>
        <v/>
      </c>
    </row>
    <row r="3279" spans="2:7" x14ac:dyDescent="0.25">
      <c r="B3279" s="6"/>
      <c r="C3279" s="7"/>
      <c r="D3279" s="7"/>
      <c r="E3279" s="8"/>
      <c r="F3279" t="str">
        <f t="shared" si="129"/>
        <v/>
      </c>
      <c r="G3279" t="str">
        <f t="shared" si="130"/>
        <v/>
      </c>
    </row>
    <row r="3280" spans="2:7" x14ac:dyDescent="0.25">
      <c r="B3280" s="6"/>
      <c r="C3280" s="7"/>
      <c r="D3280" s="7"/>
      <c r="E3280" s="8"/>
      <c r="F3280" t="str">
        <f t="shared" si="129"/>
        <v/>
      </c>
      <c r="G3280" t="str">
        <f t="shared" si="130"/>
        <v/>
      </c>
    </row>
    <row r="3281" spans="2:7" x14ac:dyDescent="0.25">
      <c r="B3281" s="6"/>
      <c r="C3281" s="7"/>
      <c r="D3281" s="7"/>
      <c r="E3281" s="8"/>
      <c r="F3281" t="str">
        <f t="shared" si="129"/>
        <v/>
      </c>
      <c r="G3281" t="str">
        <f t="shared" si="130"/>
        <v/>
      </c>
    </row>
    <row r="3282" spans="2:7" x14ac:dyDescent="0.25">
      <c r="B3282" s="6"/>
      <c r="C3282" s="7"/>
      <c r="D3282" s="7"/>
      <c r="E3282" s="8"/>
      <c r="F3282" t="str">
        <f t="shared" si="129"/>
        <v/>
      </c>
      <c r="G3282" t="str">
        <f t="shared" si="130"/>
        <v/>
      </c>
    </row>
    <row r="3283" spans="2:7" x14ac:dyDescent="0.25">
      <c r="B3283" s="6"/>
      <c r="C3283" s="7"/>
      <c r="D3283" s="7"/>
      <c r="E3283" s="8"/>
      <c r="F3283" t="str">
        <f t="shared" si="129"/>
        <v/>
      </c>
      <c r="G3283" t="str">
        <f t="shared" si="130"/>
        <v/>
      </c>
    </row>
    <row r="3284" spans="2:7" x14ac:dyDescent="0.25">
      <c r="B3284" s="6"/>
      <c r="C3284" s="7"/>
      <c r="D3284" s="7"/>
      <c r="E3284" s="8"/>
      <c r="F3284" t="str">
        <f t="shared" si="129"/>
        <v/>
      </c>
      <c r="G3284" t="str">
        <f t="shared" si="130"/>
        <v/>
      </c>
    </row>
    <row r="3285" spans="2:7" x14ac:dyDescent="0.25">
      <c r="B3285" s="6"/>
      <c r="C3285" s="7"/>
      <c r="D3285" s="7"/>
      <c r="E3285" s="8"/>
      <c r="F3285" t="str">
        <f t="shared" si="129"/>
        <v/>
      </c>
      <c r="G3285" t="str">
        <f t="shared" si="130"/>
        <v/>
      </c>
    </row>
    <row r="3286" spans="2:7" x14ac:dyDescent="0.25">
      <c r="B3286" s="6"/>
      <c r="C3286" s="7"/>
      <c r="D3286" s="7"/>
      <c r="E3286" s="8"/>
      <c r="F3286" t="str">
        <f t="shared" si="129"/>
        <v/>
      </c>
      <c r="G3286" t="str">
        <f t="shared" si="130"/>
        <v/>
      </c>
    </row>
    <row r="3287" spans="2:7" x14ac:dyDescent="0.25">
      <c r="B3287" s="6"/>
      <c r="C3287" s="7"/>
      <c r="D3287" s="7"/>
      <c r="E3287" s="8"/>
      <c r="F3287" t="str">
        <f t="shared" si="129"/>
        <v/>
      </c>
      <c r="G3287" t="str">
        <f t="shared" si="130"/>
        <v/>
      </c>
    </row>
    <row r="3288" spans="2:7" x14ac:dyDescent="0.25">
      <c r="B3288" s="6"/>
      <c r="C3288" s="7"/>
      <c r="D3288" s="7"/>
      <c r="E3288" s="8"/>
      <c r="F3288" t="str">
        <f t="shared" si="129"/>
        <v/>
      </c>
      <c r="G3288" t="str">
        <f t="shared" si="130"/>
        <v/>
      </c>
    </row>
    <row r="3289" spans="2:7" x14ac:dyDescent="0.25">
      <c r="B3289" s="6"/>
      <c r="C3289" s="7"/>
      <c r="D3289" s="7"/>
      <c r="E3289" s="8"/>
      <c r="F3289" t="str">
        <f t="shared" si="129"/>
        <v/>
      </c>
      <c r="G3289" t="str">
        <f t="shared" si="130"/>
        <v/>
      </c>
    </row>
    <row r="3290" spans="2:7" x14ac:dyDescent="0.25">
      <c r="B3290" s="6"/>
      <c r="C3290" s="7"/>
      <c r="D3290" s="7"/>
      <c r="E3290" s="8"/>
      <c r="F3290" t="str">
        <f t="shared" si="129"/>
        <v/>
      </c>
      <c r="G3290" t="str">
        <f t="shared" si="130"/>
        <v/>
      </c>
    </row>
    <row r="3291" spans="2:7" x14ac:dyDescent="0.25">
      <c r="B3291" s="6"/>
      <c r="C3291" s="7"/>
      <c r="D3291" s="7"/>
      <c r="E3291" s="8"/>
      <c r="F3291" t="str">
        <f t="shared" si="129"/>
        <v/>
      </c>
      <c r="G3291" t="str">
        <f t="shared" si="130"/>
        <v/>
      </c>
    </row>
    <row r="3292" spans="2:7" x14ac:dyDescent="0.25">
      <c r="B3292" s="6"/>
      <c r="C3292" s="7"/>
      <c r="D3292" s="7"/>
      <c r="E3292" s="8"/>
      <c r="F3292" t="str">
        <f t="shared" si="129"/>
        <v/>
      </c>
      <c r="G3292" t="str">
        <f t="shared" si="130"/>
        <v/>
      </c>
    </row>
    <row r="3293" spans="2:7" x14ac:dyDescent="0.25">
      <c r="B3293" s="6"/>
      <c r="C3293" s="7"/>
      <c r="D3293" s="7"/>
      <c r="E3293" s="8"/>
      <c r="F3293" t="str">
        <f t="shared" si="129"/>
        <v/>
      </c>
      <c r="G3293" t="str">
        <f t="shared" si="130"/>
        <v/>
      </c>
    </row>
    <row r="3294" spans="2:7" x14ac:dyDescent="0.25">
      <c r="B3294" s="6"/>
      <c r="C3294" s="7"/>
      <c r="D3294" s="7"/>
      <c r="E3294" s="8"/>
      <c r="F3294" t="str">
        <f t="shared" si="129"/>
        <v/>
      </c>
      <c r="G3294" t="str">
        <f t="shared" si="130"/>
        <v/>
      </c>
    </row>
    <row r="3295" spans="2:7" x14ac:dyDescent="0.25">
      <c r="B3295" s="6"/>
      <c r="C3295" s="7"/>
      <c r="D3295" s="7"/>
      <c r="E3295" s="8"/>
      <c r="F3295" t="str">
        <f t="shared" si="129"/>
        <v/>
      </c>
      <c r="G3295" t="str">
        <f t="shared" si="130"/>
        <v/>
      </c>
    </row>
    <row r="3296" spans="2:7" x14ac:dyDescent="0.25">
      <c r="B3296" s="6"/>
      <c r="C3296" s="7"/>
      <c r="D3296" s="7"/>
      <c r="E3296" s="8"/>
      <c r="F3296" t="str">
        <f t="shared" si="129"/>
        <v/>
      </c>
      <c r="G3296" t="str">
        <f t="shared" si="130"/>
        <v/>
      </c>
    </row>
    <row r="3297" spans="2:7" x14ac:dyDescent="0.25">
      <c r="B3297" s="6"/>
      <c r="C3297" s="7"/>
      <c r="D3297" s="7"/>
      <c r="E3297" s="8"/>
      <c r="F3297" t="str">
        <f t="shared" si="129"/>
        <v/>
      </c>
      <c r="G3297" t="str">
        <f t="shared" si="130"/>
        <v/>
      </c>
    </row>
    <row r="3298" spans="2:7" x14ac:dyDescent="0.25">
      <c r="B3298" s="6"/>
      <c r="C3298" s="7"/>
      <c r="D3298" s="7"/>
      <c r="E3298" s="8"/>
      <c r="F3298" t="str">
        <f t="shared" si="129"/>
        <v/>
      </c>
      <c r="G3298" t="str">
        <f t="shared" si="130"/>
        <v/>
      </c>
    </row>
    <row r="3299" spans="2:7" x14ac:dyDescent="0.25">
      <c r="B3299" s="6"/>
      <c r="C3299" s="7"/>
      <c r="D3299" s="7"/>
      <c r="E3299" s="8"/>
      <c r="F3299" t="str">
        <f t="shared" si="129"/>
        <v/>
      </c>
      <c r="G3299" t="str">
        <f t="shared" si="130"/>
        <v/>
      </c>
    </row>
    <row r="3300" spans="2:7" x14ac:dyDescent="0.25">
      <c r="B3300" s="6"/>
      <c r="C3300" s="7"/>
      <c r="D3300" s="7"/>
      <c r="E3300" s="8"/>
      <c r="F3300" t="str">
        <f t="shared" si="129"/>
        <v/>
      </c>
      <c r="G3300" t="str">
        <f t="shared" si="130"/>
        <v/>
      </c>
    </row>
    <row r="3301" spans="2:7" x14ac:dyDescent="0.25">
      <c r="B3301" s="6"/>
      <c r="C3301" s="7"/>
      <c r="D3301" s="7"/>
      <c r="E3301" s="8"/>
      <c r="F3301" t="str">
        <f t="shared" si="129"/>
        <v/>
      </c>
      <c r="G3301" t="str">
        <f t="shared" si="130"/>
        <v/>
      </c>
    </row>
    <row r="3302" spans="2:7" x14ac:dyDescent="0.25">
      <c r="B3302" s="6"/>
      <c r="C3302" s="7"/>
      <c r="D3302" s="7"/>
      <c r="E3302" s="8"/>
      <c r="F3302" t="str">
        <f t="shared" si="129"/>
        <v/>
      </c>
      <c r="G3302" t="str">
        <f t="shared" si="130"/>
        <v/>
      </c>
    </row>
    <row r="3303" spans="2:7" x14ac:dyDescent="0.25">
      <c r="B3303" s="6"/>
      <c r="C3303" s="7"/>
      <c r="D3303" s="7"/>
      <c r="E3303" s="8"/>
      <c r="F3303" t="str">
        <f t="shared" si="129"/>
        <v/>
      </c>
      <c r="G3303" t="str">
        <f t="shared" si="130"/>
        <v/>
      </c>
    </row>
    <row r="3304" spans="2:7" x14ac:dyDescent="0.25">
      <c r="B3304" s="6"/>
      <c r="C3304" s="7"/>
      <c r="D3304" s="7"/>
      <c r="E3304" s="8"/>
      <c r="F3304" t="str">
        <f t="shared" si="129"/>
        <v/>
      </c>
      <c r="G3304" t="str">
        <f t="shared" si="130"/>
        <v/>
      </c>
    </row>
    <row r="3305" spans="2:7" x14ac:dyDescent="0.25">
      <c r="B3305" s="6"/>
      <c r="C3305" s="7"/>
      <c r="D3305" s="7"/>
      <c r="E3305" s="8"/>
      <c r="F3305" t="str">
        <f t="shared" si="129"/>
        <v/>
      </c>
      <c r="G3305" t="str">
        <f t="shared" si="130"/>
        <v/>
      </c>
    </row>
    <row r="3306" spans="2:7" x14ac:dyDescent="0.25">
      <c r="B3306" s="6"/>
      <c r="C3306" s="7"/>
      <c r="D3306" s="7"/>
      <c r="E3306" s="8"/>
      <c r="F3306" t="str">
        <f t="shared" si="129"/>
        <v/>
      </c>
      <c r="G3306" t="str">
        <f t="shared" si="130"/>
        <v/>
      </c>
    </row>
    <row r="3307" spans="2:7" x14ac:dyDescent="0.25">
      <c r="B3307" s="6"/>
      <c r="C3307" s="7"/>
      <c r="D3307" s="7"/>
      <c r="E3307" s="8"/>
      <c r="F3307" t="str">
        <f t="shared" si="129"/>
        <v/>
      </c>
      <c r="G3307" t="str">
        <f t="shared" si="130"/>
        <v/>
      </c>
    </row>
    <row r="3308" spans="2:7" x14ac:dyDescent="0.25">
      <c r="B3308" s="6"/>
      <c r="C3308" s="7"/>
      <c r="D3308" s="7"/>
      <c r="E3308" s="8"/>
      <c r="F3308" t="str">
        <f t="shared" si="129"/>
        <v/>
      </c>
      <c r="G3308" t="str">
        <f t="shared" si="130"/>
        <v/>
      </c>
    </row>
    <row r="3309" spans="2:7" x14ac:dyDescent="0.25">
      <c r="B3309" s="6"/>
      <c r="C3309" s="7"/>
      <c r="D3309" s="7"/>
      <c r="E3309" s="8"/>
      <c r="F3309" t="str">
        <f t="shared" si="129"/>
        <v/>
      </c>
      <c r="G3309" t="str">
        <f t="shared" si="130"/>
        <v/>
      </c>
    </row>
    <row r="3310" spans="2:7" x14ac:dyDescent="0.25">
      <c r="B3310" s="6"/>
      <c r="C3310" s="7"/>
      <c r="D3310" s="7"/>
      <c r="E3310" s="8"/>
      <c r="F3310" t="str">
        <f t="shared" si="129"/>
        <v/>
      </c>
      <c r="G3310" t="str">
        <f t="shared" si="130"/>
        <v/>
      </c>
    </row>
    <row r="3311" spans="2:7" x14ac:dyDescent="0.25">
      <c r="B3311" s="6"/>
      <c r="C3311" s="7"/>
      <c r="D3311" s="7"/>
      <c r="E3311" s="8"/>
      <c r="F3311" t="str">
        <f t="shared" si="129"/>
        <v/>
      </c>
      <c r="G3311" t="str">
        <f t="shared" si="130"/>
        <v/>
      </c>
    </row>
    <row r="3312" spans="2:7" x14ac:dyDescent="0.25">
      <c r="B3312" s="6"/>
      <c r="C3312" s="7"/>
      <c r="D3312" s="7"/>
      <c r="E3312" s="8"/>
      <c r="F3312" t="str">
        <f t="shared" si="129"/>
        <v/>
      </c>
      <c r="G3312" t="str">
        <f t="shared" si="130"/>
        <v/>
      </c>
    </row>
    <row r="3313" spans="2:7" x14ac:dyDescent="0.25">
      <c r="B3313" s="6"/>
      <c r="C3313" s="7"/>
      <c r="D3313" s="7"/>
      <c r="E3313" s="8"/>
      <c r="F3313" t="str">
        <f t="shared" si="129"/>
        <v/>
      </c>
      <c r="G3313" t="str">
        <f t="shared" si="130"/>
        <v/>
      </c>
    </row>
    <row r="3314" spans="2:7" x14ac:dyDescent="0.25">
      <c r="B3314" s="6"/>
      <c r="C3314" s="7"/>
      <c r="D3314" s="7"/>
      <c r="E3314" s="8"/>
      <c r="F3314" t="str">
        <f t="shared" si="129"/>
        <v/>
      </c>
      <c r="G3314" t="str">
        <f t="shared" si="130"/>
        <v/>
      </c>
    </row>
    <row r="3315" spans="2:7" x14ac:dyDescent="0.25">
      <c r="B3315" s="6"/>
      <c r="C3315" s="7"/>
      <c r="D3315" s="7"/>
      <c r="E3315" s="8"/>
      <c r="F3315" t="str">
        <f t="shared" si="129"/>
        <v/>
      </c>
      <c r="G3315" t="str">
        <f t="shared" si="130"/>
        <v/>
      </c>
    </row>
    <row r="3316" spans="2:7" x14ac:dyDescent="0.25">
      <c r="B3316" s="6"/>
      <c r="C3316" s="7"/>
      <c r="D3316" s="7"/>
      <c r="E3316" s="8"/>
      <c r="F3316" t="str">
        <f t="shared" si="129"/>
        <v/>
      </c>
      <c r="G3316" t="str">
        <f t="shared" si="130"/>
        <v/>
      </c>
    </row>
    <row r="3317" spans="2:7" x14ac:dyDescent="0.25">
      <c r="B3317" s="6"/>
      <c r="C3317" s="7"/>
      <c r="D3317" s="7"/>
      <c r="E3317" s="8"/>
      <c r="F3317" t="str">
        <f t="shared" si="129"/>
        <v/>
      </c>
      <c r="G3317" t="str">
        <f t="shared" si="130"/>
        <v/>
      </c>
    </row>
    <row r="3318" spans="2:7" x14ac:dyDescent="0.25">
      <c r="B3318" s="6"/>
      <c r="C3318" s="7"/>
      <c r="D3318" s="7"/>
      <c r="E3318" s="8"/>
      <c r="F3318" t="str">
        <f t="shared" si="129"/>
        <v/>
      </c>
      <c r="G3318" t="str">
        <f t="shared" si="130"/>
        <v/>
      </c>
    </row>
    <row r="3319" spans="2:7" x14ac:dyDescent="0.25">
      <c r="B3319" s="6"/>
      <c r="C3319" s="7"/>
      <c r="D3319" s="7"/>
      <c r="E3319" s="8"/>
      <c r="F3319" t="str">
        <f t="shared" si="129"/>
        <v/>
      </c>
      <c r="G3319" t="str">
        <f t="shared" si="130"/>
        <v/>
      </c>
    </row>
    <row r="3320" spans="2:7" x14ac:dyDescent="0.25">
      <c r="B3320" s="6"/>
      <c r="C3320" s="7"/>
      <c r="D3320" s="7"/>
      <c r="E3320" s="8"/>
      <c r="F3320" t="str">
        <f t="shared" si="129"/>
        <v/>
      </c>
      <c r="G3320" t="str">
        <f t="shared" si="130"/>
        <v/>
      </c>
    </row>
    <row r="3321" spans="2:7" x14ac:dyDescent="0.25">
      <c r="B3321" s="6"/>
      <c r="C3321" s="7"/>
      <c r="D3321" s="7"/>
      <c r="E3321" s="8"/>
      <c r="F3321" t="str">
        <f t="shared" si="129"/>
        <v/>
      </c>
      <c r="G3321" t="str">
        <f t="shared" si="130"/>
        <v/>
      </c>
    </row>
    <row r="3322" spans="2:7" x14ac:dyDescent="0.25">
      <c r="B3322" s="6"/>
      <c r="C3322" s="7"/>
      <c r="D3322" s="7"/>
      <c r="E3322" s="8"/>
      <c r="F3322" t="str">
        <f t="shared" si="129"/>
        <v/>
      </c>
      <c r="G3322" t="str">
        <f t="shared" si="130"/>
        <v/>
      </c>
    </row>
    <row r="3323" spans="2:7" x14ac:dyDescent="0.25">
      <c r="B3323" s="6"/>
      <c r="C3323" s="7"/>
      <c r="D3323" s="7"/>
      <c r="E3323" s="8"/>
      <c r="F3323" t="str">
        <f t="shared" si="129"/>
        <v/>
      </c>
      <c r="G3323" t="str">
        <f t="shared" si="130"/>
        <v/>
      </c>
    </row>
    <row r="3324" spans="2:7" x14ac:dyDescent="0.25">
      <c r="B3324" s="6"/>
      <c r="C3324" s="7"/>
      <c r="D3324" s="7"/>
      <c r="E3324" s="8"/>
      <c r="F3324" t="str">
        <f t="shared" si="129"/>
        <v/>
      </c>
      <c r="G3324" t="str">
        <f t="shared" si="130"/>
        <v/>
      </c>
    </row>
    <row r="3325" spans="2:7" x14ac:dyDescent="0.25">
      <c r="B3325" s="6"/>
      <c r="C3325" s="7"/>
      <c r="D3325" s="7"/>
      <c r="E3325" s="8"/>
      <c r="F3325" t="str">
        <f t="shared" si="129"/>
        <v/>
      </c>
      <c r="G3325" t="str">
        <f t="shared" si="130"/>
        <v/>
      </c>
    </row>
    <row r="3326" spans="2:7" x14ac:dyDescent="0.25">
      <c r="B3326" s="6"/>
      <c r="C3326" s="7"/>
      <c r="D3326" s="7"/>
      <c r="E3326" s="8"/>
      <c r="F3326" t="str">
        <f t="shared" si="129"/>
        <v/>
      </c>
      <c r="G3326" t="str">
        <f t="shared" si="130"/>
        <v/>
      </c>
    </row>
    <row r="3327" spans="2:7" x14ac:dyDescent="0.25">
      <c r="B3327" s="6"/>
      <c r="C3327" s="7"/>
      <c r="D3327" s="7"/>
      <c r="E3327" s="8"/>
      <c r="F3327" t="str">
        <f t="shared" si="129"/>
        <v/>
      </c>
      <c r="G3327" t="str">
        <f t="shared" si="130"/>
        <v/>
      </c>
    </row>
    <row r="3328" spans="2:7" x14ac:dyDescent="0.25">
      <c r="B3328" s="6"/>
      <c r="C3328" s="7"/>
      <c r="D3328" s="7"/>
      <c r="E3328" s="8"/>
      <c r="F3328" t="str">
        <f t="shared" si="129"/>
        <v/>
      </c>
      <c r="G3328" t="str">
        <f t="shared" si="130"/>
        <v/>
      </c>
    </row>
    <row r="3329" spans="2:7" x14ac:dyDescent="0.25">
      <c r="B3329" s="6"/>
      <c r="C3329" s="7"/>
      <c r="D3329" s="7"/>
      <c r="E3329" s="8"/>
      <c r="F3329" t="str">
        <f t="shared" si="129"/>
        <v/>
      </c>
      <c r="G3329" t="str">
        <f t="shared" si="130"/>
        <v/>
      </c>
    </row>
    <row r="3330" spans="2:7" x14ac:dyDescent="0.25">
      <c r="B3330" s="6"/>
      <c r="C3330" s="7"/>
      <c r="D3330" s="7"/>
      <c r="E3330" s="8"/>
      <c r="F3330" t="str">
        <f t="shared" si="129"/>
        <v/>
      </c>
      <c r="G3330" t="str">
        <f t="shared" si="130"/>
        <v/>
      </c>
    </row>
    <row r="3331" spans="2:7" x14ac:dyDescent="0.25">
      <c r="B3331" s="6"/>
      <c r="C3331" s="7"/>
      <c r="D3331" s="7"/>
      <c r="E3331" s="8"/>
      <c r="F3331" t="str">
        <f t="shared" si="129"/>
        <v/>
      </c>
      <c r="G3331" t="str">
        <f t="shared" si="130"/>
        <v/>
      </c>
    </row>
    <row r="3332" spans="2:7" x14ac:dyDescent="0.25">
      <c r="B3332" s="6"/>
      <c r="C3332" s="7"/>
      <c r="D3332" s="7"/>
      <c r="E3332" s="8"/>
      <c r="F3332" t="str">
        <f t="shared" ref="F3332:F3395" si="131">IF(B3332="","",LOG10(D3332))</f>
        <v/>
      </c>
      <c r="G3332" t="str">
        <f t="shared" ref="G3332:G3395" si="132">IF(E3332="", "",0.434*E3332/D3332)</f>
        <v/>
      </c>
    </row>
    <row r="3333" spans="2:7" x14ac:dyDescent="0.25">
      <c r="B3333" s="6"/>
      <c r="C3333" s="7"/>
      <c r="D3333" s="7"/>
      <c r="E3333" s="8"/>
      <c r="F3333" t="str">
        <f t="shared" si="131"/>
        <v/>
      </c>
      <c r="G3333" t="str">
        <f t="shared" si="132"/>
        <v/>
      </c>
    </row>
    <row r="3334" spans="2:7" x14ac:dyDescent="0.25">
      <c r="B3334" s="6"/>
      <c r="C3334" s="7"/>
      <c r="D3334" s="7"/>
      <c r="E3334" s="8"/>
      <c r="F3334" t="str">
        <f t="shared" si="131"/>
        <v/>
      </c>
      <c r="G3334" t="str">
        <f t="shared" si="132"/>
        <v/>
      </c>
    </row>
    <row r="3335" spans="2:7" x14ac:dyDescent="0.25">
      <c r="B3335" s="6"/>
      <c r="C3335" s="7"/>
      <c r="D3335" s="7"/>
      <c r="E3335" s="8"/>
      <c r="F3335" t="str">
        <f t="shared" si="131"/>
        <v/>
      </c>
      <c r="G3335" t="str">
        <f t="shared" si="132"/>
        <v/>
      </c>
    </row>
    <row r="3336" spans="2:7" x14ac:dyDescent="0.25">
      <c r="B3336" s="6"/>
      <c r="C3336" s="7"/>
      <c r="D3336" s="7"/>
      <c r="E3336" s="8"/>
      <c r="F3336" t="str">
        <f t="shared" si="131"/>
        <v/>
      </c>
      <c r="G3336" t="str">
        <f t="shared" si="132"/>
        <v/>
      </c>
    </row>
    <row r="3337" spans="2:7" x14ac:dyDescent="0.25">
      <c r="B3337" s="6"/>
      <c r="C3337" s="7"/>
      <c r="D3337" s="7"/>
      <c r="E3337" s="8"/>
      <c r="F3337" t="str">
        <f t="shared" si="131"/>
        <v/>
      </c>
      <c r="G3337" t="str">
        <f t="shared" si="132"/>
        <v/>
      </c>
    </row>
    <row r="3338" spans="2:7" x14ac:dyDescent="0.25">
      <c r="B3338" s="6"/>
      <c r="C3338" s="7"/>
      <c r="D3338" s="7"/>
      <c r="E3338" s="8"/>
      <c r="F3338" t="str">
        <f t="shared" si="131"/>
        <v/>
      </c>
      <c r="G3338" t="str">
        <f t="shared" si="132"/>
        <v/>
      </c>
    </row>
    <row r="3339" spans="2:7" x14ac:dyDescent="0.25">
      <c r="B3339" s="6"/>
      <c r="C3339" s="7"/>
      <c r="D3339" s="7"/>
      <c r="E3339" s="8"/>
      <c r="F3339" t="str">
        <f t="shared" si="131"/>
        <v/>
      </c>
      <c r="G3339" t="str">
        <f t="shared" si="132"/>
        <v/>
      </c>
    </row>
    <row r="3340" spans="2:7" x14ac:dyDescent="0.25">
      <c r="B3340" s="6"/>
      <c r="C3340" s="7"/>
      <c r="D3340" s="7"/>
      <c r="E3340" s="8"/>
      <c r="F3340" t="str">
        <f t="shared" si="131"/>
        <v/>
      </c>
      <c r="G3340" t="str">
        <f t="shared" si="132"/>
        <v/>
      </c>
    </row>
    <row r="3341" spans="2:7" x14ac:dyDescent="0.25">
      <c r="B3341" s="6"/>
      <c r="C3341" s="7"/>
      <c r="D3341" s="7"/>
      <c r="E3341" s="8"/>
      <c r="F3341" t="str">
        <f t="shared" si="131"/>
        <v/>
      </c>
      <c r="G3341" t="str">
        <f t="shared" si="132"/>
        <v/>
      </c>
    </row>
    <row r="3342" spans="2:7" x14ac:dyDescent="0.25">
      <c r="B3342" s="6"/>
      <c r="C3342" s="7"/>
      <c r="D3342" s="7"/>
      <c r="E3342" s="8"/>
      <c r="F3342" t="str">
        <f t="shared" si="131"/>
        <v/>
      </c>
      <c r="G3342" t="str">
        <f t="shared" si="132"/>
        <v/>
      </c>
    </row>
    <row r="3343" spans="2:7" x14ac:dyDescent="0.25">
      <c r="B3343" s="6"/>
      <c r="C3343" s="7"/>
      <c r="D3343" s="7"/>
      <c r="E3343" s="8"/>
      <c r="F3343" t="str">
        <f t="shared" si="131"/>
        <v/>
      </c>
      <c r="G3343" t="str">
        <f t="shared" si="132"/>
        <v/>
      </c>
    </row>
    <row r="3344" spans="2:7" x14ac:dyDescent="0.25">
      <c r="B3344" s="6"/>
      <c r="C3344" s="7"/>
      <c r="D3344" s="7"/>
      <c r="E3344" s="8"/>
      <c r="F3344" t="str">
        <f t="shared" si="131"/>
        <v/>
      </c>
      <c r="G3344" t="str">
        <f t="shared" si="132"/>
        <v/>
      </c>
    </row>
    <row r="3345" spans="2:7" x14ac:dyDescent="0.25">
      <c r="B3345" s="6"/>
      <c r="C3345" s="7"/>
      <c r="D3345" s="7"/>
      <c r="E3345" s="8"/>
      <c r="F3345" t="str">
        <f t="shared" si="131"/>
        <v/>
      </c>
      <c r="G3345" t="str">
        <f t="shared" si="132"/>
        <v/>
      </c>
    </row>
    <row r="3346" spans="2:7" x14ac:dyDescent="0.25">
      <c r="B3346" s="6"/>
      <c r="C3346" s="7"/>
      <c r="D3346" s="7"/>
      <c r="E3346" s="8"/>
      <c r="F3346" t="str">
        <f t="shared" si="131"/>
        <v/>
      </c>
      <c r="G3346" t="str">
        <f t="shared" si="132"/>
        <v/>
      </c>
    </row>
    <row r="3347" spans="2:7" x14ac:dyDescent="0.25">
      <c r="B3347" s="6"/>
      <c r="C3347" s="7"/>
      <c r="D3347" s="7"/>
      <c r="E3347" s="8"/>
      <c r="F3347" t="str">
        <f t="shared" si="131"/>
        <v/>
      </c>
      <c r="G3347" t="str">
        <f t="shared" si="132"/>
        <v/>
      </c>
    </row>
    <row r="3348" spans="2:7" x14ac:dyDescent="0.25">
      <c r="B3348" s="6"/>
      <c r="C3348" s="7"/>
      <c r="D3348" s="7"/>
      <c r="E3348" s="8"/>
      <c r="F3348" t="str">
        <f t="shared" si="131"/>
        <v/>
      </c>
      <c r="G3348" t="str">
        <f t="shared" si="132"/>
        <v/>
      </c>
    </row>
    <row r="3349" spans="2:7" x14ac:dyDescent="0.25">
      <c r="B3349" s="6"/>
      <c r="C3349" s="7"/>
      <c r="D3349" s="7"/>
      <c r="E3349" s="8"/>
      <c r="F3349" t="str">
        <f t="shared" si="131"/>
        <v/>
      </c>
      <c r="G3349" t="str">
        <f t="shared" si="132"/>
        <v/>
      </c>
    </row>
    <row r="3350" spans="2:7" x14ac:dyDescent="0.25">
      <c r="B3350" s="6"/>
      <c r="C3350" s="7"/>
      <c r="D3350" s="7"/>
      <c r="E3350" s="8"/>
      <c r="F3350" t="str">
        <f t="shared" si="131"/>
        <v/>
      </c>
      <c r="G3350" t="str">
        <f t="shared" si="132"/>
        <v/>
      </c>
    </row>
    <row r="3351" spans="2:7" x14ac:dyDescent="0.25">
      <c r="B3351" s="6"/>
      <c r="C3351" s="7"/>
      <c r="D3351" s="7"/>
      <c r="E3351" s="8"/>
      <c r="F3351" t="str">
        <f t="shared" si="131"/>
        <v/>
      </c>
      <c r="G3351" t="str">
        <f t="shared" si="132"/>
        <v/>
      </c>
    </row>
    <row r="3352" spans="2:7" x14ac:dyDescent="0.25">
      <c r="B3352" s="6"/>
      <c r="C3352" s="7"/>
      <c r="D3352" s="7"/>
      <c r="E3352" s="8"/>
      <c r="F3352" t="str">
        <f t="shared" si="131"/>
        <v/>
      </c>
      <c r="G3352" t="str">
        <f t="shared" si="132"/>
        <v/>
      </c>
    </row>
    <row r="3353" spans="2:7" x14ac:dyDescent="0.25">
      <c r="B3353" s="6"/>
      <c r="C3353" s="7"/>
      <c r="D3353" s="7"/>
      <c r="E3353" s="8"/>
      <c r="F3353" t="str">
        <f t="shared" si="131"/>
        <v/>
      </c>
      <c r="G3353" t="str">
        <f t="shared" si="132"/>
        <v/>
      </c>
    </row>
    <row r="3354" spans="2:7" x14ac:dyDescent="0.25">
      <c r="B3354" s="6"/>
      <c r="C3354" s="7"/>
      <c r="D3354" s="7"/>
      <c r="E3354" s="8"/>
      <c r="F3354" t="str">
        <f t="shared" si="131"/>
        <v/>
      </c>
      <c r="G3354" t="str">
        <f t="shared" si="132"/>
        <v/>
      </c>
    </row>
    <row r="3355" spans="2:7" x14ac:dyDescent="0.25">
      <c r="B3355" s="6"/>
      <c r="C3355" s="7"/>
      <c r="D3355" s="7"/>
      <c r="E3355" s="8"/>
      <c r="F3355" t="str">
        <f t="shared" si="131"/>
        <v/>
      </c>
      <c r="G3355" t="str">
        <f t="shared" si="132"/>
        <v/>
      </c>
    </row>
    <row r="3356" spans="2:7" x14ac:dyDescent="0.25">
      <c r="B3356" s="6"/>
      <c r="C3356" s="7"/>
      <c r="D3356" s="7"/>
      <c r="E3356" s="8"/>
      <c r="F3356" t="str">
        <f t="shared" si="131"/>
        <v/>
      </c>
      <c r="G3356" t="str">
        <f t="shared" si="132"/>
        <v/>
      </c>
    </row>
    <row r="3357" spans="2:7" x14ac:dyDescent="0.25">
      <c r="B3357" s="6"/>
      <c r="C3357" s="7"/>
      <c r="D3357" s="7"/>
      <c r="E3357" s="8"/>
      <c r="F3357" t="str">
        <f t="shared" si="131"/>
        <v/>
      </c>
      <c r="G3357" t="str">
        <f t="shared" si="132"/>
        <v/>
      </c>
    </row>
    <row r="3358" spans="2:7" x14ac:dyDescent="0.25">
      <c r="B3358" s="6"/>
      <c r="C3358" s="7"/>
      <c r="D3358" s="7"/>
      <c r="E3358" s="8"/>
      <c r="F3358" t="str">
        <f t="shared" si="131"/>
        <v/>
      </c>
      <c r="G3358" t="str">
        <f t="shared" si="132"/>
        <v/>
      </c>
    </row>
    <row r="3359" spans="2:7" x14ac:dyDescent="0.25">
      <c r="B3359" s="6"/>
      <c r="C3359" s="7"/>
      <c r="D3359" s="7"/>
      <c r="E3359" s="8"/>
      <c r="F3359" t="str">
        <f t="shared" si="131"/>
        <v/>
      </c>
      <c r="G3359" t="str">
        <f t="shared" si="132"/>
        <v/>
      </c>
    </row>
    <row r="3360" spans="2:7" x14ac:dyDescent="0.25">
      <c r="B3360" s="6"/>
      <c r="C3360" s="7"/>
      <c r="D3360" s="7"/>
      <c r="E3360" s="8"/>
      <c r="F3360" t="str">
        <f t="shared" si="131"/>
        <v/>
      </c>
      <c r="G3360" t="str">
        <f t="shared" si="132"/>
        <v/>
      </c>
    </row>
    <row r="3361" spans="2:7" x14ac:dyDescent="0.25">
      <c r="B3361" s="6"/>
      <c r="C3361" s="7"/>
      <c r="D3361" s="7"/>
      <c r="E3361" s="8"/>
      <c r="F3361" t="str">
        <f t="shared" si="131"/>
        <v/>
      </c>
      <c r="G3361" t="str">
        <f t="shared" si="132"/>
        <v/>
      </c>
    </row>
    <row r="3362" spans="2:7" x14ac:dyDescent="0.25">
      <c r="B3362" s="6"/>
      <c r="C3362" s="7"/>
      <c r="D3362" s="7"/>
      <c r="E3362" s="8"/>
      <c r="F3362" t="str">
        <f t="shared" si="131"/>
        <v/>
      </c>
      <c r="G3362" t="str">
        <f t="shared" si="132"/>
        <v/>
      </c>
    </row>
    <row r="3363" spans="2:7" x14ac:dyDescent="0.25">
      <c r="B3363" s="6"/>
      <c r="C3363" s="7"/>
      <c r="D3363" s="7"/>
      <c r="E3363" s="8"/>
      <c r="F3363" t="str">
        <f t="shared" si="131"/>
        <v/>
      </c>
      <c r="G3363" t="str">
        <f t="shared" si="132"/>
        <v/>
      </c>
    </row>
    <row r="3364" spans="2:7" x14ac:dyDescent="0.25">
      <c r="B3364" s="6"/>
      <c r="C3364" s="7"/>
      <c r="D3364" s="7"/>
      <c r="E3364" s="8"/>
      <c r="F3364" t="str">
        <f t="shared" si="131"/>
        <v/>
      </c>
      <c r="G3364" t="str">
        <f t="shared" si="132"/>
        <v/>
      </c>
    </row>
    <row r="3365" spans="2:7" x14ac:dyDescent="0.25">
      <c r="B3365" s="6"/>
      <c r="C3365" s="7"/>
      <c r="D3365" s="7"/>
      <c r="E3365" s="8"/>
      <c r="F3365" t="str">
        <f t="shared" si="131"/>
        <v/>
      </c>
      <c r="G3365" t="str">
        <f t="shared" si="132"/>
        <v/>
      </c>
    </row>
    <row r="3366" spans="2:7" x14ac:dyDescent="0.25">
      <c r="B3366" s="6"/>
      <c r="C3366" s="7"/>
      <c r="D3366" s="7"/>
      <c r="E3366" s="8"/>
      <c r="F3366" t="str">
        <f t="shared" si="131"/>
        <v/>
      </c>
      <c r="G3366" t="str">
        <f t="shared" si="132"/>
        <v/>
      </c>
    </row>
    <row r="3367" spans="2:7" x14ac:dyDescent="0.25">
      <c r="B3367" s="6"/>
      <c r="C3367" s="7"/>
      <c r="D3367" s="7"/>
      <c r="E3367" s="8"/>
      <c r="F3367" t="str">
        <f t="shared" si="131"/>
        <v/>
      </c>
      <c r="G3367" t="str">
        <f t="shared" si="132"/>
        <v/>
      </c>
    </row>
    <row r="3368" spans="2:7" x14ac:dyDescent="0.25">
      <c r="B3368" s="6"/>
      <c r="C3368" s="7"/>
      <c r="D3368" s="7"/>
      <c r="E3368" s="8"/>
      <c r="F3368" t="str">
        <f t="shared" si="131"/>
        <v/>
      </c>
      <c r="G3368" t="str">
        <f t="shared" si="132"/>
        <v/>
      </c>
    </row>
    <row r="3369" spans="2:7" x14ac:dyDescent="0.25">
      <c r="B3369" s="6"/>
      <c r="C3369" s="7"/>
      <c r="D3369" s="7"/>
      <c r="E3369" s="8"/>
      <c r="F3369" t="str">
        <f t="shared" si="131"/>
        <v/>
      </c>
      <c r="G3369" t="str">
        <f t="shared" si="132"/>
        <v/>
      </c>
    </row>
    <row r="3370" spans="2:7" x14ac:dyDescent="0.25">
      <c r="B3370" s="6"/>
      <c r="C3370" s="7"/>
      <c r="D3370" s="7"/>
      <c r="E3370" s="8"/>
      <c r="F3370" t="str">
        <f t="shared" si="131"/>
        <v/>
      </c>
      <c r="G3370" t="str">
        <f t="shared" si="132"/>
        <v/>
      </c>
    </row>
    <row r="3371" spans="2:7" x14ac:dyDescent="0.25">
      <c r="B3371" s="6"/>
      <c r="C3371" s="7"/>
      <c r="D3371" s="7"/>
      <c r="E3371" s="8"/>
      <c r="F3371" t="str">
        <f t="shared" si="131"/>
        <v/>
      </c>
      <c r="G3371" t="str">
        <f t="shared" si="132"/>
        <v/>
      </c>
    </row>
    <row r="3372" spans="2:7" x14ac:dyDescent="0.25">
      <c r="B3372" s="6"/>
      <c r="C3372" s="7"/>
      <c r="D3372" s="7"/>
      <c r="E3372" s="8"/>
      <c r="F3372" t="str">
        <f t="shared" si="131"/>
        <v/>
      </c>
      <c r="G3372" t="str">
        <f t="shared" si="132"/>
        <v/>
      </c>
    </row>
    <row r="3373" spans="2:7" x14ac:dyDescent="0.25">
      <c r="B3373" s="6"/>
      <c r="C3373" s="7"/>
      <c r="D3373" s="7"/>
      <c r="E3373" s="8"/>
      <c r="F3373" t="str">
        <f t="shared" si="131"/>
        <v/>
      </c>
      <c r="G3373" t="str">
        <f t="shared" si="132"/>
        <v/>
      </c>
    </row>
    <row r="3374" spans="2:7" x14ac:dyDescent="0.25">
      <c r="B3374" s="6"/>
      <c r="C3374" s="7"/>
      <c r="D3374" s="7"/>
      <c r="E3374" s="8"/>
      <c r="F3374" t="str">
        <f t="shared" si="131"/>
        <v/>
      </c>
      <c r="G3374" t="str">
        <f t="shared" si="132"/>
        <v/>
      </c>
    </row>
    <row r="3375" spans="2:7" x14ac:dyDescent="0.25">
      <c r="B3375" s="6"/>
      <c r="C3375" s="7"/>
      <c r="D3375" s="7"/>
      <c r="E3375" s="8"/>
      <c r="F3375" t="str">
        <f t="shared" si="131"/>
        <v/>
      </c>
      <c r="G3375" t="str">
        <f t="shared" si="132"/>
        <v/>
      </c>
    </row>
    <row r="3376" spans="2:7" x14ac:dyDescent="0.25">
      <c r="B3376" s="6"/>
      <c r="C3376" s="7"/>
      <c r="D3376" s="7"/>
      <c r="E3376" s="8"/>
      <c r="F3376" t="str">
        <f t="shared" si="131"/>
        <v/>
      </c>
      <c r="G3376" t="str">
        <f t="shared" si="132"/>
        <v/>
      </c>
    </row>
    <row r="3377" spans="2:7" x14ac:dyDescent="0.25">
      <c r="B3377" s="6"/>
      <c r="C3377" s="7"/>
      <c r="D3377" s="7"/>
      <c r="E3377" s="8"/>
      <c r="F3377" t="str">
        <f t="shared" si="131"/>
        <v/>
      </c>
      <c r="G3377" t="str">
        <f t="shared" si="132"/>
        <v/>
      </c>
    </row>
    <row r="3378" spans="2:7" x14ac:dyDescent="0.25">
      <c r="B3378" s="6"/>
      <c r="C3378" s="7"/>
      <c r="D3378" s="7"/>
      <c r="E3378" s="8"/>
      <c r="F3378" t="str">
        <f t="shared" si="131"/>
        <v/>
      </c>
      <c r="G3378" t="str">
        <f t="shared" si="132"/>
        <v/>
      </c>
    </row>
    <row r="3379" spans="2:7" x14ac:dyDescent="0.25">
      <c r="B3379" s="6"/>
      <c r="C3379" s="7"/>
      <c r="D3379" s="7"/>
      <c r="E3379" s="8"/>
      <c r="F3379" t="str">
        <f t="shared" si="131"/>
        <v/>
      </c>
      <c r="G3379" t="str">
        <f t="shared" si="132"/>
        <v/>
      </c>
    </row>
    <row r="3380" spans="2:7" x14ac:dyDescent="0.25">
      <c r="B3380" s="6"/>
      <c r="C3380" s="7"/>
      <c r="D3380" s="7"/>
      <c r="E3380" s="8"/>
      <c r="F3380" t="str">
        <f t="shared" si="131"/>
        <v/>
      </c>
      <c r="G3380" t="str">
        <f t="shared" si="132"/>
        <v/>
      </c>
    </row>
    <row r="3381" spans="2:7" x14ac:dyDescent="0.25">
      <c r="B3381" s="6"/>
      <c r="C3381" s="7"/>
      <c r="D3381" s="7"/>
      <c r="E3381" s="8"/>
      <c r="F3381" t="str">
        <f t="shared" si="131"/>
        <v/>
      </c>
      <c r="G3381" t="str">
        <f t="shared" si="132"/>
        <v/>
      </c>
    </row>
    <row r="3382" spans="2:7" x14ac:dyDescent="0.25">
      <c r="B3382" s="6"/>
      <c r="C3382" s="7"/>
      <c r="D3382" s="7"/>
      <c r="E3382" s="8"/>
      <c r="F3382" t="str">
        <f t="shared" si="131"/>
        <v/>
      </c>
      <c r="G3382" t="str">
        <f t="shared" si="132"/>
        <v/>
      </c>
    </row>
    <row r="3383" spans="2:7" x14ac:dyDescent="0.25">
      <c r="B3383" s="6"/>
      <c r="C3383" s="7"/>
      <c r="D3383" s="7"/>
      <c r="E3383" s="8"/>
      <c r="F3383" t="str">
        <f t="shared" si="131"/>
        <v/>
      </c>
      <c r="G3383" t="str">
        <f t="shared" si="132"/>
        <v/>
      </c>
    </row>
    <row r="3384" spans="2:7" x14ac:dyDescent="0.25">
      <c r="B3384" s="6"/>
      <c r="C3384" s="7"/>
      <c r="D3384" s="7"/>
      <c r="E3384" s="8"/>
      <c r="F3384" t="str">
        <f t="shared" si="131"/>
        <v/>
      </c>
      <c r="G3384" t="str">
        <f t="shared" si="132"/>
        <v/>
      </c>
    </row>
    <row r="3385" spans="2:7" x14ac:dyDescent="0.25">
      <c r="B3385" s="6"/>
      <c r="C3385" s="7"/>
      <c r="D3385" s="7"/>
      <c r="E3385" s="8"/>
      <c r="F3385" t="str">
        <f t="shared" si="131"/>
        <v/>
      </c>
      <c r="G3385" t="str">
        <f t="shared" si="132"/>
        <v/>
      </c>
    </row>
    <row r="3386" spans="2:7" x14ac:dyDescent="0.25">
      <c r="B3386" s="6"/>
      <c r="C3386" s="7"/>
      <c r="D3386" s="7"/>
      <c r="E3386" s="8"/>
      <c r="F3386" t="str">
        <f t="shared" si="131"/>
        <v/>
      </c>
      <c r="G3386" t="str">
        <f t="shared" si="132"/>
        <v/>
      </c>
    </row>
    <row r="3387" spans="2:7" x14ac:dyDescent="0.25">
      <c r="B3387" s="6"/>
      <c r="C3387" s="7"/>
      <c r="D3387" s="7"/>
      <c r="E3387" s="8"/>
      <c r="F3387" t="str">
        <f t="shared" si="131"/>
        <v/>
      </c>
      <c r="G3387" t="str">
        <f t="shared" si="132"/>
        <v/>
      </c>
    </row>
    <row r="3388" spans="2:7" x14ac:dyDescent="0.25">
      <c r="B3388" s="6"/>
      <c r="C3388" s="7"/>
      <c r="D3388" s="7"/>
      <c r="E3388" s="8"/>
      <c r="F3388" t="str">
        <f t="shared" si="131"/>
        <v/>
      </c>
      <c r="G3388" t="str">
        <f t="shared" si="132"/>
        <v/>
      </c>
    </row>
    <row r="3389" spans="2:7" x14ac:dyDescent="0.25">
      <c r="B3389" s="6"/>
      <c r="C3389" s="7"/>
      <c r="D3389" s="7"/>
      <c r="E3389" s="8"/>
      <c r="F3389" t="str">
        <f t="shared" si="131"/>
        <v/>
      </c>
      <c r="G3389" t="str">
        <f t="shared" si="132"/>
        <v/>
      </c>
    </row>
    <row r="3390" spans="2:7" x14ac:dyDescent="0.25">
      <c r="B3390" s="6"/>
      <c r="C3390" s="7"/>
      <c r="D3390" s="7"/>
      <c r="E3390" s="8"/>
      <c r="F3390" t="str">
        <f t="shared" si="131"/>
        <v/>
      </c>
      <c r="G3390" t="str">
        <f t="shared" si="132"/>
        <v/>
      </c>
    </row>
    <row r="3391" spans="2:7" x14ac:dyDescent="0.25">
      <c r="B3391" s="6"/>
      <c r="C3391" s="7"/>
      <c r="D3391" s="7"/>
      <c r="E3391" s="8"/>
      <c r="F3391" t="str">
        <f t="shared" si="131"/>
        <v/>
      </c>
      <c r="G3391" t="str">
        <f t="shared" si="132"/>
        <v/>
      </c>
    </row>
    <row r="3392" spans="2:7" x14ac:dyDescent="0.25">
      <c r="B3392" s="6"/>
      <c r="C3392" s="7"/>
      <c r="D3392" s="7"/>
      <c r="E3392" s="8"/>
      <c r="F3392" t="str">
        <f t="shared" si="131"/>
        <v/>
      </c>
      <c r="G3392" t="str">
        <f t="shared" si="132"/>
        <v/>
      </c>
    </row>
    <row r="3393" spans="2:7" x14ac:dyDescent="0.25">
      <c r="B3393" s="6"/>
      <c r="C3393" s="7"/>
      <c r="D3393" s="7"/>
      <c r="E3393" s="8"/>
      <c r="F3393" t="str">
        <f t="shared" si="131"/>
        <v/>
      </c>
      <c r="G3393" t="str">
        <f t="shared" si="132"/>
        <v/>
      </c>
    </row>
    <row r="3394" spans="2:7" x14ac:dyDescent="0.25">
      <c r="B3394" s="6"/>
      <c r="C3394" s="7"/>
      <c r="D3394" s="7"/>
      <c r="E3394" s="8"/>
      <c r="F3394" t="str">
        <f t="shared" si="131"/>
        <v/>
      </c>
      <c r="G3394" t="str">
        <f t="shared" si="132"/>
        <v/>
      </c>
    </row>
    <row r="3395" spans="2:7" x14ac:dyDescent="0.25">
      <c r="B3395" s="6"/>
      <c r="C3395" s="7"/>
      <c r="D3395" s="7"/>
      <c r="E3395" s="8"/>
      <c r="F3395" t="str">
        <f t="shared" si="131"/>
        <v/>
      </c>
      <c r="G3395" t="str">
        <f t="shared" si="132"/>
        <v/>
      </c>
    </row>
    <row r="3396" spans="2:7" x14ac:dyDescent="0.25">
      <c r="B3396" s="6"/>
      <c r="C3396" s="7"/>
      <c r="D3396" s="7"/>
      <c r="E3396" s="8"/>
      <c r="F3396" t="str">
        <f t="shared" ref="F3396:F3459" si="133">IF(B3396="","",LOG10(D3396))</f>
        <v/>
      </c>
      <c r="G3396" t="str">
        <f t="shared" ref="G3396:G3459" si="134">IF(E3396="", "",0.434*E3396/D3396)</f>
        <v/>
      </c>
    </row>
    <row r="3397" spans="2:7" x14ac:dyDescent="0.25">
      <c r="B3397" s="6"/>
      <c r="C3397" s="7"/>
      <c r="D3397" s="7"/>
      <c r="E3397" s="8"/>
      <c r="F3397" t="str">
        <f t="shared" si="133"/>
        <v/>
      </c>
      <c r="G3397" t="str">
        <f t="shared" si="134"/>
        <v/>
      </c>
    </row>
    <row r="3398" spans="2:7" x14ac:dyDescent="0.25">
      <c r="B3398" s="6"/>
      <c r="C3398" s="7"/>
      <c r="D3398" s="7"/>
      <c r="E3398" s="8"/>
      <c r="F3398" t="str">
        <f t="shared" si="133"/>
        <v/>
      </c>
      <c r="G3398" t="str">
        <f t="shared" si="134"/>
        <v/>
      </c>
    </row>
    <row r="3399" spans="2:7" x14ac:dyDescent="0.25">
      <c r="B3399" s="6"/>
      <c r="C3399" s="7"/>
      <c r="D3399" s="7"/>
      <c r="E3399" s="8"/>
      <c r="F3399" t="str">
        <f t="shared" si="133"/>
        <v/>
      </c>
      <c r="G3399" t="str">
        <f t="shared" si="134"/>
        <v/>
      </c>
    </row>
    <row r="3400" spans="2:7" x14ac:dyDescent="0.25">
      <c r="B3400" s="6"/>
      <c r="C3400" s="7"/>
      <c r="D3400" s="7"/>
      <c r="E3400" s="8"/>
      <c r="F3400" t="str">
        <f t="shared" si="133"/>
        <v/>
      </c>
      <c r="G3400" t="str">
        <f t="shared" si="134"/>
        <v/>
      </c>
    </row>
    <row r="3401" spans="2:7" x14ac:dyDescent="0.25">
      <c r="B3401" s="6"/>
      <c r="C3401" s="7"/>
      <c r="D3401" s="7"/>
      <c r="E3401" s="8"/>
      <c r="F3401" t="str">
        <f t="shared" si="133"/>
        <v/>
      </c>
      <c r="G3401" t="str">
        <f t="shared" si="134"/>
        <v/>
      </c>
    </row>
    <row r="3402" spans="2:7" x14ac:dyDescent="0.25">
      <c r="B3402" s="6"/>
      <c r="C3402" s="7"/>
      <c r="D3402" s="7"/>
      <c r="E3402" s="8"/>
      <c r="F3402" t="str">
        <f t="shared" si="133"/>
        <v/>
      </c>
      <c r="G3402" t="str">
        <f t="shared" si="134"/>
        <v/>
      </c>
    </row>
    <row r="3403" spans="2:7" x14ac:dyDescent="0.25">
      <c r="B3403" s="6"/>
      <c r="C3403" s="7"/>
      <c r="D3403" s="7"/>
      <c r="E3403" s="8"/>
      <c r="F3403" t="str">
        <f t="shared" si="133"/>
        <v/>
      </c>
      <c r="G3403" t="str">
        <f t="shared" si="134"/>
        <v/>
      </c>
    </row>
    <row r="3404" spans="2:7" x14ac:dyDescent="0.25">
      <c r="B3404" s="6"/>
      <c r="C3404" s="7"/>
      <c r="D3404" s="7"/>
      <c r="E3404" s="8"/>
      <c r="F3404" t="str">
        <f t="shared" si="133"/>
        <v/>
      </c>
      <c r="G3404" t="str">
        <f t="shared" si="134"/>
        <v/>
      </c>
    </row>
    <row r="3405" spans="2:7" x14ac:dyDescent="0.25">
      <c r="B3405" s="6"/>
      <c r="C3405" s="7"/>
      <c r="D3405" s="7"/>
      <c r="E3405" s="8"/>
      <c r="F3405" t="str">
        <f t="shared" si="133"/>
        <v/>
      </c>
      <c r="G3405" t="str">
        <f t="shared" si="134"/>
        <v/>
      </c>
    </row>
    <row r="3406" spans="2:7" x14ac:dyDescent="0.25">
      <c r="B3406" s="6"/>
      <c r="C3406" s="7"/>
      <c r="D3406" s="7"/>
      <c r="E3406" s="8"/>
      <c r="F3406" t="str">
        <f t="shared" si="133"/>
        <v/>
      </c>
      <c r="G3406" t="str">
        <f t="shared" si="134"/>
        <v/>
      </c>
    </row>
    <row r="3407" spans="2:7" x14ac:dyDescent="0.25">
      <c r="B3407" s="6"/>
      <c r="C3407" s="7"/>
      <c r="D3407" s="7"/>
      <c r="E3407" s="8"/>
      <c r="F3407" t="str">
        <f t="shared" si="133"/>
        <v/>
      </c>
      <c r="G3407" t="str">
        <f t="shared" si="134"/>
        <v/>
      </c>
    </row>
    <row r="3408" spans="2:7" x14ac:dyDescent="0.25">
      <c r="B3408" s="6"/>
      <c r="C3408" s="7"/>
      <c r="D3408" s="7"/>
      <c r="E3408" s="8"/>
      <c r="F3408" t="str">
        <f t="shared" si="133"/>
        <v/>
      </c>
      <c r="G3408" t="str">
        <f t="shared" si="134"/>
        <v/>
      </c>
    </row>
    <row r="3409" spans="2:7" x14ac:dyDescent="0.25">
      <c r="B3409" s="6"/>
      <c r="C3409" s="7"/>
      <c r="D3409" s="7"/>
      <c r="E3409" s="8"/>
      <c r="F3409" t="str">
        <f t="shared" si="133"/>
        <v/>
      </c>
      <c r="G3409" t="str">
        <f t="shared" si="134"/>
        <v/>
      </c>
    </row>
    <row r="3410" spans="2:7" x14ac:dyDescent="0.25">
      <c r="B3410" s="6"/>
      <c r="C3410" s="7"/>
      <c r="D3410" s="7"/>
      <c r="E3410" s="8"/>
      <c r="F3410" t="str">
        <f t="shared" si="133"/>
        <v/>
      </c>
      <c r="G3410" t="str">
        <f t="shared" si="134"/>
        <v/>
      </c>
    </row>
    <row r="3411" spans="2:7" x14ac:dyDescent="0.25">
      <c r="B3411" s="6"/>
      <c r="C3411" s="7"/>
      <c r="D3411" s="7"/>
      <c r="E3411" s="8"/>
      <c r="F3411" t="str">
        <f t="shared" si="133"/>
        <v/>
      </c>
      <c r="G3411" t="str">
        <f t="shared" si="134"/>
        <v/>
      </c>
    </row>
    <row r="3412" spans="2:7" x14ac:dyDescent="0.25">
      <c r="B3412" s="6"/>
      <c r="C3412" s="7"/>
      <c r="D3412" s="7"/>
      <c r="E3412" s="8"/>
      <c r="F3412" t="str">
        <f t="shared" si="133"/>
        <v/>
      </c>
      <c r="G3412" t="str">
        <f t="shared" si="134"/>
        <v/>
      </c>
    </row>
    <row r="3413" spans="2:7" x14ac:dyDescent="0.25">
      <c r="B3413" s="6"/>
      <c r="C3413" s="7"/>
      <c r="D3413" s="7"/>
      <c r="E3413" s="8"/>
      <c r="F3413" t="str">
        <f t="shared" si="133"/>
        <v/>
      </c>
      <c r="G3413" t="str">
        <f t="shared" si="134"/>
        <v/>
      </c>
    </row>
    <row r="3414" spans="2:7" x14ac:dyDescent="0.25">
      <c r="B3414" s="6"/>
      <c r="C3414" s="7"/>
      <c r="D3414" s="7"/>
      <c r="E3414" s="8"/>
      <c r="F3414" t="str">
        <f t="shared" si="133"/>
        <v/>
      </c>
      <c r="G3414" t="str">
        <f t="shared" si="134"/>
        <v/>
      </c>
    </row>
    <row r="3415" spans="2:7" x14ac:dyDescent="0.25">
      <c r="B3415" s="6"/>
      <c r="C3415" s="7"/>
      <c r="D3415" s="7"/>
      <c r="E3415" s="8"/>
      <c r="F3415" t="str">
        <f t="shared" si="133"/>
        <v/>
      </c>
      <c r="G3415" t="str">
        <f t="shared" si="134"/>
        <v/>
      </c>
    </row>
    <row r="3416" spans="2:7" x14ac:dyDescent="0.25">
      <c r="B3416" s="6"/>
      <c r="C3416" s="7"/>
      <c r="D3416" s="7"/>
      <c r="E3416" s="8"/>
      <c r="F3416" t="str">
        <f t="shared" si="133"/>
        <v/>
      </c>
      <c r="G3416" t="str">
        <f t="shared" si="134"/>
        <v/>
      </c>
    </row>
    <row r="3417" spans="2:7" x14ac:dyDescent="0.25">
      <c r="B3417" s="6"/>
      <c r="C3417" s="7"/>
      <c r="D3417" s="7"/>
      <c r="E3417" s="8"/>
      <c r="F3417" t="str">
        <f t="shared" si="133"/>
        <v/>
      </c>
      <c r="G3417" t="str">
        <f t="shared" si="134"/>
        <v/>
      </c>
    </row>
    <row r="3418" spans="2:7" x14ac:dyDescent="0.25">
      <c r="B3418" s="6"/>
      <c r="C3418" s="7"/>
      <c r="D3418" s="7"/>
      <c r="E3418" s="8"/>
      <c r="F3418" t="str">
        <f t="shared" si="133"/>
        <v/>
      </c>
      <c r="G3418" t="str">
        <f t="shared" si="134"/>
        <v/>
      </c>
    </row>
    <row r="3419" spans="2:7" x14ac:dyDescent="0.25">
      <c r="B3419" s="6"/>
      <c r="C3419" s="7"/>
      <c r="D3419" s="7"/>
      <c r="E3419" s="8"/>
      <c r="F3419" t="str">
        <f t="shared" si="133"/>
        <v/>
      </c>
      <c r="G3419" t="str">
        <f t="shared" si="134"/>
        <v/>
      </c>
    </row>
    <row r="3420" spans="2:7" x14ac:dyDescent="0.25">
      <c r="B3420" s="6"/>
      <c r="C3420" s="7"/>
      <c r="D3420" s="7"/>
      <c r="E3420" s="8"/>
      <c r="F3420" t="str">
        <f t="shared" si="133"/>
        <v/>
      </c>
      <c r="G3420" t="str">
        <f t="shared" si="134"/>
        <v/>
      </c>
    </row>
    <row r="3421" spans="2:7" x14ac:dyDescent="0.25">
      <c r="B3421" s="6"/>
      <c r="C3421" s="7"/>
      <c r="D3421" s="7"/>
      <c r="E3421" s="8"/>
      <c r="F3421" t="str">
        <f t="shared" si="133"/>
        <v/>
      </c>
      <c r="G3421" t="str">
        <f t="shared" si="134"/>
        <v/>
      </c>
    </row>
    <row r="3422" spans="2:7" x14ac:dyDescent="0.25">
      <c r="B3422" s="6"/>
      <c r="C3422" s="7"/>
      <c r="D3422" s="7"/>
      <c r="E3422" s="8"/>
      <c r="F3422" t="str">
        <f t="shared" si="133"/>
        <v/>
      </c>
      <c r="G3422" t="str">
        <f t="shared" si="134"/>
        <v/>
      </c>
    </row>
    <row r="3423" spans="2:7" x14ac:dyDescent="0.25">
      <c r="B3423" s="6"/>
      <c r="C3423" s="7"/>
      <c r="D3423" s="7"/>
      <c r="E3423" s="8"/>
      <c r="F3423" t="str">
        <f t="shared" si="133"/>
        <v/>
      </c>
      <c r="G3423" t="str">
        <f t="shared" si="134"/>
        <v/>
      </c>
    </row>
    <row r="3424" spans="2:7" x14ac:dyDescent="0.25">
      <c r="B3424" s="6"/>
      <c r="C3424" s="7"/>
      <c r="D3424" s="7"/>
      <c r="E3424" s="8"/>
      <c r="F3424" t="str">
        <f t="shared" si="133"/>
        <v/>
      </c>
      <c r="G3424" t="str">
        <f t="shared" si="134"/>
        <v/>
      </c>
    </row>
    <row r="3425" spans="2:7" x14ac:dyDescent="0.25">
      <c r="B3425" s="6"/>
      <c r="C3425" s="7"/>
      <c r="D3425" s="7"/>
      <c r="E3425" s="8"/>
      <c r="F3425" t="str">
        <f t="shared" si="133"/>
        <v/>
      </c>
      <c r="G3425" t="str">
        <f t="shared" si="134"/>
        <v/>
      </c>
    </row>
    <row r="3426" spans="2:7" x14ac:dyDescent="0.25">
      <c r="B3426" s="6"/>
      <c r="C3426" s="7"/>
      <c r="D3426" s="7"/>
      <c r="E3426" s="8"/>
      <c r="F3426" t="str">
        <f t="shared" si="133"/>
        <v/>
      </c>
      <c r="G3426" t="str">
        <f t="shared" si="134"/>
        <v/>
      </c>
    </row>
    <row r="3427" spans="2:7" x14ac:dyDescent="0.25">
      <c r="B3427" s="6"/>
      <c r="C3427" s="7"/>
      <c r="D3427" s="7"/>
      <c r="E3427" s="8"/>
      <c r="F3427" t="str">
        <f t="shared" si="133"/>
        <v/>
      </c>
      <c r="G3427" t="str">
        <f t="shared" si="134"/>
        <v/>
      </c>
    </row>
    <row r="3428" spans="2:7" x14ac:dyDescent="0.25">
      <c r="B3428" s="6"/>
      <c r="C3428" s="7"/>
      <c r="D3428" s="7"/>
      <c r="E3428" s="8"/>
      <c r="F3428" t="str">
        <f t="shared" si="133"/>
        <v/>
      </c>
      <c r="G3428" t="str">
        <f t="shared" si="134"/>
        <v/>
      </c>
    </row>
    <row r="3429" spans="2:7" x14ac:dyDescent="0.25">
      <c r="B3429" s="6"/>
      <c r="C3429" s="7"/>
      <c r="D3429" s="7"/>
      <c r="E3429" s="8"/>
      <c r="F3429" t="str">
        <f t="shared" si="133"/>
        <v/>
      </c>
      <c r="G3429" t="str">
        <f t="shared" si="134"/>
        <v/>
      </c>
    </row>
    <row r="3430" spans="2:7" x14ac:dyDescent="0.25">
      <c r="B3430" s="6"/>
      <c r="C3430" s="7"/>
      <c r="D3430" s="7"/>
      <c r="E3430" s="8"/>
      <c r="F3430" t="str">
        <f t="shared" si="133"/>
        <v/>
      </c>
      <c r="G3430" t="str">
        <f t="shared" si="134"/>
        <v/>
      </c>
    </row>
    <row r="3431" spans="2:7" x14ac:dyDescent="0.25">
      <c r="B3431" s="6"/>
      <c r="C3431" s="7"/>
      <c r="D3431" s="7"/>
      <c r="E3431" s="8"/>
      <c r="F3431" t="str">
        <f t="shared" si="133"/>
        <v/>
      </c>
      <c r="G3431" t="str">
        <f t="shared" si="134"/>
        <v/>
      </c>
    </row>
    <row r="3432" spans="2:7" x14ac:dyDescent="0.25">
      <c r="B3432" s="6"/>
      <c r="C3432" s="7"/>
      <c r="D3432" s="7"/>
      <c r="E3432" s="8"/>
      <c r="F3432" t="str">
        <f t="shared" si="133"/>
        <v/>
      </c>
      <c r="G3432" t="str">
        <f t="shared" si="134"/>
        <v/>
      </c>
    </row>
    <row r="3433" spans="2:7" x14ac:dyDescent="0.25">
      <c r="B3433" s="6"/>
      <c r="C3433" s="7"/>
      <c r="D3433" s="7"/>
      <c r="E3433" s="8"/>
      <c r="F3433" t="str">
        <f t="shared" si="133"/>
        <v/>
      </c>
      <c r="G3433" t="str">
        <f t="shared" si="134"/>
        <v/>
      </c>
    </row>
    <row r="3434" spans="2:7" x14ac:dyDescent="0.25">
      <c r="B3434" s="6"/>
      <c r="C3434" s="7"/>
      <c r="D3434" s="7"/>
      <c r="E3434" s="8"/>
      <c r="F3434" t="str">
        <f t="shared" si="133"/>
        <v/>
      </c>
      <c r="G3434" t="str">
        <f t="shared" si="134"/>
        <v/>
      </c>
    </row>
    <row r="3435" spans="2:7" x14ac:dyDescent="0.25">
      <c r="B3435" s="6"/>
      <c r="C3435" s="7"/>
      <c r="D3435" s="7"/>
      <c r="E3435" s="8"/>
      <c r="F3435" t="str">
        <f t="shared" si="133"/>
        <v/>
      </c>
      <c r="G3435" t="str">
        <f t="shared" si="134"/>
        <v/>
      </c>
    </row>
    <row r="3436" spans="2:7" x14ac:dyDescent="0.25">
      <c r="B3436" s="6"/>
      <c r="C3436" s="7"/>
      <c r="D3436" s="7"/>
      <c r="E3436" s="8"/>
      <c r="F3436" t="str">
        <f t="shared" si="133"/>
        <v/>
      </c>
      <c r="G3436" t="str">
        <f t="shared" si="134"/>
        <v/>
      </c>
    </row>
    <row r="3437" spans="2:7" x14ac:dyDescent="0.25">
      <c r="B3437" s="6"/>
      <c r="C3437" s="7"/>
      <c r="D3437" s="7"/>
      <c r="E3437" s="8"/>
      <c r="F3437" t="str">
        <f t="shared" si="133"/>
        <v/>
      </c>
      <c r="G3437" t="str">
        <f t="shared" si="134"/>
        <v/>
      </c>
    </row>
    <row r="3438" spans="2:7" x14ac:dyDescent="0.25">
      <c r="B3438" s="6"/>
      <c r="C3438" s="7"/>
      <c r="D3438" s="7"/>
      <c r="E3438" s="8"/>
      <c r="F3438" t="str">
        <f t="shared" si="133"/>
        <v/>
      </c>
      <c r="G3438" t="str">
        <f t="shared" si="134"/>
        <v/>
      </c>
    </row>
    <row r="3439" spans="2:7" x14ac:dyDescent="0.25">
      <c r="B3439" s="6"/>
      <c r="C3439" s="7"/>
      <c r="D3439" s="7"/>
      <c r="E3439" s="8"/>
      <c r="F3439" t="str">
        <f t="shared" si="133"/>
        <v/>
      </c>
      <c r="G3439" t="str">
        <f t="shared" si="134"/>
        <v/>
      </c>
    </row>
    <row r="3440" spans="2:7" x14ac:dyDescent="0.25">
      <c r="B3440" s="6"/>
      <c r="C3440" s="7"/>
      <c r="D3440" s="7"/>
      <c r="E3440" s="8"/>
      <c r="F3440" t="str">
        <f t="shared" si="133"/>
        <v/>
      </c>
      <c r="G3440" t="str">
        <f t="shared" si="134"/>
        <v/>
      </c>
    </row>
    <row r="3441" spans="2:7" x14ac:dyDescent="0.25">
      <c r="B3441" s="6"/>
      <c r="C3441" s="7"/>
      <c r="D3441" s="7"/>
      <c r="E3441" s="8"/>
      <c r="F3441" t="str">
        <f t="shared" si="133"/>
        <v/>
      </c>
      <c r="G3441" t="str">
        <f t="shared" si="134"/>
        <v/>
      </c>
    </row>
    <row r="3442" spans="2:7" x14ac:dyDescent="0.25">
      <c r="B3442" s="6"/>
      <c r="C3442" s="7"/>
      <c r="D3442" s="7"/>
      <c r="E3442" s="8"/>
      <c r="F3442" t="str">
        <f t="shared" si="133"/>
        <v/>
      </c>
      <c r="G3442" t="str">
        <f t="shared" si="134"/>
        <v/>
      </c>
    </row>
    <row r="3443" spans="2:7" x14ac:dyDescent="0.25">
      <c r="B3443" s="6"/>
      <c r="C3443" s="7"/>
      <c r="D3443" s="7"/>
      <c r="E3443" s="8"/>
      <c r="F3443" t="str">
        <f t="shared" si="133"/>
        <v/>
      </c>
      <c r="G3443" t="str">
        <f t="shared" si="134"/>
        <v/>
      </c>
    </row>
    <row r="3444" spans="2:7" x14ac:dyDescent="0.25">
      <c r="B3444" s="6"/>
      <c r="C3444" s="7"/>
      <c r="D3444" s="7"/>
      <c r="E3444" s="8"/>
      <c r="F3444" t="str">
        <f t="shared" si="133"/>
        <v/>
      </c>
      <c r="G3444" t="str">
        <f t="shared" si="134"/>
        <v/>
      </c>
    </row>
    <row r="3445" spans="2:7" x14ac:dyDescent="0.25">
      <c r="B3445" s="6"/>
      <c r="C3445" s="7"/>
      <c r="D3445" s="7"/>
      <c r="E3445" s="8"/>
      <c r="F3445" t="str">
        <f t="shared" si="133"/>
        <v/>
      </c>
      <c r="G3445" t="str">
        <f t="shared" si="134"/>
        <v/>
      </c>
    </row>
    <row r="3446" spans="2:7" x14ac:dyDescent="0.25">
      <c r="B3446" s="6"/>
      <c r="C3446" s="7"/>
      <c r="D3446" s="7"/>
      <c r="E3446" s="8"/>
      <c r="F3446" t="str">
        <f t="shared" si="133"/>
        <v/>
      </c>
      <c r="G3446" t="str">
        <f t="shared" si="134"/>
        <v/>
      </c>
    </row>
    <row r="3447" spans="2:7" x14ac:dyDescent="0.25">
      <c r="B3447" s="6"/>
      <c r="C3447" s="7"/>
      <c r="D3447" s="7"/>
      <c r="E3447" s="8"/>
      <c r="F3447" t="str">
        <f t="shared" si="133"/>
        <v/>
      </c>
      <c r="G3447" t="str">
        <f t="shared" si="134"/>
        <v/>
      </c>
    </row>
    <row r="3448" spans="2:7" x14ac:dyDescent="0.25">
      <c r="B3448" s="6"/>
      <c r="C3448" s="7"/>
      <c r="D3448" s="7"/>
      <c r="E3448" s="8"/>
      <c r="F3448" t="str">
        <f t="shared" si="133"/>
        <v/>
      </c>
      <c r="G3448" t="str">
        <f t="shared" si="134"/>
        <v/>
      </c>
    </row>
    <row r="3449" spans="2:7" x14ac:dyDescent="0.25">
      <c r="B3449" s="6"/>
      <c r="C3449" s="7"/>
      <c r="D3449" s="7"/>
      <c r="E3449" s="8"/>
      <c r="F3449" t="str">
        <f t="shared" si="133"/>
        <v/>
      </c>
      <c r="G3449" t="str">
        <f t="shared" si="134"/>
        <v/>
      </c>
    </row>
    <row r="3450" spans="2:7" x14ac:dyDescent="0.25">
      <c r="B3450" s="6"/>
      <c r="C3450" s="7"/>
      <c r="D3450" s="7"/>
      <c r="E3450" s="8"/>
      <c r="F3450" t="str">
        <f t="shared" si="133"/>
        <v/>
      </c>
      <c r="G3450" t="str">
        <f t="shared" si="134"/>
        <v/>
      </c>
    </row>
    <row r="3451" spans="2:7" x14ac:dyDescent="0.25">
      <c r="B3451" s="6"/>
      <c r="C3451" s="7"/>
      <c r="D3451" s="7"/>
      <c r="E3451" s="8"/>
      <c r="F3451" t="str">
        <f t="shared" si="133"/>
        <v/>
      </c>
      <c r="G3451" t="str">
        <f t="shared" si="134"/>
        <v/>
      </c>
    </row>
    <row r="3452" spans="2:7" x14ac:dyDescent="0.25">
      <c r="B3452" s="6"/>
      <c r="C3452" s="7"/>
      <c r="D3452" s="7"/>
      <c r="E3452" s="8"/>
      <c r="F3452" t="str">
        <f t="shared" si="133"/>
        <v/>
      </c>
      <c r="G3452" t="str">
        <f t="shared" si="134"/>
        <v/>
      </c>
    </row>
    <row r="3453" spans="2:7" x14ac:dyDescent="0.25">
      <c r="B3453" s="6"/>
      <c r="C3453" s="7"/>
      <c r="D3453" s="7"/>
      <c r="E3453" s="8"/>
      <c r="F3453" t="str">
        <f t="shared" si="133"/>
        <v/>
      </c>
      <c r="G3453" t="str">
        <f t="shared" si="134"/>
        <v/>
      </c>
    </row>
    <row r="3454" spans="2:7" x14ac:dyDescent="0.25">
      <c r="B3454" s="6"/>
      <c r="C3454" s="7"/>
      <c r="D3454" s="7"/>
      <c r="E3454" s="8"/>
      <c r="F3454" t="str">
        <f t="shared" si="133"/>
        <v/>
      </c>
      <c r="G3454" t="str">
        <f t="shared" si="134"/>
        <v/>
      </c>
    </row>
    <row r="3455" spans="2:7" x14ac:dyDescent="0.25">
      <c r="B3455" s="6"/>
      <c r="C3455" s="7"/>
      <c r="D3455" s="7"/>
      <c r="E3455" s="8"/>
      <c r="F3455" t="str">
        <f t="shared" si="133"/>
        <v/>
      </c>
      <c r="G3455" t="str">
        <f t="shared" si="134"/>
        <v/>
      </c>
    </row>
    <row r="3456" spans="2:7" x14ac:dyDescent="0.25">
      <c r="B3456" s="6"/>
      <c r="C3456" s="7"/>
      <c r="D3456" s="7"/>
      <c r="E3456" s="8"/>
      <c r="F3456" t="str">
        <f t="shared" si="133"/>
        <v/>
      </c>
      <c r="G3456" t="str">
        <f t="shared" si="134"/>
        <v/>
      </c>
    </row>
    <row r="3457" spans="2:7" x14ac:dyDescent="0.25">
      <c r="B3457" s="6"/>
      <c r="C3457" s="7"/>
      <c r="D3457" s="7"/>
      <c r="E3457" s="8"/>
      <c r="F3457" t="str">
        <f t="shared" si="133"/>
        <v/>
      </c>
      <c r="G3457" t="str">
        <f t="shared" si="134"/>
        <v/>
      </c>
    </row>
    <row r="3458" spans="2:7" x14ac:dyDescent="0.25">
      <c r="B3458" s="6"/>
      <c r="C3458" s="7"/>
      <c r="D3458" s="7"/>
      <c r="E3458" s="8"/>
      <c r="F3458" t="str">
        <f t="shared" si="133"/>
        <v/>
      </c>
      <c r="G3458" t="str">
        <f t="shared" si="134"/>
        <v/>
      </c>
    </row>
    <row r="3459" spans="2:7" x14ac:dyDescent="0.25">
      <c r="B3459" s="6"/>
      <c r="C3459" s="7"/>
      <c r="D3459" s="7"/>
      <c r="E3459" s="8"/>
      <c r="F3459" t="str">
        <f t="shared" si="133"/>
        <v/>
      </c>
      <c r="G3459" t="str">
        <f t="shared" si="134"/>
        <v/>
      </c>
    </row>
    <row r="3460" spans="2:7" x14ac:dyDescent="0.25">
      <c r="B3460" s="6"/>
      <c r="C3460" s="7"/>
      <c r="D3460" s="7"/>
      <c r="E3460" s="8"/>
      <c r="F3460" t="str">
        <f t="shared" ref="F3460:F3523" si="135">IF(B3460="","",LOG10(D3460))</f>
        <v/>
      </c>
      <c r="G3460" t="str">
        <f t="shared" ref="G3460:G3523" si="136">IF(E3460="", "",0.434*E3460/D3460)</f>
        <v/>
      </c>
    </row>
    <row r="3461" spans="2:7" x14ac:dyDescent="0.25">
      <c r="B3461" s="6"/>
      <c r="C3461" s="7"/>
      <c r="D3461" s="7"/>
      <c r="E3461" s="8"/>
      <c r="F3461" t="str">
        <f t="shared" si="135"/>
        <v/>
      </c>
      <c r="G3461" t="str">
        <f t="shared" si="136"/>
        <v/>
      </c>
    </row>
    <row r="3462" spans="2:7" x14ac:dyDescent="0.25">
      <c r="B3462" s="6"/>
      <c r="C3462" s="7"/>
      <c r="D3462" s="7"/>
      <c r="E3462" s="8"/>
      <c r="F3462" t="str">
        <f t="shared" si="135"/>
        <v/>
      </c>
      <c r="G3462" t="str">
        <f t="shared" si="136"/>
        <v/>
      </c>
    </row>
    <row r="3463" spans="2:7" x14ac:dyDescent="0.25">
      <c r="B3463" s="6"/>
      <c r="C3463" s="7"/>
      <c r="D3463" s="7"/>
      <c r="E3463" s="8"/>
      <c r="F3463" t="str">
        <f t="shared" si="135"/>
        <v/>
      </c>
      <c r="G3463" t="str">
        <f t="shared" si="136"/>
        <v/>
      </c>
    </row>
    <row r="3464" spans="2:7" x14ac:dyDescent="0.25">
      <c r="B3464" s="6"/>
      <c r="C3464" s="7"/>
      <c r="D3464" s="7"/>
      <c r="E3464" s="8"/>
      <c r="F3464" t="str">
        <f t="shared" si="135"/>
        <v/>
      </c>
      <c r="G3464" t="str">
        <f t="shared" si="136"/>
        <v/>
      </c>
    </row>
    <row r="3465" spans="2:7" x14ac:dyDescent="0.25">
      <c r="B3465" s="6"/>
      <c r="C3465" s="7"/>
      <c r="D3465" s="7"/>
      <c r="E3465" s="8"/>
      <c r="F3465" t="str">
        <f t="shared" si="135"/>
        <v/>
      </c>
      <c r="G3465" t="str">
        <f t="shared" si="136"/>
        <v/>
      </c>
    </row>
    <row r="3466" spans="2:7" x14ac:dyDescent="0.25">
      <c r="B3466" s="6"/>
      <c r="C3466" s="7"/>
      <c r="D3466" s="7"/>
      <c r="E3466" s="8"/>
      <c r="F3466" t="str">
        <f t="shared" si="135"/>
        <v/>
      </c>
      <c r="G3466" t="str">
        <f t="shared" si="136"/>
        <v/>
      </c>
    </row>
    <row r="3467" spans="2:7" x14ac:dyDescent="0.25">
      <c r="B3467" s="6"/>
      <c r="C3467" s="7"/>
      <c r="D3467" s="7"/>
      <c r="E3467" s="8"/>
      <c r="F3467" t="str">
        <f t="shared" si="135"/>
        <v/>
      </c>
      <c r="G3467" t="str">
        <f t="shared" si="136"/>
        <v/>
      </c>
    </row>
    <row r="3468" spans="2:7" x14ac:dyDescent="0.25">
      <c r="B3468" s="6"/>
      <c r="C3468" s="7"/>
      <c r="D3468" s="7"/>
      <c r="E3468" s="8"/>
      <c r="F3468" t="str">
        <f t="shared" si="135"/>
        <v/>
      </c>
      <c r="G3468" t="str">
        <f t="shared" si="136"/>
        <v/>
      </c>
    </row>
    <row r="3469" spans="2:7" x14ac:dyDescent="0.25">
      <c r="B3469" s="6"/>
      <c r="C3469" s="7"/>
      <c r="D3469" s="7"/>
      <c r="E3469" s="8"/>
      <c r="F3469" t="str">
        <f t="shared" si="135"/>
        <v/>
      </c>
      <c r="G3469" t="str">
        <f t="shared" si="136"/>
        <v/>
      </c>
    </row>
    <row r="3470" spans="2:7" x14ac:dyDescent="0.25">
      <c r="B3470" s="6"/>
      <c r="C3470" s="7"/>
      <c r="D3470" s="7"/>
      <c r="E3470" s="8"/>
      <c r="F3470" t="str">
        <f t="shared" si="135"/>
        <v/>
      </c>
      <c r="G3470" t="str">
        <f t="shared" si="136"/>
        <v/>
      </c>
    </row>
    <row r="3471" spans="2:7" x14ac:dyDescent="0.25">
      <c r="B3471" s="6"/>
      <c r="C3471" s="7"/>
      <c r="D3471" s="7"/>
      <c r="E3471" s="8"/>
      <c r="F3471" t="str">
        <f t="shared" si="135"/>
        <v/>
      </c>
      <c r="G3471" t="str">
        <f t="shared" si="136"/>
        <v/>
      </c>
    </row>
    <row r="3472" spans="2:7" x14ac:dyDescent="0.25">
      <c r="B3472" s="6"/>
      <c r="C3472" s="7"/>
      <c r="D3472" s="7"/>
      <c r="E3472" s="8"/>
      <c r="F3472" t="str">
        <f t="shared" si="135"/>
        <v/>
      </c>
      <c r="G3472" t="str">
        <f t="shared" si="136"/>
        <v/>
      </c>
    </row>
    <row r="3473" spans="2:7" x14ac:dyDescent="0.25">
      <c r="B3473" s="6"/>
      <c r="C3473" s="7"/>
      <c r="D3473" s="7"/>
      <c r="E3473" s="8"/>
      <c r="F3473" t="str">
        <f t="shared" si="135"/>
        <v/>
      </c>
      <c r="G3473" t="str">
        <f t="shared" si="136"/>
        <v/>
      </c>
    </row>
    <row r="3474" spans="2:7" x14ac:dyDescent="0.25">
      <c r="B3474" s="6"/>
      <c r="C3474" s="7"/>
      <c r="D3474" s="7"/>
      <c r="E3474" s="8"/>
      <c r="F3474" t="str">
        <f t="shared" si="135"/>
        <v/>
      </c>
      <c r="G3474" t="str">
        <f t="shared" si="136"/>
        <v/>
      </c>
    </row>
    <row r="3475" spans="2:7" x14ac:dyDescent="0.25">
      <c r="B3475" s="6"/>
      <c r="C3475" s="7"/>
      <c r="D3475" s="7"/>
      <c r="E3475" s="8"/>
      <c r="F3475" t="str">
        <f t="shared" si="135"/>
        <v/>
      </c>
      <c r="G3475" t="str">
        <f t="shared" si="136"/>
        <v/>
      </c>
    </row>
    <row r="3476" spans="2:7" x14ac:dyDescent="0.25">
      <c r="B3476" s="6"/>
      <c r="C3476" s="7"/>
      <c r="D3476" s="7"/>
      <c r="E3476" s="8"/>
      <c r="F3476" t="str">
        <f t="shared" si="135"/>
        <v/>
      </c>
      <c r="G3476" t="str">
        <f t="shared" si="136"/>
        <v/>
      </c>
    </row>
    <row r="3477" spans="2:7" x14ac:dyDescent="0.25">
      <c r="B3477" s="6"/>
      <c r="C3477" s="7"/>
      <c r="D3477" s="7"/>
      <c r="E3477" s="8"/>
      <c r="F3477" t="str">
        <f t="shared" si="135"/>
        <v/>
      </c>
      <c r="G3477" t="str">
        <f t="shared" si="136"/>
        <v/>
      </c>
    </row>
    <row r="3478" spans="2:7" x14ac:dyDescent="0.25">
      <c r="B3478" s="6"/>
      <c r="C3478" s="7"/>
      <c r="D3478" s="7"/>
      <c r="E3478" s="8"/>
      <c r="F3478" t="str">
        <f t="shared" si="135"/>
        <v/>
      </c>
      <c r="G3478" t="str">
        <f t="shared" si="136"/>
        <v/>
      </c>
    </row>
    <row r="3479" spans="2:7" x14ac:dyDescent="0.25">
      <c r="B3479" s="6"/>
      <c r="C3479" s="7"/>
      <c r="D3479" s="7"/>
      <c r="E3479" s="8"/>
      <c r="F3479" t="str">
        <f t="shared" si="135"/>
        <v/>
      </c>
      <c r="G3479" t="str">
        <f t="shared" si="136"/>
        <v/>
      </c>
    </row>
    <row r="3480" spans="2:7" x14ac:dyDescent="0.25">
      <c r="B3480" s="6"/>
      <c r="C3480" s="7"/>
      <c r="D3480" s="7"/>
      <c r="E3480" s="8"/>
      <c r="F3480" t="str">
        <f t="shared" si="135"/>
        <v/>
      </c>
      <c r="G3480" t="str">
        <f t="shared" si="136"/>
        <v/>
      </c>
    </row>
    <row r="3481" spans="2:7" x14ac:dyDescent="0.25">
      <c r="B3481" s="6"/>
      <c r="C3481" s="7"/>
      <c r="D3481" s="7"/>
      <c r="E3481" s="8"/>
      <c r="F3481" t="str">
        <f t="shared" si="135"/>
        <v/>
      </c>
      <c r="G3481" t="str">
        <f t="shared" si="136"/>
        <v/>
      </c>
    </row>
    <row r="3482" spans="2:7" x14ac:dyDescent="0.25">
      <c r="B3482" s="6"/>
      <c r="C3482" s="7"/>
      <c r="D3482" s="7"/>
      <c r="E3482" s="8"/>
      <c r="F3482" t="str">
        <f t="shared" si="135"/>
        <v/>
      </c>
      <c r="G3482" t="str">
        <f t="shared" si="136"/>
        <v/>
      </c>
    </row>
    <row r="3483" spans="2:7" x14ac:dyDescent="0.25">
      <c r="B3483" s="6"/>
      <c r="C3483" s="7"/>
      <c r="D3483" s="7"/>
      <c r="E3483" s="8"/>
      <c r="F3483" t="str">
        <f t="shared" si="135"/>
        <v/>
      </c>
      <c r="G3483" t="str">
        <f t="shared" si="136"/>
        <v/>
      </c>
    </row>
    <row r="3484" spans="2:7" x14ac:dyDescent="0.25">
      <c r="B3484" s="6"/>
      <c r="C3484" s="7"/>
      <c r="D3484" s="7"/>
      <c r="E3484" s="8"/>
      <c r="F3484" t="str">
        <f t="shared" si="135"/>
        <v/>
      </c>
      <c r="G3484" t="str">
        <f t="shared" si="136"/>
        <v/>
      </c>
    </row>
    <row r="3485" spans="2:7" x14ac:dyDescent="0.25">
      <c r="B3485" s="6"/>
      <c r="C3485" s="7"/>
      <c r="D3485" s="7"/>
      <c r="E3485" s="8"/>
      <c r="F3485" t="str">
        <f t="shared" si="135"/>
        <v/>
      </c>
      <c r="G3485" t="str">
        <f t="shared" si="136"/>
        <v/>
      </c>
    </row>
    <row r="3486" spans="2:7" x14ac:dyDescent="0.25">
      <c r="B3486" s="6"/>
      <c r="C3486" s="7"/>
      <c r="D3486" s="7"/>
      <c r="E3486" s="8"/>
      <c r="F3486" t="str">
        <f t="shared" si="135"/>
        <v/>
      </c>
      <c r="G3486" t="str">
        <f t="shared" si="136"/>
        <v/>
      </c>
    </row>
    <row r="3487" spans="2:7" x14ac:dyDescent="0.25">
      <c r="B3487" s="6"/>
      <c r="C3487" s="7"/>
      <c r="D3487" s="7"/>
      <c r="E3487" s="8"/>
      <c r="F3487" t="str">
        <f t="shared" si="135"/>
        <v/>
      </c>
      <c r="G3487" t="str">
        <f t="shared" si="136"/>
        <v/>
      </c>
    </row>
    <row r="3488" spans="2:7" x14ac:dyDescent="0.25">
      <c r="B3488" s="6"/>
      <c r="C3488" s="7"/>
      <c r="D3488" s="7"/>
      <c r="E3488" s="8"/>
      <c r="F3488" t="str">
        <f t="shared" si="135"/>
        <v/>
      </c>
      <c r="G3488" t="str">
        <f t="shared" si="136"/>
        <v/>
      </c>
    </row>
    <row r="3489" spans="2:7" x14ac:dyDescent="0.25">
      <c r="B3489" s="6"/>
      <c r="C3489" s="7"/>
      <c r="D3489" s="7"/>
      <c r="E3489" s="8"/>
      <c r="F3489" t="str">
        <f t="shared" si="135"/>
        <v/>
      </c>
      <c r="G3489" t="str">
        <f t="shared" si="136"/>
        <v/>
      </c>
    </row>
    <row r="3490" spans="2:7" x14ac:dyDescent="0.25">
      <c r="B3490" s="6"/>
      <c r="C3490" s="7"/>
      <c r="D3490" s="7"/>
      <c r="E3490" s="8"/>
      <c r="F3490" t="str">
        <f t="shared" si="135"/>
        <v/>
      </c>
      <c r="G3490" t="str">
        <f t="shared" si="136"/>
        <v/>
      </c>
    </row>
    <row r="3491" spans="2:7" x14ac:dyDescent="0.25">
      <c r="B3491" s="6"/>
      <c r="C3491" s="7"/>
      <c r="D3491" s="7"/>
      <c r="E3491" s="8"/>
      <c r="F3491" t="str">
        <f t="shared" si="135"/>
        <v/>
      </c>
      <c r="G3491" t="str">
        <f t="shared" si="136"/>
        <v/>
      </c>
    </row>
    <row r="3492" spans="2:7" x14ac:dyDescent="0.25">
      <c r="B3492" s="6"/>
      <c r="C3492" s="7"/>
      <c r="D3492" s="7"/>
      <c r="E3492" s="8"/>
      <c r="F3492" t="str">
        <f t="shared" si="135"/>
        <v/>
      </c>
      <c r="G3492" t="str">
        <f t="shared" si="136"/>
        <v/>
      </c>
    </row>
    <row r="3493" spans="2:7" x14ac:dyDescent="0.25">
      <c r="B3493" s="6"/>
      <c r="C3493" s="7"/>
      <c r="D3493" s="7"/>
      <c r="E3493" s="8"/>
      <c r="F3493" t="str">
        <f t="shared" si="135"/>
        <v/>
      </c>
      <c r="G3493" t="str">
        <f t="shared" si="136"/>
        <v/>
      </c>
    </row>
    <row r="3494" spans="2:7" x14ac:dyDescent="0.25">
      <c r="B3494" s="6"/>
      <c r="C3494" s="7"/>
      <c r="D3494" s="7"/>
      <c r="E3494" s="8"/>
      <c r="F3494" t="str">
        <f t="shared" si="135"/>
        <v/>
      </c>
      <c r="G3494" t="str">
        <f t="shared" si="136"/>
        <v/>
      </c>
    </row>
    <row r="3495" spans="2:7" x14ac:dyDescent="0.25">
      <c r="B3495" s="6"/>
      <c r="C3495" s="7"/>
      <c r="D3495" s="7"/>
      <c r="E3495" s="8"/>
      <c r="F3495" t="str">
        <f t="shared" si="135"/>
        <v/>
      </c>
      <c r="G3495" t="str">
        <f t="shared" si="136"/>
        <v/>
      </c>
    </row>
    <row r="3496" spans="2:7" x14ac:dyDescent="0.25">
      <c r="B3496" s="6"/>
      <c r="C3496" s="7"/>
      <c r="D3496" s="7"/>
      <c r="E3496" s="8"/>
      <c r="F3496" t="str">
        <f t="shared" si="135"/>
        <v/>
      </c>
      <c r="G3496" t="str">
        <f t="shared" si="136"/>
        <v/>
      </c>
    </row>
    <row r="3497" spans="2:7" x14ac:dyDescent="0.25">
      <c r="B3497" s="6"/>
      <c r="C3497" s="7"/>
      <c r="D3497" s="7"/>
      <c r="E3497" s="8"/>
      <c r="F3497" t="str">
        <f t="shared" si="135"/>
        <v/>
      </c>
      <c r="G3497" t="str">
        <f t="shared" si="136"/>
        <v/>
      </c>
    </row>
    <row r="3498" spans="2:7" x14ac:dyDescent="0.25">
      <c r="B3498" s="6"/>
      <c r="C3498" s="7"/>
      <c r="D3498" s="7"/>
      <c r="E3498" s="8"/>
      <c r="F3498" t="str">
        <f t="shared" si="135"/>
        <v/>
      </c>
      <c r="G3498" t="str">
        <f t="shared" si="136"/>
        <v/>
      </c>
    </row>
    <row r="3499" spans="2:7" x14ac:dyDescent="0.25">
      <c r="B3499" s="6"/>
      <c r="C3499" s="7"/>
      <c r="D3499" s="7"/>
      <c r="E3499" s="8"/>
      <c r="F3499" t="str">
        <f t="shared" si="135"/>
        <v/>
      </c>
      <c r="G3499" t="str">
        <f t="shared" si="136"/>
        <v/>
      </c>
    </row>
    <row r="3500" spans="2:7" x14ac:dyDescent="0.25">
      <c r="B3500" s="6"/>
      <c r="C3500" s="7"/>
      <c r="D3500" s="7"/>
      <c r="E3500" s="8"/>
      <c r="F3500" t="str">
        <f t="shared" si="135"/>
        <v/>
      </c>
      <c r="G3500" t="str">
        <f t="shared" si="136"/>
        <v/>
      </c>
    </row>
    <row r="3501" spans="2:7" x14ac:dyDescent="0.25">
      <c r="B3501" s="6"/>
      <c r="C3501" s="7"/>
      <c r="D3501" s="7"/>
      <c r="E3501" s="8"/>
      <c r="F3501" t="str">
        <f t="shared" si="135"/>
        <v/>
      </c>
      <c r="G3501" t="str">
        <f t="shared" si="136"/>
        <v/>
      </c>
    </row>
    <row r="3502" spans="2:7" x14ac:dyDescent="0.25">
      <c r="B3502" s="6"/>
      <c r="C3502" s="7"/>
      <c r="D3502" s="7"/>
      <c r="E3502" s="8"/>
      <c r="F3502" t="str">
        <f t="shared" si="135"/>
        <v/>
      </c>
      <c r="G3502" t="str">
        <f t="shared" si="136"/>
        <v/>
      </c>
    </row>
    <row r="3503" spans="2:7" x14ac:dyDescent="0.25">
      <c r="B3503" s="6"/>
      <c r="C3503" s="7"/>
      <c r="D3503" s="7"/>
      <c r="E3503" s="8"/>
      <c r="F3503" t="str">
        <f t="shared" si="135"/>
        <v/>
      </c>
      <c r="G3503" t="str">
        <f t="shared" si="136"/>
        <v/>
      </c>
    </row>
    <row r="3504" spans="2:7" x14ac:dyDescent="0.25">
      <c r="B3504" s="6"/>
      <c r="C3504" s="7"/>
      <c r="D3504" s="7"/>
      <c r="E3504" s="8"/>
      <c r="F3504" t="str">
        <f t="shared" si="135"/>
        <v/>
      </c>
      <c r="G3504" t="str">
        <f t="shared" si="136"/>
        <v/>
      </c>
    </row>
    <row r="3505" spans="2:7" x14ac:dyDescent="0.25">
      <c r="B3505" s="6"/>
      <c r="C3505" s="7"/>
      <c r="D3505" s="7"/>
      <c r="E3505" s="8"/>
      <c r="F3505" t="str">
        <f t="shared" si="135"/>
        <v/>
      </c>
      <c r="G3505" t="str">
        <f t="shared" si="136"/>
        <v/>
      </c>
    </row>
    <row r="3506" spans="2:7" x14ac:dyDescent="0.25">
      <c r="B3506" s="6"/>
      <c r="C3506" s="7"/>
      <c r="D3506" s="7"/>
      <c r="E3506" s="8"/>
      <c r="F3506" t="str">
        <f t="shared" si="135"/>
        <v/>
      </c>
      <c r="G3506" t="str">
        <f t="shared" si="136"/>
        <v/>
      </c>
    </row>
    <row r="3507" spans="2:7" x14ac:dyDescent="0.25">
      <c r="B3507" s="6"/>
      <c r="C3507" s="7"/>
      <c r="D3507" s="7"/>
      <c r="E3507" s="8"/>
      <c r="F3507" t="str">
        <f t="shared" si="135"/>
        <v/>
      </c>
      <c r="G3507" t="str">
        <f t="shared" si="136"/>
        <v/>
      </c>
    </row>
    <row r="3508" spans="2:7" x14ac:dyDescent="0.25">
      <c r="B3508" s="6"/>
      <c r="C3508" s="7"/>
      <c r="D3508" s="7"/>
      <c r="E3508" s="8"/>
      <c r="F3508" t="str">
        <f t="shared" si="135"/>
        <v/>
      </c>
      <c r="G3508" t="str">
        <f t="shared" si="136"/>
        <v/>
      </c>
    </row>
    <row r="3509" spans="2:7" x14ac:dyDescent="0.25">
      <c r="B3509" s="6"/>
      <c r="C3509" s="7"/>
      <c r="D3509" s="7"/>
      <c r="E3509" s="8"/>
      <c r="F3509" t="str">
        <f t="shared" si="135"/>
        <v/>
      </c>
      <c r="G3509" t="str">
        <f t="shared" si="136"/>
        <v/>
      </c>
    </row>
    <row r="3510" spans="2:7" x14ac:dyDescent="0.25">
      <c r="B3510" s="6"/>
      <c r="C3510" s="7"/>
      <c r="D3510" s="7"/>
      <c r="E3510" s="8"/>
      <c r="F3510" t="str">
        <f t="shared" si="135"/>
        <v/>
      </c>
      <c r="G3510" t="str">
        <f t="shared" si="136"/>
        <v/>
      </c>
    </row>
    <row r="3511" spans="2:7" x14ac:dyDescent="0.25">
      <c r="B3511" s="6"/>
      <c r="C3511" s="7"/>
      <c r="D3511" s="7"/>
      <c r="E3511" s="8"/>
      <c r="F3511" t="str">
        <f t="shared" si="135"/>
        <v/>
      </c>
      <c r="G3511" t="str">
        <f t="shared" si="136"/>
        <v/>
      </c>
    </row>
    <row r="3512" spans="2:7" x14ac:dyDescent="0.25">
      <c r="B3512" s="6"/>
      <c r="C3512" s="7"/>
      <c r="D3512" s="7"/>
      <c r="E3512" s="8"/>
      <c r="F3512" t="str">
        <f t="shared" si="135"/>
        <v/>
      </c>
      <c r="G3512" t="str">
        <f t="shared" si="136"/>
        <v/>
      </c>
    </row>
    <row r="3513" spans="2:7" x14ac:dyDescent="0.25">
      <c r="B3513" s="6"/>
      <c r="C3513" s="7"/>
      <c r="D3513" s="7"/>
      <c r="E3513" s="8"/>
      <c r="F3513" t="str">
        <f t="shared" si="135"/>
        <v/>
      </c>
      <c r="G3513" t="str">
        <f t="shared" si="136"/>
        <v/>
      </c>
    </row>
    <row r="3514" spans="2:7" x14ac:dyDescent="0.25">
      <c r="B3514" s="6"/>
      <c r="C3514" s="7"/>
      <c r="D3514" s="7"/>
      <c r="E3514" s="8"/>
      <c r="F3514" t="str">
        <f t="shared" si="135"/>
        <v/>
      </c>
      <c r="G3514" t="str">
        <f t="shared" si="136"/>
        <v/>
      </c>
    </row>
    <row r="3515" spans="2:7" x14ac:dyDescent="0.25">
      <c r="B3515" s="6"/>
      <c r="C3515" s="7"/>
      <c r="D3515" s="7"/>
      <c r="E3515" s="8"/>
      <c r="F3515" t="str">
        <f t="shared" si="135"/>
        <v/>
      </c>
      <c r="G3515" t="str">
        <f t="shared" si="136"/>
        <v/>
      </c>
    </row>
    <row r="3516" spans="2:7" x14ac:dyDescent="0.25">
      <c r="B3516" s="6"/>
      <c r="C3516" s="7"/>
      <c r="D3516" s="7"/>
      <c r="E3516" s="8"/>
      <c r="F3516" t="str">
        <f t="shared" si="135"/>
        <v/>
      </c>
      <c r="G3516" t="str">
        <f t="shared" si="136"/>
        <v/>
      </c>
    </row>
    <row r="3517" spans="2:7" x14ac:dyDescent="0.25">
      <c r="B3517" s="6"/>
      <c r="C3517" s="7"/>
      <c r="D3517" s="7"/>
      <c r="E3517" s="8"/>
      <c r="F3517" t="str">
        <f t="shared" si="135"/>
        <v/>
      </c>
      <c r="G3517" t="str">
        <f t="shared" si="136"/>
        <v/>
      </c>
    </row>
    <row r="3518" spans="2:7" x14ac:dyDescent="0.25">
      <c r="B3518" s="6"/>
      <c r="C3518" s="7"/>
      <c r="D3518" s="7"/>
      <c r="E3518" s="8"/>
      <c r="F3518" t="str">
        <f t="shared" si="135"/>
        <v/>
      </c>
      <c r="G3518" t="str">
        <f t="shared" si="136"/>
        <v/>
      </c>
    </row>
    <row r="3519" spans="2:7" x14ac:dyDescent="0.25">
      <c r="B3519" s="6"/>
      <c r="C3519" s="7"/>
      <c r="D3519" s="7"/>
      <c r="E3519" s="8"/>
      <c r="F3519" t="str">
        <f t="shared" si="135"/>
        <v/>
      </c>
      <c r="G3519" t="str">
        <f t="shared" si="136"/>
        <v/>
      </c>
    </row>
    <row r="3520" spans="2:7" x14ac:dyDescent="0.25">
      <c r="B3520" s="6"/>
      <c r="C3520" s="7"/>
      <c r="D3520" s="7"/>
      <c r="E3520" s="8"/>
      <c r="F3520" t="str">
        <f t="shared" si="135"/>
        <v/>
      </c>
      <c r="G3520" t="str">
        <f t="shared" si="136"/>
        <v/>
      </c>
    </row>
    <row r="3521" spans="2:7" x14ac:dyDescent="0.25">
      <c r="B3521" s="6"/>
      <c r="C3521" s="7"/>
      <c r="D3521" s="7"/>
      <c r="E3521" s="8"/>
      <c r="F3521" t="str">
        <f t="shared" si="135"/>
        <v/>
      </c>
      <c r="G3521" t="str">
        <f t="shared" si="136"/>
        <v/>
      </c>
    </row>
    <row r="3522" spans="2:7" x14ac:dyDescent="0.25">
      <c r="B3522" s="6"/>
      <c r="C3522" s="7"/>
      <c r="D3522" s="7"/>
      <c r="E3522" s="8"/>
      <c r="F3522" t="str">
        <f t="shared" si="135"/>
        <v/>
      </c>
      <c r="G3522" t="str">
        <f t="shared" si="136"/>
        <v/>
      </c>
    </row>
    <row r="3523" spans="2:7" x14ac:dyDescent="0.25">
      <c r="B3523" s="6"/>
      <c r="C3523" s="7"/>
      <c r="D3523" s="7"/>
      <c r="E3523" s="8"/>
      <c r="F3523" t="str">
        <f t="shared" si="135"/>
        <v/>
      </c>
      <c r="G3523" t="str">
        <f t="shared" si="136"/>
        <v/>
      </c>
    </row>
    <row r="3524" spans="2:7" x14ac:dyDescent="0.25">
      <c r="B3524" s="6"/>
      <c r="C3524" s="7"/>
      <c r="D3524" s="7"/>
      <c r="E3524" s="8"/>
      <c r="F3524" t="str">
        <f t="shared" ref="F3524:F3587" si="137">IF(B3524="","",LOG10(D3524))</f>
        <v/>
      </c>
      <c r="G3524" t="str">
        <f t="shared" ref="G3524:G3587" si="138">IF(E3524="", "",0.434*E3524/D3524)</f>
        <v/>
      </c>
    </row>
    <row r="3525" spans="2:7" x14ac:dyDescent="0.25">
      <c r="B3525" s="6"/>
      <c r="C3525" s="7"/>
      <c r="D3525" s="7"/>
      <c r="E3525" s="8"/>
      <c r="F3525" t="str">
        <f t="shared" si="137"/>
        <v/>
      </c>
      <c r="G3525" t="str">
        <f t="shared" si="138"/>
        <v/>
      </c>
    </row>
    <row r="3526" spans="2:7" x14ac:dyDescent="0.25">
      <c r="B3526" s="6"/>
      <c r="C3526" s="7"/>
      <c r="D3526" s="7"/>
      <c r="E3526" s="8"/>
      <c r="F3526" t="str">
        <f t="shared" si="137"/>
        <v/>
      </c>
      <c r="G3526" t="str">
        <f t="shared" si="138"/>
        <v/>
      </c>
    </row>
    <row r="3527" spans="2:7" x14ac:dyDescent="0.25">
      <c r="B3527" s="6"/>
      <c r="C3527" s="7"/>
      <c r="D3527" s="7"/>
      <c r="E3527" s="8"/>
      <c r="F3527" t="str">
        <f t="shared" si="137"/>
        <v/>
      </c>
      <c r="G3527" t="str">
        <f t="shared" si="138"/>
        <v/>
      </c>
    </row>
    <row r="3528" spans="2:7" x14ac:dyDescent="0.25">
      <c r="B3528" s="6"/>
      <c r="C3528" s="7"/>
      <c r="D3528" s="7"/>
      <c r="E3528" s="8"/>
      <c r="F3528" t="str">
        <f t="shared" si="137"/>
        <v/>
      </c>
      <c r="G3528" t="str">
        <f t="shared" si="138"/>
        <v/>
      </c>
    </row>
    <row r="3529" spans="2:7" x14ac:dyDescent="0.25">
      <c r="B3529" s="6"/>
      <c r="C3529" s="7"/>
      <c r="D3529" s="7"/>
      <c r="E3529" s="8"/>
      <c r="F3529" t="str">
        <f t="shared" si="137"/>
        <v/>
      </c>
      <c r="G3529" t="str">
        <f t="shared" si="138"/>
        <v/>
      </c>
    </row>
    <row r="3530" spans="2:7" x14ac:dyDescent="0.25">
      <c r="B3530" s="6"/>
      <c r="C3530" s="7"/>
      <c r="D3530" s="7"/>
      <c r="E3530" s="8"/>
      <c r="F3530" t="str">
        <f t="shared" si="137"/>
        <v/>
      </c>
      <c r="G3530" t="str">
        <f t="shared" si="138"/>
        <v/>
      </c>
    </row>
    <row r="3531" spans="2:7" x14ac:dyDescent="0.25">
      <c r="B3531" s="6"/>
      <c r="C3531" s="7"/>
      <c r="D3531" s="7"/>
      <c r="E3531" s="8"/>
      <c r="F3531" t="str">
        <f t="shared" si="137"/>
        <v/>
      </c>
      <c r="G3531" t="str">
        <f t="shared" si="138"/>
        <v/>
      </c>
    </row>
    <row r="3532" spans="2:7" x14ac:dyDescent="0.25">
      <c r="B3532" s="6"/>
      <c r="C3532" s="7"/>
      <c r="D3532" s="7"/>
      <c r="E3532" s="8"/>
      <c r="F3532" t="str">
        <f t="shared" si="137"/>
        <v/>
      </c>
      <c r="G3532" t="str">
        <f t="shared" si="138"/>
        <v/>
      </c>
    </row>
    <row r="3533" spans="2:7" x14ac:dyDescent="0.25">
      <c r="B3533" s="6"/>
      <c r="C3533" s="7"/>
      <c r="D3533" s="7"/>
      <c r="E3533" s="8"/>
      <c r="F3533" t="str">
        <f t="shared" si="137"/>
        <v/>
      </c>
      <c r="G3533" t="str">
        <f t="shared" si="138"/>
        <v/>
      </c>
    </row>
    <row r="3534" spans="2:7" x14ac:dyDescent="0.25">
      <c r="B3534" s="6"/>
      <c r="C3534" s="7"/>
      <c r="D3534" s="7"/>
      <c r="E3534" s="8"/>
      <c r="F3534" t="str">
        <f t="shared" si="137"/>
        <v/>
      </c>
      <c r="G3534" t="str">
        <f t="shared" si="138"/>
        <v/>
      </c>
    </row>
    <row r="3535" spans="2:7" x14ac:dyDescent="0.25">
      <c r="B3535" s="6"/>
      <c r="C3535" s="7"/>
      <c r="D3535" s="7"/>
      <c r="E3535" s="8"/>
      <c r="F3535" t="str">
        <f t="shared" si="137"/>
        <v/>
      </c>
      <c r="G3535" t="str">
        <f t="shared" si="138"/>
        <v/>
      </c>
    </row>
    <row r="3536" spans="2:7" x14ac:dyDescent="0.25">
      <c r="B3536" s="6"/>
      <c r="C3536" s="7"/>
      <c r="D3536" s="7"/>
      <c r="E3536" s="8"/>
      <c r="F3536" t="str">
        <f t="shared" si="137"/>
        <v/>
      </c>
      <c r="G3536" t="str">
        <f t="shared" si="138"/>
        <v/>
      </c>
    </row>
    <row r="3537" spans="2:7" x14ac:dyDescent="0.25">
      <c r="B3537" s="6"/>
      <c r="C3537" s="7"/>
      <c r="D3537" s="7"/>
      <c r="E3537" s="8"/>
      <c r="F3537" t="str">
        <f t="shared" si="137"/>
        <v/>
      </c>
      <c r="G3537" t="str">
        <f t="shared" si="138"/>
        <v/>
      </c>
    </row>
    <row r="3538" spans="2:7" x14ac:dyDescent="0.25">
      <c r="B3538" s="6"/>
      <c r="C3538" s="7"/>
      <c r="D3538" s="7"/>
      <c r="E3538" s="8"/>
      <c r="F3538" t="str">
        <f t="shared" si="137"/>
        <v/>
      </c>
      <c r="G3538" t="str">
        <f t="shared" si="138"/>
        <v/>
      </c>
    </row>
    <row r="3539" spans="2:7" x14ac:dyDescent="0.25">
      <c r="B3539" s="6"/>
      <c r="C3539" s="7"/>
      <c r="D3539" s="7"/>
      <c r="E3539" s="8"/>
      <c r="F3539" t="str">
        <f t="shared" si="137"/>
        <v/>
      </c>
      <c r="G3539" t="str">
        <f t="shared" si="138"/>
        <v/>
      </c>
    </row>
    <row r="3540" spans="2:7" x14ac:dyDescent="0.25">
      <c r="B3540" s="6"/>
      <c r="C3540" s="7"/>
      <c r="D3540" s="7"/>
      <c r="E3540" s="8"/>
      <c r="F3540" t="str">
        <f t="shared" si="137"/>
        <v/>
      </c>
      <c r="G3540" t="str">
        <f t="shared" si="138"/>
        <v/>
      </c>
    </row>
    <row r="3541" spans="2:7" x14ac:dyDescent="0.25">
      <c r="B3541" s="6"/>
      <c r="C3541" s="7"/>
      <c r="D3541" s="7"/>
      <c r="E3541" s="8"/>
      <c r="F3541" t="str">
        <f t="shared" si="137"/>
        <v/>
      </c>
      <c r="G3541" t="str">
        <f t="shared" si="138"/>
        <v/>
      </c>
    </row>
    <row r="3542" spans="2:7" x14ac:dyDescent="0.25">
      <c r="B3542" s="6"/>
      <c r="C3542" s="7"/>
      <c r="D3542" s="7"/>
      <c r="E3542" s="8"/>
      <c r="F3542" t="str">
        <f t="shared" si="137"/>
        <v/>
      </c>
      <c r="G3542" t="str">
        <f t="shared" si="138"/>
        <v/>
      </c>
    </row>
    <row r="3543" spans="2:7" x14ac:dyDescent="0.25">
      <c r="B3543" s="6"/>
      <c r="C3543" s="7"/>
      <c r="D3543" s="7"/>
      <c r="E3543" s="8"/>
      <c r="F3543" t="str">
        <f t="shared" si="137"/>
        <v/>
      </c>
      <c r="G3543" t="str">
        <f t="shared" si="138"/>
        <v/>
      </c>
    </row>
    <row r="3544" spans="2:7" x14ac:dyDescent="0.25">
      <c r="B3544" s="6"/>
      <c r="C3544" s="7"/>
      <c r="D3544" s="7"/>
      <c r="E3544" s="8"/>
      <c r="F3544" t="str">
        <f t="shared" si="137"/>
        <v/>
      </c>
      <c r="G3544" t="str">
        <f t="shared" si="138"/>
        <v/>
      </c>
    </row>
    <row r="3545" spans="2:7" x14ac:dyDescent="0.25">
      <c r="B3545" s="6"/>
      <c r="C3545" s="7"/>
      <c r="D3545" s="7"/>
      <c r="E3545" s="8"/>
      <c r="F3545" t="str">
        <f t="shared" si="137"/>
        <v/>
      </c>
      <c r="G3545" t="str">
        <f t="shared" si="138"/>
        <v/>
      </c>
    </row>
    <row r="3546" spans="2:7" x14ac:dyDescent="0.25">
      <c r="B3546" s="6"/>
      <c r="C3546" s="7"/>
      <c r="D3546" s="7"/>
      <c r="E3546" s="8"/>
      <c r="F3546" t="str">
        <f t="shared" si="137"/>
        <v/>
      </c>
      <c r="G3546" t="str">
        <f t="shared" si="138"/>
        <v/>
      </c>
    </row>
    <row r="3547" spans="2:7" x14ac:dyDescent="0.25">
      <c r="B3547" s="6"/>
      <c r="C3547" s="7"/>
      <c r="D3547" s="7"/>
      <c r="E3547" s="8"/>
      <c r="F3547" t="str">
        <f t="shared" si="137"/>
        <v/>
      </c>
      <c r="G3547" t="str">
        <f t="shared" si="138"/>
        <v/>
      </c>
    </row>
    <row r="3548" spans="2:7" x14ac:dyDescent="0.25">
      <c r="B3548" s="6"/>
      <c r="C3548" s="7"/>
      <c r="D3548" s="7"/>
      <c r="E3548" s="8"/>
      <c r="F3548" t="str">
        <f t="shared" si="137"/>
        <v/>
      </c>
      <c r="G3548" t="str">
        <f t="shared" si="138"/>
        <v/>
      </c>
    </row>
    <row r="3549" spans="2:7" x14ac:dyDescent="0.25">
      <c r="B3549" s="6"/>
      <c r="C3549" s="7"/>
      <c r="D3549" s="7"/>
      <c r="E3549" s="8"/>
      <c r="F3549" t="str">
        <f t="shared" si="137"/>
        <v/>
      </c>
      <c r="G3549" t="str">
        <f t="shared" si="138"/>
        <v/>
      </c>
    </row>
    <row r="3550" spans="2:7" x14ac:dyDescent="0.25">
      <c r="B3550" s="6"/>
      <c r="C3550" s="7"/>
      <c r="D3550" s="7"/>
      <c r="E3550" s="8"/>
      <c r="F3550" t="str">
        <f t="shared" si="137"/>
        <v/>
      </c>
      <c r="G3550" t="str">
        <f t="shared" si="138"/>
        <v/>
      </c>
    </row>
    <row r="3551" spans="2:7" x14ac:dyDescent="0.25">
      <c r="B3551" s="6"/>
      <c r="C3551" s="7"/>
      <c r="D3551" s="7"/>
      <c r="E3551" s="8"/>
      <c r="F3551" t="str">
        <f t="shared" si="137"/>
        <v/>
      </c>
      <c r="G3551" t="str">
        <f t="shared" si="138"/>
        <v/>
      </c>
    </row>
    <row r="3552" spans="2:7" x14ac:dyDescent="0.25">
      <c r="B3552" s="6"/>
      <c r="C3552" s="7"/>
      <c r="D3552" s="7"/>
      <c r="E3552" s="8"/>
      <c r="F3552" t="str">
        <f t="shared" si="137"/>
        <v/>
      </c>
      <c r="G3552" t="str">
        <f t="shared" si="138"/>
        <v/>
      </c>
    </row>
    <row r="3553" spans="2:7" x14ac:dyDescent="0.25">
      <c r="B3553" s="6"/>
      <c r="C3553" s="7"/>
      <c r="D3553" s="7"/>
      <c r="E3553" s="8"/>
      <c r="F3553" t="str">
        <f t="shared" si="137"/>
        <v/>
      </c>
      <c r="G3553" t="str">
        <f t="shared" si="138"/>
        <v/>
      </c>
    </row>
    <row r="3554" spans="2:7" x14ac:dyDescent="0.25">
      <c r="B3554" s="6"/>
      <c r="C3554" s="7"/>
      <c r="D3554" s="7"/>
      <c r="E3554" s="8"/>
      <c r="F3554" t="str">
        <f t="shared" si="137"/>
        <v/>
      </c>
      <c r="G3554" t="str">
        <f t="shared" si="138"/>
        <v/>
      </c>
    </row>
    <row r="3555" spans="2:7" x14ac:dyDescent="0.25">
      <c r="B3555" s="6"/>
      <c r="C3555" s="7"/>
      <c r="D3555" s="7"/>
      <c r="E3555" s="8"/>
      <c r="F3555" t="str">
        <f t="shared" si="137"/>
        <v/>
      </c>
      <c r="G3555" t="str">
        <f t="shared" si="138"/>
        <v/>
      </c>
    </row>
    <row r="3556" spans="2:7" x14ac:dyDescent="0.25">
      <c r="B3556" s="6"/>
      <c r="C3556" s="7"/>
      <c r="D3556" s="7"/>
      <c r="E3556" s="8"/>
      <c r="F3556" t="str">
        <f t="shared" si="137"/>
        <v/>
      </c>
      <c r="G3556" t="str">
        <f t="shared" si="138"/>
        <v/>
      </c>
    </row>
    <row r="3557" spans="2:7" x14ac:dyDescent="0.25">
      <c r="B3557" s="6"/>
      <c r="C3557" s="7"/>
      <c r="D3557" s="7"/>
      <c r="E3557" s="8"/>
      <c r="F3557" t="str">
        <f t="shared" si="137"/>
        <v/>
      </c>
      <c r="G3557" t="str">
        <f t="shared" si="138"/>
        <v/>
      </c>
    </row>
    <row r="3558" spans="2:7" x14ac:dyDescent="0.25">
      <c r="B3558" s="6"/>
      <c r="C3558" s="7"/>
      <c r="D3558" s="7"/>
      <c r="E3558" s="8"/>
      <c r="F3558" t="str">
        <f t="shared" si="137"/>
        <v/>
      </c>
      <c r="G3558" t="str">
        <f t="shared" si="138"/>
        <v/>
      </c>
    </row>
    <row r="3559" spans="2:7" x14ac:dyDescent="0.25">
      <c r="B3559" s="6"/>
      <c r="C3559" s="7"/>
      <c r="D3559" s="7"/>
      <c r="E3559" s="8"/>
      <c r="F3559" t="str">
        <f t="shared" si="137"/>
        <v/>
      </c>
      <c r="G3559" t="str">
        <f t="shared" si="138"/>
        <v/>
      </c>
    </row>
    <row r="3560" spans="2:7" x14ac:dyDescent="0.25">
      <c r="B3560" s="6"/>
      <c r="C3560" s="7"/>
      <c r="D3560" s="7"/>
      <c r="E3560" s="8"/>
      <c r="F3560" t="str">
        <f t="shared" si="137"/>
        <v/>
      </c>
      <c r="G3560" t="str">
        <f t="shared" si="138"/>
        <v/>
      </c>
    </row>
    <row r="3561" spans="2:7" x14ac:dyDescent="0.25">
      <c r="B3561" s="6"/>
      <c r="C3561" s="7"/>
      <c r="D3561" s="7"/>
      <c r="E3561" s="8"/>
      <c r="F3561" t="str">
        <f t="shared" si="137"/>
        <v/>
      </c>
      <c r="G3561" t="str">
        <f t="shared" si="138"/>
        <v/>
      </c>
    </row>
    <row r="3562" spans="2:7" x14ac:dyDescent="0.25">
      <c r="B3562" s="6"/>
      <c r="C3562" s="7"/>
      <c r="D3562" s="7"/>
      <c r="E3562" s="8"/>
      <c r="F3562" t="str">
        <f t="shared" si="137"/>
        <v/>
      </c>
      <c r="G3562" t="str">
        <f t="shared" si="138"/>
        <v/>
      </c>
    </row>
    <row r="3563" spans="2:7" x14ac:dyDescent="0.25">
      <c r="B3563" s="6"/>
      <c r="C3563" s="7"/>
      <c r="D3563" s="7"/>
      <c r="E3563" s="8"/>
      <c r="F3563" t="str">
        <f t="shared" si="137"/>
        <v/>
      </c>
      <c r="G3563" t="str">
        <f t="shared" si="138"/>
        <v/>
      </c>
    </row>
    <row r="3564" spans="2:7" x14ac:dyDescent="0.25">
      <c r="B3564" s="6"/>
      <c r="C3564" s="7"/>
      <c r="D3564" s="7"/>
      <c r="E3564" s="8"/>
      <c r="F3564" t="str">
        <f t="shared" si="137"/>
        <v/>
      </c>
      <c r="G3564" t="str">
        <f t="shared" si="138"/>
        <v/>
      </c>
    </row>
    <row r="3565" spans="2:7" x14ac:dyDescent="0.25">
      <c r="B3565" s="6"/>
      <c r="C3565" s="7"/>
      <c r="D3565" s="7"/>
      <c r="E3565" s="8"/>
      <c r="F3565" t="str">
        <f t="shared" si="137"/>
        <v/>
      </c>
      <c r="G3565" t="str">
        <f t="shared" si="138"/>
        <v/>
      </c>
    </row>
    <row r="3566" spans="2:7" x14ac:dyDescent="0.25">
      <c r="B3566" s="6"/>
      <c r="C3566" s="7"/>
      <c r="D3566" s="7"/>
      <c r="E3566" s="8"/>
      <c r="F3566" t="str">
        <f t="shared" si="137"/>
        <v/>
      </c>
      <c r="G3566" t="str">
        <f t="shared" si="138"/>
        <v/>
      </c>
    </row>
    <row r="3567" spans="2:7" x14ac:dyDescent="0.25">
      <c r="B3567" s="6"/>
      <c r="C3567" s="7"/>
      <c r="D3567" s="7"/>
      <c r="E3567" s="8"/>
      <c r="F3567" t="str">
        <f t="shared" si="137"/>
        <v/>
      </c>
      <c r="G3567" t="str">
        <f t="shared" si="138"/>
        <v/>
      </c>
    </row>
    <row r="3568" spans="2:7" x14ac:dyDescent="0.25">
      <c r="B3568" s="6"/>
      <c r="C3568" s="7"/>
      <c r="D3568" s="7"/>
      <c r="E3568" s="8"/>
      <c r="F3568" t="str">
        <f t="shared" si="137"/>
        <v/>
      </c>
      <c r="G3568" t="str">
        <f t="shared" si="138"/>
        <v/>
      </c>
    </row>
    <row r="3569" spans="2:7" x14ac:dyDescent="0.25">
      <c r="B3569" s="6"/>
      <c r="C3569" s="7"/>
      <c r="D3569" s="7"/>
      <c r="E3569" s="8"/>
      <c r="F3569" t="str">
        <f t="shared" si="137"/>
        <v/>
      </c>
      <c r="G3569" t="str">
        <f t="shared" si="138"/>
        <v/>
      </c>
    </row>
    <row r="3570" spans="2:7" x14ac:dyDescent="0.25">
      <c r="B3570" s="6"/>
      <c r="C3570" s="7"/>
      <c r="D3570" s="7"/>
      <c r="E3570" s="8"/>
      <c r="F3570" t="str">
        <f t="shared" si="137"/>
        <v/>
      </c>
      <c r="G3570" t="str">
        <f t="shared" si="138"/>
        <v/>
      </c>
    </row>
    <row r="3571" spans="2:7" x14ac:dyDescent="0.25">
      <c r="B3571" s="6"/>
      <c r="C3571" s="7"/>
      <c r="D3571" s="7"/>
      <c r="E3571" s="8"/>
      <c r="F3571" t="str">
        <f t="shared" si="137"/>
        <v/>
      </c>
      <c r="G3571" t="str">
        <f t="shared" si="138"/>
        <v/>
      </c>
    </row>
    <row r="3572" spans="2:7" x14ac:dyDescent="0.25">
      <c r="B3572" s="6"/>
      <c r="C3572" s="7"/>
      <c r="D3572" s="7"/>
      <c r="E3572" s="8"/>
      <c r="F3572" t="str">
        <f t="shared" si="137"/>
        <v/>
      </c>
      <c r="G3572" t="str">
        <f t="shared" si="138"/>
        <v/>
      </c>
    </row>
    <row r="3573" spans="2:7" x14ac:dyDescent="0.25">
      <c r="B3573" s="6"/>
      <c r="C3573" s="7"/>
      <c r="D3573" s="7"/>
      <c r="E3573" s="8"/>
      <c r="F3573" t="str">
        <f t="shared" si="137"/>
        <v/>
      </c>
      <c r="G3573" t="str">
        <f t="shared" si="138"/>
        <v/>
      </c>
    </row>
    <row r="3574" spans="2:7" x14ac:dyDescent="0.25">
      <c r="B3574" s="6"/>
      <c r="C3574" s="7"/>
      <c r="D3574" s="7"/>
      <c r="E3574" s="8"/>
      <c r="F3574" t="str">
        <f t="shared" si="137"/>
        <v/>
      </c>
      <c r="G3574" t="str">
        <f t="shared" si="138"/>
        <v/>
      </c>
    </row>
    <row r="3575" spans="2:7" x14ac:dyDescent="0.25">
      <c r="B3575" s="6"/>
      <c r="C3575" s="7"/>
      <c r="D3575" s="7"/>
      <c r="E3575" s="8"/>
      <c r="F3575" t="str">
        <f t="shared" si="137"/>
        <v/>
      </c>
      <c r="G3575" t="str">
        <f t="shared" si="138"/>
        <v/>
      </c>
    </row>
    <row r="3576" spans="2:7" x14ac:dyDescent="0.25">
      <c r="B3576" s="6"/>
      <c r="C3576" s="7"/>
      <c r="D3576" s="7"/>
      <c r="E3576" s="8"/>
      <c r="F3576" t="str">
        <f t="shared" si="137"/>
        <v/>
      </c>
      <c r="G3576" t="str">
        <f t="shared" si="138"/>
        <v/>
      </c>
    </row>
    <row r="3577" spans="2:7" x14ac:dyDescent="0.25">
      <c r="B3577" s="6"/>
      <c r="C3577" s="7"/>
      <c r="D3577" s="7"/>
      <c r="E3577" s="8"/>
      <c r="F3577" t="str">
        <f t="shared" si="137"/>
        <v/>
      </c>
      <c r="G3577" t="str">
        <f t="shared" si="138"/>
        <v/>
      </c>
    </row>
    <row r="3578" spans="2:7" x14ac:dyDescent="0.25">
      <c r="B3578" s="6"/>
      <c r="C3578" s="7"/>
      <c r="D3578" s="7"/>
      <c r="E3578" s="8"/>
      <c r="F3578" t="str">
        <f t="shared" si="137"/>
        <v/>
      </c>
      <c r="G3578" t="str">
        <f t="shared" si="138"/>
        <v/>
      </c>
    </row>
    <row r="3579" spans="2:7" x14ac:dyDescent="0.25">
      <c r="B3579" s="6"/>
      <c r="C3579" s="7"/>
      <c r="D3579" s="7"/>
      <c r="E3579" s="8"/>
      <c r="F3579" t="str">
        <f t="shared" si="137"/>
        <v/>
      </c>
      <c r="G3579" t="str">
        <f t="shared" si="138"/>
        <v/>
      </c>
    </row>
    <row r="3580" spans="2:7" x14ac:dyDescent="0.25">
      <c r="B3580" s="6"/>
      <c r="C3580" s="7"/>
      <c r="D3580" s="7"/>
      <c r="E3580" s="8"/>
      <c r="F3580" t="str">
        <f t="shared" si="137"/>
        <v/>
      </c>
      <c r="G3580" t="str">
        <f t="shared" si="138"/>
        <v/>
      </c>
    </row>
    <row r="3581" spans="2:7" x14ac:dyDescent="0.25">
      <c r="B3581" s="6"/>
      <c r="C3581" s="7"/>
      <c r="D3581" s="7"/>
      <c r="E3581" s="8"/>
      <c r="F3581" t="str">
        <f t="shared" si="137"/>
        <v/>
      </c>
      <c r="G3581" t="str">
        <f t="shared" si="138"/>
        <v/>
      </c>
    </row>
    <row r="3582" spans="2:7" x14ac:dyDescent="0.25">
      <c r="B3582" s="6"/>
      <c r="C3582" s="7"/>
      <c r="D3582" s="7"/>
      <c r="E3582" s="8"/>
      <c r="F3582" t="str">
        <f t="shared" si="137"/>
        <v/>
      </c>
      <c r="G3582" t="str">
        <f t="shared" si="138"/>
        <v/>
      </c>
    </row>
    <row r="3583" spans="2:7" x14ac:dyDescent="0.25">
      <c r="B3583" s="6"/>
      <c r="C3583" s="7"/>
      <c r="D3583" s="7"/>
      <c r="E3583" s="8"/>
      <c r="F3583" t="str">
        <f t="shared" si="137"/>
        <v/>
      </c>
      <c r="G3583" t="str">
        <f t="shared" si="138"/>
        <v/>
      </c>
    </row>
    <row r="3584" spans="2:7" x14ac:dyDescent="0.25">
      <c r="B3584" s="6"/>
      <c r="C3584" s="7"/>
      <c r="D3584" s="7"/>
      <c r="E3584" s="8"/>
      <c r="F3584" t="str">
        <f t="shared" si="137"/>
        <v/>
      </c>
      <c r="G3584" t="str">
        <f t="shared" si="138"/>
        <v/>
      </c>
    </row>
    <row r="3585" spans="2:7" x14ac:dyDescent="0.25">
      <c r="B3585" s="6"/>
      <c r="C3585" s="7"/>
      <c r="D3585" s="7"/>
      <c r="E3585" s="8"/>
      <c r="F3585" t="str">
        <f t="shared" si="137"/>
        <v/>
      </c>
      <c r="G3585" t="str">
        <f t="shared" si="138"/>
        <v/>
      </c>
    </row>
    <row r="3586" spans="2:7" x14ac:dyDescent="0.25">
      <c r="B3586" s="6"/>
      <c r="C3586" s="7"/>
      <c r="D3586" s="7"/>
      <c r="E3586" s="8"/>
      <c r="F3586" t="str">
        <f t="shared" si="137"/>
        <v/>
      </c>
      <c r="G3586" t="str">
        <f t="shared" si="138"/>
        <v/>
      </c>
    </row>
    <row r="3587" spans="2:7" x14ac:dyDescent="0.25">
      <c r="B3587" s="6"/>
      <c r="C3587" s="7"/>
      <c r="D3587" s="7"/>
      <c r="E3587" s="8"/>
      <c r="F3587" t="str">
        <f t="shared" si="137"/>
        <v/>
      </c>
      <c r="G3587" t="str">
        <f t="shared" si="138"/>
        <v/>
      </c>
    </row>
    <row r="3588" spans="2:7" x14ac:dyDescent="0.25">
      <c r="B3588" s="6"/>
      <c r="C3588" s="7"/>
      <c r="D3588" s="7"/>
      <c r="E3588" s="8"/>
      <c r="F3588" t="str">
        <f t="shared" ref="F3588:F3651" si="139">IF(B3588="","",LOG10(D3588))</f>
        <v/>
      </c>
      <c r="G3588" t="str">
        <f t="shared" ref="G3588:G3651" si="140">IF(E3588="", "",0.434*E3588/D3588)</f>
        <v/>
      </c>
    </row>
    <row r="3589" spans="2:7" x14ac:dyDescent="0.25">
      <c r="B3589" s="6"/>
      <c r="C3589" s="7"/>
      <c r="D3589" s="7"/>
      <c r="E3589" s="8"/>
      <c r="F3589" t="str">
        <f t="shared" si="139"/>
        <v/>
      </c>
      <c r="G3589" t="str">
        <f t="shared" si="140"/>
        <v/>
      </c>
    </row>
    <row r="3590" spans="2:7" x14ac:dyDescent="0.25">
      <c r="B3590" s="6"/>
      <c r="C3590" s="7"/>
      <c r="D3590" s="7"/>
      <c r="E3590" s="8"/>
      <c r="F3590" t="str">
        <f t="shared" si="139"/>
        <v/>
      </c>
      <c r="G3590" t="str">
        <f t="shared" si="140"/>
        <v/>
      </c>
    </row>
    <row r="3591" spans="2:7" x14ac:dyDescent="0.25">
      <c r="B3591" s="6"/>
      <c r="C3591" s="7"/>
      <c r="D3591" s="7"/>
      <c r="E3591" s="8"/>
      <c r="F3591" t="str">
        <f t="shared" si="139"/>
        <v/>
      </c>
      <c r="G3591" t="str">
        <f t="shared" si="140"/>
        <v/>
      </c>
    </row>
    <row r="3592" spans="2:7" x14ac:dyDescent="0.25">
      <c r="B3592" s="6"/>
      <c r="C3592" s="7"/>
      <c r="D3592" s="7"/>
      <c r="E3592" s="8"/>
      <c r="F3592" t="str">
        <f t="shared" si="139"/>
        <v/>
      </c>
      <c r="G3592" t="str">
        <f t="shared" si="140"/>
        <v/>
      </c>
    </row>
    <row r="3593" spans="2:7" x14ac:dyDescent="0.25">
      <c r="B3593" s="6"/>
      <c r="C3593" s="7"/>
      <c r="D3593" s="7"/>
      <c r="E3593" s="8"/>
      <c r="F3593" t="str">
        <f t="shared" si="139"/>
        <v/>
      </c>
      <c r="G3593" t="str">
        <f t="shared" si="140"/>
        <v/>
      </c>
    </row>
    <row r="3594" spans="2:7" x14ac:dyDescent="0.25">
      <c r="B3594" s="6"/>
      <c r="C3594" s="7"/>
      <c r="D3594" s="7"/>
      <c r="E3594" s="8"/>
      <c r="F3594" t="str">
        <f t="shared" si="139"/>
        <v/>
      </c>
      <c r="G3594" t="str">
        <f t="shared" si="140"/>
        <v/>
      </c>
    </row>
    <row r="3595" spans="2:7" x14ac:dyDescent="0.25">
      <c r="B3595" s="6"/>
      <c r="C3595" s="7"/>
      <c r="D3595" s="7"/>
      <c r="E3595" s="8"/>
      <c r="F3595" t="str">
        <f t="shared" si="139"/>
        <v/>
      </c>
      <c r="G3595" t="str">
        <f t="shared" si="140"/>
        <v/>
      </c>
    </row>
    <row r="3596" spans="2:7" x14ac:dyDescent="0.25">
      <c r="B3596" s="6"/>
      <c r="C3596" s="7"/>
      <c r="D3596" s="7"/>
      <c r="E3596" s="8"/>
      <c r="F3596" t="str">
        <f t="shared" si="139"/>
        <v/>
      </c>
      <c r="G3596" t="str">
        <f t="shared" si="140"/>
        <v/>
      </c>
    </row>
    <row r="3597" spans="2:7" x14ac:dyDescent="0.25">
      <c r="B3597" s="6"/>
      <c r="C3597" s="7"/>
      <c r="D3597" s="7"/>
      <c r="E3597" s="8"/>
      <c r="F3597" t="str">
        <f t="shared" si="139"/>
        <v/>
      </c>
      <c r="G3597" t="str">
        <f t="shared" si="140"/>
        <v/>
      </c>
    </row>
    <row r="3598" spans="2:7" x14ac:dyDescent="0.25">
      <c r="B3598" s="6"/>
      <c r="C3598" s="7"/>
      <c r="D3598" s="7"/>
      <c r="E3598" s="8"/>
      <c r="F3598" t="str">
        <f t="shared" si="139"/>
        <v/>
      </c>
      <c r="G3598" t="str">
        <f t="shared" si="140"/>
        <v/>
      </c>
    </row>
    <row r="3599" spans="2:7" x14ac:dyDescent="0.25">
      <c r="B3599" s="6"/>
      <c r="C3599" s="7"/>
      <c r="D3599" s="7"/>
      <c r="E3599" s="8"/>
      <c r="F3599" t="str">
        <f t="shared" si="139"/>
        <v/>
      </c>
      <c r="G3599" t="str">
        <f t="shared" si="140"/>
        <v/>
      </c>
    </row>
    <row r="3600" spans="2:7" x14ac:dyDescent="0.25">
      <c r="B3600" s="6"/>
      <c r="C3600" s="7"/>
      <c r="D3600" s="7"/>
      <c r="E3600" s="8"/>
      <c r="F3600" t="str">
        <f t="shared" si="139"/>
        <v/>
      </c>
      <c r="G3600" t="str">
        <f t="shared" si="140"/>
        <v/>
      </c>
    </row>
    <row r="3601" spans="2:7" x14ac:dyDescent="0.25">
      <c r="B3601" s="6"/>
      <c r="C3601" s="7"/>
      <c r="D3601" s="7"/>
      <c r="E3601" s="8"/>
      <c r="F3601" t="str">
        <f t="shared" si="139"/>
        <v/>
      </c>
      <c r="G3601" t="str">
        <f t="shared" si="140"/>
        <v/>
      </c>
    </row>
    <row r="3602" spans="2:7" x14ac:dyDescent="0.25">
      <c r="B3602" s="6"/>
      <c r="C3602" s="7"/>
      <c r="D3602" s="7"/>
      <c r="E3602" s="8"/>
      <c r="F3602" t="str">
        <f t="shared" si="139"/>
        <v/>
      </c>
      <c r="G3602" t="str">
        <f t="shared" si="140"/>
        <v/>
      </c>
    </row>
    <row r="3603" spans="2:7" x14ac:dyDescent="0.25">
      <c r="B3603" s="6"/>
      <c r="C3603" s="7"/>
      <c r="D3603" s="7"/>
      <c r="E3603" s="8"/>
      <c r="F3603" t="str">
        <f t="shared" si="139"/>
        <v/>
      </c>
      <c r="G3603" t="str">
        <f t="shared" si="140"/>
        <v/>
      </c>
    </row>
    <row r="3604" spans="2:7" x14ac:dyDescent="0.25">
      <c r="B3604" s="6"/>
      <c r="C3604" s="7"/>
      <c r="D3604" s="7"/>
      <c r="E3604" s="8"/>
      <c r="F3604" t="str">
        <f t="shared" si="139"/>
        <v/>
      </c>
      <c r="G3604" t="str">
        <f t="shared" si="140"/>
        <v/>
      </c>
    </row>
    <row r="3605" spans="2:7" x14ac:dyDescent="0.25">
      <c r="B3605" s="6"/>
      <c r="C3605" s="7"/>
      <c r="D3605" s="7"/>
      <c r="E3605" s="8"/>
      <c r="F3605" t="str">
        <f t="shared" si="139"/>
        <v/>
      </c>
      <c r="G3605" t="str">
        <f t="shared" si="140"/>
        <v/>
      </c>
    </row>
    <row r="3606" spans="2:7" x14ac:dyDescent="0.25">
      <c r="B3606" s="6"/>
      <c r="C3606" s="7"/>
      <c r="D3606" s="7"/>
      <c r="E3606" s="8"/>
      <c r="F3606" t="str">
        <f t="shared" si="139"/>
        <v/>
      </c>
      <c r="G3606" t="str">
        <f t="shared" si="140"/>
        <v/>
      </c>
    </row>
    <row r="3607" spans="2:7" x14ac:dyDescent="0.25">
      <c r="B3607" s="6"/>
      <c r="C3607" s="7"/>
      <c r="D3607" s="7"/>
      <c r="E3607" s="8"/>
      <c r="F3607" t="str">
        <f t="shared" si="139"/>
        <v/>
      </c>
      <c r="G3607" t="str">
        <f t="shared" si="140"/>
        <v/>
      </c>
    </row>
    <row r="3608" spans="2:7" x14ac:dyDescent="0.25">
      <c r="B3608" s="6"/>
      <c r="C3608" s="7"/>
      <c r="D3608" s="7"/>
      <c r="E3608" s="8"/>
      <c r="F3608" t="str">
        <f t="shared" si="139"/>
        <v/>
      </c>
      <c r="G3608" t="str">
        <f t="shared" si="140"/>
        <v/>
      </c>
    </row>
    <row r="3609" spans="2:7" x14ac:dyDescent="0.25">
      <c r="B3609" s="6"/>
      <c r="C3609" s="7"/>
      <c r="D3609" s="7"/>
      <c r="E3609" s="8"/>
      <c r="F3609" t="str">
        <f t="shared" si="139"/>
        <v/>
      </c>
      <c r="G3609" t="str">
        <f t="shared" si="140"/>
        <v/>
      </c>
    </row>
    <row r="3610" spans="2:7" x14ac:dyDescent="0.25">
      <c r="B3610" s="6"/>
      <c r="C3610" s="7"/>
      <c r="D3610" s="7"/>
      <c r="E3610" s="8"/>
      <c r="F3610" t="str">
        <f t="shared" si="139"/>
        <v/>
      </c>
      <c r="G3610" t="str">
        <f t="shared" si="140"/>
        <v/>
      </c>
    </row>
    <row r="3611" spans="2:7" x14ac:dyDescent="0.25">
      <c r="B3611" s="6"/>
      <c r="C3611" s="7"/>
      <c r="D3611" s="7"/>
      <c r="E3611" s="8"/>
      <c r="F3611" t="str">
        <f t="shared" si="139"/>
        <v/>
      </c>
      <c r="G3611" t="str">
        <f t="shared" si="140"/>
        <v/>
      </c>
    </row>
    <row r="3612" spans="2:7" x14ac:dyDescent="0.25">
      <c r="B3612" s="6"/>
      <c r="C3612" s="7"/>
      <c r="D3612" s="7"/>
      <c r="E3612" s="8"/>
      <c r="F3612" t="str">
        <f t="shared" si="139"/>
        <v/>
      </c>
      <c r="G3612" t="str">
        <f t="shared" si="140"/>
        <v/>
      </c>
    </row>
    <row r="3613" spans="2:7" x14ac:dyDescent="0.25">
      <c r="B3613" s="6"/>
      <c r="C3613" s="7"/>
      <c r="D3613" s="7"/>
      <c r="E3613" s="8"/>
      <c r="F3613" t="str">
        <f t="shared" si="139"/>
        <v/>
      </c>
      <c r="G3613" t="str">
        <f t="shared" si="140"/>
        <v/>
      </c>
    </row>
    <row r="3614" spans="2:7" x14ac:dyDescent="0.25">
      <c r="B3614" s="6"/>
      <c r="C3614" s="7"/>
      <c r="D3614" s="7"/>
      <c r="E3614" s="8"/>
      <c r="F3614" t="str">
        <f t="shared" si="139"/>
        <v/>
      </c>
      <c r="G3614" t="str">
        <f t="shared" si="140"/>
        <v/>
      </c>
    </row>
    <row r="3615" spans="2:7" x14ac:dyDescent="0.25">
      <c r="B3615" s="6"/>
      <c r="C3615" s="7"/>
      <c r="D3615" s="7"/>
      <c r="E3615" s="8"/>
      <c r="F3615" t="str">
        <f t="shared" si="139"/>
        <v/>
      </c>
      <c r="G3615" t="str">
        <f t="shared" si="140"/>
        <v/>
      </c>
    </row>
    <row r="3616" spans="2:7" x14ac:dyDescent="0.25">
      <c r="B3616" s="6"/>
      <c r="C3616" s="7"/>
      <c r="D3616" s="7"/>
      <c r="E3616" s="8"/>
      <c r="F3616" t="str">
        <f t="shared" si="139"/>
        <v/>
      </c>
      <c r="G3616" t="str">
        <f t="shared" si="140"/>
        <v/>
      </c>
    </row>
    <row r="3617" spans="2:7" x14ac:dyDescent="0.25">
      <c r="B3617" s="6"/>
      <c r="C3617" s="7"/>
      <c r="D3617" s="7"/>
      <c r="E3617" s="8"/>
      <c r="F3617" t="str">
        <f t="shared" si="139"/>
        <v/>
      </c>
      <c r="G3617" t="str">
        <f t="shared" si="140"/>
        <v/>
      </c>
    </row>
    <row r="3618" spans="2:7" x14ac:dyDescent="0.25">
      <c r="B3618" s="6"/>
      <c r="C3618" s="7"/>
      <c r="D3618" s="7"/>
      <c r="E3618" s="8"/>
      <c r="F3618" t="str">
        <f t="shared" si="139"/>
        <v/>
      </c>
      <c r="G3618" t="str">
        <f t="shared" si="140"/>
        <v/>
      </c>
    </row>
    <row r="3619" spans="2:7" x14ac:dyDescent="0.25">
      <c r="B3619" s="6"/>
      <c r="C3619" s="7"/>
      <c r="D3619" s="7"/>
      <c r="E3619" s="8"/>
      <c r="F3619" t="str">
        <f t="shared" si="139"/>
        <v/>
      </c>
      <c r="G3619" t="str">
        <f t="shared" si="140"/>
        <v/>
      </c>
    </row>
    <row r="3620" spans="2:7" x14ac:dyDescent="0.25">
      <c r="B3620" s="6"/>
      <c r="C3620" s="7"/>
      <c r="D3620" s="7"/>
      <c r="E3620" s="8"/>
      <c r="F3620" t="str">
        <f t="shared" si="139"/>
        <v/>
      </c>
      <c r="G3620" t="str">
        <f t="shared" si="140"/>
        <v/>
      </c>
    </row>
    <row r="3621" spans="2:7" x14ac:dyDescent="0.25">
      <c r="B3621" s="6"/>
      <c r="C3621" s="7"/>
      <c r="D3621" s="7"/>
      <c r="E3621" s="8"/>
      <c r="F3621" t="str">
        <f t="shared" si="139"/>
        <v/>
      </c>
      <c r="G3621" t="str">
        <f t="shared" si="140"/>
        <v/>
      </c>
    </row>
    <row r="3622" spans="2:7" x14ac:dyDescent="0.25">
      <c r="B3622" s="6"/>
      <c r="C3622" s="7"/>
      <c r="D3622" s="7"/>
      <c r="E3622" s="8"/>
      <c r="F3622" t="str">
        <f t="shared" si="139"/>
        <v/>
      </c>
      <c r="G3622" t="str">
        <f t="shared" si="140"/>
        <v/>
      </c>
    </row>
    <row r="3623" spans="2:7" x14ac:dyDescent="0.25">
      <c r="B3623" s="6"/>
      <c r="C3623" s="7"/>
      <c r="D3623" s="7"/>
      <c r="E3623" s="8"/>
      <c r="F3623" t="str">
        <f t="shared" si="139"/>
        <v/>
      </c>
      <c r="G3623" t="str">
        <f t="shared" si="140"/>
        <v/>
      </c>
    </row>
    <row r="3624" spans="2:7" x14ac:dyDescent="0.25">
      <c r="B3624" s="6"/>
      <c r="C3624" s="7"/>
      <c r="D3624" s="7"/>
      <c r="E3624" s="8"/>
      <c r="F3624" t="str">
        <f t="shared" si="139"/>
        <v/>
      </c>
      <c r="G3624" t="str">
        <f t="shared" si="140"/>
        <v/>
      </c>
    </row>
    <row r="3625" spans="2:7" x14ac:dyDescent="0.25">
      <c r="B3625" s="6"/>
      <c r="C3625" s="7"/>
      <c r="D3625" s="7"/>
      <c r="E3625" s="8"/>
      <c r="F3625" t="str">
        <f t="shared" si="139"/>
        <v/>
      </c>
      <c r="G3625" t="str">
        <f t="shared" si="140"/>
        <v/>
      </c>
    </row>
    <row r="3626" spans="2:7" x14ac:dyDescent="0.25">
      <c r="B3626" s="6"/>
      <c r="C3626" s="7"/>
      <c r="D3626" s="7"/>
      <c r="E3626" s="8"/>
      <c r="F3626" t="str">
        <f t="shared" si="139"/>
        <v/>
      </c>
      <c r="G3626" t="str">
        <f t="shared" si="140"/>
        <v/>
      </c>
    </row>
    <row r="3627" spans="2:7" x14ac:dyDescent="0.25">
      <c r="B3627" s="6"/>
      <c r="C3627" s="7"/>
      <c r="D3627" s="7"/>
      <c r="E3627" s="8"/>
      <c r="F3627" t="str">
        <f t="shared" si="139"/>
        <v/>
      </c>
      <c r="G3627" t="str">
        <f t="shared" si="140"/>
        <v/>
      </c>
    </row>
    <row r="3628" spans="2:7" x14ac:dyDescent="0.25">
      <c r="B3628" s="6"/>
      <c r="C3628" s="7"/>
      <c r="D3628" s="7"/>
      <c r="E3628" s="8"/>
      <c r="F3628" t="str">
        <f t="shared" si="139"/>
        <v/>
      </c>
      <c r="G3628" t="str">
        <f t="shared" si="140"/>
        <v/>
      </c>
    </row>
    <row r="3629" spans="2:7" x14ac:dyDescent="0.25">
      <c r="B3629" s="6"/>
      <c r="C3629" s="7"/>
      <c r="D3629" s="7"/>
      <c r="E3629" s="8"/>
      <c r="F3629" t="str">
        <f t="shared" si="139"/>
        <v/>
      </c>
      <c r="G3629" t="str">
        <f t="shared" si="140"/>
        <v/>
      </c>
    </row>
    <row r="3630" spans="2:7" x14ac:dyDescent="0.25">
      <c r="B3630" s="6"/>
      <c r="C3630" s="7"/>
      <c r="D3630" s="7"/>
      <c r="E3630" s="8"/>
      <c r="F3630" t="str">
        <f t="shared" si="139"/>
        <v/>
      </c>
      <c r="G3630" t="str">
        <f t="shared" si="140"/>
        <v/>
      </c>
    </row>
    <row r="3631" spans="2:7" x14ac:dyDescent="0.25">
      <c r="B3631" s="6"/>
      <c r="C3631" s="7"/>
      <c r="D3631" s="7"/>
      <c r="E3631" s="8"/>
      <c r="F3631" t="str">
        <f t="shared" si="139"/>
        <v/>
      </c>
      <c r="G3631" t="str">
        <f t="shared" si="140"/>
        <v/>
      </c>
    </row>
    <row r="3632" spans="2:7" x14ac:dyDescent="0.25">
      <c r="B3632" s="6"/>
      <c r="C3632" s="7"/>
      <c r="D3632" s="7"/>
      <c r="E3632" s="8"/>
      <c r="F3632" t="str">
        <f t="shared" si="139"/>
        <v/>
      </c>
      <c r="G3632" t="str">
        <f t="shared" si="140"/>
        <v/>
      </c>
    </row>
    <row r="3633" spans="2:7" x14ac:dyDescent="0.25">
      <c r="B3633" s="6"/>
      <c r="C3633" s="7"/>
      <c r="D3633" s="7"/>
      <c r="E3633" s="8"/>
      <c r="F3633" t="str">
        <f t="shared" si="139"/>
        <v/>
      </c>
      <c r="G3633" t="str">
        <f t="shared" si="140"/>
        <v/>
      </c>
    </row>
    <row r="3634" spans="2:7" x14ac:dyDescent="0.25">
      <c r="B3634" s="6"/>
      <c r="C3634" s="7"/>
      <c r="D3634" s="7"/>
      <c r="E3634" s="8"/>
      <c r="F3634" t="str">
        <f t="shared" si="139"/>
        <v/>
      </c>
      <c r="G3634" t="str">
        <f t="shared" si="140"/>
        <v/>
      </c>
    </row>
    <row r="3635" spans="2:7" x14ac:dyDescent="0.25">
      <c r="B3635" s="6"/>
      <c r="C3635" s="7"/>
      <c r="D3635" s="7"/>
      <c r="E3635" s="8"/>
      <c r="F3635" t="str">
        <f t="shared" si="139"/>
        <v/>
      </c>
      <c r="G3635" t="str">
        <f t="shared" si="140"/>
        <v/>
      </c>
    </row>
    <row r="3636" spans="2:7" x14ac:dyDescent="0.25">
      <c r="B3636" s="6"/>
      <c r="C3636" s="7"/>
      <c r="D3636" s="7"/>
      <c r="E3636" s="8"/>
      <c r="F3636" t="str">
        <f t="shared" si="139"/>
        <v/>
      </c>
      <c r="G3636" t="str">
        <f t="shared" si="140"/>
        <v/>
      </c>
    </row>
    <row r="3637" spans="2:7" x14ac:dyDescent="0.25">
      <c r="B3637" s="6"/>
      <c r="C3637" s="7"/>
      <c r="D3637" s="7"/>
      <c r="E3637" s="8"/>
      <c r="F3637" t="str">
        <f t="shared" si="139"/>
        <v/>
      </c>
      <c r="G3637" t="str">
        <f t="shared" si="140"/>
        <v/>
      </c>
    </row>
    <row r="3638" spans="2:7" x14ac:dyDescent="0.25">
      <c r="B3638" s="6"/>
      <c r="C3638" s="7"/>
      <c r="D3638" s="7"/>
      <c r="E3638" s="8"/>
      <c r="F3638" t="str">
        <f t="shared" si="139"/>
        <v/>
      </c>
      <c r="G3638" t="str">
        <f t="shared" si="140"/>
        <v/>
      </c>
    </row>
    <row r="3639" spans="2:7" x14ac:dyDescent="0.25">
      <c r="B3639" s="6"/>
      <c r="C3639" s="7"/>
      <c r="D3639" s="7"/>
      <c r="E3639" s="8"/>
      <c r="F3639" t="str">
        <f t="shared" si="139"/>
        <v/>
      </c>
      <c r="G3639" t="str">
        <f t="shared" si="140"/>
        <v/>
      </c>
    </row>
    <row r="3640" spans="2:7" x14ac:dyDescent="0.25">
      <c r="B3640" s="6"/>
      <c r="C3640" s="7"/>
      <c r="D3640" s="7"/>
      <c r="E3640" s="8"/>
      <c r="F3640" t="str">
        <f t="shared" si="139"/>
        <v/>
      </c>
      <c r="G3640" t="str">
        <f t="shared" si="140"/>
        <v/>
      </c>
    </row>
    <row r="3641" spans="2:7" x14ac:dyDescent="0.25">
      <c r="B3641" s="6"/>
      <c r="C3641" s="7"/>
      <c r="D3641" s="7"/>
      <c r="E3641" s="8"/>
      <c r="F3641" t="str">
        <f t="shared" si="139"/>
        <v/>
      </c>
      <c r="G3641" t="str">
        <f t="shared" si="140"/>
        <v/>
      </c>
    </row>
    <row r="3642" spans="2:7" x14ac:dyDescent="0.25">
      <c r="B3642" s="6"/>
      <c r="C3642" s="7"/>
      <c r="D3642" s="7"/>
      <c r="E3642" s="8"/>
      <c r="F3642" t="str">
        <f t="shared" si="139"/>
        <v/>
      </c>
      <c r="G3642" t="str">
        <f t="shared" si="140"/>
        <v/>
      </c>
    </row>
    <row r="3643" spans="2:7" x14ac:dyDescent="0.25">
      <c r="B3643" s="6"/>
      <c r="C3643" s="7"/>
      <c r="D3643" s="7"/>
      <c r="E3643" s="8"/>
      <c r="F3643" t="str">
        <f t="shared" si="139"/>
        <v/>
      </c>
      <c r="G3643" t="str">
        <f t="shared" si="140"/>
        <v/>
      </c>
    </row>
    <row r="3644" spans="2:7" x14ac:dyDescent="0.25">
      <c r="B3644" s="6"/>
      <c r="C3644" s="7"/>
      <c r="D3644" s="7"/>
      <c r="E3644" s="8"/>
      <c r="F3644" t="str">
        <f t="shared" si="139"/>
        <v/>
      </c>
      <c r="G3644" t="str">
        <f t="shared" si="140"/>
        <v/>
      </c>
    </row>
    <row r="3645" spans="2:7" x14ac:dyDescent="0.25">
      <c r="B3645" s="6"/>
      <c r="C3645" s="7"/>
      <c r="D3645" s="7"/>
      <c r="E3645" s="8"/>
      <c r="F3645" t="str">
        <f t="shared" si="139"/>
        <v/>
      </c>
      <c r="G3645" t="str">
        <f t="shared" si="140"/>
        <v/>
      </c>
    </row>
    <row r="3646" spans="2:7" x14ac:dyDescent="0.25">
      <c r="B3646" s="6"/>
      <c r="C3646" s="7"/>
      <c r="D3646" s="7"/>
      <c r="E3646" s="8"/>
      <c r="F3646" t="str">
        <f t="shared" si="139"/>
        <v/>
      </c>
      <c r="G3646" t="str">
        <f t="shared" si="140"/>
        <v/>
      </c>
    </row>
    <row r="3647" spans="2:7" x14ac:dyDescent="0.25">
      <c r="B3647" s="6"/>
      <c r="C3647" s="7"/>
      <c r="D3647" s="7"/>
      <c r="E3647" s="8"/>
      <c r="F3647" t="str">
        <f t="shared" si="139"/>
        <v/>
      </c>
      <c r="G3647" t="str">
        <f t="shared" si="140"/>
        <v/>
      </c>
    </row>
    <row r="3648" spans="2:7" x14ac:dyDescent="0.25">
      <c r="B3648" s="6"/>
      <c r="C3648" s="7"/>
      <c r="D3648" s="7"/>
      <c r="E3648" s="8"/>
      <c r="F3648" t="str">
        <f t="shared" si="139"/>
        <v/>
      </c>
      <c r="G3648" t="str">
        <f t="shared" si="140"/>
        <v/>
      </c>
    </row>
    <row r="3649" spans="2:7" x14ac:dyDescent="0.25">
      <c r="B3649" s="6"/>
      <c r="C3649" s="7"/>
      <c r="D3649" s="7"/>
      <c r="E3649" s="8"/>
      <c r="F3649" t="str">
        <f t="shared" si="139"/>
        <v/>
      </c>
      <c r="G3649" t="str">
        <f t="shared" si="140"/>
        <v/>
      </c>
    </row>
    <row r="3650" spans="2:7" x14ac:dyDescent="0.25">
      <c r="B3650" s="6"/>
      <c r="C3650" s="7"/>
      <c r="D3650" s="7"/>
      <c r="E3650" s="8"/>
      <c r="F3650" t="str">
        <f t="shared" si="139"/>
        <v/>
      </c>
      <c r="G3650" t="str">
        <f t="shared" si="140"/>
        <v/>
      </c>
    </row>
    <row r="3651" spans="2:7" x14ac:dyDescent="0.25">
      <c r="B3651" s="6"/>
      <c r="C3651" s="7"/>
      <c r="D3651" s="7"/>
      <c r="E3651" s="8"/>
      <c r="F3651" t="str">
        <f t="shared" si="139"/>
        <v/>
      </c>
      <c r="G3651" t="str">
        <f t="shared" si="140"/>
        <v/>
      </c>
    </row>
    <row r="3652" spans="2:7" x14ac:dyDescent="0.25">
      <c r="B3652" s="6"/>
      <c r="C3652" s="7"/>
      <c r="D3652" s="7"/>
      <c r="E3652" s="8"/>
      <c r="F3652" t="str">
        <f t="shared" ref="F3652:F3715" si="141">IF(B3652="","",LOG10(D3652))</f>
        <v/>
      </c>
      <c r="G3652" t="str">
        <f t="shared" ref="G3652:G3715" si="142">IF(E3652="", "",0.434*E3652/D3652)</f>
        <v/>
      </c>
    </row>
    <row r="3653" spans="2:7" x14ac:dyDescent="0.25">
      <c r="B3653" s="6"/>
      <c r="C3653" s="7"/>
      <c r="D3653" s="7"/>
      <c r="E3653" s="8"/>
      <c r="F3653" t="str">
        <f t="shared" si="141"/>
        <v/>
      </c>
      <c r="G3653" t="str">
        <f t="shared" si="142"/>
        <v/>
      </c>
    </row>
    <row r="3654" spans="2:7" x14ac:dyDescent="0.25">
      <c r="B3654" s="6"/>
      <c r="C3654" s="7"/>
      <c r="D3654" s="7"/>
      <c r="E3654" s="8"/>
      <c r="F3654" t="str">
        <f t="shared" si="141"/>
        <v/>
      </c>
      <c r="G3654" t="str">
        <f t="shared" si="142"/>
        <v/>
      </c>
    </row>
    <row r="3655" spans="2:7" x14ac:dyDescent="0.25">
      <c r="B3655" s="6"/>
      <c r="C3655" s="7"/>
      <c r="D3655" s="7"/>
      <c r="E3655" s="8"/>
      <c r="F3655" t="str">
        <f t="shared" si="141"/>
        <v/>
      </c>
      <c r="G3655" t="str">
        <f t="shared" si="142"/>
        <v/>
      </c>
    </row>
    <row r="3656" spans="2:7" x14ac:dyDescent="0.25">
      <c r="B3656" s="6"/>
      <c r="C3656" s="7"/>
      <c r="D3656" s="7"/>
      <c r="E3656" s="8"/>
      <c r="F3656" t="str">
        <f t="shared" si="141"/>
        <v/>
      </c>
      <c r="G3656" t="str">
        <f t="shared" si="142"/>
        <v/>
      </c>
    </row>
    <row r="3657" spans="2:7" x14ac:dyDescent="0.25">
      <c r="B3657" s="6"/>
      <c r="C3657" s="7"/>
      <c r="D3657" s="7"/>
      <c r="E3657" s="8"/>
      <c r="F3657" t="str">
        <f t="shared" si="141"/>
        <v/>
      </c>
      <c r="G3657" t="str">
        <f t="shared" si="142"/>
        <v/>
      </c>
    </row>
    <row r="3658" spans="2:7" x14ac:dyDescent="0.25">
      <c r="B3658" s="6"/>
      <c r="C3658" s="7"/>
      <c r="D3658" s="7"/>
      <c r="E3658" s="8"/>
      <c r="F3658" t="str">
        <f t="shared" si="141"/>
        <v/>
      </c>
      <c r="G3658" t="str">
        <f t="shared" si="142"/>
        <v/>
      </c>
    </row>
    <row r="3659" spans="2:7" x14ac:dyDescent="0.25">
      <c r="B3659" s="6"/>
      <c r="C3659" s="7"/>
      <c r="D3659" s="7"/>
      <c r="E3659" s="8"/>
      <c r="F3659" t="str">
        <f t="shared" si="141"/>
        <v/>
      </c>
      <c r="G3659" t="str">
        <f t="shared" si="142"/>
        <v/>
      </c>
    </row>
    <row r="3660" spans="2:7" x14ac:dyDescent="0.25">
      <c r="B3660" s="6"/>
      <c r="C3660" s="7"/>
      <c r="D3660" s="7"/>
      <c r="E3660" s="8"/>
      <c r="F3660" t="str">
        <f t="shared" si="141"/>
        <v/>
      </c>
      <c r="G3660" t="str">
        <f t="shared" si="142"/>
        <v/>
      </c>
    </row>
    <row r="3661" spans="2:7" x14ac:dyDescent="0.25">
      <c r="B3661" s="6"/>
      <c r="C3661" s="7"/>
      <c r="D3661" s="7"/>
      <c r="E3661" s="8"/>
      <c r="F3661" t="str">
        <f t="shared" si="141"/>
        <v/>
      </c>
      <c r="G3661" t="str">
        <f t="shared" si="142"/>
        <v/>
      </c>
    </row>
    <row r="3662" spans="2:7" x14ac:dyDescent="0.25">
      <c r="B3662" s="6"/>
      <c r="C3662" s="7"/>
      <c r="D3662" s="7"/>
      <c r="E3662" s="8"/>
      <c r="F3662" t="str">
        <f t="shared" si="141"/>
        <v/>
      </c>
      <c r="G3662" t="str">
        <f t="shared" si="142"/>
        <v/>
      </c>
    </row>
    <row r="3663" spans="2:7" x14ac:dyDescent="0.25">
      <c r="B3663" s="6"/>
      <c r="C3663" s="7"/>
      <c r="D3663" s="7"/>
      <c r="E3663" s="8"/>
      <c r="F3663" t="str">
        <f t="shared" si="141"/>
        <v/>
      </c>
      <c r="G3663" t="str">
        <f t="shared" si="142"/>
        <v/>
      </c>
    </row>
    <row r="3664" spans="2:7" x14ac:dyDescent="0.25">
      <c r="B3664" s="6"/>
      <c r="C3664" s="7"/>
      <c r="D3664" s="7"/>
      <c r="E3664" s="8"/>
      <c r="F3664" t="str">
        <f t="shared" si="141"/>
        <v/>
      </c>
      <c r="G3664" t="str">
        <f t="shared" si="142"/>
        <v/>
      </c>
    </row>
    <row r="3665" spans="2:7" x14ac:dyDescent="0.25">
      <c r="B3665" s="6"/>
      <c r="C3665" s="7"/>
      <c r="D3665" s="7"/>
      <c r="E3665" s="8"/>
      <c r="F3665" t="str">
        <f t="shared" si="141"/>
        <v/>
      </c>
      <c r="G3665" t="str">
        <f t="shared" si="142"/>
        <v/>
      </c>
    </row>
    <row r="3666" spans="2:7" x14ac:dyDescent="0.25">
      <c r="B3666" s="6"/>
      <c r="C3666" s="7"/>
      <c r="D3666" s="7"/>
      <c r="E3666" s="8"/>
      <c r="F3666" t="str">
        <f t="shared" si="141"/>
        <v/>
      </c>
      <c r="G3666" t="str">
        <f t="shared" si="142"/>
        <v/>
      </c>
    </row>
    <row r="3667" spans="2:7" x14ac:dyDescent="0.25">
      <c r="B3667" s="6"/>
      <c r="C3667" s="7"/>
      <c r="D3667" s="7"/>
      <c r="E3667" s="8"/>
      <c r="F3667" t="str">
        <f t="shared" si="141"/>
        <v/>
      </c>
      <c r="G3667" t="str">
        <f t="shared" si="142"/>
        <v/>
      </c>
    </row>
    <row r="3668" spans="2:7" x14ac:dyDescent="0.25">
      <c r="B3668" s="6"/>
      <c r="C3668" s="7"/>
      <c r="D3668" s="7"/>
      <c r="E3668" s="8"/>
      <c r="F3668" t="str">
        <f t="shared" si="141"/>
        <v/>
      </c>
      <c r="G3668" t="str">
        <f t="shared" si="142"/>
        <v/>
      </c>
    </row>
    <row r="3669" spans="2:7" x14ac:dyDescent="0.25">
      <c r="B3669" s="6"/>
      <c r="C3669" s="7"/>
      <c r="D3669" s="7"/>
      <c r="E3669" s="8"/>
      <c r="F3669" t="str">
        <f t="shared" si="141"/>
        <v/>
      </c>
      <c r="G3669" t="str">
        <f t="shared" si="142"/>
        <v/>
      </c>
    </row>
    <row r="3670" spans="2:7" x14ac:dyDescent="0.25">
      <c r="B3670" s="6"/>
      <c r="C3670" s="7"/>
      <c r="D3670" s="7"/>
      <c r="E3670" s="8"/>
      <c r="F3670" t="str">
        <f t="shared" si="141"/>
        <v/>
      </c>
      <c r="G3670" t="str">
        <f t="shared" si="142"/>
        <v/>
      </c>
    </row>
    <row r="3671" spans="2:7" x14ac:dyDescent="0.25">
      <c r="B3671" s="6"/>
      <c r="C3671" s="7"/>
      <c r="D3671" s="7"/>
      <c r="E3671" s="8"/>
      <c r="F3671" t="str">
        <f t="shared" si="141"/>
        <v/>
      </c>
      <c r="G3671" t="str">
        <f t="shared" si="142"/>
        <v/>
      </c>
    </row>
    <row r="3672" spans="2:7" x14ac:dyDescent="0.25">
      <c r="B3672" s="6"/>
      <c r="C3672" s="7"/>
      <c r="D3672" s="7"/>
      <c r="E3672" s="8"/>
      <c r="F3672" t="str">
        <f t="shared" si="141"/>
        <v/>
      </c>
      <c r="G3672" t="str">
        <f t="shared" si="142"/>
        <v/>
      </c>
    </row>
    <row r="3673" spans="2:7" x14ac:dyDescent="0.25">
      <c r="B3673" s="6"/>
      <c r="C3673" s="7"/>
      <c r="D3673" s="7"/>
      <c r="E3673" s="8"/>
      <c r="F3673" t="str">
        <f t="shared" si="141"/>
        <v/>
      </c>
      <c r="G3673" t="str">
        <f t="shared" si="142"/>
        <v/>
      </c>
    </row>
    <row r="3674" spans="2:7" x14ac:dyDescent="0.25">
      <c r="B3674" s="6"/>
      <c r="C3674" s="7"/>
      <c r="D3674" s="7"/>
      <c r="E3674" s="8"/>
      <c r="F3674" t="str">
        <f t="shared" si="141"/>
        <v/>
      </c>
      <c r="G3674" t="str">
        <f t="shared" si="142"/>
        <v/>
      </c>
    </row>
    <row r="3675" spans="2:7" x14ac:dyDescent="0.25">
      <c r="B3675" s="6"/>
      <c r="C3675" s="7"/>
      <c r="D3675" s="7"/>
      <c r="E3675" s="8"/>
      <c r="F3675" t="str">
        <f t="shared" si="141"/>
        <v/>
      </c>
      <c r="G3675" t="str">
        <f t="shared" si="142"/>
        <v/>
      </c>
    </row>
    <row r="3676" spans="2:7" x14ac:dyDescent="0.25">
      <c r="B3676" s="6"/>
      <c r="C3676" s="7"/>
      <c r="D3676" s="7"/>
      <c r="E3676" s="8"/>
      <c r="F3676" t="str">
        <f t="shared" si="141"/>
        <v/>
      </c>
      <c r="G3676" t="str">
        <f t="shared" si="142"/>
        <v/>
      </c>
    </row>
    <row r="3677" spans="2:7" x14ac:dyDescent="0.25">
      <c r="B3677" s="6"/>
      <c r="C3677" s="7"/>
      <c r="D3677" s="7"/>
      <c r="E3677" s="8"/>
      <c r="F3677" t="str">
        <f t="shared" si="141"/>
        <v/>
      </c>
      <c r="G3677" t="str">
        <f t="shared" si="142"/>
        <v/>
      </c>
    </row>
    <row r="3678" spans="2:7" x14ac:dyDescent="0.25">
      <c r="B3678" s="6"/>
      <c r="C3678" s="7"/>
      <c r="D3678" s="7"/>
      <c r="E3678" s="8"/>
      <c r="F3678" t="str">
        <f t="shared" si="141"/>
        <v/>
      </c>
      <c r="G3678" t="str">
        <f t="shared" si="142"/>
        <v/>
      </c>
    </row>
    <row r="3679" spans="2:7" x14ac:dyDescent="0.25">
      <c r="B3679" s="6"/>
      <c r="C3679" s="7"/>
      <c r="D3679" s="7"/>
      <c r="E3679" s="8"/>
      <c r="F3679" t="str">
        <f t="shared" si="141"/>
        <v/>
      </c>
      <c r="G3679" t="str">
        <f t="shared" si="142"/>
        <v/>
      </c>
    </row>
    <row r="3680" spans="2:7" x14ac:dyDescent="0.25">
      <c r="B3680" s="6"/>
      <c r="C3680" s="7"/>
      <c r="D3680" s="7"/>
      <c r="E3680" s="8"/>
      <c r="F3680" t="str">
        <f t="shared" si="141"/>
        <v/>
      </c>
      <c r="G3680" t="str">
        <f t="shared" si="142"/>
        <v/>
      </c>
    </row>
    <row r="3681" spans="2:7" x14ac:dyDescent="0.25">
      <c r="B3681" s="6"/>
      <c r="C3681" s="7"/>
      <c r="D3681" s="7"/>
      <c r="E3681" s="8"/>
      <c r="F3681" t="str">
        <f t="shared" si="141"/>
        <v/>
      </c>
      <c r="G3681" t="str">
        <f t="shared" si="142"/>
        <v/>
      </c>
    </row>
    <row r="3682" spans="2:7" x14ac:dyDescent="0.25">
      <c r="B3682" s="6"/>
      <c r="C3682" s="7"/>
      <c r="D3682" s="7"/>
      <c r="E3682" s="8"/>
      <c r="F3682" t="str">
        <f t="shared" si="141"/>
        <v/>
      </c>
      <c r="G3682" t="str">
        <f t="shared" si="142"/>
        <v/>
      </c>
    </row>
    <row r="3683" spans="2:7" x14ac:dyDescent="0.25">
      <c r="B3683" s="6"/>
      <c r="C3683" s="7"/>
      <c r="D3683" s="7"/>
      <c r="E3683" s="8"/>
      <c r="F3683" t="str">
        <f t="shared" si="141"/>
        <v/>
      </c>
      <c r="G3683" t="str">
        <f t="shared" si="142"/>
        <v/>
      </c>
    </row>
    <row r="3684" spans="2:7" x14ac:dyDescent="0.25">
      <c r="B3684" s="6"/>
      <c r="C3684" s="7"/>
      <c r="D3684" s="7"/>
      <c r="E3684" s="8"/>
      <c r="F3684" t="str">
        <f t="shared" si="141"/>
        <v/>
      </c>
      <c r="G3684" t="str">
        <f t="shared" si="142"/>
        <v/>
      </c>
    </row>
    <row r="3685" spans="2:7" x14ac:dyDescent="0.25">
      <c r="B3685" s="6"/>
      <c r="C3685" s="7"/>
      <c r="D3685" s="7"/>
      <c r="E3685" s="8"/>
      <c r="F3685" t="str">
        <f t="shared" si="141"/>
        <v/>
      </c>
      <c r="G3685" t="str">
        <f t="shared" si="142"/>
        <v/>
      </c>
    </row>
    <row r="3686" spans="2:7" x14ac:dyDescent="0.25">
      <c r="B3686" s="6"/>
      <c r="C3686" s="7"/>
      <c r="D3686" s="7"/>
      <c r="E3686" s="8"/>
      <c r="F3686" t="str">
        <f t="shared" si="141"/>
        <v/>
      </c>
      <c r="G3686" t="str">
        <f t="shared" si="142"/>
        <v/>
      </c>
    </row>
    <row r="3687" spans="2:7" x14ac:dyDescent="0.25">
      <c r="B3687" s="6"/>
      <c r="C3687" s="7"/>
      <c r="D3687" s="7"/>
      <c r="E3687" s="8"/>
      <c r="F3687" t="str">
        <f t="shared" si="141"/>
        <v/>
      </c>
      <c r="G3687" t="str">
        <f t="shared" si="142"/>
        <v/>
      </c>
    </row>
    <row r="3688" spans="2:7" x14ac:dyDescent="0.25">
      <c r="B3688" s="6"/>
      <c r="C3688" s="7"/>
      <c r="D3688" s="7"/>
      <c r="E3688" s="8"/>
      <c r="F3688" t="str">
        <f t="shared" si="141"/>
        <v/>
      </c>
      <c r="G3688" t="str">
        <f t="shared" si="142"/>
        <v/>
      </c>
    </row>
    <row r="3689" spans="2:7" x14ac:dyDescent="0.25">
      <c r="B3689" s="6"/>
      <c r="C3689" s="7"/>
      <c r="D3689" s="7"/>
      <c r="E3689" s="8"/>
      <c r="F3689" t="str">
        <f t="shared" si="141"/>
        <v/>
      </c>
      <c r="G3689" t="str">
        <f t="shared" si="142"/>
        <v/>
      </c>
    </row>
    <row r="3690" spans="2:7" x14ac:dyDescent="0.25">
      <c r="B3690" s="6"/>
      <c r="C3690" s="7"/>
      <c r="D3690" s="7"/>
      <c r="E3690" s="8"/>
      <c r="F3690" t="str">
        <f t="shared" si="141"/>
        <v/>
      </c>
      <c r="G3690" t="str">
        <f t="shared" si="142"/>
        <v/>
      </c>
    </row>
    <row r="3691" spans="2:7" x14ac:dyDescent="0.25">
      <c r="B3691" s="6"/>
      <c r="C3691" s="7"/>
      <c r="D3691" s="7"/>
      <c r="E3691" s="8"/>
      <c r="F3691" t="str">
        <f t="shared" si="141"/>
        <v/>
      </c>
      <c r="G3691" t="str">
        <f t="shared" si="142"/>
        <v/>
      </c>
    </row>
    <row r="3692" spans="2:7" x14ac:dyDescent="0.25">
      <c r="B3692" s="6"/>
      <c r="C3692" s="7"/>
      <c r="D3692" s="7"/>
      <c r="E3692" s="8"/>
      <c r="F3692" t="str">
        <f t="shared" si="141"/>
        <v/>
      </c>
      <c r="G3692" t="str">
        <f t="shared" si="142"/>
        <v/>
      </c>
    </row>
    <row r="3693" spans="2:7" x14ac:dyDescent="0.25">
      <c r="B3693" s="6"/>
      <c r="C3693" s="7"/>
      <c r="D3693" s="7"/>
      <c r="E3693" s="8"/>
      <c r="F3693" t="str">
        <f t="shared" si="141"/>
        <v/>
      </c>
      <c r="G3693" t="str">
        <f t="shared" si="142"/>
        <v/>
      </c>
    </row>
    <row r="3694" spans="2:7" x14ac:dyDescent="0.25">
      <c r="B3694" s="6"/>
      <c r="C3694" s="7"/>
      <c r="D3694" s="7"/>
      <c r="E3694" s="8"/>
      <c r="F3694" t="str">
        <f t="shared" si="141"/>
        <v/>
      </c>
      <c r="G3694" t="str">
        <f t="shared" si="142"/>
        <v/>
      </c>
    </row>
    <row r="3695" spans="2:7" x14ac:dyDescent="0.25">
      <c r="B3695" s="6"/>
      <c r="C3695" s="7"/>
      <c r="D3695" s="7"/>
      <c r="E3695" s="8"/>
      <c r="F3695" t="str">
        <f t="shared" si="141"/>
        <v/>
      </c>
      <c r="G3695" t="str">
        <f t="shared" si="142"/>
        <v/>
      </c>
    </row>
    <row r="3696" spans="2:7" x14ac:dyDescent="0.25">
      <c r="B3696" s="6"/>
      <c r="C3696" s="7"/>
      <c r="D3696" s="7"/>
      <c r="E3696" s="8"/>
      <c r="F3696" t="str">
        <f t="shared" si="141"/>
        <v/>
      </c>
      <c r="G3696" t="str">
        <f t="shared" si="142"/>
        <v/>
      </c>
    </row>
    <row r="3697" spans="2:7" x14ac:dyDescent="0.25">
      <c r="B3697" s="6"/>
      <c r="C3697" s="7"/>
      <c r="D3697" s="7"/>
      <c r="E3697" s="8"/>
      <c r="F3697" t="str">
        <f t="shared" si="141"/>
        <v/>
      </c>
      <c r="G3697" t="str">
        <f t="shared" si="142"/>
        <v/>
      </c>
    </row>
    <row r="3698" spans="2:7" x14ac:dyDescent="0.25">
      <c r="B3698" s="6"/>
      <c r="C3698" s="7"/>
      <c r="D3698" s="7"/>
      <c r="E3698" s="8"/>
      <c r="F3698" t="str">
        <f t="shared" si="141"/>
        <v/>
      </c>
      <c r="G3698" t="str">
        <f t="shared" si="142"/>
        <v/>
      </c>
    </row>
    <row r="3699" spans="2:7" x14ac:dyDescent="0.25">
      <c r="B3699" s="6"/>
      <c r="C3699" s="7"/>
      <c r="D3699" s="7"/>
      <c r="E3699" s="8"/>
      <c r="F3699" t="str">
        <f t="shared" si="141"/>
        <v/>
      </c>
      <c r="G3699" t="str">
        <f t="shared" si="142"/>
        <v/>
      </c>
    </row>
    <row r="3700" spans="2:7" x14ac:dyDescent="0.25">
      <c r="B3700" s="6"/>
      <c r="C3700" s="7"/>
      <c r="D3700" s="7"/>
      <c r="E3700" s="8"/>
      <c r="F3700" t="str">
        <f t="shared" si="141"/>
        <v/>
      </c>
      <c r="G3700" t="str">
        <f t="shared" si="142"/>
        <v/>
      </c>
    </row>
    <row r="3701" spans="2:7" x14ac:dyDescent="0.25">
      <c r="B3701" s="6"/>
      <c r="C3701" s="7"/>
      <c r="D3701" s="7"/>
      <c r="E3701" s="8"/>
      <c r="F3701" t="str">
        <f t="shared" si="141"/>
        <v/>
      </c>
      <c r="G3701" t="str">
        <f t="shared" si="142"/>
        <v/>
      </c>
    </row>
    <row r="3702" spans="2:7" x14ac:dyDescent="0.25">
      <c r="B3702" s="6"/>
      <c r="C3702" s="7"/>
      <c r="D3702" s="7"/>
      <c r="E3702" s="8"/>
      <c r="F3702" t="str">
        <f t="shared" si="141"/>
        <v/>
      </c>
      <c r="G3702" t="str">
        <f t="shared" si="142"/>
        <v/>
      </c>
    </row>
    <row r="3703" spans="2:7" x14ac:dyDescent="0.25">
      <c r="B3703" s="6"/>
      <c r="C3703" s="7"/>
      <c r="D3703" s="7"/>
      <c r="E3703" s="8"/>
      <c r="F3703" t="str">
        <f t="shared" si="141"/>
        <v/>
      </c>
      <c r="G3703" t="str">
        <f t="shared" si="142"/>
        <v/>
      </c>
    </row>
    <row r="3704" spans="2:7" x14ac:dyDescent="0.25">
      <c r="B3704" s="6"/>
      <c r="C3704" s="7"/>
      <c r="D3704" s="7"/>
      <c r="E3704" s="8"/>
      <c r="F3704" t="str">
        <f t="shared" si="141"/>
        <v/>
      </c>
      <c r="G3704" t="str">
        <f t="shared" si="142"/>
        <v/>
      </c>
    </row>
    <row r="3705" spans="2:7" x14ac:dyDescent="0.25">
      <c r="B3705" s="6"/>
      <c r="C3705" s="7"/>
      <c r="D3705" s="7"/>
      <c r="E3705" s="8"/>
      <c r="F3705" t="str">
        <f t="shared" si="141"/>
        <v/>
      </c>
      <c r="G3705" t="str">
        <f t="shared" si="142"/>
        <v/>
      </c>
    </row>
    <row r="3706" spans="2:7" x14ac:dyDescent="0.25">
      <c r="B3706" s="6"/>
      <c r="C3706" s="7"/>
      <c r="D3706" s="7"/>
      <c r="E3706" s="8"/>
      <c r="F3706" t="str">
        <f t="shared" si="141"/>
        <v/>
      </c>
      <c r="G3706" t="str">
        <f t="shared" si="142"/>
        <v/>
      </c>
    </row>
    <row r="3707" spans="2:7" x14ac:dyDescent="0.25">
      <c r="B3707" s="6"/>
      <c r="C3707" s="7"/>
      <c r="D3707" s="7"/>
      <c r="E3707" s="8"/>
      <c r="F3707" t="str">
        <f t="shared" si="141"/>
        <v/>
      </c>
      <c r="G3707" t="str">
        <f t="shared" si="142"/>
        <v/>
      </c>
    </row>
    <row r="3708" spans="2:7" x14ac:dyDescent="0.25">
      <c r="B3708" s="6"/>
      <c r="C3708" s="7"/>
      <c r="D3708" s="7"/>
      <c r="E3708" s="8"/>
      <c r="F3708" t="str">
        <f t="shared" si="141"/>
        <v/>
      </c>
      <c r="G3708" t="str">
        <f t="shared" si="142"/>
        <v/>
      </c>
    </row>
    <row r="3709" spans="2:7" x14ac:dyDescent="0.25">
      <c r="B3709" s="6"/>
      <c r="C3709" s="7"/>
      <c r="D3709" s="7"/>
      <c r="E3709" s="8"/>
      <c r="F3709" t="str">
        <f t="shared" si="141"/>
        <v/>
      </c>
      <c r="G3709" t="str">
        <f t="shared" si="142"/>
        <v/>
      </c>
    </row>
    <row r="3710" spans="2:7" x14ac:dyDescent="0.25">
      <c r="B3710" s="6"/>
      <c r="C3710" s="7"/>
      <c r="D3710" s="7"/>
      <c r="E3710" s="8"/>
      <c r="F3710" t="str">
        <f t="shared" si="141"/>
        <v/>
      </c>
      <c r="G3710" t="str">
        <f t="shared" si="142"/>
        <v/>
      </c>
    </row>
    <row r="3711" spans="2:7" x14ac:dyDescent="0.25">
      <c r="B3711" s="6"/>
      <c r="C3711" s="7"/>
      <c r="D3711" s="7"/>
      <c r="E3711" s="8"/>
      <c r="F3711" t="str">
        <f t="shared" si="141"/>
        <v/>
      </c>
      <c r="G3711" t="str">
        <f t="shared" si="142"/>
        <v/>
      </c>
    </row>
    <row r="3712" spans="2:7" x14ac:dyDescent="0.25">
      <c r="B3712" s="6"/>
      <c r="C3712" s="7"/>
      <c r="D3712" s="7"/>
      <c r="E3712" s="8"/>
      <c r="F3712" t="str">
        <f t="shared" si="141"/>
        <v/>
      </c>
      <c r="G3712" t="str">
        <f t="shared" si="142"/>
        <v/>
      </c>
    </row>
    <row r="3713" spans="2:7" x14ac:dyDescent="0.25">
      <c r="B3713" s="6"/>
      <c r="C3713" s="7"/>
      <c r="D3713" s="7"/>
      <c r="E3713" s="8"/>
      <c r="F3713" t="str">
        <f t="shared" si="141"/>
        <v/>
      </c>
      <c r="G3713" t="str">
        <f t="shared" si="142"/>
        <v/>
      </c>
    </row>
    <row r="3714" spans="2:7" x14ac:dyDescent="0.25">
      <c r="B3714" s="6"/>
      <c r="C3714" s="7"/>
      <c r="D3714" s="7"/>
      <c r="E3714" s="8"/>
      <c r="F3714" t="str">
        <f t="shared" si="141"/>
        <v/>
      </c>
      <c r="G3714" t="str">
        <f t="shared" si="142"/>
        <v/>
      </c>
    </row>
    <row r="3715" spans="2:7" x14ac:dyDescent="0.25">
      <c r="B3715" s="6"/>
      <c r="C3715" s="7"/>
      <c r="D3715" s="7"/>
      <c r="E3715" s="8"/>
      <c r="F3715" t="str">
        <f t="shared" si="141"/>
        <v/>
      </c>
      <c r="G3715" t="str">
        <f t="shared" si="142"/>
        <v/>
      </c>
    </row>
    <row r="3716" spans="2:7" x14ac:dyDescent="0.25">
      <c r="B3716" s="6"/>
      <c r="C3716" s="7"/>
      <c r="D3716" s="7"/>
      <c r="E3716" s="8"/>
      <c r="F3716" t="str">
        <f t="shared" ref="F3716:F3779" si="143">IF(B3716="","",LOG10(D3716))</f>
        <v/>
      </c>
      <c r="G3716" t="str">
        <f t="shared" ref="G3716:G3779" si="144">IF(E3716="", "",0.434*E3716/D3716)</f>
        <v/>
      </c>
    </row>
    <row r="3717" spans="2:7" x14ac:dyDescent="0.25">
      <c r="B3717" s="6"/>
      <c r="C3717" s="7"/>
      <c r="D3717" s="7"/>
      <c r="E3717" s="8"/>
      <c r="F3717" t="str">
        <f t="shared" si="143"/>
        <v/>
      </c>
      <c r="G3717" t="str">
        <f t="shared" si="144"/>
        <v/>
      </c>
    </row>
    <row r="3718" spans="2:7" x14ac:dyDescent="0.25">
      <c r="B3718" s="6"/>
      <c r="C3718" s="7"/>
      <c r="D3718" s="7"/>
      <c r="E3718" s="8"/>
      <c r="F3718" t="str">
        <f t="shared" si="143"/>
        <v/>
      </c>
      <c r="G3718" t="str">
        <f t="shared" si="144"/>
        <v/>
      </c>
    </row>
    <row r="3719" spans="2:7" x14ac:dyDescent="0.25">
      <c r="B3719" s="6"/>
      <c r="C3719" s="7"/>
      <c r="D3719" s="7"/>
      <c r="E3719" s="8"/>
      <c r="F3719" t="str">
        <f t="shared" si="143"/>
        <v/>
      </c>
      <c r="G3719" t="str">
        <f t="shared" si="144"/>
        <v/>
      </c>
    </row>
    <row r="3720" spans="2:7" x14ac:dyDescent="0.25">
      <c r="B3720" s="6"/>
      <c r="C3720" s="7"/>
      <c r="D3720" s="7"/>
      <c r="E3720" s="8"/>
      <c r="F3720" t="str">
        <f t="shared" si="143"/>
        <v/>
      </c>
      <c r="G3720" t="str">
        <f t="shared" si="144"/>
        <v/>
      </c>
    </row>
    <row r="3721" spans="2:7" x14ac:dyDescent="0.25">
      <c r="B3721" s="6"/>
      <c r="C3721" s="7"/>
      <c r="D3721" s="7"/>
      <c r="E3721" s="8"/>
      <c r="F3721" t="str">
        <f t="shared" si="143"/>
        <v/>
      </c>
      <c r="G3721" t="str">
        <f t="shared" si="144"/>
        <v/>
      </c>
    </row>
    <row r="3722" spans="2:7" x14ac:dyDescent="0.25">
      <c r="B3722" s="6"/>
      <c r="C3722" s="7"/>
      <c r="D3722" s="7"/>
      <c r="E3722" s="8"/>
      <c r="F3722" t="str">
        <f t="shared" si="143"/>
        <v/>
      </c>
      <c r="G3722" t="str">
        <f t="shared" si="144"/>
        <v/>
      </c>
    </row>
    <row r="3723" spans="2:7" x14ac:dyDescent="0.25">
      <c r="B3723" s="6"/>
      <c r="C3723" s="7"/>
      <c r="D3723" s="7"/>
      <c r="E3723" s="8"/>
      <c r="F3723" t="str">
        <f t="shared" si="143"/>
        <v/>
      </c>
      <c r="G3723" t="str">
        <f t="shared" si="144"/>
        <v/>
      </c>
    </row>
    <row r="3724" spans="2:7" x14ac:dyDescent="0.25">
      <c r="B3724" s="6"/>
      <c r="C3724" s="7"/>
      <c r="D3724" s="7"/>
      <c r="E3724" s="8"/>
      <c r="F3724" t="str">
        <f t="shared" si="143"/>
        <v/>
      </c>
      <c r="G3724" t="str">
        <f t="shared" si="144"/>
        <v/>
      </c>
    </row>
    <row r="3725" spans="2:7" x14ac:dyDescent="0.25">
      <c r="B3725" s="6"/>
      <c r="C3725" s="7"/>
      <c r="D3725" s="7"/>
      <c r="E3725" s="8"/>
      <c r="F3725" t="str">
        <f t="shared" si="143"/>
        <v/>
      </c>
      <c r="G3725" t="str">
        <f t="shared" si="144"/>
        <v/>
      </c>
    </row>
    <row r="3726" spans="2:7" x14ac:dyDescent="0.25">
      <c r="B3726" s="6"/>
      <c r="C3726" s="7"/>
      <c r="D3726" s="7"/>
      <c r="E3726" s="8"/>
      <c r="F3726" t="str">
        <f t="shared" si="143"/>
        <v/>
      </c>
      <c r="G3726" t="str">
        <f t="shared" si="144"/>
        <v/>
      </c>
    </row>
    <row r="3727" spans="2:7" x14ac:dyDescent="0.25">
      <c r="B3727" s="6"/>
      <c r="C3727" s="7"/>
      <c r="D3727" s="7"/>
      <c r="E3727" s="8"/>
      <c r="F3727" t="str">
        <f t="shared" si="143"/>
        <v/>
      </c>
      <c r="G3727" t="str">
        <f t="shared" si="144"/>
        <v/>
      </c>
    </row>
    <row r="3728" spans="2:7" x14ac:dyDescent="0.25">
      <c r="B3728" s="6"/>
      <c r="C3728" s="7"/>
      <c r="D3728" s="7"/>
      <c r="E3728" s="8"/>
      <c r="F3728" t="str">
        <f t="shared" si="143"/>
        <v/>
      </c>
      <c r="G3728" t="str">
        <f t="shared" si="144"/>
        <v/>
      </c>
    </row>
    <row r="3729" spans="2:7" x14ac:dyDescent="0.25">
      <c r="B3729" s="6"/>
      <c r="C3729" s="7"/>
      <c r="D3729" s="7"/>
      <c r="E3729" s="8"/>
      <c r="F3729" t="str">
        <f t="shared" si="143"/>
        <v/>
      </c>
      <c r="G3729" t="str">
        <f t="shared" si="144"/>
        <v/>
      </c>
    </row>
    <row r="3730" spans="2:7" x14ac:dyDescent="0.25">
      <c r="B3730" s="6"/>
      <c r="C3730" s="7"/>
      <c r="D3730" s="7"/>
      <c r="E3730" s="8"/>
      <c r="F3730" t="str">
        <f t="shared" si="143"/>
        <v/>
      </c>
      <c r="G3730" t="str">
        <f t="shared" si="144"/>
        <v/>
      </c>
    </row>
    <row r="3731" spans="2:7" x14ac:dyDescent="0.25">
      <c r="B3731" s="6"/>
      <c r="C3731" s="7"/>
      <c r="D3731" s="7"/>
      <c r="E3731" s="8"/>
      <c r="F3731" t="str">
        <f t="shared" si="143"/>
        <v/>
      </c>
      <c r="G3731" t="str">
        <f t="shared" si="144"/>
        <v/>
      </c>
    </row>
    <row r="3732" spans="2:7" x14ac:dyDescent="0.25">
      <c r="B3732" s="6"/>
      <c r="C3732" s="7"/>
      <c r="D3732" s="7"/>
      <c r="E3732" s="8"/>
      <c r="F3732" t="str">
        <f t="shared" si="143"/>
        <v/>
      </c>
      <c r="G3732" t="str">
        <f t="shared" si="144"/>
        <v/>
      </c>
    </row>
    <row r="3733" spans="2:7" x14ac:dyDescent="0.25">
      <c r="B3733" s="6"/>
      <c r="C3733" s="7"/>
      <c r="D3733" s="7"/>
      <c r="E3733" s="8"/>
      <c r="F3733" t="str">
        <f t="shared" si="143"/>
        <v/>
      </c>
      <c r="G3733" t="str">
        <f t="shared" si="144"/>
        <v/>
      </c>
    </row>
    <row r="3734" spans="2:7" x14ac:dyDescent="0.25">
      <c r="B3734" s="6"/>
      <c r="C3734" s="7"/>
      <c r="D3734" s="7"/>
      <c r="E3734" s="8"/>
      <c r="F3734" t="str">
        <f t="shared" si="143"/>
        <v/>
      </c>
      <c r="G3734" t="str">
        <f t="shared" si="144"/>
        <v/>
      </c>
    </row>
    <row r="3735" spans="2:7" x14ac:dyDescent="0.25">
      <c r="B3735" s="6"/>
      <c r="C3735" s="7"/>
      <c r="D3735" s="7"/>
      <c r="E3735" s="8"/>
      <c r="F3735" t="str">
        <f t="shared" si="143"/>
        <v/>
      </c>
      <c r="G3735" t="str">
        <f t="shared" si="144"/>
        <v/>
      </c>
    </row>
    <row r="3736" spans="2:7" x14ac:dyDescent="0.25">
      <c r="B3736" s="6"/>
      <c r="C3736" s="7"/>
      <c r="D3736" s="7"/>
      <c r="E3736" s="8"/>
      <c r="F3736" t="str">
        <f t="shared" si="143"/>
        <v/>
      </c>
      <c r="G3736" t="str">
        <f t="shared" si="144"/>
        <v/>
      </c>
    </row>
    <row r="3737" spans="2:7" x14ac:dyDescent="0.25">
      <c r="B3737" s="6"/>
      <c r="C3737" s="7"/>
      <c r="D3737" s="7"/>
      <c r="E3737" s="8"/>
      <c r="F3737" t="str">
        <f t="shared" si="143"/>
        <v/>
      </c>
      <c r="G3737" t="str">
        <f t="shared" si="144"/>
        <v/>
      </c>
    </row>
    <row r="3738" spans="2:7" x14ac:dyDescent="0.25">
      <c r="B3738" s="6"/>
      <c r="C3738" s="7"/>
      <c r="D3738" s="7"/>
      <c r="E3738" s="8"/>
      <c r="F3738" t="str">
        <f t="shared" si="143"/>
        <v/>
      </c>
      <c r="G3738" t="str">
        <f t="shared" si="144"/>
        <v/>
      </c>
    </row>
    <row r="3739" spans="2:7" x14ac:dyDescent="0.25">
      <c r="B3739" s="6"/>
      <c r="C3739" s="7"/>
      <c r="D3739" s="7"/>
      <c r="E3739" s="8"/>
      <c r="F3739" t="str">
        <f t="shared" si="143"/>
        <v/>
      </c>
      <c r="G3739" t="str">
        <f t="shared" si="144"/>
        <v/>
      </c>
    </row>
    <row r="3740" spans="2:7" x14ac:dyDescent="0.25">
      <c r="B3740" s="6"/>
      <c r="C3740" s="7"/>
      <c r="D3740" s="7"/>
      <c r="E3740" s="8"/>
      <c r="F3740" t="str">
        <f t="shared" si="143"/>
        <v/>
      </c>
      <c r="G3740" t="str">
        <f t="shared" si="144"/>
        <v/>
      </c>
    </row>
    <row r="3741" spans="2:7" x14ac:dyDescent="0.25">
      <c r="B3741" s="6"/>
      <c r="C3741" s="7"/>
      <c r="D3741" s="7"/>
      <c r="E3741" s="8"/>
      <c r="F3741" t="str">
        <f t="shared" si="143"/>
        <v/>
      </c>
      <c r="G3741" t="str">
        <f t="shared" si="144"/>
        <v/>
      </c>
    </row>
    <row r="3742" spans="2:7" x14ac:dyDescent="0.25">
      <c r="B3742" s="6"/>
      <c r="C3742" s="7"/>
      <c r="D3742" s="7"/>
      <c r="E3742" s="8"/>
      <c r="F3742" t="str">
        <f t="shared" si="143"/>
        <v/>
      </c>
      <c r="G3742" t="str">
        <f t="shared" si="144"/>
        <v/>
      </c>
    </row>
    <row r="3743" spans="2:7" x14ac:dyDescent="0.25">
      <c r="B3743" s="6"/>
      <c r="C3743" s="7"/>
      <c r="D3743" s="7"/>
      <c r="E3743" s="8"/>
      <c r="F3743" t="str">
        <f t="shared" si="143"/>
        <v/>
      </c>
      <c r="G3743" t="str">
        <f t="shared" si="144"/>
        <v/>
      </c>
    </row>
    <row r="3744" spans="2:7" x14ac:dyDescent="0.25">
      <c r="B3744" s="6"/>
      <c r="C3744" s="7"/>
      <c r="D3744" s="7"/>
      <c r="E3744" s="8"/>
      <c r="F3744" t="str">
        <f t="shared" si="143"/>
        <v/>
      </c>
      <c r="G3744" t="str">
        <f t="shared" si="144"/>
        <v/>
      </c>
    </row>
    <row r="3745" spans="2:7" x14ac:dyDescent="0.25">
      <c r="B3745" s="6"/>
      <c r="C3745" s="7"/>
      <c r="D3745" s="7"/>
      <c r="E3745" s="8"/>
      <c r="F3745" t="str">
        <f t="shared" si="143"/>
        <v/>
      </c>
      <c r="G3745" t="str">
        <f t="shared" si="144"/>
        <v/>
      </c>
    </row>
    <row r="3746" spans="2:7" x14ac:dyDescent="0.25">
      <c r="B3746" s="6"/>
      <c r="C3746" s="7"/>
      <c r="D3746" s="7"/>
      <c r="E3746" s="8"/>
      <c r="F3746" t="str">
        <f t="shared" si="143"/>
        <v/>
      </c>
      <c r="G3746" t="str">
        <f t="shared" si="144"/>
        <v/>
      </c>
    </row>
    <row r="3747" spans="2:7" x14ac:dyDescent="0.25">
      <c r="B3747" s="6"/>
      <c r="C3747" s="7"/>
      <c r="D3747" s="7"/>
      <c r="E3747" s="8"/>
      <c r="F3747" t="str">
        <f t="shared" si="143"/>
        <v/>
      </c>
      <c r="G3747" t="str">
        <f t="shared" si="144"/>
        <v/>
      </c>
    </row>
    <row r="3748" spans="2:7" x14ac:dyDescent="0.25">
      <c r="B3748" s="6"/>
      <c r="C3748" s="7"/>
      <c r="D3748" s="7"/>
      <c r="E3748" s="8"/>
      <c r="F3748" t="str">
        <f t="shared" si="143"/>
        <v/>
      </c>
      <c r="G3748" t="str">
        <f t="shared" si="144"/>
        <v/>
      </c>
    </row>
    <row r="3749" spans="2:7" x14ac:dyDescent="0.25">
      <c r="B3749" s="6"/>
      <c r="C3749" s="7"/>
      <c r="D3749" s="7"/>
      <c r="E3749" s="8"/>
      <c r="F3749" t="str">
        <f t="shared" si="143"/>
        <v/>
      </c>
      <c r="G3749" t="str">
        <f t="shared" si="144"/>
        <v/>
      </c>
    </row>
    <row r="3750" spans="2:7" x14ac:dyDescent="0.25">
      <c r="B3750" s="6"/>
      <c r="C3750" s="7"/>
      <c r="D3750" s="7"/>
      <c r="E3750" s="8"/>
      <c r="F3750" t="str">
        <f t="shared" si="143"/>
        <v/>
      </c>
      <c r="G3750" t="str">
        <f t="shared" si="144"/>
        <v/>
      </c>
    </row>
    <row r="3751" spans="2:7" x14ac:dyDescent="0.25">
      <c r="B3751" s="6"/>
      <c r="C3751" s="7"/>
      <c r="D3751" s="7"/>
      <c r="E3751" s="8"/>
      <c r="F3751" t="str">
        <f t="shared" si="143"/>
        <v/>
      </c>
      <c r="G3751" t="str">
        <f t="shared" si="144"/>
        <v/>
      </c>
    </row>
    <row r="3752" spans="2:7" x14ac:dyDescent="0.25">
      <c r="B3752" s="6"/>
      <c r="C3752" s="7"/>
      <c r="D3752" s="7"/>
      <c r="E3752" s="8"/>
      <c r="F3752" t="str">
        <f t="shared" si="143"/>
        <v/>
      </c>
      <c r="G3752" t="str">
        <f t="shared" si="144"/>
        <v/>
      </c>
    </row>
    <row r="3753" spans="2:7" x14ac:dyDescent="0.25">
      <c r="B3753" s="6"/>
      <c r="C3753" s="7"/>
      <c r="D3753" s="7"/>
      <c r="E3753" s="8"/>
      <c r="F3753" t="str">
        <f t="shared" si="143"/>
        <v/>
      </c>
      <c r="G3753" t="str">
        <f t="shared" si="144"/>
        <v/>
      </c>
    </row>
    <row r="3754" spans="2:7" x14ac:dyDescent="0.25">
      <c r="B3754" s="6"/>
      <c r="C3754" s="7"/>
      <c r="D3754" s="7"/>
      <c r="E3754" s="8"/>
      <c r="F3754" t="str">
        <f t="shared" si="143"/>
        <v/>
      </c>
      <c r="G3754" t="str">
        <f t="shared" si="144"/>
        <v/>
      </c>
    </row>
    <row r="3755" spans="2:7" x14ac:dyDescent="0.25">
      <c r="B3755" s="6"/>
      <c r="C3755" s="7"/>
      <c r="D3755" s="7"/>
      <c r="E3755" s="8"/>
      <c r="F3755" t="str">
        <f t="shared" si="143"/>
        <v/>
      </c>
      <c r="G3755" t="str">
        <f t="shared" si="144"/>
        <v/>
      </c>
    </row>
    <row r="3756" spans="2:7" x14ac:dyDescent="0.25">
      <c r="B3756" s="6"/>
      <c r="C3756" s="7"/>
      <c r="D3756" s="7"/>
      <c r="E3756" s="8"/>
      <c r="F3756" t="str">
        <f t="shared" si="143"/>
        <v/>
      </c>
      <c r="G3756" t="str">
        <f t="shared" si="144"/>
        <v/>
      </c>
    </row>
    <row r="3757" spans="2:7" x14ac:dyDescent="0.25">
      <c r="B3757" s="6"/>
      <c r="C3757" s="7"/>
      <c r="D3757" s="7"/>
      <c r="E3757" s="8"/>
      <c r="F3757" t="str">
        <f t="shared" si="143"/>
        <v/>
      </c>
      <c r="G3757" t="str">
        <f t="shared" si="144"/>
        <v/>
      </c>
    </row>
    <row r="3758" spans="2:7" x14ac:dyDescent="0.25">
      <c r="B3758" s="6"/>
      <c r="C3758" s="7"/>
      <c r="D3758" s="7"/>
      <c r="E3758" s="8"/>
      <c r="F3758" t="str">
        <f t="shared" si="143"/>
        <v/>
      </c>
      <c r="G3758" t="str">
        <f t="shared" si="144"/>
        <v/>
      </c>
    </row>
    <row r="3759" spans="2:7" x14ac:dyDescent="0.25">
      <c r="B3759" s="6"/>
      <c r="C3759" s="7"/>
      <c r="D3759" s="7"/>
      <c r="E3759" s="8"/>
      <c r="F3759" t="str">
        <f t="shared" si="143"/>
        <v/>
      </c>
      <c r="G3759" t="str">
        <f t="shared" si="144"/>
        <v/>
      </c>
    </row>
    <row r="3760" spans="2:7" x14ac:dyDescent="0.25">
      <c r="B3760" s="6"/>
      <c r="C3760" s="7"/>
      <c r="D3760" s="7"/>
      <c r="E3760" s="8"/>
      <c r="F3760" t="str">
        <f t="shared" si="143"/>
        <v/>
      </c>
      <c r="G3760" t="str">
        <f t="shared" si="144"/>
        <v/>
      </c>
    </row>
    <row r="3761" spans="2:7" x14ac:dyDescent="0.25">
      <c r="B3761" s="6"/>
      <c r="C3761" s="7"/>
      <c r="D3761" s="7"/>
      <c r="E3761" s="8"/>
      <c r="F3761" t="str">
        <f t="shared" si="143"/>
        <v/>
      </c>
      <c r="G3761" t="str">
        <f t="shared" si="144"/>
        <v/>
      </c>
    </row>
    <row r="3762" spans="2:7" x14ac:dyDescent="0.25">
      <c r="B3762" s="6"/>
      <c r="C3762" s="7"/>
      <c r="D3762" s="7"/>
      <c r="E3762" s="8"/>
      <c r="F3762" t="str">
        <f t="shared" si="143"/>
        <v/>
      </c>
      <c r="G3762" t="str">
        <f t="shared" si="144"/>
        <v/>
      </c>
    </row>
    <row r="3763" spans="2:7" x14ac:dyDescent="0.25">
      <c r="B3763" s="6"/>
      <c r="C3763" s="7"/>
      <c r="D3763" s="7"/>
      <c r="E3763" s="8"/>
      <c r="F3763" t="str">
        <f t="shared" si="143"/>
        <v/>
      </c>
      <c r="G3763" t="str">
        <f t="shared" si="144"/>
        <v/>
      </c>
    </row>
    <row r="3764" spans="2:7" x14ac:dyDescent="0.25">
      <c r="B3764" s="6"/>
      <c r="C3764" s="7"/>
      <c r="D3764" s="7"/>
      <c r="E3764" s="8"/>
      <c r="F3764" t="str">
        <f t="shared" si="143"/>
        <v/>
      </c>
      <c r="G3764" t="str">
        <f t="shared" si="144"/>
        <v/>
      </c>
    </row>
    <row r="3765" spans="2:7" x14ac:dyDescent="0.25">
      <c r="B3765" s="6"/>
      <c r="C3765" s="7"/>
      <c r="D3765" s="7"/>
      <c r="E3765" s="8"/>
      <c r="F3765" t="str">
        <f t="shared" si="143"/>
        <v/>
      </c>
      <c r="G3765" t="str">
        <f t="shared" si="144"/>
        <v/>
      </c>
    </row>
    <row r="3766" spans="2:7" x14ac:dyDescent="0.25">
      <c r="B3766" s="6"/>
      <c r="C3766" s="7"/>
      <c r="D3766" s="7"/>
      <c r="E3766" s="8"/>
      <c r="F3766" t="str">
        <f t="shared" si="143"/>
        <v/>
      </c>
      <c r="G3766" t="str">
        <f t="shared" si="144"/>
        <v/>
      </c>
    </row>
    <row r="3767" spans="2:7" x14ac:dyDescent="0.25">
      <c r="B3767" s="6"/>
      <c r="C3767" s="7"/>
      <c r="D3767" s="7"/>
      <c r="E3767" s="8"/>
      <c r="F3767" t="str">
        <f t="shared" si="143"/>
        <v/>
      </c>
      <c r="G3767" t="str">
        <f t="shared" si="144"/>
        <v/>
      </c>
    </row>
    <row r="3768" spans="2:7" x14ac:dyDescent="0.25">
      <c r="B3768" s="6"/>
      <c r="C3768" s="7"/>
      <c r="D3768" s="7"/>
      <c r="E3768" s="8"/>
      <c r="F3768" t="str">
        <f t="shared" si="143"/>
        <v/>
      </c>
      <c r="G3768" t="str">
        <f t="shared" si="144"/>
        <v/>
      </c>
    </row>
    <row r="3769" spans="2:7" x14ac:dyDescent="0.25">
      <c r="B3769" s="6"/>
      <c r="C3769" s="7"/>
      <c r="D3769" s="7"/>
      <c r="E3769" s="8"/>
      <c r="F3769" t="str">
        <f t="shared" si="143"/>
        <v/>
      </c>
      <c r="G3769" t="str">
        <f t="shared" si="144"/>
        <v/>
      </c>
    </row>
    <row r="3770" spans="2:7" x14ac:dyDescent="0.25">
      <c r="B3770" s="6"/>
      <c r="C3770" s="7"/>
      <c r="D3770" s="7"/>
      <c r="E3770" s="8"/>
      <c r="F3770" t="str">
        <f t="shared" si="143"/>
        <v/>
      </c>
      <c r="G3770" t="str">
        <f t="shared" si="144"/>
        <v/>
      </c>
    </row>
    <row r="3771" spans="2:7" x14ac:dyDescent="0.25">
      <c r="B3771" s="6"/>
      <c r="C3771" s="7"/>
      <c r="D3771" s="7"/>
      <c r="E3771" s="8"/>
      <c r="F3771" t="str">
        <f t="shared" si="143"/>
        <v/>
      </c>
      <c r="G3771" t="str">
        <f t="shared" si="144"/>
        <v/>
      </c>
    </row>
    <row r="3772" spans="2:7" x14ac:dyDescent="0.25">
      <c r="B3772" s="6"/>
      <c r="C3772" s="7"/>
      <c r="D3772" s="7"/>
      <c r="E3772" s="8"/>
      <c r="F3772" t="str">
        <f t="shared" si="143"/>
        <v/>
      </c>
      <c r="G3772" t="str">
        <f t="shared" si="144"/>
        <v/>
      </c>
    </row>
    <row r="3773" spans="2:7" x14ac:dyDescent="0.25">
      <c r="B3773" s="6"/>
      <c r="C3773" s="7"/>
      <c r="D3773" s="7"/>
      <c r="E3773" s="8"/>
      <c r="F3773" t="str">
        <f t="shared" si="143"/>
        <v/>
      </c>
      <c r="G3773" t="str">
        <f t="shared" si="144"/>
        <v/>
      </c>
    </row>
    <row r="3774" spans="2:7" x14ac:dyDescent="0.25">
      <c r="B3774" s="6"/>
      <c r="C3774" s="7"/>
      <c r="D3774" s="7"/>
      <c r="E3774" s="8"/>
      <c r="F3774" t="str">
        <f t="shared" si="143"/>
        <v/>
      </c>
      <c r="G3774" t="str">
        <f t="shared" si="144"/>
        <v/>
      </c>
    </row>
    <row r="3775" spans="2:7" x14ac:dyDescent="0.25">
      <c r="B3775" s="6"/>
      <c r="C3775" s="7"/>
      <c r="D3775" s="7"/>
      <c r="E3775" s="8"/>
      <c r="F3775" t="str">
        <f t="shared" si="143"/>
        <v/>
      </c>
      <c r="G3775" t="str">
        <f t="shared" si="144"/>
        <v/>
      </c>
    </row>
    <row r="3776" spans="2:7" x14ac:dyDescent="0.25">
      <c r="B3776" s="6"/>
      <c r="C3776" s="7"/>
      <c r="D3776" s="7"/>
      <c r="E3776" s="8"/>
      <c r="F3776" t="str">
        <f t="shared" si="143"/>
        <v/>
      </c>
      <c r="G3776" t="str">
        <f t="shared" si="144"/>
        <v/>
      </c>
    </row>
    <row r="3777" spans="2:7" x14ac:dyDescent="0.25">
      <c r="B3777" s="6"/>
      <c r="C3777" s="7"/>
      <c r="D3777" s="7"/>
      <c r="E3777" s="8"/>
      <c r="F3777" t="str">
        <f t="shared" si="143"/>
        <v/>
      </c>
      <c r="G3777" t="str">
        <f t="shared" si="144"/>
        <v/>
      </c>
    </row>
    <row r="3778" spans="2:7" x14ac:dyDescent="0.25">
      <c r="B3778" s="6"/>
      <c r="C3778" s="7"/>
      <c r="D3778" s="7"/>
      <c r="E3778" s="8"/>
      <c r="F3778" t="str">
        <f t="shared" si="143"/>
        <v/>
      </c>
      <c r="G3778" t="str">
        <f t="shared" si="144"/>
        <v/>
      </c>
    </row>
    <row r="3779" spans="2:7" x14ac:dyDescent="0.25">
      <c r="B3779" s="6"/>
      <c r="C3779" s="7"/>
      <c r="D3779" s="7"/>
      <c r="E3779" s="8"/>
      <c r="F3779" t="str">
        <f t="shared" si="143"/>
        <v/>
      </c>
      <c r="G3779" t="str">
        <f t="shared" si="144"/>
        <v/>
      </c>
    </row>
    <row r="3780" spans="2:7" x14ac:dyDescent="0.25">
      <c r="B3780" s="6"/>
      <c r="C3780" s="7"/>
      <c r="D3780" s="7"/>
      <c r="E3780" s="8"/>
      <c r="F3780" t="str">
        <f t="shared" ref="F3780:F3843" si="145">IF(B3780="","",LOG10(D3780))</f>
        <v/>
      </c>
      <c r="G3780" t="str">
        <f t="shared" ref="G3780:G3843" si="146">IF(E3780="", "",0.434*E3780/D3780)</f>
        <v/>
      </c>
    </row>
    <row r="3781" spans="2:7" x14ac:dyDescent="0.25">
      <c r="B3781" s="6"/>
      <c r="C3781" s="7"/>
      <c r="D3781" s="7"/>
      <c r="E3781" s="8"/>
      <c r="F3781" t="str">
        <f t="shared" si="145"/>
        <v/>
      </c>
      <c r="G3781" t="str">
        <f t="shared" si="146"/>
        <v/>
      </c>
    </row>
    <row r="3782" spans="2:7" x14ac:dyDescent="0.25">
      <c r="B3782" s="6"/>
      <c r="C3782" s="7"/>
      <c r="D3782" s="7"/>
      <c r="E3782" s="8"/>
      <c r="F3782" t="str">
        <f t="shared" si="145"/>
        <v/>
      </c>
      <c r="G3782" t="str">
        <f t="shared" si="146"/>
        <v/>
      </c>
    </row>
    <row r="3783" spans="2:7" x14ac:dyDescent="0.25">
      <c r="B3783" s="6"/>
      <c r="C3783" s="7"/>
      <c r="D3783" s="7"/>
      <c r="E3783" s="8"/>
      <c r="F3783" t="str">
        <f t="shared" si="145"/>
        <v/>
      </c>
      <c r="G3783" t="str">
        <f t="shared" si="146"/>
        <v/>
      </c>
    </row>
    <row r="3784" spans="2:7" x14ac:dyDescent="0.25">
      <c r="B3784" s="6"/>
      <c r="C3784" s="7"/>
      <c r="D3784" s="7"/>
      <c r="E3784" s="8"/>
      <c r="F3784" t="str">
        <f t="shared" si="145"/>
        <v/>
      </c>
      <c r="G3784" t="str">
        <f t="shared" si="146"/>
        <v/>
      </c>
    </row>
    <row r="3785" spans="2:7" x14ac:dyDescent="0.25">
      <c r="B3785" s="6"/>
      <c r="C3785" s="7"/>
      <c r="D3785" s="7"/>
      <c r="E3785" s="8"/>
      <c r="F3785" t="str">
        <f t="shared" si="145"/>
        <v/>
      </c>
      <c r="G3785" t="str">
        <f t="shared" si="146"/>
        <v/>
      </c>
    </row>
    <row r="3786" spans="2:7" x14ac:dyDescent="0.25">
      <c r="B3786" s="6"/>
      <c r="C3786" s="7"/>
      <c r="D3786" s="7"/>
      <c r="E3786" s="8"/>
      <c r="F3786" t="str">
        <f t="shared" si="145"/>
        <v/>
      </c>
      <c r="G3786" t="str">
        <f t="shared" si="146"/>
        <v/>
      </c>
    </row>
    <row r="3787" spans="2:7" x14ac:dyDescent="0.25">
      <c r="B3787" s="6"/>
      <c r="C3787" s="7"/>
      <c r="D3787" s="7"/>
      <c r="E3787" s="8"/>
      <c r="F3787" t="str">
        <f t="shared" si="145"/>
        <v/>
      </c>
      <c r="G3787" t="str">
        <f t="shared" si="146"/>
        <v/>
      </c>
    </row>
    <row r="3788" spans="2:7" x14ac:dyDescent="0.25">
      <c r="B3788" s="6"/>
      <c r="C3788" s="7"/>
      <c r="D3788" s="7"/>
      <c r="E3788" s="8"/>
      <c r="F3788" t="str">
        <f t="shared" si="145"/>
        <v/>
      </c>
      <c r="G3788" t="str">
        <f t="shared" si="146"/>
        <v/>
      </c>
    </row>
    <row r="3789" spans="2:7" x14ac:dyDescent="0.25">
      <c r="B3789" s="6"/>
      <c r="C3789" s="7"/>
      <c r="D3789" s="7"/>
      <c r="E3789" s="8"/>
      <c r="F3789" t="str">
        <f t="shared" si="145"/>
        <v/>
      </c>
      <c r="G3789" t="str">
        <f t="shared" si="146"/>
        <v/>
      </c>
    </row>
    <row r="3790" spans="2:7" x14ac:dyDescent="0.25">
      <c r="B3790" s="6"/>
      <c r="C3790" s="7"/>
      <c r="D3790" s="7"/>
      <c r="E3790" s="8"/>
      <c r="F3790" t="str">
        <f t="shared" si="145"/>
        <v/>
      </c>
      <c r="G3790" t="str">
        <f t="shared" si="146"/>
        <v/>
      </c>
    </row>
    <row r="3791" spans="2:7" x14ac:dyDescent="0.25">
      <c r="B3791" s="6"/>
      <c r="C3791" s="7"/>
      <c r="D3791" s="7"/>
      <c r="E3791" s="8"/>
      <c r="F3791" t="str">
        <f t="shared" si="145"/>
        <v/>
      </c>
      <c r="G3791" t="str">
        <f t="shared" si="146"/>
        <v/>
      </c>
    </row>
    <row r="3792" spans="2:7" x14ac:dyDescent="0.25">
      <c r="B3792" s="6"/>
      <c r="C3792" s="7"/>
      <c r="D3792" s="7"/>
      <c r="E3792" s="8"/>
      <c r="F3792" t="str">
        <f t="shared" si="145"/>
        <v/>
      </c>
      <c r="G3792" t="str">
        <f t="shared" si="146"/>
        <v/>
      </c>
    </row>
    <row r="3793" spans="2:7" x14ac:dyDescent="0.25">
      <c r="B3793" s="6"/>
      <c r="C3793" s="7"/>
      <c r="D3793" s="7"/>
      <c r="E3793" s="8"/>
      <c r="F3793" t="str">
        <f t="shared" si="145"/>
        <v/>
      </c>
      <c r="G3793" t="str">
        <f t="shared" si="146"/>
        <v/>
      </c>
    </row>
    <row r="3794" spans="2:7" x14ac:dyDescent="0.25">
      <c r="B3794" s="6"/>
      <c r="C3794" s="7"/>
      <c r="D3794" s="7"/>
      <c r="E3794" s="8"/>
      <c r="F3794" t="str">
        <f t="shared" si="145"/>
        <v/>
      </c>
      <c r="G3794" t="str">
        <f t="shared" si="146"/>
        <v/>
      </c>
    </row>
    <row r="3795" spans="2:7" x14ac:dyDescent="0.25">
      <c r="B3795" s="6"/>
      <c r="C3795" s="7"/>
      <c r="D3795" s="7"/>
      <c r="E3795" s="8"/>
      <c r="F3795" t="str">
        <f t="shared" si="145"/>
        <v/>
      </c>
      <c r="G3795" t="str">
        <f t="shared" si="146"/>
        <v/>
      </c>
    </row>
    <row r="3796" spans="2:7" x14ac:dyDescent="0.25">
      <c r="B3796" s="6"/>
      <c r="C3796" s="7"/>
      <c r="D3796" s="7"/>
      <c r="E3796" s="8"/>
      <c r="F3796" t="str">
        <f t="shared" si="145"/>
        <v/>
      </c>
      <c r="G3796" t="str">
        <f t="shared" si="146"/>
        <v/>
      </c>
    </row>
    <row r="3797" spans="2:7" x14ac:dyDescent="0.25">
      <c r="B3797" s="6"/>
      <c r="C3797" s="7"/>
      <c r="D3797" s="7"/>
      <c r="E3797" s="8"/>
      <c r="F3797" t="str">
        <f t="shared" si="145"/>
        <v/>
      </c>
      <c r="G3797" t="str">
        <f t="shared" si="146"/>
        <v/>
      </c>
    </row>
    <row r="3798" spans="2:7" x14ac:dyDescent="0.25">
      <c r="B3798" s="6"/>
      <c r="C3798" s="7"/>
      <c r="D3798" s="7"/>
      <c r="E3798" s="8"/>
      <c r="F3798" t="str">
        <f t="shared" si="145"/>
        <v/>
      </c>
      <c r="G3798" t="str">
        <f t="shared" si="146"/>
        <v/>
      </c>
    </row>
    <row r="3799" spans="2:7" x14ac:dyDescent="0.25">
      <c r="B3799" s="6"/>
      <c r="C3799" s="7"/>
      <c r="D3799" s="7"/>
      <c r="E3799" s="8"/>
      <c r="F3799" t="str">
        <f t="shared" si="145"/>
        <v/>
      </c>
      <c r="G3799" t="str">
        <f t="shared" si="146"/>
        <v/>
      </c>
    </row>
    <row r="3800" spans="2:7" x14ac:dyDescent="0.25">
      <c r="B3800" s="6"/>
      <c r="C3800" s="7"/>
      <c r="D3800" s="7"/>
      <c r="E3800" s="8"/>
      <c r="F3800" t="str">
        <f t="shared" si="145"/>
        <v/>
      </c>
      <c r="G3800" t="str">
        <f t="shared" si="146"/>
        <v/>
      </c>
    </row>
    <row r="3801" spans="2:7" x14ac:dyDescent="0.25">
      <c r="B3801" s="6"/>
      <c r="C3801" s="7"/>
      <c r="D3801" s="7"/>
      <c r="E3801" s="8"/>
      <c r="F3801" t="str">
        <f t="shared" si="145"/>
        <v/>
      </c>
      <c r="G3801" t="str">
        <f t="shared" si="146"/>
        <v/>
      </c>
    </row>
    <row r="3802" spans="2:7" x14ac:dyDescent="0.25">
      <c r="B3802" s="6"/>
      <c r="C3802" s="7"/>
      <c r="D3802" s="7"/>
      <c r="E3802" s="8"/>
      <c r="F3802" t="str">
        <f t="shared" si="145"/>
        <v/>
      </c>
      <c r="G3802" t="str">
        <f t="shared" si="146"/>
        <v/>
      </c>
    </row>
    <row r="3803" spans="2:7" x14ac:dyDescent="0.25">
      <c r="B3803" s="6"/>
      <c r="C3803" s="7"/>
      <c r="D3803" s="7"/>
      <c r="E3803" s="8"/>
      <c r="F3803" t="str">
        <f t="shared" si="145"/>
        <v/>
      </c>
      <c r="G3803" t="str">
        <f t="shared" si="146"/>
        <v/>
      </c>
    </row>
    <row r="3804" spans="2:7" x14ac:dyDescent="0.25">
      <c r="B3804" s="6"/>
      <c r="C3804" s="7"/>
      <c r="D3804" s="7"/>
      <c r="E3804" s="8"/>
      <c r="F3804" t="str">
        <f t="shared" si="145"/>
        <v/>
      </c>
      <c r="G3804" t="str">
        <f t="shared" si="146"/>
        <v/>
      </c>
    </row>
    <row r="3805" spans="2:7" x14ac:dyDescent="0.25">
      <c r="B3805" s="6"/>
      <c r="C3805" s="7"/>
      <c r="D3805" s="7"/>
      <c r="E3805" s="8"/>
      <c r="F3805" t="str">
        <f t="shared" si="145"/>
        <v/>
      </c>
      <c r="G3805" t="str">
        <f t="shared" si="146"/>
        <v/>
      </c>
    </row>
    <row r="3806" spans="2:7" x14ac:dyDescent="0.25">
      <c r="B3806" s="6"/>
      <c r="C3806" s="7"/>
      <c r="D3806" s="7"/>
      <c r="E3806" s="8"/>
      <c r="F3806" t="str">
        <f t="shared" si="145"/>
        <v/>
      </c>
      <c r="G3806" t="str">
        <f t="shared" si="146"/>
        <v/>
      </c>
    </row>
    <row r="3807" spans="2:7" x14ac:dyDescent="0.25">
      <c r="B3807" s="6"/>
      <c r="C3807" s="7"/>
      <c r="D3807" s="7"/>
      <c r="E3807" s="8"/>
      <c r="F3807" t="str">
        <f t="shared" si="145"/>
        <v/>
      </c>
      <c r="G3807" t="str">
        <f t="shared" si="146"/>
        <v/>
      </c>
    </row>
    <row r="3808" spans="2:7" x14ac:dyDescent="0.25">
      <c r="B3808" s="6"/>
      <c r="C3808" s="7"/>
      <c r="D3808" s="7"/>
      <c r="E3808" s="8"/>
      <c r="F3808" t="str">
        <f t="shared" si="145"/>
        <v/>
      </c>
      <c r="G3808" t="str">
        <f t="shared" si="146"/>
        <v/>
      </c>
    </row>
    <row r="3809" spans="2:7" x14ac:dyDescent="0.25">
      <c r="B3809" s="6"/>
      <c r="C3809" s="7"/>
      <c r="D3809" s="7"/>
      <c r="E3809" s="8"/>
      <c r="F3809" t="str">
        <f t="shared" si="145"/>
        <v/>
      </c>
      <c r="G3809" t="str">
        <f t="shared" si="146"/>
        <v/>
      </c>
    </row>
    <row r="3810" spans="2:7" x14ac:dyDescent="0.25">
      <c r="B3810" s="6"/>
      <c r="C3810" s="7"/>
      <c r="D3810" s="7"/>
      <c r="E3810" s="8"/>
      <c r="F3810" t="str">
        <f t="shared" si="145"/>
        <v/>
      </c>
      <c r="G3810" t="str">
        <f t="shared" si="146"/>
        <v/>
      </c>
    </row>
    <row r="3811" spans="2:7" x14ac:dyDescent="0.25">
      <c r="B3811" s="6"/>
      <c r="C3811" s="7"/>
      <c r="D3811" s="7"/>
      <c r="E3811" s="8"/>
      <c r="F3811" t="str">
        <f t="shared" si="145"/>
        <v/>
      </c>
      <c r="G3811" t="str">
        <f t="shared" si="146"/>
        <v/>
      </c>
    </row>
    <row r="3812" spans="2:7" x14ac:dyDescent="0.25">
      <c r="B3812" s="6"/>
      <c r="C3812" s="7"/>
      <c r="D3812" s="7"/>
      <c r="E3812" s="8"/>
      <c r="F3812" t="str">
        <f t="shared" si="145"/>
        <v/>
      </c>
      <c r="G3812" t="str">
        <f t="shared" si="146"/>
        <v/>
      </c>
    </row>
    <row r="3813" spans="2:7" x14ac:dyDescent="0.25">
      <c r="B3813" s="6"/>
      <c r="C3813" s="7"/>
      <c r="D3813" s="7"/>
      <c r="E3813" s="8"/>
      <c r="F3813" t="str">
        <f t="shared" si="145"/>
        <v/>
      </c>
      <c r="G3813" t="str">
        <f t="shared" si="146"/>
        <v/>
      </c>
    </row>
    <row r="3814" spans="2:7" x14ac:dyDescent="0.25">
      <c r="B3814" s="6"/>
      <c r="C3814" s="7"/>
      <c r="D3814" s="7"/>
      <c r="E3814" s="8"/>
      <c r="F3814" t="str">
        <f t="shared" si="145"/>
        <v/>
      </c>
      <c r="G3814" t="str">
        <f t="shared" si="146"/>
        <v/>
      </c>
    </row>
    <row r="3815" spans="2:7" x14ac:dyDescent="0.25">
      <c r="B3815" s="6"/>
      <c r="C3815" s="7"/>
      <c r="D3815" s="7"/>
      <c r="E3815" s="8"/>
      <c r="F3815" t="str">
        <f t="shared" si="145"/>
        <v/>
      </c>
      <c r="G3815" t="str">
        <f t="shared" si="146"/>
        <v/>
      </c>
    </row>
    <row r="3816" spans="2:7" x14ac:dyDescent="0.25">
      <c r="B3816" s="6"/>
      <c r="C3816" s="7"/>
      <c r="D3816" s="7"/>
      <c r="E3816" s="8"/>
      <c r="F3816" t="str">
        <f t="shared" si="145"/>
        <v/>
      </c>
      <c r="G3816" t="str">
        <f t="shared" si="146"/>
        <v/>
      </c>
    </row>
    <row r="3817" spans="2:7" x14ac:dyDescent="0.25">
      <c r="B3817" s="6"/>
      <c r="C3817" s="7"/>
      <c r="D3817" s="7"/>
      <c r="E3817" s="8"/>
      <c r="F3817" t="str">
        <f t="shared" si="145"/>
        <v/>
      </c>
      <c r="G3817" t="str">
        <f t="shared" si="146"/>
        <v/>
      </c>
    </row>
    <row r="3818" spans="2:7" x14ac:dyDescent="0.25">
      <c r="B3818" s="6"/>
      <c r="C3818" s="7"/>
      <c r="D3818" s="7"/>
      <c r="E3818" s="8"/>
      <c r="F3818" t="str">
        <f t="shared" si="145"/>
        <v/>
      </c>
      <c r="G3818" t="str">
        <f t="shared" si="146"/>
        <v/>
      </c>
    </row>
    <row r="3819" spans="2:7" x14ac:dyDescent="0.25">
      <c r="B3819" s="6"/>
      <c r="C3819" s="7"/>
      <c r="D3819" s="7"/>
      <c r="E3819" s="8"/>
      <c r="F3819" t="str">
        <f t="shared" si="145"/>
        <v/>
      </c>
      <c r="G3819" t="str">
        <f t="shared" si="146"/>
        <v/>
      </c>
    </row>
    <row r="3820" spans="2:7" x14ac:dyDescent="0.25">
      <c r="B3820" s="6"/>
      <c r="C3820" s="7"/>
      <c r="D3820" s="7"/>
      <c r="E3820" s="8"/>
      <c r="F3820" t="str">
        <f t="shared" si="145"/>
        <v/>
      </c>
      <c r="G3820" t="str">
        <f t="shared" si="146"/>
        <v/>
      </c>
    </row>
    <row r="3821" spans="2:7" x14ac:dyDescent="0.25">
      <c r="B3821" s="6"/>
      <c r="C3821" s="7"/>
      <c r="D3821" s="7"/>
      <c r="E3821" s="8"/>
      <c r="F3821" t="str">
        <f t="shared" si="145"/>
        <v/>
      </c>
      <c r="G3821" t="str">
        <f t="shared" si="146"/>
        <v/>
      </c>
    </row>
    <row r="3822" spans="2:7" x14ac:dyDescent="0.25">
      <c r="B3822" s="6"/>
      <c r="C3822" s="7"/>
      <c r="D3822" s="7"/>
      <c r="E3822" s="8"/>
      <c r="F3822" t="str">
        <f t="shared" si="145"/>
        <v/>
      </c>
      <c r="G3822" t="str">
        <f t="shared" si="146"/>
        <v/>
      </c>
    </row>
    <row r="3823" spans="2:7" x14ac:dyDescent="0.25">
      <c r="B3823" s="6"/>
      <c r="C3823" s="7"/>
      <c r="D3823" s="7"/>
      <c r="E3823" s="8"/>
      <c r="F3823" t="str">
        <f t="shared" si="145"/>
        <v/>
      </c>
      <c r="G3823" t="str">
        <f t="shared" si="146"/>
        <v/>
      </c>
    </row>
    <row r="3824" spans="2:7" x14ac:dyDescent="0.25">
      <c r="B3824" s="6"/>
      <c r="C3824" s="7"/>
      <c r="D3824" s="7"/>
      <c r="E3824" s="8"/>
      <c r="F3824" t="str">
        <f t="shared" si="145"/>
        <v/>
      </c>
      <c r="G3824" t="str">
        <f t="shared" si="146"/>
        <v/>
      </c>
    </row>
    <row r="3825" spans="2:7" x14ac:dyDescent="0.25">
      <c r="B3825" s="6"/>
      <c r="C3825" s="7"/>
      <c r="D3825" s="7"/>
      <c r="E3825" s="8"/>
      <c r="F3825" t="str">
        <f t="shared" si="145"/>
        <v/>
      </c>
      <c r="G3825" t="str">
        <f t="shared" si="146"/>
        <v/>
      </c>
    </row>
    <row r="3826" spans="2:7" x14ac:dyDescent="0.25">
      <c r="B3826" s="6"/>
      <c r="C3826" s="7"/>
      <c r="D3826" s="7"/>
      <c r="E3826" s="8"/>
      <c r="F3826" t="str">
        <f t="shared" si="145"/>
        <v/>
      </c>
      <c r="G3826" t="str">
        <f t="shared" si="146"/>
        <v/>
      </c>
    </row>
    <row r="3827" spans="2:7" x14ac:dyDescent="0.25">
      <c r="B3827" s="6"/>
      <c r="C3827" s="7"/>
      <c r="D3827" s="7"/>
      <c r="E3827" s="8"/>
      <c r="F3827" t="str">
        <f t="shared" si="145"/>
        <v/>
      </c>
      <c r="G3827" t="str">
        <f t="shared" si="146"/>
        <v/>
      </c>
    </row>
    <row r="3828" spans="2:7" x14ac:dyDescent="0.25">
      <c r="B3828" s="6"/>
      <c r="C3828" s="7"/>
      <c r="D3828" s="7"/>
      <c r="E3828" s="8"/>
      <c r="F3828" t="str">
        <f t="shared" si="145"/>
        <v/>
      </c>
      <c r="G3828" t="str">
        <f t="shared" si="146"/>
        <v/>
      </c>
    </row>
    <row r="3829" spans="2:7" x14ac:dyDescent="0.25">
      <c r="B3829" s="6"/>
      <c r="C3829" s="7"/>
      <c r="D3829" s="7"/>
      <c r="E3829" s="8"/>
      <c r="F3829" t="str">
        <f t="shared" si="145"/>
        <v/>
      </c>
      <c r="G3829" t="str">
        <f t="shared" si="146"/>
        <v/>
      </c>
    </row>
    <row r="3830" spans="2:7" x14ac:dyDescent="0.25">
      <c r="B3830" s="6"/>
      <c r="C3830" s="7"/>
      <c r="D3830" s="7"/>
      <c r="E3830" s="8"/>
      <c r="F3830" t="str">
        <f t="shared" si="145"/>
        <v/>
      </c>
      <c r="G3830" t="str">
        <f t="shared" si="146"/>
        <v/>
      </c>
    </row>
    <row r="3831" spans="2:7" x14ac:dyDescent="0.25">
      <c r="B3831" s="6"/>
      <c r="C3831" s="7"/>
      <c r="D3831" s="7"/>
      <c r="E3831" s="8"/>
      <c r="F3831" t="str">
        <f t="shared" si="145"/>
        <v/>
      </c>
      <c r="G3831" t="str">
        <f t="shared" si="146"/>
        <v/>
      </c>
    </row>
    <row r="3832" spans="2:7" x14ac:dyDescent="0.25">
      <c r="B3832" s="6"/>
      <c r="C3832" s="7"/>
      <c r="D3832" s="7"/>
      <c r="E3832" s="8"/>
      <c r="F3832" t="str">
        <f t="shared" si="145"/>
        <v/>
      </c>
      <c r="G3832" t="str">
        <f t="shared" si="146"/>
        <v/>
      </c>
    </row>
    <row r="3833" spans="2:7" x14ac:dyDescent="0.25">
      <c r="B3833" s="6"/>
      <c r="C3833" s="7"/>
      <c r="D3833" s="7"/>
      <c r="E3833" s="8"/>
      <c r="F3833" t="str">
        <f t="shared" si="145"/>
        <v/>
      </c>
      <c r="G3833" t="str">
        <f t="shared" si="146"/>
        <v/>
      </c>
    </row>
    <row r="3834" spans="2:7" x14ac:dyDescent="0.25">
      <c r="B3834" s="6"/>
      <c r="C3834" s="7"/>
      <c r="D3834" s="7"/>
      <c r="E3834" s="8"/>
      <c r="F3834" t="str">
        <f t="shared" si="145"/>
        <v/>
      </c>
      <c r="G3834" t="str">
        <f t="shared" si="146"/>
        <v/>
      </c>
    </row>
    <row r="3835" spans="2:7" x14ac:dyDescent="0.25">
      <c r="B3835" s="6"/>
      <c r="C3835" s="7"/>
      <c r="D3835" s="7"/>
      <c r="E3835" s="8"/>
      <c r="F3835" t="str">
        <f t="shared" si="145"/>
        <v/>
      </c>
      <c r="G3835" t="str">
        <f t="shared" si="146"/>
        <v/>
      </c>
    </row>
    <row r="3836" spans="2:7" x14ac:dyDescent="0.25">
      <c r="B3836" s="6"/>
      <c r="C3836" s="7"/>
      <c r="D3836" s="7"/>
      <c r="E3836" s="8"/>
      <c r="F3836" t="str">
        <f t="shared" si="145"/>
        <v/>
      </c>
      <c r="G3836" t="str">
        <f t="shared" si="146"/>
        <v/>
      </c>
    </row>
    <row r="3837" spans="2:7" x14ac:dyDescent="0.25">
      <c r="B3837" s="6"/>
      <c r="C3837" s="7"/>
      <c r="D3837" s="7"/>
      <c r="E3837" s="8"/>
      <c r="F3837" t="str">
        <f t="shared" si="145"/>
        <v/>
      </c>
      <c r="G3837" t="str">
        <f t="shared" si="146"/>
        <v/>
      </c>
    </row>
    <row r="3838" spans="2:7" x14ac:dyDescent="0.25">
      <c r="B3838" s="6"/>
      <c r="C3838" s="7"/>
      <c r="D3838" s="7"/>
      <c r="E3838" s="8"/>
      <c r="F3838" t="str">
        <f t="shared" si="145"/>
        <v/>
      </c>
      <c r="G3838" t="str">
        <f t="shared" si="146"/>
        <v/>
      </c>
    </row>
    <row r="3839" spans="2:7" x14ac:dyDescent="0.25">
      <c r="B3839" s="6"/>
      <c r="C3839" s="7"/>
      <c r="D3839" s="7"/>
      <c r="E3839" s="8"/>
      <c r="F3839" t="str">
        <f t="shared" si="145"/>
        <v/>
      </c>
      <c r="G3839" t="str">
        <f t="shared" si="146"/>
        <v/>
      </c>
    </row>
    <row r="3840" spans="2:7" x14ac:dyDescent="0.25">
      <c r="B3840" s="6"/>
      <c r="C3840" s="7"/>
      <c r="D3840" s="7"/>
      <c r="E3840" s="8"/>
      <c r="F3840" t="str">
        <f t="shared" si="145"/>
        <v/>
      </c>
      <c r="G3840" t="str">
        <f t="shared" si="146"/>
        <v/>
      </c>
    </row>
    <row r="3841" spans="2:7" x14ac:dyDescent="0.25">
      <c r="B3841" s="6"/>
      <c r="C3841" s="7"/>
      <c r="D3841" s="7"/>
      <c r="E3841" s="8"/>
      <c r="F3841" t="str">
        <f t="shared" si="145"/>
        <v/>
      </c>
      <c r="G3841" t="str">
        <f t="shared" si="146"/>
        <v/>
      </c>
    </row>
    <row r="3842" spans="2:7" x14ac:dyDescent="0.25">
      <c r="B3842" s="6"/>
      <c r="C3842" s="7"/>
      <c r="D3842" s="7"/>
      <c r="E3842" s="8"/>
      <c r="F3842" t="str">
        <f t="shared" si="145"/>
        <v/>
      </c>
      <c r="G3842" t="str">
        <f t="shared" si="146"/>
        <v/>
      </c>
    </row>
    <row r="3843" spans="2:7" x14ac:dyDescent="0.25">
      <c r="B3843" s="6"/>
      <c r="C3843" s="7"/>
      <c r="D3843" s="7"/>
      <c r="E3843" s="8"/>
      <c r="F3843" t="str">
        <f t="shared" si="145"/>
        <v/>
      </c>
      <c r="G3843" t="str">
        <f t="shared" si="146"/>
        <v/>
      </c>
    </row>
    <row r="3844" spans="2:7" x14ac:dyDescent="0.25">
      <c r="B3844" s="6"/>
      <c r="C3844" s="7"/>
      <c r="D3844" s="7"/>
      <c r="E3844" s="8"/>
      <c r="F3844" t="str">
        <f t="shared" ref="F3844:F3907" si="147">IF(B3844="","",LOG10(D3844))</f>
        <v/>
      </c>
      <c r="G3844" t="str">
        <f t="shared" ref="G3844:G3907" si="148">IF(E3844="", "",0.434*E3844/D3844)</f>
        <v/>
      </c>
    </row>
    <row r="3845" spans="2:7" x14ac:dyDescent="0.25">
      <c r="B3845" s="6"/>
      <c r="C3845" s="7"/>
      <c r="D3845" s="7"/>
      <c r="E3845" s="8"/>
      <c r="F3845" t="str">
        <f t="shared" si="147"/>
        <v/>
      </c>
      <c r="G3845" t="str">
        <f t="shared" si="148"/>
        <v/>
      </c>
    </row>
    <row r="3846" spans="2:7" x14ac:dyDescent="0.25">
      <c r="B3846" s="6"/>
      <c r="C3846" s="7"/>
      <c r="D3846" s="7"/>
      <c r="E3846" s="8"/>
      <c r="F3846" t="str">
        <f t="shared" si="147"/>
        <v/>
      </c>
      <c r="G3846" t="str">
        <f t="shared" si="148"/>
        <v/>
      </c>
    </row>
    <row r="3847" spans="2:7" x14ac:dyDescent="0.25">
      <c r="B3847" s="6"/>
      <c r="C3847" s="7"/>
      <c r="D3847" s="7"/>
      <c r="E3847" s="8"/>
      <c r="F3847" t="str">
        <f t="shared" si="147"/>
        <v/>
      </c>
      <c r="G3847" t="str">
        <f t="shared" si="148"/>
        <v/>
      </c>
    </row>
    <row r="3848" spans="2:7" x14ac:dyDescent="0.25">
      <c r="B3848" s="6"/>
      <c r="C3848" s="7"/>
      <c r="D3848" s="7"/>
      <c r="E3848" s="8"/>
      <c r="F3848" t="str">
        <f t="shared" si="147"/>
        <v/>
      </c>
      <c r="G3848" t="str">
        <f t="shared" si="148"/>
        <v/>
      </c>
    </row>
    <row r="3849" spans="2:7" x14ac:dyDescent="0.25">
      <c r="B3849" s="6"/>
      <c r="C3849" s="7"/>
      <c r="D3849" s="7"/>
      <c r="E3849" s="8"/>
      <c r="F3849" t="str">
        <f t="shared" si="147"/>
        <v/>
      </c>
      <c r="G3849" t="str">
        <f t="shared" si="148"/>
        <v/>
      </c>
    </row>
    <row r="3850" spans="2:7" x14ac:dyDescent="0.25">
      <c r="B3850" s="6"/>
      <c r="C3850" s="7"/>
      <c r="D3850" s="7"/>
      <c r="E3850" s="8"/>
      <c r="F3850" t="str">
        <f t="shared" si="147"/>
        <v/>
      </c>
      <c r="G3850" t="str">
        <f t="shared" si="148"/>
        <v/>
      </c>
    </row>
    <row r="3851" spans="2:7" x14ac:dyDescent="0.25">
      <c r="B3851" s="6"/>
      <c r="C3851" s="7"/>
      <c r="D3851" s="7"/>
      <c r="E3851" s="8"/>
      <c r="F3851" t="str">
        <f t="shared" si="147"/>
        <v/>
      </c>
      <c r="G3851" t="str">
        <f t="shared" si="148"/>
        <v/>
      </c>
    </row>
    <row r="3852" spans="2:7" x14ac:dyDescent="0.25">
      <c r="B3852" s="6"/>
      <c r="C3852" s="7"/>
      <c r="D3852" s="7"/>
      <c r="E3852" s="8"/>
      <c r="F3852" t="str">
        <f t="shared" si="147"/>
        <v/>
      </c>
      <c r="G3852" t="str">
        <f t="shared" si="148"/>
        <v/>
      </c>
    </row>
    <row r="3853" spans="2:7" x14ac:dyDescent="0.25">
      <c r="B3853" s="6"/>
      <c r="C3853" s="7"/>
      <c r="D3853" s="7"/>
      <c r="E3853" s="8"/>
      <c r="F3853" t="str">
        <f t="shared" si="147"/>
        <v/>
      </c>
      <c r="G3853" t="str">
        <f t="shared" si="148"/>
        <v/>
      </c>
    </row>
    <row r="3854" spans="2:7" x14ac:dyDescent="0.25">
      <c r="B3854" s="6"/>
      <c r="C3854" s="7"/>
      <c r="D3854" s="7"/>
      <c r="E3854" s="8"/>
      <c r="F3854" t="str">
        <f t="shared" si="147"/>
        <v/>
      </c>
      <c r="G3854" t="str">
        <f t="shared" si="148"/>
        <v/>
      </c>
    </row>
    <row r="3855" spans="2:7" x14ac:dyDescent="0.25">
      <c r="B3855" s="6"/>
      <c r="C3855" s="7"/>
      <c r="D3855" s="7"/>
      <c r="E3855" s="8"/>
      <c r="F3855" t="str">
        <f t="shared" si="147"/>
        <v/>
      </c>
      <c r="G3855" t="str">
        <f t="shared" si="148"/>
        <v/>
      </c>
    </row>
    <row r="3856" spans="2:7" x14ac:dyDescent="0.25">
      <c r="B3856" s="6"/>
      <c r="C3856" s="7"/>
      <c r="D3856" s="7"/>
      <c r="E3856" s="8"/>
      <c r="F3856" t="str">
        <f t="shared" si="147"/>
        <v/>
      </c>
      <c r="G3856" t="str">
        <f t="shared" si="148"/>
        <v/>
      </c>
    </row>
    <row r="3857" spans="2:7" x14ac:dyDescent="0.25">
      <c r="B3857" s="6"/>
      <c r="C3857" s="7"/>
      <c r="D3857" s="7"/>
      <c r="E3857" s="8"/>
      <c r="F3857" t="str">
        <f t="shared" si="147"/>
        <v/>
      </c>
      <c r="G3857" t="str">
        <f t="shared" si="148"/>
        <v/>
      </c>
    </row>
    <row r="3858" spans="2:7" x14ac:dyDescent="0.25">
      <c r="B3858" s="6"/>
      <c r="C3858" s="7"/>
      <c r="D3858" s="7"/>
      <c r="E3858" s="8"/>
      <c r="F3858" t="str">
        <f t="shared" si="147"/>
        <v/>
      </c>
      <c r="G3858" t="str">
        <f t="shared" si="148"/>
        <v/>
      </c>
    </row>
    <row r="3859" spans="2:7" x14ac:dyDescent="0.25">
      <c r="B3859" s="6"/>
      <c r="C3859" s="7"/>
      <c r="D3859" s="7"/>
      <c r="E3859" s="8"/>
      <c r="F3859" t="str">
        <f t="shared" si="147"/>
        <v/>
      </c>
      <c r="G3859" t="str">
        <f t="shared" si="148"/>
        <v/>
      </c>
    </row>
    <row r="3860" spans="2:7" x14ac:dyDescent="0.25">
      <c r="B3860" s="6"/>
      <c r="C3860" s="7"/>
      <c r="D3860" s="7"/>
      <c r="E3860" s="8"/>
      <c r="F3860" t="str">
        <f t="shared" si="147"/>
        <v/>
      </c>
      <c r="G3860" t="str">
        <f t="shared" si="148"/>
        <v/>
      </c>
    </row>
    <row r="3861" spans="2:7" x14ac:dyDescent="0.25">
      <c r="B3861" s="6"/>
      <c r="C3861" s="7"/>
      <c r="D3861" s="7"/>
      <c r="E3861" s="8"/>
      <c r="F3861" t="str">
        <f t="shared" si="147"/>
        <v/>
      </c>
      <c r="G3861" t="str">
        <f t="shared" si="148"/>
        <v/>
      </c>
    </row>
    <row r="3862" spans="2:7" x14ac:dyDescent="0.25">
      <c r="B3862" s="6"/>
      <c r="C3862" s="7"/>
      <c r="D3862" s="7"/>
      <c r="E3862" s="8"/>
      <c r="F3862" t="str">
        <f t="shared" si="147"/>
        <v/>
      </c>
      <c r="G3862" t="str">
        <f t="shared" si="148"/>
        <v/>
      </c>
    </row>
    <row r="3863" spans="2:7" x14ac:dyDescent="0.25">
      <c r="B3863" s="6"/>
      <c r="C3863" s="7"/>
      <c r="D3863" s="7"/>
      <c r="E3863" s="8"/>
      <c r="F3863" t="str">
        <f t="shared" si="147"/>
        <v/>
      </c>
      <c r="G3863" t="str">
        <f t="shared" si="148"/>
        <v/>
      </c>
    </row>
    <row r="3864" spans="2:7" x14ac:dyDescent="0.25">
      <c r="B3864" s="6"/>
      <c r="C3864" s="7"/>
      <c r="D3864" s="7"/>
      <c r="E3864" s="8"/>
      <c r="F3864" t="str">
        <f t="shared" si="147"/>
        <v/>
      </c>
      <c r="G3864" t="str">
        <f t="shared" si="148"/>
        <v/>
      </c>
    </row>
    <row r="3865" spans="2:7" x14ac:dyDescent="0.25">
      <c r="B3865" s="6"/>
      <c r="C3865" s="7"/>
      <c r="D3865" s="7"/>
      <c r="E3865" s="8"/>
      <c r="F3865" t="str">
        <f t="shared" si="147"/>
        <v/>
      </c>
      <c r="G3865" t="str">
        <f t="shared" si="148"/>
        <v/>
      </c>
    </row>
    <row r="3866" spans="2:7" x14ac:dyDescent="0.25">
      <c r="B3866" s="6"/>
      <c r="C3866" s="7"/>
      <c r="D3866" s="7"/>
      <c r="E3866" s="8"/>
      <c r="F3866" t="str">
        <f t="shared" si="147"/>
        <v/>
      </c>
      <c r="G3866" t="str">
        <f t="shared" si="148"/>
        <v/>
      </c>
    </row>
    <row r="3867" spans="2:7" x14ac:dyDescent="0.25">
      <c r="B3867" s="6"/>
      <c r="C3867" s="7"/>
      <c r="D3867" s="7"/>
      <c r="E3867" s="8"/>
      <c r="F3867" t="str">
        <f t="shared" si="147"/>
        <v/>
      </c>
      <c r="G3867" t="str">
        <f t="shared" si="148"/>
        <v/>
      </c>
    </row>
    <row r="3868" spans="2:7" x14ac:dyDescent="0.25">
      <c r="B3868" s="6"/>
      <c r="C3868" s="7"/>
      <c r="D3868" s="7"/>
      <c r="E3868" s="8"/>
      <c r="F3868" t="str">
        <f t="shared" si="147"/>
        <v/>
      </c>
      <c r="G3868" t="str">
        <f t="shared" si="148"/>
        <v/>
      </c>
    </row>
    <row r="3869" spans="2:7" x14ac:dyDescent="0.25">
      <c r="B3869" s="6"/>
      <c r="C3869" s="7"/>
      <c r="D3869" s="7"/>
      <c r="E3869" s="8"/>
      <c r="F3869" t="str">
        <f t="shared" si="147"/>
        <v/>
      </c>
      <c r="G3869" t="str">
        <f t="shared" si="148"/>
        <v/>
      </c>
    </row>
    <row r="3870" spans="2:7" x14ac:dyDescent="0.25">
      <c r="B3870" s="6"/>
      <c r="C3870" s="7"/>
      <c r="D3870" s="7"/>
      <c r="E3870" s="8"/>
      <c r="F3870" t="str">
        <f t="shared" si="147"/>
        <v/>
      </c>
      <c r="G3870" t="str">
        <f t="shared" si="148"/>
        <v/>
      </c>
    </row>
    <row r="3871" spans="2:7" x14ac:dyDescent="0.25">
      <c r="B3871" s="6"/>
      <c r="C3871" s="7"/>
      <c r="D3871" s="7"/>
      <c r="E3871" s="8"/>
      <c r="F3871" t="str">
        <f t="shared" si="147"/>
        <v/>
      </c>
      <c r="G3871" t="str">
        <f t="shared" si="148"/>
        <v/>
      </c>
    </row>
    <row r="3872" spans="2:7" x14ac:dyDescent="0.25">
      <c r="B3872" s="6"/>
      <c r="C3872" s="7"/>
      <c r="D3872" s="7"/>
      <c r="E3872" s="8"/>
      <c r="F3872" t="str">
        <f t="shared" si="147"/>
        <v/>
      </c>
      <c r="G3872" t="str">
        <f t="shared" si="148"/>
        <v/>
      </c>
    </row>
    <row r="3873" spans="2:7" x14ac:dyDescent="0.25">
      <c r="B3873" s="6"/>
      <c r="C3873" s="7"/>
      <c r="D3873" s="7"/>
      <c r="E3873" s="8"/>
      <c r="F3873" t="str">
        <f t="shared" si="147"/>
        <v/>
      </c>
      <c r="G3873" t="str">
        <f t="shared" si="148"/>
        <v/>
      </c>
    </row>
    <row r="3874" spans="2:7" x14ac:dyDescent="0.25">
      <c r="B3874" s="6"/>
      <c r="C3874" s="7"/>
      <c r="D3874" s="7"/>
      <c r="E3874" s="8"/>
      <c r="F3874" t="str">
        <f t="shared" si="147"/>
        <v/>
      </c>
      <c r="G3874" t="str">
        <f t="shared" si="148"/>
        <v/>
      </c>
    </row>
    <row r="3875" spans="2:7" x14ac:dyDescent="0.25">
      <c r="B3875" s="6"/>
      <c r="C3875" s="7"/>
      <c r="D3875" s="7"/>
      <c r="E3875" s="8"/>
      <c r="F3875" t="str">
        <f t="shared" si="147"/>
        <v/>
      </c>
      <c r="G3875" t="str">
        <f t="shared" si="148"/>
        <v/>
      </c>
    </row>
    <row r="3876" spans="2:7" x14ac:dyDescent="0.25">
      <c r="B3876" s="6"/>
      <c r="C3876" s="7"/>
      <c r="D3876" s="7"/>
      <c r="E3876" s="8"/>
      <c r="F3876" t="str">
        <f t="shared" si="147"/>
        <v/>
      </c>
      <c r="G3876" t="str">
        <f t="shared" si="148"/>
        <v/>
      </c>
    </row>
    <row r="3877" spans="2:7" x14ac:dyDescent="0.25">
      <c r="B3877" s="6"/>
      <c r="C3877" s="7"/>
      <c r="D3877" s="7"/>
      <c r="E3877" s="8"/>
      <c r="F3877" t="str">
        <f t="shared" si="147"/>
        <v/>
      </c>
      <c r="G3877" t="str">
        <f t="shared" si="148"/>
        <v/>
      </c>
    </row>
    <row r="3878" spans="2:7" x14ac:dyDescent="0.25">
      <c r="B3878" s="6"/>
      <c r="C3878" s="7"/>
      <c r="D3878" s="7"/>
      <c r="E3878" s="8"/>
      <c r="F3878" t="str">
        <f t="shared" si="147"/>
        <v/>
      </c>
      <c r="G3878" t="str">
        <f t="shared" si="148"/>
        <v/>
      </c>
    </row>
    <row r="3879" spans="2:7" x14ac:dyDescent="0.25">
      <c r="B3879" s="6"/>
      <c r="C3879" s="7"/>
      <c r="D3879" s="7"/>
      <c r="E3879" s="8"/>
      <c r="F3879" t="str">
        <f t="shared" si="147"/>
        <v/>
      </c>
      <c r="G3879" t="str">
        <f t="shared" si="148"/>
        <v/>
      </c>
    </row>
    <row r="3880" spans="2:7" x14ac:dyDescent="0.25">
      <c r="B3880" s="6"/>
      <c r="C3880" s="7"/>
      <c r="D3880" s="7"/>
      <c r="E3880" s="8"/>
      <c r="F3880" t="str">
        <f t="shared" si="147"/>
        <v/>
      </c>
      <c r="G3880" t="str">
        <f t="shared" si="148"/>
        <v/>
      </c>
    </row>
    <row r="3881" spans="2:7" x14ac:dyDescent="0.25">
      <c r="B3881" s="6"/>
      <c r="C3881" s="7"/>
      <c r="D3881" s="7"/>
      <c r="E3881" s="8"/>
      <c r="F3881" t="str">
        <f t="shared" si="147"/>
        <v/>
      </c>
      <c r="G3881" t="str">
        <f t="shared" si="148"/>
        <v/>
      </c>
    </row>
    <row r="3882" spans="2:7" x14ac:dyDescent="0.25">
      <c r="B3882" s="6"/>
      <c r="C3882" s="7"/>
      <c r="D3882" s="7"/>
      <c r="E3882" s="8"/>
      <c r="F3882" t="str">
        <f t="shared" si="147"/>
        <v/>
      </c>
      <c r="G3882" t="str">
        <f t="shared" si="148"/>
        <v/>
      </c>
    </row>
    <row r="3883" spans="2:7" x14ac:dyDescent="0.25">
      <c r="B3883" s="6"/>
      <c r="C3883" s="7"/>
      <c r="D3883" s="7"/>
      <c r="E3883" s="8"/>
      <c r="F3883" t="str">
        <f t="shared" si="147"/>
        <v/>
      </c>
      <c r="G3883" t="str">
        <f t="shared" si="148"/>
        <v/>
      </c>
    </row>
    <row r="3884" spans="2:7" x14ac:dyDescent="0.25">
      <c r="B3884" s="6"/>
      <c r="C3884" s="7"/>
      <c r="D3884" s="7"/>
      <c r="E3884" s="8"/>
      <c r="F3884" t="str">
        <f t="shared" si="147"/>
        <v/>
      </c>
      <c r="G3884" t="str">
        <f t="shared" si="148"/>
        <v/>
      </c>
    </row>
    <row r="3885" spans="2:7" x14ac:dyDescent="0.25">
      <c r="B3885" s="6"/>
      <c r="C3885" s="7"/>
      <c r="D3885" s="7"/>
      <c r="E3885" s="8"/>
      <c r="F3885" t="str">
        <f t="shared" si="147"/>
        <v/>
      </c>
      <c r="G3885" t="str">
        <f t="shared" si="148"/>
        <v/>
      </c>
    </row>
    <row r="3886" spans="2:7" x14ac:dyDescent="0.25">
      <c r="B3886" s="6"/>
      <c r="C3886" s="7"/>
      <c r="D3886" s="7"/>
      <c r="E3886" s="8"/>
      <c r="F3886" t="str">
        <f t="shared" si="147"/>
        <v/>
      </c>
      <c r="G3886" t="str">
        <f t="shared" si="148"/>
        <v/>
      </c>
    </row>
    <row r="3887" spans="2:7" x14ac:dyDescent="0.25">
      <c r="B3887" s="6"/>
      <c r="C3887" s="7"/>
      <c r="D3887" s="7"/>
      <c r="E3887" s="8"/>
      <c r="F3887" t="str">
        <f t="shared" si="147"/>
        <v/>
      </c>
      <c r="G3887" t="str">
        <f t="shared" si="148"/>
        <v/>
      </c>
    </row>
    <row r="3888" spans="2:7" x14ac:dyDescent="0.25">
      <c r="B3888" s="6"/>
      <c r="C3888" s="7"/>
      <c r="D3888" s="7"/>
      <c r="E3888" s="8"/>
      <c r="F3888" t="str">
        <f t="shared" si="147"/>
        <v/>
      </c>
      <c r="G3888" t="str">
        <f t="shared" si="148"/>
        <v/>
      </c>
    </row>
    <row r="3889" spans="2:7" x14ac:dyDescent="0.25">
      <c r="B3889" s="6"/>
      <c r="C3889" s="7"/>
      <c r="D3889" s="7"/>
      <c r="E3889" s="8"/>
      <c r="F3889" t="str">
        <f t="shared" si="147"/>
        <v/>
      </c>
      <c r="G3889" t="str">
        <f t="shared" si="148"/>
        <v/>
      </c>
    </row>
    <row r="3890" spans="2:7" x14ac:dyDescent="0.25">
      <c r="B3890" s="6"/>
      <c r="C3890" s="7"/>
      <c r="D3890" s="7"/>
      <c r="E3890" s="8"/>
      <c r="F3890" t="str">
        <f t="shared" si="147"/>
        <v/>
      </c>
      <c r="G3890" t="str">
        <f t="shared" si="148"/>
        <v/>
      </c>
    </row>
    <row r="3891" spans="2:7" x14ac:dyDescent="0.25">
      <c r="B3891" s="6"/>
      <c r="C3891" s="7"/>
      <c r="D3891" s="7"/>
      <c r="E3891" s="8"/>
      <c r="F3891" t="str">
        <f t="shared" si="147"/>
        <v/>
      </c>
      <c r="G3891" t="str">
        <f t="shared" si="148"/>
        <v/>
      </c>
    </row>
    <row r="3892" spans="2:7" x14ac:dyDescent="0.25">
      <c r="B3892" s="6"/>
      <c r="C3892" s="7"/>
      <c r="D3892" s="7"/>
      <c r="E3892" s="8"/>
      <c r="F3892" t="str">
        <f t="shared" si="147"/>
        <v/>
      </c>
      <c r="G3892" t="str">
        <f t="shared" si="148"/>
        <v/>
      </c>
    </row>
    <row r="3893" spans="2:7" x14ac:dyDescent="0.25">
      <c r="B3893" s="6"/>
      <c r="C3893" s="7"/>
      <c r="D3893" s="7"/>
      <c r="E3893" s="8"/>
      <c r="F3893" t="str">
        <f t="shared" si="147"/>
        <v/>
      </c>
      <c r="G3893" t="str">
        <f t="shared" si="148"/>
        <v/>
      </c>
    </row>
    <row r="3894" spans="2:7" x14ac:dyDescent="0.25">
      <c r="B3894" s="6"/>
      <c r="C3894" s="7"/>
      <c r="D3894" s="7"/>
      <c r="E3894" s="8"/>
      <c r="F3894" t="str">
        <f t="shared" si="147"/>
        <v/>
      </c>
      <c r="G3894" t="str">
        <f t="shared" si="148"/>
        <v/>
      </c>
    </row>
    <row r="3895" spans="2:7" x14ac:dyDescent="0.25">
      <c r="B3895" s="6"/>
      <c r="C3895" s="7"/>
      <c r="D3895" s="7"/>
      <c r="E3895" s="8"/>
      <c r="F3895" t="str">
        <f t="shared" si="147"/>
        <v/>
      </c>
      <c r="G3895" t="str">
        <f t="shared" si="148"/>
        <v/>
      </c>
    </row>
    <row r="3896" spans="2:7" x14ac:dyDescent="0.25">
      <c r="B3896" s="6"/>
      <c r="C3896" s="7"/>
      <c r="D3896" s="7"/>
      <c r="E3896" s="8"/>
      <c r="F3896" t="str">
        <f t="shared" si="147"/>
        <v/>
      </c>
      <c r="G3896" t="str">
        <f t="shared" si="148"/>
        <v/>
      </c>
    </row>
    <row r="3897" spans="2:7" x14ac:dyDescent="0.25">
      <c r="B3897" s="6"/>
      <c r="C3897" s="7"/>
      <c r="D3897" s="7"/>
      <c r="E3897" s="8"/>
      <c r="F3897" t="str">
        <f t="shared" si="147"/>
        <v/>
      </c>
      <c r="G3897" t="str">
        <f t="shared" si="148"/>
        <v/>
      </c>
    </row>
    <row r="3898" spans="2:7" x14ac:dyDescent="0.25">
      <c r="B3898" s="6"/>
      <c r="C3898" s="7"/>
      <c r="D3898" s="7"/>
      <c r="E3898" s="8"/>
      <c r="F3898" t="str">
        <f t="shared" si="147"/>
        <v/>
      </c>
      <c r="G3898" t="str">
        <f t="shared" si="148"/>
        <v/>
      </c>
    </row>
    <row r="3899" spans="2:7" x14ac:dyDescent="0.25">
      <c r="B3899" s="6"/>
      <c r="C3899" s="7"/>
      <c r="D3899" s="7"/>
      <c r="E3899" s="8"/>
      <c r="F3899" t="str">
        <f t="shared" si="147"/>
        <v/>
      </c>
      <c r="G3899" t="str">
        <f t="shared" si="148"/>
        <v/>
      </c>
    </row>
    <row r="3900" spans="2:7" x14ac:dyDescent="0.25">
      <c r="B3900" s="6"/>
      <c r="C3900" s="7"/>
      <c r="D3900" s="7"/>
      <c r="E3900" s="8"/>
      <c r="F3900" t="str">
        <f t="shared" si="147"/>
        <v/>
      </c>
      <c r="G3900" t="str">
        <f t="shared" si="148"/>
        <v/>
      </c>
    </row>
    <row r="3901" spans="2:7" x14ac:dyDescent="0.25">
      <c r="B3901" s="6"/>
      <c r="C3901" s="7"/>
      <c r="D3901" s="7"/>
      <c r="E3901" s="8"/>
      <c r="F3901" t="str">
        <f t="shared" si="147"/>
        <v/>
      </c>
      <c r="G3901" t="str">
        <f t="shared" si="148"/>
        <v/>
      </c>
    </row>
    <row r="3902" spans="2:7" x14ac:dyDescent="0.25">
      <c r="B3902" s="6"/>
      <c r="C3902" s="7"/>
      <c r="D3902" s="7"/>
      <c r="E3902" s="8"/>
      <c r="F3902" t="str">
        <f t="shared" si="147"/>
        <v/>
      </c>
      <c r="G3902" t="str">
        <f t="shared" si="148"/>
        <v/>
      </c>
    </row>
    <row r="3903" spans="2:7" x14ac:dyDescent="0.25">
      <c r="B3903" s="6"/>
      <c r="C3903" s="7"/>
      <c r="D3903" s="7"/>
      <c r="E3903" s="8"/>
      <c r="F3903" t="str">
        <f t="shared" si="147"/>
        <v/>
      </c>
      <c r="G3903" t="str">
        <f t="shared" si="148"/>
        <v/>
      </c>
    </row>
    <row r="3904" spans="2:7" x14ac:dyDescent="0.25">
      <c r="B3904" s="6"/>
      <c r="C3904" s="7"/>
      <c r="D3904" s="7"/>
      <c r="E3904" s="8"/>
      <c r="F3904" t="str">
        <f t="shared" si="147"/>
        <v/>
      </c>
      <c r="G3904" t="str">
        <f t="shared" si="148"/>
        <v/>
      </c>
    </row>
    <row r="3905" spans="2:7" x14ac:dyDescent="0.25">
      <c r="B3905" s="6"/>
      <c r="C3905" s="7"/>
      <c r="D3905" s="7"/>
      <c r="E3905" s="8"/>
      <c r="F3905" t="str">
        <f t="shared" si="147"/>
        <v/>
      </c>
      <c r="G3905" t="str">
        <f t="shared" si="148"/>
        <v/>
      </c>
    </row>
    <row r="3906" spans="2:7" x14ac:dyDescent="0.25">
      <c r="B3906" s="6"/>
      <c r="C3906" s="7"/>
      <c r="D3906" s="7"/>
      <c r="E3906" s="8"/>
      <c r="F3906" t="str">
        <f t="shared" si="147"/>
        <v/>
      </c>
      <c r="G3906" t="str">
        <f t="shared" si="148"/>
        <v/>
      </c>
    </row>
    <row r="3907" spans="2:7" x14ac:dyDescent="0.25">
      <c r="B3907" s="6"/>
      <c r="C3907" s="7"/>
      <c r="D3907" s="7"/>
      <c r="E3907" s="8"/>
      <c r="F3907" t="str">
        <f t="shared" si="147"/>
        <v/>
      </c>
      <c r="G3907" t="str">
        <f t="shared" si="148"/>
        <v/>
      </c>
    </row>
    <row r="3908" spans="2:7" x14ac:dyDescent="0.25">
      <c r="B3908" s="6"/>
      <c r="C3908" s="7"/>
      <c r="D3908" s="7"/>
      <c r="E3908" s="8"/>
      <c r="F3908" t="str">
        <f t="shared" ref="F3908:F3971" si="149">IF(B3908="","",LOG10(D3908))</f>
        <v/>
      </c>
      <c r="G3908" t="str">
        <f t="shared" ref="G3908:G3971" si="150">IF(E3908="", "",0.434*E3908/D3908)</f>
        <v/>
      </c>
    </row>
    <row r="3909" spans="2:7" x14ac:dyDescent="0.25">
      <c r="B3909" s="6"/>
      <c r="C3909" s="7"/>
      <c r="D3909" s="7"/>
      <c r="E3909" s="8"/>
      <c r="F3909" t="str">
        <f t="shared" si="149"/>
        <v/>
      </c>
      <c r="G3909" t="str">
        <f t="shared" si="150"/>
        <v/>
      </c>
    </row>
    <row r="3910" spans="2:7" x14ac:dyDescent="0.25">
      <c r="B3910" s="6"/>
      <c r="C3910" s="7"/>
      <c r="D3910" s="7"/>
      <c r="E3910" s="8"/>
      <c r="F3910" t="str">
        <f t="shared" si="149"/>
        <v/>
      </c>
      <c r="G3910" t="str">
        <f t="shared" si="150"/>
        <v/>
      </c>
    </row>
    <row r="3911" spans="2:7" x14ac:dyDescent="0.25">
      <c r="B3911" s="6"/>
      <c r="C3911" s="7"/>
      <c r="D3911" s="7"/>
      <c r="E3911" s="8"/>
      <c r="F3911" t="str">
        <f t="shared" si="149"/>
        <v/>
      </c>
      <c r="G3911" t="str">
        <f t="shared" si="150"/>
        <v/>
      </c>
    </row>
    <row r="3912" spans="2:7" x14ac:dyDescent="0.25">
      <c r="B3912" s="6"/>
      <c r="C3912" s="7"/>
      <c r="D3912" s="7"/>
      <c r="E3912" s="8"/>
      <c r="F3912" t="str">
        <f t="shared" si="149"/>
        <v/>
      </c>
      <c r="G3912" t="str">
        <f t="shared" si="150"/>
        <v/>
      </c>
    </row>
    <row r="3913" spans="2:7" x14ac:dyDescent="0.25">
      <c r="B3913" s="6"/>
      <c r="C3913" s="7"/>
      <c r="D3913" s="7"/>
      <c r="E3913" s="8"/>
      <c r="F3913" t="str">
        <f t="shared" si="149"/>
        <v/>
      </c>
      <c r="G3913" t="str">
        <f t="shared" si="150"/>
        <v/>
      </c>
    </row>
    <row r="3914" spans="2:7" x14ac:dyDescent="0.25">
      <c r="B3914" s="6"/>
      <c r="C3914" s="7"/>
      <c r="D3914" s="7"/>
      <c r="E3914" s="8"/>
      <c r="F3914" t="str">
        <f t="shared" si="149"/>
        <v/>
      </c>
      <c r="G3914" t="str">
        <f t="shared" si="150"/>
        <v/>
      </c>
    </row>
    <row r="3915" spans="2:7" x14ac:dyDescent="0.25">
      <c r="B3915" s="6"/>
      <c r="C3915" s="7"/>
      <c r="D3915" s="7"/>
      <c r="E3915" s="8"/>
      <c r="F3915" t="str">
        <f t="shared" si="149"/>
        <v/>
      </c>
      <c r="G3915" t="str">
        <f t="shared" si="150"/>
        <v/>
      </c>
    </row>
    <row r="3916" spans="2:7" x14ac:dyDescent="0.25">
      <c r="B3916" s="6"/>
      <c r="C3916" s="7"/>
      <c r="D3916" s="7"/>
      <c r="E3916" s="8"/>
      <c r="F3916" t="str">
        <f t="shared" si="149"/>
        <v/>
      </c>
      <c r="G3916" t="str">
        <f t="shared" si="150"/>
        <v/>
      </c>
    </row>
    <row r="3917" spans="2:7" x14ac:dyDescent="0.25">
      <c r="B3917" s="6"/>
      <c r="C3917" s="7"/>
      <c r="D3917" s="7"/>
      <c r="E3917" s="8"/>
      <c r="F3917" t="str">
        <f t="shared" si="149"/>
        <v/>
      </c>
      <c r="G3917" t="str">
        <f t="shared" si="150"/>
        <v/>
      </c>
    </row>
    <row r="3918" spans="2:7" x14ac:dyDescent="0.25">
      <c r="B3918" s="6"/>
      <c r="C3918" s="7"/>
      <c r="D3918" s="7"/>
      <c r="E3918" s="8"/>
      <c r="F3918" t="str">
        <f t="shared" si="149"/>
        <v/>
      </c>
      <c r="G3918" t="str">
        <f t="shared" si="150"/>
        <v/>
      </c>
    </row>
    <row r="3919" spans="2:7" x14ac:dyDescent="0.25">
      <c r="B3919" s="6"/>
      <c r="C3919" s="7"/>
      <c r="D3919" s="7"/>
      <c r="E3919" s="8"/>
      <c r="F3919" t="str">
        <f t="shared" si="149"/>
        <v/>
      </c>
      <c r="G3919" t="str">
        <f t="shared" si="150"/>
        <v/>
      </c>
    </row>
    <row r="3920" spans="2:7" x14ac:dyDescent="0.25">
      <c r="B3920" s="6"/>
      <c r="C3920" s="7"/>
      <c r="D3920" s="7"/>
      <c r="E3920" s="8"/>
      <c r="F3920" t="str">
        <f t="shared" si="149"/>
        <v/>
      </c>
      <c r="G3920" t="str">
        <f t="shared" si="150"/>
        <v/>
      </c>
    </row>
    <row r="3921" spans="2:7" x14ac:dyDescent="0.25">
      <c r="B3921" s="6"/>
      <c r="C3921" s="7"/>
      <c r="D3921" s="7"/>
      <c r="E3921" s="8"/>
      <c r="F3921" t="str">
        <f t="shared" si="149"/>
        <v/>
      </c>
      <c r="G3921" t="str">
        <f t="shared" si="150"/>
        <v/>
      </c>
    </row>
    <row r="3922" spans="2:7" x14ac:dyDescent="0.25">
      <c r="B3922" s="6"/>
      <c r="C3922" s="7"/>
      <c r="D3922" s="7"/>
      <c r="E3922" s="8"/>
      <c r="F3922" t="str">
        <f t="shared" si="149"/>
        <v/>
      </c>
      <c r="G3922" t="str">
        <f t="shared" si="150"/>
        <v/>
      </c>
    </row>
    <row r="3923" spans="2:7" x14ac:dyDescent="0.25">
      <c r="B3923" s="6"/>
      <c r="C3923" s="7"/>
      <c r="D3923" s="7"/>
      <c r="E3923" s="8"/>
      <c r="F3923" t="str">
        <f t="shared" si="149"/>
        <v/>
      </c>
      <c r="G3923" t="str">
        <f t="shared" si="150"/>
        <v/>
      </c>
    </row>
    <row r="3924" spans="2:7" x14ac:dyDescent="0.25">
      <c r="B3924" s="6"/>
      <c r="C3924" s="7"/>
      <c r="D3924" s="7"/>
      <c r="E3924" s="8"/>
      <c r="F3924" t="str">
        <f t="shared" si="149"/>
        <v/>
      </c>
      <c r="G3924" t="str">
        <f t="shared" si="150"/>
        <v/>
      </c>
    </row>
    <row r="3925" spans="2:7" x14ac:dyDescent="0.25">
      <c r="B3925" s="6"/>
      <c r="C3925" s="7"/>
      <c r="D3925" s="7"/>
      <c r="E3925" s="8"/>
      <c r="F3925" t="str">
        <f t="shared" si="149"/>
        <v/>
      </c>
      <c r="G3925" t="str">
        <f t="shared" si="150"/>
        <v/>
      </c>
    </row>
    <row r="3926" spans="2:7" x14ac:dyDescent="0.25">
      <c r="B3926" s="6"/>
      <c r="C3926" s="7"/>
      <c r="D3926" s="7"/>
      <c r="E3926" s="8"/>
      <c r="F3926" t="str">
        <f t="shared" si="149"/>
        <v/>
      </c>
      <c r="G3926" t="str">
        <f t="shared" si="150"/>
        <v/>
      </c>
    </row>
    <row r="3927" spans="2:7" x14ac:dyDescent="0.25">
      <c r="B3927" s="6"/>
      <c r="C3927" s="7"/>
      <c r="D3927" s="7"/>
      <c r="E3927" s="8"/>
      <c r="F3927" t="str">
        <f t="shared" si="149"/>
        <v/>
      </c>
      <c r="G3927" t="str">
        <f t="shared" si="150"/>
        <v/>
      </c>
    </row>
    <row r="3928" spans="2:7" x14ac:dyDescent="0.25">
      <c r="B3928" s="6"/>
      <c r="C3928" s="7"/>
      <c r="D3928" s="7"/>
      <c r="E3928" s="8"/>
      <c r="F3928" t="str">
        <f t="shared" si="149"/>
        <v/>
      </c>
      <c r="G3928" t="str">
        <f t="shared" si="150"/>
        <v/>
      </c>
    </row>
    <row r="3929" spans="2:7" x14ac:dyDescent="0.25">
      <c r="B3929" s="6"/>
      <c r="C3929" s="7"/>
      <c r="D3929" s="7"/>
      <c r="E3929" s="8"/>
      <c r="F3929" t="str">
        <f t="shared" si="149"/>
        <v/>
      </c>
      <c r="G3929" t="str">
        <f t="shared" si="150"/>
        <v/>
      </c>
    </row>
    <row r="3930" spans="2:7" x14ac:dyDescent="0.25">
      <c r="B3930" s="6"/>
      <c r="C3930" s="7"/>
      <c r="D3930" s="7"/>
      <c r="E3930" s="8"/>
      <c r="F3930" t="str">
        <f t="shared" si="149"/>
        <v/>
      </c>
      <c r="G3930" t="str">
        <f t="shared" si="150"/>
        <v/>
      </c>
    </row>
    <row r="3931" spans="2:7" x14ac:dyDescent="0.25">
      <c r="B3931" s="6"/>
      <c r="C3931" s="7"/>
      <c r="D3931" s="7"/>
      <c r="E3931" s="8"/>
      <c r="F3931" t="str">
        <f t="shared" si="149"/>
        <v/>
      </c>
      <c r="G3931" t="str">
        <f t="shared" si="150"/>
        <v/>
      </c>
    </row>
    <row r="3932" spans="2:7" x14ac:dyDescent="0.25">
      <c r="B3932" s="6"/>
      <c r="C3932" s="7"/>
      <c r="D3932" s="7"/>
      <c r="E3932" s="8"/>
      <c r="F3932" t="str">
        <f t="shared" si="149"/>
        <v/>
      </c>
      <c r="G3932" t="str">
        <f t="shared" si="150"/>
        <v/>
      </c>
    </row>
    <row r="3933" spans="2:7" x14ac:dyDescent="0.25">
      <c r="B3933" s="6"/>
      <c r="C3933" s="7"/>
      <c r="D3933" s="7"/>
      <c r="E3933" s="8"/>
      <c r="F3933" t="str">
        <f t="shared" si="149"/>
        <v/>
      </c>
      <c r="G3933" t="str">
        <f t="shared" si="150"/>
        <v/>
      </c>
    </row>
    <row r="3934" spans="2:7" x14ac:dyDescent="0.25">
      <c r="B3934" s="6"/>
      <c r="C3934" s="7"/>
      <c r="D3934" s="7"/>
      <c r="E3934" s="8"/>
      <c r="F3934" t="str">
        <f t="shared" si="149"/>
        <v/>
      </c>
      <c r="G3934" t="str">
        <f t="shared" si="150"/>
        <v/>
      </c>
    </row>
    <row r="3935" spans="2:7" x14ac:dyDescent="0.25">
      <c r="B3935" s="6"/>
      <c r="C3935" s="7"/>
      <c r="D3935" s="7"/>
      <c r="E3935" s="8"/>
      <c r="F3935" t="str">
        <f t="shared" si="149"/>
        <v/>
      </c>
      <c r="G3935" t="str">
        <f t="shared" si="150"/>
        <v/>
      </c>
    </row>
    <row r="3936" spans="2:7" x14ac:dyDescent="0.25">
      <c r="B3936" s="6"/>
      <c r="C3936" s="7"/>
      <c r="D3936" s="7"/>
      <c r="E3936" s="8"/>
      <c r="F3936" t="str">
        <f t="shared" si="149"/>
        <v/>
      </c>
      <c r="G3936" t="str">
        <f t="shared" si="150"/>
        <v/>
      </c>
    </row>
    <row r="3937" spans="2:7" x14ac:dyDescent="0.25">
      <c r="B3937" s="6"/>
      <c r="C3937" s="7"/>
      <c r="D3937" s="7"/>
      <c r="E3937" s="8"/>
      <c r="F3937" t="str">
        <f t="shared" si="149"/>
        <v/>
      </c>
      <c r="G3937" t="str">
        <f t="shared" si="150"/>
        <v/>
      </c>
    </row>
    <row r="3938" spans="2:7" x14ac:dyDescent="0.25">
      <c r="B3938" s="6"/>
      <c r="C3938" s="7"/>
      <c r="D3938" s="7"/>
      <c r="E3938" s="8"/>
      <c r="F3938" t="str">
        <f t="shared" si="149"/>
        <v/>
      </c>
      <c r="G3938" t="str">
        <f t="shared" si="150"/>
        <v/>
      </c>
    </row>
    <row r="3939" spans="2:7" x14ac:dyDescent="0.25">
      <c r="B3939" s="6"/>
      <c r="C3939" s="7"/>
      <c r="D3939" s="7"/>
      <c r="E3939" s="8"/>
      <c r="F3939" t="str">
        <f t="shared" si="149"/>
        <v/>
      </c>
      <c r="G3939" t="str">
        <f t="shared" si="150"/>
        <v/>
      </c>
    </row>
    <row r="3940" spans="2:7" x14ac:dyDescent="0.25">
      <c r="B3940" s="6"/>
      <c r="C3940" s="7"/>
      <c r="D3940" s="7"/>
      <c r="E3940" s="8"/>
      <c r="F3940" t="str">
        <f t="shared" si="149"/>
        <v/>
      </c>
      <c r="G3940" t="str">
        <f t="shared" si="150"/>
        <v/>
      </c>
    </row>
    <row r="3941" spans="2:7" x14ac:dyDescent="0.25">
      <c r="B3941" s="6"/>
      <c r="C3941" s="7"/>
      <c r="D3941" s="7"/>
      <c r="E3941" s="8"/>
      <c r="F3941" t="str">
        <f t="shared" si="149"/>
        <v/>
      </c>
      <c r="G3941" t="str">
        <f t="shared" si="150"/>
        <v/>
      </c>
    </row>
    <row r="3942" spans="2:7" x14ac:dyDescent="0.25">
      <c r="B3942" s="6"/>
      <c r="C3942" s="7"/>
      <c r="D3942" s="7"/>
      <c r="E3942" s="8"/>
      <c r="F3942" t="str">
        <f t="shared" si="149"/>
        <v/>
      </c>
      <c r="G3942" t="str">
        <f t="shared" si="150"/>
        <v/>
      </c>
    </row>
    <row r="3943" spans="2:7" x14ac:dyDescent="0.25">
      <c r="B3943" s="6"/>
      <c r="C3943" s="7"/>
      <c r="D3943" s="7"/>
      <c r="E3943" s="8"/>
      <c r="F3943" t="str">
        <f t="shared" si="149"/>
        <v/>
      </c>
      <c r="G3943" t="str">
        <f t="shared" si="150"/>
        <v/>
      </c>
    </row>
    <row r="3944" spans="2:7" x14ac:dyDescent="0.25">
      <c r="B3944" s="6"/>
      <c r="C3944" s="7"/>
      <c r="D3944" s="7"/>
      <c r="E3944" s="8"/>
      <c r="F3944" t="str">
        <f t="shared" si="149"/>
        <v/>
      </c>
      <c r="G3944" t="str">
        <f t="shared" si="150"/>
        <v/>
      </c>
    </row>
    <row r="3945" spans="2:7" x14ac:dyDescent="0.25">
      <c r="B3945" s="6"/>
      <c r="C3945" s="7"/>
      <c r="D3945" s="7"/>
      <c r="E3945" s="8"/>
      <c r="F3945" t="str">
        <f t="shared" si="149"/>
        <v/>
      </c>
      <c r="G3945" t="str">
        <f t="shared" si="150"/>
        <v/>
      </c>
    </row>
    <row r="3946" spans="2:7" x14ac:dyDescent="0.25">
      <c r="B3946" s="6"/>
      <c r="C3946" s="7"/>
      <c r="D3946" s="7"/>
      <c r="E3946" s="8"/>
      <c r="F3946" t="str">
        <f t="shared" si="149"/>
        <v/>
      </c>
      <c r="G3946" t="str">
        <f t="shared" si="150"/>
        <v/>
      </c>
    </row>
    <row r="3947" spans="2:7" x14ac:dyDescent="0.25">
      <c r="B3947" s="6"/>
      <c r="C3947" s="7"/>
      <c r="D3947" s="7"/>
      <c r="E3947" s="8"/>
      <c r="F3947" t="str">
        <f t="shared" si="149"/>
        <v/>
      </c>
      <c r="G3947" t="str">
        <f t="shared" si="150"/>
        <v/>
      </c>
    </row>
    <row r="3948" spans="2:7" x14ac:dyDescent="0.25">
      <c r="B3948" s="6"/>
      <c r="C3948" s="7"/>
      <c r="D3948" s="7"/>
      <c r="E3948" s="8"/>
      <c r="F3948" t="str">
        <f t="shared" si="149"/>
        <v/>
      </c>
      <c r="G3948" t="str">
        <f t="shared" si="150"/>
        <v/>
      </c>
    </row>
    <row r="3949" spans="2:7" x14ac:dyDescent="0.25">
      <c r="B3949" s="6"/>
      <c r="C3949" s="7"/>
      <c r="D3949" s="7"/>
      <c r="E3949" s="8"/>
      <c r="F3949" t="str">
        <f t="shared" si="149"/>
        <v/>
      </c>
      <c r="G3949" t="str">
        <f t="shared" si="150"/>
        <v/>
      </c>
    </row>
    <row r="3950" spans="2:7" x14ac:dyDescent="0.25">
      <c r="B3950" s="6"/>
      <c r="C3950" s="7"/>
      <c r="D3950" s="7"/>
      <c r="E3950" s="8"/>
      <c r="F3950" t="str">
        <f t="shared" si="149"/>
        <v/>
      </c>
      <c r="G3950" t="str">
        <f t="shared" si="150"/>
        <v/>
      </c>
    </row>
    <row r="3951" spans="2:7" x14ac:dyDescent="0.25">
      <c r="B3951" s="6"/>
      <c r="C3951" s="7"/>
      <c r="D3951" s="7"/>
      <c r="E3951" s="8"/>
      <c r="F3951" t="str">
        <f t="shared" si="149"/>
        <v/>
      </c>
      <c r="G3951" t="str">
        <f t="shared" si="150"/>
        <v/>
      </c>
    </row>
    <row r="3952" spans="2:7" x14ac:dyDescent="0.25">
      <c r="B3952" s="6"/>
      <c r="C3952" s="7"/>
      <c r="D3952" s="7"/>
      <c r="E3952" s="8"/>
      <c r="F3952" t="str">
        <f t="shared" si="149"/>
        <v/>
      </c>
      <c r="G3952" t="str">
        <f t="shared" si="150"/>
        <v/>
      </c>
    </row>
    <row r="3953" spans="2:7" x14ac:dyDescent="0.25">
      <c r="B3953" s="6"/>
      <c r="C3953" s="7"/>
      <c r="D3953" s="7"/>
      <c r="E3953" s="8"/>
      <c r="F3953" t="str">
        <f t="shared" si="149"/>
        <v/>
      </c>
      <c r="G3953" t="str">
        <f t="shared" si="150"/>
        <v/>
      </c>
    </row>
    <row r="3954" spans="2:7" x14ac:dyDescent="0.25">
      <c r="B3954" s="6"/>
      <c r="C3954" s="7"/>
      <c r="D3954" s="7"/>
      <c r="E3954" s="8"/>
      <c r="F3954" t="str">
        <f t="shared" si="149"/>
        <v/>
      </c>
      <c r="G3954" t="str">
        <f t="shared" si="150"/>
        <v/>
      </c>
    </row>
    <row r="3955" spans="2:7" x14ac:dyDescent="0.25">
      <c r="B3955" s="6"/>
      <c r="C3955" s="7"/>
      <c r="D3955" s="7"/>
      <c r="E3955" s="8"/>
      <c r="F3955" t="str">
        <f t="shared" si="149"/>
        <v/>
      </c>
      <c r="G3955" t="str">
        <f t="shared" si="150"/>
        <v/>
      </c>
    </row>
    <row r="3956" spans="2:7" x14ac:dyDescent="0.25">
      <c r="B3956" s="6"/>
      <c r="C3956" s="7"/>
      <c r="D3956" s="7"/>
      <c r="E3956" s="8"/>
      <c r="F3956" t="str">
        <f t="shared" si="149"/>
        <v/>
      </c>
      <c r="G3956" t="str">
        <f t="shared" si="150"/>
        <v/>
      </c>
    </row>
    <row r="3957" spans="2:7" x14ac:dyDescent="0.25">
      <c r="B3957" s="6"/>
      <c r="C3957" s="7"/>
      <c r="D3957" s="7"/>
      <c r="E3957" s="8"/>
      <c r="F3957" t="str">
        <f t="shared" si="149"/>
        <v/>
      </c>
      <c r="G3957" t="str">
        <f t="shared" si="150"/>
        <v/>
      </c>
    </row>
    <row r="3958" spans="2:7" x14ac:dyDescent="0.25">
      <c r="B3958" s="6"/>
      <c r="C3958" s="7"/>
      <c r="D3958" s="7"/>
      <c r="E3958" s="8"/>
      <c r="F3958" t="str">
        <f t="shared" si="149"/>
        <v/>
      </c>
      <c r="G3958" t="str">
        <f t="shared" si="150"/>
        <v/>
      </c>
    </row>
    <row r="3959" spans="2:7" x14ac:dyDescent="0.25">
      <c r="B3959" s="6"/>
      <c r="C3959" s="7"/>
      <c r="D3959" s="7"/>
      <c r="E3959" s="8"/>
      <c r="F3959" t="str">
        <f t="shared" si="149"/>
        <v/>
      </c>
      <c r="G3959" t="str">
        <f t="shared" si="150"/>
        <v/>
      </c>
    </row>
    <row r="3960" spans="2:7" x14ac:dyDescent="0.25">
      <c r="B3960" s="6"/>
      <c r="C3960" s="7"/>
      <c r="D3960" s="7"/>
      <c r="E3960" s="8"/>
      <c r="F3960" t="str">
        <f t="shared" si="149"/>
        <v/>
      </c>
      <c r="G3960" t="str">
        <f t="shared" si="150"/>
        <v/>
      </c>
    </row>
    <row r="3961" spans="2:7" x14ac:dyDescent="0.25">
      <c r="B3961" s="6"/>
      <c r="C3961" s="7"/>
      <c r="D3961" s="7"/>
      <c r="E3961" s="8"/>
      <c r="F3961" t="str">
        <f t="shared" si="149"/>
        <v/>
      </c>
      <c r="G3961" t="str">
        <f t="shared" si="150"/>
        <v/>
      </c>
    </row>
    <row r="3962" spans="2:7" x14ac:dyDescent="0.25">
      <c r="B3962" s="6"/>
      <c r="C3962" s="7"/>
      <c r="D3962" s="7"/>
      <c r="E3962" s="8"/>
      <c r="F3962" t="str">
        <f t="shared" si="149"/>
        <v/>
      </c>
      <c r="G3962" t="str">
        <f t="shared" si="150"/>
        <v/>
      </c>
    </row>
    <row r="3963" spans="2:7" x14ac:dyDescent="0.25">
      <c r="B3963" s="6"/>
      <c r="C3963" s="7"/>
      <c r="D3963" s="7"/>
      <c r="E3963" s="8"/>
      <c r="F3963" t="str">
        <f t="shared" si="149"/>
        <v/>
      </c>
      <c r="G3963" t="str">
        <f t="shared" si="150"/>
        <v/>
      </c>
    </row>
    <row r="3964" spans="2:7" x14ac:dyDescent="0.25">
      <c r="B3964" s="6"/>
      <c r="C3964" s="7"/>
      <c r="D3964" s="7"/>
      <c r="E3964" s="8"/>
      <c r="F3964" t="str">
        <f t="shared" si="149"/>
        <v/>
      </c>
      <c r="G3964" t="str">
        <f t="shared" si="150"/>
        <v/>
      </c>
    </row>
    <row r="3965" spans="2:7" x14ac:dyDescent="0.25">
      <c r="B3965" s="6"/>
      <c r="C3965" s="7"/>
      <c r="D3965" s="7"/>
      <c r="E3965" s="8"/>
      <c r="F3965" t="str">
        <f t="shared" si="149"/>
        <v/>
      </c>
      <c r="G3965" t="str">
        <f t="shared" si="150"/>
        <v/>
      </c>
    </row>
    <row r="3966" spans="2:7" x14ac:dyDescent="0.25">
      <c r="B3966" s="6"/>
      <c r="C3966" s="7"/>
      <c r="D3966" s="7"/>
      <c r="E3966" s="8"/>
      <c r="F3966" t="str">
        <f t="shared" si="149"/>
        <v/>
      </c>
      <c r="G3966" t="str">
        <f t="shared" si="150"/>
        <v/>
      </c>
    </row>
    <row r="3967" spans="2:7" x14ac:dyDescent="0.25">
      <c r="B3967" s="6"/>
      <c r="C3967" s="7"/>
      <c r="D3967" s="7"/>
      <c r="E3967" s="8"/>
      <c r="F3967" t="str">
        <f t="shared" si="149"/>
        <v/>
      </c>
      <c r="G3967" t="str">
        <f t="shared" si="150"/>
        <v/>
      </c>
    </row>
    <row r="3968" spans="2:7" x14ac:dyDescent="0.25">
      <c r="B3968" s="6"/>
      <c r="C3968" s="7"/>
      <c r="D3968" s="7"/>
      <c r="E3968" s="8"/>
      <c r="F3968" t="str">
        <f t="shared" si="149"/>
        <v/>
      </c>
      <c r="G3968" t="str">
        <f t="shared" si="150"/>
        <v/>
      </c>
    </row>
    <row r="3969" spans="2:7" x14ac:dyDescent="0.25">
      <c r="B3969" s="6"/>
      <c r="C3969" s="7"/>
      <c r="D3969" s="7"/>
      <c r="E3969" s="8"/>
      <c r="F3969" t="str">
        <f t="shared" si="149"/>
        <v/>
      </c>
      <c r="G3969" t="str">
        <f t="shared" si="150"/>
        <v/>
      </c>
    </row>
    <row r="3970" spans="2:7" x14ac:dyDescent="0.25">
      <c r="B3970" s="6"/>
      <c r="C3970" s="7"/>
      <c r="D3970" s="7"/>
      <c r="E3970" s="8"/>
      <c r="F3970" t="str">
        <f t="shared" si="149"/>
        <v/>
      </c>
      <c r="G3970" t="str">
        <f t="shared" si="150"/>
        <v/>
      </c>
    </row>
    <row r="3971" spans="2:7" x14ac:dyDescent="0.25">
      <c r="B3971" s="6"/>
      <c r="C3971" s="7"/>
      <c r="D3971" s="7"/>
      <c r="E3971" s="8"/>
      <c r="F3971" t="str">
        <f t="shared" si="149"/>
        <v/>
      </c>
      <c r="G3971" t="str">
        <f t="shared" si="150"/>
        <v/>
      </c>
    </row>
    <row r="3972" spans="2:7" x14ac:dyDescent="0.25">
      <c r="B3972" s="6"/>
      <c r="C3972" s="7"/>
      <c r="D3972" s="7"/>
      <c r="E3972" s="8"/>
      <c r="F3972" t="str">
        <f t="shared" ref="F3972:F4035" si="151">IF(B3972="","",LOG10(D3972))</f>
        <v/>
      </c>
      <c r="G3972" t="str">
        <f t="shared" ref="G3972:G4035" si="152">IF(E3972="", "",0.434*E3972/D3972)</f>
        <v/>
      </c>
    </row>
    <row r="3973" spans="2:7" x14ac:dyDescent="0.25">
      <c r="B3973" s="6"/>
      <c r="C3973" s="7"/>
      <c r="D3973" s="7"/>
      <c r="E3973" s="8"/>
      <c r="F3973" t="str">
        <f t="shared" si="151"/>
        <v/>
      </c>
      <c r="G3973" t="str">
        <f t="shared" si="152"/>
        <v/>
      </c>
    </row>
    <row r="3974" spans="2:7" x14ac:dyDescent="0.25">
      <c r="B3974" s="6"/>
      <c r="C3974" s="7"/>
      <c r="D3974" s="7"/>
      <c r="E3974" s="8"/>
      <c r="F3974" t="str">
        <f t="shared" si="151"/>
        <v/>
      </c>
      <c r="G3974" t="str">
        <f t="shared" si="152"/>
        <v/>
      </c>
    </row>
    <row r="3975" spans="2:7" x14ac:dyDescent="0.25">
      <c r="B3975" s="6"/>
      <c r="C3975" s="7"/>
      <c r="D3975" s="7"/>
      <c r="E3975" s="8"/>
      <c r="F3975" t="str">
        <f t="shared" si="151"/>
        <v/>
      </c>
      <c r="G3975" t="str">
        <f t="shared" si="152"/>
        <v/>
      </c>
    </row>
    <row r="3976" spans="2:7" x14ac:dyDescent="0.25">
      <c r="B3976" s="6"/>
      <c r="C3976" s="7"/>
      <c r="D3976" s="7"/>
      <c r="E3976" s="8"/>
      <c r="F3976" t="str">
        <f t="shared" si="151"/>
        <v/>
      </c>
      <c r="G3976" t="str">
        <f t="shared" si="152"/>
        <v/>
      </c>
    </row>
    <row r="3977" spans="2:7" x14ac:dyDescent="0.25">
      <c r="B3977" s="6"/>
      <c r="C3977" s="7"/>
      <c r="D3977" s="7"/>
      <c r="E3977" s="8"/>
      <c r="F3977" t="str">
        <f t="shared" si="151"/>
        <v/>
      </c>
      <c r="G3977" t="str">
        <f t="shared" si="152"/>
        <v/>
      </c>
    </row>
    <row r="3978" spans="2:7" x14ac:dyDescent="0.25">
      <c r="B3978" s="6"/>
      <c r="C3978" s="7"/>
      <c r="D3978" s="7"/>
      <c r="E3978" s="8"/>
      <c r="F3978" t="str">
        <f t="shared" si="151"/>
        <v/>
      </c>
      <c r="G3978" t="str">
        <f t="shared" si="152"/>
        <v/>
      </c>
    </row>
    <row r="3979" spans="2:7" x14ac:dyDescent="0.25">
      <c r="B3979" s="6"/>
      <c r="C3979" s="7"/>
      <c r="D3979" s="7"/>
      <c r="E3979" s="8"/>
      <c r="F3979" t="str">
        <f t="shared" si="151"/>
        <v/>
      </c>
      <c r="G3979" t="str">
        <f t="shared" si="152"/>
        <v/>
      </c>
    </row>
    <row r="3980" spans="2:7" x14ac:dyDescent="0.25">
      <c r="B3980" s="6"/>
      <c r="C3980" s="7"/>
      <c r="D3980" s="7"/>
      <c r="E3980" s="8"/>
      <c r="F3980" t="str">
        <f t="shared" si="151"/>
        <v/>
      </c>
      <c r="G3980" t="str">
        <f t="shared" si="152"/>
        <v/>
      </c>
    </row>
    <row r="3981" spans="2:7" x14ac:dyDescent="0.25">
      <c r="B3981" s="6"/>
      <c r="C3981" s="7"/>
      <c r="D3981" s="7"/>
      <c r="E3981" s="8"/>
      <c r="F3981" t="str">
        <f t="shared" si="151"/>
        <v/>
      </c>
      <c r="G3981" t="str">
        <f t="shared" si="152"/>
        <v/>
      </c>
    </row>
    <row r="3982" spans="2:7" x14ac:dyDescent="0.25">
      <c r="B3982" s="6"/>
      <c r="C3982" s="7"/>
      <c r="D3982" s="7"/>
      <c r="E3982" s="8"/>
      <c r="F3982" t="str">
        <f t="shared" si="151"/>
        <v/>
      </c>
      <c r="G3982" t="str">
        <f t="shared" si="152"/>
        <v/>
      </c>
    </row>
    <row r="3983" spans="2:7" x14ac:dyDescent="0.25">
      <c r="B3983" s="6"/>
      <c r="C3983" s="7"/>
      <c r="D3983" s="7"/>
      <c r="E3983" s="8"/>
      <c r="F3983" t="str">
        <f t="shared" si="151"/>
        <v/>
      </c>
      <c r="G3983" t="str">
        <f t="shared" si="152"/>
        <v/>
      </c>
    </row>
    <row r="3984" spans="2:7" x14ac:dyDescent="0.25">
      <c r="B3984" s="6"/>
      <c r="C3984" s="7"/>
      <c r="D3984" s="7"/>
      <c r="E3984" s="8"/>
      <c r="F3984" t="str">
        <f t="shared" si="151"/>
        <v/>
      </c>
      <c r="G3984" t="str">
        <f t="shared" si="152"/>
        <v/>
      </c>
    </row>
    <row r="3985" spans="2:7" x14ac:dyDescent="0.25">
      <c r="B3985" s="6"/>
      <c r="C3985" s="7"/>
      <c r="D3985" s="7"/>
      <c r="E3985" s="8"/>
      <c r="F3985" t="str">
        <f t="shared" si="151"/>
        <v/>
      </c>
      <c r="G3985" t="str">
        <f t="shared" si="152"/>
        <v/>
      </c>
    </row>
    <row r="3986" spans="2:7" x14ac:dyDescent="0.25">
      <c r="B3986" s="6"/>
      <c r="C3986" s="7"/>
      <c r="D3986" s="7"/>
      <c r="E3986" s="8"/>
      <c r="F3986" t="str">
        <f t="shared" si="151"/>
        <v/>
      </c>
      <c r="G3986" t="str">
        <f t="shared" si="152"/>
        <v/>
      </c>
    </row>
    <row r="3987" spans="2:7" x14ac:dyDescent="0.25">
      <c r="B3987" s="6"/>
      <c r="C3987" s="7"/>
      <c r="D3987" s="7"/>
      <c r="E3987" s="8"/>
      <c r="F3987" t="str">
        <f t="shared" si="151"/>
        <v/>
      </c>
      <c r="G3987" t="str">
        <f t="shared" si="152"/>
        <v/>
      </c>
    </row>
    <row r="3988" spans="2:7" x14ac:dyDescent="0.25">
      <c r="B3988" s="6"/>
      <c r="C3988" s="7"/>
      <c r="D3988" s="7"/>
      <c r="E3988" s="8"/>
      <c r="F3988" t="str">
        <f t="shared" si="151"/>
        <v/>
      </c>
      <c r="G3988" t="str">
        <f t="shared" si="152"/>
        <v/>
      </c>
    </row>
    <row r="3989" spans="2:7" x14ac:dyDescent="0.25">
      <c r="B3989" s="6"/>
      <c r="C3989" s="7"/>
      <c r="D3989" s="7"/>
      <c r="E3989" s="8"/>
      <c r="F3989" t="str">
        <f t="shared" si="151"/>
        <v/>
      </c>
      <c r="G3989" t="str">
        <f t="shared" si="152"/>
        <v/>
      </c>
    </row>
    <row r="3990" spans="2:7" x14ac:dyDescent="0.25">
      <c r="B3990" s="6"/>
      <c r="C3990" s="7"/>
      <c r="D3990" s="7"/>
      <c r="E3990" s="8"/>
      <c r="F3990" t="str">
        <f t="shared" si="151"/>
        <v/>
      </c>
      <c r="G3990" t="str">
        <f t="shared" si="152"/>
        <v/>
      </c>
    </row>
    <row r="3991" spans="2:7" x14ac:dyDescent="0.25">
      <c r="B3991" s="6"/>
      <c r="C3991" s="7"/>
      <c r="D3991" s="7"/>
      <c r="E3991" s="8"/>
      <c r="F3991" t="str">
        <f t="shared" si="151"/>
        <v/>
      </c>
      <c r="G3991" t="str">
        <f t="shared" si="152"/>
        <v/>
      </c>
    </row>
    <row r="3992" spans="2:7" x14ac:dyDescent="0.25">
      <c r="B3992" s="6"/>
      <c r="C3992" s="7"/>
      <c r="D3992" s="7"/>
      <c r="E3992" s="8"/>
      <c r="F3992" t="str">
        <f t="shared" si="151"/>
        <v/>
      </c>
      <c r="G3992" t="str">
        <f t="shared" si="152"/>
        <v/>
      </c>
    </row>
    <row r="3993" spans="2:7" x14ac:dyDescent="0.25">
      <c r="B3993" s="6"/>
      <c r="C3993" s="7"/>
      <c r="D3993" s="7"/>
      <c r="E3993" s="8"/>
      <c r="F3993" t="str">
        <f t="shared" si="151"/>
        <v/>
      </c>
      <c r="G3993" t="str">
        <f t="shared" si="152"/>
        <v/>
      </c>
    </row>
    <row r="3994" spans="2:7" x14ac:dyDescent="0.25">
      <c r="B3994" s="6"/>
      <c r="C3994" s="7"/>
      <c r="D3994" s="7"/>
      <c r="E3994" s="8"/>
      <c r="F3994" t="str">
        <f t="shared" si="151"/>
        <v/>
      </c>
      <c r="G3994" t="str">
        <f t="shared" si="152"/>
        <v/>
      </c>
    </row>
    <row r="3995" spans="2:7" x14ac:dyDescent="0.25">
      <c r="B3995" s="6"/>
      <c r="C3995" s="7"/>
      <c r="D3995" s="7"/>
      <c r="E3995" s="8"/>
      <c r="F3995" t="str">
        <f t="shared" si="151"/>
        <v/>
      </c>
      <c r="G3995" t="str">
        <f t="shared" si="152"/>
        <v/>
      </c>
    </row>
    <row r="3996" spans="2:7" x14ac:dyDescent="0.25">
      <c r="B3996" s="6"/>
      <c r="C3996" s="7"/>
      <c r="D3996" s="7"/>
      <c r="E3996" s="8"/>
      <c r="F3996" t="str">
        <f t="shared" si="151"/>
        <v/>
      </c>
      <c r="G3996" t="str">
        <f t="shared" si="152"/>
        <v/>
      </c>
    </row>
    <row r="3997" spans="2:7" x14ac:dyDescent="0.25">
      <c r="B3997" s="6"/>
      <c r="C3997" s="7"/>
      <c r="D3997" s="7"/>
      <c r="E3997" s="8"/>
      <c r="F3997" t="str">
        <f t="shared" si="151"/>
        <v/>
      </c>
      <c r="G3997" t="str">
        <f t="shared" si="152"/>
        <v/>
      </c>
    </row>
    <row r="3998" spans="2:7" x14ac:dyDescent="0.25">
      <c r="B3998" s="6"/>
      <c r="C3998" s="7"/>
      <c r="D3998" s="7"/>
      <c r="E3998" s="8"/>
      <c r="F3998" t="str">
        <f t="shared" si="151"/>
        <v/>
      </c>
      <c r="G3998" t="str">
        <f t="shared" si="152"/>
        <v/>
      </c>
    </row>
    <row r="3999" spans="2:7" x14ac:dyDescent="0.25">
      <c r="B3999" s="6"/>
      <c r="C3999" s="7"/>
      <c r="D3999" s="7"/>
      <c r="E3999" s="8"/>
      <c r="F3999" t="str">
        <f t="shared" si="151"/>
        <v/>
      </c>
      <c r="G3999" t="str">
        <f t="shared" si="152"/>
        <v/>
      </c>
    </row>
    <row r="4000" spans="2:7" x14ac:dyDescent="0.25">
      <c r="B4000" s="6"/>
      <c r="C4000" s="7"/>
      <c r="D4000" s="7"/>
      <c r="E4000" s="8"/>
      <c r="F4000" t="str">
        <f t="shared" si="151"/>
        <v/>
      </c>
      <c r="G4000" t="str">
        <f t="shared" si="152"/>
        <v/>
      </c>
    </row>
    <row r="4001" spans="2:9" x14ac:dyDescent="0.25">
      <c r="B4001" s="6"/>
      <c r="C4001" s="7"/>
      <c r="D4001" s="7"/>
      <c r="E4001" s="8"/>
      <c r="F4001" t="str">
        <f t="shared" si="151"/>
        <v/>
      </c>
      <c r="G4001" t="str">
        <f t="shared" si="152"/>
        <v/>
      </c>
    </row>
    <row r="4002" spans="2:9" x14ac:dyDescent="0.25">
      <c r="B4002" s="6"/>
      <c r="C4002" s="7"/>
      <c r="D4002" s="7"/>
      <c r="E4002" s="8"/>
      <c r="F4002" t="str">
        <f t="shared" si="151"/>
        <v/>
      </c>
      <c r="G4002" t="str">
        <f t="shared" si="152"/>
        <v/>
      </c>
    </row>
    <row r="4003" spans="2:9" x14ac:dyDescent="0.25">
      <c r="B4003" s="6"/>
      <c r="C4003" s="7"/>
      <c r="D4003" s="7"/>
      <c r="E4003" s="8"/>
      <c r="F4003" t="str">
        <f t="shared" si="151"/>
        <v/>
      </c>
      <c r="G4003" t="str">
        <f t="shared" si="152"/>
        <v/>
      </c>
    </row>
    <row r="4004" spans="2:9" x14ac:dyDescent="0.25">
      <c r="B4004" s="6"/>
      <c r="C4004" s="7"/>
      <c r="D4004" s="7"/>
      <c r="E4004" s="8"/>
      <c r="F4004" t="str">
        <f t="shared" si="151"/>
        <v/>
      </c>
      <c r="G4004" t="str">
        <f t="shared" si="152"/>
        <v/>
      </c>
      <c r="H4004" t="s">
        <v>78</v>
      </c>
      <c r="I4004" t="s">
        <v>78</v>
      </c>
    </row>
    <row r="4005" spans="2:9" x14ac:dyDescent="0.25">
      <c r="B4005" s="6"/>
      <c r="C4005" s="7"/>
      <c r="D4005" s="7"/>
      <c r="E4005" s="8"/>
      <c r="F4005" t="str">
        <f t="shared" si="151"/>
        <v/>
      </c>
      <c r="G4005" t="str">
        <f t="shared" si="152"/>
        <v/>
      </c>
    </row>
    <row r="4006" spans="2:9" x14ac:dyDescent="0.25">
      <c r="B4006" s="6"/>
      <c r="C4006" s="7"/>
      <c r="D4006" s="7"/>
      <c r="E4006" s="8"/>
      <c r="F4006" t="str">
        <f t="shared" si="151"/>
        <v/>
      </c>
      <c r="G4006" t="str">
        <f t="shared" si="152"/>
        <v/>
      </c>
    </row>
    <row r="4007" spans="2:9" x14ac:dyDescent="0.25">
      <c r="B4007" s="6"/>
      <c r="C4007" s="7"/>
      <c r="D4007" s="7"/>
      <c r="E4007" s="8"/>
      <c r="F4007" t="str">
        <f t="shared" si="151"/>
        <v/>
      </c>
      <c r="G4007" t="str">
        <f t="shared" si="152"/>
        <v/>
      </c>
    </row>
    <row r="4008" spans="2:9" x14ac:dyDescent="0.25">
      <c r="B4008" s="6"/>
      <c r="C4008" s="7"/>
      <c r="D4008" s="7"/>
      <c r="E4008" s="8"/>
      <c r="F4008" t="str">
        <f t="shared" si="151"/>
        <v/>
      </c>
      <c r="G4008" t="str">
        <f t="shared" si="152"/>
        <v/>
      </c>
    </row>
    <row r="4009" spans="2:9" x14ac:dyDescent="0.25">
      <c r="B4009" s="6"/>
      <c r="C4009" s="7"/>
      <c r="D4009" s="7"/>
      <c r="E4009" s="8"/>
      <c r="F4009" t="str">
        <f t="shared" si="151"/>
        <v/>
      </c>
      <c r="G4009" t="str">
        <f t="shared" si="152"/>
        <v/>
      </c>
    </row>
    <row r="4010" spans="2:9" x14ac:dyDescent="0.25">
      <c r="B4010" s="6"/>
      <c r="C4010" s="7"/>
      <c r="D4010" s="7"/>
      <c r="E4010" s="8"/>
      <c r="F4010" t="str">
        <f t="shared" si="151"/>
        <v/>
      </c>
      <c r="G4010" t="str">
        <f t="shared" si="152"/>
        <v/>
      </c>
    </row>
    <row r="4011" spans="2:9" x14ac:dyDescent="0.25">
      <c r="B4011" s="6"/>
      <c r="C4011" s="7"/>
      <c r="D4011" s="7"/>
      <c r="E4011" s="8"/>
      <c r="F4011" t="str">
        <f t="shared" si="151"/>
        <v/>
      </c>
      <c r="G4011" t="str">
        <f t="shared" si="152"/>
        <v/>
      </c>
    </row>
    <row r="4012" spans="2:9" x14ac:dyDescent="0.25">
      <c r="B4012" s="6"/>
      <c r="C4012" s="7"/>
      <c r="D4012" s="7"/>
      <c r="E4012" s="8"/>
      <c r="F4012" t="str">
        <f t="shared" si="151"/>
        <v/>
      </c>
      <c r="G4012" t="str">
        <f t="shared" si="152"/>
        <v/>
      </c>
    </row>
    <row r="4013" spans="2:9" x14ac:dyDescent="0.25">
      <c r="B4013" s="6"/>
      <c r="C4013" s="7"/>
      <c r="D4013" s="7"/>
      <c r="E4013" s="8"/>
      <c r="F4013" t="str">
        <f t="shared" si="151"/>
        <v/>
      </c>
      <c r="G4013" t="str">
        <f t="shared" si="152"/>
        <v/>
      </c>
    </row>
    <row r="4014" spans="2:9" x14ac:dyDescent="0.25">
      <c r="B4014" s="6"/>
      <c r="C4014" s="7"/>
      <c r="D4014" s="7"/>
      <c r="E4014" s="8"/>
      <c r="F4014" t="str">
        <f t="shared" si="151"/>
        <v/>
      </c>
      <c r="G4014" t="str">
        <f t="shared" si="152"/>
        <v/>
      </c>
    </row>
    <row r="4015" spans="2:9" x14ac:dyDescent="0.25">
      <c r="B4015" s="6"/>
      <c r="C4015" s="7"/>
      <c r="D4015" s="7"/>
      <c r="E4015" s="8"/>
      <c r="F4015" t="str">
        <f t="shared" si="151"/>
        <v/>
      </c>
      <c r="G4015" t="str">
        <f t="shared" si="152"/>
        <v/>
      </c>
    </row>
    <row r="4016" spans="2:9" x14ac:dyDescent="0.25">
      <c r="B4016" s="6"/>
      <c r="C4016" s="7"/>
      <c r="D4016" s="7"/>
      <c r="E4016" s="8"/>
      <c r="F4016" t="str">
        <f t="shared" si="151"/>
        <v/>
      </c>
      <c r="G4016" t="str">
        <f t="shared" si="152"/>
        <v/>
      </c>
    </row>
    <row r="4017" spans="2:7" x14ac:dyDescent="0.25">
      <c r="B4017" s="6"/>
      <c r="C4017" s="7"/>
      <c r="D4017" s="7"/>
      <c r="E4017" s="8"/>
      <c r="F4017" t="str">
        <f t="shared" si="151"/>
        <v/>
      </c>
      <c r="G4017" t="str">
        <f t="shared" si="152"/>
        <v/>
      </c>
    </row>
    <row r="4018" spans="2:7" x14ac:dyDescent="0.25">
      <c r="B4018" s="6"/>
      <c r="C4018" s="7"/>
      <c r="D4018" s="7"/>
      <c r="E4018" s="8"/>
      <c r="F4018" t="str">
        <f t="shared" si="151"/>
        <v/>
      </c>
      <c r="G4018" t="str">
        <f t="shared" si="152"/>
        <v/>
      </c>
    </row>
    <row r="4019" spans="2:7" x14ac:dyDescent="0.25">
      <c r="B4019" s="6"/>
      <c r="C4019" s="7"/>
      <c r="D4019" s="7"/>
      <c r="E4019" s="8"/>
      <c r="F4019" t="str">
        <f t="shared" si="151"/>
        <v/>
      </c>
      <c r="G4019" t="str">
        <f t="shared" si="152"/>
        <v/>
      </c>
    </row>
    <row r="4020" spans="2:7" x14ac:dyDescent="0.25">
      <c r="B4020" s="6"/>
      <c r="C4020" s="7"/>
      <c r="D4020" s="7"/>
      <c r="E4020" s="8"/>
      <c r="F4020" t="str">
        <f t="shared" si="151"/>
        <v/>
      </c>
      <c r="G4020" t="str">
        <f t="shared" si="152"/>
        <v/>
      </c>
    </row>
    <row r="4021" spans="2:7" x14ac:dyDescent="0.25">
      <c r="B4021" s="6"/>
      <c r="C4021" s="7"/>
      <c r="D4021" s="7"/>
      <c r="E4021" s="8"/>
      <c r="F4021" t="str">
        <f t="shared" si="151"/>
        <v/>
      </c>
      <c r="G4021" t="str">
        <f t="shared" si="152"/>
        <v/>
      </c>
    </row>
    <row r="4022" spans="2:7" x14ac:dyDescent="0.25">
      <c r="B4022" s="6"/>
      <c r="C4022" s="7"/>
      <c r="D4022" s="7"/>
      <c r="E4022" s="8"/>
      <c r="F4022" t="str">
        <f t="shared" si="151"/>
        <v/>
      </c>
      <c r="G4022" t="str">
        <f t="shared" si="152"/>
        <v/>
      </c>
    </row>
    <row r="4023" spans="2:7" x14ac:dyDescent="0.25">
      <c r="B4023" s="6"/>
      <c r="C4023" s="7"/>
      <c r="D4023" s="7"/>
      <c r="E4023" s="8"/>
      <c r="F4023" t="str">
        <f t="shared" si="151"/>
        <v/>
      </c>
      <c r="G4023" t="str">
        <f t="shared" si="152"/>
        <v/>
      </c>
    </row>
    <row r="4024" spans="2:7" x14ac:dyDescent="0.25">
      <c r="B4024" s="6"/>
      <c r="C4024" s="7"/>
      <c r="D4024" s="7"/>
      <c r="E4024" s="8"/>
      <c r="F4024" t="str">
        <f t="shared" si="151"/>
        <v/>
      </c>
      <c r="G4024" t="str">
        <f t="shared" si="152"/>
        <v/>
      </c>
    </row>
    <row r="4025" spans="2:7" x14ac:dyDescent="0.25">
      <c r="B4025" s="6"/>
      <c r="C4025" s="7"/>
      <c r="D4025" s="7"/>
      <c r="E4025" s="8"/>
      <c r="F4025" t="str">
        <f t="shared" si="151"/>
        <v/>
      </c>
      <c r="G4025" t="str">
        <f t="shared" si="152"/>
        <v/>
      </c>
    </row>
    <row r="4026" spans="2:7" x14ac:dyDescent="0.25">
      <c r="B4026" s="6"/>
      <c r="C4026" s="7"/>
      <c r="D4026" s="7"/>
      <c r="E4026" s="8"/>
      <c r="F4026" t="str">
        <f t="shared" si="151"/>
        <v/>
      </c>
      <c r="G4026" t="str">
        <f t="shared" si="152"/>
        <v/>
      </c>
    </row>
    <row r="4027" spans="2:7" x14ac:dyDescent="0.25">
      <c r="B4027" s="6"/>
      <c r="C4027" s="7"/>
      <c r="D4027" s="7"/>
      <c r="E4027" s="8"/>
      <c r="F4027" t="str">
        <f t="shared" si="151"/>
        <v/>
      </c>
      <c r="G4027" t="str">
        <f t="shared" si="152"/>
        <v/>
      </c>
    </row>
    <row r="4028" spans="2:7" x14ac:dyDescent="0.25">
      <c r="B4028" s="6"/>
      <c r="C4028" s="7"/>
      <c r="D4028" s="7"/>
      <c r="E4028" s="8"/>
      <c r="F4028" t="str">
        <f t="shared" si="151"/>
        <v/>
      </c>
      <c r="G4028" t="str">
        <f t="shared" si="152"/>
        <v/>
      </c>
    </row>
    <row r="4029" spans="2:7" x14ac:dyDescent="0.25">
      <c r="B4029" s="6"/>
      <c r="C4029" s="7"/>
      <c r="D4029" s="7"/>
      <c r="E4029" s="8"/>
      <c r="F4029" t="str">
        <f t="shared" si="151"/>
        <v/>
      </c>
      <c r="G4029" t="str">
        <f t="shared" si="152"/>
        <v/>
      </c>
    </row>
    <row r="4030" spans="2:7" x14ac:dyDescent="0.25">
      <c r="B4030" s="6"/>
      <c r="C4030" s="7"/>
      <c r="D4030" s="7"/>
      <c r="E4030" s="8"/>
      <c r="F4030" t="str">
        <f t="shared" si="151"/>
        <v/>
      </c>
      <c r="G4030" t="str">
        <f t="shared" si="152"/>
        <v/>
      </c>
    </row>
    <row r="4031" spans="2:7" x14ac:dyDescent="0.25">
      <c r="B4031" s="6"/>
      <c r="C4031" s="7"/>
      <c r="D4031" s="7"/>
      <c r="E4031" s="8"/>
      <c r="F4031" t="str">
        <f t="shared" si="151"/>
        <v/>
      </c>
      <c r="G4031" t="str">
        <f t="shared" si="152"/>
        <v/>
      </c>
    </row>
    <row r="4032" spans="2:7" x14ac:dyDescent="0.25">
      <c r="B4032" s="6"/>
      <c r="C4032" s="7"/>
      <c r="D4032" s="7"/>
      <c r="E4032" s="8"/>
      <c r="F4032" t="str">
        <f t="shared" si="151"/>
        <v/>
      </c>
      <c r="G4032" t="str">
        <f t="shared" si="152"/>
        <v/>
      </c>
    </row>
    <row r="4033" spans="2:7" x14ac:dyDescent="0.25">
      <c r="B4033" s="6"/>
      <c r="C4033" s="7"/>
      <c r="D4033" s="7"/>
      <c r="E4033" s="8"/>
      <c r="F4033" t="str">
        <f t="shared" si="151"/>
        <v/>
      </c>
      <c r="G4033" t="str">
        <f t="shared" si="152"/>
        <v/>
      </c>
    </row>
    <row r="4034" spans="2:7" x14ac:dyDescent="0.25">
      <c r="B4034" s="6"/>
      <c r="C4034" s="7"/>
      <c r="D4034" s="7"/>
      <c r="E4034" s="8"/>
      <c r="F4034" t="str">
        <f t="shared" si="151"/>
        <v/>
      </c>
      <c r="G4034" t="str">
        <f t="shared" si="152"/>
        <v/>
      </c>
    </row>
    <row r="4035" spans="2:7" x14ac:dyDescent="0.25">
      <c r="B4035" s="6"/>
      <c r="C4035" s="7"/>
      <c r="D4035" s="7"/>
      <c r="E4035" s="8"/>
      <c r="F4035" t="str">
        <f t="shared" si="151"/>
        <v/>
      </c>
      <c r="G4035" t="str">
        <f t="shared" si="152"/>
        <v/>
      </c>
    </row>
    <row r="4036" spans="2:7" x14ac:dyDescent="0.25">
      <c r="B4036" s="6"/>
      <c r="C4036" s="7"/>
      <c r="D4036" s="7"/>
      <c r="E4036" s="8"/>
      <c r="F4036" t="str">
        <f t="shared" ref="F4036:F4099" si="153">IF(B4036="","",LOG10(D4036))</f>
        <v/>
      </c>
      <c r="G4036" t="str">
        <f t="shared" ref="G4036:G4099" si="154">IF(E4036="", "",0.434*E4036/D4036)</f>
        <v/>
      </c>
    </row>
    <row r="4037" spans="2:7" x14ac:dyDescent="0.25">
      <c r="B4037" s="6"/>
      <c r="C4037" s="7"/>
      <c r="D4037" s="7"/>
      <c r="E4037" s="8"/>
      <c r="F4037" t="str">
        <f t="shared" si="153"/>
        <v/>
      </c>
      <c r="G4037" t="str">
        <f t="shared" si="154"/>
        <v/>
      </c>
    </row>
    <row r="4038" spans="2:7" x14ac:dyDescent="0.25">
      <c r="B4038" s="6"/>
      <c r="C4038" s="7"/>
      <c r="D4038" s="7"/>
      <c r="E4038" s="8"/>
      <c r="F4038" t="str">
        <f t="shared" si="153"/>
        <v/>
      </c>
      <c r="G4038" t="str">
        <f t="shared" si="154"/>
        <v/>
      </c>
    </row>
    <row r="4039" spans="2:7" x14ac:dyDescent="0.25">
      <c r="B4039" s="6"/>
      <c r="C4039" s="7"/>
      <c r="D4039" s="7"/>
      <c r="E4039" s="8"/>
      <c r="F4039" t="str">
        <f t="shared" si="153"/>
        <v/>
      </c>
      <c r="G4039" t="str">
        <f t="shared" si="154"/>
        <v/>
      </c>
    </row>
    <row r="4040" spans="2:7" x14ac:dyDescent="0.25">
      <c r="B4040" s="6"/>
      <c r="C4040" s="7"/>
      <c r="D4040" s="7"/>
      <c r="E4040" s="8"/>
      <c r="F4040" t="str">
        <f t="shared" si="153"/>
        <v/>
      </c>
      <c r="G4040" t="str">
        <f t="shared" si="154"/>
        <v/>
      </c>
    </row>
    <row r="4041" spans="2:7" x14ac:dyDescent="0.25">
      <c r="B4041" s="6"/>
      <c r="C4041" s="7"/>
      <c r="D4041" s="7"/>
      <c r="E4041" s="8"/>
      <c r="F4041" t="str">
        <f t="shared" si="153"/>
        <v/>
      </c>
      <c r="G4041" t="str">
        <f t="shared" si="154"/>
        <v/>
      </c>
    </row>
    <row r="4042" spans="2:7" x14ac:dyDescent="0.25">
      <c r="B4042" s="6"/>
      <c r="C4042" s="7"/>
      <c r="D4042" s="7"/>
      <c r="E4042" s="8"/>
      <c r="F4042" t="str">
        <f t="shared" si="153"/>
        <v/>
      </c>
      <c r="G4042" t="str">
        <f t="shared" si="154"/>
        <v/>
      </c>
    </row>
    <row r="4043" spans="2:7" x14ac:dyDescent="0.25">
      <c r="B4043" s="6"/>
      <c r="C4043" s="7"/>
      <c r="D4043" s="7"/>
      <c r="E4043" s="8"/>
      <c r="F4043" t="str">
        <f t="shared" si="153"/>
        <v/>
      </c>
      <c r="G4043" t="str">
        <f t="shared" si="154"/>
        <v/>
      </c>
    </row>
    <row r="4044" spans="2:7" x14ac:dyDescent="0.25">
      <c r="B4044" s="6"/>
      <c r="C4044" s="7"/>
      <c r="D4044" s="7"/>
      <c r="E4044" s="8"/>
      <c r="F4044" t="str">
        <f t="shared" si="153"/>
        <v/>
      </c>
      <c r="G4044" t="str">
        <f t="shared" si="154"/>
        <v/>
      </c>
    </row>
    <row r="4045" spans="2:7" x14ac:dyDescent="0.25">
      <c r="B4045" s="6"/>
      <c r="C4045" s="7"/>
      <c r="D4045" s="7"/>
      <c r="E4045" s="8"/>
      <c r="F4045" t="str">
        <f t="shared" si="153"/>
        <v/>
      </c>
      <c r="G4045" t="str">
        <f t="shared" si="154"/>
        <v/>
      </c>
    </row>
    <row r="4046" spans="2:7" x14ac:dyDescent="0.25">
      <c r="B4046" s="6"/>
      <c r="C4046" s="7"/>
      <c r="D4046" s="7"/>
      <c r="E4046" s="8"/>
      <c r="F4046" t="str">
        <f t="shared" si="153"/>
        <v/>
      </c>
      <c r="G4046" t="str">
        <f t="shared" si="154"/>
        <v/>
      </c>
    </row>
    <row r="4047" spans="2:7" x14ac:dyDescent="0.25">
      <c r="B4047" s="6"/>
      <c r="C4047" s="7"/>
      <c r="D4047" s="7"/>
      <c r="E4047" s="8"/>
      <c r="F4047" t="str">
        <f t="shared" si="153"/>
        <v/>
      </c>
      <c r="G4047" t="str">
        <f t="shared" si="154"/>
        <v/>
      </c>
    </row>
    <row r="4048" spans="2:7" x14ac:dyDescent="0.25">
      <c r="B4048" s="6"/>
      <c r="C4048" s="7"/>
      <c r="D4048" s="7"/>
      <c r="E4048" s="8"/>
      <c r="F4048" t="str">
        <f t="shared" si="153"/>
        <v/>
      </c>
      <c r="G4048" t="str">
        <f t="shared" si="154"/>
        <v/>
      </c>
    </row>
    <row r="4049" spans="2:7" x14ac:dyDescent="0.25">
      <c r="B4049" s="6"/>
      <c r="C4049" s="7"/>
      <c r="D4049" s="7"/>
      <c r="E4049" s="8"/>
      <c r="F4049" t="str">
        <f t="shared" si="153"/>
        <v/>
      </c>
      <c r="G4049" t="str">
        <f t="shared" si="154"/>
        <v/>
      </c>
    </row>
    <row r="4050" spans="2:7" x14ac:dyDescent="0.25">
      <c r="B4050" s="6"/>
      <c r="C4050" s="7"/>
      <c r="D4050" s="7"/>
      <c r="E4050" s="8"/>
      <c r="F4050" t="str">
        <f t="shared" si="153"/>
        <v/>
      </c>
      <c r="G4050" t="str">
        <f t="shared" si="154"/>
        <v/>
      </c>
    </row>
    <row r="4051" spans="2:7" x14ac:dyDescent="0.25">
      <c r="B4051" s="6"/>
      <c r="C4051" s="7"/>
      <c r="D4051" s="7"/>
      <c r="E4051" s="8"/>
      <c r="F4051" t="str">
        <f t="shared" si="153"/>
        <v/>
      </c>
      <c r="G4051" t="str">
        <f t="shared" si="154"/>
        <v/>
      </c>
    </row>
    <row r="4052" spans="2:7" x14ac:dyDescent="0.25">
      <c r="B4052" s="6"/>
      <c r="C4052" s="7"/>
      <c r="D4052" s="7"/>
      <c r="E4052" s="8"/>
      <c r="F4052" t="str">
        <f t="shared" si="153"/>
        <v/>
      </c>
      <c r="G4052" t="str">
        <f t="shared" si="154"/>
        <v/>
      </c>
    </row>
    <row r="4053" spans="2:7" x14ac:dyDescent="0.25">
      <c r="B4053" s="6"/>
      <c r="C4053" s="7"/>
      <c r="D4053" s="7"/>
      <c r="E4053" s="8"/>
      <c r="F4053" t="str">
        <f t="shared" si="153"/>
        <v/>
      </c>
      <c r="G4053" t="str">
        <f t="shared" si="154"/>
        <v/>
      </c>
    </row>
    <row r="4054" spans="2:7" x14ac:dyDescent="0.25">
      <c r="B4054" s="6"/>
      <c r="C4054" s="7"/>
      <c r="D4054" s="7"/>
      <c r="E4054" s="8"/>
      <c r="F4054" t="str">
        <f t="shared" si="153"/>
        <v/>
      </c>
      <c r="G4054" t="str">
        <f t="shared" si="154"/>
        <v/>
      </c>
    </row>
    <row r="4055" spans="2:7" x14ac:dyDescent="0.25">
      <c r="B4055" s="6"/>
      <c r="C4055" s="7"/>
      <c r="D4055" s="7"/>
      <c r="E4055" s="8"/>
      <c r="F4055" t="str">
        <f t="shared" si="153"/>
        <v/>
      </c>
      <c r="G4055" t="str">
        <f t="shared" si="154"/>
        <v/>
      </c>
    </row>
    <row r="4056" spans="2:7" x14ac:dyDescent="0.25">
      <c r="B4056" s="6"/>
      <c r="C4056" s="7"/>
      <c r="D4056" s="7"/>
      <c r="E4056" s="8"/>
      <c r="F4056" t="str">
        <f t="shared" si="153"/>
        <v/>
      </c>
      <c r="G4056" t="str">
        <f t="shared" si="154"/>
        <v/>
      </c>
    </row>
    <row r="4057" spans="2:7" x14ac:dyDescent="0.25">
      <c r="B4057" s="6"/>
      <c r="C4057" s="7"/>
      <c r="D4057" s="7"/>
      <c r="E4057" s="8"/>
      <c r="F4057" t="str">
        <f t="shared" si="153"/>
        <v/>
      </c>
      <c r="G4057" t="str">
        <f t="shared" si="154"/>
        <v/>
      </c>
    </row>
    <row r="4058" spans="2:7" x14ac:dyDescent="0.25">
      <c r="B4058" s="6"/>
      <c r="C4058" s="7"/>
      <c r="D4058" s="7"/>
      <c r="E4058" s="8"/>
      <c r="F4058" t="str">
        <f t="shared" si="153"/>
        <v/>
      </c>
      <c r="G4058" t="str">
        <f t="shared" si="154"/>
        <v/>
      </c>
    </row>
    <row r="4059" spans="2:7" x14ac:dyDescent="0.25">
      <c r="B4059" s="6"/>
      <c r="C4059" s="7"/>
      <c r="D4059" s="7"/>
      <c r="E4059" s="8"/>
      <c r="F4059" t="str">
        <f t="shared" si="153"/>
        <v/>
      </c>
      <c r="G4059" t="str">
        <f t="shared" si="154"/>
        <v/>
      </c>
    </row>
    <row r="4060" spans="2:7" x14ac:dyDescent="0.25">
      <c r="B4060" s="6"/>
      <c r="C4060" s="7"/>
      <c r="D4060" s="7"/>
      <c r="E4060" s="8"/>
      <c r="F4060" t="str">
        <f t="shared" si="153"/>
        <v/>
      </c>
      <c r="G4060" t="str">
        <f t="shared" si="154"/>
        <v/>
      </c>
    </row>
    <row r="4061" spans="2:7" x14ac:dyDescent="0.25">
      <c r="B4061" s="6"/>
      <c r="C4061" s="7"/>
      <c r="D4061" s="7"/>
      <c r="E4061" s="8"/>
      <c r="F4061" t="str">
        <f t="shared" si="153"/>
        <v/>
      </c>
      <c r="G4061" t="str">
        <f t="shared" si="154"/>
        <v/>
      </c>
    </row>
    <row r="4062" spans="2:7" x14ac:dyDescent="0.25">
      <c r="B4062" s="6"/>
      <c r="C4062" s="7"/>
      <c r="D4062" s="7"/>
      <c r="E4062" s="8"/>
      <c r="F4062" t="str">
        <f t="shared" si="153"/>
        <v/>
      </c>
      <c r="G4062" t="str">
        <f t="shared" si="154"/>
        <v/>
      </c>
    </row>
    <row r="4063" spans="2:7" x14ac:dyDescent="0.25">
      <c r="B4063" s="6"/>
      <c r="C4063" s="7"/>
      <c r="D4063" s="7"/>
      <c r="E4063" s="8"/>
      <c r="F4063" t="str">
        <f t="shared" si="153"/>
        <v/>
      </c>
      <c r="G4063" t="str">
        <f t="shared" si="154"/>
        <v/>
      </c>
    </row>
    <row r="4064" spans="2:7" x14ac:dyDescent="0.25">
      <c r="B4064" s="6"/>
      <c r="C4064" s="7"/>
      <c r="D4064" s="7"/>
      <c r="E4064" s="8"/>
      <c r="F4064" t="str">
        <f t="shared" si="153"/>
        <v/>
      </c>
      <c r="G4064" t="str">
        <f t="shared" si="154"/>
        <v/>
      </c>
    </row>
    <row r="4065" spans="2:7" x14ac:dyDescent="0.25">
      <c r="B4065" s="6"/>
      <c r="C4065" s="7"/>
      <c r="D4065" s="7"/>
      <c r="E4065" s="8"/>
      <c r="F4065" t="str">
        <f t="shared" si="153"/>
        <v/>
      </c>
      <c r="G4065" t="str">
        <f t="shared" si="154"/>
        <v/>
      </c>
    </row>
    <row r="4066" spans="2:7" x14ac:dyDescent="0.25">
      <c r="B4066" s="6"/>
      <c r="C4066" s="7"/>
      <c r="D4066" s="7"/>
      <c r="E4066" s="8"/>
      <c r="F4066" t="str">
        <f t="shared" si="153"/>
        <v/>
      </c>
      <c r="G4066" t="str">
        <f t="shared" si="154"/>
        <v/>
      </c>
    </row>
    <row r="4067" spans="2:7" x14ac:dyDescent="0.25">
      <c r="B4067" s="6"/>
      <c r="C4067" s="7"/>
      <c r="D4067" s="7"/>
      <c r="E4067" s="8"/>
      <c r="F4067" t="str">
        <f t="shared" si="153"/>
        <v/>
      </c>
      <c r="G4067" t="str">
        <f t="shared" si="154"/>
        <v/>
      </c>
    </row>
    <row r="4068" spans="2:7" x14ac:dyDescent="0.25">
      <c r="B4068" s="6"/>
      <c r="C4068" s="7"/>
      <c r="D4068" s="7"/>
      <c r="E4068" s="8"/>
      <c r="F4068" t="str">
        <f t="shared" si="153"/>
        <v/>
      </c>
      <c r="G4068" t="str">
        <f t="shared" si="154"/>
        <v/>
      </c>
    </row>
    <row r="4069" spans="2:7" x14ac:dyDescent="0.25">
      <c r="B4069" s="6"/>
      <c r="C4069" s="7"/>
      <c r="D4069" s="7"/>
      <c r="E4069" s="8"/>
      <c r="F4069" t="str">
        <f t="shared" si="153"/>
        <v/>
      </c>
      <c r="G4069" t="str">
        <f t="shared" si="154"/>
        <v/>
      </c>
    </row>
    <row r="4070" spans="2:7" x14ac:dyDescent="0.25">
      <c r="B4070" s="6"/>
      <c r="C4070" s="7"/>
      <c r="D4070" s="7"/>
      <c r="E4070" s="8"/>
      <c r="F4070" t="str">
        <f t="shared" si="153"/>
        <v/>
      </c>
      <c r="G4070" t="str">
        <f t="shared" si="154"/>
        <v/>
      </c>
    </row>
    <row r="4071" spans="2:7" x14ac:dyDescent="0.25">
      <c r="B4071" s="6"/>
      <c r="C4071" s="7"/>
      <c r="D4071" s="7"/>
      <c r="E4071" s="8"/>
      <c r="F4071" t="str">
        <f t="shared" si="153"/>
        <v/>
      </c>
      <c r="G4071" t="str">
        <f t="shared" si="154"/>
        <v/>
      </c>
    </row>
    <row r="4072" spans="2:7" x14ac:dyDescent="0.25">
      <c r="B4072" s="6"/>
      <c r="C4072" s="7"/>
      <c r="D4072" s="7"/>
      <c r="E4072" s="8"/>
      <c r="F4072" t="str">
        <f t="shared" si="153"/>
        <v/>
      </c>
      <c r="G4072" t="str">
        <f t="shared" si="154"/>
        <v/>
      </c>
    </row>
    <row r="4073" spans="2:7" x14ac:dyDescent="0.25">
      <c r="B4073" s="6"/>
      <c r="C4073" s="7"/>
      <c r="D4073" s="7"/>
      <c r="E4073" s="8"/>
      <c r="F4073" t="str">
        <f t="shared" si="153"/>
        <v/>
      </c>
      <c r="G4073" t="str">
        <f t="shared" si="154"/>
        <v/>
      </c>
    </row>
    <row r="4074" spans="2:7" x14ac:dyDescent="0.25">
      <c r="B4074" s="6"/>
      <c r="C4074" s="7"/>
      <c r="D4074" s="7"/>
      <c r="E4074" s="8"/>
      <c r="F4074" t="str">
        <f t="shared" si="153"/>
        <v/>
      </c>
      <c r="G4074" t="str">
        <f t="shared" si="154"/>
        <v/>
      </c>
    </row>
    <row r="4075" spans="2:7" x14ac:dyDescent="0.25">
      <c r="B4075" s="6"/>
      <c r="C4075" s="7"/>
      <c r="D4075" s="7"/>
      <c r="E4075" s="8"/>
      <c r="F4075" t="str">
        <f t="shared" si="153"/>
        <v/>
      </c>
      <c r="G4075" t="str">
        <f t="shared" si="154"/>
        <v/>
      </c>
    </row>
    <row r="4076" spans="2:7" x14ac:dyDescent="0.25">
      <c r="B4076" s="6"/>
      <c r="C4076" s="7"/>
      <c r="D4076" s="7"/>
      <c r="E4076" s="8"/>
      <c r="F4076" t="str">
        <f t="shared" si="153"/>
        <v/>
      </c>
      <c r="G4076" t="str">
        <f t="shared" si="154"/>
        <v/>
      </c>
    </row>
    <row r="4077" spans="2:7" x14ac:dyDescent="0.25">
      <c r="B4077" s="6"/>
      <c r="C4077" s="7"/>
      <c r="D4077" s="7"/>
      <c r="E4077" s="8"/>
      <c r="F4077" t="str">
        <f t="shared" si="153"/>
        <v/>
      </c>
      <c r="G4077" t="str">
        <f t="shared" si="154"/>
        <v/>
      </c>
    </row>
    <row r="4078" spans="2:7" x14ac:dyDescent="0.25">
      <c r="B4078" s="6"/>
      <c r="C4078" s="7"/>
      <c r="D4078" s="7"/>
      <c r="E4078" s="8"/>
      <c r="F4078" t="str">
        <f t="shared" si="153"/>
        <v/>
      </c>
      <c r="G4078" t="str">
        <f t="shared" si="154"/>
        <v/>
      </c>
    </row>
    <row r="4079" spans="2:7" x14ac:dyDescent="0.25">
      <c r="B4079" s="6"/>
      <c r="C4079" s="7"/>
      <c r="D4079" s="7"/>
      <c r="E4079" s="8"/>
      <c r="F4079" t="str">
        <f t="shared" si="153"/>
        <v/>
      </c>
      <c r="G4079" t="str">
        <f t="shared" si="154"/>
        <v/>
      </c>
    </row>
    <row r="4080" spans="2:7" x14ac:dyDescent="0.25">
      <c r="B4080" s="6"/>
      <c r="C4080" s="7"/>
      <c r="D4080" s="7"/>
      <c r="E4080" s="8"/>
      <c r="F4080" t="str">
        <f t="shared" si="153"/>
        <v/>
      </c>
      <c r="G4080" t="str">
        <f t="shared" si="154"/>
        <v/>
      </c>
    </row>
    <row r="4081" spans="2:7" x14ac:dyDescent="0.25">
      <c r="B4081" s="6"/>
      <c r="C4081" s="7"/>
      <c r="D4081" s="7"/>
      <c r="E4081" s="8"/>
      <c r="F4081" t="str">
        <f t="shared" si="153"/>
        <v/>
      </c>
      <c r="G4081" t="str">
        <f t="shared" si="154"/>
        <v/>
      </c>
    </row>
    <row r="4082" spans="2:7" x14ac:dyDescent="0.25">
      <c r="B4082" s="6"/>
      <c r="C4082" s="7"/>
      <c r="D4082" s="7"/>
      <c r="E4082" s="8"/>
      <c r="F4082" t="str">
        <f t="shared" si="153"/>
        <v/>
      </c>
      <c r="G4082" t="str">
        <f t="shared" si="154"/>
        <v/>
      </c>
    </row>
    <row r="4083" spans="2:7" x14ac:dyDescent="0.25">
      <c r="B4083" s="6"/>
      <c r="C4083" s="7"/>
      <c r="D4083" s="7"/>
      <c r="E4083" s="8"/>
      <c r="F4083" t="str">
        <f t="shared" si="153"/>
        <v/>
      </c>
      <c r="G4083" t="str">
        <f t="shared" si="154"/>
        <v/>
      </c>
    </row>
    <row r="4084" spans="2:7" x14ac:dyDescent="0.25">
      <c r="B4084" s="6"/>
      <c r="C4084" s="7"/>
      <c r="D4084" s="7"/>
      <c r="E4084" s="8"/>
      <c r="F4084" t="str">
        <f t="shared" si="153"/>
        <v/>
      </c>
      <c r="G4084" t="str">
        <f t="shared" si="154"/>
        <v/>
      </c>
    </row>
    <row r="4085" spans="2:7" x14ac:dyDescent="0.25">
      <c r="B4085" s="6"/>
      <c r="C4085" s="7"/>
      <c r="D4085" s="7"/>
      <c r="E4085" s="8"/>
      <c r="F4085" t="str">
        <f t="shared" si="153"/>
        <v/>
      </c>
      <c r="G4085" t="str">
        <f t="shared" si="154"/>
        <v/>
      </c>
    </row>
    <row r="4086" spans="2:7" x14ac:dyDescent="0.25">
      <c r="B4086" s="6"/>
      <c r="C4086" s="7"/>
      <c r="D4086" s="7"/>
      <c r="E4086" s="8"/>
      <c r="F4086" t="str">
        <f t="shared" si="153"/>
        <v/>
      </c>
      <c r="G4086" t="str">
        <f t="shared" si="154"/>
        <v/>
      </c>
    </row>
    <row r="4087" spans="2:7" x14ac:dyDescent="0.25">
      <c r="B4087" s="6"/>
      <c r="C4087" s="7"/>
      <c r="D4087" s="7"/>
      <c r="E4087" s="8"/>
      <c r="F4087" t="str">
        <f t="shared" si="153"/>
        <v/>
      </c>
      <c r="G4087" t="str">
        <f t="shared" si="154"/>
        <v/>
      </c>
    </row>
    <row r="4088" spans="2:7" x14ac:dyDescent="0.25">
      <c r="B4088" s="6"/>
      <c r="C4088" s="7"/>
      <c r="D4088" s="7"/>
      <c r="E4088" s="8"/>
      <c r="F4088" t="str">
        <f t="shared" si="153"/>
        <v/>
      </c>
      <c r="G4088" t="str">
        <f t="shared" si="154"/>
        <v/>
      </c>
    </row>
    <row r="4089" spans="2:7" x14ac:dyDescent="0.25">
      <c r="B4089" s="6"/>
      <c r="C4089" s="7"/>
      <c r="D4089" s="7"/>
      <c r="E4089" s="8"/>
      <c r="F4089" t="str">
        <f t="shared" si="153"/>
        <v/>
      </c>
      <c r="G4089" t="str">
        <f t="shared" si="154"/>
        <v/>
      </c>
    </row>
    <row r="4090" spans="2:7" x14ac:dyDescent="0.25">
      <c r="B4090" s="6"/>
      <c r="C4090" s="7"/>
      <c r="D4090" s="7"/>
      <c r="E4090" s="8"/>
      <c r="F4090" t="str">
        <f t="shared" si="153"/>
        <v/>
      </c>
      <c r="G4090" t="str">
        <f t="shared" si="154"/>
        <v/>
      </c>
    </row>
    <row r="4091" spans="2:7" x14ac:dyDescent="0.25">
      <c r="B4091" s="6"/>
      <c r="C4091" s="7"/>
      <c r="D4091" s="7"/>
      <c r="E4091" s="8"/>
      <c r="F4091" t="str">
        <f t="shared" si="153"/>
        <v/>
      </c>
      <c r="G4091" t="str">
        <f t="shared" si="154"/>
        <v/>
      </c>
    </row>
    <row r="4092" spans="2:7" x14ac:dyDescent="0.25">
      <c r="B4092" s="6"/>
      <c r="C4092" s="7"/>
      <c r="D4092" s="7"/>
      <c r="E4092" s="8"/>
      <c r="F4092" t="str">
        <f t="shared" si="153"/>
        <v/>
      </c>
      <c r="G4092" t="str">
        <f t="shared" si="154"/>
        <v/>
      </c>
    </row>
    <row r="4093" spans="2:7" x14ac:dyDescent="0.25">
      <c r="B4093" s="6"/>
      <c r="C4093" s="7"/>
      <c r="D4093" s="7"/>
      <c r="E4093" s="8"/>
      <c r="F4093" t="str">
        <f t="shared" si="153"/>
        <v/>
      </c>
      <c r="G4093" t="str">
        <f t="shared" si="154"/>
        <v/>
      </c>
    </row>
    <row r="4094" spans="2:7" x14ac:dyDescent="0.25">
      <c r="B4094" s="6"/>
      <c r="C4094" s="7"/>
      <c r="D4094" s="7"/>
      <c r="E4094" s="8"/>
      <c r="F4094" t="str">
        <f t="shared" si="153"/>
        <v/>
      </c>
      <c r="G4094" t="str">
        <f t="shared" si="154"/>
        <v/>
      </c>
    </row>
    <row r="4095" spans="2:7" x14ac:dyDescent="0.25">
      <c r="B4095" s="6"/>
      <c r="C4095" s="7"/>
      <c r="D4095" s="7"/>
      <c r="E4095" s="8"/>
      <c r="F4095" t="str">
        <f t="shared" si="153"/>
        <v/>
      </c>
      <c r="G4095" t="str">
        <f t="shared" si="154"/>
        <v/>
      </c>
    </row>
    <row r="4096" spans="2:7" x14ac:dyDescent="0.25">
      <c r="B4096" s="6"/>
      <c r="C4096" s="7"/>
      <c r="D4096" s="7"/>
      <c r="E4096" s="8"/>
      <c r="F4096" t="str">
        <f t="shared" si="153"/>
        <v/>
      </c>
      <c r="G4096" t="str">
        <f t="shared" si="154"/>
        <v/>
      </c>
    </row>
    <row r="4097" spans="2:7" x14ac:dyDescent="0.25">
      <c r="B4097" s="6"/>
      <c r="C4097" s="7"/>
      <c r="D4097" s="7"/>
      <c r="E4097" s="8"/>
      <c r="F4097" t="str">
        <f t="shared" si="153"/>
        <v/>
      </c>
      <c r="G4097" t="str">
        <f t="shared" si="154"/>
        <v/>
      </c>
    </row>
    <row r="4098" spans="2:7" x14ac:dyDescent="0.25">
      <c r="B4098" s="6"/>
      <c r="C4098" s="7"/>
      <c r="D4098" s="7"/>
      <c r="E4098" s="8"/>
      <c r="F4098" t="str">
        <f t="shared" si="153"/>
        <v/>
      </c>
      <c r="G4098" t="str">
        <f t="shared" si="154"/>
        <v/>
      </c>
    </row>
    <row r="4099" spans="2:7" x14ac:dyDescent="0.25">
      <c r="B4099" s="6"/>
      <c r="C4099" s="7"/>
      <c r="D4099" s="7"/>
      <c r="E4099" s="8"/>
      <c r="F4099" t="str">
        <f t="shared" si="153"/>
        <v/>
      </c>
      <c r="G4099" t="str">
        <f t="shared" si="154"/>
        <v/>
      </c>
    </row>
    <row r="4100" spans="2:7" x14ac:dyDescent="0.25">
      <c r="B4100" s="6"/>
      <c r="C4100" s="7"/>
      <c r="D4100" s="7"/>
      <c r="E4100" s="8"/>
      <c r="F4100" t="str">
        <f t="shared" ref="F4100:F4163" si="155">IF(B4100="","",LOG10(D4100))</f>
        <v/>
      </c>
      <c r="G4100" t="str">
        <f t="shared" ref="G4100:G4163" si="156">IF(E4100="", "",0.434*E4100/D4100)</f>
        <v/>
      </c>
    </row>
    <row r="4101" spans="2:7" x14ac:dyDescent="0.25">
      <c r="B4101" s="6"/>
      <c r="C4101" s="7"/>
      <c r="D4101" s="7"/>
      <c r="E4101" s="8"/>
      <c r="F4101" t="str">
        <f t="shared" si="155"/>
        <v/>
      </c>
      <c r="G4101" t="str">
        <f t="shared" si="156"/>
        <v/>
      </c>
    </row>
    <row r="4102" spans="2:7" x14ac:dyDescent="0.25">
      <c r="B4102" s="6"/>
      <c r="C4102" s="7"/>
      <c r="D4102" s="7"/>
      <c r="E4102" s="8"/>
      <c r="F4102" t="str">
        <f t="shared" si="155"/>
        <v/>
      </c>
      <c r="G4102" t="str">
        <f t="shared" si="156"/>
        <v/>
      </c>
    </row>
    <row r="4103" spans="2:7" x14ac:dyDescent="0.25">
      <c r="B4103" s="6"/>
      <c r="C4103" s="7"/>
      <c r="D4103" s="7"/>
      <c r="E4103" s="8"/>
      <c r="F4103" t="str">
        <f t="shared" si="155"/>
        <v/>
      </c>
      <c r="G4103" t="str">
        <f t="shared" si="156"/>
        <v/>
      </c>
    </row>
    <row r="4104" spans="2:7" x14ac:dyDescent="0.25">
      <c r="B4104" s="6"/>
      <c r="C4104" s="7"/>
      <c r="D4104" s="7"/>
      <c r="E4104" s="8"/>
      <c r="F4104" t="str">
        <f t="shared" si="155"/>
        <v/>
      </c>
      <c r="G4104" t="str">
        <f t="shared" si="156"/>
        <v/>
      </c>
    </row>
    <row r="4105" spans="2:7" x14ac:dyDescent="0.25">
      <c r="B4105" s="6"/>
      <c r="C4105" s="7"/>
      <c r="D4105" s="7"/>
      <c r="E4105" s="8"/>
      <c r="F4105" t="str">
        <f t="shared" si="155"/>
        <v/>
      </c>
      <c r="G4105" t="str">
        <f t="shared" si="156"/>
        <v/>
      </c>
    </row>
    <row r="4106" spans="2:7" x14ac:dyDescent="0.25">
      <c r="B4106" s="6"/>
      <c r="C4106" s="7"/>
      <c r="D4106" s="7"/>
      <c r="E4106" s="8"/>
      <c r="F4106" t="str">
        <f t="shared" si="155"/>
        <v/>
      </c>
      <c r="G4106" t="str">
        <f t="shared" si="156"/>
        <v/>
      </c>
    </row>
    <row r="4107" spans="2:7" x14ac:dyDescent="0.25">
      <c r="B4107" s="6"/>
      <c r="C4107" s="7"/>
      <c r="D4107" s="7"/>
      <c r="E4107" s="8"/>
      <c r="F4107" t="str">
        <f t="shared" si="155"/>
        <v/>
      </c>
      <c r="G4107" t="str">
        <f t="shared" si="156"/>
        <v/>
      </c>
    </row>
    <row r="4108" spans="2:7" x14ac:dyDescent="0.25">
      <c r="B4108" s="6"/>
      <c r="C4108" s="7"/>
      <c r="D4108" s="7"/>
      <c r="E4108" s="8"/>
      <c r="F4108" t="str">
        <f t="shared" si="155"/>
        <v/>
      </c>
      <c r="G4108" t="str">
        <f t="shared" si="156"/>
        <v/>
      </c>
    </row>
    <row r="4109" spans="2:7" x14ac:dyDescent="0.25">
      <c r="B4109" s="6"/>
      <c r="C4109" s="7"/>
      <c r="D4109" s="7"/>
      <c r="E4109" s="8"/>
      <c r="F4109" t="str">
        <f t="shared" si="155"/>
        <v/>
      </c>
      <c r="G4109" t="str">
        <f t="shared" si="156"/>
        <v/>
      </c>
    </row>
    <row r="4110" spans="2:7" x14ac:dyDescent="0.25">
      <c r="B4110" s="6"/>
      <c r="C4110" s="7"/>
      <c r="D4110" s="7"/>
      <c r="E4110" s="8"/>
      <c r="F4110" t="str">
        <f t="shared" si="155"/>
        <v/>
      </c>
      <c r="G4110" t="str">
        <f t="shared" si="156"/>
        <v/>
      </c>
    </row>
    <row r="4111" spans="2:7" x14ac:dyDescent="0.25">
      <c r="B4111" s="6"/>
      <c r="C4111" s="7"/>
      <c r="D4111" s="7"/>
      <c r="E4111" s="8"/>
      <c r="F4111" t="str">
        <f t="shared" si="155"/>
        <v/>
      </c>
      <c r="G4111" t="str">
        <f t="shared" si="156"/>
        <v/>
      </c>
    </row>
    <row r="4112" spans="2:7" x14ac:dyDescent="0.25">
      <c r="B4112" s="6"/>
      <c r="C4112" s="7"/>
      <c r="D4112" s="7"/>
      <c r="E4112" s="8"/>
      <c r="F4112" t="str">
        <f t="shared" si="155"/>
        <v/>
      </c>
      <c r="G4112" t="str">
        <f t="shared" si="156"/>
        <v/>
      </c>
    </row>
    <row r="4113" spans="2:7" x14ac:dyDescent="0.25">
      <c r="B4113" s="6"/>
      <c r="C4113" s="7"/>
      <c r="D4113" s="7"/>
      <c r="E4113" s="8"/>
      <c r="F4113" t="str">
        <f t="shared" si="155"/>
        <v/>
      </c>
      <c r="G4113" t="str">
        <f t="shared" si="156"/>
        <v/>
      </c>
    </row>
    <row r="4114" spans="2:7" x14ac:dyDescent="0.25">
      <c r="B4114" s="6"/>
      <c r="C4114" s="7"/>
      <c r="D4114" s="7"/>
      <c r="E4114" s="8"/>
      <c r="F4114" t="str">
        <f t="shared" si="155"/>
        <v/>
      </c>
      <c r="G4114" t="str">
        <f t="shared" si="156"/>
        <v/>
      </c>
    </row>
    <row r="4115" spans="2:7" x14ac:dyDescent="0.25">
      <c r="B4115" s="6"/>
      <c r="C4115" s="7"/>
      <c r="D4115" s="7"/>
      <c r="E4115" s="8"/>
      <c r="F4115" t="str">
        <f t="shared" si="155"/>
        <v/>
      </c>
      <c r="G4115" t="str">
        <f t="shared" si="156"/>
        <v/>
      </c>
    </row>
    <row r="4116" spans="2:7" x14ac:dyDescent="0.25">
      <c r="B4116" s="6"/>
      <c r="C4116" s="7"/>
      <c r="D4116" s="7"/>
      <c r="E4116" s="8"/>
      <c r="F4116" t="str">
        <f t="shared" si="155"/>
        <v/>
      </c>
      <c r="G4116" t="str">
        <f t="shared" si="156"/>
        <v/>
      </c>
    </row>
    <row r="4117" spans="2:7" x14ac:dyDescent="0.25">
      <c r="B4117" s="6"/>
      <c r="C4117" s="7"/>
      <c r="D4117" s="7"/>
      <c r="E4117" s="8"/>
      <c r="F4117" t="str">
        <f t="shared" si="155"/>
        <v/>
      </c>
      <c r="G4117" t="str">
        <f t="shared" si="156"/>
        <v/>
      </c>
    </row>
    <row r="4118" spans="2:7" x14ac:dyDescent="0.25">
      <c r="B4118" s="6"/>
      <c r="C4118" s="7"/>
      <c r="D4118" s="7"/>
      <c r="E4118" s="8"/>
      <c r="F4118" t="str">
        <f t="shared" si="155"/>
        <v/>
      </c>
      <c r="G4118" t="str">
        <f t="shared" si="156"/>
        <v/>
      </c>
    </row>
    <row r="4119" spans="2:7" x14ac:dyDescent="0.25">
      <c r="B4119" s="6"/>
      <c r="C4119" s="7"/>
      <c r="D4119" s="7"/>
      <c r="E4119" s="8"/>
      <c r="F4119" t="str">
        <f t="shared" si="155"/>
        <v/>
      </c>
      <c r="G4119" t="str">
        <f t="shared" si="156"/>
        <v/>
      </c>
    </row>
    <row r="4120" spans="2:7" x14ac:dyDescent="0.25">
      <c r="B4120" s="6"/>
      <c r="C4120" s="7"/>
      <c r="D4120" s="7"/>
      <c r="E4120" s="8"/>
      <c r="F4120" t="str">
        <f t="shared" si="155"/>
        <v/>
      </c>
      <c r="G4120" t="str">
        <f t="shared" si="156"/>
        <v/>
      </c>
    </row>
    <row r="4121" spans="2:7" x14ac:dyDescent="0.25">
      <c r="B4121" s="6"/>
      <c r="C4121" s="7"/>
      <c r="D4121" s="7"/>
      <c r="E4121" s="8"/>
      <c r="F4121" t="str">
        <f t="shared" si="155"/>
        <v/>
      </c>
      <c r="G4121" t="str">
        <f t="shared" si="156"/>
        <v/>
      </c>
    </row>
    <row r="4122" spans="2:7" x14ac:dyDescent="0.25">
      <c r="B4122" s="6"/>
      <c r="C4122" s="7"/>
      <c r="D4122" s="7"/>
      <c r="E4122" s="8"/>
      <c r="F4122" t="str">
        <f t="shared" si="155"/>
        <v/>
      </c>
      <c r="G4122" t="str">
        <f t="shared" si="156"/>
        <v/>
      </c>
    </row>
    <row r="4123" spans="2:7" x14ac:dyDescent="0.25">
      <c r="B4123" s="6"/>
      <c r="C4123" s="7"/>
      <c r="D4123" s="7"/>
      <c r="E4123" s="8"/>
      <c r="F4123" t="str">
        <f t="shared" si="155"/>
        <v/>
      </c>
      <c r="G4123" t="str">
        <f t="shared" si="156"/>
        <v/>
      </c>
    </row>
    <row r="4124" spans="2:7" x14ac:dyDescent="0.25">
      <c r="B4124" s="6"/>
      <c r="C4124" s="7"/>
      <c r="D4124" s="7"/>
      <c r="E4124" s="8"/>
      <c r="F4124" t="str">
        <f t="shared" si="155"/>
        <v/>
      </c>
      <c r="G4124" t="str">
        <f t="shared" si="156"/>
        <v/>
      </c>
    </row>
    <row r="4125" spans="2:7" x14ac:dyDescent="0.25">
      <c r="B4125" s="6"/>
      <c r="C4125" s="7"/>
      <c r="D4125" s="7"/>
      <c r="E4125" s="8"/>
      <c r="F4125" t="str">
        <f t="shared" si="155"/>
        <v/>
      </c>
      <c r="G4125" t="str">
        <f t="shared" si="156"/>
        <v/>
      </c>
    </row>
    <row r="4126" spans="2:7" x14ac:dyDescent="0.25">
      <c r="B4126" s="6"/>
      <c r="C4126" s="7"/>
      <c r="D4126" s="7"/>
      <c r="E4126" s="8"/>
      <c r="F4126" t="str">
        <f t="shared" si="155"/>
        <v/>
      </c>
      <c r="G4126" t="str">
        <f t="shared" si="156"/>
        <v/>
      </c>
    </row>
    <row r="4127" spans="2:7" x14ac:dyDescent="0.25">
      <c r="B4127" s="6"/>
      <c r="C4127" s="7"/>
      <c r="D4127" s="7"/>
      <c r="E4127" s="8"/>
      <c r="F4127" t="str">
        <f t="shared" si="155"/>
        <v/>
      </c>
      <c r="G4127" t="str">
        <f t="shared" si="156"/>
        <v/>
      </c>
    </row>
    <row r="4128" spans="2:7" x14ac:dyDescent="0.25">
      <c r="B4128" s="6"/>
      <c r="C4128" s="7"/>
      <c r="D4128" s="7"/>
      <c r="E4128" s="8"/>
      <c r="F4128" t="str">
        <f t="shared" si="155"/>
        <v/>
      </c>
      <c r="G4128" t="str">
        <f t="shared" si="156"/>
        <v/>
      </c>
    </row>
    <row r="4129" spans="2:7" x14ac:dyDescent="0.25">
      <c r="B4129" s="6"/>
      <c r="C4129" s="7"/>
      <c r="D4129" s="7"/>
      <c r="E4129" s="8"/>
      <c r="F4129" t="str">
        <f t="shared" si="155"/>
        <v/>
      </c>
      <c r="G4129" t="str">
        <f t="shared" si="156"/>
        <v/>
      </c>
    </row>
    <row r="4130" spans="2:7" x14ac:dyDescent="0.25">
      <c r="B4130" s="6"/>
      <c r="C4130" s="7"/>
      <c r="D4130" s="7"/>
      <c r="E4130" s="8"/>
      <c r="F4130" t="str">
        <f t="shared" si="155"/>
        <v/>
      </c>
      <c r="G4130" t="str">
        <f t="shared" si="156"/>
        <v/>
      </c>
    </row>
    <row r="4131" spans="2:7" x14ac:dyDescent="0.25">
      <c r="B4131" s="6"/>
      <c r="C4131" s="7"/>
      <c r="D4131" s="7"/>
      <c r="E4131" s="8"/>
      <c r="F4131" t="str">
        <f t="shared" si="155"/>
        <v/>
      </c>
      <c r="G4131" t="str">
        <f t="shared" si="156"/>
        <v/>
      </c>
    </row>
    <row r="4132" spans="2:7" x14ac:dyDescent="0.25">
      <c r="B4132" s="6"/>
      <c r="C4132" s="7"/>
      <c r="D4132" s="7"/>
      <c r="E4132" s="8"/>
      <c r="F4132" t="str">
        <f t="shared" si="155"/>
        <v/>
      </c>
      <c r="G4132" t="str">
        <f t="shared" si="156"/>
        <v/>
      </c>
    </row>
    <row r="4133" spans="2:7" x14ac:dyDescent="0.25">
      <c r="B4133" s="6"/>
      <c r="C4133" s="7"/>
      <c r="D4133" s="7"/>
      <c r="E4133" s="8"/>
      <c r="F4133" t="str">
        <f t="shared" si="155"/>
        <v/>
      </c>
      <c r="G4133" t="str">
        <f t="shared" si="156"/>
        <v/>
      </c>
    </row>
    <row r="4134" spans="2:7" x14ac:dyDescent="0.25">
      <c r="B4134" s="6"/>
      <c r="C4134" s="7"/>
      <c r="D4134" s="7"/>
      <c r="E4134" s="8"/>
      <c r="F4134" t="str">
        <f t="shared" si="155"/>
        <v/>
      </c>
      <c r="G4134" t="str">
        <f t="shared" si="156"/>
        <v/>
      </c>
    </row>
    <row r="4135" spans="2:7" x14ac:dyDescent="0.25">
      <c r="B4135" s="6"/>
      <c r="C4135" s="7"/>
      <c r="D4135" s="7"/>
      <c r="E4135" s="8"/>
      <c r="F4135" t="str">
        <f t="shared" si="155"/>
        <v/>
      </c>
      <c r="G4135" t="str">
        <f t="shared" si="156"/>
        <v/>
      </c>
    </row>
    <row r="4136" spans="2:7" x14ac:dyDescent="0.25">
      <c r="B4136" s="6"/>
      <c r="C4136" s="7"/>
      <c r="D4136" s="7"/>
      <c r="E4136" s="8"/>
      <c r="F4136" t="str">
        <f t="shared" si="155"/>
        <v/>
      </c>
      <c r="G4136" t="str">
        <f t="shared" si="156"/>
        <v/>
      </c>
    </row>
    <row r="4137" spans="2:7" x14ac:dyDescent="0.25">
      <c r="B4137" s="6"/>
      <c r="C4137" s="7"/>
      <c r="D4137" s="7"/>
      <c r="E4137" s="8"/>
      <c r="F4137" t="str">
        <f t="shared" si="155"/>
        <v/>
      </c>
      <c r="G4137" t="str">
        <f t="shared" si="156"/>
        <v/>
      </c>
    </row>
    <row r="4138" spans="2:7" x14ac:dyDescent="0.25">
      <c r="B4138" s="6"/>
      <c r="C4138" s="7"/>
      <c r="D4138" s="7"/>
      <c r="E4138" s="8"/>
      <c r="F4138" t="str">
        <f t="shared" si="155"/>
        <v/>
      </c>
      <c r="G4138" t="str">
        <f t="shared" si="156"/>
        <v/>
      </c>
    </row>
    <row r="4139" spans="2:7" x14ac:dyDescent="0.25">
      <c r="B4139" s="6"/>
      <c r="C4139" s="7"/>
      <c r="D4139" s="7"/>
      <c r="E4139" s="8"/>
      <c r="F4139" t="str">
        <f t="shared" si="155"/>
        <v/>
      </c>
      <c r="G4139" t="str">
        <f t="shared" si="156"/>
        <v/>
      </c>
    </row>
    <row r="4140" spans="2:7" x14ac:dyDescent="0.25">
      <c r="B4140" s="6"/>
      <c r="C4140" s="7"/>
      <c r="D4140" s="7"/>
      <c r="E4140" s="8"/>
      <c r="F4140" t="str">
        <f t="shared" si="155"/>
        <v/>
      </c>
      <c r="G4140" t="str">
        <f t="shared" si="156"/>
        <v/>
      </c>
    </row>
    <row r="4141" spans="2:7" x14ac:dyDescent="0.25">
      <c r="B4141" s="6"/>
      <c r="C4141" s="7"/>
      <c r="D4141" s="7"/>
      <c r="E4141" s="8"/>
      <c r="F4141" t="str">
        <f t="shared" si="155"/>
        <v/>
      </c>
      <c r="G4141" t="str">
        <f t="shared" si="156"/>
        <v/>
      </c>
    </row>
    <row r="4142" spans="2:7" x14ac:dyDescent="0.25">
      <c r="B4142" s="6"/>
      <c r="C4142" s="7"/>
      <c r="D4142" s="7"/>
      <c r="E4142" s="8"/>
      <c r="F4142" t="str">
        <f t="shared" si="155"/>
        <v/>
      </c>
      <c r="G4142" t="str">
        <f t="shared" si="156"/>
        <v/>
      </c>
    </row>
    <row r="4143" spans="2:7" x14ac:dyDescent="0.25">
      <c r="B4143" s="6"/>
      <c r="C4143" s="7"/>
      <c r="D4143" s="7"/>
      <c r="E4143" s="8"/>
      <c r="F4143" t="str">
        <f t="shared" si="155"/>
        <v/>
      </c>
      <c r="G4143" t="str">
        <f t="shared" si="156"/>
        <v/>
      </c>
    </row>
    <row r="4144" spans="2:7" x14ac:dyDescent="0.25">
      <c r="B4144" s="6"/>
      <c r="C4144" s="7"/>
      <c r="D4144" s="7"/>
      <c r="E4144" s="8"/>
      <c r="F4144" t="str">
        <f t="shared" si="155"/>
        <v/>
      </c>
      <c r="G4144" t="str">
        <f t="shared" si="156"/>
        <v/>
      </c>
    </row>
    <row r="4145" spans="2:7" x14ac:dyDescent="0.25">
      <c r="B4145" s="6"/>
      <c r="C4145" s="7"/>
      <c r="D4145" s="7"/>
      <c r="E4145" s="8"/>
      <c r="F4145" t="str">
        <f t="shared" si="155"/>
        <v/>
      </c>
      <c r="G4145" t="str">
        <f t="shared" si="156"/>
        <v/>
      </c>
    </row>
    <row r="4146" spans="2:7" x14ac:dyDescent="0.25">
      <c r="B4146" s="6"/>
      <c r="C4146" s="7"/>
      <c r="D4146" s="7"/>
      <c r="E4146" s="8"/>
      <c r="F4146" t="str">
        <f t="shared" si="155"/>
        <v/>
      </c>
      <c r="G4146" t="str">
        <f t="shared" si="156"/>
        <v/>
      </c>
    </row>
    <row r="4147" spans="2:7" x14ac:dyDescent="0.25">
      <c r="B4147" s="6"/>
      <c r="C4147" s="7"/>
      <c r="D4147" s="7"/>
      <c r="E4147" s="8"/>
      <c r="F4147" t="str">
        <f t="shared" si="155"/>
        <v/>
      </c>
      <c r="G4147" t="str">
        <f t="shared" si="156"/>
        <v/>
      </c>
    </row>
    <row r="4148" spans="2:7" x14ac:dyDescent="0.25">
      <c r="B4148" s="6"/>
      <c r="C4148" s="7"/>
      <c r="D4148" s="7"/>
      <c r="E4148" s="8"/>
      <c r="F4148" t="str">
        <f t="shared" si="155"/>
        <v/>
      </c>
      <c r="G4148" t="str">
        <f t="shared" si="156"/>
        <v/>
      </c>
    </row>
    <row r="4149" spans="2:7" x14ac:dyDescent="0.25">
      <c r="B4149" s="6"/>
      <c r="C4149" s="7"/>
      <c r="D4149" s="7"/>
      <c r="E4149" s="8"/>
      <c r="F4149" t="str">
        <f t="shared" si="155"/>
        <v/>
      </c>
      <c r="G4149" t="str">
        <f t="shared" si="156"/>
        <v/>
      </c>
    </row>
    <row r="4150" spans="2:7" x14ac:dyDescent="0.25">
      <c r="B4150" s="6"/>
      <c r="C4150" s="7"/>
      <c r="D4150" s="7"/>
      <c r="E4150" s="8"/>
      <c r="F4150" t="str">
        <f t="shared" si="155"/>
        <v/>
      </c>
      <c r="G4150" t="str">
        <f t="shared" si="156"/>
        <v/>
      </c>
    </row>
    <row r="4151" spans="2:7" x14ac:dyDescent="0.25">
      <c r="B4151" s="6"/>
      <c r="C4151" s="7"/>
      <c r="D4151" s="7"/>
      <c r="E4151" s="8"/>
      <c r="F4151" t="str">
        <f t="shared" si="155"/>
        <v/>
      </c>
      <c r="G4151" t="str">
        <f t="shared" si="156"/>
        <v/>
      </c>
    </row>
    <row r="4152" spans="2:7" x14ac:dyDescent="0.25">
      <c r="B4152" s="6"/>
      <c r="C4152" s="7"/>
      <c r="D4152" s="7"/>
      <c r="E4152" s="8"/>
      <c r="F4152" t="str">
        <f t="shared" si="155"/>
        <v/>
      </c>
      <c r="G4152" t="str">
        <f t="shared" si="156"/>
        <v/>
      </c>
    </row>
    <row r="4153" spans="2:7" x14ac:dyDescent="0.25">
      <c r="B4153" s="6"/>
      <c r="C4153" s="7"/>
      <c r="D4153" s="7"/>
      <c r="E4153" s="8"/>
      <c r="F4153" t="str">
        <f t="shared" si="155"/>
        <v/>
      </c>
      <c r="G4153" t="str">
        <f t="shared" si="156"/>
        <v/>
      </c>
    </row>
    <row r="4154" spans="2:7" x14ac:dyDescent="0.25">
      <c r="B4154" s="6"/>
      <c r="C4154" s="7"/>
      <c r="D4154" s="7"/>
      <c r="E4154" s="8"/>
      <c r="F4154" t="str">
        <f t="shared" si="155"/>
        <v/>
      </c>
      <c r="G4154" t="str">
        <f t="shared" si="156"/>
        <v/>
      </c>
    </row>
    <row r="4155" spans="2:7" x14ac:dyDescent="0.25">
      <c r="B4155" s="6"/>
      <c r="C4155" s="7"/>
      <c r="D4155" s="7"/>
      <c r="E4155" s="8"/>
      <c r="F4155" t="str">
        <f t="shared" si="155"/>
        <v/>
      </c>
      <c r="G4155" t="str">
        <f t="shared" si="156"/>
        <v/>
      </c>
    </row>
    <row r="4156" spans="2:7" x14ac:dyDescent="0.25">
      <c r="B4156" s="6"/>
      <c r="C4156" s="7"/>
      <c r="D4156" s="7"/>
      <c r="E4156" s="8"/>
      <c r="F4156" t="str">
        <f t="shared" si="155"/>
        <v/>
      </c>
      <c r="G4156" t="str">
        <f t="shared" si="156"/>
        <v/>
      </c>
    </row>
    <row r="4157" spans="2:7" x14ac:dyDescent="0.25">
      <c r="B4157" s="6"/>
      <c r="C4157" s="7"/>
      <c r="D4157" s="7"/>
      <c r="E4157" s="8"/>
      <c r="F4157" t="str">
        <f t="shared" si="155"/>
        <v/>
      </c>
      <c r="G4157" t="str">
        <f t="shared" si="156"/>
        <v/>
      </c>
    </row>
    <row r="4158" spans="2:7" x14ac:dyDescent="0.25">
      <c r="B4158" s="6"/>
      <c r="C4158" s="7"/>
      <c r="D4158" s="7"/>
      <c r="E4158" s="8"/>
      <c r="F4158" t="str">
        <f t="shared" si="155"/>
        <v/>
      </c>
      <c r="G4158" t="str">
        <f t="shared" si="156"/>
        <v/>
      </c>
    </row>
    <row r="4159" spans="2:7" x14ac:dyDescent="0.25">
      <c r="B4159" s="6"/>
      <c r="C4159" s="7"/>
      <c r="D4159" s="7"/>
      <c r="E4159" s="8"/>
      <c r="F4159" t="str">
        <f t="shared" si="155"/>
        <v/>
      </c>
      <c r="G4159" t="str">
        <f t="shared" si="156"/>
        <v/>
      </c>
    </row>
    <row r="4160" spans="2:7" x14ac:dyDescent="0.25">
      <c r="B4160" s="6"/>
      <c r="C4160" s="7"/>
      <c r="D4160" s="7"/>
      <c r="E4160" s="8"/>
      <c r="F4160" t="str">
        <f t="shared" si="155"/>
        <v/>
      </c>
      <c r="G4160" t="str">
        <f t="shared" si="156"/>
        <v/>
      </c>
    </row>
    <row r="4161" spans="2:7" x14ac:dyDescent="0.25">
      <c r="B4161" s="6"/>
      <c r="C4161" s="7"/>
      <c r="D4161" s="7"/>
      <c r="E4161" s="8"/>
      <c r="F4161" t="str">
        <f t="shared" si="155"/>
        <v/>
      </c>
      <c r="G4161" t="str">
        <f t="shared" si="156"/>
        <v/>
      </c>
    </row>
    <row r="4162" spans="2:7" x14ac:dyDescent="0.25">
      <c r="B4162" s="6"/>
      <c r="C4162" s="7"/>
      <c r="D4162" s="7"/>
      <c r="E4162" s="8"/>
      <c r="F4162" t="str">
        <f t="shared" si="155"/>
        <v/>
      </c>
      <c r="G4162" t="str">
        <f t="shared" si="156"/>
        <v/>
      </c>
    </row>
    <row r="4163" spans="2:7" x14ac:dyDescent="0.25">
      <c r="B4163" s="6"/>
      <c r="C4163" s="7"/>
      <c r="D4163" s="7"/>
      <c r="E4163" s="8"/>
      <c r="F4163" t="str">
        <f t="shared" si="155"/>
        <v/>
      </c>
      <c r="G4163" t="str">
        <f t="shared" si="156"/>
        <v/>
      </c>
    </row>
    <row r="4164" spans="2:7" x14ac:dyDescent="0.25">
      <c r="B4164" s="6"/>
      <c r="C4164" s="7"/>
      <c r="D4164" s="7"/>
      <c r="E4164" s="8"/>
      <c r="F4164" t="str">
        <f t="shared" ref="F4164:F4227" si="157">IF(B4164="","",LOG10(D4164))</f>
        <v/>
      </c>
      <c r="G4164" t="str">
        <f t="shared" ref="G4164:G4227" si="158">IF(E4164="", "",0.434*E4164/D4164)</f>
        <v/>
      </c>
    </row>
    <row r="4165" spans="2:7" x14ac:dyDescent="0.25">
      <c r="B4165" s="6"/>
      <c r="C4165" s="7"/>
      <c r="D4165" s="7"/>
      <c r="E4165" s="8"/>
      <c r="F4165" t="str">
        <f t="shared" si="157"/>
        <v/>
      </c>
      <c r="G4165" t="str">
        <f t="shared" si="158"/>
        <v/>
      </c>
    </row>
    <row r="4166" spans="2:7" x14ac:dyDescent="0.25">
      <c r="B4166" s="6"/>
      <c r="C4166" s="7"/>
      <c r="D4166" s="7"/>
      <c r="E4166" s="8"/>
      <c r="F4166" t="str">
        <f t="shared" si="157"/>
        <v/>
      </c>
      <c r="G4166" t="str">
        <f t="shared" si="158"/>
        <v/>
      </c>
    </row>
    <row r="4167" spans="2:7" x14ac:dyDescent="0.25">
      <c r="B4167" s="6"/>
      <c r="C4167" s="7"/>
      <c r="D4167" s="7"/>
      <c r="E4167" s="8"/>
      <c r="F4167" t="str">
        <f t="shared" si="157"/>
        <v/>
      </c>
      <c r="G4167" t="str">
        <f t="shared" si="158"/>
        <v/>
      </c>
    </row>
    <row r="4168" spans="2:7" x14ac:dyDescent="0.25">
      <c r="B4168" s="6"/>
      <c r="C4168" s="7"/>
      <c r="D4168" s="7"/>
      <c r="E4168" s="8"/>
      <c r="F4168" t="str">
        <f t="shared" si="157"/>
        <v/>
      </c>
      <c r="G4168" t="str">
        <f t="shared" si="158"/>
        <v/>
      </c>
    </row>
    <row r="4169" spans="2:7" x14ac:dyDescent="0.25">
      <c r="B4169" s="6"/>
      <c r="C4169" s="7"/>
      <c r="D4169" s="7"/>
      <c r="E4169" s="8"/>
      <c r="F4169" t="str">
        <f t="shared" si="157"/>
        <v/>
      </c>
      <c r="G4169" t="str">
        <f t="shared" si="158"/>
        <v/>
      </c>
    </row>
    <row r="4170" spans="2:7" x14ac:dyDescent="0.25">
      <c r="B4170" s="6"/>
      <c r="C4170" s="7"/>
      <c r="D4170" s="7"/>
      <c r="E4170" s="8"/>
      <c r="F4170" t="str">
        <f t="shared" si="157"/>
        <v/>
      </c>
      <c r="G4170" t="str">
        <f t="shared" si="158"/>
        <v/>
      </c>
    </row>
    <row r="4171" spans="2:7" x14ac:dyDescent="0.25">
      <c r="B4171" s="6"/>
      <c r="C4171" s="7"/>
      <c r="D4171" s="7"/>
      <c r="E4171" s="8"/>
      <c r="F4171" t="str">
        <f t="shared" si="157"/>
        <v/>
      </c>
      <c r="G4171" t="str">
        <f t="shared" si="158"/>
        <v/>
      </c>
    </row>
    <row r="4172" spans="2:7" x14ac:dyDescent="0.25">
      <c r="B4172" s="6"/>
      <c r="C4172" s="7"/>
      <c r="D4172" s="7"/>
      <c r="E4172" s="8"/>
      <c r="F4172" t="str">
        <f t="shared" si="157"/>
        <v/>
      </c>
      <c r="G4172" t="str">
        <f t="shared" si="158"/>
        <v/>
      </c>
    </row>
    <row r="4173" spans="2:7" x14ac:dyDescent="0.25">
      <c r="B4173" s="6"/>
      <c r="C4173" s="7"/>
      <c r="D4173" s="7"/>
      <c r="E4173" s="8"/>
      <c r="F4173" t="str">
        <f t="shared" si="157"/>
        <v/>
      </c>
      <c r="G4173" t="str">
        <f t="shared" si="158"/>
        <v/>
      </c>
    </row>
    <row r="4174" spans="2:7" x14ac:dyDescent="0.25">
      <c r="B4174" s="6"/>
      <c r="C4174" s="7"/>
      <c r="D4174" s="7"/>
      <c r="E4174" s="8"/>
      <c r="F4174" t="str">
        <f t="shared" si="157"/>
        <v/>
      </c>
      <c r="G4174" t="str">
        <f t="shared" si="158"/>
        <v/>
      </c>
    </row>
    <row r="4175" spans="2:7" x14ac:dyDescent="0.25">
      <c r="B4175" s="6"/>
      <c r="C4175" s="7"/>
      <c r="D4175" s="7"/>
      <c r="E4175" s="8"/>
      <c r="F4175" t="str">
        <f t="shared" si="157"/>
        <v/>
      </c>
      <c r="G4175" t="str">
        <f t="shared" si="158"/>
        <v/>
      </c>
    </row>
    <row r="4176" spans="2:7" x14ac:dyDescent="0.25">
      <c r="B4176" s="6"/>
      <c r="C4176" s="7"/>
      <c r="D4176" s="7"/>
      <c r="E4176" s="8"/>
      <c r="F4176" t="str">
        <f t="shared" si="157"/>
        <v/>
      </c>
      <c r="G4176" t="str">
        <f t="shared" si="158"/>
        <v/>
      </c>
    </row>
    <row r="4177" spans="2:7" x14ac:dyDescent="0.25">
      <c r="B4177" s="6"/>
      <c r="C4177" s="7"/>
      <c r="D4177" s="7"/>
      <c r="E4177" s="8"/>
      <c r="F4177" t="str">
        <f t="shared" si="157"/>
        <v/>
      </c>
      <c r="G4177" t="str">
        <f t="shared" si="158"/>
        <v/>
      </c>
    </row>
    <row r="4178" spans="2:7" x14ac:dyDescent="0.25">
      <c r="B4178" s="6"/>
      <c r="C4178" s="7"/>
      <c r="D4178" s="7"/>
      <c r="E4178" s="8"/>
      <c r="F4178" t="str">
        <f t="shared" si="157"/>
        <v/>
      </c>
      <c r="G4178" t="str">
        <f t="shared" si="158"/>
        <v/>
      </c>
    </row>
    <row r="4179" spans="2:7" x14ac:dyDescent="0.25">
      <c r="B4179" s="6"/>
      <c r="C4179" s="7"/>
      <c r="D4179" s="7"/>
      <c r="E4179" s="8"/>
      <c r="F4179" t="str">
        <f t="shared" si="157"/>
        <v/>
      </c>
      <c r="G4179" t="str">
        <f t="shared" si="158"/>
        <v/>
      </c>
    </row>
    <row r="4180" spans="2:7" x14ac:dyDescent="0.25">
      <c r="B4180" s="6"/>
      <c r="C4180" s="7"/>
      <c r="D4180" s="7"/>
      <c r="E4180" s="8"/>
      <c r="F4180" t="str">
        <f t="shared" si="157"/>
        <v/>
      </c>
      <c r="G4180" t="str">
        <f t="shared" si="158"/>
        <v/>
      </c>
    </row>
    <row r="4181" spans="2:7" x14ac:dyDescent="0.25">
      <c r="B4181" s="6"/>
      <c r="C4181" s="7"/>
      <c r="D4181" s="7"/>
      <c r="E4181" s="8"/>
      <c r="F4181" t="str">
        <f t="shared" si="157"/>
        <v/>
      </c>
      <c r="G4181" t="str">
        <f t="shared" si="158"/>
        <v/>
      </c>
    </row>
    <row r="4182" spans="2:7" x14ac:dyDescent="0.25">
      <c r="B4182" s="6"/>
      <c r="C4182" s="7"/>
      <c r="D4182" s="7"/>
      <c r="E4182" s="8"/>
      <c r="F4182" t="str">
        <f t="shared" si="157"/>
        <v/>
      </c>
      <c r="G4182" t="str">
        <f t="shared" si="158"/>
        <v/>
      </c>
    </row>
    <row r="4183" spans="2:7" x14ac:dyDescent="0.25">
      <c r="B4183" s="6"/>
      <c r="C4183" s="7"/>
      <c r="D4183" s="7"/>
      <c r="E4183" s="8"/>
      <c r="F4183" t="str">
        <f t="shared" si="157"/>
        <v/>
      </c>
      <c r="G4183" t="str">
        <f t="shared" si="158"/>
        <v/>
      </c>
    </row>
    <row r="4184" spans="2:7" x14ac:dyDescent="0.25">
      <c r="B4184" s="6"/>
      <c r="C4184" s="7"/>
      <c r="D4184" s="7"/>
      <c r="E4184" s="8"/>
      <c r="F4184" t="str">
        <f t="shared" si="157"/>
        <v/>
      </c>
      <c r="G4184" t="str">
        <f t="shared" si="158"/>
        <v/>
      </c>
    </row>
    <row r="4185" spans="2:7" x14ac:dyDescent="0.25">
      <c r="B4185" s="6"/>
      <c r="C4185" s="7"/>
      <c r="D4185" s="7"/>
      <c r="E4185" s="8"/>
      <c r="F4185" t="str">
        <f t="shared" si="157"/>
        <v/>
      </c>
      <c r="G4185" t="str">
        <f t="shared" si="158"/>
        <v/>
      </c>
    </row>
    <row r="4186" spans="2:7" x14ac:dyDescent="0.25">
      <c r="B4186" s="6"/>
      <c r="C4186" s="7"/>
      <c r="D4186" s="7"/>
      <c r="E4186" s="8"/>
      <c r="F4186" t="str">
        <f t="shared" si="157"/>
        <v/>
      </c>
      <c r="G4186" t="str">
        <f t="shared" si="158"/>
        <v/>
      </c>
    </row>
    <row r="4187" spans="2:7" x14ac:dyDescent="0.25">
      <c r="B4187" s="6"/>
      <c r="C4187" s="7"/>
      <c r="D4187" s="7"/>
      <c r="E4187" s="8"/>
      <c r="F4187" t="str">
        <f t="shared" si="157"/>
        <v/>
      </c>
      <c r="G4187" t="str">
        <f t="shared" si="158"/>
        <v/>
      </c>
    </row>
    <row r="4188" spans="2:7" x14ac:dyDescent="0.25">
      <c r="B4188" s="6"/>
      <c r="C4188" s="7"/>
      <c r="D4188" s="7"/>
      <c r="E4188" s="8"/>
      <c r="F4188" t="str">
        <f t="shared" si="157"/>
        <v/>
      </c>
      <c r="G4188" t="str">
        <f t="shared" si="158"/>
        <v/>
      </c>
    </row>
    <row r="4189" spans="2:7" x14ac:dyDescent="0.25">
      <c r="B4189" s="6"/>
      <c r="C4189" s="7"/>
      <c r="D4189" s="7"/>
      <c r="E4189" s="8"/>
      <c r="F4189" t="str">
        <f t="shared" si="157"/>
        <v/>
      </c>
      <c r="G4189" t="str">
        <f t="shared" si="158"/>
        <v/>
      </c>
    </row>
    <row r="4190" spans="2:7" x14ac:dyDescent="0.25">
      <c r="B4190" s="6"/>
      <c r="C4190" s="7"/>
      <c r="D4190" s="7"/>
      <c r="E4190" s="8"/>
      <c r="F4190" t="str">
        <f t="shared" si="157"/>
        <v/>
      </c>
      <c r="G4190" t="str">
        <f t="shared" si="158"/>
        <v/>
      </c>
    </row>
    <row r="4191" spans="2:7" x14ac:dyDescent="0.25">
      <c r="B4191" s="6"/>
      <c r="C4191" s="7"/>
      <c r="D4191" s="7"/>
      <c r="E4191" s="8"/>
      <c r="F4191" t="str">
        <f t="shared" si="157"/>
        <v/>
      </c>
      <c r="G4191" t="str">
        <f t="shared" si="158"/>
        <v/>
      </c>
    </row>
    <row r="4192" spans="2:7" x14ac:dyDescent="0.25">
      <c r="B4192" s="6"/>
      <c r="C4192" s="7"/>
      <c r="D4192" s="7"/>
      <c r="E4192" s="8"/>
      <c r="F4192" t="str">
        <f t="shared" si="157"/>
        <v/>
      </c>
      <c r="G4192" t="str">
        <f t="shared" si="158"/>
        <v/>
      </c>
    </row>
    <row r="4193" spans="2:7" x14ac:dyDescent="0.25">
      <c r="B4193" s="6"/>
      <c r="C4193" s="7"/>
      <c r="D4193" s="7"/>
      <c r="E4193" s="8"/>
      <c r="F4193" t="str">
        <f t="shared" si="157"/>
        <v/>
      </c>
      <c r="G4193" t="str">
        <f t="shared" si="158"/>
        <v/>
      </c>
    </row>
    <row r="4194" spans="2:7" x14ac:dyDescent="0.25">
      <c r="B4194" s="6"/>
      <c r="C4194" s="7"/>
      <c r="D4194" s="7"/>
      <c r="E4194" s="8"/>
      <c r="F4194" t="str">
        <f t="shared" si="157"/>
        <v/>
      </c>
      <c r="G4194" t="str">
        <f t="shared" si="158"/>
        <v/>
      </c>
    </row>
    <row r="4195" spans="2:7" x14ac:dyDescent="0.25">
      <c r="B4195" s="6"/>
      <c r="C4195" s="7"/>
      <c r="D4195" s="7"/>
      <c r="E4195" s="8"/>
      <c r="F4195" t="str">
        <f t="shared" si="157"/>
        <v/>
      </c>
      <c r="G4195" t="str">
        <f t="shared" si="158"/>
        <v/>
      </c>
    </row>
    <row r="4196" spans="2:7" x14ac:dyDescent="0.25">
      <c r="B4196" s="6"/>
      <c r="C4196" s="7"/>
      <c r="D4196" s="7"/>
      <c r="E4196" s="8"/>
      <c r="F4196" t="str">
        <f t="shared" si="157"/>
        <v/>
      </c>
      <c r="G4196" t="str">
        <f t="shared" si="158"/>
        <v/>
      </c>
    </row>
    <row r="4197" spans="2:7" x14ac:dyDescent="0.25">
      <c r="B4197" s="6"/>
      <c r="C4197" s="7"/>
      <c r="D4197" s="7"/>
      <c r="E4197" s="8"/>
      <c r="F4197" t="str">
        <f t="shared" si="157"/>
        <v/>
      </c>
      <c r="G4197" t="str">
        <f t="shared" si="158"/>
        <v/>
      </c>
    </row>
    <row r="4198" spans="2:7" x14ac:dyDescent="0.25">
      <c r="B4198" s="6"/>
      <c r="C4198" s="7"/>
      <c r="D4198" s="7"/>
      <c r="E4198" s="8"/>
      <c r="F4198" t="str">
        <f t="shared" si="157"/>
        <v/>
      </c>
      <c r="G4198" t="str">
        <f t="shared" si="158"/>
        <v/>
      </c>
    </row>
    <row r="4199" spans="2:7" x14ac:dyDescent="0.25">
      <c r="B4199" s="6"/>
      <c r="C4199" s="7"/>
      <c r="D4199" s="7"/>
      <c r="E4199" s="8"/>
      <c r="F4199" t="str">
        <f t="shared" si="157"/>
        <v/>
      </c>
      <c r="G4199" t="str">
        <f t="shared" si="158"/>
        <v/>
      </c>
    </row>
    <row r="4200" spans="2:7" x14ac:dyDescent="0.25">
      <c r="B4200" s="6"/>
      <c r="C4200" s="7"/>
      <c r="D4200" s="7"/>
      <c r="E4200" s="8"/>
      <c r="F4200" t="str">
        <f t="shared" si="157"/>
        <v/>
      </c>
      <c r="G4200" t="str">
        <f t="shared" si="158"/>
        <v/>
      </c>
    </row>
    <row r="4201" spans="2:7" x14ac:dyDescent="0.25">
      <c r="B4201" s="6"/>
      <c r="C4201" s="7"/>
      <c r="D4201" s="7"/>
      <c r="E4201" s="8"/>
      <c r="F4201" t="str">
        <f t="shared" si="157"/>
        <v/>
      </c>
      <c r="G4201" t="str">
        <f t="shared" si="158"/>
        <v/>
      </c>
    </row>
    <row r="4202" spans="2:7" x14ac:dyDescent="0.25">
      <c r="B4202" s="6"/>
      <c r="C4202" s="7"/>
      <c r="D4202" s="7"/>
      <c r="E4202" s="8"/>
      <c r="F4202" t="str">
        <f t="shared" si="157"/>
        <v/>
      </c>
      <c r="G4202" t="str">
        <f t="shared" si="158"/>
        <v/>
      </c>
    </row>
    <row r="4203" spans="2:7" x14ac:dyDescent="0.25">
      <c r="B4203" s="6"/>
      <c r="C4203" s="7"/>
      <c r="D4203" s="7"/>
      <c r="E4203" s="8"/>
      <c r="F4203" t="str">
        <f t="shared" si="157"/>
        <v/>
      </c>
      <c r="G4203" t="str">
        <f t="shared" si="158"/>
        <v/>
      </c>
    </row>
    <row r="4204" spans="2:7" x14ac:dyDescent="0.25">
      <c r="B4204" s="6"/>
      <c r="C4204" s="7"/>
      <c r="D4204" s="7"/>
      <c r="E4204" s="8"/>
      <c r="F4204" t="str">
        <f t="shared" si="157"/>
        <v/>
      </c>
      <c r="G4204" t="str">
        <f t="shared" si="158"/>
        <v/>
      </c>
    </row>
    <row r="4205" spans="2:7" x14ac:dyDescent="0.25">
      <c r="B4205" s="6"/>
      <c r="C4205" s="7"/>
      <c r="D4205" s="7"/>
      <c r="E4205" s="8"/>
      <c r="F4205" t="str">
        <f t="shared" si="157"/>
        <v/>
      </c>
      <c r="G4205" t="str">
        <f t="shared" si="158"/>
        <v/>
      </c>
    </row>
    <row r="4206" spans="2:7" x14ac:dyDescent="0.25">
      <c r="B4206" s="6"/>
      <c r="C4206" s="7"/>
      <c r="D4206" s="7"/>
      <c r="E4206" s="8"/>
      <c r="F4206" t="str">
        <f t="shared" si="157"/>
        <v/>
      </c>
      <c r="G4206" t="str">
        <f t="shared" si="158"/>
        <v/>
      </c>
    </row>
    <row r="4207" spans="2:7" x14ac:dyDescent="0.25">
      <c r="B4207" s="6"/>
      <c r="C4207" s="7"/>
      <c r="D4207" s="7"/>
      <c r="E4207" s="8"/>
      <c r="F4207" t="str">
        <f t="shared" si="157"/>
        <v/>
      </c>
      <c r="G4207" t="str">
        <f t="shared" si="158"/>
        <v/>
      </c>
    </row>
    <row r="4208" spans="2:7" x14ac:dyDescent="0.25">
      <c r="B4208" s="6"/>
      <c r="C4208" s="7"/>
      <c r="D4208" s="7"/>
      <c r="E4208" s="8"/>
      <c r="F4208" t="str">
        <f t="shared" si="157"/>
        <v/>
      </c>
      <c r="G4208" t="str">
        <f t="shared" si="158"/>
        <v/>
      </c>
    </row>
    <row r="4209" spans="2:7" x14ac:dyDescent="0.25">
      <c r="B4209" s="6"/>
      <c r="C4209" s="7"/>
      <c r="D4209" s="7"/>
      <c r="E4209" s="8"/>
      <c r="F4209" t="str">
        <f t="shared" si="157"/>
        <v/>
      </c>
      <c r="G4209" t="str">
        <f t="shared" si="158"/>
        <v/>
      </c>
    </row>
    <row r="4210" spans="2:7" x14ac:dyDescent="0.25">
      <c r="B4210" s="6"/>
      <c r="C4210" s="7"/>
      <c r="D4210" s="7"/>
      <c r="E4210" s="8"/>
      <c r="F4210" t="str">
        <f t="shared" si="157"/>
        <v/>
      </c>
      <c r="G4210" t="str">
        <f t="shared" si="158"/>
        <v/>
      </c>
    </row>
    <row r="4211" spans="2:7" x14ac:dyDescent="0.25">
      <c r="B4211" s="6"/>
      <c r="C4211" s="7"/>
      <c r="D4211" s="7"/>
      <c r="E4211" s="8"/>
      <c r="F4211" t="str">
        <f t="shared" si="157"/>
        <v/>
      </c>
      <c r="G4211" t="str">
        <f t="shared" si="158"/>
        <v/>
      </c>
    </row>
    <row r="4212" spans="2:7" x14ac:dyDescent="0.25">
      <c r="B4212" s="6"/>
      <c r="C4212" s="7"/>
      <c r="D4212" s="7"/>
      <c r="E4212" s="8"/>
      <c r="F4212" t="str">
        <f t="shared" si="157"/>
        <v/>
      </c>
      <c r="G4212" t="str">
        <f t="shared" si="158"/>
        <v/>
      </c>
    </row>
    <row r="4213" spans="2:7" x14ac:dyDescent="0.25">
      <c r="B4213" s="6"/>
      <c r="C4213" s="7"/>
      <c r="D4213" s="7"/>
      <c r="E4213" s="8"/>
      <c r="F4213" t="str">
        <f t="shared" si="157"/>
        <v/>
      </c>
      <c r="G4213" t="str">
        <f t="shared" si="158"/>
        <v/>
      </c>
    </row>
    <row r="4214" spans="2:7" x14ac:dyDescent="0.25">
      <c r="B4214" s="6"/>
      <c r="C4214" s="7"/>
      <c r="D4214" s="7"/>
      <c r="E4214" s="8"/>
      <c r="F4214" t="str">
        <f t="shared" si="157"/>
        <v/>
      </c>
      <c r="G4214" t="str">
        <f t="shared" si="158"/>
        <v/>
      </c>
    </row>
    <row r="4215" spans="2:7" x14ac:dyDescent="0.25">
      <c r="B4215" s="6"/>
      <c r="C4215" s="7"/>
      <c r="D4215" s="7"/>
      <c r="E4215" s="8"/>
      <c r="F4215" t="str">
        <f t="shared" si="157"/>
        <v/>
      </c>
      <c r="G4215" t="str">
        <f t="shared" si="158"/>
        <v/>
      </c>
    </row>
    <row r="4216" spans="2:7" x14ac:dyDescent="0.25">
      <c r="B4216" s="6"/>
      <c r="C4216" s="7"/>
      <c r="D4216" s="7"/>
      <c r="E4216" s="8"/>
      <c r="F4216" t="str">
        <f t="shared" si="157"/>
        <v/>
      </c>
      <c r="G4216" t="str">
        <f t="shared" si="158"/>
        <v/>
      </c>
    </row>
    <row r="4217" spans="2:7" x14ac:dyDescent="0.25">
      <c r="B4217" s="6"/>
      <c r="C4217" s="7"/>
      <c r="D4217" s="7"/>
      <c r="E4217" s="8"/>
      <c r="F4217" t="str">
        <f t="shared" si="157"/>
        <v/>
      </c>
      <c r="G4217" t="str">
        <f t="shared" si="158"/>
        <v/>
      </c>
    </row>
    <row r="4218" spans="2:7" x14ac:dyDescent="0.25">
      <c r="B4218" s="6"/>
      <c r="C4218" s="7"/>
      <c r="D4218" s="7"/>
      <c r="E4218" s="8"/>
      <c r="F4218" t="str">
        <f t="shared" si="157"/>
        <v/>
      </c>
      <c r="G4218" t="str">
        <f t="shared" si="158"/>
        <v/>
      </c>
    </row>
    <row r="4219" spans="2:7" x14ac:dyDescent="0.25">
      <c r="B4219" s="6"/>
      <c r="C4219" s="7"/>
      <c r="D4219" s="7"/>
      <c r="E4219" s="8"/>
      <c r="F4219" t="str">
        <f t="shared" si="157"/>
        <v/>
      </c>
      <c r="G4219" t="str">
        <f t="shared" si="158"/>
        <v/>
      </c>
    </row>
    <row r="4220" spans="2:7" x14ac:dyDescent="0.25">
      <c r="B4220" s="6"/>
      <c r="C4220" s="7"/>
      <c r="D4220" s="7"/>
      <c r="E4220" s="8"/>
      <c r="F4220" t="str">
        <f t="shared" si="157"/>
        <v/>
      </c>
      <c r="G4220" t="str">
        <f t="shared" si="158"/>
        <v/>
      </c>
    </row>
    <row r="4221" spans="2:7" x14ac:dyDescent="0.25">
      <c r="B4221" s="6"/>
      <c r="C4221" s="7"/>
      <c r="D4221" s="7"/>
      <c r="E4221" s="8"/>
      <c r="F4221" t="str">
        <f t="shared" si="157"/>
        <v/>
      </c>
      <c r="G4221" t="str">
        <f t="shared" si="158"/>
        <v/>
      </c>
    </row>
    <row r="4222" spans="2:7" x14ac:dyDescent="0.25">
      <c r="B4222" s="6"/>
      <c r="C4222" s="7"/>
      <c r="D4222" s="7"/>
      <c r="E4222" s="8"/>
      <c r="F4222" t="str">
        <f t="shared" si="157"/>
        <v/>
      </c>
      <c r="G4222" t="str">
        <f t="shared" si="158"/>
        <v/>
      </c>
    </row>
    <row r="4223" spans="2:7" x14ac:dyDescent="0.25">
      <c r="B4223" s="6"/>
      <c r="C4223" s="7"/>
      <c r="D4223" s="7"/>
      <c r="E4223" s="8"/>
      <c r="F4223" t="str">
        <f t="shared" si="157"/>
        <v/>
      </c>
      <c r="G4223" t="str">
        <f t="shared" si="158"/>
        <v/>
      </c>
    </row>
    <row r="4224" spans="2:7" x14ac:dyDescent="0.25">
      <c r="B4224" s="6"/>
      <c r="C4224" s="7"/>
      <c r="D4224" s="7"/>
      <c r="E4224" s="8"/>
      <c r="F4224" t="str">
        <f t="shared" si="157"/>
        <v/>
      </c>
      <c r="G4224" t="str">
        <f t="shared" si="158"/>
        <v/>
      </c>
    </row>
    <row r="4225" spans="2:7" x14ac:dyDescent="0.25">
      <c r="B4225" s="6"/>
      <c r="C4225" s="7"/>
      <c r="D4225" s="7"/>
      <c r="E4225" s="8"/>
      <c r="F4225" t="str">
        <f t="shared" si="157"/>
        <v/>
      </c>
      <c r="G4225" t="str">
        <f t="shared" si="158"/>
        <v/>
      </c>
    </row>
    <row r="4226" spans="2:7" x14ac:dyDescent="0.25">
      <c r="B4226" s="6"/>
      <c r="C4226" s="7"/>
      <c r="D4226" s="7"/>
      <c r="E4226" s="8"/>
      <c r="F4226" t="str">
        <f t="shared" si="157"/>
        <v/>
      </c>
      <c r="G4226" t="str">
        <f t="shared" si="158"/>
        <v/>
      </c>
    </row>
    <row r="4227" spans="2:7" x14ac:dyDescent="0.25">
      <c r="B4227" s="6"/>
      <c r="C4227" s="7"/>
      <c r="D4227" s="7"/>
      <c r="E4227" s="8"/>
      <c r="F4227" t="str">
        <f t="shared" si="157"/>
        <v/>
      </c>
      <c r="G4227" t="str">
        <f t="shared" si="158"/>
        <v/>
      </c>
    </row>
    <row r="4228" spans="2:7" x14ac:dyDescent="0.25">
      <c r="B4228" s="6"/>
      <c r="C4228" s="7"/>
      <c r="D4228" s="7"/>
      <c r="E4228" s="8"/>
      <c r="F4228" t="str">
        <f t="shared" ref="F4228:F4291" si="159">IF(B4228="","",LOG10(D4228))</f>
        <v/>
      </c>
      <c r="G4228" t="str">
        <f t="shared" ref="G4228:G4291" si="160">IF(E4228="", "",0.434*E4228/D4228)</f>
        <v/>
      </c>
    </row>
    <row r="4229" spans="2:7" x14ac:dyDescent="0.25">
      <c r="B4229" s="6"/>
      <c r="C4229" s="7"/>
      <c r="D4229" s="7"/>
      <c r="E4229" s="8"/>
      <c r="F4229" t="str">
        <f t="shared" si="159"/>
        <v/>
      </c>
      <c r="G4229" t="str">
        <f t="shared" si="160"/>
        <v/>
      </c>
    </row>
    <row r="4230" spans="2:7" x14ac:dyDescent="0.25">
      <c r="B4230" s="6"/>
      <c r="C4230" s="7"/>
      <c r="D4230" s="7"/>
      <c r="E4230" s="8"/>
      <c r="F4230" t="str">
        <f t="shared" si="159"/>
        <v/>
      </c>
      <c r="G4230" t="str">
        <f t="shared" si="160"/>
        <v/>
      </c>
    </row>
    <row r="4231" spans="2:7" x14ac:dyDescent="0.25">
      <c r="B4231" s="6"/>
      <c r="C4231" s="7"/>
      <c r="D4231" s="7"/>
      <c r="E4231" s="8"/>
      <c r="F4231" t="str">
        <f t="shared" si="159"/>
        <v/>
      </c>
      <c r="G4231" t="str">
        <f t="shared" si="160"/>
        <v/>
      </c>
    </row>
    <row r="4232" spans="2:7" x14ac:dyDescent="0.25">
      <c r="B4232" s="6"/>
      <c r="C4232" s="7"/>
      <c r="D4232" s="7"/>
      <c r="E4232" s="8"/>
      <c r="F4232" t="str">
        <f t="shared" si="159"/>
        <v/>
      </c>
      <c r="G4232" t="str">
        <f t="shared" si="160"/>
        <v/>
      </c>
    </row>
    <row r="4233" spans="2:7" x14ac:dyDescent="0.25">
      <c r="B4233" s="6"/>
      <c r="C4233" s="7"/>
      <c r="D4233" s="7"/>
      <c r="E4233" s="8"/>
      <c r="F4233" t="str">
        <f t="shared" si="159"/>
        <v/>
      </c>
      <c r="G4233" t="str">
        <f t="shared" si="160"/>
        <v/>
      </c>
    </row>
    <row r="4234" spans="2:7" x14ac:dyDescent="0.25">
      <c r="B4234" s="6"/>
      <c r="C4234" s="7"/>
      <c r="D4234" s="7"/>
      <c r="E4234" s="8"/>
      <c r="F4234" t="str">
        <f t="shared" si="159"/>
        <v/>
      </c>
      <c r="G4234" t="str">
        <f t="shared" si="160"/>
        <v/>
      </c>
    </row>
    <row r="4235" spans="2:7" x14ac:dyDescent="0.25">
      <c r="B4235" s="6"/>
      <c r="C4235" s="7"/>
      <c r="D4235" s="7"/>
      <c r="E4235" s="8"/>
      <c r="F4235" t="str">
        <f t="shared" si="159"/>
        <v/>
      </c>
      <c r="G4235" t="str">
        <f t="shared" si="160"/>
        <v/>
      </c>
    </row>
    <row r="4236" spans="2:7" x14ac:dyDescent="0.25">
      <c r="B4236" s="6"/>
      <c r="C4236" s="7"/>
      <c r="D4236" s="7"/>
      <c r="E4236" s="8"/>
      <c r="F4236" t="str">
        <f t="shared" si="159"/>
        <v/>
      </c>
      <c r="G4236" t="str">
        <f t="shared" si="160"/>
        <v/>
      </c>
    </row>
    <row r="4237" spans="2:7" x14ac:dyDescent="0.25">
      <c r="B4237" s="6"/>
      <c r="C4237" s="7"/>
      <c r="D4237" s="7"/>
      <c r="E4237" s="8"/>
      <c r="F4237" t="str">
        <f t="shared" si="159"/>
        <v/>
      </c>
      <c r="G4237" t="str">
        <f t="shared" si="160"/>
        <v/>
      </c>
    </row>
    <row r="4238" spans="2:7" x14ac:dyDescent="0.25">
      <c r="B4238" s="6"/>
      <c r="C4238" s="7"/>
      <c r="D4238" s="7"/>
      <c r="E4238" s="8"/>
      <c r="F4238" t="str">
        <f t="shared" si="159"/>
        <v/>
      </c>
      <c r="G4238" t="str">
        <f t="shared" si="160"/>
        <v/>
      </c>
    </row>
    <row r="4239" spans="2:7" x14ac:dyDescent="0.25">
      <c r="B4239" s="6"/>
      <c r="C4239" s="7"/>
      <c r="D4239" s="7"/>
      <c r="E4239" s="8"/>
      <c r="F4239" t="str">
        <f t="shared" si="159"/>
        <v/>
      </c>
      <c r="G4239" t="str">
        <f t="shared" si="160"/>
        <v/>
      </c>
    </row>
    <row r="4240" spans="2:7" x14ac:dyDescent="0.25">
      <c r="B4240" s="6"/>
      <c r="C4240" s="7"/>
      <c r="D4240" s="7"/>
      <c r="E4240" s="8"/>
      <c r="F4240" t="str">
        <f t="shared" si="159"/>
        <v/>
      </c>
      <c r="G4240" t="str">
        <f t="shared" si="160"/>
        <v/>
      </c>
    </row>
    <row r="4241" spans="2:7" x14ac:dyDescent="0.25">
      <c r="B4241" s="6"/>
      <c r="C4241" s="7"/>
      <c r="D4241" s="7"/>
      <c r="E4241" s="8"/>
      <c r="F4241" t="str">
        <f t="shared" si="159"/>
        <v/>
      </c>
      <c r="G4241" t="str">
        <f t="shared" si="160"/>
        <v/>
      </c>
    </row>
    <row r="4242" spans="2:7" x14ac:dyDescent="0.25">
      <c r="B4242" s="6"/>
      <c r="C4242" s="7"/>
      <c r="D4242" s="7"/>
      <c r="E4242" s="8"/>
      <c r="F4242" t="str">
        <f t="shared" si="159"/>
        <v/>
      </c>
      <c r="G4242" t="str">
        <f t="shared" si="160"/>
        <v/>
      </c>
    </row>
    <row r="4243" spans="2:7" x14ac:dyDescent="0.25">
      <c r="B4243" s="6"/>
      <c r="C4243" s="7"/>
      <c r="D4243" s="7"/>
      <c r="E4243" s="8"/>
      <c r="F4243" t="str">
        <f t="shared" si="159"/>
        <v/>
      </c>
      <c r="G4243" t="str">
        <f t="shared" si="160"/>
        <v/>
      </c>
    </row>
    <row r="4244" spans="2:7" x14ac:dyDescent="0.25">
      <c r="B4244" s="6"/>
      <c r="C4244" s="7"/>
      <c r="D4244" s="7"/>
      <c r="E4244" s="8"/>
      <c r="F4244" t="str">
        <f t="shared" si="159"/>
        <v/>
      </c>
      <c r="G4244" t="str">
        <f t="shared" si="160"/>
        <v/>
      </c>
    </row>
    <row r="4245" spans="2:7" x14ac:dyDescent="0.25">
      <c r="B4245" s="6"/>
      <c r="C4245" s="7"/>
      <c r="D4245" s="7"/>
      <c r="E4245" s="8"/>
      <c r="F4245" t="str">
        <f t="shared" si="159"/>
        <v/>
      </c>
      <c r="G4245" t="str">
        <f t="shared" si="160"/>
        <v/>
      </c>
    </row>
    <row r="4246" spans="2:7" x14ac:dyDescent="0.25">
      <c r="B4246" s="6"/>
      <c r="C4246" s="7"/>
      <c r="D4246" s="7"/>
      <c r="E4246" s="8"/>
      <c r="F4246" t="str">
        <f t="shared" si="159"/>
        <v/>
      </c>
      <c r="G4246" t="str">
        <f t="shared" si="160"/>
        <v/>
      </c>
    </row>
    <row r="4247" spans="2:7" x14ac:dyDescent="0.25">
      <c r="B4247" s="6"/>
      <c r="C4247" s="7"/>
      <c r="D4247" s="7"/>
      <c r="E4247" s="8"/>
      <c r="F4247" t="str">
        <f t="shared" si="159"/>
        <v/>
      </c>
      <c r="G4247" t="str">
        <f t="shared" si="160"/>
        <v/>
      </c>
    </row>
    <row r="4248" spans="2:7" x14ac:dyDescent="0.25">
      <c r="B4248" s="6"/>
      <c r="C4248" s="7"/>
      <c r="D4248" s="7"/>
      <c r="E4248" s="8"/>
      <c r="F4248" t="str">
        <f t="shared" si="159"/>
        <v/>
      </c>
      <c r="G4248" t="str">
        <f t="shared" si="160"/>
        <v/>
      </c>
    </row>
    <row r="4249" spans="2:7" x14ac:dyDescent="0.25">
      <c r="B4249" s="6"/>
      <c r="C4249" s="7"/>
      <c r="D4249" s="7"/>
      <c r="E4249" s="8"/>
      <c r="F4249" t="str">
        <f t="shared" si="159"/>
        <v/>
      </c>
      <c r="G4249" t="str">
        <f t="shared" si="160"/>
        <v/>
      </c>
    </row>
    <row r="4250" spans="2:7" x14ac:dyDescent="0.25">
      <c r="B4250" s="6"/>
      <c r="C4250" s="7"/>
      <c r="D4250" s="7"/>
      <c r="E4250" s="8"/>
      <c r="F4250" t="str">
        <f t="shared" si="159"/>
        <v/>
      </c>
      <c r="G4250" t="str">
        <f t="shared" si="160"/>
        <v/>
      </c>
    </row>
    <row r="4251" spans="2:7" x14ac:dyDescent="0.25">
      <c r="B4251" s="6"/>
      <c r="C4251" s="7"/>
      <c r="D4251" s="7"/>
      <c r="E4251" s="8"/>
      <c r="F4251" t="str">
        <f t="shared" si="159"/>
        <v/>
      </c>
      <c r="G4251" t="str">
        <f t="shared" si="160"/>
        <v/>
      </c>
    </row>
    <row r="4252" spans="2:7" x14ac:dyDescent="0.25">
      <c r="B4252" s="6"/>
      <c r="C4252" s="7"/>
      <c r="D4252" s="7"/>
      <c r="E4252" s="8"/>
      <c r="F4252" t="str">
        <f t="shared" si="159"/>
        <v/>
      </c>
      <c r="G4252" t="str">
        <f t="shared" si="160"/>
        <v/>
      </c>
    </row>
    <row r="4253" spans="2:7" x14ac:dyDescent="0.25">
      <c r="B4253" s="6"/>
      <c r="C4253" s="7"/>
      <c r="D4253" s="7"/>
      <c r="E4253" s="8"/>
      <c r="F4253" t="str">
        <f t="shared" si="159"/>
        <v/>
      </c>
      <c r="G4253" t="str">
        <f t="shared" si="160"/>
        <v/>
      </c>
    </row>
    <row r="4254" spans="2:7" x14ac:dyDescent="0.25">
      <c r="B4254" s="6"/>
      <c r="C4254" s="7"/>
      <c r="D4254" s="7"/>
      <c r="E4254" s="8"/>
      <c r="F4254" t="str">
        <f t="shared" si="159"/>
        <v/>
      </c>
      <c r="G4254" t="str">
        <f t="shared" si="160"/>
        <v/>
      </c>
    </row>
    <row r="4255" spans="2:7" x14ac:dyDescent="0.25">
      <c r="B4255" s="6"/>
      <c r="C4255" s="7"/>
      <c r="D4255" s="7"/>
      <c r="E4255" s="8"/>
      <c r="F4255" t="str">
        <f t="shared" si="159"/>
        <v/>
      </c>
      <c r="G4255" t="str">
        <f t="shared" si="160"/>
        <v/>
      </c>
    </row>
    <row r="4256" spans="2:7" x14ac:dyDescent="0.25">
      <c r="B4256" s="6"/>
      <c r="C4256" s="7"/>
      <c r="D4256" s="7"/>
      <c r="E4256" s="8"/>
      <c r="F4256" t="str">
        <f t="shared" si="159"/>
        <v/>
      </c>
      <c r="G4256" t="str">
        <f t="shared" si="160"/>
        <v/>
      </c>
    </row>
    <row r="4257" spans="2:7" x14ac:dyDescent="0.25">
      <c r="B4257" s="6"/>
      <c r="C4257" s="7"/>
      <c r="D4257" s="7"/>
      <c r="E4257" s="8"/>
      <c r="F4257" t="str">
        <f t="shared" si="159"/>
        <v/>
      </c>
      <c r="G4257" t="str">
        <f t="shared" si="160"/>
        <v/>
      </c>
    </row>
    <row r="4258" spans="2:7" x14ac:dyDescent="0.25">
      <c r="B4258" s="6"/>
      <c r="C4258" s="7"/>
      <c r="D4258" s="7"/>
      <c r="E4258" s="8"/>
      <c r="F4258" t="str">
        <f t="shared" si="159"/>
        <v/>
      </c>
      <c r="G4258" t="str">
        <f t="shared" si="160"/>
        <v/>
      </c>
    </row>
    <row r="4259" spans="2:7" x14ac:dyDescent="0.25">
      <c r="B4259" s="6"/>
      <c r="C4259" s="7"/>
      <c r="D4259" s="7"/>
      <c r="E4259" s="8"/>
      <c r="F4259" t="str">
        <f t="shared" si="159"/>
        <v/>
      </c>
      <c r="G4259" t="str">
        <f t="shared" si="160"/>
        <v/>
      </c>
    </row>
    <row r="4260" spans="2:7" x14ac:dyDescent="0.25">
      <c r="B4260" s="6"/>
      <c r="C4260" s="7"/>
      <c r="D4260" s="7"/>
      <c r="E4260" s="8"/>
      <c r="F4260" t="str">
        <f t="shared" si="159"/>
        <v/>
      </c>
      <c r="G4260" t="str">
        <f t="shared" si="160"/>
        <v/>
      </c>
    </row>
    <row r="4261" spans="2:7" x14ac:dyDescent="0.25">
      <c r="B4261" s="6"/>
      <c r="C4261" s="7"/>
      <c r="D4261" s="7"/>
      <c r="E4261" s="8"/>
      <c r="F4261" t="str">
        <f t="shared" si="159"/>
        <v/>
      </c>
      <c r="G4261" t="str">
        <f t="shared" si="160"/>
        <v/>
      </c>
    </row>
    <row r="4262" spans="2:7" x14ac:dyDescent="0.25">
      <c r="B4262" s="6"/>
      <c r="C4262" s="7"/>
      <c r="D4262" s="7"/>
      <c r="E4262" s="8"/>
      <c r="F4262" t="str">
        <f t="shared" si="159"/>
        <v/>
      </c>
      <c r="G4262" t="str">
        <f t="shared" si="160"/>
        <v/>
      </c>
    </row>
    <row r="4263" spans="2:7" x14ac:dyDescent="0.25">
      <c r="B4263" s="6"/>
      <c r="C4263" s="7"/>
      <c r="D4263" s="7"/>
      <c r="E4263" s="8"/>
      <c r="F4263" t="str">
        <f t="shared" si="159"/>
        <v/>
      </c>
      <c r="G4263" t="str">
        <f t="shared" si="160"/>
        <v/>
      </c>
    </row>
    <row r="4264" spans="2:7" x14ac:dyDescent="0.25">
      <c r="B4264" s="6"/>
      <c r="C4264" s="7"/>
      <c r="D4264" s="7"/>
      <c r="E4264" s="8"/>
      <c r="F4264" t="str">
        <f t="shared" si="159"/>
        <v/>
      </c>
      <c r="G4264" t="str">
        <f t="shared" si="160"/>
        <v/>
      </c>
    </row>
    <row r="4265" spans="2:7" x14ac:dyDescent="0.25">
      <c r="B4265" s="6"/>
      <c r="C4265" s="7"/>
      <c r="D4265" s="7"/>
      <c r="E4265" s="8"/>
      <c r="F4265" t="str">
        <f t="shared" si="159"/>
        <v/>
      </c>
      <c r="G4265" t="str">
        <f t="shared" si="160"/>
        <v/>
      </c>
    </row>
    <row r="4266" spans="2:7" x14ac:dyDescent="0.25">
      <c r="B4266" s="6"/>
      <c r="C4266" s="7"/>
      <c r="D4266" s="7"/>
      <c r="E4266" s="8"/>
      <c r="F4266" t="str">
        <f t="shared" si="159"/>
        <v/>
      </c>
      <c r="G4266" t="str">
        <f t="shared" si="160"/>
        <v/>
      </c>
    </row>
    <row r="4267" spans="2:7" x14ac:dyDescent="0.25">
      <c r="B4267" s="6"/>
      <c r="C4267" s="7"/>
      <c r="D4267" s="7"/>
      <c r="E4267" s="8"/>
      <c r="F4267" t="str">
        <f t="shared" si="159"/>
        <v/>
      </c>
      <c r="G4267" t="str">
        <f t="shared" si="160"/>
        <v/>
      </c>
    </row>
    <row r="4268" spans="2:7" x14ac:dyDescent="0.25">
      <c r="B4268" s="6"/>
      <c r="C4268" s="7"/>
      <c r="D4268" s="7"/>
      <c r="E4268" s="8"/>
      <c r="F4268" t="str">
        <f t="shared" si="159"/>
        <v/>
      </c>
      <c r="G4268" t="str">
        <f t="shared" si="160"/>
        <v/>
      </c>
    </row>
    <row r="4269" spans="2:7" x14ac:dyDescent="0.25">
      <c r="B4269" s="6"/>
      <c r="C4269" s="7"/>
      <c r="D4269" s="7"/>
      <c r="E4269" s="8"/>
      <c r="F4269" t="str">
        <f t="shared" si="159"/>
        <v/>
      </c>
      <c r="G4269" t="str">
        <f t="shared" si="160"/>
        <v/>
      </c>
    </row>
    <row r="4270" spans="2:7" x14ac:dyDescent="0.25">
      <c r="B4270" s="6"/>
      <c r="C4270" s="7"/>
      <c r="D4270" s="7"/>
      <c r="E4270" s="8"/>
      <c r="F4270" t="str">
        <f t="shared" si="159"/>
        <v/>
      </c>
      <c r="G4270" t="str">
        <f t="shared" si="160"/>
        <v/>
      </c>
    </row>
    <row r="4271" spans="2:7" x14ac:dyDescent="0.25">
      <c r="B4271" s="6"/>
      <c r="C4271" s="7"/>
      <c r="D4271" s="7"/>
      <c r="E4271" s="8"/>
      <c r="F4271" t="str">
        <f t="shared" si="159"/>
        <v/>
      </c>
      <c r="G4271" t="str">
        <f t="shared" si="160"/>
        <v/>
      </c>
    </row>
    <row r="4272" spans="2:7" x14ac:dyDescent="0.25">
      <c r="B4272" s="6"/>
      <c r="C4272" s="7"/>
      <c r="D4272" s="7"/>
      <c r="E4272" s="8"/>
      <c r="F4272" t="str">
        <f t="shared" si="159"/>
        <v/>
      </c>
      <c r="G4272" t="str">
        <f t="shared" si="160"/>
        <v/>
      </c>
    </row>
    <row r="4273" spans="2:7" x14ac:dyDescent="0.25">
      <c r="B4273" s="6"/>
      <c r="C4273" s="7"/>
      <c r="D4273" s="7"/>
      <c r="E4273" s="8"/>
      <c r="F4273" t="str">
        <f t="shared" si="159"/>
        <v/>
      </c>
      <c r="G4273" t="str">
        <f t="shared" si="160"/>
        <v/>
      </c>
    </row>
    <row r="4274" spans="2:7" x14ac:dyDescent="0.25">
      <c r="B4274" s="6"/>
      <c r="C4274" s="7"/>
      <c r="D4274" s="7"/>
      <c r="E4274" s="8"/>
      <c r="F4274" t="str">
        <f t="shared" si="159"/>
        <v/>
      </c>
      <c r="G4274" t="str">
        <f t="shared" si="160"/>
        <v/>
      </c>
    </row>
    <row r="4275" spans="2:7" x14ac:dyDescent="0.25">
      <c r="B4275" s="6"/>
      <c r="C4275" s="7"/>
      <c r="D4275" s="7"/>
      <c r="E4275" s="8"/>
      <c r="F4275" t="str">
        <f t="shared" si="159"/>
        <v/>
      </c>
      <c r="G4275" t="str">
        <f t="shared" si="160"/>
        <v/>
      </c>
    </row>
    <row r="4276" spans="2:7" x14ac:dyDescent="0.25">
      <c r="B4276" s="6"/>
      <c r="C4276" s="7"/>
      <c r="D4276" s="7"/>
      <c r="E4276" s="8"/>
      <c r="F4276" t="str">
        <f t="shared" si="159"/>
        <v/>
      </c>
      <c r="G4276" t="str">
        <f t="shared" si="160"/>
        <v/>
      </c>
    </row>
    <row r="4277" spans="2:7" x14ac:dyDescent="0.25">
      <c r="B4277" s="6"/>
      <c r="C4277" s="7"/>
      <c r="D4277" s="7"/>
      <c r="E4277" s="8"/>
      <c r="F4277" t="str">
        <f t="shared" si="159"/>
        <v/>
      </c>
      <c r="G4277" t="str">
        <f t="shared" si="160"/>
        <v/>
      </c>
    </row>
    <row r="4278" spans="2:7" x14ac:dyDescent="0.25">
      <c r="B4278" s="6"/>
      <c r="C4278" s="7"/>
      <c r="D4278" s="7"/>
      <c r="E4278" s="8"/>
      <c r="F4278" t="str">
        <f t="shared" si="159"/>
        <v/>
      </c>
      <c r="G4278" t="str">
        <f t="shared" si="160"/>
        <v/>
      </c>
    </row>
    <row r="4279" spans="2:7" x14ac:dyDescent="0.25">
      <c r="B4279" s="6"/>
      <c r="C4279" s="7"/>
      <c r="D4279" s="7"/>
      <c r="E4279" s="8"/>
      <c r="F4279" t="str">
        <f t="shared" si="159"/>
        <v/>
      </c>
      <c r="G4279" t="str">
        <f t="shared" si="160"/>
        <v/>
      </c>
    </row>
    <row r="4280" spans="2:7" x14ac:dyDescent="0.25">
      <c r="B4280" s="6"/>
      <c r="C4280" s="7"/>
      <c r="D4280" s="7"/>
      <c r="E4280" s="8"/>
      <c r="F4280" t="str">
        <f t="shared" si="159"/>
        <v/>
      </c>
      <c r="G4280" t="str">
        <f t="shared" si="160"/>
        <v/>
      </c>
    </row>
    <row r="4281" spans="2:7" x14ac:dyDescent="0.25">
      <c r="B4281" s="6"/>
      <c r="C4281" s="7"/>
      <c r="D4281" s="7"/>
      <c r="E4281" s="8"/>
      <c r="F4281" t="str">
        <f t="shared" si="159"/>
        <v/>
      </c>
      <c r="G4281" t="str">
        <f t="shared" si="160"/>
        <v/>
      </c>
    </row>
    <row r="4282" spans="2:7" x14ac:dyDescent="0.25">
      <c r="B4282" s="6"/>
      <c r="C4282" s="7"/>
      <c r="D4282" s="7"/>
      <c r="E4282" s="8"/>
      <c r="F4282" t="str">
        <f t="shared" si="159"/>
        <v/>
      </c>
      <c r="G4282" t="str">
        <f t="shared" si="160"/>
        <v/>
      </c>
    </row>
    <row r="4283" spans="2:7" x14ac:dyDescent="0.25">
      <c r="B4283" s="6"/>
      <c r="C4283" s="7"/>
      <c r="D4283" s="7"/>
      <c r="E4283" s="8"/>
      <c r="F4283" t="str">
        <f t="shared" si="159"/>
        <v/>
      </c>
      <c r="G4283" t="str">
        <f t="shared" si="160"/>
        <v/>
      </c>
    </row>
    <row r="4284" spans="2:7" x14ac:dyDescent="0.25">
      <c r="B4284" s="6"/>
      <c r="C4284" s="7"/>
      <c r="D4284" s="7"/>
      <c r="E4284" s="8"/>
      <c r="F4284" t="str">
        <f t="shared" si="159"/>
        <v/>
      </c>
      <c r="G4284" t="str">
        <f t="shared" si="160"/>
        <v/>
      </c>
    </row>
    <row r="4285" spans="2:7" x14ac:dyDescent="0.25">
      <c r="B4285" s="6"/>
      <c r="C4285" s="7"/>
      <c r="D4285" s="7"/>
      <c r="E4285" s="8"/>
      <c r="F4285" t="str">
        <f t="shared" si="159"/>
        <v/>
      </c>
      <c r="G4285" t="str">
        <f t="shared" si="160"/>
        <v/>
      </c>
    </row>
    <row r="4286" spans="2:7" x14ac:dyDescent="0.25">
      <c r="B4286" s="6"/>
      <c r="C4286" s="7"/>
      <c r="D4286" s="7"/>
      <c r="E4286" s="8"/>
      <c r="F4286" t="str">
        <f t="shared" si="159"/>
        <v/>
      </c>
      <c r="G4286" t="str">
        <f t="shared" si="160"/>
        <v/>
      </c>
    </row>
    <row r="4287" spans="2:7" x14ac:dyDescent="0.25">
      <c r="B4287" s="6"/>
      <c r="C4287" s="7"/>
      <c r="D4287" s="7"/>
      <c r="E4287" s="8"/>
      <c r="F4287" t="str">
        <f t="shared" si="159"/>
        <v/>
      </c>
      <c r="G4287" t="str">
        <f t="shared" si="160"/>
        <v/>
      </c>
    </row>
    <row r="4288" spans="2:7" x14ac:dyDescent="0.25">
      <c r="B4288" s="6"/>
      <c r="C4288" s="7"/>
      <c r="D4288" s="7"/>
      <c r="E4288" s="8"/>
      <c r="F4288" t="str">
        <f t="shared" si="159"/>
        <v/>
      </c>
      <c r="G4288" t="str">
        <f t="shared" si="160"/>
        <v/>
      </c>
    </row>
    <row r="4289" spans="2:7" x14ac:dyDescent="0.25">
      <c r="B4289" s="6"/>
      <c r="C4289" s="7"/>
      <c r="D4289" s="7"/>
      <c r="E4289" s="8"/>
      <c r="F4289" t="str">
        <f t="shared" si="159"/>
        <v/>
      </c>
      <c r="G4289" t="str">
        <f t="shared" si="160"/>
        <v/>
      </c>
    </row>
    <row r="4290" spans="2:7" x14ac:dyDescent="0.25">
      <c r="B4290" s="6"/>
      <c r="C4290" s="7"/>
      <c r="D4290" s="7"/>
      <c r="E4290" s="8"/>
      <c r="F4290" t="str">
        <f t="shared" si="159"/>
        <v/>
      </c>
      <c r="G4290" t="str">
        <f t="shared" si="160"/>
        <v/>
      </c>
    </row>
    <row r="4291" spans="2:7" x14ac:dyDescent="0.25">
      <c r="B4291" s="6"/>
      <c r="C4291" s="7"/>
      <c r="D4291" s="7"/>
      <c r="E4291" s="8"/>
      <c r="F4291" t="str">
        <f t="shared" si="159"/>
        <v/>
      </c>
      <c r="G4291" t="str">
        <f t="shared" si="160"/>
        <v/>
      </c>
    </row>
    <row r="4292" spans="2:7" x14ac:dyDescent="0.25">
      <c r="B4292" s="6"/>
      <c r="C4292" s="7"/>
      <c r="D4292" s="7"/>
      <c r="E4292" s="8"/>
      <c r="F4292" t="str">
        <f t="shared" ref="F4292:F4355" si="161">IF(B4292="","",LOG10(D4292))</f>
        <v/>
      </c>
      <c r="G4292" t="str">
        <f t="shared" ref="G4292:G4355" si="162">IF(E4292="", "",0.434*E4292/D4292)</f>
        <v/>
      </c>
    </row>
    <row r="4293" spans="2:7" x14ac:dyDescent="0.25">
      <c r="B4293" s="6"/>
      <c r="C4293" s="7"/>
      <c r="D4293" s="7"/>
      <c r="E4293" s="8"/>
      <c r="F4293" t="str">
        <f t="shared" si="161"/>
        <v/>
      </c>
      <c r="G4293" t="str">
        <f t="shared" si="162"/>
        <v/>
      </c>
    </row>
    <row r="4294" spans="2:7" x14ac:dyDescent="0.25">
      <c r="B4294" s="6"/>
      <c r="C4294" s="7"/>
      <c r="D4294" s="7"/>
      <c r="E4294" s="8"/>
      <c r="F4294" t="str">
        <f t="shared" si="161"/>
        <v/>
      </c>
      <c r="G4294" t="str">
        <f t="shared" si="162"/>
        <v/>
      </c>
    </row>
    <row r="4295" spans="2:7" x14ac:dyDescent="0.25">
      <c r="B4295" s="6"/>
      <c r="C4295" s="7"/>
      <c r="D4295" s="7"/>
      <c r="E4295" s="8"/>
      <c r="F4295" t="str">
        <f t="shared" si="161"/>
        <v/>
      </c>
      <c r="G4295" t="str">
        <f t="shared" si="162"/>
        <v/>
      </c>
    </row>
    <row r="4296" spans="2:7" x14ac:dyDescent="0.25">
      <c r="B4296" s="6"/>
      <c r="C4296" s="7"/>
      <c r="D4296" s="7"/>
      <c r="E4296" s="8"/>
      <c r="F4296" t="str">
        <f t="shared" si="161"/>
        <v/>
      </c>
      <c r="G4296" t="str">
        <f t="shared" si="162"/>
        <v/>
      </c>
    </row>
    <row r="4297" spans="2:7" x14ac:dyDescent="0.25">
      <c r="B4297" s="6"/>
      <c r="C4297" s="7"/>
      <c r="D4297" s="7"/>
      <c r="E4297" s="8"/>
      <c r="F4297" t="str">
        <f t="shared" si="161"/>
        <v/>
      </c>
      <c r="G4297" t="str">
        <f t="shared" si="162"/>
        <v/>
      </c>
    </row>
    <row r="4298" spans="2:7" x14ac:dyDescent="0.25">
      <c r="B4298" s="6"/>
      <c r="C4298" s="7"/>
      <c r="D4298" s="7"/>
      <c r="E4298" s="8"/>
      <c r="F4298" t="str">
        <f t="shared" si="161"/>
        <v/>
      </c>
      <c r="G4298" t="str">
        <f t="shared" si="162"/>
        <v/>
      </c>
    </row>
    <row r="4299" spans="2:7" x14ac:dyDescent="0.25">
      <c r="B4299" s="6"/>
      <c r="C4299" s="7"/>
      <c r="D4299" s="7"/>
      <c r="E4299" s="8"/>
      <c r="F4299" t="str">
        <f t="shared" si="161"/>
        <v/>
      </c>
      <c r="G4299" t="str">
        <f t="shared" si="162"/>
        <v/>
      </c>
    </row>
    <row r="4300" spans="2:7" x14ac:dyDescent="0.25">
      <c r="B4300" s="6"/>
      <c r="C4300" s="7"/>
      <c r="D4300" s="7"/>
      <c r="E4300" s="8"/>
      <c r="F4300" t="str">
        <f t="shared" si="161"/>
        <v/>
      </c>
      <c r="G4300" t="str">
        <f t="shared" si="162"/>
        <v/>
      </c>
    </row>
    <row r="4301" spans="2:7" x14ac:dyDescent="0.25">
      <c r="B4301" s="6"/>
      <c r="C4301" s="7"/>
      <c r="D4301" s="7"/>
      <c r="E4301" s="8"/>
      <c r="F4301" t="str">
        <f t="shared" si="161"/>
        <v/>
      </c>
      <c r="G4301" t="str">
        <f t="shared" si="162"/>
        <v/>
      </c>
    </row>
    <row r="4302" spans="2:7" x14ac:dyDescent="0.25">
      <c r="B4302" s="6"/>
      <c r="C4302" s="7"/>
      <c r="D4302" s="7"/>
      <c r="E4302" s="8"/>
      <c r="F4302" t="str">
        <f t="shared" si="161"/>
        <v/>
      </c>
      <c r="G4302" t="str">
        <f t="shared" si="162"/>
        <v/>
      </c>
    </row>
    <row r="4303" spans="2:7" x14ac:dyDescent="0.25">
      <c r="B4303" s="6"/>
      <c r="C4303" s="7"/>
      <c r="D4303" s="7"/>
      <c r="E4303" s="8"/>
      <c r="F4303" t="str">
        <f t="shared" si="161"/>
        <v/>
      </c>
      <c r="G4303" t="str">
        <f t="shared" si="162"/>
        <v/>
      </c>
    </row>
    <row r="4304" spans="2:7" x14ac:dyDescent="0.25">
      <c r="B4304" s="6"/>
      <c r="C4304" s="7"/>
      <c r="D4304" s="7"/>
      <c r="E4304" s="8"/>
      <c r="F4304" t="str">
        <f t="shared" si="161"/>
        <v/>
      </c>
      <c r="G4304" t="str">
        <f t="shared" si="162"/>
        <v/>
      </c>
    </row>
    <row r="4305" spans="2:7" x14ac:dyDescent="0.25">
      <c r="B4305" s="6"/>
      <c r="C4305" s="7"/>
      <c r="D4305" s="7"/>
      <c r="E4305" s="8"/>
      <c r="F4305" t="str">
        <f t="shared" si="161"/>
        <v/>
      </c>
      <c r="G4305" t="str">
        <f t="shared" si="162"/>
        <v/>
      </c>
    </row>
    <row r="4306" spans="2:7" x14ac:dyDescent="0.25">
      <c r="B4306" s="6"/>
      <c r="C4306" s="7"/>
      <c r="D4306" s="7"/>
      <c r="E4306" s="8"/>
      <c r="F4306" t="str">
        <f t="shared" si="161"/>
        <v/>
      </c>
      <c r="G4306" t="str">
        <f t="shared" si="162"/>
        <v/>
      </c>
    </row>
    <row r="4307" spans="2:7" x14ac:dyDescent="0.25">
      <c r="B4307" s="6"/>
      <c r="C4307" s="7"/>
      <c r="D4307" s="7"/>
      <c r="E4307" s="8"/>
      <c r="F4307" t="str">
        <f t="shared" si="161"/>
        <v/>
      </c>
      <c r="G4307" t="str">
        <f t="shared" si="162"/>
        <v/>
      </c>
    </row>
    <row r="4308" spans="2:7" x14ac:dyDescent="0.25">
      <c r="B4308" s="6"/>
      <c r="C4308" s="7"/>
      <c r="D4308" s="7"/>
      <c r="E4308" s="8"/>
      <c r="F4308" t="str">
        <f t="shared" si="161"/>
        <v/>
      </c>
      <c r="G4308" t="str">
        <f t="shared" si="162"/>
        <v/>
      </c>
    </row>
    <row r="4309" spans="2:7" x14ac:dyDescent="0.25">
      <c r="B4309" s="6"/>
      <c r="C4309" s="7"/>
      <c r="D4309" s="7"/>
      <c r="E4309" s="8"/>
      <c r="F4309" t="str">
        <f t="shared" si="161"/>
        <v/>
      </c>
      <c r="G4309" t="str">
        <f t="shared" si="162"/>
        <v/>
      </c>
    </row>
    <row r="4310" spans="2:7" x14ac:dyDescent="0.25">
      <c r="B4310" s="6"/>
      <c r="C4310" s="7"/>
      <c r="D4310" s="7"/>
      <c r="E4310" s="8"/>
      <c r="F4310" t="str">
        <f t="shared" si="161"/>
        <v/>
      </c>
      <c r="G4310" t="str">
        <f t="shared" si="162"/>
        <v/>
      </c>
    </row>
    <row r="4311" spans="2:7" x14ac:dyDescent="0.25">
      <c r="B4311" s="6"/>
      <c r="C4311" s="7"/>
      <c r="D4311" s="7"/>
      <c r="E4311" s="8"/>
      <c r="F4311" t="str">
        <f t="shared" si="161"/>
        <v/>
      </c>
      <c r="G4311" t="str">
        <f t="shared" si="162"/>
        <v/>
      </c>
    </row>
    <row r="4312" spans="2:7" x14ac:dyDescent="0.25">
      <c r="B4312" s="6"/>
      <c r="C4312" s="7"/>
      <c r="D4312" s="7"/>
      <c r="E4312" s="8"/>
      <c r="F4312" t="str">
        <f t="shared" si="161"/>
        <v/>
      </c>
      <c r="G4312" t="str">
        <f t="shared" si="162"/>
        <v/>
      </c>
    </row>
    <row r="4313" spans="2:7" x14ac:dyDescent="0.25">
      <c r="B4313" s="6"/>
      <c r="C4313" s="7"/>
      <c r="D4313" s="7"/>
      <c r="E4313" s="8"/>
      <c r="F4313" t="str">
        <f t="shared" si="161"/>
        <v/>
      </c>
      <c r="G4313" t="str">
        <f t="shared" si="162"/>
        <v/>
      </c>
    </row>
    <row r="4314" spans="2:7" x14ac:dyDescent="0.25">
      <c r="B4314" s="6"/>
      <c r="C4314" s="7"/>
      <c r="D4314" s="7"/>
      <c r="E4314" s="8"/>
      <c r="F4314" t="str">
        <f t="shared" si="161"/>
        <v/>
      </c>
      <c r="G4314" t="str">
        <f t="shared" si="162"/>
        <v/>
      </c>
    </row>
    <row r="4315" spans="2:7" x14ac:dyDescent="0.25">
      <c r="B4315" s="6"/>
      <c r="C4315" s="7"/>
      <c r="D4315" s="7"/>
      <c r="E4315" s="8"/>
      <c r="F4315" t="str">
        <f t="shared" si="161"/>
        <v/>
      </c>
      <c r="G4315" t="str">
        <f t="shared" si="162"/>
        <v/>
      </c>
    </row>
    <row r="4316" spans="2:7" x14ac:dyDescent="0.25">
      <c r="B4316" s="6"/>
      <c r="C4316" s="7"/>
      <c r="D4316" s="7"/>
      <c r="E4316" s="8"/>
      <c r="F4316" t="str">
        <f t="shared" si="161"/>
        <v/>
      </c>
      <c r="G4316" t="str">
        <f t="shared" si="162"/>
        <v/>
      </c>
    </row>
    <row r="4317" spans="2:7" x14ac:dyDescent="0.25">
      <c r="B4317" s="6"/>
      <c r="C4317" s="7"/>
      <c r="D4317" s="7"/>
      <c r="E4317" s="8"/>
      <c r="F4317" t="str">
        <f t="shared" si="161"/>
        <v/>
      </c>
      <c r="G4317" t="str">
        <f t="shared" si="162"/>
        <v/>
      </c>
    </row>
    <row r="4318" spans="2:7" x14ac:dyDescent="0.25">
      <c r="B4318" s="6"/>
      <c r="C4318" s="7"/>
      <c r="D4318" s="7"/>
      <c r="E4318" s="8"/>
      <c r="F4318" t="str">
        <f t="shared" si="161"/>
        <v/>
      </c>
      <c r="G4318" t="str">
        <f t="shared" si="162"/>
        <v/>
      </c>
    </row>
    <row r="4319" spans="2:7" x14ac:dyDescent="0.25">
      <c r="B4319" s="6"/>
      <c r="C4319" s="7"/>
      <c r="D4319" s="7"/>
      <c r="E4319" s="8"/>
      <c r="F4319" t="str">
        <f t="shared" si="161"/>
        <v/>
      </c>
      <c r="G4319" t="str">
        <f t="shared" si="162"/>
        <v/>
      </c>
    </row>
    <row r="4320" spans="2:7" x14ac:dyDescent="0.25">
      <c r="B4320" s="6"/>
      <c r="C4320" s="7"/>
      <c r="D4320" s="7"/>
      <c r="E4320" s="8"/>
      <c r="F4320" t="str">
        <f t="shared" si="161"/>
        <v/>
      </c>
      <c r="G4320" t="str">
        <f t="shared" si="162"/>
        <v/>
      </c>
    </row>
    <row r="4321" spans="2:7" x14ac:dyDescent="0.25">
      <c r="B4321" s="6"/>
      <c r="C4321" s="7"/>
      <c r="D4321" s="7"/>
      <c r="E4321" s="8"/>
      <c r="F4321" t="str">
        <f t="shared" si="161"/>
        <v/>
      </c>
      <c r="G4321" t="str">
        <f t="shared" si="162"/>
        <v/>
      </c>
    </row>
    <row r="4322" spans="2:7" x14ac:dyDescent="0.25">
      <c r="B4322" s="6"/>
      <c r="C4322" s="7"/>
      <c r="D4322" s="7"/>
      <c r="E4322" s="8"/>
      <c r="F4322" t="str">
        <f t="shared" si="161"/>
        <v/>
      </c>
      <c r="G4322" t="str">
        <f t="shared" si="162"/>
        <v/>
      </c>
    </row>
    <row r="4323" spans="2:7" x14ac:dyDescent="0.25">
      <c r="B4323" s="6"/>
      <c r="C4323" s="7"/>
      <c r="D4323" s="7"/>
      <c r="E4323" s="8"/>
      <c r="F4323" t="str">
        <f t="shared" si="161"/>
        <v/>
      </c>
      <c r="G4323" t="str">
        <f t="shared" si="162"/>
        <v/>
      </c>
    </row>
    <row r="4324" spans="2:7" x14ac:dyDescent="0.25">
      <c r="B4324" s="6"/>
      <c r="C4324" s="7"/>
      <c r="D4324" s="7"/>
      <c r="E4324" s="8"/>
      <c r="F4324" t="str">
        <f t="shared" si="161"/>
        <v/>
      </c>
      <c r="G4324" t="str">
        <f t="shared" si="162"/>
        <v/>
      </c>
    </row>
    <row r="4325" spans="2:7" x14ac:dyDescent="0.25">
      <c r="B4325" s="6"/>
      <c r="C4325" s="7"/>
      <c r="D4325" s="7"/>
      <c r="E4325" s="8"/>
      <c r="F4325" t="str">
        <f t="shared" si="161"/>
        <v/>
      </c>
      <c r="G4325" t="str">
        <f t="shared" si="162"/>
        <v/>
      </c>
    </row>
    <row r="4326" spans="2:7" x14ac:dyDescent="0.25">
      <c r="B4326" s="6"/>
      <c r="C4326" s="7"/>
      <c r="D4326" s="7"/>
      <c r="E4326" s="8"/>
      <c r="F4326" t="str">
        <f t="shared" si="161"/>
        <v/>
      </c>
      <c r="G4326" t="str">
        <f t="shared" si="162"/>
        <v/>
      </c>
    </row>
    <row r="4327" spans="2:7" x14ac:dyDescent="0.25">
      <c r="B4327" s="6"/>
      <c r="C4327" s="7"/>
      <c r="D4327" s="7"/>
      <c r="E4327" s="8"/>
      <c r="F4327" t="str">
        <f t="shared" si="161"/>
        <v/>
      </c>
      <c r="G4327" t="str">
        <f t="shared" si="162"/>
        <v/>
      </c>
    </row>
    <row r="4328" spans="2:7" x14ac:dyDescent="0.25">
      <c r="B4328" s="6"/>
      <c r="C4328" s="7"/>
      <c r="D4328" s="7"/>
      <c r="E4328" s="8"/>
      <c r="F4328" t="str">
        <f t="shared" si="161"/>
        <v/>
      </c>
      <c r="G4328" t="str">
        <f t="shared" si="162"/>
        <v/>
      </c>
    </row>
    <row r="4329" spans="2:7" x14ac:dyDescent="0.25">
      <c r="B4329" s="6"/>
      <c r="C4329" s="7"/>
      <c r="D4329" s="7"/>
      <c r="E4329" s="8"/>
      <c r="F4329" t="str">
        <f t="shared" si="161"/>
        <v/>
      </c>
      <c r="G4329" t="str">
        <f t="shared" si="162"/>
        <v/>
      </c>
    </row>
    <row r="4330" spans="2:7" x14ac:dyDescent="0.25">
      <c r="B4330" s="6"/>
      <c r="C4330" s="7"/>
      <c r="D4330" s="7"/>
      <c r="E4330" s="8"/>
      <c r="F4330" t="str">
        <f t="shared" si="161"/>
        <v/>
      </c>
      <c r="G4330" t="str">
        <f t="shared" si="162"/>
        <v/>
      </c>
    </row>
    <row r="4331" spans="2:7" x14ac:dyDescent="0.25">
      <c r="B4331" s="6"/>
      <c r="C4331" s="7"/>
      <c r="D4331" s="7"/>
      <c r="E4331" s="8"/>
      <c r="F4331" t="str">
        <f t="shared" si="161"/>
        <v/>
      </c>
      <c r="G4331" t="str">
        <f t="shared" si="162"/>
        <v/>
      </c>
    </row>
    <row r="4332" spans="2:7" x14ac:dyDescent="0.25">
      <c r="B4332" s="6"/>
      <c r="C4332" s="7"/>
      <c r="D4332" s="7"/>
      <c r="E4332" s="8"/>
      <c r="F4332" t="str">
        <f t="shared" si="161"/>
        <v/>
      </c>
      <c r="G4332" t="str">
        <f t="shared" si="162"/>
        <v/>
      </c>
    </row>
    <row r="4333" spans="2:7" x14ac:dyDescent="0.25">
      <c r="B4333" s="6"/>
      <c r="C4333" s="7"/>
      <c r="D4333" s="7"/>
      <c r="E4333" s="8"/>
      <c r="F4333" t="str">
        <f t="shared" si="161"/>
        <v/>
      </c>
      <c r="G4333" t="str">
        <f t="shared" si="162"/>
        <v/>
      </c>
    </row>
    <row r="4334" spans="2:7" x14ac:dyDescent="0.25">
      <c r="B4334" s="6"/>
      <c r="C4334" s="7"/>
      <c r="D4334" s="7"/>
      <c r="E4334" s="8"/>
      <c r="F4334" t="str">
        <f t="shared" si="161"/>
        <v/>
      </c>
      <c r="G4334" t="str">
        <f t="shared" si="162"/>
        <v/>
      </c>
    </row>
    <row r="4335" spans="2:7" x14ac:dyDescent="0.25">
      <c r="B4335" s="6"/>
      <c r="C4335" s="7"/>
      <c r="D4335" s="7"/>
      <c r="E4335" s="8"/>
      <c r="F4335" t="str">
        <f t="shared" si="161"/>
        <v/>
      </c>
      <c r="G4335" t="str">
        <f t="shared" si="162"/>
        <v/>
      </c>
    </row>
    <row r="4336" spans="2:7" x14ac:dyDescent="0.25">
      <c r="B4336" s="6"/>
      <c r="C4336" s="7"/>
      <c r="D4336" s="7"/>
      <c r="E4336" s="8"/>
      <c r="F4336" t="str">
        <f t="shared" si="161"/>
        <v/>
      </c>
      <c r="G4336" t="str">
        <f t="shared" si="162"/>
        <v/>
      </c>
    </row>
    <row r="4337" spans="2:7" x14ac:dyDescent="0.25">
      <c r="B4337" s="6"/>
      <c r="C4337" s="7"/>
      <c r="D4337" s="7"/>
      <c r="E4337" s="8"/>
      <c r="F4337" t="str">
        <f t="shared" si="161"/>
        <v/>
      </c>
      <c r="G4337" t="str">
        <f t="shared" si="162"/>
        <v/>
      </c>
    </row>
    <row r="4338" spans="2:7" x14ac:dyDescent="0.25">
      <c r="B4338" s="6"/>
      <c r="C4338" s="7"/>
      <c r="D4338" s="7"/>
      <c r="E4338" s="8"/>
      <c r="F4338" t="str">
        <f t="shared" si="161"/>
        <v/>
      </c>
      <c r="G4338" t="str">
        <f t="shared" si="162"/>
        <v/>
      </c>
    </row>
    <row r="4339" spans="2:7" x14ac:dyDescent="0.25">
      <c r="B4339" s="6"/>
      <c r="C4339" s="7"/>
      <c r="D4339" s="7"/>
      <c r="E4339" s="8"/>
      <c r="F4339" t="str">
        <f t="shared" si="161"/>
        <v/>
      </c>
      <c r="G4339" t="str">
        <f t="shared" si="162"/>
        <v/>
      </c>
    </row>
    <row r="4340" spans="2:7" x14ac:dyDescent="0.25">
      <c r="B4340" s="6"/>
      <c r="C4340" s="7"/>
      <c r="D4340" s="7"/>
      <c r="E4340" s="8"/>
      <c r="F4340" t="str">
        <f t="shared" si="161"/>
        <v/>
      </c>
      <c r="G4340" t="str">
        <f t="shared" si="162"/>
        <v/>
      </c>
    </row>
    <row r="4341" spans="2:7" x14ac:dyDescent="0.25">
      <c r="B4341" s="6"/>
      <c r="C4341" s="7"/>
      <c r="D4341" s="7"/>
      <c r="E4341" s="8"/>
      <c r="F4341" t="str">
        <f t="shared" si="161"/>
        <v/>
      </c>
      <c r="G4341" t="str">
        <f t="shared" si="162"/>
        <v/>
      </c>
    </row>
    <row r="4342" spans="2:7" x14ac:dyDescent="0.25">
      <c r="B4342" s="6"/>
      <c r="C4342" s="7"/>
      <c r="D4342" s="7"/>
      <c r="E4342" s="8"/>
      <c r="F4342" t="str">
        <f t="shared" si="161"/>
        <v/>
      </c>
      <c r="G4342" t="str">
        <f t="shared" si="162"/>
        <v/>
      </c>
    </row>
    <row r="4343" spans="2:7" x14ac:dyDescent="0.25">
      <c r="B4343" s="6"/>
      <c r="C4343" s="7"/>
      <c r="D4343" s="7"/>
      <c r="E4343" s="8"/>
      <c r="F4343" t="str">
        <f t="shared" si="161"/>
        <v/>
      </c>
      <c r="G4343" t="str">
        <f t="shared" si="162"/>
        <v/>
      </c>
    </row>
    <row r="4344" spans="2:7" x14ac:dyDescent="0.25">
      <c r="B4344" s="6"/>
      <c r="C4344" s="7"/>
      <c r="D4344" s="7"/>
      <c r="E4344" s="8"/>
      <c r="F4344" t="str">
        <f t="shared" si="161"/>
        <v/>
      </c>
      <c r="G4344" t="str">
        <f t="shared" si="162"/>
        <v/>
      </c>
    </row>
    <row r="4345" spans="2:7" x14ac:dyDescent="0.25">
      <c r="B4345" s="6"/>
      <c r="C4345" s="7"/>
      <c r="D4345" s="7"/>
      <c r="E4345" s="8"/>
      <c r="F4345" t="str">
        <f t="shared" si="161"/>
        <v/>
      </c>
      <c r="G4345" t="str">
        <f t="shared" si="162"/>
        <v/>
      </c>
    </row>
    <row r="4346" spans="2:7" x14ac:dyDescent="0.25">
      <c r="B4346" s="6"/>
      <c r="C4346" s="7"/>
      <c r="D4346" s="7"/>
      <c r="E4346" s="8"/>
      <c r="F4346" t="str">
        <f t="shared" si="161"/>
        <v/>
      </c>
      <c r="G4346" t="str">
        <f t="shared" si="162"/>
        <v/>
      </c>
    </row>
    <row r="4347" spans="2:7" x14ac:dyDescent="0.25">
      <c r="B4347" s="6"/>
      <c r="C4347" s="7"/>
      <c r="D4347" s="7"/>
      <c r="E4347" s="8"/>
      <c r="F4347" t="str">
        <f t="shared" si="161"/>
        <v/>
      </c>
      <c r="G4347" t="str">
        <f t="shared" si="162"/>
        <v/>
      </c>
    </row>
    <row r="4348" spans="2:7" x14ac:dyDescent="0.25">
      <c r="B4348" s="6"/>
      <c r="C4348" s="7"/>
      <c r="D4348" s="7"/>
      <c r="E4348" s="8"/>
      <c r="F4348" t="str">
        <f t="shared" si="161"/>
        <v/>
      </c>
      <c r="G4348" t="str">
        <f t="shared" si="162"/>
        <v/>
      </c>
    </row>
    <row r="4349" spans="2:7" x14ac:dyDescent="0.25">
      <c r="B4349" s="6"/>
      <c r="C4349" s="7"/>
      <c r="D4349" s="7"/>
      <c r="E4349" s="8"/>
      <c r="F4349" t="str">
        <f t="shared" si="161"/>
        <v/>
      </c>
      <c r="G4349" t="str">
        <f t="shared" si="162"/>
        <v/>
      </c>
    </row>
    <row r="4350" spans="2:7" x14ac:dyDescent="0.25">
      <c r="B4350" s="6"/>
      <c r="C4350" s="7"/>
      <c r="D4350" s="7"/>
      <c r="E4350" s="8"/>
      <c r="F4350" t="str">
        <f t="shared" si="161"/>
        <v/>
      </c>
      <c r="G4350" t="str">
        <f t="shared" si="162"/>
        <v/>
      </c>
    </row>
    <row r="4351" spans="2:7" x14ac:dyDescent="0.25">
      <c r="B4351" s="6"/>
      <c r="C4351" s="7"/>
      <c r="D4351" s="7"/>
      <c r="E4351" s="8"/>
      <c r="F4351" t="str">
        <f t="shared" si="161"/>
        <v/>
      </c>
      <c r="G4351" t="str">
        <f t="shared" si="162"/>
        <v/>
      </c>
    </row>
    <row r="4352" spans="2:7" x14ac:dyDescent="0.25">
      <c r="B4352" s="6"/>
      <c r="C4352" s="7"/>
      <c r="D4352" s="7"/>
      <c r="E4352" s="8"/>
      <c r="F4352" t="str">
        <f t="shared" si="161"/>
        <v/>
      </c>
      <c r="G4352" t="str">
        <f t="shared" si="162"/>
        <v/>
      </c>
    </row>
    <row r="4353" spans="2:7" x14ac:dyDescent="0.25">
      <c r="B4353" s="6"/>
      <c r="C4353" s="7"/>
      <c r="D4353" s="7"/>
      <c r="E4353" s="8"/>
      <c r="F4353" t="str">
        <f t="shared" si="161"/>
        <v/>
      </c>
      <c r="G4353" t="str">
        <f t="shared" si="162"/>
        <v/>
      </c>
    </row>
    <row r="4354" spans="2:7" x14ac:dyDescent="0.25">
      <c r="B4354" s="6"/>
      <c r="C4354" s="7"/>
      <c r="D4354" s="7"/>
      <c r="E4354" s="8"/>
      <c r="F4354" t="str">
        <f t="shared" si="161"/>
        <v/>
      </c>
      <c r="G4354" t="str">
        <f t="shared" si="162"/>
        <v/>
      </c>
    </row>
    <row r="4355" spans="2:7" x14ac:dyDescent="0.25">
      <c r="B4355" s="6"/>
      <c r="C4355" s="7"/>
      <c r="D4355" s="7"/>
      <c r="E4355" s="8"/>
      <c r="F4355" t="str">
        <f t="shared" si="161"/>
        <v/>
      </c>
      <c r="G4355" t="str">
        <f t="shared" si="162"/>
        <v/>
      </c>
    </row>
    <row r="4356" spans="2:7" x14ac:dyDescent="0.25">
      <c r="B4356" s="6"/>
      <c r="C4356" s="7"/>
      <c r="D4356" s="7"/>
      <c r="E4356" s="8"/>
      <c r="F4356" t="str">
        <f t="shared" ref="F4356:F4419" si="163">IF(B4356="","",LOG10(D4356))</f>
        <v/>
      </c>
      <c r="G4356" t="str">
        <f t="shared" ref="G4356:G4419" si="164">IF(E4356="", "",0.434*E4356/D4356)</f>
        <v/>
      </c>
    </row>
    <row r="4357" spans="2:7" x14ac:dyDescent="0.25">
      <c r="B4357" s="6"/>
      <c r="C4357" s="7"/>
      <c r="D4357" s="7"/>
      <c r="E4357" s="8"/>
      <c r="F4357" t="str">
        <f t="shared" si="163"/>
        <v/>
      </c>
      <c r="G4357" t="str">
        <f t="shared" si="164"/>
        <v/>
      </c>
    </row>
    <row r="4358" spans="2:7" x14ac:dyDescent="0.25">
      <c r="B4358" s="6"/>
      <c r="C4358" s="7"/>
      <c r="D4358" s="7"/>
      <c r="E4358" s="8"/>
      <c r="F4358" t="str">
        <f t="shared" si="163"/>
        <v/>
      </c>
      <c r="G4358" t="str">
        <f t="shared" si="164"/>
        <v/>
      </c>
    </row>
    <row r="4359" spans="2:7" x14ac:dyDescent="0.25">
      <c r="B4359" s="6"/>
      <c r="C4359" s="7"/>
      <c r="D4359" s="7"/>
      <c r="E4359" s="8"/>
      <c r="F4359" t="str">
        <f t="shared" si="163"/>
        <v/>
      </c>
      <c r="G4359" t="str">
        <f t="shared" si="164"/>
        <v/>
      </c>
    </row>
    <row r="4360" spans="2:7" x14ac:dyDescent="0.25">
      <c r="B4360" s="6"/>
      <c r="C4360" s="7"/>
      <c r="D4360" s="7"/>
      <c r="E4360" s="8"/>
      <c r="F4360" t="str">
        <f t="shared" si="163"/>
        <v/>
      </c>
      <c r="G4360" t="str">
        <f t="shared" si="164"/>
        <v/>
      </c>
    </row>
    <row r="4361" spans="2:7" x14ac:dyDescent="0.25">
      <c r="B4361" s="6"/>
      <c r="C4361" s="7"/>
      <c r="D4361" s="7"/>
      <c r="E4361" s="8"/>
      <c r="F4361" t="str">
        <f t="shared" si="163"/>
        <v/>
      </c>
      <c r="G4361" t="str">
        <f t="shared" si="164"/>
        <v/>
      </c>
    </row>
    <row r="4362" spans="2:7" x14ac:dyDescent="0.25">
      <c r="B4362" s="6"/>
      <c r="C4362" s="7"/>
      <c r="D4362" s="7"/>
      <c r="E4362" s="8"/>
      <c r="F4362" t="str">
        <f t="shared" si="163"/>
        <v/>
      </c>
      <c r="G4362" t="str">
        <f t="shared" si="164"/>
        <v/>
      </c>
    </row>
    <row r="4363" spans="2:7" x14ac:dyDescent="0.25">
      <c r="B4363" s="6"/>
      <c r="C4363" s="7"/>
      <c r="D4363" s="7"/>
      <c r="E4363" s="8"/>
      <c r="F4363" t="str">
        <f t="shared" si="163"/>
        <v/>
      </c>
      <c r="G4363" t="str">
        <f t="shared" si="164"/>
        <v/>
      </c>
    </row>
    <row r="4364" spans="2:7" x14ac:dyDescent="0.25">
      <c r="B4364" s="6"/>
      <c r="C4364" s="7"/>
      <c r="D4364" s="7"/>
      <c r="E4364" s="8"/>
      <c r="F4364" t="str">
        <f t="shared" si="163"/>
        <v/>
      </c>
      <c r="G4364" t="str">
        <f t="shared" si="164"/>
        <v/>
      </c>
    </row>
    <row r="4365" spans="2:7" x14ac:dyDescent="0.25">
      <c r="B4365" s="6"/>
      <c r="C4365" s="7"/>
      <c r="D4365" s="7"/>
      <c r="E4365" s="8"/>
      <c r="F4365" t="str">
        <f t="shared" si="163"/>
        <v/>
      </c>
      <c r="G4365" t="str">
        <f t="shared" si="164"/>
        <v/>
      </c>
    </row>
    <row r="4366" spans="2:7" x14ac:dyDescent="0.25">
      <c r="B4366" s="6"/>
      <c r="C4366" s="7"/>
      <c r="D4366" s="7"/>
      <c r="E4366" s="8"/>
      <c r="F4366" t="str">
        <f t="shared" si="163"/>
        <v/>
      </c>
      <c r="G4366" t="str">
        <f t="shared" si="164"/>
        <v/>
      </c>
    </row>
    <row r="4367" spans="2:7" x14ac:dyDescent="0.25">
      <c r="B4367" s="6"/>
      <c r="C4367" s="7"/>
      <c r="D4367" s="7"/>
      <c r="E4367" s="8"/>
      <c r="F4367" t="str">
        <f t="shared" si="163"/>
        <v/>
      </c>
      <c r="G4367" t="str">
        <f t="shared" si="164"/>
        <v/>
      </c>
    </row>
    <row r="4368" spans="2:7" x14ac:dyDescent="0.25">
      <c r="B4368" s="6"/>
      <c r="C4368" s="7"/>
      <c r="D4368" s="7"/>
      <c r="E4368" s="8"/>
      <c r="F4368" t="str">
        <f t="shared" si="163"/>
        <v/>
      </c>
      <c r="G4368" t="str">
        <f t="shared" si="164"/>
        <v/>
      </c>
    </row>
    <row r="4369" spans="2:7" x14ac:dyDescent="0.25">
      <c r="B4369" s="6"/>
      <c r="C4369" s="7"/>
      <c r="D4369" s="7"/>
      <c r="E4369" s="8"/>
      <c r="F4369" t="str">
        <f t="shared" si="163"/>
        <v/>
      </c>
      <c r="G4369" t="str">
        <f t="shared" si="164"/>
        <v/>
      </c>
    </row>
    <row r="4370" spans="2:7" x14ac:dyDescent="0.25">
      <c r="B4370" s="6"/>
      <c r="C4370" s="7"/>
      <c r="D4370" s="7"/>
      <c r="E4370" s="8"/>
      <c r="F4370" t="str">
        <f t="shared" si="163"/>
        <v/>
      </c>
      <c r="G4370" t="str">
        <f t="shared" si="164"/>
        <v/>
      </c>
    </row>
    <row r="4371" spans="2:7" x14ac:dyDescent="0.25">
      <c r="B4371" s="6"/>
      <c r="C4371" s="7"/>
      <c r="D4371" s="7"/>
      <c r="E4371" s="8"/>
      <c r="F4371" t="str">
        <f t="shared" si="163"/>
        <v/>
      </c>
      <c r="G4371" t="str">
        <f t="shared" si="164"/>
        <v/>
      </c>
    </row>
    <row r="4372" spans="2:7" x14ac:dyDescent="0.25">
      <c r="B4372" s="6"/>
      <c r="C4372" s="7"/>
      <c r="D4372" s="7"/>
      <c r="E4372" s="8"/>
      <c r="F4372" t="str">
        <f t="shared" si="163"/>
        <v/>
      </c>
      <c r="G4372" t="str">
        <f t="shared" si="164"/>
        <v/>
      </c>
    </row>
    <row r="4373" spans="2:7" x14ac:dyDescent="0.25">
      <c r="B4373" s="6"/>
      <c r="C4373" s="7"/>
      <c r="D4373" s="7"/>
      <c r="E4373" s="8"/>
      <c r="F4373" t="str">
        <f t="shared" si="163"/>
        <v/>
      </c>
      <c r="G4373" t="str">
        <f t="shared" si="164"/>
        <v/>
      </c>
    </row>
    <row r="4374" spans="2:7" x14ac:dyDescent="0.25">
      <c r="B4374" s="6"/>
      <c r="C4374" s="7"/>
      <c r="D4374" s="7"/>
      <c r="E4374" s="8"/>
      <c r="F4374" t="str">
        <f t="shared" si="163"/>
        <v/>
      </c>
      <c r="G4374" t="str">
        <f t="shared" si="164"/>
        <v/>
      </c>
    </row>
    <row r="4375" spans="2:7" x14ac:dyDescent="0.25">
      <c r="B4375" s="6"/>
      <c r="C4375" s="7"/>
      <c r="D4375" s="7"/>
      <c r="E4375" s="8"/>
      <c r="F4375" t="str">
        <f t="shared" si="163"/>
        <v/>
      </c>
      <c r="G4375" t="str">
        <f t="shared" si="164"/>
        <v/>
      </c>
    </row>
    <row r="4376" spans="2:7" x14ac:dyDescent="0.25">
      <c r="B4376" s="6"/>
      <c r="C4376" s="7"/>
      <c r="D4376" s="7"/>
      <c r="E4376" s="8"/>
      <c r="F4376" t="str">
        <f t="shared" si="163"/>
        <v/>
      </c>
      <c r="G4376" t="str">
        <f t="shared" si="164"/>
        <v/>
      </c>
    </row>
    <row r="4377" spans="2:7" x14ac:dyDescent="0.25">
      <c r="B4377" s="6"/>
      <c r="C4377" s="7"/>
      <c r="D4377" s="7"/>
      <c r="E4377" s="8"/>
      <c r="F4377" t="str">
        <f t="shared" si="163"/>
        <v/>
      </c>
      <c r="G4377" t="str">
        <f t="shared" si="164"/>
        <v/>
      </c>
    </row>
    <row r="4378" spans="2:7" x14ac:dyDescent="0.25">
      <c r="B4378" s="6"/>
      <c r="C4378" s="7"/>
      <c r="D4378" s="7"/>
      <c r="E4378" s="8"/>
      <c r="F4378" t="str">
        <f t="shared" si="163"/>
        <v/>
      </c>
      <c r="G4378" t="str">
        <f t="shared" si="164"/>
        <v/>
      </c>
    </row>
    <row r="4379" spans="2:7" x14ac:dyDescent="0.25">
      <c r="B4379" s="6"/>
      <c r="C4379" s="7"/>
      <c r="D4379" s="7"/>
      <c r="E4379" s="8"/>
      <c r="F4379" t="str">
        <f t="shared" si="163"/>
        <v/>
      </c>
      <c r="G4379" t="str">
        <f t="shared" si="164"/>
        <v/>
      </c>
    </row>
    <row r="4380" spans="2:7" x14ac:dyDescent="0.25">
      <c r="B4380" s="6"/>
      <c r="C4380" s="7"/>
      <c r="D4380" s="7"/>
      <c r="E4380" s="8"/>
      <c r="F4380" t="str">
        <f t="shared" si="163"/>
        <v/>
      </c>
      <c r="G4380" t="str">
        <f t="shared" si="164"/>
        <v/>
      </c>
    </row>
    <row r="4381" spans="2:7" x14ac:dyDescent="0.25">
      <c r="B4381" s="6"/>
      <c r="C4381" s="7"/>
      <c r="D4381" s="7"/>
      <c r="E4381" s="8"/>
      <c r="F4381" t="str">
        <f t="shared" si="163"/>
        <v/>
      </c>
      <c r="G4381" t="str">
        <f t="shared" si="164"/>
        <v/>
      </c>
    </row>
    <row r="4382" spans="2:7" x14ac:dyDescent="0.25">
      <c r="B4382" s="6"/>
      <c r="C4382" s="7"/>
      <c r="D4382" s="7"/>
      <c r="E4382" s="8"/>
      <c r="F4382" t="str">
        <f t="shared" si="163"/>
        <v/>
      </c>
      <c r="G4382" t="str">
        <f t="shared" si="164"/>
        <v/>
      </c>
    </row>
    <row r="4383" spans="2:7" x14ac:dyDescent="0.25">
      <c r="B4383" s="6"/>
      <c r="C4383" s="7"/>
      <c r="D4383" s="7"/>
      <c r="E4383" s="8"/>
      <c r="F4383" t="str">
        <f t="shared" si="163"/>
        <v/>
      </c>
      <c r="G4383" t="str">
        <f t="shared" si="164"/>
        <v/>
      </c>
    </row>
    <row r="4384" spans="2:7" x14ac:dyDescent="0.25">
      <c r="B4384" s="6"/>
      <c r="C4384" s="7"/>
      <c r="D4384" s="7"/>
      <c r="E4384" s="8"/>
      <c r="F4384" t="str">
        <f t="shared" si="163"/>
        <v/>
      </c>
      <c r="G4384" t="str">
        <f t="shared" si="164"/>
        <v/>
      </c>
    </row>
    <row r="4385" spans="2:7" x14ac:dyDescent="0.25">
      <c r="B4385" s="6"/>
      <c r="C4385" s="7"/>
      <c r="D4385" s="7"/>
      <c r="E4385" s="8"/>
      <c r="F4385" t="str">
        <f t="shared" si="163"/>
        <v/>
      </c>
      <c r="G4385" t="str">
        <f t="shared" si="164"/>
        <v/>
      </c>
    </row>
    <row r="4386" spans="2:7" x14ac:dyDescent="0.25">
      <c r="B4386" s="6"/>
      <c r="C4386" s="7"/>
      <c r="D4386" s="7"/>
      <c r="E4386" s="8"/>
      <c r="F4386" t="str">
        <f t="shared" si="163"/>
        <v/>
      </c>
      <c r="G4386" t="str">
        <f t="shared" si="164"/>
        <v/>
      </c>
    </row>
    <row r="4387" spans="2:7" x14ac:dyDescent="0.25">
      <c r="B4387" s="6"/>
      <c r="C4387" s="7"/>
      <c r="D4387" s="7"/>
      <c r="E4387" s="8"/>
      <c r="F4387" t="str">
        <f t="shared" si="163"/>
        <v/>
      </c>
      <c r="G4387" t="str">
        <f t="shared" si="164"/>
        <v/>
      </c>
    </row>
    <row r="4388" spans="2:7" x14ac:dyDescent="0.25">
      <c r="B4388" s="6"/>
      <c r="C4388" s="7"/>
      <c r="D4388" s="7"/>
      <c r="E4388" s="8"/>
      <c r="F4388" t="str">
        <f t="shared" si="163"/>
        <v/>
      </c>
      <c r="G4388" t="str">
        <f t="shared" si="164"/>
        <v/>
      </c>
    </row>
    <row r="4389" spans="2:7" x14ac:dyDescent="0.25">
      <c r="B4389" s="6"/>
      <c r="C4389" s="7"/>
      <c r="D4389" s="7"/>
      <c r="E4389" s="8"/>
      <c r="F4389" t="str">
        <f t="shared" si="163"/>
        <v/>
      </c>
      <c r="G4389" t="str">
        <f t="shared" si="164"/>
        <v/>
      </c>
    </row>
    <row r="4390" spans="2:7" x14ac:dyDescent="0.25">
      <c r="B4390" s="6"/>
      <c r="C4390" s="7"/>
      <c r="D4390" s="7"/>
      <c r="E4390" s="8"/>
      <c r="F4390" t="str">
        <f t="shared" si="163"/>
        <v/>
      </c>
      <c r="G4390" t="str">
        <f t="shared" si="164"/>
        <v/>
      </c>
    </row>
    <row r="4391" spans="2:7" x14ac:dyDescent="0.25">
      <c r="B4391" s="6"/>
      <c r="C4391" s="7"/>
      <c r="D4391" s="7"/>
      <c r="E4391" s="8"/>
      <c r="F4391" t="str">
        <f t="shared" si="163"/>
        <v/>
      </c>
      <c r="G4391" t="str">
        <f t="shared" si="164"/>
        <v/>
      </c>
    </row>
    <row r="4392" spans="2:7" x14ac:dyDescent="0.25">
      <c r="B4392" s="6"/>
      <c r="C4392" s="7"/>
      <c r="D4392" s="7"/>
      <c r="E4392" s="8"/>
      <c r="F4392" t="str">
        <f t="shared" si="163"/>
        <v/>
      </c>
      <c r="G4392" t="str">
        <f t="shared" si="164"/>
        <v/>
      </c>
    </row>
    <row r="4393" spans="2:7" x14ac:dyDescent="0.25">
      <c r="B4393" s="6"/>
      <c r="C4393" s="7"/>
      <c r="D4393" s="7"/>
      <c r="E4393" s="8"/>
      <c r="F4393" t="str">
        <f t="shared" si="163"/>
        <v/>
      </c>
      <c r="G4393" t="str">
        <f t="shared" si="164"/>
        <v/>
      </c>
    </row>
    <row r="4394" spans="2:7" x14ac:dyDescent="0.25">
      <c r="B4394" s="6"/>
      <c r="C4394" s="7"/>
      <c r="D4394" s="7"/>
      <c r="E4394" s="8"/>
      <c r="F4394" t="str">
        <f t="shared" si="163"/>
        <v/>
      </c>
      <c r="G4394" t="str">
        <f t="shared" si="164"/>
        <v/>
      </c>
    </row>
    <row r="4395" spans="2:7" x14ac:dyDescent="0.25">
      <c r="B4395" s="6"/>
      <c r="C4395" s="7"/>
      <c r="D4395" s="7"/>
      <c r="E4395" s="8"/>
      <c r="F4395" t="str">
        <f t="shared" si="163"/>
        <v/>
      </c>
      <c r="G4395" t="str">
        <f t="shared" si="164"/>
        <v/>
      </c>
    </row>
    <row r="4396" spans="2:7" x14ac:dyDescent="0.25">
      <c r="B4396" s="6"/>
      <c r="C4396" s="7"/>
      <c r="D4396" s="7"/>
      <c r="E4396" s="8"/>
      <c r="F4396" t="str">
        <f t="shared" si="163"/>
        <v/>
      </c>
      <c r="G4396" t="str">
        <f t="shared" si="164"/>
        <v/>
      </c>
    </row>
    <row r="4397" spans="2:7" x14ac:dyDescent="0.25">
      <c r="B4397" s="6"/>
      <c r="C4397" s="7"/>
      <c r="D4397" s="7"/>
      <c r="E4397" s="8"/>
      <c r="F4397" t="str">
        <f t="shared" si="163"/>
        <v/>
      </c>
      <c r="G4397" t="str">
        <f t="shared" si="164"/>
        <v/>
      </c>
    </row>
    <row r="4398" spans="2:7" x14ac:dyDescent="0.25">
      <c r="B4398" s="6"/>
      <c r="C4398" s="7"/>
      <c r="D4398" s="7"/>
      <c r="E4398" s="8"/>
      <c r="F4398" t="str">
        <f t="shared" si="163"/>
        <v/>
      </c>
      <c r="G4398" t="str">
        <f t="shared" si="164"/>
        <v/>
      </c>
    </row>
    <row r="4399" spans="2:7" x14ac:dyDescent="0.25">
      <c r="B4399" s="6"/>
      <c r="C4399" s="7"/>
      <c r="D4399" s="7"/>
      <c r="E4399" s="8"/>
      <c r="F4399" t="str">
        <f t="shared" si="163"/>
        <v/>
      </c>
      <c r="G4399" t="str">
        <f t="shared" si="164"/>
        <v/>
      </c>
    </row>
    <row r="4400" spans="2:7" x14ac:dyDescent="0.25">
      <c r="B4400" s="6"/>
      <c r="C4400" s="7"/>
      <c r="D4400" s="7"/>
      <c r="E4400" s="8"/>
      <c r="F4400" t="str">
        <f t="shared" si="163"/>
        <v/>
      </c>
      <c r="G4400" t="str">
        <f t="shared" si="164"/>
        <v/>
      </c>
    </row>
    <row r="4401" spans="2:7" x14ac:dyDescent="0.25">
      <c r="B4401" s="6"/>
      <c r="C4401" s="7"/>
      <c r="D4401" s="7"/>
      <c r="E4401" s="8"/>
      <c r="F4401" t="str">
        <f t="shared" si="163"/>
        <v/>
      </c>
      <c r="G4401" t="str">
        <f t="shared" si="164"/>
        <v/>
      </c>
    </row>
    <row r="4402" spans="2:7" x14ac:dyDescent="0.25">
      <c r="B4402" s="6"/>
      <c r="C4402" s="7"/>
      <c r="D4402" s="7"/>
      <c r="E4402" s="8"/>
      <c r="F4402" t="str">
        <f t="shared" si="163"/>
        <v/>
      </c>
      <c r="G4402" t="str">
        <f t="shared" si="164"/>
        <v/>
      </c>
    </row>
    <row r="4403" spans="2:7" x14ac:dyDescent="0.25">
      <c r="B4403" s="6"/>
      <c r="C4403" s="7"/>
      <c r="D4403" s="7"/>
      <c r="E4403" s="8"/>
      <c r="F4403" t="str">
        <f t="shared" si="163"/>
        <v/>
      </c>
      <c r="G4403" t="str">
        <f t="shared" si="164"/>
        <v/>
      </c>
    </row>
    <row r="4404" spans="2:7" x14ac:dyDescent="0.25">
      <c r="B4404" s="6"/>
      <c r="C4404" s="7"/>
      <c r="D4404" s="7"/>
      <c r="E4404" s="8"/>
      <c r="F4404" t="str">
        <f t="shared" si="163"/>
        <v/>
      </c>
      <c r="G4404" t="str">
        <f t="shared" si="164"/>
        <v/>
      </c>
    </row>
    <row r="4405" spans="2:7" x14ac:dyDescent="0.25">
      <c r="B4405" s="6"/>
      <c r="C4405" s="7"/>
      <c r="D4405" s="7"/>
      <c r="E4405" s="8"/>
      <c r="F4405" t="str">
        <f t="shared" si="163"/>
        <v/>
      </c>
      <c r="G4405" t="str">
        <f t="shared" si="164"/>
        <v/>
      </c>
    </row>
    <row r="4406" spans="2:7" x14ac:dyDescent="0.25">
      <c r="B4406" s="6"/>
      <c r="C4406" s="7"/>
      <c r="D4406" s="7"/>
      <c r="E4406" s="8"/>
      <c r="F4406" t="str">
        <f t="shared" si="163"/>
        <v/>
      </c>
      <c r="G4406" t="str">
        <f t="shared" si="164"/>
        <v/>
      </c>
    </row>
    <row r="4407" spans="2:7" x14ac:dyDescent="0.25">
      <c r="B4407" s="6"/>
      <c r="C4407" s="7"/>
      <c r="D4407" s="7"/>
      <c r="E4407" s="8"/>
      <c r="F4407" t="str">
        <f t="shared" si="163"/>
        <v/>
      </c>
      <c r="G4407" t="str">
        <f t="shared" si="164"/>
        <v/>
      </c>
    </row>
    <row r="4408" spans="2:7" x14ac:dyDescent="0.25">
      <c r="B4408" s="6"/>
      <c r="C4408" s="7"/>
      <c r="D4408" s="7"/>
      <c r="E4408" s="8"/>
      <c r="F4408" t="str">
        <f t="shared" si="163"/>
        <v/>
      </c>
      <c r="G4408" t="str">
        <f t="shared" si="164"/>
        <v/>
      </c>
    </row>
    <row r="4409" spans="2:7" x14ac:dyDescent="0.25">
      <c r="B4409" s="6"/>
      <c r="C4409" s="7"/>
      <c r="D4409" s="7"/>
      <c r="E4409" s="8"/>
      <c r="F4409" t="str">
        <f t="shared" si="163"/>
        <v/>
      </c>
      <c r="G4409" t="str">
        <f t="shared" si="164"/>
        <v/>
      </c>
    </row>
    <row r="4410" spans="2:7" x14ac:dyDescent="0.25">
      <c r="B4410" s="6"/>
      <c r="C4410" s="7"/>
      <c r="D4410" s="7"/>
      <c r="E4410" s="8"/>
      <c r="F4410" t="str">
        <f t="shared" si="163"/>
        <v/>
      </c>
      <c r="G4410" t="str">
        <f t="shared" si="164"/>
        <v/>
      </c>
    </row>
    <row r="4411" spans="2:7" x14ac:dyDescent="0.25">
      <c r="B4411" s="6"/>
      <c r="C4411" s="7"/>
      <c r="D4411" s="7"/>
      <c r="E4411" s="8"/>
      <c r="F4411" t="str">
        <f t="shared" si="163"/>
        <v/>
      </c>
      <c r="G4411" t="str">
        <f t="shared" si="164"/>
        <v/>
      </c>
    </row>
    <row r="4412" spans="2:7" x14ac:dyDescent="0.25">
      <c r="B4412" s="6"/>
      <c r="C4412" s="7"/>
      <c r="D4412" s="7"/>
      <c r="E4412" s="8"/>
      <c r="F4412" t="str">
        <f t="shared" si="163"/>
        <v/>
      </c>
      <c r="G4412" t="str">
        <f t="shared" si="164"/>
        <v/>
      </c>
    </row>
    <row r="4413" spans="2:7" x14ac:dyDescent="0.25">
      <c r="B4413" s="6"/>
      <c r="C4413" s="7"/>
      <c r="D4413" s="7"/>
      <c r="E4413" s="8"/>
      <c r="F4413" t="str">
        <f t="shared" si="163"/>
        <v/>
      </c>
      <c r="G4413" t="str">
        <f t="shared" si="164"/>
        <v/>
      </c>
    </row>
    <row r="4414" spans="2:7" x14ac:dyDescent="0.25">
      <c r="B4414" s="6"/>
      <c r="C4414" s="7"/>
      <c r="D4414" s="7"/>
      <c r="E4414" s="8"/>
      <c r="F4414" t="str">
        <f t="shared" si="163"/>
        <v/>
      </c>
      <c r="G4414" t="str">
        <f t="shared" si="164"/>
        <v/>
      </c>
    </row>
    <row r="4415" spans="2:7" x14ac:dyDescent="0.25">
      <c r="B4415" s="6"/>
      <c r="C4415" s="7"/>
      <c r="D4415" s="7"/>
      <c r="E4415" s="8"/>
      <c r="F4415" t="str">
        <f t="shared" si="163"/>
        <v/>
      </c>
      <c r="G4415" t="str">
        <f t="shared" si="164"/>
        <v/>
      </c>
    </row>
    <row r="4416" spans="2:7" x14ac:dyDescent="0.25">
      <c r="B4416" s="6"/>
      <c r="C4416" s="7"/>
      <c r="D4416" s="7"/>
      <c r="E4416" s="8"/>
      <c r="F4416" t="str">
        <f t="shared" si="163"/>
        <v/>
      </c>
      <c r="G4416" t="str">
        <f t="shared" si="164"/>
        <v/>
      </c>
    </row>
    <row r="4417" spans="2:7" x14ac:dyDescent="0.25">
      <c r="B4417" s="6"/>
      <c r="C4417" s="7"/>
      <c r="D4417" s="7"/>
      <c r="E4417" s="8"/>
      <c r="F4417" t="str">
        <f t="shared" si="163"/>
        <v/>
      </c>
      <c r="G4417" t="str">
        <f t="shared" si="164"/>
        <v/>
      </c>
    </row>
    <row r="4418" spans="2:7" x14ac:dyDescent="0.25">
      <c r="B4418" s="6"/>
      <c r="C4418" s="7"/>
      <c r="D4418" s="7"/>
      <c r="E4418" s="8"/>
      <c r="F4418" t="str">
        <f t="shared" si="163"/>
        <v/>
      </c>
      <c r="G4418" t="str">
        <f t="shared" si="164"/>
        <v/>
      </c>
    </row>
    <row r="4419" spans="2:7" x14ac:dyDescent="0.25">
      <c r="B4419" s="6"/>
      <c r="C4419" s="7"/>
      <c r="D4419" s="7"/>
      <c r="E4419" s="8"/>
      <c r="F4419" t="str">
        <f t="shared" si="163"/>
        <v/>
      </c>
      <c r="G4419" t="str">
        <f t="shared" si="164"/>
        <v/>
      </c>
    </row>
    <row r="4420" spans="2:7" x14ac:dyDescent="0.25">
      <c r="B4420" s="6"/>
      <c r="C4420" s="7"/>
      <c r="D4420" s="7"/>
      <c r="E4420" s="8"/>
      <c r="F4420" t="str">
        <f t="shared" ref="F4420:F4483" si="165">IF(B4420="","",LOG10(D4420))</f>
        <v/>
      </c>
      <c r="G4420" t="str">
        <f t="shared" ref="G4420:G4483" si="166">IF(E4420="", "",0.434*E4420/D4420)</f>
        <v/>
      </c>
    </row>
    <row r="4421" spans="2:7" x14ac:dyDescent="0.25">
      <c r="B4421" s="6"/>
      <c r="C4421" s="7"/>
      <c r="D4421" s="7"/>
      <c r="E4421" s="8"/>
      <c r="F4421" t="str">
        <f t="shared" si="165"/>
        <v/>
      </c>
      <c r="G4421" t="str">
        <f t="shared" si="166"/>
        <v/>
      </c>
    </row>
    <row r="4422" spans="2:7" x14ac:dyDescent="0.25">
      <c r="B4422" s="6"/>
      <c r="C4422" s="7"/>
      <c r="D4422" s="7"/>
      <c r="E4422" s="8"/>
      <c r="F4422" t="str">
        <f t="shared" si="165"/>
        <v/>
      </c>
      <c r="G4422" t="str">
        <f t="shared" si="166"/>
        <v/>
      </c>
    </row>
    <row r="4423" spans="2:7" x14ac:dyDescent="0.25">
      <c r="B4423" s="6"/>
      <c r="C4423" s="7"/>
      <c r="D4423" s="7"/>
      <c r="E4423" s="8"/>
      <c r="F4423" t="str">
        <f t="shared" si="165"/>
        <v/>
      </c>
      <c r="G4423" t="str">
        <f t="shared" si="166"/>
        <v/>
      </c>
    </row>
    <row r="4424" spans="2:7" x14ac:dyDescent="0.25">
      <c r="B4424" s="6"/>
      <c r="C4424" s="7"/>
      <c r="D4424" s="7"/>
      <c r="E4424" s="8"/>
      <c r="F4424" t="str">
        <f t="shared" si="165"/>
        <v/>
      </c>
      <c r="G4424" t="str">
        <f t="shared" si="166"/>
        <v/>
      </c>
    </row>
    <row r="4425" spans="2:7" x14ac:dyDescent="0.25">
      <c r="B4425" s="6"/>
      <c r="C4425" s="7"/>
      <c r="D4425" s="7"/>
      <c r="E4425" s="8"/>
      <c r="F4425" t="str">
        <f t="shared" si="165"/>
        <v/>
      </c>
      <c r="G4425" t="str">
        <f t="shared" si="166"/>
        <v/>
      </c>
    </row>
    <row r="4426" spans="2:7" x14ac:dyDescent="0.25">
      <c r="B4426" s="6"/>
      <c r="C4426" s="7"/>
      <c r="D4426" s="7"/>
      <c r="E4426" s="8"/>
      <c r="F4426" t="str">
        <f t="shared" si="165"/>
        <v/>
      </c>
      <c r="G4426" t="str">
        <f t="shared" si="166"/>
        <v/>
      </c>
    </row>
    <row r="4427" spans="2:7" x14ac:dyDescent="0.25">
      <c r="B4427" s="6"/>
      <c r="C4427" s="7"/>
      <c r="D4427" s="7"/>
      <c r="E4427" s="8"/>
      <c r="F4427" t="str">
        <f t="shared" si="165"/>
        <v/>
      </c>
      <c r="G4427" t="str">
        <f t="shared" si="166"/>
        <v/>
      </c>
    </row>
    <row r="4428" spans="2:7" x14ac:dyDescent="0.25">
      <c r="B4428" s="6"/>
      <c r="C4428" s="7"/>
      <c r="D4428" s="7"/>
      <c r="E4428" s="8"/>
      <c r="F4428" t="str">
        <f t="shared" si="165"/>
        <v/>
      </c>
      <c r="G4428" t="str">
        <f t="shared" si="166"/>
        <v/>
      </c>
    </row>
    <row r="4429" spans="2:7" x14ac:dyDescent="0.25">
      <c r="B4429" s="6"/>
      <c r="C4429" s="7"/>
      <c r="D4429" s="7"/>
      <c r="E4429" s="8"/>
      <c r="F4429" t="str">
        <f t="shared" si="165"/>
        <v/>
      </c>
      <c r="G4429" t="str">
        <f t="shared" si="166"/>
        <v/>
      </c>
    </row>
    <row r="4430" spans="2:7" x14ac:dyDescent="0.25">
      <c r="B4430" s="6"/>
      <c r="C4430" s="7"/>
      <c r="D4430" s="7"/>
      <c r="E4430" s="8"/>
      <c r="F4430" t="str">
        <f t="shared" si="165"/>
        <v/>
      </c>
      <c r="G4430" t="str">
        <f t="shared" si="166"/>
        <v/>
      </c>
    </row>
    <row r="4431" spans="2:7" x14ac:dyDescent="0.25">
      <c r="B4431" s="6"/>
      <c r="C4431" s="7"/>
      <c r="D4431" s="7"/>
      <c r="E4431" s="8"/>
      <c r="F4431" t="str">
        <f t="shared" si="165"/>
        <v/>
      </c>
      <c r="G4431" t="str">
        <f t="shared" si="166"/>
        <v/>
      </c>
    </row>
    <row r="4432" spans="2:7" x14ac:dyDescent="0.25">
      <c r="B4432" s="6"/>
      <c r="C4432" s="7"/>
      <c r="D4432" s="7"/>
      <c r="E4432" s="8"/>
      <c r="F4432" t="str">
        <f t="shared" si="165"/>
        <v/>
      </c>
      <c r="G4432" t="str">
        <f t="shared" si="166"/>
        <v/>
      </c>
    </row>
    <row r="4433" spans="2:7" x14ac:dyDescent="0.25">
      <c r="B4433" s="6"/>
      <c r="C4433" s="7"/>
      <c r="D4433" s="7"/>
      <c r="E4433" s="8"/>
      <c r="F4433" t="str">
        <f t="shared" si="165"/>
        <v/>
      </c>
      <c r="G4433" t="str">
        <f t="shared" si="166"/>
        <v/>
      </c>
    </row>
    <row r="4434" spans="2:7" x14ac:dyDescent="0.25">
      <c r="B4434" s="6"/>
      <c r="C4434" s="7"/>
      <c r="D4434" s="7"/>
      <c r="E4434" s="8"/>
      <c r="F4434" t="str">
        <f t="shared" si="165"/>
        <v/>
      </c>
      <c r="G4434" t="str">
        <f t="shared" si="166"/>
        <v/>
      </c>
    </row>
    <row r="4435" spans="2:7" x14ac:dyDescent="0.25">
      <c r="B4435" s="6"/>
      <c r="C4435" s="7"/>
      <c r="D4435" s="7"/>
      <c r="E4435" s="8"/>
      <c r="F4435" t="str">
        <f t="shared" si="165"/>
        <v/>
      </c>
      <c r="G4435" t="str">
        <f t="shared" si="166"/>
        <v/>
      </c>
    </row>
    <row r="4436" spans="2:7" x14ac:dyDescent="0.25">
      <c r="B4436" s="6"/>
      <c r="C4436" s="7"/>
      <c r="D4436" s="7"/>
      <c r="E4436" s="8"/>
      <c r="F4436" t="str">
        <f t="shared" si="165"/>
        <v/>
      </c>
      <c r="G4436" t="str">
        <f t="shared" si="166"/>
        <v/>
      </c>
    </row>
    <row r="4437" spans="2:7" x14ac:dyDescent="0.25">
      <c r="B4437" s="6"/>
      <c r="C4437" s="7"/>
      <c r="D4437" s="7"/>
      <c r="E4437" s="8"/>
      <c r="F4437" t="str">
        <f t="shared" si="165"/>
        <v/>
      </c>
      <c r="G4437" t="str">
        <f t="shared" si="166"/>
        <v/>
      </c>
    </row>
    <row r="4438" spans="2:7" x14ac:dyDescent="0.25">
      <c r="B4438" s="6"/>
      <c r="C4438" s="7"/>
      <c r="D4438" s="7"/>
      <c r="E4438" s="8"/>
      <c r="F4438" t="str">
        <f t="shared" si="165"/>
        <v/>
      </c>
      <c r="G4438" t="str">
        <f t="shared" si="166"/>
        <v/>
      </c>
    </row>
    <row r="4439" spans="2:7" x14ac:dyDescent="0.25">
      <c r="B4439" s="6"/>
      <c r="C4439" s="7"/>
      <c r="D4439" s="7"/>
      <c r="E4439" s="8"/>
      <c r="F4439" t="str">
        <f t="shared" si="165"/>
        <v/>
      </c>
      <c r="G4439" t="str">
        <f t="shared" si="166"/>
        <v/>
      </c>
    </row>
    <row r="4440" spans="2:7" x14ac:dyDescent="0.25">
      <c r="B4440" s="6"/>
      <c r="C4440" s="7"/>
      <c r="D4440" s="7"/>
      <c r="E4440" s="8"/>
      <c r="F4440" t="str">
        <f t="shared" si="165"/>
        <v/>
      </c>
      <c r="G4440" t="str">
        <f t="shared" si="166"/>
        <v/>
      </c>
    </row>
    <row r="4441" spans="2:7" x14ac:dyDescent="0.25">
      <c r="B4441" s="6"/>
      <c r="C4441" s="7"/>
      <c r="D4441" s="7"/>
      <c r="E4441" s="8"/>
      <c r="F4441" t="str">
        <f t="shared" si="165"/>
        <v/>
      </c>
      <c r="G4441" t="str">
        <f t="shared" si="166"/>
        <v/>
      </c>
    </row>
    <row r="4442" spans="2:7" x14ac:dyDescent="0.25">
      <c r="B4442" s="6"/>
      <c r="C4442" s="7"/>
      <c r="D4442" s="7"/>
      <c r="E4442" s="8"/>
      <c r="F4442" t="str">
        <f t="shared" si="165"/>
        <v/>
      </c>
      <c r="G4442" t="str">
        <f t="shared" si="166"/>
        <v/>
      </c>
    </row>
    <row r="4443" spans="2:7" x14ac:dyDescent="0.25">
      <c r="B4443" s="6"/>
      <c r="C4443" s="7"/>
      <c r="D4443" s="7"/>
      <c r="E4443" s="8"/>
      <c r="F4443" t="str">
        <f t="shared" si="165"/>
        <v/>
      </c>
      <c r="G4443" t="str">
        <f t="shared" si="166"/>
        <v/>
      </c>
    </row>
    <row r="4444" spans="2:7" x14ac:dyDescent="0.25">
      <c r="B4444" s="6"/>
      <c r="C4444" s="7"/>
      <c r="D4444" s="7"/>
      <c r="E4444" s="8"/>
      <c r="F4444" t="str">
        <f t="shared" si="165"/>
        <v/>
      </c>
      <c r="G4444" t="str">
        <f t="shared" si="166"/>
        <v/>
      </c>
    </row>
    <row r="4445" spans="2:7" x14ac:dyDescent="0.25">
      <c r="B4445" s="6"/>
      <c r="C4445" s="7"/>
      <c r="D4445" s="7"/>
      <c r="E4445" s="8"/>
      <c r="F4445" t="str">
        <f t="shared" si="165"/>
        <v/>
      </c>
      <c r="G4445" t="str">
        <f t="shared" si="166"/>
        <v/>
      </c>
    </row>
    <row r="4446" spans="2:7" x14ac:dyDescent="0.25">
      <c r="B4446" s="6"/>
      <c r="C4446" s="7"/>
      <c r="D4446" s="7"/>
      <c r="E4446" s="8"/>
      <c r="F4446" t="str">
        <f t="shared" si="165"/>
        <v/>
      </c>
      <c r="G4446" t="str">
        <f t="shared" si="166"/>
        <v/>
      </c>
    </row>
    <row r="4447" spans="2:7" x14ac:dyDescent="0.25">
      <c r="B4447" s="6"/>
      <c r="C4447" s="7"/>
      <c r="D4447" s="7"/>
      <c r="E4447" s="8"/>
      <c r="F4447" t="str">
        <f t="shared" si="165"/>
        <v/>
      </c>
      <c r="G4447" t="str">
        <f t="shared" si="166"/>
        <v/>
      </c>
    </row>
    <row r="4448" spans="2:7" x14ac:dyDescent="0.25">
      <c r="B4448" s="6"/>
      <c r="C4448" s="7"/>
      <c r="D4448" s="7"/>
      <c r="E4448" s="8"/>
      <c r="F4448" t="str">
        <f t="shared" si="165"/>
        <v/>
      </c>
      <c r="G4448" t="str">
        <f t="shared" si="166"/>
        <v/>
      </c>
    </row>
    <row r="4449" spans="2:7" x14ac:dyDescent="0.25">
      <c r="B4449" s="6"/>
      <c r="C4449" s="7"/>
      <c r="D4449" s="7"/>
      <c r="E4449" s="8"/>
      <c r="F4449" t="str">
        <f t="shared" si="165"/>
        <v/>
      </c>
      <c r="G4449" t="str">
        <f t="shared" si="166"/>
        <v/>
      </c>
    </row>
    <row r="4450" spans="2:7" x14ac:dyDescent="0.25">
      <c r="B4450" s="6"/>
      <c r="C4450" s="7"/>
      <c r="D4450" s="7"/>
      <c r="E4450" s="8"/>
      <c r="F4450" t="str">
        <f t="shared" si="165"/>
        <v/>
      </c>
      <c r="G4450" t="str">
        <f t="shared" si="166"/>
        <v/>
      </c>
    </row>
    <row r="4451" spans="2:7" x14ac:dyDescent="0.25">
      <c r="B4451" s="6"/>
      <c r="C4451" s="7"/>
      <c r="D4451" s="7"/>
      <c r="E4451" s="8"/>
      <c r="F4451" t="str">
        <f t="shared" si="165"/>
        <v/>
      </c>
      <c r="G4451" t="str">
        <f t="shared" si="166"/>
        <v/>
      </c>
    </row>
    <row r="4452" spans="2:7" x14ac:dyDescent="0.25">
      <c r="B4452" s="6"/>
      <c r="C4452" s="7"/>
      <c r="D4452" s="7"/>
      <c r="E4452" s="8"/>
      <c r="F4452" t="str">
        <f t="shared" si="165"/>
        <v/>
      </c>
      <c r="G4452" t="str">
        <f t="shared" si="166"/>
        <v/>
      </c>
    </row>
    <row r="4453" spans="2:7" x14ac:dyDescent="0.25">
      <c r="B4453" s="6"/>
      <c r="C4453" s="7"/>
      <c r="D4453" s="7"/>
      <c r="E4453" s="8"/>
      <c r="F4453" t="str">
        <f t="shared" si="165"/>
        <v/>
      </c>
      <c r="G4453" t="str">
        <f t="shared" si="166"/>
        <v/>
      </c>
    </row>
    <row r="4454" spans="2:7" x14ac:dyDescent="0.25">
      <c r="B4454" s="6"/>
      <c r="C4454" s="7"/>
      <c r="D4454" s="7"/>
      <c r="E4454" s="8"/>
      <c r="F4454" t="str">
        <f t="shared" si="165"/>
        <v/>
      </c>
      <c r="G4454" t="str">
        <f t="shared" si="166"/>
        <v/>
      </c>
    </row>
    <row r="4455" spans="2:7" x14ac:dyDescent="0.25">
      <c r="B4455" s="6"/>
      <c r="C4455" s="7"/>
      <c r="D4455" s="7"/>
      <c r="E4455" s="8"/>
      <c r="F4455" t="str">
        <f t="shared" si="165"/>
        <v/>
      </c>
      <c r="G4455" t="str">
        <f t="shared" si="166"/>
        <v/>
      </c>
    </row>
    <row r="4456" spans="2:7" x14ac:dyDescent="0.25">
      <c r="B4456" s="6"/>
      <c r="C4456" s="7"/>
      <c r="D4456" s="7"/>
      <c r="E4456" s="8"/>
      <c r="F4456" t="str">
        <f t="shared" si="165"/>
        <v/>
      </c>
      <c r="G4456" t="str">
        <f t="shared" si="166"/>
        <v/>
      </c>
    </row>
    <row r="4457" spans="2:7" x14ac:dyDescent="0.25">
      <c r="B4457" s="6"/>
      <c r="C4457" s="7"/>
      <c r="D4457" s="7"/>
      <c r="E4457" s="8"/>
      <c r="F4457" t="str">
        <f t="shared" si="165"/>
        <v/>
      </c>
      <c r="G4457" t="str">
        <f t="shared" si="166"/>
        <v/>
      </c>
    </row>
    <row r="4458" spans="2:7" x14ac:dyDescent="0.25">
      <c r="B4458" s="6"/>
      <c r="C4458" s="7"/>
      <c r="D4458" s="7"/>
      <c r="E4458" s="8"/>
      <c r="F4458" t="str">
        <f t="shared" si="165"/>
        <v/>
      </c>
      <c r="G4458" t="str">
        <f t="shared" si="166"/>
        <v/>
      </c>
    </row>
    <row r="4459" spans="2:7" x14ac:dyDescent="0.25">
      <c r="B4459" s="6"/>
      <c r="C4459" s="7"/>
      <c r="D4459" s="7"/>
      <c r="E4459" s="8"/>
      <c r="F4459" t="str">
        <f t="shared" si="165"/>
        <v/>
      </c>
      <c r="G4459" t="str">
        <f t="shared" si="166"/>
        <v/>
      </c>
    </row>
    <row r="4460" spans="2:7" x14ac:dyDescent="0.25">
      <c r="B4460" s="6"/>
      <c r="C4460" s="7"/>
      <c r="D4460" s="7"/>
      <c r="E4460" s="8"/>
      <c r="F4460" t="str">
        <f t="shared" si="165"/>
        <v/>
      </c>
      <c r="G4460" t="str">
        <f t="shared" si="166"/>
        <v/>
      </c>
    </row>
    <row r="4461" spans="2:7" x14ac:dyDescent="0.25">
      <c r="B4461" s="6"/>
      <c r="C4461" s="7"/>
      <c r="D4461" s="7"/>
      <c r="E4461" s="8"/>
      <c r="F4461" t="str">
        <f t="shared" si="165"/>
        <v/>
      </c>
      <c r="G4461" t="str">
        <f t="shared" si="166"/>
        <v/>
      </c>
    </row>
    <row r="4462" spans="2:7" x14ac:dyDescent="0.25">
      <c r="B4462" s="6"/>
      <c r="C4462" s="7"/>
      <c r="D4462" s="7"/>
      <c r="E4462" s="8"/>
      <c r="F4462" t="str">
        <f t="shared" si="165"/>
        <v/>
      </c>
      <c r="G4462" t="str">
        <f t="shared" si="166"/>
        <v/>
      </c>
    </row>
    <row r="4463" spans="2:7" x14ac:dyDescent="0.25">
      <c r="B4463" s="6"/>
      <c r="C4463" s="7"/>
      <c r="D4463" s="7"/>
      <c r="E4463" s="8"/>
      <c r="F4463" t="str">
        <f t="shared" si="165"/>
        <v/>
      </c>
      <c r="G4463" t="str">
        <f t="shared" si="166"/>
        <v/>
      </c>
    </row>
    <row r="4464" spans="2:7" x14ac:dyDescent="0.25">
      <c r="B4464" s="6"/>
      <c r="C4464" s="7"/>
      <c r="D4464" s="7"/>
      <c r="E4464" s="8"/>
      <c r="F4464" t="str">
        <f t="shared" si="165"/>
        <v/>
      </c>
      <c r="G4464" t="str">
        <f t="shared" si="166"/>
        <v/>
      </c>
    </row>
    <row r="4465" spans="2:7" x14ac:dyDescent="0.25">
      <c r="B4465" s="6"/>
      <c r="C4465" s="7"/>
      <c r="D4465" s="7"/>
      <c r="E4465" s="8"/>
      <c r="F4465" t="str">
        <f t="shared" si="165"/>
        <v/>
      </c>
      <c r="G4465" t="str">
        <f t="shared" si="166"/>
        <v/>
      </c>
    </row>
    <row r="4466" spans="2:7" x14ac:dyDescent="0.25">
      <c r="B4466" s="6"/>
      <c r="C4466" s="7"/>
      <c r="D4466" s="7"/>
      <c r="E4466" s="8"/>
      <c r="F4466" t="str">
        <f t="shared" si="165"/>
        <v/>
      </c>
      <c r="G4466" t="str">
        <f t="shared" si="166"/>
        <v/>
      </c>
    </row>
    <row r="4467" spans="2:7" x14ac:dyDescent="0.25">
      <c r="B4467" s="6"/>
      <c r="C4467" s="7"/>
      <c r="D4467" s="7"/>
      <c r="E4467" s="8"/>
      <c r="F4467" t="str">
        <f t="shared" si="165"/>
        <v/>
      </c>
      <c r="G4467" t="str">
        <f t="shared" si="166"/>
        <v/>
      </c>
    </row>
    <row r="4468" spans="2:7" x14ac:dyDescent="0.25">
      <c r="B4468" s="6"/>
      <c r="C4468" s="7"/>
      <c r="D4468" s="7"/>
      <c r="E4468" s="8"/>
      <c r="F4468" t="str">
        <f t="shared" si="165"/>
        <v/>
      </c>
      <c r="G4468" t="str">
        <f t="shared" si="166"/>
        <v/>
      </c>
    </row>
    <row r="4469" spans="2:7" x14ac:dyDescent="0.25">
      <c r="B4469" s="6"/>
      <c r="C4469" s="7"/>
      <c r="D4469" s="7"/>
      <c r="E4469" s="8"/>
      <c r="F4469" t="str">
        <f t="shared" si="165"/>
        <v/>
      </c>
      <c r="G4469" t="str">
        <f t="shared" si="166"/>
        <v/>
      </c>
    </row>
    <row r="4470" spans="2:7" x14ac:dyDescent="0.25">
      <c r="B4470" s="6"/>
      <c r="C4470" s="7"/>
      <c r="D4470" s="7"/>
      <c r="E4470" s="8"/>
      <c r="F4470" t="str">
        <f t="shared" si="165"/>
        <v/>
      </c>
      <c r="G4470" t="str">
        <f t="shared" si="166"/>
        <v/>
      </c>
    </row>
    <row r="4471" spans="2:7" x14ac:dyDescent="0.25">
      <c r="B4471" s="6"/>
      <c r="C4471" s="7"/>
      <c r="D4471" s="7"/>
      <c r="E4471" s="8"/>
      <c r="F4471" t="str">
        <f t="shared" si="165"/>
        <v/>
      </c>
      <c r="G4471" t="str">
        <f t="shared" si="166"/>
        <v/>
      </c>
    </row>
    <row r="4472" spans="2:7" x14ac:dyDescent="0.25">
      <c r="B4472" s="6"/>
      <c r="C4472" s="7"/>
      <c r="D4472" s="7"/>
      <c r="E4472" s="8"/>
      <c r="F4472" t="str">
        <f t="shared" si="165"/>
        <v/>
      </c>
      <c r="G4472" t="str">
        <f t="shared" si="166"/>
        <v/>
      </c>
    </row>
    <row r="4473" spans="2:7" x14ac:dyDescent="0.25">
      <c r="B4473" s="6"/>
      <c r="C4473" s="7"/>
      <c r="D4473" s="7"/>
      <c r="E4473" s="8"/>
      <c r="F4473" t="str">
        <f t="shared" si="165"/>
        <v/>
      </c>
      <c r="G4473" t="str">
        <f t="shared" si="166"/>
        <v/>
      </c>
    </row>
    <row r="4474" spans="2:7" x14ac:dyDescent="0.25">
      <c r="B4474" s="6"/>
      <c r="C4474" s="7"/>
      <c r="D4474" s="7"/>
      <c r="E4474" s="8"/>
      <c r="F4474" t="str">
        <f t="shared" si="165"/>
        <v/>
      </c>
      <c r="G4474" t="str">
        <f t="shared" si="166"/>
        <v/>
      </c>
    </row>
    <row r="4475" spans="2:7" x14ac:dyDescent="0.25">
      <c r="B4475" s="6"/>
      <c r="C4475" s="7"/>
      <c r="D4475" s="7"/>
      <c r="E4475" s="8"/>
      <c r="F4475" t="str">
        <f t="shared" si="165"/>
        <v/>
      </c>
      <c r="G4475" t="str">
        <f t="shared" si="166"/>
        <v/>
      </c>
    </row>
    <row r="4476" spans="2:7" x14ac:dyDescent="0.25">
      <c r="B4476" s="6"/>
      <c r="C4476" s="7"/>
      <c r="D4476" s="7"/>
      <c r="E4476" s="8"/>
      <c r="F4476" t="str">
        <f t="shared" si="165"/>
        <v/>
      </c>
      <c r="G4476" t="str">
        <f t="shared" si="166"/>
        <v/>
      </c>
    </row>
    <row r="4477" spans="2:7" x14ac:dyDescent="0.25">
      <c r="B4477" s="6"/>
      <c r="C4477" s="7"/>
      <c r="D4477" s="7"/>
      <c r="E4477" s="8"/>
      <c r="F4477" t="str">
        <f t="shared" si="165"/>
        <v/>
      </c>
      <c r="G4477" t="str">
        <f t="shared" si="166"/>
        <v/>
      </c>
    </row>
    <row r="4478" spans="2:7" x14ac:dyDescent="0.25">
      <c r="B4478" s="6"/>
      <c r="C4478" s="7"/>
      <c r="D4478" s="7"/>
      <c r="E4478" s="8"/>
      <c r="F4478" t="str">
        <f t="shared" si="165"/>
        <v/>
      </c>
      <c r="G4478" t="str">
        <f t="shared" si="166"/>
        <v/>
      </c>
    </row>
    <row r="4479" spans="2:7" x14ac:dyDescent="0.25">
      <c r="B4479" s="6"/>
      <c r="C4479" s="7"/>
      <c r="D4479" s="7"/>
      <c r="E4479" s="8"/>
      <c r="F4479" t="str">
        <f t="shared" si="165"/>
        <v/>
      </c>
      <c r="G4479" t="str">
        <f t="shared" si="166"/>
        <v/>
      </c>
    </row>
    <row r="4480" spans="2:7" x14ac:dyDescent="0.25">
      <c r="B4480" s="6"/>
      <c r="C4480" s="7"/>
      <c r="D4480" s="7"/>
      <c r="E4480" s="8"/>
      <c r="F4480" t="str">
        <f t="shared" si="165"/>
        <v/>
      </c>
      <c r="G4480" t="str">
        <f t="shared" si="166"/>
        <v/>
      </c>
    </row>
    <row r="4481" spans="2:7" x14ac:dyDescent="0.25">
      <c r="B4481" s="6"/>
      <c r="C4481" s="7"/>
      <c r="D4481" s="7"/>
      <c r="E4481" s="8"/>
      <c r="F4481" t="str">
        <f t="shared" si="165"/>
        <v/>
      </c>
      <c r="G4481" t="str">
        <f t="shared" si="166"/>
        <v/>
      </c>
    </row>
    <row r="4482" spans="2:7" x14ac:dyDescent="0.25">
      <c r="B4482" s="6"/>
      <c r="C4482" s="7"/>
      <c r="D4482" s="7"/>
      <c r="E4482" s="8"/>
      <c r="F4482" t="str">
        <f t="shared" si="165"/>
        <v/>
      </c>
      <c r="G4482" t="str">
        <f t="shared" si="166"/>
        <v/>
      </c>
    </row>
    <row r="4483" spans="2:7" x14ac:dyDescent="0.25">
      <c r="B4483" s="6"/>
      <c r="C4483" s="7"/>
      <c r="D4483" s="7"/>
      <c r="E4483" s="8"/>
      <c r="F4483" t="str">
        <f t="shared" si="165"/>
        <v/>
      </c>
      <c r="G4483" t="str">
        <f t="shared" si="166"/>
        <v/>
      </c>
    </row>
    <row r="4484" spans="2:7" x14ac:dyDescent="0.25">
      <c r="B4484" s="6"/>
      <c r="C4484" s="7"/>
      <c r="D4484" s="7"/>
      <c r="E4484" s="8"/>
      <c r="F4484" t="str">
        <f t="shared" ref="F4484:F4547" si="167">IF(B4484="","",LOG10(D4484))</f>
        <v/>
      </c>
      <c r="G4484" t="str">
        <f t="shared" ref="G4484:G4547" si="168">IF(E4484="", "",0.434*E4484/D4484)</f>
        <v/>
      </c>
    </row>
    <row r="4485" spans="2:7" x14ac:dyDescent="0.25">
      <c r="B4485" s="6"/>
      <c r="C4485" s="7"/>
      <c r="D4485" s="7"/>
      <c r="E4485" s="8"/>
      <c r="F4485" t="str">
        <f t="shared" si="167"/>
        <v/>
      </c>
      <c r="G4485" t="str">
        <f t="shared" si="168"/>
        <v/>
      </c>
    </row>
    <row r="4486" spans="2:7" x14ac:dyDescent="0.25">
      <c r="B4486" s="6"/>
      <c r="C4486" s="7"/>
      <c r="D4486" s="7"/>
      <c r="E4486" s="8"/>
      <c r="F4486" t="str">
        <f t="shared" si="167"/>
        <v/>
      </c>
      <c r="G4486" t="str">
        <f t="shared" si="168"/>
        <v/>
      </c>
    </row>
    <row r="4487" spans="2:7" x14ac:dyDescent="0.25">
      <c r="B4487" s="6"/>
      <c r="C4487" s="7"/>
      <c r="D4487" s="7"/>
      <c r="E4487" s="8"/>
      <c r="F4487" t="str">
        <f t="shared" si="167"/>
        <v/>
      </c>
      <c r="G4487" t="str">
        <f t="shared" si="168"/>
        <v/>
      </c>
    </row>
    <row r="4488" spans="2:7" x14ac:dyDescent="0.25">
      <c r="B4488" s="6"/>
      <c r="C4488" s="7"/>
      <c r="D4488" s="7"/>
      <c r="E4488" s="8"/>
      <c r="F4488" t="str">
        <f t="shared" si="167"/>
        <v/>
      </c>
      <c r="G4488" t="str">
        <f t="shared" si="168"/>
        <v/>
      </c>
    </row>
    <row r="4489" spans="2:7" x14ac:dyDescent="0.25">
      <c r="B4489" s="6"/>
      <c r="C4489" s="7"/>
      <c r="D4489" s="7"/>
      <c r="E4489" s="8"/>
      <c r="F4489" t="str">
        <f t="shared" si="167"/>
        <v/>
      </c>
      <c r="G4489" t="str">
        <f t="shared" si="168"/>
        <v/>
      </c>
    </row>
    <row r="4490" spans="2:7" x14ac:dyDescent="0.25">
      <c r="B4490" s="6"/>
      <c r="C4490" s="7"/>
      <c r="D4490" s="7"/>
      <c r="E4490" s="8"/>
      <c r="F4490" t="str">
        <f t="shared" si="167"/>
        <v/>
      </c>
      <c r="G4490" t="str">
        <f t="shared" si="168"/>
        <v/>
      </c>
    </row>
    <row r="4491" spans="2:7" x14ac:dyDescent="0.25">
      <c r="B4491" s="6"/>
      <c r="C4491" s="7"/>
      <c r="D4491" s="7"/>
      <c r="E4491" s="8"/>
      <c r="F4491" t="str">
        <f t="shared" si="167"/>
        <v/>
      </c>
      <c r="G4491" t="str">
        <f t="shared" si="168"/>
        <v/>
      </c>
    </row>
    <row r="4492" spans="2:7" x14ac:dyDescent="0.25">
      <c r="B4492" s="6"/>
      <c r="C4492" s="7"/>
      <c r="D4492" s="7"/>
      <c r="E4492" s="8"/>
      <c r="F4492" t="str">
        <f t="shared" si="167"/>
        <v/>
      </c>
      <c r="G4492" t="str">
        <f t="shared" si="168"/>
        <v/>
      </c>
    </row>
    <row r="4493" spans="2:7" x14ac:dyDescent="0.25">
      <c r="B4493" s="6"/>
      <c r="C4493" s="7"/>
      <c r="D4493" s="7"/>
      <c r="E4493" s="8"/>
      <c r="F4493" t="str">
        <f t="shared" si="167"/>
        <v/>
      </c>
      <c r="G4493" t="str">
        <f t="shared" si="168"/>
        <v/>
      </c>
    </row>
    <row r="4494" spans="2:7" x14ac:dyDescent="0.25">
      <c r="B4494" s="6"/>
      <c r="C4494" s="7"/>
      <c r="D4494" s="7"/>
      <c r="E4494" s="8"/>
      <c r="F4494" t="str">
        <f t="shared" si="167"/>
        <v/>
      </c>
      <c r="G4494" t="str">
        <f t="shared" si="168"/>
        <v/>
      </c>
    </row>
    <row r="4495" spans="2:7" x14ac:dyDescent="0.25">
      <c r="B4495" s="6"/>
      <c r="C4495" s="7"/>
      <c r="D4495" s="7"/>
      <c r="E4495" s="8"/>
      <c r="F4495" t="str">
        <f t="shared" si="167"/>
        <v/>
      </c>
      <c r="G4495" t="str">
        <f t="shared" si="168"/>
        <v/>
      </c>
    </row>
    <row r="4496" spans="2:7" x14ac:dyDescent="0.25">
      <c r="B4496" s="6"/>
      <c r="C4496" s="7"/>
      <c r="D4496" s="7"/>
      <c r="E4496" s="8"/>
      <c r="F4496" t="str">
        <f t="shared" si="167"/>
        <v/>
      </c>
      <c r="G4496" t="str">
        <f t="shared" si="168"/>
        <v/>
      </c>
    </row>
    <row r="4497" spans="2:7" x14ac:dyDescent="0.25">
      <c r="B4497" s="6"/>
      <c r="C4497" s="7"/>
      <c r="D4497" s="7"/>
      <c r="E4497" s="8"/>
      <c r="F4497" t="str">
        <f t="shared" si="167"/>
        <v/>
      </c>
      <c r="G4497" t="str">
        <f t="shared" si="168"/>
        <v/>
      </c>
    </row>
    <row r="4498" spans="2:7" x14ac:dyDescent="0.25">
      <c r="B4498" s="6"/>
      <c r="C4498" s="7"/>
      <c r="D4498" s="7"/>
      <c r="E4498" s="8"/>
      <c r="F4498" t="str">
        <f t="shared" si="167"/>
        <v/>
      </c>
      <c r="G4498" t="str">
        <f t="shared" si="168"/>
        <v/>
      </c>
    </row>
    <row r="4499" spans="2:7" x14ac:dyDescent="0.25">
      <c r="B4499" s="6"/>
      <c r="C4499" s="7"/>
      <c r="D4499" s="7"/>
      <c r="E4499" s="8"/>
      <c r="F4499" t="str">
        <f t="shared" si="167"/>
        <v/>
      </c>
      <c r="G4499" t="str">
        <f t="shared" si="168"/>
        <v/>
      </c>
    </row>
    <row r="4500" spans="2:7" x14ac:dyDescent="0.25">
      <c r="B4500" s="6"/>
      <c r="C4500" s="7"/>
      <c r="D4500" s="7"/>
      <c r="E4500" s="8"/>
      <c r="F4500" t="str">
        <f t="shared" si="167"/>
        <v/>
      </c>
      <c r="G4500" t="str">
        <f t="shared" si="168"/>
        <v/>
      </c>
    </row>
    <row r="4501" spans="2:7" x14ac:dyDescent="0.25">
      <c r="B4501" s="6"/>
      <c r="C4501" s="7"/>
      <c r="D4501" s="7"/>
      <c r="E4501" s="8"/>
      <c r="F4501" t="str">
        <f t="shared" si="167"/>
        <v/>
      </c>
      <c r="G4501" t="str">
        <f t="shared" si="168"/>
        <v/>
      </c>
    </row>
    <row r="4502" spans="2:7" x14ac:dyDescent="0.25">
      <c r="B4502" s="6"/>
      <c r="C4502" s="7"/>
      <c r="D4502" s="7"/>
      <c r="E4502" s="8"/>
      <c r="F4502" t="str">
        <f t="shared" si="167"/>
        <v/>
      </c>
      <c r="G4502" t="str">
        <f t="shared" si="168"/>
        <v/>
      </c>
    </row>
    <row r="4503" spans="2:7" x14ac:dyDescent="0.25">
      <c r="B4503" s="6"/>
      <c r="C4503" s="7"/>
      <c r="D4503" s="7"/>
      <c r="E4503" s="8"/>
      <c r="F4503" t="str">
        <f t="shared" si="167"/>
        <v/>
      </c>
      <c r="G4503" t="str">
        <f t="shared" si="168"/>
        <v/>
      </c>
    </row>
    <row r="4504" spans="2:7" x14ac:dyDescent="0.25">
      <c r="B4504" s="6"/>
      <c r="C4504" s="7"/>
      <c r="D4504" s="7"/>
      <c r="E4504" s="8"/>
      <c r="F4504" t="str">
        <f t="shared" si="167"/>
        <v/>
      </c>
      <c r="G4504" t="str">
        <f t="shared" si="168"/>
        <v/>
      </c>
    </row>
    <row r="4505" spans="2:7" x14ac:dyDescent="0.25">
      <c r="B4505" s="6"/>
      <c r="C4505" s="7"/>
      <c r="D4505" s="7"/>
      <c r="E4505" s="8"/>
      <c r="F4505" t="str">
        <f t="shared" si="167"/>
        <v/>
      </c>
      <c r="G4505" t="str">
        <f t="shared" si="168"/>
        <v/>
      </c>
    </row>
    <row r="4506" spans="2:7" x14ac:dyDescent="0.25">
      <c r="B4506" s="6"/>
      <c r="C4506" s="7"/>
      <c r="D4506" s="7"/>
      <c r="E4506" s="8"/>
      <c r="F4506" t="str">
        <f t="shared" si="167"/>
        <v/>
      </c>
      <c r="G4506" t="str">
        <f t="shared" si="168"/>
        <v/>
      </c>
    </row>
    <row r="4507" spans="2:7" x14ac:dyDescent="0.25">
      <c r="B4507" s="6"/>
      <c r="C4507" s="7"/>
      <c r="D4507" s="7"/>
      <c r="E4507" s="8"/>
      <c r="F4507" t="str">
        <f t="shared" si="167"/>
        <v/>
      </c>
      <c r="G4507" t="str">
        <f t="shared" si="168"/>
        <v/>
      </c>
    </row>
    <row r="4508" spans="2:7" x14ac:dyDescent="0.25">
      <c r="B4508" s="6"/>
      <c r="C4508" s="7"/>
      <c r="D4508" s="7"/>
      <c r="E4508" s="8"/>
      <c r="F4508" t="str">
        <f t="shared" si="167"/>
        <v/>
      </c>
      <c r="G4508" t="str">
        <f t="shared" si="168"/>
        <v/>
      </c>
    </row>
    <row r="4509" spans="2:7" x14ac:dyDescent="0.25">
      <c r="B4509" s="6"/>
      <c r="C4509" s="7"/>
      <c r="D4509" s="7"/>
      <c r="E4509" s="8"/>
      <c r="F4509" t="str">
        <f t="shared" si="167"/>
        <v/>
      </c>
      <c r="G4509" t="str">
        <f t="shared" si="168"/>
        <v/>
      </c>
    </row>
    <row r="4510" spans="2:7" x14ac:dyDescent="0.25">
      <c r="B4510" s="6"/>
      <c r="C4510" s="7"/>
      <c r="D4510" s="7"/>
      <c r="E4510" s="8"/>
      <c r="F4510" t="str">
        <f t="shared" si="167"/>
        <v/>
      </c>
      <c r="G4510" t="str">
        <f t="shared" si="168"/>
        <v/>
      </c>
    </row>
    <row r="4511" spans="2:7" x14ac:dyDescent="0.25">
      <c r="B4511" s="6"/>
      <c r="C4511" s="7"/>
      <c r="D4511" s="7"/>
      <c r="E4511" s="8"/>
      <c r="F4511" t="str">
        <f t="shared" si="167"/>
        <v/>
      </c>
      <c r="G4511" t="str">
        <f t="shared" si="168"/>
        <v/>
      </c>
    </row>
    <row r="4512" spans="2:7" x14ac:dyDescent="0.25">
      <c r="B4512" s="6"/>
      <c r="C4512" s="7"/>
      <c r="D4512" s="7"/>
      <c r="E4512" s="8"/>
      <c r="F4512" t="str">
        <f t="shared" si="167"/>
        <v/>
      </c>
      <c r="G4512" t="str">
        <f t="shared" si="168"/>
        <v/>
      </c>
    </row>
    <row r="4513" spans="2:7" x14ac:dyDescent="0.25">
      <c r="B4513" s="6"/>
      <c r="C4513" s="7"/>
      <c r="D4513" s="7"/>
      <c r="E4513" s="8"/>
      <c r="F4513" t="str">
        <f t="shared" si="167"/>
        <v/>
      </c>
      <c r="G4513" t="str">
        <f t="shared" si="168"/>
        <v/>
      </c>
    </row>
    <row r="4514" spans="2:7" x14ac:dyDescent="0.25">
      <c r="B4514" s="6"/>
      <c r="C4514" s="7"/>
      <c r="D4514" s="7"/>
      <c r="E4514" s="8"/>
      <c r="F4514" t="str">
        <f t="shared" si="167"/>
        <v/>
      </c>
      <c r="G4514" t="str">
        <f t="shared" si="168"/>
        <v/>
      </c>
    </row>
    <row r="4515" spans="2:7" x14ac:dyDescent="0.25">
      <c r="B4515" s="6"/>
      <c r="C4515" s="7"/>
      <c r="D4515" s="7"/>
      <c r="E4515" s="8"/>
      <c r="F4515" t="str">
        <f t="shared" si="167"/>
        <v/>
      </c>
      <c r="G4515" t="str">
        <f t="shared" si="168"/>
        <v/>
      </c>
    </row>
    <row r="4516" spans="2:7" x14ac:dyDescent="0.25">
      <c r="B4516" s="6"/>
      <c r="C4516" s="7"/>
      <c r="D4516" s="7"/>
      <c r="E4516" s="8"/>
      <c r="F4516" t="str">
        <f t="shared" si="167"/>
        <v/>
      </c>
      <c r="G4516" t="str">
        <f t="shared" si="168"/>
        <v/>
      </c>
    </row>
    <row r="4517" spans="2:7" x14ac:dyDescent="0.25">
      <c r="B4517" s="6"/>
      <c r="C4517" s="7"/>
      <c r="D4517" s="7"/>
      <c r="E4517" s="8"/>
      <c r="F4517" t="str">
        <f t="shared" si="167"/>
        <v/>
      </c>
      <c r="G4517" t="str">
        <f t="shared" si="168"/>
        <v/>
      </c>
    </row>
    <row r="4518" spans="2:7" x14ac:dyDescent="0.25">
      <c r="B4518" s="6"/>
      <c r="C4518" s="7"/>
      <c r="D4518" s="7"/>
      <c r="E4518" s="8"/>
      <c r="F4518" t="str">
        <f t="shared" si="167"/>
        <v/>
      </c>
      <c r="G4518" t="str">
        <f t="shared" si="168"/>
        <v/>
      </c>
    </row>
    <row r="4519" spans="2:7" x14ac:dyDescent="0.25">
      <c r="B4519" s="6"/>
      <c r="C4519" s="7"/>
      <c r="D4519" s="7"/>
      <c r="E4519" s="8"/>
      <c r="F4519" t="str">
        <f t="shared" si="167"/>
        <v/>
      </c>
      <c r="G4519" t="str">
        <f t="shared" si="168"/>
        <v/>
      </c>
    </row>
    <row r="4520" spans="2:7" x14ac:dyDescent="0.25">
      <c r="B4520" s="6"/>
      <c r="C4520" s="7"/>
      <c r="D4520" s="7"/>
      <c r="E4520" s="8"/>
      <c r="F4520" t="str">
        <f t="shared" si="167"/>
        <v/>
      </c>
      <c r="G4520" t="str">
        <f t="shared" si="168"/>
        <v/>
      </c>
    </row>
    <row r="4521" spans="2:7" x14ac:dyDescent="0.25">
      <c r="B4521" s="6"/>
      <c r="C4521" s="7"/>
      <c r="D4521" s="7"/>
      <c r="E4521" s="8"/>
      <c r="F4521" t="str">
        <f t="shared" si="167"/>
        <v/>
      </c>
      <c r="G4521" t="str">
        <f t="shared" si="168"/>
        <v/>
      </c>
    </row>
    <row r="4522" spans="2:7" x14ac:dyDescent="0.25">
      <c r="B4522" s="6"/>
      <c r="C4522" s="7"/>
      <c r="D4522" s="7"/>
      <c r="E4522" s="8"/>
      <c r="F4522" t="str">
        <f t="shared" si="167"/>
        <v/>
      </c>
      <c r="G4522" t="str">
        <f t="shared" si="168"/>
        <v/>
      </c>
    </row>
    <row r="4523" spans="2:7" x14ac:dyDescent="0.25">
      <c r="B4523" s="6"/>
      <c r="C4523" s="7"/>
      <c r="D4523" s="7"/>
      <c r="E4523" s="8"/>
      <c r="F4523" t="str">
        <f t="shared" si="167"/>
        <v/>
      </c>
      <c r="G4523" t="str">
        <f t="shared" si="168"/>
        <v/>
      </c>
    </row>
    <row r="4524" spans="2:7" x14ac:dyDescent="0.25">
      <c r="B4524" s="6"/>
      <c r="C4524" s="7"/>
      <c r="D4524" s="7"/>
      <c r="E4524" s="8"/>
      <c r="F4524" t="str">
        <f t="shared" si="167"/>
        <v/>
      </c>
      <c r="G4524" t="str">
        <f t="shared" si="168"/>
        <v/>
      </c>
    </row>
    <row r="4525" spans="2:7" x14ac:dyDescent="0.25">
      <c r="B4525" s="6"/>
      <c r="C4525" s="7"/>
      <c r="D4525" s="7"/>
      <c r="E4525" s="8"/>
      <c r="F4525" t="str">
        <f t="shared" si="167"/>
        <v/>
      </c>
      <c r="G4525" t="str">
        <f t="shared" si="168"/>
        <v/>
      </c>
    </row>
    <row r="4526" spans="2:7" x14ac:dyDescent="0.25">
      <c r="B4526" s="6"/>
      <c r="C4526" s="7"/>
      <c r="D4526" s="7"/>
      <c r="E4526" s="8"/>
      <c r="F4526" t="str">
        <f t="shared" si="167"/>
        <v/>
      </c>
      <c r="G4526" t="str">
        <f t="shared" si="168"/>
        <v/>
      </c>
    </row>
    <row r="4527" spans="2:7" x14ac:dyDescent="0.25">
      <c r="B4527" s="6"/>
      <c r="C4527" s="7"/>
      <c r="D4527" s="7"/>
      <c r="E4527" s="8"/>
      <c r="F4527" t="str">
        <f t="shared" si="167"/>
        <v/>
      </c>
      <c r="G4527" t="str">
        <f t="shared" si="168"/>
        <v/>
      </c>
    </row>
    <row r="4528" spans="2:7" x14ac:dyDescent="0.25">
      <c r="B4528" s="6"/>
      <c r="C4528" s="7"/>
      <c r="D4528" s="7"/>
      <c r="E4528" s="8"/>
      <c r="F4528" t="str">
        <f t="shared" si="167"/>
        <v/>
      </c>
      <c r="G4528" t="str">
        <f t="shared" si="168"/>
        <v/>
      </c>
    </row>
    <row r="4529" spans="2:7" x14ac:dyDescent="0.25">
      <c r="B4529" s="6"/>
      <c r="C4529" s="7"/>
      <c r="D4529" s="7"/>
      <c r="E4529" s="8"/>
      <c r="F4529" t="str">
        <f t="shared" si="167"/>
        <v/>
      </c>
      <c r="G4529" t="str">
        <f t="shared" si="168"/>
        <v/>
      </c>
    </row>
    <row r="4530" spans="2:7" x14ac:dyDescent="0.25">
      <c r="B4530" s="6"/>
      <c r="C4530" s="7"/>
      <c r="D4530" s="7"/>
      <c r="E4530" s="8"/>
      <c r="F4530" t="str">
        <f t="shared" si="167"/>
        <v/>
      </c>
      <c r="G4530" t="str">
        <f t="shared" si="168"/>
        <v/>
      </c>
    </row>
    <row r="4531" spans="2:7" x14ac:dyDescent="0.25">
      <c r="B4531" s="6"/>
      <c r="C4531" s="7"/>
      <c r="D4531" s="7"/>
      <c r="E4531" s="8"/>
      <c r="F4531" t="str">
        <f t="shared" si="167"/>
        <v/>
      </c>
      <c r="G4531" t="str">
        <f t="shared" si="168"/>
        <v/>
      </c>
    </row>
    <row r="4532" spans="2:7" x14ac:dyDescent="0.25">
      <c r="B4532" s="6"/>
      <c r="C4532" s="7"/>
      <c r="D4532" s="7"/>
      <c r="E4532" s="8"/>
      <c r="F4532" t="str">
        <f t="shared" si="167"/>
        <v/>
      </c>
      <c r="G4532" t="str">
        <f t="shared" si="168"/>
        <v/>
      </c>
    </row>
    <row r="4533" spans="2:7" x14ac:dyDescent="0.25">
      <c r="B4533" s="6"/>
      <c r="C4533" s="7"/>
      <c r="D4533" s="7"/>
      <c r="E4533" s="8"/>
      <c r="F4533" t="str">
        <f t="shared" si="167"/>
        <v/>
      </c>
      <c r="G4533" t="str">
        <f t="shared" si="168"/>
        <v/>
      </c>
    </row>
    <row r="4534" spans="2:7" x14ac:dyDescent="0.25">
      <c r="B4534" s="6"/>
      <c r="C4534" s="7"/>
      <c r="D4534" s="7"/>
      <c r="E4534" s="8"/>
      <c r="F4534" t="str">
        <f t="shared" si="167"/>
        <v/>
      </c>
      <c r="G4534" t="str">
        <f t="shared" si="168"/>
        <v/>
      </c>
    </row>
    <row r="4535" spans="2:7" x14ac:dyDescent="0.25">
      <c r="B4535" s="6"/>
      <c r="C4535" s="7"/>
      <c r="D4535" s="7"/>
      <c r="E4535" s="8"/>
      <c r="F4535" t="str">
        <f t="shared" si="167"/>
        <v/>
      </c>
      <c r="G4535" t="str">
        <f t="shared" si="168"/>
        <v/>
      </c>
    </row>
    <row r="4536" spans="2:7" x14ac:dyDescent="0.25">
      <c r="B4536" s="6"/>
      <c r="C4536" s="7"/>
      <c r="D4536" s="7"/>
      <c r="E4536" s="8"/>
      <c r="F4536" t="str">
        <f t="shared" si="167"/>
        <v/>
      </c>
      <c r="G4536" t="str">
        <f t="shared" si="168"/>
        <v/>
      </c>
    </row>
    <row r="4537" spans="2:7" x14ac:dyDescent="0.25">
      <c r="B4537" s="6"/>
      <c r="C4537" s="7"/>
      <c r="D4537" s="7"/>
      <c r="E4537" s="8"/>
      <c r="F4537" t="str">
        <f t="shared" si="167"/>
        <v/>
      </c>
      <c r="G4537" t="str">
        <f t="shared" si="168"/>
        <v/>
      </c>
    </row>
    <row r="4538" spans="2:7" x14ac:dyDescent="0.25">
      <c r="B4538" s="6"/>
      <c r="C4538" s="7"/>
      <c r="D4538" s="7"/>
      <c r="E4538" s="8"/>
      <c r="F4538" t="str">
        <f t="shared" si="167"/>
        <v/>
      </c>
      <c r="G4538" t="str">
        <f t="shared" si="168"/>
        <v/>
      </c>
    </row>
    <row r="4539" spans="2:7" x14ac:dyDescent="0.25">
      <c r="B4539" s="6"/>
      <c r="C4539" s="7"/>
      <c r="D4539" s="7"/>
      <c r="E4539" s="8"/>
      <c r="F4539" t="str">
        <f t="shared" si="167"/>
        <v/>
      </c>
      <c r="G4539" t="str">
        <f t="shared" si="168"/>
        <v/>
      </c>
    </row>
    <row r="4540" spans="2:7" x14ac:dyDescent="0.25">
      <c r="B4540" s="6"/>
      <c r="C4540" s="7"/>
      <c r="D4540" s="7"/>
      <c r="E4540" s="8"/>
      <c r="F4540" t="str">
        <f t="shared" si="167"/>
        <v/>
      </c>
      <c r="G4540" t="str">
        <f t="shared" si="168"/>
        <v/>
      </c>
    </row>
    <row r="4541" spans="2:7" x14ac:dyDescent="0.25">
      <c r="B4541" s="6"/>
      <c r="C4541" s="7"/>
      <c r="D4541" s="7"/>
      <c r="E4541" s="8"/>
      <c r="F4541" t="str">
        <f t="shared" si="167"/>
        <v/>
      </c>
      <c r="G4541" t="str">
        <f t="shared" si="168"/>
        <v/>
      </c>
    </row>
    <row r="4542" spans="2:7" x14ac:dyDescent="0.25">
      <c r="B4542" s="6"/>
      <c r="C4542" s="7"/>
      <c r="D4542" s="7"/>
      <c r="E4542" s="8"/>
      <c r="F4542" t="str">
        <f t="shared" si="167"/>
        <v/>
      </c>
      <c r="G4542" t="str">
        <f t="shared" si="168"/>
        <v/>
      </c>
    </row>
    <row r="4543" spans="2:7" x14ac:dyDescent="0.25">
      <c r="B4543" s="6"/>
      <c r="C4543" s="7"/>
      <c r="D4543" s="7"/>
      <c r="E4543" s="8"/>
      <c r="F4543" t="str">
        <f t="shared" si="167"/>
        <v/>
      </c>
      <c r="G4543" t="str">
        <f t="shared" si="168"/>
        <v/>
      </c>
    </row>
    <row r="4544" spans="2:7" x14ac:dyDescent="0.25">
      <c r="B4544" s="6"/>
      <c r="C4544" s="7"/>
      <c r="D4544" s="7"/>
      <c r="E4544" s="8"/>
      <c r="F4544" t="str">
        <f t="shared" si="167"/>
        <v/>
      </c>
      <c r="G4544" t="str">
        <f t="shared" si="168"/>
        <v/>
      </c>
    </row>
    <row r="4545" spans="2:7" x14ac:dyDescent="0.25">
      <c r="B4545" s="6"/>
      <c r="C4545" s="7"/>
      <c r="D4545" s="7"/>
      <c r="E4545" s="8"/>
      <c r="F4545" t="str">
        <f t="shared" si="167"/>
        <v/>
      </c>
      <c r="G4545" t="str">
        <f t="shared" si="168"/>
        <v/>
      </c>
    </row>
    <row r="4546" spans="2:7" x14ac:dyDescent="0.25">
      <c r="B4546" s="6"/>
      <c r="C4546" s="7"/>
      <c r="D4546" s="7"/>
      <c r="E4546" s="8"/>
      <c r="F4546" t="str">
        <f t="shared" si="167"/>
        <v/>
      </c>
      <c r="G4546" t="str">
        <f t="shared" si="168"/>
        <v/>
      </c>
    </row>
    <row r="4547" spans="2:7" x14ac:dyDescent="0.25">
      <c r="B4547" s="6"/>
      <c r="C4547" s="7"/>
      <c r="D4547" s="7"/>
      <c r="E4547" s="8"/>
      <c r="F4547" t="str">
        <f t="shared" si="167"/>
        <v/>
      </c>
      <c r="G4547" t="str">
        <f t="shared" si="168"/>
        <v/>
      </c>
    </row>
    <row r="4548" spans="2:7" x14ac:dyDescent="0.25">
      <c r="B4548" s="6"/>
      <c r="C4548" s="7"/>
      <c r="D4548" s="7"/>
      <c r="E4548" s="8"/>
      <c r="F4548" t="str">
        <f t="shared" ref="F4548:F4611" si="169">IF(B4548="","",LOG10(D4548))</f>
        <v/>
      </c>
      <c r="G4548" t="str">
        <f t="shared" ref="G4548:G4611" si="170">IF(E4548="", "",0.434*E4548/D4548)</f>
        <v/>
      </c>
    </row>
    <row r="4549" spans="2:7" x14ac:dyDescent="0.25">
      <c r="B4549" s="6"/>
      <c r="C4549" s="7"/>
      <c r="D4549" s="7"/>
      <c r="E4549" s="8"/>
      <c r="F4549" t="str">
        <f t="shared" si="169"/>
        <v/>
      </c>
      <c r="G4549" t="str">
        <f t="shared" si="170"/>
        <v/>
      </c>
    </row>
    <row r="4550" spans="2:7" x14ac:dyDescent="0.25">
      <c r="B4550" s="6"/>
      <c r="C4550" s="7"/>
      <c r="D4550" s="7"/>
      <c r="E4550" s="8"/>
      <c r="F4550" t="str">
        <f t="shared" si="169"/>
        <v/>
      </c>
      <c r="G4550" t="str">
        <f t="shared" si="170"/>
        <v/>
      </c>
    </row>
    <row r="4551" spans="2:7" x14ac:dyDescent="0.25">
      <c r="B4551" s="6"/>
      <c r="C4551" s="7"/>
      <c r="D4551" s="7"/>
      <c r="E4551" s="8"/>
      <c r="F4551" t="str">
        <f t="shared" si="169"/>
        <v/>
      </c>
      <c r="G4551" t="str">
        <f t="shared" si="170"/>
        <v/>
      </c>
    </row>
    <row r="4552" spans="2:7" x14ac:dyDescent="0.25">
      <c r="B4552" s="6"/>
      <c r="C4552" s="7"/>
      <c r="D4552" s="7"/>
      <c r="E4552" s="8"/>
      <c r="F4552" t="str">
        <f t="shared" si="169"/>
        <v/>
      </c>
      <c r="G4552" t="str">
        <f t="shared" si="170"/>
        <v/>
      </c>
    </row>
    <row r="4553" spans="2:7" x14ac:dyDescent="0.25">
      <c r="B4553" s="6"/>
      <c r="C4553" s="7"/>
      <c r="D4553" s="7"/>
      <c r="E4553" s="8"/>
      <c r="F4553" t="str">
        <f t="shared" si="169"/>
        <v/>
      </c>
      <c r="G4553" t="str">
        <f t="shared" si="170"/>
        <v/>
      </c>
    </row>
    <row r="4554" spans="2:7" x14ac:dyDescent="0.25">
      <c r="B4554" s="6"/>
      <c r="C4554" s="7"/>
      <c r="D4554" s="7"/>
      <c r="E4554" s="8"/>
      <c r="F4554" t="str">
        <f t="shared" si="169"/>
        <v/>
      </c>
      <c r="G4554" t="str">
        <f t="shared" si="170"/>
        <v/>
      </c>
    </row>
    <row r="4555" spans="2:7" x14ac:dyDescent="0.25">
      <c r="B4555" s="6"/>
      <c r="C4555" s="7"/>
      <c r="D4555" s="7"/>
      <c r="E4555" s="8"/>
      <c r="F4555" t="str">
        <f t="shared" si="169"/>
        <v/>
      </c>
      <c r="G4555" t="str">
        <f t="shared" si="170"/>
        <v/>
      </c>
    </row>
    <row r="4556" spans="2:7" x14ac:dyDescent="0.25">
      <c r="B4556" s="6"/>
      <c r="C4556" s="7"/>
      <c r="D4556" s="7"/>
      <c r="E4556" s="8"/>
      <c r="F4556" t="str">
        <f t="shared" si="169"/>
        <v/>
      </c>
      <c r="G4556" t="str">
        <f t="shared" si="170"/>
        <v/>
      </c>
    </row>
    <row r="4557" spans="2:7" x14ac:dyDescent="0.25">
      <c r="B4557" s="6"/>
      <c r="C4557" s="7"/>
      <c r="D4557" s="7"/>
      <c r="E4557" s="8"/>
      <c r="F4557" t="str">
        <f t="shared" si="169"/>
        <v/>
      </c>
      <c r="G4557" t="str">
        <f t="shared" si="170"/>
        <v/>
      </c>
    </row>
    <row r="4558" spans="2:7" x14ac:dyDescent="0.25">
      <c r="B4558" s="6"/>
      <c r="C4558" s="7"/>
      <c r="D4558" s="7"/>
      <c r="E4558" s="8"/>
      <c r="F4558" t="str">
        <f t="shared" si="169"/>
        <v/>
      </c>
      <c r="G4558" t="str">
        <f t="shared" si="170"/>
        <v/>
      </c>
    </row>
    <row r="4559" spans="2:7" x14ac:dyDescent="0.25">
      <c r="B4559" s="6"/>
      <c r="C4559" s="7"/>
      <c r="D4559" s="7"/>
      <c r="E4559" s="8"/>
      <c r="F4559" t="str">
        <f t="shared" si="169"/>
        <v/>
      </c>
      <c r="G4559" t="str">
        <f t="shared" si="170"/>
        <v/>
      </c>
    </row>
    <row r="4560" spans="2:7" x14ac:dyDescent="0.25">
      <c r="B4560" s="6"/>
      <c r="C4560" s="7"/>
      <c r="D4560" s="7"/>
      <c r="E4560" s="8"/>
      <c r="F4560" t="str">
        <f t="shared" si="169"/>
        <v/>
      </c>
      <c r="G4560" t="str">
        <f t="shared" si="170"/>
        <v/>
      </c>
    </row>
    <row r="4561" spans="2:7" x14ac:dyDescent="0.25">
      <c r="B4561" s="6"/>
      <c r="C4561" s="7"/>
      <c r="D4561" s="7"/>
      <c r="E4561" s="8"/>
      <c r="F4561" t="str">
        <f t="shared" si="169"/>
        <v/>
      </c>
      <c r="G4561" t="str">
        <f t="shared" si="170"/>
        <v/>
      </c>
    </row>
    <row r="4562" spans="2:7" x14ac:dyDescent="0.25">
      <c r="B4562" s="6"/>
      <c r="C4562" s="7"/>
      <c r="D4562" s="7"/>
      <c r="E4562" s="8"/>
      <c r="F4562" t="str">
        <f t="shared" si="169"/>
        <v/>
      </c>
      <c r="G4562" t="str">
        <f t="shared" si="170"/>
        <v/>
      </c>
    </row>
    <row r="4563" spans="2:7" x14ac:dyDescent="0.25">
      <c r="B4563" s="6"/>
      <c r="C4563" s="7"/>
      <c r="D4563" s="7"/>
      <c r="E4563" s="8"/>
      <c r="F4563" t="str">
        <f t="shared" si="169"/>
        <v/>
      </c>
      <c r="G4563" t="str">
        <f t="shared" si="170"/>
        <v/>
      </c>
    </row>
    <row r="4564" spans="2:7" x14ac:dyDescent="0.25">
      <c r="B4564" s="6"/>
      <c r="C4564" s="7"/>
      <c r="D4564" s="7"/>
      <c r="E4564" s="8"/>
      <c r="F4564" t="str">
        <f t="shared" si="169"/>
        <v/>
      </c>
      <c r="G4564" t="str">
        <f t="shared" si="170"/>
        <v/>
      </c>
    </row>
    <row r="4565" spans="2:7" x14ac:dyDescent="0.25">
      <c r="B4565" s="6"/>
      <c r="C4565" s="7"/>
      <c r="D4565" s="7"/>
      <c r="E4565" s="8"/>
      <c r="F4565" t="str">
        <f t="shared" si="169"/>
        <v/>
      </c>
      <c r="G4565" t="str">
        <f t="shared" si="170"/>
        <v/>
      </c>
    </row>
    <row r="4566" spans="2:7" x14ac:dyDescent="0.25">
      <c r="B4566" s="6"/>
      <c r="C4566" s="7"/>
      <c r="D4566" s="7"/>
      <c r="E4566" s="8"/>
      <c r="F4566" t="str">
        <f t="shared" si="169"/>
        <v/>
      </c>
      <c r="G4566" t="str">
        <f t="shared" si="170"/>
        <v/>
      </c>
    </row>
    <row r="4567" spans="2:7" x14ac:dyDescent="0.25">
      <c r="B4567" s="6"/>
      <c r="C4567" s="7"/>
      <c r="D4567" s="7"/>
      <c r="E4567" s="8"/>
      <c r="F4567" t="str">
        <f t="shared" si="169"/>
        <v/>
      </c>
      <c r="G4567" t="str">
        <f t="shared" si="170"/>
        <v/>
      </c>
    </row>
    <row r="4568" spans="2:7" x14ac:dyDescent="0.25">
      <c r="B4568" s="6"/>
      <c r="C4568" s="7"/>
      <c r="D4568" s="7"/>
      <c r="E4568" s="8"/>
      <c r="F4568" t="str">
        <f t="shared" si="169"/>
        <v/>
      </c>
      <c r="G4568" t="str">
        <f t="shared" si="170"/>
        <v/>
      </c>
    </row>
    <row r="4569" spans="2:7" x14ac:dyDescent="0.25">
      <c r="B4569" s="6"/>
      <c r="C4569" s="7"/>
      <c r="D4569" s="7"/>
      <c r="E4569" s="8"/>
      <c r="F4569" t="str">
        <f t="shared" si="169"/>
        <v/>
      </c>
      <c r="G4569" t="str">
        <f t="shared" si="170"/>
        <v/>
      </c>
    </row>
    <row r="4570" spans="2:7" x14ac:dyDescent="0.25">
      <c r="B4570" s="6"/>
      <c r="C4570" s="7"/>
      <c r="D4570" s="7"/>
      <c r="E4570" s="8"/>
      <c r="F4570" t="str">
        <f t="shared" si="169"/>
        <v/>
      </c>
      <c r="G4570" t="str">
        <f t="shared" si="170"/>
        <v/>
      </c>
    </row>
    <row r="4571" spans="2:7" x14ac:dyDescent="0.25">
      <c r="B4571" s="6"/>
      <c r="C4571" s="7"/>
      <c r="D4571" s="7"/>
      <c r="E4571" s="8"/>
      <c r="F4571" t="str">
        <f t="shared" si="169"/>
        <v/>
      </c>
      <c r="G4571" t="str">
        <f t="shared" si="170"/>
        <v/>
      </c>
    </row>
    <row r="4572" spans="2:7" x14ac:dyDescent="0.25">
      <c r="B4572" s="6"/>
      <c r="C4572" s="7"/>
      <c r="D4572" s="7"/>
      <c r="E4572" s="8"/>
      <c r="F4572" t="str">
        <f t="shared" si="169"/>
        <v/>
      </c>
      <c r="G4572" t="str">
        <f t="shared" si="170"/>
        <v/>
      </c>
    </row>
    <row r="4573" spans="2:7" x14ac:dyDescent="0.25">
      <c r="B4573" s="6"/>
      <c r="C4573" s="7"/>
      <c r="D4573" s="7"/>
      <c r="E4573" s="8"/>
      <c r="F4573" t="str">
        <f t="shared" si="169"/>
        <v/>
      </c>
      <c r="G4573" t="str">
        <f t="shared" si="170"/>
        <v/>
      </c>
    </row>
    <row r="4574" spans="2:7" x14ac:dyDescent="0.25">
      <c r="B4574" s="6"/>
      <c r="C4574" s="7"/>
      <c r="D4574" s="7"/>
      <c r="E4574" s="8"/>
      <c r="F4574" t="str">
        <f t="shared" si="169"/>
        <v/>
      </c>
      <c r="G4574" t="str">
        <f t="shared" si="170"/>
        <v/>
      </c>
    </row>
    <row r="4575" spans="2:7" x14ac:dyDescent="0.25">
      <c r="B4575" s="6"/>
      <c r="C4575" s="7"/>
      <c r="D4575" s="7"/>
      <c r="E4575" s="8"/>
      <c r="F4575" t="str">
        <f t="shared" si="169"/>
        <v/>
      </c>
      <c r="G4575" t="str">
        <f t="shared" si="170"/>
        <v/>
      </c>
    </row>
    <row r="4576" spans="2:7" x14ac:dyDescent="0.25">
      <c r="B4576" s="6"/>
      <c r="C4576" s="7"/>
      <c r="D4576" s="7"/>
      <c r="E4576" s="8"/>
      <c r="F4576" t="str">
        <f t="shared" si="169"/>
        <v/>
      </c>
      <c r="G4576" t="str">
        <f t="shared" si="170"/>
        <v/>
      </c>
    </row>
    <row r="4577" spans="2:7" x14ac:dyDescent="0.25">
      <c r="B4577" s="6"/>
      <c r="C4577" s="7"/>
      <c r="D4577" s="7"/>
      <c r="E4577" s="8"/>
      <c r="F4577" t="str">
        <f t="shared" si="169"/>
        <v/>
      </c>
      <c r="G4577" t="str">
        <f t="shared" si="170"/>
        <v/>
      </c>
    </row>
    <row r="4578" spans="2:7" x14ac:dyDescent="0.25">
      <c r="B4578" s="6"/>
      <c r="C4578" s="7"/>
      <c r="D4578" s="7"/>
      <c r="E4578" s="8"/>
      <c r="F4578" t="str">
        <f t="shared" si="169"/>
        <v/>
      </c>
      <c r="G4578" t="str">
        <f t="shared" si="170"/>
        <v/>
      </c>
    </row>
    <row r="4579" spans="2:7" x14ac:dyDescent="0.25">
      <c r="B4579" s="6"/>
      <c r="C4579" s="7"/>
      <c r="D4579" s="7"/>
      <c r="E4579" s="8"/>
      <c r="F4579" t="str">
        <f t="shared" si="169"/>
        <v/>
      </c>
      <c r="G4579" t="str">
        <f t="shared" si="170"/>
        <v/>
      </c>
    </row>
    <row r="4580" spans="2:7" x14ac:dyDescent="0.25">
      <c r="B4580" s="6"/>
      <c r="C4580" s="7"/>
      <c r="D4580" s="7"/>
      <c r="E4580" s="8"/>
      <c r="F4580" t="str">
        <f t="shared" si="169"/>
        <v/>
      </c>
      <c r="G4580" t="str">
        <f t="shared" si="170"/>
        <v/>
      </c>
    </row>
    <row r="4581" spans="2:7" x14ac:dyDescent="0.25">
      <c r="B4581" s="6"/>
      <c r="C4581" s="7"/>
      <c r="D4581" s="7"/>
      <c r="E4581" s="8"/>
      <c r="F4581" t="str">
        <f t="shared" si="169"/>
        <v/>
      </c>
      <c r="G4581" t="str">
        <f t="shared" si="170"/>
        <v/>
      </c>
    </row>
    <row r="4582" spans="2:7" x14ac:dyDescent="0.25">
      <c r="B4582" s="6"/>
      <c r="C4582" s="7"/>
      <c r="D4582" s="7"/>
      <c r="E4582" s="8"/>
      <c r="F4582" t="str">
        <f t="shared" si="169"/>
        <v/>
      </c>
      <c r="G4582" t="str">
        <f t="shared" si="170"/>
        <v/>
      </c>
    </row>
    <row r="4583" spans="2:7" x14ac:dyDescent="0.25">
      <c r="B4583" s="6"/>
      <c r="C4583" s="7"/>
      <c r="D4583" s="7"/>
      <c r="E4583" s="8"/>
      <c r="F4583" t="str">
        <f t="shared" si="169"/>
        <v/>
      </c>
      <c r="G4583" t="str">
        <f t="shared" si="170"/>
        <v/>
      </c>
    </row>
    <row r="4584" spans="2:7" x14ac:dyDescent="0.25">
      <c r="B4584" s="6"/>
      <c r="C4584" s="7"/>
      <c r="D4584" s="7"/>
      <c r="E4584" s="8"/>
      <c r="F4584" t="str">
        <f t="shared" si="169"/>
        <v/>
      </c>
      <c r="G4584" t="str">
        <f t="shared" si="170"/>
        <v/>
      </c>
    </row>
    <row r="4585" spans="2:7" x14ac:dyDescent="0.25">
      <c r="B4585" s="6"/>
      <c r="C4585" s="7"/>
      <c r="D4585" s="7"/>
      <c r="E4585" s="8"/>
      <c r="F4585" t="str">
        <f t="shared" si="169"/>
        <v/>
      </c>
      <c r="G4585" t="str">
        <f t="shared" si="170"/>
        <v/>
      </c>
    </row>
    <row r="4586" spans="2:7" x14ac:dyDescent="0.25">
      <c r="B4586" s="6"/>
      <c r="C4586" s="7"/>
      <c r="D4586" s="7"/>
      <c r="E4586" s="8"/>
      <c r="F4586" t="str">
        <f t="shared" si="169"/>
        <v/>
      </c>
      <c r="G4586" t="str">
        <f t="shared" si="170"/>
        <v/>
      </c>
    </row>
    <row r="4587" spans="2:7" x14ac:dyDescent="0.25">
      <c r="B4587" s="6"/>
      <c r="C4587" s="7"/>
      <c r="D4587" s="7"/>
      <c r="E4587" s="8"/>
      <c r="F4587" t="str">
        <f t="shared" si="169"/>
        <v/>
      </c>
      <c r="G4587" t="str">
        <f t="shared" si="170"/>
        <v/>
      </c>
    </row>
    <row r="4588" spans="2:7" x14ac:dyDescent="0.25">
      <c r="B4588" s="6"/>
      <c r="C4588" s="7"/>
      <c r="D4588" s="7"/>
      <c r="E4588" s="8"/>
      <c r="F4588" t="str">
        <f t="shared" si="169"/>
        <v/>
      </c>
      <c r="G4588" t="str">
        <f t="shared" si="170"/>
        <v/>
      </c>
    </row>
    <row r="4589" spans="2:7" x14ac:dyDescent="0.25">
      <c r="B4589" s="6"/>
      <c r="C4589" s="7"/>
      <c r="D4589" s="7"/>
      <c r="E4589" s="8"/>
      <c r="F4589" t="str">
        <f t="shared" si="169"/>
        <v/>
      </c>
      <c r="G4589" t="str">
        <f t="shared" si="170"/>
        <v/>
      </c>
    </row>
    <row r="4590" spans="2:7" x14ac:dyDescent="0.25">
      <c r="B4590" s="6"/>
      <c r="C4590" s="7"/>
      <c r="D4590" s="7"/>
      <c r="E4590" s="8"/>
      <c r="F4590" t="str">
        <f t="shared" si="169"/>
        <v/>
      </c>
      <c r="G4590" t="str">
        <f t="shared" si="170"/>
        <v/>
      </c>
    </row>
    <row r="4591" spans="2:7" x14ac:dyDescent="0.25">
      <c r="B4591" s="6"/>
      <c r="C4591" s="7"/>
      <c r="D4591" s="7"/>
      <c r="E4591" s="8"/>
      <c r="F4591" t="str">
        <f t="shared" si="169"/>
        <v/>
      </c>
      <c r="G4591" t="str">
        <f t="shared" si="170"/>
        <v/>
      </c>
    </row>
    <row r="4592" spans="2:7" x14ac:dyDescent="0.25">
      <c r="B4592" s="6"/>
      <c r="C4592" s="7"/>
      <c r="D4592" s="7"/>
      <c r="E4592" s="8"/>
      <c r="F4592" t="str">
        <f t="shared" si="169"/>
        <v/>
      </c>
      <c r="G4592" t="str">
        <f t="shared" si="170"/>
        <v/>
      </c>
    </row>
    <row r="4593" spans="2:7" x14ac:dyDescent="0.25">
      <c r="B4593" s="6"/>
      <c r="C4593" s="7"/>
      <c r="D4593" s="7"/>
      <c r="E4593" s="8"/>
      <c r="F4593" t="str">
        <f t="shared" si="169"/>
        <v/>
      </c>
      <c r="G4593" t="str">
        <f t="shared" si="170"/>
        <v/>
      </c>
    </row>
    <row r="4594" spans="2:7" x14ac:dyDescent="0.25">
      <c r="B4594" s="6"/>
      <c r="C4594" s="7"/>
      <c r="D4594" s="7"/>
      <c r="E4594" s="8"/>
      <c r="F4594" t="str">
        <f t="shared" si="169"/>
        <v/>
      </c>
      <c r="G4594" t="str">
        <f t="shared" si="170"/>
        <v/>
      </c>
    </row>
    <row r="4595" spans="2:7" x14ac:dyDescent="0.25">
      <c r="B4595" s="6"/>
      <c r="C4595" s="7"/>
      <c r="D4595" s="7"/>
      <c r="E4595" s="8"/>
      <c r="F4595" t="str">
        <f t="shared" si="169"/>
        <v/>
      </c>
      <c r="G4595" t="str">
        <f t="shared" si="170"/>
        <v/>
      </c>
    </row>
    <row r="4596" spans="2:7" x14ac:dyDescent="0.25">
      <c r="B4596" s="6"/>
      <c r="C4596" s="7"/>
      <c r="D4596" s="7"/>
      <c r="E4596" s="8"/>
      <c r="F4596" t="str">
        <f t="shared" si="169"/>
        <v/>
      </c>
      <c r="G4596" t="str">
        <f t="shared" si="170"/>
        <v/>
      </c>
    </row>
    <row r="4597" spans="2:7" x14ac:dyDescent="0.25">
      <c r="B4597" s="6"/>
      <c r="C4597" s="7"/>
      <c r="D4597" s="7"/>
      <c r="E4597" s="8"/>
      <c r="F4597" t="str">
        <f t="shared" si="169"/>
        <v/>
      </c>
      <c r="G4597" t="str">
        <f t="shared" si="170"/>
        <v/>
      </c>
    </row>
    <row r="4598" spans="2:7" x14ac:dyDescent="0.25">
      <c r="B4598" s="6"/>
      <c r="C4598" s="7"/>
      <c r="D4598" s="7"/>
      <c r="E4598" s="8"/>
      <c r="F4598" t="str">
        <f t="shared" si="169"/>
        <v/>
      </c>
      <c r="G4598" t="str">
        <f t="shared" si="170"/>
        <v/>
      </c>
    </row>
    <row r="4599" spans="2:7" x14ac:dyDescent="0.25">
      <c r="B4599" s="6"/>
      <c r="C4599" s="7"/>
      <c r="D4599" s="7"/>
      <c r="E4599" s="8"/>
      <c r="F4599" t="str">
        <f t="shared" si="169"/>
        <v/>
      </c>
      <c r="G4599" t="str">
        <f t="shared" si="170"/>
        <v/>
      </c>
    </row>
    <row r="4600" spans="2:7" x14ac:dyDescent="0.25">
      <c r="B4600" s="6"/>
      <c r="C4600" s="7"/>
      <c r="D4600" s="7"/>
      <c r="E4600" s="8"/>
      <c r="F4600" t="str">
        <f t="shared" si="169"/>
        <v/>
      </c>
      <c r="G4600" t="str">
        <f t="shared" si="170"/>
        <v/>
      </c>
    </row>
    <row r="4601" spans="2:7" x14ac:dyDescent="0.25">
      <c r="B4601" s="6"/>
      <c r="C4601" s="7"/>
      <c r="D4601" s="7"/>
      <c r="E4601" s="8"/>
      <c r="F4601" t="str">
        <f t="shared" si="169"/>
        <v/>
      </c>
      <c r="G4601" t="str">
        <f t="shared" si="170"/>
        <v/>
      </c>
    </row>
    <row r="4602" spans="2:7" x14ac:dyDescent="0.25">
      <c r="B4602" s="6"/>
      <c r="C4602" s="7"/>
      <c r="D4602" s="7"/>
      <c r="E4602" s="8"/>
      <c r="F4602" t="str">
        <f t="shared" si="169"/>
        <v/>
      </c>
      <c r="G4602" t="str">
        <f t="shared" si="170"/>
        <v/>
      </c>
    </row>
    <row r="4603" spans="2:7" x14ac:dyDescent="0.25">
      <c r="B4603" s="6"/>
      <c r="C4603" s="7"/>
      <c r="D4603" s="7"/>
      <c r="E4603" s="8"/>
      <c r="F4603" t="str">
        <f t="shared" si="169"/>
        <v/>
      </c>
      <c r="G4603" t="str">
        <f t="shared" si="170"/>
        <v/>
      </c>
    </row>
    <row r="4604" spans="2:7" x14ac:dyDescent="0.25">
      <c r="B4604" s="6"/>
      <c r="C4604" s="7"/>
      <c r="D4604" s="7"/>
      <c r="E4604" s="8"/>
      <c r="F4604" t="str">
        <f t="shared" si="169"/>
        <v/>
      </c>
      <c r="G4604" t="str">
        <f t="shared" si="170"/>
        <v/>
      </c>
    </row>
    <row r="4605" spans="2:7" x14ac:dyDescent="0.25">
      <c r="B4605" s="6"/>
      <c r="C4605" s="7"/>
      <c r="D4605" s="7"/>
      <c r="E4605" s="8"/>
      <c r="F4605" t="str">
        <f t="shared" si="169"/>
        <v/>
      </c>
      <c r="G4605" t="str">
        <f t="shared" si="170"/>
        <v/>
      </c>
    </row>
    <row r="4606" spans="2:7" x14ac:dyDescent="0.25">
      <c r="B4606" s="6"/>
      <c r="C4606" s="7"/>
      <c r="D4606" s="7"/>
      <c r="E4606" s="8"/>
      <c r="F4606" t="str">
        <f t="shared" si="169"/>
        <v/>
      </c>
      <c r="G4606" t="str">
        <f t="shared" si="170"/>
        <v/>
      </c>
    </row>
    <row r="4607" spans="2:7" x14ac:dyDescent="0.25">
      <c r="B4607" s="6"/>
      <c r="C4607" s="7"/>
      <c r="D4607" s="7"/>
      <c r="E4607" s="8"/>
      <c r="F4607" t="str">
        <f t="shared" si="169"/>
        <v/>
      </c>
      <c r="G4607" t="str">
        <f t="shared" si="170"/>
        <v/>
      </c>
    </row>
    <row r="4608" spans="2:7" x14ac:dyDescent="0.25">
      <c r="B4608" s="6"/>
      <c r="C4608" s="7"/>
      <c r="D4608" s="7"/>
      <c r="E4608" s="8"/>
      <c r="F4608" t="str">
        <f t="shared" si="169"/>
        <v/>
      </c>
      <c r="G4608" t="str">
        <f t="shared" si="170"/>
        <v/>
      </c>
    </row>
    <row r="4609" spans="2:7" x14ac:dyDescent="0.25">
      <c r="B4609" s="6"/>
      <c r="C4609" s="7"/>
      <c r="D4609" s="7"/>
      <c r="E4609" s="8"/>
      <c r="F4609" t="str">
        <f t="shared" si="169"/>
        <v/>
      </c>
      <c r="G4609" t="str">
        <f t="shared" si="170"/>
        <v/>
      </c>
    </row>
    <row r="4610" spans="2:7" x14ac:dyDescent="0.25">
      <c r="B4610" s="6"/>
      <c r="C4610" s="7"/>
      <c r="D4610" s="7"/>
      <c r="E4610" s="8"/>
      <c r="F4610" t="str">
        <f t="shared" si="169"/>
        <v/>
      </c>
      <c r="G4610" t="str">
        <f t="shared" si="170"/>
        <v/>
      </c>
    </row>
    <row r="4611" spans="2:7" x14ac:dyDescent="0.25">
      <c r="B4611" s="6"/>
      <c r="C4611" s="7"/>
      <c r="D4611" s="7"/>
      <c r="E4611" s="8"/>
      <c r="F4611" t="str">
        <f t="shared" si="169"/>
        <v/>
      </c>
      <c r="G4611" t="str">
        <f t="shared" si="170"/>
        <v/>
      </c>
    </row>
    <row r="4612" spans="2:7" x14ac:dyDescent="0.25">
      <c r="B4612" s="6"/>
      <c r="C4612" s="7"/>
      <c r="D4612" s="7"/>
      <c r="E4612" s="8"/>
      <c r="F4612" t="str">
        <f t="shared" ref="F4612:F4675" si="171">IF(B4612="","",LOG10(D4612))</f>
        <v/>
      </c>
      <c r="G4612" t="str">
        <f t="shared" ref="G4612:G4675" si="172">IF(E4612="", "",0.434*E4612/D4612)</f>
        <v/>
      </c>
    </row>
    <row r="4613" spans="2:7" x14ac:dyDescent="0.25">
      <c r="B4613" s="6"/>
      <c r="C4613" s="7"/>
      <c r="D4613" s="7"/>
      <c r="E4613" s="8"/>
      <c r="F4613" t="str">
        <f t="shared" si="171"/>
        <v/>
      </c>
      <c r="G4613" t="str">
        <f t="shared" si="172"/>
        <v/>
      </c>
    </row>
    <row r="4614" spans="2:7" x14ac:dyDescent="0.25">
      <c r="B4614" s="6"/>
      <c r="C4614" s="7"/>
      <c r="D4614" s="7"/>
      <c r="E4614" s="8"/>
      <c r="F4614" t="str">
        <f t="shared" si="171"/>
        <v/>
      </c>
      <c r="G4614" t="str">
        <f t="shared" si="172"/>
        <v/>
      </c>
    </row>
    <row r="4615" spans="2:7" x14ac:dyDescent="0.25">
      <c r="B4615" s="6"/>
      <c r="C4615" s="7"/>
      <c r="D4615" s="7"/>
      <c r="E4615" s="8"/>
      <c r="F4615" t="str">
        <f t="shared" si="171"/>
        <v/>
      </c>
      <c r="G4615" t="str">
        <f t="shared" si="172"/>
        <v/>
      </c>
    </row>
    <row r="4616" spans="2:7" x14ac:dyDescent="0.25">
      <c r="B4616" s="6"/>
      <c r="C4616" s="7"/>
      <c r="D4616" s="7"/>
      <c r="E4616" s="8"/>
      <c r="F4616" t="str">
        <f t="shared" si="171"/>
        <v/>
      </c>
      <c r="G4616" t="str">
        <f t="shared" si="172"/>
        <v/>
      </c>
    </row>
    <row r="4617" spans="2:7" x14ac:dyDescent="0.25">
      <c r="B4617" s="6"/>
      <c r="C4617" s="7"/>
      <c r="D4617" s="7"/>
      <c r="E4617" s="8"/>
      <c r="F4617" t="str">
        <f t="shared" si="171"/>
        <v/>
      </c>
      <c r="G4617" t="str">
        <f t="shared" si="172"/>
        <v/>
      </c>
    </row>
    <row r="4618" spans="2:7" x14ac:dyDescent="0.25">
      <c r="B4618" s="6"/>
      <c r="C4618" s="7"/>
      <c r="D4618" s="7"/>
      <c r="E4618" s="8"/>
      <c r="F4618" t="str">
        <f t="shared" si="171"/>
        <v/>
      </c>
      <c r="G4618" t="str">
        <f t="shared" si="172"/>
        <v/>
      </c>
    </row>
    <row r="4619" spans="2:7" x14ac:dyDescent="0.25">
      <c r="B4619" s="6"/>
      <c r="C4619" s="7"/>
      <c r="D4619" s="7"/>
      <c r="E4619" s="8"/>
      <c r="F4619" t="str">
        <f t="shared" si="171"/>
        <v/>
      </c>
      <c r="G4619" t="str">
        <f t="shared" si="172"/>
        <v/>
      </c>
    </row>
    <row r="4620" spans="2:7" x14ac:dyDescent="0.25">
      <c r="B4620" s="6"/>
      <c r="C4620" s="7"/>
      <c r="D4620" s="7"/>
      <c r="E4620" s="8"/>
      <c r="F4620" t="str">
        <f t="shared" si="171"/>
        <v/>
      </c>
      <c r="G4620" t="str">
        <f t="shared" si="172"/>
        <v/>
      </c>
    </row>
    <row r="4621" spans="2:7" x14ac:dyDescent="0.25">
      <c r="B4621" s="6"/>
      <c r="C4621" s="7"/>
      <c r="D4621" s="7"/>
      <c r="E4621" s="8"/>
      <c r="F4621" t="str">
        <f t="shared" si="171"/>
        <v/>
      </c>
      <c r="G4621" t="str">
        <f t="shared" si="172"/>
        <v/>
      </c>
    </row>
    <row r="4622" spans="2:7" x14ac:dyDescent="0.25">
      <c r="B4622" s="6"/>
      <c r="C4622" s="7"/>
      <c r="D4622" s="7"/>
      <c r="E4622" s="8"/>
      <c r="F4622" t="str">
        <f t="shared" si="171"/>
        <v/>
      </c>
      <c r="G4622" t="str">
        <f t="shared" si="172"/>
        <v/>
      </c>
    </row>
    <row r="4623" spans="2:7" x14ac:dyDescent="0.25">
      <c r="B4623" s="6"/>
      <c r="C4623" s="7"/>
      <c r="D4623" s="7"/>
      <c r="E4623" s="8"/>
      <c r="F4623" t="str">
        <f t="shared" si="171"/>
        <v/>
      </c>
      <c r="G4623" t="str">
        <f t="shared" si="172"/>
        <v/>
      </c>
    </row>
    <row r="4624" spans="2:7" x14ac:dyDescent="0.25">
      <c r="B4624" s="6"/>
      <c r="C4624" s="7"/>
      <c r="D4624" s="7"/>
      <c r="E4624" s="8"/>
      <c r="F4624" t="str">
        <f t="shared" si="171"/>
        <v/>
      </c>
      <c r="G4624" t="str">
        <f t="shared" si="172"/>
        <v/>
      </c>
    </row>
    <row r="4625" spans="2:7" x14ac:dyDescent="0.25">
      <c r="B4625" s="6"/>
      <c r="C4625" s="7"/>
      <c r="D4625" s="7"/>
      <c r="E4625" s="8"/>
      <c r="F4625" t="str">
        <f t="shared" si="171"/>
        <v/>
      </c>
      <c r="G4625" t="str">
        <f t="shared" si="172"/>
        <v/>
      </c>
    </row>
    <row r="4626" spans="2:7" x14ac:dyDescent="0.25">
      <c r="B4626" s="6"/>
      <c r="C4626" s="7"/>
      <c r="D4626" s="7"/>
      <c r="E4626" s="8"/>
      <c r="F4626" t="str">
        <f t="shared" si="171"/>
        <v/>
      </c>
      <c r="G4626" t="str">
        <f t="shared" si="172"/>
        <v/>
      </c>
    </row>
    <row r="4627" spans="2:7" x14ac:dyDescent="0.25">
      <c r="B4627" s="6"/>
      <c r="C4627" s="7"/>
      <c r="D4627" s="7"/>
      <c r="E4627" s="8"/>
      <c r="F4627" t="str">
        <f t="shared" si="171"/>
        <v/>
      </c>
      <c r="G4627" t="str">
        <f t="shared" si="172"/>
        <v/>
      </c>
    </row>
    <row r="4628" spans="2:7" x14ac:dyDescent="0.25">
      <c r="B4628" s="6"/>
      <c r="C4628" s="7"/>
      <c r="D4628" s="7"/>
      <c r="E4628" s="8"/>
      <c r="F4628" t="str">
        <f t="shared" si="171"/>
        <v/>
      </c>
      <c r="G4628" t="str">
        <f t="shared" si="172"/>
        <v/>
      </c>
    </row>
    <row r="4629" spans="2:7" x14ac:dyDescent="0.25">
      <c r="B4629" s="6"/>
      <c r="C4629" s="7"/>
      <c r="D4629" s="7"/>
      <c r="E4629" s="8"/>
      <c r="F4629" t="str">
        <f t="shared" si="171"/>
        <v/>
      </c>
      <c r="G4629" t="str">
        <f t="shared" si="172"/>
        <v/>
      </c>
    </row>
    <row r="4630" spans="2:7" x14ac:dyDescent="0.25">
      <c r="B4630" s="6"/>
      <c r="C4630" s="7"/>
      <c r="D4630" s="7"/>
      <c r="E4630" s="8"/>
      <c r="F4630" t="str">
        <f t="shared" si="171"/>
        <v/>
      </c>
      <c r="G4630" t="str">
        <f t="shared" si="172"/>
        <v/>
      </c>
    </row>
    <row r="4631" spans="2:7" x14ac:dyDescent="0.25">
      <c r="B4631" s="6"/>
      <c r="C4631" s="7"/>
      <c r="D4631" s="7"/>
      <c r="E4631" s="8"/>
      <c r="F4631" t="str">
        <f t="shared" si="171"/>
        <v/>
      </c>
      <c r="G4631" t="str">
        <f t="shared" si="172"/>
        <v/>
      </c>
    </row>
    <row r="4632" spans="2:7" x14ac:dyDescent="0.25">
      <c r="B4632" s="6"/>
      <c r="C4632" s="7"/>
      <c r="D4632" s="7"/>
      <c r="E4632" s="8"/>
      <c r="F4632" t="str">
        <f t="shared" si="171"/>
        <v/>
      </c>
      <c r="G4632" t="str">
        <f t="shared" si="172"/>
        <v/>
      </c>
    </row>
    <row r="4633" spans="2:7" x14ac:dyDescent="0.25">
      <c r="B4633" s="6"/>
      <c r="C4633" s="7"/>
      <c r="D4633" s="7"/>
      <c r="E4633" s="8"/>
      <c r="F4633" t="str">
        <f t="shared" si="171"/>
        <v/>
      </c>
      <c r="G4633" t="str">
        <f t="shared" si="172"/>
        <v/>
      </c>
    </row>
    <row r="4634" spans="2:7" x14ac:dyDescent="0.25">
      <c r="B4634" s="6"/>
      <c r="C4634" s="7"/>
      <c r="D4634" s="7"/>
      <c r="E4634" s="8"/>
      <c r="F4634" t="str">
        <f t="shared" si="171"/>
        <v/>
      </c>
      <c r="G4634" t="str">
        <f t="shared" si="172"/>
        <v/>
      </c>
    </row>
    <row r="4635" spans="2:7" x14ac:dyDescent="0.25">
      <c r="B4635" s="6"/>
      <c r="C4635" s="7"/>
      <c r="D4635" s="7"/>
      <c r="E4635" s="8"/>
      <c r="F4635" t="str">
        <f t="shared" si="171"/>
        <v/>
      </c>
      <c r="G4635" t="str">
        <f t="shared" si="172"/>
        <v/>
      </c>
    </row>
    <row r="4636" spans="2:7" x14ac:dyDescent="0.25">
      <c r="B4636" s="6"/>
      <c r="C4636" s="7"/>
      <c r="D4636" s="7"/>
      <c r="E4636" s="8"/>
      <c r="F4636" t="str">
        <f t="shared" si="171"/>
        <v/>
      </c>
      <c r="G4636" t="str">
        <f t="shared" si="172"/>
        <v/>
      </c>
    </row>
    <row r="4637" spans="2:7" x14ac:dyDescent="0.25">
      <c r="B4637" s="6"/>
      <c r="C4637" s="7"/>
      <c r="D4637" s="7"/>
      <c r="E4637" s="8"/>
      <c r="F4637" t="str">
        <f t="shared" si="171"/>
        <v/>
      </c>
      <c r="G4637" t="str">
        <f t="shared" si="172"/>
        <v/>
      </c>
    </row>
    <row r="4638" spans="2:7" x14ac:dyDescent="0.25">
      <c r="B4638" s="6"/>
      <c r="C4638" s="7"/>
      <c r="D4638" s="7"/>
      <c r="E4638" s="8"/>
      <c r="F4638" t="str">
        <f t="shared" si="171"/>
        <v/>
      </c>
      <c r="G4638" t="str">
        <f t="shared" si="172"/>
        <v/>
      </c>
    </row>
    <row r="4639" spans="2:7" x14ac:dyDescent="0.25">
      <c r="B4639" s="6"/>
      <c r="C4639" s="7"/>
      <c r="D4639" s="7"/>
      <c r="E4639" s="8"/>
      <c r="F4639" t="str">
        <f t="shared" si="171"/>
        <v/>
      </c>
      <c r="G4639" t="str">
        <f t="shared" si="172"/>
        <v/>
      </c>
    </row>
    <row r="4640" spans="2:7" x14ac:dyDescent="0.25">
      <c r="B4640" s="6"/>
      <c r="C4640" s="7"/>
      <c r="D4640" s="7"/>
      <c r="E4640" s="8"/>
      <c r="F4640" t="str">
        <f t="shared" si="171"/>
        <v/>
      </c>
      <c r="G4640" t="str">
        <f t="shared" si="172"/>
        <v/>
      </c>
    </row>
    <row r="4641" spans="2:7" x14ac:dyDescent="0.25">
      <c r="B4641" s="6"/>
      <c r="C4641" s="7"/>
      <c r="D4641" s="7"/>
      <c r="E4641" s="8"/>
      <c r="F4641" t="str">
        <f t="shared" si="171"/>
        <v/>
      </c>
      <c r="G4641" t="str">
        <f t="shared" si="172"/>
        <v/>
      </c>
    </row>
    <row r="4642" spans="2:7" x14ac:dyDescent="0.25">
      <c r="B4642" s="6"/>
      <c r="C4642" s="7"/>
      <c r="D4642" s="7"/>
      <c r="E4642" s="8"/>
      <c r="F4642" t="str">
        <f t="shared" si="171"/>
        <v/>
      </c>
      <c r="G4642" t="str">
        <f t="shared" si="172"/>
        <v/>
      </c>
    </row>
    <row r="4643" spans="2:7" x14ac:dyDescent="0.25">
      <c r="B4643" s="6"/>
      <c r="C4643" s="7"/>
      <c r="D4643" s="7"/>
      <c r="E4643" s="8"/>
      <c r="F4643" t="str">
        <f t="shared" si="171"/>
        <v/>
      </c>
      <c r="G4643" t="str">
        <f t="shared" si="172"/>
        <v/>
      </c>
    </row>
    <row r="4644" spans="2:7" x14ac:dyDescent="0.25">
      <c r="B4644" s="6"/>
      <c r="C4644" s="7"/>
      <c r="D4644" s="7"/>
      <c r="E4644" s="8"/>
      <c r="F4644" t="str">
        <f t="shared" si="171"/>
        <v/>
      </c>
      <c r="G4644" t="str">
        <f t="shared" si="172"/>
        <v/>
      </c>
    </row>
    <row r="4645" spans="2:7" x14ac:dyDescent="0.25">
      <c r="B4645" s="6"/>
      <c r="C4645" s="7"/>
      <c r="D4645" s="7"/>
      <c r="E4645" s="8"/>
      <c r="F4645" t="str">
        <f t="shared" si="171"/>
        <v/>
      </c>
      <c r="G4645" t="str">
        <f t="shared" si="172"/>
        <v/>
      </c>
    </row>
    <row r="4646" spans="2:7" x14ac:dyDescent="0.25">
      <c r="B4646" s="6"/>
      <c r="C4646" s="7"/>
      <c r="D4646" s="7"/>
      <c r="E4646" s="8"/>
      <c r="F4646" t="str">
        <f t="shared" si="171"/>
        <v/>
      </c>
      <c r="G4646" t="str">
        <f t="shared" si="172"/>
        <v/>
      </c>
    </row>
    <row r="4647" spans="2:7" x14ac:dyDescent="0.25">
      <c r="B4647" s="6"/>
      <c r="C4647" s="7"/>
      <c r="D4647" s="7"/>
      <c r="E4647" s="8"/>
      <c r="F4647" t="str">
        <f t="shared" si="171"/>
        <v/>
      </c>
      <c r="G4647" t="str">
        <f t="shared" si="172"/>
        <v/>
      </c>
    </row>
    <row r="4648" spans="2:7" x14ac:dyDescent="0.25">
      <c r="B4648" s="6"/>
      <c r="C4648" s="7"/>
      <c r="D4648" s="7"/>
      <c r="E4648" s="8"/>
      <c r="F4648" t="str">
        <f t="shared" si="171"/>
        <v/>
      </c>
      <c r="G4648" t="str">
        <f t="shared" si="172"/>
        <v/>
      </c>
    </row>
    <row r="4649" spans="2:7" x14ac:dyDescent="0.25">
      <c r="B4649" s="6"/>
      <c r="C4649" s="7"/>
      <c r="D4649" s="7"/>
      <c r="E4649" s="8"/>
      <c r="F4649" t="str">
        <f t="shared" si="171"/>
        <v/>
      </c>
      <c r="G4649" t="str">
        <f t="shared" si="172"/>
        <v/>
      </c>
    </row>
    <row r="4650" spans="2:7" x14ac:dyDescent="0.25">
      <c r="B4650" s="6"/>
      <c r="C4650" s="7"/>
      <c r="D4650" s="7"/>
      <c r="E4650" s="8"/>
      <c r="F4650" t="str">
        <f t="shared" si="171"/>
        <v/>
      </c>
      <c r="G4650" t="str">
        <f t="shared" si="172"/>
        <v/>
      </c>
    </row>
    <row r="4651" spans="2:7" x14ac:dyDescent="0.25">
      <c r="B4651" s="6"/>
      <c r="C4651" s="7"/>
      <c r="D4651" s="7"/>
      <c r="E4651" s="8"/>
      <c r="F4651" t="str">
        <f t="shared" si="171"/>
        <v/>
      </c>
      <c r="G4651" t="str">
        <f t="shared" si="172"/>
        <v/>
      </c>
    </row>
    <row r="4652" spans="2:7" x14ac:dyDescent="0.25">
      <c r="B4652" s="6"/>
      <c r="C4652" s="7"/>
      <c r="D4652" s="7"/>
      <c r="E4652" s="8"/>
      <c r="F4652" t="str">
        <f t="shared" si="171"/>
        <v/>
      </c>
      <c r="G4652" t="str">
        <f t="shared" si="172"/>
        <v/>
      </c>
    </row>
    <row r="4653" spans="2:7" x14ac:dyDescent="0.25">
      <c r="B4653" s="6"/>
      <c r="C4653" s="7"/>
      <c r="D4653" s="7"/>
      <c r="E4653" s="8"/>
      <c r="F4653" t="str">
        <f t="shared" si="171"/>
        <v/>
      </c>
      <c r="G4653" t="str">
        <f t="shared" si="172"/>
        <v/>
      </c>
    </row>
    <row r="4654" spans="2:7" x14ac:dyDescent="0.25">
      <c r="B4654" s="6"/>
      <c r="C4654" s="7"/>
      <c r="D4654" s="7"/>
      <c r="E4654" s="8"/>
      <c r="F4654" t="str">
        <f t="shared" si="171"/>
        <v/>
      </c>
      <c r="G4654" t="str">
        <f t="shared" si="172"/>
        <v/>
      </c>
    </row>
    <row r="4655" spans="2:7" x14ac:dyDescent="0.25">
      <c r="B4655" s="6"/>
      <c r="C4655" s="7"/>
      <c r="D4655" s="7"/>
      <c r="E4655" s="8"/>
      <c r="F4655" t="str">
        <f t="shared" si="171"/>
        <v/>
      </c>
      <c r="G4655" t="str">
        <f t="shared" si="172"/>
        <v/>
      </c>
    </row>
    <row r="4656" spans="2:7" x14ac:dyDescent="0.25">
      <c r="B4656" s="6"/>
      <c r="C4656" s="7"/>
      <c r="D4656" s="7"/>
      <c r="E4656" s="8"/>
      <c r="F4656" t="str">
        <f t="shared" si="171"/>
        <v/>
      </c>
      <c r="G4656" t="str">
        <f t="shared" si="172"/>
        <v/>
      </c>
    </row>
    <row r="4657" spans="2:7" x14ac:dyDescent="0.25">
      <c r="B4657" s="6"/>
      <c r="C4657" s="7"/>
      <c r="D4657" s="7"/>
      <c r="E4657" s="8"/>
      <c r="F4657" t="str">
        <f t="shared" si="171"/>
        <v/>
      </c>
      <c r="G4657" t="str">
        <f t="shared" si="172"/>
        <v/>
      </c>
    </row>
    <row r="4658" spans="2:7" x14ac:dyDescent="0.25">
      <c r="B4658" s="6"/>
      <c r="C4658" s="7"/>
      <c r="D4658" s="7"/>
      <c r="E4658" s="8"/>
      <c r="F4658" t="str">
        <f t="shared" si="171"/>
        <v/>
      </c>
      <c r="G4658" t="str">
        <f t="shared" si="172"/>
        <v/>
      </c>
    </row>
    <row r="4659" spans="2:7" x14ac:dyDescent="0.25">
      <c r="B4659" s="6"/>
      <c r="C4659" s="7"/>
      <c r="D4659" s="7"/>
      <c r="E4659" s="8"/>
      <c r="F4659" t="str">
        <f t="shared" si="171"/>
        <v/>
      </c>
      <c r="G4659" t="str">
        <f t="shared" si="172"/>
        <v/>
      </c>
    </row>
    <row r="4660" spans="2:7" x14ac:dyDescent="0.25">
      <c r="B4660" s="6"/>
      <c r="C4660" s="7"/>
      <c r="D4660" s="7"/>
      <c r="E4660" s="8"/>
      <c r="F4660" t="str">
        <f t="shared" si="171"/>
        <v/>
      </c>
      <c r="G4660" t="str">
        <f t="shared" si="172"/>
        <v/>
      </c>
    </row>
    <row r="4661" spans="2:7" x14ac:dyDescent="0.25">
      <c r="B4661" s="6"/>
      <c r="C4661" s="7"/>
      <c r="D4661" s="7"/>
      <c r="E4661" s="8"/>
      <c r="F4661" t="str">
        <f t="shared" si="171"/>
        <v/>
      </c>
      <c r="G4661" t="str">
        <f t="shared" si="172"/>
        <v/>
      </c>
    </row>
    <row r="4662" spans="2:7" x14ac:dyDescent="0.25">
      <c r="B4662" s="6"/>
      <c r="C4662" s="7"/>
      <c r="D4662" s="7"/>
      <c r="E4662" s="8"/>
      <c r="F4662" t="str">
        <f t="shared" si="171"/>
        <v/>
      </c>
      <c r="G4662" t="str">
        <f t="shared" si="172"/>
        <v/>
      </c>
    </row>
    <row r="4663" spans="2:7" x14ac:dyDescent="0.25">
      <c r="B4663" s="6"/>
      <c r="C4663" s="7"/>
      <c r="D4663" s="7"/>
      <c r="E4663" s="8"/>
      <c r="F4663" t="str">
        <f t="shared" si="171"/>
        <v/>
      </c>
      <c r="G4663" t="str">
        <f t="shared" si="172"/>
        <v/>
      </c>
    </row>
    <row r="4664" spans="2:7" x14ac:dyDescent="0.25">
      <c r="B4664" s="6"/>
      <c r="C4664" s="7"/>
      <c r="D4664" s="7"/>
      <c r="E4664" s="8"/>
      <c r="F4664" t="str">
        <f t="shared" si="171"/>
        <v/>
      </c>
      <c r="G4664" t="str">
        <f t="shared" si="172"/>
        <v/>
      </c>
    </row>
    <row r="4665" spans="2:7" x14ac:dyDescent="0.25">
      <c r="B4665" s="6"/>
      <c r="C4665" s="7"/>
      <c r="D4665" s="7"/>
      <c r="E4665" s="8"/>
      <c r="F4665" t="str">
        <f t="shared" si="171"/>
        <v/>
      </c>
      <c r="G4665" t="str">
        <f t="shared" si="172"/>
        <v/>
      </c>
    </row>
    <row r="4666" spans="2:7" x14ac:dyDescent="0.25">
      <c r="B4666" s="6"/>
      <c r="C4666" s="7"/>
      <c r="D4666" s="7"/>
      <c r="E4666" s="8"/>
      <c r="F4666" t="str">
        <f t="shared" si="171"/>
        <v/>
      </c>
      <c r="G4666" t="str">
        <f t="shared" si="172"/>
        <v/>
      </c>
    </row>
    <row r="4667" spans="2:7" x14ac:dyDescent="0.25">
      <c r="B4667" s="6"/>
      <c r="C4667" s="7"/>
      <c r="D4667" s="7"/>
      <c r="E4667" s="8"/>
      <c r="F4667" t="str">
        <f t="shared" si="171"/>
        <v/>
      </c>
      <c r="G4667" t="str">
        <f t="shared" si="172"/>
        <v/>
      </c>
    </row>
    <row r="4668" spans="2:7" x14ac:dyDescent="0.25">
      <c r="B4668" s="6"/>
      <c r="C4668" s="7"/>
      <c r="D4668" s="7"/>
      <c r="E4668" s="8"/>
      <c r="F4668" t="str">
        <f t="shared" si="171"/>
        <v/>
      </c>
      <c r="G4668" t="str">
        <f t="shared" si="172"/>
        <v/>
      </c>
    </row>
    <row r="4669" spans="2:7" x14ac:dyDescent="0.25">
      <c r="B4669" s="6"/>
      <c r="C4669" s="7"/>
      <c r="D4669" s="7"/>
      <c r="E4669" s="8"/>
      <c r="F4669" t="str">
        <f t="shared" si="171"/>
        <v/>
      </c>
      <c r="G4669" t="str">
        <f t="shared" si="172"/>
        <v/>
      </c>
    </row>
    <row r="4670" spans="2:7" x14ac:dyDescent="0.25">
      <c r="B4670" s="6"/>
      <c r="C4670" s="7"/>
      <c r="D4670" s="7"/>
      <c r="E4670" s="8"/>
      <c r="F4670" t="str">
        <f t="shared" si="171"/>
        <v/>
      </c>
      <c r="G4670" t="str">
        <f t="shared" si="172"/>
        <v/>
      </c>
    </row>
    <row r="4671" spans="2:7" x14ac:dyDescent="0.25">
      <c r="B4671" s="6"/>
      <c r="C4671" s="7"/>
      <c r="D4671" s="7"/>
      <c r="E4671" s="8"/>
      <c r="F4671" t="str">
        <f t="shared" si="171"/>
        <v/>
      </c>
      <c r="G4671" t="str">
        <f t="shared" si="172"/>
        <v/>
      </c>
    </row>
    <row r="4672" spans="2:7" x14ac:dyDescent="0.25">
      <c r="B4672" s="6"/>
      <c r="C4672" s="7"/>
      <c r="D4672" s="7"/>
      <c r="E4672" s="8"/>
      <c r="F4672" t="str">
        <f t="shared" si="171"/>
        <v/>
      </c>
      <c r="G4672" t="str">
        <f t="shared" si="172"/>
        <v/>
      </c>
    </row>
    <row r="4673" spans="2:7" x14ac:dyDescent="0.25">
      <c r="B4673" s="6"/>
      <c r="C4673" s="7"/>
      <c r="D4673" s="7"/>
      <c r="E4673" s="8"/>
      <c r="F4673" t="str">
        <f t="shared" si="171"/>
        <v/>
      </c>
      <c r="G4673" t="str">
        <f t="shared" si="172"/>
        <v/>
      </c>
    </row>
    <row r="4674" spans="2:7" x14ac:dyDescent="0.25">
      <c r="B4674" s="6"/>
      <c r="C4674" s="7"/>
      <c r="D4674" s="7"/>
      <c r="E4674" s="8"/>
      <c r="F4674" t="str">
        <f t="shared" si="171"/>
        <v/>
      </c>
      <c r="G4674" t="str">
        <f t="shared" si="172"/>
        <v/>
      </c>
    </row>
    <row r="4675" spans="2:7" x14ac:dyDescent="0.25">
      <c r="B4675" s="6"/>
      <c r="C4675" s="7"/>
      <c r="D4675" s="7"/>
      <c r="E4675" s="8"/>
      <c r="F4675" t="str">
        <f t="shared" si="171"/>
        <v/>
      </c>
      <c r="G4675" t="str">
        <f t="shared" si="172"/>
        <v/>
      </c>
    </row>
    <row r="4676" spans="2:7" x14ac:dyDescent="0.25">
      <c r="B4676" s="6"/>
      <c r="C4676" s="7"/>
      <c r="D4676" s="7"/>
      <c r="E4676" s="8"/>
      <c r="F4676" t="str">
        <f t="shared" ref="F4676:F4739" si="173">IF(B4676="","",LOG10(D4676))</f>
        <v/>
      </c>
      <c r="G4676" t="str">
        <f t="shared" ref="G4676:G4739" si="174">IF(E4676="", "",0.434*E4676/D4676)</f>
        <v/>
      </c>
    </row>
    <row r="4677" spans="2:7" x14ac:dyDescent="0.25">
      <c r="B4677" s="6"/>
      <c r="C4677" s="7"/>
      <c r="D4677" s="7"/>
      <c r="E4677" s="8"/>
      <c r="F4677" t="str">
        <f t="shared" si="173"/>
        <v/>
      </c>
      <c r="G4677" t="str">
        <f t="shared" si="174"/>
        <v/>
      </c>
    </row>
    <row r="4678" spans="2:7" x14ac:dyDescent="0.25">
      <c r="B4678" s="6"/>
      <c r="C4678" s="7"/>
      <c r="D4678" s="7"/>
      <c r="E4678" s="8"/>
      <c r="F4678" t="str">
        <f t="shared" si="173"/>
        <v/>
      </c>
      <c r="G4678" t="str">
        <f t="shared" si="174"/>
        <v/>
      </c>
    </row>
    <row r="4679" spans="2:7" x14ac:dyDescent="0.25">
      <c r="B4679" s="6"/>
      <c r="C4679" s="7"/>
      <c r="D4679" s="7"/>
      <c r="E4679" s="8"/>
      <c r="F4679" t="str">
        <f t="shared" si="173"/>
        <v/>
      </c>
      <c r="G4679" t="str">
        <f t="shared" si="174"/>
        <v/>
      </c>
    </row>
    <row r="4680" spans="2:7" x14ac:dyDescent="0.25">
      <c r="B4680" s="6"/>
      <c r="C4680" s="7"/>
      <c r="D4680" s="7"/>
      <c r="E4680" s="8"/>
      <c r="F4680" t="str">
        <f t="shared" si="173"/>
        <v/>
      </c>
      <c r="G4680" t="str">
        <f t="shared" si="174"/>
        <v/>
      </c>
    </row>
    <row r="4681" spans="2:7" x14ac:dyDescent="0.25">
      <c r="B4681" s="6"/>
      <c r="C4681" s="7"/>
      <c r="D4681" s="7"/>
      <c r="E4681" s="8"/>
      <c r="F4681" t="str">
        <f t="shared" si="173"/>
        <v/>
      </c>
      <c r="G4681" t="str">
        <f t="shared" si="174"/>
        <v/>
      </c>
    </row>
    <row r="4682" spans="2:7" x14ac:dyDescent="0.25">
      <c r="B4682" s="6"/>
      <c r="C4682" s="7"/>
      <c r="D4682" s="7"/>
      <c r="E4682" s="8"/>
      <c r="F4682" t="str">
        <f t="shared" si="173"/>
        <v/>
      </c>
      <c r="G4682" t="str">
        <f t="shared" si="174"/>
        <v/>
      </c>
    </row>
    <row r="4683" spans="2:7" x14ac:dyDescent="0.25">
      <c r="B4683" s="6"/>
      <c r="C4683" s="7"/>
      <c r="D4683" s="7"/>
      <c r="E4683" s="8"/>
      <c r="F4683" t="str">
        <f t="shared" si="173"/>
        <v/>
      </c>
      <c r="G4683" t="str">
        <f t="shared" si="174"/>
        <v/>
      </c>
    </row>
    <row r="4684" spans="2:7" x14ac:dyDescent="0.25">
      <c r="B4684" s="6"/>
      <c r="C4684" s="7"/>
      <c r="D4684" s="7"/>
      <c r="E4684" s="8"/>
      <c r="F4684" t="str">
        <f t="shared" si="173"/>
        <v/>
      </c>
      <c r="G4684" t="str">
        <f t="shared" si="174"/>
        <v/>
      </c>
    </row>
    <row r="4685" spans="2:7" x14ac:dyDescent="0.25">
      <c r="B4685" s="6"/>
      <c r="C4685" s="7"/>
      <c r="D4685" s="7"/>
      <c r="E4685" s="8"/>
      <c r="F4685" t="str">
        <f t="shared" si="173"/>
        <v/>
      </c>
      <c r="G4685" t="str">
        <f t="shared" si="174"/>
        <v/>
      </c>
    </row>
    <row r="4686" spans="2:7" x14ac:dyDescent="0.25">
      <c r="B4686" s="6"/>
      <c r="C4686" s="7"/>
      <c r="D4686" s="7"/>
      <c r="E4686" s="8"/>
      <c r="F4686" t="str">
        <f t="shared" si="173"/>
        <v/>
      </c>
      <c r="G4686" t="str">
        <f t="shared" si="174"/>
        <v/>
      </c>
    </row>
    <row r="4687" spans="2:7" x14ac:dyDescent="0.25">
      <c r="B4687" s="6"/>
      <c r="C4687" s="7"/>
      <c r="D4687" s="7"/>
      <c r="E4687" s="8"/>
      <c r="F4687" t="str">
        <f t="shared" si="173"/>
        <v/>
      </c>
      <c r="G4687" t="str">
        <f t="shared" si="174"/>
        <v/>
      </c>
    </row>
    <row r="4688" spans="2:7" x14ac:dyDescent="0.25">
      <c r="B4688" s="6"/>
      <c r="C4688" s="7"/>
      <c r="D4688" s="7"/>
      <c r="E4688" s="8"/>
      <c r="F4688" t="str">
        <f t="shared" si="173"/>
        <v/>
      </c>
      <c r="G4688" t="str">
        <f t="shared" si="174"/>
        <v/>
      </c>
    </row>
    <row r="4689" spans="2:7" x14ac:dyDescent="0.25">
      <c r="B4689" s="6"/>
      <c r="C4689" s="7"/>
      <c r="D4689" s="7"/>
      <c r="E4689" s="8"/>
      <c r="F4689" t="str">
        <f t="shared" si="173"/>
        <v/>
      </c>
      <c r="G4689" t="str">
        <f t="shared" si="174"/>
        <v/>
      </c>
    </row>
    <row r="4690" spans="2:7" x14ac:dyDescent="0.25">
      <c r="B4690" s="6"/>
      <c r="C4690" s="7"/>
      <c r="D4690" s="7"/>
      <c r="E4690" s="8"/>
      <c r="F4690" t="str">
        <f t="shared" si="173"/>
        <v/>
      </c>
      <c r="G4690" t="str">
        <f t="shared" si="174"/>
        <v/>
      </c>
    </row>
    <row r="4691" spans="2:7" x14ac:dyDescent="0.25">
      <c r="B4691" s="6"/>
      <c r="C4691" s="7"/>
      <c r="D4691" s="7"/>
      <c r="E4691" s="8"/>
      <c r="F4691" t="str">
        <f t="shared" si="173"/>
        <v/>
      </c>
      <c r="G4691" t="str">
        <f t="shared" si="174"/>
        <v/>
      </c>
    </row>
    <row r="4692" spans="2:7" x14ac:dyDescent="0.25">
      <c r="B4692" s="6"/>
      <c r="C4692" s="7"/>
      <c r="D4692" s="7"/>
      <c r="E4692" s="8"/>
      <c r="F4692" t="str">
        <f t="shared" si="173"/>
        <v/>
      </c>
      <c r="G4692" t="str">
        <f t="shared" si="174"/>
        <v/>
      </c>
    </row>
    <row r="4693" spans="2:7" x14ac:dyDescent="0.25">
      <c r="B4693" s="6"/>
      <c r="C4693" s="7"/>
      <c r="D4693" s="7"/>
      <c r="E4693" s="8"/>
      <c r="F4693" t="str">
        <f t="shared" si="173"/>
        <v/>
      </c>
      <c r="G4693" t="str">
        <f t="shared" si="174"/>
        <v/>
      </c>
    </row>
    <row r="4694" spans="2:7" x14ac:dyDescent="0.25">
      <c r="B4694" s="6"/>
      <c r="C4694" s="7"/>
      <c r="D4694" s="7"/>
      <c r="E4694" s="8"/>
      <c r="F4694" t="str">
        <f t="shared" si="173"/>
        <v/>
      </c>
      <c r="G4694" t="str">
        <f t="shared" si="174"/>
        <v/>
      </c>
    </row>
    <row r="4695" spans="2:7" x14ac:dyDescent="0.25">
      <c r="B4695" s="6"/>
      <c r="C4695" s="7"/>
      <c r="D4695" s="7"/>
      <c r="E4695" s="8"/>
      <c r="F4695" t="str">
        <f t="shared" si="173"/>
        <v/>
      </c>
      <c r="G4695" t="str">
        <f t="shared" si="174"/>
        <v/>
      </c>
    </row>
    <row r="4696" spans="2:7" x14ac:dyDescent="0.25">
      <c r="B4696" s="6"/>
      <c r="C4696" s="7"/>
      <c r="D4696" s="7"/>
      <c r="E4696" s="8"/>
      <c r="F4696" t="str">
        <f t="shared" si="173"/>
        <v/>
      </c>
      <c r="G4696" t="str">
        <f t="shared" si="174"/>
        <v/>
      </c>
    </row>
    <row r="4697" spans="2:7" x14ac:dyDescent="0.25">
      <c r="B4697" s="6"/>
      <c r="C4697" s="7"/>
      <c r="D4697" s="7"/>
      <c r="E4697" s="8"/>
      <c r="F4697" t="str">
        <f t="shared" si="173"/>
        <v/>
      </c>
      <c r="G4697" t="str">
        <f t="shared" si="174"/>
        <v/>
      </c>
    </row>
    <row r="4698" spans="2:7" x14ac:dyDescent="0.25">
      <c r="B4698" s="6"/>
      <c r="C4698" s="7"/>
      <c r="D4698" s="7"/>
      <c r="E4698" s="8"/>
      <c r="F4698" t="str">
        <f t="shared" si="173"/>
        <v/>
      </c>
      <c r="G4698" t="str">
        <f t="shared" si="174"/>
        <v/>
      </c>
    </row>
    <row r="4699" spans="2:7" x14ac:dyDescent="0.25">
      <c r="B4699" s="6"/>
      <c r="C4699" s="7"/>
      <c r="D4699" s="7"/>
      <c r="E4699" s="8"/>
      <c r="F4699" t="str">
        <f t="shared" si="173"/>
        <v/>
      </c>
      <c r="G4699" t="str">
        <f t="shared" si="174"/>
        <v/>
      </c>
    </row>
    <row r="4700" spans="2:7" x14ac:dyDescent="0.25">
      <c r="B4700" s="6"/>
      <c r="C4700" s="7"/>
      <c r="D4700" s="7"/>
      <c r="E4700" s="8"/>
      <c r="F4700" t="str">
        <f t="shared" si="173"/>
        <v/>
      </c>
      <c r="G4700" t="str">
        <f t="shared" si="174"/>
        <v/>
      </c>
    </row>
    <row r="4701" spans="2:7" x14ac:dyDescent="0.25">
      <c r="B4701" s="6"/>
      <c r="C4701" s="7"/>
      <c r="D4701" s="7"/>
      <c r="E4701" s="8"/>
      <c r="F4701" t="str">
        <f t="shared" si="173"/>
        <v/>
      </c>
      <c r="G4701" t="str">
        <f t="shared" si="174"/>
        <v/>
      </c>
    </row>
    <row r="4702" spans="2:7" x14ac:dyDescent="0.25">
      <c r="B4702" s="6"/>
      <c r="C4702" s="7"/>
      <c r="D4702" s="7"/>
      <c r="E4702" s="8"/>
      <c r="F4702" t="str">
        <f t="shared" si="173"/>
        <v/>
      </c>
      <c r="G4702" t="str">
        <f t="shared" si="174"/>
        <v/>
      </c>
    </row>
    <row r="4703" spans="2:7" x14ac:dyDescent="0.25">
      <c r="B4703" s="6"/>
      <c r="C4703" s="7"/>
      <c r="D4703" s="7"/>
      <c r="E4703" s="8"/>
      <c r="F4703" t="str">
        <f t="shared" si="173"/>
        <v/>
      </c>
      <c r="G4703" t="str">
        <f t="shared" si="174"/>
        <v/>
      </c>
    </row>
    <row r="4704" spans="2:7" x14ac:dyDescent="0.25">
      <c r="B4704" s="6"/>
      <c r="C4704" s="7"/>
      <c r="D4704" s="7"/>
      <c r="E4704" s="8"/>
      <c r="F4704" t="str">
        <f t="shared" si="173"/>
        <v/>
      </c>
      <c r="G4704" t="str">
        <f t="shared" si="174"/>
        <v/>
      </c>
    </row>
    <row r="4705" spans="2:7" x14ac:dyDescent="0.25">
      <c r="B4705" s="6"/>
      <c r="C4705" s="7"/>
      <c r="D4705" s="7"/>
      <c r="E4705" s="8"/>
      <c r="F4705" t="str">
        <f t="shared" si="173"/>
        <v/>
      </c>
      <c r="G4705" t="str">
        <f t="shared" si="174"/>
        <v/>
      </c>
    </row>
    <row r="4706" spans="2:7" x14ac:dyDescent="0.25">
      <c r="B4706" s="6"/>
      <c r="C4706" s="7"/>
      <c r="D4706" s="7"/>
      <c r="E4706" s="8"/>
      <c r="F4706" t="str">
        <f t="shared" si="173"/>
        <v/>
      </c>
      <c r="G4706" t="str">
        <f t="shared" si="174"/>
        <v/>
      </c>
    </row>
    <row r="4707" spans="2:7" x14ac:dyDescent="0.25">
      <c r="B4707" s="6"/>
      <c r="C4707" s="7"/>
      <c r="D4707" s="7"/>
      <c r="E4707" s="8"/>
      <c r="F4707" t="str">
        <f t="shared" si="173"/>
        <v/>
      </c>
      <c r="G4707" t="str">
        <f t="shared" si="174"/>
        <v/>
      </c>
    </row>
    <row r="4708" spans="2:7" x14ac:dyDescent="0.25">
      <c r="B4708" s="6"/>
      <c r="C4708" s="7"/>
      <c r="D4708" s="7"/>
      <c r="E4708" s="8"/>
      <c r="F4708" t="str">
        <f t="shared" si="173"/>
        <v/>
      </c>
      <c r="G4708" t="str">
        <f t="shared" si="174"/>
        <v/>
      </c>
    </row>
    <row r="4709" spans="2:7" x14ac:dyDescent="0.25">
      <c r="B4709" s="6"/>
      <c r="C4709" s="7"/>
      <c r="D4709" s="7"/>
      <c r="E4709" s="8"/>
      <c r="F4709" t="str">
        <f t="shared" si="173"/>
        <v/>
      </c>
      <c r="G4709" t="str">
        <f t="shared" si="174"/>
        <v/>
      </c>
    </row>
    <row r="4710" spans="2:7" x14ac:dyDescent="0.25">
      <c r="B4710" s="6"/>
      <c r="C4710" s="7"/>
      <c r="D4710" s="7"/>
      <c r="E4710" s="8"/>
      <c r="F4710" t="str">
        <f t="shared" si="173"/>
        <v/>
      </c>
      <c r="G4710" t="str">
        <f t="shared" si="174"/>
        <v/>
      </c>
    </row>
    <row r="4711" spans="2:7" x14ac:dyDescent="0.25">
      <c r="B4711" s="6"/>
      <c r="C4711" s="7"/>
      <c r="D4711" s="7"/>
      <c r="E4711" s="8"/>
      <c r="F4711" t="str">
        <f t="shared" si="173"/>
        <v/>
      </c>
      <c r="G4711" t="str">
        <f t="shared" si="174"/>
        <v/>
      </c>
    </row>
    <row r="4712" spans="2:7" x14ac:dyDescent="0.25">
      <c r="B4712" s="6"/>
      <c r="C4712" s="7"/>
      <c r="D4712" s="7"/>
      <c r="E4712" s="8"/>
      <c r="F4712" t="str">
        <f t="shared" si="173"/>
        <v/>
      </c>
      <c r="G4712" t="str">
        <f t="shared" si="174"/>
        <v/>
      </c>
    </row>
    <row r="4713" spans="2:7" x14ac:dyDescent="0.25">
      <c r="B4713" s="6"/>
      <c r="C4713" s="7"/>
      <c r="D4713" s="7"/>
      <c r="E4713" s="8"/>
      <c r="F4713" t="str">
        <f t="shared" si="173"/>
        <v/>
      </c>
      <c r="G4713" t="str">
        <f t="shared" si="174"/>
        <v/>
      </c>
    </row>
    <row r="4714" spans="2:7" x14ac:dyDescent="0.25">
      <c r="B4714" s="6"/>
      <c r="C4714" s="7"/>
      <c r="D4714" s="7"/>
      <c r="E4714" s="8"/>
      <c r="F4714" t="str">
        <f t="shared" si="173"/>
        <v/>
      </c>
      <c r="G4714" t="str">
        <f t="shared" si="174"/>
        <v/>
      </c>
    </row>
    <row r="4715" spans="2:7" x14ac:dyDescent="0.25">
      <c r="B4715" s="6"/>
      <c r="C4715" s="7"/>
      <c r="D4715" s="7"/>
      <c r="E4715" s="8"/>
      <c r="F4715" t="str">
        <f t="shared" si="173"/>
        <v/>
      </c>
      <c r="G4715" t="str">
        <f t="shared" si="174"/>
        <v/>
      </c>
    </row>
    <row r="4716" spans="2:7" x14ac:dyDescent="0.25">
      <c r="B4716" s="6"/>
      <c r="C4716" s="7"/>
      <c r="D4716" s="7"/>
      <c r="E4716" s="8"/>
      <c r="F4716" t="str">
        <f t="shared" si="173"/>
        <v/>
      </c>
      <c r="G4716" t="str">
        <f t="shared" si="174"/>
        <v/>
      </c>
    </row>
    <row r="4717" spans="2:7" x14ac:dyDescent="0.25">
      <c r="B4717" s="6"/>
      <c r="C4717" s="7"/>
      <c r="D4717" s="7"/>
      <c r="E4717" s="8"/>
      <c r="F4717" t="str">
        <f t="shared" si="173"/>
        <v/>
      </c>
      <c r="G4717" t="str">
        <f t="shared" si="174"/>
        <v/>
      </c>
    </row>
    <row r="4718" spans="2:7" x14ac:dyDescent="0.25">
      <c r="B4718" s="6"/>
      <c r="C4718" s="7"/>
      <c r="D4718" s="7"/>
      <c r="E4718" s="8"/>
      <c r="F4718" t="str">
        <f t="shared" si="173"/>
        <v/>
      </c>
      <c r="G4718" t="str">
        <f t="shared" si="174"/>
        <v/>
      </c>
    </row>
    <row r="4719" spans="2:7" x14ac:dyDescent="0.25">
      <c r="B4719" s="6"/>
      <c r="C4719" s="7"/>
      <c r="D4719" s="7"/>
      <c r="E4719" s="8"/>
      <c r="F4719" t="str">
        <f t="shared" si="173"/>
        <v/>
      </c>
      <c r="G4719" t="str">
        <f t="shared" si="174"/>
        <v/>
      </c>
    </row>
    <row r="4720" spans="2:7" x14ac:dyDescent="0.25">
      <c r="B4720" s="6"/>
      <c r="C4720" s="7"/>
      <c r="D4720" s="7"/>
      <c r="E4720" s="8"/>
      <c r="F4720" t="str">
        <f t="shared" si="173"/>
        <v/>
      </c>
      <c r="G4720" t="str">
        <f t="shared" si="174"/>
        <v/>
      </c>
    </row>
    <row r="4721" spans="2:7" x14ac:dyDescent="0.25">
      <c r="B4721" s="6"/>
      <c r="C4721" s="7"/>
      <c r="D4721" s="7"/>
      <c r="E4721" s="8"/>
      <c r="F4721" t="str">
        <f t="shared" si="173"/>
        <v/>
      </c>
      <c r="G4721" t="str">
        <f t="shared" si="174"/>
        <v/>
      </c>
    </row>
    <row r="4722" spans="2:7" x14ac:dyDescent="0.25">
      <c r="B4722" s="6"/>
      <c r="C4722" s="7"/>
      <c r="D4722" s="7"/>
      <c r="E4722" s="8"/>
      <c r="F4722" t="str">
        <f t="shared" si="173"/>
        <v/>
      </c>
      <c r="G4722" t="str">
        <f t="shared" si="174"/>
        <v/>
      </c>
    </row>
    <row r="4723" spans="2:7" x14ac:dyDescent="0.25">
      <c r="B4723" s="6"/>
      <c r="C4723" s="7"/>
      <c r="D4723" s="7"/>
      <c r="E4723" s="8"/>
      <c r="F4723" t="str">
        <f t="shared" si="173"/>
        <v/>
      </c>
      <c r="G4723" t="str">
        <f t="shared" si="174"/>
        <v/>
      </c>
    </row>
    <row r="4724" spans="2:7" x14ac:dyDescent="0.25">
      <c r="B4724" s="6"/>
      <c r="C4724" s="7"/>
      <c r="D4724" s="7"/>
      <c r="E4724" s="8"/>
      <c r="F4724" t="str">
        <f t="shared" si="173"/>
        <v/>
      </c>
      <c r="G4724" t="str">
        <f t="shared" si="174"/>
        <v/>
      </c>
    </row>
    <row r="4725" spans="2:7" x14ac:dyDescent="0.25">
      <c r="B4725" s="6"/>
      <c r="C4725" s="7"/>
      <c r="D4725" s="7"/>
      <c r="E4725" s="8"/>
      <c r="F4725" t="str">
        <f t="shared" si="173"/>
        <v/>
      </c>
      <c r="G4725" t="str">
        <f t="shared" si="174"/>
        <v/>
      </c>
    </row>
    <row r="4726" spans="2:7" x14ac:dyDescent="0.25">
      <c r="B4726" s="6"/>
      <c r="C4726" s="7"/>
      <c r="D4726" s="7"/>
      <c r="E4726" s="8"/>
      <c r="F4726" t="str">
        <f t="shared" si="173"/>
        <v/>
      </c>
      <c r="G4726" t="str">
        <f t="shared" si="174"/>
        <v/>
      </c>
    </row>
    <row r="4727" spans="2:7" x14ac:dyDescent="0.25">
      <c r="B4727" s="6"/>
      <c r="C4727" s="7"/>
      <c r="D4727" s="7"/>
      <c r="E4727" s="8"/>
      <c r="F4727" t="str">
        <f t="shared" si="173"/>
        <v/>
      </c>
      <c r="G4727" t="str">
        <f t="shared" si="174"/>
        <v/>
      </c>
    </row>
    <row r="4728" spans="2:7" x14ac:dyDescent="0.25">
      <c r="B4728" s="6"/>
      <c r="C4728" s="7"/>
      <c r="D4728" s="7"/>
      <c r="E4728" s="8"/>
      <c r="F4728" t="str">
        <f t="shared" si="173"/>
        <v/>
      </c>
      <c r="G4728" t="str">
        <f t="shared" si="174"/>
        <v/>
      </c>
    </row>
    <row r="4729" spans="2:7" x14ac:dyDescent="0.25">
      <c r="B4729" s="6"/>
      <c r="C4729" s="7"/>
      <c r="D4729" s="7"/>
      <c r="E4729" s="8"/>
      <c r="F4729" t="str">
        <f t="shared" si="173"/>
        <v/>
      </c>
      <c r="G4729" t="str">
        <f t="shared" si="174"/>
        <v/>
      </c>
    </row>
    <row r="4730" spans="2:7" x14ac:dyDescent="0.25">
      <c r="B4730" s="6"/>
      <c r="C4730" s="7"/>
      <c r="D4730" s="7"/>
      <c r="E4730" s="8"/>
      <c r="F4730" t="str">
        <f t="shared" si="173"/>
        <v/>
      </c>
      <c r="G4730" t="str">
        <f t="shared" si="174"/>
        <v/>
      </c>
    </row>
    <row r="4731" spans="2:7" x14ac:dyDescent="0.25">
      <c r="B4731" s="6"/>
      <c r="C4731" s="7"/>
      <c r="D4731" s="7"/>
      <c r="E4731" s="8"/>
      <c r="F4731" t="str">
        <f t="shared" si="173"/>
        <v/>
      </c>
      <c r="G4731" t="str">
        <f t="shared" si="174"/>
        <v/>
      </c>
    </row>
    <row r="4732" spans="2:7" x14ac:dyDescent="0.25">
      <c r="B4732" s="6"/>
      <c r="C4732" s="7"/>
      <c r="D4732" s="7"/>
      <c r="E4732" s="8"/>
      <c r="F4732" t="str">
        <f t="shared" si="173"/>
        <v/>
      </c>
      <c r="G4732" t="str">
        <f t="shared" si="174"/>
        <v/>
      </c>
    </row>
    <row r="4733" spans="2:7" x14ac:dyDescent="0.25">
      <c r="B4733" s="6"/>
      <c r="C4733" s="7"/>
      <c r="D4733" s="7"/>
      <c r="E4733" s="8"/>
      <c r="F4733" t="str">
        <f t="shared" si="173"/>
        <v/>
      </c>
      <c r="G4733" t="str">
        <f t="shared" si="174"/>
        <v/>
      </c>
    </row>
    <row r="4734" spans="2:7" x14ac:dyDescent="0.25">
      <c r="B4734" s="6"/>
      <c r="C4734" s="7"/>
      <c r="D4734" s="7"/>
      <c r="E4734" s="8"/>
      <c r="F4734" t="str">
        <f t="shared" si="173"/>
        <v/>
      </c>
      <c r="G4734" t="str">
        <f t="shared" si="174"/>
        <v/>
      </c>
    </row>
    <row r="4735" spans="2:7" x14ac:dyDescent="0.25">
      <c r="B4735" s="6"/>
      <c r="C4735" s="7"/>
      <c r="D4735" s="7"/>
      <c r="E4735" s="8"/>
      <c r="F4735" t="str">
        <f t="shared" si="173"/>
        <v/>
      </c>
      <c r="G4735" t="str">
        <f t="shared" si="174"/>
        <v/>
      </c>
    </row>
    <row r="4736" spans="2:7" x14ac:dyDescent="0.25">
      <c r="B4736" s="6"/>
      <c r="C4736" s="7"/>
      <c r="D4736" s="7"/>
      <c r="E4736" s="8"/>
      <c r="F4736" t="str">
        <f t="shared" si="173"/>
        <v/>
      </c>
      <c r="G4736" t="str">
        <f t="shared" si="174"/>
        <v/>
      </c>
    </row>
    <row r="4737" spans="2:7" x14ac:dyDescent="0.25">
      <c r="B4737" s="6"/>
      <c r="C4737" s="7"/>
      <c r="D4737" s="7"/>
      <c r="E4737" s="8"/>
      <c r="F4737" t="str">
        <f t="shared" si="173"/>
        <v/>
      </c>
      <c r="G4737" t="str">
        <f t="shared" si="174"/>
        <v/>
      </c>
    </row>
    <row r="4738" spans="2:7" x14ac:dyDescent="0.25">
      <c r="B4738" s="6"/>
      <c r="C4738" s="7"/>
      <c r="D4738" s="7"/>
      <c r="E4738" s="8"/>
      <c r="F4738" t="str">
        <f t="shared" si="173"/>
        <v/>
      </c>
      <c r="G4738" t="str">
        <f t="shared" si="174"/>
        <v/>
      </c>
    </row>
    <row r="4739" spans="2:7" x14ac:dyDescent="0.25">
      <c r="B4739" s="6"/>
      <c r="C4739" s="7"/>
      <c r="D4739" s="7"/>
      <c r="E4739" s="8"/>
      <c r="F4739" t="str">
        <f t="shared" si="173"/>
        <v/>
      </c>
      <c r="G4739" t="str">
        <f t="shared" si="174"/>
        <v/>
      </c>
    </row>
    <row r="4740" spans="2:7" x14ac:dyDescent="0.25">
      <c r="B4740" s="6"/>
      <c r="C4740" s="7"/>
      <c r="D4740" s="7"/>
      <c r="E4740" s="8"/>
      <c r="F4740" t="str">
        <f t="shared" ref="F4740:F4803" si="175">IF(B4740="","",LOG10(D4740))</f>
        <v/>
      </c>
      <c r="G4740" t="str">
        <f t="shared" ref="G4740:G4803" si="176">IF(E4740="", "",0.434*E4740/D4740)</f>
        <v/>
      </c>
    </row>
    <row r="4741" spans="2:7" x14ac:dyDescent="0.25">
      <c r="B4741" s="6"/>
      <c r="C4741" s="7"/>
      <c r="D4741" s="7"/>
      <c r="E4741" s="8"/>
      <c r="F4741" t="str">
        <f t="shared" si="175"/>
        <v/>
      </c>
      <c r="G4741" t="str">
        <f t="shared" si="176"/>
        <v/>
      </c>
    </row>
    <row r="4742" spans="2:7" x14ac:dyDescent="0.25">
      <c r="B4742" s="6"/>
      <c r="C4742" s="7"/>
      <c r="D4742" s="7"/>
      <c r="E4742" s="8"/>
      <c r="F4742" t="str">
        <f t="shared" si="175"/>
        <v/>
      </c>
      <c r="G4742" t="str">
        <f t="shared" si="176"/>
        <v/>
      </c>
    </row>
    <row r="4743" spans="2:7" x14ac:dyDescent="0.25">
      <c r="B4743" s="6"/>
      <c r="C4743" s="7"/>
      <c r="D4743" s="7"/>
      <c r="E4743" s="8"/>
      <c r="F4743" t="str">
        <f t="shared" si="175"/>
        <v/>
      </c>
      <c r="G4743" t="str">
        <f t="shared" si="176"/>
        <v/>
      </c>
    </row>
    <row r="4744" spans="2:7" x14ac:dyDescent="0.25">
      <c r="B4744" s="6"/>
      <c r="C4744" s="7"/>
      <c r="D4744" s="7"/>
      <c r="E4744" s="8"/>
      <c r="F4744" t="str">
        <f t="shared" si="175"/>
        <v/>
      </c>
      <c r="G4744" t="str">
        <f t="shared" si="176"/>
        <v/>
      </c>
    </row>
    <row r="4745" spans="2:7" x14ac:dyDescent="0.25">
      <c r="B4745" s="6"/>
      <c r="C4745" s="7"/>
      <c r="D4745" s="7"/>
      <c r="E4745" s="8"/>
      <c r="F4745" t="str">
        <f t="shared" si="175"/>
        <v/>
      </c>
      <c r="G4745" t="str">
        <f t="shared" si="176"/>
        <v/>
      </c>
    </row>
    <row r="4746" spans="2:7" x14ac:dyDescent="0.25">
      <c r="B4746" s="6"/>
      <c r="C4746" s="7"/>
      <c r="D4746" s="7"/>
      <c r="E4746" s="8"/>
      <c r="F4746" t="str">
        <f t="shared" si="175"/>
        <v/>
      </c>
      <c r="G4746" t="str">
        <f t="shared" si="176"/>
        <v/>
      </c>
    </row>
    <row r="4747" spans="2:7" x14ac:dyDescent="0.25">
      <c r="B4747" s="6"/>
      <c r="C4747" s="7"/>
      <c r="D4747" s="7"/>
      <c r="E4747" s="8"/>
      <c r="F4747" t="str">
        <f t="shared" si="175"/>
        <v/>
      </c>
      <c r="G4747" t="str">
        <f t="shared" si="176"/>
        <v/>
      </c>
    </row>
    <row r="4748" spans="2:7" x14ac:dyDescent="0.25">
      <c r="B4748" s="6"/>
      <c r="C4748" s="7"/>
      <c r="D4748" s="7"/>
      <c r="E4748" s="8"/>
      <c r="F4748" t="str">
        <f t="shared" si="175"/>
        <v/>
      </c>
      <c r="G4748" t="str">
        <f t="shared" si="176"/>
        <v/>
      </c>
    </row>
    <row r="4749" spans="2:7" x14ac:dyDescent="0.25">
      <c r="B4749" s="6"/>
      <c r="C4749" s="7"/>
      <c r="D4749" s="7"/>
      <c r="E4749" s="8"/>
      <c r="F4749" t="str">
        <f t="shared" si="175"/>
        <v/>
      </c>
      <c r="G4749" t="str">
        <f t="shared" si="176"/>
        <v/>
      </c>
    </row>
    <row r="4750" spans="2:7" x14ac:dyDescent="0.25">
      <c r="B4750" s="6"/>
      <c r="C4750" s="7"/>
      <c r="D4750" s="7"/>
      <c r="E4750" s="8"/>
      <c r="F4750" t="str">
        <f t="shared" si="175"/>
        <v/>
      </c>
      <c r="G4750" t="str">
        <f t="shared" si="176"/>
        <v/>
      </c>
    </row>
    <row r="4751" spans="2:7" x14ac:dyDescent="0.25">
      <c r="B4751" s="6"/>
      <c r="C4751" s="7"/>
      <c r="D4751" s="7"/>
      <c r="E4751" s="8"/>
      <c r="F4751" t="str">
        <f t="shared" si="175"/>
        <v/>
      </c>
      <c r="G4751" t="str">
        <f t="shared" si="176"/>
        <v/>
      </c>
    </row>
    <row r="4752" spans="2:7" x14ac:dyDescent="0.25">
      <c r="B4752" s="6"/>
      <c r="C4752" s="7"/>
      <c r="D4752" s="7"/>
      <c r="E4752" s="8"/>
      <c r="F4752" t="str">
        <f t="shared" si="175"/>
        <v/>
      </c>
      <c r="G4752" t="str">
        <f t="shared" si="176"/>
        <v/>
      </c>
    </row>
    <row r="4753" spans="2:7" x14ac:dyDescent="0.25">
      <c r="B4753" s="6"/>
      <c r="C4753" s="7"/>
      <c r="D4753" s="7"/>
      <c r="E4753" s="8"/>
      <c r="F4753" t="str">
        <f t="shared" si="175"/>
        <v/>
      </c>
      <c r="G4753" t="str">
        <f t="shared" si="176"/>
        <v/>
      </c>
    </row>
    <row r="4754" spans="2:7" x14ac:dyDescent="0.25">
      <c r="B4754" s="6"/>
      <c r="C4754" s="7"/>
      <c r="D4754" s="7"/>
      <c r="E4754" s="8"/>
      <c r="F4754" t="str">
        <f t="shared" si="175"/>
        <v/>
      </c>
      <c r="G4754" t="str">
        <f t="shared" si="176"/>
        <v/>
      </c>
    </row>
    <row r="4755" spans="2:7" x14ac:dyDescent="0.25">
      <c r="B4755" s="6"/>
      <c r="C4755" s="7"/>
      <c r="D4755" s="7"/>
      <c r="E4755" s="8"/>
      <c r="F4755" t="str">
        <f t="shared" si="175"/>
        <v/>
      </c>
      <c r="G4755" t="str">
        <f t="shared" si="176"/>
        <v/>
      </c>
    </row>
    <row r="4756" spans="2:7" x14ac:dyDescent="0.25">
      <c r="B4756" s="6"/>
      <c r="C4756" s="7"/>
      <c r="D4756" s="7"/>
      <c r="E4756" s="8"/>
      <c r="F4756" t="str">
        <f t="shared" si="175"/>
        <v/>
      </c>
      <c r="G4756" t="str">
        <f t="shared" si="176"/>
        <v/>
      </c>
    </row>
    <row r="4757" spans="2:7" x14ac:dyDescent="0.25">
      <c r="B4757" s="6"/>
      <c r="C4757" s="7"/>
      <c r="D4757" s="7"/>
      <c r="E4757" s="8"/>
      <c r="F4757" t="str">
        <f t="shared" si="175"/>
        <v/>
      </c>
      <c r="G4757" t="str">
        <f t="shared" si="176"/>
        <v/>
      </c>
    </row>
    <row r="4758" spans="2:7" x14ac:dyDescent="0.25">
      <c r="B4758" s="6"/>
      <c r="C4758" s="7"/>
      <c r="D4758" s="7"/>
      <c r="E4758" s="8"/>
      <c r="F4758" t="str">
        <f t="shared" si="175"/>
        <v/>
      </c>
      <c r="G4758" t="str">
        <f t="shared" si="176"/>
        <v/>
      </c>
    </row>
    <row r="4759" spans="2:7" x14ac:dyDescent="0.25">
      <c r="B4759" s="6"/>
      <c r="C4759" s="7"/>
      <c r="D4759" s="7"/>
      <c r="E4759" s="8"/>
      <c r="F4759" t="str">
        <f t="shared" si="175"/>
        <v/>
      </c>
      <c r="G4759" t="str">
        <f t="shared" si="176"/>
        <v/>
      </c>
    </row>
    <row r="4760" spans="2:7" x14ac:dyDescent="0.25">
      <c r="B4760" s="6"/>
      <c r="C4760" s="7"/>
      <c r="D4760" s="7"/>
      <c r="E4760" s="8"/>
      <c r="F4760" t="str">
        <f t="shared" si="175"/>
        <v/>
      </c>
      <c r="G4760" t="str">
        <f t="shared" si="176"/>
        <v/>
      </c>
    </row>
    <row r="4761" spans="2:7" x14ac:dyDescent="0.25">
      <c r="B4761" s="6"/>
      <c r="C4761" s="7"/>
      <c r="D4761" s="7"/>
      <c r="E4761" s="8"/>
      <c r="F4761" t="str">
        <f t="shared" si="175"/>
        <v/>
      </c>
      <c r="G4761" t="str">
        <f t="shared" si="176"/>
        <v/>
      </c>
    </row>
    <row r="4762" spans="2:7" x14ac:dyDescent="0.25">
      <c r="B4762" s="6"/>
      <c r="C4762" s="7"/>
      <c r="D4762" s="7"/>
      <c r="E4762" s="8"/>
      <c r="F4762" t="str">
        <f t="shared" si="175"/>
        <v/>
      </c>
      <c r="G4762" t="str">
        <f t="shared" si="176"/>
        <v/>
      </c>
    </row>
    <row r="4763" spans="2:7" x14ac:dyDescent="0.25">
      <c r="B4763" s="6"/>
      <c r="C4763" s="7"/>
      <c r="D4763" s="7"/>
      <c r="E4763" s="8"/>
      <c r="F4763" t="str">
        <f t="shared" si="175"/>
        <v/>
      </c>
      <c r="G4763" t="str">
        <f t="shared" si="176"/>
        <v/>
      </c>
    </row>
    <row r="4764" spans="2:7" x14ac:dyDescent="0.25">
      <c r="B4764" s="6"/>
      <c r="C4764" s="7"/>
      <c r="D4764" s="7"/>
      <c r="E4764" s="8"/>
      <c r="F4764" t="str">
        <f t="shared" si="175"/>
        <v/>
      </c>
      <c r="G4764" t="str">
        <f t="shared" si="176"/>
        <v/>
      </c>
    </row>
    <row r="4765" spans="2:7" x14ac:dyDescent="0.25">
      <c r="B4765" s="6"/>
      <c r="C4765" s="7"/>
      <c r="D4765" s="7"/>
      <c r="E4765" s="8"/>
      <c r="F4765" t="str">
        <f t="shared" si="175"/>
        <v/>
      </c>
      <c r="G4765" t="str">
        <f t="shared" si="176"/>
        <v/>
      </c>
    </row>
    <row r="4766" spans="2:7" x14ac:dyDescent="0.25">
      <c r="B4766" s="6"/>
      <c r="C4766" s="7"/>
      <c r="D4766" s="7"/>
      <c r="E4766" s="8"/>
      <c r="F4766" t="str">
        <f t="shared" si="175"/>
        <v/>
      </c>
      <c r="G4766" t="str">
        <f t="shared" si="176"/>
        <v/>
      </c>
    </row>
    <row r="4767" spans="2:7" x14ac:dyDescent="0.25">
      <c r="B4767" s="6"/>
      <c r="C4767" s="7"/>
      <c r="D4767" s="7"/>
      <c r="E4767" s="8"/>
      <c r="F4767" t="str">
        <f t="shared" si="175"/>
        <v/>
      </c>
      <c r="G4767" t="str">
        <f t="shared" si="176"/>
        <v/>
      </c>
    </row>
    <row r="4768" spans="2:7" x14ac:dyDescent="0.25">
      <c r="B4768" s="6"/>
      <c r="C4768" s="7"/>
      <c r="D4768" s="7"/>
      <c r="E4768" s="8"/>
      <c r="F4768" t="str">
        <f t="shared" si="175"/>
        <v/>
      </c>
      <c r="G4768" t="str">
        <f t="shared" si="176"/>
        <v/>
      </c>
    </row>
    <row r="4769" spans="2:7" x14ac:dyDescent="0.25">
      <c r="B4769" s="6"/>
      <c r="C4769" s="7"/>
      <c r="D4769" s="7"/>
      <c r="E4769" s="8"/>
      <c r="F4769" t="str">
        <f t="shared" si="175"/>
        <v/>
      </c>
      <c r="G4769" t="str">
        <f t="shared" si="176"/>
        <v/>
      </c>
    </row>
    <row r="4770" spans="2:7" x14ac:dyDescent="0.25">
      <c r="B4770" s="6"/>
      <c r="C4770" s="7"/>
      <c r="D4770" s="7"/>
      <c r="E4770" s="8"/>
      <c r="F4770" t="str">
        <f t="shared" si="175"/>
        <v/>
      </c>
      <c r="G4770" t="str">
        <f t="shared" si="176"/>
        <v/>
      </c>
    </row>
    <row r="4771" spans="2:7" x14ac:dyDescent="0.25">
      <c r="B4771" s="6"/>
      <c r="C4771" s="7"/>
      <c r="D4771" s="7"/>
      <c r="E4771" s="8"/>
      <c r="F4771" t="str">
        <f t="shared" si="175"/>
        <v/>
      </c>
      <c r="G4771" t="str">
        <f t="shared" si="176"/>
        <v/>
      </c>
    </row>
    <row r="4772" spans="2:7" x14ac:dyDescent="0.25">
      <c r="B4772" s="6"/>
      <c r="C4772" s="7"/>
      <c r="D4772" s="7"/>
      <c r="E4772" s="8"/>
      <c r="F4772" t="str">
        <f t="shared" si="175"/>
        <v/>
      </c>
      <c r="G4772" t="str">
        <f t="shared" si="176"/>
        <v/>
      </c>
    </row>
    <row r="4773" spans="2:7" x14ac:dyDescent="0.25">
      <c r="B4773" s="6"/>
      <c r="C4773" s="7"/>
      <c r="D4773" s="7"/>
      <c r="E4773" s="8"/>
      <c r="F4773" t="str">
        <f t="shared" si="175"/>
        <v/>
      </c>
      <c r="G4773" t="str">
        <f t="shared" si="176"/>
        <v/>
      </c>
    </row>
    <row r="4774" spans="2:7" x14ac:dyDescent="0.25">
      <c r="B4774" s="6"/>
      <c r="C4774" s="7"/>
      <c r="D4774" s="7"/>
      <c r="E4774" s="8"/>
      <c r="F4774" t="str">
        <f t="shared" si="175"/>
        <v/>
      </c>
      <c r="G4774" t="str">
        <f t="shared" si="176"/>
        <v/>
      </c>
    </row>
    <row r="4775" spans="2:7" x14ac:dyDescent="0.25">
      <c r="B4775" s="6"/>
      <c r="C4775" s="7"/>
      <c r="D4775" s="7"/>
      <c r="E4775" s="8"/>
      <c r="F4775" t="str">
        <f t="shared" si="175"/>
        <v/>
      </c>
      <c r="G4775" t="str">
        <f t="shared" si="176"/>
        <v/>
      </c>
    </row>
    <row r="4776" spans="2:7" x14ac:dyDescent="0.25">
      <c r="B4776" s="6"/>
      <c r="C4776" s="7"/>
      <c r="D4776" s="7"/>
      <c r="E4776" s="8"/>
      <c r="F4776" t="str">
        <f t="shared" si="175"/>
        <v/>
      </c>
      <c r="G4776" t="str">
        <f t="shared" si="176"/>
        <v/>
      </c>
    </row>
    <row r="4777" spans="2:7" x14ac:dyDescent="0.25">
      <c r="B4777" s="6"/>
      <c r="C4777" s="7"/>
      <c r="D4777" s="7"/>
      <c r="E4777" s="8"/>
      <c r="F4777" t="str">
        <f t="shared" si="175"/>
        <v/>
      </c>
      <c r="G4777" t="str">
        <f t="shared" si="176"/>
        <v/>
      </c>
    </row>
    <row r="4778" spans="2:7" x14ac:dyDescent="0.25">
      <c r="B4778" s="6"/>
      <c r="C4778" s="7"/>
      <c r="D4778" s="7"/>
      <c r="E4778" s="8"/>
      <c r="F4778" t="str">
        <f t="shared" si="175"/>
        <v/>
      </c>
      <c r="G4778" t="str">
        <f t="shared" si="176"/>
        <v/>
      </c>
    </row>
    <row r="4779" spans="2:7" x14ac:dyDescent="0.25">
      <c r="B4779" s="6"/>
      <c r="C4779" s="7"/>
      <c r="D4779" s="7"/>
      <c r="E4779" s="8"/>
      <c r="F4779" t="str">
        <f t="shared" si="175"/>
        <v/>
      </c>
      <c r="G4779" t="str">
        <f t="shared" si="176"/>
        <v/>
      </c>
    </row>
    <row r="4780" spans="2:7" x14ac:dyDescent="0.25">
      <c r="B4780" s="6"/>
      <c r="C4780" s="7"/>
      <c r="D4780" s="7"/>
      <c r="E4780" s="8"/>
      <c r="F4780" t="str">
        <f t="shared" si="175"/>
        <v/>
      </c>
      <c r="G4780" t="str">
        <f t="shared" si="176"/>
        <v/>
      </c>
    </row>
    <row r="4781" spans="2:7" x14ac:dyDescent="0.25">
      <c r="B4781" s="6"/>
      <c r="C4781" s="7"/>
      <c r="D4781" s="7"/>
      <c r="E4781" s="8"/>
      <c r="F4781" t="str">
        <f t="shared" si="175"/>
        <v/>
      </c>
      <c r="G4781" t="str">
        <f t="shared" si="176"/>
        <v/>
      </c>
    </row>
    <row r="4782" spans="2:7" x14ac:dyDescent="0.25">
      <c r="B4782" s="6"/>
      <c r="C4782" s="7"/>
      <c r="D4782" s="7"/>
      <c r="E4782" s="8"/>
      <c r="F4782" t="str">
        <f t="shared" si="175"/>
        <v/>
      </c>
      <c r="G4782" t="str">
        <f t="shared" si="176"/>
        <v/>
      </c>
    </row>
    <row r="4783" spans="2:7" x14ac:dyDescent="0.25">
      <c r="B4783" s="6"/>
      <c r="C4783" s="7"/>
      <c r="D4783" s="7"/>
      <c r="E4783" s="8"/>
      <c r="F4783" t="str">
        <f t="shared" si="175"/>
        <v/>
      </c>
      <c r="G4783" t="str">
        <f t="shared" si="176"/>
        <v/>
      </c>
    </row>
    <row r="4784" spans="2:7" x14ac:dyDescent="0.25">
      <c r="B4784" s="6"/>
      <c r="C4784" s="7"/>
      <c r="D4784" s="7"/>
      <c r="E4784" s="8"/>
      <c r="F4784" t="str">
        <f t="shared" si="175"/>
        <v/>
      </c>
      <c r="G4784" t="str">
        <f t="shared" si="176"/>
        <v/>
      </c>
    </row>
    <row r="4785" spans="2:7" x14ac:dyDescent="0.25">
      <c r="B4785" s="6"/>
      <c r="C4785" s="7"/>
      <c r="D4785" s="7"/>
      <c r="E4785" s="8"/>
      <c r="F4785" t="str">
        <f t="shared" si="175"/>
        <v/>
      </c>
      <c r="G4785" t="str">
        <f t="shared" si="176"/>
        <v/>
      </c>
    </row>
    <row r="4786" spans="2:7" x14ac:dyDescent="0.25">
      <c r="B4786" s="6"/>
      <c r="C4786" s="7"/>
      <c r="D4786" s="7"/>
      <c r="E4786" s="8"/>
      <c r="F4786" t="str">
        <f t="shared" si="175"/>
        <v/>
      </c>
      <c r="G4786" t="str">
        <f t="shared" si="176"/>
        <v/>
      </c>
    </row>
    <row r="4787" spans="2:7" x14ac:dyDescent="0.25">
      <c r="B4787" s="6"/>
      <c r="C4787" s="7"/>
      <c r="D4787" s="7"/>
      <c r="E4787" s="8"/>
      <c r="F4787" t="str">
        <f t="shared" si="175"/>
        <v/>
      </c>
      <c r="G4787" t="str">
        <f t="shared" si="176"/>
        <v/>
      </c>
    </row>
    <row r="4788" spans="2:7" x14ac:dyDescent="0.25">
      <c r="B4788" s="6"/>
      <c r="C4788" s="7"/>
      <c r="D4788" s="7"/>
      <c r="E4788" s="8"/>
      <c r="F4788" t="str">
        <f t="shared" si="175"/>
        <v/>
      </c>
      <c r="G4788" t="str">
        <f t="shared" si="176"/>
        <v/>
      </c>
    </row>
    <row r="4789" spans="2:7" x14ac:dyDescent="0.25">
      <c r="B4789" s="6"/>
      <c r="C4789" s="7"/>
      <c r="D4789" s="7"/>
      <c r="E4789" s="8"/>
      <c r="F4789" t="str">
        <f t="shared" si="175"/>
        <v/>
      </c>
      <c r="G4789" t="str">
        <f t="shared" si="176"/>
        <v/>
      </c>
    </row>
    <row r="4790" spans="2:7" x14ac:dyDescent="0.25">
      <c r="B4790" s="6"/>
      <c r="C4790" s="7"/>
      <c r="D4790" s="7"/>
      <c r="E4790" s="8"/>
      <c r="F4790" t="str">
        <f t="shared" si="175"/>
        <v/>
      </c>
      <c r="G4790" t="str">
        <f t="shared" si="176"/>
        <v/>
      </c>
    </row>
    <row r="4791" spans="2:7" x14ac:dyDescent="0.25">
      <c r="B4791" s="6"/>
      <c r="C4791" s="7"/>
      <c r="D4791" s="7"/>
      <c r="E4791" s="8"/>
      <c r="F4791" t="str">
        <f t="shared" si="175"/>
        <v/>
      </c>
      <c r="G4791" t="str">
        <f t="shared" si="176"/>
        <v/>
      </c>
    </row>
    <row r="4792" spans="2:7" x14ac:dyDescent="0.25">
      <c r="B4792" s="6"/>
      <c r="C4792" s="7"/>
      <c r="D4792" s="7"/>
      <c r="E4792" s="8"/>
      <c r="F4792" t="str">
        <f t="shared" si="175"/>
        <v/>
      </c>
      <c r="G4792" t="str">
        <f t="shared" si="176"/>
        <v/>
      </c>
    </row>
    <row r="4793" spans="2:7" x14ac:dyDescent="0.25">
      <c r="B4793" s="6"/>
      <c r="C4793" s="7"/>
      <c r="D4793" s="7"/>
      <c r="E4793" s="8"/>
      <c r="F4793" t="str">
        <f t="shared" si="175"/>
        <v/>
      </c>
      <c r="G4793" t="str">
        <f t="shared" si="176"/>
        <v/>
      </c>
    </row>
    <row r="4794" spans="2:7" x14ac:dyDescent="0.25">
      <c r="B4794" s="6"/>
      <c r="C4794" s="7"/>
      <c r="D4794" s="7"/>
      <c r="E4794" s="8"/>
      <c r="F4794" t="str">
        <f t="shared" si="175"/>
        <v/>
      </c>
      <c r="G4794" t="str">
        <f t="shared" si="176"/>
        <v/>
      </c>
    </row>
    <row r="4795" spans="2:7" x14ac:dyDescent="0.25">
      <c r="B4795" s="6"/>
      <c r="C4795" s="7"/>
      <c r="D4795" s="7"/>
      <c r="E4795" s="8"/>
      <c r="F4795" t="str">
        <f t="shared" si="175"/>
        <v/>
      </c>
      <c r="G4795" t="str">
        <f t="shared" si="176"/>
        <v/>
      </c>
    </row>
    <row r="4796" spans="2:7" x14ac:dyDescent="0.25">
      <c r="B4796" s="6"/>
      <c r="C4796" s="7"/>
      <c r="D4796" s="7"/>
      <c r="E4796" s="8"/>
      <c r="F4796" t="str">
        <f t="shared" si="175"/>
        <v/>
      </c>
      <c r="G4796" t="str">
        <f t="shared" si="176"/>
        <v/>
      </c>
    </row>
    <row r="4797" spans="2:7" x14ac:dyDescent="0.25">
      <c r="B4797" s="6"/>
      <c r="C4797" s="7"/>
      <c r="D4797" s="7"/>
      <c r="E4797" s="8"/>
      <c r="F4797" t="str">
        <f t="shared" si="175"/>
        <v/>
      </c>
      <c r="G4797" t="str">
        <f t="shared" si="176"/>
        <v/>
      </c>
    </row>
    <row r="4798" spans="2:7" x14ac:dyDescent="0.25">
      <c r="B4798" s="6"/>
      <c r="C4798" s="7"/>
      <c r="D4798" s="7"/>
      <c r="E4798" s="8"/>
      <c r="F4798" t="str">
        <f t="shared" si="175"/>
        <v/>
      </c>
      <c r="G4798" t="str">
        <f t="shared" si="176"/>
        <v/>
      </c>
    </row>
    <row r="4799" spans="2:7" x14ac:dyDescent="0.25">
      <c r="B4799" s="6"/>
      <c r="C4799" s="7"/>
      <c r="D4799" s="7"/>
      <c r="E4799" s="8"/>
      <c r="F4799" t="str">
        <f t="shared" si="175"/>
        <v/>
      </c>
      <c r="G4799" t="str">
        <f t="shared" si="176"/>
        <v/>
      </c>
    </row>
    <row r="4800" spans="2:7" x14ac:dyDescent="0.25">
      <c r="B4800" s="6"/>
      <c r="C4800" s="7"/>
      <c r="D4800" s="7"/>
      <c r="E4800" s="8"/>
      <c r="F4800" t="str">
        <f t="shared" si="175"/>
        <v/>
      </c>
      <c r="G4800" t="str">
        <f t="shared" si="176"/>
        <v/>
      </c>
    </row>
    <row r="4801" spans="2:7" x14ac:dyDescent="0.25">
      <c r="B4801" s="6"/>
      <c r="C4801" s="7"/>
      <c r="D4801" s="7"/>
      <c r="E4801" s="8"/>
      <c r="F4801" t="str">
        <f t="shared" si="175"/>
        <v/>
      </c>
      <c r="G4801" t="str">
        <f t="shared" si="176"/>
        <v/>
      </c>
    </row>
    <row r="4802" spans="2:7" x14ac:dyDescent="0.25">
      <c r="B4802" s="6"/>
      <c r="C4802" s="7"/>
      <c r="D4802" s="7"/>
      <c r="E4802" s="8"/>
      <c r="F4802" t="str">
        <f t="shared" si="175"/>
        <v/>
      </c>
      <c r="G4802" t="str">
        <f t="shared" si="176"/>
        <v/>
      </c>
    </row>
    <row r="4803" spans="2:7" x14ac:dyDescent="0.25">
      <c r="B4803" s="6"/>
      <c r="C4803" s="7"/>
      <c r="D4803" s="7"/>
      <c r="E4803" s="8"/>
      <c r="F4803" t="str">
        <f t="shared" si="175"/>
        <v/>
      </c>
      <c r="G4803" t="str">
        <f t="shared" si="176"/>
        <v/>
      </c>
    </row>
    <row r="4804" spans="2:7" x14ac:dyDescent="0.25">
      <c r="B4804" s="6"/>
      <c r="C4804" s="7"/>
      <c r="D4804" s="7"/>
      <c r="E4804" s="8"/>
      <c r="F4804" t="str">
        <f t="shared" ref="F4804:F4867" si="177">IF(B4804="","",LOG10(D4804))</f>
        <v/>
      </c>
      <c r="G4804" t="str">
        <f t="shared" ref="G4804:G4867" si="178">IF(E4804="", "",0.434*E4804/D4804)</f>
        <v/>
      </c>
    </row>
    <row r="4805" spans="2:7" x14ac:dyDescent="0.25">
      <c r="B4805" s="6"/>
      <c r="C4805" s="7"/>
      <c r="D4805" s="7"/>
      <c r="E4805" s="8"/>
      <c r="F4805" t="str">
        <f t="shared" si="177"/>
        <v/>
      </c>
      <c r="G4805" t="str">
        <f t="shared" si="178"/>
        <v/>
      </c>
    </row>
    <row r="4806" spans="2:7" x14ac:dyDescent="0.25">
      <c r="B4806" s="6"/>
      <c r="C4806" s="7"/>
      <c r="D4806" s="7"/>
      <c r="E4806" s="8"/>
      <c r="F4806" t="str">
        <f t="shared" si="177"/>
        <v/>
      </c>
      <c r="G4806" t="str">
        <f t="shared" si="178"/>
        <v/>
      </c>
    </row>
    <row r="4807" spans="2:7" x14ac:dyDescent="0.25">
      <c r="B4807" s="6"/>
      <c r="C4807" s="7"/>
      <c r="D4807" s="7"/>
      <c r="E4807" s="8"/>
      <c r="F4807" t="str">
        <f t="shared" si="177"/>
        <v/>
      </c>
      <c r="G4807" t="str">
        <f t="shared" si="178"/>
        <v/>
      </c>
    </row>
    <row r="4808" spans="2:7" x14ac:dyDescent="0.25">
      <c r="B4808" s="6"/>
      <c r="C4808" s="7"/>
      <c r="D4808" s="7"/>
      <c r="E4808" s="8"/>
      <c r="F4808" t="str">
        <f t="shared" si="177"/>
        <v/>
      </c>
      <c r="G4808" t="str">
        <f t="shared" si="178"/>
        <v/>
      </c>
    </row>
    <row r="4809" spans="2:7" x14ac:dyDescent="0.25">
      <c r="B4809" s="6"/>
      <c r="C4809" s="7"/>
      <c r="D4809" s="7"/>
      <c r="E4809" s="8"/>
      <c r="F4809" t="str">
        <f t="shared" si="177"/>
        <v/>
      </c>
      <c r="G4809" t="str">
        <f t="shared" si="178"/>
        <v/>
      </c>
    </row>
    <row r="4810" spans="2:7" x14ac:dyDescent="0.25">
      <c r="B4810" s="6"/>
      <c r="C4810" s="7"/>
      <c r="D4810" s="7"/>
      <c r="E4810" s="8"/>
      <c r="F4810" t="str">
        <f t="shared" si="177"/>
        <v/>
      </c>
      <c r="G4810" t="str">
        <f t="shared" si="178"/>
        <v/>
      </c>
    </row>
    <row r="4811" spans="2:7" x14ac:dyDescent="0.25">
      <c r="B4811" s="6"/>
      <c r="C4811" s="7"/>
      <c r="D4811" s="7"/>
      <c r="E4811" s="8"/>
      <c r="F4811" t="str">
        <f t="shared" si="177"/>
        <v/>
      </c>
      <c r="G4811" t="str">
        <f t="shared" si="178"/>
        <v/>
      </c>
    </row>
    <row r="4812" spans="2:7" x14ac:dyDescent="0.25">
      <c r="B4812" s="6"/>
      <c r="C4812" s="7"/>
      <c r="D4812" s="7"/>
      <c r="E4812" s="8"/>
      <c r="F4812" t="str">
        <f t="shared" si="177"/>
        <v/>
      </c>
      <c r="G4812" t="str">
        <f t="shared" si="178"/>
        <v/>
      </c>
    </row>
    <row r="4813" spans="2:7" x14ac:dyDescent="0.25">
      <c r="B4813" s="6"/>
      <c r="C4813" s="7"/>
      <c r="D4813" s="7"/>
      <c r="E4813" s="8"/>
      <c r="F4813" t="str">
        <f t="shared" si="177"/>
        <v/>
      </c>
      <c r="G4813" t="str">
        <f t="shared" si="178"/>
        <v/>
      </c>
    </row>
    <row r="4814" spans="2:7" x14ac:dyDescent="0.25">
      <c r="B4814" s="6"/>
      <c r="C4814" s="7"/>
      <c r="D4814" s="7"/>
      <c r="E4814" s="8"/>
      <c r="F4814" t="str">
        <f t="shared" si="177"/>
        <v/>
      </c>
      <c r="G4814" t="str">
        <f t="shared" si="178"/>
        <v/>
      </c>
    </row>
    <row r="4815" spans="2:7" x14ac:dyDescent="0.25">
      <c r="B4815" s="6"/>
      <c r="C4815" s="7"/>
      <c r="D4815" s="7"/>
      <c r="E4815" s="8"/>
      <c r="F4815" t="str">
        <f t="shared" si="177"/>
        <v/>
      </c>
      <c r="G4815" t="str">
        <f t="shared" si="178"/>
        <v/>
      </c>
    </row>
    <row r="4816" spans="2:7" x14ac:dyDescent="0.25">
      <c r="B4816" s="6"/>
      <c r="C4816" s="7"/>
      <c r="D4816" s="7"/>
      <c r="E4816" s="8"/>
      <c r="F4816" t="str">
        <f t="shared" si="177"/>
        <v/>
      </c>
      <c r="G4816" t="str">
        <f t="shared" si="178"/>
        <v/>
      </c>
    </row>
    <row r="4817" spans="2:7" x14ac:dyDescent="0.25">
      <c r="B4817" s="6"/>
      <c r="C4817" s="7"/>
      <c r="D4817" s="7"/>
      <c r="E4817" s="8"/>
      <c r="F4817" t="str">
        <f t="shared" si="177"/>
        <v/>
      </c>
      <c r="G4817" t="str">
        <f t="shared" si="178"/>
        <v/>
      </c>
    </row>
    <row r="4818" spans="2:7" x14ac:dyDescent="0.25">
      <c r="B4818" s="6"/>
      <c r="C4818" s="7"/>
      <c r="D4818" s="7"/>
      <c r="E4818" s="8"/>
      <c r="F4818" t="str">
        <f t="shared" si="177"/>
        <v/>
      </c>
      <c r="G4818" t="str">
        <f t="shared" si="178"/>
        <v/>
      </c>
    </row>
    <row r="4819" spans="2:7" x14ac:dyDescent="0.25">
      <c r="B4819" s="6"/>
      <c r="C4819" s="7"/>
      <c r="D4819" s="7"/>
      <c r="E4819" s="8"/>
      <c r="F4819" t="str">
        <f t="shared" si="177"/>
        <v/>
      </c>
      <c r="G4819" t="str">
        <f t="shared" si="178"/>
        <v/>
      </c>
    </row>
    <row r="4820" spans="2:7" x14ac:dyDescent="0.25">
      <c r="B4820" s="6"/>
      <c r="C4820" s="7"/>
      <c r="D4820" s="7"/>
      <c r="E4820" s="8"/>
      <c r="F4820" t="str">
        <f t="shared" si="177"/>
        <v/>
      </c>
      <c r="G4820" t="str">
        <f t="shared" si="178"/>
        <v/>
      </c>
    </row>
    <row r="4821" spans="2:7" x14ac:dyDescent="0.25">
      <c r="B4821" s="6"/>
      <c r="C4821" s="7"/>
      <c r="D4821" s="7"/>
      <c r="E4821" s="8"/>
      <c r="F4821" t="str">
        <f t="shared" si="177"/>
        <v/>
      </c>
      <c r="G4821" t="str">
        <f t="shared" si="178"/>
        <v/>
      </c>
    </row>
    <row r="4822" spans="2:7" x14ac:dyDescent="0.25">
      <c r="B4822" s="6"/>
      <c r="C4822" s="7"/>
      <c r="D4822" s="7"/>
      <c r="E4822" s="8"/>
      <c r="F4822" t="str">
        <f t="shared" si="177"/>
        <v/>
      </c>
      <c r="G4822" t="str">
        <f t="shared" si="178"/>
        <v/>
      </c>
    </row>
    <row r="4823" spans="2:7" x14ac:dyDescent="0.25">
      <c r="B4823" s="6"/>
      <c r="C4823" s="7"/>
      <c r="D4823" s="7"/>
      <c r="E4823" s="8"/>
      <c r="F4823" t="str">
        <f t="shared" si="177"/>
        <v/>
      </c>
      <c r="G4823" t="str">
        <f t="shared" si="178"/>
        <v/>
      </c>
    </row>
    <row r="4824" spans="2:7" x14ac:dyDescent="0.25">
      <c r="B4824" s="6"/>
      <c r="C4824" s="7"/>
      <c r="D4824" s="7"/>
      <c r="E4824" s="8"/>
      <c r="F4824" t="str">
        <f t="shared" si="177"/>
        <v/>
      </c>
      <c r="G4824" t="str">
        <f t="shared" si="178"/>
        <v/>
      </c>
    </row>
    <row r="4825" spans="2:7" x14ac:dyDescent="0.25">
      <c r="B4825" s="6"/>
      <c r="C4825" s="7"/>
      <c r="D4825" s="7"/>
      <c r="E4825" s="8"/>
      <c r="F4825" t="str">
        <f t="shared" si="177"/>
        <v/>
      </c>
      <c r="G4825" t="str">
        <f t="shared" si="178"/>
        <v/>
      </c>
    </row>
    <row r="4826" spans="2:7" x14ac:dyDescent="0.25">
      <c r="B4826" s="6"/>
      <c r="C4826" s="7"/>
      <c r="D4826" s="7"/>
      <c r="E4826" s="8"/>
      <c r="F4826" t="str">
        <f t="shared" si="177"/>
        <v/>
      </c>
      <c r="G4826" t="str">
        <f t="shared" si="178"/>
        <v/>
      </c>
    </row>
    <row r="4827" spans="2:7" x14ac:dyDescent="0.25">
      <c r="B4827" s="6"/>
      <c r="C4827" s="7"/>
      <c r="D4827" s="7"/>
      <c r="E4827" s="8"/>
      <c r="F4827" t="str">
        <f t="shared" si="177"/>
        <v/>
      </c>
      <c r="G4827" t="str">
        <f t="shared" si="178"/>
        <v/>
      </c>
    </row>
    <row r="4828" spans="2:7" x14ac:dyDescent="0.25">
      <c r="B4828" s="6"/>
      <c r="C4828" s="7"/>
      <c r="D4828" s="7"/>
      <c r="E4828" s="8"/>
      <c r="F4828" t="str">
        <f t="shared" si="177"/>
        <v/>
      </c>
      <c r="G4828" t="str">
        <f t="shared" si="178"/>
        <v/>
      </c>
    </row>
    <row r="4829" spans="2:7" x14ac:dyDescent="0.25">
      <c r="B4829" s="6"/>
      <c r="C4829" s="7"/>
      <c r="D4829" s="7"/>
      <c r="E4829" s="8"/>
      <c r="F4829" t="str">
        <f t="shared" si="177"/>
        <v/>
      </c>
      <c r="G4829" t="str">
        <f t="shared" si="178"/>
        <v/>
      </c>
    </row>
    <row r="4830" spans="2:7" x14ac:dyDescent="0.25">
      <c r="B4830" s="6"/>
      <c r="C4830" s="7"/>
      <c r="D4830" s="7"/>
      <c r="E4830" s="8"/>
      <c r="F4830" t="str">
        <f t="shared" si="177"/>
        <v/>
      </c>
      <c r="G4830" t="str">
        <f t="shared" si="178"/>
        <v/>
      </c>
    </row>
    <row r="4831" spans="2:7" x14ac:dyDescent="0.25">
      <c r="B4831" s="6"/>
      <c r="C4831" s="7"/>
      <c r="D4831" s="7"/>
      <c r="E4831" s="8"/>
      <c r="F4831" t="str">
        <f t="shared" si="177"/>
        <v/>
      </c>
      <c r="G4831" t="str">
        <f t="shared" si="178"/>
        <v/>
      </c>
    </row>
    <row r="4832" spans="2:7" x14ac:dyDescent="0.25">
      <c r="B4832" s="6"/>
      <c r="C4832" s="7"/>
      <c r="D4832" s="7"/>
      <c r="E4832" s="8"/>
      <c r="F4832" t="str">
        <f t="shared" si="177"/>
        <v/>
      </c>
      <c r="G4832" t="str">
        <f t="shared" si="178"/>
        <v/>
      </c>
    </row>
    <row r="4833" spans="2:7" x14ac:dyDescent="0.25">
      <c r="B4833" s="6"/>
      <c r="C4833" s="7"/>
      <c r="D4833" s="7"/>
      <c r="E4833" s="8"/>
      <c r="F4833" t="str">
        <f t="shared" si="177"/>
        <v/>
      </c>
      <c r="G4833" t="str">
        <f t="shared" si="178"/>
        <v/>
      </c>
    </row>
    <row r="4834" spans="2:7" x14ac:dyDescent="0.25">
      <c r="B4834" s="6"/>
      <c r="C4834" s="7"/>
      <c r="D4834" s="7"/>
      <c r="E4834" s="8"/>
      <c r="F4834" t="str">
        <f t="shared" si="177"/>
        <v/>
      </c>
      <c r="G4834" t="str">
        <f t="shared" si="178"/>
        <v/>
      </c>
    </row>
    <row r="4835" spans="2:7" x14ac:dyDescent="0.25">
      <c r="B4835" s="6"/>
      <c r="C4835" s="7"/>
      <c r="D4835" s="7"/>
      <c r="E4835" s="8"/>
      <c r="F4835" t="str">
        <f t="shared" si="177"/>
        <v/>
      </c>
      <c r="G4835" t="str">
        <f t="shared" si="178"/>
        <v/>
      </c>
    </row>
    <row r="4836" spans="2:7" x14ac:dyDescent="0.25">
      <c r="B4836" s="6"/>
      <c r="C4836" s="7"/>
      <c r="D4836" s="7"/>
      <c r="E4836" s="8"/>
      <c r="F4836" t="str">
        <f t="shared" si="177"/>
        <v/>
      </c>
      <c r="G4836" t="str">
        <f t="shared" si="178"/>
        <v/>
      </c>
    </row>
    <row r="4837" spans="2:7" x14ac:dyDescent="0.25">
      <c r="B4837" s="6"/>
      <c r="C4837" s="7"/>
      <c r="D4837" s="7"/>
      <c r="E4837" s="8"/>
      <c r="F4837" t="str">
        <f t="shared" si="177"/>
        <v/>
      </c>
      <c r="G4837" t="str">
        <f t="shared" si="178"/>
        <v/>
      </c>
    </row>
    <row r="4838" spans="2:7" x14ac:dyDescent="0.25">
      <c r="B4838" s="6"/>
      <c r="C4838" s="7"/>
      <c r="D4838" s="7"/>
      <c r="E4838" s="8"/>
      <c r="F4838" t="str">
        <f t="shared" si="177"/>
        <v/>
      </c>
      <c r="G4838" t="str">
        <f t="shared" si="178"/>
        <v/>
      </c>
    </row>
    <row r="4839" spans="2:7" x14ac:dyDescent="0.25">
      <c r="B4839" s="6"/>
      <c r="C4839" s="7"/>
      <c r="D4839" s="7"/>
      <c r="E4839" s="8"/>
      <c r="F4839" t="str">
        <f t="shared" si="177"/>
        <v/>
      </c>
      <c r="G4839" t="str">
        <f t="shared" si="178"/>
        <v/>
      </c>
    </row>
    <row r="4840" spans="2:7" x14ac:dyDescent="0.25">
      <c r="B4840" s="6"/>
      <c r="C4840" s="7"/>
      <c r="D4840" s="7"/>
      <c r="E4840" s="8"/>
      <c r="F4840" t="str">
        <f t="shared" si="177"/>
        <v/>
      </c>
      <c r="G4840" t="str">
        <f t="shared" si="178"/>
        <v/>
      </c>
    </row>
    <row r="4841" spans="2:7" x14ac:dyDescent="0.25">
      <c r="B4841" s="6"/>
      <c r="C4841" s="7"/>
      <c r="D4841" s="7"/>
      <c r="E4841" s="8"/>
      <c r="F4841" t="str">
        <f t="shared" si="177"/>
        <v/>
      </c>
      <c r="G4841" t="str">
        <f t="shared" si="178"/>
        <v/>
      </c>
    </row>
    <row r="4842" spans="2:7" x14ac:dyDescent="0.25">
      <c r="B4842" s="6"/>
      <c r="C4842" s="7"/>
      <c r="D4842" s="7"/>
      <c r="E4842" s="8"/>
      <c r="F4842" t="str">
        <f t="shared" si="177"/>
        <v/>
      </c>
      <c r="G4842" t="str">
        <f t="shared" si="178"/>
        <v/>
      </c>
    </row>
    <row r="4843" spans="2:7" x14ac:dyDescent="0.25">
      <c r="B4843" s="6"/>
      <c r="C4843" s="7"/>
      <c r="D4843" s="7"/>
      <c r="E4843" s="8"/>
      <c r="F4843" t="str">
        <f t="shared" si="177"/>
        <v/>
      </c>
      <c r="G4843" t="str">
        <f t="shared" si="178"/>
        <v/>
      </c>
    </row>
    <row r="4844" spans="2:7" x14ac:dyDescent="0.25">
      <c r="B4844" s="6"/>
      <c r="C4844" s="7"/>
      <c r="D4844" s="7"/>
      <c r="E4844" s="8"/>
      <c r="F4844" t="str">
        <f t="shared" si="177"/>
        <v/>
      </c>
      <c r="G4844" t="str">
        <f t="shared" si="178"/>
        <v/>
      </c>
    </row>
    <row r="4845" spans="2:7" x14ac:dyDescent="0.25">
      <c r="B4845" s="6"/>
      <c r="C4845" s="7"/>
      <c r="D4845" s="7"/>
      <c r="E4845" s="8"/>
      <c r="F4845" t="str">
        <f t="shared" si="177"/>
        <v/>
      </c>
      <c r="G4845" t="str">
        <f t="shared" si="178"/>
        <v/>
      </c>
    </row>
    <row r="4846" spans="2:7" x14ac:dyDescent="0.25">
      <c r="B4846" s="6"/>
      <c r="C4846" s="7"/>
      <c r="D4846" s="7"/>
      <c r="E4846" s="8"/>
      <c r="F4846" t="str">
        <f t="shared" si="177"/>
        <v/>
      </c>
      <c r="G4846" t="str">
        <f t="shared" si="178"/>
        <v/>
      </c>
    </row>
    <row r="4847" spans="2:7" x14ac:dyDescent="0.25">
      <c r="B4847" s="6"/>
      <c r="C4847" s="7"/>
      <c r="D4847" s="7"/>
      <c r="E4847" s="8"/>
      <c r="F4847" t="str">
        <f t="shared" si="177"/>
        <v/>
      </c>
      <c r="G4847" t="str">
        <f t="shared" si="178"/>
        <v/>
      </c>
    </row>
    <row r="4848" spans="2:7" x14ac:dyDescent="0.25">
      <c r="B4848" s="6"/>
      <c r="C4848" s="7"/>
      <c r="D4848" s="7"/>
      <c r="E4848" s="8"/>
      <c r="F4848" t="str">
        <f t="shared" si="177"/>
        <v/>
      </c>
      <c r="G4848" t="str">
        <f t="shared" si="178"/>
        <v/>
      </c>
    </row>
    <row r="4849" spans="2:7" x14ac:dyDescent="0.25">
      <c r="B4849" s="6"/>
      <c r="C4849" s="7"/>
      <c r="D4849" s="7"/>
      <c r="E4849" s="8"/>
      <c r="F4849" t="str">
        <f t="shared" si="177"/>
        <v/>
      </c>
      <c r="G4849" t="str">
        <f t="shared" si="178"/>
        <v/>
      </c>
    </row>
    <row r="4850" spans="2:7" x14ac:dyDescent="0.25">
      <c r="B4850" s="6"/>
      <c r="C4850" s="7"/>
      <c r="D4850" s="7"/>
      <c r="E4850" s="8"/>
      <c r="F4850" t="str">
        <f t="shared" si="177"/>
        <v/>
      </c>
      <c r="G4850" t="str">
        <f t="shared" si="178"/>
        <v/>
      </c>
    </row>
    <row r="4851" spans="2:7" x14ac:dyDescent="0.25">
      <c r="B4851" s="6"/>
      <c r="C4851" s="7"/>
      <c r="D4851" s="7"/>
      <c r="E4851" s="8"/>
      <c r="F4851" t="str">
        <f t="shared" si="177"/>
        <v/>
      </c>
      <c r="G4851" t="str">
        <f t="shared" si="178"/>
        <v/>
      </c>
    </row>
    <row r="4852" spans="2:7" x14ac:dyDescent="0.25">
      <c r="B4852" s="6"/>
      <c r="C4852" s="7"/>
      <c r="D4852" s="7"/>
      <c r="E4852" s="8"/>
      <c r="F4852" t="str">
        <f t="shared" si="177"/>
        <v/>
      </c>
      <c r="G4852" t="str">
        <f t="shared" si="178"/>
        <v/>
      </c>
    </row>
    <row r="4853" spans="2:7" x14ac:dyDescent="0.25">
      <c r="B4853" s="6"/>
      <c r="C4853" s="7"/>
      <c r="D4853" s="7"/>
      <c r="E4853" s="8"/>
      <c r="F4853" t="str">
        <f t="shared" si="177"/>
        <v/>
      </c>
      <c r="G4853" t="str">
        <f t="shared" si="178"/>
        <v/>
      </c>
    </row>
    <row r="4854" spans="2:7" x14ac:dyDescent="0.25">
      <c r="B4854" s="6"/>
      <c r="C4854" s="7"/>
      <c r="D4854" s="7"/>
      <c r="E4854" s="8"/>
      <c r="F4854" t="str">
        <f t="shared" si="177"/>
        <v/>
      </c>
      <c r="G4854" t="str">
        <f t="shared" si="178"/>
        <v/>
      </c>
    </row>
    <row r="4855" spans="2:7" x14ac:dyDescent="0.25">
      <c r="B4855" s="6"/>
      <c r="C4855" s="7"/>
      <c r="D4855" s="7"/>
      <c r="E4855" s="8"/>
      <c r="F4855" t="str">
        <f t="shared" si="177"/>
        <v/>
      </c>
      <c r="G4855" t="str">
        <f t="shared" si="178"/>
        <v/>
      </c>
    </row>
    <row r="4856" spans="2:7" x14ac:dyDescent="0.25">
      <c r="B4856" s="6"/>
      <c r="C4856" s="7"/>
      <c r="D4856" s="7"/>
      <c r="E4856" s="8"/>
      <c r="F4856" t="str">
        <f t="shared" si="177"/>
        <v/>
      </c>
      <c r="G4856" t="str">
        <f t="shared" si="178"/>
        <v/>
      </c>
    </row>
    <row r="4857" spans="2:7" x14ac:dyDescent="0.25">
      <c r="B4857" s="6"/>
      <c r="C4857" s="7"/>
      <c r="D4857" s="7"/>
      <c r="E4857" s="8"/>
      <c r="F4857" t="str">
        <f t="shared" si="177"/>
        <v/>
      </c>
      <c r="G4857" t="str">
        <f t="shared" si="178"/>
        <v/>
      </c>
    </row>
    <row r="4858" spans="2:7" x14ac:dyDescent="0.25">
      <c r="B4858" s="6"/>
      <c r="C4858" s="7"/>
      <c r="D4858" s="7"/>
      <c r="E4858" s="8"/>
      <c r="F4858" t="str">
        <f t="shared" si="177"/>
        <v/>
      </c>
      <c r="G4858" t="str">
        <f t="shared" si="178"/>
        <v/>
      </c>
    </row>
    <row r="4859" spans="2:7" x14ac:dyDescent="0.25">
      <c r="B4859" s="6"/>
      <c r="C4859" s="7"/>
      <c r="D4859" s="7"/>
      <c r="E4859" s="8"/>
      <c r="F4859" t="str">
        <f t="shared" si="177"/>
        <v/>
      </c>
      <c r="G4859" t="str">
        <f t="shared" si="178"/>
        <v/>
      </c>
    </row>
    <row r="4860" spans="2:7" x14ac:dyDescent="0.25">
      <c r="B4860" s="6"/>
      <c r="C4860" s="7"/>
      <c r="D4860" s="7"/>
      <c r="E4860" s="8"/>
      <c r="F4860" t="str">
        <f t="shared" si="177"/>
        <v/>
      </c>
      <c r="G4860" t="str">
        <f t="shared" si="178"/>
        <v/>
      </c>
    </row>
    <row r="4861" spans="2:7" x14ac:dyDescent="0.25">
      <c r="B4861" s="6"/>
      <c r="C4861" s="7"/>
      <c r="D4861" s="7"/>
      <c r="E4861" s="8"/>
      <c r="F4861" t="str">
        <f t="shared" si="177"/>
        <v/>
      </c>
      <c r="G4861" t="str">
        <f t="shared" si="178"/>
        <v/>
      </c>
    </row>
    <row r="4862" spans="2:7" x14ac:dyDescent="0.25">
      <c r="B4862" s="6"/>
      <c r="C4862" s="7"/>
      <c r="D4862" s="7"/>
      <c r="E4862" s="8"/>
      <c r="F4862" t="str">
        <f t="shared" si="177"/>
        <v/>
      </c>
      <c r="G4862" t="str">
        <f t="shared" si="178"/>
        <v/>
      </c>
    </row>
    <row r="4863" spans="2:7" x14ac:dyDescent="0.25">
      <c r="B4863" s="6"/>
      <c r="C4863" s="7"/>
      <c r="D4863" s="7"/>
      <c r="E4863" s="8"/>
      <c r="F4863" t="str">
        <f t="shared" si="177"/>
        <v/>
      </c>
      <c r="G4863" t="str">
        <f t="shared" si="178"/>
        <v/>
      </c>
    </row>
    <row r="4864" spans="2:7" x14ac:dyDescent="0.25">
      <c r="B4864" s="6"/>
      <c r="C4864" s="7"/>
      <c r="D4864" s="7"/>
      <c r="E4864" s="8"/>
      <c r="F4864" t="str">
        <f t="shared" si="177"/>
        <v/>
      </c>
      <c r="G4864" t="str">
        <f t="shared" si="178"/>
        <v/>
      </c>
    </row>
    <row r="4865" spans="2:7" x14ac:dyDescent="0.25">
      <c r="B4865" s="6"/>
      <c r="C4865" s="7"/>
      <c r="D4865" s="7"/>
      <c r="E4865" s="8"/>
      <c r="F4865" t="str">
        <f t="shared" si="177"/>
        <v/>
      </c>
      <c r="G4865" t="str">
        <f t="shared" si="178"/>
        <v/>
      </c>
    </row>
    <row r="4866" spans="2:7" x14ac:dyDescent="0.25">
      <c r="B4866" s="6"/>
      <c r="C4866" s="7"/>
      <c r="D4866" s="7"/>
      <c r="E4866" s="8"/>
      <c r="F4866" t="str">
        <f t="shared" si="177"/>
        <v/>
      </c>
      <c r="G4866" t="str">
        <f t="shared" si="178"/>
        <v/>
      </c>
    </row>
    <row r="4867" spans="2:7" x14ac:dyDescent="0.25">
      <c r="B4867" s="6"/>
      <c r="C4867" s="7"/>
      <c r="D4867" s="7"/>
      <c r="E4867" s="8"/>
      <c r="F4867" t="str">
        <f t="shared" si="177"/>
        <v/>
      </c>
      <c r="G4867" t="str">
        <f t="shared" si="178"/>
        <v/>
      </c>
    </row>
    <row r="4868" spans="2:7" x14ac:dyDescent="0.25">
      <c r="B4868" s="6"/>
      <c r="C4868" s="7"/>
      <c r="D4868" s="7"/>
      <c r="E4868" s="8"/>
      <c r="F4868" t="str">
        <f t="shared" ref="F4868:F4931" si="179">IF(B4868="","",LOG10(D4868))</f>
        <v/>
      </c>
      <c r="G4868" t="str">
        <f t="shared" ref="G4868:G4931" si="180">IF(E4868="", "",0.434*E4868/D4868)</f>
        <v/>
      </c>
    </row>
    <row r="4869" spans="2:7" x14ac:dyDescent="0.25">
      <c r="B4869" s="6"/>
      <c r="C4869" s="7"/>
      <c r="D4869" s="7"/>
      <c r="E4869" s="8"/>
      <c r="F4869" t="str">
        <f t="shared" si="179"/>
        <v/>
      </c>
      <c r="G4869" t="str">
        <f t="shared" si="180"/>
        <v/>
      </c>
    </row>
    <row r="4870" spans="2:7" x14ac:dyDescent="0.25">
      <c r="B4870" s="6"/>
      <c r="C4870" s="7"/>
      <c r="D4870" s="7"/>
      <c r="E4870" s="8"/>
      <c r="F4870" t="str">
        <f t="shared" si="179"/>
        <v/>
      </c>
      <c r="G4870" t="str">
        <f t="shared" si="180"/>
        <v/>
      </c>
    </row>
    <row r="4871" spans="2:7" x14ac:dyDescent="0.25">
      <c r="B4871" s="6"/>
      <c r="C4871" s="7"/>
      <c r="D4871" s="7"/>
      <c r="E4871" s="8"/>
      <c r="F4871" t="str">
        <f t="shared" si="179"/>
        <v/>
      </c>
      <c r="G4871" t="str">
        <f t="shared" si="180"/>
        <v/>
      </c>
    </row>
    <row r="4872" spans="2:7" x14ac:dyDescent="0.25">
      <c r="B4872" s="6"/>
      <c r="C4872" s="7"/>
      <c r="D4872" s="7"/>
      <c r="E4872" s="8"/>
      <c r="F4872" t="str">
        <f t="shared" si="179"/>
        <v/>
      </c>
      <c r="G4872" t="str">
        <f t="shared" si="180"/>
        <v/>
      </c>
    </row>
    <row r="4873" spans="2:7" x14ac:dyDescent="0.25">
      <c r="B4873" s="6"/>
      <c r="C4873" s="7"/>
      <c r="D4873" s="7"/>
      <c r="E4873" s="8"/>
      <c r="F4873" t="str">
        <f t="shared" si="179"/>
        <v/>
      </c>
      <c r="G4873" t="str">
        <f t="shared" si="180"/>
        <v/>
      </c>
    </row>
    <row r="4874" spans="2:7" x14ac:dyDescent="0.25">
      <c r="B4874" s="6"/>
      <c r="C4874" s="7"/>
      <c r="D4874" s="7"/>
      <c r="E4874" s="8"/>
      <c r="F4874" t="str">
        <f t="shared" si="179"/>
        <v/>
      </c>
      <c r="G4874" t="str">
        <f t="shared" si="180"/>
        <v/>
      </c>
    </row>
    <row r="4875" spans="2:7" x14ac:dyDescent="0.25">
      <c r="B4875" s="6"/>
      <c r="C4875" s="7"/>
      <c r="D4875" s="7"/>
      <c r="E4875" s="8"/>
      <c r="F4875" t="str">
        <f t="shared" si="179"/>
        <v/>
      </c>
      <c r="G4875" t="str">
        <f t="shared" si="180"/>
        <v/>
      </c>
    </row>
    <row r="4876" spans="2:7" x14ac:dyDescent="0.25">
      <c r="B4876" s="6"/>
      <c r="C4876" s="7"/>
      <c r="D4876" s="7"/>
      <c r="E4876" s="8"/>
      <c r="F4876" t="str">
        <f t="shared" si="179"/>
        <v/>
      </c>
      <c r="G4876" t="str">
        <f t="shared" si="180"/>
        <v/>
      </c>
    </row>
    <row r="4877" spans="2:7" x14ac:dyDescent="0.25">
      <c r="B4877" s="6"/>
      <c r="C4877" s="7"/>
      <c r="D4877" s="7"/>
      <c r="E4877" s="8"/>
      <c r="F4877" t="str">
        <f t="shared" si="179"/>
        <v/>
      </c>
      <c r="G4877" t="str">
        <f t="shared" si="180"/>
        <v/>
      </c>
    </row>
    <row r="4878" spans="2:7" x14ac:dyDescent="0.25">
      <c r="B4878" s="6"/>
      <c r="C4878" s="7"/>
      <c r="D4878" s="7"/>
      <c r="E4878" s="8"/>
      <c r="F4878" t="str">
        <f t="shared" si="179"/>
        <v/>
      </c>
      <c r="G4878" t="str">
        <f t="shared" si="180"/>
        <v/>
      </c>
    </row>
    <row r="4879" spans="2:7" x14ac:dyDescent="0.25">
      <c r="B4879" s="6"/>
      <c r="C4879" s="7"/>
      <c r="D4879" s="7"/>
      <c r="E4879" s="8"/>
      <c r="F4879" t="str">
        <f t="shared" si="179"/>
        <v/>
      </c>
      <c r="G4879" t="str">
        <f t="shared" si="180"/>
        <v/>
      </c>
    </row>
    <row r="4880" spans="2:7" x14ac:dyDescent="0.25">
      <c r="B4880" s="6"/>
      <c r="C4880" s="7"/>
      <c r="D4880" s="7"/>
      <c r="E4880" s="8"/>
      <c r="F4880" t="str">
        <f t="shared" si="179"/>
        <v/>
      </c>
      <c r="G4880" t="str">
        <f t="shared" si="180"/>
        <v/>
      </c>
    </row>
    <row r="4881" spans="2:7" x14ac:dyDescent="0.25">
      <c r="B4881" s="6"/>
      <c r="C4881" s="7"/>
      <c r="D4881" s="7"/>
      <c r="E4881" s="8"/>
      <c r="F4881" t="str">
        <f t="shared" si="179"/>
        <v/>
      </c>
      <c r="G4881" t="str">
        <f t="shared" si="180"/>
        <v/>
      </c>
    </row>
    <row r="4882" spans="2:7" x14ac:dyDescent="0.25">
      <c r="B4882" s="6"/>
      <c r="C4882" s="7"/>
      <c r="D4882" s="7"/>
      <c r="E4882" s="8"/>
      <c r="F4882" t="str">
        <f t="shared" si="179"/>
        <v/>
      </c>
      <c r="G4882" t="str">
        <f t="shared" si="180"/>
        <v/>
      </c>
    </row>
    <row r="4883" spans="2:7" x14ac:dyDescent="0.25">
      <c r="B4883" s="6"/>
      <c r="C4883" s="7"/>
      <c r="D4883" s="7"/>
      <c r="E4883" s="8"/>
      <c r="F4883" t="str">
        <f t="shared" si="179"/>
        <v/>
      </c>
      <c r="G4883" t="str">
        <f t="shared" si="180"/>
        <v/>
      </c>
    </row>
    <row r="4884" spans="2:7" x14ac:dyDescent="0.25">
      <c r="B4884" s="6"/>
      <c r="C4884" s="7"/>
      <c r="D4884" s="7"/>
      <c r="E4884" s="8"/>
      <c r="F4884" t="str">
        <f t="shared" si="179"/>
        <v/>
      </c>
      <c r="G4884" t="str">
        <f t="shared" si="180"/>
        <v/>
      </c>
    </row>
    <row r="4885" spans="2:7" x14ac:dyDescent="0.25">
      <c r="B4885" s="6"/>
      <c r="C4885" s="7"/>
      <c r="D4885" s="7"/>
      <c r="E4885" s="8"/>
      <c r="F4885" t="str">
        <f t="shared" si="179"/>
        <v/>
      </c>
      <c r="G4885" t="str">
        <f t="shared" si="180"/>
        <v/>
      </c>
    </row>
    <row r="4886" spans="2:7" x14ac:dyDescent="0.25">
      <c r="B4886" s="6"/>
      <c r="C4886" s="7"/>
      <c r="D4886" s="7"/>
      <c r="E4886" s="8"/>
      <c r="F4886" t="str">
        <f t="shared" si="179"/>
        <v/>
      </c>
      <c r="G4886" t="str">
        <f t="shared" si="180"/>
        <v/>
      </c>
    </row>
    <row r="4887" spans="2:7" x14ac:dyDescent="0.25">
      <c r="B4887" s="6"/>
      <c r="C4887" s="7"/>
      <c r="D4887" s="7"/>
      <c r="E4887" s="8"/>
      <c r="F4887" t="str">
        <f t="shared" si="179"/>
        <v/>
      </c>
      <c r="G4887" t="str">
        <f t="shared" si="180"/>
        <v/>
      </c>
    </row>
    <row r="4888" spans="2:7" x14ac:dyDescent="0.25">
      <c r="B4888" s="6"/>
      <c r="C4888" s="7"/>
      <c r="D4888" s="7"/>
      <c r="E4888" s="8"/>
      <c r="F4888" t="str">
        <f t="shared" si="179"/>
        <v/>
      </c>
      <c r="G4888" t="str">
        <f t="shared" si="180"/>
        <v/>
      </c>
    </row>
    <row r="4889" spans="2:7" x14ac:dyDescent="0.25">
      <c r="B4889" s="6"/>
      <c r="C4889" s="7"/>
      <c r="D4889" s="7"/>
      <c r="E4889" s="8"/>
      <c r="F4889" t="str">
        <f t="shared" si="179"/>
        <v/>
      </c>
      <c r="G4889" t="str">
        <f t="shared" si="180"/>
        <v/>
      </c>
    </row>
    <row r="4890" spans="2:7" x14ac:dyDescent="0.25">
      <c r="B4890" s="6"/>
      <c r="C4890" s="7"/>
      <c r="D4890" s="7"/>
      <c r="E4890" s="8"/>
      <c r="F4890" t="str">
        <f t="shared" si="179"/>
        <v/>
      </c>
      <c r="G4890" t="str">
        <f t="shared" si="180"/>
        <v/>
      </c>
    </row>
    <row r="4891" spans="2:7" x14ac:dyDescent="0.25">
      <c r="B4891" s="6"/>
      <c r="C4891" s="7"/>
      <c r="D4891" s="7"/>
      <c r="E4891" s="8"/>
      <c r="F4891" t="str">
        <f t="shared" si="179"/>
        <v/>
      </c>
      <c r="G4891" t="str">
        <f t="shared" si="180"/>
        <v/>
      </c>
    </row>
    <row r="4892" spans="2:7" x14ac:dyDescent="0.25">
      <c r="B4892" s="6"/>
      <c r="C4892" s="7"/>
      <c r="D4892" s="7"/>
      <c r="E4892" s="8"/>
      <c r="F4892" t="str">
        <f t="shared" si="179"/>
        <v/>
      </c>
      <c r="G4892" t="str">
        <f t="shared" si="180"/>
        <v/>
      </c>
    </row>
    <row r="4893" spans="2:7" x14ac:dyDescent="0.25">
      <c r="B4893" s="6"/>
      <c r="C4893" s="7"/>
      <c r="D4893" s="7"/>
      <c r="E4893" s="8"/>
      <c r="F4893" t="str">
        <f t="shared" si="179"/>
        <v/>
      </c>
      <c r="G4893" t="str">
        <f t="shared" si="180"/>
        <v/>
      </c>
    </row>
    <row r="4894" spans="2:7" x14ac:dyDescent="0.25">
      <c r="B4894" s="6"/>
      <c r="C4894" s="7"/>
      <c r="D4894" s="7"/>
      <c r="E4894" s="8"/>
      <c r="F4894" t="str">
        <f t="shared" si="179"/>
        <v/>
      </c>
      <c r="G4894" t="str">
        <f t="shared" si="180"/>
        <v/>
      </c>
    </row>
    <row r="4895" spans="2:7" x14ac:dyDescent="0.25">
      <c r="B4895" s="6"/>
      <c r="C4895" s="7"/>
      <c r="D4895" s="7"/>
      <c r="E4895" s="8"/>
      <c r="F4895" t="str">
        <f t="shared" si="179"/>
        <v/>
      </c>
      <c r="G4895" t="str">
        <f t="shared" si="180"/>
        <v/>
      </c>
    </row>
    <row r="4896" spans="2:7" x14ac:dyDescent="0.25">
      <c r="B4896" s="6"/>
      <c r="C4896" s="7"/>
      <c r="D4896" s="7"/>
      <c r="E4896" s="8"/>
      <c r="F4896" t="str">
        <f t="shared" si="179"/>
        <v/>
      </c>
      <c r="G4896" t="str">
        <f t="shared" si="180"/>
        <v/>
      </c>
    </row>
    <row r="4897" spans="2:7" x14ac:dyDescent="0.25">
      <c r="B4897" s="6"/>
      <c r="C4897" s="7"/>
      <c r="D4897" s="7"/>
      <c r="E4897" s="8"/>
      <c r="F4897" t="str">
        <f t="shared" si="179"/>
        <v/>
      </c>
      <c r="G4897" t="str">
        <f t="shared" si="180"/>
        <v/>
      </c>
    </row>
    <row r="4898" spans="2:7" x14ac:dyDescent="0.25">
      <c r="B4898" s="6"/>
      <c r="C4898" s="7"/>
      <c r="D4898" s="7"/>
      <c r="E4898" s="8"/>
      <c r="F4898" t="str">
        <f t="shared" si="179"/>
        <v/>
      </c>
      <c r="G4898" t="str">
        <f t="shared" si="180"/>
        <v/>
      </c>
    </row>
    <row r="4899" spans="2:7" x14ac:dyDescent="0.25">
      <c r="B4899" s="6"/>
      <c r="C4899" s="7"/>
      <c r="D4899" s="7"/>
      <c r="E4899" s="8"/>
      <c r="F4899" t="str">
        <f t="shared" si="179"/>
        <v/>
      </c>
      <c r="G4899" t="str">
        <f t="shared" si="180"/>
        <v/>
      </c>
    </row>
    <row r="4900" spans="2:7" x14ac:dyDescent="0.25">
      <c r="B4900" s="6"/>
      <c r="C4900" s="7"/>
      <c r="D4900" s="7"/>
      <c r="E4900" s="8"/>
      <c r="F4900" t="str">
        <f t="shared" si="179"/>
        <v/>
      </c>
      <c r="G4900" t="str">
        <f t="shared" si="180"/>
        <v/>
      </c>
    </row>
    <row r="4901" spans="2:7" x14ac:dyDescent="0.25">
      <c r="B4901" s="6"/>
      <c r="C4901" s="7"/>
      <c r="D4901" s="7"/>
      <c r="E4901" s="8"/>
      <c r="F4901" t="str">
        <f t="shared" si="179"/>
        <v/>
      </c>
      <c r="G4901" t="str">
        <f t="shared" si="180"/>
        <v/>
      </c>
    </row>
    <row r="4902" spans="2:7" x14ac:dyDescent="0.25">
      <c r="B4902" s="6"/>
      <c r="C4902" s="7"/>
      <c r="D4902" s="7"/>
      <c r="E4902" s="8"/>
      <c r="F4902" t="str">
        <f t="shared" si="179"/>
        <v/>
      </c>
      <c r="G4902" t="str">
        <f t="shared" si="180"/>
        <v/>
      </c>
    </row>
    <row r="4903" spans="2:7" x14ac:dyDescent="0.25">
      <c r="B4903" s="6"/>
      <c r="C4903" s="7"/>
      <c r="D4903" s="7"/>
      <c r="E4903" s="8"/>
      <c r="F4903" t="str">
        <f t="shared" si="179"/>
        <v/>
      </c>
      <c r="G4903" t="str">
        <f t="shared" si="180"/>
        <v/>
      </c>
    </row>
    <row r="4904" spans="2:7" x14ac:dyDescent="0.25">
      <c r="B4904" s="6"/>
      <c r="C4904" s="7"/>
      <c r="D4904" s="7"/>
      <c r="E4904" s="8"/>
      <c r="F4904" t="str">
        <f t="shared" si="179"/>
        <v/>
      </c>
      <c r="G4904" t="str">
        <f t="shared" si="180"/>
        <v/>
      </c>
    </row>
    <row r="4905" spans="2:7" x14ac:dyDescent="0.25">
      <c r="B4905" s="6"/>
      <c r="C4905" s="7"/>
      <c r="D4905" s="7"/>
      <c r="E4905" s="8"/>
      <c r="F4905" t="str">
        <f t="shared" si="179"/>
        <v/>
      </c>
      <c r="G4905" t="str">
        <f t="shared" si="180"/>
        <v/>
      </c>
    </row>
    <row r="4906" spans="2:7" x14ac:dyDescent="0.25">
      <c r="B4906" s="6"/>
      <c r="C4906" s="7"/>
      <c r="D4906" s="7"/>
      <c r="E4906" s="8"/>
      <c r="F4906" t="str">
        <f t="shared" si="179"/>
        <v/>
      </c>
      <c r="G4906" t="str">
        <f t="shared" si="180"/>
        <v/>
      </c>
    </row>
    <row r="4907" spans="2:7" x14ac:dyDescent="0.25">
      <c r="B4907" s="6"/>
      <c r="C4907" s="7"/>
      <c r="D4907" s="7"/>
      <c r="E4907" s="8"/>
      <c r="F4907" t="str">
        <f t="shared" si="179"/>
        <v/>
      </c>
      <c r="G4907" t="str">
        <f t="shared" si="180"/>
        <v/>
      </c>
    </row>
    <row r="4908" spans="2:7" x14ac:dyDescent="0.25">
      <c r="B4908" s="6"/>
      <c r="C4908" s="7"/>
      <c r="D4908" s="7"/>
      <c r="E4908" s="8"/>
      <c r="F4908" t="str">
        <f t="shared" si="179"/>
        <v/>
      </c>
      <c r="G4908" t="str">
        <f t="shared" si="180"/>
        <v/>
      </c>
    </row>
    <row r="4909" spans="2:7" x14ac:dyDescent="0.25">
      <c r="B4909" s="6"/>
      <c r="C4909" s="7"/>
      <c r="D4909" s="7"/>
      <c r="E4909" s="8"/>
      <c r="F4909" t="str">
        <f t="shared" si="179"/>
        <v/>
      </c>
      <c r="G4909" t="str">
        <f t="shared" si="180"/>
        <v/>
      </c>
    </row>
    <row r="4910" spans="2:7" x14ac:dyDescent="0.25">
      <c r="B4910" s="6"/>
      <c r="C4910" s="7"/>
      <c r="D4910" s="7"/>
      <c r="E4910" s="8"/>
      <c r="F4910" t="str">
        <f t="shared" si="179"/>
        <v/>
      </c>
      <c r="G4910" t="str">
        <f t="shared" si="180"/>
        <v/>
      </c>
    </row>
    <row r="4911" spans="2:7" x14ac:dyDescent="0.25">
      <c r="B4911" s="6"/>
      <c r="C4911" s="7"/>
      <c r="D4911" s="7"/>
      <c r="E4911" s="8"/>
      <c r="F4911" t="str">
        <f t="shared" si="179"/>
        <v/>
      </c>
      <c r="G4911" t="str">
        <f t="shared" si="180"/>
        <v/>
      </c>
    </row>
    <row r="4912" spans="2:7" x14ac:dyDescent="0.25">
      <c r="B4912" s="6"/>
      <c r="C4912" s="7"/>
      <c r="D4912" s="7"/>
      <c r="E4912" s="8"/>
      <c r="F4912" t="str">
        <f t="shared" si="179"/>
        <v/>
      </c>
      <c r="G4912" t="str">
        <f t="shared" si="180"/>
        <v/>
      </c>
    </row>
    <row r="4913" spans="2:7" x14ac:dyDescent="0.25">
      <c r="B4913" s="6"/>
      <c r="C4913" s="7"/>
      <c r="D4913" s="7"/>
      <c r="E4913" s="8"/>
      <c r="F4913" t="str">
        <f t="shared" si="179"/>
        <v/>
      </c>
      <c r="G4913" t="str">
        <f t="shared" si="180"/>
        <v/>
      </c>
    </row>
    <row r="4914" spans="2:7" x14ac:dyDescent="0.25">
      <c r="B4914" s="6"/>
      <c r="C4914" s="7"/>
      <c r="D4914" s="7"/>
      <c r="E4914" s="8"/>
      <c r="F4914" t="str">
        <f t="shared" si="179"/>
        <v/>
      </c>
      <c r="G4914" t="str">
        <f t="shared" si="180"/>
        <v/>
      </c>
    </row>
    <row r="4915" spans="2:7" x14ac:dyDescent="0.25">
      <c r="B4915" s="6"/>
      <c r="C4915" s="7"/>
      <c r="D4915" s="7"/>
      <c r="E4915" s="8"/>
      <c r="F4915" t="str">
        <f t="shared" si="179"/>
        <v/>
      </c>
      <c r="G4915" t="str">
        <f t="shared" si="180"/>
        <v/>
      </c>
    </row>
    <row r="4916" spans="2:7" x14ac:dyDescent="0.25">
      <c r="B4916" s="6"/>
      <c r="C4916" s="7"/>
      <c r="D4916" s="7"/>
      <c r="E4916" s="8"/>
      <c r="F4916" t="str">
        <f t="shared" si="179"/>
        <v/>
      </c>
      <c r="G4916" t="str">
        <f t="shared" si="180"/>
        <v/>
      </c>
    </row>
    <row r="4917" spans="2:7" x14ac:dyDescent="0.25">
      <c r="B4917" s="6"/>
      <c r="C4917" s="7"/>
      <c r="D4917" s="7"/>
      <c r="E4917" s="8"/>
      <c r="F4917" t="str">
        <f t="shared" si="179"/>
        <v/>
      </c>
      <c r="G4917" t="str">
        <f t="shared" si="180"/>
        <v/>
      </c>
    </row>
    <row r="4918" spans="2:7" x14ac:dyDescent="0.25">
      <c r="B4918" s="6"/>
      <c r="C4918" s="7"/>
      <c r="D4918" s="7"/>
      <c r="E4918" s="8"/>
      <c r="F4918" t="str">
        <f t="shared" si="179"/>
        <v/>
      </c>
      <c r="G4918" t="str">
        <f t="shared" si="180"/>
        <v/>
      </c>
    </row>
    <row r="4919" spans="2:7" x14ac:dyDescent="0.25">
      <c r="B4919" s="6"/>
      <c r="C4919" s="7"/>
      <c r="D4919" s="7"/>
      <c r="E4919" s="8"/>
      <c r="F4919" t="str">
        <f t="shared" si="179"/>
        <v/>
      </c>
      <c r="G4919" t="str">
        <f t="shared" si="180"/>
        <v/>
      </c>
    </row>
    <row r="4920" spans="2:7" x14ac:dyDescent="0.25">
      <c r="B4920" s="6"/>
      <c r="C4920" s="7"/>
      <c r="D4920" s="7"/>
      <c r="E4920" s="8"/>
      <c r="F4920" t="str">
        <f t="shared" si="179"/>
        <v/>
      </c>
      <c r="G4920" t="str">
        <f t="shared" si="180"/>
        <v/>
      </c>
    </row>
    <row r="4921" spans="2:7" x14ac:dyDescent="0.25">
      <c r="B4921" s="6"/>
      <c r="C4921" s="7"/>
      <c r="D4921" s="7"/>
      <c r="E4921" s="8"/>
      <c r="F4921" t="str">
        <f t="shared" si="179"/>
        <v/>
      </c>
      <c r="G4921" t="str">
        <f t="shared" si="180"/>
        <v/>
      </c>
    </row>
    <row r="4922" spans="2:7" x14ac:dyDescent="0.25">
      <c r="B4922" s="6"/>
      <c r="C4922" s="7"/>
      <c r="D4922" s="7"/>
      <c r="E4922" s="8"/>
      <c r="F4922" t="str">
        <f t="shared" si="179"/>
        <v/>
      </c>
      <c r="G4922" t="str">
        <f t="shared" si="180"/>
        <v/>
      </c>
    </row>
    <row r="4923" spans="2:7" x14ac:dyDescent="0.25">
      <c r="B4923" s="6"/>
      <c r="C4923" s="7"/>
      <c r="D4923" s="7"/>
      <c r="E4923" s="8"/>
      <c r="F4923" t="str">
        <f t="shared" si="179"/>
        <v/>
      </c>
      <c r="G4923" t="str">
        <f t="shared" si="180"/>
        <v/>
      </c>
    </row>
    <row r="4924" spans="2:7" x14ac:dyDescent="0.25">
      <c r="B4924" s="6"/>
      <c r="C4924" s="7"/>
      <c r="D4924" s="7"/>
      <c r="E4924" s="8"/>
      <c r="F4924" t="str">
        <f t="shared" si="179"/>
        <v/>
      </c>
      <c r="G4924" t="str">
        <f t="shared" si="180"/>
        <v/>
      </c>
    </row>
    <row r="4925" spans="2:7" x14ac:dyDescent="0.25">
      <c r="B4925" s="6"/>
      <c r="C4925" s="7"/>
      <c r="D4925" s="7"/>
      <c r="E4925" s="8"/>
      <c r="F4925" t="str">
        <f t="shared" si="179"/>
        <v/>
      </c>
      <c r="G4925" t="str">
        <f t="shared" si="180"/>
        <v/>
      </c>
    </row>
    <row r="4926" spans="2:7" x14ac:dyDescent="0.25">
      <c r="B4926" s="6"/>
      <c r="C4926" s="7"/>
      <c r="D4926" s="7"/>
      <c r="E4926" s="8"/>
      <c r="F4926" t="str">
        <f t="shared" si="179"/>
        <v/>
      </c>
      <c r="G4926" t="str">
        <f t="shared" si="180"/>
        <v/>
      </c>
    </row>
    <row r="4927" spans="2:7" x14ac:dyDescent="0.25">
      <c r="B4927" s="6"/>
      <c r="C4927" s="7"/>
      <c r="D4927" s="7"/>
      <c r="E4927" s="8"/>
      <c r="F4927" t="str">
        <f t="shared" si="179"/>
        <v/>
      </c>
      <c r="G4927" t="str">
        <f t="shared" si="180"/>
        <v/>
      </c>
    </row>
    <row r="4928" spans="2:7" x14ac:dyDescent="0.25">
      <c r="B4928" s="6"/>
      <c r="C4928" s="7"/>
      <c r="D4928" s="7"/>
      <c r="E4928" s="8"/>
      <c r="F4928" t="str">
        <f t="shared" si="179"/>
        <v/>
      </c>
      <c r="G4928" t="str">
        <f t="shared" si="180"/>
        <v/>
      </c>
    </row>
    <row r="4929" spans="2:7" x14ac:dyDescent="0.25">
      <c r="B4929" s="6"/>
      <c r="C4929" s="7"/>
      <c r="D4929" s="7"/>
      <c r="E4929" s="8"/>
      <c r="F4929" t="str">
        <f t="shared" si="179"/>
        <v/>
      </c>
      <c r="G4929" t="str">
        <f t="shared" si="180"/>
        <v/>
      </c>
    </row>
    <row r="4930" spans="2:7" x14ac:dyDescent="0.25">
      <c r="B4930" s="6"/>
      <c r="C4930" s="7"/>
      <c r="D4930" s="7"/>
      <c r="E4930" s="8"/>
      <c r="F4930" t="str">
        <f t="shared" si="179"/>
        <v/>
      </c>
      <c r="G4930" t="str">
        <f t="shared" si="180"/>
        <v/>
      </c>
    </row>
    <row r="4931" spans="2:7" x14ac:dyDescent="0.25">
      <c r="B4931" s="6"/>
      <c r="C4931" s="7"/>
      <c r="D4931" s="7"/>
      <c r="E4931" s="8"/>
      <c r="F4931" t="str">
        <f t="shared" si="179"/>
        <v/>
      </c>
      <c r="G4931" t="str">
        <f t="shared" si="180"/>
        <v/>
      </c>
    </row>
    <row r="4932" spans="2:7" x14ac:dyDescent="0.25">
      <c r="B4932" s="6"/>
      <c r="C4932" s="7"/>
      <c r="D4932" s="7"/>
      <c r="E4932" s="8"/>
      <c r="F4932" t="str">
        <f t="shared" ref="F4932:F4995" si="181">IF(B4932="","",LOG10(D4932))</f>
        <v/>
      </c>
      <c r="G4932" t="str">
        <f t="shared" ref="G4932:G4995" si="182">IF(E4932="", "",0.434*E4932/D4932)</f>
        <v/>
      </c>
    </row>
    <row r="4933" spans="2:7" x14ac:dyDescent="0.25">
      <c r="B4933" s="6"/>
      <c r="C4933" s="7"/>
      <c r="D4933" s="7"/>
      <c r="E4933" s="8"/>
      <c r="F4933" t="str">
        <f t="shared" si="181"/>
        <v/>
      </c>
      <c r="G4933" t="str">
        <f t="shared" si="182"/>
        <v/>
      </c>
    </row>
    <row r="4934" spans="2:7" x14ac:dyDescent="0.25">
      <c r="B4934" s="6"/>
      <c r="C4934" s="7"/>
      <c r="D4934" s="7"/>
      <c r="E4934" s="8"/>
      <c r="F4934" t="str">
        <f t="shared" si="181"/>
        <v/>
      </c>
      <c r="G4934" t="str">
        <f t="shared" si="182"/>
        <v/>
      </c>
    </row>
    <row r="4935" spans="2:7" x14ac:dyDescent="0.25">
      <c r="B4935" s="6"/>
      <c r="C4935" s="7"/>
      <c r="D4935" s="7"/>
      <c r="E4935" s="8"/>
      <c r="F4935" t="str">
        <f t="shared" si="181"/>
        <v/>
      </c>
      <c r="G4935" t="str">
        <f t="shared" si="182"/>
        <v/>
      </c>
    </row>
    <row r="4936" spans="2:7" x14ac:dyDescent="0.25">
      <c r="B4936" s="6"/>
      <c r="C4936" s="7"/>
      <c r="D4936" s="7"/>
      <c r="E4936" s="8"/>
      <c r="F4936" t="str">
        <f t="shared" si="181"/>
        <v/>
      </c>
      <c r="G4936" t="str">
        <f t="shared" si="182"/>
        <v/>
      </c>
    </row>
    <row r="4937" spans="2:7" x14ac:dyDescent="0.25">
      <c r="B4937" s="6"/>
      <c r="C4937" s="7"/>
      <c r="D4937" s="7"/>
      <c r="E4937" s="8"/>
      <c r="F4937" t="str">
        <f t="shared" si="181"/>
        <v/>
      </c>
      <c r="G4937" t="str">
        <f t="shared" si="182"/>
        <v/>
      </c>
    </row>
    <row r="4938" spans="2:7" x14ac:dyDescent="0.25">
      <c r="B4938" s="6"/>
      <c r="C4938" s="7"/>
      <c r="D4938" s="7"/>
      <c r="E4938" s="8"/>
      <c r="F4938" t="str">
        <f t="shared" si="181"/>
        <v/>
      </c>
      <c r="G4938" t="str">
        <f t="shared" si="182"/>
        <v/>
      </c>
    </row>
    <row r="4939" spans="2:7" x14ac:dyDescent="0.25">
      <c r="B4939" s="6"/>
      <c r="C4939" s="7"/>
      <c r="D4939" s="7"/>
      <c r="E4939" s="8"/>
      <c r="F4939" t="str">
        <f t="shared" si="181"/>
        <v/>
      </c>
      <c r="G4939" t="str">
        <f t="shared" si="182"/>
        <v/>
      </c>
    </row>
    <row r="4940" spans="2:7" x14ac:dyDescent="0.25">
      <c r="B4940" s="6"/>
      <c r="C4940" s="7"/>
      <c r="D4940" s="7"/>
      <c r="E4940" s="8"/>
      <c r="F4940" t="str">
        <f t="shared" si="181"/>
        <v/>
      </c>
      <c r="G4940" t="str">
        <f t="shared" si="182"/>
        <v/>
      </c>
    </row>
    <row r="4941" spans="2:7" x14ac:dyDescent="0.25">
      <c r="B4941" s="6"/>
      <c r="C4941" s="7"/>
      <c r="D4941" s="7"/>
      <c r="E4941" s="8"/>
      <c r="F4941" t="str">
        <f t="shared" si="181"/>
        <v/>
      </c>
      <c r="G4941" t="str">
        <f t="shared" si="182"/>
        <v/>
      </c>
    </row>
    <row r="4942" spans="2:7" x14ac:dyDescent="0.25">
      <c r="B4942" s="6"/>
      <c r="C4942" s="7"/>
      <c r="D4942" s="7"/>
      <c r="E4942" s="8"/>
      <c r="F4942" t="str">
        <f t="shared" si="181"/>
        <v/>
      </c>
      <c r="G4942" t="str">
        <f t="shared" si="182"/>
        <v/>
      </c>
    </row>
    <row r="4943" spans="2:7" x14ac:dyDescent="0.25">
      <c r="B4943" s="6"/>
      <c r="C4943" s="7"/>
      <c r="D4943" s="7"/>
      <c r="E4943" s="8"/>
      <c r="F4943" t="str">
        <f t="shared" si="181"/>
        <v/>
      </c>
      <c r="G4943" t="str">
        <f t="shared" si="182"/>
        <v/>
      </c>
    </row>
    <row r="4944" spans="2:7" x14ac:dyDescent="0.25">
      <c r="B4944" s="6"/>
      <c r="C4944" s="7"/>
      <c r="D4944" s="7"/>
      <c r="E4944" s="8"/>
      <c r="F4944" t="str">
        <f t="shared" si="181"/>
        <v/>
      </c>
      <c r="G4944" t="str">
        <f t="shared" si="182"/>
        <v/>
      </c>
    </row>
    <row r="4945" spans="2:7" x14ac:dyDescent="0.25">
      <c r="B4945" s="6"/>
      <c r="C4945" s="7"/>
      <c r="D4945" s="7"/>
      <c r="E4945" s="8"/>
      <c r="F4945" t="str">
        <f t="shared" si="181"/>
        <v/>
      </c>
      <c r="G4945" t="str">
        <f t="shared" si="182"/>
        <v/>
      </c>
    </row>
    <row r="4946" spans="2:7" x14ac:dyDescent="0.25">
      <c r="B4946" s="6"/>
      <c r="C4946" s="7"/>
      <c r="D4946" s="7"/>
      <c r="E4946" s="8"/>
      <c r="F4946" t="str">
        <f t="shared" si="181"/>
        <v/>
      </c>
      <c r="G4946" t="str">
        <f t="shared" si="182"/>
        <v/>
      </c>
    </row>
    <row r="4947" spans="2:7" x14ac:dyDescent="0.25">
      <c r="B4947" s="6"/>
      <c r="C4947" s="7"/>
      <c r="D4947" s="7"/>
      <c r="E4947" s="8"/>
      <c r="F4947" t="str">
        <f t="shared" si="181"/>
        <v/>
      </c>
      <c r="G4947" t="str">
        <f t="shared" si="182"/>
        <v/>
      </c>
    </row>
    <row r="4948" spans="2:7" x14ac:dyDescent="0.25">
      <c r="B4948" s="6"/>
      <c r="C4948" s="7"/>
      <c r="D4948" s="7"/>
      <c r="E4948" s="8"/>
      <c r="F4948" t="str">
        <f t="shared" si="181"/>
        <v/>
      </c>
      <c r="G4948" t="str">
        <f t="shared" si="182"/>
        <v/>
      </c>
    </row>
    <row r="4949" spans="2:7" x14ac:dyDescent="0.25">
      <c r="B4949" s="6"/>
      <c r="C4949" s="7"/>
      <c r="D4949" s="7"/>
      <c r="E4949" s="8"/>
      <c r="F4949" t="str">
        <f t="shared" si="181"/>
        <v/>
      </c>
      <c r="G4949" t="str">
        <f t="shared" si="182"/>
        <v/>
      </c>
    </row>
    <row r="4950" spans="2:7" x14ac:dyDescent="0.25">
      <c r="B4950" s="6"/>
      <c r="C4950" s="7"/>
      <c r="D4950" s="7"/>
      <c r="E4950" s="8"/>
      <c r="F4950" t="str">
        <f t="shared" si="181"/>
        <v/>
      </c>
      <c r="G4950" t="str">
        <f t="shared" si="182"/>
        <v/>
      </c>
    </row>
    <row r="4951" spans="2:7" x14ac:dyDescent="0.25">
      <c r="B4951" s="6"/>
      <c r="C4951" s="7"/>
      <c r="D4951" s="7"/>
      <c r="E4951" s="8"/>
      <c r="F4951" t="str">
        <f t="shared" si="181"/>
        <v/>
      </c>
      <c r="G4951" t="str">
        <f t="shared" si="182"/>
        <v/>
      </c>
    </row>
    <row r="4952" spans="2:7" x14ac:dyDescent="0.25">
      <c r="B4952" s="6"/>
      <c r="C4952" s="7"/>
      <c r="D4952" s="7"/>
      <c r="E4952" s="8"/>
      <c r="F4952" t="str">
        <f t="shared" si="181"/>
        <v/>
      </c>
      <c r="G4952" t="str">
        <f t="shared" si="182"/>
        <v/>
      </c>
    </row>
    <row r="4953" spans="2:7" x14ac:dyDescent="0.25">
      <c r="B4953" s="6"/>
      <c r="C4953" s="7"/>
      <c r="D4953" s="7"/>
      <c r="E4953" s="8"/>
      <c r="F4953" t="str">
        <f t="shared" si="181"/>
        <v/>
      </c>
      <c r="G4953" t="str">
        <f t="shared" si="182"/>
        <v/>
      </c>
    </row>
    <row r="4954" spans="2:7" x14ac:dyDescent="0.25">
      <c r="B4954" s="6"/>
      <c r="C4954" s="7"/>
      <c r="D4954" s="7"/>
      <c r="E4954" s="8"/>
      <c r="F4954" t="str">
        <f t="shared" si="181"/>
        <v/>
      </c>
      <c r="G4954" t="str">
        <f t="shared" si="182"/>
        <v/>
      </c>
    </row>
    <row r="4955" spans="2:7" x14ac:dyDescent="0.25">
      <c r="B4955" s="6"/>
      <c r="C4955" s="7"/>
      <c r="D4955" s="7"/>
      <c r="E4955" s="8"/>
      <c r="F4955" t="str">
        <f t="shared" si="181"/>
        <v/>
      </c>
      <c r="G4955" t="str">
        <f t="shared" si="182"/>
        <v/>
      </c>
    </row>
    <row r="4956" spans="2:7" x14ac:dyDescent="0.25">
      <c r="B4956" s="6"/>
      <c r="C4956" s="7"/>
      <c r="D4956" s="7"/>
      <c r="E4956" s="8"/>
      <c r="F4956" t="str">
        <f t="shared" si="181"/>
        <v/>
      </c>
      <c r="G4956" t="str">
        <f t="shared" si="182"/>
        <v/>
      </c>
    </row>
    <row r="4957" spans="2:7" x14ac:dyDescent="0.25">
      <c r="B4957" s="6"/>
      <c r="C4957" s="7"/>
      <c r="D4957" s="7"/>
      <c r="E4957" s="8"/>
      <c r="F4957" t="str">
        <f t="shared" si="181"/>
        <v/>
      </c>
      <c r="G4957" t="str">
        <f t="shared" si="182"/>
        <v/>
      </c>
    </row>
    <row r="4958" spans="2:7" x14ac:dyDescent="0.25">
      <c r="B4958" s="6"/>
      <c r="C4958" s="7"/>
      <c r="D4958" s="7"/>
      <c r="E4958" s="8"/>
      <c r="F4958" t="str">
        <f t="shared" si="181"/>
        <v/>
      </c>
      <c r="G4958" t="str">
        <f t="shared" si="182"/>
        <v/>
      </c>
    </row>
    <row r="4959" spans="2:7" x14ac:dyDescent="0.25">
      <c r="B4959" s="6"/>
      <c r="C4959" s="7"/>
      <c r="D4959" s="7"/>
      <c r="E4959" s="8"/>
      <c r="F4959" t="str">
        <f t="shared" si="181"/>
        <v/>
      </c>
      <c r="G4959" t="str">
        <f t="shared" si="182"/>
        <v/>
      </c>
    </row>
    <row r="4960" spans="2:7" x14ac:dyDescent="0.25">
      <c r="B4960" s="6"/>
      <c r="C4960" s="7"/>
      <c r="D4960" s="7"/>
      <c r="E4960" s="8"/>
      <c r="F4960" t="str">
        <f t="shared" si="181"/>
        <v/>
      </c>
      <c r="G4960" t="str">
        <f t="shared" si="182"/>
        <v/>
      </c>
    </row>
    <row r="4961" spans="2:7" x14ac:dyDescent="0.25">
      <c r="B4961" s="6"/>
      <c r="C4961" s="7"/>
      <c r="D4961" s="7"/>
      <c r="E4961" s="8"/>
      <c r="F4961" t="str">
        <f t="shared" si="181"/>
        <v/>
      </c>
      <c r="G4961" t="str">
        <f t="shared" si="182"/>
        <v/>
      </c>
    </row>
    <row r="4962" spans="2:7" x14ac:dyDescent="0.25">
      <c r="B4962" s="6"/>
      <c r="C4962" s="7"/>
      <c r="D4962" s="7"/>
      <c r="E4962" s="8"/>
      <c r="F4962" t="str">
        <f t="shared" si="181"/>
        <v/>
      </c>
      <c r="G4962" t="str">
        <f t="shared" si="182"/>
        <v/>
      </c>
    </row>
    <row r="4963" spans="2:7" x14ac:dyDescent="0.25">
      <c r="B4963" s="6"/>
      <c r="C4963" s="7"/>
      <c r="D4963" s="7"/>
      <c r="E4963" s="8"/>
      <c r="F4963" t="str">
        <f t="shared" si="181"/>
        <v/>
      </c>
      <c r="G4963" t="str">
        <f t="shared" si="182"/>
        <v/>
      </c>
    </row>
    <row r="4964" spans="2:7" x14ac:dyDescent="0.25">
      <c r="B4964" s="6"/>
      <c r="C4964" s="7"/>
      <c r="D4964" s="7"/>
      <c r="E4964" s="8"/>
      <c r="F4964" t="str">
        <f t="shared" si="181"/>
        <v/>
      </c>
      <c r="G4964" t="str">
        <f t="shared" si="182"/>
        <v/>
      </c>
    </row>
    <row r="4965" spans="2:7" x14ac:dyDescent="0.25">
      <c r="B4965" s="6"/>
      <c r="C4965" s="7"/>
      <c r="D4965" s="7"/>
      <c r="E4965" s="8"/>
      <c r="F4965" t="str">
        <f t="shared" si="181"/>
        <v/>
      </c>
      <c r="G4965" t="str">
        <f t="shared" si="182"/>
        <v/>
      </c>
    </row>
    <row r="4966" spans="2:7" x14ac:dyDescent="0.25">
      <c r="B4966" s="6"/>
      <c r="C4966" s="7"/>
      <c r="D4966" s="7"/>
      <c r="E4966" s="8"/>
      <c r="F4966" t="str">
        <f t="shared" si="181"/>
        <v/>
      </c>
      <c r="G4966" t="str">
        <f t="shared" si="182"/>
        <v/>
      </c>
    </row>
    <row r="4967" spans="2:7" x14ac:dyDescent="0.25">
      <c r="B4967" s="6"/>
      <c r="C4967" s="7"/>
      <c r="D4967" s="7"/>
      <c r="E4967" s="8"/>
      <c r="F4967" t="str">
        <f t="shared" si="181"/>
        <v/>
      </c>
      <c r="G4967" t="str">
        <f t="shared" si="182"/>
        <v/>
      </c>
    </row>
    <row r="4968" spans="2:7" x14ac:dyDescent="0.25">
      <c r="B4968" s="6"/>
      <c r="C4968" s="7"/>
      <c r="D4968" s="7"/>
      <c r="E4968" s="8"/>
      <c r="F4968" t="str">
        <f t="shared" si="181"/>
        <v/>
      </c>
      <c r="G4968" t="str">
        <f t="shared" si="182"/>
        <v/>
      </c>
    </row>
    <row r="4969" spans="2:7" x14ac:dyDescent="0.25">
      <c r="B4969" s="6"/>
      <c r="C4969" s="7"/>
      <c r="D4969" s="7"/>
      <c r="E4969" s="8"/>
      <c r="F4969" t="str">
        <f t="shared" si="181"/>
        <v/>
      </c>
      <c r="G4969" t="str">
        <f t="shared" si="182"/>
        <v/>
      </c>
    </row>
    <row r="4970" spans="2:7" x14ac:dyDescent="0.25">
      <c r="B4970" s="6"/>
      <c r="C4970" s="7"/>
      <c r="D4970" s="7"/>
      <c r="E4970" s="8"/>
      <c r="F4970" t="str">
        <f t="shared" si="181"/>
        <v/>
      </c>
      <c r="G4970" t="str">
        <f t="shared" si="182"/>
        <v/>
      </c>
    </row>
    <row r="4971" spans="2:7" x14ac:dyDescent="0.25">
      <c r="B4971" s="6"/>
      <c r="C4971" s="7"/>
      <c r="D4971" s="7"/>
      <c r="E4971" s="8"/>
      <c r="F4971" t="str">
        <f t="shared" si="181"/>
        <v/>
      </c>
      <c r="G4971" t="str">
        <f t="shared" si="182"/>
        <v/>
      </c>
    </row>
    <row r="4972" spans="2:7" x14ac:dyDescent="0.25">
      <c r="B4972" s="6"/>
      <c r="C4972" s="7"/>
      <c r="D4972" s="7"/>
      <c r="E4972" s="8"/>
      <c r="F4972" t="str">
        <f t="shared" si="181"/>
        <v/>
      </c>
      <c r="G4972" t="str">
        <f t="shared" si="182"/>
        <v/>
      </c>
    </row>
    <row r="4973" spans="2:7" x14ac:dyDescent="0.25">
      <c r="B4973" s="6"/>
      <c r="C4973" s="7"/>
      <c r="D4973" s="7"/>
      <c r="E4973" s="8"/>
      <c r="F4973" t="str">
        <f t="shared" si="181"/>
        <v/>
      </c>
      <c r="G4973" t="str">
        <f t="shared" si="182"/>
        <v/>
      </c>
    </row>
    <row r="4974" spans="2:7" x14ac:dyDescent="0.25">
      <c r="B4974" s="6"/>
      <c r="C4974" s="7"/>
      <c r="D4974" s="7"/>
      <c r="E4974" s="8"/>
      <c r="F4974" t="str">
        <f t="shared" si="181"/>
        <v/>
      </c>
      <c r="G4974" t="str">
        <f t="shared" si="182"/>
        <v/>
      </c>
    </row>
    <row r="4975" spans="2:7" x14ac:dyDescent="0.25">
      <c r="B4975" s="6"/>
      <c r="C4975" s="7"/>
      <c r="D4975" s="7"/>
      <c r="E4975" s="8"/>
      <c r="F4975" t="str">
        <f t="shared" si="181"/>
        <v/>
      </c>
      <c r="G4975" t="str">
        <f t="shared" si="182"/>
        <v/>
      </c>
    </row>
    <row r="4976" spans="2:7" x14ac:dyDescent="0.25">
      <c r="B4976" s="6"/>
      <c r="C4976" s="7"/>
      <c r="D4976" s="7"/>
      <c r="E4976" s="8"/>
      <c r="F4976" t="str">
        <f t="shared" si="181"/>
        <v/>
      </c>
      <c r="G4976" t="str">
        <f t="shared" si="182"/>
        <v/>
      </c>
    </row>
    <row r="4977" spans="2:7" x14ac:dyDescent="0.25">
      <c r="B4977" s="6"/>
      <c r="C4977" s="7"/>
      <c r="D4977" s="7"/>
      <c r="E4977" s="8"/>
      <c r="F4977" t="str">
        <f t="shared" si="181"/>
        <v/>
      </c>
      <c r="G4977" t="str">
        <f t="shared" si="182"/>
        <v/>
      </c>
    </row>
    <row r="4978" spans="2:7" x14ac:dyDescent="0.25">
      <c r="B4978" s="6"/>
      <c r="C4978" s="7"/>
      <c r="D4978" s="7"/>
      <c r="E4978" s="8"/>
      <c r="F4978" t="str">
        <f t="shared" si="181"/>
        <v/>
      </c>
      <c r="G4978" t="str">
        <f t="shared" si="182"/>
        <v/>
      </c>
    </row>
    <row r="4979" spans="2:7" x14ac:dyDescent="0.25">
      <c r="B4979" s="6"/>
      <c r="C4979" s="7"/>
      <c r="D4979" s="7"/>
      <c r="E4979" s="8"/>
      <c r="F4979" t="str">
        <f t="shared" si="181"/>
        <v/>
      </c>
      <c r="G4979" t="str">
        <f t="shared" si="182"/>
        <v/>
      </c>
    </row>
    <row r="4980" spans="2:7" x14ac:dyDescent="0.25">
      <c r="B4980" s="6"/>
      <c r="C4980" s="7"/>
      <c r="D4980" s="7"/>
      <c r="E4980" s="8"/>
      <c r="F4980" t="str">
        <f t="shared" si="181"/>
        <v/>
      </c>
      <c r="G4980" t="str">
        <f t="shared" si="182"/>
        <v/>
      </c>
    </row>
    <row r="4981" spans="2:7" x14ac:dyDescent="0.25">
      <c r="B4981" s="6"/>
      <c r="C4981" s="7"/>
      <c r="D4981" s="7"/>
      <c r="E4981" s="8"/>
      <c r="F4981" t="str">
        <f t="shared" si="181"/>
        <v/>
      </c>
      <c r="G4981" t="str">
        <f t="shared" si="182"/>
        <v/>
      </c>
    </row>
    <row r="4982" spans="2:7" x14ac:dyDescent="0.25">
      <c r="B4982" s="6"/>
      <c r="C4982" s="7"/>
      <c r="D4982" s="7"/>
      <c r="E4982" s="8"/>
      <c r="F4982" t="str">
        <f t="shared" si="181"/>
        <v/>
      </c>
      <c r="G4982" t="str">
        <f t="shared" si="182"/>
        <v/>
      </c>
    </row>
    <row r="4983" spans="2:7" x14ac:dyDescent="0.25">
      <c r="B4983" s="6"/>
      <c r="C4983" s="7"/>
      <c r="D4983" s="7"/>
      <c r="E4983" s="8"/>
      <c r="F4983" t="str">
        <f t="shared" si="181"/>
        <v/>
      </c>
      <c r="G4983" t="str">
        <f t="shared" si="182"/>
        <v/>
      </c>
    </row>
    <row r="4984" spans="2:7" x14ac:dyDescent="0.25">
      <c r="B4984" s="6"/>
      <c r="C4984" s="7"/>
      <c r="D4984" s="7"/>
      <c r="E4984" s="8"/>
      <c r="F4984" t="str">
        <f t="shared" si="181"/>
        <v/>
      </c>
      <c r="G4984" t="str">
        <f t="shared" si="182"/>
        <v/>
      </c>
    </row>
    <row r="4985" spans="2:7" x14ac:dyDescent="0.25">
      <c r="B4985" s="6"/>
      <c r="C4985" s="7"/>
      <c r="D4985" s="7"/>
      <c r="E4985" s="8"/>
      <c r="F4985" t="str">
        <f t="shared" si="181"/>
        <v/>
      </c>
      <c r="G4985" t="str">
        <f t="shared" si="182"/>
        <v/>
      </c>
    </row>
    <row r="4986" spans="2:7" x14ac:dyDescent="0.25">
      <c r="B4986" s="6"/>
      <c r="C4986" s="7"/>
      <c r="D4986" s="7"/>
      <c r="E4986" s="8"/>
      <c r="F4986" t="str">
        <f t="shared" si="181"/>
        <v/>
      </c>
      <c r="G4986" t="str">
        <f t="shared" si="182"/>
        <v/>
      </c>
    </row>
    <row r="4987" spans="2:7" x14ac:dyDescent="0.25">
      <c r="B4987" s="6"/>
      <c r="C4987" s="7"/>
      <c r="D4987" s="7"/>
      <c r="E4987" s="8"/>
      <c r="F4987" t="str">
        <f t="shared" si="181"/>
        <v/>
      </c>
      <c r="G4987" t="str">
        <f t="shared" si="182"/>
        <v/>
      </c>
    </row>
    <row r="4988" spans="2:7" x14ac:dyDescent="0.25">
      <c r="B4988" s="6"/>
      <c r="C4988" s="7"/>
      <c r="D4988" s="7"/>
      <c r="E4988" s="8"/>
      <c r="F4988" t="str">
        <f t="shared" si="181"/>
        <v/>
      </c>
      <c r="G4988" t="str">
        <f t="shared" si="182"/>
        <v/>
      </c>
    </row>
    <row r="4989" spans="2:7" x14ac:dyDescent="0.25">
      <c r="B4989" s="6"/>
      <c r="C4989" s="7"/>
      <c r="D4989" s="7"/>
      <c r="E4989" s="8"/>
      <c r="F4989" t="str">
        <f t="shared" si="181"/>
        <v/>
      </c>
      <c r="G4989" t="str">
        <f t="shared" si="182"/>
        <v/>
      </c>
    </row>
    <row r="4990" spans="2:7" x14ac:dyDescent="0.25">
      <c r="B4990" s="6"/>
      <c r="C4990" s="7"/>
      <c r="D4990" s="7"/>
      <c r="E4990" s="8"/>
      <c r="F4990" t="str">
        <f t="shared" si="181"/>
        <v/>
      </c>
      <c r="G4990" t="str">
        <f t="shared" si="182"/>
        <v/>
      </c>
    </row>
    <row r="4991" spans="2:7" x14ac:dyDescent="0.25">
      <c r="B4991" s="6"/>
      <c r="C4991" s="7"/>
      <c r="D4991" s="7"/>
      <c r="E4991" s="8"/>
      <c r="F4991" t="str">
        <f t="shared" si="181"/>
        <v/>
      </c>
      <c r="G4991" t="str">
        <f t="shared" si="182"/>
        <v/>
      </c>
    </row>
    <row r="4992" spans="2:7" x14ac:dyDescent="0.25">
      <c r="B4992" s="6"/>
      <c r="C4992" s="7"/>
      <c r="D4992" s="7"/>
      <c r="E4992" s="8"/>
      <c r="F4992" t="str">
        <f t="shared" si="181"/>
        <v/>
      </c>
      <c r="G4992" t="str">
        <f t="shared" si="182"/>
        <v/>
      </c>
    </row>
    <row r="4993" spans="2:7" x14ac:dyDescent="0.25">
      <c r="B4993" s="6"/>
      <c r="C4993" s="7"/>
      <c r="D4993" s="7"/>
      <c r="E4993" s="8"/>
      <c r="F4993" t="str">
        <f t="shared" si="181"/>
        <v/>
      </c>
      <c r="G4993" t="str">
        <f t="shared" si="182"/>
        <v/>
      </c>
    </row>
    <row r="4994" spans="2:7" x14ac:dyDescent="0.25">
      <c r="B4994" s="6"/>
      <c r="C4994" s="7"/>
      <c r="D4994" s="7"/>
      <c r="E4994" s="8"/>
      <c r="F4994" t="str">
        <f t="shared" si="181"/>
        <v/>
      </c>
      <c r="G4994" t="str">
        <f t="shared" si="182"/>
        <v/>
      </c>
    </row>
    <row r="4995" spans="2:7" x14ac:dyDescent="0.25">
      <c r="B4995" s="6"/>
      <c r="C4995" s="7"/>
      <c r="D4995" s="7"/>
      <c r="E4995" s="8"/>
      <c r="F4995" t="str">
        <f t="shared" si="181"/>
        <v/>
      </c>
      <c r="G4995" t="str">
        <f t="shared" si="182"/>
        <v/>
      </c>
    </row>
    <row r="4996" spans="2:7" x14ac:dyDescent="0.25">
      <c r="B4996" s="6"/>
      <c r="C4996" s="7"/>
      <c r="D4996" s="7"/>
      <c r="E4996" s="8"/>
      <c r="F4996" t="str">
        <f t="shared" ref="F4996:F5059" si="183">IF(B4996="","",LOG10(D4996))</f>
        <v/>
      </c>
      <c r="G4996" t="str">
        <f t="shared" ref="G4996:G5059" si="184">IF(E4996="", "",0.434*E4996/D4996)</f>
        <v/>
      </c>
    </row>
    <row r="4997" spans="2:7" x14ac:dyDescent="0.25">
      <c r="B4997" s="6"/>
      <c r="C4997" s="7"/>
      <c r="D4997" s="7"/>
      <c r="E4997" s="8"/>
      <c r="F4997" t="str">
        <f t="shared" si="183"/>
        <v/>
      </c>
      <c r="G4997" t="str">
        <f t="shared" si="184"/>
        <v/>
      </c>
    </row>
    <row r="4998" spans="2:7" x14ac:dyDescent="0.25">
      <c r="B4998" s="6"/>
      <c r="C4998" s="7"/>
      <c r="D4998" s="7"/>
      <c r="E4998" s="8"/>
      <c r="F4998" t="str">
        <f t="shared" si="183"/>
        <v/>
      </c>
      <c r="G4998" t="str">
        <f t="shared" si="184"/>
        <v/>
      </c>
    </row>
    <row r="4999" spans="2:7" x14ac:dyDescent="0.25">
      <c r="B4999" s="6"/>
      <c r="C4999" s="7"/>
      <c r="D4999" s="7"/>
      <c r="E4999" s="8"/>
      <c r="F4999" t="str">
        <f t="shared" si="183"/>
        <v/>
      </c>
      <c r="G4999" t="str">
        <f t="shared" si="184"/>
        <v/>
      </c>
    </row>
    <row r="5000" spans="2:7" x14ac:dyDescent="0.25">
      <c r="B5000" s="6"/>
      <c r="C5000" s="7"/>
      <c r="D5000" s="7"/>
      <c r="E5000" s="8"/>
      <c r="F5000" t="str">
        <f t="shared" si="183"/>
        <v/>
      </c>
      <c r="G5000" t="str">
        <f t="shared" si="184"/>
        <v/>
      </c>
    </row>
    <row r="5001" spans="2:7" x14ac:dyDescent="0.25">
      <c r="B5001" s="6"/>
      <c r="C5001" s="7"/>
      <c r="D5001" s="7"/>
      <c r="E5001" s="8"/>
      <c r="F5001" t="str">
        <f t="shared" si="183"/>
        <v/>
      </c>
      <c r="G5001" t="str">
        <f t="shared" si="184"/>
        <v/>
      </c>
    </row>
    <row r="5002" spans="2:7" x14ac:dyDescent="0.25">
      <c r="B5002" s="6"/>
      <c r="C5002" s="7"/>
      <c r="D5002" s="7"/>
      <c r="E5002" s="8"/>
      <c r="F5002" t="str">
        <f t="shared" si="183"/>
        <v/>
      </c>
      <c r="G5002" t="str">
        <f t="shared" si="184"/>
        <v/>
      </c>
    </row>
    <row r="5003" spans="2:7" x14ac:dyDescent="0.25">
      <c r="B5003" s="6"/>
      <c r="C5003" s="7"/>
      <c r="D5003" s="7"/>
      <c r="E5003" s="8"/>
      <c r="F5003" t="str">
        <f t="shared" si="183"/>
        <v/>
      </c>
      <c r="G5003" t="str">
        <f t="shared" si="184"/>
        <v/>
      </c>
    </row>
    <row r="5004" spans="2:7" x14ac:dyDescent="0.25">
      <c r="B5004" s="6"/>
      <c r="C5004" s="7"/>
      <c r="D5004" s="7"/>
      <c r="E5004" s="8"/>
      <c r="F5004" t="str">
        <f t="shared" si="183"/>
        <v/>
      </c>
      <c r="G5004" t="str">
        <f t="shared" si="184"/>
        <v/>
      </c>
    </row>
    <row r="5005" spans="2:7" x14ac:dyDescent="0.25">
      <c r="B5005" s="6"/>
      <c r="C5005" s="7"/>
      <c r="D5005" s="7"/>
      <c r="E5005" s="8"/>
      <c r="F5005" t="str">
        <f t="shared" si="183"/>
        <v/>
      </c>
      <c r="G5005" t="str">
        <f t="shared" si="184"/>
        <v/>
      </c>
    </row>
    <row r="5006" spans="2:7" x14ac:dyDescent="0.25">
      <c r="B5006" s="6"/>
      <c r="C5006" s="7"/>
      <c r="D5006" s="7"/>
      <c r="E5006" s="8"/>
      <c r="F5006" t="str">
        <f t="shared" si="183"/>
        <v/>
      </c>
      <c r="G5006" t="str">
        <f t="shared" si="184"/>
        <v/>
      </c>
    </row>
    <row r="5007" spans="2:7" x14ac:dyDescent="0.25">
      <c r="B5007" s="6"/>
      <c r="C5007" s="7"/>
      <c r="D5007" s="7"/>
      <c r="E5007" s="8"/>
      <c r="F5007" t="str">
        <f t="shared" si="183"/>
        <v/>
      </c>
      <c r="G5007" t="str">
        <f t="shared" si="184"/>
        <v/>
      </c>
    </row>
    <row r="5008" spans="2:7" x14ac:dyDescent="0.25">
      <c r="B5008" s="6"/>
      <c r="C5008" s="7"/>
      <c r="D5008" s="7"/>
      <c r="E5008" s="8"/>
      <c r="F5008" t="str">
        <f t="shared" si="183"/>
        <v/>
      </c>
      <c r="G5008" t="str">
        <f t="shared" si="184"/>
        <v/>
      </c>
    </row>
    <row r="5009" spans="2:7" x14ac:dyDescent="0.25">
      <c r="B5009" s="6"/>
      <c r="C5009" s="7"/>
      <c r="D5009" s="7"/>
      <c r="E5009" s="8"/>
      <c r="F5009" t="str">
        <f t="shared" si="183"/>
        <v/>
      </c>
      <c r="G5009" t="str">
        <f t="shared" si="184"/>
        <v/>
      </c>
    </row>
    <row r="5010" spans="2:7" x14ac:dyDescent="0.25">
      <c r="B5010" s="6"/>
      <c r="C5010" s="7"/>
      <c r="D5010" s="7"/>
      <c r="E5010" s="8"/>
      <c r="F5010" t="str">
        <f t="shared" si="183"/>
        <v/>
      </c>
      <c r="G5010" t="str">
        <f t="shared" si="184"/>
        <v/>
      </c>
    </row>
    <row r="5011" spans="2:7" x14ac:dyDescent="0.25">
      <c r="B5011" s="6"/>
      <c r="C5011" s="7"/>
      <c r="D5011" s="7"/>
      <c r="E5011" s="8"/>
      <c r="F5011" t="str">
        <f t="shared" si="183"/>
        <v/>
      </c>
      <c r="G5011" t="str">
        <f t="shared" si="184"/>
        <v/>
      </c>
    </row>
    <row r="5012" spans="2:7" x14ac:dyDescent="0.25">
      <c r="B5012" s="6"/>
      <c r="C5012" s="7"/>
      <c r="D5012" s="7"/>
      <c r="E5012" s="8"/>
      <c r="F5012" t="str">
        <f t="shared" si="183"/>
        <v/>
      </c>
      <c r="G5012" t="str">
        <f t="shared" si="184"/>
        <v/>
      </c>
    </row>
    <row r="5013" spans="2:7" x14ac:dyDescent="0.25">
      <c r="B5013" s="6"/>
      <c r="C5013" s="7"/>
      <c r="D5013" s="7"/>
      <c r="E5013" s="8"/>
      <c r="F5013" t="str">
        <f t="shared" si="183"/>
        <v/>
      </c>
      <c r="G5013" t="str">
        <f t="shared" si="184"/>
        <v/>
      </c>
    </row>
    <row r="5014" spans="2:7" x14ac:dyDescent="0.25">
      <c r="B5014" s="6"/>
      <c r="C5014" s="7"/>
      <c r="D5014" s="7"/>
      <c r="E5014" s="8"/>
      <c r="F5014" t="str">
        <f t="shared" si="183"/>
        <v/>
      </c>
      <c r="G5014" t="str">
        <f t="shared" si="184"/>
        <v/>
      </c>
    </row>
    <row r="5015" spans="2:7" x14ac:dyDescent="0.25">
      <c r="B5015" s="6"/>
      <c r="C5015" s="7"/>
      <c r="D5015" s="7"/>
      <c r="E5015" s="8"/>
      <c r="F5015" t="str">
        <f t="shared" si="183"/>
        <v/>
      </c>
      <c r="G5015" t="str">
        <f t="shared" si="184"/>
        <v/>
      </c>
    </row>
    <row r="5016" spans="2:7" x14ac:dyDescent="0.25">
      <c r="B5016" s="6"/>
      <c r="C5016" s="7"/>
      <c r="D5016" s="7"/>
      <c r="E5016" s="8"/>
      <c r="F5016" t="str">
        <f t="shared" si="183"/>
        <v/>
      </c>
      <c r="G5016" t="str">
        <f t="shared" si="184"/>
        <v/>
      </c>
    </row>
    <row r="5017" spans="2:7" x14ac:dyDescent="0.25">
      <c r="B5017" s="6"/>
      <c r="C5017" s="7"/>
      <c r="D5017" s="7"/>
      <c r="E5017" s="8"/>
      <c r="F5017" t="str">
        <f t="shared" si="183"/>
        <v/>
      </c>
      <c r="G5017" t="str">
        <f t="shared" si="184"/>
        <v/>
      </c>
    </row>
    <row r="5018" spans="2:7" x14ac:dyDescent="0.25">
      <c r="B5018" s="6"/>
      <c r="C5018" s="7"/>
      <c r="D5018" s="7"/>
      <c r="E5018" s="8"/>
      <c r="F5018" t="str">
        <f t="shared" si="183"/>
        <v/>
      </c>
      <c r="G5018" t="str">
        <f t="shared" si="184"/>
        <v/>
      </c>
    </row>
    <row r="5019" spans="2:7" x14ac:dyDescent="0.25">
      <c r="B5019" s="6"/>
      <c r="C5019" s="7"/>
      <c r="D5019" s="7"/>
      <c r="E5019" s="8"/>
      <c r="F5019" t="str">
        <f t="shared" si="183"/>
        <v/>
      </c>
      <c r="G5019" t="str">
        <f t="shared" si="184"/>
        <v/>
      </c>
    </row>
    <row r="5020" spans="2:7" x14ac:dyDescent="0.25">
      <c r="B5020" s="6"/>
      <c r="C5020" s="7"/>
      <c r="D5020" s="7"/>
      <c r="E5020" s="8"/>
      <c r="F5020" t="str">
        <f t="shared" si="183"/>
        <v/>
      </c>
      <c r="G5020" t="str">
        <f t="shared" si="184"/>
        <v/>
      </c>
    </row>
    <row r="5021" spans="2:7" x14ac:dyDescent="0.25">
      <c r="B5021" s="6"/>
      <c r="C5021" s="7"/>
      <c r="D5021" s="7"/>
      <c r="E5021" s="8"/>
      <c r="F5021" t="str">
        <f t="shared" si="183"/>
        <v/>
      </c>
      <c r="G5021" t="str">
        <f t="shared" si="184"/>
        <v/>
      </c>
    </row>
    <row r="5022" spans="2:7" x14ac:dyDescent="0.25">
      <c r="B5022" s="6"/>
      <c r="C5022" s="7"/>
      <c r="D5022" s="7"/>
      <c r="E5022" s="8"/>
      <c r="F5022" t="str">
        <f t="shared" si="183"/>
        <v/>
      </c>
      <c r="G5022" t="str">
        <f t="shared" si="184"/>
        <v/>
      </c>
    </row>
    <row r="5023" spans="2:7" x14ac:dyDescent="0.25">
      <c r="B5023" s="6"/>
      <c r="C5023" s="7"/>
      <c r="D5023" s="7"/>
      <c r="E5023" s="8"/>
      <c r="F5023" t="str">
        <f t="shared" si="183"/>
        <v/>
      </c>
      <c r="G5023" t="str">
        <f t="shared" si="184"/>
        <v/>
      </c>
    </row>
    <row r="5024" spans="2:7" x14ac:dyDescent="0.25">
      <c r="B5024" s="6"/>
      <c r="C5024" s="7"/>
      <c r="D5024" s="7"/>
      <c r="E5024" s="8"/>
      <c r="F5024" t="str">
        <f t="shared" si="183"/>
        <v/>
      </c>
      <c r="G5024" t="str">
        <f t="shared" si="184"/>
        <v/>
      </c>
    </row>
    <row r="5025" spans="2:7" x14ac:dyDescent="0.25">
      <c r="B5025" s="6"/>
      <c r="C5025" s="7"/>
      <c r="D5025" s="7"/>
      <c r="E5025" s="8"/>
      <c r="F5025" t="str">
        <f t="shared" si="183"/>
        <v/>
      </c>
      <c r="G5025" t="str">
        <f t="shared" si="184"/>
        <v/>
      </c>
    </row>
    <row r="5026" spans="2:7" x14ac:dyDescent="0.25">
      <c r="B5026" s="6"/>
      <c r="C5026" s="7"/>
      <c r="D5026" s="7"/>
      <c r="E5026" s="8"/>
      <c r="F5026" t="str">
        <f t="shared" si="183"/>
        <v/>
      </c>
      <c r="G5026" t="str">
        <f t="shared" si="184"/>
        <v/>
      </c>
    </row>
    <row r="5027" spans="2:7" x14ac:dyDescent="0.25">
      <c r="B5027" s="6"/>
      <c r="C5027" s="7"/>
      <c r="D5027" s="7"/>
      <c r="E5027" s="8"/>
      <c r="F5027" t="str">
        <f t="shared" si="183"/>
        <v/>
      </c>
      <c r="G5027" t="str">
        <f t="shared" si="184"/>
        <v/>
      </c>
    </row>
    <row r="5028" spans="2:7" x14ac:dyDescent="0.25">
      <c r="B5028" s="6"/>
      <c r="C5028" s="7"/>
      <c r="D5028" s="7"/>
      <c r="E5028" s="8"/>
      <c r="F5028" t="str">
        <f t="shared" si="183"/>
        <v/>
      </c>
      <c r="G5028" t="str">
        <f t="shared" si="184"/>
        <v/>
      </c>
    </row>
    <row r="5029" spans="2:7" x14ac:dyDescent="0.25">
      <c r="B5029" s="6"/>
      <c r="C5029" s="7"/>
      <c r="D5029" s="7"/>
      <c r="E5029" s="8"/>
      <c r="F5029" t="str">
        <f t="shared" si="183"/>
        <v/>
      </c>
      <c r="G5029" t="str">
        <f t="shared" si="184"/>
        <v/>
      </c>
    </row>
    <row r="5030" spans="2:7" x14ac:dyDescent="0.25">
      <c r="B5030" s="6"/>
      <c r="C5030" s="7"/>
      <c r="D5030" s="7"/>
      <c r="E5030" s="8"/>
      <c r="F5030" t="str">
        <f t="shared" si="183"/>
        <v/>
      </c>
      <c r="G5030" t="str">
        <f t="shared" si="184"/>
        <v/>
      </c>
    </row>
    <row r="5031" spans="2:7" x14ac:dyDescent="0.25">
      <c r="B5031" s="6"/>
      <c r="C5031" s="7"/>
      <c r="D5031" s="7"/>
      <c r="E5031" s="8"/>
      <c r="F5031" t="str">
        <f t="shared" si="183"/>
        <v/>
      </c>
      <c r="G5031" t="str">
        <f t="shared" si="184"/>
        <v/>
      </c>
    </row>
    <row r="5032" spans="2:7" x14ac:dyDescent="0.25">
      <c r="B5032" s="6"/>
      <c r="C5032" s="7"/>
      <c r="D5032" s="7"/>
      <c r="E5032" s="8"/>
      <c r="F5032" t="str">
        <f t="shared" si="183"/>
        <v/>
      </c>
      <c r="G5032" t="str">
        <f t="shared" si="184"/>
        <v/>
      </c>
    </row>
    <row r="5033" spans="2:7" x14ac:dyDescent="0.25">
      <c r="B5033" s="6"/>
      <c r="C5033" s="7"/>
      <c r="D5033" s="7"/>
      <c r="E5033" s="8"/>
      <c r="F5033" t="str">
        <f t="shared" si="183"/>
        <v/>
      </c>
      <c r="G5033" t="str">
        <f t="shared" si="184"/>
        <v/>
      </c>
    </row>
    <row r="5034" spans="2:7" x14ac:dyDescent="0.25">
      <c r="B5034" s="6"/>
      <c r="C5034" s="7"/>
      <c r="D5034" s="7"/>
      <c r="E5034" s="8"/>
      <c r="F5034" t="str">
        <f t="shared" si="183"/>
        <v/>
      </c>
      <c r="G5034" t="str">
        <f t="shared" si="184"/>
        <v/>
      </c>
    </row>
    <row r="5035" spans="2:7" x14ac:dyDescent="0.25">
      <c r="B5035" s="6"/>
      <c r="C5035" s="7"/>
      <c r="D5035" s="7"/>
      <c r="E5035" s="8"/>
      <c r="F5035" t="str">
        <f t="shared" si="183"/>
        <v/>
      </c>
      <c r="G5035" t="str">
        <f t="shared" si="184"/>
        <v/>
      </c>
    </row>
    <row r="5036" spans="2:7" x14ac:dyDescent="0.25">
      <c r="B5036" s="6"/>
      <c r="C5036" s="7"/>
      <c r="D5036" s="7"/>
      <c r="E5036" s="8"/>
      <c r="F5036" t="str">
        <f t="shared" si="183"/>
        <v/>
      </c>
      <c r="G5036" t="str">
        <f t="shared" si="184"/>
        <v/>
      </c>
    </row>
    <row r="5037" spans="2:7" x14ac:dyDescent="0.25">
      <c r="B5037" s="6"/>
      <c r="C5037" s="7"/>
      <c r="D5037" s="7"/>
      <c r="E5037" s="8"/>
      <c r="F5037" t="str">
        <f t="shared" si="183"/>
        <v/>
      </c>
      <c r="G5037" t="str">
        <f t="shared" si="184"/>
        <v/>
      </c>
    </row>
    <row r="5038" spans="2:7" x14ac:dyDescent="0.25">
      <c r="B5038" s="6"/>
      <c r="C5038" s="7"/>
      <c r="D5038" s="7"/>
      <c r="E5038" s="8"/>
      <c r="F5038" t="str">
        <f t="shared" si="183"/>
        <v/>
      </c>
      <c r="G5038" t="str">
        <f t="shared" si="184"/>
        <v/>
      </c>
    </row>
    <row r="5039" spans="2:7" x14ac:dyDescent="0.25">
      <c r="B5039" s="6"/>
      <c r="C5039" s="7"/>
      <c r="D5039" s="7"/>
      <c r="E5039" s="8"/>
      <c r="F5039" t="str">
        <f t="shared" si="183"/>
        <v/>
      </c>
      <c r="G5039" t="str">
        <f t="shared" si="184"/>
        <v/>
      </c>
    </row>
    <row r="5040" spans="2:7" x14ac:dyDescent="0.25">
      <c r="B5040" s="6"/>
      <c r="C5040" s="7"/>
      <c r="D5040" s="7"/>
      <c r="E5040" s="8"/>
      <c r="F5040" t="str">
        <f t="shared" si="183"/>
        <v/>
      </c>
      <c r="G5040" t="str">
        <f t="shared" si="184"/>
        <v/>
      </c>
    </row>
    <row r="5041" spans="2:7" x14ac:dyDescent="0.25">
      <c r="B5041" s="6"/>
      <c r="C5041" s="7"/>
      <c r="D5041" s="7"/>
      <c r="E5041" s="8"/>
      <c r="F5041" t="str">
        <f t="shared" si="183"/>
        <v/>
      </c>
      <c r="G5041" t="str">
        <f t="shared" si="184"/>
        <v/>
      </c>
    </row>
    <row r="5042" spans="2:7" x14ac:dyDescent="0.25">
      <c r="B5042" s="6"/>
      <c r="C5042" s="7"/>
      <c r="D5042" s="7"/>
      <c r="E5042" s="8"/>
      <c r="F5042" t="str">
        <f t="shared" si="183"/>
        <v/>
      </c>
      <c r="G5042" t="str">
        <f t="shared" si="184"/>
        <v/>
      </c>
    </row>
    <row r="5043" spans="2:7" x14ac:dyDescent="0.25">
      <c r="B5043" s="6"/>
      <c r="C5043" s="7"/>
      <c r="D5043" s="7"/>
      <c r="E5043" s="8"/>
      <c r="F5043" t="str">
        <f t="shared" si="183"/>
        <v/>
      </c>
      <c r="G5043" t="str">
        <f t="shared" si="184"/>
        <v/>
      </c>
    </row>
    <row r="5044" spans="2:7" x14ac:dyDescent="0.25">
      <c r="B5044" s="6"/>
      <c r="C5044" s="7"/>
      <c r="D5044" s="7"/>
      <c r="E5044" s="8"/>
      <c r="F5044" t="str">
        <f t="shared" si="183"/>
        <v/>
      </c>
      <c r="G5044" t="str">
        <f t="shared" si="184"/>
        <v/>
      </c>
    </row>
    <row r="5045" spans="2:7" x14ac:dyDescent="0.25">
      <c r="B5045" s="6"/>
      <c r="C5045" s="7"/>
      <c r="D5045" s="7"/>
      <c r="E5045" s="8"/>
      <c r="F5045" t="str">
        <f t="shared" si="183"/>
        <v/>
      </c>
      <c r="G5045" t="str">
        <f t="shared" si="184"/>
        <v/>
      </c>
    </row>
    <row r="5046" spans="2:7" x14ac:dyDescent="0.25">
      <c r="B5046" s="6"/>
      <c r="C5046" s="7"/>
      <c r="D5046" s="7"/>
      <c r="E5046" s="8"/>
      <c r="F5046" t="str">
        <f t="shared" si="183"/>
        <v/>
      </c>
      <c r="G5046" t="str">
        <f t="shared" si="184"/>
        <v/>
      </c>
    </row>
    <row r="5047" spans="2:7" x14ac:dyDescent="0.25">
      <c r="B5047" s="6"/>
      <c r="C5047" s="7"/>
      <c r="D5047" s="7"/>
      <c r="E5047" s="8"/>
      <c r="F5047" t="str">
        <f t="shared" si="183"/>
        <v/>
      </c>
      <c r="G5047" t="str">
        <f t="shared" si="184"/>
        <v/>
      </c>
    </row>
    <row r="5048" spans="2:7" x14ac:dyDescent="0.25">
      <c r="B5048" s="6"/>
      <c r="C5048" s="7"/>
      <c r="D5048" s="7"/>
      <c r="E5048" s="8"/>
      <c r="F5048" t="str">
        <f t="shared" si="183"/>
        <v/>
      </c>
      <c r="G5048" t="str">
        <f t="shared" si="184"/>
        <v/>
      </c>
    </row>
    <row r="5049" spans="2:7" x14ac:dyDescent="0.25">
      <c r="B5049" s="6"/>
      <c r="C5049" s="7"/>
      <c r="D5049" s="7"/>
      <c r="E5049" s="8"/>
      <c r="F5049" t="str">
        <f t="shared" si="183"/>
        <v/>
      </c>
      <c r="G5049" t="str">
        <f t="shared" si="184"/>
        <v/>
      </c>
    </row>
    <row r="5050" spans="2:7" x14ac:dyDescent="0.25">
      <c r="B5050" s="6"/>
      <c r="C5050" s="7"/>
      <c r="D5050" s="7"/>
      <c r="E5050" s="8"/>
      <c r="F5050" t="str">
        <f t="shared" si="183"/>
        <v/>
      </c>
      <c r="G5050" t="str">
        <f t="shared" si="184"/>
        <v/>
      </c>
    </row>
    <row r="5051" spans="2:7" x14ac:dyDescent="0.25">
      <c r="B5051" s="6"/>
      <c r="C5051" s="7"/>
      <c r="D5051" s="7"/>
      <c r="E5051" s="8"/>
      <c r="F5051" t="str">
        <f t="shared" si="183"/>
        <v/>
      </c>
      <c r="G5051" t="str">
        <f t="shared" si="184"/>
        <v/>
      </c>
    </row>
    <row r="5052" spans="2:7" x14ac:dyDescent="0.25">
      <c r="B5052" s="6"/>
      <c r="C5052" s="7"/>
      <c r="D5052" s="7"/>
      <c r="E5052" s="8"/>
      <c r="F5052" t="str">
        <f t="shared" si="183"/>
        <v/>
      </c>
      <c r="G5052" t="str">
        <f t="shared" si="184"/>
        <v/>
      </c>
    </row>
    <row r="5053" spans="2:7" x14ac:dyDescent="0.25">
      <c r="B5053" s="6"/>
      <c r="C5053" s="7"/>
      <c r="D5053" s="7"/>
      <c r="E5053" s="8"/>
      <c r="F5053" t="str">
        <f t="shared" si="183"/>
        <v/>
      </c>
      <c r="G5053" t="str">
        <f t="shared" si="184"/>
        <v/>
      </c>
    </row>
    <row r="5054" spans="2:7" x14ac:dyDescent="0.25">
      <c r="B5054" s="6"/>
      <c r="C5054" s="7"/>
      <c r="D5054" s="7"/>
      <c r="E5054" s="8"/>
      <c r="F5054" t="str">
        <f t="shared" si="183"/>
        <v/>
      </c>
      <c r="G5054" t="str">
        <f t="shared" si="184"/>
        <v/>
      </c>
    </row>
    <row r="5055" spans="2:7" x14ac:dyDescent="0.25">
      <c r="B5055" s="6"/>
      <c r="C5055" s="7"/>
      <c r="D5055" s="7"/>
      <c r="E5055" s="8"/>
      <c r="F5055" t="str">
        <f t="shared" si="183"/>
        <v/>
      </c>
      <c r="G5055" t="str">
        <f t="shared" si="184"/>
        <v/>
      </c>
    </row>
    <row r="5056" spans="2:7" x14ac:dyDescent="0.25">
      <c r="B5056" s="6"/>
      <c r="C5056" s="7"/>
      <c r="D5056" s="7"/>
      <c r="E5056" s="8"/>
      <c r="F5056" t="str">
        <f t="shared" si="183"/>
        <v/>
      </c>
      <c r="G5056" t="str">
        <f t="shared" si="184"/>
        <v/>
      </c>
    </row>
    <row r="5057" spans="2:7" x14ac:dyDescent="0.25">
      <c r="B5057" s="6"/>
      <c r="C5057" s="7"/>
      <c r="D5057" s="7"/>
      <c r="E5057" s="8"/>
      <c r="F5057" t="str">
        <f t="shared" si="183"/>
        <v/>
      </c>
      <c r="G5057" t="str">
        <f t="shared" si="184"/>
        <v/>
      </c>
    </row>
    <row r="5058" spans="2:7" x14ac:dyDescent="0.25">
      <c r="B5058" s="6"/>
      <c r="C5058" s="7"/>
      <c r="D5058" s="7"/>
      <c r="E5058" s="8"/>
      <c r="F5058" t="str">
        <f t="shared" si="183"/>
        <v/>
      </c>
      <c r="G5058" t="str">
        <f t="shared" si="184"/>
        <v/>
      </c>
    </row>
    <row r="5059" spans="2:7" x14ac:dyDescent="0.25">
      <c r="B5059" s="6"/>
      <c r="C5059" s="7"/>
      <c r="D5059" s="7"/>
      <c r="E5059" s="8"/>
      <c r="F5059" t="str">
        <f t="shared" si="183"/>
        <v/>
      </c>
      <c r="G5059" t="str">
        <f t="shared" si="184"/>
        <v/>
      </c>
    </row>
    <row r="5060" spans="2:7" x14ac:dyDescent="0.25">
      <c r="B5060" s="6"/>
      <c r="C5060" s="7"/>
      <c r="D5060" s="7"/>
      <c r="E5060" s="8"/>
      <c r="F5060" t="str">
        <f t="shared" ref="F5060:F5123" si="185">IF(B5060="","",LOG10(D5060))</f>
        <v/>
      </c>
      <c r="G5060" t="str">
        <f t="shared" ref="G5060:G5123" si="186">IF(E5060="", "",0.434*E5060/D5060)</f>
        <v/>
      </c>
    </row>
    <row r="5061" spans="2:7" x14ac:dyDescent="0.25">
      <c r="B5061" s="6"/>
      <c r="C5061" s="7"/>
      <c r="D5061" s="7"/>
      <c r="E5061" s="8"/>
      <c r="F5061" t="str">
        <f t="shared" si="185"/>
        <v/>
      </c>
      <c r="G5061" t="str">
        <f t="shared" si="186"/>
        <v/>
      </c>
    </row>
    <row r="5062" spans="2:7" x14ac:dyDescent="0.25">
      <c r="B5062" s="6"/>
      <c r="C5062" s="7"/>
      <c r="D5062" s="7"/>
      <c r="E5062" s="8"/>
      <c r="F5062" t="str">
        <f t="shared" si="185"/>
        <v/>
      </c>
      <c r="G5062" t="str">
        <f t="shared" si="186"/>
        <v/>
      </c>
    </row>
    <row r="5063" spans="2:7" x14ac:dyDescent="0.25">
      <c r="B5063" s="6"/>
      <c r="C5063" s="7"/>
      <c r="D5063" s="7"/>
      <c r="E5063" s="8"/>
      <c r="F5063" t="str">
        <f t="shared" si="185"/>
        <v/>
      </c>
      <c r="G5063" t="str">
        <f t="shared" si="186"/>
        <v/>
      </c>
    </row>
    <row r="5064" spans="2:7" x14ac:dyDescent="0.25">
      <c r="B5064" s="6"/>
      <c r="C5064" s="7"/>
      <c r="D5064" s="7"/>
      <c r="E5064" s="8"/>
      <c r="F5064" t="str">
        <f t="shared" si="185"/>
        <v/>
      </c>
      <c r="G5064" t="str">
        <f t="shared" si="186"/>
        <v/>
      </c>
    </row>
    <row r="5065" spans="2:7" x14ac:dyDescent="0.25">
      <c r="B5065" s="6"/>
      <c r="C5065" s="7"/>
      <c r="D5065" s="7"/>
      <c r="E5065" s="8"/>
      <c r="F5065" t="str">
        <f t="shared" si="185"/>
        <v/>
      </c>
      <c r="G5065" t="str">
        <f t="shared" si="186"/>
        <v/>
      </c>
    </row>
    <row r="5066" spans="2:7" x14ac:dyDescent="0.25">
      <c r="B5066" s="6"/>
      <c r="C5066" s="7"/>
      <c r="D5066" s="7"/>
      <c r="E5066" s="8"/>
      <c r="F5066" t="str">
        <f t="shared" si="185"/>
        <v/>
      </c>
      <c r="G5066" t="str">
        <f t="shared" si="186"/>
        <v/>
      </c>
    </row>
    <row r="5067" spans="2:7" x14ac:dyDescent="0.25">
      <c r="B5067" s="6"/>
      <c r="C5067" s="7"/>
      <c r="D5067" s="7"/>
      <c r="E5067" s="8"/>
      <c r="F5067" t="str">
        <f t="shared" si="185"/>
        <v/>
      </c>
      <c r="G5067" t="str">
        <f t="shared" si="186"/>
        <v/>
      </c>
    </row>
    <row r="5068" spans="2:7" x14ac:dyDescent="0.25">
      <c r="B5068" s="6"/>
      <c r="C5068" s="7"/>
      <c r="D5068" s="7"/>
      <c r="E5068" s="8"/>
      <c r="F5068" t="str">
        <f t="shared" si="185"/>
        <v/>
      </c>
      <c r="G5068" t="str">
        <f t="shared" si="186"/>
        <v/>
      </c>
    </row>
    <row r="5069" spans="2:7" x14ac:dyDescent="0.25">
      <c r="B5069" s="6"/>
      <c r="C5069" s="7"/>
      <c r="D5069" s="7"/>
      <c r="E5069" s="8"/>
      <c r="F5069" t="str">
        <f t="shared" si="185"/>
        <v/>
      </c>
      <c r="G5069" t="str">
        <f t="shared" si="186"/>
        <v/>
      </c>
    </row>
    <row r="5070" spans="2:7" x14ac:dyDescent="0.25">
      <c r="B5070" s="6"/>
      <c r="C5070" s="7"/>
      <c r="D5070" s="7"/>
      <c r="E5070" s="8"/>
      <c r="F5070" t="str">
        <f t="shared" si="185"/>
        <v/>
      </c>
      <c r="G5070" t="str">
        <f t="shared" si="186"/>
        <v/>
      </c>
    </row>
    <row r="5071" spans="2:7" x14ac:dyDescent="0.25">
      <c r="B5071" s="6"/>
      <c r="C5071" s="7"/>
      <c r="D5071" s="7"/>
      <c r="E5071" s="8"/>
      <c r="F5071" t="str">
        <f t="shared" si="185"/>
        <v/>
      </c>
      <c r="G5071" t="str">
        <f t="shared" si="186"/>
        <v/>
      </c>
    </row>
    <row r="5072" spans="2:7" x14ac:dyDescent="0.25">
      <c r="B5072" s="6"/>
      <c r="C5072" s="7"/>
      <c r="D5072" s="7"/>
      <c r="E5072" s="8"/>
      <c r="F5072" t="str">
        <f t="shared" si="185"/>
        <v/>
      </c>
      <c r="G5072" t="str">
        <f t="shared" si="186"/>
        <v/>
      </c>
    </row>
    <row r="5073" spans="2:7" x14ac:dyDescent="0.25">
      <c r="B5073" s="6"/>
      <c r="C5073" s="7"/>
      <c r="D5073" s="7"/>
      <c r="E5073" s="8"/>
      <c r="F5073" t="str">
        <f t="shared" si="185"/>
        <v/>
      </c>
      <c r="G5073" t="str">
        <f t="shared" si="186"/>
        <v/>
      </c>
    </row>
    <row r="5074" spans="2:7" x14ac:dyDescent="0.25">
      <c r="B5074" s="6"/>
      <c r="C5074" s="7"/>
      <c r="D5074" s="7"/>
      <c r="E5074" s="8"/>
      <c r="F5074" t="str">
        <f t="shared" si="185"/>
        <v/>
      </c>
      <c r="G5074" t="str">
        <f t="shared" si="186"/>
        <v/>
      </c>
    </row>
    <row r="5075" spans="2:7" x14ac:dyDescent="0.25">
      <c r="B5075" s="6"/>
      <c r="C5075" s="7"/>
      <c r="D5075" s="7"/>
      <c r="E5075" s="8"/>
      <c r="F5075" t="str">
        <f t="shared" si="185"/>
        <v/>
      </c>
      <c r="G5075" t="str">
        <f t="shared" si="186"/>
        <v/>
      </c>
    </row>
    <row r="5076" spans="2:7" x14ac:dyDescent="0.25">
      <c r="B5076" s="6"/>
      <c r="C5076" s="7"/>
      <c r="D5076" s="7"/>
      <c r="E5076" s="8"/>
      <c r="F5076" t="str">
        <f t="shared" si="185"/>
        <v/>
      </c>
      <c r="G5076" t="str">
        <f t="shared" si="186"/>
        <v/>
      </c>
    </row>
    <row r="5077" spans="2:7" x14ac:dyDescent="0.25">
      <c r="B5077" s="6"/>
      <c r="C5077" s="7"/>
      <c r="D5077" s="7"/>
      <c r="E5077" s="8"/>
      <c r="F5077" t="str">
        <f t="shared" si="185"/>
        <v/>
      </c>
      <c r="G5077" t="str">
        <f t="shared" si="186"/>
        <v/>
      </c>
    </row>
    <row r="5078" spans="2:7" x14ac:dyDescent="0.25">
      <c r="B5078" s="6"/>
      <c r="C5078" s="7"/>
      <c r="D5078" s="7"/>
      <c r="E5078" s="8"/>
      <c r="F5078" t="str">
        <f t="shared" si="185"/>
        <v/>
      </c>
      <c r="G5078" t="str">
        <f t="shared" si="186"/>
        <v/>
      </c>
    </row>
    <row r="5079" spans="2:7" x14ac:dyDescent="0.25">
      <c r="B5079" s="6"/>
      <c r="C5079" s="7"/>
      <c r="D5079" s="7"/>
      <c r="E5079" s="8"/>
      <c r="F5079" t="str">
        <f t="shared" si="185"/>
        <v/>
      </c>
      <c r="G5079" t="str">
        <f t="shared" si="186"/>
        <v/>
      </c>
    </row>
    <row r="5080" spans="2:7" x14ac:dyDescent="0.25">
      <c r="B5080" s="6"/>
      <c r="C5080" s="7"/>
      <c r="D5080" s="7"/>
      <c r="E5080" s="8"/>
      <c r="F5080" t="str">
        <f t="shared" si="185"/>
        <v/>
      </c>
      <c r="G5080" t="str">
        <f t="shared" si="186"/>
        <v/>
      </c>
    </row>
    <row r="5081" spans="2:7" x14ac:dyDescent="0.25">
      <c r="B5081" s="6"/>
      <c r="C5081" s="7"/>
      <c r="D5081" s="7"/>
      <c r="E5081" s="8"/>
      <c r="F5081" t="str">
        <f t="shared" si="185"/>
        <v/>
      </c>
      <c r="G5081" t="str">
        <f t="shared" si="186"/>
        <v/>
      </c>
    </row>
    <row r="5082" spans="2:7" x14ac:dyDescent="0.25">
      <c r="B5082" s="6"/>
      <c r="C5082" s="7"/>
      <c r="D5082" s="7"/>
      <c r="E5082" s="8"/>
      <c r="F5082" t="str">
        <f t="shared" si="185"/>
        <v/>
      </c>
      <c r="G5082" t="str">
        <f t="shared" si="186"/>
        <v/>
      </c>
    </row>
    <row r="5083" spans="2:7" x14ac:dyDescent="0.25">
      <c r="B5083" s="6"/>
      <c r="C5083" s="7"/>
      <c r="D5083" s="7"/>
      <c r="E5083" s="8"/>
      <c r="F5083" t="str">
        <f t="shared" si="185"/>
        <v/>
      </c>
      <c r="G5083" t="str">
        <f t="shared" si="186"/>
        <v/>
      </c>
    </row>
    <row r="5084" spans="2:7" x14ac:dyDescent="0.25">
      <c r="B5084" s="6"/>
      <c r="C5084" s="7"/>
      <c r="D5084" s="7"/>
      <c r="E5084" s="8"/>
      <c r="F5084" t="str">
        <f t="shared" si="185"/>
        <v/>
      </c>
      <c r="G5084" t="str">
        <f t="shared" si="186"/>
        <v/>
      </c>
    </row>
    <row r="5085" spans="2:7" x14ac:dyDescent="0.25">
      <c r="B5085" s="6"/>
      <c r="C5085" s="7"/>
      <c r="D5085" s="7"/>
      <c r="E5085" s="8"/>
      <c r="F5085" t="str">
        <f t="shared" si="185"/>
        <v/>
      </c>
      <c r="G5085" t="str">
        <f t="shared" si="186"/>
        <v/>
      </c>
    </row>
    <row r="5086" spans="2:7" x14ac:dyDescent="0.25">
      <c r="B5086" s="6"/>
      <c r="C5086" s="7"/>
      <c r="D5086" s="7"/>
      <c r="E5086" s="8"/>
      <c r="F5086" t="str">
        <f t="shared" si="185"/>
        <v/>
      </c>
      <c r="G5086" t="str">
        <f t="shared" si="186"/>
        <v/>
      </c>
    </row>
    <row r="5087" spans="2:7" x14ac:dyDescent="0.25">
      <c r="B5087" s="6"/>
      <c r="C5087" s="7"/>
      <c r="D5087" s="7"/>
      <c r="E5087" s="8"/>
      <c r="F5087" t="str">
        <f t="shared" si="185"/>
        <v/>
      </c>
      <c r="G5087" t="str">
        <f t="shared" si="186"/>
        <v/>
      </c>
    </row>
    <row r="5088" spans="2:7" x14ac:dyDescent="0.25">
      <c r="B5088" s="6"/>
      <c r="C5088" s="7"/>
      <c r="D5088" s="7"/>
      <c r="E5088" s="8"/>
      <c r="F5088" t="str">
        <f t="shared" si="185"/>
        <v/>
      </c>
      <c r="G5088" t="str">
        <f t="shared" si="186"/>
        <v/>
      </c>
    </row>
    <row r="5089" spans="2:7" x14ac:dyDescent="0.25">
      <c r="B5089" s="6"/>
      <c r="C5089" s="7"/>
      <c r="D5089" s="7"/>
      <c r="E5089" s="8"/>
      <c r="F5089" t="str">
        <f t="shared" si="185"/>
        <v/>
      </c>
      <c r="G5089" t="str">
        <f t="shared" si="186"/>
        <v/>
      </c>
    </row>
    <row r="5090" spans="2:7" x14ac:dyDescent="0.25">
      <c r="B5090" s="6"/>
      <c r="C5090" s="7"/>
      <c r="D5090" s="7"/>
      <c r="E5090" s="8"/>
      <c r="F5090" t="str">
        <f t="shared" si="185"/>
        <v/>
      </c>
      <c r="G5090" t="str">
        <f t="shared" si="186"/>
        <v/>
      </c>
    </row>
    <row r="5091" spans="2:7" x14ac:dyDescent="0.25">
      <c r="B5091" s="6"/>
      <c r="C5091" s="7"/>
      <c r="D5091" s="7"/>
      <c r="E5091" s="8"/>
      <c r="F5091" t="str">
        <f t="shared" si="185"/>
        <v/>
      </c>
      <c r="G5091" t="str">
        <f t="shared" si="186"/>
        <v/>
      </c>
    </row>
    <row r="5092" spans="2:7" x14ac:dyDescent="0.25">
      <c r="B5092" s="6"/>
      <c r="C5092" s="7"/>
      <c r="D5092" s="7"/>
      <c r="E5092" s="8"/>
      <c r="F5092" t="str">
        <f t="shared" si="185"/>
        <v/>
      </c>
      <c r="G5092" t="str">
        <f t="shared" si="186"/>
        <v/>
      </c>
    </row>
    <row r="5093" spans="2:7" x14ac:dyDescent="0.25">
      <c r="B5093" s="6"/>
      <c r="C5093" s="7"/>
      <c r="D5093" s="7"/>
      <c r="E5093" s="8"/>
      <c r="F5093" t="str">
        <f t="shared" si="185"/>
        <v/>
      </c>
      <c r="G5093" t="str">
        <f t="shared" si="186"/>
        <v/>
      </c>
    </row>
    <row r="5094" spans="2:7" x14ac:dyDescent="0.25">
      <c r="B5094" s="6"/>
      <c r="C5094" s="7"/>
      <c r="D5094" s="7"/>
      <c r="E5094" s="8"/>
      <c r="F5094" t="str">
        <f t="shared" si="185"/>
        <v/>
      </c>
      <c r="G5094" t="str">
        <f t="shared" si="186"/>
        <v/>
      </c>
    </row>
    <row r="5095" spans="2:7" x14ac:dyDescent="0.25">
      <c r="B5095" s="6"/>
      <c r="C5095" s="7"/>
      <c r="D5095" s="7"/>
      <c r="E5095" s="8"/>
      <c r="F5095" t="str">
        <f t="shared" si="185"/>
        <v/>
      </c>
      <c r="G5095" t="str">
        <f t="shared" si="186"/>
        <v/>
      </c>
    </row>
    <row r="5096" spans="2:7" x14ac:dyDescent="0.25">
      <c r="B5096" s="6"/>
      <c r="C5096" s="7"/>
      <c r="D5096" s="7"/>
      <c r="E5096" s="8"/>
      <c r="F5096" t="str">
        <f t="shared" si="185"/>
        <v/>
      </c>
      <c r="G5096" t="str">
        <f t="shared" si="186"/>
        <v/>
      </c>
    </row>
    <row r="5097" spans="2:7" x14ac:dyDescent="0.25">
      <c r="B5097" s="6"/>
      <c r="C5097" s="7"/>
      <c r="D5097" s="7"/>
      <c r="E5097" s="8"/>
      <c r="F5097" t="str">
        <f t="shared" si="185"/>
        <v/>
      </c>
      <c r="G5097" t="str">
        <f t="shared" si="186"/>
        <v/>
      </c>
    </row>
    <row r="5098" spans="2:7" x14ac:dyDescent="0.25">
      <c r="B5098" s="6"/>
      <c r="C5098" s="7"/>
      <c r="D5098" s="7"/>
      <c r="E5098" s="8"/>
      <c r="F5098" t="str">
        <f t="shared" si="185"/>
        <v/>
      </c>
      <c r="G5098" t="str">
        <f t="shared" si="186"/>
        <v/>
      </c>
    </row>
    <row r="5099" spans="2:7" x14ac:dyDescent="0.25">
      <c r="B5099" s="6"/>
      <c r="C5099" s="7"/>
      <c r="D5099" s="7"/>
      <c r="E5099" s="8"/>
      <c r="F5099" t="str">
        <f t="shared" si="185"/>
        <v/>
      </c>
      <c r="G5099" t="str">
        <f t="shared" si="186"/>
        <v/>
      </c>
    </row>
    <row r="5100" spans="2:7" x14ac:dyDescent="0.25">
      <c r="B5100" s="6"/>
      <c r="C5100" s="7"/>
      <c r="D5100" s="7"/>
      <c r="E5100" s="8"/>
      <c r="F5100" t="str">
        <f t="shared" si="185"/>
        <v/>
      </c>
      <c r="G5100" t="str">
        <f t="shared" si="186"/>
        <v/>
      </c>
    </row>
    <row r="5101" spans="2:7" x14ac:dyDescent="0.25">
      <c r="B5101" s="6"/>
      <c r="C5101" s="7"/>
      <c r="D5101" s="7"/>
      <c r="E5101" s="8"/>
      <c r="F5101" t="str">
        <f t="shared" si="185"/>
        <v/>
      </c>
      <c r="G5101" t="str">
        <f t="shared" si="186"/>
        <v/>
      </c>
    </row>
    <row r="5102" spans="2:7" x14ac:dyDescent="0.25">
      <c r="B5102" s="6"/>
      <c r="C5102" s="7"/>
      <c r="D5102" s="7"/>
      <c r="E5102" s="8"/>
      <c r="F5102" t="str">
        <f t="shared" si="185"/>
        <v/>
      </c>
      <c r="G5102" t="str">
        <f t="shared" si="186"/>
        <v/>
      </c>
    </row>
    <row r="5103" spans="2:7" x14ac:dyDescent="0.25">
      <c r="B5103" s="6"/>
      <c r="C5103" s="7"/>
      <c r="D5103" s="7"/>
      <c r="E5103" s="8"/>
      <c r="F5103" t="str">
        <f t="shared" si="185"/>
        <v/>
      </c>
      <c r="G5103" t="str">
        <f t="shared" si="186"/>
        <v/>
      </c>
    </row>
    <row r="5104" spans="2:7" x14ac:dyDescent="0.25">
      <c r="B5104" s="6"/>
      <c r="C5104" s="7"/>
      <c r="D5104" s="7"/>
      <c r="E5104" s="8"/>
      <c r="F5104" t="str">
        <f t="shared" si="185"/>
        <v/>
      </c>
      <c r="G5104" t="str">
        <f t="shared" si="186"/>
        <v/>
      </c>
    </row>
    <row r="5105" spans="2:7" x14ac:dyDescent="0.25">
      <c r="B5105" s="6"/>
      <c r="C5105" s="7"/>
      <c r="D5105" s="7"/>
      <c r="E5105" s="8"/>
      <c r="F5105" t="str">
        <f t="shared" si="185"/>
        <v/>
      </c>
      <c r="G5105" t="str">
        <f t="shared" si="186"/>
        <v/>
      </c>
    </row>
    <row r="5106" spans="2:7" x14ac:dyDescent="0.25">
      <c r="B5106" s="6"/>
      <c r="C5106" s="7"/>
      <c r="D5106" s="7"/>
      <c r="E5106" s="8"/>
      <c r="F5106" t="str">
        <f t="shared" si="185"/>
        <v/>
      </c>
      <c r="G5106" t="str">
        <f t="shared" si="186"/>
        <v/>
      </c>
    </row>
    <row r="5107" spans="2:7" x14ac:dyDescent="0.25">
      <c r="B5107" s="6"/>
      <c r="C5107" s="7"/>
      <c r="D5107" s="7"/>
      <c r="E5107" s="8"/>
      <c r="F5107" t="str">
        <f t="shared" si="185"/>
        <v/>
      </c>
      <c r="G5107" t="str">
        <f t="shared" si="186"/>
        <v/>
      </c>
    </row>
    <row r="5108" spans="2:7" x14ac:dyDescent="0.25">
      <c r="B5108" s="6"/>
      <c r="C5108" s="7"/>
      <c r="D5108" s="7"/>
      <c r="E5108" s="8"/>
      <c r="F5108" t="str">
        <f t="shared" si="185"/>
        <v/>
      </c>
      <c r="G5108" t="str">
        <f t="shared" si="186"/>
        <v/>
      </c>
    </row>
    <row r="5109" spans="2:7" x14ac:dyDescent="0.25">
      <c r="B5109" s="6"/>
      <c r="C5109" s="7"/>
      <c r="D5109" s="7"/>
      <c r="E5109" s="8"/>
      <c r="F5109" t="str">
        <f t="shared" si="185"/>
        <v/>
      </c>
      <c r="G5109" t="str">
        <f t="shared" si="186"/>
        <v/>
      </c>
    </row>
    <row r="5110" spans="2:7" x14ac:dyDescent="0.25">
      <c r="B5110" s="6"/>
      <c r="C5110" s="7"/>
      <c r="D5110" s="7"/>
      <c r="E5110" s="8"/>
      <c r="F5110" t="str">
        <f t="shared" si="185"/>
        <v/>
      </c>
      <c r="G5110" t="str">
        <f t="shared" si="186"/>
        <v/>
      </c>
    </row>
    <row r="5111" spans="2:7" x14ac:dyDescent="0.25">
      <c r="B5111" s="6"/>
      <c r="C5111" s="7"/>
      <c r="D5111" s="7"/>
      <c r="E5111" s="8"/>
      <c r="F5111" t="str">
        <f t="shared" si="185"/>
        <v/>
      </c>
      <c r="G5111" t="str">
        <f t="shared" si="186"/>
        <v/>
      </c>
    </row>
    <row r="5112" spans="2:7" x14ac:dyDescent="0.25">
      <c r="B5112" s="6"/>
      <c r="C5112" s="7"/>
      <c r="D5112" s="7"/>
      <c r="E5112" s="8"/>
      <c r="F5112" t="str">
        <f t="shared" si="185"/>
        <v/>
      </c>
      <c r="G5112" t="str">
        <f t="shared" si="186"/>
        <v/>
      </c>
    </row>
    <row r="5113" spans="2:7" x14ac:dyDescent="0.25">
      <c r="B5113" s="6"/>
      <c r="C5113" s="7"/>
      <c r="D5113" s="7"/>
      <c r="E5113" s="8"/>
      <c r="F5113" t="str">
        <f t="shared" si="185"/>
        <v/>
      </c>
      <c r="G5113" t="str">
        <f t="shared" si="186"/>
        <v/>
      </c>
    </row>
    <row r="5114" spans="2:7" x14ac:dyDescent="0.25">
      <c r="B5114" s="6"/>
      <c r="C5114" s="7"/>
      <c r="D5114" s="7"/>
      <c r="E5114" s="8"/>
      <c r="F5114" t="str">
        <f t="shared" si="185"/>
        <v/>
      </c>
      <c r="G5114" t="str">
        <f t="shared" si="186"/>
        <v/>
      </c>
    </row>
    <row r="5115" spans="2:7" x14ac:dyDescent="0.25">
      <c r="B5115" s="6"/>
      <c r="C5115" s="7"/>
      <c r="D5115" s="7"/>
      <c r="E5115" s="8"/>
      <c r="F5115" t="str">
        <f t="shared" si="185"/>
        <v/>
      </c>
      <c r="G5115" t="str">
        <f t="shared" si="186"/>
        <v/>
      </c>
    </row>
    <row r="5116" spans="2:7" x14ac:dyDescent="0.25">
      <c r="B5116" s="6"/>
      <c r="C5116" s="7"/>
      <c r="D5116" s="7"/>
      <c r="E5116" s="8"/>
      <c r="F5116" t="str">
        <f t="shared" si="185"/>
        <v/>
      </c>
      <c r="G5116" t="str">
        <f t="shared" si="186"/>
        <v/>
      </c>
    </row>
    <row r="5117" spans="2:7" x14ac:dyDescent="0.25">
      <c r="B5117" s="6"/>
      <c r="C5117" s="7"/>
      <c r="D5117" s="7"/>
      <c r="E5117" s="8"/>
      <c r="F5117" t="str">
        <f t="shared" si="185"/>
        <v/>
      </c>
      <c r="G5117" t="str">
        <f t="shared" si="186"/>
        <v/>
      </c>
    </row>
    <row r="5118" spans="2:7" x14ac:dyDescent="0.25">
      <c r="B5118" s="6"/>
      <c r="C5118" s="7"/>
      <c r="D5118" s="7"/>
      <c r="E5118" s="8"/>
      <c r="F5118" t="str">
        <f t="shared" si="185"/>
        <v/>
      </c>
      <c r="G5118" t="str">
        <f t="shared" si="186"/>
        <v/>
      </c>
    </row>
    <row r="5119" spans="2:7" x14ac:dyDescent="0.25">
      <c r="B5119" s="6"/>
      <c r="C5119" s="7"/>
      <c r="D5119" s="7"/>
      <c r="E5119" s="8"/>
      <c r="F5119" t="str">
        <f t="shared" si="185"/>
        <v/>
      </c>
      <c r="G5119" t="str">
        <f t="shared" si="186"/>
        <v/>
      </c>
    </row>
    <row r="5120" spans="2:7" x14ac:dyDescent="0.25">
      <c r="B5120" s="6"/>
      <c r="C5120" s="7"/>
      <c r="D5120" s="7"/>
      <c r="E5120" s="8"/>
      <c r="F5120" t="str">
        <f t="shared" si="185"/>
        <v/>
      </c>
      <c r="G5120" t="str">
        <f t="shared" si="186"/>
        <v/>
      </c>
    </row>
    <row r="5121" spans="2:7" x14ac:dyDescent="0.25">
      <c r="B5121" s="6"/>
      <c r="C5121" s="7"/>
      <c r="D5121" s="7"/>
      <c r="E5121" s="8"/>
      <c r="F5121" t="str">
        <f t="shared" si="185"/>
        <v/>
      </c>
      <c r="G5121" t="str">
        <f t="shared" si="186"/>
        <v/>
      </c>
    </row>
    <row r="5122" spans="2:7" x14ac:dyDescent="0.25">
      <c r="B5122" s="6"/>
      <c r="C5122" s="7"/>
      <c r="D5122" s="7"/>
      <c r="E5122" s="8"/>
      <c r="F5122" t="str">
        <f t="shared" si="185"/>
        <v/>
      </c>
      <c r="G5122" t="str">
        <f t="shared" si="186"/>
        <v/>
      </c>
    </row>
    <row r="5123" spans="2:7" x14ac:dyDescent="0.25">
      <c r="B5123" s="6"/>
      <c r="C5123" s="7"/>
      <c r="D5123" s="7"/>
      <c r="E5123" s="8"/>
      <c r="F5123" t="str">
        <f t="shared" si="185"/>
        <v/>
      </c>
      <c r="G5123" t="str">
        <f t="shared" si="186"/>
        <v/>
      </c>
    </row>
    <row r="5124" spans="2:7" x14ac:dyDescent="0.25">
      <c r="B5124" s="6"/>
      <c r="C5124" s="7"/>
      <c r="D5124" s="7"/>
      <c r="E5124" s="8"/>
      <c r="F5124" t="str">
        <f t="shared" ref="F5124:F5187" si="187">IF(B5124="","",LOG10(D5124))</f>
        <v/>
      </c>
      <c r="G5124" t="str">
        <f t="shared" ref="G5124:G5187" si="188">IF(E5124="", "",0.434*E5124/D5124)</f>
        <v/>
      </c>
    </row>
    <row r="5125" spans="2:7" x14ac:dyDescent="0.25">
      <c r="B5125" s="6"/>
      <c r="C5125" s="7"/>
      <c r="D5125" s="7"/>
      <c r="E5125" s="8"/>
      <c r="F5125" t="str">
        <f t="shared" si="187"/>
        <v/>
      </c>
      <c r="G5125" t="str">
        <f t="shared" si="188"/>
        <v/>
      </c>
    </row>
    <row r="5126" spans="2:7" x14ac:dyDescent="0.25">
      <c r="B5126" s="6"/>
      <c r="C5126" s="7"/>
      <c r="D5126" s="7"/>
      <c r="E5126" s="8"/>
      <c r="F5126" t="str">
        <f t="shared" si="187"/>
        <v/>
      </c>
      <c r="G5126" t="str">
        <f t="shared" si="188"/>
        <v/>
      </c>
    </row>
    <row r="5127" spans="2:7" x14ac:dyDescent="0.25">
      <c r="B5127" s="6"/>
      <c r="C5127" s="7"/>
      <c r="D5127" s="7"/>
      <c r="E5127" s="8"/>
      <c r="F5127" t="str">
        <f t="shared" si="187"/>
        <v/>
      </c>
      <c r="G5127" t="str">
        <f t="shared" si="188"/>
        <v/>
      </c>
    </row>
    <row r="5128" spans="2:7" x14ac:dyDescent="0.25">
      <c r="B5128" s="6"/>
      <c r="C5128" s="7"/>
      <c r="D5128" s="7"/>
      <c r="E5128" s="8"/>
      <c r="F5128" t="str">
        <f t="shared" si="187"/>
        <v/>
      </c>
      <c r="G5128" t="str">
        <f t="shared" si="188"/>
        <v/>
      </c>
    </row>
    <row r="5129" spans="2:7" x14ac:dyDescent="0.25">
      <c r="B5129" s="6"/>
      <c r="C5129" s="7"/>
      <c r="D5129" s="7"/>
      <c r="E5129" s="8"/>
      <c r="F5129" t="str">
        <f t="shared" si="187"/>
        <v/>
      </c>
      <c r="G5129" t="str">
        <f t="shared" si="188"/>
        <v/>
      </c>
    </row>
    <row r="5130" spans="2:7" x14ac:dyDescent="0.25">
      <c r="B5130" s="6"/>
      <c r="C5130" s="7"/>
      <c r="D5130" s="7"/>
      <c r="E5130" s="8"/>
      <c r="F5130" t="str">
        <f t="shared" si="187"/>
        <v/>
      </c>
      <c r="G5130" t="str">
        <f t="shared" si="188"/>
        <v/>
      </c>
    </row>
    <row r="5131" spans="2:7" x14ac:dyDescent="0.25">
      <c r="B5131" s="6"/>
      <c r="C5131" s="7"/>
      <c r="D5131" s="7"/>
      <c r="E5131" s="8"/>
      <c r="F5131" t="str">
        <f t="shared" si="187"/>
        <v/>
      </c>
      <c r="G5131" t="str">
        <f t="shared" si="188"/>
        <v/>
      </c>
    </row>
    <row r="5132" spans="2:7" x14ac:dyDescent="0.25">
      <c r="B5132" s="6"/>
      <c r="C5132" s="7"/>
      <c r="D5132" s="7"/>
      <c r="E5132" s="8"/>
      <c r="F5132" t="str">
        <f t="shared" si="187"/>
        <v/>
      </c>
      <c r="G5132" t="str">
        <f t="shared" si="188"/>
        <v/>
      </c>
    </row>
    <row r="5133" spans="2:7" x14ac:dyDescent="0.25">
      <c r="B5133" s="6"/>
      <c r="C5133" s="7"/>
      <c r="D5133" s="7"/>
      <c r="E5133" s="8"/>
      <c r="F5133" t="str">
        <f t="shared" si="187"/>
        <v/>
      </c>
      <c r="G5133" t="str">
        <f t="shared" si="188"/>
        <v/>
      </c>
    </row>
    <row r="5134" spans="2:7" x14ac:dyDescent="0.25">
      <c r="B5134" s="6"/>
      <c r="C5134" s="7"/>
      <c r="D5134" s="7"/>
      <c r="E5134" s="8"/>
      <c r="F5134" t="str">
        <f t="shared" si="187"/>
        <v/>
      </c>
      <c r="G5134" t="str">
        <f t="shared" si="188"/>
        <v/>
      </c>
    </row>
    <row r="5135" spans="2:7" x14ac:dyDescent="0.25">
      <c r="B5135" s="6"/>
      <c r="C5135" s="7"/>
      <c r="D5135" s="7"/>
      <c r="E5135" s="8"/>
      <c r="F5135" t="str">
        <f t="shared" si="187"/>
        <v/>
      </c>
      <c r="G5135" t="str">
        <f t="shared" si="188"/>
        <v/>
      </c>
    </row>
    <row r="5136" spans="2:7" x14ac:dyDescent="0.25">
      <c r="B5136" s="6"/>
      <c r="C5136" s="7"/>
      <c r="D5136" s="7"/>
      <c r="E5136" s="8"/>
      <c r="F5136" t="str">
        <f t="shared" si="187"/>
        <v/>
      </c>
      <c r="G5136" t="str">
        <f t="shared" si="188"/>
        <v/>
      </c>
    </row>
    <row r="5137" spans="2:7" x14ac:dyDescent="0.25">
      <c r="B5137" s="6"/>
      <c r="C5137" s="7"/>
      <c r="D5137" s="7"/>
      <c r="E5137" s="8"/>
      <c r="F5137" t="str">
        <f t="shared" si="187"/>
        <v/>
      </c>
      <c r="G5137" t="str">
        <f t="shared" si="188"/>
        <v/>
      </c>
    </row>
    <row r="5138" spans="2:7" x14ac:dyDescent="0.25">
      <c r="B5138" s="6"/>
      <c r="C5138" s="7"/>
      <c r="D5138" s="7"/>
      <c r="E5138" s="8"/>
      <c r="F5138" t="str">
        <f t="shared" si="187"/>
        <v/>
      </c>
      <c r="G5138" t="str">
        <f t="shared" si="188"/>
        <v/>
      </c>
    </row>
    <row r="5139" spans="2:7" x14ac:dyDescent="0.25">
      <c r="B5139" s="6"/>
      <c r="C5139" s="7"/>
      <c r="D5139" s="7"/>
      <c r="E5139" s="8"/>
      <c r="F5139" t="str">
        <f t="shared" si="187"/>
        <v/>
      </c>
      <c r="G5139" t="str">
        <f t="shared" si="188"/>
        <v/>
      </c>
    </row>
    <row r="5140" spans="2:7" x14ac:dyDescent="0.25">
      <c r="B5140" s="6"/>
      <c r="C5140" s="7"/>
      <c r="D5140" s="7"/>
      <c r="E5140" s="8"/>
      <c r="F5140" t="str">
        <f t="shared" si="187"/>
        <v/>
      </c>
      <c r="G5140" t="str">
        <f t="shared" si="188"/>
        <v/>
      </c>
    </row>
    <row r="5141" spans="2:7" x14ac:dyDescent="0.25">
      <c r="B5141" s="6"/>
      <c r="C5141" s="7"/>
      <c r="D5141" s="7"/>
      <c r="E5141" s="8"/>
      <c r="F5141" t="str">
        <f t="shared" si="187"/>
        <v/>
      </c>
      <c r="G5141" t="str">
        <f t="shared" si="188"/>
        <v/>
      </c>
    </row>
    <row r="5142" spans="2:7" x14ac:dyDescent="0.25">
      <c r="B5142" s="6"/>
      <c r="C5142" s="7"/>
      <c r="D5142" s="7"/>
      <c r="E5142" s="8"/>
      <c r="F5142" t="str">
        <f t="shared" si="187"/>
        <v/>
      </c>
      <c r="G5142" t="str">
        <f t="shared" si="188"/>
        <v/>
      </c>
    </row>
    <row r="5143" spans="2:7" x14ac:dyDescent="0.25">
      <c r="B5143" s="6"/>
      <c r="C5143" s="7"/>
      <c r="D5143" s="7"/>
      <c r="E5143" s="8"/>
      <c r="F5143" t="str">
        <f t="shared" si="187"/>
        <v/>
      </c>
      <c r="G5143" t="str">
        <f t="shared" si="188"/>
        <v/>
      </c>
    </row>
    <row r="5144" spans="2:7" x14ac:dyDescent="0.25">
      <c r="B5144" s="6"/>
      <c r="C5144" s="7"/>
      <c r="D5144" s="7"/>
      <c r="E5144" s="8"/>
      <c r="F5144" t="str">
        <f t="shared" si="187"/>
        <v/>
      </c>
      <c r="G5144" t="str">
        <f t="shared" si="188"/>
        <v/>
      </c>
    </row>
    <row r="5145" spans="2:7" x14ac:dyDescent="0.25">
      <c r="B5145" s="6"/>
      <c r="C5145" s="7"/>
      <c r="D5145" s="7"/>
      <c r="E5145" s="8"/>
      <c r="F5145" t="str">
        <f t="shared" si="187"/>
        <v/>
      </c>
      <c r="G5145" t="str">
        <f t="shared" si="188"/>
        <v/>
      </c>
    </row>
    <row r="5146" spans="2:7" x14ac:dyDescent="0.25">
      <c r="B5146" s="6"/>
      <c r="C5146" s="7"/>
      <c r="D5146" s="7"/>
      <c r="E5146" s="8"/>
      <c r="F5146" t="str">
        <f t="shared" si="187"/>
        <v/>
      </c>
      <c r="G5146" t="str">
        <f t="shared" si="188"/>
        <v/>
      </c>
    </row>
    <row r="5147" spans="2:7" x14ac:dyDescent="0.25">
      <c r="B5147" s="6"/>
      <c r="C5147" s="7"/>
      <c r="D5147" s="7"/>
      <c r="E5147" s="8"/>
      <c r="F5147" t="str">
        <f t="shared" si="187"/>
        <v/>
      </c>
      <c r="G5147" t="str">
        <f t="shared" si="188"/>
        <v/>
      </c>
    </row>
    <row r="5148" spans="2:7" x14ac:dyDescent="0.25">
      <c r="B5148" s="6"/>
      <c r="C5148" s="7"/>
      <c r="D5148" s="7"/>
      <c r="E5148" s="8"/>
      <c r="F5148" t="str">
        <f t="shared" si="187"/>
        <v/>
      </c>
      <c r="G5148" t="str">
        <f t="shared" si="188"/>
        <v/>
      </c>
    </row>
    <row r="5149" spans="2:7" x14ac:dyDescent="0.25">
      <c r="B5149" s="6"/>
      <c r="C5149" s="7"/>
      <c r="D5149" s="7"/>
      <c r="E5149" s="8"/>
      <c r="F5149" t="str">
        <f t="shared" si="187"/>
        <v/>
      </c>
      <c r="G5149" t="str">
        <f t="shared" si="188"/>
        <v/>
      </c>
    </row>
    <row r="5150" spans="2:7" x14ac:dyDescent="0.25">
      <c r="B5150" s="6"/>
      <c r="C5150" s="7"/>
      <c r="D5150" s="7"/>
      <c r="E5150" s="8"/>
      <c r="F5150" t="str">
        <f t="shared" si="187"/>
        <v/>
      </c>
      <c r="G5150" t="str">
        <f t="shared" si="188"/>
        <v/>
      </c>
    </row>
    <row r="5151" spans="2:7" x14ac:dyDescent="0.25">
      <c r="B5151" s="6"/>
      <c r="C5151" s="7"/>
      <c r="D5151" s="7"/>
      <c r="E5151" s="8"/>
      <c r="F5151" t="str">
        <f t="shared" si="187"/>
        <v/>
      </c>
      <c r="G5151" t="str">
        <f t="shared" si="188"/>
        <v/>
      </c>
    </row>
    <row r="5152" spans="2:7" x14ac:dyDescent="0.25">
      <c r="B5152" s="6"/>
      <c r="C5152" s="7"/>
      <c r="D5152" s="7"/>
      <c r="E5152" s="8"/>
      <c r="F5152" t="str">
        <f t="shared" si="187"/>
        <v/>
      </c>
      <c r="G5152" t="str">
        <f t="shared" si="188"/>
        <v/>
      </c>
    </row>
    <row r="5153" spans="2:7" x14ac:dyDescent="0.25">
      <c r="B5153" s="6"/>
      <c r="C5153" s="7"/>
      <c r="D5153" s="7"/>
      <c r="E5153" s="8"/>
      <c r="F5153" t="str">
        <f t="shared" si="187"/>
        <v/>
      </c>
      <c r="G5153" t="str">
        <f t="shared" si="188"/>
        <v/>
      </c>
    </row>
    <row r="5154" spans="2:7" x14ac:dyDescent="0.25">
      <c r="B5154" s="6"/>
      <c r="C5154" s="7"/>
      <c r="D5154" s="7"/>
      <c r="E5154" s="8"/>
      <c r="F5154" t="str">
        <f t="shared" si="187"/>
        <v/>
      </c>
      <c r="G5154" t="str">
        <f t="shared" si="188"/>
        <v/>
      </c>
    </row>
    <row r="5155" spans="2:7" x14ac:dyDescent="0.25">
      <c r="B5155" s="6"/>
      <c r="C5155" s="7"/>
      <c r="D5155" s="7"/>
      <c r="E5155" s="8"/>
      <c r="F5155" t="str">
        <f t="shared" si="187"/>
        <v/>
      </c>
      <c r="G5155" t="str">
        <f t="shared" si="188"/>
        <v/>
      </c>
    </row>
    <row r="5156" spans="2:7" x14ac:dyDescent="0.25">
      <c r="B5156" s="6"/>
      <c r="C5156" s="7"/>
      <c r="D5156" s="7"/>
      <c r="E5156" s="8"/>
      <c r="F5156" t="str">
        <f t="shared" si="187"/>
        <v/>
      </c>
      <c r="G5156" t="str">
        <f t="shared" si="188"/>
        <v/>
      </c>
    </row>
    <row r="5157" spans="2:7" x14ac:dyDescent="0.25">
      <c r="B5157" s="6"/>
      <c r="C5157" s="7"/>
      <c r="D5157" s="7"/>
      <c r="E5157" s="8"/>
      <c r="F5157" t="str">
        <f t="shared" si="187"/>
        <v/>
      </c>
      <c r="G5157" t="str">
        <f t="shared" si="188"/>
        <v/>
      </c>
    </row>
    <row r="5158" spans="2:7" x14ac:dyDescent="0.25">
      <c r="B5158" s="6"/>
      <c r="C5158" s="7"/>
      <c r="D5158" s="7"/>
      <c r="E5158" s="8"/>
      <c r="F5158" t="str">
        <f t="shared" si="187"/>
        <v/>
      </c>
      <c r="G5158" t="str">
        <f t="shared" si="188"/>
        <v/>
      </c>
    </row>
    <row r="5159" spans="2:7" x14ac:dyDescent="0.25">
      <c r="B5159" s="6"/>
      <c r="C5159" s="7"/>
      <c r="D5159" s="7"/>
      <c r="E5159" s="8"/>
      <c r="F5159" t="str">
        <f t="shared" si="187"/>
        <v/>
      </c>
      <c r="G5159" t="str">
        <f t="shared" si="188"/>
        <v/>
      </c>
    </row>
    <row r="5160" spans="2:7" x14ac:dyDescent="0.25">
      <c r="B5160" s="6"/>
      <c r="C5160" s="7"/>
      <c r="D5160" s="7"/>
      <c r="E5160" s="8"/>
      <c r="F5160" t="str">
        <f t="shared" si="187"/>
        <v/>
      </c>
      <c r="G5160" t="str">
        <f t="shared" si="188"/>
        <v/>
      </c>
    </row>
    <row r="5161" spans="2:7" x14ac:dyDescent="0.25">
      <c r="B5161" s="6"/>
      <c r="C5161" s="7"/>
      <c r="D5161" s="7"/>
      <c r="E5161" s="8"/>
      <c r="F5161" t="str">
        <f t="shared" si="187"/>
        <v/>
      </c>
      <c r="G5161" t="str">
        <f t="shared" si="188"/>
        <v/>
      </c>
    </row>
    <row r="5162" spans="2:7" x14ac:dyDescent="0.25">
      <c r="B5162" s="6"/>
      <c r="C5162" s="7"/>
      <c r="D5162" s="7"/>
      <c r="E5162" s="8"/>
      <c r="F5162" t="str">
        <f t="shared" si="187"/>
        <v/>
      </c>
      <c r="G5162" t="str">
        <f t="shared" si="188"/>
        <v/>
      </c>
    </row>
    <row r="5163" spans="2:7" x14ac:dyDescent="0.25">
      <c r="B5163" s="6"/>
      <c r="C5163" s="7"/>
      <c r="D5163" s="7"/>
      <c r="E5163" s="8"/>
      <c r="F5163" t="str">
        <f t="shared" si="187"/>
        <v/>
      </c>
      <c r="G5163" t="str">
        <f t="shared" si="188"/>
        <v/>
      </c>
    </row>
    <row r="5164" spans="2:7" x14ac:dyDescent="0.25">
      <c r="B5164" s="6"/>
      <c r="C5164" s="7"/>
      <c r="D5164" s="7"/>
      <c r="E5164" s="8"/>
      <c r="F5164" t="str">
        <f t="shared" si="187"/>
        <v/>
      </c>
      <c r="G5164" t="str">
        <f t="shared" si="188"/>
        <v/>
      </c>
    </row>
    <row r="5165" spans="2:7" x14ac:dyDescent="0.25">
      <c r="B5165" s="6"/>
      <c r="C5165" s="7"/>
      <c r="D5165" s="7"/>
      <c r="E5165" s="8"/>
      <c r="F5165" t="str">
        <f t="shared" si="187"/>
        <v/>
      </c>
      <c r="G5165" t="str">
        <f t="shared" si="188"/>
        <v/>
      </c>
    </row>
    <row r="5166" spans="2:7" x14ac:dyDescent="0.25">
      <c r="B5166" s="6"/>
      <c r="C5166" s="7"/>
      <c r="D5166" s="7"/>
      <c r="E5166" s="8"/>
      <c r="F5166" t="str">
        <f t="shared" si="187"/>
        <v/>
      </c>
      <c r="G5166" t="str">
        <f t="shared" si="188"/>
        <v/>
      </c>
    </row>
    <row r="5167" spans="2:7" x14ac:dyDescent="0.25">
      <c r="B5167" s="6"/>
      <c r="C5167" s="7"/>
      <c r="D5167" s="7"/>
      <c r="E5167" s="8"/>
      <c r="F5167" t="str">
        <f t="shared" si="187"/>
        <v/>
      </c>
      <c r="G5167" t="str">
        <f t="shared" si="188"/>
        <v/>
      </c>
    </row>
    <row r="5168" spans="2:7" x14ac:dyDescent="0.25">
      <c r="B5168" s="6"/>
      <c r="C5168" s="7"/>
      <c r="D5168" s="7"/>
      <c r="E5168" s="8"/>
      <c r="F5168" t="str">
        <f t="shared" si="187"/>
        <v/>
      </c>
      <c r="G5168" t="str">
        <f t="shared" si="188"/>
        <v/>
      </c>
    </row>
    <row r="5169" spans="2:7" x14ac:dyDescent="0.25">
      <c r="B5169" s="6"/>
      <c r="C5169" s="7"/>
      <c r="D5169" s="7"/>
      <c r="E5169" s="8"/>
      <c r="F5169" t="str">
        <f t="shared" si="187"/>
        <v/>
      </c>
      <c r="G5169" t="str">
        <f t="shared" si="188"/>
        <v/>
      </c>
    </row>
    <row r="5170" spans="2:7" x14ac:dyDescent="0.25">
      <c r="B5170" s="6"/>
      <c r="C5170" s="7"/>
      <c r="D5170" s="7"/>
      <c r="E5170" s="8"/>
      <c r="F5170" t="str">
        <f t="shared" si="187"/>
        <v/>
      </c>
      <c r="G5170" t="str">
        <f t="shared" si="188"/>
        <v/>
      </c>
    </row>
    <row r="5171" spans="2:7" x14ac:dyDescent="0.25">
      <c r="B5171" s="6"/>
      <c r="C5171" s="7"/>
      <c r="D5171" s="7"/>
      <c r="E5171" s="8"/>
      <c r="F5171" t="str">
        <f t="shared" si="187"/>
        <v/>
      </c>
      <c r="G5171" t="str">
        <f t="shared" si="188"/>
        <v/>
      </c>
    </row>
    <row r="5172" spans="2:7" x14ac:dyDescent="0.25">
      <c r="B5172" s="6"/>
      <c r="C5172" s="7"/>
      <c r="D5172" s="7"/>
      <c r="E5172" s="8"/>
      <c r="F5172" t="str">
        <f t="shared" si="187"/>
        <v/>
      </c>
      <c r="G5172" t="str">
        <f t="shared" si="188"/>
        <v/>
      </c>
    </row>
    <row r="5173" spans="2:7" x14ac:dyDescent="0.25">
      <c r="B5173" s="6"/>
      <c r="C5173" s="7"/>
      <c r="D5173" s="7"/>
      <c r="E5173" s="8"/>
      <c r="F5173" t="str">
        <f t="shared" si="187"/>
        <v/>
      </c>
      <c r="G5173" t="str">
        <f t="shared" si="188"/>
        <v/>
      </c>
    </row>
    <row r="5174" spans="2:7" x14ac:dyDescent="0.25">
      <c r="B5174" s="6"/>
      <c r="C5174" s="7"/>
      <c r="D5174" s="7"/>
      <c r="E5174" s="8"/>
      <c r="F5174" t="str">
        <f t="shared" si="187"/>
        <v/>
      </c>
      <c r="G5174" t="str">
        <f t="shared" si="188"/>
        <v/>
      </c>
    </row>
    <row r="5175" spans="2:7" x14ac:dyDescent="0.25">
      <c r="B5175" s="6"/>
      <c r="C5175" s="7"/>
      <c r="D5175" s="7"/>
      <c r="E5175" s="8"/>
      <c r="F5175" t="str">
        <f t="shared" si="187"/>
        <v/>
      </c>
      <c r="G5175" t="str">
        <f t="shared" si="188"/>
        <v/>
      </c>
    </row>
    <row r="5176" spans="2:7" x14ac:dyDescent="0.25">
      <c r="B5176" s="6"/>
      <c r="C5176" s="7"/>
      <c r="D5176" s="7"/>
      <c r="E5176" s="8"/>
      <c r="F5176" t="str">
        <f t="shared" si="187"/>
        <v/>
      </c>
      <c r="G5176" t="str">
        <f t="shared" si="188"/>
        <v/>
      </c>
    </row>
    <row r="5177" spans="2:7" x14ac:dyDescent="0.25">
      <c r="B5177" s="6"/>
      <c r="C5177" s="7"/>
      <c r="D5177" s="7"/>
      <c r="E5177" s="8"/>
      <c r="F5177" t="str">
        <f t="shared" si="187"/>
        <v/>
      </c>
      <c r="G5177" t="str">
        <f t="shared" si="188"/>
        <v/>
      </c>
    </row>
    <row r="5178" spans="2:7" x14ac:dyDescent="0.25">
      <c r="B5178" s="6"/>
      <c r="C5178" s="7"/>
      <c r="D5178" s="7"/>
      <c r="E5178" s="8"/>
      <c r="F5178" t="str">
        <f t="shared" si="187"/>
        <v/>
      </c>
      <c r="G5178" t="str">
        <f t="shared" si="188"/>
        <v/>
      </c>
    </row>
    <row r="5179" spans="2:7" x14ac:dyDescent="0.25">
      <c r="B5179" s="6"/>
      <c r="C5179" s="7"/>
      <c r="D5179" s="7"/>
      <c r="E5179" s="8"/>
      <c r="F5179" t="str">
        <f t="shared" si="187"/>
        <v/>
      </c>
      <c r="G5179" t="str">
        <f t="shared" si="188"/>
        <v/>
      </c>
    </row>
    <row r="5180" spans="2:7" x14ac:dyDescent="0.25">
      <c r="B5180" s="6"/>
      <c r="C5180" s="7"/>
      <c r="D5180" s="7"/>
      <c r="E5180" s="8"/>
      <c r="F5180" t="str">
        <f t="shared" si="187"/>
        <v/>
      </c>
      <c r="G5180" t="str">
        <f t="shared" si="188"/>
        <v/>
      </c>
    </row>
    <row r="5181" spans="2:7" x14ac:dyDescent="0.25">
      <c r="B5181" s="6"/>
      <c r="C5181" s="7"/>
      <c r="D5181" s="7"/>
      <c r="E5181" s="8"/>
      <c r="F5181" t="str">
        <f t="shared" si="187"/>
        <v/>
      </c>
      <c r="G5181" t="str">
        <f t="shared" si="188"/>
        <v/>
      </c>
    </row>
    <row r="5182" spans="2:7" x14ac:dyDescent="0.25">
      <c r="B5182" s="6"/>
      <c r="C5182" s="7"/>
      <c r="D5182" s="7"/>
      <c r="E5182" s="8"/>
      <c r="F5182" t="str">
        <f t="shared" si="187"/>
        <v/>
      </c>
      <c r="G5182" t="str">
        <f t="shared" si="188"/>
        <v/>
      </c>
    </row>
    <row r="5183" spans="2:7" x14ac:dyDescent="0.25">
      <c r="B5183" s="6"/>
      <c r="C5183" s="7"/>
      <c r="D5183" s="7"/>
      <c r="E5183" s="8"/>
      <c r="F5183" t="str">
        <f t="shared" si="187"/>
        <v/>
      </c>
      <c r="G5183" t="str">
        <f t="shared" si="188"/>
        <v/>
      </c>
    </row>
    <row r="5184" spans="2:7" x14ac:dyDescent="0.25">
      <c r="B5184" s="6"/>
      <c r="C5184" s="7"/>
      <c r="D5184" s="7"/>
      <c r="E5184" s="8"/>
      <c r="F5184" t="str">
        <f t="shared" si="187"/>
        <v/>
      </c>
      <c r="G5184" t="str">
        <f t="shared" si="188"/>
        <v/>
      </c>
    </row>
    <row r="5185" spans="2:7" x14ac:dyDescent="0.25">
      <c r="B5185" s="6"/>
      <c r="C5185" s="7"/>
      <c r="D5185" s="7"/>
      <c r="E5185" s="8"/>
      <c r="F5185" t="str">
        <f t="shared" si="187"/>
        <v/>
      </c>
      <c r="G5185" t="str">
        <f t="shared" si="188"/>
        <v/>
      </c>
    </row>
    <row r="5186" spans="2:7" x14ac:dyDescent="0.25">
      <c r="B5186" s="6"/>
      <c r="C5186" s="7"/>
      <c r="D5186" s="7"/>
      <c r="E5186" s="8"/>
      <c r="F5186" t="str">
        <f t="shared" si="187"/>
        <v/>
      </c>
      <c r="G5186" t="str">
        <f t="shared" si="188"/>
        <v/>
      </c>
    </row>
    <row r="5187" spans="2:7" x14ac:dyDescent="0.25">
      <c r="B5187" s="6"/>
      <c r="C5187" s="7"/>
      <c r="D5187" s="7"/>
      <c r="E5187" s="8"/>
      <c r="F5187" t="str">
        <f t="shared" si="187"/>
        <v/>
      </c>
      <c r="G5187" t="str">
        <f t="shared" si="188"/>
        <v/>
      </c>
    </row>
    <row r="5188" spans="2:7" x14ac:dyDescent="0.25">
      <c r="B5188" s="6"/>
      <c r="C5188" s="7"/>
      <c r="D5188" s="7"/>
      <c r="E5188" s="8"/>
      <c r="F5188" t="str">
        <f t="shared" ref="F5188:F5251" si="189">IF(B5188="","",LOG10(D5188))</f>
        <v/>
      </c>
      <c r="G5188" t="str">
        <f t="shared" ref="G5188:G5251" si="190">IF(E5188="", "",0.434*E5188/D5188)</f>
        <v/>
      </c>
    </row>
    <row r="5189" spans="2:7" x14ac:dyDescent="0.25">
      <c r="B5189" s="6"/>
      <c r="C5189" s="7"/>
      <c r="D5189" s="7"/>
      <c r="E5189" s="8"/>
      <c r="F5189" t="str">
        <f t="shared" si="189"/>
        <v/>
      </c>
      <c r="G5189" t="str">
        <f t="shared" si="190"/>
        <v/>
      </c>
    </row>
    <row r="5190" spans="2:7" x14ac:dyDescent="0.25">
      <c r="B5190" s="6"/>
      <c r="C5190" s="7"/>
      <c r="D5190" s="7"/>
      <c r="E5190" s="8"/>
      <c r="F5190" t="str">
        <f t="shared" si="189"/>
        <v/>
      </c>
      <c r="G5190" t="str">
        <f t="shared" si="190"/>
        <v/>
      </c>
    </row>
    <row r="5191" spans="2:7" x14ac:dyDescent="0.25">
      <c r="B5191" s="6"/>
      <c r="C5191" s="7"/>
      <c r="D5191" s="7"/>
      <c r="E5191" s="8"/>
      <c r="F5191" t="str">
        <f t="shared" si="189"/>
        <v/>
      </c>
      <c r="G5191" t="str">
        <f t="shared" si="190"/>
        <v/>
      </c>
    </row>
    <row r="5192" spans="2:7" x14ac:dyDescent="0.25">
      <c r="B5192" s="6"/>
      <c r="C5192" s="7"/>
      <c r="D5192" s="7"/>
      <c r="E5192" s="8"/>
      <c r="F5192" t="str">
        <f t="shared" si="189"/>
        <v/>
      </c>
      <c r="G5192" t="str">
        <f t="shared" si="190"/>
        <v/>
      </c>
    </row>
    <row r="5193" spans="2:7" x14ac:dyDescent="0.25">
      <c r="B5193" s="6"/>
      <c r="C5193" s="7"/>
      <c r="D5193" s="7"/>
      <c r="E5193" s="8"/>
      <c r="F5193" t="str">
        <f t="shared" si="189"/>
        <v/>
      </c>
      <c r="G5193" t="str">
        <f t="shared" si="190"/>
        <v/>
      </c>
    </row>
    <row r="5194" spans="2:7" x14ac:dyDescent="0.25">
      <c r="B5194" s="6"/>
      <c r="C5194" s="7"/>
      <c r="D5194" s="7"/>
      <c r="E5194" s="8"/>
      <c r="F5194" t="str">
        <f t="shared" si="189"/>
        <v/>
      </c>
      <c r="G5194" t="str">
        <f t="shared" si="190"/>
        <v/>
      </c>
    </row>
    <row r="5195" spans="2:7" x14ac:dyDescent="0.25">
      <c r="B5195" s="6"/>
      <c r="C5195" s="7"/>
      <c r="D5195" s="7"/>
      <c r="E5195" s="8"/>
      <c r="F5195" t="str">
        <f t="shared" si="189"/>
        <v/>
      </c>
      <c r="G5195" t="str">
        <f t="shared" si="190"/>
        <v/>
      </c>
    </row>
    <row r="5196" spans="2:7" x14ac:dyDescent="0.25">
      <c r="B5196" s="6"/>
      <c r="C5196" s="7"/>
      <c r="D5196" s="7"/>
      <c r="E5196" s="8"/>
      <c r="F5196" t="str">
        <f t="shared" si="189"/>
        <v/>
      </c>
      <c r="G5196" t="str">
        <f t="shared" si="190"/>
        <v/>
      </c>
    </row>
    <row r="5197" spans="2:7" x14ac:dyDescent="0.25">
      <c r="B5197" s="6"/>
      <c r="C5197" s="7"/>
      <c r="D5197" s="7"/>
      <c r="E5197" s="8"/>
      <c r="F5197" t="str">
        <f t="shared" si="189"/>
        <v/>
      </c>
      <c r="G5197" t="str">
        <f t="shared" si="190"/>
        <v/>
      </c>
    </row>
    <row r="5198" spans="2:7" x14ac:dyDescent="0.25">
      <c r="B5198" s="6"/>
      <c r="C5198" s="7"/>
      <c r="D5198" s="7"/>
      <c r="E5198" s="8"/>
      <c r="F5198" t="str">
        <f t="shared" si="189"/>
        <v/>
      </c>
      <c r="G5198" t="str">
        <f t="shared" si="190"/>
        <v/>
      </c>
    </row>
    <row r="5199" spans="2:7" x14ac:dyDescent="0.25">
      <c r="B5199" s="6"/>
      <c r="C5199" s="7"/>
      <c r="D5199" s="7"/>
      <c r="E5199" s="8"/>
      <c r="F5199" t="str">
        <f t="shared" si="189"/>
        <v/>
      </c>
      <c r="G5199" t="str">
        <f t="shared" si="190"/>
        <v/>
      </c>
    </row>
    <row r="5200" spans="2:7" x14ac:dyDescent="0.25">
      <c r="B5200" s="6"/>
      <c r="C5200" s="7"/>
      <c r="D5200" s="7"/>
      <c r="E5200" s="8"/>
      <c r="F5200" t="str">
        <f t="shared" si="189"/>
        <v/>
      </c>
      <c r="G5200" t="str">
        <f t="shared" si="190"/>
        <v/>
      </c>
    </row>
    <row r="5201" spans="2:7" x14ac:dyDescent="0.25">
      <c r="B5201" s="6"/>
      <c r="C5201" s="7"/>
      <c r="D5201" s="7"/>
      <c r="E5201" s="8"/>
      <c r="F5201" t="str">
        <f t="shared" si="189"/>
        <v/>
      </c>
      <c r="G5201" t="str">
        <f t="shared" si="190"/>
        <v/>
      </c>
    </row>
    <row r="5202" spans="2:7" x14ac:dyDescent="0.25">
      <c r="B5202" s="6"/>
      <c r="C5202" s="7"/>
      <c r="D5202" s="7"/>
      <c r="E5202" s="8"/>
      <c r="F5202" t="str">
        <f t="shared" si="189"/>
        <v/>
      </c>
      <c r="G5202" t="str">
        <f t="shared" si="190"/>
        <v/>
      </c>
    </row>
    <row r="5203" spans="2:7" x14ac:dyDescent="0.25">
      <c r="B5203" s="6"/>
      <c r="C5203" s="7"/>
      <c r="D5203" s="7"/>
      <c r="E5203" s="8"/>
      <c r="F5203" t="str">
        <f t="shared" si="189"/>
        <v/>
      </c>
      <c r="G5203" t="str">
        <f t="shared" si="190"/>
        <v/>
      </c>
    </row>
    <row r="5204" spans="2:7" x14ac:dyDescent="0.25">
      <c r="B5204" s="6"/>
      <c r="C5204" s="7"/>
      <c r="D5204" s="7"/>
      <c r="E5204" s="8"/>
      <c r="F5204" t="str">
        <f t="shared" si="189"/>
        <v/>
      </c>
      <c r="G5204" t="str">
        <f t="shared" si="190"/>
        <v/>
      </c>
    </row>
    <row r="5205" spans="2:7" x14ac:dyDescent="0.25">
      <c r="B5205" s="6"/>
      <c r="C5205" s="7"/>
      <c r="D5205" s="7"/>
      <c r="E5205" s="8"/>
      <c r="F5205" t="str">
        <f t="shared" si="189"/>
        <v/>
      </c>
      <c r="G5205" t="str">
        <f t="shared" si="190"/>
        <v/>
      </c>
    </row>
    <row r="5206" spans="2:7" x14ac:dyDescent="0.25">
      <c r="B5206" s="6"/>
      <c r="C5206" s="7"/>
      <c r="D5206" s="7"/>
      <c r="E5206" s="8"/>
      <c r="F5206" t="str">
        <f t="shared" si="189"/>
        <v/>
      </c>
      <c r="G5206" t="str">
        <f t="shared" si="190"/>
        <v/>
      </c>
    </row>
    <row r="5207" spans="2:7" x14ac:dyDescent="0.25">
      <c r="B5207" s="6"/>
      <c r="C5207" s="7"/>
      <c r="D5207" s="7"/>
      <c r="E5207" s="8"/>
      <c r="F5207" t="str">
        <f t="shared" si="189"/>
        <v/>
      </c>
      <c r="G5207" t="str">
        <f t="shared" si="190"/>
        <v/>
      </c>
    </row>
    <row r="5208" spans="2:7" x14ac:dyDescent="0.25">
      <c r="B5208" s="6"/>
      <c r="C5208" s="7"/>
      <c r="D5208" s="7"/>
      <c r="E5208" s="8"/>
      <c r="F5208" t="str">
        <f t="shared" si="189"/>
        <v/>
      </c>
      <c r="G5208" t="str">
        <f t="shared" si="190"/>
        <v/>
      </c>
    </row>
    <row r="5209" spans="2:7" x14ac:dyDescent="0.25">
      <c r="B5209" s="6"/>
      <c r="C5209" s="7"/>
      <c r="D5209" s="7"/>
      <c r="E5209" s="8"/>
      <c r="F5209" t="str">
        <f t="shared" si="189"/>
        <v/>
      </c>
      <c r="G5209" t="str">
        <f t="shared" si="190"/>
        <v/>
      </c>
    </row>
    <row r="5210" spans="2:7" x14ac:dyDescent="0.25">
      <c r="B5210" s="6"/>
      <c r="C5210" s="7"/>
      <c r="D5210" s="7"/>
      <c r="E5210" s="8"/>
      <c r="F5210" t="str">
        <f t="shared" si="189"/>
        <v/>
      </c>
      <c r="G5210" t="str">
        <f t="shared" si="190"/>
        <v/>
      </c>
    </row>
    <row r="5211" spans="2:7" x14ac:dyDescent="0.25">
      <c r="B5211" s="6"/>
      <c r="C5211" s="7"/>
      <c r="D5211" s="7"/>
      <c r="E5211" s="8"/>
      <c r="F5211" t="str">
        <f t="shared" si="189"/>
        <v/>
      </c>
      <c r="G5211" t="str">
        <f t="shared" si="190"/>
        <v/>
      </c>
    </row>
    <row r="5212" spans="2:7" x14ac:dyDescent="0.25">
      <c r="B5212" s="6"/>
      <c r="C5212" s="7"/>
      <c r="D5212" s="7"/>
      <c r="E5212" s="8"/>
      <c r="F5212" t="str">
        <f t="shared" si="189"/>
        <v/>
      </c>
      <c r="G5212" t="str">
        <f t="shared" si="190"/>
        <v/>
      </c>
    </row>
    <row r="5213" spans="2:7" x14ac:dyDescent="0.25">
      <c r="B5213" s="6"/>
      <c r="C5213" s="7"/>
      <c r="D5213" s="7"/>
      <c r="E5213" s="8"/>
      <c r="F5213" t="str">
        <f t="shared" si="189"/>
        <v/>
      </c>
      <c r="G5213" t="str">
        <f t="shared" si="190"/>
        <v/>
      </c>
    </row>
    <row r="5214" spans="2:7" x14ac:dyDescent="0.25">
      <c r="B5214" s="6"/>
      <c r="C5214" s="7"/>
      <c r="D5214" s="7"/>
      <c r="E5214" s="8"/>
      <c r="F5214" t="str">
        <f t="shared" si="189"/>
        <v/>
      </c>
      <c r="G5214" t="str">
        <f t="shared" si="190"/>
        <v/>
      </c>
    </row>
    <row r="5215" spans="2:7" x14ac:dyDescent="0.25">
      <c r="B5215" s="6"/>
      <c r="C5215" s="7"/>
      <c r="D5215" s="7"/>
      <c r="E5215" s="8"/>
      <c r="F5215" t="str">
        <f t="shared" si="189"/>
        <v/>
      </c>
      <c r="G5215" t="str">
        <f t="shared" si="190"/>
        <v/>
      </c>
    </row>
    <row r="5216" spans="2:7" x14ac:dyDescent="0.25">
      <c r="B5216" s="6"/>
      <c r="C5216" s="7"/>
      <c r="D5216" s="7"/>
      <c r="E5216" s="8"/>
      <c r="F5216" t="str">
        <f t="shared" si="189"/>
        <v/>
      </c>
      <c r="G5216" t="str">
        <f t="shared" si="190"/>
        <v/>
      </c>
    </row>
    <row r="5217" spans="2:7" x14ac:dyDescent="0.25">
      <c r="B5217" s="6"/>
      <c r="C5217" s="7"/>
      <c r="D5217" s="7"/>
      <c r="E5217" s="8"/>
      <c r="F5217" t="str">
        <f t="shared" si="189"/>
        <v/>
      </c>
      <c r="G5217" t="str">
        <f t="shared" si="190"/>
        <v/>
      </c>
    </row>
    <row r="5218" spans="2:7" x14ac:dyDescent="0.25">
      <c r="B5218" s="6"/>
      <c r="C5218" s="7"/>
      <c r="D5218" s="7"/>
      <c r="E5218" s="8"/>
      <c r="F5218" t="str">
        <f t="shared" si="189"/>
        <v/>
      </c>
      <c r="G5218" t="str">
        <f t="shared" si="190"/>
        <v/>
      </c>
    </row>
    <row r="5219" spans="2:7" x14ac:dyDescent="0.25">
      <c r="B5219" s="6"/>
      <c r="C5219" s="7"/>
      <c r="D5219" s="7"/>
      <c r="E5219" s="8"/>
      <c r="F5219" t="str">
        <f t="shared" si="189"/>
        <v/>
      </c>
      <c r="G5219" t="str">
        <f t="shared" si="190"/>
        <v/>
      </c>
    </row>
    <row r="5220" spans="2:7" x14ac:dyDescent="0.25">
      <c r="B5220" s="6"/>
      <c r="C5220" s="7"/>
      <c r="D5220" s="7"/>
      <c r="E5220" s="8"/>
      <c r="F5220" t="str">
        <f t="shared" si="189"/>
        <v/>
      </c>
      <c r="G5220" t="str">
        <f t="shared" si="190"/>
        <v/>
      </c>
    </row>
    <row r="5221" spans="2:7" x14ac:dyDescent="0.25">
      <c r="B5221" s="6"/>
      <c r="C5221" s="7"/>
      <c r="D5221" s="7"/>
      <c r="E5221" s="8"/>
      <c r="F5221" t="str">
        <f t="shared" si="189"/>
        <v/>
      </c>
      <c r="G5221" t="str">
        <f t="shared" si="190"/>
        <v/>
      </c>
    </row>
    <row r="5222" spans="2:7" x14ac:dyDescent="0.25">
      <c r="B5222" s="6"/>
      <c r="C5222" s="7"/>
      <c r="D5222" s="7"/>
      <c r="E5222" s="8"/>
      <c r="F5222" t="str">
        <f t="shared" si="189"/>
        <v/>
      </c>
      <c r="G5222" t="str">
        <f t="shared" si="190"/>
        <v/>
      </c>
    </row>
    <row r="5223" spans="2:7" x14ac:dyDescent="0.25">
      <c r="B5223" s="6"/>
      <c r="C5223" s="7"/>
      <c r="D5223" s="7"/>
      <c r="E5223" s="8"/>
      <c r="F5223" t="str">
        <f t="shared" si="189"/>
        <v/>
      </c>
      <c r="G5223" t="str">
        <f t="shared" si="190"/>
        <v/>
      </c>
    </row>
    <row r="5224" spans="2:7" x14ac:dyDescent="0.25">
      <c r="B5224" s="6"/>
      <c r="C5224" s="7"/>
      <c r="D5224" s="7"/>
      <c r="E5224" s="8"/>
      <c r="F5224" t="str">
        <f t="shared" si="189"/>
        <v/>
      </c>
      <c r="G5224" t="str">
        <f t="shared" si="190"/>
        <v/>
      </c>
    </row>
    <row r="5225" spans="2:7" x14ac:dyDescent="0.25">
      <c r="B5225" s="6"/>
      <c r="C5225" s="7"/>
      <c r="D5225" s="7"/>
      <c r="E5225" s="8"/>
      <c r="F5225" t="str">
        <f t="shared" si="189"/>
        <v/>
      </c>
      <c r="G5225" t="str">
        <f t="shared" si="190"/>
        <v/>
      </c>
    </row>
    <row r="5226" spans="2:7" x14ac:dyDescent="0.25">
      <c r="B5226" s="6"/>
      <c r="C5226" s="7"/>
      <c r="D5226" s="7"/>
      <c r="E5226" s="8"/>
      <c r="F5226" t="str">
        <f t="shared" si="189"/>
        <v/>
      </c>
      <c r="G5226" t="str">
        <f t="shared" si="190"/>
        <v/>
      </c>
    </row>
    <row r="5227" spans="2:7" x14ac:dyDescent="0.25">
      <c r="B5227" s="6"/>
      <c r="C5227" s="7"/>
      <c r="D5227" s="7"/>
      <c r="E5227" s="8"/>
      <c r="F5227" t="str">
        <f t="shared" si="189"/>
        <v/>
      </c>
      <c r="G5227" t="str">
        <f t="shared" si="190"/>
        <v/>
      </c>
    </row>
    <row r="5228" spans="2:7" x14ac:dyDescent="0.25">
      <c r="B5228" s="6"/>
      <c r="C5228" s="7"/>
      <c r="D5228" s="7"/>
      <c r="E5228" s="8"/>
      <c r="F5228" t="str">
        <f t="shared" si="189"/>
        <v/>
      </c>
      <c r="G5228" t="str">
        <f t="shared" si="190"/>
        <v/>
      </c>
    </row>
    <row r="5229" spans="2:7" x14ac:dyDescent="0.25">
      <c r="B5229" s="6"/>
      <c r="C5229" s="7"/>
      <c r="D5229" s="7"/>
      <c r="E5229" s="8"/>
      <c r="F5229" t="str">
        <f t="shared" si="189"/>
        <v/>
      </c>
      <c r="G5229" t="str">
        <f t="shared" si="190"/>
        <v/>
      </c>
    </row>
    <row r="5230" spans="2:7" x14ac:dyDescent="0.25">
      <c r="B5230" s="6"/>
      <c r="C5230" s="7"/>
      <c r="D5230" s="7"/>
      <c r="E5230" s="8"/>
      <c r="F5230" t="str">
        <f t="shared" si="189"/>
        <v/>
      </c>
      <c r="G5230" t="str">
        <f t="shared" si="190"/>
        <v/>
      </c>
    </row>
    <row r="5231" spans="2:7" x14ac:dyDescent="0.25">
      <c r="B5231" s="6"/>
      <c r="C5231" s="7"/>
      <c r="D5231" s="7"/>
      <c r="E5231" s="8"/>
      <c r="F5231" t="str">
        <f t="shared" si="189"/>
        <v/>
      </c>
      <c r="G5231" t="str">
        <f t="shared" si="190"/>
        <v/>
      </c>
    </row>
    <row r="5232" spans="2:7" x14ac:dyDescent="0.25">
      <c r="B5232" s="6"/>
      <c r="C5232" s="7"/>
      <c r="D5232" s="7"/>
      <c r="E5232" s="8"/>
      <c r="F5232" t="str">
        <f t="shared" si="189"/>
        <v/>
      </c>
      <c r="G5232" t="str">
        <f t="shared" si="190"/>
        <v/>
      </c>
    </row>
    <row r="5233" spans="2:7" x14ac:dyDescent="0.25">
      <c r="B5233" s="6"/>
      <c r="C5233" s="7"/>
      <c r="D5233" s="7"/>
      <c r="E5233" s="8"/>
      <c r="F5233" t="str">
        <f t="shared" si="189"/>
        <v/>
      </c>
      <c r="G5233" t="str">
        <f t="shared" si="190"/>
        <v/>
      </c>
    </row>
    <row r="5234" spans="2:7" x14ac:dyDescent="0.25">
      <c r="B5234" s="6"/>
      <c r="C5234" s="7"/>
      <c r="D5234" s="7"/>
      <c r="E5234" s="8"/>
      <c r="F5234" t="str">
        <f t="shared" si="189"/>
        <v/>
      </c>
      <c r="G5234" t="str">
        <f t="shared" si="190"/>
        <v/>
      </c>
    </row>
    <row r="5235" spans="2:7" x14ac:dyDescent="0.25">
      <c r="B5235" s="6"/>
      <c r="C5235" s="7"/>
      <c r="D5235" s="7"/>
      <c r="E5235" s="8"/>
      <c r="F5235" t="str">
        <f t="shared" si="189"/>
        <v/>
      </c>
      <c r="G5235" t="str">
        <f t="shared" si="190"/>
        <v/>
      </c>
    </row>
    <row r="5236" spans="2:7" x14ac:dyDescent="0.25">
      <c r="B5236" s="6"/>
      <c r="C5236" s="7"/>
      <c r="D5236" s="7"/>
      <c r="E5236" s="8"/>
      <c r="F5236" t="str">
        <f t="shared" si="189"/>
        <v/>
      </c>
      <c r="G5236" t="str">
        <f t="shared" si="190"/>
        <v/>
      </c>
    </row>
    <row r="5237" spans="2:7" x14ac:dyDescent="0.25">
      <c r="B5237" s="6"/>
      <c r="C5237" s="7"/>
      <c r="D5237" s="7"/>
      <c r="E5237" s="8"/>
      <c r="F5237" t="str">
        <f t="shared" si="189"/>
        <v/>
      </c>
      <c r="G5237" t="str">
        <f t="shared" si="190"/>
        <v/>
      </c>
    </row>
    <row r="5238" spans="2:7" x14ac:dyDescent="0.25">
      <c r="B5238" s="6"/>
      <c r="C5238" s="7"/>
      <c r="D5238" s="7"/>
      <c r="E5238" s="8"/>
      <c r="F5238" t="str">
        <f t="shared" si="189"/>
        <v/>
      </c>
      <c r="G5238" t="str">
        <f t="shared" si="190"/>
        <v/>
      </c>
    </row>
    <row r="5239" spans="2:7" x14ac:dyDescent="0.25">
      <c r="B5239" s="6"/>
      <c r="C5239" s="7"/>
      <c r="D5239" s="7"/>
      <c r="E5239" s="8"/>
      <c r="F5239" t="str">
        <f t="shared" si="189"/>
        <v/>
      </c>
      <c r="G5239" t="str">
        <f t="shared" si="190"/>
        <v/>
      </c>
    </row>
    <row r="5240" spans="2:7" x14ac:dyDescent="0.25">
      <c r="B5240" s="6"/>
      <c r="C5240" s="7"/>
      <c r="D5240" s="7"/>
      <c r="E5240" s="8"/>
      <c r="F5240" t="str">
        <f t="shared" si="189"/>
        <v/>
      </c>
      <c r="G5240" t="str">
        <f t="shared" si="190"/>
        <v/>
      </c>
    </row>
    <row r="5241" spans="2:7" x14ac:dyDescent="0.25">
      <c r="B5241" s="6"/>
      <c r="C5241" s="7"/>
      <c r="D5241" s="7"/>
      <c r="E5241" s="8"/>
      <c r="F5241" t="str">
        <f t="shared" si="189"/>
        <v/>
      </c>
      <c r="G5241" t="str">
        <f t="shared" si="190"/>
        <v/>
      </c>
    </row>
    <row r="5242" spans="2:7" x14ac:dyDescent="0.25">
      <c r="B5242" s="6"/>
      <c r="C5242" s="7"/>
      <c r="D5242" s="7"/>
      <c r="E5242" s="8"/>
      <c r="F5242" t="str">
        <f t="shared" si="189"/>
        <v/>
      </c>
      <c r="G5242" t="str">
        <f t="shared" si="190"/>
        <v/>
      </c>
    </row>
    <row r="5243" spans="2:7" x14ac:dyDescent="0.25">
      <c r="B5243" s="6"/>
      <c r="C5243" s="7"/>
      <c r="D5243" s="7"/>
      <c r="E5243" s="8"/>
      <c r="F5243" t="str">
        <f t="shared" si="189"/>
        <v/>
      </c>
      <c r="G5243" t="str">
        <f t="shared" si="190"/>
        <v/>
      </c>
    </row>
    <row r="5244" spans="2:7" x14ac:dyDescent="0.25">
      <c r="B5244" s="6"/>
      <c r="C5244" s="7"/>
      <c r="D5244" s="7"/>
      <c r="E5244" s="8"/>
      <c r="F5244" t="str">
        <f t="shared" si="189"/>
        <v/>
      </c>
      <c r="G5244" t="str">
        <f t="shared" si="190"/>
        <v/>
      </c>
    </row>
    <row r="5245" spans="2:7" x14ac:dyDescent="0.25">
      <c r="B5245" s="6"/>
      <c r="C5245" s="7"/>
      <c r="D5245" s="7"/>
      <c r="E5245" s="8"/>
      <c r="F5245" t="str">
        <f t="shared" si="189"/>
        <v/>
      </c>
      <c r="G5245" t="str">
        <f t="shared" si="190"/>
        <v/>
      </c>
    </row>
    <row r="5246" spans="2:7" x14ac:dyDescent="0.25">
      <c r="B5246" s="6"/>
      <c r="C5246" s="7"/>
      <c r="D5246" s="7"/>
      <c r="E5246" s="8"/>
      <c r="F5246" t="str">
        <f t="shared" si="189"/>
        <v/>
      </c>
      <c r="G5246" t="str">
        <f t="shared" si="190"/>
        <v/>
      </c>
    </row>
    <row r="5247" spans="2:7" x14ac:dyDescent="0.25">
      <c r="B5247" s="6"/>
      <c r="C5247" s="7"/>
      <c r="D5247" s="7"/>
      <c r="E5247" s="8"/>
      <c r="F5247" t="str">
        <f t="shared" si="189"/>
        <v/>
      </c>
      <c r="G5247" t="str">
        <f t="shared" si="190"/>
        <v/>
      </c>
    </row>
    <row r="5248" spans="2:7" x14ac:dyDescent="0.25">
      <c r="B5248" s="6"/>
      <c r="C5248" s="7"/>
      <c r="D5248" s="7"/>
      <c r="E5248" s="8"/>
      <c r="F5248" t="str">
        <f t="shared" si="189"/>
        <v/>
      </c>
      <c r="G5248" t="str">
        <f t="shared" si="190"/>
        <v/>
      </c>
    </row>
    <row r="5249" spans="2:7" x14ac:dyDescent="0.25">
      <c r="B5249" s="6"/>
      <c r="C5249" s="7"/>
      <c r="D5249" s="7"/>
      <c r="E5249" s="8"/>
      <c r="F5249" t="str">
        <f t="shared" si="189"/>
        <v/>
      </c>
      <c r="G5249" t="str">
        <f t="shared" si="190"/>
        <v/>
      </c>
    </row>
    <row r="5250" spans="2:7" x14ac:dyDescent="0.25">
      <c r="B5250" s="6"/>
      <c r="C5250" s="7"/>
      <c r="D5250" s="7"/>
      <c r="E5250" s="8"/>
      <c r="F5250" t="str">
        <f t="shared" si="189"/>
        <v/>
      </c>
      <c r="G5250" t="str">
        <f t="shared" si="190"/>
        <v/>
      </c>
    </row>
    <row r="5251" spans="2:7" x14ac:dyDescent="0.25">
      <c r="B5251" s="6"/>
      <c r="C5251" s="7"/>
      <c r="D5251" s="7"/>
      <c r="E5251" s="8"/>
      <c r="F5251" t="str">
        <f t="shared" si="189"/>
        <v/>
      </c>
      <c r="G5251" t="str">
        <f t="shared" si="190"/>
        <v/>
      </c>
    </row>
    <row r="5252" spans="2:7" x14ac:dyDescent="0.25">
      <c r="B5252" s="6"/>
      <c r="C5252" s="7"/>
      <c r="D5252" s="7"/>
      <c r="E5252" s="8"/>
      <c r="F5252" t="str">
        <f t="shared" ref="F5252:F5315" si="191">IF(B5252="","",LOG10(D5252))</f>
        <v/>
      </c>
      <c r="G5252" t="str">
        <f t="shared" ref="G5252:G5315" si="192">IF(E5252="", "",0.434*E5252/D5252)</f>
        <v/>
      </c>
    </row>
    <row r="5253" spans="2:7" x14ac:dyDescent="0.25">
      <c r="B5253" s="6"/>
      <c r="C5253" s="7"/>
      <c r="D5253" s="7"/>
      <c r="E5253" s="8"/>
      <c r="F5253" t="str">
        <f t="shared" si="191"/>
        <v/>
      </c>
      <c r="G5253" t="str">
        <f t="shared" si="192"/>
        <v/>
      </c>
    </row>
    <row r="5254" spans="2:7" x14ac:dyDescent="0.25">
      <c r="B5254" s="6"/>
      <c r="C5254" s="7"/>
      <c r="D5254" s="7"/>
      <c r="E5254" s="8"/>
      <c r="F5254" t="str">
        <f t="shared" si="191"/>
        <v/>
      </c>
      <c r="G5254" t="str">
        <f t="shared" si="192"/>
        <v/>
      </c>
    </row>
    <row r="5255" spans="2:7" x14ac:dyDescent="0.25">
      <c r="B5255" s="6"/>
      <c r="C5255" s="7"/>
      <c r="D5255" s="7"/>
      <c r="E5255" s="8"/>
      <c r="F5255" t="str">
        <f t="shared" si="191"/>
        <v/>
      </c>
      <c r="G5255" t="str">
        <f t="shared" si="192"/>
        <v/>
      </c>
    </row>
    <row r="5256" spans="2:7" x14ac:dyDescent="0.25">
      <c r="B5256" s="6"/>
      <c r="C5256" s="7"/>
      <c r="D5256" s="7"/>
      <c r="E5256" s="8"/>
      <c r="F5256" t="str">
        <f t="shared" si="191"/>
        <v/>
      </c>
      <c r="G5256" t="str">
        <f t="shared" si="192"/>
        <v/>
      </c>
    </row>
    <row r="5257" spans="2:7" x14ac:dyDescent="0.25">
      <c r="B5257" s="6"/>
      <c r="C5257" s="7"/>
      <c r="D5257" s="7"/>
      <c r="E5257" s="8"/>
      <c r="F5257" t="str">
        <f t="shared" si="191"/>
        <v/>
      </c>
      <c r="G5257" t="str">
        <f t="shared" si="192"/>
        <v/>
      </c>
    </row>
    <row r="5258" spans="2:7" x14ac:dyDescent="0.25">
      <c r="B5258" s="6"/>
      <c r="C5258" s="7"/>
      <c r="D5258" s="7"/>
      <c r="E5258" s="8"/>
      <c r="F5258" t="str">
        <f t="shared" si="191"/>
        <v/>
      </c>
      <c r="G5258" t="str">
        <f t="shared" si="192"/>
        <v/>
      </c>
    </row>
    <row r="5259" spans="2:7" x14ac:dyDescent="0.25">
      <c r="B5259" s="6"/>
      <c r="C5259" s="7"/>
      <c r="D5259" s="7"/>
      <c r="E5259" s="8"/>
      <c r="F5259" t="str">
        <f t="shared" si="191"/>
        <v/>
      </c>
      <c r="G5259" t="str">
        <f t="shared" si="192"/>
        <v/>
      </c>
    </row>
    <row r="5260" spans="2:7" x14ac:dyDescent="0.25">
      <c r="B5260" s="6"/>
      <c r="C5260" s="7"/>
      <c r="D5260" s="7"/>
      <c r="E5260" s="8"/>
      <c r="F5260" t="str">
        <f t="shared" si="191"/>
        <v/>
      </c>
      <c r="G5260" t="str">
        <f t="shared" si="192"/>
        <v/>
      </c>
    </row>
    <row r="5261" spans="2:7" x14ac:dyDescent="0.25">
      <c r="B5261" s="6"/>
      <c r="C5261" s="7"/>
      <c r="D5261" s="7"/>
      <c r="E5261" s="8"/>
      <c r="F5261" t="str">
        <f t="shared" si="191"/>
        <v/>
      </c>
      <c r="G5261" t="str">
        <f t="shared" si="192"/>
        <v/>
      </c>
    </row>
    <row r="5262" spans="2:7" x14ac:dyDescent="0.25">
      <c r="B5262" s="6"/>
      <c r="C5262" s="7"/>
      <c r="D5262" s="7"/>
      <c r="E5262" s="8"/>
      <c r="F5262" t="str">
        <f t="shared" si="191"/>
        <v/>
      </c>
      <c r="G5262" t="str">
        <f t="shared" si="192"/>
        <v/>
      </c>
    </row>
    <row r="5263" spans="2:7" x14ac:dyDescent="0.25">
      <c r="B5263" s="6"/>
      <c r="C5263" s="7"/>
      <c r="D5263" s="7"/>
      <c r="E5263" s="8"/>
      <c r="F5263" t="str">
        <f t="shared" si="191"/>
        <v/>
      </c>
      <c r="G5263" t="str">
        <f t="shared" si="192"/>
        <v/>
      </c>
    </row>
    <row r="5264" spans="2:7" x14ac:dyDescent="0.25">
      <c r="B5264" s="6"/>
      <c r="C5264" s="7"/>
      <c r="D5264" s="7"/>
      <c r="E5264" s="8"/>
      <c r="F5264" t="str">
        <f t="shared" si="191"/>
        <v/>
      </c>
      <c r="G5264" t="str">
        <f t="shared" si="192"/>
        <v/>
      </c>
    </row>
    <row r="5265" spans="2:7" x14ac:dyDescent="0.25">
      <c r="B5265" s="6"/>
      <c r="C5265" s="7"/>
      <c r="D5265" s="7"/>
      <c r="E5265" s="8"/>
      <c r="F5265" t="str">
        <f t="shared" si="191"/>
        <v/>
      </c>
      <c r="G5265" t="str">
        <f t="shared" si="192"/>
        <v/>
      </c>
    </row>
    <row r="5266" spans="2:7" x14ac:dyDescent="0.25">
      <c r="B5266" s="6"/>
      <c r="C5266" s="7"/>
      <c r="D5266" s="7"/>
      <c r="E5266" s="8"/>
      <c r="F5266" t="str">
        <f t="shared" si="191"/>
        <v/>
      </c>
      <c r="G5266" t="str">
        <f t="shared" si="192"/>
        <v/>
      </c>
    </row>
    <row r="5267" spans="2:7" x14ac:dyDescent="0.25">
      <c r="B5267" s="6"/>
      <c r="C5267" s="7"/>
      <c r="D5267" s="7"/>
      <c r="E5267" s="8"/>
      <c r="F5267" t="str">
        <f t="shared" si="191"/>
        <v/>
      </c>
      <c r="G5267" t="str">
        <f t="shared" si="192"/>
        <v/>
      </c>
    </row>
    <row r="5268" spans="2:7" x14ac:dyDescent="0.25">
      <c r="B5268" s="6"/>
      <c r="C5268" s="7"/>
      <c r="D5268" s="7"/>
      <c r="E5268" s="8"/>
      <c r="F5268" t="str">
        <f t="shared" si="191"/>
        <v/>
      </c>
      <c r="G5268" t="str">
        <f t="shared" si="192"/>
        <v/>
      </c>
    </row>
    <row r="5269" spans="2:7" x14ac:dyDescent="0.25">
      <c r="B5269" s="6"/>
      <c r="C5269" s="7"/>
      <c r="D5269" s="7"/>
      <c r="E5269" s="8"/>
      <c r="F5269" t="str">
        <f t="shared" si="191"/>
        <v/>
      </c>
      <c r="G5269" t="str">
        <f t="shared" si="192"/>
        <v/>
      </c>
    </row>
    <row r="5270" spans="2:7" x14ac:dyDescent="0.25">
      <c r="B5270" s="6"/>
      <c r="C5270" s="7"/>
      <c r="D5270" s="7"/>
      <c r="E5270" s="8"/>
      <c r="F5270" t="str">
        <f t="shared" si="191"/>
        <v/>
      </c>
      <c r="G5270" t="str">
        <f t="shared" si="192"/>
        <v/>
      </c>
    </row>
    <row r="5271" spans="2:7" x14ac:dyDescent="0.25">
      <c r="B5271" s="6"/>
      <c r="C5271" s="7"/>
      <c r="D5271" s="7"/>
      <c r="E5271" s="8"/>
      <c r="F5271" t="str">
        <f t="shared" si="191"/>
        <v/>
      </c>
      <c r="G5271" t="str">
        <f t="shared" si="192"/>
        <v/>
      </c>
    </row>
    <row r="5272" spans="2:7" x14ac:dyDescent="0.25">
      <c r="B5272" s="6"/>
      <c r="C5272" s="7"/>
      <c r="D5272" s="7"/>
      <c r="E5272" s="8"/>
      <c r="F5272" t="str">
        <f t="shared" si="191"/>
        <v/>
      </c>
      <c r="G5272" t="str">
        <f t="shared" si="192"/>
        <v/>
      </c>
    </row>
    <row r="5273" spans="2:7" x14ac:dyDescent="0.25">
      <c r="B5273" s="6"/>
      <c r="C5273" s="7"/>
      <c r="D5273" s="7"/>
      <c r="E5273" s="8"/>
      <c r="F5273" t="str">
        <f t="shared" si="191"/>
        <v/>
      </c>
      <c r="G5273" t="str">
        <f t="shared" si="192"/>
        <v/>
      </c>
    </row>
    <row r="5274" spans="2:7" x14ac:dyDescent="0.25">
      <c r="B5274" s="6"/>
      <c r="C5274" s="7"/>
      <c r="D5274" s="7"/>
      <c r="E5274" s="8"/>
      <c r="F5274" t="str">
        <f t="shared" si="191"/>
        <v/>
      </c>
      <c r="G5274" t="str">
        <f t="shared" si="192"/>
        <v/>
      </c>
    </row>
    <row r="5275" spans="2:7" x14ac:dyDescent="0.25">
      <c r="B5275" s="6"/>
      <c r="C5275" s="7"/>
      <c r="D5275" s="7"/>
      <c r="E5275" s="8"/>
      <c r="F5275" t="str">
        <f t="shared" si="191"/>
        <v/>
      </c>
      <c r="G5275" t="str">
        <f t="shared" si="192"/>
        <v/>
      </c>
    </row>
    <row r="5276" spans="2:7" x14ac:dyDescent="0.25">
      <c r="B5276" s="6"/>
      <c r="C5276" s="7"/>
      <c r="D5276" s="7"/>
      <c r="E5276" s="8"/>
      <c r="F5276" t="str">
        <f t="shared" si="191"/>
        <v/>
      </c>
      <c r="G5276" t="str">
        <f t="shared" si="192"/>
        <v/>
      </c>
    </row>
    <row r="5277" spans="2:7" x14ac:dyDescent="0.25">
      <c r="B5277" s="6"/>
      <c r="C5277" s="7"/>
      <c r="D5277" s="7"/>
      <c r="E5277" s="8"/>
      <c r="F5277" t="str">
        <f t="shared" si="191"/>
        <v/>
      </c>
      <c r="G5277" t="str">
        <f t="shared" si="192"/>
        <v/>
      </c>
    </row>
    <row r="5278" spans="2:7" x14ac:dyDescent="0.25">
      <c r="B5278" s="6"/>
      <c r="C5278" s="7"/>
      <c r="D5278" s="7"/>
      <c r="E5278" s="8"/>
      <c r="F5278" t="str">
        <f t="shared" si="191"/>
        <v/>
      </c>
      <c r="G5278" t="str">
        <f t="shared" si="192"/>
        <v/>
      </c>
    </row>
    <row r="5279" spans="2:7" x14ac:dyDescent="0.25">
      <c r="B5279" s="6"/>
      <c r="C5279" s="7"/>
      <c r="D5279" s="7"/>
      <c r="E5279" s="8"/>
      <c r="F5279" t="str">
        <f t="shared" si="191"/>
        <v/>
      </c>
      <c r="G5279" t="str">
        <f t="shared" si="192"/>
        <v/>
      </c>
    </row>
    <row r="5280" spans="2:7" x14ac:dyDescent="0.25">
      <c r="B5280" s="6"/>
      <c r="C5280" s="7"/>
      <c r="D5280" s="7"/>
      <c r="E5280" s="8"/>
      <c r="F5280" t="str">
        <f t="shared" si="191"/>
        <v/>
      </c>
      <c r="G5280" t="str">
        <f t="shared" si="192"/>
        <v/>
      </c>
    </row>
    <row r="5281" spans="2:7" x14ac:dyDescent="0.25">
      <c r="B5281" s="6"/>
      <c r="C5281" s="7"/>
      <c r="D5281" s="7"/>
      <c r="E5281" s="8"/>
      <c r="F5281" t="str">
        <f t="shared" si="191"/>
        <v/>
      </c>
      <c r="G5281" t="str">
        <f t="shared" si="192"/>
        <v/>
      </c>
    </row>
    <row r="5282" spans="2:7" x14ac:dyDescent="0.25">
      <c r="B5282" s="6"/>
      <c r="C5282" s="7"/>
      <c r="D5282" s="7"/>
      <c r="E5282" s="8"/>
      <c r="F5282" t="str">
        <f t="shared" si="191"/>
        <v/>
      </c>
      <c r="G5282" t="str">
        <f t="shared" si="192"/>
        <v/>
      </c>
    </row>
    <row r="5283" spans="2:7" x14ac:dyDescent="0.25">
      <c r="B5283" s="6"/>
      <c r="C5283" s="7"/>
      <c r="D5283" s="7"/>
      <c r="E5283" s="8"/>
      <c r="F5283" t="str">
        <f t="shared" si="191"/>
        <v/>
      </c>
      <c r="G5283" t="str">
        <f t="shared" si="192"/>
        <v/>
      </c>
    </row>
    <row r="5284" spans="2:7" x14ac:dyDescent="0.25">
      <c r="B5284" s="6"/>
      <c r="C5284" s="7"/>
      <c r="D5284" s="7"/>
      <c r="E5284" s="8"/>
      <c r="F5284" t="str">
        <f t="shared" si="191"/>
        <v/>
      </c>
      <c r="G5284" t="str">
        <f t="shared" si="192"/>
        <v/>
      </c>
    </row>
    <row r="5285" spans="2:7" x14ac:dyDescent="0.25">
      <c r="B5285" s="6"/>
      <c r="C5285" s="7"/>
      <c r="D5285" s="7"/>
      <c r="E5285" s="8"/>
      <c r="F5285" t="str">
        <f t="shared" si="191"/>
        <v/>
      </c>
      <c r="G5285" t="str">
        <f t="shared" si="192"/>
        <v/>
      </c>
    </row>
    <row r="5286" spans="2:7" x14ac:dyDescent="0.25">
      <c r="B5286" s="6"/>
      <c r="C5286" s="7"/>
      <c r="D5286" s="7"/>
      <c r="E5286" s="8"/>
      <c r="F5286" t="str">
        <f t="shared" si="191"/>
        <v/>
      </c>
      <c r="G5286" t="str">
        <f t="shared" si="192"/>
        <v/>
      </c>
    </row>
    <row r="5287" spans="2:7" x14ac:dyDescent="0.25">
      <c r="B5287" s="6"/>
      <c r="C5287" s="7"/>
      <c r="D5287" s="7"/>
      <c r="E5287" s="8"/>
      <c r="F5287" t="str">
        <f t="shared" si="191"/>
        <v/>
      </c>
      <c r="G5287" t="str">
        <f t="shared" si="192"/>
        <v/>
      </c>
    </row>
    <row r="5288" spans="2:7" x14ac:dyDescent="0.25">
      <c r="B5288" s="6"/>
      <c r="C5288" s="7"/>
      <c r="D5288" s="7"/>
      <c r="E5288" s="8"/>
      <c r="F5288" t="str">
        <f t="shared" si="191"/>
        <v/>
      </c>
      <c r="G5288" t="str">
        <f t="shared" si="192"/>
        <v/>
      </c>
    </row>
    <row r="5289" spans="2:7" x14ac:dyDescent="0.25">
      <c r="B5289" s="6"/>
      <c r="C5289" s="7"/>
      <c r="D5289" s="7"/>
      <c r="E5289" s="8"/>
      <c r="F5289" t="str">
        <f t="shared" si="191"/>
        <v/>
      </c>
      <c r="G5289" t="str">
        <f t="shared" si="192"/>
        <v/>
      </c>
    </row>
    <row r="5290" spans="2:7" x14ac:dyDescent="0.25">
      <c r="B5290" s="6"/>
      <c r="C5290" s="7"/>
      <c r="D5290" s="7"/>
      <c r="E5290" s="8"/>
      <c r="F5290" t="str">
        <f t="shared" si="191"/>
        <v/>
      </c>
      <c r="G5290" t="str">
        <f t="shared" si="192"/>
        <v/>
      </c>
    </row>
    <row r="5291" spans="2:7" x14ac:dyDescent="0.25">
      <c r="B5291" s="6"/>
      <c r="C5291" s="7"/>
      <c r="D5291" s="7"/>
      <c r="E5291" s="8"/>
      <c r="F5291" t="str">
        <f t="shared" si="191"/>
        <v/>
      </c>
      <c r="G5291" t="str">
        <f t="shared" si="192"/>
        <v/>
      </c>
    </row>
    <row r="5292" spans="2:7" x14ac:dyDescent="0.25">
      <c r="B5292" s="6"/>
      <c r="C5292" s="7"/>
      <c r="D5292" s="7"/>
      <c r="E5292" s="8"/>
      <c r="F5292" t="str">
        <f t="shared" si="191"/>
        <v/>
      </c>
      <c r="G5292" t="str">
        <f t="shared" si="192"/>
        <v/>
      </c>
    </row>
    <row r="5293" spans="2:7" x14ac:dyDescent="0.25">
      <c r="B5293" s="6"/>
      <c r="C5293" s="7"/>
      <c r="D5293" s="7"/>
      <c r="E5293" s="8"/>
      <c r="F5293" t="str">
        <f t="shared" si="191"/>
        <v/>
      </c>
      <c r="G5293" t="str">
        <f t="shared" si="192"/>
        <v/>
      </c>
    </row>
    <row r="5294" spans="2:7" x14ac:dyDescent="0.25">
      <c r="B5294" s="6"/>
      <c r="C5294" s="7"/>
      <c r="D5294" s="7"/>
      <c r="E5294" s="8"/>
      <c r="F5294" t="str">
        <f t="shared" si="191"/>
        <v/>
      </c>
      <c r="G5294" t="str">
        <f t="shared" si="192"/>
        <v/>
      </c>
    </row>
    <row r="5295" spans="2:7" x14ac:dyDescent="0.25">
      <c r="B5295" s="6"/>
      <c r="C5295" s="7"/>
      <c r="D5295" s="7"/>
      <c r="E5295" s="8"/>
      <c r="F5295" t="str">
        <f t="shared" si="191"/>
        <v/>
      </c>
      <c r="G5295" t="str">
        <f t="shared" si="192"/>
        <v/>
      </c>
    </row>
    <row r="5296" spans="2:7" x14ac:dyDescent="0.25">
      <c r="B5296" s="6"/>
      <c r="C5296" s="7"/>
      <c r="D5296" s="7"/>
      <c r="E5296" s="8"/>
      <c r="F5296" t="str">
        <f t="shared" si="191"/>
        <v/>
      </c>
      <c r="G5296" t="str">
        <f t="shared" si="192"/>
        <v/>
      </c>
    </row>
    <row r="5297" spans="2:7" x14ac:dyDescent="0.25">
      <c r="B5297" s="6"/>
      <c r="C5297" s="7"/>
      <c r="D5297" s="7"/>
      <c r="E5297" s="8"/>
      <c r="F5297" t="str">
        <f t="shared" si="191"/>
        <v/>
      </c>
      <c r="G5297" t="str">
        <f t="shared" si="192"/>
        <v/>
      </c>
    </row>
    <row r="5298" spans="2:7" x14ac:dyDescent="0.25">
      <c r="B5298" s="6"/>
      <c r="C5298" s="7"/>
      <c r="D5298" s="7"/>
      <c r="E5298" s="8"/>
      <c r="F5298" t="str">
        <f t="shared" si="191"/>
        <v/>
      </c>
      <c r="G5298" t="str">
        <f t="shared" si="192"/>
        <v/>
      </c>
    </row>
    <row r="5299" spans="2:7" x14ac:dyDescent="0.25">
      <c r="B5299" s="6"/>
      <c r="C5299" s="7"/>
      <c r="D5299" s="7"/>
      <c r="E5299" s="8"/>
      <c r="F5299" t="str">
        <f t="shared" si="191"/>
        <v/>
      </c>
      <c r="G5299" t="str">
        <f t="shared" si="192"/>
        <v/>
      </c>
    </row>
    <row r="5300" spans="2:7" x14ac:dyDescent="0.25">
      <c r="B5300" s="6"/>
      <c r="C5300" s="7"/>
      <c r="D5300" s="7"/>
      <c r="E5300" s="8"/>
      <c r="F5300" t="str">
        <f t="shared" si="191"/>
        <v/>
      </c>
      <c r="G5300" t="str">
        <f t="shared" si="192"/>
        <v/>
      </c>
    </row>
    <row r="5301" spans="2:7" x14ac:dyDescent="0.25">
      <c r="B5301" s="6"/>
      <c r="C5301" s="7"/>
      <c r="D5301" s="7"/>
      <c r="E5301" s="8"/>
      <c r="F5301" t="str">
        <f t="shared" si="191"/>
        <v/>
      </c>
      <c r="G5301" t="str">
        <f t="shared" si="192"/>
        <v/>
      </c>
    </row>
    <row r="5302" spans="2:7" x14ac:dyDescent="0.25">
      <c r="B5302" s="6"/>
      <c r="C5302" s="7"/>
      <c r="D5302" s="7"/>
      <c r="E5302" s="8"/>
      <c r="F5302" t="str">
        <f t="shared" si="191"/>
        <v/>
      </c>
      <c r="G5302" t="str">
        <f t="shared" si="192"/>
        <v/>
      </c>
    </row>
    <row r="5303" spans="2:7" x14ac:dyDescent="0.25">
      <c r="B5303" s="6"/>
      <c r="C5303" s="7"/>
      <c r="D5303" s="7"/>
      <c r="E5303" s="8"/>
      <c r="F5303" t="str">
        <f t="shared" si="191"/>
        <v/>
      </c>
      <c r="G5303" t="str">
        <f t="shared" si="192"/>
        <v/>
      </c>
    </row>
    <row r="5304" spans="2:7" x14ac:dyDescent="0.25">
      <c r="B5304" s="6"/>
      <c r="C5304" s="7"/>
      <c r="D5304" s="7"/>
      <c r="E5304" s="8"/>
      <c r="F5304" t="str">
        <f t="shared" si="191"/>
        <v/>
      </c>
      <c r="G5304" t="str">
        <f t="shared" si="192"/>
        <v/>
      </c>
    </row>
    <row r="5305" spans="2:7" x14ac:dyDescent="0.25">
      <c r="B5305" s="6"/>
      <c r="C5305" s="7"/>
      <c r="D5305" s="7"/>
      <c r="E5305" s="8"/>
      <c r="F5305" t="str">
        <f t="shared" si="191"/>
        <v/>
      </c>
      <c r="G5305" t="str">
        <f t="shared" si="192"/>
        <v/>
      </c>
    </row>
    <row r="5306" spans="2:7" x14ac:dyDescent="0.25">
      <c r="B5306" s="6"/>
      <c r="C5306" s="7"/>
      <c r="D5306" s="7"/>
      <c r="E5306" s="8"/>
      <c r="F5306" t="str">
        <f t="shared" si="191"/>
        <v/>
      </c>
      <c r="G5306" t="str">
        <f t="shared" si="192"/>
        <v/>
      </c>
    </row>
    <row r="5307" spans="2:7" x14ac:dyDescent="0.25">
      <c r="B5307" s="6"/>
      <c r="C5307" s="7"/>
      <c r="D5307" s="7"/>
      <c r="E5307" s="8"/>
      <c r="F5307" t="str">
        <f t="shared" si="191"/>
        <v/>
      </c>
      <c r="G5307" t="str">
        <f t="shared" si="192"/>
        <v/>
      </c>
    </row>
    <row r="5308" spans="2:7" x14ac:dyDescent="0.25">
      <c r="B5308" s="6"/>
      <c r="C5308" s="7"/>
      <c r="D5308" s="7"/>
      <c r="E5308" s="8"/>
      <c r="F5308" t="str">
        <f t="shared" si="191"/>
        <v/>
      </c>
      <c r="G5308" t="str">
        <f t="shared" si="192"/>
        <v/>
      </c>
    </row>
    <row r="5309" spans="2:7" x14ac:dyDescent="0.25">
      <c r="B5309" s="6"/>
      <c r="C5309" s="7"/>
      <c r="D5309" s="7"/>
      <c r="E5309" s="8"/>
      <c r="F5309" t="str">
        <f t="shared" si="191"/>
        <v/>
      </c>
      <c r="G5309" t="str">
        <f t="shared" si="192"/>
        <v/>
      </c>
    </row>
    <row r="5310" spans="2:7" x14ac:dyDescent="0.25">
      <c r="B5310" s="6"/>
      <c r="C5310" s="7"/>
      <c r="D5310" s="7"/>
      <c r="E5310" s="8"/>
      <c r="F5310" t="str">
        <f t="shared" si="191"/>
        <v/>
      </c>
      <c r="G5310" t="str">
        <f t="shared" si="192"/>
        <v/>
      </c>
    </row>
    <row r="5311" spans="2:7" x14ac:dyDescent="0.25">
      <c r="B5311" s="6"/>
      <c r="C5311" s="7"/>
      <c r="D5311" s="7"/>
      <c r="E5311" s="8"/>
      <c r="F5311" t="str">
        <f t="shared" si="191"/>
        <v/>
      </c>
      <c r="G5311" t="str">
        <f t="shared" si="192"/>
        <v/>
      </c>
    </row>
    <row r="5312" spans="2:7" x14ac:dyDescent="0.25">
      <c r="B5312" s="6"/>
      <c r="C5312" s="7"/>
      <c r="D5312" s="7"/>
      <c r="E5312" s="8"/>
      <c r="F5312" t="str">
        <f t="shared" si="191"/>
        <v/>
      </c>
      <c r="G5312" t="str">
        <f t="shared" si="192"/>
        <v/>
      </c>
    </row>
    <row r="5313" spans="2:7" x14ac:dyDescent="0.25">
      <c r="B5313" s="6"/>
      <c r="C5313" s="7"/>
      <c r="D5313" s="7"/>
      <c r="E5313" s="8"/>
      <c r="F5313" t="str">
        <f t="shared" si="191"/>
        <v/>
      </c>
      <c r="G5313" t="str">
        <f t="shared" si="192"/>
        <v/>
      </c>
    </row>
    <row r="5314" spans="2:7" x14ac:dyDescent="0.25">
      <c r="B5314" s="6"/>
      <c r="C5314" s="7"/>
      <c r="D5314" s="7"/>
      <c r="E5314" s="8"/>
      <c r="F5314" t="str">
        <f t="shared" si="191"/>
        <v/>
      </c>
      <c r="G5314" t="str">
        <f t="shared" si="192"/>
        <v/>
      </c>
    </row>
    <row r="5315" spans="2:7" x14ac:dyDescent="0.25">
      <c r="B5315" s="6"/>
      <c r="C5315" s="7"/>
      <c r="D5315" s="7"/>
      <c r="E5315" s="8"/>
      <c r="F5315" t="str">
        <f t="shared" si="191"/>
        <v/>
      </c>
      <c r="G5315" t="str">
        <f t="shared" si="192"/>
        <v/>
      </c>
    </row>
    <row r="5316" spans="2:7" x14ac:dyDescent="0.25">
      <c r="B5316" s="6"/>
      <c r="C5316" s="7"/>
      <c r="D5316" s="7"/>
      <c r="E5316" s="8"/>
      <c r="F5316" t="str">
        <f t="shared" ref="F5316:F5379" si="193">IF(B5316="","",LOG10(D5316))</f>
        <v/>
      </c>
      <c r="G5316" t="str">
        <f t="shared" ref="G5316:G5379" si="194">IF(E5316="", "",0.434*E5316/D5316)</f>
        <v/>
      </c>
    </row>
    <row r="5317" spans="2:7" x14ac:dyDescent="0.25">
      <c r="B5317" s="6"/>
      <c r="C5317" s="7"/>
      <c r="D5317" s="7"/>
      <c r="E5317" s="8"/>
      <c r="F5317" t="str">
        <f t="shared" si="193"/>
        <v/>
      </c>
      <c r="G5317" t="str">
        <f t="shared" si="194"/>
        <v/>
      </c>
    </row>
    <row r="5318" spans="2:7" x14ac:dyDescent="0.25">
      <c r="B5318" s="6"/>
      <c r="C5318" s="7"/>
      <c r="D5318" s="7"/>
      <c r="E5318" s="8"/>
      <c r="F5318" t="str">
        <f t="shared" si="193"/>
        <v/>
      </c>
      <c r="G5318" t="str">
        <f t="shared" si="194"/>
        <v/>
      </c>
    </row>
    <row r="5319" spans="2:7" x14ac:dyDescent="0.25">
      <c r="B5319" s="6"/>
      <c r="C5319" s="7"/>
      <c r="D5319" s="7"/>
      <c r="E5319" s="8"/>
      <c r="F5319" t="str">
        <f t="shared" si="193"/>
        <v/>
      </c>
      <c r="G5319" t="str">
        <f t="shared" si="194"/>
        <v/>
      </c>
    </row>
    <row r="5320" spans="2:7" x14ac:dyDescent="0.25">
      <c r="B5320" s="6"/>
      <c r="C5320" s="7"/>
      <c r="D5320" s="7"/>
      <c r="E5320" s="8"/>
      <c r="F5320" t="str">
        <f t="shared" si="193"/>
        <v/>
      </c>
      <c r="G5320" t="str">
        <f t="shared" si="194"/>
        <v/>
      </c>
    </row>
    <row r="5321" spans="2:7" x14ac:dyDescent="0.25">
      <c r="B5321" s="6"/>
      <c r="C5321" s="7"/>
      <c r="D5321" s="7"/>
      <c r="E5321" s="8"/>
      <c r="F5321" t="str">
        <f t="shared" si="193"/>
        <v/>
      </c>
      <c r="G5321" t="str">
        <f t="shared" si="194"/>
        <v/>
      </c>
    </row>
    <row r="5322" spans="2:7" x14ac:dyDescent="0.25">
      <c r="B5322" s="6"/>
      <c r="C5322" s="7"/>
      <c r="D5322" s="7"/>
      <c r="E5322" s="8"/>
      <c r="F5322" t="str">
        <f t="shared" si="193"/>
        <v/>
      </c>
      <c r="G5322" t="str">
        <f t="shared" si="194"/>
        <v/>
      </c>
    </row>
    <row r="5323" spans="2:7" x14ac:dyDescent="0.25">
      <c r="B5323" s="6"/>
      <c r="C5323" s="7"/>
      <c r="D5323" s="7"/>
      <c r="E5323" s="8"/>
      <c r="F5323" t="str">
        <f t="shared" si="193"/>
        <v/>
      </c>
      <c r="G5323" t="str">
        <f t="shared" si="194"/>
        <v/>
      </c>
    </row>
    <row r="5324" spans="2:7" x14ac:dyDescent="0.25">
      <c r="B5324" s="6"/>
      <c r="C5324" s="7"/>
      <c r="D5324" s="7"/>
      <c r="E5324" s="8"/>
      <c r="F5324" t="str">
        <f t="shared" si="193"/>
        <v/>
      </c>
      <c r="G5324" t="str">
        <f t="shared" si="194"/>
        <v/>
      </c>
    </row>
    <row r="5325" spans="2:7" x14ac:dyDescent="0.25">
      <c r="B5325" s="6"/>
      <c r="C5325" s="7"/>
      <c r="D5325" s="7"/>
      <c r="E5325" s="8"/>
      <c r="F5325" t="str">
        <f t="shared" si="193"/>
        <v/>
      </c>
      <c r="G5325" t="str">
        <f t="shared" si="194"/>
        <v/>
      </c>
    </row>
    <row r="5326" spans="2:7" x14ac:dyDescent="0.25">
      <c r="B5326" s="6"/>
      <c r="C5326" s="7"/>
      <c r="D5326" s="7"/>
      <c r="E5326" s="8"/>
      <c r="F5326" t="str">
        <f t="shared" si="193"/>
        <v/>
      </c>
      <c r="G5326" t="str">
        <f t="shared" si="194"/>
        <v/>
      </c>
    </row>
    <row r="5327" spans="2:7" x14ac:dyDescent="0.25">
      <c r="B5327" s="6"/>
      <c r="C5327" s="7"/>
      <c r="D5327" s="7"/>
      <c r="E5327" s="8"/>
      <c r="F5327" t="str">
        <f t="shared" si="193"/>
        <v/>
      </c>
      <c r="G5327" t="str">
        <f t="shared" si="194"/>
        <v/>
      </c>
    </row>
    <row r="5328" spans="2:7" x14ac:dyDescent="0.25">
      <c r="B5328" s="6"/>
      <c r="C5328" s="7"/>
      <c r="D5328" s="7"/>
      <c r="E5328" s="8"/>
      <c r="F5328" t="str">
        <f t="shared" si="193"/>
        <v/>
      </c>
      <c r="G5328" t="str">
        <f t="shared" si="194"/>
        <v/>
      </c>
    </row>
    <row r="5329" spans="2:7" x14ac:dyDescent="0.25">
      <c r="B5329" s="6"/>
      <c r="C5329" s="7"/>
      <c r="D5329" s="7"/>
      <c r="E5329" s="8"/>
      <c r="F5329" t="str">
        <f t="shared" si="193"/>
        <v/>
      </c>
      <c r="G5329" t="str">
        <f t="shared" si="194"/>
        <v/>
      </c>
    </row>
    <row r="5330" spans="2:7" x14ac:dyDescent="0.25">
      <c r="B5330" s="6"/>
      <c r="C5330" s="7"/>
      <c r="D5330" s="7"/>
      <c r="E5330" s="8"/>
      <c r="F5330" t="str">
        <f t="shared" si="193"/>
        <v/>
      </c>
      <c r="G5330" t="str">
        <f t="shared" si="194"/>
        <v/>
      </c>
    </row>
    <row r="5331" spans="2:7" x14ac:dyDescent="0.25">
      <c r="B5331" s="6"/>
      <c r="C5331" s="7"/>
      <c r="D5331" s="7"/>
      <c r="E5331" s="8"/>
      <c r="F5331" t="str">
        <f t="shared" si="193"/>
        <v/>
      </c>
      <c r="G5331" t="str">
        <f t="shared" si="194"/>
        <v/>
      </c>
    </row>
    <row r="5332" spans="2:7" x14ac:dyDescent="0.25">
      <c r="B5332" s="6"/>
      <c r="C5332" s="7"/>
      <c r="D5332" s="7"/>
      <c r="E5332" s="8"/>
      <c r="F5332" t="str">
        <f t="shared" si="193"/>
        <v/>
      </c>
      <c r="G5332" t="str">
        <f t="shared" si="194"/>
        <v/>
      </c>
    </row>
    <row r="5333" spans="2:7" x14ac:dyDescent="0.25">
      <c r="B5333" s="6"/>
      <c r="C5333" s="7"/>
      <c r="D5333" s="7"/>
      <c r="E5333" s="8"/>
      <c r="F5333" t="str">
        <f t="shared" si="193"/>
        <v/>
      </c>
      <c r="G5333" t="str">
        <f t="shared" si="194"/>
        <v/>
      </c>
    </row>
    <row r="5334" spans="2:7" x14ac:dyDescent="0.25">
      <c r="B5334" s="6"/>
      <c r="C5334" s="7"/>
      <c r="D5334" s="7"/>
      <c r="E5334" s="8"/>
      <c r="F5334" t="str">
        <f t="shared" si="193"/>
        <v/>
      </c>
      <c r="G5334" t="str">
        <f t="shared" si="194"/>
        <v/>
      </c>
    </row>
    <row r="5335" spans="2:7" x14ac:dyDescent="0.25">
      <c r="B5335" s="6"/>
      <c r="C5335" s="7"/>
      <c r="D5335" s="7"/>
      <c r="E5335" s="8"/>
      <c r="F5335" t="str">
        <f t="shared" si="193"/>
        <v/>
      </c>
      <c r="G5335" t="str">
        <f t="shared" si="194"/>
        <v/>
      </c>
    </row>
    <row r="5336" spans="2:7" x14ac:dyDescent="0.25">
      <c r="B5336" s="6"/>
      <c r="C5336" s="7"/>
      <c r="D5336" s="7"/>
      <c r="E5336" s="8"/>
      <c r="F5336" t="str">
        <f t="shared" si="193"/>
        <v/>
      </c>
      <c r="G5336" t="str">
        <f t="shared" si="194"/>
        <v/>
      </c>
    </row>
    <row r="5337" spans="2:7" x14ac:dyDescent="0.25">
      <c r="B5337" s="6"/>
      <c r="C5337" s="7"/>
      <c r="D5337" s="7"/>
      <c r="E5337" s="8"/>
      <c r="F5337" t="str">
        <f t="shared" si="193"/>
        <v/>
      </c>
      <c r="G5337" t="str">
        <f t="shared" si="194"/>
        <v/>
      </c>
    </row>
    <row r="5338" spans="2:7" x14ac:dyDescent="0.25">
      <c r="B5338" s="6"/>
      <c r="C5338" s="7"/>
      <c r="D5338" s="7"/>
      <c r="E5338" s="8"/>
      <c r="F5338" t="str">
        <f t="shared" si="193"/>
        <v/>
      </c>
      <c r="G5338" t="str">
        <f t="shared" si="194"/>
        <v/>
      </c>
    </row>
    <row r="5339" spans="2:7" x14ac:dyDescent="0.25">
      <c r="B5339" s="6"/>
      <c r="C5339" s="7"/>
      <c r="D5339" s="7"/>
      <c r="E5339" s="8"/>
      <c r="F5339" t="str">
        <f t="shared" si="193"/>
        <v/>
      </c>
      <c r="G5339" t="str">
        <f t="shared" si="194"/>
        <v/>
      </c>
    </row>
    <row r="5340" spans="2:7" x14ac:dyDescent="0.25">
      <c r="B5340" s="6"/>
      <c r="C5340" s="7"/>
      <c r="D5340" s="7"/>
      <c r="E5340" s="8"/>
      <c r="F5340" t="str">
        <f t="shared" si="193"/>
        <v/>
      </c>
      <c r="G5340" t="str">
        <f t="shared" si="194"/>
        <v/>
      </c>
    </row>
    <row r="5341" spans="2:7" x14ac:dyDescent="0.25">
      <c r="B5341" s="6"/>
      <c r="C5341" s="7"/>
      <c r="D5341" s="7"/>
      <c r="E5341" s="8"/>
      <c r="F5341" t="str">
        <f t="shared" si="193"/>
        <v/>
      </c>
      <c r="G5341" t="str">
        <f t="shared" si="194"/>
        <v/>
      </c>
    </row>
    <row r="5342" spans="2:7" x14ac:dyDescent="0.25">
      <c r="B5342" s="6"/>
      <c r="C5342" s="7"/>
      <c r="D5342" s="7"/>
      <c r="E5342" s="8"/>
      <c r="F5342" t="str">
        <f t="shared" si="193"/>
        <v/>
      </c>
      <c r="G5342" t="str">
        <f t="shared" si="194"/>
        <v/>
      </c>
    </row>
    <row r="5343" spans="2:7" x14ac:dyDescent="0.25">
      <c r="B5343" s="6"/>
      <c r="C5343" s="7"/>
      <c r="D5343" s="7"/>
      <c r="E5343" s="8"/>
      <c r="F5343" t="str">
        <f t="shared" si="193"/>
        <v/>
      </c>
      <c r="G5343" t="str">
        <f t="shared" si="194"/>
        <v/>
      </c>
    </row>
    <row r="5344" spans="2:7" x14ac:dyDescent="0.25">
      <c r="B5344" s="6"/>
      <c r="C5344" s="7"/>
      <c r="D5344" s="7"/>
      <c r="E5344" s="8"/>
      <c r="F5344" t="str">
        <f t="shared" si="193"/>
        <v/>
      </c>
      <c r="G5344" t="str">
        <f t="shared" si="194"/>
        <v/>
      </c>
    </row>
    <row r="5345" spans="2:7" x14ac:dyDescent="0.25">
      <c r="B5345" s="6"/>
      <c r="C5345" s="7"/>
      <c r="D5345" s="7"/>
      <c r="E5345" s="8"/>
      <c r="F5345" t="str">
        <f t="shared" si="193"/>
        <v/>
      </c>
      <c r="G5345" t="str">
        <f t="shared" si="194"/>
        <v/>
      </c>
    </row>
    <row r="5346" spans="2:7" x14ac:dyDescent="0.25">
      <c r="B5346" s="6"/>
      <c r="C5346" s="7"/>
      <c r="D5346" s="7"/>
      <c r="E5346" s="8"/>
      <c r="F5346" t="str">
        <f t="shared" si="193"/>
        <v/>
      </c>
      <c r="G5346" t="str">
        <f t="shared" si="194"/>
        <v/>
      </c>
    </row>
    <row r="5347" spans="2:7" x14ac:dyDescent="0.25">
      <c r="B5347" s="6"/>
      <c r="C5347" s="7"/>
      <c r="D5347" s="7"/>
      <c r="E5347" s="8"/>
      <c r="F5347" t="str">
        <f t="shared" si="193"/>
        <v/>
      </c>
      <c r="G5347" t="str">
        <f t="shared" si="194"/>
        <v/>
      </c>
    </row>
    <row r="5348" spans="2:7" x14ac:dyDescent="0.25">
      <c r="B5348" s="6"/>
      <c r="C5348" s="7"/>
      <c r="D5348" s="7"/>
      <c r="E5348" s="8"/>
      <c r="F5348" t="str">
        <f t="shared" si="193"/>
        <v/>
      </c>
      <c r="G5348" t="str">
        <f t="shared" si="194"/>
        <v/>
      </c>
    </row>
    <row r="5349" spans="2:7" x14ac:dyDescent="0.25">
      <c r="B5349" s="6"/>
      <c r="C5349" s="7"/>
      <c r="D5349" s="7"/>
      <c r="E5349" s="8"/>
      <c r="F5349" t="str">
        <f t="shared" si="193"/>
        <v/>
      </c>
      <c r="G5349" t="str">
        <f t="shared" si="194"/>
        <v/>
      </c>
    </row>
    <row r="5350" spans="2:7" x14ac:dyDescent="0.25">
      <c r="B5350" s="6"/>
      <c r="C5350" s="7"/>
      <c r="D5350" s="7"/>
      <c r="E5350" s="8"/>
      <c r="F5350" t="str">
        <f t="shared" si="193"/>
        <v/>
      </c>
      <c r="G5350" t="str">
        <f t="shared" si="194"/>
        <v/>
      </c>
    </row>
    <row r="5351" spans="2:7" x14ac:dyDescent="0.25">
      <c r="B5351" s="6"/>
      <c r="C5351" s="7"/>
      <c r="D5351" s="7"/>
      <c r="E5351" s="8"/>
      <c r="F5351" t="str">
        <f t="shared" si="193"/>
        <v/>
      </c>
      <c r="G5351" t="str">
        <f t="shared" si="194"/>
        <v/>
      </c>
    </row>
    <row r="5352" spans="2:7" x14ac:dyDescent="0.25">
      <c r="B5352" s="6"/>
      <c r="C5352" s="7"/>
      <c r="D5352" s="7"/>
      <c r="E5352" s="8"/>
      <c r="F5352" t="str">
        <f t="shared" si="193"/>
        <v/>
      </c>
      <c r="G5352" t="str">
        <f t="shared" si="194"/>
        <v/>
      </c>
    </row>
    <row r="5353" spans="2:7" x14ac:dyDescent="0.25">
      <c r="B5353" s="6"/>
      <c r="C5353" s="7"/>
      <c r="D5353" s="7"/>
      <c r="E5353" s="8"/>
      <c r="F5353" t="str">
        <f t="shared" si="193"/>
        <v/>
      </c>
      <c r="G5353" t="str">
        <f t="shared" si="194"/>
        <v/>
      </c>
    </row>
    <row r="5354" spans="2:7" x14ac:dyDescent="0.25">
      <c r="B5354" s="6"/>
      <c r="C5354" s="7"/>
      <c r="D5354" s="7"/>
      <c r="E5354" s="8"/>
      <c r="F5354" t="str">
        <f t="shared" si="193"/>
        <v/>
      </c>
      <c r="G5354" t="str">
        <f t="shared" si="194"/>
        <v/>
      </c>
    </row>
    <row r="5355" spans="2:7" x14ac:dyDescent="0.25">
      <c r="B5355" s="6"/>
      <c r="C5355" s="7"/>
      <c r="D5355" s="7"/>
      <c r="E5355" s="8"/>
      <c r="F5355" t="str">
        <f t="shared" si="193"/>
        <v/>
      </c>
      <c r="G5355" t="str">
        <f t="shared" si="194"/>
        <v/>
      </c>
    </row>
    <row r="5356" spans="2:7" x14ac:dyDescent="0.25">
      <c r="B5356" s="6"/>
      <c r="C5356" s="7"/>
      <c r="D5356" s="7"/>
      <c r="E5356" s="8"/>
      <c r="F5356" t="str">
        <f t="shared" si="193"/>
        <v/>
      </c>
      <c r="G5356" t="str">
        <f t="shared" si="194"/>
        <v/>
      </c>
    </row>
    <row r="5357" spans="2:7" x14ac:dyDescent="0.25">
      <c r="B5357" s="6"/>
      <c r="C5357" s="7"/>
      <c r="D5357" s="7"/>
      <c r="E5357" s="8"/>
      <c r="F5357" t="str">
        <f t="shared" si="193"/>
        <v/>
      </c>
      <c r="G5357" t="str">
        <f t="shared" si="194"/>
        <v/>
      </c>
    </row>
    <row r="5358" spans="2:7" x14ac:dyDescent="0.25">
      <c r="B5358" s="6"/>
      <c r="C5358" s="7"/>
      <c r="D5358" s="7"/>
      <c r="E5358" s="8"/>
      <c r="F5358" t="str">
        <f t="shared" si="193"/>
        <v/>
      </c>
      <c r="G5358" t="str">
        <f t="shared" si="194"/>
        <v/>
      </c>
    </row>
    <row r="5359" spans="2:7" x14ac:dyDescent="0.25">
      <c r="B5359" s="6"/>
      <c r="C5359" s="7"/>
      <c r="D5359" s="7"/>
      <c r="E5359" s="8"/>
      <c r="F5359" t="str">
        <f t="shared" si="193"/>
        <v/>
      </c>
      <c r="G5359" t="str">
        <f t="shared" si="194"/>
        <v/>
      </c>
    </row>
    <row r="5360" spans="2:7" x14ac:dyDescent="0.25">
      <c r="B5360" s="6"/>
      <c r="C5360" s="7"/>
      <c r="D5360" s="7"/>
      <c r="E5360" s="8"/>
      <c r="F5360" t="str">
        <f t="shared" si="193"/>
        <v/>
      </c>
      <c r="G5360" t="str">
        <f t="shared" si="194"/>
        <v/>
      </c>
    </row>
    <row r="5361" spans="2:7" x14ac:dyDescent="0.25">
      <c r="B5361" s="6"/>
      <c r="C5361" s="7"/>
      <c r="D5361" s="7"/>
      <c r="E5361" s="8"/>
      <c r="F5361" t="str">
        <f t="shared" si="193"/>
        <v/>
      </c>
      <c r="G5361" t="str">
        <f t="shared" si="194"/>
        <v/>
      </c>
    </row>
    <row r="5362" spans="2:7" x14ac:dyDescent="0.25">
      <c r="B5362" s="6"/>
      <c r="C5362" s="7"/>
      <c r="D5362" s="7"/>
      <c r="E5362" s="8"/>
      <c r="F5362" t="str">
        <f t="shared" si="193"/>
        <v/>
      </c>
      <c r="G5362" t="str">
        <f t="shared" si="194"/>
        <v/>
      </c>
    </row>
    <row r="5363" spans="2:7" x14ac:dyDescent="0.25">
      <c r="B5363" s="6"/>
      <c r="C5363" s="7"/>
      <c r="D5363" s="7"/>
      <c r="E5363" s="8"/>
      <c r="F5363" t="str">
        <f t="shared" si="193"/>
        <v/>
      </c>
      <c r="G5363" t="str">
        <f t="shared" si="194"/>
        <v/>
      </c>
    </row>
    <row r="5364" spans="2:7" x14ac:dyDescent="0.25">
      <c r="B5364" s="6"/>
      <c r="C5364" s="7"/>
      <c r="D5364" s="7"/>
      <c r="E5364" s="8"/>
      <c r="F5364" t="str">
        <f t="shared" si="193"/>
        <v/>
      </c>
      <c r="G5364" t="str">
        <f t="shared" si="194"/>
        <v/>
      </c>
    </row>
    <row r="5365" spans="2:7" x14ac:dyDescent="0.25">
      <c r="B5365" s="6"/>
      <c r="C5365" s="7"/>
      <c r="D5365" s="7"/>
      <c r="E5365" s="8"/>
      <c r="F5365" t="str">
        <f t="shared" si="193"/>
        <v/>
      </c>
      <c r="G5365" t="str">
        <f t="shared" si="194"/>
        <v/>
      </c>
    </row>
    <row r="5366" spans="2:7" x14ac:dyDescent="0.25">
      <c r="B5366" s="6"/>
      <c r="C5366" s="7"/>
      <c r="D5366" s="7"/>
      <c r="E5366" s="8"/>
      <c r="F5366" t="str">
        <f t="shared" si="193"/>
        <v/>
      </c>
      <c r="G5366" t="str">
        <f t="shared" si="194"/>
        <v/>
      </c>
    </row>
    <row r="5367" spans="2:7" x14ac:dyDescent="0.25">
      <c r="B5367" s="6"/>
      <c r="C5367" s="7"/>
      <c r="D5367" s="7"/>
      <c r="E5367" s="8"/>
      <c r="F5367" t="str">
        <f t="shared" si="193"/>
        <v/>
      </c>
      <c r="G5367" t="str">
        <f t="shared" si="194"/>
        <v/>
      </c>
    </row>
    <row r="5368" spans="2:7" x14ac:dyDescent="0.25">
      <c r="B5368" s="6"/>
      <c r="C5368" s="7"/>
      <c r="D5368" s="7"/>
      <c r="E5368" s="8"/>
      <c r="F5368" t="str">
        <f t="shared" si="193"/>
        <v/>
      </c>
      <c r="G5368" t="str">
        <f t="shared" si="194"/>
        <v/>
      </c>
    </row>
    <row r="5369" spans="2:7" x14ac:dyDescent="0.25">
      <c r="B5369" s="6"/>
      <c r="C5369" s="7"/>
      <c r="D5369" s="7"/>
      <c r="E5369" s="8"/>
      <c r="F5369" t="str">
        <f t="shared" si="193"/>
        <v/>
      </c>
      <c r="G5369" t="str">
        <f t="shared" si="194"/>
        <v/>
      </c>
    </row>
    <row r="5370" spans="2:7" x14ac:dyDescent="0.25">
      <c r="B5370" s="6"/>
      <c r="C5370" s="7"/>
      <c r="D5370" s="7"/>
      <c r="E5370" s="8"/>
      <c r="F5370" t="str">
        <f t="shared" si="193"/>
        <v/>
      </c>
      <c r="G5370" t="str">
        <f t="shared" si="194"/>
        <v/>
      </c>
    </row>
    <row r="5371" spans="2:7" x14ac:dyDescent="0.25">
      <c r="B5371" s="6"/>
      <c r="C5371" s="7"/>
      <c r="D5371" s="7"/>
      <c r="E5371" s="8"/>
      <c r="F5371" t="str">
        <f t="shared" si="193"/>
        <v/>
      </c>
      <c r="G5371" t="str">
        <f t="shared" si="194"/>
        <v/>
      </c>
    </row>
    <row r="5372" spans="2:7" x14ac:dyDescent="0.25">
      <c r="B5372" s="6"/>
      <c r="C5372" s="7"/>
      <c r="D5372" s="7"/>
      <c r="E5372" s="8"/>
      <c r="F5372" t="str">
        <f t="shared" si="193"/>
        <v/>
      </c>
      <c r="G5372" t="str">
        <f t="shared" si="194"/>
        <v/>
      </c>
    </row>
    <row r="5373" spans="2:7" x14ac:dyDescent="0.25">
      <c r="B5373" s="6"/>
      <c r="C5373" s="7"/>
      <c r="D5373" s="7"/>
      <c r="E5373" s="8"/>
      <c r="F5373" t="str">
        <f t="shared" si="193"/>
        <v/>
      </c>
      <c r="G5373" t="str">
        <f t="shared" si="194"/>
        <v/>
      </c>
    </row>
    <row r="5374" spans="2:7" x14ac:dyDescent="0.25">
      <c r="B5374" s="6"/>
      <c r="C5374" s="7"/>
      <c r="D5374" s="7"/>
      <c r="E5374" s="8"/>
      <c r="F5374" t="str">
        <f t="shared" si="193"/>
        <v/>
      </c>
      <c r="G5374" t="str">
        <f t="shared" si="194"/>
        <v/>
      </c>
    </row>
    <row r="5375" spans="2:7" x14ac:dyDescent="0.25">
      <c r="B5375" s="6"/>
      <c r="C5375" s="7"/>
      <c r="D5375" s="7"/>
      <c r="E5375" s="8"/>
      <c r="F5375" t="str">
        <f t="shared" si="193"/>
        <v/>
      </c>
      <c r="G5375" t="str">
        <f t="shared" si="194"/>
        <v/>
      </c>
    </row>
    <row r="5376" spans="2:7" x14ac:dyDescent="0.25">
      <c r="B5376" s="6"/>
      <c r="C5376" s="7"/>
      <c r="D5376" s="7"/>
      <c r="E5376" s="8"/>
      <c r="F5376" t="str">
        <f t="shared" si="193"/>
        <v/>
      </c>
      <c r="G5376" t="str">
        <f t="shared" si="194"/>
        <v/>
      </c>
    </row>
    <row r="5377" spans="2:7" x14ac:dyDescent="0.25">
      <c r="B5377" s="6"/>
      <c r="C5377" s="7"/>
      <c r="D5377" s="7"/>
      <c r="E5377" s="8"/>
      <c r="F5377" t="str">
        <f t="shared" si="193"/>
        <v/>
      </c>
      <c r="G5377" t="str">
        <f t="shared" si="194"/>
        <v/>
      </c>
    </row>
    <row r="5378" spans="2:7" x14ac:dyDescent="0.25">
      <c r="B5378" s="6"/>
      <c r="C5378" s="7"/>
      <c r="D5378" s="7"/>
      <c r="E5378" s="8"/>
      <c r="F5378" t="str">
        <f t="shared" si="193"/>
        <v/>
      </c>
      <c r="G5378" t="str">
        <f t="shared" si="194"/>
        <v/>
      </c>
    </row>
    <row r="5379" spans="2:7" x14ac:dyDescent="0.25">
      <c r="B5379" s="6"/>
      <c r="C5379" s="7"/>
      <c r="D5379" s="7"/>
      <c r="E5379" s="8"/>
      <c r="F5379" t="str">
        <f t="shared" si="193"/>
        <v/>
      </c>
      <c r="G5379" t="str">
        <f t="shared" si="194"/>
        <v/>
      </c>
    </row>
    <row r="5380" spans="2:7" x14ac:dyDescent="0.25">
      <c r="B5380" s="6"/>
      <c r="C5380" s="7"/>
      <c r="D5380" s="7"/>
      <c r="E5380" s="8"/>
      <c r="F5380" t="str">
        <f t="shared" ref="F5380:F5443" si="195">IF(B5380="","",LOG10(D5380))</f>
        <v/>
      </c>
      <c r="G5380" t="str">
        <f t="shared" ref="G5380:G5443" si="196">IF(E5380="", "",0.434*E5380/D5380)</f>
        <v/>
      </c>
    </row>
    <row r="5381" spans="2:7" x14ac:dyDescent="0.25">
      <c r="B5381" s="6"/>
      <c r="C5381" s="7"/>
      <c r="D5381" s="7"/>
      <c r="E5381" s="8"/>
      <c r="F5381" t="str">
        <f t="shared" si="195"/>
        <v/>
      </c>
      <c r="G5381" t="str">
        <f t="shared" si="196"/>
        <v/>
      </c>
    </row>
    <row r="5382" spans="2:7" x14ac:dyDescent="0.25">
      <c r="B5382" s="6"/>
      <c r="C5382" s="7"/>
      <c r="D5382" s="7"/>
      <c r="E5382" s="8"/>
      <c r="F5382" t="str">
        <f t="shared" si="195"/>
        <v/>
      </c>
      <c r="G5382" t="str">
        <f t="shared" si="196"/>
        <v/>
      </c>
    </row>
    <row r="5383" spans="2:7" x14ac:dyDescent="0.25">
      <c r="B5383" s="6"/>
      <c r="C5383" s="7"/>
      <c r="D5383" s="7"/>
      <c r="E5383" s="8"/>
      <c r="F5383" t="str">
        <f t="shared" si="195"/>
        <v/>
      </c>
      <c r="G5383" t="str">
        <f t="shared" si="196"/>
        <v/>
      </c>
    </row>
    <row r="5384" spans="2:7" x14ac:dyDescent="0.25">
      <c r="B5384" s="6"/>
      <c r="C5384" s="7"/>
      <c r="D5384" s="7"/>
      <c r="E5384" s="8"/>
      <c r="F5384" t="str">
        <f t="shared" si="195"/>
        <v/>
      </c>
      <c r="G5384" t="str">
        <f t="shared" si="196"/>
        <v/>
      </c>
    </row>
    <row r="5385" spans="2:7" x14ac:dyDescent="0.25">
      <c r="B5385" s="6"/>
      <c r="C5385" s="7"/>
      <c r="D5385" s="7"/>
      <c r="E5385" s="8"/>
      <c r="F5385" t="str">
        <f t="shared" si="195"/>
        <v/>
      </c>
      <c r="G5385" t="str">
        <f t="shared" si="196"/>
        <v/>
      </c>
    </row>
    <row r="5386" spans="2:7" x14ac:dyDescent="0.25">
      <c r="B5386" s="6"/>
      <c r="C5386" s="7"/>
      <c r="D5386" s="7"/>
      <c r="E5386" s="8"/>
      <c r="F5386" t="str">
        <f t="shared" si="195"/>
        <v/>
      </c>
      <c r="G5386" t="str">
        <f t="shared" si="196"/>
        <v/>
      </c>
    </row>
    <row r="5387" spans="2:7" x14ac:dyDescent="0.25">
      <c r="B5387" s="6"/>
      <c r="C5387" s="7"/>
      <c r="D5387" s="7"/>
      <c r="E5387" s="8"/>
      <c r="F5387" t="str">
        <f t="shared" si="195"/>
        <v/>
      </c>
      <c r="G5387" t="str">
        <f t="shared" si="196"/>
        <v/>
      </c>
    </row>
    <row r="5388" spans="2:7" x14ac:dyDescent="0.25">
      <c r="B5388" s="6"/>
      <c r="C5388" s="7"/>
      <c r="D5388" s="7"/>
      <c r="E5388" s="8"/>
      <c r="F5388" t="str">
        <f t="shared" si="195"/>
        <v/>
      </c>
      <c r="G5388" t="str">
        <f t="shared" si="196"/>
        <v/>
      </c>
    </row>
    <row r="5389" spans="2:7" x14ac:dyDescent="0.25">
      <c r="B5389" s="6"/>
      <c r="C5389" s="7"/>
      <c r="D5389" s="7"/>
      <c r="E5389" s="8"/>
      <c r="F5389" t="str">
        <f t="shared" si="195"/>
        <v/>
      </c>
      <c r="G5389" t="str">
        <f t="shared" si="196"/>
        <v/>
      </c>
    </row>
    <row r="5390" spans="2:7" x14ac:dyDescent="0.25">
      <c r="B5390" s="6"/>
      <c r="C5390" s="7"/>
      <c r="D5390" s="7"/>
      <c r="E5390" s="8"/>
      <c r="F5390" t="str">
        <f t="shared" si="195"/>
        <v/>
      </c>
      <c r="G5390" t="str">
        <f t="shared" si="196"/>
        <v/>
      </c>
    </row>
    <row r="5391" spans="2:7" x14ac:dyDescent="0.25">
      <c r="B5391" s="6"/>
      <c r="C5391" s="7"/>
      <c r="D5391" s="7"/>
      <c r="E5391" s="8"/>
      <c r="F5391" t="str">
        <f t="shared" si="195"/>
        <v/>
      </c>
      <c r="G5391" t="str">
        <f t="shared" si="196"/>
        <v/>
      </c>
    </row>
    <row r="5392" spans="2:7" x14ac:dyDescent="0.25">
      <c r="B5392" s="6"/>
      <c r="C5392" s="7"/>
      <c r="D5392" s="7"/>
      <c r="E5392" s="8"/>
      <c r="F5392" t="str">
        <f t="shared" si="195"/>
        <v/>
      </c>
      <c r="G5392" t="str">
        <f t="shared" si="196"/>
        <v/>
      </c>
    </row>
    <row r="5393" spans="2:7" x14ac:dyDescent="0.25">
      <c r="B5393" s="6"/>
      <c r="C5393" s="7"/>
      <c r="D5393" s="7"/>
      <c r="E5393" s="8"/>
      <c r="F5393" t="str">
        <f t="shared" si="195"/>
        <v/>
      </c>
      <c r="G5393" t="str">
        <f t="shared" si="196"/>
        <v/>
      </c>
    </row>
    <row r="5394" spans="2:7" x14ac:dyDescent="0.25">
      <c r="B5394" s="6"/>
      <c r="C5394" s="7"/>
      <c r="D5394" s="7"/>
      <c r="E5394" s="8"/>
      <c r="F5394" t="str">
        <f t="shared" si="195"/>
        <v/>
      </c>
      <c r="G5394" t="str">
        <f t="shared" si="196"/>
        <v/>
      </c>
    </row>
    <row r="5395" spans="2:7" x14ac:dyDescent="0.25">
      <c r="B5395" s="6"/>
      <c r="C5395" s="7"/>
      <c r="D5395" s="7"/>
      <c r="E5395" s="8"/>
      <c r="F5395" t="str">
        <f t="shared" si="195"/>
        <v/>
      </c>
      <c r="G5395" t="str">
        <f t="shared" si="196"/>
        <v/>
      </c>
    </row>
    <row r="5396" spans="2:7" x14ac:dyDescent="0.25">
      <c r="B5396" s="6"/>
      <c r="C5396" s="7"/>
      <c r="D5396" s="7"/>
      <c r="E5396" s="8"/>
      <c r="F5396" t="str">
        <f t="shared" si="195"/>
        <v/>
      </c>
      <c r="G5396" t="str">
        <f t="shared" si="196"/>
        <v/>
      </c>
    </row>
    <row r="5397" spans="2:7" x14ac:dyDescent="0.25">
      <c r="B5397" s="6"/>
      <c r="C5397" s="7"/>
      <c r="D5397" s="7"/>
      <c r="E5397" s="8"/>
      <c r="F5397" t="str">
        <f t="shared" si="195"/>
        <v/>
      </c>
      <c r="G5397" t="str">
        <f t="shared" si="196"/>
        <v/>
      </c>
    </row>
    <row r="5398" spans="2:7" x14ac:dyDescent="0.25">
      <c r="B5398" s="6"/>
      <c r="C5398" s="7"/>
      <c r="D5398" s="7"/>
      <c r="E5398" s="8"/>
      <c r="F5398" t="str">
        <f t="shared" si="195"/>
        <v/>
      </c>
      <c r="G5398" t="str">
        <f t="shared" si="196"/>
        <v/>
      </c>
    </row>
    <row r="5399" spans="2:7" x14ac:dyDescent="0.25">
      <c r="B5399" s="6"/>
      <c r="C5399" s="7"/>
      <c r="D5399" s="7"/>
      <c r="E5399" s="8"/>
      <c r="F5399" t="str">
        <f t="shared" si="195"/>
        <v/>
      </c>
      <c r="G5399" t="str">
        <f t="shared" si="196"/>
        <v/>
      </c>
    </row>
    <row r="5400" spans="2:7" x14ac:dyDescent="0.25">
      <c r="B5400" s="6"/>
      <c r="C5400" s="7"/>
      <c r="D5400" s="7"/>
      <c r="E5400" s="8"/>
      <c r="F5400" t="str">
        <f t="shared" si="195"/>
        <v/>
      </c>
      <c r="G5400" t="str">
        <f t="shared" si="196"/>
        <v/>
      </c>
    </row>
    <row r="5401" spans="2:7" x14ac:dyDescent="0.25">
      <c r="B5401" s="6"/>
      <c r="C5401" s="7"/>
      <c r="D5401" s="7"/>
      <c r="E5401" s="8"/>
      <c r="F5401" t="str">
        <f t="shared" si="195"/>
        <v/>
      </c>
      <c r="G5401" t="str">
        <f t="shared" si="196"/>
        <v/>
      </c>
    </row>
    <row r="5402" spans="2:7" x14ac:dyDescent="0.25">
      <c r="B5402" s="6"/>
      <c r="C5402" s="7"/>
      <c r="D5402" s="7"/>
      <c r="E5402" s="8"/>
      <c r="F5402" t="str">
        <f t="shared" si="195"/>
        <v/>
      </c>
      <c r="G5402" t="str">
        <f t="shared" si="196"/>
        <v/>
      </c>
    </row>
    <row r="5403" spans="2:7" x14ac:dyDescent="0.25">
      <c r="B5403" s="6"/>
      <c r="C5403" s="7"/>
      <c r="D5403" s="7"/>
      <c r="E5403" s="8"/>
      <c r="F5403" t="str">
        <f t="shared" si="195"/>
        <v/>
      </c>
      <c r="G5403" t="str">
        <f t="shared" si="196"/>
        <v/>
      </c>
    </row>
    <row r="5404" spans="2:7" x14ac:dyDescent="0.25">
      <c r="B5404" s="6"/>
      <c r="C5404" s="7"/>
      <c r="D5404" s="7"/>
      <c r="E5404" s="8"/>
      <c r="F5404" t="str">
        <f t="shared" si="195"/>
        <v/>
      </c>
      <c r="G5404" t="str">
        <f t="shared" si="196"/>
        <v/>
      </c>
    </row>
    <row r="5405" spans="2:7" x14ac:dyDescent="0.25">
      <c r="B5405" s="6"/>
      <c r="C5405" s="7"/>
      <c r="D5405" s="7"/>
      <c r="E5405" s="8"/>
      <c r="F5405" t="str">
        <f t="shared" si="195"/>
        <v/>
      </c>
      <c r="G5405" t="str">
        <f t="shared" si="196"/>
        <v/>
      </c>
    </row>
    <row r="5406" spans="2:7" x14ac:dyDescent="0.25">
      <c r="B5406" s="6"/>
      <c r="C5406" s="7"/>
      <c r="D5406" s="7"/>
      <c r="E5406" s="8"/>
      <c r="F5406" t="str">
        <f t="shared" si="195"/>
        <v/>
      </c>
      <c r="G5406" t="str">
        <f t="shared" si="196"/>
        <v/>
      </c>
    </row>
    <row r="5407" spans="2:7" x14ac:dyDescent="0.25">
      <c r="B5407" s="6"/>
      <c r="C5407" s="7"/>
      <c r="D5407" s="7"/>
      <c r="E5407" s="8"/>
      <c r="F5407" t="str">
        <f t="shared" si="195"/>
        <v/>
      </c>
      <c r="G5407" t="str">
        <f t="shared" si="196"/>
        <v/>
      </c>
    </row>
    <row r="5408" spans="2:7" x14ac:dyDescent="0.25">
      <c r="B5408" s="6"/>
      <c r="C5408" s="7"/>
      <c r="D5408" s="7"/>
      <c r="E5408" s="8"/>
      <c r="F5408" t="str">
        <f t="shared" si="195"/>
        <v/>
      </c>
      <c r="G5408" t="str">
        <f t="shared" si="196"/>
        <v/>
      </c>
    </row>
    <row r="5409" spans="2:7" x14ac:dyDescent="0.25">
      <c r="B5409" s="6"/>
      <c r="C5409" s="7"/>
      <c r="D5409" s="7"/>
      <c r="E5409" s="8"/>
      <c r="F5409" t="str">
        <f t="shared" si="195"/>
        <v/>
      </c>
      <c r="G5409" t="str">
        <f t="shared" si="196"/>
        <v/>
      </c>
    </row>
    <row r="5410" spans="2:7" x14ac:dyDescent="0.25">
      <c r="B5410" s="6"/>
      <c r="C5410" s="7"/>
      <c r="D5410" s="7"/>
      <c r="E5410" s="8"/>
      <c r="F5410" t="str">
        <f t="shared" si="195"/>
        <v/>
      </c>
      <c r="G5410" t="str">
        <f t="shared" si="196"/>
        <v/>
      </c>
    </row>
    <row r="5411" spans="2:7" x14ac:dyDescent="0.25">
      <c r="B5411" s="6"/>
      <c r="C5411" s="7"/>
      <c r="D5411" s="7"/>
      <c r="E5411" s="8"/>
      <c r="F5411" t="str">
        <f t="shared" si="195"/>
        <v/>
      </c>
      <c r="G5411" t="str">
        <f t="shared" si="196"/>
        <v/>
      </c>
    </row>
    <row r="5412" spans="2:7" x14ac:dyDescent="0.25">
      <c r="B5412" s="6"/>
      <c r="C5412" s="7"/>
      <c r="D5412" s="7"/>
      <c r="E5412" s="8"/>
      <c r="F5412" t="str">
        <f t="shared" si="195"/>
        <v/>
      </c>
      <c r="G5412" t="str">
        <f t="shared" si="196"/>
        <v/>
      </c>
    </row>
    <row r="5413" spans="2:7" x14ac:dyDescent="0.25">
      <c r="B5413" s="6"/>
      <c r="C5413" s="7"/>
      <c r="D5413" s="7"/>
      <c r="E5413" s="8"/>
      <c r="F5413" t="str">
        <f t="shared" si="195"/>
        <v/>
      </c>
      <c r="G5413" t="str">
        <f t="shared" si="196"/>
        <v/>
      </c>
    </row>
    <row r="5414" spans="2:7" x14ac:dyDescent="0.25">
      <c r="B5414" s="6"/>
      <c r="C5414" s="7"/>
      <c r="D5414" s="7"/>
      <c r="E5414" s="8"/>
      <c r="F5414" t="str">
        <f t="shared" si="195"/>
        <v/>
      </c>
      <c r="G5414" t="str">
        <f t="shared" si="196"/>
        <v/>
      </c>
    </row>
    <row r="5415" spans="2:7" x14ac:dyDescent="0.25">
      <c r="B5415" s="6"/>
      <c r="C5415" s="7"/>
      <c r="D5415" s="7"/>
      <c r="E5415" s="8"/>
      <c r="F5415" t="str">
        <f t="shared" si="195"/>
        <v/>
      </c>
      <c r="G5415" t="str">
        <f t="shared" si="196"/>
        <v/>
      </c>
    </row>
    <row r="5416" spans="2:7" x14ac:dyDescent="0.25">
      <c r="B5416" s="6"/>
      <c r="C5416" s="7"/>
      <c r="D5416" s="7"/>
      <c r="E5416" s="8"/>
      <c r="F5416" t="str">
        <f t="shared" si="195"/>
        <v/>
      </c>
      <c r="G5416" t="str">
        <f t="shared" si="196"/>
        <v/>
      </c>
    </row>
    <row r="5417" spans="2:7" x14ac:dyDescent="0.25">
      <c r="B5417" s="6"/>
      <c r="C5417" s="7"/>
      <c r="D5417" s="7"/>
      <c r="E5417" s="8"/>
      <c r="F5417" t="str">
        <f t="shared" si="195"/>
        <v/>
      </c>
      <c r="G5417" t="str">
        <f t="shared" si="196"/>
        <v/>
      </c>
    </row>
    <row r="5418" spans="2:7" x14ac:dyDescent="0.25">
      <c r="B5418" s="6"/>
      <c r="C5418" s="7"/>
      <c r="D5418" s="7"/>
      <c r="E5418" s="8"/>
      <c r="F5418" t="str">
        <f t="shared" si="195"/>
        <v/>
      </c>
      <c r="G5418" t="str">
        <f t="shared" si="196"/>
        <v/>
      </c>
    </row>
    <row r="5419" spans="2:7" x14ac:dyDescent="0.25">
      <c r="B5419" s="6"/>
      <c r="C5419" s="7"/>
      <c r="D5419" s="7"/>
      <c r="E5419" s="8"/>
      <c r="F5419" t="str">
        <f t="shared" si="195"/>
        <v/>
      </c>
      <c r="G5419" t="str">
        <f t="shared" si="196"/>
        <v/>
      </c>
    </row>
    <row r="5420" spans="2:7" x14ac:dyDescent="0.25">
      <c r="B5420" s="6"/>
      <c r="C5420" s="7"/>
      <c r="D5420" s="7"/>
      <c r="E5420" s="8"/>
      <c r="F5420" t="str">
        <f t="shared" si="195"/>
        <v/>
      </c>
      <c r="G5420" t="str">
        <f t="shared" si="196"/>
        <v/>
      </c>
    </row>
    <row r="5421" spans="2:7" x14ac:dyDescent="0.25">
      <c r="B5421" s="6"/>
      <c r="C5421" s="7"/>
      <c r="D5421" s="7"/>
      <c r="E5421" s="8"/>
      <c r="F5421" t="str">
        <f t="shared" si="195"/>
        <v/>
      </c>
      <c r="G5421" t="str">
        <f t="shared" si="196"/>
        <v/>
      </c>
    </row>
    <row r="5422" spans="2:7" x14ac:dyDescent="0.25">
      <c r="B5422" s="6"/>
      <c r="C5422" s="7"/>
      <c r="D5422" s="7"/>
      <c r="E5422" s="8"/>
      <c r="F5422" t="str">
        <f t="shared" si="195"/>
        <v/>
      </c>
      <c r="G5422" t="str">
        <f t="shared" si="196"/>
        <v/>
      </c>
    </row>
    <row r="5423" spans="2:7" x14ac:dyDescent="0.25">
      <c r="B5423" s="6"/>
      <c r="C5423" s="7"/>
      <c r="D5423" s="7"/>
      <c r="E5423" s="8"/>
      <c r="F5423" t="str">
        <f t="shared" si="195"/>
        <v/>
      </c>
      <c r="G5423" t="str">
        <f t="shared" si="196"/>
        <v/>
      </c>
    </row>
    <row r="5424" spans="2:7" x14ac:dyDescent="0.25">
      <c r="B5424" s="6"/>
      <c r="C5424" s="7"/>
      <c r="D5424" s="7"/>
      <c r="E5424" s="8"/>
      <c r="F5424" t="str">
        <f t="shared" si="195"/>
        <v/>
      </c>
      <c r="G5424" t="str">
        <f t="shared" si="196"/>
        <v/>
      </c>
    </row>
    <row r="5425" spans="2:7" x14ac:dyDescent="0.25">
      <c r="B5425" s="6"/>
      <c r="C5425" s="7"/>
      <c r="D5425" s="7"/>
      <c r="E5425" s="8"/>
      <c r="F5425" t="str">
        <f t="shared" si="195"/>
        <v/>
      </c>
      <c r="G5425" t="str">
        <f t="shared" si="196"/>
        <v/>
      </c>
    </row>
    <row r="5426" spans="2:7" x14ac:dyDescent="0.25">
      <c r="B5426" s="6"/>
      <c r="C5426" s="7"/>
      <c r="D5426" s="7"/>
      <c r="E5426" s="8"/>
      <c r="F5426" t="str">
        <f t="shared" si="195"/>
        <v/>
      </c>
      <c r="G5426" t="str">
        <f t="shared" si="196"/>
        <v/>
      </c>
    </row>
    <row r="5427" spans="2:7" x14ac:dyDescent="0.25">
      <c r="B5427" s="6"/>
      <c r="C5427" s="7"/>
      <c r="D5427" s="7"/>
      <c r="E5427" s="8"/>
      <c r="F5427" t="str">
        <f t="shared" si="195"/>
        <v/>
      </c>
      <c r="G5427" t="str">
        <f t="shared" si="196"/>
        <v/>
      </c>
    </row>
    <row r="5428" spans="2:7" x14ac:dyDescent="0.25">
      <c r="B5428" s="6"/>
      <c r="C5428" s="7"/>
      <c r="D5428" s="7"/>
      <c r="E5428" s="8"/>
      <c r="F5428" t="str">
        <f t="shared" si="195"/>
        <v/>
      </c>
      <c r="G5428" t="str">
        <f t="shared" si="196"/>
        <v/>
      </c>
    </row>
    <row r="5429" spans="2:7" x14ac:dyDescent="0.25">
      <c r="B5429" s="6"/>
      <c r="C5429" s="7"/>
      <c r="D5429" s="7"/>
      <c r="E5429" s="8"/>
      <c r="F5429" t="str">
        <f t="shared" si="195"/>
        <v/>
      </c>
      <c r="G5429" t="str">
        <f t="shared" si="196"/>
        <v/>
      </c>
    </row>
    <row r="5430" spans="2:7" x14ac:dyDescent="0.25">
      <c r="B5430" s="6"/>
      <c r="C5430" s="7"/>
      <c r="D5430" s="7"/>
      <c r="E5430" s="8"/>
      <c r="F5430" t="str">
        <f t="shared" si="195"/>
        <v/>
      </c>
      <c r="G5430" t="str">
        <f t="shared" si="196"/>
        <v/>
      </c>
    </row>
    <row r="5431" spans="2:7" x14ac:dyDescent="0.25">
      <c r="B5431" s="6"/>
      <c r="C5431" s="7"/>
      <c r="D5431" s="7"/>
      <c r="E5431" s="8"/>
      <c r="F5431" t="str">
        <f t="shared" si="195"/>
        <v/>
      </c>
      <c r="G5431" t="str">
        <f t="shared" si="196"/>
        <v/>
      </c>
    </row>
    <row r="5432" spans="2:7" x14ac:dyDescent="0.25">
      <c r="B5432" s="6"/>
      <c r="C5432" s="7"/>
      <c r="D5432" s="7"/>
      <c r="E5432" s="8"/>
      <c r="F5432" t="str">
        <f t="shared" si="195"/>
        <v/>
      </c>
      <c r="G5432" t="str">
        <f t="shared" si="196"/>
        <v/>
      </c>
    </row>
    <row r="5433" spans="2:7" x14ac:dyDescent="0.25">
      <c r="B5433" s="6"/>
      <c r="C5433" s="7"/>
      <c r="D5433" s="7"/>
      <c r="E5433" s="8"/>
      <c r="F5433" t="str">
        <f t="shared" si="195"/>
        <v/>
      </c>
      <c r="G5433" t="str">
        <f t="shared" si="196"/>
        <v/>
      </c>
    </row>
    <row r="5434" spans="2:7" x14ac:dyDescent="0.25">
      <c r="B5434" s="6"/>
      <c r="C5434" s="7"/>
      <c r="D5434" s="7"/>
      <c r="E5434" s="8"/>
      <c r="F5434" t="str">
        <f t="shared" si="195"/>
        <v/>
      </c>
      <c r="G5434" t="str">
        <f t="shared" si="196"/>
        <v/>
      </c>
    </row>
    <row r="5435" spans="2:7" x14ac:dyDescent="0.25">
      <c r="B5435" s="6"/>
      <c r="C5435" s="7"/>
      <c r="D5435" s="7"/>
      <c r="E5435" s="8"/>
      <c r="F5435" t="str">
        <f t="shared" si="195"/>
        <v/>
      </c>
      <c r="G5435" t="str">
        <f t="shared" si="196"/>
        <v/>
      </c>
    </row>
    <row r="5436" spans="2:7" x14ac:dyDescent="0.25">
      <c r="B5436" s="6"/>
      <c r="C5436" s="7"/>
      <c r="D5436" s="7"/>
      <c r="E5436" s="8"/>
      <c r="F5436" t="str">
        <f t="shared" si="195"/>
        <v/>
      </c>
      <c r="G5436" t="str">
        <f t="shared" si="196"/>
        <v/>
      </c>
    </row>
    <row r="5437" spans="2:7" x14ac:dyDescent="0.25">
      <c r="B5437" s="6"/>
      <c r="C5437" s="7"/>
      <c r="D5437" s="7"/>
      <c r="E5437" s="8"/>
      <c r="F5437" t="str">
        <f t="shared" si="195"/>
        <v/>
      </c>
      <c r="G5437" t="str">
        <f t="shared" si="196"/>
        <v/>
      </c>
    </row>
    <row r="5438" spans="2:7" x14ac:dyDescent="0.25">
      <c r="B5438" s="6"/>
      <c r="C5438" s="7"/>
      <c r="D5438" s="7"/>
      <c r="E5438" s="8"/>
      <c r="F5438" t="str">
        <f t="shared" si="195"/>
        <v/>
      </c>
      <c r="G5438" t="str">
        <f t="shared" si="196"/>
        <v/>
      </c>
    </row>
    <row r="5439" spans="2:7" x14ac:dyDescent="0.25">
      <c r="B5439" s="6"/>
      <c r="C5439" s="7"/>
      <c r="D5439" s="7"/>
      <c r="E5439" s="8"/>
      <c r="F5439" t="str">
        <f t="shared" si="195"/>
        <v/>
      </c>
      <c r="G5439" t="str">
        <f t="shared" si="196"/>
        <v/>
      </c>
    </row>
    <row r="5440" spans="2:7" x14ac:dyDescent="0.25">
      <c r="B5440" s="6"/>
      <c r="C5440" s="7"/>
      <c r="D5440" s="7"/>
      <c r="E5440" s="8"/>
      <c r="F5440" t="str">
        <f t="shared" si="195"/>
        <v/>
      </c>
      <c r="G5440" t="str">
        <f t="shared" si="196"/>
        <v/>
      </c>
    </row>
    <row r="5441" spans="2:7" x14ac:dyDescent="0.25">
      <c r="B5441" s="6"/>
      <c r="C5441" s="7"/>
      <c r="D5441" s="7"/>
      <c r="E5441" s="8"/>
      <c r="F5441" t="str">
        <f t="shared" si="195"/>
        <v/>
      </c>
      <c r="G5441" t="str">
        <f t="shared" si="196"/>
        <v/>
      </c>
    </row>
    <row r="5442" spans="2:7" x14ac:dyDescent="0.25">
      <c r="B5442" s="6"/>
      <c r="C5442" s="7"/>
      <c r="D5442" s="7"/>
      <c r="E5442" s="8"/>
      <c r="F5442" t="str">
        <f t="shared" si="195"/>
        <v/>
      </c>
      <c r="G5442" t="str">
        <f t="shared" si="196"/>
        <v/>
      </c>
    </row>
    <row r="5443" spans="2:7" x14ac:dyDescent="0.25">
      <c r="B5443" s="6"/>
      <c r="C5443" s="7"/>
      <c r="D5443" s="7"/>
      <c r="E5443" s="8"/>
      <c r="F5443" t="str">
        <f t="shared" si="195"/>
        <v/>
      </c>
      <c r="G5443" t="str">
        <f t="shared" si="196"/>
        <v/>
      </c>
    </row>
    <row r="5444" spans="2:7" x14ac:dyDescent="0.25">
      <c r="B5444" s="6"/>
      <c r="C5444" s="7"/>
      <c r="D5444" s="7"/>
      <c r="E5444" s="8"/>
      <c r="F5444" t="str">
        <f t="shared" ref="F5444:F5507" si="197">IF(B5444="","",LOG10(D5444))</f>
        <v/>
      </c>
      <c r="G5444" t="str">
        <f t="shared" ref="G5444:G5507" si="198">IF(E5444="", "",0.434*E5444/D5444)</f>
        <v/>
      </c>
    </row>
    <row r="5445" spans="2:7" x14ac:dyDescent="0.25">
      <c r="B5445" s="6"/>
      <c r="C5445" s="7"/>
      <c r="D5445" s="7"/>
      <c r="E5445" s="8"/>
      <c r="F5445" t="str">
        <f t="shared" si="197"/>
        <v/>
      </c>
      <c r="G5445" t="str">
        <f t="shared" si="198"/>
        <v/>
      </c>
    </row>
    <row r="5446" spans="2:7" x14ac:dyDescent="0.25">
      <c r="B5446" s="6"/>
      <c r="C5446" s="7"/>
      <c r="D5446" s="7"/>
      <c r="E5446" s="8"/>
      <c r="F5446" t="str">
        <f t="shared" si="197"/>
        <v/>
      </c>
      <c r="G5446" t="str">
        <f t="shared" si="198"/>
        <v/>
      </c>
    </row>
    <row r="5447" spans="2:7" x14ac:dyDescent="0.25">
      <c r="B5447" s="6"/>
      <c r="C5447" s="7"/>
      <c r="D5447" s="7"/>
      <c r="E5447" s="8"/>
      <c r="F5447" t="str">
        <f t="shared" si="197"/>
        <v/>
      </c>
      <c r="G5447" t="str">
        <f t="shared" si="198"/>
        <v/>
      </c>
    </row>
    <row r="5448" spans="2:7" x14ac:dyDescent="0.25">
      <c r="B5448" s="6"/>
      <c r="C5448" s="7"/>
      <c r="D5448" s="7"/>
      <c r="E5448" s="8"/>
      <c r="F5448" t="str">
        <f t="shared" si="197"/>
        <v/>
      </c>
      <c r="G5448" t="str">
        <f t="shared" si="198"/>
        <v/>
      </c>
    </row>
    <row r="5449" spans="2:7" x14ac:dyDescent="0.25">
      <c r="B5449" s="6"/>
      <c r="C5449" s="7"/>
      <c r="D5449" s="7"/>
      <c r="E5449" s="8"/>
      <c r="F5449" t="str">
        <f t="shared" si="197"/>
        <v/>
      </c>
      <c r="G5449" t="str">
        <f t="shared" si="198"/>
        <v/>
      </c>
    </row>
    <row r="5450" spans="2:7" x14ac:dyDescent="0.25">
      <c r="B5450" s="6"/>
      <c r="C5450" s="7"/>
      <c r="D5450" s="7"/>
      <c r="E5450" s="8"/>
      <c r="F5450" t="str">
        <f t="shared" si="197"/>
        <v/>
      </c>
      <c r="G5450" t="str">
        <f t="shared" si="198"/>
        <v/>
      </c>
    </row>
    <row r="5451" spans="2:7" x14ac:dyDescent="0.25">
      <c r="B5451" s="6"/>
      <c r="C5451" s="7"/>
      <c r="D5451" s="7"/>
      <c r="E5451" s="8"/>
      <c r="F5451" t="str">
        <f t="shared" si="197"/>
        <v/>
      </c>
      <c r="G5451" t="str">
        <f t="shared" si="198"/>
        <v/>
      </c>
    </row>
    <row r="5452" spans="2:7" x14ac:dyDescent="0.25">
      <c r="B5452" s="6"/>
      <c r="C5452" s="7"/>
      <c r="D5452" s="7"/>
      <c r="E5452" s="8"/>
      <c r="F5452" t="str">
        <f t="shared" si="197"/>
        <v/>
      </c>
      <c r="G5452" t="str">
        <f t="shared" si="198"/>
        <v/>
      </c>
    </row>
    <row r="5453" spans="2:7" x14ac:dyDescent="0.25">
      <c r="B5453" s="6"/>
      <c r="C5453" s="7"/>
      <c r="D5453" s="7"/>
      <c r="E5453" s="8"/>
      <c r="F5453" t="str">
        <f t="shared" si="197"/>
        <v/>
      </c>
      <c r="G5453" t="str">
        <f t="shared" si="198"/>
        <v/>
      </c>
    </row>
    <row r="5454" spans="2:7" x14ac:dyDescent="0.25">
      <c r="B5454" s="6"/>
      <c r="C5454" s="7"/>
      <c r="D5454" s="7"/>
      <c r="E5454" s="8"/>
      <c r="F5454" t="str">
        <f t="shared" si="197"/>
        <v/>
      </c>
      <c r="G5454" t="str">
        <f t="shared" si="198"/>
        <v/>
      </c>
    </row>
    <row r="5455" spans="2:7" x14ac:dyDescent="0.25">
      <c r="B5455" s="6"/>
      <c r="C5455" s="7"/>
      <c r="D5455" s="7"/>
      <c r="E5455" s="8"/>
      <c r="F5455" t="str">
        <f t="shared" si="197"/>
        <v/>
      </c>
      <c r="G5455" t="str">
        <f t="shared" si="198"/>
        <v/>
      </c>
    </row>
    <row r="5456" spans="2:7" x14ac:dyDescent="0.25">
      <c r="B5456" s="6"/>
      <c r="C5456" s="7"/>
      <c r="D5456" s="7"/>
      <c r="E5456" s="8"/>
      <c r="F5456" t="str">
        <f t="shared" si="197"/>
        <v/>
      </c>
      <c r="G5456" t="str">
        <f t="shared" si="198"/>
        <v/>
      </c>
    </row>
    <row r="5457" spans="2:7" x14ac:dyDescent="0.25">
      <c r="B5457" s="6"/>
      <c r="C5457" s="7"/>
      <c r="D5457" s="7"/>
      <c r="E5457" s="8"/>
      <c r="F5457" t="str">
        <f t="shared" si="197"/>
        <v/>
      </c>
      <c r="G5457" t="str">
        <f t="shared" si="198"/>
        <v/>
      </c>
    </row>
    <row r="5458" spans="2:7" x14ac:dyDescent="0.25">
      <c r="B5458" s="6"/>
      <c r="C5458" s="7"/>
      <c r="D5458" s="7"/>
      <c r="E5458" s="8"/>
      <c r="F5458" t="str">
        <f t="shared" si="197"/>
        <v/>
      </c>
      <c r="G5458" t="str">
        <f t="shared" si="198"/>
        <v/>
      </c>
    </row>
    <row r="5459" spans="2:7" x14ac:dyDescent="0.25">
      <c r="B5459" s="6"/>
      <c r="C5459" s="7"/>
      <c r="D5459" s="7"/>
      <c r="E5459" s="8"/>
      <c r="F5459" t="str">
        <f t="shared" si="197"/>
        <v/>
      </c>
      <c r="G5459" t="str">
        <f t="shared" si="198"/>
        <v/>
      </c>
    </row>
    <row r="5460" spans="2:7" x14ac:dyDescent="0.25">
      <c r="B5460" s="6"/>
      <c r="C5460" s="7"/>
      <c r="D5460" s="7"/>
      <c r="E5460" s="8"/>
      <c r="F5460" t="str">
        <f t="shared" si="197"/>
        <v/>
      </c>
      <c r="G5460" t="str">
        <f t="shared" si="198"/>
        <v/>
      </c>
    </row>
    <row r="5461" spans="2:7" x14ac:dyDescent="0.25">
      <c r="B5461" s="6"/>
      <c r="C5461" s="7"/>
      <c r="D5461" s="7"/>
      <c r="E5461" s="8"/>
      <c r="F5461" t="str">
        <f t="shared" si="197"/>
        <v/>
      </c>
      <c r="G5461" t="str">
        <f t="shared" si="198"/>
        <v/>
      </c>
    </row>
    <row r="5462" spans="2:7" x14ac:dyDescent="0.25">
      <c r="B5462" s="6"/>
      <c r="C5462" s="7"/>
      <c r="D5462" s="7"/>
      <c r="E5462" s="8"/>
      <c r="F5462" t="str">
        <f t="shared" si="197"/>
        <v/>
      </c>
      <c r="G5462" t="str">
        <f t="shared" si="198"/>
        <v/>
      </c>
    </row>
    <row r="5463" spans="2:7" x14ac:dyDescent="0.25">
      <c r="B5463" s="6"/>
      <c r="C5463" s="7"/>
      <c r="D5463" s="7"/>
      <c r="E5463" s="8"/>
      <c r="F5463" t="str">
        <f t="shared" si="197"/>
        <v/>
      </c>
      <c r="G5463" t="str">
        <f t="shared" si="198"/>
        <v/>
      </c>
    </row>
    <row r="5464" spans="2:7" x14ac:dyDescent="0.25">
      <c r="B5464" s="6"/>
      <c r="C5464" s="7"/>
      <c r="D5464" s="7"/>
      <c r="E5464" s="8"/>
      <c r="F5464" t="str">
        <f t="shared" si="197"/>
        <v/>
      </c>
      <c r="G5464" t="str">
        <f t="shared" si="198"/>
        <v/>
      </c>
    </row>
    <row r="5465" spans="2:7" x14ac:dyDescent="0.25">
      <c r="B5465" s="6"/>
      <c r="C5465" s="7"/>
      <c r="D5465" s="7"/>
      <c r="E5465" s="8"/>
      <c r="F5465" t="str">
        <f t="shared" si="197"/>
        <v/>
      </c>
      <c r="G5465" t="str">
        <f t="shared" si="198"/>
        <v/>
      </c>
    </row>
    <row r="5466" spans="2:7" x14ac:dyDescent="0.25">
      <c r="B5466" s="6"/>
      <c r="C5466" s="7"/>
      <c r="D5466" s="7"/>
      <c r="E5466" s="8"/>
      <c r="F5466" t="str">
        <f t="shared" si="197"/>
        <v/>
      </c>
      <c r="G5466" t="str">
        <f t="shared" si="198"/>
        <v/>
      </c>
    </row>
    <row r="5467" spans="2:7" x14ac:dyDescent="0.25">
      <c r="B5467" s="6"/>
      <c r="C5467" s="7"/>
      <c r="D5467" s="7"/>
      <c r="E5467" s="8"/>
      <c r="F5467" t="str">
        <f t="shared" si="197"/>
        <v/>
      </c>
      <c r="G5467" t="str">
        <f t="shared" si="198"/>
        <v/>
      </c>
    </row>
    <row r="5468" spans="2:7" x14ac:dyDescent="0.25">
      <c r="B5468" s="6"/>
      <c r="C5468" s="7"/>
      <c r="D5468" s="7"/>
      <c r="E5468" s="8"/>
      <c r="F5468" t="str">
        <f t="shared" si="197"/>
        <v/>
      </c>
      <c r="G5468" t="str">
        <f t="shared" si="198"/>
        <v/>
      </c>
    </row>
    <row r="5469" spans="2:7" x14ac:dyDescent="0.25">
      <c r="B5469" s="6"/>
      <c r="C5469" s="7"/>
      <c r="D5469" s="7"/>
      <c r="E5469" s="8"/>
      <c r="F5469" t="str">
        <f t="shared" si="197"/>
        <v/>
      </c>
      <c r="G5469" t="str">
        <f t="shared" si="198"/>
        <v/>
      </c>
    </row>
    <row r="5470" spans="2:7" x14ac:dyDescent="0.25">
      <c r="B5470" s="6"/>
      <c r="C5470" s="7"/>
      <c r="D5470" s="7"/>
      <c r="E5470" s="8"/>
      <c r="F5470" t="str">
        <f t="shared" si="197"/>
        <v/>
      </c>
      <c r="G5470" t="str">
        <f t="shared" si="198"/>
        <v/>
      </c>
    </row>
    <row r="5471" spans="2:7" x14ac:dyDescent="0.25">
      <c r="B5471" s="6"/>
      <c r="C5471" s="7"/>
      <c r="D5471" s="7"/>
      <c r="E5471" s="8"/>
      <c r="F5471" t="str">
        <f t="shared" si="197"/>
        <v/>
      </c>
      <c r="G5471" t="str">
        <f t="shared" si="198"/>
        <v/>
      </c>
    </row>
    <row r="5472" spans="2:7" x14ac:dyDescent="0.25">
      <c r="B5472" s="6"/>
      <c r="C5472" s="7"/>
      <c r="D5472" s="7"/>
      <c r="E5472" s="8"/>
      <c r="F5472" t="str">
        <f t="shared" si="197"/>
        <v/>
      </c>
      <c r="G5472" t="str">
        <f t="shared" si="198"/>
        <v/>
      </c>
    </row>
    <row r="5473" spans="2:7" x14ac:dyDescent="0.25">
      <c r="B5473" s="6"/>
      <c r="C5473" s="7"/>
      <c r="D5473" s="7"/>
      <c r="E5473" s="8"/>
      <c r="F5473" t="str">
        <f t="shared" si="197"/>
        <v/>
      </c>
      <c r="G5473" t="str">
        <f t="shared" si="198"/>
        <v/>
      </c>
    </row>
    <row r="5474" spans="2:7" x14ac:dyDescent="0.25">
      <c r="B5474" s="6"/>
      <c r="C5474" s="7"/>
      <c r="D5474" s="7"/>
      <c r="E5474" s="8"/>
      <c r="F5474" t="str">
        <f t="shared" si="197"/>
        <v/>
      </c>
      <c r="G5474" t="str">
        <f t="shared" si="198"/>
        <v/>
      </c>
    </row>
    <row r="5475" spans="2:7" x14ac:dyDescent="0.25">
      <c r="B5475" s="6"/>
      <c r="C5475" s="7"/>
      <c r="D5475" s="7"/>
      <c r="E5475" s="8"/>
      <c r="F5475" t="str">
        <f t="shared" si="197"/>
        <v/>
      </c>
      <c r="G5475" t="str">
        <f t="shared" si="198"/>
        <v/>
      </c>
    </row>
    <row r="5476" spans="2:7" x14ac:dyDescent="0.25">
      <c r="B5476" s="6"/>
      <c r="C5476" s="7"/>
      <c r="D5476" s="7"/>
      <c r="E5476" s="8"/>
      <c r="F5476" t="str">
        <f t="shared" si="197"/>
        <v/>
      </c>
      <c r="G5476" t="str">
        <f t="shared" si="198"/>
        <v/>
      </c>
    </row>
    <row r="5477" spans="2:7" x14ac:dyDescent="0.25">
      <c r="B5477" s="6"/>
      <c r="C5477" s="7"/>
      <c r="D5477" s="7"/>
      <c r="E5477" s="8"/>
      <c r="F5477" t="str">
        <f t="shared" si="197"/>
        <v/>
      </c>
      <c r="G5477" t="str">
        <f t="shared" si="198"/>
        <v/>
      </c>
    </row>
    <row r="5478" spans="2:7" x14ac:dyDescent="0.25">
      <c r="B5478" s="6"/>
      <c r="C5478" s="7"/>
      <c r="D5478" s="7"/>
      <c r="E5478" s="8"/>
      <c r="F5478" t="str">
        <f t="shared" si="197"/>
        <v/>
      </c>
      <c r="G5478" t="str">
        <f t="shared" si="198"/>
        <v/>
      </c>
    </row>
    <row r="5479" spans="2:7" x14ac:dyDescent="0.25">
      <c r="B5479" s="6"/>
      <c r="C5479" s="7"/>
      <c r="D5479" s="7"/>
      <c r="E5479" s="8"/>
      <c r="F5479" t="str">
        <f t="shared" si="197"/>
        <v/>
      </c>
      <c r="G5479" t="str">
        <f t="shared" si="198"/>
        <v/>
      </c>
    </row>
    <row r="5480" spans="2:7" x14ac:dyDescent="0.25">
      <c r="B5480" s="6"/>
      <c r="C5480" s="7"/>
      <c r="D5480" s="7"/>
      <c r="E5480" s="8"/>
      <c r="F5480" t="str">
        <f t="shared" si="197"/>
        <v/>
      </c>
      <c r="G5480" t="str">
        <f t="shared" si="198"/>
        <v/>
      </c>
    </row>
    <row r="5481" spans="2:7" x14ac:dyDescent="0.25">
      <c r="B5481" s="6"/>
      <c r="C5481" s="7"/>
      <c r="D5481" s="7"/>
      <c r="E5481" s="8"/>
      <c r="F5481" t="str">
        <f t="shared" si="197"/>
        <v/>
      </c>
      <c r="G5481" t="str">
        <f t="shared" si="198"/>
        <v/>
      </c>
    </row>
    <row r="5482" spans="2:7" x14ac:dyDescent="0.25">
      <c r="B5482" s="6"/>
      <c r="C5482" s="7"/>
      <c r="D5482" s="7"/>
      <c r="E5482" s="8"/>
      <c r="F5482" t="str">
        <f t="shared" si="197"/>
        <v/>
      </c>
      <c r="G5482" t="str">
        <f t="shared" si="198"/>
        <v/>
      </c>
    </row>
    <row r="5483" spans="2:7" x14ac:dyDescent="0.25">
      <c r="B5483" s="6"/>
      <c r="C5483" s="7"/>
      <c r="D5483" s="7"/>
      <c r="E5483" s="8"/>
      <c r="F5483" t="str">
        <f t="shared" si="197"/>
        <v/>
      </c>
      <c r="G5483" t="str">
        <f t="shared" si="198"/>
        <v/>
      </c>
    </row>
    <row r="5484" spans="2:7" x14ac:dyDescent="0.25">
      <c r="B5484" s="6"/>
      <c r="C5484" s="7"/>
      <c r="D5484" s="7"/>
      <c r="E5484" s="8"/>
      <c r="F5484" t="str">
        <f t="shared" si="197"/>
        <v/>
      </c>
      <c r="G5484" t="str">
        <f t="shared" si="198"/>
        <v/>
      </c>
    </row>
    <row r="5485" spans="2:7" x14ac:dyDescent="0.25">
      <c r="B5485" s="6"/>
      <c r="C5485" s="7"/>
      <c r="D5485" s="7"/>
      <c r="E5485" s="8"/>
      <c r="F5485" t="str">
        <f t="shared" si="197"/>
        <v/>
      </c>
      <c r="G5485" t="str">
        <f t="shared" si="198"/>
        <v/>
      </c>
    </row>
    <row r="5486" spans="2:7" x14ac:dyDescent="0.25">
      <c r="B5486" s="6"/>
      <c r="C5486" s="7"/>
      <c r="D5486" s="7"/>
      <c r="E5486" s="8"/>
      <c r="F5486" t="str">
        <f t="shared" si="197"/>
        <v/>
      </c>
      <c r="G5486" t="str">
        <f t="shared" si="198"/>
        <v/>
      </c>
    </row>
    <row r="5487" spans="2:7" x14ac:dyDescent="0.25">
      <c r="B5487" s="6"/>
      <c r="C5487" s="7"/>
      <c r="D5487" s="7"/>
      <c r="E5487" s="8"/>
      <c r="F5487" t="str">
        <f t="shared" si="197"/>
        <v/>
      </c>
      <c r="G5487" t="str">
        <f t="shared" si="198"/>
        <v/>
      </c>
    </row>
    <row r="5488" spans="2:7" x14ac:dyDescent="0.25">
      <c r="B5488" s="6"/>
      <c r="C5488" s="7"/>
      <c r="D5488" s="7"/>
      <c r="E5488" s="8"/>
      <c r="F5488" t="str">
        <f t="shared" si="197"/>
        <v/>
      </c>
      <c r="G5488" t="str">
        <f t="shared" si="198"/>
        <v/>
      </c>
    </row>
    <row r="5489" spans="2:7" x14ac:dyDescent="0.25">
      <c r="B5489" s="6"/>
      <c r="C5489" s="7"/>
      <c r="D5489" s="7"/>
      <c r="E5489" s="8"/>
      <c r="F5489" t="str">
        <f t="shared" si="197"/>
        <v/>
      </c>
      <c r="G5489" t="str">
        <f t="shared" si="198"/>
        <v/>
      </c>
    </row>
    <row r="5490" spans="2:7" x14ac:dyDescent="0.25">
      <c r="B5490" s="6"/>
      <c r="C5490" s="7"/>
      <c r="D5490" s="7"/>
      <c r="E5490" s="8"/>
      <c r="F5490" t="str">
        <f t="shared" si="197"/>
        <v/>
      </c>
      <c r="G5490" t="str">
        <f t="shared" si="198"/>
        <v/>
      </c>
    </row>
    <row r="5491" spans="2:7" x14ac:dyDescent="0.25">
      <c r="B5491" s="6"/>
      <c r="C5491" s="7"/>
      <c r="D5491" s="7"/>
      <c r="E5491" s="8"/>
      <c r="F5491" t="str">
        <f t="shared" si="197"/>
        <v/>
      </c>
      <c r="G5491" t="str">
        <f t="shared" si="198"/>
        <v/>
      </c>
    </row>
    <row r="5492" spans="2:7" x14ac:dyDescent="0.25">
      <c r="B5492" s="6"/>
      <c r="C5492" s="7"/>
      <c r="D5492" s="7"/>
      <c r="E5492" s="8"/>
      <c r="F5492" t="str">
        <f t="shared" si="197"/>
        <v/>
      </c>
      <c r="G5492" t="str">
        <f t="shared" si="198"/>
        <v/>
      </c>
    </row>
    <row r="5493" spans="2:7" x14ac:dyDescent="0.25">
      <c r="B5493" s="6"/>
      <c r="C5493" s="7"/>
      <c r="D5493" s="7"/>
      <c r="E5493" s="8"/>
      <c r="F5493" t="str">
        <f t="shared" si="197"/>
        <v/>
      </c>
      <c r="G5493" t="str">
        <f t="shared" si="198"/>
        <v/>
      </c>
    </row>
    <row r="5494" spans="2:7" x14ac:dyDescent="0.25">
      <c r="B5494" s="6"/>
      <c r="C5494" s="7"/>
      <c r="D5494" s="7"/>
      <c r="E5494" s="8"/>
      <c r="F5494" t="str">
        <f t="shared" si="197"/>
        <v/>
      </c>
      <c r="G5494" t="str">
        <f t="shared" si="198"/>
        <v/>
      </c>
    </row>
    <row r="5495" spans="2:7" x14ac:dyDescent="0.25">
      <c r="B5495" s="6"/>
      <c r="C5495" s="7"/>
      <c r="D5495" s="7"/>
      <c r="E5495" s="8"/>
      <c r="F5495" t="str">
        <f t="shared" si="197"/>
        <v/>
      </c>
      <c r="G5495" t="str">
        <f t="shared" si="198"/>
        <v/>
      </c>
    </row>
    <row r="5496" spans="2:7" x14ac:dyDescent="0.25">
      <c r="B5496" s="6"/>
      <c r="C5496" s="7"/>
      <c r="D5496" s="7"/>
      <c r="E5496" s="8"/>
      <c r="F5496" t="str">
        <f t="shared" si="197"/>
        <v/>
      </c>
      <c r="G5496" t="str">
        <f t="shared" si="198"/>
        <v/>
      </c>
    </row>
    <row r="5497" spans="2:7" x14ac:dyDescent="0.25">
      <c r="B5497" s="6"/>
      <c r="C5497" s="7"/>
      <c r="D5497" s="7"/>
      <c r="E5497" s="8"/>
      <c r="F5497" t="str">
        <f t="shared" si="197"/>
        <v/>
      </c>
      <c r="G5497" t="str">
        <f t="shared" si="198"/>
        <v/>
      </c>
    </row>
    <row r="5498" spans="2:7" x14ac:dyDescent="0.25">
      <c r="B5498" s="6"/>
      <c r="C5498" s="7"/>
      <c r="D5498" s="7"/>
      <c r="E5498" s="8"/>
      <c r="F5498" t="str">
        <f t="shared" si="197"/>
        <v/>
      </c>
      <c r="G5498" t="str">
        <f t="shared" si="198"/>
        <v/>
      </c>
    </row>
    <row r="5499" spans="2:7" x14ac:dyDescent="0.25">
      <c r="B5499" s="6"/>
      <c r="C5499" s="7"/>
      <c r="D5499" s="7"/>
      <c r="E5499" s="8"/>
      <c r="F5499" t="str">
        <f t="shared" si="197"/>
        <v/>
      </c>
      <c r="G5499" t="str">
        <f t="shared" si="198"/>
        <v/>
      </c>
    </row>
    <row r="5500" spans="2:7" x14ac:dyDescent="0.25">
      <c r="B5500" s="6"/>
      <c r="C5500" s="7"/>
      <c r="D5500" s="7"/>
      <c r="E5500" s="8"/>
      <c r="F5500" t="str">
        <f t="shared" si="197"/>
        <v/>
      </c>
      <c r="G5500" t="str">
        <f t="shared" si="198"/>
        <v/>
      </c>
    </row>
    <row r="5501" spans="2:7" x14ac:dyDescent="0.25">
      <c r="B5501" s="6"/>
      <c r="C5501" s="7"/>
      <c r="D5501" s="7"/>
      <c r="E5501" s="8"/>
      <c r="F5501" t="str">
        <f t="shared" si="197"/>
        <v/>
      </c>
      <c r="G5501" t="str">
        <f t="shared" si="198"/>
        <v/>
      </c>
    </row>
    <row r="5502" spans="2:7" x14ac:dyDescent="0.25">
      <c r="B5502" s="6"/>
      <c r="C5502" s="7"/>
      <c r="D5502" s="7"/>
      <c r="E5502" s="8"/>
      <c r="F5502" t="str">
        <f t="shared" si="197"/>
        <v/>
      </c>
      <c r="G5502" t="str">
        <f t="shared" si="198"/>
        <v/>
      </c>
    </row>
    <row r="5503" spans="2:7" x14ac:dyDescent="0.25">
      <c r="B5503" s="6"/>
      <c r="C5503" s="7"/>
      <c r="D5503" s="7"/>
      <c r="E5503" s="8"/>
      <c r="F5503" t="str">
        <f t="shared" si="197"/>
        <v/>
      </c>
      <c r="G5503" t="str">
        <f t="shared" si="198"/>
        <v/>
      </c>
    </row>
    <row r="5504" spans="2:7" x14ac:dyDescent="0.25">
      <c r="B5504" s="6"/>
      <c r="C5504" s="7"/>
      <c r="D5504" s="7"/>
      <c r="E5504" s="8"/>
      <c r="F5504" t="str">
        <f t="shared" si="197"/>
        <v/>
      </c>
      <c r="G5504" t="str">
        <f t="shared" si="198"/>
        <v/>
      </c>
    </row>
    <row r="5505" spans="2:7" x14ac:dyDescent="0.25">
      <c r="B5505" s="6"/>
      <c r="C5505" s="7"/>
      <c r="D5505" s="7"/>
      <c r="E5505" s="8"/>
      <c r="F5505" t="str">
        <f t="shared" si="197"/>
        <v/>
      </c>
      <c r="G5505" t="str">
        <f t="shared" si="198"/>
        <v/>
      </c>
    </row>
    <row r="5506" spans="2:7" x14ac:dyDescent="0.25">
      <c r="B5506" s="6"/>
      <c r="C5506" s="7"/>
      <c r="D5506" s="7"/>
      <c r="E5506" s="8"/>
      <c r="F5506" t="str">
        <f t="shared" si="197"/>
        <v/>
      </c>
      <c r="G5506" t="str">
        <f t="shared" si="198"/>
        <v/>
      </c>
    </row>
    <row r="5507" spans="2:7" x14ac:dyDescent="0.25">
      <c r="B5507" s="6"/>
      <c r="C5507" s="7"/>
      <c r="D5507" s="7"/>
      <c r="E5507" s="8"/>
      <c r="F5507" t="str">
        <f t="shared" si="197"/>
        <v/>
      </c>
      <c r="G5507" t="str">
        <f t="shared" si="198"/>
        <v/>
      </c>
    </row>
    <row r="5508" spans="2:7" x14ac:dyDescent="0.25">
      <c r="B5508" s="6"/>
      <c r="C5508" s="7"/>
      <c r="D5508" s="7"/>
      <c r="E5508" s="8"/>
      <c r="F5508" t="str">
        <f t="shared" ref="F5508:F5571" si="199">IF(B5508="","",LOG10(D5508))</f>
        <v/>
      </c>
      <c r="G5508" t="str">
        <f t="shared" ref="G5508:G5571" si="200">IF(E5508="", "",0.434*E5508/D5508)</f>
        <v/>
      </c>
    </row>
    <row r="5509" spans="2:7" x14ac:dyDescent="0.25">
      <c r="B5509" s="6"/>
      <c r="C5509" s="7"/>
      <c r="D5509" s="7"/>
      <c r="E5509" s="8"/>
      <c r="F5509" t="str">
        <f t="shared" si="199"/>
        <v/>
      </c>
      <c r="G5509" t="str">
        <f t="shared" si="200"/>
        <v/>
      </c>
    </row>
    <row r="5510" spans="2:7" x14ac:dyDescent="0.25">
      <c r="B5510" s="6"/>
      <c r="C5510" s="7"/>
      <c r="D5510" s="7"/>
      <c r="E5510" s="8"/>
      <c r="F5510" t="str">
        <f t="shared" si="199"/>
        <v/>
      </c>
      <c r="G5510" t="str">
        <f t="shared" si="200"/>
        <v/>
      </c>
    </row>
    <row r="5511" spans="2:7" x14ac:dyDescent="0.25">
      <c r="B5511" s="6"/>
      <c r="C5511" s="7"/>
      <c r="D5511" s="7"/>
      <c r="E5511" s="8"/>
      <c r="F5511" t="str">
        <f t="shared" si="199"/>
        <v/>
      </c>
      <c r="G5511" t="str">
        <f t="shared" si="200"/>
        <v/>
      </c>
    </row>
    <row r="5512" spans="2:7" x14ac:dyDescent="0.25">
      <c r="B5512" s="6"/>
      <c r="C5512" s="7"/>
      <c r="D5512" s="7"/>
      <c r="E5512" s="8"/>
      <c r="F5512" t="str">
        <f t="shared" si="199"/>
        <v/>
      </c>
      <c r="G5512" t="str">
        <f t="shared" si="200"/>
        <v/>
      </c>
    </row>
    <row r="5513" spans="2:7" x14ac:dyDescent="0.25">
      <c r="B5513" s="6"/>
      <c r="C5513" s="7"/>
      <c r="D5513" s="7"/>
      <c r="E5513" s="8"/>
      <c r="F5513" t="str">
        <f t="shared" si="199"/>
        <v/>
      </c>
      <c r="G5513" t="str">
        <f t="shared" si="200"/>
        <v/>
      </c>
    </row>
    <row r="5514" spans="2:7" x14ac:dyDescent="0.25">
      <c r="B5514" s="6"/>
      <c r="C5514" s="7"/>
      <c r="D5514" s="7"/>
      <c r="E5514" s="8"/>
      <c r="F5514" t="str">
        <f t="shared" si="199"/>
        <v/>
      </c>
      <c r="G5514" t="str">
        <f t="shared" si="200"/>
        <v/>
      </c>
    </row>
    <row r="5515" spans="2:7" x14ac:dyDescent="0.25">
      <c r="B5515" s="6"/>
      <c r="C5515" s="7"/>
      <c r="D5515" s="7"/>
      <c r="E5515" s="8"/>
      <c r="F5515" t="str">
        <f t="shared" si="199"/>
        <v/>
      </c>
      <c r="G5515" t="str">
        <f t="shared" si="200"/>
        <v/>
      </c>
    </row>
    <row r="5516" spans="2:7" x14ac:dyDescent="0.25">
      <c r="B5516" s="6"/>
      <c r="C5516" s="7"/>
      <c r="D5516" s="7"/>
      <c r="E5516" s="8"/>
      <c r="F5516" t="str">
        <f t="shared" si="199"/>
        <v/>
      </c>
      <c r="G5516" t="str">
        <f t="shared" si="200"/>
        <v/>
      </c>
    </row>
    <row r="5517" spans="2:7" x14ac:dyDescent="0.25">
      <c r="B5517" s="6"/>
      <c r="C5517" s="7"/>
      <c r="D5517" s="7"/>
      <c r="E5517" s="8"/>
      <c r="F5517" t="str">
        <f t="shared" si="199"/>
        <v/>
      </c>
      <c r="G5517" t="str">
        <f t="shared" si="200"/>
        <v/>
      </c>
    </row>
    <row r="5518" spans="2:7" x14ac:dyDescent="0.25">
      <c r="B5518" s="6"/>
      <c r="C5518" s="7"/>
      <c r="D5518" s="7"/>
      <c r="E5518" s="8"/>
      <c r="F5518" t="str">
        <f t="shared" si="199"/>
        <v/>
      </c>
      <c r="G5518" t="str">
        <f t="shared" si="200"/>
        <v/>
      </c>
    </row>
    <row r="5519" spans="2:7" x14ac:dyDescent="0.25">
      <c r="B5519" s="6"/>
      <c r="C5519" s="7"/>
      <c r="D5519" s="7"/>
      <c r="E5519" s="8"/>
      <c r="F5519" t="str">
        <f t="shared" si="199"/>
        <v/>
      </c>
      <c r="G5519" t="str">
        <f t="shared" si="200"/>
        <v/>
      </c>
    </row>
    <row r="5520" spans="2:7" x14ac:dyDescent="0.25">
      <c r="B5520" s="6"/>
      <c r="C5520" s="7"/>
      <c r="D5520" s="7"/>
      <c r="E5520" s="8"/>
      <c r="F5520" t="str">
        <f t="shared" si="199"/>
        <v/>
      </c>
      <c r="G5520" t="str">
        <f t="shared" si="200"/>
        <v/>
      </c>
    </row>
    <row r="5521" spans="2:7" x14ac:dyDescent="0.25">
      <c r="B5521" s="6"/>
      <c r="C5521" s="7"/>
      <c r="D5521" s="7"/>
      <c r="E5521" s="8"/>
      <c r="F5521" t="str">
        <f t="shared" si="199"/>
        <v/>
      </c>
      <c r="G5521" t="str">
        <f t="shared" si="200"/>
        <v/>
      </c>
    </row>
    <row r="5522" spans="2:7" x14ac:dyDescent="0.25">
      <c r="B5522" s="6"/>
      <c r="C5522" s="7"/>
      <c r="D5522" s="7"/>
      <c r="E5522" s="8"/>
      <c r="F5522" t="str">
        <f t="shared" si="199"/>
        <v/>
      </c>
      <c r="G5522" t="str">
        <f t="shared" si="200"/>
        <v/>
      </c>
    </row>
    <row r="5523" spans="2:7" x14ac:dyDescent="0.25">
      <c r="B5523" s="6"/>
      <c r="C5523" s="7"/>
      <c r="D5523" s="7"/>
      <c r="E5523" s="8"/>
      <c r="F5523" t="str">
        <f t="shared" si="199"/>
        <v/>
      </c>
      <c r="G5523" t="str">
        <f t="shared" si="200"/>
        <v/>
      </c>
    </row>
    <row r="5524" spans="2:7" x14ac:dyDescent="0.25">
      <c r="B5524" s="6"/>
      <c r="C5524" s="7"/>
      <c r="D5524" s="7"/>
      <c r="E5524" s="8"/>
      <c r="F5524" t="str">
        <f t="shared" si="199"/>
        <v/>
      </c>
      <c r="G5524" t="str">
        <f t="shared" si="200"/>
        <v/>
      </c>
    </row>
    <row r="5525" spans="2:7" x14ac:dyDescent="0.25">
      <c r="B5525" s="6"/>
      <c r="C5525" s="7"/>
      <c r="D5525" s="7"/>
      <c r="E5525" s="8"/>
      <c r="F5525" t="str">
        <f t="shared" si="199"/>
        <v/>
      </c>
      <c r="G5525" t="str">
        <f t="shared" si="200"/>
        <v/>
      </c>
    </row>
    <row r="5526" spans="2:7" x14ac:dyDescent="0.25">
      <c r="B5526" s="6"/>
      <c r="C5526" s="7"/>
      <c r="D5526" s="7"/>
      <c r="E5526" s="8"/>
      <c r="F5526" t="str">
        <f t="shared" si="199"/>
        <v/>
      </c>
      <c r="G5526" t="str">
        <f t="shared" si="200"/>
        <v/>
      </c>
    </row>
    <row r="5527" spans="2:7" x14ac:dyDescent="0.25">
      <c r="B5527" s="6"/>
      <c r="C5527" s="7"/>
      <c r="D5527" s="7"/>
      <c r="E5527" s="8"/>
      <c r="F5527" t="str">
        <f t="shared" si="199"/>
        <v/>
      </c>
      <c r="G5527" t="str">
        <f t="shared" si="200"/>
        <v/>
      </c>
    </row>
    <row r="5528" spans="2:7" x14ac:dyDescent="0.25">
      <c r="B5528" s="6"/>
      <c r="C5528" s="7"/>
      <c r="D5528" s="7"/>
      <c r="E5528" s="8"/>
      <c r="F5528" t="str">
        <f t="shared" si="199"/>
        <v/>
      </c>
      <c r="G5528" t="str">
        <f t="shared" si="200"/>
        <v/>
      </c>
    </row>
    <row r="5529" spans="2:7" x14ac:dyDescent="0.25">
      <c r="B5529" s="6"/>
      <c r="C5529" s="7"/>
      <c r="D5529" s="7"/>
      <c r="E5529" s="8"/>
      <c r="F5529" t="str">
        <f t="shared" si="199"/>
        <v/>
      </c>
      <c r="G5529" t="str">
        <f t="shared" si="200"/>
        <v/>
      </c>
    </row>
    <row r="5530" spans="2:7" x14ac:dyDescent="0.25">
      <c r="B5530" s="6"/>
      <c r="C5530" s="7"/>
      <c r="D5530" s="7"/>
      <c r="E5530" s="8"/>
      <c r="F5530" t="str">
        <f t="shared" si="199"/>
        <v/>
      </c>
      <c r="G5530" t="str">
        <f t="shared" si="200"/>
        <v/>
      </c>
    </row>
    <row r="5531" spans="2:7" x14ac:dyDescent="0.25">
      <c r="B5531" s="6"/>
      <c r="C5531" s="7"/>
      <c r="D5531" s="7"/>
      <c r="E5531" s="8"/>
      <c r="F5531" t="str">
        <f t="shared" si="199"/>
        <v/>
      </c>
      <c r="G5531" t="str">
        <f t="shared" si="200"/>
        <v/>
      </c>
    </row>
    <row r="5532" spans="2:7" x14ac:dyDescent="0.25">
      <c r="B5532" s="6"/>
      <c r="C5532" s="7"/>
      <c r="D5532" s="7"/>
      <c r="E5532" s="8"/>
      <c r="F5532" t="str">
        <f t="shared" si="199"/>
        <v/>
      </c>
      <c r="G5532" t="str">
        <f t="shared" si="200"/>
        <v/>
      </c>
    </row>
    <row r="5533" spans="2:7" x14ac:dyDescent="0.25">
      <c r="B5533" s="6"/>
      <c r="C5533" s="7"/>
      <c r="D5533" s="7"/>
      <c r="E5533" s="8"/>
      <c r="F5533" t="str">
        <f t="shared" si="199"/>
        <v/>
      </c>
      <c r="G5533" t="str">
        <f t="shared" si="200"/>
        <v/>
      </c>
    </row>
    <row r="5534" spans="2:7" x14ac:dyDescent="0.25">
      <c r="B5534" s="6"/>
      <c r="C5534" s="7"/>
      <c r="D5534" s="7"/>
      <c r="E5534" s="8"/>
      <c r="F5534" t="str">
        <f t="shared" si="199"/>
        <v/>
      </c>
      <c r="G5534" t="str">
        <f t="shared" si="200"/>
        <v/>
      </c>
    </row>
    <row r="5535" spans="2:7" x14ac:dyDescent="0.25">
      <c r="B5535" s="6"/>
      <c r="C5535" s="7"/>
      <c r="D5535" s="7"/>
      <c r="E5535" s="8"/>
      <c r="F5535" t="str">
        <f t="shared" si="199"/>
        <v/>
      </c>
      <c r="G5535" t="str">
        <f t="shared" si="200"/>
        <v/>
      </c>
    </row>
    <row r="5536" spans="2:7" x14ac:dyDescent="0.25">
      <c r="B5536" s="6"/>
      <c r="C5536" s="7"/>
      <c r="D5536" s="7"/>
      <c r="E5536" s="8"/>
      <c r="F5536" t="str">
        <f t="shared" si="199"/>
        <v/>
      </c>
      <c r="G5536" t="str">
        <f t="shared" si="200"/>
        <v/>
      </c>
    </row>
    <row r="5537" spans="2:7" x14ac:dyDescent="0.25">
      <c r="B5537" s="6"/>
      <c r="C5537" s="7"/>
      <c r="D5537" s="7"/>
      <c r="E5537" s="8"/>
      <c r="F5537" t="str">
        <f t="shared" si="199"/>
        <v/>
      </c>
      <c r="G5537" t="str">
        <f t="shared" si="200"/>
        <v/>
      </c>
    </row>
    <row r="5538" spans="2:7" x14ac:dyDescent="0.25">
      <c r="B5538" s="6"/>
      <c r="C5538" s="7"/>
      <c r="D5538" s="7"/>
      <c r="E5538" s="8"/>
      <c r="F5538" t="str">
        <f t="shared" si="199"/>
        <v/>
      </c>
      <c r="G5538" t="str">
        <f t="shared" si="200"/>
        <v/>
      </c>
    </row>
    <row r="5539" spans="2:7" x14ac:dyDescent="0.25">
      <c r="B5539" s="6"/>
      <c r="C5539" s="7"/>
      <c r="D5539" s="7"/>
      <c r="E5539" s="8"/>
      <c r="F5539" t="str">
        <f t="shared" si="199"/>
        <v/>
      </c>
      <c r="G5539" t="str">
        <f t="shared" si="200"/>
        <v/>
      </c>
    </row>
    <row r="5540" spans="2:7" x14ac:dyDescent="0.25">
      <c r="B5540" s="6"/>
      <c r="C5540" s="7"/>
      <c r="D5540" s="7"/>
      <c r="E5540" s="8"/>
      <c r="F5540" t="str">
        <f t="shared" si="199"/>
        <v/>
      </c>
      <c r="G5540" t="str">
        <f t="shared" si="200"/>
        <v/>
      </c>
    </row>
    <row r="5541" spans="2:7" x14ac:dyDescent="0.25">
      <c r="B5541" s="6"/>
      <c r="C5541" s="7"/>
      <c r="D5541" s="7"/>
      <c r="E5541" s="8"/>
      <c r="F5541" t="str">
        <f t="shared" si="199"/>
        <v/>
      </c>
      <c r="G5541" t="str">
        <f t="shared" si="200"/>
        <v/>
      </c>
    </row>
    <row r="5542" spans="2:7" x14ac:dyDescent="0.25">
      <c r="B5542" s="6"/>
      <c r="C5542" s="7"/>
      <c r="D5542" s="7"/>
      <c r="E5542" s="8"/>
      <c r="F5542" t="str">
        <f t="shared" si="199"/>
        <v/>
      </c>
      <c r="G5542" t="str">
        <f t="shared" si="200"/>
        <v/>
      </c>
    </row>
    <row r="5543" spans="2:7" x14ac:dyDescent="0.25">
      <c r="B5543" s="6"/>
      <c r="C5543" s="7"/>
      <c r="D5543" s="7"/>
      <c r="E5543" s="8"/>
      <c r="F5543" t="str">
        <f t="shared" si="199"/>
        <v/>
      </c>
      <c r="G5543" t="str">
        <f t="shared" si="200"/>
        <v/>
      </c>
    </row>
    <row r="5544" spans="2:7" x14ac:dyDescent="0.25">
      <c r="B5544" s="6"/>
      <c r="C5544" s="7"/>
      <c r="D5544" s="7"/>
      <c r="E5544" s="8"/>
      <c r="F5544" t="str">
        <f t="shared" si="199"/>
        <v/>
      </c>
      <c r="G5544" t="str">
        <f t="shared" si="200"/>
        <v/>
      </c>
    </row>
    <row r="5545" spans="2:7" x14ac:dyDescent="0.25">
      <c r="B5545" s="6"/>
      <c r="C5545" s="7"/>
      <c r="D5545" s="7"/>
      <c r="E5545" s="8"/>
      <c r="F5545" t="str">
        <f t="shared" si="199"/>
        <v/>
      </c>
      <c r="G5545" t="str">
        <f t="shared" si="200"/>
        <v/>
      </c>
    </row>
    <row r="5546" spans="2:7" x14ac:dyDescent="0.25">
      <c r="B5546" s="6"/>
      <c r="C5546" s="7"/>
      <c r="D5546" s="7"/>
      <c r="E5546" s="8"/>
      <c r="F5546" t="str">
        <f t="shared" si="199"/>
        <v/>
      </c>
      <c r="G5546" t="str">
        <f t="shared" si="200"/>
        <v/>
      </c>
    </row>
    <row r="5547" spans="2:7" x14ac:dyDescent="0.25">
      <c r="B5547" s="6"/>
      <c r="C5547" s="7"/>
      <c r="D5547" s="7"/>
      <c r="E5547" s="8"/>
      <c r="F5547" t="str">
        <f t="shared" si="199"/>
        <v/>
      </c>
      <c r="G5547" t="str">
        <f t="shared" si="200"/>
        <v/>
      </c>
    </row>
    <row r="5548" spans="2:7" x14ac:dyDescent="0.25">
      <c r="B5548" s="6"/>
      <c r="C5548" s="7"/>
      <c r="D5548" s="7"/>
      <c r="E5548" s="8"/>
      <c r="F5548" t="str">
        <f t="shared" si="199"/>
        <v/>
      </c>
      <c r="G5548" t="str">
        <f t="shared" si="200"/>
        <v/>
      </c>
    </row>
    <row r="5549" spans="2:7" x14ac:dyDescent="0.25">
      <c r="B5549" s="6"/>
      <c r="C5549" s="7"/>
      <c r="D5549" s="7"/>
      <c r="E5549" s="8"/>
      <c r="F5549" t="str">
        <f t="shared" si="199"/>
        <v/>
      </c>
      <c r="G5549" t="str">
        <f t="shared" si="200"/>
        <v/>
      </c>
    </row>
    <row r="5550" spans="2:7" x14ac:dyDescent="0.25">
      <c r="B5550" s="6"/>
      <c r="C5550" s="7"/>
      <c r="D5550" s="7"/>
      <c r="E5550" s="8"/>
      <c r="F5550" t="str">
        <f t="shared" si="199"/>
        <v/>
      </c>
      <c r="G5550" t="str">
        <f t="shared" si="200"/>
        <v/>
      </c>
    </row>
    <row r="5551" spans="2:7" x14ac:dyDescent="0.25">
      <c r="B5551" s="6"/>
      <c r="C5551" s="7"/>
      <c r="D5551" s="7"/>
      <c r="E5551" s="8"/>
      <c r="F5551" t="str">
        <f t="shared" si="199"/>
        <v/>
      </c>
      <c r="G5551" t="str">
        <f t="shared" si="200"/>
        <v/>
      </c>
    </row>
    <row r="5552" spans="2:7" x14ac:dyDescent="0.25">
      <c r="B5552" s="6"/>
      <c r="C5552" s="7"/>
      <c r="D5552" s="7"/>
      <c r="E5552" s="8"/>
      <c r="F5552" t="str">
        <f t="shared" si="199"/>
        <v/>
      </c>
      <c r="G5552" t="str">
        <f t="shared" si="200"/>
        <v/>
      </c>
    </row>
    <row r="5553" spans="2:7" x14ac:dyDescent="0.25">
      <c r="B5553" s="6"/>
      <c r="C5553" s="7"/>
      <c r="D5553" s="7"/>
      <c r="E5553" s="8"/>
      <c r="F5553" t="str">
        <f t="shared" si="199"/>
        <v/>
      </c>
      <c r="G5553" t="str">
        <f t="shared" si="200"/>
        <v/>
      </c>
    </row>
    <row r="5554" spans="2:7" x14ac:dyDescent="0.25">
      <c r="B5554" s="6"/>
      <c r="C5554" s="7"/>
      <c r="D5554" s="7"/>
      <c r="E5554" s="8"/>
      <c r="F5554" t="str">
        <f t="shared" si="199"/>
        <v/>
      </c>
      <c r="G5554" t="str">
        <f t="shared" si="200"/>
        <v/>
      </c>
    </row>
    <row r="5555" spans="2:7" x14ac:dyDescent="0.25">
      <c r="B5555" s="6"/>
      <c r="C5555" s="7"/>
      <c r="D5555" s="7"/>
      <c r="E5555" s="8"/>
      <c r="F5555" t="str">
        <f t="shared" si="199"/>
        <v/>
      </c>
      <c r="G5555" t="str">
        <f t="shared" si="200"/>
        <v/>
      </c>
    </row>
    <row r="5556" spans="2:7" x14ac:dyDescent="0.25">
      <c r="B5556" s="6"/>
      <c r="C5556" s="7"/>
      <c r="D5556" s="7"/>
      <c r="E5556" s="8"/>
      <c r="F5556" t="str">
        <f t="shared" si="199"/>
        <v/>
      </c>
      <c r="G5556" t="str">
        <f t="shared" si="200"/>
        <v/>
      </c>
    </row>
    <row r="5557" spans="2:7" x14ac:dyDescent="0.25">
      <c r="B5557" s="6"/>
      <c r="C5557" s="7"/>
      <c r="D5557" s="7"/>
      <c r="E5557" s="8"/>
      <c r="F5557" t="str">
        <f t="shared" si="199"/>
        <v/>
      </c>
      <c r="G5557" t="str">
        <f t="shared" si="200"/>
        <v/>
      </c>
    </row>
    <row r="5558" spans="2:7" x14ac:dyDescent="0.25">
      <c r="B5558" s="6"/>
      <c r="C5558" s="7"/>
      <c r="D5558" s="7"/>
      <c r="E5558" s="8"/>
      <c r="F5558" t="str">
        <f t="shared" si="199"/>
        <v/>
      </c>
      <c r="G5558" t="str">
        <f t="shared" si="200"/>
        <v/>
      </c>
    </row>
    <row r="5559" spans="2:7" x14ac:dyDescent="0.25">
      <c r="B5559" s="6"/>
      <c r="C5559" s="7"/>
      <c r="D5559" s="7"/>
      <c r="E5559" s="8"/>
      <c r="F5559" t="str">
        <f t="shared" si="199"/>
        <v/>
      </c>
      <c r="G5559" t="str">
        <f t="shared" si="200"/>
        <v/>
      </c>
    </row>
    <row r="5560" spans="2:7" x14ac:dyDescent="0.25">
      <c r="B5560" s="6"/>
      <c r="C5560" s="7"/>
      <c r="D5560" s="7"/>
      <c r="E5560" s="8"/>
      <c r="F5560" t="str">
        <f t="shared" si="199"/>
        <v/>
      </c>
      <c r="G5560" t="str">
        <f t="shared" si="200"/>
        <v/>
      </c>
    </row>
    <row r="5561" spans="2:7" x14ac:dyDescent="0.25">
      <c r="B5561" s="6"/>
      <c r="C5561" s="7"/>
      <c r="D5561" s="7"/>
      <c r="E5561" s="8"/>
      <c r="F5561" t="str">
        <f t="shared" si="199"/>
        <v/>
      </c>
      <c r="G5561" t="str">
        <f t="shared" si="200"/>
        <v/>
      </c>
    </row>
    <row r="5562" spans="2:7" x14ac:dyDescent="0.25">
      <c r="B5562" s="6"/>
      <c r="C5562" s="7"/>
      <c r="D5562" s="7"/>
      <c r="E5562" s="8"/>
      <c r="F5562" t="str">
        <f t="shared" si="199"/>
        <v/>
      </c>
      <c r="G5562" t="str">
        <f t="shared" si="200"/>
        <v/>
      </c>
    </row>
    <row r="5563" spans="2:7" x14ac:dyDescent="0.25">
      <c r="B5563" s="6"/>
      <c r="C5563" s="7"/>
      <c r="D5563" s="7"/>
      <c r="E5563" s="8"/>
      <c r="F5563" t="str">
        <f t="shared" si="199"/>
        <v/>
      </c>
      <c r="G5563" t="str">
        <f t="shared" si="200"/>
        <v/>
      </c>
    </row>
    <row r="5564" spans="2:7" x14ac:dyDescent="0.25">
      <c r="B5564" s="6"/>
      <c r="C5564" s="7"/>
      <c r="D5564" s="7"/>
      <c r="E5564" s="8"/>
      <c r="F5564" t="str">
        <f t="shared" si="199"/>
        <v/>
      </c>
      <c r="G5564" t="str">
        <f t="shared" si="200"/>
        <v/>
      </c>
    </row>
    <row r="5565" spans="2:7" x14ac:dyDescent="0.25">
      <c r="B5565" s="6"/>
      <c r="C5565" s="7"/>
      <c r="D5565" s="7"/>
      <c r="E5565" s="8"/>
      <c r="F5565" t="str">
        <f t="shared" si="199"/>
        <v/>
      </c>
      <c r="G5565" t="str">
        <f t="shared" si="200"/>
        <v/>
      </c>
    </row>
    <row r="5566" spans="2:7" x14ac:dyDescent="0.25">
      <c r="B5566" s="6"/>
      <c r="C5566" s="7"/>
      <c r="D5566" s="7"/>
      <c r="E5566" s="8"/>
      <c r="F5566" t="str">
        <f t="shared" si="199"/>
        <v/>
      </c>
      <c r="G5566" t="str">
        <f t="shared" si="200"/>
        <v/>
      </c>
    </row>
    <row r="5567" spans="2:7" x14ac:dyDescent="0.25">
      <c r="B5567" s="6"/>
      <c r="C5567" s="7"/>
      <c r="D5567" s="7"/>
      <c r="E5567" s="8"/>
      <c r="F5567" t="str">
        <f t="shared" si="199"/>
        <v/>
      </c>
      <c r="G5567" t="str">
        <f t="shared" si="200"/>
        <v/>
      </c>
    </row>
    <row r="5568" spans="2:7" x14ac:dyDescent="0.25">
      <c r="B5568" s="6"/>
      <c r="C5568" s="7"/>
      <c r="D5568" s="7"/>
      <c r="E5568" s="8"/>
      <c r="F5568" t="str">
        <f t="shared" si="199"/>
        <v/>
      </c>
      <c r="G5568" t="str">
        <f t="shared" si="200"/>
        <v/>
      </c>
    </row>
    <row r="5569" spans="2:7" x14ac:dyDescent="0.25">
      <c r="B5569" s="6"/>
      <c r="C5569" s="7"/>
      <c r="D5569" s="7"/>
      <c r="E5569" s="8"/>
      <c r="F5569" t="str">
        <f t="shared" si="199"/>
        <v/>
      </c>
      <c r="G5569" t="str">
        <f t="shared" si="200"/>
        <v/>
      </c>
    </row>
    <row r="5570" spans="2:7" x14ac:dyDescent="0.25">
      <c r="B5570" s="6"/>
      <c r="C5570" s="7"/>
      <c r="D5570" s="7"/>
      <c r="E5570" s="8"/>
      <c r="F5570" t="str">
        <f t="shared" si="199"/>
        <v/>
      </c>
      <c r="G5570" t="str">
        <f t="shared" si="200"/>
        <v/>
      </c>
    </row>
    <row r="5571" spans="2:7" x14ac:dyDescent="0.25">
      <c r="B5571" s="6"/>
      <c r="C5571" s="7"/>
      <c r="D5571" s="7"/>
      <c r="E5571" s="8"/>
      <c r="F5571" t="str">
        <f t="shared" si="199"/>
        <v/>
      </c>
      <c r="G5571" t="str">
        <f t="shared" si="200"/>
        <v/>
      </c>
    </row>
    <row r="5572" spans="2:7" x14ac:dyDescent="0.25">
      <c r="B5572" s="6"/>
      <c r="C5572" s="7"/>
      <c r="D5572" s="7"/>
      <c r="E5572" s="8"/>
      <c r="F5572" t="str">
        <f t="shared" ref="F5572:F5635" si="201">IF(B5572="","",LOG10(D5572))</f>
        <v/>
      </c>
      <c r="G5572" t="str">
        <f t="shared" ref="G5572:G5635" si="202">IF(E5572="", "",0.434*E5572/D5572)</f>
        <v/>
      </c>
    </row>
    <row r="5573" spans="2:7" x14ac:dyDescent="0.25">
      <c r="B5573" s="6"/>
      <c r="C5573" s="7"/>
      <c r="D5573" s="7"/>
      <c r="E5573" s="8"/>
      <c r="F5573" t="str">
        <f t="shared" si="201"/>
        <v/>
      </c>
      <c r="G5573" t="str">
        <f t="shared" si="202"/>
        <v/>
      </c>
    </row>
    <row r="5574" spans="2:7" x14ac:dyDescent="0.25">
      <c r="B5574" s="6"/>
      <c r="C5574" s="7"/>
      <c r="D5574" s="7"/>
      <c r="E5574" s="8"/>
      <c r="F5574" t="str">
        <f t="shared" si="201"/>
        <v/>
      </c>
      <c r="G5574" t="str">
        <f t="shared" si="202"/>
        <v/>
      </c>
    </row>
    <row r="5575" spans="2:7" x14ac:dyDescent="0.25">
      <c r="B5575" s="6"/>
      <c r="C5575" s="7"/>
      <c r="D5575" s="7"/>
      <c r="E5575" s="8"/>
      <c r="F5575" t="str">
        <f t="shared" si="201"/>
        <v/>
      </c>
      <c r="G5575" t="str">
        <f t="shared" si="202"/>
        <v/>
      </c>
    </row>
    <row r="5576" spans="2:7" x14ac:dyDescent="0.25">
      <c r="B5576" s="6"/>
      <c r="C5576" s="7"/>
      <c r="D5576" s="7"/>
      <c r="E5576" s="8"/>
      <c r="F5576" t="str">
        <f t="shared" si="201"/>
        <v/>
      </c>
      <c r="G5576" t="str">
        <f t="shared" si="202"/>
        <v/>
      </c>
    </row>
    <row r="5577" spans="2:7" x14ac:dyDescent="0.25">
      <c r="B5577" s="6"/>
      <c r="C5577" s="7"/>
      <c r="D5577" s="7"/>
      <c r="E5577" s="8"/>
      <c r="F5577" t="str">
        <f t="shared" si="201"/>
        <v/>
      </c>
      <c r="G5577" t="str">
        <f t="shared" si="202"/>
        <v/>
      </c>
    </row>
    <row r="5578" spans="2:7" x14ac:dyDescent="0.25">
      <c r="B5578" s="6"/>
      <c r="C5578" s="7"/>
      <c r="D5578" s="7"/>
      <c r="E5578" s="8"/>
      <c r="F5578" t="str">
        <f t="shared" si="201"/>
        <v/>
      </c>
      <c r="G5578" t="str">
        <f t="shared" si="202"/>
        <v/>
      </c>
    </row>
    <row r="5579" spans="2:7" x14ac:dyDescent="0.25">
      <c r="B5579" s="6"/>
      <c r="C5579" s="7"/>
      <c r="D5579" s="7"/>
      <c r="E5579" s="8"/>
      <c r="F5579" t="str">
        <f t="shared" si="201"/>
        <v/>
      </c>
      <c r="G5579" t="str">
        <f t="shared" si="202"/>
        <v/>
      </c>
    </row>
    <row r="5580" spans="2:7" x14ac:dyDescent="0.25">
      <c r="B5580" s="6"/>
      <c r="C5580" s="7"/>
      <c r="D5580" s="7"/>
      <c r="E5580" s="8"/>
      <c r="F5580" t="str">
        <f t="shared" si="201"/>
        <v/>
      </c>
      <c r="G5580" t="str">
        <f t="shared" si="202"/>
        <v/>
      </c>
    </row>
    <row r="5581" spans="2:7" x14ac:dyDescent="0.25">
      <c r="B5581" s="6"/>
      <c r="C5581" s="7"/>
      <c r="D5581" s="7"/>
      <c r="E5581" s="8"/>
      <c r="F5581" t="str">
        <f t="shared" si="201"/>
        <v/>
      </c>
      <c r="G5581" t="str">
        <f t="shared" si="202"/>
        <v/>
      </c>
    </row>
    <row r="5582" spans="2:7" x14ac:dyDescent="0.25">
      <c r="B5582" s="6"/>
      <c r="C5582" s="7"/>
      <c r="D5582" s="7"/>
      <c r="E5582" s="8"/>
      <c r="F5582" t="str">
        <f t="shared" si="201"/>
        <v/>
      </c>
      <c r="G5582" t="str">
        <f t="shared" si="202"/>
        <v/>
      </c>
    </row>
    <row r="5583" spans="2:7" x14ac:dyDescent="0.25">
      <c r="B5583" s="6"/>
      <c r="C5583" s="7"/>
      <c r="D5583" s="7"/>
      <c r="E5583" s="8"/>
      <c r="F5583" t="str">
        <f t="shared" si="201"/>
        <v/>
      </c>
      <c r="G5583" t="str">
        <f t="shared" si="202"/>
        <v/>
      </c>
    </row>
    <row r="5584" spans="2:7" x14ac:dyDescent="0.25">
      <c r="B5584" s="6"/>
      <c r="C5584" s="7"/>
      <c r="D5584" s="7"/>
      <c r="E5584" s="8"/>
      <c r="F5584" t="str">
        <f t="shared" si="201"/>
        <v/>
      </c>
      <c r="G5584" t="str">
        <f t="shared" si="202"/>
        <v/>
      </c>
    </row>
    <row r="5585" spans="2:7" x14ac:dyDescent="0.25">
      <c r="B5585" s="6"/>
      <c r="C5585" s="7"/>
      <c r="D5585" s="7"/>
      <c r="E5585" s="8"/>
      <c r="F5585" t="str">
        <f t="shared" si="201"/>
        <v/>
      </c>
      <c r="G5585" t="str">
        <f t="shared" si="202"/>
        <v/>
      </c>
    </row>
    <row r="5586" spans="2:7" x14ac:dyDescent="0.25">
      <c r="B5586" s="6"/>
      <c r="C5586" s="7"/>
      <c r="D5586" s="7"/>
      <c r="E5586" s="8"/>
      <c r="F5586" t="str">
        <f t="shared" si="201"/>
        <v/>
      </c>
      <c r="G5586" t="str">
        <f t="shared" si="202"/>
        <v/>
      </c>
    </row>
    <row r="5587" spans="2:7" x14ac:dyDescent="0.25">
      <c r="B5587" s="6"/>
      <c r="C5587" s="7"/>
      <c r="D5587" s="7"/>
      <c r="E5587" s="8"/>
      <c r="F5587" t="str">
        <f t="shared" si="201"/>
        <v/>
      </c>
      <c r="G5587" t="str">
        <f t="shared" si="202"/>
        <v/>
      </c>
    </row>
    <row r="5588" spans="2:7" x14ac:dyDescent="0.25">
      <c r="B5588" s="6"/>
      <c r="C5588" s="7"/>
      <c r="D5588" s="7"/>
      <c r="E5588" s="8"/>
      <c r="F5588" t="str">
        <f t="shared" si="201"/>
        <v/>
      </c>
      <c r="G5588" t="str">
        <f t="shared" si="202"/>
        <v/>
      </c>
    </row>
    <row r="5589" spans="2:7" x14ac:dyDescent="0.25">
      <c r="B5589" s="6"/>
      <c r="C5589" s="7"/>
      <c r="D5589" s="7"/>
      <c r="E5589" s="8"/>
      <c r="F5589" t="str">
        <f t="shared" si="201"/>
        <v/>
      </c>
      <c r="G5589" t="str">
        <f t="shared" si="202"/>
        <v/>
      </c>
    </row>
    <row r="5590" spans="2:7" x14ac:dyDescent="0.25">
      <c r="B5590" s="6"/>
      <c r="C5590" s="7"/>
      <c r="D5590" s="7"/>
      <c r="E5590" s="8"/>
      <c r="F5590" t="str">
        <f t="shared" si="201"/>
        <v/>
      </c>
      <c r="G5590" t="str">
        <f t="shared" si="202"/>
        <v/>
      </c>
    </row>
    <row r="5591" spans="2:7" x14ac:dyDescent="0.25">
      <c r="B5591" s="6"/>
      <c r="C5591" s="7"/>
      <c r="D5591" s="7"/>
      <c r="E5591" s="8"/>
      <c r="F5591" t="str">
        <f t="shared" si="201"/>
        <v/>
      </c>
      <c r="G5591" t="str">
        <f t="shared" si="202"/>
        <v/>
      </c>
    </row>
    <row r="5592" spans="2:7" x14ac:dyDescent="0.25">
      <c r="B5592" s="6"/>
      <c r="C5592" s="7"/>
      <c r="D5592" s="7"/>
      <c r="E5592" s="8"/>
      <c r="F5592" t="str">
        <f t="shared" si="201"/>
        <v/>
      </c>
      <c r="G5592" t="str">
        <f t="shared" si="202"/>
        <v/>
      </c>
    </row>
    <row r="5593" spans="2:7" x14ac:dyDescent="0.25">
      <c r="B5593" s="6"/>
      <c r="C5593" s="7"/>
      <c r="D5593" s="7"/>
      <c r="E5593" s="8"/>
      <c r="F5593" t="str">
        <f t="shared" si="201"/>
        <v/>
      </c>
      <c r="G5593" t="str">
        <f t="shared" si="202"/>
        <v/>
      </c>
    </row>
    <row r="5594" spans="2:7" x14ac:dyDescent="0.25">
      <c r="B5594" s="6"/>
      <c r="C5594" s="7"/>
      <c r="D5594" s="7"/>
      <c r="E5594" s="8"/>
      <c r="F5594" t="str">
        <f t="shared" si="201"/>
        <v/>
      </c>
      <c r="G5594" t="str">
        <f t="shared" si="202"/>
        <v/>
      </c>
    </row>
    <row r="5595" spans="2:7" x14ac:dyDescent="0.25">
      <c r="B5595" s="6"/>
      <c r="C5595" s="7"/>
      <c r="D5595" s="7"/>
      <c r="E5595" s="8"/>
      <c r="F5595" t="str">
        <f t="shared" si="201"/>
        <v/>
      </c>
      <c r="G5595" t="str">
        <f t="shared" si="202"/>
        <v/>
      </c>
    </row>
    <row r="5596" spans="2:7" x14ac:dyDescent="0.25">
      <c r="B5596" s="6"/>
      <c r="C5596" s="7"/>
      <c r="D5596" s="7"/>
      <c r="E5596" s="8"/>
      <c r="F5596" t="str">
        <f t="shared" si="201"/>
        <v/>
      </c>
      <c r="G5596" t="str">
        <f t="shared" si="202"/>
        <v/>
      </c>
    </row>
    <row r="5597" spans="2:7" x14ac:dyDescent="0.25">
      <c r="B5597" s="6"/>
      <c r="C5597" s="7"/>
      <c r="D5597" s="7"/>
      <c r="E5597" s="8"/>
      <c r="F5597" t="str">
        <f t="shared" si="201"/>
        <v/>
      </c>
      <c r="G5597" t="str">
        <f t="shared" si="202"/>
        <v/>
      </c>
    </row>
    <row r="5598" spans="2:7" x14ac:dyDescent="0.25">
      <c r="B5598" s="6"/>
      <c r="C5598" s="7"/>
      <c r="D5598" s="7"/>
      <c r="E5598" s="8"/>
      <c r="F5598" t="str">
        <f t="shared" si="201"/>
        <v/>
      </c>
      <c r="G5598" t="str">
        <f t="shared" si="202"/>
        <v/>
      </c>
    </row>
    <row r="5599" spans="2:7" x14ac:dyDescent="0.25">
      <c r="B5599" s="6"/>
      <c r="C5599" s="7"/>
      <c r="D5599" s="7"/>
      <c r="E5599" s="8"/>
      <c r="F5599" t="str">
        <f t="shared" si="201"/>
        <v/>
      </c>
      <c r="G5599" t="str">
        <f t="shared" si="202"/>
        <v/>
      </c>
    </row>
    <row r="5600" spans="2:7" x14ac:dyDescent="0.25">
      <c r="B5600" s="6"/>
      <c r="C5600" s="7"/>
      <c r="D5600" s="7"/>
      <c r="E5600" s="8"/>
      <c r="F5600" t="str">
        <f t="shared" si="201"/>
        <v/>
      </c>
      <c r="G5600" t="str">
        <f t="shared" si="202"/>
        <v/>
      </c>
    </row>
    <row r="5601" spans="2:7" x14ac:dyDescent="0.25">
      <c r="B5601" s="6"/>
      <c r="C5601" s="7"/>
      <c r="D5601" s="7"/>
      <c r="E5601" s="8"/>
      <c r="F5601" t="str">
        <f t="shared" si="201"/>
        <v/>
      </c>
      <c r="G5601" t="str">
        <f t="shared" si="202"/>
        <v/>
      </c>
    </row>
    <row r="5602" spans="2:7" x14ac:dyDescent="0.25">
      <c r="B5602" s="6"/>
      <c r="C5602" s="7"/>
      <c r="D5602" s="7"/>
      <c r="E5602" s="8"/>
      <c r="F5602" t="str">
        <f t="shared" si="201"/>
        <v/>
      </c>
      <c r="G5602" t="str">
        <f t="shared" si="202"/>
        <v/>
      </c>
    </row>
    <row r="5603" spans="2:7" x14ac:dyDescent="0.25">
      <c r="B5603" s="6"/>
      <c r="C5603" s="7"/>
      <c r="D5603" s="7"/>
      <c r="E5603" s="8"/>
      <c r="F5603" t="str">
        <f t="shared" si="201"/>
        <v/>
      </c>
      <c r="G5603" t="str">
        <f t="shared" si="202"/>
        <v/>
      </c>
    </row>
    <row r="5604" spans="2:7" x14ac:dyDescent="0.25">
      <c r="B5604" s="6"/>
      <c r="C5604" s="7"/>
      <c r="D5604" s="7"/>
      <c r="E5604" s="8"/>
      <c r="F5604" t="str">
        <f t="shared" si="201"/>
        <v/>
      </c>
      <c r="G5604" t="str">
        <f t="shared" si="202"/>
        <v/>
      </c>
    </row>
    <row r="5605" spans="2:7" x14ac:dyDescent="0.25">
      <c r="B5605" s="6"/>
      <c r="C5605" s="7"/>
      <c r="D5605" s="7"/>
      <c r="E5605" s="8"/>
      <c r="F5605" t="str">
        <f t="shared" si="201"/>
        <v/>
      </c>
      <c r="G5605" t="str">
        <f t="shared" si="202"/>
        <v/>
      </c>
    </row>
    <row r="5606" spans="2:7" x14ac:dyDescent="0.25">
      <c r="B5606" s="6"/>
      <c r="C5606" s="7"/>
      <c r="D5606" s="7"/>
      <c r="E5606" s="8"/>
      <c r="F5606" t="str">
        <f t="shared" si="201"/>
        <v/>
      </c>
      <c r="G5606" t="str">
        <f t="shared" si="202"/>
        <v/>
      </c>
    </row>
    <row r="5607" spans="2:7" x14ac:dyDescent="0.25">
      <c r="B5607" s="6"/>
      <c r="C5607" s="7"/>
      <c r="D5607" s="7"/>
      <c r="E5607" s="8"/>
      <c r="F5607" t="str">
        <f t="shared" si="201"/>
        <v/>
      </c>
      <c r="G5607" t="str">
        <f t="shared" si="202"/>
        <v/>
      </c>
    </row>
    <row r="5608" spans="2:7" x14ac:dyDescent="0.25">
      <c r="B5608" s="6"/>
      <c r="C5608" s="7"/>
      <c r="D5608" s="7"/>
      <c r="E5608" s="8"/>
      <c r="F5608" t="str">
        <f t="shared" si="201"/>
        <v/>
      </c>
      <c r="G5608" t="str">
        <f t="shared" si="202"/>
        <v/>
      </c>
    </row>
    <row r="5609" spans="2:7" x14ac:dyDescent="0.25">
      <c r="B5609" s="6"/>
      <c r="C5609" s="7"/>
      <c r="D5609" s="7"/>
      <c r="E5609" s="8"/>
      <c r="F5609" t="str">
        <f t="shared" si="201"/>
        <v/>
      </c>
      <c r="G5609" t="str">
        <f t="shared" si="202"/>
        <v/>
      </c>
    </row>
    <row r="5610" spans="2:7" x14ac:dyDescent="0.25">
      <c r="B5610" s="6"/>
      <c r="C5610" s="7"/>
      <c r="D5610" s="7"/>
      <c r="E5610" s="8"/>
      <c r="F5610" t="str">
        <f t="shared" si="201"/>
        <v/>
      </c>
      <c r="G5610" t="str">
        <f t="shared" si="202"/>
        <v/>
      </c>
    </row>
    <row r="5611" spans="2:7" x14ac:dyDescent="0.25">
      <c r="B5611" s="6"/>
      <c r="C5611" s="7"/>
      <c r="D5611" s="7"/>
      <c r="E5611" s="8"/>
      <c r="F5611" t="str">
        <f t="shared" si="201"/>
        <v/>
      </c>
      <c r="G5611" t="str">
        <f t="shared" si="202"/>
        <v/>
      </c>
    </row>
    <row r="5612" spans="2:7" x14ac:dyDescent="0.25">
      <c r="B5612" s="6"/>
      <c r="C5612" s="7"/>
      <c r="D5612" s="7"/>
      <c r="E5612" s="8"/>
      <c r="F5612" t="str">
        <f t="shared" si="201"/>
        <v/>
      </c>
      <c r="G5612" t="str">
        <f t="shared" si="202"/>
        <v/>
      </c>
    </row>
    <row r="5613" spans="2:7" x14ac:dyDescent="0.25">
      <c r="B5613" s="6"/>
      <c r="C5613" s="7"/>
      <c r="D5613" s="7"/>
      <c r="E5613" s="8"/>
      <c r="F5613" t="str">
        <f t="shared" si="201"/>
        <v/>
      </c>
      <c r="G5613" t="str">
        <f t="shared" si="202"/>
        <v/>
      </c>
    </row>
    <row r="5614" spans="2:7" x14ac:dyDescent="0.25">
      <c r="B5614" s="6"/>
      <c r="C5614" s="7"/>
      <c r="D5614" s="7"/>
      <c r="E5614" s="8"/>
      <c r="F5614" t="str">
        <f t="shared" si="201"/>
        <v/>
      </c>
      <c r="G5614" t="str">
        <f t="shared" si="202"/>
        <v/>
      </c>
    </row>
    <row r="5615" spans="2:7" x14ac:dyDescent="0.25">
      <c r="B5615" s="6"/>
      <c r="C5615" s="7"/>
      <c r="D5615" s="7"/>
      <c r="E5615" s="8"/>
      <c r="F5615" t="str">
        <f t="shared" si="201"/>
        <v/>
      </c>
      <c r="G5615" t="str">
        <f t="shared" si="202"/>
        <v/>
      </c>
    </row>
    <row r="5616" spans="2:7" x14ac:dyDescent="0.25">
      <c r="B5616" s="6"/>
      <c r="C5616" s="7"/>
      <c r="D5616" s="7"/>
      <c r="E5616" s="8"/>
      <c r="F5616" t="str">
        <f t="shared" si="201"/>
        <v/>
      </c>
      <c r="G5616" t="str">
        <f t="shared" si="202"/>
        <v/>
      </c>
    </row>
    <row r="5617" spans="2:7" x14ac:dyDescent="0.25">
      <c r="B5617" s="6"/>
      <c r="C5617" s="7"/>
      <c r="D5617" s="7"/>
      <c r="E5617" s="8"/>
      <c r="F5617" t="str">
        <f t="shared" si="201"/>
        <v/>
      </c>
      <c r="G5617" t="str">
        <f t="shared" si="202"/>
        <v/>
      </c>
    </row>
    <row r="5618" spans="2:7" x14ac:dyDescent="0.25">
      <c r="B5618" s="6"/>
      <c r="C5618" s="7"/>
      <c r="D5618" s="7"/>
      <c r="E5618" s="8"/>
      <c r="F5618" t="str">
        <f t="shared" si="201"/>
        <v/>
      </c>
      <c r="G5618" t="str">
        <f t="shared" si="202"/>
        <v/>
      </c>
    </row>
    <row r="5619" spans="2:7" x14ac:dyDescent="0.25">
      <c r="B5619" s="6"/>
      <c r="C5619" s="7"/>
      <c r="D5619" s="7"/>
      <c r="E5619" s="8"/>
      <c r="F5619" t="str">
        <f t="shared" si="201"/>
        <v/>
      </c>
      <c r="G5619" t="str">
        <f t="shared" si="202"/>
        <v/>
      </c>
    </row>
    <row r="5620" spans="2:7" x14ac:dyDescent="0.25">
      <c r="B5620" s="6"/>
      <c r="C5620" s="7"/>
      <c r="D5620" s="7"/>
      <c r="E5620" s="8"/>
      <c r="F5620" t="str">
        <f t="shared" si="201"/>
        <v/>
      </c>
      <c r="G5620" t="str">
        <f t="shared" si="202"/>
        <v/>
      </c>
    </row>
    <row r="5621" spans="2:7" x14ac:dyDescent="0.25">
      <c r="B5621" s="6"/>
      <c r="C5621" s="7"/>
      <c r="D5621" s="7"/>
      <c r="E5621" s="8"/>
      <c r="F5621" t="str">
        <f t="shared" si="201"/>
        <v/>
      </c>
      <c r="G5621" t="str">
        <f t="shared" si="202"/>
        <v/>
      </c>
    </row>
    <row r="5622" spans="2:7" x14ac:dyDescent="0.25">
      <c r="B5622" s="6"/>
      <c r="C5622" s="7"/>
      <c r="D5622" s="7"/>
      <c r="E5622" s="8"/>
      <c r="F5622" t="str">
        <f t="shared" si="201"/>
        <v/>
      </c>
      <c r="G5622" t="str">
        <f t="shared" si="202"/>
        <v/>
      </c>
    </row>
    <row r="5623" spans="2:7" x14ac:dyDescent="0.25">
      <c r="B5623" s="6"/>
      <c r="C5623" s="7"/>
      <c r="D5623" s="7"/>
      <c r="E5623" s="8"/>
      <c r="F5623" t="str">
        <f t="shared" si="201"/>
        <v/>
      </c>
      <c r="G5623" t="str">
        <f t="shared" si="202"/>
        <v/>
      </c>
    </row>
    <row r="5624" spans="2:7" x14ac:dyDescent="0.25">
      <c r="B5624" s="6"/>
      <c r="C5624" s="7"/>
      <c r="D5624" s="7"/>
      <c r="E5624" s="8"/>
      <c r="F5624" t="str">
        <f t="shared" si="201"/>
        <v/>
      </c>
      <c r="G5624" t="str">
        <f t="shared" si="202"/>
        <v/>
      </c>
    </row>
    <row r="5625" spans="2:7" x14ac:dyDescent="0.25">
      <c r="B5625" s="6"/>
      <c r="C5625" s="7"/>
      <c r="D5625" s="7"/>
      <c r="E5625" s="8"/>
      <c r="F5625" t="str">
        <f t="shared" si="201"/>
        <v/>
      </c>
      <c r="G5625" t="str">
        <f t="shared" si="202"/>
        <v/>
      </c>
    </row>
    <row r="5626" spans="2:7" x14ac:dyDescent="0.25">
      <c r="B5626" s="6"/>
      <c r="C5626" s="7"/>
      <c r="D5626" s="7"/>
      <c r="E5626" s="8"/>
      <c r="F5626" t="str">
        <f t="shared" si="201"/>
        <v/>
      </c>
      <c r="G5626" t="str">
        <f t="shared" si="202"/>
        <v/>
      </c>
    </row>
    <row r="5627" spans="2:7" x14ac:dyDescent="0.25">
      <c r="B5627" s="6"/>
      <c r="C5627" s="7"/>
      <c r="D5627" s="7"/>
      <c r="E5627" s="8"/>
      <c r="F5627" t="str">
        <f t="shared" si="201"/>
        <v/>
      </c>
      <c r="G5627" t="str">
        <f t="shared" si="202"/>
        <v/>
      </c>
    </row>
    <row r="5628" spans="2:7" x14ac:dyDescent="0.25">
      <c r="B5628" s="6"/>
      <c r="C5628" s="7"/>
      <c r="D5628" s="7"/>
      <c r="E5628" s="8"/>
      <c r="F5628" t="str">
        <f t="shared" si="201"/>
        <v/>
      </c>
      <c r="G5628" t="str">
        <f t="shared" si="202"/>
        <v/>
      </c>
    </row>
    <row r="5629" spans="2:7" x14ac:dyDescent="0.25">
      <c r="B5629" s="6"/>
      <c r="C5629" s="7"/>
      <c r="D5629" s="7"/>
      <c r="E5629" s="8"/>
      <c r="F5629" t="str">
        <f t="shared" si="201"/>
        <v/>
      </c>
      <c r="G5629" t="str">
        <f t="shared" si="202"/>
        <v/>
      </c>
    </row>
    <row r="5630" spans="2:7" x14ac:dyDescent="0.25">
      <c r="B5630" s="6"/>
      <c r="C5630" s="7"/>
      <c r="D5630" s="7"/>
      <c r="E5630" s="8"/>
      <c r="F5630" t="str">
        <f t="shared" si="201"/>
        <v/>
      </c>
      <c r="G5630" t="str">
        <f t="shared" si="202"/>
        <v/>
      </c>
    </row>
    <row r="5631" spans="2:7" x14ac:dyDescent="0.25">
      <c r="B5631" s="6"/>
      <c r="C5631" s="7"/>
      <c r="D5631" s="7"/>
      <c r="E5631" s="8"/>
      <c r="F5631" t="str">
        <f t="shared" si="201"/>
        <v/>
      </c>
      <c r="G5631" t="str">
        <f t="shared" si="202"/>
        <v/>
      </c>
    </row>
    <row r="5632" spans="2:7" x14ac:dyDescent="0.25">
      <c r="B5632" s="6"/>
      <c r="C5632" s="7"/>
      <c r="D5632" s="7"/>
      <c r="E5632" s="8"/>
      <c r="F5632" t="str">
        <f t="shared" si="201"/>
        <v/>
      </c>
      <c r="G5632" t="str">
        <f t="shared" si="202"/>
        <v/>
      </c>
    </row>
    <row r="5633" spans="2:7" x14ac:dyDescent="0.25">
      <c r="B5633" s="6"/>
      <c r="C5633" s="7"/>
      <c r="D5633" s="7"/>
      <c r="E5633" s="8"/>
      <c r="F5633" t="str">
        <f t="shared" si="201"/>
        <v/>
      </c>
      <c r="G5633" t="str">
        <f t="shared" si="202"/>
        <v/>
      </c>
    </row>
    <row r="5634" spans="2:7" x14ac:dyDescent="0.25">
      <c r="B5634" s="6"/>
      <c r="C5634" s="7"/>
      <c r="D5634" s="7"/>
      <c r="E5634" s="8"/>
      <c r="F5634" t="str">
        <f t="shared" si="201"/>
        <v/>
      </c>
      <c r="G5634" t="str">
        <f t="shared" si="202"/>
        <v/>
      </c>
    </row>
    <row r="5635" spans="2:7" x14ac:dyDescent="0.25">
      <c r="B5635" s="6"/>
      <c r="C5635" s="7"/>
      <c r="D5635" s="7"/>
      <c r="E5635" s="8"/>
      <c r="F5635" t="str">
        <f t="shared" si="201"/>
        <v/>
      </c>
      <c r="G5635" t="str">
        <f t="shared" si="202"/>
        <v/>
      </c>
    </row>
    <row r="5636" spans="2:7" x14ac:dyDescent="0.25">
      <c r="B5636" s="6"/>
      <c r="C5636" s="7"/>
      <c r="D5636" s="7"/>
      <c r="E5636" s="8"/>
      <c r="F5636" t="str">
        <f t="shared" ref="F5636:F5699" si="203">IF(B5636="","",LOG10(D5636))</f>
        <v/>
      </c>
      <c r="G5636" t="str">
        <f t="shared" ref="G5636:G5699" si="204">IF(E5636="", "",0.434*E5636/D5636)</f>
        <v/>
      </c>
    </row>
    <row r="5637" spans="2:7" x14ac:dyDescent="0.25">
      <c r="B5637" s="6"/>
      <c r="C5637" s="7"/>
      <c r="D5637" s="7"/>
      <c r="E5637" s="8"/>
      <c r="F5637" t="str">
        <f t="shared" si="203"/>
        <v/>
      </c>
      <c r="G5637" t="str">
        <f t="shared" si="204"/>
        <v/>
      </c>
    </row>
    <row r="5638" spans="2:7" x14ac:dyDescent="0.25">
      <c r="B5638" s="6"/>
      <c r="C5638" s="7"/>
      <c r="D5638" s="7"/>
      <c r="E5638" s="8"/>
      <c r="F5638" t="str">
        <f t="shared" si="203"/>
        <v/>
      </c>
      <c r="G5638" t="str">
        <f t="shared" si="204"/>
        <v/>
      </c>
    </row>
    <row r="5639" spans="2:7" x14ac:dyDescent="0.25">
      <c r="B5639" s="6"/>
      <c r="C5639" s="7"/>
      <c r="D5639" s="7"/>
      <c r="E5639" s="8"/>
      <c r="F5639" t="str">
        <f t="shared" si="203"/>
        <v/>
      </c>
      <c r="G5639" t="str">
        <f t="shared" si="204"/>
        <v/>
      </c>
    </row>
    <row r="5640" spans="2:7" x14ac:dyDescent="0.25">
      <c r="B5640" s="6"/>
      <c r="C5640" s="7"/>
      <c r="D5640" s="7"/>
      <c r="E5640" s="8"/>
      <c r="F5640" t="str">
        <f t="shared" si="203"/>
        <v/>
      </c>
      <c r="G5640" t="str">
        <f t="shared" si="204"/>
        <v/>
      </c>
    </row>
    <row r="5641" spans="2:7" x14ac:dyDescent="0.25">
      <c r="B5641" s="6"/>
      <c r="C5641" s="7"/>
      <c r="D5641" s="7"/>
      <c r="E5641" s="8"/>
      <c r="F5641" t="str">
        <f t="shared" si="203"/>
        <v/>
      </c>
      <c r="G5641" t="str">
        <f t="shared" si="204"/>
        <v/>
      </c>
    </row>
    <row r="5642" spans="2:7" x14ac:dyDescent="0.25">
      <c r="B5642" s="6"/>
      <c r="C5642" s="7"/>
      <c r="D5642" s="7"/>
      <c r="E5642" s="8"/>
      <c r="F5642" t="str">
        <f t="shared" si="203"/>
        <v/>
      </c>
      <c r="G5642" t="str">
        <f t="shared" si="204"/>
        <v/>
      </c>
    </row>
    <row r="5643" spans="2:7" x14ac:dyDescent="0.25">
      <c r="B5643" s="6"/>
      <c r="C5643" s="7"/>
      <c r="D5643" s="7"/>
      <c r="E5643" s="8"/>
      <c r="F5643" t="str">
        <f t="shared" si="203"/>
        <v/>
      </c>
      <c r="G5643" t="str">
        <f t="shared" si="204"/>
        <v/>
      </c>
    </row>
    <row r="5644" spans="2:7" x14ac:dyDescent="0.25">
      <c r="B5644" s="6"/>
      <c r="C5644" s="7"/>
      <c r="D5644" s="7"/>
      <c r="E5644" s="8"/>
      <c r="F5644" t="str">
        <f t="shared" si="203"/>
        <v/>
      </c>
      <c r="G5644" t="str">
        <f t="shared" si="204"/>
        <v/>
      </c>
    </row>
    <row r="5645" spans="2:7" x14ac:dyDescent="0.25">
      <c r="B5645" s="6"/>
      <c r="C5645" s="7"/>
      <c r="D5645" s="7"/>
      <c r="E5645" s="8"/>
      <c r="F5645" t="str">
        <f t="shared" si="203"/>
        <v/>
      </c>
      <c r="G5645" t="str">
        <f t="shared" si="204"/>
        <v/>
      </c>
    </row>
    <row r="5646" spans="2:7" x14ac:dyDescent="0.25">
      <c r="B5646" s="6"/>
      <c r="C5646" s="7"/>
      <c r="D5646" s="7"/>
      <c r="E5646" s="8"/>
      <c r="F5646" t="str">
        <f t="shared" si="203"/>
        <v/>
      </c>
      <c r="G5646" t="str">
        <f t="shared" si="204"/>
        <v/>
      </c>
    </row>
    <row r="5647" spans="2:7" x14ac:dyDescent="0.25">
      <c r="B5647" s="6"/>
      <c r="C5647" s="7"/>
      <c r="D5647" s="7"/>
      <c r="E5647" s="8"/>
      <c r="F5647" t="str">
        <f t="shared" si="203"/>
        <v/>
      </c>
      <c r="G5647" t="str">
        <f t="shared" si="204"/>
        <v/>
      </c>
    </row>
    <row r="5648" spans="2:7" x14ac:dyDescent="0.25">
      <c r="B5648" s="6"/>
      <c r="C5648" s="7"/>
      <c r="D5648" s="7"/>
      <c r="E5648" s="8"/>
      <c r="F5648" t="str">
        <f t="shared" si="203"/>
        <v/>
      </c>
      <c r="G5648" t="str">
        <f t="shared" si="204"/>
        <v/>
      </c>
    </row>
    <row r="5649" spans="2:7" x14ac:dyDescent="0.25">
      <c r="B5649" s="6"/>
      <c r="C5649" s="7"/>
      <c r="D5649" s="7"/>
      <c r="E5649" s="8"/>
      <c r="F5649" t="str">
        <f t="shared" si="203"/>
        <v/>
      </c>
      <c r="G5649" t="str">
        <f t="shared" si="204"/>
        <v/>
      </c>
    </row>
    <row r="5650" spans="2:7" x14ac:dyDescent="0.25">
      <c r="B5650" s="6"/>
      <c r="C5650" s="7"/>
      <c r="D5650" s="7"/>
      <c r="E5650" s="8"/>
      <c r="F5650" t="str">
        <f t="shared" si="203"/>
        <v/>
      </c>
      <c r="G5650" t="str">
        <f t="shared" si="204"/>
        <v/>
      </c>
    </row>
    <row r="5651" spans="2:7" x14ac:dyDescent="0.25">
      <c r="B5651" s="6"/>
      <c r="C5651" s="7"/>
      <c r="D5651" s="7"/>
      <c r="E5651" s="8"/>
      <c r="F5651" t="str">
        <f t="shared" si="203"/>
        <v/>
      </c>
      <c r="G5651" t="str">
        <f t="shared" si="204"/>
        <v/>
      </c>
    </row>
    <row r="5652" spans="2:7" x14ac:dyDescent="0.25">
      <c r="B5652" s="6"/>
      <c r="C5652" s="7"/>
      <c r="D5652" s="7"/>
      <c r="E5652" s="8"/>
      <c r="F5652" t="str">
        <f t="shared" si="203"/>
        <v/>
      </c>
      <c r="G5652" t="str">
        <f t="shared" si="204"/>
        <v/>
      </c>
    </row>
    <row r="5653" spans="2:7" x14ac:dyDescent="0.25">
      <c r="B5653" s="6"/>
      <c r="C5653" s="7"/>
      <c r="D5653" s="7"/>
      <c r="E5653" s="8"/>
      <c r="F5653" t="str">
        <f t="shared" si="203"/>
        <v/>
      </c>
      <c r="G5653" t="str">
        <f t="shared" si="204"/>
        <v/>
      </c>
    </row>
    <row r="5654" spans="2:7" x14ac:dyDescent="0.25">
      <c r="B5654" s="6"/>
      <c r="C5654" s="7"/>
      <c r="D5654" s="7"/>
      <c r="E5654" s="8"/>
      <c r="F5654" t="str">
        <f t="shared" si="203"/>
        <v/>
      </c>
      <c r="G5654" t="str">
        <f t="shared" si="204"/>
        <v/>
      </c>
    </row>
    <row r="5655" spans="2:7" x14ac:dyDescent="0.25">
      <c r="B5655" s="6"/>
      <c r="C5655" s="7"/>
      <c r="D5655" s="7"/>
      <c r="E5655" s="8"/>
      <c r="F5655" t="str">
        <f t="shared" si="203"/>
        <v/>
      </c>
      <c r="G5655" t="str">
        <f t="shared" si="204"/>
        <v/>
      </c>
    </row>
    <row r="5656" spans="2:7" x14ac:dyDescent="0.25">
      <c r="B5656" s="6"/>
      <c r="C5656" s="7"/>
      <c r="D5656" s="7"/>
      <c r="E5656" s="8"/>
      <c r="F5656" t="str">
        <f t="shared" si="203"/>
        <v/>
      </c>
      <c r="G5656" t="str">
        <f t="shared" si="204"/>
        <v/>
      </c>
    </row>
    <row r="5657" spans="2:7" x14ac:dyDescent="0.25">
      <c r="B5657" s="6"/>
      <c r="C5657" s="7"/>
      <c r="D5657" s="7"/>
      <c r="E5657" s="8"/>
      <c r="F5657" t="str">
        <f t="shared" si="203"/>
        <v/>
      </c>
      <c r="G5657" t="str">
        <f t="shared" si="204"/>
        <v/>
      </c>
    </row>
    <row r="5658" spans="2:7" x14ac:dyDescent="0.25">
      <c r="B5658" s="6"/>
      <c r="C5658" s="7"/>
      <c r="D5658" s="7"/>
      <c r="E5658" s="8"/>
      <c r="F5658" t="str">
        <f t="shared" si="203"/>
        <v/>
      </c>
      <c r="G5658" t="str">
        <f t="shared" si="204"/>
        <v/>
      </c>
    </row>
    <row r="5659" spans="2:7" x14ac:dyDescent="0.25">
      <c r="B5659" s="6"/>
      <c r="C5659" s="7"/>
      <c r="D5659" s="7"/>
      <c r="E5659" s="8"/>
      <c r="F5659" t="str">
        <f t="shared" si="203"/>
        <v/>
      </c>
      <c r="G5659" t="str">
        <f t="shared" si="204"/>
        <v/>
      </c>
    </row>
    <row r="5660" spans="2:7" x14ac:dyDescent="0.25">
      <c r="B5660" s="6"/>
      <c r="C5660" s="7"/>
      <c r="D5660" s="7"/>
      <c r="E5660" s="8"/>
      <c r="F5660" t="str">
        <f t="shared" si="203"/>
        <v/>
      </c>
      <c r="G5660" t="str">
        <f t="shared" si="204"/>
        <v/>
      </c>
    </row>
    <row r="5661" spans="2:7" x14ac:dyDescent="0.25">
      <c r="B5661" s="6"/>
      <c r="C5661" s="7"/>
      <c r="D5661" s="7"/>
      <c r="E5661" s="8"/>
      <c r="F5661" t="str">
        <f t="shared" si="203"/>
        <v/>
      </c>
      <c r="G5661" t="str">
        <f t="shared" si="204"/>
        <v/>
      </c>
    </row>
    <row r="5662" spans="2:7" x14ac:dyDescent="0.25">
      <c r="B5662" s="6"/>
      <c r="C5662" s="7"/>
      <c r="D5662" s="7"/>
      <c r="E5662" s="8"/>
      <c r="F5662" t="str">
        <f t="shared" si="203"/>
        <v/>
      </c>
      <c r="G5662" t="str">
        <f t="shared" si="204"/>
        <v/>
      </c>
    </row>
    <row r="5663" spans="2:7" x14ac:dyDescent="0.25">
      <c r="B5663" s="6"/>
      <c r="C5663" s="7"/>
      <c r="D5663" s="7"/>
      <c r="E5663" s="8"/>
      <c r="F5663" t="str">
        <f t="shared" si="203"/>
        <v/>
      </c>
      <c r="G5663" t="str">
        <f t="shared" si="204"/>
        <v/>
      </c>
    </row>
    <row r="5664" spans="2:7" x14ac:dyDescent="0.25">
      <c r="B5664" s="6"/>
      <c r="C5664" s="7"/>
      <c r="D5664" s="7"/>
      <c r="E5664" s="8"/>
      <c r="F5664" t="str">
        <f t="shared" si="203"/>
        <v/>
      </c>
      <c r="G5664" t="str">
        <f t="shared" si="204"/>
        <v/>
      </c>
    </row>
    <row r="5665" spans="2:7" x14ac:dyDescent="0.25">
      <c r="B5665" s="6"/>
      <c r="C5665" s="7"/>
      <c r="D5665" s="7"/>
      <c r="E5665" s="8"/>
      <c r="F5665" t="str">
        <f t="shared" si="203"/>
        <v/>
      </c>
      <c r="G5665" t="str">
        <f t="shared" si="204"/>
        <v/>
      </c>
    </row>
    <row r="5666" spans="2:7" x14ac:dyDescent="0.25">
      <c r="B5666" s="6"/>
      <c r="C5666" s="7"/>
      <c r="D5666" s="7"/>
      <c r="E5666" s="8"/>
      <c r="F5666" t="str">
        <f t="shared" si="203"/>
        <v/>
      </c>
      <c r="G5666" t="str">
        <f t="shared" si="204"/>
        <v/>
      </c>
    </row>
    <row r="5667" spans="2:7" x14ac:dyDescent="0.25">
      <c r="B5667" s="6"/>
      <c r="C5667" s="7"/>
      <c r="D5667" s="7"/>
      <c r="E5667" s="8"/>
      <c r="F5667" t="str">
        <f t="shared" si="203"/>
        <v/>
      </c>
      <c r="G5667" t="str">
        <f t="shared" si="204"/>
        <v/>
      </c>
    </row>
    <row r="5668" spans="2:7" x14ac:dyDescent="0.25">
      <c r="B5668" s="6"/>
      <c r="C5668" s="7"/>
      <c r="D5668" s="7"/>
      <c r="E5668" s="8"/>
      <c r="F5668" t="str">
        <f t="shared" si="203"/>
        <v/>
      </c>
      <c r="G5668" t="str">
        <f t="shared" si="204"/>
        <v/>
      </c>
    </row>
    <row r="5669" spans="2:7" x14ac:dyDescent="0.25">
      <c r="B5669" s="6"/>
      <c r="C5669" s="7"/>
      <c r="D5669" s="7"/>
      <c r="E5669" s="8"/>
      <c r="F5669" t="str">
        <f t="shared" si="203"/>
        <v/>
      </c>
      <c r="G5669" t="str">
        <f t="shared" si="204"/>
        <v/>
      </c>
    </row>
    <row r="5670" spans="2:7" x14ac:dyDescent="0.25">
      <c r="B5670" s="6"/>
      <c r="C5670" s="7"/>
      <c r="D5670" s="7"/>
      <c r="E5670" s="8"/>
      <c r="F5670" t="str">
        <f t="shared" si="203"/>
        <v/>
      </c>
      <c r="G5670" t="str">
        <f t="shared" si="204"/>
        <v/>
      </c>
    </row>
    <row r="5671" spans="2:7" x14ac:dyDescent="0.25">
      <c r="B5671" s="6"/>
      <c r="C5671" s="7"/>
      <c r="D5671" s="7"/>
      <c r="E5671" s="8"/>
      <c r="F5671" t="str">
        <f t="shared" si="203"/>
        <v/>
      </c>
      <c r="G5671" t="str">
        <f t="shared" si="204"/>
        <v/>
      </c>
    </row>
    <row r="5672" spans="2:7" x14ac:dyDescent="0.25">
      <c r="B5672" s="6"/>
      <c r="C5672" s="7"/>
      <c r="D5672" s="7"/>
      <c r="E5672" s="8"/>
      <c r="F5672" t="str">
        <f t="shared" si="203"/>
        <v/>
      </c>
      <c r="G5672" t="str">
        <f t="shared" si="204"/>
        <v/>
      </c>
    </row>
    <row r="5673" spans="2:7" x14ac:dyDescent="0.25">
      <c r="B5673" s="6"/>
      <c r="C5673" s="7"/>
      <c r="D5673" s="7"/>
      <c r="E5673" s="8"/>
      <c r="F5673" t="str">
        <f t="shared" si="203"/>
        <v/>
      </c>
      <c r="G5673" t="str">
        <f t="shared" si="204"/>
        <v/>
      </c>
    </row>
    <row r="5674" spans="2:7" x14ac:dyDescent="0.25">
      <c r="B5674" s="6"/>
      <c r="C5674" s="7"/>
      <c r="D5674" s="7"/>
      <c r="E5674" s="8"/>
      <c r="F5674" t="str">
        <f t="shared" si="203"/>
        <v/>
      </c>
      <c r="G5674" t="str">
        <f t="shared" si="204"/>
        <v/>
      </c>
    </row>
    <row r="5675" spans="2:7" x14ac:dyDescent="0.25">
      <c r="B5675" s="6"/>
      <c r="C5675" s="7"/>
      <c r="D5675" s="7"/>
      <c r="E5675" s="8"/>
      <c r="F5675" t="str">
        <f t="shared" si="203"/>
        <v/>
      </c>
      <c r="G5675" t="str">
        <f t="shared" si="204"/>
        <v/>
      </c>
    </row>
    <row r="5676" spans="2:7" x14ac:dyDescent="0.25">
      <c r="B5676" s="6"/>
      <c r="C5676" s="7"/>
      <c r="D5676" s="7"/>
      <c r="E5676" s="8"/>
      <c r="F5676" t="str">
        <f t="shared" si="203"/>
        <v/>
      </c>
      <c r="G5676" t="str">
        <f t="shared" si="204"/>
        <v/>
      </c>
    </row>
    <row r="5677" spans="2:7" x14ac:dyDescent="0.25">
      <c r="B5677" s="6"/>
      <c r="C5677" s="7"/>
      <c r="D5677" s="7"/>
      <c r="E5677" s="8"/>
      <c r="F5677" t="str">
        <f t="shared" si="203"/>
        <v/>
      </c>
      <c r="G5677" t="str">
        <f t="shared" si="204"/>
        <v/>
      </c>
    </row>
    <row r="5678" spans="2:7" x14ac:dyDescent="0.25">
      <c r="B5678" s="6"/>
      <c r="C5678" s="7"/>
      <c r="D5678" s="7"/>
      <c r="E5678" s="8"/>
      <c r="F5678" t="str">
        <f t="shared" si="203"/>
        <v/>
      </c>
      <c r="G5678" t="str">
        <f t="shared" si="204"/>
        <v/>
      </c>
    </row>
    <row r="5679" spans="2:7" x14ac:dyDescent="0.25">
      <c r="B5679" s="6"/>
      <c r="C5679" s="7"/>
      <c r="D5679" s="7"/>
      <c r="E5679" s="8"/>
      <c r="F5679" t="str">
        <f t="shared" si="203"/>
        <v/>
      </c>
      <c r="G5679" t="str">
        <f t="shared" si="204"/>
        <v/>
      </c>
    </row>
    <row r="5680" spans="2:7" x14ac:dyDescent="0.25">
      <c r="B5680" s="6"/>
      <c r="C5680" s="7"/>
      <c r="D5680" s="7"/>
      <c r="E5680" s="8"/>
      <c r="F5680" t="str">
        <f t="shared" si="203"/>
        <v/>
      </c>
      <c r="G5680" t="str">
        <f t="shared" si="204"/>
        <v/>
      </c>
    </row>
    <row r="5681" spans="2:7" x14ac:dyDescent="0.25">
      <c r="B5681" s="6"/>
      <c r="C5681" s="7"/>
      <c r="D5681" s="7"/>
      <c r="E5681" s="8"/>
      <c r="F5681" t="str">
        <f t="shared" si="203"/>
        <v/>
      </c>
      <c r="G5681" t="str">
        <f t="shared" si="204"/>
        <v/>
      </c>
    </row>
    <row r="5682" spans="2:7" x14ac:dyDescent="0.25">
      <c r="B5682" s="6"/>
      <c r="C5682" s="7"/>
      <c r="D5682" s="7"/>
      <c r="E5682" s="8"/>
      <c r="F5682" t="str">
        <f t="shared" si="203"/>
        <v/>
      </c>
      <c r="G5682" t="str">
        <f t="shared" si="204"/>
        <v/>
      </c>
    </row>
    <row r="5683" spans="2:7" x14ac:dyDescent="0.25">
      <c r="B5683" s="6"/>
      <c r="C5683" s="7"/>
      <c r="D5683" s="7"/>
      <c r="E5683" s="8"/>
      <c r="F5683" t="str">
        <f t="shared" si="203"/>
        <v/>
      </c>
      <c r="G5683" t="str">
        <f t="shared" si="204"/>
        <v/>
      </c>
    </row>
    <row r="5684" spans="2:7" x14ac:dyDescent="0.25">
      <c r="B5684" s="6"/>
      <c r="C5684" s="7"/>
      <c r="D5684" s="7"/>
      <c r="E5684" s="8"/>
      <c r="F5684" t="str">
        <f t="shared" si="203"/>
        <v/>
      </c>
      <c r="G5684" t="str">
        <f t="shared" si="204"/>
        <v/>
      </c>
    </row>
    <row r="5685" spans="2:7" x14ac:dyDescent="0.25">
      <c r="B5685" s="6"/>
      <c r="C5685" s="7"/>
      <c r="D5685" s="7"/>
      <c r="E5685" s="8"/>
      <c r="F5685" t="str">
        <f t="shared" si="203"/>
        <v/>
      </c>
      <c r="G5685" t="str">
        <f t="shared" si="204"/>
        <v/>
      </c>
    </row>
    <row r="5686" spans="2:7" x14ac:dyDescent="0.25">
      <c r="B5686" s="6"/>
      <c r="C5686" s="7"/>
      <c r="D5686" s="7"/>
      <c r="E5686" s="8"/>
      <c r="F5686" t="str">
        <f t="shared" si="203"/>
        <v/>
      </c>
      <c r="G5686" t="str">
        <f t="shared" si="204"/>
        <v/>
      </c>
    </row>
    <row r="5687" spans="2:7" x14ac:dyDescent="0.25">
      <c r="B5687" s="6"/>
      <c r="C5687" s="7"/>
      <c r="D5687" s="7"/>
      <c r="E5687" s="8"/>
      <c r="F5687" t="str">
        <f t="shared" si="203"/>
        <v/>
      </c>
      <c r="G5687" t="str">
        <f t="shared" si="204"/>
        <v/>
      </c>
    </row>
    <row r="5688" spans="2:7" x14ac:dyDescent="0.25">
      <c r="B5688" s="6"/>
      <c r="C5688" s="7"/>
      <c r="D5688" s="7"/>
      <c r="E5688" s="8"/>
      <c r="F5688" t="str">
        <f t="shared" si="203"/>
        <v/>
      </c>
      <c r="G5688" t="str">
        <f t="shared" si="204"/>
        <v/>
      </c>
    </row>
    <row r="5689" spans="2:7" x14ac:dyDescent="0.25">
      <c r="B5689" s="6"/>
      <c r="C5689" s="7"/>
      <c r="D5689" s="7"/>
      <c r="E5689" s="8"/>
      <c r="F5689" t="str">
        <f t="shared" si="203"/>
        <v/>
      </c>
      <c r="G5689" t="str">
        <f t="shared" si="204"/>
        <v/>
      </c>
    </row>
    <row r="5690" spans="2:7" x14ac:dyDescent="0.25">
      <c r="B5690" s="6"/>
      <c r="C5690" s="7"/>
      <c r="D5690" s="7"/>
      <c r="E5690" s="8"/>
      <c r="F5690" t="str">
        <f t="shared" si="203"/>
        <v/>
      </c>
      <c r="G5690" t="str">
        <f t="shared" si="204"/>
        <v/>
      </c>
    </row>
    <row r="5691" spans="2:7" x14ac:dyDescent="0.25">
      <c r="B5691" s="6"/>
      <c r="C5691" s="7"/>
      <c r="D5691" s="7"/>
      <c r="E5691" s="8"/>
      <c r="F5691" t="str">
        <f t="shared" si="203"/>
        <v/>
      </c>
      <c r="G5691" t="str">
        <f t="shared" si="204"/>
        <v/>
      </c>
    </row>
    <row r="5692" spans="2:7" x14ac:dyDescent="0.25">
      <c r="B5692" s="6"/>
      <c r="C5692" s="7"/>
      <c r="D5692" s="7"/>
      <c r="E5692" s="8"/>
      <c r="F5692" t="str">
        <f t="shared" si="203"/>
        <v/>
      </c>
      <c r="G5692" t="str">
        <f t="shared" si="204"/>
        <v/>
      </c>
    </row>
    <row r="5693" spans="2:7" x14ac:dyDescent="0.25">
      <c r="B5693" s="6"/>
      <c r="C5693" s="7"/>
      <c r="D5693" s="7"/>
      <c r="E5693" s="8"/>
      <c r="F5693" t="str">
        <f t="shared" si="203"/>
        <v/>
      </c>
      <c r="G5693" t="str">
        <f t="shared" si="204"/>
        <v/>
      </c>
    </row>
    <row r="5694" spans="2:7" x14ac:dyDescent="0.25">
      <c r="B5694" s="6"/>
      <c r="C5694" s="7"/>
      <c r="D5694" s="7"/>
      <c r="E5694" s="8"/>
      <c r="F5694" t="str">
        <f t="shared" si="203"/>
        <v/>
      </c>
      <c r="G5694" t="str">
        <f t="shared" si="204"/>
        <v/>
      </c>
    </row>
    <row r="5695" spans="2:7" x14ac:dyDescent="0.25">
      <c r="B5695" s="6"/>
      <c r="C5695" s="7"/>
      <c r="D5695" s="7"/>
      <c r="E5695" s="8"/>
      <c r="F5695" t="str">
        <f t="shared" si="203"/>
        <v/>
      </c>
      <c r="G5695" t="str">
        <f t="shared" si="204"/>
        <v/>
      </c>
    </row>
    <row r="5696" spans="2:7" x14ac:dyDescent="0.25">
      <c r="B5696" s="6"/>
      <c r="C5696" s="7"/>
      <c r="D5696" s="7"/>
      <c r="E5696" s="8"/>
      <c r="F5696" t="str">
        <f t="shared" si="203"/>
        <v/>
      </c>
      <c r="G5696" t="str">
        <f t="shared" si="204"/>
        <v/>
      </c>
    </row>
    <row r="5697" spans="2:7" x14ac:dyDescent="0.25">
      <c r="B5697" s="6"/>
      <c r="C5697" s="7"/>
      <c r="D5697" s="7"/>
      <c r="E5697" s="8"/>
      <c r="F5697" t="str">
        <f t="shared" si="203"/>
        <v/>
      </c>
      <c r="G5697" t="str">
        <f t="shared" si="204"/>
        <v/>
      </c>
    </row>
    <row r="5698" spans="2:7" x14ac:dyDescent="0.25">
      <c r="B5698" s="6"/>
      <c r="C5698" s="7"/>
      <c r="D5698" s="7"/>
      <c r="E5698" s="8"/>
      <c r="F5698" t="str">
        <f t="shared" si="203"/>
        <v/>
      </c>
      <c r="G5698" t="str">
        <f t="shared" si="204"/>
        <v/>
      </c>
    </row>
    <row r="5699" spans="2:7" x14ac:dyDescent="0.25">
      <c r="B5699" s="6"/>
      <c r="C5699" s="7"/>
      <c r="D5699" s="7"/>
      <c r="E5699" s="8"/>
      <c r="F5699" t="str">
        <f t="shared" si="203"/>
        <v/>
      </c>
      <c r="G5699" t="str">
        <f t="shared" si="204"/>
        <v/>
      </c>
    </row>
    <row r="5700" spans="2:7" x14ac:dyDescent="0.25">
      <c r="B5700" s="6"/>
      <c r="C5700" s="7"/>
      <c r="D5700" s="7"/>
      <c r="E5700" s="8"/>
      <c r="F5700" t="str">
        <f t="shared" ref="F5700:F5763" si="205">IF(B5700="","",LOG10(D5700))</f>
        <v/>
      </c>
      <c r="G5700" t="str">
        <f t="shared" ref="G5700:G5763" si="206">IF(E5700="", "",0.434*E5700/D5700)</f>
        <v/>
      </c>
    </row>
    <row r="5701" spans="2:7" x14ac:dyDescent="0.25">
      <c r="B5701" s="6"/>
      <c r="C5701" s="7"/>
      <c r="D5701" s="7"/>
      <c r="E5701" s="8"/>
      <c r="F5701" t="str">
        <f t="shared" si="205"/>
        <v/>
      </c>
      <c r="G5701" t="str">
        <f t="shared" si="206"/>
        <v/>
      </c>
    </row>
    <row r="5702" spans="2:7" x14ac:dyDescent="0.25">
      <c r="B5702" s="6"/>
      <c r="C5702" s="7"/>
      <c r="D5702" s="7"/>
      <c r="E5702" s="8"/>
      <c r="F5702" t="str">
        <f t="shared" si="205"/>
        <v/>
      </c>
      <c r="G5702" t="str">
        <f t="shared" si="206"/>
        <v/>
      </c>
    </row>
    <row r="5703" spans="2:7" x14ac:dyDescent="0.25">
      <c r="B5703" s="6"/>
      <c r="C5703" s="7"/>
      <c r="D5703" s="7"/>
      <c r="E5703" s="8"/>
      <c r="F5703" t="str">
        <f t="shared" si="205"/>
        <v/>
      </c>
      <c r="G5703" t="str">
        <f t="shared" si="206"/>
        <v/>
      </c>
    </row>
    <row r="5704" spans="2:7" x14ac:dyDescent="0.25">
      <c r="B5704" s="6"/>
      <c r="C5704" s="7"/>
      <c r="D5704" s="7"/>
      <c r="E5704" s="8"/>
      <c r="F5704" t="str">
        <f t="shared" si="205"/>
        <v/>
      </c>
      <c r="G5704" t="str">
        <f t="shared" si="206"/>
        <v/>
      </c>
    </row>
    <row r="5705" spans="2:7" x14ac:dyDescent="0.25">
      <c r="B5705" s="6"/>
      <c r="C5705" s="7"/>
      <c r="D5705" s="7"/>
      <c r="E5705" s="8"/>
      <c r="F5705" t="str">
        <f t="shared" si="205"/>
        <v/>
      </c>
      <c r="G5705" t="str">
        <f t="shared" si="206"/>
        <v/>
      </c>
    </row>
    <row r="5706" spans="2:7" x14ac:dyDescent="0.25">
      <c r="B5706" s="6"/>
      <c r="C5706" s="7"/>
      <c r="D5706" s="7"/>
      <c r="E5706" s="8"/>
      <c r="F5706" t="str">
        <f t="shared" si="205"/>
        <v/>
      </c>
      <c r="G5706" t="str">
        <f t="shared" si="206"/>
        <v/>
      </c>
    </row>
    <row r="5707" spans="2:7" x14ac:dyDescent="0.25">
      <c r="B5707" s="6"/>
      <c r="C5707" s="7"/>
      <c r="D5707" s="7"/>
      <c r="E5707" s="8"/>
      <c r="F5707" t="str">
        <f t="shared" si="205"/>
        <v/>
      </c>
      <c r="G5707" t="str">
        <f t="shared" si="206"/>
        <v/>
      </c>
    </row>
    <row r="5708" spans="2:7" x14ac:dyDescent="0.25">
      <c r="B5708" s="6"/>
      <c r="C5708" s="7"/>
      <c r="D5708" s="7"/>
      <c r="E5708" s="8"/>
      <c r="F5708" t="str">
        <f t="shared" si="205"/>
        <v/>
      </c>
      <c r="G5708" t="str">
        <f t="shared" si="206"/>
        <v/>
      </c>
    </row>
    <row r="5709" spans="2:7" x14ac:dyDescent="0.25">
      <c r="B5709" s="6"/>
      <c r="C5709" s="7"/>
      <c r="D5709" s="7"/>
      <c r="E5709" s="8"/>
      <c r="F5709" t="str">
        <f t="shared" si="205"/>
        <v/>
      </c>
      <c r="G5709" t="str">
        <f t="shared" si="206"/>
        <v/>
      </c>
    </row>
    <row r="5710" spans="2:7" x14ac:dyDescent="0.25">
      <c r="B5710" s="6"/>
      <c r="C5710" s="7"/>
      <c r="D5710" s="7"/>
      <c r="E5710" s="8"/>
      <c r="F5710" t="str">
        <f t="shared" si="205"/>
        <v/>
      </c>
      <c r="G5710" t="str">
        <f t="shared" si="206"/>
        <v/>
      </c>
    </row>
    <row r="5711" spans="2:7" x14ac:dyDescent="0.25">
      <c r="B5711" s="6"/>
      <c r="C5711" s="7"/>
      <c r="D5711" s="7"/>
      <c r="E5711" s="8"/>
      <c r="F5711" t="str">
        <f t="shared" si="205"/>
        <v/>
      </c>
      <c r="G5711" t="str">
        <f t="shared" si="206"/>
        <v/>
      </c>
    </row>
    <row r="5712" spans="2:7" x14ac:dyDescent="0.25">
      <c r="B5712" s="6"/>
      <c r="C5712" s="7"/>
      <c r="D5712" s="7"/>
      <c r="E5712" s="8"/>
      <c r="F5712" t="str">
        <f t="shared" si="205"/>
        <v/>
      </c>
      <c r="G5712" t="str">
        <f t="shared" si="206"/>
        <v/>
      </c>
    </row>
    <row r="5713" spans="2:7" x14ac:dyDescent="0.25">
      <c r="B5713" s="6"/>
      <c r="C5713" s="7"/>
      <c r="D5713" s="7"/>
      <c r="E5713" s="8"/>
      <c r="F5713" t="str">
        <f t="shared" si="205"/>
        <v/>
      </c>
      <c r="G5713" t="str">
        <f t="shared" si="206"/>
        <v/>
      </c>
    </row>
    <row r="5714" spans="2:7" x14ac:dyDescent="0.25">
      <c r="B5714" s="6"/>
      <c r="C5714" s="7"/>
      <c r="D5714" s="7"/>
      <c r="E5714" s="8"/>
      <c r="F5714" t="str">
        <f t="shared" si="205"/>
        <v/>
      </c>
      <c r="G5714" t="str">
        <f t="shared" si="206"/>
        <v/>
      </c>
    </row>
    <row r="5715" spans="2:7" x14ac:dyDescent="0.25">
      <c r="B5715" s="6"/>
      <c r="C5715" s="7"/>
      <c r="D5715" s="7"/>
      <c r="E5715" s="8"/>
      <c r="F5715" t="str">
        <f t="shared" si="205"/>
        <v/>
      </c>
      <c r="G5715" t="str">
        <f t="shared" si="206"/>
        <v/>
      </c>
    </row>
    <row r="5716" spans="2:7" x14ac:dyDescent="0.25">
      <c r="B5716" s="6"/>
      <c r="C5716" s="7"/>
      <c r="D5716" s="7"/>
      <c r="E5716" s="8"/>
      <c r="F5716" t="str">
        <f t="shared" si="205"/>
        <v/>
      </c>
      <c r="G5716" t="str">
        <f t="shared" si="206"/>
        <v/>
      </c>
    </row>
    <row r="5717" spans="2:7" x14ac:dyDescent="0.25">
      <c r="B5717" s="6"/>
      <c r="C5717" s="7"/>
      <c r="D5717" s="7"/>
      <c r="E5717" s="8"/>
      <c r="F5717" t="str">
        <f t="shared" si="205"/>
        <v/>
      </c>
      <c r="G5717" t="str">
        <f t="shared" si="206"/>
        <v/>
      </c>
    </row>
    <row r="5718" spans="2:7" x14ac:dyDescent="0.25">
      <c r="B5718" s="6"/>
      <c r="C5718" s="7"/>
      <c r="D5718" s="7"/>
      <c r="E5718" s="8"/>
      <c r="F5718" t="str">
        <f t="shared" si="205"/>
        <v/>
      </c>
      <c r="G5718" t="str">
        <f t="shared" si="206"/>
        <v/>
      </c>
    </row>
    <row r="5719" spans="2:7" x14ac:dyDescent="0.25">
      <c r="B5719" s="6"/>
      <c r="C5719" s="7"/>
      <c r="D5719" s="7"/>
      <c r="E5719" s="8"/>
      <c r="F5719" t="str">
        <f t="shared" si="205"/>
        <v/>
      </c>
      <c r="G5719" t="str">
        <f t="shared" si="206"/>
        <v/>
      </c>
    </row>
    <row r="5720" spans="2:7" x14ac:dyDescent="0.25">
      <c r="B5720" s="6"/>
      <c r="C5720" s="7"/>
      <c r="D5720" s="7"/>
      <c r="E5720" s="8"/>
      <c r="F5720" t="str">
        <f t="shared" si="205"/>
        <v/>
      </c>
      <c r="G5720" t="str">
        <f t="shared" si="206"/>
        <v/>
      </c>
    </row>
    <row r="5721" spans="2:7" x14ac:dyDescent="0.25">
      <c r="B5721" s="6"/>
      <c r="C5721" s="7"/>
      <c r="D5721" s="7"/>
      <c r="E5721" s="8"/>
      <c r="F5721" t="str">
        <f t="shared" si="205"/>
        <v/>
      </c>
      <c r="G5721" t="str">
        <f t="shared" si="206"/>
        <v/>
      </c>
    </row>
    <row r="5722" spans="2:7" x14ac:dyDescent="0.25">
      <c r="B5722" s="6"/>
      <c r="C5722" s="7"/>
      <c r="D5722" s="7"/>
      <c r="E5722" s="8"/>
      <c r="F5722" t="str">
        <f t="shared" si="205"/>
        <v/>
      </c>
      <c r="G5722" t="str">
        <f t="shared" si="206"/>
        <v/>
      </c>
    </row>
    <row r="5723" spans="2:7" x14ac:dyDescent="0.25">
      <c r="B5723" s="6"/>
      <c r="C5723" s="7"/>
      <c r="D5723" s="7"/>
      <c r="E5723" s="8"/>
      <c r="F5723" t="str">
        <f t="shared" si="205"/>
        <v/>
      </c>
      <c r="G5723" t="str">
        <f t="shared" si="206"/>
        <v/>
      </c>
    </row>
    <row r="5724" spans="2:7" x14ac:dyDescent="0.25">
      <c r="B5724" s="6"/>
      <c r="C5724" s="7"/>
      <c r="D5724" s="7"/>
      <c r="E5724" s="8"/>
      <c r="F5724" t="str">
        <f t="shared" si="205"/>
        <v/>
      </c>
      <c r="G5724" t="str">
        <f t="shared" si="206"/>
        <v/>
      </c>
    </row>
    <row r="5725" spans="2:7" x14ac:dyDescent="0.25">
      <c r="B5725" s="6"/>
      <c r="C5725" s="7"/>
      <c r="D5725" s="7"/>
      <c r="E5725" s="8"/>
      <c r="F5725" t="str">
        <f t="shared" si="205"/>
        <v/>
      </c>
      <c r="G5725" t="str">
        <f t="shared" si="206"/>
        <v/>
      </c>
    </row>
    <row r="5726" spans="2:7" x14ac:dyDescent="0.25">
      <c r="B5726" s="6"/>
      <c r="C5726" s="7"/>
      <c r="D5726" s="7"/>
      <c r="E5726" s="8"/>
      <c r="F5726" t="str">
        <f t="shared" si="205"/>
        <v/>
      </c>
      <c r="G5726" t="str">
        <f t="shared" si="206"/>
        <v/>
      </c>
    </row>
    <row r="5727" spans="2:7" x14ac:dyDescent="0.25">
      <c r="B5727" s="6"/>
      <c r="C5727" s="7"/>
      <c r="D5727" s="7"/>
      <c r="E5727" s="8"/>
      <c r="F5727" t="str">
        <f t="shared" si="205"/>
        <v/>
      </c>
      <c r="G5727" t="str">
        <f t="shared" si="206"/>
        <v/>
      </c>
    </row>
    <row r="5728" spans="2:7" x14ac:dyDescent="0.25">
      <c r="B5728" s="6"/>
      <c r="C5728" s="7"/>
      <c r="D5728" s="7"/>
      <c r="E5728" s="8"/>
      <c r="F5728" t="str">
        <f t="shared" si="205"/>
        <v/>
      </c>
      <c r="G5728" t="str">
        <f t="shared" si="206"/>
        <v/>
      </c>
    </row>
    <row r="5729" spans="2:7" x14ac:dyDescent="0.25">
      <c r="B5729" s="6"/>
      <c r="C5729" s="7"/>
      <c r="D5729" s="7"/>
      <c r="E5729" s="8"/>
      <c r="F5729" t="str">
        <f t="shared" si="205"/>
        <v/>
      </c>
      <c r="G5729" t="str">
        <f t="shared" si="206"/>
        <v/>
      </c>
    </row>
    <row r="5730" spans="2:7" x14ac:dyDescent="0.25">
      <c r="B5730" s="6"/>
      <c r="C5730" s="7"/>
      <c r="D5730" s="7"/>
      <c r="E5730" s="8"/>
      <c r="F5730" t="str">
        <f t="shared" si="205"/>
        <v/>
      </c>
      <c r="G5730" t="str">
        <f t="shared" si="206"/>
        <v/>
      </c>
    </row>
    <row r="5731" spans="2:7" x14ac:dyDescent="0.25">
      <c r="B5731" s="6"/>
      <c r="C5731" s="7"/>
      <c r="D5731" s="7"/>
      <c r="E5731" s="8"/>
      <c r="F5731" t="str">
        <f t="shared" si="205"/>
        <v/>
      </c>
      <c r="G5731" t="str">
        <f t="shared" si="206"/>
        <v/>
      </c>
    </row>
    <row r="5732" spans="2:7" x14ac:dyDescent="0.25">
      <c r="B5732" s="6"/>
      <c r="C5732" s="7"/>
      <c r="D5732" s="7"/>
      <c r="E5732" s="8"/>
      <c r="F5732" t="str">
        <f t="shared" si="205"/>
        <v/>
      </c>
      <c r="G5732" t="str">
        <f t="shared" si="206"/>
        <v/>
      </c>
    </row>
    <row r="5733" spans="2:7" x14ac:dyDescent="0.25">
      <c r="B5733" s="6"/>
      <c r="C5733" s="7"/>
      <c r="D5733" s="7"/>
      <c r="E5733" s="8"/>
      <c r="F5733" t="str">
        <f t="shared" si="205"/>
        <v/>
      </c>
      <c r="G5733" t="str">
        <f t="shared" si="206"/>
        <v/>
      </c>
    </row>
    <row r="5734" spans="2:7" x14ac:dyDescent="0.25">
      <c r="B5734" s="6"/>
      <c r="C5734" s="7"/>
      <c r="D5734" s="7"/>
      <c r="E5734" s="8"/>
      <c r="F5734" t="str">
        <f t="shared" si="205"/>
        <v/>
      </c>
      <c r="G5734" t="str">
        <f t="shared" si="206"/>
        <v/>
      </c>
    </row>
    <row r="5735" spans="2:7" x14ac:dyDescent="0.25">
      <c r="B5735" s="6"/>
      <c r="C5735" s="7"/>
      <c r="D5735" s="7"/>
      <c r="E5735" s="8"/>
      <c r="F5735" t="str">
        <f t="shared" si="205"/>
        <v/>
      </c>
      <c r="G5735" t="str">
        <f t="shared" si="206"/>
        <v/>
      </c>
    </row>
    <row r="5736" spans="2:7" x14ac:dyDescent="0.25">
      <c r="B5736" s="6"/>
      <c r="C5736" s="7"/>
      <c r="D5736" s="7"/>
      <c r="E5736" s="8"/>
      <c r="F5736" t="str">
        <f t="shared" si="205"/>
        <v/>
      </c>
      <c r="G5736" t="str">
        <f t="shared" si="206"/>
        <v/>
      </c>
    </row>
    <row r="5737" spans="2:7" x14ac:dyDescent="0.25">
      <c r="B5737" s="6"/>
      <c r="C5737" s="7"/>
      <c r="D5737" s="7"/>
      <c r="E5737" s="8"/>
      <c r="F5737" t="str">
        <f t="shared" si="205"/>
        <v/>
      </c>
      <c r="G5737" t="str">
        <f t="shared" si="206"/>
        <v/>
      </c>
    </row>
    <row r="5738" spans="2:7" x14ac:dyDescent="0.25">
      <c r="B5738" s="6"/>
      <c r="C5738" s="7"/>
      <c r="D5738" s="7"/>
      <c r="E5738" s="8"/>
      <c r="F5738" t="str">
        <f t="shared" si="205"/>
        <v/>
      </c>
      <c r="G5738" t="str">
        <f t="shared" si="206"/>
        <v/>
      </c>
    </row>
    <row r="5739" spans="2:7" x14ac:dyDescent="0.25">
      <c r="B5739" s="6"/>
      <c r="C5739" s="7"/>
      <c r="D5739" s="7"/>
      <c r="E5739" s="8"/>
      <c r="F5739" t="str">
        <f t="shared" si="205"/>
        <v/>
      </c>
      <c r="G5739" t="str">
        <f t="shared" si="206"/>
        <v/>
      </c>
    </row>
    <row r="5740" spans="2:7" x14ac:dyDescent="0.25">
      <c r="B5740" s="6"/>
      <c r="C5740" s="7"/>
      <c r="D5740" s="7"/>
      <c r="E5740" s="8"/>
      <c r="F5740" t="str">
        <f t="shared" si="205"/>
        <v/>
      </c>
      <c r="G5740" t="str">
        <f t="shared" si="206"/>
        <v/>
      </c>
    </row>
    <row r="5741" spans="2:7" x14ac:dyDescent="0.25">
      <c r="B5741" s="6"/>
      <c r="C5741" s="7"/>
      <c r="D5741" s="7"/>
      <c r="E5741" s="8"/>
      <c r="F5741" t="str">
        <f t="shared" si="205"/>
        <v/>
      </c>
      <c r="G5741" t="str">
        <f t="shared" si="206"/>
        <v/>
      </c>
    </row>
    <row r="5742" spans="2:7" x14ac:dyDescent="0.25">
      <c r="B5742" s="6"/>
      <c r="C5742" s="7"/>
      <c r="D5742" s="7"/>
      <c r="E5742" s="8"/>
      <c r="F5742" t="str">
        <f t="shared" si="205"/>
        <v/>
      </c>
      <c r="G5742" t="str">
        <f t="shared" si="206"/>
        <v/>
      </c>
    </row>
    <row r="5743" spans="2:7" x14ac:dyDescent="0.25">
      <c r="B5743" s="6"/>
      <c r="C5743" s="7"/>
      <c r="D5743" s="7"/>
      <c r="E5743" s="8"/>
      <c r="F5743" t="str">
        <f t="shared" si="205"/>
        <v/>
      </c>
      <c r="G5743" t="str">
        <f t="shared" si="206"/>
        <v/>
      </c>
    </row>
    <row r="5744" spans="2:7" x14ac:dyDescent="0.25">
      <c r="B5744" s="6"/>
      <c r="C5744" s="7"/>
      <c r="D5744" s="7"/>
      <c r="E5744" s="8"/>
      <c r="F5744" t="str">
        <f t="shared" si="205"/>
        <v/>
      </c>
      <c r="G5744" t="str">
        <f t="shared" si="206"/>
        <v/>
      </c>
    </row>
    <row r="5745" spans="2:7" x14ac:dyDescent="0.25">
      <c r="B5745" s="6"/>
      <c r="C5745" s="7"/>
      <c r="D5745" s="7"/>
      <c r="E5745" s="8"/>
      <c r="F5745" t="str">
        <f t="shared" si="205"/>
        <v/>
      </c>
      <c r="G5745" t="str">
        <f t="shared" si="206"/>
        <v/>
      </c>
    </row>
    <row r="5746" spans="2:7" x14ac:dyDescent="0.25">
      <c r="B5746" s="6"/>
      <c r="C5746" s="7"/>
      <c r="D5746" s="7"/>
      <c r="E5746" s="8"/>
      <c r="F5746" t="str">
        <f t="shared" si="205"/>
        <v/>
      </c>
      <c r="G5746" t="str">
        <f t="shared" si="206"/>
        <v/>
      </c>
    </row>
    <row r="5747" spans="2:7" x14ac:dyDescent="0.25">
      <c r="B5747" s="6"/>
      <c r="C5747" s="7"/>
      <c r="D5747" s="7"/>
      <c r="E5747" s="8"/>
      <c r="F5747" t="str">
        <f t="shared" si="205"/>
        <v/>
      </c>
      <c r="G5747" t="str">
        <f t="shared" si="206"/>
        <v/>
      </c>
    </row>
    <row r="5748" spans="2:7" x14ac:dyDescent="0.25">
      <c r="B5748" s="6"/>
      <c r="C5748" s="7"/>
      <c r="D5748" s="7"/>
      <c r="E5748" s="8"/>
      <c r="F5748" t="str">
        <f t="shared" si="205"/>
        <v/>
      </c>
      <c r="G5748" t="str">
        <f t="shared" si="206"/>
        <v/>
      </c>
    </row>
    <row r="5749" spans="2:7" x14ac:dyDescent="0.25">
      <c r="B5749" s="6"/>
      <c r="C5749" s="7"/>
      <c r="D5749" s="7"/>
      <c r="E5749" s="8"/>
      <c r="F5749" t="str">
        <f t="shared" si="205"/>
        <v/>
      </c>
      <c r="G5749" t="str">
        <f t="shared" si="206"/>
        <v/>
      </c>
    </row>
    <row r="5750" spans="2:7" x14ac:dyDescent="0.25">
      <c r="B5750" s="6"/>
      <c r="C5750" s="7"/>
      <c r="D5750" s="7"/>
      <c r="E5750" s="8"/>
      <c r="F5750" t="str">
        <f t="shared" si="205"/>
        <v/>
      </c>
      <c r="G5750" t="str">
        <f t="shared" si="206"/>
        <v/>
      </c>
    </row>
    <row r="5751" spans="2:7" x14ac:dyDescent="0.25">
      <c r="B5751" s="6"/>
      <c r="C5751" s="7"/>
      <c r="D5751" s="7"/>
      <c r="E5751" s="8"/>
      <c r="F5751" t="str">
        <f t="shared" si="205"/>
        <v/>
      </c>
      <c r="G5751" t="str">
        <f t="shared" si="206"/>
        <v/>
      </c>
    </row>
    <row r="5752" spans="2:7" x14ac:dyDescent="0.25">
      <c r="B5752" s="6"/>
      <c r="C5752" s="7"/>
      <c r="D5752" s="7"/>
      <c r="E5752" s="8"/>
      <c r="F5752" t="str">
        <f t="shared" si="205"/>
        <v/>
      </c>
      <c r="G5752" t="str">
        <f t="shared" si="206"/>
        <v/>
      </c>
    </row>
    <row r="5753" spans="2:7" x14ac:dyDescent="0.25">
      <c r="B5753" s="6"/>
      <c r="C5753" s="7"/>
      <c r="D5753" s="7"/>
      <c r="E5753" s="8"/>
      <c r="F5753" t="str">
        <f t="shared" si="205"/>
        <v/>
      </c>
      <c r="G5753" t="str">
        <f t="shared" si="206"/>
        <v/>
      </c>
    </row>
    <row r="5754" spans="2:7" x14ac:dyDescent="0.25">
      <c r="B5754" s="6"/>
      <c r="C5754" s="7"/>
      <c r="D5754" s="7"/>
      <c r="E5754" s="8"/>
      <c r="F5754" t="str">
        <f t="shared" si="205"/>
        <v/>
      </c>
      <c r="G5754" t="str">
        <f t="shared" si="206"/>
        <v/>
      </c>
    </row>
    <row r="5755" spans="2:7" x14ac:dyDescent="0.25">
      <c r="B5755" s="6"/>
      <c r="C5755" s="7"/>
      <c r="D5755" s="7"/>
      <c r="E5755" s="8"/>
      <c r="F5755" t="str">
        <f t="shared" si="205"/>
        <v/>
      </c>
      <c r="G5755" t="str">
        <f t="shared" si="206"/>
        <v/>
      </c>
    </row>
    <row r="5756" spans="2:7" x14ac:dyDescent="0.25">
      <c r="B5756" s="6"/>
      <c r="C5756" s="7"/>
      <c r="D5756" s="7"/>
      <c r="E5756" s="8"/>
      <c r="F5756" t="str">
        <f t="shared" si="205"/>
        <v/>
      </c>
      <c r="G5756" t="str">
        <f t="shared" si="206"/>
        <v/>
      </c>
    </row>
    <row r="5757" spans="2:7" x14ac:dyDescent="0.25">
      <c r="B5757" s="6"/>
      <c r="C5757" s="7"/>
      <c r="D5757" s="7"/>
      <c r="E5757" s="8"/>
      <c r="F5757" t="str">
        <f t="shared" si="205"/>
        <v/>
      </c>
      <c r="G5757" t="str">
        <f t="shared" si="206"/>
        <v/>
      </c>
    </row>
    <row r="5758" spans="2:7" x14ac:dyDescent="0.25">
      <c r="B5758" s="6"/>
      <c r="C5758" s="7"/>
      <c r="D5758" s="7"/>
      <c r="E5758" s="8"/>
      <c r="F5758" t="str">
        <f t="shared" si="205"/>
        <v/>
      </c>
      <c r="G5758" t="str">
        <f t="shared" si="206"/>
        <v/>
      </c>
    </row>
    <row r="5759" spans="2:7" x14ac:dyDescent="0.25">
      <c r="B5759" s="6"/>
      <c r="C5759" s="7"/>
      <c r="D5759" s="7"/>
      <c r="E5759" s="8"/>
      <c r="F5759" t="str">
        <f t="shared" si="205"/>
        <v/>
      </c>
      <c r="G5759" t="str">
        <f t="shared" si="206"/>
        <v/>
      </c>
    </row>
    <row r="5760" spans="2:7" x14ac:dyDescent="0.25">
      <c r="B5760" s="6"/>
      <c r="C5760" s="7"/>
      <c r="D5760" s="7"/>
      <c r="E5760" s="8"/>
      <c r="F5760" t="str">
        <f t="shared" si="205"/>
        <v/>
      </c>
      <c r="G5760" t="str">
        <f t="shared" si="206"/>
        <v/>
      </c>
    </row>
    <row r="5761" spans="2:7" x14ac:dyDescent="0.25">
      <c r="B5761" s="6"/>
      <c r="C5761" s="7"/>
      <c r="D5761" s="7"/>
      <c r="E5761" s="8"/>
      <c r="F5761" t="str">
        <f t="shared" si="205"/>
        <v/>
      </c>
      <c r="G5761" t="str">
        <f t="shared" si="206"/>
        <v/>
      </c>
    </row>
    <row r="5762" spans="2:7" x14ac:dyDescent="0.25">
      <c r="B5762" s="6"/>
      <c r="C5762" s="7"/>
      <c r="D5762" s="7"/>
      <c r="E5762" s="8"/>
      <c r="F5762" t="str">
        <f t="shared" si="205"/>
        <v/>
      </c>
      <c r="G5762" t="str">
        <f t="shared" si="206"/>
        <v/>
      </c>
    </row>
    <row r="5763" spans="2:7" x14ac:dyDescent="0.25">
      <c r="B5763" s="6"/>
      <c r="C5763" s="7"/>
      <c r="D5763" s="7"/>
      <c r="E5763" s="8"/>
      <c r="F5763" t="str">
        <f t="shared" si="205"/>
        <v/>
      </c>
      <c r="G5763" t="str">
        <f t="shared" si="206"/>
        <v/>
      </c>
    </row>
    <row r="5764" spans="2:7" x14ac:dyDescent="0.25">
      <c r="B5764" s="6"/>
      <c r="C5764" s="7"/>
      <c r="D5764" s="7"/>
      <c r="E5764" s="8"/>
      <c r="F5764" t="str">
        <f t="shared" ref="F5764:F5827" si="207">IF(B5764="","",LOG10(D5764))</f>
        <v/>
      </c>
      <c r="G5764" t="str">
        <f t="shared" ref="G5764:G5827" si="208">IF(E5764="", "",0.434*E5764/D5764)</f>
        <v/>
      </c>
    </row>
    <row r="5765" spans="2:7" x14ac:dyDescent="0.25">
      <c r="B5765" s="6"/>
      <c r="C5765" s="7"/>
      <c r="D5765" s="7"/>
      <c r="E5765" s="8"/>
      <c r="F5765" t="str">
        <f t="shared" si="207"/>
        <v/>
      </c>
      <c r="G5765" t="str">
        <f t="shared" si="208"/>
        <v/>
      </c>
    </row>
    <row r="5766" spans="2:7" x14ac:dyDescent="0.25">
      <c r="B5766" s="6"/>
      <c r="C5766" s="7"/>
      <c r="D5766" s="7"/>
      <c r="E5766" s="8"/>
      <c r="F5766" t="str">
        <f t="shared" si="207"/>
        <v/>
      </c>
      <c r="G5766" t="str">
        <f t="shared" si="208"/>
        <v/>
      </c>
    </row>
    <row r="5767" spans="2:7" x14ac:dyDescent="0.25">
      <c r="B5767" s="6"/>
      <c r="C5767" s="7"/>
      <c r="D5767" s="7"/>
      <c r="E5767" s="8"/>
      <c r="F5767" t="str">
        <f t="shared" si="207"/>
        <v/>
      </c>
      <c r="G5767" t="str">
        <f t="shared" si="208"/>
        <v/>
      </c>
    </row>
    <row r="5768" spans="2:7" x14ac:dyDescent="0.25">
      <c r="B5768" s="6"/>
      <c r="C5768" s="7"/>
      <c r="D5768" s="7"/>
      <c r="E5768" s="8"/>
      <c r="F5768" t="str">
        <f t="shared" si="207"/>
        <v/>
      </c>
      <c r="G5768" t="str">
        <f t="shared" si="208"/>
        <v/>
      </c>
    </row>
    <row r="5769" spans="2:7" x14ac:dyDescent="0.25">
      <c r="B5769" s="6"/>
      <c r="C5769" s="7"/>
      <c r="D5769" s="7"/>
      <c r="E5769" s="8"/>
      <c r="F5769" t="str">
        <f t="shared" si="207"/>
        <v/>
      </c>
      <c r="G5769" t="str">
        <f t="shared" si="208"/>
        <v/>
      </c>
    </row>
    <row r="5770" spans="2:7" x14ac:dyDescent="0.25">
      <c r="B5770" s="6"/>
      <c r="C5770" s="7"/>
      <c r="D5770" s="7"/>
      <c r="E5770" s="8"/>
      <c r="F5770" t="str">
        <f t="shared" si="207"/>
        <v/>
      </c>
      <c r="G5770" t="str">
        <f t="shared" si="208"/>
        <v/>
      </c>
    </row>
    <row r="5771" spans="2:7" x14ac:dyDescent="0.25">
      <c r="B5771" s="6"/>
      <c r="C5771" s="7"/>
      <c r="D5771" s="7"/>
      <c r="E5771" s="8"/>
      <c r="F5771" t="str">
        <f t="shared" si="207"/>
        <v/>
      </c>
      <c r="G5771" t="str">
        <f t="shared" si="208"/>
        <v/>
      </c>
    </row>
    <row r="5772" spans="2:7" x14ac:dyDescent="0.25">
      <c r="B5772" s="6"/>
      <c r="C5772" s="7"/>
      <c r="D5772" s="7"/>
      <c r="E5772" s="8"/>
      <c r="F5772" t="str">
        <f t="shared" si="207"/>
        <v/>
      </c>
      <c r="G5772" t="str">
        <f t="shared" si="208"/>
        <v/>
      </c>
    </row>
    <row r="5773" spans="2:7" x14ac:dyDescent="0.25">
      <c r="B5773" s="6"/>
      <c r="C5773" s="7"/>
      <c r="D5773" s="7"/>
      <c r="E5773" s="8"/>
      <c r="F5773" t="str">
        <f t="shared" si="207"/>
        <v/>
      </c>
      <c r="G5773" t="str">
        <f t="shared" si="208"/>
        <v/>
      </c>
    </row>
    <row r="5774" spans="2:7" x14ac:dyDescent="0.25">
      <c r="B5774" s="6"/>
      <c r="C5774" s="7"/>
      <c r="D5774" s="7"/>
      <c r="E5774" s="8"/>
      <c r="F5774" t="str">
        <f t="shared" si="207"/>
        <v/>
      </c>
      <c r="G5774" t="str">
        <f t="shared" si="208"/>
        <v/>
      </c>
    </row>
    <row r="5775" spans="2:7" x14ac:dyDescent="0.25">
      <c r="B5775" s="6"/>
      <c r="C5775" s="7"/>
      <c r="D5775" s="7"/>
      <c r="E5775" s="8"/>
      <c r="F5775" t="str">
        <f t="shared" si="207"/>
        <v/>
      </c>
      <c r="G5775" t="str">
        <f t="shared" si="208"/>
        <v/>
      </c>
    </row>
    <row r="5776" spans="2:7" x14ac:dyDescent="0.25">
      <c r="B5776" s="6"/>
      <c r="C5776" s="7"/>
      <c r="D5776" s="7"/>
      <c r="E5776" s="8"/>
      <c r="F5776" t="str">
        <f t="shared" si="207"/>
        <v/>
      </c>
      <c r="G5776" t="str">
        <f t="shared" si="208"/>
        <v/>
      </c>
    </row>
    <row r="5777" spans="2:7" x14ac:dyDescent="0.25">
      <c r="B5777" s="6"/>
      <c r="C5777" s="7"/>
      <c r="D5777" s="7"/>
      <c r="E5777" s="8"/>
      <c r="F5777" t="str">
        <f t="shared" si="207"/>
        <v/>
      </c>
      <c r="G5777" t="str">
        <f t="shared" si="208"/>
        <v/>
      </c>
    </row>
    <row r="5778" spans="2:7" x14ac:dyDescent="0.25">
      <c r="B5778" s="6"/>
      <c r="C5778" s="7"/>
      <c r="D5778" s="7"/>
      <c r="E5778" s="8"/>
      <c r="F5778" t="str">
        <f t="shared" si="207"/>
        <v/>
      </c>
      <c r="G5778" t="str">
        <f t="shared" si="208"/>
        <v/>
      </c>
    </row>
    <row r="5779" spans="2:7" x14ac:dyDescent="0.25">
      <c r="B5779" s="6"/>
      <c r="C5779" s="7"/>
      <c r="D5779" s="7"/>
      <c r="E5779" s="8"/>
      <c r="F5779" t="str">
        <f t="shared" si="207"/>
        <v/>
      </c>
      <c r="G5779" t="str">
        <f t="shared" si="208"/>
        <v/>
      </c>
    </row>
    <row r="5780" spans="2:7" x14ac:dyDescent="0.25">
      <c r="B5780" s="6"/>
      <c r="C5780" s="7"/>
      <c r="D5780" s="7"/>
      <c r="E5780" s="8"/>
      <c r="F5780" t="str">
        <f t="shared" si="207"/>
        <v/>
      </c>
      <c r="G5780" t="str">
        <f t="shared" si="208"/>
        <v/>
      </c>
    </row>
    <row r="5781" spans="2:7" x14ac:dyDescent="0.25">
      <c r="B5781" s="6"/>
      <c r="C5781" s="7"/>
      <c r="D5781" s="7"/>
      <c r="E5781" s="8"/>
      <c r="F5781" t="str">
        <f t="shared" si="207"/>
        <v/>
      </c>
      <c r="G5781" t="str">
        <f t="shared" si="208"/>
        <v/>
      </c>
    </row>
    <row r="5782" spans="2:7" x14ac:dyDescent="0.25">
      <c r="B5782" s="6"/>
      <c r="C5782" s="7"/>
      <c r="D5782" s="7"/>
      <c r="E5782" s="8"/>
      <c r="F5782" t="str">
        <f t="shared" si="207"/>
        <v/>
      </c>
      <c r="G5782" t="str">
        <f t="shared" si="208"/>
        <v/>
      </c>
    </row>
    <row r="5783" spans="2:7" x14ac:dyDescent="0.25">
      <c r="B5783" s="6"/>
      <c r="C5783" s="7"/>
      <c r="D5783" s="7"/>
      <c r="E5783" s="8"/>
      <c r="F5783" t="str">
        <f t="shared" si="207"/>
        <v/>
      </c>
      <c r="G5783" t="str">
        <f t="shared" si="208"/>
        <v/>
      </c>
    </row>
    <row r="5784" spans="2:7" x14ac:dyDescent="0.25">
      <c r="B5784" s="6"/>
      <c r="C5784" s="7"/>
      <c r="D5784" s="7"/>
      <c r="E5784" s="8"/>
      <c r="F5784" t="str">
        <f t="shared" si="207"/>
        <v/>
      </c>
      <c r="G5784" t="str">
        <f t="shared" si="208"/>
        <v/>
      </c>
    </row>
    <row r="5785" spans="2:7" x14ac:dyDescent="0.25">
      <c r="B5785" s="6"/>
      <c r="C5785" s="7"/>
      <c r="D5785" s="7"/>
      <c r="E5785" s="8"/>
      <c r="F5785" t="str">
        <f t="shared" si="207"/>
        <v/>
      </c>
      <c r="G5785" t="str">
        <f t="shared" si="208"/>
        <v/>
      </c>
    </row>
    <row r="5786" spans="2:7" x14ac:dyDescent="0.25">
      <c r="B5786" s="6"/>
      <c r="C5786" s="7"/>
      <c r="D5786" s="7"/>
      <c r="E5786" s="8"/>
      <c r="F5786" t="str">
        <f t="shared" si="207"/>
        <v/>
      </c>
      <c r="G5786" t="str">
        <f t="shared" si="208"/>
        <v/>
      </c>
    </row>
    <row r="5787" spans="2:7" x14ac:dyDescent="0.25">
      <c r="B5787" s="6"/>
      <c r="C5787" s="7"/>
      <c r="D5787" s="7"/>
      <c r="E5787" s="8"/>
      <c r="F5787" t="str">
        <f t="shared" si="207"/>
        <v/>
      </c>
      <c r="G5787" t="str">
        <f t="shared" si="208"/>
        <v/>
      </c>
    </row>
    <row r="5788" spans="2:7" x14ac:dyDescent="0.25">
      <c r="B5788" s="6"/>
      <c r="C5788" s="7"/>
      <c r="D5788" s="7"/>
      <c r="E5788" s="8"/>
      <c r="F5788" t="str">
        <f t="shared" si="207"/>
        <v/>
      </c>
      <c r="G5788" t="str">
        <f t="shared" si="208"/>
        <v/>
      </c>
    </row>
    <row r="5789" spans="2:7" x14ac:dyDescent="0.25">
      <c r="B5789" s="6"/>
      <c r="C5789" s="7"/>
      <c r="D5789" s="7"/>
      <c r="E5789" s="8"/>
      <c r="F5789" t="str">
        <f t="shared" si="207"/>
        <v/>
      </c>
      <c r="G5789" t="str">
        <f t="shared" si="208"/>
        <v/>
      </c>
    </row>
    <row r="5790" spans="2:7" x14ac:dyDescent="0.25">
      <c r="B5790" s="6"/>
      <c r="C5790" s="7"/>
      <c r="D5790" s="7"/>
      <c r="E5790" s="8"/>
      <c r="F5790" t="str">
        <f t="shared" si="207"/>
        <v/>
      </c>
      <c r="G5790" t="str">
        <f t="shared" si="208"/>
        <v/>
      </c>
    </row>
    <row r="5791" spans="2:7" x14ac:dyDescent="0.25">
      <c r="B5791" s="6"/>
      <c r="C5791" s="7"/>
      <c r="D5791" s="7"/>
      <c r="E5791" s="8"/>
      <c r="F5791" t="str">
        <f t="shared" si="207"/>
        <v/>
      </c>
      <c r="G5791" t="str">
        <f t="shared" si="208"/>
        <v/>
      </c>
    </row>
    <row r="5792" spans="2:7" x14ac:dyDescent="0.25">
      <c r="B5792" s="6"/>
      <c r="C5792" s="7"/>
      <c r="D5792" s="7"/>
      <c r="E5792" s="8"/>
      <c r="F5792" t="str">
        <f t="shared" si="207"/>
        <v/>
      </c>
      <c r="G5792" t="str">
        <f t="shared" si="208"/>
        <v/>
      </c>
    </row>
    <row r="5793" spans="2:7" x14ac:dyDescent="0.25">
      <c r="B5793" s="6"/>
      <c r="C5793" s="7"/>
      <c r="D5793" s="7"/>
      <c r="E5793" s="8"/>
      <c r="F5793" t="str">
        <f t="shared" si="207"/>
        <v/>
      </c>
      <c r="G5793" t="str">
        <f t="shared" si="208"/>
        <v/>
      </c>
    </row>
    <row r="5794" spans="2:7" x14ac:dyDescent="0.25">
      <c r="B5794" s="6"/>
      <c r="C5794" s="7"/>
      <c r="D5794" s="7"/>
      <c r="E5794" s="8"/>
      <c r="F5794" t="str">
        <f t="shared" si="207"/>
        <v/>
      </c>
      <c r="G5794" t="str">
        <f t="shared" si="208"/>
        <v/>
      </c>
    </row>
    <row r="5795" spans="2:7" x14ac:dyDescent="0.25">
      <c r="B5795" s="6"/>
      <c r="C5795" s="7"/>
      <c r="D5795" s="7"/>
      <c r="E5795" s="8"/>
      <c r="F5795" t="str">
        <f t="shared" si="207"/>
        <v/>
      </c>
      <c r="G5795" t="str">
        <f t="shared" si="208"/>
        <v/>
      </c>
    </row>
    <row r="5796" spans="2:7" x14ac:dyDescent="0.25">
      <c r="B5796" s="6"/>
      <c r="C5796" s="7"/>
      <c r="D5796" s="7"/>
      <c r="E5796" s="8"/>
      <c r="F5796" t="str">
        <f t="shared" si="207"/>
        <v/>
      </c>
      <c r="G5796" t="str">
        <f t="shared" si="208"/>
        <v/>
      </c>
    </row>
    <row r="5797" spans="2:7" x14ac:dyDescent="0.25">
      <c r="B5797" s="6"/>
      <c r="C5797" s="7"/>
      <c r="D5797" s="7"/>
      <c r="E5797" s="8"/>
      <c r="F5797" t="str">
        <f t="shared" si="207"/>
        <v/>
      </c>
      <c r="G5797" t="str">
        <f t="shared" si="208"/>
        <v/>
      </c>
    </row>
    <row r="5798" spans="2:7" x14ac:dyDescent="0.25">
      <c r="B5798" s="6"/>
      <c r="C5798" s="7"/>
      <c r="D5798" s="7"/>
      <c r="E5798" s="8"/>
      <c r="F5798" t="str">
        <f t="shared" si="207"/>
        <v/>
      </c>
      <c r="G5798" t="str">
        <f t="shared" si="208"/>
        <v/>
      </c>
    </row>
    <row r="5799" spans="2:7" x14ac:dyDescent="0.25">
      <c r="B5799" s="6"/>
      <c r="C5799" s="7"/>
      <c r="D5799" s="7"/>
      <c r="E5799" s="8"/>
      <c r="F5799" t="str">
        <f t="shared" si="207"/>
        <v/>
      </c>
      <c r="G5799" t="str">
        <f t="shared" si="208"/>
        <v/>
      </c>
    </row>
    <row r="5800" spans="2:7" x14ac:dyDescent="0.25">
      <c r="B5800" s="6"/>
      <c r="C5800" s="7"/>
      <c r="D5800" s="7"/>
      <c r="E5800" s="8"/>
      <c r="F5800" t="str">
        <f t="shared" si="207"/>
        <v/>
      </c>
      <c r="G5800" t="str">
        <f t="shared" si="208"/>
        <v/>
      </c>
    </row>
    <row r="5801" spans="2:7" x14ac:dyDescent="0.25">
      <c r="B5801" s="6"/>
      <c r="C5801" s="7"/>
      <c r="D5801" s="7"/>
      <c r="E5801" s="8"/>
      <c r="F5801" t="str">
        <f t="shared" si="207"/>
        <v/>
      </c>
      <c r="G5801" t="str">
        <f t="shared" si="208"/>
        <v/>
      </c>
    </row>
    <row r="5802" spans="2:7" x14ac:dyDescent="0.25">
      <c r="B5802" s="6"/>
      <c r="C5802" s="7"/>
      <c r="D5802" s="7"/>
      <c r="E5802" s="8"/>
      <c r="F5802" t="str">
        <f t="shared" si="207"/>
        <v/>
      </c>
      <c r="G5802" t="str">
        <f t="shared" si="208"/>
        <v/>
      </c>
    </row>
    <row r="5803" spans="2:7" x14ac:dyDescent="0.25">
      <c r="B5803" s="6"/>
      <c r="C5803" s="7"/>
      <c r="D5803" s="7"/>
      <c r="E5803" s="8"/>
      <c r="F5803" t="str">
        <f t="shared" si="207"/>
        <v/>
      </c>
      <c r="G5803" t="str">
        <f t="shared" si="208"/>
        <v/>
      </c>
    </row>
    <row r="5804" spans="2:7" x14ac:dyDescent="0.25">
      <c r="B5804" s="6"/>
      <c r="C5804" s="7"/>
      <c r="D5804" s="7"/>
      <c r="E5804" s="8"/>
      <c r="F5804" t="str">
        <f t="shared" si="207"/>
        <v/>
      </c>
      <c r="G5804" t="str">
        <f t="shared" si="208"/>
        <v/>
      </c>
    </row>
    <row r="5805" spans="2:7" x14ac:dyDescent="0.25">
      <c r="B5805" s="6"/>
      <c r="C5805" s="7"/>
      <c r="D5805" s="7"/>
      <c r="E5805" s="8"/>
      <c r="F5805" t="str">
        <f t="shared" si="207"/>
        <v/>
      </c>
      <c r="G5805" t="str">
        <f t="shared" si="208"/>
        <v/>
      </c>
    </row>
    <row r="5806" spans="2:7" x14ac:dyDescent="0.25">
      <c r="B5806" s="6"/>
      <c r="C5806" s="7"/>
      <c r="D5806" s="7"/>
      <c r="E5806" s="8"/>
      <c r="F5806" t="str">
        <f t="shared" si="207"/>
        <v/>
      </c>
      <c r="G5806" t="str">
        <f t="shared" si="208"/>
        <v/>
      </c>
    </row>
    <row r="5807" spans="2:7" x14ac:dyDescent="0.25">
      <c r="B5807" s="6"/>
      <c r="C5807" s="7"/>
      <c r="D5807" s="7"/>
      <c r="E5807" s="8"/>
      <c r="F5807" t="str">
        <f t="shared" si="207"/>
        <v/>
      </c>
      <c r="G5807" t="str">
        <f t="shared" si="208"/>
        <v/>
      </c>
    </row>
    <row r="5808" spans="2:7" x14ac:dyDescent="0.25">
      <c r="B5808" s="6"/>
      <c r="C5808" s="7"/>
      <c r="D5808" s="7"/>
      <c r="E5808" s="8"/>
      <c r="F5808" t="str">
        <f t="shared" si="207"/>
        <v/>
      </c>
      <c r="G5808" t="str">
        <f t="shared" si="208"/>
        <v/>
      </c>
    </row>
    <row r="5809" spans="2:7" x14ac:dyDescent="0.25">
      <c r="B5809" s="6"/>
      <c r="C5809" s="7"/>
      <c r="D5809" s="7"/>
      <c r="E5809" s="8"/>
      <c r="F5809" t="str">
        <f t="shared" si="207"/>
        <v/>
      </c>
      <c r="G5809" t="str">
        <f t="shared" si="208"/>
        <v/>
      </c>
    </row>
    <row r="5810" spans="2:7" x14ac:dyDescent="0.25">
      <c r="B5810" s="6"/>
      <c r="C5810" s="7"/>
      <c r="D5810" s="7"/>
      <c r="E5810" s="8"/>
      <c r="F5810" t="str">
        <f t="shared" si="207"/>
        <v/>
      </c>
      <c r="G5810" t="str">
        <f t="shared" si="208"/>
        <v/>
      </c>
    </row>
    <row r="5811" spans="2:7" x14ac:dyDescent="0.25">
      <c r="B5811" s="6"/>
      <c r="C5811" s="7"/>
      <c r="D5811" s="7"/>
      <c r="E5811" s="8"/>
      <c r="F5811" t="str">
        <f t="shared" si="207"/>
        <v/>
      </c>
      <c r="G5811" t="str">
        <f t="shared" si="208"/>
        <v/>
      </c>
    </row>
    <row r="5812" spans="2:7" x14ac:dyDescent="0.25">
      <c r="B5812" s="6"/>
      <c r="C5812" s="7"/>
      <c r="D5812" s="7"/>
      <c r="E5812" s="8"/>
      <c r="F5812" t="str">
        <f t="shared" si="207"/>
        <v/>
      </c>
      <c r="G5812" t="str">
        <f t="shared" si="208"/>
        <v/>
      </c>
    </row>
    <row r="5813" spans="2:7" x14ac:dyDescent="0.25">
      <c r="B5813" s="6"/>
      <c r="C5813" s="7"/>
      <c r="D5813" s="7"/>
      <c r="E5813" s="8"/>
      <c r="F5813" t="str">
        <f t="shared" si="207"/>
        <v/>
      </c>
      <c r="G5813" t="str">
        <f t="shared" si="208"/>
        <v/>
      </c>
    </row>
    <row r="5814" spans="2:7" x14ac:dyDescent="0.25">
      <c r="B5814" s="6"/>
      <c r="C5814" s="7"/>
      <c r="D5814" s="7"/>
      <c r="E5814" s="8"/>
      <c r="F5814" t="str">
        <f t="shared" si="207"/>
        <v/>
      </c>
      <c r="G5814" t="str">
        <f t="shared" si="208"/>
        <v/>
      </c>
    </row>
    <row r="5815" spans="2:7" x14ac:dyDescent="0.25">
      <c r="B5815" s="6"/>
      <c r="C5815" s="7"/>
      <c r="D5815" s="7"/>
      <c r="E5815" s="8"/>
      <c r="F5815" t="str">
        <f t="shared" si="207"/>
        <v/>
      </c>
      <c r="G5815" t="str">
        <f t="shared" si="208"/>
        <v/>
      </c>
    </row>
    <row r="5816" spans="2:7" x14ac:dyDescent="0.25">
      <c r="B5816" s="6"/>
      <c r="C5816" s="7"/>
      <c r="D5816" s="7"/>
      <c r="E5816" s="8"/>
      <c r="F5816" t="str">
        <f t="shared" si="207"/>
        <v/>
      </c>
      <c r="G5816" t="str">
        <f t="shared" si="208"/>
        <v/>
      </c>
    </row>
    <row r="5817" spans="2:7" x14ac:dyDescent="0.25">
      <c r="B5817" s="6"/>
      <c r="C5817" s="7"/>
      <c r="D5817" s="7"/>
      <c r="E5817" s="8"/>
      <c r="F5817" t="str">
        <f t="shared" si="207"/>
        <v/>
      </c>
      <c r="G5817" t="str">
        <f t="shared" si="208"/>
        <v/>
      </c>
    </row>
    <row r="5818" spans="2:7" x14ac:dyDescent="0.25">
      <c r="B5818" s="6"/>
      <c r="C5818" s="7"/>
      <c r="D5818" s="7"/>
      <c r="E5818" s="8"/>
      <c r="F5818" t="str">
        <f t="shared" si="207"/>
        <v/>
      </c>
      <c r="G5818" t="str">
        <f t="shared" si="208"/>
        <v/>
      </c>
    </row>
    <row r="5819" spans="2:7" x14ac:dyDescent="0.25">
      <c r="B5819" s="6"/>
      <c r="C5819" s="7"/>
      <c r="D5819" s="7"/>
      <c r="E5819" s="8"/>
      <c r="F5819" t="str">
        <f t="shared" si="207"/>
        <v/>
      </c>
      <c r="G5819" t="str">
        <f t="shared" si="208"/>
        <v/>
      </c>
    </row>
    <row r="5820" spans="2:7" x14ac:dyDescent="0.25">
      <c r="B5820" s="6"/>
      <c r="C5820" s="7"/>
      <c r="D5820" s="7"/>
      <c r="E5820" s="8"/>
      <c r="F5820" t="str">
        <f t="shared" si="207"/>
        <v/>
      </c>
      <c r="G5820" t="str">
        <f t="shared" si="208"/>
        <v/>
      </c>
    </row>
    <row r="5821" spans="2:7" x14ac:dyDescent="0.25">
      <c r="B5821" s="6"/>
      <c r="C5821" s="7"/>
      <c r="D5821" s="7"/>
      <c r="E5821" s="8"/>
      <c r="F5821" t="str">
        <f t="shared" si="207"/>
        <v/>
      </c>
      <c r="G5821" t="str">
        <f t="shared" si="208"/>
        <v/>
      </c>
    </row>
    <row r="5822" spans="2:7" x14ac:dyDescent="0.25">
      <c r="B5822" s="6"/>
      <c r="C5822" s="7"/>
      <c r="D5822" s="7"/>
      <c r="E5822" s="8"/>
      <c r="F5822" t="str">
        <f t="shared" si="207"/>
        <v/>
      </c>
      <c r="G5822" t="str">
        <f t="shared" si="208"/>
        <v/>
      </c>
    </row>
    <row r="5823" spans="2:7" x14ac:dyDescent="0.25">
      <c r="B5823" s="6"/>
      <c r="C5823" s="7"/>
      <c r="D5823" s="7"/>
      <c r="E5823" s="8"/>
      <c r="F5823" t="str">
        <f t="shared" si="207"/>
        <v/>
      </c>
      <c r="G5823" t="str">
        <f t="shared" si="208"/>
        <v/>
      </c>
    </row>
    <row r="5824" spans="2:7" x14ac:dyDescent="0.25">
      <c r="B5824" s="6"/>
      <c r="C5824" s="7"/>
      <c r="D5824" s="7"/>
      <c r="E5824" s="8"/>
      <c r="F5824" t="str">
        <f t="shared" si="207"/>
        <v/>
      </c>
      <c r="G5824" t="str">
        <f t="shared" si="208"/>
        <v/>
      </c>
    </row>
    <row r="5825" spans="2:7" x14ac:dyDescent="0.25">
      <c r="B5825" s="6"/>
      <c r="C5825" s="7"/>
      <c r="D5825" s="7"/>
      <c r="E5825" s="8"/>
      <c r="F5825" t="str">
        <f t="shared" si="207"/>
        <v/>
      </c>
      <c r="G5825" t="str">
        <f t="shared" si="208"/>
        <v/>
      </c>
    </row>
    <row r="5826" spans="2:7" x14ac:dyDescent="0.25">
      <c r="B5826" s="6"/>
      <c r="C5826" s="7"/>
      <c r="D5826" s="7"/>
      <c r="E5826" s="8"/>
      <c r="F5826" t="str">
        <f t="shared" si="207"/>
        <v/>
      </c>
      <c r="G5826" t="str">
        <f t="shared" si="208"/>
        <v/>
      </c>
    </row>
    <row r="5827" spans="2:7" x14ac:dyDescent="0.25">
      <c r="B5827" s="6"/>
      <c r="C5827" s="7"/>
      <c r="D5827" s="7"/>
      <c r="E5827" s="8"/>
      <c r="F5827" t="str">
        <f t="shared" si="207"/>
        <v/>
      </c>
      <c r="G5827" t="str">
        <f t="shared" si="208"/>
        <v/>
      </c>
    </row>
    <row r="5828" spans="2:7" x14ac:dyDescent="0.25">
      <c r="B5828" s="6"/>
      <c r="C5828" s="7"/>
      <c r="D5828" s="7"/>
      <c r="E5828" s="8"/>
      <c r="F5828" t="str">
        <f t="shared" ref="F5828:F5891" si="209">IF(B5828="","",LOG10(D5828))</f>
        <v/>
      </c>
      <c r="G5828" t="str">
        <f t="shared" ref="G5828:G5891" si="210">IF(E5828="", "",0.434*E5828/D5828)</f>
        <v/>
      </c>
    </row>
    <row r="5829" spans="2:7" x14ac:dyDescent="0.25">
      <c r="B5829" s="6"/>
      <c r="C5829" s="7"/>
      <c r="D5829" s="7"/>
      <c r="E5829" s="8"/>
      <c r="F5829" t="str">
        <f t="shared" si="209"/>
        <v/>
      </c>
      <c r="G5829" t="str">
        <f t="shared" si="210"/>
        <v/>
      </c>
    </row>
    <row r="5830" spans="2:7" x14ac:dyDescent="0.25">
      <c r="B5830" s="6"/>
      <c r="C5830" s="7"/>
      <c r="D5830" s="7"/>
      <c r="E5830" s="8"/>
      <c r="F5830" t="str">
        <f t="shared" si="209"/>
        <v/>
      </c>
      <c r="G5830" t="str">
        <f t="shared" si="210"/>
        <v/>
      </c>
    </row>
    <row r="5831" spans="2:7" x14ac:dyDescent="0.25">
      <c r="B5831" s="6"/>
      <c r="C5831" s="7"/>
      <c r="D5831" s="7"/>
      <c r="E5831" s="8"/>
      <c r="F5831" t="str">
        <f t="shared" si="209"/>
        <v/>
      </c>
      <c r="G5831" t="str">
        <f t="shared" si="210"/>
        <v/>
      </c>
    </row>
    <row r="5832" spans="2:7" x14ac:dyDescent="0.25">
      <c r="B5832" s="6"/>
      <c r="C5832" s="7"/>
      <c r="D5832" s="7"/>
      <c r="E5832" s="8"/>
      <c r="F5832" t="str">
        <f t="shared" si="209"/>
        <v/>
      </c>
      <c r="G5832" t="str">
        <f t="shared" si="210"/>
        <v/>
      </c>
    </row>
    <row r="5833" spans="2:7" x14ac:dyDescent="0.25">
      <c r="B5833" s="6"/>
      <c r="C5833" s="7"/>
      <c r="D5833" s="7"/>
      <c r="E5833" s="8"/>
      <c r="F5833" t="str">
        <f t="shared" si="209"/>
        <v/>
      </c>
      <c r="G5833" t="str">
        <f t="shared" si="210"/>
        <v/>
      </c>
    </row>
    <row r="5834" spans="2:7" x14ac:dyDescent="0.25">
      <c r="B5834" s="6"/>
      <c r="C5834" s="7"/>
      <c r="D5834" s="7"/>
      <c r="E5834" s="8"/>
      <c r="F5834" t="str">
        <f t="shared" si="209"/>
        <v/>
      </c>
      <c r="G5834" t="str">
        <f t="shared" si="210"/>
        <v/>
      </c>
    </row>
    <row r="5835" spans="2:7" x14ac:dyDescent="0.25">
      <c r="B5835" s="6"/>
      <c r="C5835" s="7"/>
      <c r="D5835" s="7"/>
      <c r="E5835" s="8"/>
      <c r="F5835" t="str">
        <f t="shared" si="209"/>
        <v/>
      </c>
      <c r="G5835" t="str">
        <f t="shared" si="210"/>
        <v/>
      </c>
    </row>
    <row r="5836" spans="2:7" x14ac:dyDescent="0.25">
      <c r="B5836" s="6"/>
      <c r="C5836" s="7"/>
      <c r="D5836" s="7"/>
      <c r="E5836" s="8"/>
      <c r="F5836" t="str">
        <f t="shared" si="209"/>
        <v/>
      </c>
      <c r="G5836" t="str">
        <f t="shared" si="210"/>
        <v/>
      </c>
    </row>
    <row r="5837" spans="2:7" x14ac:dyDescent="0.25">
      <c r="B5837" s="6"/>
      <c r="C5837" s="7"/>
      <c r="D5837" s="7"/>
      <c r="E5837" s="8"/>
      <c r="F5837" t="str">
        <f t="shared" si="209"/>
        <v/>
      </c>
      <c r="G5837" t="str">
        <f t="shared" si="210"/>
        <v/>
      </c>
    </row>
    <row r="5838" spans="2:7" x14ac:dyDescent="0.25">
      <c r="B5838" s="6"/>
      <c r="C5838" s="7"/>
      <c r="D5838" s="7"/>
      <c r="E5838" s="8"/>
      <c r="F5838" t="str">
        <f t="shared" si="209"/>
        <v/>
      </c>
      <c r="G5838" t="str">
        <f t="shared" si="210"/>
        <v/>
      </c>
    </row>
    <row r="5839" spans="2:7" x14ac:dyDescent="0.25">
      <c r="B5839" s="6"/>
      <c r="C5839" s="7"/>
      <c r="D5839" s="7"/>
      <c r="E5839" s="8"/>
      <c r="F5839" t="str">
        <f t="shared" si="209"/>
        <v/>
      </c>
      <c r="G5839" t="str">
        <f t="shared" si="210"/>
        <v/>
      </c>
    </row>
    <row r="5840" spans="2:7" x14ac:dyDescent="0.25">
      <c r="B5840" s="6"/>
      <c r="C5840" s="7"/>
      <c r="D5840" s="7"/>
      <c r="E5840" s="8"/>
      <c r="F5840" t="str">
        <f t="shared" si="209"/>
        <v/>
      </c>
      <c r="G5840" t="str">
        <f t="shared" si="210"/>
        <v/>
      </c>
    </row>
    <row r="5841" spans="2:7" x14ac:dyDescent="0.25">
      <c r="B5841" s="6"/>
      <c r="C5841" s="7"/>
      <c r="D5841" s="7"/>
      <c r="E5841" s="8"/>
      <c r="F5841" t="str">
        <f t="shared" si="209"/>
        <v/>
      </c>
      <c r="G5841" t="str">
        <f t="shared" si="210"/>
        <v/>
      </c>
    </row>
    <row r="5842" spans="2:7" x14ac:dyDescent="0.25">
      <c r="B5842" s="6"/>
      <c r="C5842" s="7"/>
      <c r="D5842" s="7"/>
      <c r="E5842" s="8"/>
      <c r="F5842" t="str">
        <f t="shared" si="209"/>
        <v/>
      </c>
      <c r="G5842" t="str">
        <f t="shared" si="210"/>
        <v/>
      </c>
    </row>
    <row r="5843" spans="2:7" x14ac:dyDescent="0.25">
      <c r="B5843" s="6"/>
      <c r="C5843" s="7"/>
      <c r="D5843" s="7"/>
      <c r="E5843" s="8"/>
      <c r="F5843" t="str">
        <f t="shared" si="209"/>
        <v/>
      </c>
      <c r="G5843" t="str">
        <f t="shared" si="210"/>
        <v/>
      </c>
    </row>
    <row r="5844" spans="2:7" x14ac:dyDescent="0.25">
      <c r="B5844" s="6"/>
      <c r="C5844" s="7"/>
      <c r="D5844" s="7"/>
      <c r="E5844" s="8"/>
      <c r="F5844" t="str">
        <f t="shared" si="209"/>
        <v/>
      </c>
      <c r="G5844" t="str">
        <f t="shared" si="210"/>
        <v/>
      </c>
    </row>
    <row r="5845" spans="2:7" x14ac:dyDescent="0.25">
      <c r="B5845" s="6"/>
      <c r="C5845" s="7"/>
      <c r="D5845" s="7"/>
      <c r="E5845" s="8"/>
      <c r="F5845" t="str">
        <f t="shared" si="209"/>
        <v/>
      </c>
      <c r="G5845" t="str">
        <f t="shared" si="210"/>
        <v/>
      </c>
    </row>
    <row r="5846" spans="2:7" x14ac:dyDescent="0.25">
      <c r="B5846" s="6"/>
      <c r="C5846" s="7"/>
      <c r="D5846" s="7"/>
      <c r="E5846" s="8"/>
      <c r="F5846" t="str">
        <f t="shared" si="209"/>
        <v/>
      </c>
      <c r="G5846" t="str">
        <f t="shared" si="210"/>
        <v/>
      </c>
    </row>
    <row r="5847" spans="2:7" x14ac:dyDescent="0.25">
      <c r="B5847" s="6"/>
      <c r="C5847" s="7"/>
      <c r="D5847" s="7"/>
      <c r="E5847" s="8"/>
      <c r="F5847" t="str">
        <f t="shared" si="209"/>
        <v/>
      </c>
      <c r="G5847" t="str">
        <f t="shared" si="210"/>
        <v/>
      </c>
    </row>
    <row r="5848" spans="2:7" x14ac:dyDescent="0.25">
      <c r="B5848" s="6"/>
      <c r="C5848" s="7"/>
      <c r="D5848" s="7"/>
      <c r="E5848" s="8"/>
      <c r="F5848" t="str">
        <f t="shared" si="209"/>
        <v/>
      </c>
      <c r="G5848" t="str">
        <f t="shared" si="210"/>
        <v/>
      </c>
    </row>
    <row r="5849" spans="2:7" x14ac:dyDescent="0.25">
      <c r="B5849" s="6"/>
      <c r="C5849" s="7"/>
      <c r="D5849" s="7"/>
      <c r="E5849" s="8"/>
      <c r="F5849" t="str">
        <f t="shared" si="209"/>
        <v/>
      </c>
      <c r="G5849" t="str">
        <f t="shared" si="210"/>
        <v/>
      </c>
    </row>
    <row r="5850" spans="2:7" x14ac:dyDescent="0.25">
      <c r="B5850" s="6"/>
      <c r="C5850" s="7"/>
      <c r="D5850" s="7"/>
      <c r="E5850" s="8"/>
      <c r="F5850" t="str">
        <f t="shared" si="209"/>
        <v/>
      </c>
      <c r="G5850" t="str">
        <f t="shared" si="210"/>
        <v/>
      </c>
    </row>
    <row r="5851" spans="2:7" x14ac:dyDescent="0.25">
      <c r="B5851" s="6"/>
      <c r="C5851" s="7"/>
      <c r="D5851" s="7"/>
      <c r="E5851" s="8"/>
      <c r="F5851" t="str">
        <f t="shared" si="209"/>
        <v/>
      </c>
      <c r="G5851" t="str">
        <f t="shared" si="210"/>
        <v/>
      </c>
    </row>
    <row r="5852" spans="2:7" x14ac:dyDescent="0.25">
      <c r="B5852" s="6"/>
      <c r="C5852" s="7"/>
      <c r="D5852" s="7"/>
      <c r="E5852" s="8"/>
      <c r="F5852" t="str">
        <f t="shared" si="209"/>
        <v/>
      </c>
      <c r="G5852" t="str">
        <f t="shared" si="210"/>
        <v/>
      </c>
    </row>
    <row r="5853" spans="2:7" x14ac:dyDescent="0.25">
      <c r="B5853" s="6"/>
      <c r="C5853" s="7"/>
      <c r="D5853" s="7"/>
      <c r="E5853" s="8"/>
      <c r="F5853" t="str">
        <f t="shared" si="209"/>
        <v/>
      </c>
      <c r="G5853" t="str">
        <f t="shared" si="210"/>
        <v/>
      </c>
    </row>
    <row r="5854" spans="2:7" x14ac:dyDescent="0.25">
      <c r="B5854" s="6"/>
      <c r="C5854" s="7"/>
      <c r="D5854" s="7"/>
      <c r="E5854" s="8"/>
      <c r="F5854" t="str">
        <f t="shared" si="209"/>
        <v/>
      </c>
      <c r="G5854" t="str">
        <f t="shared" si="210"/>
        <v/>
      </c>
    </row>
    <row r="5855" spans="2:7" x14ac:dyDescent="0.25">
      <c r="B5855" s="6"/>
      <c r="C5855" s="7"/>
      <c r="D5855" s="7"/>
      <c r="E5855" s="8"/>
      <c r="F5855" t="str">
        <f t="shared" si="209"/>
        <v/>
      </c>
      <c r="G5855" t="str">
        <f t="shared" si="210"/>
        <v/>
      </c>
    </row>
    <row r="5856" spans="2:7" x14ac:dyDescent="0.25">
      <c r="B5856" s="6"/>
      <c r="C5856" s="7"/>
      <c r="D5856" s="7"/>
      <c r="E5856" s="8"/>
      <c r="F5856" t="str">
        <f t="shared" si="209"/>
        <v/>
      </c>
      <c r="G5856" t="str">
        <f t="shared" si="210"/>
        <v/>
      </c>
    </row>
    <row r="5857" spans="2:7" x14ac:dyDescent="0.25">
      <c r="B5857" s="6"/>
      <c r="C5857" s="7"/>
      <c r="D5857" s="7"/>
      <c r="E5857" s="8"/>
      <c r="F5857" t="str">
        <f t="shared" si="209"/>
        <v/>
      </c>
      <c r="G5857" t="str">
        <f t="shared" si="210"/>
        <v/>
      </c>
    </row>
    <row r="5858" spans="2:7" x14ac:dyDescent="0.25">
      <c r="B5858" s="6"/>
      <c r="C5858" s="7"/>
      <c r="D5858" s="7"/>
      <c r="E5858" s="8"/>
      <c r="F5858" t="str">
        <f t="shared" si="209"/>
        <v/>
      </c>
      <c r="G5858" t="str">
        <f t="shared" si="210"/>
        <v/>
      </c>
    </row>
    <row r="5859" spans="2:7" x14ac:dyDescent="0.25">
      <c r="B5859" s="6"/>
      <c r="C5859" s="7"/>
      <c r="D5859" s="7"/>
      <c r="E5859" s="8"/>
      <c r="F5859" t="str">
        <f t="shared" si="209"/>
        <v/>
      </c>
      <c r="G5859" t="str">
        <f t="shared" si="210"/>
        <v/>
      </c>
    </row>
    <row r="5860" spans="2:7" x14ac:dyDescent="0.25">
      <c r="B5860" s="6"/>
      <c r="C5860" s="7"/>
      <c r="D5860" s="7"/>
      <c r="E5860" s="8"/>
      <c r="F5860" t="str">
        <f t="shared" si="209"/>
        <v/>
      </c>
      <c r="G5860" t="str">
        <f t="shared" si="210"/>
        <v/>
      </c>
    </row>
    <row r="5861" spans="2:7" x14ac:dyDescent="0.25">
      <c r="B5861" s="6"/>
      <c r="C5861" s="7"/>
      <c r="D5861" s="7"/>
      <c r="E5861" s="8"/>
      <c r="F5861" t="str">
        <f t="shared" si="209"/>
        <v/>
      </c>
      <c r="G5861" t="str">
        <f t="shared" si="210"/>
        <v/>
      </c>
    </row>
    <row r="5862" spans="2:7" x14ac:dyDescent="0.25">
      <c r="B5862" s="6"/>
      <c r="C5862" s="7"/>
      <c r="D5862" s="7"/>
      <c r="E5862" s="8"/>
      <c r="F5862" t="str">
        <f t="shared" si="209"/>
        <v/>
      </c>
      <c r="G5862" t="str">
        <f t="shared" si="210"/>
        <v/>
      </c>
    </row>
    <row r="5863" spans="2:7" x14ac:dyDescent="0.25">
      <c r="B5863" s="6"/>
      <c r="C5863" s="7"/>
      <c r="D5863" s="7"/>
      <c r="E5863" s="8"/>
      <c r="F5863" t="str">
        <f t="shared" si="209"/>
        <v/>
      </c>
      <c r="G5863" t="str">
        <f t="shared" si="210"/>
        <v/>
      </c>
    </row>
    <row r="5864" spans="2:7" x14ac:dyDescent="0.25">
      <c r="B5864" s="6"/>
      <c r="C5864" s="7"/>
      <c r="D5864" s="7"/>
      <c r="E5864" s="8"/>
      <c r="F5864" t="str">
        <f t="shared" si="209"/>
        <v/>
      </c>
      <c r="G5864" t="str">
        <f t="shared" si="210"/>
        <v/>
      </c>
    </row>
    <row r="5865" spans="2:7" x14ac:dyDescent="0.25">
      <c r="B5865" s="6"/>
      <c r="C5865" s="7"/>
      <c r="D5865" s="7"/>
      <c r="E5865" s="8"/>
      <c r="F5865" t="str">
        <f t="shared" si="209"/>
        <v/>
      </c>
      <c r="G5865" t="str">
        <f t="shared" si="210"/>
        <v/>
      </c>
    </row>
    <row r="5866" spans="2:7" x14ac:dyDescent="0.25">
      <c r="B5866" s="6"/>
      <c r="C5866" s="7"/>
      <c r="D5866" s="7"/>
      <c r="E5866" s="8"/>
      <c r="F5866" t="str">
        <f t="shared" si="209"/>
        <v/>
      </c>
      <c r="G5866" t="str">
        <f t="shared" si="210"/>
        <v/>
      </c>
    </row>
    <row r="5867" spans="2:7" x14ac:dyDescent="0.25">
      <c r="B5867" s="6"/>
      <c r="C5867" s="7"/>
      <c r="D5867" s="7"/>
      <c r="E5867" s="8"/>
      <c r="F5867" t="str">
        <f t="shared" si="209"/>
        <v/>
      </c>
      <c r="G5867" t="str">
        <f t="shared" si="210"/>
        <v/>
      </c>
    </row>
    <row r="5868" spans="2:7" x14ac:dyDescent="0.25">
      <c r="B5868" s="6"/>
      <c r="C5868" s="7"/>
      <c r="D5868" s="7"/>
      <c r="E5868" s="8"/>
      <c r="F5868" t="str">
        <f t="shared" si="209"/>
        <v/>
      </c>
      <c r="G5868" t="str">
        <f t="shared" si="210"/>
        <v/>
      </c>
    </row>
    <row r="5869" spans="2:7" x14ac:dyDescent="0.25">
      <c r="B5869" s="6"/>
      <c r="C5869" s="7"/>
      <c r="D5869" s="7"/>
      <c r="E5869" s="8"/>
      <c r="F5869" t="str">
        <f t="shared" si="209"/>
        <v/>
      </c>
      <c r="G5869" t="str">
        <f t="shared" si="210"/>
        <v/>
      </c>
    </row>
    <row r="5870" spans="2:7" x14ac:dyDescent="0.25">
      <c r="B5870" s="6"/>
      <c r="C5870" s="7"/>
      <c r="D5870" s="7"/>
      <c r="E5870" s="8"/>
      <c r="F5870" t="str">
        <f t="shared" si="209"/>
        <v/>
      </c>
      <c r="G5870" t="str">
        <f t="shared" si="210"/>
        <v/>
      </c>
    </row>
    <row r="5871" spans="2:7" x14ac:dyDescent="0.25">
      <c r="B5871" s="6"/>
      <c r="C5871" s="7"/>
      <c r="D5871" s="7"/>
      <c r="E5871" s="8"/>
      <c r="F5871" t="str">
        <f t="shared" si="209"/>
        <v/>
      </c>
      <c r="G5871" t="str">
        <f t="shared" si="210"/>
        <v/>
      </c>
    </row>
    <row r="5872" spans="2:7" x14ac:dyDescent="0.25">
      <c r="B5872" s="6"/>
      <c r="C5872" s="7"/>
      <c r="D5872" s="7"/>
      <c r="E5872" s="8"/>
      <c r="F5872" t="str">
        <f t="shared" si="209"/>
        <v/>
      </c>
      <c r="G5872" t="str">
        <f t="shared" si="210"/>
        <v/>
      </c>
    </row>
    <row r="5873" spans="2:7" x14ac:dyDescent="0.25">
      <c r="B5873" s="6"/>
      <c r="C5873" s="7"/>
      <c r="D5873" s="7"/>
      <c r="E5873" s="8"/>
      <c r="F5873" t="str">
        <f t="shared" si="209"/>
        <v/>
      </c>
      <c r="G5873" t="str">
        <f t="shared" si="210"/>
        <v/>
      </c>
    </row>
    <row r="5874" spans="2:7" x14ac:dyDescent="0.25">
      <c r="B5874" s="6"/>
      <c r="C5874" s="7"/>
      <c r="D5874" s="7"/>
      <c r="E5874" s="8"/>
      <c r="F5874" t="str">
        <f t="shared" si="209"/>
        <v/>
      </c>
      <c r="G5874" t="str">
        <f t="shared" si="210"/>
        <v/>
      </c>
    </row>
    <row r="5875" spans="2:7" x14ac:dyDescent="0.25">
      <c r="B5875" s="6"/>
      <c r="C5875" s="7"/>
      <c r="D5875" s="7"/>
      <c r="E5875" s="8"/>
      <c r="F5875" t="str">
        <f t="shared" si="209"/>
        <v/>
      </c>
      <c r="G5875" t="str">
        <f t="shared" si="210"/>
        <v/>
      </c>
    </row>
    <row r="5876" spans="2:7" x14ac:dyDescent="0.25">
      <c r="B5876" s="6"/>
      <c r="C5876" s="7"/>
      <c r="D5876" s="7"/>
      <c r="E5876" s="8"/>
      <c r="F5876" t="str">
        <f t="shared" si="209"/>
        <v/>
      </c>
      <c r="G5876" t="str">
        <f t="shared" si="210"/>
        <v/>
      </c>
    </row>
    <row r="5877" spans="2:7" x14ac:dyDescent="0.25">
      <c r="B5877" s="6"/>
      <c r="C5877" s="7"/>
      <c r="D5877" s="7"/>
      <c r="E5877" s="8"/>
      <c r="F5877" t="str">
        <f t="shared" si="209"/>
        <v/>
      </c>
      <c r="G5877" t="str">
        <f t="shared" si="210"/>
        <v/>
      </c>
    </row>
    <row r="5878" spans="2:7" x14ac:dyDescent="0.25">
      <c r="B5878" s="6"/>
      <c r="C5878" s="7"/>
      <c r="D5878" s="7"/>
      <c r="E5878" s="8"/>
      <c r="F5878" t="str">
        <f t="shared" si="209"/>
        <v/>
      </c>
      <c r="G5878" t="str">
        <f t="shared" si="210"/>
        <v/>
      </c>
    </row>
    <row r="5879" spans="2:7" x14ac:dyDescent="0.25">
      <c r="B5879" s="6"/>
      <c r="C5879" s="7"/>
      <c r="D5879" s="7"/>
      <c r="E5879" s="8"/>
      <c r="F5879" t="str">
        <f t="shared" si="209"/>
        <v/>
      </c>
      <c r="G5879" t="str">
        <f t="shared" si="210"/>
        <v/>
      </c>
    </row>
    <row r="5880" spans="2:7" x14ac:dyDescent="0.25">
      <c r="B5880" s="6"/>
      <c r="C5880" s="7"/>
      <c r="D5880" s="7"/>
      <c r="E5880" s="8"/>
      <c r="F5880" t="str">
        <f t="shared" si="209"/>
        <v/>
      </c>
      <c r="G5880" t="str">
        <f t="shared" si="210"/>
        <v/>
      </c>
    </row>
    <row r="5881" spans="2:7" x14ac:dyDescent="0.25">
      <c r="B5881" s="6"/>
      <c r="C5881" s="7"/>
      <c r="D5881" s="7"/>
      <c r="E5881" s="8"/>
      <c r="F5881" t="str">
        <f t="shared" si="209"/>
        <v/>
      </c>
      <c r="G5881" t="str">
        <f t="shared" si="210"/>
        <v/>
      </c>
    </row>
    <row r="5882" spans="2:7" x14ac:dyDescent="0.25">
      <c r="B5882" s="6"/>
      <c r="C5882" s="7"/>
      <c r="D5882" s="7"/>
      <c r="E5882" s="8"/>
      <c r="F5882" t="str">
        <f t="shared" si="209"/>
        <v/>
      </c>
      <c r="G5882" t="str">
        <f t="shared" si="210"/>
        <v/>
      </c>
    </row>
    <row r="5883" spans="2:7" x14ac:dyDescent="0.25">
      <c r="B5883" s="6"/>
      <c r="C5883" s="7"/>
      <c r="D5883" s="7"/>
      <c r="E5883" s="8"/>
      <c r="F5883" t="str">
        <f t="shared" si="209"/>
        <v/>
      </c>
      <c r="G5883" t="str">
        <f t="shared" si="210"/>
        <v/>
      </c>
    </row>
    <row r="5884" spans="2:7" x14ac:dyDescent="0.25">
      <c r="B5884" s="6"/>
      <c r="C5884" s="7"/>
      <c r="D5884" s="7"/>
      <c r="E5884" s="8"/>
      <c r="F5884" t="str">
        <f t="shared" si="209"/>
        <v/>
      </c>
      <c r="G5884" t="str">
        <f t="shared" si="210"/>
        <v/>
      </c>
    </row>
    <row r="5885" spans="2:7" x14ac:dyDescent="0.25">
      <c r="B5885" s="6"/>
      <c r="C5885" s="7"/>
      <c r="D5885" s="7"/>
      <c r="E5885" s="8"/>
      <c r="F5885" t="str">
        <f t="shared" si="209"/>
        <v/>
      </c>
      <c r="G5885" t="str">
        <f t="shared" si="210"/>
        <v/>
      </c>
    </row>
    <row r="5886" spans="2:7" x14ac:dyDescent="0.25">
      <c r="B5886" s="6"/>
      <c r="C5886" s="7"/>
      <c r="D5886" s="7"/>
      <c r="E5886" s="8"/>
      <c r="F5886" t="str">
        <f t="shared" si="209"/>
        <v/>
      </c>
      <c r="G5886" t="str">
        <f t="shared" si="210"/>
        <v/>
      </c>
    </row>
    <row r="5887" spans="2:7" x14ac:dyDescent="0.25">
      <c r="B5887" s="6"/>
      <c r="C5887" s="7"/>
      <c r="D5887" s="7"/>
      <c r="E5887" s="8"/>
      <c r="F5887" t="str">
        <f t="shared" si="209"/>
        <v/>
      </c>
      <c r="G5887" t="str">
        <f t="shared" si="210"/>
        <v/>
      </c>
    </row>
    <row r="5888" spans="2:7" x14ac:dyDescent="0.25">
      <c r="B5888" s="6"/>
      <c r="C5888" s="7"/>
      <c r="D5888" s="7"/>
      <c r="E5888" s="8"/>
      <c r="F5888" t="str">
        <f t="shared" si="209"/>
        <v/>
      </c>
      <c r="G5888" t="str">
        <f t="shared" si="210"/>
        <v/>
      </c>
    </row>
    <row r="5889" spans="2:7" x14ac:dyDescent="0.25">
      <c r="B5889" s="6"/>
      <c r="C5889" s="7"/>
      <c r="D5889" s="7"/>
      <c r="E5889" s="8"/>
      <c r="F5889" t="str">
        <f t="shared" si="209"/>
        <v/>
      </c>
      <c r="G5889" t="str">
        <f t="shared" si="210"/>
        <v/>
      </c>
    </row>
    <row r="5890" spans="2:7" x14ac:dyDescent="0.25">
      <c r="B5890" s="6"/>
      <c r="C5890" s="7"/>
      <c r="D5890" s="7"/>
      <c r="E5890" s="8"/>
      <c r="F5890" t="str">
        <f t="shared" si="209"/>
        <v/>
      </c>
      <c r="G5890" t="str">
        <f t="shared" si="210"/>
        <v/>
      </c>
    </row>
    <row r="5891" spans="2:7" x14ac:dyDescent="0.25">
      <c r="B5891" s="6"/>
      <c r="C5891" s="7"/>
      <c r="D5891" s="7"/>
      <c r="E5891" s="8"/>
      <c r="F5891" t="str">
        <f t="shared" si="209"/>
        <v/>
      </c>
      <c r="G5891" t="str">
        <f t="shared" si="210"/>
        <v/>
      </c>
    </row>
    <row r="5892" spans="2:7" x14ac:dyDescent="0.25">
      <c r="B5892" s="6"/>
      <c r="C5892" s="7"/>
      <c r="D5892" s="7"/>
      <c r="E5892" s="8"/>
      <c r="F5892" t="str">
        <f t="shared" ref="F5892:F5955" si="211">IF(B5892="","",LOG10(D5892))</f>
        <v/>
      </c>
      <c r="G5892" t="str">
        <f t="shared" ref="G5892:G5955" si="212">IF(E5892="", "",0.434*E5892/D5892)</f>
        <v/>
      </c>
    </row>
    <row r="5893" spans="2:7" x14ac:dyDescent="0.25">
      <c r="B5893" s="6"/>
      <c r="C5893" s="7"/>
      <c r="D5893" s="7"/>
      <c r="E5893" s="8"/>
      <c r="F5893" t="str">
        <f t="shared" si="211"/>
        <v/>
      </c>
      <c r="G5893" t="str">
        <f t="shared" si="212"/>
        <v/>
      </c>
    </row>
    <row r="5894" spans="2:7" x14ac:dyDescent="0.25">
      <c r="B5894" s="6"/>
      <c r="C5894" s="7"/>
      <c r="D5894" s="7"/>
      <c r="E5894" s="8"/>
      <c r="F5894" t="str">
        <f t="shared" si="211"/>
        <v/>
      </c>
      <c r="G5894" t="str">
        <f t="shared" si="212"/>
        <v/>
      </c>
    </row>
    <row r="5895" spans="2:7" x14ac:dyDescent="0.25">
      <c r="B5895" s="6"/>
      <c r="C5895" s="7"/>
      <c r="D5895" s="7"/>
      <c r="E5895" s="8"/>
      <c r="F5895" t="str">
        <f t="shared" si="211"/>
        <v/>
      </c>
      <c r="G5895" t="str">
        <f t="shared" si="212"/>
        <v/>
      </c>
    </row>
    <row r="5896" spans="2:7" x14ac:dyDescent="0.25">
      <c r="B5896" s="6"/>
      <c r="C5896" s="7"/>
      <c r="D5896" s="7"/>
      <c r="E5896" s="8"/>
      <c r="F5896" t="str">
        <f t="shared" si="211"/>
        <v/>
      </c>
      <c r="G5896" t="str">
        <f t="shared" si="212"/>
        <v/>
      </c>
    </row>
    <row r="5897" spans="2:7" x14ac:dyDescent="0.25">
      <c r="B5897" s="6"/>
      <c r="C5897" s="7"/>
      <c r="D5897" s="7"/>
      <c r="E5897" s="8"/>
      <c r="F5897" t="str">
        <f t="shared" si="211"/>
        <v/>
      </c>
      <c r="G5897" t="str">
        <f t="shared" si="212"/>
        <v/>
      </c>
    </row>
    <row r="5898" spans="2:7" x14ac:dyDescent="0.25">
      <c r="B5898" s="6"/>
      <c r="C5898" s="7"/>
      <c r="D5898" s="7"/>
      <c r="E5898" s="8"/>
      <c r="F5898" t="str">
        <f t="shared" si="211"/>
        <v/>
      </c>
      <c r="G5898" t="str">
        <f t="shared" si="212"/>
        <v/>
      </c>
    </row>
    <row r="5899" spans="2:7" x14ac:dyDescent="0.25">
      <c r="B5899" s="6"/>
      <c r="C5899" s="7"/>
      <c r="D5899" s="7"/>
      <c r="E5899" s="8"/>
      <c r="F5899" t="str">
        <f t="shared" si="211"/>
        <v/>
      </c>
      <c r="G5899" t="str">
        <f t="shared" si="212"/>
        <v/>
      </c>
    </row>
    <row r="5900" spans="2:7" x14ac:dyDescent="0.25">
      <c r="B5900" s="6"/>
      <c r="C5900" s="7"/>
      <c r="D5900" s="7"/>
      <c r="E5900" s="8"/>
      <c r="F5900" t="str">
        <f t="shared" si="211"/>
        <v/>
      </c>
      <c r="G5900" t="str">
        <f t="shared" si="212"/>
        <v/>
      </c>
    </row>
    <row r="5901" spans="2:7" x14ac:dyDescent="0.25">
      <c r="B5901" s="6"/>
      <c r="C5901" s="7"/>
      <c r="D5901" s="7"/>
      <c r="E5901" s="8"/>
      <c r="F5901" t="str">
        <f t="shared" si="211"/>
        <v/>
      </c>
      <c r="G5901" t="str">
        <f t="shared" si="212"/>
        <v/>
      </c>
    </row>
    <row r="5902" spans="2:7" x14ac:dyDescent="0.25">
      <c r="B5902" s="6"/>
      <c r="C5902" s="7"/>
      <c r="D5902" s="7"/>
      <c r="E5902" s="8"/>
      <c r="F5902" t="str">
        <f t="shared" si="211"/>
        <v/>
      </c>
      <c r="G5902" t="str">
        <f t="shared" si="212"/>
        <v/>
      </c>
    </row>
    <row r="5903" spans="2:7" x14ac:dyDescent="0.25">
      <c r="B5903" s="6"/>
      <c r="C5903" s="7"/>
      <c r="D5903" s="7"/>
      <c r="E5903" s="8"/>
      <c r="F5903" t="str">
        <f t="shared" si="211"/>
        <v/>
      </c>
      <c r="G5903" t="str">
        <f t="shared" si="212"/>
        <v/>
      </c>
    </row>
    <row r="5904" spans="2:7" x14ac:dyDescent="0.25">
      <c r="B5904" s="6"/>
      <c r="C5904" s="7"/>
      <c r="D5904" s="7"/>
      <c r="E5904" s="8"/>
      <c r="F5904" t="str">
        <f t="shared" si="211"/>
        <v/>
      </c>
      <c r="G5904" t="str">
        <f t="shared" si="212"/>
        <v/>
      </c>
    </row>
    <row r="5905" spans="2:7" x14ac:dyDescent="0.25">
      <c r="B5905" s="6"/>
      <c r="C5905" s="7"/>
      <c r="D5905" s="7"/>
      <c r="E5905" s="8"/>
      <c r="F5905" t="str">
        <f t="shared" si="211"/>
        <v/>
      </c>
      <c r="G5905" t="str">
        <f t="shared" si="212"/>
        <v/>
      </c>
    </row>
    <row r="5906" spans="2:7" x14ac:dyDescent="0.25">
      <c r="B5906" s="6"/>
      <c r="C5906" s="7"/>
      <c r="D5906" s="7"/>
      <c r="E5906" s="8"/>
      <c r="F5906" t="str">
        <f t="shared" si="211"/>
        <v/>
      </c>
      <c r="G5906" t="str">
        <f t="shared" si="212"/>
        <v/>
      </c>
    </row>
    <row r="5907" spans="2:7" x14ac:dyDescent="0.25">
      <c r="B5907" s="6"/>
      <c r="C5907" s="7"/>
      <c r="D5907" s="7"/>
      <c r="E5907" s="8"/>
      <c r="F5907" t="str">
        <f t="shared" si="211"/>
        <v/>
      </c>
      <c r="G5907" t="str">
        <f t="shared" si="212"/>
        <v/>
      </c>
    </row>
    <row r="5908" spans="2:7" x14ac:dyDescent="0.25">
      <c r="B5908" s="6"/>
      <c r="C5908" s="7"/>
      <c r="D5908" s="7"/>
      <c r="E5908" s="8"/>
      <c r="F5908" t="str">
        <f t="shared" si="211"/>
        <v/>
      </c>
      <c r="G5908" t="str">
        <f t="shared" si="212"/>
        <v/>
      </c>
    </row>
    <row r="5909" spans="2:7" x14ac:dyDescent="0.25">
      <c r="B5909" s="6"/>
      <c r="C5909" s="7"/>
      <c r="D5909" s="7"/>
      <c r="E5909" s="8"/>
      <c r="F5909" t="str">
        <f t="shared" si="211"/>
        <v/>
      </c>
      <c r="G5909" t="str">
        <f t="shared" si="212"/>
        <v/>
      </c>
    </row>
    <row r="5910" spans="2:7" x14ac:dyDescent="0.25">
      <c r="B5910" s="6"/>
      <c r="C5910" s="7"/>
      <c r="D5910" s="7"/>
      <c r="E5910" s="8"/>
      <c r="F5910" t="str">
        <f t="shared" si="211"/>
        <v/>
      </c>
      <c r="G5910" t="str">
        <f t="shared" si="212"/>
        <v/>
      </c>
    </row>
    <row r="5911" spans="2:7" x14ac:dyDescent="0.25">
      <c r="B5911" s="6"/>
      <c r="C5911" s="7"/>
      <c r="D5911" s="7"/>
      <c r="E5911" s="8"/>
      <c r="F5911" t="str">
        <f t="shared" si="211"/>
        <v/>
      </c>
      <c r="G5911" t="str">
        <f t="shared" si="212"/>
        <v/>
      </c>
    </row>
    <row r="5912" spans="2:7" x14ac:dyDescent="0.25">
      <c r="B5912" s="6"/>
      <c r="C5912" s="7"/>
      <c r="D5912" s="7"/>
      <c r="E5912" s="8"/>
      <c r="F5912" t="str">
        <f t="shared" si="211"/>
        <v/>
      </c>
      <c r="G5912" t="str">
        <f t="shared" si="212"/>
        <v/>
      </c>
    </row>
    <row r="5913" spans="2:7" x14ac:dyDescent="0.25">
      <c r="B5913" s="6"/>
      <c r="C5913" s="7"/>
      <c r="D5913" s="7"/>
      <c r="E5913" s="8"/>
      <c r="F5913" t="str">
        <f t="shared" si="211"/>
        <v/>
      </c>
      <c r="G5913" t="str">
        <f t="shared" si="212"/>
        <v/>
      </c>
    </row>
    <row r="5914" spans="2:7" x14ac:dyDescent="0.25">
      <c r="B5914" s="6"/>
      <c r="C5914" s="7"/>
      <c r="D5914" s="7"/>
      <c r="E5914" s="8"/>
      <c r="F5914" t="str">
        <f t="shared" si="211"/>
        <v/>
      </c>
      <c r="G5914" t="str">
        <f t="shared" si="212"/>
        <v/>
      </c>
    </row>
    <row r="5915" spans="2:7" x14ac:dyDescent="0.25">
      <c r="B5915" s="6"/>
      <c r="C5915" s="7"/>
      <c r="D5915" s="7"/>
      <c r="E5915" s="8"/>
      <c r="F5915" t="str">
        <f t="shared" si="211"/>
        <v/>
      </c>
      <c r="G5915" t="str">
        <f t="shared" si="212"/>
        <v/>
      </c>
    </row>
    <row r="5916" spans="2:7" x14ac:dyDescent="0.25">
      <c r="B5916" s="6"/>
      <c r="C5916" s="7"/>
      <c r="D5916" s="7"/>
      <c r="E5916" s="8"/>
      <c r="F5916" t="str">
        <f t="shared" si="211"/>
        <v/>
      </c>
      <c r="G5916" t="str">
        <f t="shared" si="212"/>
        <v/>
      </c>
    </row>
    <row r="5917" spans="2:7" x14ac:dyDescent="0.25">
      <c r="B5917" s="6"/>
      <c r="C5917" s="7"/>
      <c r="D5917" s="7"/>
      <c r="E5917" s="8"/>
      <c r="F5917" t="str">
        <f t="shared" si="211"/>
        <v/>
      </c>
      <c r="G5917" t="str">
        <f t="shared" si="212"/>
        <v/>
      </c>
    </row>
    <row r="5918" spans="2:7" x14ac:dyDescent="0.25">
      <c r="B5918" s="6"/>
      <c r="C5918" s="7"/>
      <c r="D5918" s="7"/>
      <c r="E5918" s="8"/>
      <c r="F5918" t="str">
        <f t="shared" si="211"/>
        <v/>
      </c>
      <c r="G5918" t="str">
        <f t="shared" si="212"/>
        <v/>
      </c>
    </row>
    <row r="5919" spans="2:7" x14ac:dyDescent="0.25">
      <c r="B5919" s="6"/>
      <c r="C5919" s="7"/>
      <c r="D5919" s="7"/>
      <c r="E5919" s="8"/>
      <c r="F5919" t="str">
        <f t="shared" si="211"/>
        <v/>
      </c>
      <c r="G5919" t="str">
        <f t="shared" si="212"/>
        <v/>
      </c>
    </row>
    <row r="5920" spans="2:7" x14ac:dyDescent="0.25">
      <c r="B5920" s="6"/>
      <c r="C5920" s="7"/>
      <c r="D5920" s="7"/>
      <c r="E5920" s="8"/>
      <c r="F5920" t="str">
        <f t="shared" si="211"/>
        <v/>
      </c>
      <c r="G5920" t="str">
        <f t="shared" si="212"/>
        <v/>
      </c>
    </row>
    <row r="5921" spans="2:7" x14ac:dyDescent="0.25">
      <c r="B5921" s="6"/>
      <c r="C5921" s="7"/>
      <c r="D5921" s="7"/>
      <c r="E5921" s="8"/>
      <c r="F5921" t="str">
        <f t="shared" si="211"/>
        <v/>
      </c>
      <c r="G5921" t="str">
        <f t="shared" si="212"/>
        <v/>
      </c>
    </row>
    <row r="5922" spans="2:7" x14ac:dyDescent="0.25">
      <c r="B5922" s="6"/>
      <c r="C5922" s="7"/>
      <c r="D5922" s="7"/>
      <c r="E5922" s="8"/>
      <c r="F5922" t="str">
        <f t="shared" si="211"/>
        <v/>
      </c>
      <c r="G5922" t="str">
        <f t="shared" si="212"/>
        <v/>
      </c>
    </row>
    <row r="5923" spans="2:7" x14ac:dyDescent="0.25">
      <c r="B5923" s="6"/>
      <c r="C5923" s="7"/>
      <c r="D5923" s="7"/>
      <c r="E5923" s="8"/>
      <c r="F5923" t="str">
        <f t="shared" si="211"/>
        <v/>
      </c>
      <c r="G5923" t="str">
        <f t="shared" si="212"/>
        <v/>
      </c>
    </row>
    <row r="5924" spans="2:7" x14ac:dyDescent="0.25">
      <c r="B5924" s="6"/>
      <c r="C5924" s="7"/>
      <c r="D5924" s="7"/>
      <c r="E5924" s="8"/>
      <c r="F5924" t="str">
        <f t="shared" si="211"/>
        <v/>
      </c>
      <c r="G5924" t="str">
        <f t="shared" si="212"/>
        <v/>
      </c>
    </row>
    <row r="5925" spans="2:7" x14ac:dyDescent="0.25">
      <c r="B5925" s="6"/>
      <c r="C5925" s="7"/>
      <c r="D5925" s="7"/>
      <c r="E5925" s="8"/>
      <c r="F5925" t="str">
        <f t="shared" si="211"/>
        <v/>
      </c>
      <c r="G5925" t="str">
        <f t="shared" si="212"/>
        <v/>
      </c>
    </row>
    <row r="5926" spans="2:7" x14ac:dyDescent="0.25">
      <c r="B5926" s="6"/>
      <c r="C5926" s="7"/>
      <c r="D5926" s="7"/>
      <c r="E5926" s="8"/>
      <c r="F5926" t="str">
        <f t="shared" si="211"/>
        <v/>
      </c>
      <c r="G5926" t="str">
        <f t="shared" si="212"/>
        <v/>
      </c>
    </row>
    <row r="5927" spans="2:7" x14ac:dyDescent="0.25">
      <c r="B5927" s="6"/>
      <c r="C5927" s="7"/>
      <c r="D5927" s="7"/>
      <c r="E5927" s="8"/>
      <c r="F5927" t="str">
        <f t="shared" si="211"/>
        <v/>
      </c>
      <c r="G5927" t="str">
        <f t="shared" si="212"/>
        <v/>
      </c>
    </row>
    <row r="5928" spans="2:7" x14ac:dyDescent="0.25">
      <c r="B5928" s="6"/>
      <c r="C5928" s="7"/>
      <c r="D5928" s="7"/>
      <c r="E5928" s="8"/>
      <c r="F5928" t="str">
        <f t="shared" si="211"/>
        <v/>
      </c>
      <c r="G5928" t="str">
        <f t="shared" si="212"/>
        <v/>
      </c>
    </row>
    <row r="5929" spans="2:7" x14ac:dyDescent="0.25">
      <c r="B5929" s="6"/>
      <c r="C5929" s="7"/>
      <c r="D5929" s="7"/>
      <c r="E5929" s="8"/>
      <c r="F5929" t="str">
        <f t="shared" si="211"/>
        <v/>
      </c>
      <c r="G5929" t="str">
        <f t="shared" si="212"/>
        <v/>
      </c>
    </row>
    <row r="5930" spans="2:7" x14ac:dyDescent="0.25">
      <c r="B5930" s="6"/>
      <c r="C5930" s="7"/>
      <c r="D5930" s="7"/>
      <c r="E5930" s="8"/>
      <c r="F5930" t="str">
        <f t="shared" si="211"/>
        <v/>
      </c>
      <c r="G5930" t="str">
        <f t="shared" si="212"/>
        <v/>
      </c>
    </row>
    <row r="5931" spans="2:7" x14ac:dyDescent="0.25">
      <c r="B5931" s="6"/>
      <c r="C5931" s="7"/>
      <c r="D5931" s="7"/>
      <c r="E5931" s="8"/>
      <c r="F5931" t="str">
        <f t="shared" si="211"/>
        <v/>
      </c>
      <c r="G5931" t="str">
        <f t="shared" si="212"/>
        <v/>
      </c>
    </row>
    <row r="5932" spans="2:7" x14ac:dyDescent="0.25">
      <c r="B5932" s="6"/>
      <c r="C5932" s="7"/>
      <c r="D5932" s="7"/>
      <c r="E5932" s="8"/>
      <c r="F5932" t="str">
        <f t="shared" si="211"/>
        <v/>
      </c>
      <c r="G5932" t="str">
        <f t="shared" si="212"/>
        <v/>
      </c>
    </row>
    <row r="5933" spans="2:7" x14ac:dyDescent="0.25">
      <c r="B5933" s="6"/>
      <c r="C5933" s="7"/>
      <c r="D5933" s="7"/>
      <c r="E5933" s="8"/>
      <c r="F5933" t="str">
        <f t="shared" si="211"/>
        <v/>
      </c>
      <c r="G5933" t="str">
        <f t="shared" si="212"/>
        <v/>
      </c>
    </row>
    <row r="5934" spans="2:7" x14ac:dyDescent="0.25">
      <c r="B5934" s="6"/>
      <c r="C5934" s="7"/>
      <c r="D5934" s="7"/>
      <c r="E5934" s="8"/>
      <c r="F5934" t="str">
        <f t="shared" si="211"/>
        <v/>
      </c>
      <c r="G5934" t="str">
        <f t="shared" si="212"/>
        <v/>
      </c>
    </row>
    <row r="5935" spans="2:7" x14ac:dyDescent="0.25">
      <c r="B5935" s="6"/>
      <c r="C5935" s="7"/>
      <c r="D5935" s="7"/>
      <c r="E5935" s="8"/>
      <c r="F5935" t="str">
        <f t="shared" si="211"/>
        <v/>
      </c>
      <c r="G5935" t="str">
        <f t="shared" si="212"/>
        <v/>
      </c>
    </row>
    <row r="5936" spans="2:7" x14ac:dyDescent="0.25">
      <c r="B5936" s="6"/>
      <c r="C5936" s="7"/>
      <c r="D5936" s="7"/>
      <c r="E5936" s="8"/>
      <c r="F5936" t="str">
        <f t="shared" si="211"/>
        <v/>
      </c>
      <c r="G5936" t="str">
        <f t="shared" si="212"/>
        <v/>
      </c>
    </row>
    <row r="5937" spans="2:7" x14ac:dyDescent="0.25">
      <c r="B5937" s="6"/>
      <c r="C5937" s="7"/>
      <c r="D5937" s="7"/>
      <c r="E5937" s="8"/>
      <c r="F5937" t="str">
        <f t="shared" si="211"/>
        <v/>
      </c>
      <c r="G5937" t="str">
        <f t="shared" si="212"/>
        <v/>
      </c>
    </row>
    <row r="5938" spans="2:7" x14ac:dyDescent="0.25">
      <c r="B5938" s="6"/>
      <c r="C5938" s="7"/>
      <c r="D5938" s="7"/>
      <c r="E5938" s="8"/>
      <c r="F5938" t="str">
        <f t="shared" si="211"/>
        <v/>
      </c>
      <c r="G5938" t="str">
        <f t="shared" si="212"/>
        <v/>
      </c>
    </row>
    <row r="5939" spans="2:7" x14ac:dyDescent="0.25">
      <c r="B5939" s="6"/>
      <c r="C5939" s="7"/>
      <c r="D5939" s="7"/>
      <c r="E5939" s="8"/>
      <c r="F5939" t="str">
        <f t="shared" si="211"/>
        <v/>
      </c>
      <c r="G5939" t="str">
        <f t="shared" si="212"/>
        <v/>
      </c>
    </row>
    <row r="5940" spans="2:7" x14ac:dyDescent="0.25">
      <c r="B5940" s="6"/>
      <c r="C5940" s="7"/>
      <c r="D5940" s="7"/>
      <c r="E5940" s="8"/>
      <c r="F5940" t="str">
        <f t="shared" si="211"/>
        <v/>
      </c>
      <c r="G5940" t="str">
        <f t="shared" si="212"/>
        <v/>
      </c>
    </row>
    <row r="5941" spans="2:7" x14ac:dyDescent="0.25">
      <c r="B5941" s="6"/>
      <c r="C5941" s="7"/>
      <c r="D5941" s="7"/>
      <c r="E5941" s="8"/>
      <c r="F5941" t="str">
        <f t="shared" si="211"/>
        <v/>
      </c>
      <c r="G5941" t="str">
        <f t="shared" si="212"/>
        <v/>
      </c>
    </row>
    <row r="5942" spans="2:7" x14ac:dyDescent="0.25">
      <c r="B5942" s="6"/>
      <c r="C5942" s="7"/>
      <c r="D5942" s="7"/>
      <c r="E5942" s="8"/>
      <c r="F5942" t="str">
        <f t="shared" si="211"/>
        <v/>
      </c>
      <c r="G5942" t="str">
        <f t="shared" si="212"/>
        <v/>
      </c>
    </row>
    <row r="5943" spans="2:7" x14ac:dyDescent="0.25">
      <c r="B5943" s="6"/>
      <c r="C5943" s="7"/>
      <c r="D5943" s="7"/>
      <c r="E5943" s="8"/>
      <c r="F5943" t="str">
        <f t="shared" si="211"/>
        <v/>
      </c>
      <c r="G5943" t="str">
        <f t="shared" si="212"/>
        <v/>
      </c>
    </row>
    <row r="5944" spans="2:7" x14ac:dyDescent="0.25">
      <c r="B5944" s="6"/>
      <c r="C5944" s="7"/>
      <c r="D5944" s="7"/>
      <c r="E5944" s="8"/>
      <c r="F5944" t="str">
        <f t="shared" si="211"/>
        <v/>
      </c>
      <c r="G5944" t="str">
        <f t="shared" si="212"/>
        <v/>
      </c>
    </row>
    <row r="5945" spans="2:7" x14ac:dyDescent="0.25">
      <c r="B5945" s="6"/>
      <c r="C5945" s="7"/>
      <c r="D5945" s="7"/>
      <c r="E5945" s="8"/>
      <c r="F5945" t="str">
        <f t="shared" si="211"/>
        <v/>
      </c>
      <c r="G5945" t="str">
        <f t="shared" si="212"/>
        <v/>
      </c>
    </row>
    <row r="5946" spans="2:7" x14ac:dyDescent="0.25">
      <c r="B5946" s="6"/>
      <c r="C5946" s="7"/>
      <c r="D5946" s="7"/>
      <c r="E5946" s="8"/>
      <c r="F5946" t="str">
        <f t="shared" si="211"/>
        <v/>
      </c>
      <c r="G5946" t="str">
        <f t="shared" si="212"/>
        <v/>
      </c>
    </row>
    <row r="5947" spans="2:7" x14ac:dyDescent="0.25">
      <c r="B5947" s="6"/>
      <c r="C5947" s="7"/>
      <c r="D5947" s="7"/>
      <c r="E5947" s="8"/>
      <c r="F5947" t="str">
        <f t="shared" si="211"/>
        <v/>
      </c>
      <c r="G5947" t="str">
        <f t="shared" si="212"/>
        <v/>
      </c>
    </row>
    <row r="5948" spans="2:7" x14ac:dyDescent="0.25">
      <c r="B5948" s="6"/>
      <c r="C5948" s="7"/>
      <c r="D5948" s="7"/>
      <c r="E5948" s="8"/>
      <c r="F5948" t="str">
        <f t="shared" si="211"/>
        <v/>
      </c>
      <c r="G5948" t="str">
        <f t="shared" si="212"/>
        <v/>
      </c>
    </row>
    <row r="5949" spans="2:7" x14ac:dyDescent="0.25">
      <c r="B5949" s="6"/>
      <c r="C5949" s="7"/>
      <c r="D5949" s="7"/>
      <c r="E5949" s="8"/>
      <c r="F5949" t="str">
        <f t="shared" si="211"/>
        <v/>
      </c>
      <c r="G5949" t="str">
        <f t="shared" si="212"/>
        <v/>
      </c>
    </row>
    <row r="5950" spans="2:7" x14ac:dyDescent="0.25">
      <c r="B5950" s="6"/>
      <c r="C5950" s="7"/>
      <c r="D5950" s="7"/>
      <c r="E5950" s="8"/>
      <c r="F5950" t="str">
        <f t="shared" si="211"/>
        <v/>
      </c>
      <c r="G5950" t="str">
        <f t="shared" si="212"/>
        <v/>
      </c>
    </row>
    <row r="5951" spans="2:7" x14ac:dyDescent="0.25">
      <c r="B5951" s="6"/>
      <c r="C5951" s="7"/>
      <c r="D5951" s="7"/>
      <c r="E5951" s="8"/>
      <c r="F5951" t="str">
        <f t="shared" si="211"/>
        <v/>
      </c>
      <c r="G5951" t="str">
        <f t="shared" si="212"/>
        <v/>
      </c>
    </row>
    <row r="5952" spans="2:7" x14ac:dyDescent="0.25">
      <c r="B5952" s="6"/>
      <c r="C5952" s="7"/>
      <c r="D5952" s="7"/>
      <c r="E5952" s="8"/>
      <c r="F5952" t="str">
        <f t="shared" si="211"/>
        <v/>
      </c>
      <c r="G5952" t="str">
        <f t="shared" si="212"/>
        <v/>
      </c>
    </row>
    <row r="5953" spans="2:7" x14ac:dyDescent="0.25">
      <c r="B5953" s="6"/>
      <c r="C5953" s="7"/>
      <c r="D5953" s="7"/>
      <c r="E5953" s="8"/>
      <c r="F5953" t="str">
        <f t="shared" si="211"/>
        <v/>
      </c>
      <c r="G5953" t="str">
        <f t="shared" si="212"/>
        <v/>
      </c>
    </row>
    <row r="5954" spans="2:7" x14ac:dyDescent="0.25">
      <c r="B5954" s="6"/>
      <c r="C5954" s="7"/>
      <c r="D5954" s="7"/>
      <c r="E5954" s="8"/>
      <c r="F5954" t="str">
        <f t="shared" si="211"/>
        <v/>
      </c>
      <c r="G5954" t="str">
        <f t="shared" si="212"/>
        <v/>
      </c>
    </row>
    <row r="5955" spans="2:7" x14ac:dyDescent="0.25">
      <c r="B5955" s="6"/>
      <c r="C5955" s="7"/>
      <c r="D5955" s="7"/>
      <c r="E5955" s="8"/>
      <c r="F5955" t="str">
        <f t="shared" si="211"/>
        <v/>
      </c>
      <c r="G5955" t="str">
        <f t="shared" si="212"/>
        <v/>
      </c>
    </row>
    <row r="5956" spans="2:7" x14ac:dyDescent="0.25">
      <c r="B5956" s="6"/>
      <c r="C5956" s="7"/>
      <c r="D5956" s="7"/>
      <c r="E5956" s="8"/>
      <c r="F5956" t="str">
        <f t="shared" ref="F5956:F6019" si="213">IF(B5956="","",LOG10(D5956))</f>
        <v/>
      </c>
      <c r="G5956" t="str">
        <f t="shared" ref="G5956:G6019" si="214">IF(E5956="", "",0.434*E5956/D5956)</f>
        <v/>
      </c>
    </row>
    <row r="5957" spans="2:7" x14ac:dyDescent="0.25">
      <c r="B5957" s="6"/>
      <c r="C5957" s="7"/>
      <c r="D5957" s="7"/>
      <c r="E5957" s="8"/>
      <c r="F5957" t="str">
        <f t="shared" si="213"/>
        <v/>
      </c>
      <c r="G5957" t="str">
        <f t="shared" si="214"/>
        <v/>
      </c>
    </row>
    <row r="5958" spans="2:7" x14ac:dyDescent="0.25">
      <c r="B5958" s="6"/>
      <c r="C5958" s="7"/>
      <c r="D5958" s="7"/>
      <c r="E5958" s="8"/>
      <c r="F5958" t="str">
        <f t="shared" si="213"/>
        <v/>
      </c>
      <c r="G5958" t="str">
        <f t="shared" si="214"/>
        <v/>
      </c>
    </row>
    <row r="5959" spans="2:7" x14ac:dyDescent="0.25">
      <c r="B5959" s="6"/>
      <c r="C5959" s="7"/>
      <c r="D5959" s="7"/>
      <c r="E5959" s="8"/>
      <c r="F5959" t="str">
        <f t="shared" si="213"/>
        <v/>
      </c>
      <c r="G5959" t="str">
        <f t="shared" si="214"/>
        <v/>
      </c>
    </row>
    <row r="5960" spans="2:7" x14ac:dyDescent="0.25">
      <c r="B5960" s="6"/>
      <c r="C5960" s="7"/>
      <c r="D5960" s="7"/>
      <c r="E5960" s="8"/>
      <c r="F5960" t="str">
        <f t="shared" si="213"/>
        <v/>
      </c>
      <c r="G5960" t="str">
        <f t="shared" si="214"/>
        <v/>
      </c>
    </row>
    <row r="5961" spans="2:7" x14ac:dyDescent="0.25">
      <c r="B5961" s="6"/>
      <c r="C5961" s="7"/>
      <c r="D5961" s="7"/>
      <c r="E5961" s="8"/>
      <c r="F5961" t="str">
        <f t="shared" si="213"/>
        <v/>
      </c>
      <c r="G5961" t="str">
        <f t="shared" si="214"/>
        <v/>
      </c>
    </row>
    <row r="5962" spans="2:7" x14ac:dyDescent="0.25">
      <c r="B5962" s="6"/>
      <c r="C5962" s="7"/>
      <c r="D5962" s="7"/>
      <c r="E5962" s="8"/>
      <c r="F5962" t="str">
        <f t="shared" si="213"/>
        <v/>
      </c>
      <c r="G5962" t="str">
        <f t="shared" si="214"/>
        <v/>
      </c>
    </row>
    <row r="5963" spans="2:7" x14ac:dyDescent="0.25">
      <c r="B5963" s="6"/>
      <c r="C5963" s="7"/>
      <c r="D5963" s="7"/>
      <c r="E5963" s="8"/>
      <c r="F5963" t="str">
        <f t="shared" si="213"/>
        <v/>
      </c>
      <c r="G5963" t="str">
        <f t="shared" si="214"/>
        <v/>
      </c>
    </row>
    <row r="5964" spans="2:7" x14ac:dyDescent="0.25">
      <c r="B5964" s="6"/>
      <c r="C5964" s="7"/>
      <c r="D5964" s="7"/>
      <c r="E5964" s="8"/>
      <c r="F5964" t="str">
        <f t="shared" si="213"/>
        <v/>
      </c>
      <c r="G5964" t="str">
        <f t="shared" si="214"/>
        <v/>
      </c>
    </row>
    <row r="5965" spans="2:7" x14ac:dyDescent="0.25">
      <c r="B5965" s="6"/>
      <c r="C5965" s="7"/>
      <c r="D5965" s="7"/>
      <c r="E5965" s="8"/>
      <c r="F5965" t="str">
        <f t="shared" si="213"/>
        <v/>
      </c>
      <c r="G5965" t="str">
        <f t="shared" si="214"/>
        <v/>
      </c>
    </row>
    <row r="5966" spans="2:7" x14ac:dyDescent="0.25">
      <c r="B5966" s="6"/>
      <c r="C5966" s="7"/>
      <c r="D5966" s="7"/>
      <c r="E5966" s="8"/>
      <c r="F5966" t="str">
        <f t="shared" si="213"/>
        <v/>
      </c>
      <c r="G5966" t="str">
        <f t="shared" si="214"/>
        <v/>
      </c>
    </row>
    <row r="5967" spans="2:7" x14ac:dyDescent="0.25">
      <c r="B5967" s="6"/>
      <c r="C5967" s="7"/>
      <c r="D5967" s="7"/>
      <c r="E5967" s="8"/>
      <c r="F5967" t="str">
        <f t="shared" si="213"/>
        <v/>
      </c>
      <c r="G5967" t="str">
        <f t="shared" si="214"/>
        <v/>
      </c>
    </row>
    <row r="5968" spans="2:7" x14ac:dyDescent="0.25">
      <c r="B5968" s="6"/>
      <c r="C5968" s="7"/>
      <c r="D5968" s="7"/>
      <c r="E5968" s="8"/>
      <c r="F5968" t="str">
        <f t="shared" si="213"/>
        <v/>
      </c>
      <c r="G5968" t="str">
        <f t="shared" si="214"/>
        <v/>
      </c>
    </row>
    <row r="5969" spans="2:7" x14ac:dyDescent="0.25">
      <c r="B5969" s="6"/>
      <c r="C5969" s="7"/>
      <c r="D5969" s="7"/>
      <c r="E5969" s="8"/>
      <c r="F5969" t="str">
        <f t="shared" si="213"/>
        <v/>
      </c>
      <c r="G5969" t="str">
        <f t="shared" si="214"/>
        <v/>
      </c>
    </row>
    <row r="5970" spans="2:7" x14ac:dyDescent="0.25">
      <c r="B5970" s="6"/>
      <c r="C5970" s="7"/>
      <c r="D5970" s="7"/>
      <c r="E5970" s="8"/>
      <c r="F5970" t="str">
        <f t="shared" si="213"/>
        <v/>
      </c>
      <c r="G5970" t="str">
        <f t="shared" si="214"/>
        <v/>
      </c>
    </row>
    <row r="5971" spans="2:7" x14ac:dyDescent="0.25">
      <c r="B5971" s="6"/>
      <c r="C5971" s="7"/>
      <c r="D5971" s="7"/>
      <c r="E5971" s="8"/>
      <c r="F5971" t="str">
        <f t="shared" si="213"/>
        <v/>
      </c>
      <c r="G5971" t="str">
        <f t="shared" si="214"/>
        <v/>
      </c>
    </row>
    <row r="5972" spans="2:7" x14ac:dyDescent="0.25">
      <c r="B5972" s="6"/>
      <c r="C5972" s="7"/>
      <c r="D5972" s="7"/>
      <c r="E5972" s="8"/>
      <c r="F5972" t="str">
        <f t="shared" si="213"/>
        <v/>
      </c>
      <c r="G5972" t="str">
        <f t="shared" si="214"/>
        <v/>
      </c>
    </row>
    <row r="5973" spans="2:7" x14ac:dyDescent="0.25">
      <c r="B5973" s="6"/>
      <c r="C5973" s="7"/>
      <c r="D5973" s="7"/>
      <c r="E5973" s="8"/>
      <c r="F5973" t="str">
        <f t="shared" si="213"/>
        <v/>
      </c>
      <c r="G5973" t="str">
        <f t="shared" si="214"/>
        <v/>
      </c>
    </row>
    <row r="5974" spans="2:7" x14ac:dyDescent="0.25">
      <c r="B5974" s="6"/>
      <c r="C5974" s="7"/>
      <c r="D5974" s="7"/>
      <c r="E5974" s="8"/>
      <c r="F5974" t="str">
        <f t="shared" si="213"/>
        <v/>
      </c>
      <c r="G5974" t="str">
        <f t="shared" si="214"/>
        <v/>
      </c>
    </row>
    <row r="5975" spans="2:7" x14ac:dyDescent="0.25">
      <c r="B5975" s="6"/>
      <c r="C5975" s="7"/>
      <c r="D5975" s="7"/>
      <c r="E5975" s="8"/>
      <c r="F5975" t="str">
        <f t="shared" si="213"/>
        <v/>
      </c>
      <c r="G5975" t="str">
        <f t="shared" si="214"/>
        <v/>
      </c>
    </row>
    <row r="5976" spans="2:7" x14ac:dyDescent="0.25">
      <c r="B5976" s="6"/>
      <c r="C5976" s="7"/>
      <c r="D5976" s="7"/>
      <c r="E5976" s="8"/>
      <c r="F5976" t="str">
        <f t="shared" si="213"/>
        <v/>
      </c>
      <c r="G5976" t="str">
        <f t="shared" si="214"/>
        <v/>
      </c>
    </row>
    <row r="5977" spans="2:7" x14ac:dyDescent="0.25">
      <c r="B5977" s="6"/>
      <c r="C5977" s="7"/>
      <c r="D5977" s="7"/>
      <c r="E5977" s="8"/>
      <c r="F5977" t="str">
        <f t="shared" si="213"/>
        <v/>
      </c>
      <c r="G5977" t="str">
        <f t="shared" si="214"/>
        <v/>
      </c>
    </row>
    <row r="5978" spans="2:7" x14ac:dyDescent="0.25">
      <c r="B5978" s="6"/>
      <c r="C5978" s="7"/>
      <c r="D5978" s="7"/>
      <c r="E5978" s="8"/>
      <c r="F5978" t="str">
        <f t="shared" si="213"/>
        <v/>
      </c>
      <c r="G5978" t="str">
        <f t="shared" si="214"/>
        <v/>
      </c>
    </row>
    <row r="5979" spans="2:7" x14ac:dyDescent="0.25">
      <c r="B5979" s="6"/>
      <c r="C5979" s="7"/>
      <c r="D5979" s="7"/>
      <c r="E5979" s="8"/>
      <c r="F5979" t="str">
        <f t="shared" si="213"/>
        <v/>
      </c>
      <c r="G5979" t="str">
        <f t="shared" si="214"/>
        <v/>
      </c>
    </row>
    <row r="5980" spans="2:7" x14ac:dyDescent="0.25">
      <c r="B5980" s="6"/>
      <c r="C5980" s="7"/>
      <c r="D5980" s="7"/>
      <c r="E5980" s="8"/>
      <c r="F5980" t="str">
        <f t="shared" si="213"/>
        <v/>
      </c>
      <c r="G5980" t="str">
        <f t="shared" si="214"/>
        <v/>
      </c>
    </row>
    <row r="5981" spans="2:7" x14ac:dyDescent="0.25">
      <c r="B5981" s="6"/>
      <c r="C5981" s="7"/>
      <c r="D5981" s="7"/>
      <c r="E5981" s="8"/>
      <c r="F5981" t="str">
        <f t="shared" si="213"/>
        <v/>
      </c>
      <c r="G5981" t="str">
        <f t="shared" si="214"/>
        <v/>
      </c>
    </row>
    <row r="5982" spans="2:7" x14ac:dyDescent="0.25">
      <c r="B5982" s="6"/>
      <c r="C5982" s="7"/>
      <c r="D5982" s="7"/>
      <c r="E5982" s="8"/>
      <c r="F5982" t="str">
        <f t="shared" si="213"/>
        <v/>
      </c>
      <c r="G5982" t="str">
        <f t="shared" si="214"/>
        <v/>
      </c>
    </row>
    <row r="5983" spans="2:7" x14ac:dyDescent="0.25">
      <c r="B5983" s="6"/>
      <c r="C5983" s="7"/>
      <c r="D5983" s="7"/>
      <c r="E5983" s="8"/>
      <c r="F5983" t="str">
        <f t="shared" si="213"/>
        <v/>
      </c>
      <c r="G5983" t="str">
        <f t="shared" si="214"/>
        <v/>
      </c>
    </row>
    <row r="5984" spans="2:7" x14ac:dyDescent="0.25">
      <c r="B5984" s="6"/>
      <c r="C5984" s="7"/>
      <c r="D5984" s="7"/>
      <c r="E5984" s="8"/>
      <c r="F5984" t="str">
        <f t="shared" si="213"/>
        <v/>
      </c>
      <c r="G5984" t="str">
        <f t="shared" si="214"/>
        <v/>
      </c>
    </row>
    <row r="5985" spans="2:7" x14ac:dyDescent="0.25">
      <c r="B5985" s="6"/>
      <c r="C5985" s="7"/>
      <c r="D5985" s="7"/>
      <c r="E5985" s="8"/>
      <c r="F5985" t="str">
        <f t="shared" si="213"/>
        <v/>
      </c>
      <c r="G5985" t="str">
        <f t="shared" si="214"/>
        <v/>
      </c>
    </row>
    <row r="5986" spans="2:7" x14ac:dyDescent="0.25">
      <c r="B5986" s="6"/>
      <c r="C5986" s="7"/>
      <c r="D5986" s="7"/>
      <c r="E5986" s="8"/>
      <c r="F5986" t="str">
        <f t="shared" si="213"/>
        <v/>
      </c>
      <c r="G5986" t="str">
        <f t="shared" si="214"/>
        <v/>
      </c>
    </row>
    <row r="5987" spans="2:7" x14ac:dyDescent="0.25">
      <c r="B5987" s="6"/>
      <c r="C5987" s="7"/>
      <c r="D5987" s="7"/>
      <c r="E5987" s="8"/>
      <c r="F5987" t="str">
        <f t="shared" si="213"/>
        <v/>
      </c>
      <c r="G5987" t="str">
        <f t="shared" si="214"/>
        <v/>
      </c>
    </row>
    <row r="5988" spans="2:7" x14ac:dyDescent="0.25">
      <c r="B5988" s="6"/>
      <c r="C5988" s="7"/>
      <c r="D5988" s="7"/>
      <c r="E5988" s="8"/>
      <c r="F5988" t="str">
        <f t="shared" si="213"/>
        <v/>
      </c>
      <c r="G5988" t="str">
        <f t="shared" si="214"/>
        <v/>
      </c>
    </row>
    <row r="5989" spans="2:7" x14ac:dyDescent="0.25">
      <c r="B5989" s="6"/>
      <c r="C5989" s="7"/>
      <c r="D5989" s="7"/>
      <c r="E5989" s="8"/>
      <c r="F5989" t="str">
        <f t="shared" si="213"/>
        <v/>
      </c>
      <c r="G5989" t="str">
        <f t="shared" si="214"/>
        <v/>
      </c>
    </row>
    <row r="5990" spans="2:7" x14ac:dyDescent="0.25">
      <c r="B5990" s="6"/>
      <c r="C5990" s="7"/>
      <c r="D5990" s="7"/>
      <c r="E5990" s="8"/>
      <c r="F5990" t="str">
        <f t="shared" si="213"/>
        <v/>
      </c>
      <c r="G5990" t="str">
        <f t="shared" si="214"/>
        <v/>
      </c>
    </row>
    <row r="5991" spans="2:7" x14ac:dyDescent="0.25">
      <c r="B5991" s="6"/>
      <c r="C5991" s="7"/>
      <c r="D5991" s="7"/>
      <c r="E5991" s="8"/>
      <c r="F5991" t="str">
        <f t="shared" si="213"/>
        <v/>
      </c>
      <c r="G5991" t="str">
        <f t="shared" si="214"/>
        <v/>
      </c>
    </row>
    <row r="5992" spans="2:7" x14ac:dyDescent="0.25">
      <c r="B5992" s="6"/>
      <c r="C5992" s="7"/>
      <c r="D5992" s="7"/>
      <c r="E5992" s="8"/>
      <c r="F5992" t="str">
        <f t="shared" si="213"/>
        <v/>
      </c>
      <c r="G5992" t="str">
        <f t="shared" si="214"/>
        <v/>
      </c>
    </row>
    <row r="5993" spans="2:7" x14ac:dyDescent="0.25">
      <c r="B5993" s="6"/>
      <c r="C5993" s="7"/>
      <c r="D5993" s="7"/>
      <c r="E5993" s="8"/>
      <c r="F5993" t="str">
        <f t="shared" si="213"/>
        <v/>
      </c>
      <c r="G5993" t="str">
        <f t="shared" si="214"/>
        <v/>
      </c>
    </row>
    <row r="5994" spans="2:7" x14ac:dyDescent="0.25">
      <c r="B5994" s="6"/>
      <c r="C5994" s="7"/>
      <c r="D5994" s="7"/>
      <c r="E5994" s="8"/>
      <c r="F5994" t="str">
        <f t="shared" si="213"/>
        <v/>
      </c>
      <c r="G5994" t="str">
        <f t="shared" si="214"/>
        <v/>
      </c>
    </row>
    <row r="5995" spans="2:7" x14ac:dyDescent="0.25">
      <c r="B5995" s="6"/>
      <c r="C5995" s="7"/>
      <c r="D5995" s="7"/>
      <c r="E5995" s="8"/>
      <c r="F5995" t="str">
        <f t="shared" si="213"/>
        <v/>
      </c>
      <c r="G5995" t="str">
        <f t="shared" si="214"/>
        <v/>
      </c>
    </row>
    <row r="5996" spans="2:7" x14ac:dyDescent="0.25">
      <c r="B5996" s="6"/>
      <c r="C5996" s="7"/>
      <c r="D5996" s="7"/>
      <c r="E5996" s="8"/>
      <c r="F5996" t="str">
        <f t="shared" si="213"/>
        <v/>
      </c>
      <c r="G5996" t="str">
        <f t="shared" si="214"/>
        <v/>
      </c>
    </row>
    <row r="5997" spans="2:7" x14ac:dyDescent="0.25">
      <c r="B5997" s="6"/>
      <c r="C5997" s="7"/>
      <c r="D5997" s="7"/>
      <c r="E5997" s="8"/>
      <c r="F5997" t="str">
        <f t="shared" si="213"/>
        <v/>
      </c>
      <c r="G5997" t="str">
        <f t="shared" si="214"/>
        <v/>
      </c>
    </row>
    <row r="5998" spans="2:7" x14ac:dyDescent="0.25">
      <c r="B5998" s="6"/>
      <c r="C5998" s="7"/>
      <c r="D5998" s="7"/>
      <c r="E5998" s="8"/>
      <c r="F5998" t="str">
        <f t="shared" si="213"/>
        <v/>
      </c>
      <c r="G5998" t="str">
        <f t="shared" si="214"/>
        <v/>
      </c>
    </row>
    <row r="5999" spans="2:7" x14ac:dyDescent="0.25">
      <c r="B5999" s="6"/>
      <c r="C5999" s="7"/>
      <c r="D5999" s="7"/>
      <c r="E5999" s="8"/>
      <c r="F5999" t="str">
        <f t="shared" si="213"/>
        <v/>
      </c>
      <c r="G5999" t="str">
        <f t="shared" si="214"/>
        <v/>
      </c>
    </row>
    <row r="6000" spans="2:7" x14ac:dyDescent="0.25">
      <c r="B6000" s="6"/>
      <c r="C6000" s="7"/>
      <c r="D6000" s="7"/>
      <c r="E6000" s="8"/>
      <c r="F6000" t="str">
        <f t="shared" si="213"/>
        <v/>
      </c>
      <c r="G6000" t="str">
        <f t="shared" si="214"/>
        <v/>
      </c>
    </row>
    <row r="6001" spans="2:7" x14ac:dyDescent="0.25">
      <c r="B6001" s="6"/>
      <c r="C6001" s="7"/>
      <c r="D6001" s="7"/>
      <c r="E6001" s="8"/>
      <c r="F6001" t="str">
        <f t="shared" si="213"/>
        <v/>
      </c>
      <c r="G6001" t="str">
        <f t="shared" si="214"/>
        <v/>
      </c>
    </row>
    <row r="6002" spans="2:7" x14ac:dyDescent="0.25">
      <c r="B6002" s="6"/>
      <c r="C6002" s="7"/>
      <c r="D6002" s="7"/>
      <c r="E6002" s="8"/>
      <c r="F6002" t="str">
        <f t="shared" si="213"/>
        <v/>
      </c>
      <c r="G6002" t="str">
        <f t="shared" si="214"/>
        <v/>
      </c>
    </row>
    <row r="6003" spans="2:7" x14ac:dyDescent="0.25">
      <c r="B6003" s="6"/>
      <c r="C6003" s="7"/>
      <c r="D6003" s="7"/>
      <c r="E6003" s="8"/>
      <c r="F6003" t="str">
        <f t="shared" si="213"/>
        <v/>
      </c>
      <c r="G6003" t="str">
        <f t="shared" si="214"/>
        <v/>
      </c>
    </row>
    <row r="6004" spans="2:7" x14ac:dyDescent="0.25">
      <c r="B6004" s="6"/>
      <c r="C6004" s="7"/>
      <c r="D6004" s="7"/>
      <c r="E6004" s="8"/>
      <c r="F6004" t="str">
        <f t="shared" si="213"/>
        <v/>
      </c>
      <c r="G6004" t="str">
        <f t="shared" si="214"/>
        <v/>
      </c>
    </row>
    <row r="6005" spans="2:7" x14ac:dyDescent="0.25">
      <c r="B6005" s="6"/>
      <c r="C6005" s="7"/>
      <c r="D6005" s="7"/>
      <c r="E6005" s="8"/>
      <c r="F6005" t="str">
        <f t="shared" si="213"/>
        <v/>
      </c>
      <c r="G6005" t="str">
        <f t="shared" si="214"/>
        <v/>
      </c>
    </row>
    <row r="6006" spans="2:7" x14ac:dyDescent="0.25">
      <c r="B6006" s="6"/>
      <c r="C6006" s="7"/>
      <c r="D6006" s="7"/>
      <c r="E6006" s="8"/>
      <c r="F6006" t="str">
        <f t="shared" si="213"/>
        <v/>
      </c>
      <c r="G6006" t="str">
        <f t="shared" si="214"/>
        <v/>
      </c>
    </row>
    <row r="6007" spans="2:7" x14ac:dyDescent="0.25">
      <c r="B6007" s="6"/>
      <c r="C6007" s="7"/>
      <c r="D6007" s="7"/>
      <c r="E6007" s="8"/>
      <c r="F6007" t="str">
        <f t="shared" si="213"/>
        <v/>
      </c>
      <c r="G6007" t="str">
        <f t="shared" si="214"/>
        <v/>
      </c>
    </row>
    <row r="6008" spans="2:7" x14ac:dyDescent="0.25">
      <c r="B6008" s="6"/>
      <c r="C6008" s="7"/>
      <c r="D6008" s="7"/>
      <c r="E6008" s="8"/>
      <c r="F6008" t="str">
        <f t="shared" si="213"/>
        <v/>
      </c>
      <c r="G6008" t="str">
        <f t="shared" si="214"/>
        <v/>
      </c>
    </row>
    <row r="6009" spans="2:7" x14ac:dyDescent="0.25">
      <c r="B6009" s="6"/>
      <c r="C6009" s="7"/>
      <c r="D6009" s="7"/>
      <c r="E6009" s="8"/>
      <c r="F6009" t="str">
        <f t="shared" si="213"/>
        <v/>
      </c>
      <c r="G6009" t="str">
        <f t="shared" si="214"/>
        <v/>
      </c>
    </row>
    <row r="6010" spans="2:7" x14ac:dyDescent="0.25">
      <c r="B6010" s="6"/>
      <c r="C6010" s="7"/>
      <c r="D6010" s="7"/>
      <c r="E6010" s="8"/>
      <c r="F6010" t="str">
        <f t="shared" si="213"/>
        <v/>
      </c>
      <c r="G6010" t="str">
        <f t="shared" si="214"/>
        <v/>
      </c>
    </row>
    <row r="6011" spans="2:7" x14ac:dyDescent="0.25">
      <c r="B6011" s="6"/>
      <c r="C6011" s="7"/>
      <c r="D6011" s="7"/>
      <c r="E6011" s="8"/>
      <c r="F6011" t="str">
        <f t="shared" si="213"/>
        <v/>
      </c>
      <c r="G6011" t="str">
        <f t="shared" si="214"/>
        <v/>
      </c>
    </row>
    <row r="6012" spans="2:7" x14ac:dyDescent="0.25">
      <c r="B6012" s="6"/>
      <c r="C6012" s="7"/>
      <c r="D6012" s="7"/>
      <c r="E6012" s="8"/>
      <c r="F6012" t="str">
        <f t="shared" si="213"/>
        <v/>
      </c>
      <c r="G6012" t="str">
        <f t="shared" si="214"/>
        <v/>
      </c>
    </row>
    <row r="6013" spans="2:7" x14ac:dyDescent="0.25">
      <c r="B6013" s="6"/>
      <c r="C6013" s="7"/>
      <c r="D6013" s="7"/>
      <c r="E6013" s="8"/>
      <c r="F6013" t="str">
        <f t="shared" si="213"/>
        <v/>
      </c>
      <c r="G6013" t="str">
        <f t="shared" si="214"/>
        <v/>
      </c>
    </row>
    <row r="6014" spans="2:7" x14ac:dyDescent="0.25">
      <c r="B6014" s="6"/>
      <c r="C6014" s="7"/>
      <c r="D6014" s="7"/>
      <c r="E6014" s="8"/>
      <c r="F6014" t="str">
        <f t="shared" si="213"/>
        <v/>
      </c>
      <c r="G6014" t="str">
        <f t="shared" si="214"/>
        <v/>
      </c>
    </row>
    <row r="6015" spans="2:7" x14ac:dyDescent="0.25">
      <c r="B6015" s="6"/>
      <c r="C6015" s="7"/>
      <c r="D6015" s="7"/>
      <c r="E6015" s="8"/>
      <c r="F6015" t="str">
        <f t="shared" si="213"/>
        <v/>
      </c>
      <c r="G6015" t="str">
        <f t="shared" si="214"/>
        <v/>
      </c>
    </row>
    <row r="6016" spans="2:7" x14ac:dyDescent="0.25">
      <c r="B6016" s="6"/>
      <c r="C6016" s="7"/>
      <c r="D6016" s="7"/>
      <c r="E6016" s="8"/>
      <c r="F6016" t="str">
        <f t="shared" si="213"/>
        <v/>
      </c>
      <c r="G6016" t="str">
        <f t="shared" si="214"/>
        <v/>
      </c>
    </row>
    <row r="6017" spans="2:7" x14ac:dyDescent="0.25">
      <c r="B6017" s="6"/>
      <c r="C6017" s="7"/>
      <c r="D6017" s="7"/>
      <c r="E6017" s="8"/>
      <c r="F6017" t="str">
        <f t="shared" si="213"/>
        <v/>
      </c>
      <c r="G6017" t="str">
        <f t="shared" si="214"/>
        <v/>
      </c>
    </row>
    <row r="6018" spans="2:7" x14ac:dyDescent="0.25">
      <c r="B6018" s="6"/>
      <c r="C6018" s="7"/>
      <c r="D6018" s="7"/>
      <c r="E6018" s="8"/>
      <c r="F6018" t="str">
        <f t="shared" si="213"/>
        <v/>
      </c>
      <c r="G6018" t="str">
        <f t="shared" si="214"/>
        <v/>
      </c>
    </row>
    <row r="6019" spans="2:7" x14ac:dyDescent="0.25">
      <c r="B6019" s="6"/>
      <c r="C6019" s="7"/>
      <c r="D6019" s="7"/>
      <c r="E6019" s="8"/>
      <c r="F6019" t="str">
        <f t="shared" si="213"/>
        <v/>
      </c>
      <c r="G6019" t="str">
        <f t="shared" si="214"/>
        <v/>
      </c>
    </row>
    <row r="6020" spans="2:7" x14ac:dyDescent="0.25">
      <c r="B6020" s="6"/>
      <c r="C6020" s="7"/>
      <c r="D6020" s="7"/>
      <c r="E6020" s="8"/>
      <c r="F6020" t="str">
        <f t="shared" ref="F6020:F6083" si="215">IF(B6020="","",LOG10(D6020))</f>
        <v/>
      </c>
      <c r="G6020" t="str">
        <f t="shared" ref="G6020:G6083" si="216">IF(E6020="", "",0.434*E6020/D6020)</f>
        <v/>
      </c>
    </row>
    <row r="6021" spans="2:7" x14ac:dyDescent="0.25">
      <c r="B6021" s="6"/>
      <c r="C6021" s="7"/>
      <c r="D6021" s="7"/>
      <c r="E6021" s="8"/>
      <c r="F6021" t="str">
        <f t="shared" si="215"/>
        <v/>
      </c>
      <c r="G6021" t="str">
        <f t="shared" si="216"/>
        <v/>
      </c>
    </row>
    <row r="6022" spans="2:7" x14ac:dyDescent="0.25">
      <c r="B6022" s="6"/>
      <c r="C6022" s="7"/>
      <c r="D6022" s="7"/>
      <c r="E6022" s="8"/>
      <c r="F6022" t="str">
        <f t="shared" si="215"/>
        <v/>
      </c>
      <c r="G6022" t="str">
        <f t="shared" si="216"/>
        <v/>
      </c>
    </row>
    <row r="6023" spans="2:7" x14ac:dyDescent="0.25">
      <c r="B6023" s="6"/>
      <c r="C6023" s="7"/>
      <c r="D6023" s="7"/>
      <c r="E6023" s="8"/>
      <c r="F6023" t="str">
        <f t="shared" si="215"/>
        <v/>
      </c>
      <c r="G6023" t="str">
        <f t="shared" si="216"/>
        <v/>
      </c>
    </row>
    <row r="6024" spans="2:7" x14ac:dyDescent="0.25">
      <c r="B6024" s="6"/>
      <c r="C6024" s="7"/>
      <c r="D6024" s="7"/>
      <c r="E6024" s="8"/>
      <c r="F6024" t="str">
        <f t="shared" si="215"/>
        <v/>
      </c>
      <c r="G6024" t="str">
        <f t="shared" si="216"/>
        <v/>
      </c>
    </row>
    <row r="6025" spans="2:7" x14ac:dyDescent="0.25">
      <c r="B6025" s="6"/>
      <c r="C6025" s="7"/>
      <c r="D6025" s="7"/>
      <c r="E6025" s="8"/>
      <c r="F6025" t="str">
        <f t="shared" si="215"/>
        <v/>
      </c>
      <c r="G6025" t="str">
        <f t="shared" si="216"/>
        <v/>
      </c>
    </row>
    <row r="6026" spans="2:7" x14ac:dyDescent="0.25">
      <c r="B6026" s="6"/>
      <c r="C6026" s="7"/>
      <c r="D6026" s="7"/>
      <c r="E6026" s="8"/>
      <c r="F6026" t="str">
        <f t="shared" si="215"/>
        <v/>
      </c>
      <c r="G6026" t="str">
        <f t="shared" si="216"/>
        <v/>
      </c>
    </row>
    <row r="6027" spans="2:7" x14ac:dyDescent="0.25">
      <c r="B6027" s="6"/>
      <c r="C6027" s="7"/>
      <c r="D6027" s="7"/>
      <c r="E6027" s="8"/>
      <c r="F6027" t="str">
        <f t="shared" si="215"/>
        <v/>
      </c>
      <c r="G6027" t="str">
        <f t="shared" si="216"/>
        <v/>
      </c>
    </row>
    <row r="6028" spans="2:7" x14ac:dyDescent="0.25">
      <c r="B6028" s="6"/>
      <c r="C6028" s="7"/>
      <c r="D6028" s="7"/>
      <c r="E6028" s="8"/>
      <c r="F6028" t="str">
        <f t="shared" si="215"/>
        <v/>
      </c>
      <c r="G6028" t="str">
        <f t="shared" si="216"/>
        <v/>
      </c>
    </row>
    <row r="6029" spans="2:7" x14ac:dyDescent="0.25">
      <c r="B6029" s="6"/>
      <c r="C6029" s="7"/>
      <c r="D6029" s="7"/>
      <c r="E6029" s="8"/>
      <c r="F6029" t="str">
        <f t="shared" si="215"/>
        <v/>
      </c>
      <c r="G6029" t="str">
        <f t="shared" si="216"/>
        <v/>
      </c>
    </row>
    <row r="6030" spans="2:7" x14ac:dyDescent="0.25">
      <c r="B6030" s="6"/>
      <c r="C6030" s="7"/>
      <c r="D6030" s="7"/>
      <c r="E6030" s="8"/>
      <c r="F6030" t="str">
        <f t="shared" si="215"/>
        <v/>
      </c>
      <c r="G6030" t="str">
        <f t="shared" si="216"/>
        <v/>
      </c>
    </row>
    <row r="6031" spans="2:7" x14ac:dyDescent="0.25">
      <c r="B6031" s="6"/>
      <c r="C6031" s="7"/>
      <c r="D6031" s="7"/>
      <c r="E6031" s="8"/>
      <c r="F6031" t="str">
        <f t="shared" si="215"/>
        <v/>
      </c>
      <c r="G6031" t="str">
        <f t="shared" si="216"/>
        <v/>
      </c>
    </row>
    <row r="6032" spans="2:7" x14ac:dyDescent="0.25">
      <c r="B6032" s="6"/>
      <c r="C6032" s="7"/>
      <c r="D6032" s="7"/>
      <c r="E6032" s="8"/>
      <c r="F6032" t="str">
        <f t="shared" si="215"/>
        <v/>
      </c>
      <c r="G6032" t="str">
        <f t="shared" si="216"/>
        <v/>
      </c>
    </row>
    <row r="6033" spans="2:7" x14ac:dyDescent="0.25">
      <c r="B6033" s="6"/>
      <c r="C6033" s="7"/>
      <c r="D6033" s="7"/>
      <c r="E6033" s="8"/>
      <c r="F6033" t="str">
        <f t="shared" si="215"/>
        <v/>
      </c>
      <c r="G6033" t="str">
        <f t="shared" si="216"/>
        <v/>
      </c>
    </row>
    <row r="6034" spans="2:7" x14ac:dyDescent="0.25">
      <c r="B6034" s="6"/>
      <c r="C6034" s="7"/>
      <c r="D6034" s="7"/>
      <c r="E6034" s="8"/>
      <c r="F6034" t="str">
        <f t="shared" si="215"/>
        <v/>
      </c>
      <c r="G6034" t="str">
        <f t="shared" si="216"/>
        <v/>
      </c>
    </row>
    <row r="6035" spans="2:7" x14ac:dyDescent="0.25">
      <c r="B6035" s="6"/>
      <c r="C6035" s="7"/>
      <c r="D6035" s="7"/>
      <c r="E6035" s="8"/>
      <c r="F6035" t="str">
        <f t="shared" si="215"/>
        <v/>
      </c>
      <c r="G6035" t="str">
        <f t="shared" si="216"/>
        <v/>
      </c>
    </row>
    <row r="6036" spans="2:7" x14ac:dyDescent="0.25">
      <c r="B6036" s="6"/>
      <c r="C6036" s="7"/>
      <c r="D6036" s="7"/>
      <c r="E6036" s="8"/>
      <c r="F6036" t="str">
        <f t="shared" si="215"/>
        <v/>
      </c>
      <c r="G6036" t="str">
        <f t="shared" si="216"/>
        <v/>
      </c>
    </row>
    <row r="6037" spans="2:7" x14ac:dyDescent="0.25">
      <c r="B6037" s="6"/>
      <c r="C6037" s="7"/>
      <c r="D6037" s="7"/>
      <c r="E6037" s="8"/>
      <c r="F6037" t="str">
        <f t="shared" si="215"/>
        <v/>
      </c>
      <c r="G6037" t="str">
        <f t="shared" si="216"/>
        <v/>
      </c>
    </row>
    <row r="6038" spans="2:7" x14ac:dyDescent="0.25">
      <c r="B6038" s="6"/>
      <c r="C6038" s="7"/>
      <c r="D6038" s="7"/>
      <c r="E6038" s="8"/>
      <c r="F6038" t="str">
        <f t="shared" si="215"/>
        <v/>
      </c>
      <c r="G6038" t="str">
        <f t="shared" si="216"/>
        <v/>
      </c>
    </row>
    <row r="6039" spans="2:7" x14ac:dyDescent="0.25">
      <c r="B6039" s="6"/>
      <c r="C6039" s="7"/>
      <c r="D6039" s="7"/>
      <c r="E6039" s="8"/>
      <c r="F6039" t="str">
        <f t="shared" si="215"/>
        <v/>
      </c>
      <c r="G6039" t="str">
        <f t="shared" si="216"/>
        <v/>
      </c>
    </row>
    <row r="6040" spans="2:7" x14ac:dyDescent="0.25">
      <c r="B6040" s="6"/>
      <c r="C6040" s="7"/>
      <c r="D6040" s="7"/>
      <c r="E6040" s="8"/>
      <c r="F6040" t="str">
        <f t="shared" si="215"/>
        <v/>
      </c>
      <c r="G6040" t="str">
        <f t="shared" si="216"/>
        <v/>
      </c>
    </row>
    <row r="6041" spans="2:7" x14ac:dyDescent="0.25">
      <c r="B6041" s="6"/>
      <c r="C6041" s="7"/>
      <c r="D6041" s="7"/>
      <c r="E6041" s="8"/>
      <c r="F6041" t="str">
        <f t="shared" si="215"/>
        <v/>
      </c>
      <c r="G6041" t="str">
        <f t="shared" si="216"/>
        <v/>
      </c>
    </row>
    <row r="6042" spans="2:7" x14ac:dyDescent="0.25">
      <c r="B6042" s="6"/>
      <c r="C6042" s="7"/>
      <c r="D6042" s="7"/>
      <c r="E6042" s="8"/>
      <c r="F6042" t="str">
        <f t="shared" si="215"/>
        <v/>
      </c>
      <c r="G6042" t="str">
        <f t="shared" si="216"/>
        <v/>
      </c>
    </row>
    <row r="6043" spans="2:7" x14ac:dyDescent="0.25">
      <c r="B6043" s="6"/>
      <c r="C6043" s="7"/>
      <c r="D6043" s="7"/>
      <c r="E6043" s="8"/>
      <c r="F6043" t="str">
        <f t="shared" si="215"/>
        <v/>
      </c>
      <c r="G6043" t="str">
        <f t="shared" si="216"/>
        <v/>
      </c>
    </row>
    <row r="6044" spans="2:7" x14ac:dyDescent="0.25">
      <c r="B6044" s="6"/>
      <c r="C6044" s="7"/>
      <c r="D6044" s="7"/>
      <c r="E6044" s="8"/>
      <c r="F6044" t="str">
        <f t="shared" si="215"/>
        <v/>
      </c>
      <c r="G6044" t="str">
        <f t="shared" si="216"/>
        <v/>
      </c>
    </row>
    <row r="6045" spans="2:7" x14ac:dyDescent="0.25">
      <c r="B6045" s="6"/>
      <c r="C6045" s="7"/>
      <c r="D6045" s="7"/>
      <c r="E6045" s="8"/>
      <c r="F6045" t="str">
        <f t="shared" si="215"/>
        <v/>
      </c>
      <c r="G6045" t="str">
        <f t="shared" si="216"/>
        <v/>
      </c>
    </row>
    <row r="6046" spans="2:7" x14ac:dyDescent="0.25">
      <c r="B6046" s="6"/>
      <c r="C6046" s="7"/>
      <c r="D6046" s="7"/>
      <c r="E6046" s="8"/>
      <c r="F6046" t="str">
        <f t="shared" si="215"/>
        <v/>
      </c>
      <c r="G6046" t="str">
        <f t="shared" si="216"/>
        <v/>
      </c>
    </row>
    <row r="6047" spans="2:7" x14ac:dyDescent="0.25">
      <c r="B6047" s="6"/>
      <c r="C6047" s="7"/>
      <c r="D6047" s="7"/>
      <c r="E6047" s="8"/>
      <c r="F6047" t="str">
        <f t="shared" si="215"/>
        <v/>
      </c>
      <c r="G6047" t="str">
        <f t="shared" si="216"/>
        <v/>
      </c>
    </row>
    <row r="6048" spans="2:7" x14ac:dyDescent="0.25">
      <c r="B6048" s="6"/>
      <c r="C6048" s="7"/>
      <c r="D6048" s="7"/>
      <c r="E6048" s="8"/>
      <c r="F6048" t="str">
        <f t="shared" si="215"/>
        <v/>
      </c>
      <c r="G6048" t="str">
        <f t="shared" si="216"/>
        <v/>
      </c>
    </row>
    <row r="6049" spans="2:7" x14ac:dyDescent="0.25">
      <c r="B6049" s="6"/>
      <c r="C6049" s="7"/>
      <c r="D6049" s="7"/>
      <c r="E6049" s="8"/>
      <c r="F6049" t="str">
        <f t="shared" si="215"/>
        <v/>
      </c>
      <c r="G6049" t="str">
        <f t="shared" si="216"/>
        <v/>
      </c>
    </row>
    <row r="6050" spans="2:7" x14ac:dyDescent="0.25">
      <c r="B6050" s="6"/>
      <c r="C6050" s="7"/>
      <c r="D6050" s="7"/>
      <c r="E6050" s="8"/>
      <c r="F6050" t="str">
        <f t="shared" si="215"/>
        <v/>
      </c>
      <c r="G6050" t="str">
        <f t="shared" si="216"/>
        <v/>
      </c>
    </row>
    <row r="6051" spans="2:7" x14ac:dyDescent="0.25">
      <c r="B6051" s="6"/>
      <c r="C6051" s="7"/>
      <c r="D6051" s="7"/>
      <c r="E6051" s="8"/>
      <c r="F6051" t="str">
        <f t="shared" si="215"/>
        <v/>
      </c>
      <c r="G6051" t="str">
        <f t="shared" si="216"/>
        <v/>
      </c>
    </row>
    <row r="6052" spans="2:7" x14ac:dyDescent="0.25">
      <c r="B6052" s="6"/>
      <c r="C6052" s="7"/>
      <c r="D6052" s="7"/>
      <c r="E6052" s="8"/>
      <c r="F6052" t="str">
        <f t="shared" si="215"/>
        <v/>
      </c>
      <c r="G6052" t="str">
        <f t="shared" si="216"/>
        <v/>
      </c>
    </row>
    <row r="6053" spans="2:7" x14ac:dyDescent="0.25">
      <c r="B6053" s="6"/>
      <c r="C6053" s="7"/>
      <c r="D6053" s="7"/>
      <c r="E6053" s="8"/>
      <c r="F6053" t="str">
        <f t="shared" si="215"/>
        <v/>
      </c>
      <c r="G6053" t="str">
        <f t="shared" si="216"/>
        <v/>
      </c>
    </row>
    <row r="6054" spans="2:7" x14ac:dyDescent="0.25">
      <c r="B6054" s="6"/>
      <c r="C6054" s="7"/>
      <c r="D6054" s="7"/>
      <c r="E6054" s="8"/>
      <c r="F6054" t="str">
        <f t="shared" si="215"/>
        <v/>
      </c>
      <c r="G6054" t="str">
        <f t="shared" si="216"/>
        <v/>
      </c>
    </row>
    <row r="6055" spans="2:7" x14ac:dyDescent="0.25">
      <c r="B6055" s="6"/>
      <c r="C6055" s="7"/>
      <c r="D6055" s="7"/>
      <c r="E6055" s="8"/>
      <c r="F6055" t="str">
        <f t="shared" si="215"/>
        <v/>
      </c>
      <c r="G6055" t="str">
        <f t="shared" si="216"/>
        <v/>
      </c>
    </row>
    <row r="6056" spans="2:7" x14ac:dyDescent="0.25">
      <c r="B6056" s="6"/>
      <c r="C6056" s="7"/>
      <c r="D6056" s="7"/>
      <c r="E6056" s="8"/>
      <c r="F6056" t="str">
        <f t="shared" si="215"/>
        <v/>
      </c>
      <c r="G6056" t="str">
        <f t="shared" si="216"/>
        <v/>
      </c>
    </row>
    <row r="6057" spans="2:7" x14ac:dyDescent="0.25">
      <c r="B6057" s="6"/>
      <c r="C6057" s="7"/>
      <c r="D6057" s="7"/>
      <c r="E6057" s="8"/>
      <c r="F6057" t="str">
        <f t="shared" si="215"/>
        <v/>
      </c>
      <c r="G6057" t="str">
        <f t="shared" si="216"/>
        <v/>
      </c>
    </row>
    <row r="6058" spans="2:7" x14ac:dyDescent="0.25">
      <c r="B6058" s="6"/>
      <c r="C6058" s="7"/>
      <c r="D6058" s="7"/>
      <c r="E6058" s="8"/>
      <c r="F6058" t="str">
        <f t="shared" si="215"/>
        <v/>
      </c>
      <c r="G6058" t="str">
        <f t="shared" si="216"/>
        <v/>
      </c>
    </row>
    <row r="6059" spans="2:7" x14ac:dyDescent="0.25">
      <c r="B6059" s="6"/>
      <c r="C6059" s="7"/>
      <c r="D6059" s="7"/>
      <c r="E6059" s="8"/>
      <c r="F6059" t="str">
        <f t="shared" si="215"/>
        <v/>
      </c>
      <c r="G6059" t="str">
        <f t="shared" si="216"/>
        <v/>
      </c>
    </row>
    <row r="6060" spans="2:7" x14ac:dyDescent="0.25">
      <c r="B6060" s="6"/>
      <c r="C6060" s="7"/>
      <c r="D6060" s="7"/>
      <c r="E6060" s="8"/>
      <c r="F6060" t="str">
        <f t="shared" si="215"/>
        <v/>
      </c>
      <c r="G6060" t="str">
        <f t="shared" si="216"/>
        <v/>
      </c>
    </row>
    <row r="6061" spans="2:7" x14ac:dyDescent="0.25">
      <c r="B6061" s="6"/>
      <c r="C6061" s="7"/>
      <c r="D6061" s="7"/>
      <c r="E6061" s="8"/>
      <c r="F6061" t="str">
        <f t="shared" si="215"/>
        <v/>
      </c>
      <c r="G6061" t="str">
        <f t="shared" si="216"/>
        <v/>
      </c>
    </row>
    <row r="6062" spans="2:7" x14ac:dyDescent="0.25">
      <c r="B6062" s="6"/>
      <c r="C6062" s="7"/>
      <c r="D6062" s="7"/>
      <c r="E6062" s="8"/>
      <c r="F6062" t="str">
        <f t="shared" si="215"/>
        <v/>
      </c>
      <c r="G6062" t="str">
        <f t="shared" si="216"/>
        <v/>
      </c>
    </row>
    <row r="6063" spans="2:7" x14ac:dyDescent="0.25">
      <c r="B6063" s="6"/>
      <c r="C6063" s="7"/>
      <c r="D6063" s="7"/>
      <c r="E6063" s="8"/>
      <c r="F6063" t="str">
        <f t="shared" si="215"/>
        <v/>
      </c>
      <c r="G6063" t="str">
        <f t="shared" si="216"/>
        <v/>
      </c>
    </row>
    <row r="6064" spans="2:7" x14ac:dyDescent="0.25">
      <c r="B6064" s="6"/>
      <c r="C6064" s="7"/>
      <c r="D6064" s="7"/>
      <c r="E6064" s="8"/>
      <c r="F6064" t="str">
        <f t="shared" si="215"/>
        <v/>
      </c>
      <c r="G6064" t="str">
        <f t="shared" si="216"/>
        <v/>
      </c>
    </row>
    <row r="6065" spans="2:7" x14ac:dyDescent="0.25">
      <c r="B6065" s="6"/>
      <c r="C6065" s="7"/>
      <c r="D6065" s="7"/>
      <c r="E6065" s="8"/>
      <c r="F6065" t="str">
        <f t="shared" si="215"/>
        <v/>
      </c>
      <c r="G6065" t="str">
        <f t="shared" si="216"/>
        <v/>
      </c>
    </row>
    <row r="6066" spans="2:7" x14ac:dyDescent="0.25">
      <c r="B6066" s="6"/>
      <c r="C6066" s="7"/>
      <c r="D6066" s="7"/>
      <c r="E6066" s="8"/>
      <c r="F6066" t="str">
        <f t="shared" si="215"/>
        <v/>
      </c>
      <c r="G6066" t="str">
        <f t="shared" si="216"/>
        <v/>
      </c>
    </row>
    <row r="6067" spans="2:7" x14ac:dyDescent="0.25">
      <c r="B6067" s="6"/>
      <c r="C6067" s="7"/>
      <c r="D6067" s="7"/>
      <c r="E6067" s="8"/>
      <c r="F6067" t="str">
        <f t="shared" si="215"/>
        <v/>
      </c>
      <c r="G6067" t="str">
        <f t="shared" si="216"/>
        <v/>
      </c>
    </row>
    <row r="6068" spans="2:7" x14ac:dyDescent="0.25">
      <c r="B6068" s="6"/>
      <c r="C6068" s="7"/>
      <c r="D6068" s="7"/>
      <c r="E6068" s="8"/>
      <c r="F6068" t="str">
        <f t="shared" si="215"/>
        <v/>
      </c>
      <c r="G6068" t="str">
        <f t="shared" si="216"/>
        <v/>
      </c>
    </row>
    <row r="6069" spans="2:7" x14ac:dyDescent="0.25">
      <c r="B6069" s="6"/>
      <c r="C6069" s="7"/>
      <c r="D6069" s="7"/>
      <c r="E6069" s="8"/>
      <c r="F6069" t="str">
        <f t="shared" si="215"/>
        <v/>
      </c>
      <c r="G6069" t="str">
        <f t="shared" si="216"/>
        <v/>
      </c>
    </row>
    <row r="6070" spans="2:7" x14ac:dyDescent="0.25">
      <c r="B6070" s="6"/>
      <c r="C6070" s="7"/>
      <c r="D6070" s="7"/>
      <c r="E6070" s="8"/>
      <c r="F6070" t="str">
        <f t="shared" si="215"/>
        <v/>
      </c>
      <c r="G6070" t="str">
        <f t="shared" si="216"/>
        <v/>
      </c>
    </row>
    <row r="6071" spans="2:7" x14ac:dyDescent="0.25">
      <c r="B6071" s="6"/>
      <c r="C6071" s="7"/>
      <c r="D6071" s="7"/>
      <c r="E6071" s="8"/>
      <c r="F6071" t="str">
        <f t="shared" si="215"/>
        <v/>
      </c>
      <c r="G6071" t="str">
        <f t="shared" si="216"/>
        <v/>
      </c>
    </row>
    <row r="6072" spans="2:7" x14ac:dyDescent="0.25">
      <c r="B6072" s="6"/>
      <c r="C6072" s="7"/>
      <c r="D6072" s="7"/>
      <c r="E6072" s="8"/>
      <c r="F6072" t="str">
        <f t="shared" si="215"/>
        <v/>
      </c>
      <c r="G6072" t="str">
        <f t="shared" si="216"/>
        <v/>
      </c>
    </row>
    <row r="6073" spans="2:7" x14ac:dyDescent="0.25">
      <c r="B6073" s="6"/>
      <c r="C6073" s="7"/>
      <c r="D6073" s="7"/>
      <c r="E6073" s="8"/>
      <c r="F6073" t="str">
        <f t="shared" si="215"/>
        <v/>
      </c>
      <c r="G6073" t="str">
        <f t="shared" si="216"/>
        <v/>
      </c>
    </row>
    <row r="6074" spans="2:7" x14ac:dyDescent="0.25">
      <c r="B6074" s="6"/>
      <c r="C6074" s="7"/>
      <c r="D6074" s="7"/>
      <c r="E6074" s="8"/>
      <c r="F6074" t="str">
        <f t="shared" si="215"/>
        <v/>
      </c>
      <c r="G6074" t="str">
        <f t="shared" si="216"/>
        <v/>
      </c>
    </row>
    <row r="6075" spans="2:7" x14ac:dyDescent="0.25">
      <c r="B6075" s="6"/>
      <c r="C6075" s="7"/>
      <c r="D6075" s="7"/>
      <c r="E6075" s="8"/>
      <c r="F6075" t="str">
        <f t="shared" si="215"/>
        <v/>
      </c>
      <c r="G6075" t="str">
        <f t="shared" si="216"/>
        <v/>
      </c>
    </row>
    <row r="6076" spans="2:7" x14ac:dyDescent="0.25">
      <c r="B6076" s="6"/>
      <c r="C6076" s="7"/>
      <c r="D6076" s="7"/>
      <c r="E6076" s="8"/>
      <c r="F6076" t="str">
        <f t="shared" si="215"/>
        <v/>
      </c>
      <c r="G6076" t="str">
        <f t="shared" si="216"/>
        <v/>
      </c>
    </row>
    <row r="6077" spans="2:7" x14ac:dyDescent="0.25">
      <c r="B6077" s="6"/>
      <c r="C6077" s="7"/>
      <c r="D6077" s="7"/>
      <c r="E6077" s="8"/>
      <c r="F6077" t="str">
        <f t="shared" si="215"/>
        <v/>
      </c>
      <c r="G6077" t="str">
        <f t="shared" si="216"/>
        <v/>
      </c>
    </row>
    <row r="6078" spans="2:7" x14ac:dyDescent="0.25">
      <c r="B6078" s="6"/>
      <c r="C6078" s="7"/>
      <c r="D6078" s="7"/>
      <c r="E6078" s="8"/>
      <c r="F6078" t="str">
        <f t="shared" si="215"/>
        <v/>
      </c>
      <c r="G6078" t="str">
        <f t="shared" si="216"/>
        <v/>
      </c>
    </row>
    <row r="6079" spans="2:7" x14ac:dyDescent="0.25">
      <c r="B6079" s="6"/>
      <c r="C6079" s="7"/>
      <c r="D6079" s="7"/>
      <c r="E6079" s="8"/>
      <c r="F6079" t="str">
        <f t="shared" si="215"/>
        <v/>
      </c>
      <c r="G6079" t="str">
        <f t="shared" si="216"/>
        <v/>
      </c>
    </row>
    <row r="6080" spans="2:7" x14ac:dyDescent="0.25">
      <c r="B6080" s="6"/>
      <c r="C6080" s="7"/>
      <c r="D6080" s="7"/>
      <c r="E6080" s="8"/>
      <c r="F6080" t="str">
        <f t="shared" si="215"/>
        <v/>
      </c>
      <c r="G6080" t="str">
        <f t="shared" si="216"/>
        <v/>
      </c>
    </row>
    <row r="6081" spans="2:7" x14ac:dyDescent="0.25">
      <c r="B6081" s="6"/>
      <c r="C6081" s="7"/>
      <c r="D6081" s="7"/>
      <c r="E6081" s="8"/>
      <c r="F6081" t="str">
        <f t="shared" si="215"/>
        <v/>
      </c>
      <c r="G6081" t="str">
        <f t="shared" si="216"/>
        <v/>
      </c>
    </row>
    <row r="6082" spans="2:7" x14ac:dyDescent="0.25">
      <c r="B6082" s="6"/>
      <c r="C6082" s="7"/>
      <c r="D6082" s="7"/>
      <c r="E6082" s="8"/>
      <c r="F6082" t="str">
        <f t="shared" si="215"/>
        <v/>
      </c>
      <c r="G6082" t="str">
        <f t="shared" si="216"/>
        <v/>
      </c>
    </row>
    <row r="6083" spans="2:7" x14ac:dyDescent="0.25">
      <c r="B6083" s="6"/>
      <c r="C6083" s="7"/>
      <c r="D6083" s="7"/>
      <c r="E6083" s="8"/>
      <c r="F6083" t="str">
        <f t="shared" si="215"/>
        <v/>
      </c>
      <c r="G6083" t="str">
        <f t="shared" si="216"/>
        <v/>
      </c>
    </row>
    <row r="6084" spans="2:7" x14ac:dyDescent="0.25">
      <c r="B6084" s="6"/>
      <c r="C6084" s="7"/>
      <c r="D6084" s="7"/>
      <c r="E6084" s="8"/>
      <c r="F6084" t="str">
        <f t="shared" ref="F6084:F6147" si="217">IF(B6084="","",LOG10(D6084))</f>
        <v/>
      </c>
      <c r="G6084" t="str">
        <f t="shared" ref="G6084:G6147" si="218">IF(E6084="", "",0.434*E6084/D6084)</f>
        <v/>
      </c>
    </row>
    <row r="6085" spans="2:7" x14ac:dyDescent="0.25">
      <c r="B6085" s="6"/>
      <c r="C6085" s="7"/>
      <c r="D6085" s="7"/>
      <c r="E6085" s="8"/>
      <c r="F6085" t="str">
        <f t="shared" si="217"/>
        <v/>
      </c>
      <c r="G6085" t="str">
        <f t="shared" si="218"/>
        <v/>
      </c>
    </row>
    <row r="6086" spans="2:7" x14ac:dyDescent="0.25">
      <c r="B6086" s="6"/>
      <c r="C6086" s="7"/>
      <c r="D6086" s="7"/>
      <c r="E6086" s="8"/>
      <c r="F6086" t="str">
        <f t="shared" si="217"/>
        <v/>
      </c>
      <c r="G6086" t="str">
        <f t="shared" si="218"/>
        <v/>
      </c>
    </row>
    <row r="6087" spans="2:7" x14ac:dyDescent="0.25">
      <c r="B6087" s="6"/>
      <c r="C6087" s="7"/>
      <c r="D6087" s="7"/>
      <c r="E6087" s="8"/>
      <c r="F6087" t="str">
        <f t="shared" si="217"/>
        <v/>
      </c>
      <c r="G6087" t="str">
        <f t="shared" si="218"/>
        <v/>
      </c>
    </row>
    <row r="6088" spans="2:7" x14ac:dyDescent="0.25">
      <c r="B6088" s="6"/>
      <c r="C6088" s="7"/>
      <c r="D6088" s="7"/>
      <c r="E6088" s="8"/>
      <c r="F6088" t="str">
        <f t="shared" si="217"/>
        <v/>
      </c>
      <c r="G6088" t="str">
        <f t="shared" si="218"/>
        <v/>
      </c>
    </row>
    <row r="6089" spans="2:7" x14ac:dyDescent="0.25">
      <c r="B6089" s="6"/>
      <c r="C6089" s="7"/>
      <c r="D6089" s="7"/>
      <c r="E6089" s="8"/>
      <c r="F6089" t="str">
        <f t="shared" si="217"/>
        <v/>
      </c>
      <c r="G6089" t="str">
        <f t="shared" si="218"/>
        <v/>
      </c>
    </row>
    <row r="6090" spans="2:7" x14ac:dyDescent="0.25">
      <c r="B6090" s="6"/>
      <c r="C6090" s="7"/>
      <c r="D6090" s="7"/>
      <c r="E6090" s="8"/>
      <c r="F6090" t="str">
        <f t="shared" si="217"/>
        <v/>
      </c>
      <c r="G6090" t="str">
        <f t="shared" si="218"/>
        <v/>
      </c>
    </row>
    <row r="6091" spans="2:7" x14ac:dyDescent="0.25">
      <c r="B6091" s="6"/>
      <c r="C6091" s="7"/>
      <c r="D6091" s="7"/>
      <c r="E6091" s="8"/>
      <c r="F6091" t="str">
        <f t="shared" si="217"/>
        <v/>
      </c>
      <c r="G6091" t="str">
        <f t="shared" si="218"/>
        <v/>
      </c>
    </row>
    <row r="6092" spans="2:7" x14ac:dyDescent="0.25">
      <c r="B6092" s="6"/>
      <c r="C6092" s="7"/>
      <c r="D6092" s="7"/>
      <c r="E6092" s="8"/>
      <c r="F6092" t="str">
        <f t="shared" si="217"/>
        <v/>
      </c>
      <c r="G6092" t="str">
        <f t="shared" si="218"/>
        <v/>
      </c>
    </row>
    <row r="6093" spans="2:7" x14ac:dyDescent="0.25">
      <c r="B6093" s="6"/>
      <c r="C6093" s="7"/>
      <c r="D6093" s="7"/>
      <c r="E6093" s="8"/>
      <c r="F6093" t="str">
        <f t="shared" si="217"/>
        <v/>
      </c>
      <c r="G6093" t="str">
        <f t="shared" si="218"/>
        <v/>
      </c>
    </row>
    <row r="6094" spans="2:7" x14ac:dyDescent="0.25">
      <c r="B6094" s="6"/>
      <c r="C6094" s="7"/>
      <c r="D6094" s="7"/>
      <c r="E6094" s="8"/>
      <c r="F6094" t="str">
        <f t="shared" si="217"/>
        <v/>
      </c>
      <c r="G6094" t="str">
        <f t="shared" si="218"/>
        <v/>
      </c>
    </row>
    <row r="6095" spans="2:7" x14ac:dyDescent="0.25">
      <c r="B6095" s="6"/>
      <c r="C6095" s="7"/>
      <c r="D6095" s="7"/>
      <c r="E6095" s="8"/>
      <c r="F6095" t="str">
        <f t="shared" si="217"/>
        <v/>
      </c>
      <c r="G6095" t="str">
        <f t="shared" si="218"/>
        <v/>
      </c>
    </row>
    <row r="6096" spans="2:7" x14ac:dyDescent="0.25">
      <c r="B6096" s="6"/>
      <c r="C6096" s="7"/>
      <c r="D6096" s="7"/>
      <c r="E6096" s="8"/>
      <c r="F6096" t="str">
        <f t="shared" si="217"/>
        <v/>
      </c>
      <c r="G6096" t="str">
        <f t="shared" si="218"/>
        <v/>
      </c>
    </row>
    <row r="6097" spans="2:7" x14ac:dyDescent="0.25">
      <c r="B6097" s="6"/>
      <c r="C6097" s="7"/>
      <c r="D6097" s="7"/>
      <c r="E6097" s="8"/>
      <c r="F6097" t="str">
        <f t="shared" si="217"/>
        <v/>
      </c>
      <c r="G6097" t="str">
        <f t="shared" si="218"/>
        <v/>
      </c>
    </row>
    <row r="6098" spans="2:7" x14ac:dyDescent="0.25">
      <c r="B6098" s="6"/>
      <c r="C6098" s="7"/>
      <c r="D6098" s="7"/>
      <c r="E6098" s="8"/>
      <c r="F6098" t="str">
        <f t="shared" si="217"/>
        <v/>
      </c>
      <c r="G6098" t="str">
        <f t="shared" si="218"/>
        <v/>
      </c>
    </row>
    <row r="6099" spans="2:7" x14ac:dyDescent="0.25">
      <c r="B6099" s="6"/>
      <c r="C6099" s="7"/>
      <c r="D6099" s="7"/>
      <c r="E6099" s="8"/>
      <c r="F6099" t="str">
        <f t="shared" si="217"/>
        <v/>
      </c>
      <c r="G6099" t="str">
        <f t="shared" si="218"/>
        <v/>
      </c>
    </row>
    <row r="6100" spans="2:7" x14ac:dyDescent="0.25">
      <c r="B6100" s="6"/>
      <c r="C6100" s="7"/>
      <c r="D6100" s="7"/>
      <c r="E6100" s="8"/>
      <c r="F6100" t="str">
        <f t="shared" si="217"/>
        <v/>
      </c>
      <c r="G6100" t="str">
        <f t="shared" si="218"/>
        <v/>
      </c>
    </row>
    <row r="6101" spans="2:7" x14ac:dyDescent="0.25">
      <c r="B6101" s="6"/>
      <c r="C6101" s="7"/>
      <c r="D6101" s="7"/>
      <c r="E6101" s="8"/>
      <c r="F6101" t="str">
        <f t="shared" si="217"/>
        <v/>
      </c>
      <c r="G6101" t="str">
        <f t="shared" si="218"/>
        <v/>
      </c>
    </row>
    <row r="6102" spans="2:7" x14ac:dyDescent="0.25">
      <c r="B6102" s="6"/>
      <c r="C6102" s="7"/>
      <c r="D6102" s="7"/>
      <c r="E6102" s="8"/>
      <c r="F6102" t="str">
        <f t="shared" si="217"/>
        <v/>
      </c>
      <c r="G6102" t="str">
        <f t="shared" si="218"/>
        <v/>
      </c>
    </row>
    <row r="6103" spans="2:7" x14ac:dyDescent="0.25">
      <c r="B6103" s="6"/>
      <c r="C6103" s="7"/>
      <c r="D6103" s="7"/>
      <c r="E6103" s="8"/>
      <c r="F6103" t="str">
        <f t="shared" si="217"/>
        <v/>
      </c>
      <c r="G6103" t="str">
        <f t="shared" si="218"/>
        <v/>
      </c>
    </row>
    <row r="6104" spans="2:7" x14ac:dyDescent="0.25">
      <c r="B6104" s="6"/>
      <c r="C6104" s="7"/>
      <c r="D6104" s="7"/>
      <c r="E6104" s="8"/>
      <c r="F6104" t="str">
        <f t="shared" si="217"/>
        <v/>
      </c>
      <c r="G6104" t="str">
        <f t="shared" si="218"/>
        <v/>
      </c>
    </row>
    <row r="6105" spans="2:7" x14ac:dyDescent="0.25">
      <c r="B6105" s="6"/>
      <c r="C6105" s="7"/>
      <c r="D6105" s="7"/>
      <c r="E6105" s="8"/>
      <c r="F6105" t="str">
        <f t="shared" si="217"/>
        <v/>
      </c>
      <c r="G6105" t="str">
        <f t="shared" si="218"/>
        <v/>
      </c>
    </row>
    <row r="6106" spans="2:7" x14ac:dyDescent="0.25">
      <c r="B6106" s="6"/>
      <c r="C6106" s="7"/>
      <c r="D6106" s="7"/>
      <c r="E6106" s="8"/>
      <c r="F6106" t="str">
        <f t="shared" si="217"/>
        <v/>
      </c>
      <c r="G6106" t="str">
        <f t="shared" si="218"/>
        <v/>
      </c>
    </row>
    <row r="6107" spans="2:7" x14ac:dyDescent="0.25">
      <c r="B6107" s="6"/>
      <c r="C6107" s="7"/>
      <c r="D6107" s="7"/>
      <c r="E6107" s="8"/>
      <c r="F6107" t="str">
        <f t="shared" si="217"/>
        <v/>
      </c>
      <c r="G6107" t="str">
        <f t="shared" si="218"/>
        <v/>
      </c>
    </row>
    <row r="6108" spans="2:7" x14ac:dyDescent="0.25">
      <c r="B6108" s="6"/>
      <c r="C6108" s="7"/>
      <c r="D6108" s="7"/>
      <c r="E6108" s="8"/>
      <c r="F6108" t="str">
        <f t="shared" si="217"/>
        <v/>
      </c>
      <c r="G6108" t="str">
        <f t="shared" si="218"/>
        <v/>
      </c>
    </row>
    <row r="6109" spans="2:7" x14ac:dyDescent="0.25">
      <c r="B6109" s="6"/>
      <c r="C6109" s="7"/>
      <c r="D6109" s="7"/>
      <c r="E6109" s="8"/>
      <c r="F6109" t="str">
        <f t="shared" si="217"/>
        <v/>
      </c>
      <c r="G6109" t="str">
        <f t="shared" si="218"/>
        <v/>
      </c>
    </row>
    <row r="6110" spans="2:7" x14ac:dyDescent="0.25">
      <c r="B6110" s="6"/>
      <c r="C6110" s="7"/>
      <c r="D6110" s="7"/>
      <c r="E6110" s="8"/>
      <c r="F6110" t="str">
        <f t="shared" si="217"/>
        <v/>
      </c>
      <c r="G6110" t="str">
        <f t="shared" si="218"/>
        <v/>
      </c>
    </row>
    <row r="6111" spans="2:7" x14ac:dyDescent="0.25">
      <c r="B6111" s="6"/>
      <c r="C6111" s="7"/>
      <c r="D6111" s="7"/>
      <c r="E6111" s="8"/>
      <c r="F6111" t="str">
        <f t="shared" si="217"/>
        <v/>
      </c>
      <c r="G6111" t="str">
        <f t="shared" si="218"/>
        <v/>
      </c>
    </row>
    <row r="6112" spans="2:7" x14ac:dyDescent="0.25">
      <c r="B6112" s="6"/>
      <c r="C6112" s="7"/>
      <c r="D6112" s="7"/>
      <c r="E6112" s="8"/>
      <c r="F6112" t="str">
        <f t="shared" si="217"/>
        <v/>
      </c>
      <c r="G6112" t="str">
        <f t="shared" si="218"/>
        <v/>
      </c>
    </row>
    <row r="6113" spans="2:7" x14ac:dyDescent="0.25">
      <c r="B6113" s="6"/>
      <c r="C6113" s="7"/>
      <c r="D6113" s="7"/>
      <c r="E6113" s="8"/>
      <c r="F6113" t="str">
        <f t="shared" si="217"/>
        <v/>
      </c>
      <c r="G6113" t="str">
        <f t="shared" si="218"/>
        <v/>
      </c>
    </row>
    <row r="6114" spans="2:7" x14ac:dyDescent="0.25">
      <c r="B6114" s="6"/>
      <c r="C6114" s="7"/>
      <c r="D6114" s="7"/>
      <c r="E6114" s="8"/>
      <c r="F6114" t="str">
        <f t="shared" si="217"/>
        <v/>
      </c>
      <c r="G6114" t="str">
        <f t="shared" si="218"/>
        <v/>
      </c>
    </row>
    <row r="6115" spans="2:7" x14ac:dyDescent="0.25">
      <c r="B6115" s="6"/>
      <c r="C6115" s="7"/>
      <c r="D6115" s="7"/>
      <c r="E6115" s="8"/>
      <c r="F6115" t="str">
        <f t="shared" si="217"/>
        <v/>
      </c>
      <c r="G6115" t="str">
        <f t="shared" si="218"/>
        <v/>
      </c>
    </row>
    <row r="6116" spans="2:7" x14ac:dyDescent="0.25">
      <c r="B6116" s="6"/>
      <c r="C6116" s="7"/>
      <c r="D6116" s="7"/>
      <c r="E6116" s="8"/>
      <c r="F6116" t="str">
        <f t="shared" si="217"/>
        <v/>
      </c>
      <c r="G6116" t="str">
        <f t="shared" si="218"/>
        <v/>
      </c>
    </row>
    <row r="6117" spans="2:7" x14ac:dyDescent="0.25">
      <c r="B6117" s="6"/>
      <c r="C6117" s="7"/>
      <c r="D6117" s="7"/>
      <c r="E6117" s="8"/>
      <c r="F6117" t="str">
        <f t="shared" si="217"/>
        <v/>
      </c>
      <c r="G6117" t="str">
        <f t="shared" si="218"/>
        <v/>
      </c>
    </row>
    <row r="6118" spans="2:7" x14ac:dyDescent="0.25">
      <c r="B6118" s="6"/>
      <c r="C6118" s="7"/>
      <c r="D6118" s="7"/>
      <c r="E6118" s="8"/>
      <c r="F6118" t="str">
        <f t="shared" si="217"/>
        <v/>
      </c>
      <c r="G6118" t="str">
        <f t="shared" si="218"/>
        <v/>
      </c>
    </row>
    <row r="6119" spans="2:7" x14ac:dyDescent="0.25">
      <c r="B6119" s="6"/>
      <c r="C6119" s="7"/>
      <c r="D6119" s="7"/>
      <c r="E6119" s="8"/>
      <c r="F6119" t="str">
        <f t="shared" si="217"/>
        <v/>
      </c>
      <c r="G6119" t="str">
        <f t="shared" si="218"/>
        <v/>
      </c>
    </row>
    <row r="6120" spans="2:7" x14ac:dyDescent="0.25">
      <c r="B6120" s="6"/>
      <c r="C6120" s="7"/>
      <c r="D6120" s="7"/>
      <c r="E6120" s="8"/>
      <c r="F6120" t="str">
        <f t="shared" si="217"/>
        <v/>
      </c>
      <c r="G6120" t="str">
        <f t="shared" si="218"/>
        <v/>
      </c>
    </row>
    <row r="6121" spans="2:7" x14ac:dyDescent="0.25">
      <c r="B6121" s="6"/>
      <c r="C6121" s="7"/>
      <c r="D6121" s="7"/>
      <c r="E6121" s="8"/>
      <c r="F6121" t="str">
        <f t="shared" si="217"/>
        <v/>
      </c>
      <c r="G6121" t="str">
        <f t="shared" si="218"/>
        <v/>
      </c>
    </row>
    <row r="6122" spans="2:7" x14ac:dyDescent="0.25">
      <c r="B6122" s="6"/>
      <c r="C6122" s="7"/>
      <c r="D6122" s="7"/>
      <c r="E6122" s="8"/>
      <c r="F6122" t="str">
        <f t="shared" si="217"/>
        <v/>
      </c>
      <c r="G6122" t="str">
        <f t="shared" si="218"/>
        <v/>
      </c>
    </row>
    <row r="6123" spans="2:7" x14ac:dyDescent="0.25">
      <c r="B6123" s="6"/>
      <c r="C6123" s="7"/>
      <c r="D6123" s="7"/>
      <c r="E6123" s="8"/>
      <c r="F6123" t="str">
        <f t="shared" si="217"/>
        <v/>
      </c>
      <c r="G6123" t="str">
        <f t="shared" si="218"/>
        <v/>
      </c>
    </row>
    <row r="6124" spans="2:7" x14ac:dyDescent="0.25">
      <c r="B6124" s="6"/>
      <c r="C6124" s="7"/>
      <c r="D6124" s="7"/>
      <c r="E6124" s="8"/>
      <c r="F6124" t="str">
        <f t="shared" si="217"/>
        <v/>
      </c>
      <c r="G6124" t="str">
        <f t="shared" si="218"/>
        <v/>
      </c>
    </row>
    <row r="6125" spans="2:7" x14ac:dyDescent="0.25">
      <c r="B6125" s="6"/>
      <c r="C6125" s="7"/>
      <c r="D6125" s="7"/>
      <c r="E6125" s="8"/>
      <c r="F6125" t="str">
        <f t="shared" si="217"/>
        <v/>
      </c>
      <c r="G6125" t="str">
        <f t="shared" si="218"/>
        <v/>
      </c>
    </row>
    <row r="6126" spans="2:7" x14ac:dyDescent="0.25">
      <c r="B6126" s="6"/>
      <c r="C6126" s="7"/>
      <c r="D6126" s="7"/>
      <c r="E6126" s="8"/>
      <c r="F6126" t="str">
        <f t="shared" si="217"/>
        <v/>
      </c>
      <c r="G6126" t="str">
        <f t="shared" si="218"/>
        <v/>
      </c>
    </row>
    <row r="6127" spans="2:7" x14ac:dyDescent="0.25">
      <c r="B6127" s="6"/>
      <c r="C6127" s="7"/>
      <c r="D6127" s="7"/>
      <c r="E6127" s="8"/>
      <c r="F6127" t="str">
        <f t="shared" si="217"/>
        <v/>
      </c>
      <c r="G6127" t="str">
        <f t="shared" si="218"/>
        <v/>
      </c>
    </row>
    <row r="6128" spans="2:7" x14ac:dyDescent="0.25">
      <c r="B6128" s="6"/>
      <c r="C6128" s="7"/>
      <c r="D6128" s="7"/>
      <c r="E6128" s="8"/>
      <c r="F6128" t="str">
        <f t="shared" si="217"/>
        <v/>
      </c>
      <c r="G6128" t="str">
        <f t="shared" si="218"/>
        <v/>
      </c>
    </row>
    <row r="6129" spans="2:7" x14ac:dyDescent="0.25">
      <c r="B6129" s="6"/>
      <c r="C6129" s="7"/>
      <c r="D6129" s="7"/>
      <c r="E6129" s="8"/>
      <c r="F6129" t="str">
        <f t="shared" si="217"/>
        <v/>
      </c>
      <c r="G6129" t="str">
        <f t="shared" si="218"/>
        <v/>
      </c>
    </row>
    <row r="6130" spans="2:7" x14ac:dyDescent="0.25">
      <c r="B6130" s="6"/>
      <c r="C6130" s="7"/>
      <c r="D6130" s="7"/>
      <c r="E6130" s="8"/>
      <c r="F6130" t="str">
        <f t="shared" si="217"/>
        <v/>
      </c>
      <c r="G6130" t="str">
        <f t="shared" si="218"/>
        <v/>
      </c>
    </row>
    <row r="6131" spans="2:7" x14ac:dyDescent="0.25">
      <c r="B6131" s="6"/>
      <c r="C6131" s="7"/>
      <c r="D6131" s="7"/>
      <c r="E6131" s="8"/>
      <c r="F6131" t="str">
        <f t="shared" si="217"/>
        <v/>
      </c>
      <c r="G6131" t="str">
        <f t="shared" si="218"/>
        <v/>
      </c>
    </row>
    <row r="6132" spans="2:7" x14ac:dyDescent="0.25">
      <c r="B6132" s="6"/>
      <c r="C6132" s="7"/>
      <c r="D6132" s="7"/>
      <c r="E6132" s="8"/>
      <c r="F6132" t="str">
        <f t="shared" si="217"/>
        <v/>
      </c>
      <c r="G6132" t="str">
        <f t="shared" si="218"/>
        <v/>
      </c>
    </row>
    <row r="6133" spans="2:7" x14ac:dyDescent="0.25">
      <c r="B6133" s="6"/>
      <c r="C6133" s="7"/>
      <c r="D6133" s="7"/>
      <c r="E6133" s="8"/>
      <c r="F6133" t="str">
        <f t="shared" si="217"/>
        <v/>
      </c>
      <c r="G6133" t="str">
        <f t="shared" si="218"/>
        <v/>
      </c>
    </row>
    <row r="6134" spans="2:7" x14ac:dyDescent="0.25">
      <c r="B6134" s="6"/>
      <c r="C6134" s="7"/>
      <c r="D6134" s="7"/>
      <c r="E6134" s="8"/>
      <c r="F6134" t="str">
        <f t="shared" si="217"/>
        <v/>
      </c>
      <c r="G6134" t="str">
        <f t="shared" si="218"/>
        <v/>
      </c>
    </row>
    <row r="6135" spans="2:7" x14ac:dyDescent="0.25">
      <c r="B6135" s="6"/>
      <c r="C6135" s="7"/>
      <c r="D6135" s="7"/>
      <c r="E6135" s="8"/>
      <c r="F6135" t="str">
        <f t="shared" si="217"/>
        <v/>
      </c>
      <c r="G6135" t="str">
        <f t="shared" si="218"/>
        <v/>
      </c>
    </row>
    <row r="6136" spans="2:7" x14ac:dyDescent="0.25">
      <c r="B6136" s="6"/>
      <c r="C6136" s="7"/>
      <c r="D6136" s="7"/>
      <c r="E6136" s="8"/>
      <c r="F6136" t="str">
        <f t="shared" si="217"/>
        <v/>
      </c>
      <c r="G6136" t="str">
        <f t="shared" si="218"/>
        <v/>
      </c>
    </row>
    <row r="6137" spans="2:7" x14ac:dyDescent="0.25">
      <c r="B6137" s="6"/>
      <c r="C6137" s="7"/>
      <c r="D6137" s="7"/>
      <c r="E6137" s="8"/>
      <c r="F6137" t="str">
        <f t="shared" si="217"/>
        <v/>
      </c>
      <c r="G6137" t="str">
        <f t="shared" si="218"/>
        <v/>
      </c>
    </row>
    <row r="6138" spans="2:7" x14ac:dyDescent="0.25">
      <c r="B6138" s="6"/>
      <c r="C6138" s="7"/>
      <c r="D6138" s="7"/>
      <c r="E6138" s="8"/>
      <c r="F6138" t="str">
        <f t="shared" si="217"/>
        <v/>
      </c>
      <c r="G6138" t="str">
        <f t="shared" si="218"/>
        <v/>
      </c>
    </row>
    <row r="6139" spans="2:7" x14ac:dyDescent="0.25">
      <c r="B6139" s="6"/>
      <c r="C6139" s="7"/>
      <c r="D6139" s="7"/>
      <c r="E6139" s="8"/>
      <c r="F6139" t="str">
        <f t="shared" si="217"/>
        <v/>
      </c>
      <c r="G6139" t="str">
        <f t="shared" si="218"/>
        <v/>
      </c>
    </row>
    <row r="6140" spans="2:7" x14ac:dyDescent="0.25">
      <c r="B6140" s="6"/>
      <c r="C6140" s="7"/>
      <c r="D6140" s="7"/>
      <c r="E6140" s="8"/>
      <c r="F6140" t="str">
        <f t="shared" si="217"/>
        <v/>
      </c>
      <c r="G6140" t="str">
        <f t="shared" si="218"/>
        <v/>
      </c>
    </row>
    <row r="6141" spans="2:7" x14ac:dyDescent="0.25">
      <c r="B6141" s="6"/>
      <c r="C6141" s="7"/>
      <c r="D6141" s="7"/>
      <c r="E6141" s="8"/>
      <c r="F6141" t="str">
        <f t="shared" si="217"/>
        <v/>
      </c>
      <c r="G6141" t="str">
        <f t="shared" si="218"/>
        <v/>
      </c>
    </row>
    <row r="6142" spans="2:7" x14ac:dyDescent="0.25">
      <c r="B6142" s="6"/>
      <c r="C6142" s="7"/>
      <c r="D6142" s="7"/>
      <c r="E6142" s="8"/>
      <c r="F6142" t="str">
        <f t="shared" si="217"/>
        <v/>
      </c>
      <c r="G6142" t="str">
        <f t="shared" si="218"/>
        <v/>
      </c>
    </row>
    <row r="6143" spans="2:7" x14ac:dyDescent="0.25">
      <c r="B6143" s="6"/>
      <c r="C6143" s="7"/>
      <c r="D6143" s="7"/>
      <c r="E6143" s="8"/>
      <c r="F6143" t="str">
        <f t="shared" si="217"/>
        <v/>
      </c>
      <c r="G6143" t="str">
        <f t="shared" si="218"/>
        <v/>
      </c>
    </row>
    <row r="6144" spans="2:7" x14ac:dyDescent="0.25">
      <c r="B6144" s="6"/>
      <c r="C6144" s="7"/>
      <c r="D6144" s="7"/>
      <c r="E6144" s="8"/>
      <c r="F6144" t="str">
        <f t="shared" si="217"/>
        <v/>
      </c>
      <c r="G6144" t="str">
        <f t="shared" si="218"/>
        <v/>
      </c>
    </row>
    <row r="6145" spans="2:7" x14ac:dyDescent="0.25">
      <c r="B6145" s="6"/>
      <c r="C6145" s="7"/>
      <c r="D6145" s="7"/>
      <c r="E6145" s="8"/>
      <c r="F6145" t="str">
        <f t="shared" si="217"/>
        <v/>
      </c>
      <c r="G6145" t="str">
        <f t="shared" si="218"/>
        <v/>
      </c>
    </row>
    <row r="6146" spans="2:7" x14ac:dyDescent="0.25">
      <c r="B6146" s="6"/>
      <c r="C6146" s="7"/>
      <c r="D6146" s="7"/>
      <c r="E6146" s="8"/>
      <c r="F6146" t="str">
        <f t="shared" si="217"/>
        <v/>
      </c>
      <c r="G6146" t="str">
        <f t="shared" si="218"/>
        <v/>
      </c>
    </row>
    <row r="6147" spans="2:7" x14ac:dyDescent="0.25">
      <c r="B6147" s="6"/>
      <c r="C6147" s="7"/>
      <c r="D6147" s="7"/>
      <c r="E6147" s="8"/>
      <c r="F6147" t="str">
        <f t="shared" si="217"/>
        <v/>
      </c>
      <c r="G6147" t="str">
        <f t="shared" si="218"/>
        <v/>
      </c>
    </row>
    <row r="6148" spans="2:7" x14ac:dyDescent="0.25">
      <c r="B6148" s="6"/>
      <c r="C6148" s="7"/>
      <c r="D6148" s="7"/>
      <c r="E6148" s="8"/>
      <c r="F6148" t="str">
        <f t="shared" ref="F6148:F6211" si="219">IF(B6148="","",LOG10(D6148))</f>
        <v/>
      </c>
      <c r="G6148" t="str">
        <f t="shared" ref="G6148:G6211" si="220">IF(E6148="", "",0.434*E6148/D6148)</f>
        <v/>
      </c>
    </row>
    <row r="6149" spans="2:7" x14ac:dyDescent="0.25">
      <c r="B6149" s="6"/>
      <c r="C6149" s="7"/>
      <c r="D6149" s="7"/>
      <c r="E6149" s="8"/>
      <c r="F6149" t="str">
        <f t="shared" si="219"/>
        <v/>
      </c>
      <c r="G6149" t="str">
        <f t="shared" si="220"/>
        <v/>
      </c>
    </row>
    <row r="6150" spans="2:7" x14ac:dyDescent="0.25">
      <c r="B6150" s="6"/>
      <c r="C6150" s="7"/>
      <c r="D6150" s="7"/>
      <c r="E6150" s="8"/>
      <c r="F6150" t="str">
        <f t="shared" si="219"/>
        <v/>
      </c>
      <c r="G6150" t="str">
        <f t="shared" si="220"/>
        <v/>
      </c>
    </row>
    <row r="6151" spans="2:7" x14ac:dyDescent="0.25">
      <c r="B6151" s="6"/>
      <c r="C6151" s="7"/>
      <c r="D6151" s="7"/>
      <c r="E6151" s="8"/>
      <c r="F6151" t="str">
        <f t="shared" si="219"/>
        <v/>
      </c>
      <c r="G6151" t="str">
        <f t="shared" si="220"/>
        <v/>
      </c>
    </row>
    <row r="6152" spans="2:7" x14ac:dyDescent="0.25">
      <c r="B6152" s="6"/>
      <c r="C6152" s="7"/>
      <c r="D6152" s="7"/>
      <c r="E6152" s="8"/>
      <c r="F6152" t="str">
        <f t="shared" si="219"/>
        <v/>
      </c>
      <c r="G6152" t="str">
        <f t="shared" si="220"/>
        <v/>
      </c>
    </row>
    <row r="6153" spans="2:7" x14ac:dyDescent="0.25">
      <c r="B6153" s="6"/>
      <c r="C6153" s="7"/>
      <c r="D6153" s="7"/>
      <c r="E6153" s="8"/>
      <c r="F6153" t="str">
        <f t="shared" si="219"/>
        <v/>
      </c>
      <c r="G6153" t="str">
        <f t="shared" si="220"/>
        <v/>
      </c>
    </row>
    <row r="6154" spans="2:7" x14ac:dyDescent="0.25">
      <c r="B6154" s="6"/>
      <c r="C6154" s="7"/>
      <c r="D6154" s="7"/>
      <c r="E6154" s="8"/>
      <c r="F6154" t="str">
        <f t="shared" si="219"/>
        <v/>
      </c>
      <c r="G6154" t="str">
        <f t="shared" si="220"/>
        <v/>
      </c>
    </row>
    <row r="6155" spans="2:7" x14ac:dyDescent="0.25">
      <c r="B6155" s="6"/>
      <c r="C6155" s="7"/>
      <c r="D6155" s="7"/>
      <c r="E6155" s="8"/>
      <c r="F6155" t="str">
        <f t="shared" si="219"/>
        <v/>
      </c>
      <c r="G6155" t="str">
        <f t="shared" si="220"/>
        <v/>
      </c>
    </row>
    <row r="6156" spans="2:7" x14ac:dyDescent="0.25">
      <c r="B6156" s="6"/>
      <c r="C6156" s="7"/>
      <c r="D6156" s="7"/>
      <c r="E6156" s="8"/>
      <c r="F6156" t="str">
        <f t="shared" si="219"/>
        <v/>
      </c>
      <c r="G6156" t="str">
        <f t="shared" si="220"/>
        <v/>
      </c>
    </row>
    <row r="6157" spans="2:7" x14ac:dyDescent="0.25">
      <c r="B6157" s="6"/>
      <c r="C6157" s="7"/>
      <c r="D6157" s="7"/>
      <c r="E6157" s="8"/>
      <c r="F6157" t="str">
        <f t="shared" si="219"/>
        <v/>
      </c>
      <c r="G6157" t="str">
        <f t="shared" si="220"/>
        <v/>
      </c>
    </row>
    <row r="6158" spans="2:7" x14ac:dyDescent="0.25">
      <c r="B6158" s="6"/>
      <c r="C6158" s="7"/>
      <c r="D6158" s="7"/>
      <c r="E6158" s="8"/>
      <c r="F6158" t="str">
        <f t="shared" si="219"/>
        <v/>
      </c>
      <c r="G6158" t="str">
        <f t="shared" si="220"/>
        <v/>
      </c>
    </row>
    <row r="6159" spans="2:7" x14ac:dyDescent="0.25">
      <c r="B6159" s="6"/>
      <c r="C6159" s="7"/>
      <c r="D6159" s="7"/>
      <c r="E6159" s="8"/>
      <c r="F6159" t="str">
        <f t="shared" si="219"/>
        <v/>
      </c>
      <c r="G6159" t="str">
        <f t="shared" si="220"/>
        <v/>
      </c>
    </row>
    <row r="6160" spans="2:7" x14ac:dyDescent="0.25">
      <c r="B6160" s="6"/>
      <c r="C6160" s="7"/>
      <c r="D6160" s="7"/>
      <c r="E6160" s="8"/>
      <c r="F6160" t="str">
        <f t="shared" si="219"/>
        <v/>
      </c>
      <c r="G6160" t="str">
        <f t="shared" si="220"/>
        <v/>
      </c>
    </row>
    <row r="6161" spans="2:7" x14ac:dyDescent="0.25">
      <c r="B6161" s="6"/>
      <c r="C6161" s="7"/>
      <c r="D6161" s="7"/>
      <c r="E6161" s="8"/>
      <c r="F6161" t="str">
        <f t="shared" si="219"/>
        <v/>
      </c>
      <c r="G6161" t="str">
        <f t="shared" si="220"/>
        <v/>
      </c>
    </row>
    <row r="6162" spans="2:7" x14ac:dyDescent="0.25">
      <c r="B6162" s="6"/>
      <c r="C6162" s="7"/>
      <c r="D6162" s="7"/>
      <c r="E6162" s="8"/>
      <c r="F6162" t="str">
        <f t="shared" si="219"/>
        <v/>
      </c>
      <c r="G6162" t="str">
        <f t="shared" si="220"/>
        <v/>
      </c>
    </row>
    <row r="6163" spans="2:7" x14ac:dyDescent="0.25">
      <c r="B6163" s="6"/>
      <c r="C6163" s="7"/>
      <c r="D6163" s="7"/>
      <c r="E6163" s="8"/>
      <c r="F6163" t="str">
        <f t="shared" si="219"/>
        <v/>
      </c>
      <c r="G6163" t="str">
        <f t="shared" si="220"/>
        <v/>
      </c>
    </row>
    <row r="6164" spans="2:7" x14ac:dyDescent="0.25">
      <c r="B6164" s="6"/>
      <c r="C6164" s="7"/>
      <c r="D6164" s="7"/>
      <c r="E6164" s="8"/>
      <c r="F6164" t="str">
        <f t="shared" si="219"/>
        <v/>
      </c>
      <c r="G6164" t="str">
        <f t="shared" si="220"/>
        <v/>
      </c>
    </row>
    <row r="6165" spans="2:7" x14ac:dyDescent="0.25">
      <c r="B6165" s="6"/>
      <c r="C6165" s="7"/>
      <c r="D6165" s="7"/>
      <c r="E6165" s="8"/>
      <c r="F6165" t="str">
        <f t="shared" si="219"/>
        <v/>
      </c>
      <c r="G6165" t="str">
        <f t="shared" si="220"/>
        <v/>
      </c>
    </row>
    <row r="6166" spans="2:7" x14ac:dyDescent="0.25">
      <c r="B6166" s="6"/>
      <c r="C6166" s="7"/>
      <c r="D6166" s="7"/>
      <c r="E6166" s="8"/>
      <c r="F6166" t="str">
        <f t="shared" si="219"/>
        <v/>
      </c>
      <c r="G6166" t="str">
        <f t="shared" si="220"/>
        <v/>
      </c>
    </row>
    <row r="6167" spans="2:7" x14ac:dyDescent="0.25">
      <c r="B6167" s="6"/>
      <c r="C6167" s="7"/>
      <c r="D6167" s="7"/>
      <c r="E6167" s="8"/>
      <c r="F6167" t="str">
        <f t="shared" si="219"/>
        <v/>
      </c>
      <c r="G6167" t="str">
        <f t="shared" si="220"/>
        <v/>
      </c>
    </row>
    <row r="6168" spans="2:7" x14ac:dyDescent="0.25">
      <c r="B6168" s="6"/>
      <c r="C6168" s="7"/>
      <c r="D6168" s="7"/>
      <c r="E6168" s="8"/>
      <c r="F6168" t="str">
        <f t="shared" si="219"/>
        <v/>
      </c>
      <c r="G6168" t="str">
        <f t="shared" si="220"/>
        <v/>
      </c>
    </row>
    <row r="6169" spans="2:7" x14ac:dyDescent="0.25">
      <c r="B6169" s="6"/>
      <c r="C6169" s="7"/>
      <c r="D6169" s="7"/>
      <c r="E6169" s="8"/>
      <c r="F6169" t="str">
        <f t="shared" si="219"/>
        <v/>
      </c>
      <c r="G6169" t="str">
        <f t="shared" si="220"/>
        <v/>
      </c>
    </row>
    <row r="6170" spans="2:7" x14ac:dyDescent="0.25">
      <c r="B6170" s="6"/>
      <c r="C6170" s="7"/>
      <c r="D6170" s="7"/>
      <c r="E6170" s="8"/>
      <c r="F6170" t="str">
        <f t="shared" si="219"/>
        <v/>
      </c>
      <c r="G6170" t="str">
        <f t="shared" si="220"/>
        <v/>
      </c>
    </row>
    <row r="6171" spans="2:7" x14ac:dyDescent="0.25">
      <c r="B6171" s="6"/>
      <c r="C6171" s="7"/>
      <c r="D6171" s="7"/>
      <c r="E6171" s="8"/>
      <c r="F6171" t="str">
        <f t="shared" si="219"/>
        <v/>
      </c>
      <c r="G6171" t="str">
        <f t="shared" si="220"/>
        <v/>
      </c>
    </row>
    <row r="6172" spans="2:7" x14ac:dyDescent="0.25">
      <c r="B6172" s="6"/>
      <c r="C6172" s="7"/>
      <c r="D6172" s="7"/>
      <c r="E6172" s="8"/>
      <c r="F6172" t="str">
        <f t="shared" si="219"/>
        <v/>
      </c>
      <c r="G6172" t="str">
        <f t="shared" si="220"/>
        <v/>
      </c>
    </row>
    <row r="6173" spans="2:7" x14ac:dyDescent="0.25">
      <c r="B6173" s="6"/>
      <c r="C6173" s="7"/>
      <c r="D6173" s="7"/>
      <c r="E6173" s="8"/>
      <c r="F6173" t="str">
        <f t="shared" si="219"/>
        <v/>
      </c>
      <c r="G6173" t="str">
        <f t="shared" si="220"/>
        <v/>
      </c>
    </row>
    <row r="6174" spans="2:7" x14ac:dyDescent="0.25">
      <c r="B6174" s="6"/>
      <c r="C6174" s="7"/>
      <c r="D6174" s="7"/>
      <c r="E6174" s="8"/>
      <c r="F6174" t="str">
        <f t="shared" si="219"/>
        <v/>
      </c>
      <c r="G6174" t="str">
        <f t="shared" si="220"/>
        <v/>
      </c>
    </row>
    <row r="6175" spans="2:7" x14ac:dyDescent="0.25">
      <c r="B6175" s="6"/>
      <c r="C6175" s="7"/>
      <c r="D6175" s="7"/>
      <c r="E6175" s="8"/>
      <c r="F6175" t="str">
        <f t="shared" si="219"/>
        <v/>
      </c>
      <c r="G6175" t="str">
        <f t="shared" si="220"/>
        <v/>
      </c>
    </row>
    <row r="6176" spans="2:7" x14ac:dyDescent="0.25">
      <c r="B6176" s="6"/>
      <c r="C6176" s="7"/>
      <c r="D6176" s="7"/>
      <c r="E6176" s="8"/>
      <c r="F6176" t="str">
        <f t="shared" si="219"/>
        <v/>
      </c>
      <c r="G6176" t="str">
        <f t="shared" si="220"/>
        <v/>
      </c>
    </row>
    <row r="6177" spans="2:7" x14ac:dyDescent="0.25">
      <c r="B6177" s="6"/>
      <c r="C6177" s="7"/>
      <c r="D6177" s="7"/>
      <c r="E6177" s="8"/>
      <c r="F6177" t="str">
        <f t="shared" si="219"/>
        <v/>
      </c>
      <c r="G6177" t="str">
        <f t="shared" si="220"/>
        <v/>
      </c>
    </row>
    <row r="6178" spans="2:7" x14ac:dyDescent="0.25">
      <c r="B6178" s="6"/>
      <c r="C6178" s="7"/>
      <c r="D6178" s="7"/>
      <c r="E6178" s="8"/>
      <c r="F6178" t="str">
        <f t="shared" si="219"/>
        <v/>
      </c>
      <c r="G6178" t="str">
        <f t="shared" si="220"/>
        <v/>
      </c>
    </row>
    <row r="6179" spans="2:7" x14ac:dyDescent="0.25">
      <c r="B6179" s="6"/>
      <c r="C6179" s="7"/>
      <c r="D6179" s="7"/>
      <c r="E6179" s="8"/>
      <c r="F6179" t="str">
        <f t="shared" si="219"/>
        <v/>
      </c>
      <c r="G6179" t="str">
        <f t="shared" si="220"/>
        <v/>
      </c>
    </row>
    <row r="6180" spans="2:7" x14ac:dyDescent="0.25">
      <c r="B6180" s="6"/>
      <c r="C6180" s="7"/>
      <c r="D6180" s="7"/>
      <c r="E6180" s="8"/>
      <c r="F6180" t="str">
        <f t="shared" si="219"/>
        <v/>
      </c>
      <c r="G6180" t="str">
        <f t="shared" si="220"/>
        <v/>
      </c>
    </row>
    <row r="6181" spans="2:7" x14ac:dyDescent="0.25">
      <c r="B6181" s="6"/>
      <c r="C6181" s="7"/>
      <c r="D6181" s="7"/>
      <c r="E6181" s="8"/>
      <c r="F6181" t="str">
        <f t="shared" si="219"/>
        <v/>
      </c>
      <c r="G6181" t="str">
        <f t="shared" si="220"/>
        <v/>
      </c>
    </row>
    <row r="6182" spans="2:7" x14ac:dyDescent="0.25">
      <c r="B6182" s="6"/>
      <c r="C6182" s="7"/>
      <c r="D6182" s="7"/>
      <c r="E6182" s="8"/>
      <c r="F6182" t="str">
        <f t="shared" si="219"/>
        <v/>
      </c>
      <c r="G6182" t="str">
        <f t="shared" si="220"/>
        <v/>
      </c>
    </row>
    <row r="6183" spans="2:7" x14ac:dyDescent="0.25">
      <c r="B6183" s="6"/>
      <c r="C6183" s="7"/>
      <c r="D6183" s="7"/>
      <c r="E6183" s="8"/>
      <c r="F6183" t="str">
        <f t="shared" si="219"/>
        <v/>
      </c>
      <c r="G6183" t="str">
        <f t="shared" si="220"/>
        <v/>
      </c>
    </row>
    <row r="6184" spans="2:7" x14ac:dyDescent="0.25">
      <c r="B6184" s="6"/>
      <c r="C6184" s="7"/>
      <c r="D6184" s="7"/>
      <c r="E6184" s="8"/>
      <c r="F6184" t="str">
        <f t="shared" si="219"/>
        <v/>
      </c>
      <c r="G6184" t="str">
        <f t="shared" si="220"/>
        <v/>
      </c>
    </row>
    <row r="6185" spans="2:7" x14ac:dyDescent="0.25">
      <c r="B6185" s="6"/>
      <c r="C6185" s="7"/>
      <c r="D6185" s="7"/>
      <c r="E6185" s="8"/>
      <c r="F6185" t="str">
        <f t="shared" si="219"/>
        <v/>
      </c>
      <c r="G6185" t="str">
        <f t="shared" si="220"/>
        <v/>
      </c>
    </row>
    <row r="6186" spans="2:7" x14ac:dyDescent="0.25">
      <c r="B6186" s="6"/>
      <c r="C6186" s="7"/>
      <c r="D6186" s="7"/>
      <c r="E6186" s="8"/>
      <c r="F6186" t="str">
        <f t="shared" si="219"/>
        <v/>
      </c>
      <c r="G6186" t="str">
        <f t="shared" si="220"/>
        <v/>
      </c>
    </row>
    <row r="6187" spans="2:7" x14ac:dyDescent="0.25">
      <c r="B6187" s="6"/>
      <c r="C6187" s="7"/>
      <c r="D6187" s="7"/>
      <c r="E6187" s="8"/>
      <c r="F6187" t="str">
        <f t="shared" si="219"/>
        <v/>
      </c>
      <c r="G6187" t="str">
        <f t="shared" si="220"/>
        <v/>
      </c>
    </row>
    <row r="6188" spans="2:7" x14ac:dyDescent="0.25">
      <c r="B6188" s="6"/>
      <c r="C6188" s="7"/>
      <c r="D6188" s="7"/>
      <c r="E6188" s="8"/>
      <c r="F6188" t="str">
        <f t="shared" si="219"/>
        <v/>
      </c>
      <c r="G6188" t="str">
        <f t="shared" si="220"/>
        <v/>
      </c>
    </row>
    <row r="6189" spans="2:7" x14ac:dyDescent="0.25">
      <c r="B6189" s="6"/>
      <c r="C6189" s="7"/>
      <c r="D6189" s="7"/>
      <c r="E6189" s="8"/>
      <c r="F6189" t="str">
        <f t="shared" si="219"/>
        <v/>
      </c>
      <c r="G6189" t="str">
        <f t="shared" si="220"/>
        <v/>
      </c>
    </row>
    <row r="6190" spans="2:7" x14ac:dyDescent="0.25">
      <c r="B6190" s="6"/>
      <c r="C6190" s="7"/>
      <c r="D6190" s="7"/>
      <c r="E6190" s="8"/>
      <c r="F6190" t="str">
        <f t="shared" si="219"/>
        <v/>
      </c>
      <c r="G6190" t="str">
        <f t="shared" si="220"/>
        <v/>
      </c>
    </row>
    <row r="6191" spans="2:7" x14ac:dyDescent="0.25">
      <c r="B6191" s="6"/>
      <c r="C6191" s="7"/>
      <c r="D6191" s="7"/>
      <c r="E6191" s="8"/>
      <c r="F6191" t="str">
        <f t="shared" si="219"/>
        <v/>
      </c>
      <c r="G6191" t="str">
        <f t="shared" si="220"/>
        <v/>
      </c>
    </row>
    <row r="6192" spans="2:7" x14ac:dyDescent="0.25">
      <c r="B6192" s="6"/>
      <c r="C6192" s="7"/>
      <c r="D6192" s="7"/>
      <c r="E6192" s="8"/>
      <c r="F6192" t="str">
        <f t="shared" si="219"/>
        <v/>
      </c>
      <c r="G6192" t="str">
        <f t="shared" si="220"/>
        <v/>
      </c>
    </row>
    <row r="6193" spans="2:7" x14ac:dyDescent="0.25">
      <c r="B6193" s="6"/>
      <c r="C6193" s="7"/>
      <c r="D6193" s="7"/>
      <c r="E6193" s="8"/>
      <c r="F6193" t="str">
        <f t="shared" si="219"/>
        <v/>
      </c>
      <c r="G6193" t="str">
        <f t="shared" si="220"/>
        <v/>
      </c>
    </row>
    <row r="6194" spans="2:7" x14ac:dyDescent="0.25">
      <c r="B6194" s="6"/>
      <c r="C6194" s="7"/>
      <c r="D6194" s="7"/>
      <c r="E6194" s="8"/>
      <c r="F6194" t="str">
        <f t="shared" si="219"/>
        <v/>
      </c>
      <c r="G6194" t="str">
        <f t="shared" si="220"/>
        <v/>
      </c>
    </row>
    <row r="6195" spans="2:7" x14ac:dyDescent="0.25">
      <c r="B6195" s="6"/>
      <c r="C6195" s="7"/>
      <c r="D6195" s="7"/>
      <c r="E6195" s="8"/>
      <c r="F6195" t="str">
        <f t="shared" si="219"/>
        <v/>
      </c>
      <c r="G6195" t="str">
        <f t="shared" si="220"/>
        <v/>
      </c>
    </row>
    <row r="6196" spans="2:7" x14ac:dyDescent="0.25">
      <c r="B6196" s="6"/>
      <c r="C6196" s="7"/>
      <c r="D6196" s="7"/>
      <c r="E6196" s="8"/>
      <c r="F6196" t="str">
        <f t="shared" si="219"/>
        <v/>
      </c>
      <c r="G6196" t="str">
        <f t="shared" si="220"/>
        <v/>
      </c>
    </row>
    <row r="6197" spans="2:7" x14ac:dyDescent="0.25">
      <c r="B6197" s="6"/>
      <c r="C6197" s="7"/>
      <c r="D6197" s="7"/>
      <c r="E6197" s="8"/>
      <c r="F6197" t="str">
        <f t="shared" si="219"/>
        <v/>
      </c>
      <c r="G6197" t="str">
        <f t="shared" si="220"/>
        <v/>
      </c>
    </row>
    <row r="6198" spans="2:7" x14ac:dyDescent="0.25">
      <c r="B6198" s="6"/>
      <c r="C6198" s="7"/>
      <c r="D6198" s="7"/>
      <c r="E6198" s="8"/>
      <c r="F6198" t="str">
        <f t="shared" si="219"/>
        <v/>
      </c>
      <c r="G6198" t="str">
        <f t="shared" si="220"/>
        <v/>
      </c>
    </row>
    <row r="6199" spans="2:7" x14ac:dyDescent="0.25">
      <c r="B6199" s="6"/>
      <c r="C6199" s="7"/>
      <c r="D6199" s="7"/>
      <c r="E6199" s="8"/>
      <c r="F6199" t="str">
        <f t="shared" si="219"/>
        <v/>
      </c>
      <c r="G6199" t="str">
        <f t="shared" si="220"/>
        <v/>
      </c>
    </row>
    <row r="6200" spans="2:7" x14ac:dyDescent="0.25">
      <c r="B6200" s="6"/>
      <c r="C6200" s="7"/>
      <c r="D6200" s="7"/>
      <c r="E6200" s="8"/>
      <c r="F6200" t="str">
        <f t="shared" si="219"/>
        <v/>
      </c>
      <c r="G6200" t="str">
        <f t="shared" si="220"/>
        <v/>
      </c>
    </row>
    <row r="6201" spans="2:7" x14ac:dyDescent="0.25">
      <c r="B6201" s="6"/>
      <c r="C6201" s="7"/>
      <c r="D6201" s="7"/>
      <c r="E6201" s="8"/>
      <c r="F6201" t="str">
        <f t="shared" si="219"/>
        <v/>
      </c>
      <c r="G6201" t="str">
        <f t="shared" si="220"/>
        <v/>
      </c>
    </row>
    <row r="6202" spans="2:7" x14ac:dyDescent="0.25">
      <c r="B6202" s="6"/>
      <c r="C6202" s="7"/>
      <c r="D6202" s="7"/>
      <c r="E6202" s="8"/>
      <c r="F6202" t="str">
        <f t="shared" si="219"/>
        <v/>
      </c>
      <c r="G6202" t="str">
        <f t="shared" si="220"/>
        <v/>
      </c>
    </row>
    <row r="6203" spans="2:7" x14ac:dyDescent="0.25">
      <c r="B6203" s="6"/>
      <c r="C6203" s="7"/>
      <c r="D6203" s="7"/>
      <c r="E6203" s="8"/>
      <c r="F6203" t="str">
        <f t="shared" si="219"/>
        <v/>
      </c>
      <c r="G6203" t="str">
        <f t="shared" si="220"/>
        <v/>
      </c>
    </row>
    <row r="6204" spans="2:7" x14ac:dyDescent="0.25">
      <c r="B6204" s="6"/>
      <c r="C6204" s="7"/>
      <c r="D6204" s="7"/>
      <c r="E6204" s="8"/>
      <c r="F6204" t="str">
        <f t="shared" si="219"/>
        <v/>
      </c>
      <c r="G6204" t="str">
        <f t="shared" si="220"/>
        <v/>
      </c>
    </row>
    <row r="6205" spans="2:7" x14ac:dyDescent="0.25">
      <c r="B6205" s="6"/>
      <c r="C6205" s="7"/>
      <c r="D6205" s="7"/>
      <c r="E6205" s="8"/>
      <c r="F6205" t="str">
        <f t="shared" si="219"/>
        <v/>
      </c>
      <c r="G6205" t="str">
        <f t="shared" si="220"/>
        <v/>
      </c>
    </row>
    <row r="6206" spans="2:7" x14ac:dyDescent="0.25">
      <c r="B6206" s="6"/>
      <c r="C6206" s="7"/>
      <c r="D6206" s="7"/>
      <c r="E6206" s="8"/>
      <c r="F6206" t="str">
        <f t="shared" si="219"/>
        <v/>
      </c>
      <c r="G6206" t="str">
        <f t="shared" si="220"/>
        <v/>
      </c>
    </row>
    <row r="6207" spans="2:7" x14ac:dyDescent="0.25">
      <c r="B6207" s="6"/>
      <c r="C6207" s="7"/>
      <c r="D6207" s="7"/>
      <c r="E6207" s="8"/>
      <c r="F6207" t="str">
        <f t="shared" si="219"/>
        <v/>
      </c>
      <c r="G6207" t="str">
        <f t="shared" si="220"/>
        <v/>
      </c>
    </row>
    <row r="6208" spans="2:7" x14ac:dyDescent="0.25">
      <c r="B6208" s="6"/>
      <c r="C6208" s="7"/>
      <c r="D6208" s="7"/>
      <c r="E6208" s="8"/>
      <c r="F6208" t="str">
        <f t="shared" si="219"/>
        <v/>
      </c>
      <c r="G6208" t="str">
        <f t="shared" si="220"/>
        <v/>
      </c>
    </row>
    <row r="6209" spans="2:7" x14ac:dyDescent="0.25">
      <c r="B6209" s="6"/>
      <c r="C6209" s="7"/>
      <c r="D6209" s="7"/>
      <c r="E6209" s="8"/>
      <c r="F6209" t="str">
        <f t="shared" si="219"/>
        <v/>
      </c>
      <c r="G6209" t="str">
        <f t="shared" si="220"/>
        <v/>
      </c>
    </row>
    <row r="6210" spans="2:7" x14ac:dyDescent="0.25">
      <c r="B6210" s="6"/>
      <c r="C6210" s="7"/>
      <c r="D6210" s="7"/>
      <c r="E6210" s="8"/>
      <c r="F6210" t="str">
        <f t="shared" si="219"/>
        <v/>
      </c>
      <c r="G6210" t="str">
        <f t="shared" si="220"/>
        <v/>
      </c>
    </row>
    <row r="6211" spans="2:7" x14ac:dyDescent="0.25">
      <c r="B6211" s="6"/>
      <c r="C6211" s="7"/>
      <c r="D6211" s="7"/>
      <c r="E6211" s="8"/>
      <c r="F6211" t="str">
        <f t="shared" si="219"/>
        <v/>
      </c>
      <c r="G6211" t="str">
        <f t="shared" si="220"/>
        <v/>
      </c>
    </row>
    <row r="6212" spans="2:7" x14ac:dyDescent="0.25">
      <c r="B6212" s="6"/>
      <c r="C6212" s="7"/>
      <c r="D6212" s="7"/>
      <c r="E6212" s="8"/>
      <c r="F6212" t="str">
        <f t="shared" ref="F6212:F6275" si="221">IF(B6212="","",LOG10(D6212))</f>
        <v/>
      </c>
      <c r="G6212" t="str">
        <f t="shared" ref="G6212:G6275" si="222">IF(E6212="", "",0.434*E6212/D6212)</f>
        <v/>
      </c>
    </row>
    <row r="6213" spans="2:7" x14ac:dyDescent="0.25">
      <c r="B6213" s="6"/>
      <c r="C6213" s="7"/>
      <c r="D6213" s="7"/>
      <c r="E6213" s="8"/>
      <c r="F6213" t="str">
        <f t="shared" si="221"/>
        <v/>
      </c>
      <c r="G6213" t="str">
        <f t="shared" si="222"/>
        <v/>
      </c>
    </row>
    <row r="6214" spans="2:7" x14ac:dyDescent="0.25">
      <c r="B6214" s="6"/>
      <c r="C6214" s="7"/>
      <c r="D6214" s="7"/>
      <c r="E6214" s="8"/>
      <c r="F6214" t="str">
        <f t="shared" si="221"/>
        <v/>
      </c>
      <c r="G6214" t="str">
        <f t="shared" si="222"/>
        <v/>
      </c>
    </row>
    <row r="6215" spans="2:7" x14ac:dyDescent="0.25">
      <c r="B6215" s="6"/>
      <c r="C6215" s="7"/>
      <c r="D6215" s="7"/>
      <c r="E6215" s="8"/>
      <c r="F6215" t="str">
        <f t="shared" si="221"/>
        <v/>
      </c>
      <c r="G6215" t="str">
        <f t="shared" si="222"/>
        <v/>
      </c>
    </row>
    <row r="6216" spans="2:7" x14ac:dyDescent="0.25">
      <c r="B6216" s="6"/>
      <c r="C6216" s="7"/>
      <c r="D6216" s="7"/>
      <c r="E6216" s="8"/>
      <c r="F6216" t="str">
        <f t="shared" si="221"/>
        <v/>
      </c>
      <c r="G6216" t="str">
        <f t="shared" si="222"/>
        <v/>
      </c>
    </row>
    <row r="6217" spans="2:7" x14ac:dyDescent="0.25">
      <c r="B6217" s="6"/>
      <c r="C6217" s="7"/>
      <c r="D6217" s="7"/>
      <c r="E6217" s="8"/>
      <c r="F6217" t="str">
        <f t="shared" si="221"/>
        <v/>
      </c>
      <c r="G6217" t="str">
        <f t="shared" si="222"/>
        <v/>
      </c>
    </row>
    <row r="6218" spans="2:7" x14ac:dyDescent="0.25">
      <c r="B6218" s="6"/>
      <c r="C6218" s="7"/>
      <c r="D6218" s="7"/>
      <c r="E6218" s="8"/>
      <c r="F6218" t="str">
        <f t="shared" si="221"/>
        <v/>
      </c>
      <c r="G6218" t="str">
        <f t="shared" si="222"/>
        <v/>
      </c>
    </row>
    <row r="6219" spans="2:7" x14ac:dyDescent="0.25">
      <c r="B6219" s="6"/>
      <c r="C6219" s="7"/>
      <c r="D6219" s="7"/>
      <c r="E6219" s="8"/>
      <c r="F6219" t="str">
        <f t="shared" si="221"/>
        <v/>
      </c>
      <c r="G6219" t="str">
        <f t="shared" si="222"/>
        <v/>
      </c>
    </row>
    <row r="6220" spans="2:7" x14ac:dyDescent="0.25">
      <c r="B6220" s="6"/>
      <c r="C6220" s="7"/>
      <c r="D6220" s="7"/>
      <c r="E6220" s="8"/>
      <c r="F6220" t="str">
        <f t="shared" si="221"/>
        <v/>
      </c>
      <c r="G6220" t="str">
        <f t="shared" si="222"/>
        <v/>
      </c>
    </row>
    <row r="6221" spans="2:7" x14ac:dyDescent="0.25">
      <c r="B6221" s="6"/>
      <c r="C6221" s="7"/>
      <c r="D6221" s="7"/>
      <c r="E6221" s="8"/>
      <c r="F6221" t="str">
        <f t="shared" si="221"/>
        <v/>
      </c>
      <c r="G6221" t="str">
        <f t="shared" si="222"/>
        <v/>
      </c>
    </row>
    <row r="6222" spans="2:7" x14ac:dyDescent="0.25">
      <c r="B6222" s="6"/>
      <c r="C6222" s="7"/>
      <c r="D6222" s="7"/>
      <c r="E6222" s="8"/>
      <c r="F6222" t="str">
        <f t="shared" si="221"/>
        <v/>
      </c>
      <c r="G6222" t="str">
        <f t="shared" si="222"/>
        <v/>
      </c>
    </row>
    <row r="6223" spans="2:7" x14ac:dyDescent="0.25">
      <c r="B6223" s="6"/>
      <c r="C6223" s="7"/>
      <c r="D6223" s="7"/>
      <c r="E6223" s="8"/>
      <c r="F6223" t="str">
        <f t="shared" si="221"/>
        <v/>
      </c>
      <c r="G6223" t="str">
        <f t="shared" si="222"/>
        <v/>
      </c>
    </row>
    <row r="6224" spans="2:7" x14ac:dyDescent="0.25">
      <c r="B6224" s="6"/>
      <c r="C6224" s="7"/>
      <c r="D6224" s="7"/>
      <c r="E6224" s="8"/>
      <c r="F6224" t="str">
        <f t="shared" si="221"/>
        <v/>
      </c>
      <c r="G6224" t="str">
        <f t="shared" si="222"/>
        <v/>
      </c>
    </row>
    <row r="6225" spans="2:7" x14ac:dyDescent="0.25">
      <c r="B6225" s="6"/>
      <c r="C6225" s="7"/>
      <c r="D6225" s="7"/>
      <c r="E6225" s="8"/>
      <c r="F6225" t="str">
        <f t="shared" si="221"/>
        <v/>
      </c>
      <c r="G6225" t="str">
        <f t="shared" si="222"/>
        <v/>
      </c>
    </row>
    <row r="6226" spans="2:7" x14ac:dyDescent="0.25">
      <c r="B6226" s="6"/>
      <c r="C6226" s="7"/>
      <c r="D6226" s="7"/>
      <c r="E6226" s="8"/>
      <c r="F6226" t="str">
        <f t="shared" si="221"/>
        <v/>
      </c>
      <c r="G6226" t="str">
        <f t="shared" si="222"/>
        <v/>
      </c>
    </row>
    <row r="6227" spans="2:7" x14ac:dyDescent="0.25">
      <c r="B6227" s="6"/>
      <c r="C6227" s="7"/>
      <c r="D6227" s="7"/>
      <c r="E6227" s="8"/>
      <c r="F6227" t="str">
        <f t="shared" si="221"/>
        <v/>
      </c>
      <c r="G6227" t="str">
        <f t="shared" si="222"/>
        <v/>
      </c>
    </row>
    <row r="6228" spans="2:7" x14ac:dyDescent="0.25">
      <c r="B6228" s="6"/>
      <c r="C6228" s="7"/>
      <c r="D6228" s="7"/>
      <c r="E6228" s="8"/>
      <c r="F6228" t="str">
        <f t="shared" si="221"/>
        <v/>
      </c>
      <c r="G6228" t="str">
        <f t="shared" si="222"/>
        <v/>
      </c>
    </row>
    <row r="6229" spans="2:7" x14ac:dyDescent="0.25">
      <c r="B6229" s="6"/>
      <c r="C6229" s="7"/>
      <c r="D6229" s="7"/>
      <c r="E6229" s="8"/>
      <c r="F6229" t="str">
        <f t="shared" si="221"/>
        <v/>
      </c>
      <c r="G6229" t="str">
        <f t="shared" si="222"/>
        <v/>
      </c>
    </row>
    <row r="6230" spans="2:7" x14ac:dyDescent="0.25">
      <c r="B6230" s="6"/>
      <c r="C6230" s="7"/>
      <c r="D6230" s="7"/>
      <c r="E6230" s="8"/>
      <c r="F6230" t="str">
        <f t="shared" si="221"/>
        <v/>
      </c>
      <c r="G6230" t="str">
        <f t="shared" si="222"/>
        <v/>
      </c>
    </row>
    <row r="6231" spans="2:7" x14ac:dyDescent="0.25">
      <c r="B6231" s="6"/>
      <c r="C6231" s="7"/>
      <c r="D6231" s="7"/>
      <c r="E6231" s="8"/>
      <c r="F6231" t="str">
        <f t="shared" si="221"/>
        <v/>
      </c>
      <c r="G6231" t="str">
        <f t="shared" si="222"/>
        <v/>
      </c>
    </row>
    <row r="6232" spans="2:7" x14ac:dyDescent="0.25">
      <c r="B6232" s="6"/>
      <c r="C6232" s="7"/>
      <c r="D6232" s="7"/>
      <c r="E6232" s="8"/>
      <c r="F6232" t="str">
        <f t="shared" si="221"/>
        <v/>
      </c>
      <c r="G6232" t="str">
        <f t="shared" si="222"/>
        <v/>
      </c>
    </row>
    <row r="6233" spans="2:7" x14ac:dyDescent="0.25">
      <c r="B6233" s="6"/>
      <c r="C6233" s="7"/>
      <c r="D6233" s="7"/>
      <c r="E6233" s="8"/>
      <c r="F6233" t="str">
        <f t="shared" si="221"/>
        <v/>
      </c>
      <c r="G6233" t="str">
        <f t="shared" si="222"/>
        <v/>
      </c>
    </row>
    <row r="6234" spans="2:7" x14ac:dyDescent="0.25">
      <c r="B6234" s="6"/>
      <c r="C6234" s="7"/>
      <c r="D6234" s="7"/>
      <c r="E6234" s="8"/>
      <c r="F6234" t="str">
        <f t="shared" si="221"/>
        <v/>
      </c>
      <c r="G6234" t="str">
        <f t="shared" si="222"/>
        <v/>
      </c>
    </row>
    <row r="6235" spans="2:7" x14ac:dyDescent="0.25">
      <c r="B6235" s="6"/>
      <c r="C6235" s="7"/>
      <c r="D6235" s="7"/>
      <c r="E6235" s="8"/>
      <c r="F6235" t="str">
        <f t="shared" si="221"/>
        <v/>
      </c>
      <c r="G6235" t="str">
        <f t="shared" si="222"/>
        <v/>
      </c>
    </row>
    <row r="6236" spans="2:7" x14ac:dyDescent="0.25">
      <c r="B6236" s="6"/>
      <c r="C6236" s="7"/>
      <c r="D6236" s="7"/>
      <c r="E6236" s="8"/>
      <c r="F6236" t="str">
        <f t="shared" si="221"/>
        <v/>
      </c>
      <c r="G6236" t="str">
        <f t="shared" si="222"/>
        <v/>
      </c>
    </row>
    <row r="6237" spans="2:7" x14ac:dyDescent="0.25">
      <c r="B6237" s="6"/>
      <c r="C6237" s="7"/>
      <c r="D6237" s="7"/>
      <c r="E6237" s="8"/>
      <c r="F6237" t="str">
        <f t="shared" si="221"/>
        <v/>
      </c>
      <c r="G6237" t="str">
        <f t="shared" si="222"/>
        <v/>
      </c>
    </row>
    <row r="6238" spans="2:7" x14ac:dyDescent="0.25">
      <c r="B6238" s="6"/>
      <c r="C6238" s="7"/>
      <c r="D6238" s="7"/>
      <c r="E6238" s="8"/>
      <c r="F6238" t="str">
        <f t="shared" si="221"/>
        <v/>
      </c>
      <c r="G6238" t="str">
        <f t="shared" si="222"/>
        <v/>
      </c>
    </row>
    <row r="6239" spans="2:7" x14ac:dyDescent="0.25">
      <c r="B6239" s="6"/>
      <c r="C6239" s="7"/>
      <c r="D6239" s="7"/>
      <c r="E6239" s="8"/>
      <c r="F6239" t="str">
        <f t="shared" si="221"/>
        <v/>
      </c>
      <c r="G6239" t="str">
        <f t="shared" si="222"/>
        <v/>
      </c>
    </row>
    <row r="6240" spans="2:7" x14ac:dyDescent="0.25">
      <c r="B6240" s="6"/>
      <c r="C6240" s="7"/>
      <c r="D6240" s="7"/>
      <c r="E6240" s="8"/>
      <c r="F6240" t="str">
        <f t="shared" si="221"/>
        <v/>
      </c>
      <c r="G6240" t="str">
        <f t="shared" si="222"/>
        <v/>
      </c>
    </row>
    <row r="6241" spans="2:7" x14ac:dyDescent="0.25">
      <c r="B6241" s="6"/>
      <c r="C6241" s="7"/>
      <c r="D6241" s="7"/>
      <c r="E6241" s="8"/>
      <c r="F6241" t="str">
        <f t="shared" si="221"/>
        <v/>
      </c>
      <c r="G6241" t="str">
        <f t="shared" si="222"/>
        <v/>
      </c>
    </row>
    <row r="6242" spans="2:7" x14ac:dyDescent="0.25">
      <c r="B6242" s="6"/>
      <c r="C6242" s="7"/>
      <c r="D6242" s="7"/>
      <c r="E6242" s="8"/>
      <c r="F6242" t="str">
        <f t="shared" si="221"/>
        <v/>
      </c>
      <c r="G6242" t="str">
        <f t="shared" si="222"/>
        <v/>
      </c>
    </row>
    <row r="6243" spans="2:7" x14ac:dyDescent="0.25">
      <c r="B6243" s="6"/>
      <c r="C6243" s="7"/>
      <c r="D6243" s="7"/>
      <c r="E6243" s="8"/>
      <c r="F6243" t="str">
        <f t="shared" si="221"/>
        <v/>
      </c>
      <c r="G6243" t="str">
        <f t="shared" si="222"/>
        <v/>
      </c>
    </row>
    <row r="6244" spans="2:7" x14ac:dyDescent="0.25">
      <c r="B6244" s="6"/>
      <c r="C6244" s="7"/>
      <c r="D6244" s="7"/>
      <c r="E6244" s="8"/>
      <c r="F6244" t="str">
        <f t="shared" si="221"/>
        <v/>
      </c>
      <c r="G6244" t="str">
        <f t="shared" si="222"/>
        <v/>
      </c>
    </row>
    <row r="6245" spans="2:7" x14ac:dyDescent="0.25">
      <c r="B6245" s="6"/>
      <c r="C6245" s="7"/>
      <c r="D6245" s="7"/>
      <c r="E6245" s="8"/>
      <c r="F6245" t="str">
        <f t="shared" si="221"/>
        <v/>
      </c>
      <c r="G6245" t="str">
        <f t="shared" si="222"/>
        <v/>
      </c>
    </row>
    <row r="6246" spans="2:7" x14ac:dyDescent="0.25">
      <c r="B6246" s="6"/>
      <c r="C6246" s="7"/>
      <c r="D6246" s="7"/>
      <c r="E6246" s="8"/>
      <c r="F6246" t="str">
        <f t="shared" si="221"/>
        <v/>
      </c>
      <c r="G6246" t="str">
        <f t="shared" si="222"/>
        <v/>
      </c>
    </row>
    <row r="6247" spans="2:7" x14ac:dyDescent="0.25">
      <c r="B6247" s="6"/>
      <c r="C6247" s="7"/>
      <c r="D6247" s="7"/>
      <c r="E6247" s="8"/>
      <c r="F6247" t="str">
        <f t="shared" si="221"/>
        <v/>
      </c>
      <c r="G6247" t="str">
        <f t="shared" si="222"/>
        <v/>
      </c>
    </row>
    <row r="6248" spans="2:7" x14ac:dyDescent="0.25">
      <c r="B6248" s="6"/>
      <c r="C6248" s="7"/>
      <c r="D6248" s="7"/>
      <c r="E6248" s="8"/>
      <c r="F6248" t="str">
        <f t="shared" si="221"/>
        <v/>
      </c>
      <c r="G6248" t="str">
        <f t="shared" si="222"/>
        <v/>
      </c>
    </row>
    <row r="6249" spans="2:7" x14ac:dyDescent="0.25">
      <c r="B6249" s="6"/>
      <c r="C6249" s="7"/>
      <c r="D6249" s="7"/>
      <c r="E6249" s="8"/>
      <c r="F6249" t="str">
        <f t="shared" si="221"/>
        <v/>
      </c>
      <c r="G6249" t="str">
        <f t="shared" si="222"/>
        <v/>
      </c>
    </row>
    <row r="6250" spans="2:7" x14ac:dyDescent="0.25">
      <c r="B6250" s="6"/>
      <c r="C6250" s="7"/>
      <c r="D6250" s="7"/>
      <c r="E6250" s="8"/>
      <c r="F6250" t="str">
        <f t="shared" si="221"/>
        <v/>
      </c>
      <c r="G6250" t="str">
        <f t="shared" si="222"/>
        <v/>
      </c>
    </row>
    <row r="6251" spans="2:7" x14ac:dyDescent="0.25">
      <c r="B6251" s="6"/>
      <c r="C6251" s="7"/>
      <c r="D6251" s="7"/>
      <c r="E6251" s="8"/>
      <c r="F6251" t="str">
        <f t="shared" si="221"/>
        <v/>
      </c>
      <c r="G6251" t="str">
        <f t="shared" si="222"/>
        <v/>
      </c>
    </row>
    <row r="6252" spans="2:7" x14ac:dyDescent="0.25">
      <c r="B6252" s="6"/>
      <c r="C6252" s="7"/>
      <c r="D6252" s="7"/>
      <c r="E6252" s="8"/>
      <c r="F6252" t="str">
        <f t="shared" si="221"/>
        <v/>
      </c>
      <c r="G6252" t="str">
        <f t="shared" si="222"/>
        <v/>
      </c>
    </row>
    <row r="6253" spans="2:7" x14ac:dyDescent="0.25">
      <c r="B6253" s="6"/>
      <c r="C6253" s="7"/>
      <c r="D6253" s="7"/>
      <c r="E6253" s="8"/>
      <c r="F6253" t="str">
        <f t="shared" si="221"/>
        <v/>
      </c>
      <c r="G6253" t="str">
        <f t="shared" si="222"/>
        <v/>
      </c>
    </row>
    <row r="6254" spans="2:7" x14ac:dyDescent="0.25">
      <c r="B6254" s="6"/>
      <c r="C6254" s="7"/>
      <c r="D6254" s="7"/>
      <c r="E6254" s="8"/>
      <c r="F6254" t="str">
        <f t="shared" si="221"/>
        <v/>
      </c>
      <c r="G6254" t="str">
        <f t="shared" si="222"/>
        <v/>
      </c>
    </row>
    <row r="6255" spans="2:7" x14ac:dyDescent="0.25">
      <c r="B6255" s="6"/>
      <c r="C6255" s="7"/>
      <c r="D6255" s="7"/>
      <c r="E6255" s="8"/>
      <c r="F6255" t="str">
        <f t="shared" si="221"/>
        <v/>
      </c>
      <c r="G6255" t="str">
        <f t="shared" si="222"/>
        <v/>
      </c>
    </row>
    <row r="6256" spans="2:7" x14ac:dyDescent="0.25">
      <c r="B6256" s="6"/>
      <c r="C6256" s="7"/>
      <c r="D6256" s="7"/>
      <c r="E6256" s="8"/>
      <c r="F6256" t="str">
        <f t="shared" si="221"/>
        <v/>
      </c>
      <c r="G6256" t="str">
        <f t="shared" si="222"/>
        <v/>
      </c>
    </row>
    <row r="6257" spans="2:7" x14ac:dyDescent="0.25">
      <c r="B6257" s="6"/>
      <c r="C6257" s="7"/>
      <c r="D6257" s="7"/>
      <c r="E6257" s="8"/>
      <c r="F6257" t="str">
        <f t="shared" si="221"/>
        <v/>
      </c>
      <c r="G6257" t="str">
        <f t="shared" si="222"/>
        <v/>
      </c>
    </row>
    <row r="6258" spans="2:7" x14ac:dyDescent="0.25">
      <c r="B6258" s="6"/>
      <c r="C6258" s="7"/>
      <c r="D6258" s="7"/>
      <c r="E6258" s="8"/>
      <c r="F6258" t="str">
        <f t="shared" si="221"/>
        <v/>
      </c>
      <c r="G6258" t="str">
        <f t="shared" si="222"/>
        <v/>
      </c>
    </row>
    <row r="6259" spans="2:7" x14ac:dyDescent="0.25">
      <c r="B6259" s="6"/>
      <c r="C6259" s="7"/>
      <c r="D6259" s="7"/>
      <c r="E6259" s="8"/>
      <c r="F6259" t="str">
        <f t="shared" si="221"/>
        <v/>
      </c>
      <c r="G6259" t="str">
        <f t="shared" si="222"/>
        <v/>
      </c>
    </row>
    <row r="6260" spans="2:7" x14ac:dyDescent="0.25">
      <c r="B6260" s="6"/>
      <c r="C6260" s="7"/>
      <c r="D6260" s="7"/>
      <c r="E6260" s="8"/>
      <c r="F6260" t="str">
        <f t="shared" si="221"/>
        <v/>
      </c>
      <c r="G6260" t="str">
        <f t="shared" si="222"/>
        <v/>
      </c>
    </row>
    <row r="6261" spans="2:7" x14ac:dyDescent="0.25">
      <c r="B6261" s="6"/>
      <c r="C6261" s="7"/>
      <c r="D6261" s="7"/>
      <c r="E6261" s="8"/>
      <c r="F6261" t="str">
        <f t="shared" si="221"/>
        <v/>
      </c>
      <c r="G6261" t="str">
        <f t="shared" si="222"/>
        <v/>
      </c>
    </row>
    <row r="6262" spans="2:7" x14ac:dyDescent="0.25">
      <c r="B6262" s="6"/>
      <c r="C6262" s="7"/>
      <c r="D6262" s="7"/>
      <c r="E6262" s="8"/>
      <c r="F6262" t="str">
        <f t="shared" si="221"/>
        <v/>
      </c>
      <c r="G6262" t="str">
        <f t="shared" si="222"/>
        <v/>
      </c>
    </row>
    <row r="6263" spans="2:7" x14ac:dyDescent="0.25">
      <c r="B6263" s="6"/>
      <c r="C6263" s="7"/>
      <c r="D6263" s="7"/>
      <c r="E6263" s="8"/>
      <c r="F6263" t="str">
        <f t="shared" si="221"/>
        <v/>
      </c>
      <c r="G6263" t="str">
        <f t="shared" si="222"/>
        <v/>
      </c>
    </row>
    <row r="6264" spans="2:7" x14ac:dyDescent="0.25">
      <c r="B6264" s="6"/>
      <c r="C6264" s="7"/>
      <c r="D6264" s="7"/>
      <c r="E6264" s="8"/>
      <c r="F6264" t="str">
        <f t="shared" si="221"/>
        <v/>
      </c>
      <c r="G6264" t="str">
        <f t="shared" si="222"/>
        <v/>
      </c>
    </row>
    <row r="6265" spans="2:7" x14ac:dyDescent="0.25">
      <c r="B6265" s="6"/>
      <c r="C6265" s="7"/>
      <c r="D6265" s="7"/>
      <c r="E6265" s="8"/>
      <c r="F6265" t="str">
        <f t="shared" si="221"/>
        <v/>
      </c>
      <c r="G6265" t="str">
        <f t="shared" si="222"/>
        <v/>
      </c>
    </row>
    <row r="6266" spans="2:7" x14ac:dyDescent="0.25">
      <c r="B6266" s="6"/>
      <c r="C6266" s="7"/>
      <c r="D6266" s="7"/>
      <c r="E6266" s="8"/>
      <c r="F6266" t="str">
        <f t="shared" si="221"/>
        <v/>
      </c>
      <c r="G6266" t="str">
        <f t="shared" si="222"/>
        <v/>
      </c>
    </row>
    <row r="6267" spans="2:7" x14ac:dyDescent="0.25">
      <c r="B6267" s="6"/>
      <c r="C6267" s="7"/>
      <c r="D6267" s="7"/>
      <c r="E6267" s="8"/>
      <c r="F6267" t="str">
        <f t="shared" si="221"/>
        <v/>
      </c>
      <c r="G6267" t="str">
        <f t="shared" si="222"/>
        <v/>
      </c>
    </row>
    <row r="6268" spans="2:7" x14ac:dyDescent="0.25">
      <c r="B6268" s="6"/>
      <c r="C6268" s="7"/>
      <c r="D6268" s="7"/>
      <c r="E6268" s="8"/>
      <c r="F6268" t="str">
        <f t="shared" si="221"/>
        <v/>
      </c>
      <c r="G6268" t="str">
        <f t="shared" si="222"/>
        <v/>
      </c>
    </row>
    <row r="6269" spans="2:7" x14ac:dyDescent="0.25">
      <c r="B6269" s="6"/>
      <c r="C6269" s="7"/>
      <c r="D6269" s="7"/>
      <c r="E6269" s="8"/>
      <c r="F6269" t="str">
        <f t="shared" si="221"/>
        <v/>
      </c>
      <c r="G6269" t="str">
        <f t="shared" si="222"/>
        <v/>
      </c>
    </row>
    <row r="6270" spans="2:7" x14ac:dyDescent="0.25">
      <c r="B6270" s="6"/>
      <c r="C6270" s="7"/>
      <c r="D6270" s="7"/>
      <c r="E6270" s="8"/>
      <c r="F6270" t="str">
        <f t="shared" si="221"/>
        <v/>
      </c>
      <c r="G6270" t="str">
        <f t="shared" si="222"/>
        <v/>
      </c>
    </row>
    <row r="6271" spans="2:7" x14ac:dyDescent="0.25">
      <c r="B6271" s="6"/>
      <c r="C6271" s="7"/>
      <c r="D6271" s="7"/>
      <c r="E6271" s="8"/>
      <c r="F6271" t="str">
        <f t="shared" si="221"/>
        <v/>
      </c>
      <c r="G6271" t="str">
        <f t="shared" si="222"/>
        <v/>
      </c>
    </row>
    <row r="6272" spans="2:7" x14ac:dyDescent="0.25">
      <c r="B6272" s="6"/>
      <c r="C6272" s="7"/>
      <c r="D6272" s="7"/>
      <c r="E6272" s="8"/>
      <c r="F6272" t="str">
        <f t="shared" si="221"/>
        <v/>
      </c>
      <c r="G6272" t="str">
        <f t="shared" si="222"/>
        <v/>
      </c>
    </row>
    <row r="6273" spans="2:7" x14ac:dyDescent="0.25">
      <c r="B6273" s="6"/>
      <c r="C6273" s="7"/>
      <c r="D6273" s="7"/>
      <c r="E6273" s="8"/>
      <c r="F6273" t="str">
        <f t="shared" si="221"/>
        <v/>
      </c>
      <c r="G6273" t="str">
        <f t="shared" si="222"/>
        <v/>
      </c>
    </row>
    <row r="6274" spans="2:7" x14ac:dyDescent="0.25">
      <c r="B6274" s="6"/>
      <c r="C6274" s="7"/>
      <c r="D6274" s="7"/>
      <c r="E6274" s="8"/>
      <c r="F6274" t="str">
        <f t="shared" si="221"/>
        <v/>
      </c>
      <c r="G6274" t="str">
        <f t="shared" si="222"/>
        <v/>
      </c>
    </row>
    <row r="6275" spans="2:7" x14ac:dyDescent="0.25">
      <c r="B6275" s="6"/>
      <c r="C6275" s="7"/>
      <c r="D6275" s="7"/>
      <c r="E6275" s="8"/>
      <c r="F6275" t="str">
        <f t="shared" si="221"/>
        <v/>
      </c>
      <c r="G6275" t="str">
        <f t="shared" si="222"/>
        <v/>
      </c>
    </row>
    <row r="6276" spans="2:7" x14ac:dyDescent="0.25">
      <c r="B6276" s="6"/>
      <c r="C6276" s="7"/>
      <c r="D6276" s="7"/>
      <c r="E6276" s="8"/>
      <c r="F6276" t="str">
        <f t="shared" ref="F6276:F6339" si="223">IF(B6276="","",LOG10(D6276))</f>
        <v/>
      </c>
      <c r="G6276" t="str">
        <f t="shared" ref="G6276:G6339" si="224">IF(E6276="", "",0.434*E6276/D6276)</f>
        <v/>
      </c>
    </row>
    <row r="6277" spans="2:7" x14ac:dyDescent="0.25">
      <c r="B6277" s="6"/>
      <c r="C6277" s="7"/>
      <c r="D6277" s="7"/>
      <c r="E6277" s="8"/>
      <c r="F6277" t="str">
        <f t="shared" si="223"/>
        <v/>
      </c>
      <c r="G6277" t="str">
        <f t="shared" si="224"/>
        <v/>
      </c>
    </row>
    <row r="6278" spans="2:7" x14ac:dyDescent="0.25">
      <c r="B6278" s="6"/>
      <c r="C6278" s="7"/>
      <c r="D6278" s="7"/>
      <c r="E6278" s="8"/>
      <c r="F6278" t="str">
        <f t="shared" si="223"/>
        <v/>
      </c>
      <c r="G6278" t="str">
        <f t="shared" si="224"/>
        <v/>
      </c>
    </row>
    <row r="6279" spans="2:7" x14ac:dyDescent="0.25">
      <c r="B6279" s="6"/>
      <c r="C6279" s="7"/>
      <c r="D6279" s="7"/>
      <c r="E6279" s="8"/>
      <c r="F6279" t="str">
        <f t="shared" si="223"/>
        <v/>
      </c>
      <c r="G6279" t="str">
        <f t="shared" si="224"/>
        <v/>
      </c>
    </row>
    <row r="6280" spans="2:7" x14ac:dyDescent="0.25">
      <c r="B6280" s="6"/>
      <c r="C6280" s="7"/>
      <c r="D6280" s="7"/>
      <c r="E6280" s="8"/>
      <c r="F6280" t="str">
        <f t="shared" si="223"/>
        <v/>
      </c>
      <c r="G6280" t="str">
        <f t="shared" si="224"/>
        <v/>
      </c>
    </row>
    <row r="6281" spans="2:7" x14ac:dyDescent="0.25">
      <c r="B6281" s="6"/>
      <c r="C6281" s="7"/>
      <c r="D6281" s="7"/>
      <c r="E6281" s="8"/>
      <c r="F6281" t="str">
        <f t="shared" si="223"/>
        <v/>
      </c>
      <c r="G6281" t="str">
        <f t="shared" si="224"/>
        <v/>
      </c>
    </row>
    <row r="6282" spans="2:7" x14ac:dyDescent="0.25">
      <c r="B6282" s="6"/>
      <c r="C6282" s="7"/>
      <c r="D6282" s="7"/>
      <c r="E6282" s="8"/>
      <c r="F6282" t="str">
        <f t="shared" si="223"/>
        <v/>
      </c>
      <c r="G6282" t="str">
        <f t="shared" si="224"/>
        <v/>
      </c>
    </row>
    <row r="6283" spans="2:7" x14ac:dyDescent="0.25">
      <c r="B6283" s="6"/>
      <c r="C6283" s="7"/>
      <c r="D6283" s="7"/>
      <c r="E6283" s="8"/>
      <c r="F6283" t="str">
        <f t="shared" si="223"/>
        <v/>
      </c>
      <c r="G6283" t="str">
        <f t="shared" si="224"/>
        <v/>
      </c>
    </row>
    <row r="6284" spans="2:7" x14ac:dyDescent="0.25">
      <c r="B6284" s="6"/>
      <c r="C6284" s="7"/>
      <c r="D6284" s="7"/>
      <c r="E6284" s="8"/>
      <c r="F6284" t="str">
        <f t="shared" si="223"/>
        <v/>
      </c>
      <c r="G6284" t="str">
        <f t="shared" si="224"/>
        <v/>
      </c>
    </row>
    <row r="6285" spans="2:7" x14ac:dyDescent="0.25">
      <c r="B6285" s="6"/>
      <c r="C6285" s="7"/>
      <c r="D6285" s="7"/>
      <c r="E6285" s="8"/>
      <c r="F6285" t="str">
        <f t="shared" si="223"/>
        <v/>
      </c>
      <c r="G6285" t="str">
        <f t="shared" si="224"/>
        <v/>
      </c>
    </row>
    <row r="6286" spans="2:7" x14ac:dyDescent="0.25">
      <c r="B6286" s="6"/>
      <c r="C6286" s="7"/>
      <c r="D6286" s="7"/>
      <c r="E6286" s="8"/>
      <c r="F6286" t="str">
        <f t="shared" si="223"/>
        <v/>
      </c>
      <c r="G6286" t="str">
        <f t="shared" si="224"/>
        <v/>
      </c>
    </row>
    <row r="6287" spans="2:7" x14ac:dyDescent="0.25">
      <c r="B6287" s="6"/>
      <c r="C6287" s="7"/>
      <c r="D6287" s="7"/>
      <c r="E6287" s="8"/>
      <c r="F6287" t="str">
        <f t="shared" si="223"/>
        <v/>
      </c>
      <c r="G6287" t="str">
        <f t="shared" si="224"/>
        <v/>
      </c>
    </row>
    <row r="6288" spans="2:7" x14ac:dyDescent="0.25">
      <c r="B6288" s="6"/>
      <c r="C6288" s="7"/>
      <c r="D6288" s="7"/>
      <c r="E6288" s="8"/>
      <c r="F6288" t="str">
        <f t="shared" si="223"/>
        <v/>
      </c>
      <c r="G6288" t="str">
        <f t="shared" si="224"/>
        <v/>
      </c>
    </row>
    <row r="6289" spans="2:7" x14ac:dyDescent="0.25">
      <c r="B6289" s="6"/>
      <c r="C6289" s="7"/>
      <c r="D6289" s="7"/>
      <c r="E6289" s="8"/>
      <c r="F6289" t="str">
        <f t="shared" si="223"/>
        <v/>
      </c>
      <c r="G6289" t="str">
        <f t="shared" si="224"/>
        <v/>
      </c>
    </row>
    <row r="6290" spans="2:7" x14ac:dyDescent="0.25">
      <c r="B6290" s="6"/>
      <c r="C6290" s="7"/>
      <c r="D6290" s="7"/>
      <c r="E6290" s="8"/>
      <c r="F6290" t="str">
        <f t="shared" si="223"/>
        <v/>
      </c>
      <c r="G6290" t="str">
        <f t="shared" si="224"/>
        <v/>
      </c>
    </row>
    <row r="6291" spans="2:7" x14ac:dyDescent="0.25">
      <c r="B6291" s="6"/>
      <c r="C6291" s="7"/>
      <c r="D6291" s="7"/>
      <c r="E6291" s="8"/>
      <c r="F6291" t="str">
        <f t="shared" si="223"/>
        <v/>
      </c>
      <c r="G6291" t="str">
        <f t="shared" si="224"/>
        <v/>
      </c>
    </row>
    <row r="6292" spans="2:7" x14ac:dyDescent="0.25">
      <c r="B6292" s="6"/>
      <c r="C6292" s="7"/>
      <c r="D6292" s="7"/>
      <c r="E6292" s="8"/>
      <c r="F6292" t="str">
        <f t="shared" si="223"/>
        <v/>
      </c>
      <c r="G6292" t="str">
        <f t="shared" si="224"/>
        <v/>
      </c>
    </row>
    <row r="6293" spans="2:7" x14ac:dyDescent="0.25">
      <c r="B6293" s="6"/>
      <c r="C6293" s="7"/>
      <c r="D6293" s="7"/>
      <c r="E6293" s="8"/>
      <c r="F6293" t="str">
        <f t="shared" si="223"/>
        <v/>
      </c>
      <c r="G6293" t="str">
        <f t="shared" si="224"/>
        <v/>
      </c>
    </row>
    <row r="6294" spans="2:7" x14ac:dyDescent="0.25">
      <c r="B6294" s="6"/>
      <c r="C6294" s="7"/>
      <c r="D6294" s="7"/>
      <c r="E6294" s="8"/>
      <c r="F6294" t="str">
        <f t="shared" si="223"/>
        <v/>
      </c>
      <c r="G6294" t="str">
        <f t="shared" si="224"/>
        <v/>
      </c>
    </row>
    <row r="6295" spans="2:7" x14ac:dyDescent="0.25">
      <c r="B6295" s="6"/>
      <c r="C6295" s="7"/>
      <c r="D6295" s="7"/>
      <c r="E6295" s="8"/>
      <c r="F6295" t="str">
        <f t="shared" si="223"/>
        <v/>
      </c>
      <c r="G6295" t="str">
        <f t="shared" si="224"/>
        <v/>
      </c>
    </row>
    <row r="6296" spans="2:7" x14ac:dyDescent="0.25">
      <c r="B6296" s="6"/>
      <c r="C6296" s="7"/>
      <c r="D6296" s="7"/>
      <c r="E6296" s="8"/>
      <c r="F6296" t="str">
        <f t="shared" si="223"/>
        <v/>
      </c>
      <c r="G6296" t="str">
        <f t="shared" si="224"/>
        <v/>
      </c>
    </row>
    <row r="6297" spans="2:7" x14ac:dyDescent="0.25">
      <c r="B6297" s="6"/>
      <c r="C6297" s="7"/>
      <c r="D6297" s="7"/>
      <c r="E6297" s="8"/>
      <c r="F6297" t="str">
        <f t="shared" si="223"/>
        <v/>
      </c>
      <c r="G6297" t="str">
        <f t="shared" si="224"/>
        <v/>
      </c>
    </row>
    <row r="6298" spans="2:7" x14ac:dyDescent="0.25">
      <c r="B6298" s="6"/>
      <c r="C6298" s="7"/>
      <c r="D6298" s="7"/>
      <c r="E6298" s="8"/>
      <c r="F6298" t="str">
        <f t="shared" si="223"/>
        <v/>
      </c>
      <c r="G6298" t="str">
        <f t="shared" si="224"/>
        <v/>
      </c>
    </row>
    <row r="6299" spans="2:7" x14ac:dyDescent="0.25">
      <c r="B6299" s="6"/>
      <c r="C6299" s="7"/>
      <c r="D6299" s="7"/>
      <c r="E6299" s="8"/>
      <c r="F6299" t="str">
        <f t="shared" si="223"/>
        <v/>
      </c>
      <c r="G6299" t="str">
        <f t="shared" si="224"/>
        <v/>
      </c>
    </row>
    <row r="6300" spans="2:7" x14ac:dyDescent="0.25">
      <c r="B6300" s="6"/>
      <c r="C6300" s="7"/>
      <c r="D6300" s="7"/>
      <c r="E6300" s="8"/>
      <c r="F6300" t="str">
        <f t="shared" si="223"/>
        <v/>
      </c>
      <c r="G6300" t="str">
        <f t="shared" si="224"/>
        <v/>
      </c>
    </row>
    <row r="6301" spans="2:7" x14ac:dyDescent="0.25">
      <c r="B6301" s="6"/>
      <c r="C6301" s="7"/>
      <c r="D6301" s="7"/>
      <c r="E6301" s="8"/>
      <c r="F6301" t="str">
        <f t="shared" si="223"/>
        <v/>
      </c>
      <c r="G6301" t="str">
        <f t="shared" si="224"/>
        <v/>
      </c>
    </row>
    <row r="6302" spans="2:7" x14ac:dyDescent="0.25">
      <c r="B6302" s="6"/>
      <c r="C6302" s="7"/>
      <c r="D6302" s="7"/>
      <c r="E6302" s="8"/>
      <c r="F6302" t="str">
        <f t="shared" si="223"/>
        <v/>
      </c>
      <c r="G6302" t="str">
        <f t="shared" si="224"/>
        <v/>
      </c>
    </row>
    <row r="6303" spans="2:7" x14ac:dyDescent="0.25">
      <c r="B6303" s="6"/>
      <c r="C6303" s="7"/>
      <c r="D6303" s="7"/>
      <c r="E6303" s="8"/>
      <c r="F6303" t="str">
        <f t="shared" si="223"/>
        <v/>
      </c>
      <c r="G6303" t="str">
        <f t="shared" si="224"/>
        <v/>
      </c>
    </row>
    <row r="6304" spans="2:7" x14ac:dyDescent="0.25">
      <c r="B6304" s="6"/>
      <c r="C6304" s="7"/>
      <c r="D6304" s="7"/>
      <c r="E6304" s="8"/>
      <c r="F6304" t="str">
        <f t="shared" si="223"/>
        <v/>
      </c>
      <c r="G6304" t="str">
        <f t="shared" si="224"/>
        <v/>
      </c>
    </row>
    <row r="6305" spans="2:7" x14ac:dyDescent="0.25">
      <c r="B6305" s="6"/>
      <c r="C6305" s="7"/>
      <c r="D6305" s="7"/>
      <c r="E6305" s="8"/>
      <c r="F6305" t="str">
        <f t="shared" si="223"/>
        <v/>
      </c>
      <c r="G6305" t="str">
        <f t="shared" si="224"/>
        <v/>
      </c>
    </row>
    <row r="6306" spans="2:7" x14ac:dyDescent="0.25">
      <c r="B6306" s="6"/>
      <c r="C6306" s="7"/>
      <c r="D6306" s="7"/>
      <c r="E6306" s="8"/>
      <c r="F6306" t="str">
        <f t="shared" si="223"/>
        <v/>
      </c>
      <c r="G6306" t="str">
        <f t="shared" si="224"/>
        <v/>
      </c>
    </row>
    <row r="6307" spans="2:7" x14ac:dyDescent="0.25">
      <c r="B6307" s="6"/>
      <c r="C6307" s="7"/>
      <c r="D6307" s="7"/>
      <c r="E6307" s="8"/>
      <c r="F6307" t="str">
        <f t="shared" si="223"/>
        <v/>
      </c>
      <c r="G6307" t="str">
        <f t="shared" si="224"/>
        <v/>
      </c>
    </row>
    <row r="6308" spans="2:7" x14ac:dyDescent="0.25">
      <c r="B6308" s="6"/>
      <c r="C6308" s="7"/>
      <c r="D6308" s="7"/>
      <c r="E6308" s="8"/>
      <c r="F6308" t="str">
        <f t="shared" si="223"/>
        <v/>
      </c>
      <c r="G6308" t="str">
        <f t="shared" si="224"/>
        <v/>
      </c>
    </row>
    <row r="6309" spans="2:7" x14ac:dyDescent="0.25">
      <c r="B6309" s="6"/>
      <c r="C6309" s="7"/>
      <c r="D6309" s="7"/>
      <c r="E6309" s="8"/>
      <c r="F6309" t="str">
        <f t="shared" si="223"/>
        <v/>
      </c>
      <c r="G6309" t="str">
        <f t="shared" si="224"/>
        <v/>
      </c>
    </row>
    <row r="6310" spans="2:7" x14ac:dyDescent="0.25">
      <c r="B6310" s="6"/>
      <c r="C6310" s="7"/>
      <c r="D6310" s="7"/>
      <c r="E6310" s="8"/>
      <c r="F6310" t="str">
        <f t="shared" si="223"/>
        <v/>
      </c>
      <c r="G6310" t="str">
        <f t="shared" si="224"/>
        <v/>
      </c>
    </row>
    <row r="6311" spans="2:7" x14ac:dyDescent="0.25">
      <c r="B6311" s="6"/>
      <c r="C6311" s="7"/>
      <c r="D6311" s="7"/>
      <c r="E6311" s="8"/>
      <c r="F6311" t="str">
        <f t="shared" si="223"/>
        <v/>
      </c>
      <c r="G6311" t="str">
        <f t="shared" si="224"/>
        <v/>
      </c>
    </row>
    <row r="6312" spans="2:7" x14ac:dyDescent="0.25">
      <c r="B6312" s="6"/>
      <c r="C6312" s="7"/>
      <c r="D6312" s="7"/>
      <c r="E6312" s="8"/>
      <c r="F6312" t="str">
        <f t="shared" si="223"/>
        <v/>
      </c>
      <c r="G6312" t="str">
        <f t="shared" si="224"/>
        <v/>
      </c>
    </row>
    <row r="6313" spans="2:7" x14ac:dyDescent="0.25">
      <c r="B6313" s="6"/>
      <c r="C6313" s="7"/>
      <c r="D6313" s="7"/>
      <c r="E6313" s="8"/>
      <c r="F6313" t="str">
        <f t="shared" si="223"/>
        <v/>
      </c>
      <c r="G6313" t="str">
        <f t="shared" si="224"/>
        <v/>
      </c>
    </row>
    <row r="6314" spans="2:7" x14ac:dyDescent="0.25">
      <c r="B6314" s="6"/>
      <c r="C6314" s="7"/>
      <c r="D6314" s="7"/>
      <c r="E6314" s="8"/>
      <c r="F6314" t="str">
        <f t="shared" si="223"/>
        <v/>
      </c>
      <c r="G6314" t="str">
        <f t="shared" si="224"/>
        <v/>
      </c>
    </row>
    <row r="6315" spans="2:7" x14ac:dyDescent="0.25">
      <c r="B6315" s="6"/>
      <c r="C6315" s="7"/>
      <c r="D6315" s="7"/>
      <c r="E6315" s="8"/>
      <c r="F6315" t="str">
        <f t="shared" si="223"/>
        <v/>
      </c>
      <c r="G6315" t="str">
        <f t="shared" si="224"/>
        <v/>
      </c>
    </row>
    <row r="6316" spans="2:7" x14ac:dyDescent="0.25">
      <c r="B6316" s="6"/>
      <c r="C6316" s="7"/>
      <c r="D6316" s="7"/>
      <c r="E6316" s="8"/>
      <c r="F6316" t="str">
        <f t="shared" si="223"/>
        <v/>
      </c>
      <c r="G6316" t="str">
        <f t="shared" si="224"/>
        <v/>
      </c>
    </row>
    <row r="6317" spans="2:7" x14ac:dyDescent="0.25">
      <c r="B6317" s="6"/>
      <c r="C6317" s="7"/>
      <c r="D6317" s="7"/>
      <c r="E6317" s="8"/>
      <c r="F6317" t="str">
        <f t="shared" si="223"/>
        <v/>
      </c>
      <c r="G6317" t="str">
        <f t="shared" si="224"/>
        <v/>
      </c>
    </row>
    <row r="6318" spans="2:7" x14ac:dyDescent="0.25">
      <c r="B6318" s="6"/>
      <c r="C6318" s="7"/>
      <c r="D6318" s="7"/>
      <c r="E6318" s="8"/>
      <c r="F6318" t="str">
        <f t="shared" si="223"/>
        <v/>
      </c>
      <c r="G6318" t="str">
        <f t="shared" si="224"/>
        <v/>
      </c>
    </row>
    <row r="6319" spans="2:7" x14ac:dyDescent="0.25">
      <c r="B6319" s="6"/>
      <c r="C6319" s="7"/>
      <c r="D6319" s="7"/>
      <c r="E6319" s="8"/>
      <c r="F6319" t="str">
        <f t="shared" si="223"/>
        <v/>
      </c>
      <c r="G6319" t="str">
        <f t="shared" si="224"/>
        <v/>
      </c>
    </row>
    <row r="6320" spans="2:7" x14ac:dyDescent="0.25">
      <c r="B6320" s="6"/>
      <c r="C6320" s="7"/>
      <c r="D6320" s="7"/>
      <c r="E6320" s="8"/>
      <c r="F6320" t="str">
        <f t="shared" si="223"/>
        <v/>
      </c>
      <c r="G6320" t="str">
        <f t="shared" si="224"/>
        <v/>
      </c>
    </row>
    <row r="6321" spans="2:7" x14ac:dyDescent="0.25">
      <c r="B6321" s="6"/>
      <c r="C6321" s="7"/>
      <c r="D6321" s="7"/>
      <c r="E6321" s="8"/>
      <c r="F6321" t="str">
        <f t="shared" si="223"/>
        <v/>
      </c>
      <c r="G6321" t="str">
        <f t="shared" si="224"/>
        <v/>
      </c>
    </row>
    <row r="6322" spans="2:7" x14ac:dyDescent="0.25">
      <c r="B6322" s="6"/>
      <c r="C6322" s="7"/>
      <c r="D6322" s="7"/>
      <c r="E6322" s="8"/>
      <c r="F6322" t="str">
        <f t="shared" si="223"/>
        <v/>
      </c>
      <c r="G6322" t="str">
        <f t="shared" si="224"/>
        <v/>
      </c>
    </row>
    <row r="6323" spans="2:7" x14ac:dyDescent="0.25">
      <c r="B6323" s="6"/>
      <c r="C6323" s="7"/>
      <c r="D6323" s="7"/>
      <c r="E6323" s="8"/>
      <c r="F6323" t="str">
        <f t="shared" si="223"/>
        <v/>
      </c>
      <c r="G6323" t="str">
        <f t="shared" si="224"/>
        <v/>
      </c>
    </row>
    <row r="6324" spans="2:7" x14ac:dyDescent="0.25">
      <c r="B6324" s="6"/>
      <c r="C6324" s="7"/>
      <c r="D6324" s="7"/>
      <c r="E6324" s="8"/>
      <c r="F6324" t="str">
        <f t="shared" si="223"/>
        <v/>
      </c>
      <c r="G6324" t="str">
        <f t="shared" si="224"/>
        <v/>
      </c>
    </row>
    <row r="6325" spans="2:7" x14ac:dyDescent="0.25">
      <c r="B6325" s="6"/>
      <c r="C6325" s="7"/>
      <c r="D6325" s="7"/>
      <c r="E6325" s="8"/>
      <c r="F6325" t="str">
        <f t="shared" si="223"/>
        <v/>
      </c>
      <c r="G6325" t="str">
        <f t="shared" si="224"/>
        <v/>
      </c>
    </row>
    <row r="6326" spans="2:7" x14ac:dyDescent="0.25">
      <c r="B6326" s="6"/>
      <c r="C6326" s="7"/>
      <c r="D6326" s="7"/>
      <c r="E6326" s="8"/>
      <c r="F6326" t="str">
        <f t="shared" si="223"/>
        <v/>
      </c>
      <c r="G6326" t="str">
        <f t="shared" si="224"/>
        <v/>
      </c>
    </row>
    <row r="6327" spans="2:7" x14ac:dyDescent="0.25">
      <c r="B6327" s="6"/>
      <c r="C6327" s="7"/>
      <c r="D6327" s="7"/>
      <c r="E6327" s="8"/>
      <c r="F6327" t="str">
        <f t="shared" si="223"/>
        <v/>
      </c>
      <c r="G6327" t="str">
        <f t="shared" si="224"/>
        <v/>
      </c>
    </row>
    <row r="6328" spans="2:7" x14ac:dyDescent="0.25">
      <c r="B6328" s="6"/>
      <c r="C6328" s="7"/>
      <c r="D6328" s="7"/>
      <c r="E6328" s="8"/>
      <c r="F6328" t="str">
        <f t="shared" si="223"/>
        <v/>
      </c>
      <c r="G6328" t="str">
        <f t="shared" si="224"/>
        <v/>
      </c>
    </row>
    <row r="6329" spans="2:7" x14ac:dyDescent="0.25">
      <c r="B6329" s="6"/>
      <c r="C6329" s="7"/>
      <c r="D6329" s="7"/>
      <c r="E6329" s="8"/>
      <c r="F6329" t="str">
        <f t="shared" si="223"/>
        <v/>
      </c>
      <c r="G6329" t="str">
        <f t="shared" si="224"/>
        <v/>
      </c>
    </row>
    <row r="6330" spans="2:7" x14ac:dyDescent="0.25">
      <c r="B6330" s="6"/>
      <c r="C6330" s="7"/>
      <c r="D6330" s="7"/>
      <c r="E6330" s="8"/>
      <c r="F6330" t="str">
        <f t="shared" si="223"/>
        <v/>
      </c>
      <c r="G6330" t="str">
        <f t="shared" si="224"/>
        <v/>
      </c>
    </row>
    <row r="6331" spans="2:7" x14ac:dyDescent="0.25">
      <c r="B6331" s="6"/>
      <c r="C6331" s="7"/>
      <c r="D6331" s="7"/>
      <c r="E6331" s="8"/>
      <c r="F6331" t="str">
        <f t="shared" si="223"/>
        <v/>
      </c>
      <c r="G6331" t="str">
        <f t="shared" si="224"/>
        <v/>
      </c>
    </row>
    <row r="6332" spans="2:7" x14ac:dyDescent="0.25">
      <c r="B6332" s="6"/>
      <c r="C6332" s="7"/>
      <c r="D6332" s="7"/>
      <c r="E6332" s="8"/>
      <c r="F6332" t="str">
        <f t="shared" si="223"/>
        <v/>
      </c>
      <c r="G6332" t="str">
        <f t="shared" si="224"/>
        <v/>
      </c>
    </row>
    <row r="6333" spans="2:7" x14ac:dyDescent="0.25">
      <c r="B6333" s="6"/>
      <c r="C6333" s="7"/>
      <c r="D6333" s="7"/>
      <c r="E6333" s="8"/>
      <c r="F6333" t="str">
        <f t="shared" si="223"/>
        <v/>
      </c>
      <c r="G6333" t="str">
        <f t="shared" si="224"/>
        <v/>
      </c>
    </row>
    <row r="6334" spans="2:7" x14ac:dyDescent="0.25">
      <c r="B6334" s="6"/>
      <c r="C6334" s="7"/>
      <c r="D6334" s="7"/>
      <c r="E6334" s="8"/>
      <c r="F6334" t="str">
        <f t="shared" si="223"/>
        <v/>
      </c>
      <c r="G6334" t="str">
        <f t="shared" si="224"/>
        <v/>
      </c>
    </row>
    <row r="6335" spans="2:7" x14ac:dyDescent="0.25">
      <c r="B6335" s="6"/>
      <c r="C6335" s="7"/>
      <c r="D6335" s="7"/>
      <c r="E6335" s="8"/>
      <c r="F6335" t="str">
        <f t="shared" si="223"/>
        <v/>
      </c>
      <c r="G6335" t="str">
        <f t="shared" si="224"/>
        <v/>
      </c>
    </row>
    <row r="6336" spans="2:7" x14ac:dyDescent="0.25">
      <c r="B6336" s="6"/>
      <c r="C6336" s="7"/>
      <c r="D6336" s="7"/>
      <c r="E6336" s="8"/>
      <c r="F6336" t="str">
        <f t="shared" si="223"/>
        <v/>
      </c>
      <c r="G6336" t="str">
        <f t="shared" si="224"/>
        <v/>
      </c>
    </row>
    <row r="6337" spans="2:7" x14ac:dyDescent="0.25">
      <c r="B6337" s="6"/>
      <c r="C6337" s="7"/>
      <c r="D6337" s="7"/>
      <c r="E6337" s="8"/>
      <c r="F6337" t="str">
        <f t="shared" si="223"/>
        <v/>
      </c>
      <c r="G6337" t="str">
        <f t="shared" si="224"/>
        <v/>
      </c>
    </row>
    <row r="6338" spans="2:7" x14ac:dyDescent="0.25">
      <c r="B6338" s="6"/>
      <c r="C6338" s="7"/>
      <c r="D6338" s="7"/>
      <c r="E6338" s="8"/>
      <c r="F6338" t="str">
        <f t="shared" si="223"/>
        <v/>
      </c>
      <c r="G6338" t="str">
        <f t="shared" si="224"/>
        <v/>
      </c>
    </row>
    <row r="6339" spans="2:7" x14ac:dyDescent="0.25">
      <c r="B6339" s="6"/>
      <c r="C6339" s="7"/>
      <c r="D6339" s="7"/>
      <c r="E6339" s="8"/>
      <c r="F6339" t="str">
        <f t="shared" si="223"/>
        <v/>
      </c>
      <c r="G6339" t="str">
        <f t="shared" si="224"/>
        <v/>
      </c>
    </row>
    <row r="6340" spans="2:7" x14ac:dyDescent="0.25">
      <c r="B6340" s="6"/>
      <c r="C6340" s="7"/>
      <c r="D6340" s="7"/>
      <c r="E6340" s="8"/>
      <c r="F6340" t="str">
        <f t="shared" ref="F6340:F6403" si="225">IF(B6340="","",LOG10(D6340))</f>
        <v/>
      </c>
      <c r="G6340" t="str">
        <f t="shared" ref="G6340:G6403" si="226">IF(E6340="", "",0.434*E6340/D6340)</f>
        <v/>
      </c>
    </row>
    <row r="6341" spans="2:7" x14ac:dyDescent="0.25">
      <c r="B6341" s="6"/>
      <c r="C6341" s="7"/>
      <c r="D6341" s="7"/>
      <c r="E6341" s="8"/>
      <c r="F6341" t="str">
        <f t="shared" si="225"/>
        <v/>
      </c>
      <c r="G6341" t="str">
        <f t="shared" si="226"/>
        <v/>
      </c>
    </row>
    <row r="6342" spans="2:7" x14ac:dyDescent="0.25">
      <c r="B6342" s="6"/>
      <c r="C6342" s="7"/>
      <c r="D6342" s="7"/>
      <c r="E6342" s="8"/>
      <c r="F6342" t="str">
        <f t="shared" si="225"/>
        <v/>
      </c>
      <c r="G6342" t="str">
        <f t="shared" si="226"/>
        <v/>
      </c>
    </row>
    <row r="6343" spans="2:7" x14ac:dyDescent="0.25">
      <c r="B6343" s="6"/>
      <c r="C6343" s="7"/>
      <c r="D6343" s="7"/>
      <c r="E6343" s="8"/>
      <c r="F6343" t="str">
        <f t="shared" si="225"/>
        <v/>
      </c>
      <c r="G6343" t="str">
        <f t="shared" si="226"/>
        <v/>
      </c>
    </row>
    <row r="6344" spans="2:7" x14ac:dyDescent="0.25">
      <c r="B6344" s="6"/>
      <c r="C6344" s="7"/>
      <c r="D6344" s="7"/>
      <c r="E6344" s="8"/>
      <c r="F6344" t="str">
        <f t="shared" si="225"/>
        <v/>
      </c>
      <c r="G6344" t="str">
        <f t="shared" si="226"/>
        <v/>
      </c>
    </row>
    <row r="6345" spans="2:7" x14ac:dyDescent="0.25">
      <c r="B6345" s="6"/>
      <c r="C6345" s="7"/>
      <c r="D6345" s="7"/>
      <c r="E6345" s="8"/>
      <c r="F6345" t="str">
        <f t="shared" si="225"/>
        <v/>
      </c>
      <c r="G6345" t="str">
        <f t="shared" si="226"/>
        <v/>
      </c>
    </row>
    <row r="6346" spans="2:7" x14ac:dyDescent="0.25">
      <c r="B6346" s="6"/>
      <c r="C6346" s="7"/>
      <c r="D6346" s="7"/>
      <c r="E6346" s="8"/>
      <c r="F6346" t="str">
        <f t="shared" si="225"/>
        <v/>
      </c>
      <c r="G6346" t="str">
        <f t="shared" si="226"/>
        <v/>
      </c>
    </row>
    <row r="6347" spans="2:7" x14ac:dyDescent="0.25">
      <c r="B6347" s="6"/>
      <c r="C6347" s="7"/>
      <c r="D6347" s="7"/>
      <c r="E6347" s="8"/>
      <c r="F6347" t="str">
        <f t="shared" si="225"/>
        <v/>
      </c>
      <c r="G6347" t="str">
        <f t="shared" si="226"/>
        <v/>
      </c>
    </row>
    <row r="6348" spans="2:7" x14ac:dyDescent="0.25">
      <c r="B6348" s="6"/>
      <c r="C6348" s="7"/>
      <c r="D6348" s="7"/>
      <c r="E6348" s="8"/>
      <c r="F6348" t="str">
        <f t="shared" si="225"/>
        <v/>
      </c>
      <c r="G6348" t="str">
        <f t="shared" si="226"/>
        <v/>
      </c>
    </row>
    <row r="6349" spans="2:7" x14ac:dyDescent="0.25">
      <c r="B6349" s="6"/>
      <c r="C6349" s="7"/>
      <c r="D6349" s="7"/>
      <c r="E6349" s="8"/>
      <c r="F6349" t="str">
        <f t="shared" si="225"/>
        <v/>
      </c>
      <c r="G6349" t="str">
        <f t="shared" si="226"/>
        <v/>
      </c>
    </row>
    <row r="6350" spans="2:7" x14ac:dyDescent="0.25">
      <c r="B6350" s="6"/>
      <c r="C6350" s="7"/>
      <c r="D6350" s="7"/>
      <c r="E6350" s="8"/>
      <c r="F6350" t="str">
        <f t="shared" si="225"/>
        <v/>
      </c>
      <c r="G6350" t="str">
        <f t="shared" si="226"/>
        <v/>
      </c>
    </row>
    <row r="6351" spans="2:7" x14ac:dyDescent="0.25">
      <c r="B6351" s="6"/>
      <c r="C6351" s="7"/>
      <c r="D6351" s="7"/>
      <c r="E6351" s="8"/>
      <c r="F6351" t="str">
        <f t="shared" si="225"/>
        <v/>
      </c>
      <c r="G6351" t="str">
        <f t="shared" si="226"/>
        <v/>
      </c>
    </row>
    <row r="6352" spans="2:7" x14ac:dyDescent="0.25">
      <c r="B6352" s="6"/>
      <c r="C6352" s="7"/>
      <c r="D6352" s="7"/>
      <c r="E6352" s="8"/>
      <c r="F6352" t="str">
        <f t="shared" si="225"/>
        <v/>
      </c>
      <c r="G6352" t="str">
        <f t="shared" si="226"/>
        <v/>
      </c>
    </row>
    <row r="6353" spans="2:7" x14ac:dyDescent="0.25">
      <c r="B6353" s="6"/>
      <c r="C6353" s="7"/>
      <c r="D6353" s="7"/>
      <c r="E6353" s="8"/>
      <c r="F6353" t="str">
        <f t="shared" si="225"/>
        <v/>
      </c>
      <c r="G6353" t="str">
        <f t="shared" si="226"/>
        <v/>
      </c>
    </row>
    <row r="6354" spans="2:7" x14ac:dyDescent="0.25">
      <c r="B6354" s="6"/>
      <c r="C6354" s="7"/>
      <c r="D6354" s="7"/>
      <c r="E6354" s="8"/>
      <c r="F6354" t="str">
        <f t="shared" si="225"/>
        <v/>
      </c>
      <c r="G6354" t="str">
        <f t="shared" si="226"/>
        <v/>
      </c>
    </row>
    <row r="6355" spans="2:7" x14ac:dyDescent="0.25">
      <c r="B6355" s="6"/>
      <c r="C6355" s="7"/>
      <c r="D6355" s="7"/>
      <c r="E6355" s="8"/>
      <c r="F6355" t="str">
        <f t="shared" si="225"/>
        <v/>
      </c>
      <c r="G6355" t="str">
        <f t="shared" si="226"/>
        <v/>
      </c>
    </row>
    <row r="6356" spans="2:7" x14ac:dyDescent="0.25">
      <c r="B6356" s="6"/>
      <c r="C6356" s="7"/>
      <c r="D6356" s="7"/>
      <c r="E6356" s="8"/>
      <c r="F6356" t="str">
        <f t="shared" si="225"/>
        <v/>
      </c>
      <c r="G6356" t="str">
        <f t="shared" si="226"/>
        <v/>
      </c>
    </row>
    <row r="6357" spans="2:7" x14ac:dyDescent="0.25">
      <c r="B6357" s="6"/>
      <c r="C6357" s="7"/>
      <c r="D6357" s="7"/>
      <c r="E6357" s="8"/>
      <c r="F6357" t="str">
        <f t="shared" si="225"/>
        <v/>
      </c>
      <c r="G6357" t="str">
        <f t="shared" si="226"/>
        <v/>
      </c>
    </row>
    <row r="6358" spans="2:7" x14ac:dyDescent="0.25">
      <c r="B6358" s="6"/>
      <c r="C6358" s="7"/>
      <c r="D6358" s="7"/>
      <c r="E6358" s="8"/>
      <c r="F6358" t="str">
        <f t="shared" si="225"/>
        <v/>
      </c>
      <c r="G6358" t="str">
        <f t="shared" si="226"/>
        <v/>
      </c>
    </row>
    <row r="6359" spans="2:7" x14ac:dyDescent="0.25">
      <c r="B6359" s="6"/>
      <c r="C6359" s="7"/>
      <c r="D6359" s="7"/>
      <c r="E6359" s="8"/>
      <c r="F6359" t="str">
        <f t="shared" si="225"/>
        <v/>
      </c>
      <c r="G6359" t="str">
        <f t="shared" si="226"/>
        <v/>
      </c>
    </row>
    <row r="6360" spans="2:7" x14ac:dyDescent="0.25">
      <c r="B6360" s="6"/>
      <c r="C6360" s="7"/>
      <c r="D6360" s="7"/>
      <c r="E6360" s="8"/>
      <c r="F6360" t="str">
        <f t="shared" si="225"/>
        <v/>
      </c>
      <c r="G6360" t="str">
        <f t="shared" si="226"/>
        <v/>
      </c>
    </row>
    <row r="6361" spans="2:7" x14ac:dyDescent="0.25">
      <c r="B6361" s="6"/>
      <c r="C6361" s="7"/>
      <c r="D6361" s="7"/>
      <c r="E6361" s="8"/>
      <c r="F6361" t="str">
        <f t="shared" si="225"/>
        <v/>
      </c>
      <c r="G6361" t="str">
        <f t="shared" si="226"/>
        <v/>
      </c>
    </row>
    <row r="6362" spans="2:7" x14ac:dyDescent="0.25">
      <c r="B6362" s="6"/>
      <c r="C6362" s="7"/>
      <c r="D6362" s="7"/>
      <c r="E6362" s="8"/>
      <c r="F6362" t="str">
        <f t="shared" si="225"/>
        <v/>
      </c>
      <c r="G6362" t="str">
        <f t="shared" si="226"/>
        <v/>
      </c>
    </row>
    <row r="6363" spans="2:7" x14ac:dyDescent="0.25">
      <c r="B6363" s="6"/>
      <c r="C6363" s="7"/>
      <c r="D6363" s="7"/>
      <c r="E6363" s="8"/>
      <c r="F6363" t="str">
        <f t="shared" si="225"/>
        <v/>
      </c>
      <c r="G6363" t="str">
        <f t="shared" si="226"/>
        <v/>
      </c>
    </row>
    <row r="6364" spans="2:7" x14ac:dyDescent="0.25">
      <c r="B6364" s="6"/>
      <c r="C6364" s="7"/>
      <c r="D6364" s="7"/>
      <c r="E6364" s="8"/>
      <c r="F6364" t="str">
        <f t="shared" si="225"/>
        <v/>
      </c>
      <c r="G6364" t="str">
        <f t="shared" si="226"/>
        <v/>
      </c>
    </row>
    <row r="6365" spans="2:7" x14ac:dyDescent="0.25">
      <c r="B6365" s="6"/>
      <c r="C6365" s="7"/>
      <c r="D6365" s="7"/>
      <c r="E6365" s="8"/>
      <c r="F6365" t="str">
        <f t="shared" si="225"/>
        <v/>
      </c>
      <c r="G6365" t="str">
        <f t="shared" si="226"/>
        <v/>
      </c>
    </row>
    <row r="6366" spans="2:7" x14ac:dyDescent="0.25">
      <c r="B6366" s="6"/>
      <c r="C6366" s="7"/>
      <c r="D6366" s="7"/>
      <c r="E6366" s="8"/>
      <c r="F6366" t="str">
        <f t="shared" si="225"/>
        <v/>
      </c>
      <c r="G6366" t="str">
        <f t="shared" si="226"/>
        <v/>
      </c>
    </row>
    <row r="6367" spans="2:7" x14ac:dyDescent="0.25">
      <c r="B6367" s="6"/>
      <c r="C6367" s="7"/>
      <c r="D6367" s="7"/>
      <c r="E6367" s="8"/>
      <c r="F6367" t="str">
        <f t="shared" si="225"/>
        <v/>
      </c>
      <c r="G6367" t="str">
        <f t="shared" si="226"/>
        <v/>
      </c>
    </row>
    <row r="6368" spans="2:7" x14ac:dyDescent="0.25">
      <c r="B6368" s="6"/>
      <c r="C6368" s="7"/>
      <c r="D6368" s="7"/>
      <c r="E6368" s="8"/>
      <c r="F6368" t="str">
        <f t="shared" si="225"/>
        <v/>
      </c>
      <c r="G6368" t="str">
        <f t="shared" si="226"/>
        <v/>
      </c>
    </row>
    <row r="6369" spans="2:7" x14ac:dyDescent="0.25">
      <c r="B6369" s="6"/>
      <c r="C6369" s="7"/>
      <c r="D6369" s="7"/>
      <c r="E6369" s="8"/>
      <c r="F6369" t="str">
        <f t="shared" si="225"/>
        <v/>
      </c>
      <c r="G6369" t="str">
        <f t="shared" si="226"/>
        <v/>
      </c>
    </row>
    <row r="6370" spans="2:7" x14ac:dyDescent="0.25">
      <c r="B6370" s="6"/>
      <c r="C6370" s="7"/>
      <c r="D6370" s="7"/>
      <c r="E6370" s="8"/>
      <c r="F6370" t="str">
        <f t="shared" si="225"/>
        <v/>
      </c>
      <c r="G6370" t="str">
        <f t="shared" si="226"/>
        <v/>
      </c>
    </row>
    <row r="6371" spans="2:7" x14ac:dyDescent="0.25">
      <c r="B6371" s="6"/>
      <c r="C6371" s="7"/>
      <c r="D6371" s="7"/>
      <c r="E6371" s="8"/>
      <c r="F6371" t="str">
        <f t="shared" si="225"/>
        <v/>
      </c>
      <c r="G6371" t="str">
        <f t="shared" si="226"/>
        <v/>
      </c>
    </row>
    <row r="6372" spans="2:7" x14ac:dyDescent="0.25">
      <c r="B6372" s="6"/>
      <c r="C6372" s="7"/>
      <c r="D6372" s="7"/>
      <c r="E6372" s="8"/>
      <c r="F6372" t="str">
        <f t="shared" si="225"/>
        <v/>
      </c>
      <c r="G6372" t="str">
        <f t="shared" si="226"/>
        <v/>
      </c>
    </row>
    <row r="6373" spans="2:7" x14ac:dyDescent="0.25">
      <c r="B6373" s="6"/>
      <c r="C6373" s="7"/>
      <c r="D6373" s="7"/>
      <c r="E6373" s="8"/>
      <c r="F6373" t="str">
        <f t="shared" si="225"/>
        <v/>
      </c>
      <c r="G6373" t="str">
        <f t="shared" si="226"/>
        <v/>
      </c>
    </row>
    <row r="6374" spans="2:7" x14ac:dyDescent="0.25">
      <c r="B6374" s="6"/>
      <c r="C6374" s="7"/>
      <c r="D6374" s="7"/>
      <c r="E6374" s="8"/>
      <c r="F6374" t="str">
        <f t="shared" si="225"/>
        <v/>
      </c>
      <c r="G6374" t="str">
        <f t="shared" si="226"/>
        <v/>
      </c>
    </row>
    <row r="6375" spans="2:7" x14ac:dyDescent="0.25">
      <c r="B6375" s="6"/>
      <c r="C6375" s="7"/>
      <c r="D6375" s="7"/>
      <c r="E6375" s="8"/>
      <c r="F6375" t="str">
        <f t="shared" si="225"/>
        <v/>
      </c>
      <c r="G6375" t="str">
        <f t="shared" si="226"/>
        <v/>
      </c>
    </row>
    <row r="6376" spans="2:7" x14ac:dyDescent="0.25">
      <c r="B6376" s="6"/>
      <c r="C6376" s="7"/>
      <c r="D6376" s="7"/>
      <c r="E6376" s="8"/>
      <c r="F6376" t="str">
        <f t="shared" si="225"/>
        <v/>
      </c>
      <c r="G6376" t="str">
        <f t="shared" si="226"/>
        <v/>
      </c>
    </row>
    <row r="6377" spans="2:7" x14ac:dyDescent="0.25">
      <c r="B6377" s="6"/>
      <c r="C6377" s="7"/>
      <c r="D6377" s="7"/>
      <c r="E6377" s="8"/>
      <c r="F6377" t="str">
        <f t="shared" si="225"/>
        <v/>
      </c>
      <c r="G6377" t="str">
        <f t="shared" si="226"/>
        <v/>
      </c>
    </row>
    <row r="6378" spans="2:7" x14ac:dyDescent="0.25">
      <c r="B6378" s="6"/>
      <c r="C6378" s="7"/>
      <c r="D6378" s="7"/>
      <c r="E6378" s="8"/>
      <c r="F6378" t="str">
        <f t="shared" si="225"/>
        <v/>
      </c>
      <c r="G6378" t="str">
        <f t="shared" si="226"/>
        <v/>
      </c>
    </row>
    <row r="6379" spans="2:7" x14ac:dyDescent="0.25">
      <c r="B6379" s="6"/>
      <c r="C6379" s="7"/>
      <c r="D6379" s="7"/>
      <c r="E6379" s="8"/>
      <c r="F6379" t="str">
        <f t="shared" si="225"/>
        <v/>
      </c>
      <c r="G6379" t="str">
        <f t="shared" si="226"/>
        <v/>
      </c>
    </row>
    <row r="6380" spans="2:7" x14ac:dyDescent="0.25">
      <c r="B6380" s="6"/>
      <c r="C6380" s="7"/>
      <c r="D6380" s="7"/>
      <c r="E6380" s="8"/>
      <c r="F6380" t="str">
        <f t="shared" si="225"/>
        <v/>
      </c>
      <c r="G6380" t="str">
        <f t="shared" si="226"/>
        <v/>
      </c>
    </row>
    <row r="6381" spans="2:7" x14ac:dyDescent="0.25">
      <c r="B6381" s="6"/>
      <c r="C6381" s="7"/>
      <c r="D6381" s="7"/>
      <c r="E6381" s="8"/>
      <c r="F6381" t="str">
        <f t="shared" si="225"/>
        <v/>
      </c>
      <c r="G6381" t="str">
        <f t="shared" si="226"/>
        <v/>
      </c>
    </row>
    <row r="6382" spans="2:7" x14ac:dyDescent="0.25">
      <c r="B6382" s="6"/>
      <c r="C6382" s="7"/>
      <c r="D6382" s="7"/>
      <c r="E6382" s="8"/>
      <c r="F6382" t="str">
        <f t="shared" si="225"/>
        <v/>
      </c>
      <c r="G6382" t="str">
        <f t="shared" si="226"/>
        <v/>
      </c>
    </row>
    <row r="6383" spans="2:7" x14ac:dyDescent="0.25">
      <c r="B6383" s="6"/>
      <c r="C6383" s="7"/>
      <c r="D6383" s="7"/>
      <c r="E6383" s="8"/>
      <c r="F6383" t="str">
        <f t="shared" si="225"/>
        <v/>
      </c>
      <c r="G6383" t="str">
        <f t="shared" si="226"/>
        <v/>
      </c>
    </row>
    <row r="6384" spans="2:7" x14ac:dyDescent="0.25">
      <c r="B6384" s="6"/>
      <c r="C6384" s="7"/>
      <c r="D6384" s="7"/>
      <c r="E6384" s="8"/>
      <c r="F6384" t="str">
        <f t="shared" si="225"/>
        <v/>
      </c>
      <c r="G6384" t="str">
        <f t="shared" si="226"/>
        <v/>
      </c>
    </row>
    <row r="6385" spans="2:7" x14ac:dyDescent="0.25">
      <c r="B6385" s="6"/>
      <c r="C6385" s="7"/>
      <c r="D6385" s="7"/>
      <c r="E6385" s="8"/>
      <c r="F6385" t="str">
        <f t="shared" si="225"/>
        <v/>
      </c>
      <c r="G6385" t="str">
        <f t="shared" si="226"/>
        <v/>
      </c>
    </row>
    <row r="6386" spans="2:7" x14ac:dyDescent="0.25">
      <c r="B6386" s="6"/>
      <c r="C6386" s="7"/>
      <c r="D6386" s="7"/>
      <c r="E6386" s="8"/>
      <c r="F6386" t="str">
        <f t="shared" si="225"/>
        <v/>
      </c>
      <c r="G6386" t="str">
        <f t="shared" si="226"/>
        <v/>
      </c>
    </row>
    <row r="6387" spans="2:7" x14ac:dyDescent="0.25">
      <c r="B6387" s="6"/>
      <c r="C6387" s="7"/>
      <c r="D6387" s="7"/>
      <c r="E6387" s="8"/>
      <c r="F6387" t="str">
        <f t="shared" si="225"/>
        <v/>
      </c>
      <c r="G6387" t="str">
        <f t="shared" si="226"/>
        <v/>
      </c>
    </row>
    <row r="6388" spans="2:7" x14ac:dyDescent="0.25">
      <c r="B6388" s="6"/>
      <c r="C6388" s="7"/>
      <c r="D6388" s="7"/>
      <c r="E6388" s="8"/>
      <c r="F6388" t="str">
        <f t="shared" si="225"/>
        <v/>
      </c>
      <c r="G6388" t="str">
        <f t="shared" si="226"/>
        <v/>
      </c>
    </row>
    <row r="6389" spans="2:7" x14ac:dyDescent="0.25">
      <c r="B6389" s="6"/>
      <c r="C6389" s="7"/>
      <c r="D6389" s="7"/>
      <c r="E6389" s="8"/>
      <c r="F6389" t="str">
        <f t="shared" si="225"/>
        <v/>
      </c>
      <c r="G6389" t="str">
        <f t="shared" si="226"/>
        <v/>
      </c>
    </row>
    <row r="6390" spans="2:7" x14ac:dyDescent="0.25">
      <c r="B6390" s="6"/>
      <c r="C6390" s="7"/>
      <c r="D6390" s="7"/>
      <c r="E6390" s="8"/>
      <c r="F6390" t="str">
        <f t="shared" si="225"/>
        <v/>
      </c>
      <c r="G6390" t="str">
        <f t="shared" si="226"/>
        <v/>
      </c>
    </row>
    <row r="6391" spans="2:7" x14ac:dyDescent="0.25">
      <c r="B6391" s="6"/>
      <c r="C6391" s="7"/>
      <c r="D6391" s="7"/>
      <c r="E6391" s="8"/>
      <c r="F6391" t="str">
        <f t="shared" si="225"/>
        <v/>
      </c>
      <c r="G6391" t="str">
        <f t="shared" si="226"/>
        <v/>
      </c>
    </row>
    <row r="6392" spans="2:7" x14ac:dyDescent="0.25">
      <c r="B6392" s="6"/>
      <c r="C6392" s="7"/>
      <c r="D6392" s="7"/>
      <c r="E6392" s="8"/>
      <c r="F6392" t="str">
        <f t="shared" si="225"/>
        <v/>
      </c>
      <c r="G6392" t="str">
        <f t="shared" si="226"/>
        <v/>
      </c>
    </row>
    <row r="6393" spans="2:7" x14ac:dyDescent="0.25">
      <c r="B6393" s="6"/>
      <c r="C6393" s="7"/>
      <c r="D6393" s="7"/>
      <c r="E6393" s="8"/>
      <c r="F6393" t="str">
        <f t="shared" si="225"/>
        <v/>
      </c>
      <c r="G6393" t="str">
        <f t="shared" si="226"/>
        <v/>
      </c>
    </row>
    <row r="6394" spans="2:7" x14ac:dyDescent="0.25">
      <c r="B6394" s="6"/>
      <c r="C6394" s="7"/>
      <c r="D6394" s="7"/>
      <c r="E6394" s="8"/>
      <c r="F6394" t="str">
        <f t="shared" si="225"/>
        <v/>
      </c>
      <c r="G6394" t="str">
        <f t="shared" si="226"/>
        <v/>
      </c>
    </row>
    <row r="6395" spans="2:7" x14ac:dyDescent="0.25">
      <c r="B6395" s="6"/>
      <c r="C6395" s="7"/>
      <c r="D6395" s="7"/>
      <c r="E6395" s="8"/>
      <c r="F6395" t="str">
        <f t="shared" si="225"/>
        <v/>
      </c>
      <c r="G6395" t="str">
        <f t="shared" si="226"/>
        <v/>
      </c>
    </row>
    <row r="6396" spans="2:7" x14ac:dyDescent="0.25">
      <c r="B6396" s="6"/>
      <c r="C6396" s="7"/>
      <c r="D6396" s="7"/>
      <c r="E6396" s="8"/>
      <c r="F6396" t="str">
        <f t="shared" si="225"/>
        <v/>
      </c>
      <c r="G6396" t="str">
        <f t="shared" si="226"/>
        <v/>
      </c>
    </row>
    <row r="6397" spans="2:7" x14ac:dyDescent="0.25">
      <c r="B6397" s="6"/>
      <c r="C6397" s="7"/>
      <c r="D6397" s="7"/>
      <c r="E6397" s="8"/>
      <c r="F6397" t="str">
        <f t="shared" si="225"/>
        <v/>
      </c>
      <c r="G6397" t="str">
        <f t="shared" si="226"/>
        <v/>
      </c>
    </row>
    <row r="6398" spans="2:7" x14ac:dyDescent="0.25">
      <c r="B6398" s="6"/>
      <c r="C6398" s="7"/>
      <c r="D6398" s="7"/>
      <c r="E6398" s="8"/>
      <c r="F6398" t="str">
        <f t="shared" si="225"/>
        <v/>
      </c>
      <c r="G6398" t="str">
        <f t="shared" si="226"/>
        <v/>
      </c>
    </row>
    <row r="6399" spans="2:7" x14ac:dyDescent="0.25">
      <c r="B6399" s="6"/>
      <c r="C6399" s="7"/>
      <c r="D6399" s="7"/>
      <c r="E6399" s="8"/>
      <c r="F6399" t="str">
        <f t="shared" si="225"/>
        <v/>
      </c>
      <c r="G6399" t="str">
        <f t="shared" si="226"/>
        <v/>
      </c>
    </row>
    <row r="6400" spans="2:7" x14ac:dyDescent="0.25">
      <c r="B6400" s="6"/>
      <c r="C6400" s="7"/>
      <c r="D6400" s="7"/>
      <c r="E6400" s="8"/>
      <c r="F6400" t="str">
        <f t="shared" si="225"/>
        <v/>
      </c>
      <c r="G6400" t="str">
        <f t="shared" si="226"/>
        <v/>
      </c>
    </row>
    <row r="6401" spans="2:7" x14ac:dyDescent="0.25">
      <c r="B6401" s="6"/>
      <c r="C6401" s="7"/>
      <c r="D6401" s="7"/>
      <c r="E6401" s="8"/>
      <c r="F6401" t="str">
        <f t="shared" si="225"/>
        <v/>
      </c>
      <c r="G6401" t="str">
        <f t="shared" si="226"/>
        <v/>
      </c>
    </row>
    <row r="6402" spans="2:7" x14ac:dyDescent="0.25">
      <c r="B6402" s="6"/>
      <c r="C6402" s="7"/>
      <c r="D6402" s="7"/>
      <c r="E6402" s="8"/>
      <c r="F6402" t="str">
        <f t="shared" si="225"/>
        <v/>
      </c>
      <c r="G6402" t="str">
        <f t="shared" si="226"/>
        <v/>
      </c>
    </row>
    <row r="6403" spans="2:7" x14ac:dyDescent="0.25">
      <c r="B6403" s="6"/>
      <c r="C6403" s="7"/>
      <c r="D6403" s="7"/>
      <c r="E6403" s="8"/>
      <c r="F6403" t="str">
        <f t="shared" si="225"/>
        <v/>
      </c>
      <c r="G6403" t="str">
        <f t="shared" si="226"/>
        <v/>
      </c>
    </row>
    <row r="6404" spans="2:7" x14ac:dyDescent="0.25">
      <c r="B6404" s="6"/>
      <c r="C6404" s="7"/>
      <c r="D6404" s="7"/>
      <c r="E6404" s="8"/>
      <c r="F6404" t="str">
        <f t="shared" ref="F6404:F6467" si="227">IF(B6404="","",LOG10(D6404))</f>
        <v/>
      </c>
      <c r="G6404" t="str">
        <f t="shared" ref="G6404:G6467" si="228">IF(E6404="", "",0.434*E6404/D6404)</f>
        <v/>
      </c>
    </row>
    <row r="6405" spans="2:7" x14ac:dyDescent="0.25">
      <c r="B6405" s="6"/>
      <c r="C6405" s="7"/>
      <c r="D6405" s="7"/>
      <c r="E6405" s="8"/>
      <c r="F6405" t="str">
        <f t="shared" si="227"/>
        <v/>
      </c>
      <c r="G6405" t="str">
        <f t="shared" si="228"/>
        <v/>
      </c>
    </row>
    <row r="6406" spans="2:7" x14ac:dyDescent="0.25">
      <c r="B6406" s="6"/>
      <c r="C6406" s="7"/>
      <c r="D6406" s="7"/>
      <c r="E6406" s="8"/>
      <c r="F6406" t="str">
        <f t="shared" si="227"/>
        <v/>
      </c>
      <c r="G6406" t="str">
        <f t="shared" si="228"/>
        <v/>
      </c>
    </row>
    <row r="6407" spans="2:7" x14ac:dyDescent="0.25">
      <c r="B6407" s="6"/>
      <c r="C6407" s="7"/>
      <c r="D6407" s="7"/>
      <c r="E6407" s="8"/>
      <c r="F6407" t="str">
        <f t="shared" si="227"/>
        <v/>
      </c>
      <c r="G6407" t="str">
        <f t="shared" si="228"/>
        <v/>
      </c>
    </row>
    <row r="6408" spans="2:7" x14ac:dyDescent="0.25">
      <c r="B6408" s="6"/>
      <c r="C6408" s="7"/>
      <c r="D6408" s="7"/>
      <c r="E6408" s="8"/>
      <c r="F6408" t="str">
        <f t="shared" si="227"/>
        <v/>
      </c>
      <c r="G6408" t="str">
        <f t="shared" si="228"/>
        <v/>
      </c>
    </row>
    <row r="6409" spans="2:7" x14ac:dyDescent="0.25">
      <c r="B6409" s="6"/>
      <c r="C6409" s="7"/>
      <c r="D6409" s="7"/>
      <c r="E6409" s="8"/>
      <c r="F6409" t="str">
        <f t="shared" si="227"/>
        <v/>
      </c>
      <c r="G6409" t="str">
        <f t="shared" si="228"/>
        <v/>
      </c>
    </row>
    <row r="6410" spans="2:7" x14ac:dyDescent="0.25">
      <c r="B6410" s="6"/>
      <c r="C6410" s="7"/>
      <c r="D6410" s="7"/>
      <c r="E6410" s="8"/>
      <c r="F6410" t="str">
        <f t="shared" si="227"/>
        <v/>
      </c>
      <c r="G6410" t="str">
        <f t="shared" si="228"/>
        <v/>
      </c>
    </row>
    <row r="6411" spans="2:7" x14ac:dyDescent="0.25">
      <c r="B6411" s="6"/>
      <c r="C6411" s="7"/>
      <c r="D6411" s="7"/>
      <c r="E6411" s="8"/>
      <c r="F6411" t="str">
        <f t="shared" si="227"/>
        <v/>
      </c>
      <c r="G6411" t="str">
        <f t="shared" si="228"/>
        <v/>
      </c>
    </row>
    <row r="6412" spans="2:7" x14ac:dyDescent="0.25">
      <c r="B6412" s="6"/>
      <c r="C6412" s="7"/>
      <c r="D6412" s="7"/>
      <c r="E6412" s="8"/>
      <c r="F6412" t="str">
        <f t="shared" si="227"/>
        <v/>
      </c>
      <c r="G6412" t="str">
        <f t="shared" si="228"/>
        <v/>
      </c>
    </row>
    <row r="6413" spans="2:7" x14ac:dyDescent="0.25">
      <c r="B6413" s="6"/>
      <c r="C6413" s="7"/>
      <c r="D6413" s="7"/>
      <c r="E6413" s="8"/>
      <c r="F6413" t="str">
        <f t="shared" si="227"/>
        <v/>
      </c>
      <c r="G6413" t="str">
        <f t="shared" si="228"/>
        <v/>
      </c>
    </row>
    <row r="6414" spans="2:7" x14ac:dyDescent="0.25">
      <c r="B6414" s="6"/>
      <c r="C6414" s="7"/>
      <c r="D6414" s="7"/>
      <c r="E6414" s="8"/>
      <c r="F6414" t="str">
        <f t="shared" si="227"/>
        <v/>
      </c>
      <c r="G6414" t="str">
        <f t="shared" si="228"/>
        <v/>
      </c>
    </row>
    <row r="6415" spans="2:7" x14ac:dyDescent="0.25">
      <c r="B6415" s="6"/>
      <c r="C6415" s="7"/>
      <c r="D6415" s="7"/>
      <c r="E6415" s="8"/>
      <c r="F6415" t="str">
        <f t="shared" si="227"/>
        <v/>
      </c>
      <c r="G6415" t="str">
        <f t="shared" si="228"/>
        <v/>
      </c>
    </row>
    <row r="6416" spans="2:7" x14ac:dyDescent="0.25">
      <c r="B6416" s="6"/>
      <c r="C6416" s="7"/>
      <c r="D6416" s="7"/>
      <c r="E6416" s="8"/>
      <c r="F6416" t="str">
        <f t="shared" si="227"/>
        <v/>
      </c>
      <c r="G6416" t="str">
        <f t="shared" si="228"/>
        <v/>
      </c>
    </row>
    <row r="6417" spans="2:7" x14ac:dyDescent="0.25">
      <c r="B6417" s="6"/>
      <c r="C6417" s="7"/>
      <c r="D6417" s="7"/>
      <c r="E6417" s="8"/>
      <c r="F6417" t="str">
        <f t="shared" si="227"/>
        <v/>
      </c>
      <c r="G6417" t="str">
        <f t="shared" si="228"/>
        <v/>
      </c>
    </row>
    <row r="6418" spans="2:7" x14ac:dyDescent="0.25">
      <c r="B6418" s="6"/>
      <c r="C6418" s="7"/>
      <c r="D6418" s="7"/>
      <c r="E6418" s="8"/>
      <c r="F6418" t="str">
        <f t="shared" si="227"/>
        <v/>
      </c>
      <c r="G6418" t="str">
        <f t="shared" si="228"/>
        <v/>
      </c>
    </row>
    <row r="6419" spans="2:7" x14ac:dyDescent="0.25">
      <c r="B6419" s="6"/>
      <c r="C6419" s="7"/>
      <c r="D6419" s="7"/>
      <c r="E6419" s="8"/>
      <c r="F6419" t="str">
        <f t="shared" si="227"/>
        <v/>
      </c>
      <c r="G6419" t="str">
        <f t="shared" si="228"/>
        <v/>
      </c>
    </row>
    <row r="6420" spans="2:7" x14ac:dyDescent="0.25">
      <c r="B6420" s="6"/>
      <c r="C6420" s="7"/>
      <c r="D6420" s="7"/>
      <c r="E6420" s="8"/>
      <c r="F6420" t="str">
        <f t="shared" si="227"/>
        <v/>
      </c>
      <c r="G6420" t="str">
        <f t="shared" si="228"/>
        <v/>
      </c>
    </row>
    <row r="6421" spans="2:7" x14ac:dyDescent="0.25">
      <c r="B6421" s="6"/>
      <c r="C6421" s="7"/>
      <c r="D6421" s="7"/>
      <c r="E6421" s="8"/>
      <c r="F6421" t="str">
        <f t="shared" si="227"/>
        <v/>
      </c>
      <c r="G6421" t="str">
        <f t="shared" si="228"/>
        <v/>
      </c>
    </row>
    <row r="6422" spans="2:7" x14ac:dyDescent="0.25">
      <c r="B6422" s="6"/>
      <c r="C6422" s="7"/>
      <c r="D6422" s="7"/>
      <c r="E6422" s="8"/>
      <c r="F6422" t="str">
        <f t="shared" si="227"/>
        <v/>
      </c>
      <c r="G6422" t="str">
        <f t="shared" si="228"/>
        <v/>
      </c>
    </row>
    <row r="6423" spans="2:7" x14ac:dyDescent="0.25">
      <c r="B6423" s="6"/>
      <c r="C6423" s="7"/>
      <c r="D6423" s="7"/>
      <c r="E6423" s="8"/>
      <c r="F6423" t="str">
        <f t="shared" si="227"/>
        <v/>
      </c>
      <c r="G6423" t="str">
        <f t="shared" si="228"/>
        <v/>
      </c>
    </row>
    <row r="6424" spans="2:7" x14ac:dyDescent="0.25">
      <c r="B6424" s="6"/>
      <c r="C6424" s="7"/>
      <c r="D6424" s="7"/>
      <c r="E6424" s="8"/>
      <c r="F6424" t="str">
        <f t="shared" si="227"/>
        <v/>
      </c>
      <c r="G6424" t="str">
        <f t="shared" si="228"/>
        <v/>
      </c>
    </row>
    <row r="6425" spans="2:7" x14ac:dyDescent="0.25">
      <c r="B6425" s="6"/>
      <c r="C6425" s="7"/>
      <c r="D6425" s="7"/>
      <c r="E6425" s="8"/>
      <c r="F6425" t="str">
        <f t="shared" si="227"/>
        <v/>
      </c>
      <c r="G6425" t="str">
        <f t="shared" si="228"/>
        <v/>
      </c>
    </row>
    <row r="6426" spans="2:7" x14ac:dyDescent="0.25">
      <c r="B6426" s="6"/>
      <c r="C6426" s="7"/>
      <c r="D6426" s="7"/>
      <c r="E6426" s="8"/>
      <c r="F6426" t="str">
        <f t="shared" si="227"/>
        <v/>
      </c>
      <c r="G6426" t="str">
        <f t="shared" si="228"/>
        <v/>
      </c>
    </row>
    <row r="6427" spans="2:7" x14ac:dyDescent="0.25">
      <c r="B6427" s="6"/>
      <c r="C6427" s="7"/>
      <c r="D6427" s="7"/>
      <c r="E6427" s="8"/>
      <c r="F6427" t="str">
        <f t="shared" si="227"/>
        <v/>
      </c>
      <c r="G6427" t="str">
        <f t="shared" si="228"/>
        <v/>
      </c>
    </row>
    <row r="6428" spans="2:7" x14ac:dyDescent="0.25">
      <c r="B6428" s="6"/>
      <c r="C6428" s="7"/>
      <c r="D6428" s="7"/>
      <c r="E6428" s="8"/>
      <c r="F6428" t="str">
        <f t="shared" si="227"/>
        <v/>
      </c>
      <c r="G6428" t="str">
        <f t="shared" si="228"/>
        <v/>
      </c>
    </row>
    <row r="6429" spans="2:7" x14ac:dyDescent="0.25">
      <c r="B6429" s="6"/>
      <c r="C6429" s="7"/>
      <c r="D6429" s="7"/>
      <c r="E6429" s="8"/>
      <c r="F6429" t="str">
        <f t="shared" si="227"/>
        <v/>
      </c>
      <c r="G6429" t="str">
        <f t="shared" si="228"/>
        <v/>
      </c>
    </row>
    <row r="6430" spans="2:7" x14ac:dyDescent="0.25">
      <c r="B6430" s="6"/>
      <c r="C6430" s="7"/>
      <c r="D6430" s="7"/>
      <c r="E6430" s="8"/>
      <c r="F6430" t="str">
        <f t="shared" si="227"/>
        <v/>
      </c>
      <c r="G6430" t="str">
        <f t="shared" si="228"/>
        <v/>
      </c>
    </row>
    <row r="6431" spans="2:7" x14ac:dyDescent="0.25">
      <c r="B6431" s="6"/>
      <c r="C6431" s="7"/>
      <c r="D6431" s="7"/>
      <c r="E6431" s="8"/>
      <c r="F6431" t="str">
        <f t="shared" si="227"/>
        <v/>
      </c>
      <c r="G6431" t="str">
        <f t="shared" si="228"/>
        <v/>
      </c>
    </row>
    <row r="6432" spans="2:7" x14ac:dyDescent="0.25">
      <c r="B6432" s="6"/>
      <c r="C6432" s="7"/>
      <c r="D6432" s="7"/>
      <c r="E6432" s="8"/>
      <c r="F6432" t="str">
        <f t="shared" si="227"/>
        <v/>
      </c>
      <c r="G6432" t="str">
        <f t="shared" si="228"/>
        <v/>
      </c>
    </row>
    <row r="6433" spans="2:7" x14ac:dyDescent="0.25">
      <c r="B6433" s="6"/>
      <c r="C6433" s="7"/>
      <c r="D6433" s="7"/>
      <c r="E6433" s="8"/>
      <c r="F6433" t="str">
        <f t="shared" si="227"/>
        <v/>
      </c>
      <c r="G6433" t="str">
        <f t="shared" si="228"/>
        <v/>
      </c>
    </row>
    <row r="6434" spans="2:7" x14ac:dyDescent="0.25">
      <c r="B6434" s="6"/>
      <c r="C6434" s="7"/>
      <c r="D6434" s="7"/>
      <c r="E6434" s="8"/>
      <c r="F6434" t="str">
        <f t="shared" si="227"/>
        <v/>
      </c>
      <c r="G6434" t="str">
        <f t="shared" si="228"/>
        <v/>
      </c>
    </row>
    <row r="6435" spans="2:7" x14ac:dyDescent="0.25">
      <c r="B6435" s="6"/>
      <c r="C6435" s="7"/>
      <c r="D6435" s="7"/>
      <c r="E6435" s="8"/>
      <c r="F6435" t="str">
        <f t="shared" si="227"/>
        <v/>
      </c>
      <c r="G6435" t="str">
        <f t="shared" si="228"/>
        <v/>
      </c>
    </row>
    <row r="6436" spans="2:7" x14ac:dyDescent="0.25">
      <c r="B6436" s="6"/>
      <c r="C6436" s="7"/>
      <c r="D6436" s="7"/>
      <c r="E6436" s="8"/>
      <c r="F6436" t="str">
        <f t="shared" si="227"/>
        <v/>
      </c>
      <c r="G6436" t="str">
        <f t="shared" si="228"/>
        <v/>
      </c>
    </row>
    <row r="6437" spans="2:7" x14ac:dyDescent="0.25">
      <c r="B6437" s="6"/>
      <c r="C6437" s="7"/>
      <c r="D6437" s="7"/>
      <c r="E6437" s="8"/>
      <c r="F6437" t="str">
        <f t="shared" si="227"/>
        <v/>
      </c>
      <c r="G6437" t="str">
        <f t="shared" si="228"/>
        <v/>
      </c>
    </row>
    <row r="6438" spans="2:7" x14ac:dyDescent="0.25">
      <c r="B6438" s="6"/>
      <c r="C6438" s="7"/>
      <c r="D6438" s="7"/>
      <c r="E6438" s="8"/>
      <c r="F6438" t="str">
        <f t="shared" si="227"/>
        <v/>
      </c>
      <c r="G6438" t="str">
        <f t="shared" si="228"/>
        <v/>
      </c>
    </row>
    <row r="6439" spans="2:7" x14ac:dyDescent="0.25">
      <c r="B6439" s="6"/>
      <c r="C6439" s="7"/>
      <c r="D6439" s="7"/>
      <c r="E6439" s="8"/>
      <c r="F6439" t="str">
        <f t="shared" si="227"/>
        <v/>
      </c>
      <c r="G6439" t="str">
        <f t="shared" si="228"/>
        <v/>
      </c>
    </row>
    <row r="6440" spans="2:7" x14ac:dyDescent="0.25">
      <c r="B6440" s="6"/>
      <c r="C6440" s="7"/>
      <c r="D6440" s="7"/>
      <c r="E6440" s="8"/>
      <c r="F6440" t="str">
        <f t="shared" si="227"/>
        <v/>
      </c>
      <c r="G6440" t="str">
        <f t="shared" si="228"/>
        <v/>
      </c>
    </row>
    <row r="6441" spans="2:7" x14ac:dyDescent="0.25">
      <c r="B6441" s="6"/>
      <c r="C6441" s="7"/>
      <c r="D6441" s="7"/>
      <c r="E6441" s="8"/>
      <c r="F6441" t="str">
        <f t="shared" si="227"/>
        <v/>
      </c>
      <c r="G6441" t="str">
        <f t="shared" si="228"/>
        <v/>
      </c>
    </row>
    <row r="6442" spans="2:7" x14ac:dyDescent="0.25">
      <c r="B6442" s="6"/>
      <c r="C6442" s="7"/>
      <c r="D6442" s="7"/>
      <c r="E6442" s="8"/>
      <c r="F6442" t="str">
        <f t="shared" si="227"/>
        <v/>
      </c>
      <c r="G6442" t="str">
        <f t="shared" si="228"/>
        <v/>
      </c>
    </row>
    <row r="6443" spans="2:7" x14ac:dyDescent="0.25">
      <c r="B6443" s="6"/>
      <c r="C6443" s="7"/>
      <c r="D6443" s="7"/>
      <c r="E6443" s="8"/>
      <c r="F6443" t="str">
        <f t="shared" si="227"/>
        <v/>
      </c>
      <c r="G6443" t="str">
        <f t="shared" si="228"/>
        <v/>
      </c>
    </row>
    <row r="6444" spans="2:7" x14ac:dyDescent="0.25">
      <c r="B6444" s="6"/>
      <c r="C6444" s="7"/>
      <c r="D6444" s="7"/>
      <c r="E6444" s="8"/>
      <c r="F6444" t="str">
        <f t="shared" si="227"/>
        <v/>
      </c>
      <c r="G6444" t="str">
        <f t="shared" si="228"/>
        <v/>
      </c>
    </row>
    <row r="6445" spans="2:7" x14ac:dyDescent="0.25">
      <c r="B6445" s="6"/>
      <c r="C6445" s="7"/>
      <c r="D6445" s="7"/>
      <c r="E6445" s="8"/>
      <c r="F6445" t="str">
        <f t="shared" si="227"/>
        <v/>
      </c>
      <c r="G6445" t="str">
        <f t="shared" si="228"/>
        <v/>
      </c>
    </row>
    <row r="6446" spans="2:7" x14ac:dyDescent="0.25">
      <c r="B6446" s="6"/>
      <c r="C6446" s="7"/>
      <c r="D6446" s="7"/>
      <c r="E6446" s="8"/>
      <c r="F6446" t="str">
        <f t="shared" si="227"/>
        <v/>
      </c>
      <c r="G6446" t="str">
        <f t="shared" si="228"/>
        <v/>
      </c>
    </row>
    <row r="6447" spans="2:7" x14ac:dyDescent="0.25">
      <c r="B6447" s="6"/>
      <c r="C6447" s="7"/>
      <c r="D6447" s="7"/>
      <c r="E6447" s="8"/>
      <c r="F6447" t="str">
        <f t="shared" si="227"/>
        <v/>
      </c>
      <c r="G6447" t="str">
        <f t="shared" si="228"/>
        <v/>
      </c>
    </row>
    <row r="6448" spans="2:7" x14ac:dyDescent="0.25">
      <c r="B6448" s="6"/>
      <c r="C6448" s="7"/>
      <c r="D6448" s="7"/>
      <c r="E6448" s="8"/>
      <c r="F6448" t="str">
        <f t="shared" si="227"/>
        <v/>
      </c>
      <c r="G6448" t="str">
        <f t="shared" si="228"/>
        <v/>
      </c>
    </row>
    <row r="6449" spans="2:7" x14ac:dyDescent="0.25">
      <c r="B6449" s="6"/>
      <c r="C6449" s="7"/>
      <c r="D6449" s="7"/>
      <c r="E6449" s="8"/>
      <c r="F6449" t="str">
        <f t="shared" si="227"/>
        <v/>
      </c>
      <c r="G6449" t="str">
        <f t="shared" si="228"/>
        <v/>
      </c>
    </row>
    <row r="6450" spans="2:7" x14ac:dyDescent="0.25">
      <c r="B6450" s="6"/>
      <c r="C6450" s="7"/>
      <c r="D6450" s="7"/>
      <c r="E6450" s="8"/>
      <c r="F6450" t="str">
        <f t="shared" si="227"/>
        <v/>
      </c>
      <c r="G6450" t="str">
        <f t="shared" si="228"/>
        <v/>
      </c>
    </row>
    <row r="6451" spans="2:7" x14ac:dyDescent="0.25">
      <c r="B6451" s="6"/>
      <c r="C6451" s="7"/>
      <c r="D6451" s="7"/>
      <c r="E6451" s="8"/>
      <c r="F6451" t="str">
        <f t="shared" si="227"/>
        <v/>
      </c>
      <c r="G6451" t="str">
        <f t="shared" si="228"/>
        <v/>
      </c>
    </row>
    <row r="6452" spans="2:7" x14ac:dyDescent="0.25">
      <c r="B6452" s="6"/>
      <c r="C6452" s="7"/>
      <c r="D6452" s="7"/>
      <c r="E6452" s="8"/>
      <c r="F6452" t="str">
        <f t="shared" si="227"/>
        <v/>
      </c>
      <c r="G6452" t="str">
        <f t="shared" si="228"/>
        <v/>
      </c>
    </row>
    <row r="6453" spans="2:7" x14ac:dyDescent="0.25">
      <c r="B6453" s="6"/>
      <c r="C6453" s="7"/>
      <c r="D6453" s="7"/>
      <c r="E6453" s="8"/>
      <c r="F6453" t="str">
        <f t="shared" si="227"/>
        <v/>
      </c>
      <c r="G6453" t="str">
        <f t="shared" si="228"/>
        <v/>
      </c>
    </row>
    <row r="6454" spans="2:7" x14ac:dyDescent="0.25">
      <c r="B6454" s="6"/>
      <c r="C6454" s="7"/>
      <c r="D6454" s="7"/>
      <c r="E6454" s="8"/>
      <c r="F6454" t="str">
        <f t="shared" si="227"/>
        <v/>
      </c>
      <c r="G6454" t="str">
        <f t="shared" si="228"/>
        <v/>
      </c>
    </row>
    <row r="6455" spans="2:7" x14ac:dyDescent="0.25">
      <c r="B6455" s="6"/>
      <c r="C6455" s="7"/>
      <c r="D6455" s="7"/>
      <c r="E6455" s="8"/>
      <c r="F6455" t="str">
        <f t="shared" si="227"/>
        <v/>
      </c>
      <c r="G6455" t="str">
        <f t="shared" si="228"/>
        <v/>
      </c>
    </row>
    <row r="6456" spans="2:7" x14ac:dyDescent="0.25">
      <c r="B6456" s="6"/>
      <c r="C6456" s="7"/>
      <c r="D6456" s="7"/>
      <c r="E6456" s="8"/>
      <c r="F6456" t="str">
        <f t="shared" si="227"/>
        <v/>
      </c>
      <c r="G6456" t="str">
        <f t="shared" si="228"/>
        <v/>
      </c>
    </row>
    <row r="6457" spans="2:7" x14ac:dyDescent="0.25">
      <c r="B6457" s="6"/>
      <c r="C6457" s="7"/>
      <c r="D6457" s="7"/>
      <c r="E6457" s="8"/>
      <c r="F6457" t="str">
        <f t="shared" si="227"/>
        <v/>
      </c>
      <c r="G6457" t="str">
        <f t="shared" si="228"/>
        <v/>
      </c>
    </row>
    <row r="6458" spans="2:7" x14ac:dyDescent="0.25">
      <c r="B6458" s="6"/>
      <c r="C6458" s="7"/>
      <c r="D6458" s="7"/>
      <c r="E6458" s="8"/>
      <c r="F6458" t="str">
        <f t="shared" si="227"/>
        <v/>
      </c>
      <c r="G6458" t="str">
        <f t="shared" si="228"/>
        <v/>
      </c>
    </row>
    <row r="6459" spans="2:7" x14ac:dyDescent="0.25">
      <c r="B6459" s="6"/>
      <c r="C6459" s="7"/>
      <c r="D6459" s="7"/>
      <c r="E6459" s="8"/>
      <c r="F6459" t="str">
        <f t="shared" si="227"/>
        <v/>
      </c>
      <c r="G6459" t="str">
        <f t="shared" si="228"/>
        <v/>
      </c>
    </row>
    <row r="6460" spans="2:7" x14ac:dyDescent="0.25">
      <c r="B6460" s="6"/>
      <c r="C6460" s="7"/>
      <c r="D6460" s="7"/>
      <c r="E6460" s="8"/>
      <c r="F6460" t="str">
        <f t="shared" si="227"/>
        <v/>
      </c>
      <c r="G6460" t="str">
        <f t="shared" si="228"/>
        <v/>
      </c>
    </row>
    <row r="6461" spans="2:7" x14ac:dyDescent="0.25">
      <c r="B6461" s="6"/>
      <c r="C6461" s="7"/>
      <c r="D6461" s="7"/>
      <c r="E6461" s="8"/>
      <c r="F6461" t="str">
        <f t="shared" si="227"/>
        <v/>
      </c>
      <c r="G6461" t="str">
        <f t="shared" si="228"/>
        <v/>
      </c>
    </row>
    <row r="6462" spans="2:7" x14ac:dyDescent="0.25">
      <c r="B6462" s="6"/>
      <c r="C6462" s="7"/>
      <c r="D6462" s="7"/>
      <c r="E6462" s="8"/>
      <c r="F6462" t="str">
        <f t="shared" si="227"/>
        <v/>
      </c>
      <c r="G6462" t="str">
        <f t="shared" si="228"/>
        <v/>
      </c>
    </row>
    <row r="6463" spans="2:7" x14ac:dyDescent="0.25">
      <c r="B6463" s="6"/>
      <c r="C6463" s="7"/>
      <c r="D6463" s="7"/>
      <c r="E6463" s="8"/>
      <c r="F6463" t="str">
        <f t="shared" si="227"/>
        <v/>
      </c>
      <c r="G6463" t="str">
        <f t="shared" si="228"/>
        <v/>
      </c>
    </row>
    <row r="6464" spans="2:7" x14ac:dyDescent="0.25">
      <c r="B6464" s="6"/>
      <c r="C6464" s="7"/>
      <c r="D6464" s="7"/>
      <c r="E6464" s="8"/>
      <c r="F6464" t="str">
        <f t="shared" si="227"/>
        <v/>
      </c>
      <c r="G6464" t="str">
        <f t="shared" si="228"/>
        <v/>
      </c>
    </row>
    <row r="6465" spans="2:7" x14ac:dyDescent="0.25">
      <c r="B6465" s="6"/>
      <c r="C6465" s="7"/>
      <c r="D6465" s="7"/>
      <c r="E6465" s="8"/>
      <c r="F6465" t="str">
        <f t="shared" si="227"/>
        <v/>
      </c>
      <c r="G6465" t="str">
        <f t="shared" si="228"/>
        <v/>
      </c>
    </row>
    <row r="6466" spans="2:7" x14ac:dyDescent="0.25">
      <c r="B6466" s="6"/>
      <c r="C6466" s="7"/>
      <c r="D6466" s="7"/>
      <c r="E6466" s="8"/>
      <c r="F6466" t="str">
        <f t="shared" si="227"/>
        <v/>
      </c>
      <c r="G6466" t="str">
        <f t="shared" si="228"/>
        <v/>
      </c>
    </row>
    <row r="6467" spans="2:7" x14ac:dyDescent="0.25">
      <c r="B6467" s="6"/>
      <c r="C6467" s="7"/>
      <c r="D6467" s="7"/>
      <c r="E6467" s="8"/>
      <c r="F6467" t="str">
        <f t="shared" si="227"/>
        <v/>
      </c>
      <c r="G6467" t="str">
        <f t="shared" si="228"/>
        <v/>
      </c>
    </row>
    <row r="6468" spans="2:7" x14ac:dyDescent="0.25">
      <c r="B6468" s="6"/>
      <c r="C6468" s="7"/>
      <c r="D6468" s="7"/>
      <c r="E6468" s="8"/>
      <c r="F6468" t="str">
        <f t="shared" ref="F6468:F6531" si="229">IF(B6468="","",LOG10(D6468))</f>
        <v/>
      </c>
      <c r="G6468" t="str">
        <f t="shared" ref="G6468:G6531" si="230">IF(E6468="", "",0.434*E6468/D6468)</f>
        <v/>
      </c>
    </row>
    <row r="6469" spans="2:7" x14ac:dyDescent="0.25">
      <c r="B6469" s="6"/>
      <c r="C6469" s="7"/>
      <c r="D6469" s="7"/>
      <c r="E6469" s="8"/>
      <c r="F6469" t="str">
        <f t="shared" si="229"/>
        <v/>
      </c>
      <c r="G6469" t="str">
        <f t="shared" si="230"/>
        <v/>
      </c>
    </row>
    <row r="6470" spans="2:7" x14ac:dyDescent="0.25">
      <c r="B6470" s="6"/>
      <c r="C6470" s="7"/>
      <c r="D6470" s="7"/>
      <c r="E6470" s="8"/>
      <c r="F6470" t="str">
        <f t="shared" si="229"/>
        <v/>
      </c>
      <c r="G6470" t="str">
        <f t="shared" si="230"/>
        <v/>
      </c>
    </row>
    <row r="6471" spans="2:7" x14ac:dyDescent="0.25">
      <c r="B6471" s="6"/>
      <c r="C6471" s="7"/>
      <c r="D6471" s="7"/>
      <c r="E6471" s="8"/>
      <c r="F6471" t="str">
        <f t="shared" si="229"/>
        <v/>
      </c>
      <c r="G6471" t="str">
        <f t="shared" si="230"/>
        <v/>
      </c>
    </row>
    <row r="6472" spans="2:7" x14ac:dyDescent="0.25">
      <c r="B6472" s="6"/>
      <c r="C6472" s="7"/>
      <c r="D6472" s="7"/>
      <c r="E6472" s="8"/>
      <c r="F6472" t="str">
        <f t="shared" si="229"/>
        <v/>
      </c>
      <c r="G6472" t="str">
        <f t="shared" si="230"/>
        <v/>
      </c>
    </row>
    <row r="6473" spans="2:7" x14ac:dyDescent="0.25">
      <c r="B6473" s="6"/>
      <c r="C6473" s="7"/>
      <c r="D6473" s="7"/>
      <c r="E6473" s="8"/>
      <c r="F6473" t="str">
        <f t="shared" si="229"/>
        <v/>
      </c>
      <c r="G6473" t="str">
        <f t="shared" si="230"/>
        <v/>
      </c>
    </row>
    <row r="6474" spans="2:7" x14ac:dyDescent="0.25">
      <c r="B6474" s="6"/>
      <c r="C6474" s="7"/>
      <c r="D6474" s="7"/>
      <c r="E6474" s="8"/>
      <c r="F6474" t="str">
        <f t="shared" si="229"/>
        <v/>
      </c>
      <c r="G6474" t="str">
        <f t="shared" si="230"/>
        <v/>
      </c>
    </row>
    <row r="6475" spans="2:7" x14ac:dyDescent="0.25">
      <c r="B6475" s="6"/>
      <c r="C6475" s="7"/>
      <c r="D6475" s="7"/>
      <c r="E6475" s="8"/>
      <c r="F6475" t="str">
        <f t="shared" si="229"/>
        <v/>
      </c>
      <c r="G6475" t="str">
        <f t="shared" si="230"/>
        <v/>
      </c>
    </row>
    <row r="6476" spans="2:7" x14ac:dyDescent="0.25">
      <c r="B6476" s="6"/>
      <c r="C6476" s="7"/>
      <c r="D6476" s="7"/>
      <c r="E6476" s="8"/>
      <c r="F6476" t="str">
        <f t="shared" si="229"/>
        <v/>
      </c>
      <c r="G6476" t="str">
        <f t="shared" si="230"/>
        <v/>
      </c>
    </row>
    <row r="6477" spans="2:7" x14ac:dyDescent="0.25">
      <c r="B6477" s="6"/>
      <c r="C6477" s="7"/>
      <c r="D6477" s="7"/>
      <c r="E6477" s="8"/>
      <c r="F6477" t="str">
        <f t="shared" si="229"/>
        <v/>
      </c>
      <c r="G6477" t="str">
        <f t="shared" si="230"/>
        <v/>
      </c>
    </row>
    <row r="6478" spans="2:7" x14ac:dyDescent="0.25">
      <c r="B6478" s="6"/>
      <c r="C6478" s="7"/>
      <c r="D6478" s="7"/>
      <c r="E6478" s="8"/>
      <c r="F6478" t="str">
        <f t="shared" si="229"/>
        <v/>
      </c>
      <c r="G6478" t="str">
        <f t="shared" si="230"/>
        <v/>
      </c>
    </row>
    <row r="6479" spans="2:7" x14ac:dyDescent="0.25">
      <c r="B6479" s="6"/>
      <c r="C6479" s="7"/>
      <c r="D6479" s="7"/>
      <c r="E6479" s="8"/>
      <c r="F6479" t="str">
        <f t="shared" si="229"/>
        <v/>
      </c>
      <c r="G6479" t="str">
        <f t="shared" si="230"/>
        <v/>
      </c>
    </row>
    <row r="6480" spans="2:7" x14ac:dyDescent="0.25">
      <c r="B6480" s="6"/>
      <c r="C6480" s="7"/>
      <c r="D6480" s="7"/>
      <c r="E6480" s="8"/>
      <c r="F6480" t="str">
        <f t="shared" si="229"/>
        <v/>
      </c>
      <c r="G6480" t="str">
        <f t="shared" si="230"/>
        <v/>
      </c>
    </row>
    <row r="6481" spans="2:7" x14ac:dyDescent="0.25">
      <c r="B6481" s="6"/>
      <c r="C6481" s="7"/>
      <c r="D6481" s="7"/>
      <c r="E6481" s="8"/>
      <c r="F6481" t="str">
        <f t="shared" si="229"/>
        <v/>
      </c>
      <c r="G6481" t="str">
        <f t="shared" si="230"/>
        <v/>
      </c>
    </row>
    <row r="6482" spans="2:7" x14ac:dyDescent="0.25">
      <c r="B6482" s="6"/>
      <c r="C6482" s="7"/>
      <c r="D6482" s="7"/>
      <c r="E6482" s="8"/>
      <c r="F6482" t="str">
        <f t="shared" si="229"/>
        <v/>
      </c>
      <c r="G6482" t="str">
        <f t="shared" si="230"/>
        <v/>
      </c>
    </row>
    <row r="6483" spans="2:7" x14ac:dyDescent="0.25">
      <c r="B6483" s="6"/>
      <c r="C6483" s="7"/>
      <c r="D6483" s="7"/>
      <c r="E6483" s="8"/>
      <c r="F6483" t="str">
        <f t="shared" si="229"/>
        <v/>
      </c>
      <c r="G6483" t="str">
        <f t="shared" si="230"/>
        <v/>
      </c>
    </row>
    <row r="6484" spans="2:7" x14ac:dyDescent="0.25">
      <c r="B6484" s="6"/>
      <c r="C6484" s="7"/>
      <c r="D6484" s="7"/>
      <c r="E6484" s="8"/>
      <c r="F6484" t="str">
        <f t="shared" si="229"/>
        <v/>
      </c>
      <c r="G6484" t="str">
        <f t="shared" si="230"/>
        <v/>
      </c>
    </row>
    <row r="6485" spans="2:7" x14ac:dyDescent="0.25">
      <c r="B6485" s="6"/>
      <c r="C6485" s="7"/>
      <c r="D6485" s="7"/>
      <c r="E6485" s="8"/>
      <c r="F6485" t="str">
        <f t="shared" si="229"/>
        <v/>
      </c>
      <c r="G6485" t="str">
        <f t="shared" si="230"/>
        <v/>
      </c>
    </row>
    <row r="6486" spans="2:7" x14ac:dyDescent="0.25">
      <c r="B6486" s="6"/>
      <c r="C6486" s="7"/>
      <c r="D6486" s="7"/>
      <c r="E6486" s="8"/>
      <c r="F6486" t="str">
        <f t="shared" si="229"/>
        <v/>
      </c>
      <c r="G6486" t="str">
        <f t="shared" si="230"/>
        <v/>
      </c>
    </row>
    <row r="6487" spans="2:7" x14ac:dyDescent="0.25">
      <c r="B6487" s="6"/>
      <c r="C6487" s="7"/>
      <c r="D6487" s="7"/>
      <c r="E6487" s="8"/>
      <c r="F6487" t="str">
        <f t="shared" si="229"/>
        <v/>
      </c>
      <c r="G6487" t="str">
        <f t="shared" si="230"/>
        <v/>
      </c>
    </row>
    <row r="6488" spans="2:7" x14ac:dyDescent="0.25">
      <c r="B6488" s="6"/>
      <c r="C6488" s="7"/>
      <c r="D6488" s="7"/>
      <c r="E6488" s="8"/>
      <c r="F6488" t="str">
        <f t="shared" si="229"/>
        <v/>
      </c>
      <c r="G6488" t="str">
        <f t="shared" si="230"/>
        <v/>
      </c>
    </row>
    <row r="6489" spans="2:7" x14ac:dyDescent="0.25">
      <c r="B6489" s="6"/>
      <c r="C6489" s="7"/>
      <c r="D6489" s="7"/>
      <c r="E6489" s="8"/>
      <c r="F6489" t="str">
        <f t="shared" si="229"/>
        <v/>
      </c>
      <c r="G6489" t="str">
        <f t="shared" si="230"/>
        <v/>
      </c>
    </row>
    <row r="6490" spans="2:7" x14ac:dyDescent="0.25">
      <c r="B6490" s="6"/>
      <c r="C6490" s="7"/>
      <c r="D6490" s="7"/>
      <c r="E6490" s="8"/>
      <c r="F6490" t="str">
        <f t="shared" si="229"/>
        <v/>
      </c>
      <c r="G6490" t="str">
        <f t="shared" si="230"/>
        <v/>
      </c>
    </row>
    <row r="6491" spans="2:7" x14ac:dyDescent="0.25">
      <c r="B6491" s="6"/>
      <c r="C6491" s="7"/>
      <c r="D6491" s="7"/>
      <c r="E6491" s="8"/>
      <c r="F6491" t="str">
        <f t="shared" si="229"/>
        <v/>
      </c>
      <c r="G6491" t="str">
        <f t="shared" si="230"/>
        <v/>
      </c>
    </row>
    <row r="6492" spans="2:7" x14ac:dyDescent="0.25">
      <c r="B6492" s="6"/>
      <c r="C6492" s="7"/>
      <c r="D6492" s="7"/>
      <c r="E6492" s="8"/>
      <c r="F6492" t="str">
        <f t="shared" si="229"/>
        <v/>
      </c>
      <c r="G6492" t="str">
        <f t="shared" si="230"/>
        <v/>
      </c>
    </row>
    <row r="6493" spans="2:7" x14ac:dyDescent="0.25">
      <c r="B6493" s="6"/>
      <c r="C6493" s="7"/>
      <c r="D6493" s="7"/>
      <c r="E6493" s="8"/>
      <c r="F6493" t="str">
        <f t="shared" si="229"/>
        <v/>
      </c>
      <c r="G6493" t="str">
        <f t="shared" si="230"/>
        <v/>
      </c>
    </row>
    <row r="6494" spans="2:7" x14ac:dyDescent="0.25">
      <c r="B6494" s="6"/>
      <c r="C6494" s="7"/>
      <c r="D6494" s="7"/>
      <c r="E6494" s="8"/>
      <c r="F6494" t="str">
        <f t="shared" si="229"/>
        <v/>
      </c>
      <c r="G6494" t="str">
        <f t="shared" si="230"/>
        <v/>
      </c>
    </row>
    <row r="6495" spans="2:7" x14ac:dyDescent="0.25">
      <c r="B6495" s="6"/>
      <c r="C6495" s="7"/>
      <c r="D6495" s="7"/>
      <c r="E6495" s="8"/>
      <c r="F6495" t="str">
        <f t="shared" si="229"/>
        <v/>
      </c>
      <c r="G6495" t="str">
        <f t="shared" si="230"/>
        <v/>
      </c>
    </row>
    <row r="6496" spans="2:7" x14ac:dyDescent="0.25">
      <c r="B6496" s="6"/>
      <c r="C6496" s="7"/>
      <c r="D6496" s="7"/>
      <c r="E6496" s="8"/>
      <c r="F6496" t="str">
        <f t="shared" si="229"/>
        <v/>
      </c>
      <c r="G6496" t="str">
        <f t="shared" si="230"/>
        <v/>
      </c>
    </row>
    <row r="6497" spans="2:7" x14ac:dyDescent="0.25">
      <c r="B6497" s="6"/>
      <c r="C6497" s="7"/>
      <c r="D6497" s="7"/>
      <c r="E6497" s="8"/>
      <c r="F6497" t="str">
        <f t="shared" si="229"/>
        <v/>
      </c>
      <c r="G6497" t="str">
        <f t="shared" si="230"/>
        <v/>
      </c>
    </row>
    <row r="6498" spans="2:7" x14ac:dyDescent="0.25">
      <c r="B6498" s="6"/>
      <c r="C6498" s="7"/>
      <c r="D6498" s="7"/>
      <c r="E6498" s="8"/>
      <c r="F6498" t="str">
        <f t="shared" si="229"/>
        <v/>
      </c>
      <c r="G6498" t="str">
        <f t="shared" si="230"/>
        <v/>
      </c>
    </row>
    <row r="6499" spans="2:7" x14ac:dyDescent="0.25">
      <c r="B6499" s="6"/>
      <c r="C6499" s="7"/>
      <c r="D6499" s="7"/>
      <c r="E6499" s="8"/>
      <c r="F6499" t="str">
        <f t="shared" si="229"/>
        <v/>
      </c>
      <c r="G6499" t="str">
        <f t="shared" si="230"/>
        <v/>
      </c>
    </row>
    <row r="6500" spans="2:7" x14ac:dyDescent="0.25">
      <c r="B6500" s="6"/>
      <c r="C6500" s="7"/>
      <c r="D6500" s="7"/>
      <c r="E6500" s="8"/>
      <c r="F6500" t="str">
        <f t="shared" si="229"/>
        <v/>
      </c>
      <c r="G6500" t="str">
        <f t="shared" si="230"/>
        <v/>
      </c>
    </row>
    <row r="6501" spans="2:7" x14ac:dyDescent="0.25">
      <c r="B6501" s="6"/>
      <c r="C6501" s="7"/>
      <c r="D6501" s="7"/>
      <c r="E6501" s="8"/>
      <c r="F6501" t="str">
        <f t="shared" si="229"/>
        <v/>
      </c>
      <c r="G6501" t="str">
        <f t="shared" si="230"/>
        <v/>
      </c>
    </row>
    <row r="6502" spans="2:7" x14ac:dyDescent="0.25">
      <c r="B6502" s="6"/>
      <c r="C6502" s="7"/>
      <c r="D6502" s="7"/>
      <c r="E6502" s="8"/>
      <c r="F6502" t="str">
        <f t="shared" si="229"/>
        <v/>
      </c>
      <c r="G6502" t="str">
        <f t="shared" si="230"/>
        <v/>
      </c>
    </row>
    <row r="6503" spans="2:7" x14ac:dyDescent="0.25">
      <c r="B6503" s="6"/>
      <c r="C6503" s="7"/>
      <c r="D6503" s="7"/>
      <c r="E6503" s="8"/>
      <c r="F6503" t="str">
        <f t="shared" si="229"/>
        <v/>
      </c>
      <c r="G6503" t="str">
        <f t="shared" si="230"/>
        <v/>
      </c>
    </row>
    <row r="6504" spans="2:7" x14ac:dyDescent="0.25">
      <c r="B6504" s="6"/>
      <c r="C6504" s="7"/>
      <c r="D6504" s="7"/>
      <c r="E6504" s="8"/>
      <c r="F6504" t="str">
        <f t="shared" si="229"/>
        <v/>
      </c>
      <c r="G6504" t="str">
        <f t="shared" si="230"/>
        <v/>
      </c>
    </row>
    <row r="6505" spans="2:7" x14ac:dyDescent="0.25">
      <c r="B6505" s="6"/>
      <c r="C6505" s="7"/>
      <c r="D6505" s="7"/>
      <c r="E6505" s="8"/>
      <c r="F6505" t="str">
        <f t="shared" si="229"/>
        <v/>
      </c>
      <c r="G6505" t="str">
        <f t="shared" si="230"/>
        <v/>
      </c>
    </row>
    <row r="6506" spans="2:7" x14ac:dyDescent="0.25">
      <c r="B6506" s="6"/>
      <c r="C6506" s="7"/>
      <c r="D6506" s="7"/>
      <c r="E6506" s="8"/>
      <c r="F6506" t="str">
        <f t="shared" si="229"/>
        <v/>
      </c>
      <c r="G6506" t="str">
        <f t="shared" si="230"/>
        <v/>
      </c>
    </row>
    <row r="6507" spans="2:7" x14ac:dyDescent="0.25">
      <c r="B6507" s="6"/>
      <c r="C6507" s="7"/>
      <c r="D6507" s="7"/>
      <c r="E6507" s="8"/>
      <c r="F6507" t="str">
        <f t="shared" si="229"/>
        <v/>
      </c>
      <c r="G6507" t="str">
        <f t="shared" si="230"/>
        <v/>
      </c>
    </row>
    <row r="6508" spans="2:7" x14ac:dyDescent="0.25">
      <c r="B6508" s="6"/>
      <c r="C6508" s="7"/>
      <c r="D6508" s="7"/>
      <c r="E6508" s="8"/>
      <c r="F6508" t="str">
        <f t="shared" si="229"/>
        <v/>
      </c>
      <c r="G6508" t="str">
        <f t="shared" si="230"/>
        <v/>
      </c>
    </row>
    <row r="6509" spans="2:7" x14ac:dyDescent="0.25">
      <c r="B6509" s="6"/>
      <c r="C6509" s="7"/>
      <c r="D6509" s="7"/>
      <c r="E6509" s="8"/>
      <c r="F6509" t="str">
        <f t="shared" si="229"/>
        <v/>
      </c>
      <c r="G6509" t="str">
        <f t="shared" si="230"/>
        <v/>
      </c>
    </row>
    <row r="6510" spans="2:7" x14ac:dyDescent="0.25">
      <c r="B6510" s="6"/>
      <c r="C6510" s="7"/>
      <c r="D6510" s="7"/>
      <c r="E6510" s="8"/>
      <c r="F6510" t="str">
        <f t="shared" si="229"/>
        <v/>
      </c>
      <c r="G6510" t="str">
        <f t="shared" si="230"/>
        <v/>
      </c>
    </row>
    <row r="6511" spans="2:7" x14ac:dyDescent="0.25">
      <c r="B6511" s="6"/>
      <c r="C6511" s="7"/>
      <c r="D6511" s="7"/>
      <c r="E6511" s="8"/>
      <c r="F6511" t="str">
        <f t="shared" si="229"/>
        <v/>
      </c>
      <c r="G6511" t="str">
        <f t="shared" si="230"/>
        <v/>
      </c>
    </row>
    <row r="6512" spans="2:7" x14ac:dyDescent="0.25">
      <c r="B6512" s="6"/>
      <c r="C6512" s="7"/>
      <c r="D6512" s="7"/>
      <c r="E6512" s="8"/>
      <c r="F6512" t="str">
        <f t="shared" si="229"/>
        <v/>
      </c>
      <c r="G6512" t="str">
        <f t="shared" si="230"/>
        <v/>
      </c>
    </row>
    <row r="6513" spans="2:7" x14ac:dyDescent="0.25">
      <c r="B6513" s="6"/>
      <c r="C6513" s="7"/>
      <c r="D6513" s="7"/>
      <c r="E6513" s="8"/>
      <c r="F6513" t="str">
        <f t="shared" si="229"/>
        <v/>
      </c>
      <c r="G6513" t="str">
        <f t="shared" si="230"/>
        <v/>
      </c>
    </row>
    <row r="6514" spans="2:7" x14ac:dyDescent="0.25">
      <c r="B6514" s="6"/>
      <c r="C6514" s="7"/>
      <c r="D6514" s="7"/>
      <c r="E6514" s="8"/>
      <c r="F6514" t="str">
        <f t="shared" si="229"/>
        <v/>
      </c>
      <c r="G6514" t="str">
        <f t="shared" si="230"/>
        <v/>
      </c>
    </row>
    <row r="6515" spans="2:7" x14ac:dyDescent="0.25">
      <c r="B6515" s="6"/>
      <c r="C6515" s="7"/>
      <c r="D6515" s="7"/>
      <c r="E6515" s="8"/>
      <c r="F6515" t="str">
        <f t="shared" si="229"/>
        <v/>
      </c>
      <c r="G6515" t="str">
        <f t="shared" si="230"/>
        <v/>
      </c>
    </row>
    <row r="6516" spans="2:7" x14ac:dyDescent="0.25">
      <c r="B6516" s="6"/>
      <c r="C6516" s="7"/>
      <c r="D6516" s="7"/>
      <c r="E6516" s="8"/>
      <c r="F6516" t="str">
        <f t="shared" si="229"/>
        <v/>
      </c>
      <c r="G6516" t="str">
        <f t="shared" si="230"/>
        <v/>
      </c>
    </row>
    <row r="6517" spans="2:7" x14ac:dyDescent="0.25">
      <c r="B6517" s="6"/>
      <c r="C6517" s="7"/>
      <c r="D6517" s="7"/>
      <c r="E6517" s="8"/>
      <c r="F6517" t="str">
        <f t="shared" si="229"/>
        <v/>
      </c>
      <c r="G6517" t="str">
        <f t="shared" si="230"/>
        <v/>
      </c>
    </row>
    <row r="6518" spans="2:7" x14ac:dyDescent="0.25">
      <c r="B6518" s="6"/>
      <c r="C6518" s="7"/>
      <c r="D6518" s="7"/>
      <c r="E6518" s="8"/>
      <c r="F6518" t="str">
        <f t="shared" si="229"/>
        <v/>
      </c>
      <c r="G6518" t="str">
        <f t="shared" si="230"/>
        <v/>
      </c>
    </row>
    <row r="6519" spans="2:7" x14ac:dyDescent="0.25">
      <c r="B6519" s="6"/>
      <c r="C6519" s="7"/>
      <c r="D6519" s="7"/>
      <c r="E6519" s="8"/>
      <c r="F6519" t="str">
        <f t="shared" si="229"/>
        <v/>
      </c>
      <c r="G6519" t="str">
        <f t="shared" si="230"/>
        <v/>
      </c>
    </row>
    <row r="6520" spans="2:7" x14ac:dyDescent="0.25">
      <c r="B6520" s="6"/>
      <c r="C6520" s="7"/>
      <c r="D6520" s="7"/>
      <c r="E6520" s="8"/>
      <c r="F6520" t="str">
        <f t="shared" si="229"/>
        <v/>
      </c>
      <c r="G6520" t="str">
        <f t="shared" si="230"/>
        <v/>
      </c>
    </row>
    <row r="6521" spans="2:7" x14ac:dyDescent="0.25">
      <c r="B6521" s="6"/>
      <c r="C6521" s="7"/>
      <c r="D6521" s="7"/>
      <c r="E6521" s="8"/>
      <c r="F6521" t="str">
        <f t="shared" si="229"/>
        <v/>
      </c>
      <c r="G6521" t="str">
        <f t="shared" si="230"/>
        <v/>
      </c>
    </row>
    <row r="6522" spans="2:7" x14ac:dyDescent="0.25">
      <c r="B6522" s="6"/>
      <c r="C6522" s="7"/>
      <c r="D6522" s="7"/>
      <c r="E6522" s="8"/>
      <c r="F6522" t="str">
        <f t="shared" si="229"/>
        <v/>
      </c>
      <c r="G6522" t="str">
        <f t="shared" si="230"/>
        <v/>
      </c>
    </row>
    <row r="6523" spans="2:7" x14ac:dyDescent="0.25">
      <c r="B6523" s="6"/>
      <c r="C6523" s="7"/>
      <c r="D6523" s="7"/>
      <c r="E6523" s="8"/>
      <c r="F6523" t="str">
        <f t="shared" si="229"/>
        <v/>
      </c>
      <c r="G6523" t="str">
        <f t="shared" si="230"/>
        <v/>
      </c>
    </row>
    <row r="6524" spans="2:7" x14ac:dyDescent="0.25">
      <c r="B6524" s="6"/>
      <c r="C6524" s="7"/>
      <c r="D6524" s="7"/>
      <c r="E6524" s="8"/>
      <c r="F6524" t="str">
        <f t="shared" si="229"/>
        <v/>
      </c>
      <c r="G6524" t="str">
        <f t="shared" si="230"/>
        <v/>
      </c>
    </row>
    <row r="6525" spans="2:7" x14ac:dyDescent="0.25">
      <c r="B6525" s="6"/>
      <c r="C6525" s="7"/>
      <c r="D6525" s="7"/>
      <c r="E6525" s="8"/>
      <c r="F6525" t="str">
        <f t="shared" si="229"/>
        <v/>
      </c>
      <c r="G6525" t="str">
        <f t="shared" si="230"/>
        <v/>
      </c>
    </row>
    <row r="6526" spans="2:7" x14ac:dyDescent="0.25">
      <c r="B6526" s="6"/>
      <c r="C6526" s="7"/>
      <c r="D6526" s="7"/>
      <c r="E6526" s="8"/>
      <c r="F6526" t="str">
        <f t="shared" si="229"/>
        <v/>
      </c>
      <c r="G6526" t="str">
        <f t="shared" si="230"/>
        <v/>
      </c>
    </row>
    <row r="6527" spans="2:7" x14ac:dyDescent="0.25">
      <c r="B6527" s="6"/>
      <c r="C6527" s="7"/>
      <c r="D6527" s="7"/>
      <c r="E6527" s="8"/>
      <c r="F6527" t="str">
        <f t="shared" si="229"/>
        <v/>
      </c>
      <c r="G6527" t="str">
        <f t="shared" si="230"/>
        <v/>
      </c>
    </row>
    <row r="6528" spans="2:7" x14ac:dyDescent="0.25">
      <c r="B6528" s="6"/>
      <c r="C6528" s="7"/>
      <c r="D6528" s="7"/>
      <c r="E6528" s="8"/>
      <c r="F6528" t="str">
        <f t="shared" si="229"/>
        <v/>
      </c>
      <c r="G6528" t="str">
        <f t="shared" si="230"/>
        <v/>
      </c>
    </row>
    <row r="6529" spans="2:7" x14ac:dyDescent="0.25">
      <c r="B6529" s="6"/>
      <c r="C6529" s="7"/>
      <c r="D6529" s="7"/>
      <c r="E6529" s="8"/>
      <c r="F6529" t="str">
        <f t="shared" si="229"/>
        <v/>
      </c>
      <c r="G6529" t="str">
        <f t="shared" si="230"/>
        <v/>
      </c>
    </row>
    <row r="6530" spans="2:7" x14ac:dyDescent="0.25">
      <c r="B6530" s="6"/>
      <c r="C6530" s="7"/>
      <c r="D6530" s="7"/>
      <c r="E6530" s="8"/>
      <c r="F6530" t="str">
        <f t="shared" si="229"/>
        <v/>
      </c>
      <c r="G6530" t="str">
        <f t="shared" si="230"/>
        <v/>
      </c>
    </row>
    <row r="6531" spans="2:7" x14ac:dyDescent="0.25">
      <c r="B6531" s="6"/>
      <c r="C6531" s="7"/>
      <c r="D6531" s="7"/>
      <c r="E6531" s="8"/>
      <c r="F6531" t="str">
        <f t="shared" si="229"/>
        <v/>
      </c>
      <c r="G6531" t="str">
        <f t="shared" si="230"/>
        <v/>
      </c>
    </row>
    <row r="6532" spans="2:7" x14ac:dyDescent="0.25">
      <c r="B6532" s="6"/>
      <c r="C6532" s="7"/>
      <c r="D6532" s="7"/>
      <c r="E6532" s="8"/>
      <c r="F6532" t="str">
        <f t="shared" ref="F6532:F6595" si="231">IF(B6532="","",LOG10(D6532))</f>
        <v/>
      </c>
      <c r="G6532" t="str">
        <f t="shared" ref="G6532:G6595" si="232">IF(E6532="", "",0.434*E6532/D6532)</f>
        <v/>
      </c>
    </row>
    <row r="6533" spans="2:7" x14ac:dyDescent="0.25">
      <c r="B6533" s="6"/>
      <c r="C6533" s="7"/>
      <c r="D6533" s="7"/>
      <c r="E6533" s="8"/>
      <c r="F6533" t="str">
        <f t="shared" si="231"/>
        <v/>
      </c>
      <c r="G6533" t="str">
        <f t="shared" si="232"/>
        <v/>
      </c>
    </row>
    <row r="6534" spans="2:7" x14ac:dyDescent="0.25">
      <c r="B6534" s="6"/>
      <c r="C6534" s="7"/>
      <c r="D6534" s="7"/>
      <c r="E6534" s="8"/>
      <c r="F6534" t="str">
        <f t="shared" si="231"/>
        <v/>
      </c>
      <c r="G6534" t="str">
        <f t="shared" si="232"/>
        <v/>
      </c>
    </row>
    <row r="6535" spans="2:7" x14ac:dyDescent="0.25">
      <c r="B6535" s="6"/>
      <c r="C6535" s="7"/>
      <c r="D6535" s="7"/>
      <c r="E6535" s="8"/>
      <c r="F6535" t="str">
        <f t="shared" si="231"/>
        <v/>
      </c>
      <c r="G6535" t="str">
        <f t="shared" si="232"/>
        <v/>
      </c>
    </row>
    <row r="6536" spans="2:7" x14ac:dyDescent="0.25">
      <c r="B6536" s="6"/>
      <c r="C6536" s="7"/>
      <c r="D6536" s="7"/>
      <c r="E6536" s="8"/>
      <c r="F6536" t="str">
        <f t="shared" si="231"/>
        <v/>
      </c>
      <c r="G6536" t="str">
        <f t="shared" si="232"/>
        <v/>
      </c>
    </row>
    <row r="6537" spans="2:7" x14ac:dyDescent="0.25">
      <c r="B6537" s="6"/>
      <c r="C6537" s="7"/>
      <c r="D6537" s="7"/>
      <c r="E6537" s="8"/>
      <c r="F6537" t="str">
        <f t="shared" si="231"/>
        <v/>
      </c>
      <c r="G6537" t="str">
        <f t="shared" si="232"/>
        <v/>
      </c>
    </row>
    <row r="6538" spans="2:7" x14ac:dyDescent="0.25">
      <c r="B6538" s="6"/>
      <c r="C6538" s="7"/>
      <c r="D6538" s="7"/>
      <c r="E6538" s="8"/>
      <c r="F6538" t="str">
        <f t="shared" si="231"/>
        <v/>
      </c>
      <c r="G6538" t="str">
        <f t="shared" si="232"/>
        <v/>
      </c>
    </row>
    <row r="6539" spans="2:7" x14ac:dyDescent="0.25">
      <c r="B6539" s="6"/>
      <c r="C6539" s="7"/>
      <c r="D6539" s="7"/>
      <c r="E6539" s="8"/>
      <c r="F6539" t="str">
        <f t="shared" si="231"/>
        <v/>
      </c>
      <c r="G6539" t="str">
        <f t="shared" si="232"/>
        <v/>
      </c>
    </row>
    <row r="6540" spans="2:7" x14ac:dyDescent="0.25">
      <c r="B6540" s="6"/>
      <c r="C6540" s="7"/>
      <c r="D6540" s="7"/>
      <c r="E6540" s="8"/>
      <c r="F6540" t="str">
        <f t="shared" si="231"/>
        <v/>
      </c>
      <c r="G6540" t="str">
        <f t="shared" si="232"/>
        <v/>
      </c>
    </row>
    <row r="6541" spans="2:7" x14ac:dyDescent="0.25">
      <c r="B6541" s="6"/>
      <c r="C6541" s="7"/>
      <c r="D6541" s="7"/>
      <c r="E6541" s="8"/>
      <c r="F6541" t="str">
        <f t="shared" si="231"/>
        <v/>
      </c>
      <c r="G6541" t="str">
        <f t="shared" si="232"/>
        <v/>
      </c>
    </row>
    <row r="6542" spans="2:7" x14ac:dyDescent="0.25">
      <c r="B6542" s="6"/>
      <c r="C6542" s="7"/>
      <c r="D6542" s="7"/>
      <c r="E6542" s="8"/>
      <c r="F6542" t="str">
        <f t="shared" si="231"/>
        <v/>
      </c>
      <c r="G6542" t="str">
        <f t="shared" si="232"/>
        <v/>
      </c>
    </row>
    <row r="6543" spans="2:7" x14ac:dyDescent="0.25">
      <c r="B6543" s="6"/>
      <c r="C6543" s="7"/>
      <c r="D6543" s="7"/>
      <c r="E6543" s="8"/>
      <c r="F6543" t="str">
        <f t="shared" si="231"/>
        <v/>
      </c>
      <c r="G6543" t="str">
        <f t="shared" si="232"/>
        <v/>
      </c>
    </row>
    <row r="6544" spans="2:7" x14ac:dyDescent="0.25">
      <c r="B6544" s="6"/>
      <c r="C6544" s="7"/>
      <c r="D6544" s="7"/>
      <c r="E6544" s="8"/>
      <c r="F6544" t="str">
        <f t="shared" si="231"/>
        <v/>
      </c>
      <c r="G6544" t="str">
        <f t="shared" si="232"/>
        <v/>
      </c>
    </row>
    <row r="6545" spans="2:7" x14ac:dyDescent="0.25">
      <c r="B6545" s="6"/>
      <c r="C6545" s="7"/>
      <c r="D6545" s="7"/>
      <c r="E6545" s="8"/>
      <c r="F6545" t="str">
        <f t="shared" si="231"/>
        <v/>
      </c>
      <c r="G6545" t="str">
        <f t="shared" si="232"/>
        <v/>
      </c>
    </row>
    <row r="6546" spans="2:7" x14ac:dyDescent="0.25">
      <c r="B6546" s="6"/>
      <c r="C6546" s="7"/>
      <c r="D6546" s="7"/>
      <c r="E6546" s="8"/>
      <c r="F6546" t="str">
        <f t="shared" si="231"/>
        <v/>
      </c>
      <c r="G6546" t="str">
        <f t="shared" si="232"/>
        <v/>
      </c>
    </row>
    <row r="6547" spans="2:7" x14ac:dyDescent="0.25">
      <c r="B6547" s="6"/>
      <c r="C6547" s="7"/>
      <c r="D6547" s="7"/>
      <c r="E6547" s="8"/>
      <c r="F6547" t="str">
        <f t="shared" si="231"/>
        <v/>
      </c>
      <c r="G6547" t="str">
        <f t="shared" si="232"/>
        <v/>
      </c>
    </row>
    <row r="6548" spans="2:7" x14ac:dyDescent="0.25">
      <c r="B6548" s="6"/>
      <c r="C6548" s="7"/>
      <c r="D6548" s="7"/>
      <c r="E6548" s="8"/>
      <c r="F6548" t="str">
        <f t="shared" si="231"/>
        <v/>
      </c>
      <c r="G6548" t="str">
        <f t="shared" si="232"/>
        <v/>
      </c>
    </row>
    <row r="6549" spans="2:7" x14ac:dyDescent="0.25">
      <c r="B6549" s="6"/>
      <c r="C6549" s="7"/>
      <c r="D6549" s="7"/>
      <c r="E6549" s="8"/>
      <c r="F6549" t="str">
        <f t="shared" si="231"/>
        <v/>
      </c>
      <c r="G6549" t="str">
        <f t="shared" si="232"/>
        <v/>
      </c>
    </row>
    <row r="6550" spans="2:7" x14ac:dyDescent="0.25">
      <c r="B6550" s="6"/>
      <c r="C6550" s="7"/>
      <c r="D6550" s="7"/>
      <c r="E6550" s="8"/>
      <c r="F6550" t="str">
        <f t="shared" si="231"/>
        <v/>
      </c>
      <c r="G6550" t="str">
        <f t="shared" si="232"/>
        <v/>
      </c>
    </row>
    <row r="6551" spans="2:7" x14ac:dyDescent="0.25">
      <c r="B6551" s="6"/>
      <c r="C6551" s="7"/>
      <c r="D6551" s="7"/>
      <c r="E6551" s="8"/>
      <c r="F6551" t="str">
        <f t="shared" si="231"/>
        <v/>
      </c>
      <c r="G6551" t="str">
        <f t="shared" si="232"/>
        <v/>
      </c>
    </row>
    <row r="6552" spans="2:7" x14ac:dyDescent="0.25">
      <c r="B6552" s="6"/>
      <c r="C6552" s="7"/>
      <c r="D6552" s="7"/>
      <c r="E6552" s="8"/>
      <c r="F6552" t="str">
        <f t="shared" si="231"/>
        <v/>
      </c>
      <c r="G6552" t="str">
        <f t="shared" si="232"/>
        <v/>
      </c>
    </row>
    <row r="6553" spans="2:7" x14ac:dyDescent="0.25">
      <c r="B6553" s="6"/>
      <c r="C6553" s="7"/>
      <c r="D6553" s="7"/>
      <c r="E6553" s="8"/>
      <c r="F6553" t="str">
        <f t="shared" si="231"/>
        <v/>
      </c>
      <c r="G6553" t="str">
        <f t="shared" si="232"/>
        <v/>
      </c>
    </row>
    <row r="6554" spans="2:7" x14ac:dyDescent="0.25">
      <c r="B6554" s="6"/>
      <c r="C6554" s="7"/>
      <c r="D6554" s="7"/>
      <c r="E6554" s="8"/>
      <c r="F6554" t="str">
        <f t="shared" si="231"/>
        <v/>
      </c>
      <c r="G6554" t="str">
        <f t="shared" si="232"/>
        <v/>
      </c>
    </row>
    <row r="6555" spans="2:7" x14ac:dyDescent="0.25">
      <c r="B6555" s="6"/>
      <c r="C6555" s="7"/>
      <c r="D6555" s="7"/>
      <c r="E6555" s="8"/>
      <c r="F6555" t="str">
        <f t="shared" si="231"/>
        <v/>
      </c>
      <c r="G6555" t="str">
        <f t="shared" si="232"/>
        <v/>
      </c>
    </row>
    <row r="6556" spans="2:7" x14ac:dyDescent="0.25">
      <c r="B6556" s="6"/>
      <c r="C6556" s="7"/>
      <c r="D6556" s="7"/>
      <c r="E6556" s="8"/>
      <c r="F6556" t="str">
        <f t="shared" si="231"/>
        <v/>
      </c>
      <c r="G6556" t="str">
        <f t="shared" si="232"/>
        <v/>
      </c>
    </row>
    <row r="6557" spans="2:7" x14ac:dyDescent="0.25">
      <c r="B6557" s="6"/>
      <c r="C6557" s="7"/>
      <c r="D6557" s="7"/>
      <c r="E6557" s="8"/>
      <c r="F6557" t="str">
        <f t="shared" si="231"/>
        <v/>
      </c>
      <c r="G6557" t="str">
        <f t="shared" si="232"/>
        <v/>
      </c>
    </row>
    <row r="6558" spans="2:7" x14ac:dyDescent="0.25">
      <c r="B6558" s="6"/>
      <c r="C6558" s="7"/>
      <c r="D6558" s="7"/>
      <c r="E6558" s="8"/>
      <c r="F6558" t="str">
        <f t="shared" si="231"/>
        <v/>
      </c>
      <c r="G6558" t="str">
        <f t="shared" si="232"/>
        <v/>
      </c>
    </row>
    <row r="6559" spans="2:7" x14ac:dyDescent="0.25">
      <c r="B6559" s="6"/>
      <c r="C6559" s="7"/>
      <c r="D6559" s="7"/>
      <c r="E6559" s="8"/>
      <c r="F6559" t="str">
        <f t="shared" si="231"/>
        <v/>
      </c>
      <c r="G6559" t="str">
        <f t="shared" si="232"/>
        <v/>
      </c>
    </row>
    <row r="6560" spans="2:7" x14ac:dyDescent="0.25">
      <c r="B6560" s="6"/>
      <c r="C6560" s="7"/>
      <c r="D6560" s="7"/>
      <c r="E6560" s="8"/>
      <c r="F6560" t="str">
        <f t="shared" si="231"/>
        <v/>
      </c>
      <c r="G6560" t="str">
        <f t="shared" si="232"/>
        <v/>
      </c>
    </row>
    <row r="6561" spans="2:7" x14ac:dyDescent="0.25">
      <c r="B6561" s="6"/>
      <c r="C6561" s="7"/>
      <c r="D6561" s="7"/>
      <c r="E6561" s="8"/>
      <c r="F6561" t="str">
        <f t="shared" si="231"/>
        <v/>
      </c>
      <c r="G6561" t="str">
        <f t="shared" si="232"/>
        <v/>
      </c>
    </row>
    <row r="6562" spans="2:7" x14ac:dyDescent="0.25">
      <c r="B6562" s="6"/>
      <c r="C6562" s="7"/>
      <c r="D6562" s="7"/>
      <c r="E6562" s="8"/>
      <c r="F6562" t="str">
        <f t="shared" si="231"/>
        <v/>
      </c>
      <c r="G6562" t="str">
        <f t="shared" si="232"/>
        <v/>
      </c>
    </row>
    <row r="6563" spans="2:7" x14ac:dyDescent="0.25">
      <c r="B6563" s="6"/>
      <c r="C6563" s="7"/>
      <c r="D6563" s="7"/>
      <c r="E6563" s="8"/>
      <c r="F6563" t="str">
        <f t="shared" si="231"/>
        <v/>
      </c>
      <c r="G6563" t="str">
        <f t="shared" si="232"/>
        <v/>
      </c>
    </row>
    <row r="6564" spans="2:7" x14ac:dyDescent="0.25">
      <c r="B6564" s="6"/>
      <c r="C6564" s="7"/>
      <c r="D6564" s="7"/>
      <c r="E6564" s="8"/>
      <c r="F6564" t="str">
        <f t="shared" si="231"/>
        <v/>
      </c>
      <c r="G6564" t="str">
        <f t="shared" si="232"/>
        <v/>
      </c>
    </row>
    <row r="6565" spans="2:7" x14ac:dyDescent="0.25">
      <c r="B6565" s="6"/>
      <c r="C6565" s="7"/>
      <c r="D6565" s="7"/>
      <c r="E6565" s="8"/>
      <c r="F6565" t="str">
        <f t="shared" si="231"/>
        <v/>
      </c>
      <c r="G6565" t="str">
        <f t="shared" si="232"/>
        <v/>
      </c>
    </row>
    <row r="6566" spans="2:7" x14ac:dyDescent="0.25">
      <c r="B6566" s="6"/>
      <c r="C6566" s="7"/>
      <c r="D6566" s="7"/>
      <c r="E6566" s="8"/>
      <c r="F6566" t="str">
        <f t="shared" si="231"/>
        <v/>
      </c>
      <c r="G6566" t="str">
        <f t="shared" si="232"/>
        <v/>
      </c>
    </row>
    <row r="6567" spans="2:7" x14ac:dyDescent="0.25">
      <c r="B6567" s="6"/>
      <c r="C6567" s="7"/>
      <c r="D6567" s="7"/>
      <c r="E6567" s="8"/>
      <c r="F6567" t="str">
        <f t="shared" si="231"/>
        <v/>
      </c>
      <c r="G6567" t="str">
        <f t="shared" si="232"/>
        <v/>
      </c>
    </row>
    <row r="6568" spans="2:7" x14ac:dyDescent="0.25">
      <c r="B6568" s="6"/>
      <c r="C6568" s="7"/>
      <c r="D6568" s="7"/>
      <c r="E6568" s="8"/>
      <c r="F6568" t="str">
        <f t="shared" si="231"/>
        <v/>
      </c>
      <c r="G6568" t="str">
        <f t="shared" si="232"/>
        <v/>
      </c>
    </row>
    <row r="6569" spans="2:7" x14ac:dyDescent="0.25">
      <c r="B6569" s="6"/>
      <c r="C6569" s="7"/>
      <c r="D6569" s="7"/>
      <c r="E6569" s="8"/>
      <c r="F6569" t="str">
        <f t="shared" si="231"/>
        <v/>
      </c>
      <c r="G6569" t="str">
        <f t="shared" si="232"/>
        <v/>
      </c>
    </row>
    <row r="6570" spans="2:7" x14ac:dyDescent="0.25">
      <c r="B6570" s="6"/>
      <c r="C6570" s="7"/>
      <c r="D6570" s="7"/>
      <c r="E6570" s="8"/>
      <c r="F6570" t="str">
        <f t="shared" si="231"/>
        <v/>
      </c>
      <c r="G6570" t="str">
        <f t="shared" si="232"/>
        <v/>
      </c>
    </row>
    <row r="6571" spans="2:7" x14ac:dyDescent="0.25">
      <c r="B6571" s="6"/>
      <c r="C6571" s="7"/>
      <c r="D6571" s="7"/>
      <c r="E6571" s="8"/>
      <c r="F6571" t="str">
        <f t="shared" si="231"/>
        <v/>
      </c>
      <c r="G6571" t="str">
        <f t="shared" si="232"/>
        <v/>
      </c>
    </row>
    <row r="6572" spans="2:7" x14ac:dyDescent="0.25">
      <c r="B6572" s="6"/>
      <c r="C6572" s="7"/>
      <c r="D6572" s="7"/>
      <c r="E6572" s="8"/>
      <c r="F6572" t="str">
        <f t="shared" si="231"/>
        <v/>
      </c>
      <c r="G6572" t="str">
        <f t="shared" si="232"/>
        <v/>
      </c>
    </row>
    <row r="6573" spans="2:7" x14ac:dyDescent="0.25">
      <c r="B6573" s="6"/>
      <c r="C6573" s="7"/>
      <c r="D6573" s="7"/>
      <c r="E6573" s="8"/>
      <c r="F6573" t="str">
        <f t="shared" si="231"/>
        <v/>
      </c>
      <c r="G6573" t="str">
        <f t="shared" si="232"/>
        <v/>
      </c>
    </row>
    <row r="6574" spans="2:7" x14ac:dyDescent="0.25">
      <c r="B6574" s="6"/>
      <c r="C6574" s="7"/>
      <c r="D6574" s="7"/>
      <c r="E6574" s="8"/>
      <c r="F6574" t="str">
        <f t="shared" si="231"/>
        <v/>
      </c>
      <c r="G6574" t="str">
        <f t="shared" si="232"/>
        <v/>
      </c>
    </row>
    <row r="6575" spans="2:7" x14ac:dyDescent="0.25">
      <c r="B6575" s="6"/>
      <c r="C6575" s="7"/>
      <c r="D6575" s="7"/>
      <c r="E6575" s="8"/>
      <c r="F6575" t="str">
        <f t="shared" si="231"/>
        <v/>
      </c>
      <c r="G6575" t="str">
        <f t="shared" si="232"/>
        <v/>
      </c>
    </row>
    <row r="6576" spans="2:7" x14ac:dyDescent="0.25">
      <c r="B6576" s="6"/>
      <c r="C6576" s="7"/>
      <c r="D6576" s="7"/>
      <c r="E6576" s="8"/>
      <c r="F6576" t="str">
        <f t="shared" si="231"/>
        <v/>
      </c>
      <c r="G6576" t="str">
        <f t="shared" si="232"/>
        <v/>
      </c>
    </row>
    <row r="6577" spans="2:7" x14ac:dyDescent="0.25">
      <c r="B6577" s="6"/>
      <c r="C6577" s="7"/>
      <c r="D6577" s="7"/>
      <c r="E6577" s="8"/>
      <c r="F6577" t="str">
        <f t="shared" si="231"/>
        <v/>
      </c>
      <c r="G6577" t="str">
        <f t="shared" si="232"/>
        <v/>
      </c>
    </row>
    <row r="6578" spans="2:7" x14ac:dyDescent="0.25">
      <c r="B6578" s="6"/>
      <c r="C6578" s="7"/>
      <c r="D6578" s="7"/>
      <c r="E6578" s="8"/>
      <c r="F6578" t="str">
        <f t="shared" si="231"/>
        <v/>
      </c>
      <c r="G6578" t="str">
        <f t="shared" si="232"/>
        <v/>
      </c>
    </row>
    <row r="6579" spans="2:7" x14ac:dyDescent="0.25">
      <c r="B6579" s="6"/>
      <c r="C6579" s="7"/>
      <c r="D6579" s="7"/>
      <c r="E6579" s="8"/>
      <c r="F6579" t="str">
        <f t="shared" si="231"/>
        <v/>
      </c>
      <c r="G6579" t="str">
        <f t="shared" si="232"/>
        <v/>
      </c>
    </row>
    <row r="6580" spans="2:7" x14ac:dyDescent="0.25">
      <c r="B6580" s="6"/>
      <c r="C6580" s="7"/>
      <c r="D6580" s="7"/>
      <c r="E6580" s="8"/>
      <c r="F6580" t="str">
        <f t="shared" si="231"/>
        <v/>
      </c>
      <c r="G6580" t="str">
        <f t="shared" si="232"/>
        <v/>
      </c>
    </row>
    <row r="6581" spans="2:7" x14ac:dyDescent="0.25">
      <c r="B6581" s="6"/>
      <c r="C6581" s="7"/>
      <c r="D6581" s="7"/>
      <c r="E6581" s="8"/>
      <c r="F6581" t="str">
        <f t="shared" si="231"/>
        <v/>
      </c>
      <c r="G6581" t="str">
        <f t="shared" si="232"/>
        <v/>
      </c>
    </row>
    <row r="6582" spans="2:7" x14ac:dyDescent="0.25">
      <c r="B6582" s="6"/>
      <c r="C6582" s="7"/>
      <c r="D6582" s="7"/>
      <c r="E6582" s="8"/>
      <c r="F6582" t="str">
        <f t="shared" si="231"/>
        <v/>
      </c>
      <c r="G6582" t="str">
        <f t="shared" si="232"/>
        <v/>
      </c>
    </row>
    <row r="6583" spans="2:7" x14ac:dyDescent="0.25">
      <c r="B6583" s="6"/>
      <c r="C6583" s="7"/>
      <c r="D6583" s="7"/>
      <c r="E6583" s="8"/>
      <c r="F6583" t="str">
        <f t="shared" si="231"/>
        <v/>
      </c>
      <c r="G6583" t="str">
        <f t="shared" si="232"/>
        <v/>
      </c>
    </row>
    <row r="6584" spans="2:7" x14ac:dyDescent="0.25">
      <c r="B6584" s="6"/>
      <c r="C6584" s="7"/>
      <c r="D6584" s="7"/>
      <c r="E6584" s="8"/>
      <c r="F6584" t="str">
        <f t="shared" si="231"/>
        <v/>
      </c>
      <c r="G6584" t="str">
        <f t="shared" si="232"/>
        <v/>
      </c>
    </row>
    <row r="6585" spans="2:7" x14ac:dyDescent="0.25">
      <c r="B6585" s="6"/>
      <c r="C6585" s="7"/>
      <c r="D6585" s="7"/>
      <c r="E6585" s="8"/>
      <c r="F6585" t="str">
        <f t="shared" si="231"/>
        <v/>
      </c>
      <c r="G6585" t="str">
        <f t="shared" si="232"/>
        <v/>
      </c>
    </row>
    <row r="6586" spans="2:7" x14ac:dyDescent="0.25">
      <c r="B6586" s="6"/>
      <c r="C6586" s="7"/>
      <c r="D6586" s="7"/>
      <c r="E6586" s="8"/>
      <c r="F6586" t="str">
        <f t="shared" si="231"/>
        <v/>
      </c>
      <c r="G6586" t="str">
        <f t="shared" si="232"/>
        <v/>
      </c>
    </row>
    <row r="6587" spans="2:7" x14ac:dyDescent="0.25">
      <c r="B6587" s="6"/>
      <c r="C6587" s="7"/>
      <c r="D6587" s="7"/>
      <c r="E6587" s="8"/>
      <c r="F6587" t="str">
        <f t="shared" si="231"/>
        <v/>
      </c>
      <c r="G6587" t="str">
        <f t="shared" si="232"/>
        <v/>
      </c>
    </row>
    <row r="6588" spans="2:7" x14ac:dyDescent="0.25">
      <c r="B6588" s="6"/>
      <c r="C6588" s="7"/>
      <c r="D6588" s="7"/>
      <c r="E6588" s="8"/>
      <c r="F6588" t="str">
        <f t="shared" si="231"/>
        <v/>
      </c>
      <c r="G6588" t="str">
        <f t="shared" si="232"/>
        <v/>
      </c>
    </row>
    <row r="6589" spans="2:7" x14ac:dyDescent="0.25">
      <c r="B6589" s="6"/>
      <c r="C6589" s="7"/>
      <c r="D6589" s="7"/>
      <c r="E6589" s="8"/>
      <c r="F6589" t="str">
        <f t="shared" si="231"/>
        <v/>
      </c>
      <c r="G6589" t="str">
        <f t="shared" si="232"/>
        <v/>
      </c>
    </row>
    <row r="6590" spans="2:7" x14ac:dyDescent="0.25">
      <c r="B6590" s="6"/>
      <c r="C6590" s="7"/>
      <c r="D6590" s="7"/>
      <c r="E6590" s="8"/>
      <c r="F6590" t="str">
        <f t="shared" si="231"/>
        <v/>
      </c>
      <c r="G6590" t="str">
        <f t="shared" si="232"/>
        <v/>
      </c>
    </row>
    <row r="6591" spans="2:7" x14ac:dyDescent="0.25">
      <c r="B6591" s="6"/>
      <c r="C6591" s="7"/>
      <c r="D6591" s="7"/>
      <c r="E6591" s="8"/>
      <c r="F6591" t="str">
        <f t="shared" si="231"/>
        <v/>
      </c>
      <c r="G6591" t="str">
        <f t="shared" si="232"/>
        <v/>
      </c>
    </row>
    <row r="6592" spans="2:7" x14ac:dyDescent="0.25">
      <c r="B6592" s="6"/>
      <c r="C6592" s="7"/>
      <c r="D6592" s="7"/>
      <c r="E6592" s="8"/>
      <c r="F6592" t="str">
        <f t="shared" si="231"/>
        <v/>
      </c>
      <c r="G6592" t="str">
        <f t="shared" si="232"/>
        <v/>
      </c>
    </row>
    <row r="6593" spans="2:7" x14ac:dyDescent="0.25">
      <c r="B6593" s="6"/>
      <c r="C6593" s="7"/>
      <c r="D6593" s="7"/>
      <c r="E6593" s="8"/>
      <c r="F6593" t="str">
        <f t="shared" si="231"/>
        <v/>
      </c>
      <c r="G6593" t="str">
        <f t="shared" si="232"/>
        <v/>
      </c>
    </row>
    <row r="6594" spans="2:7" x14ac:dyDescent="0.25">
      <c r="B6594" s="6"/>
      <c r="C6594" s="7"/>
      <c r="D6594" s="7"/>
      <c r="E6594" s="8"/>
      <c r="F6594" t="str">
        <f t="shared" si="231"/>
        <v/>
      </c>
      <c r="G6594" t="str">
        <f t="shared" si="232"/>
        <v/>
      </c>
    </row>
    <row r="6595" spans="2:7" x14ac:dyDescent="0.25">
      <c r="B6595" s="6"/>
      <c r="C6595" s="7"/>
      <c r="D6595" s="7"/>
      <c r="E6595" s="8"/>
      <c r="F6595" t="str">
        <f t="shared" si="231"/>
        <v/>
      </c>
      <c r="G6595" t="str">
        <f t="shared" si="232"/>
        <v/>
      </c>
    </row>
    <row r="6596" spans="2:7" x14ac:dyDescent="0.25">
      <c r="B6596" s="6"/>
      <c r="C6596" s="7"/>
      <c r="D6596" s="7"/>
      <c r="E6596" s="8"/>
      <c r="F6596" t="str">
        <f t="shared" ref="F6596:F6659" si="233">IF(B6596="","",LOG10(D6596))</f>
        <v/>
      </c>
      <c r="G6596" t="str">
        <f t="shared" ref="G6596:G6659" si="234">IF(E6596="", "",0.434*E6596/D6596)</f>
        <v/>
      </c>
    </row>
    <row r="6597" spans="2:7" x14ac:dyDescent="0.25">
      <c r="B6597" s="6"/>
      <c r="C6597" s="7"/>
      <c r="D6597" s="7"/>
      <c r="E6597" s="8"/>
      <c r="F6597" t="str">
        <f t="shared" si="233"/>
        <v/>
      </c>
      <c r="G6597" t="str">
        <f t="shared" si="234"/>
        <v/>
      </c>
    </row>
    <row r="6598" spans="2:7" x14ac:dyDescent="0.25">
      <c r="B6598" s="6"/>
      <c r="C6598" s="7"/>
      <c r="D6598" s="7"/>
      <c r="E6598" s="8"/>
      <c r="F6598" t="str">
        <f t="shared" si="233"/>
        <v/>
      </c>
      <c r="G6598" t="str">
        <f t="shared" si="234"/>
        <v/>
      </c>
    </row>
    <row r="6599" spans="2:7" x14ac:dyDescent="0.25">
      <c r="B6599" s="6"/>
      <c r="C6599" s="7"/>
      <c r="D6599" s="7"/>
      <c r="E6599" s="8"/>
      <c r="F6599" t="str">
        <f t="shared" si="233"/>
        <v/>
      </c>
      <c r="G6599" t="str">
        <f t="shared" si="234"/>
        <v/>
      </c>
    </row>
    <row r="6600" spans="2:7" x14ac:dyDescent="0.25">
      <c r="B6600" s="6"/>
      <c r="C6600" s="7"/>
      <c r="D6600" s="7"/>
      <c r="E6600" s="8"/>
      <c r="F6600" t="str">
        <f t="shared" si="233"/>
        <v/>
      </c>
      <c r="G6600" t="str">
        <f t="shared" si="234"/>
        <v/>
      </c>
    </row>
    <row r="6601" spans="2:7" x14ac:dyDescent="0.25">
      <c r="B6601" s="6"/>
      <c r="C6601" s="7"/>
      <c r="D6601" s="7"/>
      <c r="E6601" s="8"/>
      <c r="F6601" t="str">
        <f t="shared" si="233"/>
        <v/>
      </c>
      <c r="G6601" t="str">
        <f t="shared" si="234"/>
        <v/>
      </c>
    </row>
    <row r="6602" spans="2:7" x14ac:dyDescent="0.25">
      <c r="B6602" s="6"/>
      <c r="C6602" s="7"/>
      <c r="D6602" s="7"/>
      <c r="E6602" s="8"/>
      <c r="F6602" t="str">
        <f t="shared" si="233"/>
        <v/>
      </c>
      <c r="G6602" t="str">
        <f t="shared" si="234"/>
        <v/>
      </c>
    </row>
    <row r="6603" spans="2:7" x14ac:dyDescent="0.25">
      <c r="B6603" s="6"/>
      <c r="C6603" s="7"/>
      <c r="D6603" s="7"/>
      <c r="E6603" s="8"/>
      <c r="F6603" t="str">
        <f t="shared" si="233"/>
        <v/>
      </c>
      <c r="G6603" t="str">
        <f t="shared" si="234"/>
        <v/>
      </c>
    </row>
    <row r="6604" spans="2:7" x14ac:dyDescent="0.25">
      <c r="B6604" s="6"/>
      <c r="C6604" s="7"/>
      <c r="D6604" s="7"/>
      <c r="E6604" s="8"/>
      <c r="F6604" t="str">
        <f t="shared" si="233"/>
        <v/>
      </c>
      <c r="G6604" t="str">
        <f t="shared" si="234"/>
        <v/>
      </c>
    </row>
    <row r="6605" spans="2:7" x14ac:dyDescent="0.25">
      <c r="B6605" s="6"/>
      <c r="C6605" s="7"/>
      <c r="D6605" s="7"/>
      <c r="E6605" s="8"/>
      <c r="F6605" t="str">
        <f t="shared" si="233"/>
        <v/>
      </c>
      <c r="G6605" t="str">
        <f t="shared" si="234"/>
        <v/>
      </c>
    </row>
    <row r="6606" spans="2:7" x14ac:dyDescent="0.25">
      <c r="B6606" s="6"/>
      <c r="C6606" s="7"/>
      <c r="D6606" s="7"/>
      <c r="E6606" s="8"/>
      <c r="F6606" t="str">
        <f t="shared" si="233"/>
        <v/>
      </c>
      <c r="G6606" t="str">
        <f t="shared" si="234"/>
        <v/>
      </c>
    </row>
    <row r="6607" spans="2:7" x14ac:dyDescent="0.25">
      <c r="B6607" s="6"/>
      <c r="C6607" s="7"/>
      <c r="D6607" s="7"/>
      <c r="E6607" s="8"/>
      <c r="F6607" t="str">
        <f t="shared" si="233"/>
        <v/>
      </c>
      <c r="G6607" t="str">
        <f t="shared" si="234"/>
        <v/>
      </c>
    </row>
    <row r="6608" spans="2:7" x14ac:dyDescent="0.25">
      <c r="B6608" s="6"/>
      <c r="C6608" s="7"/>
      <c r="D6608" s="7"/>
      <c r="E6608" s="8"/>
      <c r="F6608" t="str">
        <f t="shared" si="233"/>
        <v/>
      </c>
      <c r="G6608" t="str">
        <f t="shared" si="234"/>
        <v/>
      </c>
    </row>
    <row r="6609" spans="2:7" x14ac:dyDescent="0.25">
      <c r="B6609" s="6"/>
      <c r="C6609" s="7"/>
      <c r="D6609" s="7"/>
      <c r="E6609" s="8"/>
      <c r="F6609" t="str">
        <f t="shared" si="233"/>
        <v/>
      </c>
      <c r="G6609" t="str">
        <f t="shared" si="234"/>
        <v/>
      </c>
    </row>
    <row r="6610" spans="2:7" x14ac:dyDescent="0.25">
      <c r="B6610" s="6"/>
      <c r="C6610" s="7"/>
      <c r="D6610" s="7"/>
      <c r="E6610" s="8"/>
      <c r="F6610" t="str">
        <f t="shared" si="233"/>
        <v/>
      </c>
      <c r="G6610" t="str">
        <f t="shared" si="234"/>
        <v/>
      </c>
    </row>
    <row r="6611" spans="2:7" x14ac:dyDescent="0.25">
      <c r="B6611" s="6"/>
      <c r="C6611" s="7"/>
      <c r="D6611" s="7"/>
      <c r="E6611" s="8"/>
      <c r="F6611" t="str">
        <f t="shared" si="233"/>
        <v/>
      </c>
      <c r="G6611" t="str">
        <f t="shared" si="234"/>
        <v/>
      </c>
    </row>
    <row r="6612" spans="2:7" x14ac:dyDescent="0.25">
      <c r="B6612" s="6"/>
      <c r="C6612" s="7"/>
      <c r="D6612" s="7"/>
      <c r="E6612" s="8"/>
      <c r="F6612" t="str">
        <f t="shared" si="233"/>
        <v/>
      </c>
      <c r="G6612" t="str">
        <f t="shared" si="234"/>
        <v/>
      </c>
    </row>
    <row r="6613" spans="2:7" x14ac:dyDescent="0.25">
      <c r="B6613" s="6"/>
      <c r="C6613" s="7"/>
      <c r="D6613" s="7"/>
      <c r="E6613" s="8"/>
      <c r="F6613" t="str">
        <f t="shared" si="233"/>
        <v/>
      </c>
      <c r="G6613" t="str">
        <f t="shared" si="234"/>
        <v/>
      </c>
    </row>
    <row r="6614" spans="2:7" x14ac:dyDescent="0.25">
      <c r="B6614" s="6"/>
      <c r="C6614" s="7"/>
      <c r="D6614" s="7"/>
      <c r="E6614" s="8"/>
      <c r="F6614" t="str">
        <f t="shared" si="233"/>
        <v/>
      </c>
      <c r="G6614" t="str">
        <f t="shared" si="234"/>
        <v/>
      </c>
    </row>
    <row r="6615" spans="2:7" x14ac:dyDescent="0.25">
      <c r="B6615" s="6"/>
      <c r="C6615" s="7"/>
      <c r="D6615" s="7"/>
      <c r="E6615" s="8"/>
      <c r="F6615" t="str">
        <f t="shared" si="233"/>
        <v/>
      </c>
      <c r="G6615" t="str">
        <f t="shared" si="234"/>
        <v/>
      </c>
    </row>
    <row r="6616" spans="2:7" x14ac:dyDescent="0.25">
      <c r="B6616" s="6"/>
      <c r="C6616" s="7"/>
      <c r="D6616" s="7"/>
      <c r="E6616" s="8"/>
      <c r="F6616" t="str">
        <f t="shared" si="233"/>
        <v/>
      </c>
      <c r="G6616" t="str">
        <f t="shared" si="234"/>
        <v/>
      </c>
    </row>
    <row r="6617" spans="2:7" x14ac:dyDescent="0.25">
      <c r="B6617" s="6"/>
      <c r="C6617" s="7"/>
      <c r="D6617" s="7"/>
      <c r="E6617" s="8"/>
      <c r="F6617" t="str">
        <f t="shared" si="233"/>
        <v/>
      </c>
      <c r="G6617" t="str">
        <f t="shared" si="234"/>
        <v/>
      </c>
    </row>
    <row r="6618" spans="2:7" x14ac:dyDescent="0.25">
      <c r="B6618" s="6"/>
      <c r="C6618" s="7"/>
      <c r="D6618" s="7"/>
      <c r="E6618" s="8"/>
      <c r="F6618" t="str">
        <f t="shared" si="233"/>
        <v/>
      </c>
      <c r="G6618" t="str">
        <f t="shared" si="234"/>
        <v/>
      </c>
    </row>
    <row r="6619" spans="2:7" x14ac:dyDescent="0.25">
      <c r="B6619" s="6"/>
      <c r="C6619" s="7"/>
      <c r="D6619" s="7"/>
      <c r="E6619" s="8"/>
      <c r="F6619" t="str">
        <f t="shared" si="233"/>
        <v/>
      </c>
      <c r="G6619" t="str">
        <f t="shared" si="234"/>
        <v/>
      </c>
    </row>
    <row r="6620" spans="2:7" x14ac:dyDescent="0.25">
      <c r="B6620" s="6"/>
      <c r="C6620" s="7"/>
      <c r="D6620" s="7"/>
      <c r="E6620" s="8"/>
      <c r="F6620" t="str">
        <f t="shared" si="233"/>
        <v/>
      </c>
      <c r="G6620" t="str">
        <f t="shared" si="234"/>
        <v/>
      </c>
    </row>
    <row r="6621" spans="2:7" x14ac:dyDescent="0.25">
      <c r="B6621" s="6"/>
      <c r="C6621" s="7"/>
      <c r="D6621" s="7"/>
      <c r="E6621" s="8"/>
      <c r="F6621" t="str">
        <f t="shared" si="233"/>
        <v/>
      </c>
      <c r="G6621" t="str">
        <f t="shared" si="234"/>
        <v/>
      </c>
    </row>
    <row r="6622" spans="2:7" x14ac:dyDescent="0.25">
      <c r="B6622" s="6"/>
      <c r="C6622" s="7"/>
      <c r="D6622" s="7"/>
      <c r="E6622" s="8"/>
      <c r="F6622" t="str">
        <f t="shared" si="233"/>
        <v/>
      </c>
      <c r="G6622" t="str">
        <f t="shared" si="234"/>
        <v/>
      </c>
    </row>
    <row r="6623" spans="2:7" x14ac:dyDescent="0.25">
      <c r="B6623" s="6"/>
      <c r="C6623" s="7"/>
      <c r="D6623" s="7"/>
      <c r="E6623" s="8"/>
      <c r="F6623" t="str">
        <f t="shared" si="233"/>
        <v/>
      </c>
      <c r="G6623" t="str">
        <f t="shared" si="234"/>
        <v/>
      </c>
    </row>
    <row r="6624" spans="2:7" x14ac:dyDescent="0.25">
      <c r="B6624" s="6"/>
      <c r="C6624" s="7"/>
      <c r="D6624" s="7"/>
      <c r="E6624" s="8"/>
      <c r="F6624" t="str">
        <f t="shared" si="233"/>
        <v/>
      </c>
      <c r="G6624" t="str">
        <f t="shared" si="234"/>
        <v/>
      </c>
    </row>
    <row r="6625" spans="2:7" x14ac:dyDescent="0.25">
      <c r="B6625" s="6"/>
      <c r="C6625" s="7"/>
      <c r="D6625" s="7"/>
      <c r="E6625" s="8"/>
      <c r="F6625" t="str">
        <f t="shared" si="233"/>
        <v/>
      </c>
      <c r="G6625" t="str">
        <f t="shared" si="234"/>
        <v/>
      </c>
    </row>
    <row r="6626" spans="2:7" x14ac:dyDescent="0.25">
      <c r="B6626" s="6"/>
      <c r="C6626" s="7"/>
      <c r="D6626" s="7"/>
      <c r="E6626" s="8"/>
      <c r="F6626" t="str">
        <f t="shared" si="233"/>
        <v/>
      </c>
      <c r="G6626" t="str">
        <f t="shared" si="234"/>
        <v/>
      </c>
    </row>
    <row r="6627" spans="2:7" x14ac:dyDescent="0.25">
      <c r="B6627" s="6"/>
      <c r="C6627" s="7"/>
      <c r="D6627" s="7"/>
      <c r="E6627" s="8"/>
      <c r="F6627" t="str">
        <f t="shared" si="233"/>
        <v/>
      </c>
      <c r="G6627" t="str">
        <f t="shared" si="234"/>
        <v/>
      </c>
    </row>
    <row r="6628" spans="2:7" x14ac:dyDescent="0.25">
      <c r="B6628" s="6"/>
      <c r="C6628" s="7"/>
      <c r="D6628" s="7"/>
      <c r="E6628" s="8"/>
      <c r="F6628" t="str">
        <f t="shared" si="233"/>
        <v/>
      </c>
      <c r="G6628" t="str">
        <f t="shared" si="234"/>
        <v/>
      </c>
    </row>
    <row r="6629" spans="2:7" x14ac:dyDescent="0.25">
      <c r="B6629" s="6"/>
      <c r="C6629" s="7"/>
      <c r="D6629" s="7"/>
      <c r="E6629" s="8"/>
      <c r="F6629" t="str">
        <f t="shared" si="233"/>
        <v/>
      </c>
      <c r="G6629" t="str">
        <f t="shared" si="234"/>
        <v/>
      </c>
    </row>
    <row r="6630" spans="2:7" x14ac:dyDescent="0.25">
      <c r="B6630" s="6"/>
      <c r="C6630" s="7"/>
      <c r="D6630" s="7"/>
      <c r="E6630" s="8"/>
      <c r="F6630" t="str">
        <f t="shared" si="233"/>
        <v/>
      </c>
      <c r="G6630" t="str">
        <f t="shared" si="234"/>
        <v/>
      </c>
    </row>
    <row r="6631" spans="2:7" x14ac:dyDescent="0.25">
      <c r="B6631" s="6"/>
      <c r="C6631" s="7"/>
      <c r="D6631" s="7"/>
      <c r="E6631" s="8"/>
      <c r="F6631" t="str">
        <f t="shared" si="233"/>
        <v/>
      </c>
      <c r="G6631" t="str">
        <f t="shared" si="234"/>
        <v/>
      </c>
    </row>
    <row r="6632" spans="2:7" x14ac:dyDescent="0.25">
      <c r="B6632" s="6"/>
      <c r="C6632" s="7"/>
      <c r="D6632" s="7"/>
      <c r="E6632" s="8"/>
      <c r="F6632" t="str">
        <f t="shared" si="233"/>
        <v/>
      </c>
      <c r="G6632" t="str">
        <f t="shared" si="234"/>
        <v/>
      </c>
    </row>
    <row r="6633" spans="2:7" x14ac:dyDescent="0.25">
      <c r="B6633" s="6"/>
      <c r="C6633" s="7"/>
      <c r="D6633" s="7"/>
      <c r="E6633" s="8"/>
      <c r="F6633" t="str">
        <f t="shared" si="233"/>
        <v/>
      </c>
      <c r="G6633" t="str">
        <f t="shared" si="234"/>
        <v/>
      </c>
    </row>
    <row r="6634" spans="2:7" x14ac:dyDescent="0.25">
      <c r="B6634" s="6"/>
      <c r="C6634" s="7"/>
      <c r="D6634" s="7"/>
      <c r="E6634" s="8"/>
      <c r="F6634" t="str">
        <f t="shared" si="233"/>
        <v/>
      </c>
      <c r="G6634" t="str">
        <f t="shared" si="234"/>
        <v/>
      </c>
    </row>
    <row r="6635" spans="2:7" x14ac:dyDescent="0.25">
      <c r="B6635" s="6"/>
      <c r="C6635" s="7"/>
      <c r="D6635" s="7"/>
      <c r="E6635" s="8"/>
      <c r="F6635" t="str">
        <f t="shared" si="233"/>
        <v/>
      </c>
      <c r="G6635" t="str">
        <f t="shared" si="234"/>
        <v/>
      </c>
    </row>
    <row r="6636" spans="2:7" x14ac:dyDescent="0.25">
      <c r="B6636" s="6"/>
      <c r="C6636" s="7"/>
      <c r="D6636" s="7"/>
      <c r="E6636" s="8"/>
      <c r="F6636" t="str">
        <f t="shared" si="233"/>
        <v/>
      </c>
      <c r="G6636" t="str">
        <f t="shared" si="234"/>
        <v/>
      </c>
    </row>
    <row r="6637" spans="2:7" x14ac:dyDescent="0.25">
      <c r="B6637" s="6"/>
      <c r="C6637" s="7"/>
      <c r="D6637" s="7"/>
      <c r="E6637" s="8"/>
      <c r="F6637" t="str">
        <f t="shared" si="233"/>
        <v/>
      </c>
      <c r="G6637" t="str">
        <f t="shared" si="234"/>
        <v/>
      </c>
    </row>
    <row r="6638" spans="2:7" x14ac:dyDescent="0.25">
      <c r="B6638" s="6"/>
      <c r="C6638" s="7"/>
      <c r="D6638" s="7"/>
      <c r="E6638" s="8"/>
      <c r="F6638" t="str">
        <f t="shared" si="233"/>
        <v/>
      </c>
      <c r="G6638" t="str">
        <f t="shared" si="234"/>
        <v/>
      </c>
    </row>
    <row r="6639" spans="2:7" x14ac:dyDescent="0.25">
      <c r="B6639" s="6"/>
      <c r="C6639" s="7"/>
      <c r="D6639" s="7"/>
      <c r="E6639" s="8"/>
      <c r="F6639" t="str">
        <f t="shared" si="233"/>
        <v/>
      </c>
      <c r="G6639" t="str">
        <f t="shared" si="234"/>
        <v/>
      </c>
    </row>
    <row r="6640" spans="2:7" x14ac:dyDescent="0.25">
      <c r="B6640" s="6"/>
      <c r="C6640" s="7"/>
      <c r="D6640" s="7"/>
      <c r="E6640" s="8"/>
      <c r="F6640" t="str">
        <f t="shared" si="233"/>
        <v/>
      </c>
      <c r="G6640" t="str">
        <f t="shared" si="234"/>
        <v/>
      </c>
    </row>
    <row r="6641" spans="2:7" x14ac:dyDescent="0.25">
      <c r="B6641" s="6"/>
      <c r="C6641" s="7"/>
      <c r="D6641" s="7"/>
      <c r="E6641" s="8"/>
      <c r="F6641" t="str">
        <f t="shared" si="233"/>
        <v/>
      </c>
      <c r="G6641" t="str">
        <f t="shared" si="234"/>
        <v/>
      </c>
    </row>
    <row r="6642" spans="2:7" x14ac:dyDescent="0.25">
      <c r="B6642" s="6"/>
      <c r="C6642" s="7"/>
      <c r="D6642" s="7"/>
      <c r="E6642" s="8"/>
      <c r="F6642" t="str">
        <f t="shared" si="233"/>
        <v/>
      </c>
      <c r="G6642" t="str">
        <f t="shared" si="234"/>
        <v/>
      </c>
    </row>
    <row r="6643" spans="2:7" x14ac:dyDescent="0.25">
      <c r="B6643" s="6"/>
      <c r="C6643" s="7"/>
      <c r="D6643" s="7"/>
      <c r="E6643" s="8"/>
      <c r="F6643" t="str">
        <f t="shared" si="233"/>
        <v/>
      </c>
      <c r="G6643" t="str">
        <f t="shared" si="234"/>
        <v/>
      </c>
    </row>
    <row r="6644" spans="2:7" x14ac:dyDescent="0.25">
      <c r="B6644" s="6"/>
      <c r="C6644" s="7"/>
      <c r="D6644" s="7"/>
      <c r="E6644" s="8"/>
      <c r="F6644" t="str">
        <f t="shared" si="233"/>
        <v/>
      </c>
      <c r="G6644" t="str">
        <f t="shared" si="234"/>
        <v/>
      </c>
    </row>
    <row r="6645" spans="2:7" x14ac:dyDescent="0.25">
      <c r="B6645" s="6"/>
      <c r="C6645" s="7"/>
      <c r="D6645" s="7"/>
      <c r="E6645" s="8"/>
      <c r="F6645" t="str">
        <f t="shared" si="233"/>
        <v/>
      </c>
      <c r="G6645" t="str">
        <f t="shared" si="234"/>
        <v/>
      </c>
    </row>
    <row r="6646" spans="2:7" x14ac:dyDescent="0.25">
      <c r="B6646" s="6"/>
      <c r="C6646" s="7"/>
      <c r="D6646" s="7"/>
      <c r="E6646" s="8"/>
      <c r="F6646" t="str">
        <f t="shared" si="233"/>
        <v/>
      </c>
      <c r="G6646" t="str">
        <f t="shared" si="234"/>
        <v/>
      </c>
    </row>
    <row r="6647" spans="2:7" x14ac:dyDescent="0.25">
      <c r="B6647" s="6"/>
      <c r="C6647" s="7"/>
      <c r="D6647" s="7"/>
      <c r="E6647" s="8"/>
      <c r="F6647" t="str">
        <f t="shared" si="233"/>
        <v/>
      </c>
      <c r="G6647" t="str">
        <f t="shared" si="234"/>
        <v/>
      </c>
    </row>
    <row r="6648" spans="2:7" x14ac:dyDescent="0.25">
      <c r="B6648" s="6"/>
      <c r="C6648" s="7"/>
      <c r="D6648" s="7"/>
      <c r="E6648" s="8"/>
      <c r="F6648" t="str">
        <f t="shared" si="233"/>
        <v/>
      </c>
      <c r="G6648" t="str">
        <f t="shared" si="234"/>
        <v/>
      </c>
    </row>
    <row r="6649" spans="2:7" x14ac:dyDescent="0.25">
      <c r="B6649" s="6"/>
      <c r="C6649" s="7"/>
      <c r="D6649" s="7"/>
      <c r="E6649" s="8"/>
      <c r="F6649" t="str">
        <f t="shared" si="233"/>
        <v/>
      </c>
      <c r="G6649" t="str">
        <f t="shared" si="234"/>
        <v/>
      </c>
    </row>
    <row r="6650" spans="2:7" x14ac:dyDescent="0.25">
      <c r="B6650" s="6"/>
      <c r="C6650" s="7"/>
      <c r="D6650" s="7"/>
      <c r="E6650" s="8"/>
      <c r="F6650" t="str">
        <f t="shared" si="233"/>
        <v/>
      </c>
      <c r="G6650" t="str">
        <f t="shared" si="234"/>
        <v/>
      </c>
    </row>
    <row r="6651" spans="2:7" x14ac:dyDescent="0.25">
      <c r="B6651" s="6"/>
      <c r="C6651" s="7"/>
      <c r="D6651" s="7"/>
      <c r="E6651" s="8"/>
      <c r="F6651" t="str">
        <f t="shared" si="233"/>
        <v/>
      </c>
      <c r="G6651" t="str">
        <f t="shared" si="234"/>
        <v/>
      </c>
    </row>
    <row r="6652" spans="2:7" x14ac:dyDescent="0.25">
      <c r="B6652" s="6"/>
      <c r="C6652" s="7"/>
      <c r="D6652" s="7"/>
      <c r="E6652" s="8"/>
      <c r="F6652" t="str">
        <f t="shared" si="233"/>
        <v/>
      </c>
      <c r="G6652" t="str">
        <f t="shared" si="234"/>
        <v/>
      </c>
    </row>
    <row r="6653" spans="2:7" x14ac:dyDescent="0.25">
      <c r="B6653" s="6"/>
      <c r="C6653" s="7"/>
      <c r="D6653" s="7"/>
      <c r="E6653" s="8"/>
      <c r="F6653" t="str">
        <f t="shared" si="233"/>
        <v/>
      </c>
      <c r="G6653" t="str">
        <f t="shared" si="234"/>
        <v/>
      </c>
    </row>
    <row r="6654" spans="2:7" x14ac:dyDescent="0.25">
      <c r="B6654" s="6"/>
      <c r="C6654" s="7"/>
      <c r="D6654" s="7"/>
      <c r="E6654" s="8"/>
      <c r="F6654" t="str">
        <f t="shared" si="233"/>
        <v/>
      </c>
      <c r="G6654" t="str">
        <f t="shared" si="234"/>
        <v/>
      </c>
    </row>
    <row r="6655" spans="2:7" x14ac:dyDescent="0.25">
      <c r="B6655" s="6"/>
      <c r="C6655" s="7"/>
      <c r="D6655" s="7"/>
      <c r="E6655" s="8"/>
      <c r="F6655" t="str">
        <f t="shared" si="233"/>
        <v/>
      </c>
      <c r="G6655" t="str">
        <f t="shared" si="234"/>
        <v/>
      </c>
    </row>
    <row r="6656" spans="2:7" x14ac:dyDescent="0.25">
      <c r="B6656" s="6"/>
      <c r="C6656" s="7"/>
      <c r="D6656" s="7"/>
      <c r="E6656" s="8"/>
      <c r="F6656" t="str">
        <f t="shared" si="233"/>
        <v/>
      </c>
      <c r="G6656" t="str">
        <f t="shared" si="234"/>
        <v/>
      </c>
    </row>
    <row r="6657" spans="2:7" x14ac:dyDescent="0.25">
      <c r="B6657" s="6"/>
      <c r="C6657" s="7"/>
      <c r="D6657" s="7"/>
      <c r="E6657" s="8"/>
      <c r="F6657" t="str">
        <f t="shared" si="233"/>
        <v/>
      </c>
      <c r="G6657" t="str">
        <f t="shared" si="234"/>
        <v/>
      </c>
    </row>
    <row r="6658" spans="2:7" x14ac:dyDescent="0.25">
      <c r="B6658" s="6"/>
      <c r="C6658" s="7"/>
      <c r="D6658" s="7"/>
      <c r="E6658" s="8"/>
      <c r="F6658" t="str">
        <f t="shared" si="233"/>
        <v/>
      </c>
      <c r="G6658" t="str">
        <f t="shared" si="234"/>
        <v/>
      </c>
    </row>
    <row r="6659" spans="2:7" x14ac:dyDescent="0.25">
      <c r="B6659" s="6"/>
      <c r="C6659" s="7"/>
      <c r="D6659" s="7"/>
      <c r="E6659" s="8"/>
      <c r="F6659" t="str">
        <f t="shared" si="233"/>
        <v/>
      </c>
      <c r="G6659" t="str">
        <f t="shared" si="234"/>
        <v/>
      </c>
    </row>
    <row r="6660" spans="2:7" x14ac:dyDescent="0.25">
      <c r="B6660" s="6"/>
      <c r="C6660" s="7"/>
      <c r="D6660" s="7"/>
      <c r="E6660" s="8"/>
      <c r="F6660" t="str">
        <f t="shared" ref="F6660:F6723" si="235">IF(B6660="","",LOG10(D6660))</f>
        <v/>
      </c>
      <c r="G6660" t="str">
        <f t="shared" ref="G6660:G6723" si="236">IF(E6660="", "",0.434*E6660/D6660)</f>
        <v/>
      </c>
    </row>
    <row r="6661" spans="2:7" x14ac:dyDescent="0.25">
      <c r="B6661" s="6"/>
      <c r="C6661" s="7"/>
      <c r="D6661" s="7"/>
      <c r="E6661" s="8"/>
      <c r="F6661" t="str">
        <f t="shared" si="235"/>
        <v/>
      </c>
      <c r="G6661" t="str">
        <f t="shared" si="236"/>
        <v/>
      </c>
    </row>
    <row r="6662" spans="2:7" x14ac:dyDescent="0.25">
      <c r="B6662" s="6"/>
      <c r="C6662" s="7"/>
      <c r="D6662" s="7"/>
      <c r="E6662" s="8"/>
      <c r="F6662" t="str">
        <f t="shared" si="235"/>
        <v/>
      </c>
      <c r="G6662" t="str">
        <f t="shared" si="236"/>
        <v/>
      </c>
    </row>
    <row r="6663" spans="2:7" x14ac:dyDescent="0.25">
      <c r="B6663" s="6"/>
      <c r="C6663" s="7"/>
      <c r="D6663" s="7"/>
      <c r="E6663" s="8"/>
      <c r="F6663" t="str">
        <f t="shared" si="235"/>
        <v/>
      </c>
      <c r="G6663" t="str">
        <f t="shared" si="236"/>
        <v/>
      </c>
    </row>
    <row r="6664" spans="2:7" x14ac:dyDescent="0.25">
      <c r="B6664" s="6"/>
      <c r="C6664" s="7"/>
      <c r="D6664" s="7"/>
      <c r="E6664" s="8"/>
      <c r="F6664" t="str">
        <f t="shared" si="235"/>
        <v/>
      </c>
      <c r="G6664" t="str">
        <f t="shared" si="236"/>
        <v/>
      </c>
    </row>
    <row r="6665" spans="2:7" x14ac:dyDescent="0.25">
      <c r="B6665" s="6"/>
      <c r="C6665" s="7"/>
      <c r="D6665" s="7"/>
      <c r="E6665" s="8"/>
      <c r="F6665" t="str">
        <f t="shared" si="235"/>
        <v/>
      </c>
      <c r="G6665" t="str">
        <f t="shared" si="236"/>
        <v/>
      </c>
    </row>
    <row r="6666" spans="2:7" x14ac:dyDescent="0.25">
      <c r="B6666" s="6"/>
      <c r="C6666" s="7"/>
      <c r="D6666" s="7"/>
      <c r="E6666" s="8"/>
      <c r="F6666" t="str">
        <f t="shared" si="235"/>
        <v/>
      </c>
      <c r="G6666" t="str">
        <f t="shared" si="236"/>
        <v/>
      </c>
    </row>
    <row r="6667" spans="2:7" x14ac:dyDescent="0.25">
      <c r="B6667" s="6"/>
      <c r="C6667" s="7"/>
      <c r="D6667" s="7"/>
      <c r="E6667" s="8"/>
      <c r="F6667" t="str">
        <f t="shared" si="235"/>
        <v/>
      </c>
      <c r="G6667" t="str">
        <f t="shared" si="236"/>
        <v/>
      </c>
    </row>
    <row r="6668" spans="2:7" x14ac:dyDescent="0.25">
      <c r="B6668" s="6"/>
      <c r="C6668" s="7"/>
      <c r="D6668" s="7"/>
      <c r="E6668" s="8"/>
      <c r="F6668" t="str">
        <f t="shared" si="235"/>
        <v/>
      </c>
      <c r="G6668" t="str">
        <f t="shared" si="236"/>
        <v/>
      </c>
    </row>
    <row r="6669" spans="2:7" x14ac:dyDescent="0.25">
      <c r="B6669" s="6"/>
      <c r="C6669" s="7"/>
      <c r="D6669" s="7"/>
      <c r="E6669" s="8"/>
      <c r="F6669" t="str">
        <f t="shared" si="235"/>
        <v/>
      </c>
      <c r="G6669" t="str">
        <f t="shared" si="236"/>
        <v/>
      </c>
    </row>
    <row r="6670" spans="2:7" x14ac:dyDescent="0.25">
      <c r="B6670" s="6"/>
      <c r="C6670" s="7"/>
      <c r="D6670" s="7"/>
      <c r="E6670" s="8"/>
      <c r="F6670" t="str">
        <f t="shared" si="235"/>
        <v/>
      </c>
      <c r="G6670" t="str">
        <f t="shared" si="236"/>
        <v/>
      </c>
    </row>
    <row r="6671" spans="2:7" x14ac:dyDescent="0.25">
      <c r="B6671" s="6"/>
      <c r="C6671" s="7"/>
      <c r="D6671" s="7"/>
      <c r="E6671" s="8"/>
      <c r="F6671" t="str">
        <f t="shared" si="235"/>
        <v/>
      </c>
      <c r="G6671" t="str">
        <f t="shared" si="236"/>
        <v/>
      </c>
    </row>
    <row r="6672" spans="2:7" x14ac:dyDescent="0.25">
      <c r="B6672" s="6"/>
      <c r="C6672" s="7"/>
      <c r="D6672" s="7"/>
      <c r="E6672" s="8"/>
      <c r="F6672" t="str">
        <f t="shared" si="235"/>
        <v/>
      </c>
      <c r="G6672" t="str">
        <f t="shared" si="236"/>
        <v/>
      </c>
    </row>
    <row r="6673" spans="2:7" x14ac:dyDescent="0.25">
      <c r="B6673" s="6"/>
      <c r="C6673" s="7"/>
      <c r="D6673" s="7"/>
      <c r="E6673" s="8"/>
      <c r="F6673" t="str">
        <f t="shared" si="235"/>
        <v/>
      </c>
      <c r="G6673" t="str">
        <f t="shared" si="236"/>
        <v/>
      </c>
    </row>
    <row r="6674" spans="2:7" x14ac:dyDescent="0.25">
      <c r="B6674" s="6"/>
      <c r="C6674" s="7"/>
      <c r="D6674" s="7"/>
      <c r="E6674" s="8"/>
      <c r="F6674" t="str">
        <f t="shared" si="235"/>
        <v/>
      </c>
      <c r="G6674" t="str">
        <f t="shared" si="236"/>
        <v/>
      </c>
    </row>
    <row r="6675" spans="2:7" x14ac:dyDescent="0.25">
      <c r="B6675" s="6"/>
      <c r="C6675" s="7"/>
      <c r="D6675" s="7"/>
      <c r="E6675" s="8"/>
      <c r="F6675" t="str">
        <f t="shared" si="235"/>
        <v/>
      </c>
      <c r="G6675" t="str">
        <f t="shared" si="236"/>
        <v/>
      </c>
    </row>
    <row r="6676" spans="2:7" x14ac:dyDescent="0.25">
      <c r="B6676" s="6"/>
      <c r="C6676" s="7"/>
      <c r="D6676" s="7"/>
      <c r="E6676" s="8"/>
      <c r="F6676" t="str">
        <f t="shared" si="235"/>
        <v/>
      </c>
      <c r="G6676" t="str">
        <f t="shared" si="236"/>
        <v/>
      </c>
    </row>
    <row r="6677" spans="2:7" x14ac:dyDescent="0.25">
      <c r="B6677" s="6"/>
      <c r="C6677" s="7"/>
      <c r="D6677" s="7"/>
      <c r="E6677" s="8"/>
      <c r="F6677" t="str">
        <f t="shared" si="235"/>
        <v/>
      </c>
      <c r="G6677" t="str">
        <f t="shared" si="236"/>
        <v/>
      </c>
    </row>
    <row r="6678" spans="2:7" x14ac:dyDescent="0.25">
      <c r="B6678" s="6"/>
      <c r="C6678" s="7"/>
      <c r="D6678" s="7"/>
      <c r="E6678" s="8"/>
      <c r="F6678" t="str">
        <f t="shared" si="235"/>
        <v/>
      </c>
      <c r="G6678" t="str">
        <f t="shared" si="236"/>
        <v/>
      </c>
    </row>
    <row r="6679" spans="2:7" x14ac:dyDescent="0.25">
      <c r="B6679" s="6"/>
      <c r="C6679" s="7"/>
      <c r="D6679" s="7"/>
      <c r="E6679" s="8"/>
      <c r="F6679" t="str">
        <f t="shared" si="235"/>
        <v/>
      </c>
      <c r="G6679" t="str">
        <f t="shared" si="236"/>
        <v/>
      </c>
    </row>
    <row r="6680" spans="2:7" x14ac:dyDescent="0.25">
      <c r="B6680" s="6"/>
      <c r="C6680" s="7"/>
      <c r="D6680" s="7"/>
      <c r="E6680" s="8"/>
      <c r="F6680" t="str">
        <f t="shared" si="235"/>
        <v/>
      </c>
      <c r="G6680" t="str">
        <f t="shared" si="236"/>
        <v/>
      </c>
    </row>
    <row r="6681" spans="2:7" x14ac:dyDescent="0.25">
      <c r="B6681" s="6"/>
      <c r="C6681" s="7"/>
      <c r="D6681" s="7"/>
      <c r="E6681" s="8"/>
      <c r="F6681" t="str">
        <f t="shared" si="235"/>
        <v/>
      </c>
      <c r="G6681" t="str">
        <f t="shared" si="236"/>
        <v/>
      </c>
    </row>
    <row r="6682" spans="2:7" x14ac:dyDescent="0.25">
      <c r="B6682" s="6"/>
      <c r="C6682" s="7"/>
      <c r="D6682" s="7"/>
      <c r="E6682" s="8"/>
      <c r="F6682" t="str">
        <f t="shared" si="235"/>
        <v/>
      </c>
      <c r="G6682" t="str">
        <f t="shared" si="236"/>
        <v/>
      </c>
    </row>
    <row r="6683" spans="2:7" x14ac:dyDescent="0.25">
      <c r="B6683" s="6"/>
      <c r="C6683" s="7"/>
      <c r="D6683" s="7"/>
      <c r="E6683" s="8"/>
      <c r="F6683" t="str">
        <f t="shared" si="235"/>
        <v/>
      </c>
      <c r="G6683" t="str">
        <f t="shared" si="236"/>
        <v/>
      </c>
    </row>
    <row r="6684" spans="2:7" x14ac:dyDescent="0.25">
      <c r="B6684" s="6"/>
      <c r="C6684" s="7"/>
      <c r="D6684" s="7"/>
      <c r="E6684" s="8"/>
      <c r="F6684" t="str">
        <f t="shared" si="235"/>
        <v/>
      </c>
      <c r="G6684" t="str">
        <f t="shared" si="236"/>
        <v/>
      </c>
    </row>
    <row r="6685" spans="2:7" x14ac:dyDescent="0.25">
      <c r="B6685" s="6"/>
      <c r="C6685" s="7"/>
      <c r="D6685" s="7"/>
      <c r="E6685" s="8"/>
      <c r="F6685" t="str">
        <f t="shared" si="235"/>
        <v/>
      </c>
      <c r="G6685" t="str">
        <f t="shared" si="236"/>
        <v/>
      </c>
    </row>
    <row r="6686" spans="2:7" x14ac:dyDescent="0.25">
      <c r="B6686" s="6"/>
      <c r="C6686" s="7"/>
      <c r="D6686" s="7"/>
      <c r="E6686" s="8"/>
      <c r="F6686" t="str">
        <f t="shared" si="235"/>
        <v/>
      </c>
      <c r="G6686" t="str">
        <f t="shared" si="236"/>
        <v/>
      </c>
    </row>
    <row r="6687" spans="2:7" x14ac:dyDescent="0.25">
      <c r="B6687" s="6"/>
      <c r="C6687" s="7"/>
      <c r="D6687" s="7"/>
      <c r="E6687" s="8"/>
      <c r="F6687" t="str">
        <f t="shared" si="235"/>
        <v/>
      </c>
      <c r="G6687" t="str">
        <f t="shared" si="236"/>
        <v/>
      </c>
    </row>
    <row r="6688" spans="2:7" x14ac:dyDescent="0.25">
      <c r="B6688" s="6"/>
      <c r="C6688" s="7"/>
      <c r="D6688" s="7"/>
      <c r="E6688" s="8"/>
      <c r="F6688" t="str">
        <f t="shared" si="235"/>
        <v/>
      </c>
      <c r="G6688" t="str">
        <f t="shared" si="236"/>
        <v/>
      </c>
    </row>
    <row r="6689" spans="2:7" x14ac:dyDescent="0.25">
      <c r="B6689" s="6"/>
      <c r="C6689" s="7"/>
      <c r="D6689" s="7"/>
      <c r="E6689" s="8"/>
      <c r="F6689" t="str">
        <f t="shared" si="235"/>
        <v/>
      </c>
      <c r="G6689" t="str">
        <f t="shared" si="236"/>
        <v/>
      </c>
    </row>
    <row r="6690" spans="2:7" x14ac:dyDescent="0.25">
      <c r="B6690" s="6"/>
      <c r="C6690" s="7"/>
      <c r="D6690" s="7"/>
      <c r="E6690" s="8"/>
      <c r="F6690" t="str">
        <f t="shared" si="235"/>
        <v/>
      </c>
      <c r="G6690" t="str">
        <f t="shared" si="236"/>
        <v/>
      </c>
    </row>
    <row r="6691" spans="2:7" x14ac:dyDescent="0.25">
      <c r="B6691" s="6"/>
      <c r="C6691" s="7"/>
      <c r="D6691" s="7"/>
      <c r="E6691" s="8"/>
      <c r="F6691" t="str">
        <f t="shared" si="235"/>
        <v/>
      </c>
      <c r="G6691" t="str">
        <f t="shared" si="236"/>
        <v/>
      </c>
    </row>
    <row r="6692" spans="2:7" x14ac:dyDescent="0.25">
      <c r="B6692" s="6"/>
      <c r="C6692" s="7"/>
      <c r="D6692" s="7"/>
      <c r="E6692" s="8"/>
      <c r="F6692" t="str">
        <f t="shared" si="235"/>
        <v/>
      </c>
      <c r="G6692" t="str">
        <f t="shared" si="236"/>
        <v/>
      </c>
    </row>
    <row r="6693" spans="2:7" x14ac:dyDescent="0.25">
      <c r="B6693" s="6"/>
      <c r="C6693" s="7"/>
      <c r="D6693" s="7"/>
      <c r="E6693" s="8"/>
      <c r="F6693" t="str">
        <f t="shared" si="235"/>
        <v/>
      </c>
      <c r="G6693" t="str">
        <f t="shared" si="236"/>
        <v/>
      </c>
    </row>
    <row r="6694" spans="2:7" x14ac:dyDescent="0.25">
      <c r="B6694" s="6"/>
      <c r="C6694" s="7"/>
      <c r="D6694" s="7"/>
      <c r="E6694" s="8"/>
      <c r="F6694" t="str">
        <f t="shared" si="235"/>
        <v/>
      </c>
      <c r="G6694" t="str">
        <f t="shared" si="236"/>
        <v/>
      </c>
    </row>
    <row r="6695" spans="2:7" x14ac:dyDescent="0.25">
      <c r="B6695" s="6"/>
      <c r="C6695" s="7"/>
      <c r="D6695" s="7"/>
      <c r="E6695" s="8"/>
      <c r="F6695" t="str">
        <f t="shared" si="235"/>
        <v/>
      </c>
      <c r="G6695" t="str">
        <f t="shared" si="236"/>
        <v/>
      </c>
    </row>
    <row r="6696" spans="2:7" x14ac:dyDescent="0.25">
      <c r="B6696" s="6"/>
      <c r="C6696" s="7"/>
      <c r="D6696" s="7"/>
      <c r="E6696" s="8"/>
      <c r="F6696" t="str">
        <f t="shared" si="235"/>
        <v/>
      </c>
      <c r="G6696" t="str">
        <f t="shared" si="236"/>
        <v/>
      </c>
    </row>
    <row r="6697" spans="2:7" x14ac:dyDescent="0.25">
      <c r="B6697" s="6"/>
      <c r="C6697" s="7"/>
      <c r="D6697" s="7"/>
      <c r="E6697" s="8"/>
      <c r="F6697" t="str">
        <f t="shared" si="235"/>
        <v/>
      </c>
      <c r="G6697" t="str">
        <f t="shared" si="236"/>
        <v/>
      </c>
    </row>
    <row r="6698" spans="2:7" x14ac:dyDescent="0.25">
      <c r="B6698" s="6"/>
      <c r="C6698" s="7"/>
      <c r="D6698" s="7"/>
      <c r="E6698" s="8"/>
      <c r="F6698" t="str">
        <f t="shared" si="235"/>
        <v/>
      </c>
      <c r="G6698" t="str">
        <f t="shared" si="236"/>
        <v/>
      </c>
    </row>
    <row r="6699" spans="2:7" x14ac:dyDescent="0.25">
      <c r="B6699" s="6"/>
      <c r="C6699" s="7"/>
      <c r="D6699" s="7"/>
      <c r="E6699" s="8"/>
      <c r="F6699" t="str">
        <f t="shared" si="235"/>
        <v/>
      </c>
      <c r="G6699" t="str">
        <f t="shared" si="236"/>
        <v/>
      </c>
    </row>
    <row r="6700" spans="2:7" x14ac:dyDescent="0.25">
      <c r="B6700" s="6"/>
      <c r="C6700" s="7"/>
      <c r="D6700" s="7"/>
      <c r="E6700" s="8"/>
      <c r="F6700" t="str">
        <f t="shared" si="235"/>
        <v/>
      </c>
      <c r="G6700" t="str">
        <f t="shared" si="236"/>
        <v/>
      </c>
    </row>
    <row r="6701" spans="2:7" x14ac:dyDescent="0.25">
      <c r="B6701" s="6"/>
      <c r="C6701" s="7"/>
      <c r="D6701" s="7"/>
      <c r="E6701" s="8"/>
      <c r="F6701" t="str">
        <f t="shared" si="235"/>
        <v/>
      </c>
      <c r="G6701" t="str">
        <f t="shared" si="236"/>
        <v/>
      </c>
    </row>
    <row r="6702" spans="2:7" x14ac:dyDescent="0.25">
      <c r="B6702" s="6"/>
      <c r="C6702" s="7"/>
      <c r="D6702" s="7"/>
      <c r="E6702" s="8"/>
      <c r="F6702" t="str">
        <f t="shared" si="235"/>
        <v/>
      </c>
      <c r="G6702" t="str">
        <f t="shared" si="236"/>
        <v/>
      </c>
    </row>
    <row r="6703" spans="2:7" x14ac:dyDescent="0.25">
      <c r="B6703" s="6"/>
      <c r="C6703" s="7"/>
      <c r="D6703" s="7"/>
      <c r="E6703" s="8"/>
      <c r="F6703" t="str">
        <f t="shared" si="235"/>
        <v/>
      </c>
      <c r="G6703" t="str">
        <f t="shared" si="236"/>
        <v/>
      </c>
    </row>
    <row r="6704" spans="2:7" x14ac:dyDescent="0.25">
      <c r="B6704" s="6"/>
      <c r="C6704" s="7"/>
      <c r="D6704" s="7"/>
      <c r="E6704" s="8"/>
      <c r="F6704" t="str">
        <f t="shared" si="235"/>
        <v/>
      </c>
      <c r="G6704" t="str">
        <f t="shared" si="236"/>
        <v/>
      </c>
    </row>
    <row r="6705" spans="2:7" x14ac:dyDescent="0.25">
      <c r="B6705" s="6"/>
      <c r="C6705" s="7"/>
      <c r="D6705" s="7"/>
      <c r="E6705" s="8"/>
      <c r="F6705" t="str">
        <f t="shared" si="235"/>
        <v/>
      </c>
      <c r="G6705" t="str">
        <f t="shared" si="236"/>
        <v/>
      </c>
    </row>
    <row r="6706" spans="2:7" x14ac:dyDescent="0.25">
      <c r="B6706" s="6"/>
      <c r="C6706" s="7"/>
      <c r="D6706" s="7"/>
      <c r="E6706" s="8"/>
      <c r="F6706" t="str">
        <f t="shared" si="235"/>
        <v/>
      </c>
      <c r="G6706" t="str">
        <f t="shared" si="236"/>
        <v/>
      </c>
    </row>
    <row r="6707" spans="2:7" x14ac:dyDescent="0.25">
      <c r="B6707" s="6"/>
      <c r="C6707" s="7"/>
      <c r="D6707" s="7"/>
      <c r="E6707" s="8"/>
      <c r="F6707" t="str">
        <f t="shared" si="235"/>
        <v/>
      </c>
      <c r="G6707" t="str">
        <f t="shared" si="236"/>
        <v/>
      </c>
    </row>
    <row r="6708" spans="2:7" x14ac:dyDescent="0.25">
      <c r="B6708" s="6"/>
      <c r="C6708" s="7"/>
      <c r="D6708" s="7"/>
      <c r="E6708" s="8"/>
      <c r="F6708" t="str">
        <f t="shared" si="235"/>
        <v/>
      </c>
      <c r="G6708" t="str">
        <f t="shared" si="236"/>
        <v/>
      </c>
    </row>
    <row r="6709" spans="2:7" x14ac:dyDescent="0.25">
      <c r="B6709" s="6"/>
      <c r="C6709" s="7"/>
      <c r="D6709" s="7"/>
      <c r="E6709" s="8"/>
      <c r="F6709" t="str">
        <f t="shared" si="235"/>
        <v/>
      </c>
      <c r="G6709" t="str">
        <f t="shared" si="236"/>
        <v/>
      </c>
    </row>
    <row r="6710" spans="2:7" x14ac:dyDescent="0.25">
      <c r="B6710" s="6"/>
      <c r="C6710" s="7"/>
      <c r="D6710" s="7"/>
      <c r="E6710" s="8"/>
      <c r="F6710" t="str">
        <f t="shared" si="235"/>
        <v/>
      </c>
      <c r="G6710" t="str">
        <f t="shared" si="236"/>
        <v/>
      </c>
    </row>
    <row r="6711" spans="2:7" x14ac:dyDescent="0.25">
      <c r="B6711" s="6"/>
      <c r="C6711" s="7"/>
      <c r="D6711" s="7"/>
      <c r="E6711" s="8"/>
      <c r="F6711" t="str">
        <f t="shared" si="235"/>
        <v/>
      </c>
      <c r="G6711" t="str">
        <f t="shared" si="236"/>
        <v/>
      </c>
    </row>
    <row r="6712" spans="2:7" x14ac:dyDescent="0.25">
      <c r="B6712" s="6"/>
      <c r="C6712" s="7"/>
      <c r="D6712" s="7"/>
      <c r="E6712" s="8"/>
      <c r="F6712" t="str">
        <f t="shared" si="235"/>
        <v/>
      </c>
      <c r="G6712" t="str">
        <f t="shared" si="236"/>
        <v/>
      </c>
    </row>
    <row r="6713" spans="2:7" x14ac:dyDescent="0.25">
      <c r="B6713" s="6"/>
      <c r="C6713" s="7"/>
      <c r="D6713" s="7"/>
      <c r="E6713" s="8"/>
      <c r="F6713" t="str">
        <f t="shared" si="235"/>
        <v/>
      </c>
      <c r="G6713" t="str">
        <f t="shared" si="236"/>
        <v/>
      </c>
    </row>
    <row r="6714" spans="2:7" x14ac:dyDescent="0.25">
      <c r="B6714" s="6"/>
      <c r="C6714" s="7"/>
      <c r="D6714" s="7"/>
      <c r="E6714" s="8"/>
      <c r="F6714" t="str">
        <f t="shared" si="235"/>
        <v/>
      </c>
      <c r="G6714" t="str">
        <f t="shared" si="236"/>
        <v/>
      </c>
    </row>
    <row r="6715" spans="2:7" x14ac:dyDescent="0.25">
      <c r="B6715" s="6"/>
      <c r="C6715" s="7"/>
      <c r="D6715" s="7"/>
      <c r="E6715" s="8"/>
      <c r="F6715" t="str">
        <f t="shared" si="235"/>
        <v/>
      </c>
      <c r="G6715" t="str">
        <f t="shared" si="236"/>
        <v/>
      </c>
    </row>
    <row r="6716" spans="2:7" x14ac:dyDescent="0.25">
      <c r="B6716" s="6"/>
      <c r="C6716" s="7"/>
      <c r="D6716" s="7"/>
      <c r="E6716" s="8"/>
      <c r="F6716" t="str">
        <f t="shared" si="235"/>
        <v/>
      </c>
      <c r="G6716" t="str">
        <f t="shared" si="236"/>
        <v/>
      </c>
    </row>
    <row r="6717" spans="2:7" x14ac:dyDescent="0.25">
      <c r="B6717" s="6"/>
      <c r="C6717" s="7"/>
      <c r="D6717" s="7"/>
      <c r="E6717" s="8"/>
      <c r="F6717" t="str">
        <f t="shared" si="235"/>
        <v/>
      </c>
      <c r="G6717" t="str">
        <f t="shared" si="236"/>
        <v/>
      </c>
    </row>
    <row r="6718" spans="2:7" x14ac:dyDescent="0.25">
      <c r="B6718" s="6"/>
      <c r="C6718" s="7"/>
      <c r="D6718" s="7"/>
      <c r="E6718" s="8"/>
      <c r="F6718" t="str">
        <f t="shared" si="235"/>
        <v/>
      </c>
      <c r="G6718" t="str">
        <f t="shared" si="236"/>
        <v/>
      </c>
    </row>
    <row r="6719" spans="2:7" x14ac:dyDescent="0.25">
      <c r="B6719" s="6"/>
      <c r="C6719" s="7"/>
      <c r="D6719" s="7"/>
      <c r="E6719" s="8"/>
      <c r="F6719" t="str">
        <f t="shared" si="235"/>
        <v/>
      </c>
      <c r="G6719" t="str">
        <f t="shared" si="236"/>
        <v/>
      </c>
    </row>
    <row r="6720" spans="2:7" x14ac:dyDescent="0.25">
      <c r="B6720" s="6"/>
      <c r="C6720" s="7"/>
      <c r="D6720" s="7"/>
      <c r="E6720" s="8"/>
      <c r="F6720" t="str">
        <f t="shared" si="235"/>
        <v/>
      </c>
      <c r="G6720" t="str">
        <f t="shared" si="236"/>
        <v/>
      </c>
    </row>
    <row r="6721" spans="2:7" x14ac:dyDescent="0.25">
      <c r="B6721" s="6"/>
      <c r="C6721" s="7"/>
      <c r="D6721" s="7"/>
      <c r="E6721" s="8"/>
      <c r="F6721" t="str">
        <f t="shared" si="235"/>
        <v/>
      </c>
      <c r="G6721" t="str">
        <f t="shared" si="236"/>
        <v/>
      </c>
    </row>
    <row r="6722" spans="2:7" x14ac:dyDescent="0.25">
      <c r="B6722" s="6"/>
      <c r="C6722" s="7"/>
      <c r="D6722" s="7"/>
      <c r="E6722" s="8"/>
      <c r="F6722" t="str">
        <f t="shared" si="235"/>
        <v/>
      </c>
      <c r="G6722" t="str">
        <f t="shared" si="236"/>
        <v/>
      </c>
    </row>
    <row r="6723" spans="2:7" x14ac:dyDescent="0.25">
      <c r="B6723" s="6"/>
      <c r="C6723" s="7"/>
      <c r="D6723" s="7"/>
      <c r="E6723" s="8"/>
      <c r="F6723" t="str">
        <f t="shared" si="235"/>
        <v/>
      </c>
      <c r="G6723" t="str">
        <f t="shared" si="236"/>
        <v/>
      </c>
    </row>
    <row r="6724" spans="2:7" x14ac:dyDescent="0.25">
      <c r="B6724" s="6"/>
      <c r="C6724" s="7"/>
      <c r="D6724" s="7"/>
      <c r="E6724" s="8"/>
      <c r="F6724" t="str">
        <f t="shared" ref="F6724:F6787" si="237">IF(B6724="","",LOG10(D6724))</f>
        <v/>
      </c>
      <c r="G6724" t="str">
        <f t="shared" ref="G6724:G6787" si="238">IF(E6724="", "",0.434*E6724/D6724)</f>
        <v/>
      </c>
    </row>
    <row r="6725" spans="2:7" x14ac:dyDescent="0.25">
      <c r="B6725" s="6"/>
      <c r="C6725" s="7"/>
      <c r="D6725" s="7"/>
      <c r="E6725" s="8"/>
      <c r="F6725" t="str">
        <f t="shared" si="237"/>
        <v/>
      </c>
      <c r="G6725" t="str">
        <f t="shared" si="238"/>
        <v/>
      </c>
    </row>
    <row r="6726" spans="2:7" x14ac:dyDescent="0.25">
      <c r="B6726" s="6"/>
      <c r="C6726" s="7"/>
      <c r="D6726" s="7"/>
      <c r="E6726" s="8"/>
      <c r="F6726" t="str">
        <f t="shared" si="237"/>
        <v/>
      </c>
      <c r="G6726" t="str">
        <f t="shared" si="238"/>
        <v/>
      </c>
    </row>
    <row r="6727" spans="2:7" x14ac:dyDescent="0.25">
      <c r="B6727" s="6"/>
      <c r="C6727" s="7"/>
      <c r="D6727" s="7"/>
      <c r="E6727" s="8"/>
      <c r="F6727" t="str">
        <f t="shared" si="237"/>
        <v/>
      </c>
      <c r="G6727" t="str">
        <f t="shared" si="238"/>
        <v/>
      </c>
    </row>
    <row r="6728" spans="2:7" x14ac:dyDescent="0.25">
      <c r="B6728" s="6"/>
      <c r="C6728" s="7"/>
      <c r="D6728" s="7"/>
      <c r="E6728" s="8"/>
      <c r="F6728" t="str">
        <f t="shared" si="237"/>
        <v/>
      </c>
      <c r="G6728" t="str">
        <f t="shared" si="238"/>
        <v/>
      </c>
    </row>
    <row r="6729" spans="2:7" x14ac:dyDescent="0.25">
      <c r="B6729" s="6"/>
      <c r="C6729" s="7"/>
      <c r="D6729" s="7"/>
      <c r="E6729" s="8"/>
      <c r="F6729" t="str">
        <f t="shared" si="237"/>
        <v/>
      </c>
      <c r="G6729" t="str">
        <f t="shared" si="238"/>
        <v/>
      </c>
    </row>
    <row r="6730" spans="2:7" x14ac:dyDescent="0.25">
      <c r="B6730" s="6"/>
      <c r="C6730" s="7"/>
      <c r="D6730" s="7"/>
      <c r="E6730" s="8"/>
      <c r="F6730" t="str">
        <f t="shared" si="237"/>
        <v/>
      </c>
      <c r="G6730" t="str">
        <f t="shared" si="238"/>
        <v/>
      </c>
    </row>
    <row r="6731" spans="2:7" x14ac:dyDescent="0.25">
      <c r="B6731" s="6"/>
      <c r="C6731" s="7"/>
      <c r="D6731" s="7"/>
      <c r="E6731" s="8"/>
      <c r="F6731" t="str">
        <f t="shared" si="237"/>
        <v/>
      </c>
      <c r="G6731" t="str">
        <f t="shared" si="238"/>
        <v/>
      </c>
    </row>
    <row r="6732" spans="2:7" x14ac:dyDescent="0.25">
      <c r="B6732" s="6"/>
      <c r="C6732" s="7"/>
      <c r="D6732" s="7"/>
      <c r="E6732" s="8"/>
      <c r="F6732" t="str">
        <f t="shared" si="237"/>
        <v/>
      </c>
      <c r="G6732" t="str">
        <f t="shared" si="238"/>
        <v/>
      </c>
    </row>
    <row r="6733" spans="2:7" x14ac:dyDescent="0.25">
      <c r="B6733" s="6"/>
      <c r="C6733" s="7"/>
      <c r="D6733" s="7"/>
      <c r="E6733" s="8"/>
      <c r="F6733" t="str">
        <f t="shared" si="237"/>
        <v/>
      </c>
      <c r="G6733" t="str">
        <f t="shared" si="238"/>
        <v/>
      </c>
    </row>
    <row r="6734" spans="2:7" x14ac:dyDescent="0.25">
      <c r="B6734" s="6"/>
      <c r="C6734" s="7"/>
      <c r="D6734" s="7"/>
      <c r="E6734" s="8"/>
      <c r="F6734" t="str">
        <f t="shared" si="237"/>
        <v/>
      </c>
      <c r="G6734" t="str">
        <f t="shared" si="238"/>
        <v/>
      </c>
    </row>
    <row r="6735" spans="2:7" x14ac:dyDescent="0.25">
      <c r="B6735" s="6"/>
      <c r="C6735" s="7"/>
      <c r="D6735" s="7"/>
      <c r="E6735" s="8"/>
      <c r="F6735" t="str">
        <f t="shared" si="237"/>
        <v/>
      </c>
      <c r="G6735" t="str">
        <f t="shared" si="238"/>
        <v/>
      </c>
    </row>
    <row r="6736" spans="2:7" x14ac:dyDescent="0.25">
      <c r="B6736" s="6"/>
      <c r="C6736" s="7"/>
      <c r="D6736" s="7"/>
      <c r="E6736" s="8"/>
      <c r="F6736" t="str">
        <f t="shared" si="237"/>
        <v/>
      </c>
      <c r="G6736" t="str">
        <f t="shared" si="238"/>
        <v/>
      </c>
    </row>
    <row r="6737" spans="2:7" x14ac:dyDescent="0.25">
      <c r="B6737" s="6"/>
      <c r="C6737" s="7"/>
      <c r="D6737" s="7"/>
      <c r="E6737" s="8"/>
      <c r="F6737" t="str">
        <f t="shared" si="237"/>
        <v/>
      </c>
      <c r="G6737" t="str">
        <f t="shared" si="238"/>
        <v/>
      </c>
    </row>
    <row r="6738" spans="2:7" x14ac:dyDescent="0.25">
      <c r="B6738" s="6"/>
      <c r="C6738" s="7"/>
      <c r="D6738" s="7"/>
      <c r="E6738" s="8"/>
      <c r="F6738" t="str">
        <f t="shared" si="237"/>
        <v/>
      </c>
      <c r="G6738" t="str">
        <f t="shared" si="238"/>
        <v/>
      </c>
    </row>
    <row r="6739" spans="2:7" x14ac:dyDescent="0.25">
      <c r="B6739" s="6"/>
      <c r="C6739" s="7"/>
      <c r="D6739" s="7"/>
      <c r="E6739" s="8"/>
      <c r="F6739" t="str">
        <f t="shared" si="237"/>
        <v/>
      </c>
      <c r="G6739" t="str">
        <f t="shared" si="238"/>
        <v/>
      </c>
    </row>
    <row r="6740" spans="2:7" x14ac:dyDescent="0.25">
      <c r="B6740" s="6"/>
      <c r="C6740" s="7"/>
      <c r="D6740" s="7"/>
      <c r="E6740" s="8"/>
      <c r="F6740" t="str">
        <f t="shared" si="237"/>
        <v/>
      </c>
      <c r="G6740" t="str">
        <f t="shared" si="238"/>
        <v/>
      </c>
    </row>
    <row r="6741" spans="2:7" x14ac:dyDescent="0.25">
      <c r="B6741" s="6"/>
      <c r="C6741" s="7"/>
      <c r="D6741" s="7"/>
      <c r="E6741" s="8"/>
      <c r="F6741" t="str">
        <f t="shared" si="237"/>
        <v/>
      </c>
      <c r="G6741" t="str">
        <f t="shared" si="238"/>
        <v/>
      </c>
    </row>
    <row r="6742" spans="2:7" x14ac:dyDescent="0.25">
      <c r="B6742" s="6"/>
      <c r="C6742" s="7"/>
      <c r="D6742" s="7"/>
      <c r="E6742" s="8"/>
      <c r="F6742" t="str">
        <f t="shared" si="237"/>
        <v/>
      </c>
      <c r="G6742" t="str">
        <f t="shared" si="238"/>
        <v/>
      </c>
    </row>
    <row r="6743" spans="2:7" x14ac:dyDescent="0.25">
      <c r="B6743" s="6"/>
      <c r="C6743" s="7"/>
      <c r="D6743" s="7"/>
      <c r="E6743" s="8"/>
      <c r="F6743" t="str">
        <f t="shared" si="237"/>
        <v/>
      </c>
      <c r="G6743" t="str">
        <f t="shared" si="238"/>
        <v/>
      </c>
    </row>
    <row r="6744" spans="2:7" x14ac:dyDescent="0.25">
      <c r="B6744" s="6"/>
      <c r="C6744" s="7"/>
      <c r="D6744" s="7"/>
      <c r="E6744" s="8"/>
      <c r="F6744" t="str">
        <f t="shared" si="237"/>
        <v/>
      </c>
      <c r="G6744" t="str">
        <f t="shared" si="238"/>
        <v/>
      </c>
    </row>
    <row r="6745" spans="2:7" x14ac:dyDescent="0.25">
      <c r="B6745" s="6"/>
      <c r="C6745" s="7"/>
      <c r="D6745" s="7"/>
      <c r="E6745" s="8"/>
      <c r="F6745" t="str">
        <f t="shared" si="237"/>
        <v/>
      </c>
      <c r="G6745" t="str">
        <f t="shared" si="238"/>
        <v/>
      </c>
    </row>
    <row r="6746" spans="2:7" x14ac:dyDescent="0.25">
      <c r="B6746" s="6"/>
      <c r="C6746" s="7"/>
      <c r="D6746" s="7"/>
      <c r="E6746" s="8"/>
      <c r="F6746" t="str">
        <f t="shared" si="237"/>
        <v/>
      </c>
      <c r="G6746" t="str">
        <f t="shared" si="238"/>
        <v/>
      </c>
    </row>
    <row r="6747" spans="2:7" x14ac:dyDescent="0.25">
      <c r="B6747" s="6"/>
      <c r="C6747" s="7"/>
      <c r="D6747" s="7"/>
      <c r="E6747" s="8"/>
      <c r="F6747" t="str">
        <f t="shared" si="237"/>
        <v/>
      </c>
      <c r="G6747" t="str">
        <f t="shared" si="238"/>
        <v/>
      </c>
    </row>
    <row r="6748" spans="2:7" x14ac:dyDescent="0.25">
      <c r="B6748" s="6"/>
      <c r="C6748" s="7"/>
      <c r="D6748" s="7"/>
      <c r="E6748" s="8"/>
      <c r="F6748" t="str">
        <f t="shared" si="237"/>
        <v/>
      </c>
      <c r="G6748" t="str">
        <f t="shared" si="238"/>
        <v/>
      </c>
    </row>
    <row r="6749" spans="2:7" x14ac:dyDescent="0.25">
      <c r="B6749" s="6"/>
      <c r="C6749" s="7"/>
      <c r="D6749" s="7"/>
      <c r="E6749" s="8"/>
      <c r="F6749" t="str">
        <f t="shared" si="237"/>
        <v/>
      </c>
      <c r="G6749" t="str">
        <f t="shared" si="238"/>
        <v/>
      </c>
    </row>
    <row r="6750" spans="2:7" x14ac:dyDescent="0.25">
      <c r="B6750" s="6"/>
      <c r="C6750" s="7"/>
      <c r="D6750" s="7"/>
      <c r="E6750" s="8"/>
      <c r="F6750" t="str">
        <f t="shared" si="237"/>
        <v/>
      </c>
      <c r="G6750" t="str">
        <f t="shared" si="238"/>
        <v/>
      </c>
    </row>
    <row r="6751" spans="2:7" x14ac:dyDescent="0.25">
      <c r="B6751" s="6"/>
      <c r="C6751" s="7"/>
      <c r="D6751" s="7"/>
      <c r="E6751" s="8"/>
      <c r="F6751" t="str">
        <f t="shared" si="237"/>
        <v/>
      </c>
      <c r="G6751" t="str">
        <f t="shared" si="238"/>
        <v/>
      </c>
    </row>
    <row r="6752" spans="2:7" x14ac:dyDescent="0.25">
      <c r="B6752" s="6"/>
      <c r="C6752" s="7"/>
      <c r="D6752" s="7"/>
      <c r="E6752" s="8"/>
      <c r="F6752" t="str">
        <f t="shared" si="237"/>
        <v/>
      </c>
      <c r="G6752" t="str">
        <f t="shared" si="238"/>
        <v/>
      </c>
    </row>
    <row r="6753" spans="2:7" x14ac:dyDescent="0.25">
      <c r="B6753" s="6"/>
      <c r="C6753" s="7"/>
      <c r="D6753" s="7"/>
      <c r="E6753" s="8"/>
      <c r="F6753" t="str">
        <f t="shared" si="237"/>
        <v/>
      </c>
      <c r="G6753" t="str">
        <f t="shared" si="238"/>
        <v/>
      </c>
    </row>
    <row r="6754" spans="2:7" x14ac:dyDescent="0.25">
      <c r="B6754" s="6"/>
      <c r="C6754" s="7"/>
      <c r="D6754" s="7"/>
      <c r="E6754" s="8"/>
      <c r="F6754" t="str">
        <f t="shared" si="237"/>
        <v/>
      </c>
      <c r="G6754" t="str">
        <f t="shared" si="238"/>
        <v/>
      </c>
    </row>
    <row r="6755" spans="2:7" x14ac:dyDescent="0.25">
      <c r="B6755" s="6"/>
      <c r="C6755" s="7"/>
      <c r="D6755" s="7"/>
      <c r="E6755" s="8"/>
      <c r="F6755" t="str">
        <f t="shared" si="237"/>
        <v/>
      </c>
      <c r="G6755" t="str">
        <f t="shared" si="238"/>
        <v/>
      </c>
    </row>
    <row r="6756" spans="2:7" x14ac:dyDescent="0.25">
      <c r="B6756" s="6"/>
      <c r="C6756" s="7"/>
      <c r="D6756" s="7"/>
      <c r="E6756" s="8"/>
      <c r="F6756" t="str">
        <f t="shared" si="237"/>
        <v/>
      </c>
      <c r="G6756" t="str">
        <f t="shared" si="238"/>
        <v/>
      </c>
    </row>
    <row r="6757" spans="2:7" x14ac:dyDescent="0.25">
      <c r="B6757" s="6"/>
      <c r="C6757" s="7"/>
      <c r="D6757" s="7"/>
      <c r="E6757" s="8"/>
      <c r="F6757" t="str">
        <f t="shared" si="237"/>
        <v/>
      </c>
      <c r="G6757" t="str">
        <f t="shared" si="238"/>
        <v/>
      </c>
    </row>
    <row r="6758" spans="2:7" x14ac:dyDescent="0.25">
      <c r="B6758" s="6"/>
      <c r="C6758" s="7"/>
      <c r="D6758" s="7"/>
      <c r="E6758" s="8"/>
      <c r="F6758" t="str">
        <f t="shared" si="237"/>
        <v/>
      </c>
      <c r="G6758" t="str">
        <f t="shared" si="238"/>
        <v/>
      </c>
    </row>
    <row r="6759" spans="2:7" x14ac:dyDescent="0.25">
      <c r="B6759" s="6"/>
      <c r="C6759" s="7"/>
      <c r="D6759" s="7"/>
      <c r="E6759" s="8"/>
      <c r="F6759" t="str">
        <f t="shared" si="237"/>
        <v/>
      </c>
      <c r="G6759" t="str">
        <f t="shared" si="238"/>
        <v/>
      </c>
    </row>
    <row r="6760" spans="2:7" x14ac:dyDescent="0.25">
      <c r="B6760" s="6"/>
      <c r="C6760" s="7"/>
      <c r="D6760" s="7"/>
      <c r="E6760" s="8"/>
      <c r="F6760" t="str">
        <f t="shared" si="237"/>
        <v/>
      </c>
      <c r="G6760" t="str">
        <f t="shared" si="238"/>
        <v/>
      </c>
    </row>
    <row r="6761" spans="2:7" x14ac:dyDescent="0.25">
      <c r="B6761" s="6"/>
      <c r="C6761" s="7"/>
      <c r="D6761" s="7"/>
      <c r="E6761" s="8"/>
      <c r="F6761" t="str">
        <f t="shared" si="237"/>
        <v/>
      </c>
      <c r="G6761" t="str">
        <f t="shared" si="238"/>
        <v/>
      </c>
    </row>
    <row r="6762" spans="2:7" x14ac:dyDescent="0.25">
      <c r="B6762" s="6"/>
      <c r="C6762" s="7"/>
      <c r="D6762" s="7"/>
      <c r="E6762" s="8"/>
      <c r="F6762" t="str">
        <f t="shared" si="237"/>
        <v/>
      </c>
      <c r="G6762" t="str">
        <f t="shared" si="238"/>
        <v/>
      </c>
    </row>
    <row r="6763" spans="2:7" x14ac:dyDescent="0.25">
      <c r="B6763" s="6"/>
      <c r="C6763" s="7"/>
      <c r="D6763" s="7"/>
      <c r="E6763" s="8"/>
      <c r="F6763" t="str">
        <f t="shared" si="237"/>
        <v/>
      </c>
      <c r="G6763" t="str">
        <f t="shared" si="238"/>
        <v/>
      </c>
    </row>
    <row r="6764" spans="2:7" x14ac:dyDescent="0.25">
      <c r="B6764" s="6"/>
      <c r="C6764" s="7"/>
      <c r="D6764" s="7"/>
      <c r="E6764" s="8"/>
      <c r="F6764" t="str">
        <f t="shared" si="237"/>
        <v/>
      </c>
      <c r="G6764" t="str">
        <f t="shared" si="238"/>
        <v/>
      </c>
    </row>
    <row r="6765" spans="2:7" x14ac:dyDescent="0.25">
      <c r="B6765" s="6"/>
      <c r="C6765" s="7"/>
      <c r="D6765" s="7"/>
      <c r="E6765" s="8"/>
      <c r="F6765" t="str">
        <f t="shared" si="237"/>
        <v/>
      </c>
      <c r="G6765" t="str">
        <f t="shared" si="238"/>
        <v/>
      </c>
    </row>
    <row r="6766" spans="2:7" x14ac:dyDescent="0.25">
      <c r="B6766" s="6"/>
      <c r="C6766" s="7"/>
      <c r="D6766" s="7"/>
      <c r="E6766" s="8"/>
      <c r="F6766" t="str">
        <f t="shared" si="237"/>
        <v/>
      </c>
      <c r="G6766" t="str">
        <f t="shared" si="238"/>
        <v/>
      </c>
    </row>
    <row r="6767" spans="2:7" x14ac:dyDescent="0.25">
      <c r="B6767" s="6"/>
      <c r="C6767" s="7"/>
      <c r="D6767" s="7"/>
      <c r="E6767" s="8"/>
      <c r="F6767" t="str">
        <f t="shared" si="237"/>
        <v/>
      </c>
      <c r="G6767" t="str">
        <f t="shared" si="238"/>
        <v/>
      </c>
    </row>
    <row r="6768" spans="2:7" x14ac:dyDescent="0.25">
      <c r="B6768" s="6"/>
      <c r="C6768" s="7"/>
      <c r="D6768" s="7"/>
      <c r="E6768" s="8"/>
      <c r="F6768" t="str">
        <f t="shared" si="237"/>
        <v/>
      </c>
      <c r="G6768" t="str">
        <f t="shared" si="238"/>
        <v/>
      </c>
    </row>
    <row r="6769" spans="2:7" x14ac:dyDescent="0.25">
      <c r="B6769" s="6"/>
      <c r="C6769" s="7"/>
      <c r="D6769" s="7"/>
      <c r="E6769" s="8"/>
      <c r="F6769" t="str">
        <f t="shared" si="237"/>
        <v/>
      </c>
      <c r="G6769" t="str">
        <f t="shared" si="238"/>
        <v/>
      </c>
    </row>
    <row r="6770" spans="2:7" x14ac:dyDescent="0.25">
      <c r="B6770" s="6"/>
      <c r="C6770" s="7"/>
      <c r="D6770" s="7"/>
      <c r="E6770" s="8"/>
      <c r="F6770" t="str">
        <f t="shared" si="237"/>
        <v/>
      </c>
      <c r="G6770" t="str">
        <f t="shared" si="238"/>
        <v/>
      </c>
    </row>
    <row r="6771" spans="2:7" x14ac:dyDescent="0.25">
      <c r="B6771" s="6"/>
      <c r="C6771" s="7"/>
      <c r="D6771" s="7"/>
      <c r="E6771" s="8"/>
      <c r="F6771" t="str">
        <f t="shared" si="237"/>
        <v/>
      </c>
      <c r="G6771" t="str">
        <f t="shared" si="238"/>
        <v/>
      </c>
    </row>
    <row r="6772" spans="2:7" x14ac:dyDescent="0.25">
      <c r="B6772" s="6"/>
      <c r="C6772" s="7"/>
      <c r="D6772" s="7"/>
      <c r="E6772" s="8"/>
      <c r="F6772" t="str">
        <f t="shared" si="237"/>
        <v/>
      </c>
      <c r="G6772" t="str">
        <f t="shared" si="238"/>
        <v/>
      </c>
    </row>
    <row r="6773" spans="2:7" x14ac:dyDescent="0.25">
      <c r="B6773" s="6"/>
      <c r="C6773" s="7"/>
      <c r="D6773" s="7"/>
      <c r="E6773" s="8"/>
      <c r="F6773" t="str">
        <f t="shared" si="237"/>
        <v/>
      </c>
      <c r="G6773" t="str">
        <f t="shared" si="238"/>
        <v/>
      </c>
    </row>
    <row r="6774" spans="2:7" x14ac:dyDescent="0.25">
      <c r="B6774" s="6"/>
      <c r="C6774" s="7"/>
      <c r="D6774" s="7"/>
      <c r="E6774" s="8"/>
      <c r="F6774" t="str">
        <f t="shared" si="237"/>
        <v/>
      </c>
      <c r="G6774" t="str">
        <f t="shared" si="238"/>
        <v/>
      </c>
    </row>
    <row r="6775" spans="2:7" x14ac:dyDescent="0.25">
      <c r="B6775" s="6"/>
      <c r="C6775" s="7"/>
      <c r="D6775" s="7"/>
      <c r="E6775" s="8"/>
      <c r="F6775" t="str">
        <f t="shared" si="237"/>
        <v/>
      </c>
      <c r="G6775" t="str">
        <f t="shared" si="238"/>
        <v/>
      </c>
    </row>
    <row r="6776" spans="2:7" x14ac:dyDescent="0.25">
      <c r="B6776" s="6"/>
      <c r="C6776" s="7"/>
      <c r="D6776" s="7"/>
      <c r="E6776" s="8"/>
      <c r="F6776" t="str">
        <f t="shared" si="237"/>
        <v/>
      </c>
      <c r="G6776" t="str">
        <f t="shared" si="238"/>
        <v/>
      </c>
    </row>
    <row r="6777" spans="2:7" x14ac:dyDescent="0.25">
      <c r="B6777" s="6"/>
      <c r="C6777" s="7"/>
      <c r="D6777" s="7"/>
      <c r="E6777" s="8"/>
      <c r="F6777" t="str">
        <f t="shared" si="237"/>
        <v/>
      </c>
      <c r="G6777" t="str">
        <f t="shared" si="238"/>
        <v/>
      </c>
    </row>
    <row r="6778" spans="2:7" x14ac:dyDescent="0.25">
      <c r="B6778" s="6"/>
      <c r="C6778" s="7"/>
      <c r="D6778" s="7"/>
      <c r="E6778" s="8"/>
      <c r="F6778" t="str">
        <f t="shared" si="237"/>
        <v/>
      </c>
      <c r="G6778" t="str">
        <f t="shared" si="238"/>
        <v/>
      </c>
    </row>
    <row r="6779" spans="2:7" x14ac:dyDescent="0.25">
      <c r="B6779" s="6"/>
      <c r="C6779" s="7"/>
      <c r="D6779" s="7"/>
      <c r="E6779" s="8"/>
      <c r="F6779" t="str">
        <f t="shared" si="237"/>
        <v/>
      </c>
      <c r="G6779" t="str">
        <f t="shared" si="238"/>
        <v/>
      </c>
    </row>
    <row r="6780" spans="2:7" x14ac:dyDescent="0.25">
      <c r="B6780" s="6"/>
      <c r="C6780" s="7"/>
      <c r="D6780" s="7"/>
      <c r="E6780" s="8"/>
      <c r="F6780" t="str">
        <f t="shared" si="237"/>
        <v/>
      </c>
      <c r="G6780" t="str">
        <f t="shared" si="238"/>
        <v/>
      </c>
    </row>
    <row r="6781" spans="2:7" x14ac:dyDescent="0.25">
      <c r="B6781" s="6"/>
      <c r="C6781" s="7"/>
      <c r="D6781" s="7"/>
      <c r="E6781" s="8"/>
      <c r="F6781" t="str">
        <f t="shared" si="237"/>
        <v/>
      </c>
      <c r="G6781" t="str">
        <f t="shared" si="238"/>
        <v/>
      </c>
    </row>
    <row r="6782" spans="2:7" x14ac:dyDescent="0.25">
      <c r="B6782" s="6"/>
      <c r="C6782" s="7"/>
      <c r="D6782" s="7"/>
      <c r="E6782" s="8"/>
      <c r="F6782" t="str">
        <f t="shared" si="237"/>
        <v/>
      </c>
      <c r="G6782" t="str">
        <f t="shared" si="238"/>
        <v/>
      </c>
    </row>
    <row r="6783" spans="2:7" x14ac:dyDescent="0.25">
      <c r="B6783" s="6"/>
      <c r="C6783" s="7"/>
      <c r="D6783" s="7"/>
      <c r="E6783" s="8"/>
      <c r="F6783" t="str">
        <f t="shared" si="237"/>
        <v/>
      </c>
      <c r="G6783" t="str">
        <f t="shared" si="238"/>
        <v/>
      </c>
    </row>
    <row r="6784" spans="2:7" x14ac:dyDescent="0.25">
      <c r="B6784" s="6"/>
      <c r="C6784" s="7"/>
      <c r="D6784" s="7"/>
      <c r="E6784" s="8"/>
      <c r="F6784" t="str">
        <f t="shared" si="237"/>
        <v/>
      </c>
      <c r="G6784" t="str">
        <f t="shared" si="238"/>
        <v/>
      </c>
    </row>
    <row r="6785" spans="2:7" x14ac:dyDescent="0.25">
      <c r="B6785" s="6"/>
      <c r="C6785" s="7"/>
      <c r="D6785" s="7"/>
      <c r="E6785" s="8"/>
      <c r="F6785" t="str">
        <f t="shared" si="237"/>
        <v/>
      </c>
      <c r="G6785" t="str">
        <f t="shared" si="238"/>
        <v/>
      </c>
    </row>
    <row r="6786" spans="2:7" x14ac:dyDescent="0.25">
      <c r="B6786" s="6"/>
      <c r="C6786" s="7"/>
      <c r="D6786" s="7"/>
      <c r="E6786" s="8"/>
      <c r="F6786" t="str">
        <f t="shared" si="237"/>
        <v/>
      </c>
      <c r="G6786" t="str">
        <f t="shared" si="238"/>
        <v/>
      </c>
    </row>
    <row r="6787" spans="2:7" x14ac:dyDescent="0.25">
      <c r="B6787" s="6"/>
      <c r="C6787" s="7"/>
      <c r="D6787" s="7"/>
      <c r="E6787" s="8"/>
      <c r="F6787" t="str">
        <f t="shared" si="237"/>
        <v/>
      </c>
      <c r="G6787" t="str">
        <f t="shared" si="238"/>
        <v/>
      </c>
    </row>
    <row r="6788" spans="2:7" x14ac:dyDescent="0.25">
      <c r="B6788" s="6"/>
      <c r="C6788" s="7"/>
      <c r="D6788" s="7"/>
      <c r="E6788" s="8"/>
      <c r="F6788" t="str">
        <f t="shared" ref="F6788:F6851" si="239">IF(B6788="","",LOG10(D6788))</f>
        <v/>
      </c>
      <c r="G6788" t="str">
        <f t="shared" ref="G6788:G6851" si="240">IF(E6788="", "",0.434*E6788/D6788)</f>
        <v/>
      </c>
    </row>
    <row r="6789" spans="2:7" x14ac:dyDescent="0.25">
      <c r="B6789" s="6"/>
      <c r="C6789" s="7"/>
      <c r="D6789" s="7"/>
      <c r="E6789" s="8"/>
      <c r="F6789" t="str">
        <f t="shared" si="239"/>
        <v/>
      </c>
      <c r="G6789" t="str">
        <f t="shared" si="240"/>
        <v/>
      </c>
    </row>
    <row r="6790" spans="2:7" x14ac:dyDescent="0.25">
      <c r="B6790" s="6"/>
      <c r="C6790" s="7"/>
      <c r="D6790" s="7"/>
      <c r="E6790" s="8"/>
      <c r="F6790" t="str">
        <f t="shared" si="239"/>
        <v/>
      </c>
      <c r="G6790" t="str">
        <f t="shared" si="240"/>
        <v/>
      </c>
    </row>
    <row r="6791" spans="2:7" x14ac:dyDescent="0.25">
      <c r="B6791" s="6"/>
      <c r="C6791" s="7"/>
      <c r="D6791" s="7"/>
      <c r="E6791" s="8"/>
      <c r="F6791" t="str">
        <f t="shared" si="239"/>
        <v/>
      </c>
      <c r="G6791" t="str">
        <f t="shared" si="240"/>
        <v/>
      </c>
    </row>
    <row r="6792" spans="2:7" x14ac:dyDescent="0.25">
      <c r="B6792" s="6"/>
      <c r="C6792" s="7"/>
      <c r="D6792" s="7"/>
      <c r="E6792" s="8"/>
      <c r="F6792" t="str">
        <f t="shared" si="239"/>
        <v/>
      </c>
      <c r="G6792" t="str">
        <f t="shared" si="240"/>
        <v/>
      </c>
    </row>
    <row r="6793" spans="2:7" x14ac:dyDescent="0.25">
      <c r="B6793" s="6"/>
      <c r="C6793" s="7"/>
      <c r="D6793" s="7"/>
      <c r="E6793" s="8"/>
      <c r="F6793" t="str">
        <f t="shared" si="239"/>
        <v/>
      </c>
      <c r="G6793" t="str">
        <f t="shared" si="240"/>
        <v/>
      </c>
    </row>
    <row r="6794" spans="2:7" x14ac:dyDescent="0.25">
      <c r="B6794" s="6"/>
      <c r="C6794" s="7"/>
      <c r="D6794" s="7"/>
      <c r="E6794" s="8"/>
      <c r="F6794" t="str">
        <f t="shared" si="239"/>
        <v/>
      </c>
      <c r="G6794" t="str">
        <f t="shared" si="240"/>
        <v/>
      </c>
    </row>
    <row r="6795" spans="2:7" x14ac:dyDescent="0.25">
      <c r="B6795" s="6"/>
      <c r="C6795" s="7"/>
      <c r="D6795" s="7"/>
      <c r="E6795" s="8"/>
      <c r="F6795" t="str">
        <f t="shared" si="239"/>
        <v/>
      </c>
      <c r="G6795" t="str">
        <f t="shared" si="240"/>
        <v/>
      </c>
    </row>
    <row r="6796" spans="2:7" x14ac:dyDescent="0.25">
      <c r="B6796" s="6"/>
      <c r="C6796" s="7"/>
      <c r="D6796" s="7"/>
      <c r="E6796" s="8"/>
      <c r="F6796" t="str">
        <f t="shared" si="239"/>
        <v/>
      </c>
      <c r="G6796" t="str">
        <f t="shared" si="240"/>
        <v/>
      </c>
    </row>
    <row r="6797" spans="2:7" x14ac:dyDescent="0.25">
      <c r="B6797" s="6"/>
      <c r="C6797" s="7"/>
      <c r="D6797" s="7"/>
      <c r="E6797" s="8"/>
      <c r="F6797" t="str">
        <f t="shared" si="239"/>
        <v/>
      </c>
      <c r="G6797" t="str">
        <f t="shared" si="240"/>
        <v/>
      </c>
    </row>
    <row r="6798" spans="2:7" x14ac:dyDescent="0.25">
      <c r="B6798" s="6"/>
      <c r="C6798" s="7"/>
      <c r="D6798" s="7"/>
      <c r="E6798" s="8"/>
      <c r="F6798" t="str">
        <f t="shared" si="239"/>
        <v/>
      </c>
      <c r="G6798" t="str">
        <f t="shared" si="240"/>
        <v/>
      </c>
    </row>
    <row r="6799" spans="2:7" x14ac:dyDescent="0.25">
      <c r="B6799" s="6"/>
      <c r="C6799" s="7"/>
      <c r="D6799" s="7"/>
      <c r="E6799" s="8"/>
      <c r="F6799" t="str">
        <f t="shared" si="239"/>
        <v/>
      </c>
      <c r="G6799" t="str">
        <f t="shared" si="240"/>
        <v/>
      </c>
    </row>
    <row r="6800" spans="2:7" x14ac:dyDescent="0.25">
      <c r="B6800" s="6"/>
      <c r="C6800" s="7"/>
      <c r="D6800" s="7"/>
      <c r="E6800" s="8"/>
      <c r="F6800" t="str">
        <f t="shared" si="239"/>
        <v/>
      </c>
      <c r="G6800" t="str">
        <f t="shared" si="240"/>
        <v/>
      </c>
    </row>
    <row r="6801" spans="2:7" x14ac:dyDescent="0.25">
      <c r="B6801" s="6"/>
      <c r="C6801" s="7"/>
      <c r="D6801" s="7"/>
      <c r="E6801" s="8"/>
      <c r="F6801" t="str">
        <f t="shared" si="239"/>
        <v/>
      </c>
      <c r="G6801" t="str">
        <f t="shared" si="240"/>
        <v/>
      </c>
    </row>
    <row r="6802" spans="2:7" x14ac:dyDescent="0.25">
      <c r="B6802" s="6"/>
      <c r="C6802" s="7"/>
      <c r="D6802" s="7"/>
      <c r="E6802" s="8"/>
      <c r="F6802" t="str">
        <f t="shared" si="239"/>
        <v/>
      </c>
      <c r="G6802" t="str">
        <f t="shared" si="240"/>
        <v/>
      </c>
    </row>
    <row r="6803" spans="2:7" x14ac:dyDescent="0.25">
      <c r="B6803" s="6"/>
      <c r="C6803" s="7"/>
      <c r="D6803" s="7"/>
      <c r="E6803" s="8"/>
      <c r="F6803" t="str">
        <f t="shared" si="239"/>
        <v/>
      </c>
      <c r="G6803" t="str">
        <f t="shared" si="240"/>
        <v/>
      </c>
    </row>
    <row r="6804" spans="2:7" x14ac:dyDescent="0.25">
      <c r="B6804" s="6"/>
      <c r="C6804" s="7"/>
      <c r="D6804" s="7"/>
      <c r="E6804" s="8"/>
      <c r="F6804" t="str">
        <f t="shared" si="239"/>
        <v/>
      </c>
      <c r="G6804" t="str">
        <f t="shared" si="240"/>
        <v/>
      </c>
    </row>
    <row r="6805" spans="2:7" x14ac:dyDescent="0.25">
      <c r="B6805" s="6"/>
      <c r="C6805" s="7"/>
      <c r="D6805" s="7"/>
      <c r="E6805" s="8"/>
      <c r="F6805" t="str">
        <f t="shared" si="239"/>
        <v/>
      </c>
      <c r="G6805" t="str">
        <f t="shared" si="240"/>
        <v/>
      </c>
    </row>
    <row r="6806" spans="2:7" x14ac:dyDescent="0.25">
      <c r="B6806" s="6"/>
      <c r="C6806" s="7"/>
      <c r="D6806" s="7"/>
      <c r="E6806" s="8"/>
      <c r="F6806" t="str">
        <f t="shared" si="239"/>
        <v/>
      </c>
      <c r="G6806" t="str">
        <f t="shared" si="240"/>
        <v/>
      </c>
    </row>
    <row r="6807" spans="2:7" x14ac:dyDescent="0.25">
      <c r="B6807" s="6"/>
      <c r="C6807" s="7"/>
      <c r="D6807" s="7"/>
      <c r="E6807" s="8"/>
      <c r="F6807" t="str">
        <f t="shared" si="239"/>
        <v/>
      </c>
      <c r="G6807" t="str">
        <f t="shared" si="240"/>
        <v/>
      </c>
    </row>
    <row r="6808" spans="2:7" x14ac:dyDescent="0.25">
      <c r="B6808" s="6"/>
      <c r="C6808" s="7"/>
      <c r="D6808" s="7"/>
      <c r="E6808" s="8"/>
      <c r="F6808" t="str">
        <f t="shared" si="239"/>
        <v/>
      </c>
      <c r="G6808" t="str">
        <f t="shared" si="240"/>
        <v/>
      </c>
    </row>
    <row r="6809" spans="2:7" x14ac:dyDescent="0.25">
      <c r="B6809" s="6"/>
      <c r="C6809" s="7"/>
      <c r="D6809" s="7"/>
      <c r="E6809" s="8"/>
      <c r="F6809" t="str">
        <f t="shared" si="239"/>
        <v/>
      </c>
      <c r="G6809" t="str">
        <f t="shared" si="240"/>
        <v/>
      </c>
    </row>
    <row r="6810" spans="2:7" x14ac:dyDescent="0.25">
      <c r="B6810" s="6"/>
      <c r="C6810" s="7"/>
      <c r="D6810" s="7"/>
      <c r="E6810" s="8"/>
      <c r="F6810" t="str">
        <f t="shared" si="239"/>
        <v/>
      </c>
      <c r="G6810" t="str">
        <f t="shared" si="240"/>
        <v/>
      </c>
    </row>
    <row r="6811" spans="2:7" x14ac:dyDescent="0.25">
      <c r="B6811" s="6"/>
      <c r="C6811" s="7"/>
      <c r="D6811" s="7"/>
      <c r="E6811" s="8"/>
      <c r="F6811" t="str">
        <f t="shared" si="239"/>
        <v/>
      </c>
      <c r="G6811" t="str">
        <f t="shared" si="240"/>
        <v/>
      </c>
    </row>
    <row r="6812" spans="2:7" x14ac:dyDescent="0.25">
      <c r="B6812" s="6"/>
      <c r="C6812" s="7"/>
      <c r="D6812" s="7"/>
      <c r="E6812" s="8"/>
      <c r="F6812" t="str">
        <f t="shared" si="239"/>
        <v/>
      </c>
      <c r="G6812" t="str">
        <f t="shared" si="240"/>
        <v/>
      </c>
    </row>
    <row r="6813" spans="2:7" x14ac:dyDescent="0.25">
      <c r="B6813" s="6"/>
      <c r="C6813" s="7"/>
      <c r="D6813" s="7"/>
      <c r="E6813" s="8"/>
      <c r="F6813" t="str">
        <f t="shared" si="239"/>
        <v/>
      </c>
      <c r="G6813" t="str">
        <f t="shared" si="240"/>
        <v/>
      </c>
    </row>
    <row r="6814" spans="2:7" x14ac:dyDescent="0.25">
      <c r="B6814" s="6"/>
      <c r="C6814" s="7"/>
      <c r="D6814" s="7"/>
      <c r="E6814" s="8"/>
      <c r="F6814" t="str">
        <f t="shared" si="239"/>
        <v/>
      </c>
      <c r="G6814" t="str">
        <f t="shared" si="240"/>
        <v/>
      </c>
    </row>
    <row r="6815" spans="2:7" x14ac:dyDescent="0.25">
      <c r="B6815" s="6"/>
      <c r="C6815" s="7"/>
      <c r="D6815" s="7"/>
      <c r="E6815" s="8"/>
      <c r="F6815" t="str">
        <f t="shared" si="239"/>
        <v/>
      </c>
      <c r="G6815" t="str">
        <f t="shared" si="240"/>
        <v/>
      </c>
    </row>
    <row r="6816" spans="2:7" x14ac:dyDescent="0.25">
      <c r="B6816" s="6"/>
      <c r="C6816" s="7"/>
      <c r="D6816" s="7"/>
      <c r="E6816" s="8"/>
      <c r="F6816" t="str">
        <f t="shared" si="239"/>
        <v/>
      </c>
      <c r="G6816" t="str">
        <f t="shared" si="240"/>
        <v/>
      </c>
    </row>
    <row r="6817" spans="2:7" x14ac:dyDescent="0.25">
      <c r="B6817" s="6"/>
      <c r="C6817" s="7"/>
      <c r="D6817" s="7"/>
      <c r="E6817" s="8"/>
      <c r="F6817" t="str">
        <f t="shared" si="239"/>
        <v/>
      </c>
      <c r="G6817" t="str">
        <f t="shared" si="240"/>
        <v/>
      </c>
    </row>
    <row r="6818" spans="2:7" x14ac:dyDescent="0.25">
      <c r="B6818" s="6"/>
      <c r="C6818" s="7"/>
      <c r="D6818" s="7"/>
      <c r="E6818" s="8"/>
      <c r="F6818" t="str">
        <f t="shared" si="239"/>
        <v/>
      </c>
      <c r="G6818" t="str">
        <f t="shared" si="240"/>
        <v/>
      </c>
    </row>
    <row r="6819" spans="2:7" x14ac:dyDescent="0.25">
      <c r="B6819" s="6"/>
      <c r="C6819" s="7"/>
      <c r="D6819" s="7"/>
      <c r="E6819" s="8"/>
      <c r="F6819" t="str">
        <f t="shared" si="239"/>
        <v/>
      </c>
      <c r="G6819" t="str">
        <f t="shared" si="240"/>
        <v/>
      </c>
    </row>
    <row r="6820" spans="2:7" x14ac:dyDescent="0.25">
      <c r="B6820" s="6"/>
      <c r="C6820" s="7"/>
      <c r="D6820" s="7"/>
      <c r="E6820" s="8"/>
      <c r="F6820" t="str">
        <f t="shared" si="239"/>
        <v/>
      </c>
      <c r="G6820" t="str">
        <f t="shared" si="240"/>
        <v/>
      </c>
    </row>
    <row r="6821" spans="2:7" x14ac:dyDescent="0.25">
      <c r="B6821" s="6"/>
      <c r="C6821" s="7"/>
      <c r="D6821" s="7"/>
      <c r="E6821" s="8"/>
      <c r="F6821" t="str">
        <f t="shared" si="239"/>
        <v/>
      </c>
      <c r="G6821" t="str">
        <f t="shared" si="240"/>
        <v/>
      </c>
    </row>
    <row r="6822" spans="2:7" x14ac:dyDescent="0.25">
      <c r="B6822" s="6"/>
      <c r="C6822" s="7"/>
      <c r="D6822" s="7"/>
      <c r="E6822" s="8"/>
      <c r="F6822" t="str">
        <f t="shared" si="239"/>
        <v/>
      </c>
      <c r="G6822" t="str">
        <f t="shared" si="240"/>
        <v/>
      </c>
    </row>
    <row r="6823" spans="2:7" x14ac:dyDescent="0.25">
      <c r="B6823" s="6"/>
      <c r="C6823" s="7"/>
      <c r="D6823" s="7"/>
      <c r="E6823" s="8"/>
      <c r="F6823" t="str">
        <f t="shared" si="239"/>
        <v/>
      </c>
      <c r="G6823" t="str">
        <f t="shared" si="240"/>
        <v/>
      </c>
    </row>
    <row r="6824" spans="2:7" x14ac:dyDescent="0.25">
      <c r="B6824" s="6"/>
      <c r="C6824" s="7"/>
      <c r="D6824" s="7"/>
      <c r="E6824" s="8"/>
      <c r="F6824" t="str">
        <f t="shared" si="239"/>
        <v/>
      </c>
      <c r="G6824" t="str">
        <f t="shared" si="240"/>
        <v/>
      </c>
    </row>
    <row r="6825" spans="2:7" x14ac:dyDescent="0.25">
      <c r="B6825" s="6"/>
      <c r="C6825" s="7"/>
      <c r="D6825" s="7"/>
      <c r="E6825" s="8"/>
      <c r="F6825" t="str">
        <f t="shared" si="239"/>
        <v/>
      </c>
      <c r="G6825" t="str">
        <f t="shared" si="240"/>
        <v/>
      </c>
    </row>
    <row r="6826" spans="2:7" x14ac:dyDescent="0.25">
      <c r="B6826" s="6"/>
      <c r="C6826" s="7"/>
      <c r="D6826" s="7"/>
      <c r="E6826" s="8"/>
      <c r="F6826" t="str">
        <f t="shared" si="239"/>
        <v/>
      </c>
      <c r="G6826" t="str">
        <f t="shared" si="240"/>
        <v/>
      </c>
    </row>
    <row r="6827" spans="2:7" x14ac:dyDescent="0.25">
      <c r="B6827" s="6"/>
      <c r="C6827" s="7"/>
      <c r="D6827" s="7"/>
      <c r="E6827" s="8"/>
      <c r="F6827" t="str">
        <f t="shared" si="239"/>
        <v/>
      </c>
      <c r="G6827" t="str">
        <f t="shared" si="240"/>
        <v/>
      </c>
    </row>
    <row r="6828" spans="2:7" x14ac:dyDescent="0.25">
      <c r="B6828" s="6"/>
      <c r="C6828" s="7"/>
      <c r="D6828" s="7"/>
      <c r="E6828" s="8"/>
      <c r="F6828" t="str">
        <f t="shared" si="239"/>
        <v/>
      </c>
      <c r="G6828" t="str">
        <f t="shared" si="240"/>
        <v/>
      </c>
    </row>
    <row r="6829" spans="2:7" x14ac:dyDescent="0.25">
      <c r="B6829" s="6"/>
      <c r="C6829" s="7"/>
      <c r="D6829" s="7"/>
      <c r="E6829" s="8"/>
      <c r="F6829" t="str">
        <f t="shared" si="239"/>
        <v/>
      </c>
      <c r="G6829" t="str">
        <f t="shared" si="240"/>
        <v/>
      </c>
    </row>
    <row r="6830" spans="2:7" x14ac:dyDescent="0.25">
      <c r="B6830" s="6"/>
      <c r="C6830" s="7"/>
      <c r="D6830" s="7"/>
      <c r="E6830" s="8"/>
      <c r="F6830" t="str">
        <f t="shared" si="239"/>
        <v/>
      </c>
      <c r="G6830" t="str">
        <f t="shared" si="240"/>
        <v/>
      </c>
    </row>
    <row r="6831" spans="2:7" x14ac:dyDescent="0.25">
      <c r="B6831" s="6"/>
      <c r="C6831" s="7"/>
      <c r="D6831" s="7"/>
      <c r="E6831" s="8"/>
      <c r="F6831" t="str">
        <f t="shared" si="239"/>
        <v/>
      </c>
      <c r="G6831" t="str">
        <f t="shared" si="240"/>
        <v/>
      </c>
    </row>
    <row r="6832" spans="2:7" x14ac:dyDescent="0.25">
      <c r="B6832" s="6"/>
      <c r="C6832" s="7"/>
      <c r="D6832" s="7"/>
      <c r="E6832" s="8"/>
      <c r="F6832" t="str">
        <f t="shared" si="239"/>
        <v/>
      </c>
      <c r="G6832" t="str">
        <f t="shared" si="240"/>
        <v/>
      </c>
    </row>
    <row r="6833" spans="2:7" x14ac:dyDescent="0.25">
      <c r="B6833" s="6"/>
      <c r="C6833" s="7"/>
      <c r="D6833" s="7"/>
      <c r="E6833" s="8"/>
      <c r="F6833" t="str">
        <f t="shared" si="239"/>
        <v/>
      </c>
      <c r="G6833" t="str">
        <f t="shared" si="240"/>
        <v/>
      </c>
    </row>
    <row r="6834" spans="2:7" x14ac:dyDescent="0.25">
      <c r="B6834" s="6"/>
      <c r="C6834" s="7"/>
      <c r="D6834" s="7"/>
      <c r="E6834" s="8"/>
      <c r="F6834" t="str">
        <f t="shared" si="239"/>
        <v/>
      </c>
      <c r="G6834" t="str">
        <f t="shared" si="240"/>
        <v/>
      </c>
    </row>
    <row r="6835" spans="2:7" x14ac:dyDescent="0.25">
      <c r="B6835" s="6"/>
      <c r="C6835" s="7"/>
      <c r="D6835" s="7"/>
      <c r="E6835" s="8"/>
      <c r="F6835" t="str">
        <f t="shared" si="239"/>
        <v/>
      </c>
      <c r="G6835" t="str">
        <f t="shared" si="240"/>
        <v/>
      </c>
    </row>
    <row r="6836" spans="2:7" x14ac:dyDescent="0.25">
      <c r="B6836" s="6"/>
      <c r="C6836" s="7"/>
      <c r="D6836" s="7"/>
      <c r="E6836" s="8"/>
      <c r="F6836" t="str">
        <f t="shared" si="239"/>
        <v/>
      </c>
      <c r="G6836" t="str">
        <f t="shared" si="240"/>
        <v/>
      </c>
    </row>
    <row r="6837" spans="2:7" x14ac:dyDescent="0.25">
      <c r="B6837" s="6"/>
      <c r="C6837" s="7"/>
      <c r="D6837" s="7"/>
      <c r="E6837" s="8"/>
      <c r="F6837" t="str">
        <f t="shared" si="239"/>
        <v/>
      </c>
      <c r="G6837" t="str">
        <f t="shared" si="240"/>
        <v/>
      </c>
    </row>
    <row r="6838" spans="2:7" x14ac:dyDescent="0.25">
      <c r="B6838" s="6"/>
      <c r="C6838" s="7"/>
      <c r="D6838" s="7"/>
      <c r="E6838" s="8"/>
      <c r="F6838" t="str">
        <f t="shared" si="239"/>
        <v/>
      </c>
      <c r="G6838" t="str">
        <f t="shared" si="240"/>
        <v/>
      </c>
    </row>
    <row r="6839" spans="2:7" x14ac:dyDescent="0.25">
      <c r="B6839" s="6"/>
      <c r="C6839" s="7"/>
      <c r="D6839" s="7"/>
      <c r="E6839" s="8"/>
      <c r="F6839" t="str">
        <f t="shared" si="239"/>
        <v/>
      </c>
      <c r="G6839" t="str">
        <f t="shared" si="240"/>
        <v/>
      </c>
    </row>
    <row r="6840" spans="2:7" x14ac:dyDescent="0.25">
      <c r="B6840" s="6"/>
      <c r="C6840" s="7"/>
      <c r="D6840" s="7"/>
      <c r="E6840" s="8"/>
      <c r="F6840" t="str">
        <f t="shared" si="239"/>
        <v/>
      </c>
      <c r="G6840" t="str">
        <f t="shared" si="240"/>
        <v/>
      </c>
    </row>
    <row r="6841" spans="2:7" x14ac:dyDescent="0.25">
      <c r="B6841" s="6"/>
      <c r="C6841" s="7"/>
      <c r="D6841" s="7"/>
      <c r="E6841" s="8"/>
      <c r="F6841" t="str">
        <f t="shared" si="239"/>
        <v/>
      </c>
      <c r="G6841" t="str">
        <f t="shared" si="240"/>
        <v/>
      </c>
    </row>
    <row r="6842" spans="2:7" x14ac:dyDescent="0.25">
      <c r="B6842" s="6"/>
      <c r="C6842" s="7"/>
      <c r="D6842" s="7"/>
      <c r="E6842" s="8"/>
      <c r="F6842" t="str">
        <f t="shared" si="239"/>
        <v/>
      </c>
      <c r="G6842" t="str">
        <f t="shared" si="240"/>
        <v/>
      </c>
    </row>
    <row r="6843" spans="2:7" x14ac:dyDescent="0.25">
      <c r="B6843" s="6"/>
      <c r="C6843" s="7"/>
      <c r="D6843" s="7"/>
      <c r="E6843" s="8"/>
      <c r="F6843" t="str">
        <f t="shared" si="239"/>
        <v/>
      </c>
      <c r="G6843" t="str">
        <f t="shared" si="240"/>
        <v/>
      </c>
    </row>
    <row r="6844" spans="2:7" x14ac:dyDescent="0.25">
      <c r="B6844" s="6"/>
      <c r="C6844" s="7"/>
      <c r="D6844" s="7"/>
      <c r="E6844" s="8"/>
      <c r="F6844" t="str">
        <f t="shared" si="239"/>
        <v/>
      </c>
      <c r="G6844" t="str">
        <f t="shared" si="240"/>
        <v/>
      </c>
    </row>
    <row r="6845" spans="2:7" x14ac:dyDescent="0.25">
      <c r="B6845" s="6"/>
      <c r="C6845" s="7"/>
      <c r="D6845" s="7"/>
      <c r="E6845" s="8"/>
      <c r="F6845" t="str">
        <f t="shared" si="239"/>
        <v/>
      </c>
      <c r="G6845" t="str">
        <f t="shared" si="240"/>
        <v/>
      </c>
    </row>
    <row r="6846" spans="2:7" x14ac:dyDescent="0.25">
      <c r="B6846" s="6"/>
      <c r="C6846" s="7"/>
      <c r="D6846" s="7"/>
      <c r="E6846" s="8"/>
      <c r="F6846" t="str">
        <f t="shared" si="239"/>
        <v/>
      </c>
      <c r="G6846" t="str">
        <f t="shared" si="240"/>
        <v/>
      </c>
    </row>
    <row r="6847" spans="2:7" x14ac:dyDescent="0.25">
      <c r="B6847" s="6"/>
      <c r="C6847" s="7"/>
      <c r="D6847" s="7"/>
      <c r="E6847" s="8"/>
      <c r="F6847" t="str">
        <f t="shared" si="239"/>
        <v/>
      </c>
      <c r="G6847" t="str">
        <f t="shared" si="240"/>
        <v/>
      </c>
    </row>
    <row r="6848" spans="2:7" x14ac:dyDescent="0.25">
      <c r="B6848" s="6"/>
      <c r="C6848" s="7"/>
      <c r="D6848" s="7"/>
      <c r="E6848" s="8"/>
      <c r="F6848" t="str">
        <f t="shared" si="239"/>
        <v/>
      </c>
      <c r="G6848" t="str">
        <f t="shared" si="240"/>
        <v/>
      </c>
    </row>
    <row r="6849" spans="2:7" x14ac:dyDescent="0.25">
      <c r="B6849" s="6"/>
      <c r="C6849" s="7"/>
      <c r="D6849" s="7"/>
      <c r="E6849" s="8"/>
      <c r="F6849" t="str">
        <f t="shared" si="239"/>
        <v/>
      </c>
      <c r="G6849" t="str">
        <f t="shared" si="240"/>
        <v/>
      </c>
    </row>
    <row r="6850" spans="2:7" x14ac:dyDescent="0.25">
      <c r="B6850" s="6"/>
      <c r="C6850" s="7"/>
      <c r="D6850" s="7"/>
      <c r="E6850" s="8"/>
      <c r="F6850" t="str">
        <f t="shared" si="239"/>
        <v/>
      </c>
      <c r="G6850" t="str">
        <f t="shared" si="240"/>
        <v/>
      </c>
    </row>
    <row r="6851" spans="2:7" x14ac:dyDescent="0.25">
      <c r="B6851" s="6"/>
      <c r="C6851" s="7"/>
      <c r="D6851" s="7"/>
      <c r="E6851" s="8"/>
      <c r="F6851" t="str">
        <f t="shared" si="239"/>
        <v/>
      </c>
      <c r="G6851" t="str">
        <f t="shared" si="240"/>
        <v/>
      </c>
    </row>
    <row r="6852" spans="2:7" x14ac:dyDescent="0.25">
      <c r="B6852" s="6"/>
      <c r="C6852" s="7"/>
      <c r="D6852" s="7"/>
      <c r="E6852" s="8"/>
      <c r="F6852" t="str">
        <f t="shared" ref="F6852:F6915" si="241">IF(B6852="","",LOG10(D6852))</f>
        <v/>
      </c>
      <c r="G6852" t="str">
        <f t="shared" ref="G6852:G6915" si="242">IF(E6852="", "",0.434*E6852/D6852)</f>
        <v/>
      </c>
    </row>
    <row r="6853" spans="2:7" x14ac:dyDescent="0.25">
      <c r="B6853" s="6"/>
      <c r="C6853" s="7"/>
      <c r="D6853" s="7"/>
      <c r="E6853" s="8"/>
      <c r="F6853" t="str">
        <f t="shared" si="241"/>
        <v/>
      </c>
      <c r="G6853" t="str">
        <f t="shared" si="242"/>
        <v/>
      </c>
    </row>
    <row r="6854" spans="2:7" x14ac:dyDescent="0.25">
      <c r="B6854" s="6"/>
      <c r="C6854" s="7"/>
      <c r="D6854" s="7"/>
      <c r="E6854" s="8"/>
      <c r="F6854" t="str">
        <f t="shared" si="241"/>
        <v/>
      </c>
      <c r="G6854" t="str">
        <f t="shared" si="242"/>
        <v/>
      </c>
    </row>
    <row r="6855" spans="2:7" x14ac:dyDescent="0.25">
      <c r="B6855" s="6"/>
      <c r="C6855" s="7"/>
      <c r="D6855" s="7"/>
      <c r="E6855" s="8"/>
      <c r="F6855" t="str">
        <f t="shared" si="241"/>
        <v/>
      </c>
      <c r="G6855" t="str">
        <f t="shared" si="242"/>
        <v/>
      </c>
    </row>
    <row r="6856" spans="2:7" x14ac:dyDescent="0.25">
      <c r="B6856" s="6"/>
      <c r="C6856" s="7"/>
      <c r="D6856" s="7"/>
      <c r="E6856" s="8"/>
      <c r="F6856" t="str">
        <f t="shared" si="241"/>
        <v/>
      </c>
      <c r="G6856" t="str">
        <f t="shared" si="242"/>
        <v/>
      </c>
    </row>
    <row r="6857" spans="2:7" x14ac:dyDescent="0.25">
      <c r="B6857" s="6"/>
      <c r="C6857" s="7"/>
      <c r="D6857" s="7"/>
      <c r="E6857" s="8"/>
      <c r="F6857" t="str">
        <f t="shared" si="241"/>
        <v/>
      </c>
      <c r="G6857" t="str">
        <f t="shared" si="242"/>
        <v/>
      </c>
    </row>
    <row r="6858" spans="2:7" x14ac:dyDescent="0.25">
      <c r="B6858" s="6"/>
      <c r="C6858" s="7"/>
      <c r="D6858" s="7"/>
      <c r="E6858" s="8"/>
      <c r="F6858" t="str">
        <f t="shared" si="241"/>
        <v/>
      </c>
      <c r="G6858" t="str">
        <f t="shared" si="242"/>
        <v/>
      </c>
    </row>
    <row r="6859" spans="2:7" x14ac:dyDescent="0.25">
      <c r="B6859" s="6"/>
      <c r="C6859" s="7"/>
      <c r="D6859" s="7"/>
      <c r="E6859" s="8"/>
      <c r="F6859" t="str">
        <f t="shared" si="241"/>
        <v/>
      </c>
      <c r="G6859" t="str">
        <f t="shared" si="242"/>
        <v/>
      </c>
    </row>
    <row r="6860" spans="2:7" x14ac:dyDescent="0.25">
      <c r="B6860" s="6"/>
      <c r="C6860" s="7"/>
      <c r="D6860" s="7"/>
      <c r="E6860" s="8"/>
      <c r="F6860" t="str">
        <f t="shared" si="241"/>
        <v/>
      </c>
      <c r="G6860" t="str">
        <f t="shared" si="242"/>
        <v/>
      </c>
    </row>
    <row r="6861" spans="2:7" x14ac:dyDescent="0.25">
      <c r="B6861" s="6"/>
      <c r="C6861" s="7"/>
      <c r="D6861" s="7"/>
      <c r="E6861" s="8"/>
      <c r="F6861" t="str">
        <f t="shared" si="241"/>
        <v/>
      </c>
      <c r="G6861" t="str">
        <f t="shared" si="242"/>
        <v/>
      </c>
    </row>
    <row r="6862" spans="2:7" x14ac:dyDescent="0.25">
      <c r="B6862" s="6"/>
      <c r="C6862" s="7"/>
      <c r="D6862" s="7"/>
      <c r="E6862" s="8"/>
      <c r="F6862" t="str">
        <f t="shared" si="241"/>
        <v/>
      </c>
      <c r="G6862" t="str">
        <f t="shared" si="242"/>
        <v/>
      </c>
    </row>
    <row r="6863" spans="2:7" x14ac:dyDescent="0.25">
      <c r="B6863" s="6"/>
      <c r="C6863" s="7"/>
      <c r="D6863" s="7"/>
      <c r="E6863" s="8"/>
      <c r="F6863" t="str">
        <f t="shared" si="241"/>
        <v/>
      </c>
      <c r="G6863" t="str">
        <f t="shared" si="242"/>
        <v/>
      </c>
    </row>
    <row r="6864" spans="2:7" x14ac:dyDescent="0.25">
      <c r="B6864" s="6"/>
      <c r="C6864" s="7"/>
      <c r="D6864" s="7"/>
      <c r="E6864" s="8"/>
      <c r="F6864" t="str">
        <f t="shared" si="241"/>
        <v/>
      </c>
      <c r="G6864" t="str">
        <f t="shared" si="242"/>
        <v/>
      </c>
    </row>
    <row r="6865" spans="2:7" x14ac:dyDescent="0.25">
      <c r="B6865" s="6"/>
      <c r="C6865" s="7"/>
      <c r="D6865" s="7"/>
      <c r="E6865" s="8"/>
      <c r="F6865" t="str">
        <f t="shared" si="241"/>
        <v/>
      </c>
      <c r="G6865" t="str">
        <f t="shared" si="242"/>
        <v/>
      </c>
    </row>
    <row r="6866" spans="2:7" x14ac:dyDescent="0.25">
      <c r="B6866" s="6"/>
      <c r="C6866" s="7"/>
      <c r="D6866" s="7"/>
      <c r="E6866" s="8"/>
      <c r="F6866" t="str">
        <f t="shared" si="241"/>
        <v/>
      </c>
      <c r="G6866" t="str">
        <f t="shared" si="242"/>
        <v/>
      </c>
    </row>
    <row r="6867" spans="2:7" x14ac:dyDescent="0.25">
      <c r="B6867" s="6"/>
      <c r="C6867" s="7"/>
      <c r="D6867" s="7"/>
      <c r="E6867" s="8"/>
      <c r="F6867" t="str">
        <f t="shared" si="241"/>
        <v/>
      </c>
      <c r="G6867" t="str">
        <f t="shared" si="242"/>
        <v/>
      </c>
    </row>
    <row r="6868" spans="2:7" x14ac:dyDescent="0.25">
      <c r="B6868" s="6"/>
      <c r="C6868" s="7"/>
      <c r="D6868" s="7"/>
      <c r="E6868" s="8"/>
      <c r="F6868" t="str">
        <f t="shared" si="241"/>
        <v/>
      </c>
      <c r="G6868" t="str">
        <f t="shared" si="242"/>
        <v/>
      </c>
    </row>
    <row r="6869" spans="2:7" x14ac:dyDescent="0.25">
      <c r="B6869" s="6"/>
      <c r="C6869" s="7"/>
      <c r="D6869" s="7"/>
      <c r="E6869" s="8"/>
      <c r="F6869" t="str">
        <f t="shared" si="241"/>
        <v/>
      </c>
      <c r="G6869" t="str">
        <f t="shared" si="242"/>
        <v/>
      </c>
    </row>
    <row r="6870" spans="2:7" x14ac:dyDescent="0.25">
      <c r="B6870" s="6"/>
      <c r="C6870" s="7"/>
      <c r="D6870" s="7"/>
      <c r="E6870" s="8"/>
      <c r="F6870" t="str">
        <f t="shared" si="241"/>
        <v/>
      </c>
      <c r="G6870" t="str">
        <f t="shared" si="242"/>
        <v/>
      </c>
    </row>
    <row r="6871" spans="2:7" x14ac:dyDescent="0.25">
      <c r="B6871" s="6"/>
      <c r="C6871" s="7"/>
      <c r="D6871" s="7"/>
      <c r="E6871" s="8"/>
      <c r="F6871" t="str">
        <f t="shared" si="241"/>
        <v/>
      </c>
      <c r="G6871" t="str">
        <f t="shared" si="242"/>
        <v/>
      </c>
    </row>
    <row r="6872" spans="2:7" x14ac:dyDescent="0.25">
      <c r="B6872" s="6"/>
      <c r="C6872" s="7"/>
      <c r="D6872" s="7"/>
      <c r="E6872" s="8"/>
      <c r="F6872" t="str">
        <f t="shared" si="241"/>
        <v/>
      </c>
      <c r="G6872" t="str">
        <f t="shared" si="242"/>
        <v/>
      </c>
    </row>
    <row r="6873" spans="2:7" x14ac:dyDescent="0.25">
      <c r="B6873" s="6"/>
      <c r="C6873" s="7"/>
      <c r="D6873" s="7"/>
      <c r="E6873" s="8"/>
      <c r="F6873" t="str">
        <f t="shared" si="241"/>
        <v/>
      </c>
      <c r="G6873" t="str">
        <f t="shared" si="242"/>
        <v/>
      </c>
    </row>
    <row r="6874" spans="2:7" x14ac:dyDescent="0.25">
      <c r="B6874" s="6"/>
      <c r="C6874" s="7"/>
      <c r="D6874" s="7"/>
      <c r="E6874" s="8"/>
      <c r="F6874" t="str">
        <f t="shared" si="241"/>
        <v/>
      </c>
      <c r="G6874" t="str">
        <f t="shared" si="242"/>
        <v/>
      </c>
    </row>
    <row r="6875" spans="2:7" x14ac:dyDescent="0.25">
      <c r="B6875" s="6"/>
      <c r="C6875" s="7"/>
      <c r="D6875" s="7"/>
      <c r="E6875" s="8"/>
      <c r="F6875" t="str">
        <f t="shared" si="241"/>
        <v/>
      </c>
      <c r="G6875" t="str">
        <f t="shared" si="242"/>
        <v/>
      </c>
    </row>
    <row r="6876" spans="2:7" x14ac:dyDescent="0.25">
      <c r="B6876" s="6"/>
      <c r="C6876" s="7"/>
      <c r="D6876" s="7"/>
      <c r="E6876" s="8"/>
      <c r="F6876" t="str">
        <f t="shared" si="241"/>
        <v/>
      </c>
      <c r="G6876" t="str">
        <f t="shared" si="242"/>
        <v/>
      </c>
    </row>
    <row r="6877" spans="2:7" x14ac:dyDescent="0.25">
      <c r="B6877" s="6"/>
      <c r="C6877" s="7"/>
      <c r="D6877" s="7"/>
      <c r="E6877" s="8"/>
      <c r="F6877" t="str">
        <f t="shared" si="241"/>
        <v/>
      </c>
      <c r="G6877" t="str">
        <f t="shared" si="242"/>
        <v/>
      </c>
    </row>
    <row r="6878" spans="2:7" x14ac:dyDescent="0.25">
      <c r="B6878" s="6"/>
      <c r="C6878" s="7"/>
      <c r="D6878" s="7"/>
      <c r="E6878" s="8"/>
      <c r="F6878" t="str">
        <f t="shared" si="241"/>
        <v/>
      </c>
      <c r="G6878" t="str">
        <f t="shared" si="242"/>
        <v/>
      </c>
    </row>
    <row r="6879" spans="2:7" x14ac:dyDescent="0.25">
      <c r="B6879" s="6"/>
      <c r="C6879" s="7"/>
      <c r="D6879" s="7"/>
      <c r="E6879" s="8"/>
      <c r="F6879" t="str">
        <f t="shared" si="241"/>
        <v/>
      </c>
      <c r="G6879" t="str">
        <f t="shared" si="242"/>
        <v/>
      </c>
    </row>
    <row r="6880" spans="2:7" x14ac:dyDescent="0.25">
      <c r="B6880" s="6"/>
      <c r="C6880" s="7"/>
      <c r="D6880" s="7"/>
      <c r="E6880" s="8"/>
      <c r="F6880" t="str">
        <f t="shared" si="241"/>
        <v/>
      </c>
      <c r="G6880" t="str">
        <f t="shared" si="242"/>
        <v/>
      </c>
    </row>
    <row r="6881" spans="2:7" x14ac:dyDescent="0.25">
      <c r="B6881" s="6"/>
      <c r="C6881" s="7"/>
      <c r="D6881" s="7"/>
      <c r="E6881" s="8"/>
      <c r="F6881" t="str">
        <f t="shared" si="241"/>
        <v/>
      </c>
      <c r="G6881" t="str">
        <f t="shared" si="242"/>
        <v/>
      </c>
    </row>
    <row r="6882" spans="2:7" x14ac:dyDescent="0.25">
      <c r="B6882" s="6"/>
      <c r="C6882" s="7"/>
      <c r="D6882" s="7"/>
      <c r="E6882" s="8"/>
      <c r="F6882" t="str">
        <f t="shared" si="241"/>
        <v/>
      </c>
      <c r="G6882" t="str">
        <f t="shared" si="242"/>
        <v/>
      </c>
    </row>
    <row r="6883" spans="2:7" x14ac:dyDescent="0.25">
      <c r="B6883" s="6"/>
      <c r="C6883" s="7"/>
      <c r="D6883" s="7"/>
      <c r="E6883" s="8"/>
      <c r="F6883" t="str">
        <f t="shared" si="241"/>
        <v/>
      </c>
      <c r="G6883" t="str">
        <f t="shared" si="242"/>
        <v/>
      </c>
    </row>
    <row r="6884" spans="2:7" x14ac:dyDescent="0.25">
      <c r="B6884" s="6"/>
      <c r="C6884" s="7"/>
      <c r="D6884" s="7"/>
      <c r="E6884" s="8"/>
      <c r="F6884" t="str">
        <f t="shared" si="241"/>
        <v/>
      </c>
      <c r="G6884" t="str">
        <f t="shared" si="242"/>
        <v/>
      </c>
    </row>
    <row r="6885" spans="2:7" x14ac:dyDescent="0.25">
      <c r="B6885" s="6"/>
      <c r="C6885" s="7"/>
      <c r="D6885" s="7"/>
      <c r="E6885" s="8"/>
      <c r="F6885" t="str">
        <f t="shared" si="241"/>
        <v/>
      </c>
      <c r="G6885" t="str">
        <f t="shared" si="242"/>
        <v/>
      </c>
    </row>
    <row r="6886" spans="2:7" x14ac:dyDescent="0.25">
      <c r="B6886" s="6"/>
      <c r="C6886" s="7"/>
      <c r="D6886" s="7"/>
      <c r="E6886" s="8"/>
      <c r="F6886" t="str">
        <f t="shared" si="241"/>
        <v/>
      </c>
      <c r="G6886" t="str">
        <f t="shared" si="242"/>
        <v/>
      </c>
    </row>
    <row r="6887" spans="2:7" x14ac:dyDescent="0.25">
      <c r="B6887" s="6"/>
      <c r="C6887" s="7"/>
      <c r="D6887" s="7"/>
      <c r="E6887" s="8"/>
      <c r="F6887" t="str">
        <f t="shared" si="241"/>
        <v/>
      </c>
      <c r="G6887" t="str">
        <f t="shared" si="242"/>
        <v/>
      </c>
    </row>
    <row r="6888" spans="2:7" x14ac:dyDescent="0.25">
      <c r="B6888" s="6"/>
      <c r="C6888" s="7"/>
      <c r="D6888" s="7"/>
      <c r="E6888" s="8"/>
      <c r="F6888" t="str">
        <f t="shared" si="241"/>
        <v/>
      </c>
      <c r="G6888" t="str">
        <f t="shared" si="242"/>
        <v/>
      </c>
    </row>
    <row r="6889" spans="2:7" x14ac:dyDescent="0.25">
      <c r="B6889" s="6"/>
      <c r="C6889" s="7"/>
      <c r="D6889" s="7"/>
      <c r="E6889" s="8"/>
      <c r="F6889" t="str">
        <f t="shared" si="241"/>
        <v/>
      </c>
      <c r="G6889" t="str">
        <f t="shared" si="242"/>
        <v/>
      </c>
    </row>
    <row r="6890" spans="2:7" x14ac:dyDescent="0.25">
      <c r="B6890" s="6"/>
      <c r="C6890" s="7"/>
      <c r="D6890" s="7"/>
      <c r="E6890" s="8"/>
      <c r="F6890" t="str">
        <f t="shared" si="241"/>
        <v/>
      </c>
      <c r="G6890" t="str">
        <f t="shared" si="242"/>
        <v/>
      </c>
    </row>
    <row r="6891" spans="2:7" x14ac:dyDescent="0.25">
      <c r="B6891" s="6"/>
      <c r="C6891" s="7"/>
      <c r="D6891" s="7"/>
      <c r="E6891" s="8"/>
      <c r="F6891" t="str">
        <f t="shared" si="241"/>
        <v/>
      </c>
      <c r="G6891" t="str">
        <f t="shared" si="242"/>
        <v/>
      </c>
    </row>
    <row r="6892" spans="2:7" x14ac:dyDescent="0.25">
      <c r="B6892" s="6"/>
      <c r="C6892" s="7"/>
      <c r="D6892" s="7"/>
      <c r="E6892" s="8"/>
      <c r="F6892" t="str">
        <f t="shared" si="241"/>
        <v/>
      </c>
      <c r="G6892" t="str">
        <f t="shared" si="242"/>
        <v/>
      </c>
    </row>
    <row r="6893" spans="2:7" x14ac:dyDescent="0.25">
      <c r="B6893" s="6"/>
      <c r="C6893" s="7"/>
      <c r="D6893" s="7"/>
      <c r="E6893" s="8"/>
      <c r="F6893" t="str">
        <f t="shared" si="241"/>
        <v/>
      </c>
      <c r="G6893" t="str">
        <f t="shared" si="242"/>
        <v/>
      </c>
    </row>
    <row r="6894" spans="2:7" x14ac:dyDescent="0.25">
      <c r="B6894" s="6"/>
      <c r="C6894" s="7"/>
      <c r="D6894" s="7"/>
      <c r="E6894" s="8"/>
      <c r="F6894" t="str">
        <f t="shared" si="241"/>
        <v/>
      </c>
      <c r="G6894" t="str">
        <f t="shared" si="242"/>
        <v/>
      </c>
    </row>
    <row r="6895" spans="2:7" x14ac:dyDescent="0.25">
      <c r="B6895" s="6"/>
      <c r="C6895" s="7"/>
      <c r="D6895" s="7"/>
      <c r="E6895" s="8"/>
      <c r="F6895" t="str">
        <f t="shared" si="241"/>
        <v/>
      </c>
      <c r="G6895" t="str">
        <f t="shared" si="242"/>
        <v/>
      </c>
    </row>
    <row r="6896" spans="2:7" x14ac:dyDescent="0.25">
      <c r="B6896" s="6"/>
      <c r="C6896" s="7"/>
      <c r="D6896" s="7"/>
      <c r="E6896" s="8"/>
      <c r="F6896" t="str">
        <f t="shared" si="241"/>
        <v/>
      </c>
      <c r="G6896" t="str">
        <f t="shared" si="242"/>
        <v/>
      </c>
    </row>
    <row r="6897" spans="2:7" x14ac:dyDescent="0.25">
      <c r="B6897" s="6"/>
      <c r="C6897" s="7"/>
      <c r="D6897" s="7"/>
      <c r="E6897" s="8"/>
      <c r="F6897" t="str">
        <f t="shared" si="241"/>
        <v/>
      </c>
      <c r="G6897" t="str">
        <f t="shared" si="242"/>
        <v/>
      </c>
    </row>
    <row r="6898" spans="2:7" x14ac:dyDescent="0.25">
      <c r="B6898" s="6"/>
      <c r="C6898" s="7"/>
      <c r="D6898" s="7"/>
      <c r="E6898" s="8"/>
      <c r="F6898" t="str">
        <f t="shared" si="241"/>
        <v/>
      </c>
      <c r="G6898" t="str">
        <f t="shared" si="242"/>
        <v/>
      </c>
    </row>
    <row r="6899" spans="2:7" x14ac:dyDescent="0.25">
      <c r="B6899" s="6"/>
      <c r="C6899" s="7"/>
      <c r="D6899" s="7"/>
      <c r="E6899" s="8"/>
      <c r="F6899" t="str">
        <f t="shared" si="241"/>
        <v/>
      </c>
      <c r="G6899" t="str">
        <f t="shared" si="242"/>
        <v/>
      </c>
    </row>
    <row r="6900" spans="2:7" x14ac:dyDescent="0.25">
      <c r="B6900" s="6"/>
      <c r="C6900" s="7"/>
      <c r="D6900" s="7"/>
      <c r="E6900" s="8"/>
      <c r="F6900" t="str">
        <f t="shared" si="241"/>
        <v/>
      </c>
      <c r="G6900" t="str">
        <f t="shared" si="242"/>
        <v/>
      </c>
    </row>
    <row r="6901" spans="2:7" x14ac:dyDescent="0.25">
      <c r="B6901" s="6"/>
      <c r="C6901" s="7"/>
      <c r="D6901" s="7"/>
      <c r="E6901" s="8"/>
      <c r="F6901" t="str">
        <f t="shared" si="241"/>
        <v/>
      </c>
      <c r="G6901" t="str">
        <f t="shared" si="242"/>
        <v/>
      </c>
    </row>
    <row r="6902" spans="2:7" x14ac:dyDescent="0.25">
      <c r="B6902" s="6"/>
      <c r="C6902" s="7"/>
      <c r="D6902" s="7"/>
      <c r="E6902" s="8"/>
      <c r="F6902" t="str">
        <f t="shared" si="241"/>
        <v/>
      </c>
      <c r="G6902" t="str">
        <f t="shared" si="242"/>
        <v/>
      </c>
    </row>
    <row r="6903" spans="2:7" x14ac:dyDescent="0.25">
      <c r="B6903" s="6"/>
      <c r="C6903" s="7"/>
      <c r="D6903" s="7"/>
      <c r="E6903" s="8"/>
      <c r="F6903" t="str">
        <f t="shared" si="241"/>
        <v/>
      </c>
      <c r="G6903" t="str">
        <f t="shared" si="242"/>
        <v/>
      </c>
    </row>
    <row r="6904" spans="2:7" x14ac:dyDescent="0.25">
      <c r="B6904" s="6"/>
      <c r="C6904" s="7"/>
      <c r="D6904" s="7"/>
      <c r="E6904" s="8"/>
      <c r="F6904" t="str">
        <f t="shared" si="241"/>
        <v/>
      </c>
      <c r="G6904" t="str">
        <f t="shared" si="242"/>
        <v/>
      </c>
    </row>
    <row r="6905" spans="2:7" x14ac:dyDescent="0.25">
      <c r="B6905" s="6"/>
      <c r="C6905" s="7"/>
      <c r="D6905" s="7"/>
      <c r="E6905" s="8"/>
      <c r="F6905" t="str">
        <f t="shared" si="241"/>
        <v/>
      </c>
      <c r="G6905" t="str">
        <f t="shared" si="242"/>
        <v/>
      </c>
    </row>
    <row r="6906" spans="2:7" x14ac:dyDescent="0.25">
      <c r="B6906" s="6"/>
      <c r="C6906" s="7"/>
      <c r="D6906" s="7"/>
      <c r="E6906" s="8"/>
      <c r="F6906" t="str">
        <f t="shared" si="241"/>
        <v/>
      </c>
      <c r="G6906" t="str">
        <f t="shared" si="242"/>
        <v/>
      </c>
    </row>
    <row r="6907" spans="2:7" x14ac:dyDescent="0.25">
      <c r="B6907" s="6"/>
      <c r="C6907" s="7"/>
      <c r="D6907" s="7"/>
      <c r="E6907" s="8"/>
      <c r="F6907" t="str">
        <f t="shared" si="241"/>
        <v/>
      </c>
      <c r="G6907" t="str">
        <f t="shared" si="242"/>
        <v/>
      </c>
    </row>
    <row r="6908" spans="2:7" x14ac:dyDescent="0.25">
      <c r="B6908" s="6"/>
      <c r="C6908" s="7"/>
      <c r="D6908" s="7"/>
      <c r="E6908" s="8"/>
      <c r="F6908" t="str">
        <f t="shared" si="241"/>
        <v/>
      </c>
      <c r="G6908" t="str">
        <f t="shared" si="242"/>
        <v/>
      </c>
    </row>
    <row r="6909" spans="2:7" x14ac:dyDescent="0.25">
      <c r="B6909" s="6"/>
      <c r="C6909" s="7"/>
      <c r="D6909" s="7"/>
      <c r="E6909" s="8"/>
      <c r="F6909" t="str">
        <f t="shared" si="241"/>
        <v/>
      </c>
      <c r="G6909" t="str">
        <f t="shared" si="242"/>
        <v/>
      </c>
    </row>
    <row r="6910" spans="2:7" x14ac:dyDescent="0.25">
      <c r="B6910" s="6"/>
      <c r="C6910" s="7"/>
      <c r="D6910" s="7"/>
      <c r="E6910" s="8"/>
      <c r="F6910" t="str">
        <f t="shared" si="241"/>
        <v/>
      </c>
      <c r="G6910" t="str">
        <f t="shared" si="242"/>
        <v/>
      </c>
    </row>
    <row r="6911" spans="2:7" x14ac:dyDescent="0.25">
      <c r="B6911" s="6"/>
      <c r="C6911" s="7"/>
      <c r="D6911" s="7"/>
      <c r="E6911" s="8"/>
      <c r="F6911" t="str">
        <f t="shared" si="241"/>
        <v/>
      </c>
      <c r="G6911" t="str">
        <f t="shared" si="242"/>
        <v/>
      </c>
    </row>
    <row r="6912" spans="2:7" x14ac:dyDescent="0.25">
      <c r="B6912" s="6"/>
      <c r="C6912" s="7"/>
      <c r="D6912" s="7"/>
      <c r="E6912" s="8"/>
      <c r="F6912" t="str">
        <f t="shared" si="241"/>
        <v/>
      </c>
      <c r="G6912" t="str">
        <f t="shared" si="242"/>
        <v/>
      </c>
    </row>
    <row r="6913" spans="2:7" x14ac:dyDescent="0.25">
      <c r="B6913" s="6"/>
      <c r="C6913" s="7"/>
      <c r="D6913" s="7"/>
      <c r="E6913" s="8"/>
      <c r="F6913" t="str">
        <f t="shared" si="241"/>
        <v/>
      </c>
      <c r="G6913" t="str">
        <f t="shared" si="242"/>
        <v/>
      </c>
    </row>
    <row r="6914" spans="2:7" x14ac:dyDescent="0.25">
      <c r="B6914" s="6"/>
      <c r="C6914" s="7"/>
      <c r="D6914" s="7"/>
      <c r="E6914" s="8"/>
      <c r="F6914" t="str">
        <f t="shared" si="241"/>
        <v/>
      </c>
      <c r="G6914" t="str">
        <f t="shared" si="242"/>
        <v/>
      </c>
    </row>
    <row r="6915" spans="2:7" x14ac:dyDescent="0.25">
      <c r="B6915" s="6"/>
      <c r="C6915" s="7"/>
      <c r="D6915" s="7"/>
      <c r="E6915" s="8"/>
      <c r="F6915" t="str">
        <f t="shared" si="241"/>
        <v/>
      </c>
      <c r="G6915" t="str">
        <f t="shared" si="242"/>
        <v/>
      </c>
    </row>
    <row r="6916" spans="2:7" x14ac:dyDescent="0.25">
      <c r="B6916" s="6"/>
      <c r="C6916" s="7"/>
      <c r="D6916" s="7"/>
      <c r="E6916" s="8"/>
      <c r="F6916" t="str">
        <f t="shared" ref="F6916:F6979" si="243">IF(B6916="","",LOG10(D6916))</f>
        <v/>
      </c>
      <c r="G6916" t="str">
        <f t="shared" ref="G6916:G6979" si="244">IF(E6916="", "",0.434*E6916/D6916)</f>
        <v/>
      </c>
    </row>
    <row r="6917" spans="2:7" x14ac:dyDescent="0.25">
      <c r="B6917" s="6"/>
      <c r="C6917" s="7"/>
      <c r="D6917" s="7"/>
      <c r="E6917" s="8"/>
      <c r="F6917" t="str">
        <f t="shared" si="243"/>
        <v/>
      </c>
      <c r="G6917" t="str">
        <f t="shared" si="244"/>
        <v/>
      </c>
    </row>
    <row r="6918" spans="2:7" x14ac:dyDescent="0.25">
      <c r="B6918" s="6"/>
      <c r="C6918" s="7"/>
      <c r="D6918" s="7"/>
      <c r="E6918" s="8"/>
      <c r="F6918" t="str">
        <f t="shared" si="243"/>
        <v/>
      </c>
      <c r="G6918" t="str">
        <f t="shared" si="244"/>
        <v/>
      </c>
    </row>
    <row r="6919" spans="2:7" x14ac:dyDescent="0.25">
      <c r="B6919" s="6"/>
      <c r="C6919" s="7"/>
      <c r="D6919" s="7"/>
      <c r="E6919" s="8"/>
      <c r="F6919" t="str">
        <f t="shared" si="243"/>
        <v/>
      </c>
      <c r="G6919" t="str">
        <f t="shared" si="244"/>
        <v/>
      </c>
    </row>
    <row r="6920" spans="2:7" x14ac:dyDescent="0.25">
      <c r="B6920" s="6"/>
      <c r="C6920" s="7"/>
      <c r="D6920" s="7"/>
      <c r="E6920" s="8"/>
      <c r="F6920" t="str">
        <f t="shared" si="243"/>
        <v/>
      </c>
      <c r="G6920" t="str">
        <f t="shared" si="244"/>
        <v/>
      </c>
    </row>
    <row r="6921" spans="2:7" x14ac:dyDescent="0.25">
      <c r="B6921" s="6"/>
      <c r="C6921" s="7"/>
      <c r="D6921" s="7"/>
      <c r="E6921" s="8"/>
      <c r="F6921" t="str">
        <f t="shared" si="243"/>
        <v/>
      </c>
      <c r="G6921" t="str">
        <f t="shared" si="244"/>
        <v/>
      </c>
    </row>
    <row r="6922" spans="2:7" x14ac:dyDescent="0.25">
      <c r="B6922" s="6"/>
      <c r="C6922" s="7"/>
      <c r="D6922" s="7"/>
      <c r="E6922" s="8"/>
      <c r="F6922" t="str">
        <f t="shared" si="243"/>
        <v/>
      </c>
      <c r="G6922" t="str">
        <f t="shared" si="244"/>
        <v/>
      </c>
    </row>
    <row r="6923" spans="2:7" x14ac:dyDescent="0.25">
      <c r="B6923" s="6"/>
      <c r="C6923" s="7"/>
      <c r="D6923" s="7"/>
      <c r="E6923" s="8"/>
      <c r="F6923" t="str">
        <f t="shared" si="243"/>
        <v/>
      </c>
      <c r="G6923" t="str">
        <f t="shared" si="244"/>
        <v/>
      </c>
    </row>
    <row r="6924" spans="2:7" x14ac:dyDescent="0.25">
      <c r="B6924" s="6"/>
      <c r="C6924" s="7"/>
      <c r="D6924" s="7"/>
      <c r="E6924" s="8"/>
      <c r="F6924" t="str">
        <f t="shared" si="243"/>
        <v/>
      </c>
      <c r="G6924" t="str">
        <f t="shared" si="244"/>
        <v/>
      </c>
    </row>
    <row r="6925" spans="2:7" x14ac:dyDescent="0.25">
      <c r="B6925" s="6"/>
      <c r="C6925" s="7"/>
      <c r="D6925" s="7"/>
      <c r="E6925" s="8"/>
      <c r="F6925" t="str">
        <f t="shared" si="243"/>
        <v/>
      </c>
      <c r="G6925" t="str">
        <f t="shared" si="244"/>
        <v/>
      </c>
    </row>
    <row r="6926" spans="2:7" x14ac:dyDescent="0.25">
      <c r="B6926" s="6"/>
      <c r="C6926" s="7"/>
      <c r="D6926" s="7"/>
      <c r="E6926" s="8"/>
      <c r="F6926" t="str">
        <f t="shared" si="243"/>
        <v/>
      </c>
      <c r="G6926" t="str">
        <f t="shared" si="244"/>
        <v/>
      </c>
    </row>
    <row r="6927" spans="2:7" x14ac:dyDescent="0.25">
      <c r="B6927" s="6"/>
      <c r="C6927" s="7"/>
      <c r="D6927" s="7"/>
      <c r="E6927" s="8"/>
      <c r="F6927" t="str">
        <f t="shared" si="243"/>
        <v/>
      </c>
      <c r="G6927" t="str">
        <f t="shared" si="244"/>
        <v/>
      </c>
    </row>
    <row r="6928" spans="2:7" x14ac:dyDescent="0.25">
      <c r="B6928" s="6"/>
      <c r="C6928" s="7"/>
      <c r="D6928" s="7"/>
      <c r="E6928" s="8"/>
      <c r="F6928" t="str">
        <f t="shared" si="243"/>
        <v/>
      </c>
      <c r="G6928" t="str">
        <f t="shared" si="244"/>
        <v/>
      </c>
    </row>
    <row r="6929" spans="2:7" x14ac:dyDescent="0.25">
      <c r="B6929" s="6"/>
      <c r="C6929" s="7"/>
      <c r="D6929" s="7"/>
      <c r="E6929" s="8"/>
      <c r="F6929" t="str">
        <f t="shared" si="243"/>
        <v/>
      </c>
      <c r="G6929" t="str">
        <f t="shared" si="244"/>
        <v/>
      </c>
    </row>
    <row r="6930" spans="2:7" x14ac:dyDescent="0.25">
      <c r="B6930" s="6"/>
      <c r="C6930" s="7"/>
      <c r="D6930" s="7"/>
      <c r="E6930" s="8"/>
      <c r="F6930" t="str">
        <f t="shared" si="243"/>
        <v/>
      </c>
      <c r="G6930" t="str">
        <f t="shared" si="244"/>
        <v/>
      </c>
    </row>
    <row r="6931" spans="2:7" x14ac:dyDescent="0.25">
      <c r="B6931" s="6"/>
      <c r="C6931" s="7"/>
      <c r="D6931" s="7"/>
      <c r="E6931" s="8"/>
      <c r="F6931" t="str">
        <f t="shared" si="243"/>
        <v/>
      </c>
      <c r="G6931" t="str">
        <f t="shared" si="244"/>
        <v/>
      </c>
    </row>
    <row r="6932" spans="2:7" x14ac:dyDescent="0.25">
      <c r="B6932" s="6"/>
      <c r="C6932" s="7"/>
      <c r="D6932" s="7"/>
      <c r="E6932" s="8"/>
      <c r="F6932" t="str">
        <f t="shared" si="243"/>
        <v/>
      </c>
      <c r="G6932" t="str">
        <f t="shared" si="244"/>
        <v/>
      </c>
    </row>
    <row r="6933" spans="2:7" x14ac:dyDescent="0.25">
      <c r="B6933" s="6"/>
      <c r="C6933" s="7"/>
      <c r="D6933" s="7"/>
      <c r="E6933" s="8"/>
      <c r="F6933" t="str">
        <f t="shared" si="243"/>
        <v/>
      </c>
      <c r="G6933" t="str">
        <f t="shared" si="244"/>
        <v/>
      </c>
    </row>
    <row r="6934" spans="2:7" x14ac:dyDescent="0.25">
      <c r="B6934" s="6"/>
      <c r="C6934" s="7"/>
      <c r="D6934" s="7"/>
      <c r="E6934" s="8"/>
      <c r="F6934" t="str">
        <f t="shared" si="243"/>
        <v/>
      </c>
      <c r="G6934" t="str">
        <f t="shared" si="244"/>
        <v/>
      </c>
    </row>
    <row r="6935" spans="2:7" x14ac:dyDescent="0.25">
      <c r="B6935" s="6"/>
      <c r="C6935" s="7"/>
      <c r="D6935" s="7"/>
      <c r="E6935" s="8"/>
      <c r="F6935" t="str">
        <f t="shared" si="243"/>
        <v/>
      </c>
      <c r="G6935" t="str">
        <f t="shared" si="244"/>
        <v/>
      </c>
    </row>
    <row r="6936" spans="2:7" x14ac:dyDescent="0.25">
      <c r="B6936" s="6"/>
      <c r="C6936" s="7"/>
      <c r="D6936" s="7"/>
      <c r="E6936" s="8"/>
      <c r="F6936" t="str">
        <f t="shared" si="243"/>
        <v/>
      </c>
      <c r="G6936" t="str">
        <f t="shared" si="244"/>
        <v/>
      </c>
    </row>
    <row r="6937" spans="2:7" x14ac:dyDescent="0.25">
      <c r="B6937" s="6"/>
      <c r="C6937" s="7"/>
      <c r="D6937" s="7"/>
      <c r="E6937" s="8"/>
      <c r="F6937" t="str">
        <f t="shared" si="243"/>
        <v/>
      </c>
      <c r="G6937" t="str">
        <f t="shared" si="244"/>
        <v/>
      </c>
    </row>
    <row r="6938" spans="2:7" x14ac:dyDescent="0.25">
      <c r="B6938" s="6"/>
      <c r="C6938" s="7"/>
      <c r="D6938" s="7"/>
      <c r="E6938" s="8"/>
      <c r="F6938" t="str">
        <f t="shared" si="243"/>
        <v/>
      </c>
      <c r="G6938" t="str">
        <f t="shared" si="244"/>
        <v/>
      </c>
    </row>
    <row r="6939" spans="2:7" x14ac:dyDescent="0.25">
      <c r="B6939" s="6"/>
      <c r="C6939" s="7"/>
      <c r="D6939" s="7"/>
      <c r="E6939" s="8"/>
      <c r="F6939" t="str">
        <f t="shared" si="243"/>
        <v/>
      </c>
      <c r="G6939" t="str">
        <f t="shared" si="244"/>
        <v/>
      </c>
    </row>
    <row r="6940" spans="2:7" x14ac:dyDescent="0.25">
      <c r="B6940" s="6"/>
      <c r="C6940" s="7"/>
      <c r="D6940" s="7"/>
      <c r="E6940" s="8"/>
      <c r="F6940" t="str">
        <f t="shared" si="243"/>
        <v/>
      </c>
      <c r="G6940" t="str">
        <f t="shared" si="244"/>
        <v/>
      </c>
    </row>
    <row r="6941" spans="2:7" x14ac:dyDescent="0.25">
      <c r="B6941" s="6"/>
      <c r="C6941" s="7"/>
      <c r="D6941" s="7"/>
      <c r="E6941" s="8"/>
      <c r="F6941" t="str">
        <f t="shared" si="243"/>
        <v/>
      </c>
      <c r="G6941" t="str">
        <f t="shared" si="244"/>
        <v/>
      </c>
    </row>
    <row r="6942" spans="2:7" x14ac:dyDescent="0.25">
      <c r="B6942" s="6"/>
      <c r="C6942" s="7"/>
      <c r="D6942" s="7"/>
      <c r="E6942" s="8"/>
      <c r="F6942" t="str">
        <f t="shared" si="243"/>
        <v/>
      </c>
      <c r="G6942" t="str">
        <f t="shared" si="244"/>
        <v/>
      </c>
    </row>
    <row r="6943" spans="2:7" x14ac:dyDescent="0.25">
      <c r="B6943" s="6"/>
      <c r="C6943" s="7"/>
      <c r="D6943" s="7"/>
      <c r="E6943" s="8"/>
      <c r="F6943" t="str">
        <f t="shared" si="243"/>
        <v/>
      </c>
      <c r="G6943" t="str">
        <f t="shared" si="244"/>
        <v/>
      </c>
    </row>
    <row r="6944" spans="2:7" x14ac:dyDescent="0.25">
      <c r="B6944" s="6"/>
      <c r="C6944" s="7"/>
      <c r="D6944" s="7"/>
      <c r="E6944" s="8"/>
      <c r="F6944" t="str">
        <f t="shared" si="243"/>
        <v/>
      </c>
      <c r="G6944" t="str">
        <f t="shared" si="244"/>
        <v/>
      </c>
    </row>
    <row r="6945" spans="2:7" x14ac:dyDescent="0.25">
      <c r="B6945" s="6"/>
      <c r="C6945" s="7"/>
      <c r="D6945" s="7"/>
      <c r="E6945" s="8"/>
      <c r="F6945" t="str">
        <f t="shared" si="243"/>
        <v/>
      </c>
      <c r="G6945" t="str">
        <f t="shared" si="244"/>
        <v/>
      </c>
    </row>
    <row r="6946" spans="2:7" x14ac:dyDescent="0.25">
      <c r="B6946" s="6"/>
      <c r="C6946" s="7"/>
      <c r="D6946" s="7"/>
      <c r="E6946" s="8"/>
      <c r="F6946" t="str">
        <f t="shared" si="243"/>
        <v/>
      </c>
      <c r="G6946" t="str">
        <f t="shared" si="244"/>
        <v/>
      </c>
    </row>
    <row r="6947" spans="2:7" x14ac:dyDescent="0.25">
      <c r="B6947" s="6"/>
      <c r="C6947" s="7"/>
      <c r="D6947" s="7"/>
      <c r="E6947" s="8"/>
      <c r="F6947" t="str">
        <f t="shared" si="243"/>
        <v/>
      </c>
      <c r="G6947" t="str">
        <f t="shared" si="244"/>
        <v/>
      </c>
    </row>
    <row r="6948" spans="2:7" x14ac:dyDescent="0.25">
      <c r="B6948" s="6"/>
      <c r="C6948" s="7"/>
      <c r="D6948" s="7"/>
      <c r="E6948" s="8"/>
      <c r="F6948" t="str">
        <f t="shared" si="243"/>
        <v/>
      </c>
      <c r="G6948" t="str">
        <f t="shared" si="244"/>
        <v/>
      </c>
    </row>
    <row r="6949" spans="2:7" x14ac:dyDescent="0.25">
      <c r="B6949" s="6"/>
      <c r="C6949" s="7"/>
      <c r="D6949" s="7"/>
      <c r="E6949" s="8"/>
      <c r="F6949" t="str">
        <f t="shared" si="243"/>
        <v/>
      </c>
      <c r="G6949" t="str">
        <f t="shared" si="244"/>
        <v/>
      </c>
    </row>
    <row r="6950" spans="2:7" x14ac:dyDescent="0.25">
      <c r="B6950" s="6"/>
      <c r="C6950" s="7"/>
      <c r="D6950" s="7"/>
      <c r="E6950" s="8"/>
      <c r="F6950" t="str">
        <f t="shared" si="243"/>
        <v/>
      </c>
      <c r="G6950" t="str">
        <f t="shared" si="244"/>
        <v/>
      </c>
    </row>
    <row r="6951" spans="2:7" x14ac:dyDescent="0.25">
      <c r="B6951" s="6"/>
      <c r="C6951" s="7"/>
      <c r="D6951" s="7"/>
      <c r="E6951" s="8"/>
      <c r="F6951" t="str">
        <f t="shared" si="243"/>
        <v/>
      </c>
      <c r="G6951" t="str">
        <f t="shared" si="244"/>
        <v/>
      </c>
    </row>
    <row r="6952" spans="2:7" x14ac:dyDescent="0.25">
      <c r="B6952" s="6"/>
      <c r="C6952" s="7"/>
      <c r="D6952" s="7"/>
      <c r="E6952" s="8"/>
      <c r="F6952" t="str">
        <f t="shared" si="243"/>
        <v/>
      </c>
      <c r="G6952" t="str">
        <f t="shared" si="244"/>
        <v/>
      </c>
    </row>
    <row r="6953" spans="2:7" x14ac:dyDescent="0.25">
      <c r="B6953" s="6"/>
      <c r="C6953" s="7"/>
      <c r="D6953" s="7"/>
      <c r="E6953" s="8"/>
      <c r="F6953" t="str">
        <f t="shared" si="243"/>
        <v/>
      </c>
      <c r="G6953" t="str">
        <f t="shared" si="244"/>
        <v/>
      </c>
    </row>
    <row r="6954" spans="2:7" x14ac:dyDescent="0.25">
      <c r="B6954" s="6"/>
      <c r="C6954" s="7"/>
      <c r="D6954" s="7"/>
      <c r="E6954" s="8"/>
      <c r="F6954" t="str">
        <f t="shared" si="243"/>
        <v/>
      </c>
      <c r="G6954" t="str">
        <f t="shared" si="244"/>
        <v/>
      </c>
    </row>
    <row r="6955" spans="2:7" x14ac:dyDescent="0.25">
      <c r="B6955" s="6"/>
      <c r="C6955" s="7"/>
      <c r="D6955" s="7"/>
      <c r="E6955" s="8"/>
      <c r="F6955" t="str">
        <f t="shared" si="243"/>
        <v/>
      </c>
      <c r="G6955" t="str">
        <f t="shared" si="244"/>
        <v/>
      </c>
    </row>
    <row r="6956" spans="2:7" x14ac:dyDescent="0.25">
      <c r="B6956" s="6"/>
      <c r="C6956" s="7"/>
      <c r="D6956" s="7"/>
      <c r="E6956" s="8"/>
      <c r="F6956" t="str">
        <f t="shared" si="243"/>
        <v/>
      </c>
      <c r="G6956" t="str">
        <f t="shared" si="244"/>
        <v/>
      </c>
    </row>
    <row r="6957" spans="2:7" x14ac:dyDescent="0.25">
      <c r="B6957" s="6"/>
      <c r="C6957" s="7"/>
      <c r="D6957" s="7"/>
      <c r="E6957" s="8"/>
      <c r="F6957" t="str">
        <f t="shared" si="243"/>
        <v/>
      </c>
      <c r="G6957" t="str">
        <f t="shared" si="244"/>
        <v/>
      </c>
    </row>
    <row r="6958" spans="2:7" x14ac:dyDescent="0.25">
      <c r="B6958" s="6"/>
      <c r="C6958" s="7"/>
      <c r="D6958" s="7"/>
      <c r="E6958" s="8"/>
      <c r="F6958" t="str">
        <f t="shared" si="243"/>
        <v/>
      </c>
      <c r="G6958" t="str">
        <f t="shared" si="244"/>
        <v/>
      </c>
    </row>
    <row r="6959" spans="2:7" x14ac:dyDescent="0.25">
      <c r="B6959" s="6"/>
      <c r="C6959" s="7"/>
      <c r="D6959" s="7"/>
      <c r="E6959" s="8"/>
      <c r="F6959" t="str">
        <f t="shared" si="243"/>
        <v/>
      </c>
      <c r="G6959" t="str">
        <f t="shared" si="244"/>
        <v/>
      </c>
    </row>
    <row r="6960" spans="2:7" x14ac:dyDescent="0.25">
      <c r="B6960" s="6"/>
      <c r="C6960" s="7"/>
      <c r="D6960" s="7"/>
      <c r="E6960" s="8"/>
      <c r="F6960" t="str">
        <f t="shared" si="243"/>
        <v/>
      </c>
      <c r="G6960" t="str">
        <f t="shared" si="244"/>
        <v/>
      </c>
    </row>
    <row r="6961" spans="2:7" x14ac:dyDescent="0.25">
      <c r="B6961" s="6"/>
      <c r="C6961" s="7"/>
      <c r="D6961" s="7"/>
      <c r="E6961" s="8"/>
      <c r="F6961" t="str">
        <f t="shared" si="243"/>
        <v/>
      </c>
      <c r="G6961" t="str">
        <f t="shared" si="244"/>
        <v/>
      </c>
    </row>
    <row r="6962" spans="2:7" x14ac:dyDescent="0.25">
      <c r="B6962" s="6"/>
      <c r="C6962" s="7"/>
      <c r="D6962" s="7"/>
      <c r="E6962" s="8"/>
      <c r="F6962" t="str">
        <f t="shared" si="243"/>
        <v/>
      </c>
      <c r="G6962" t="str">
        <f t="shared" si="244"/>
        <v/>
      </c>
    </row>
    <row r="6963" spans="2:7" x14ac:dyDescent="0.25">
      <c r="B6963" s="6"/>
      <c r="C6963" s="7"/>
      <c r="D6963" s="7"/>
      <c r="E6963" s="8"/>
      <c r="F6963" t="str">
        <f t="shared" si="243"/>
        <v/>
      </c>
      <c r="G6963" t="str">
        <f t="shared" si="244"/>
        <v/>
      </c>
    </row>
    <row r="6964" spans="2:7" x14ac:dyDescent="0.25">
      <c r="B6964" s="6"/>
      <c r="C6964" s="7"/>
      <c r="D6964" s="7"/>
      <c r="E6964" s="8"/>
      <c r="F6964" t="str">
        <f t="shared" si="243"/>
        <v/>
      </c>
      <c r="G6964" t="str">
        <f t="shared" si="244"/>
        <v/>
      </c>
    </row>
    <row r="6965" spans="2:7" x14ac:dyDescent="0.25">
      <c r="B6965" s="6"/>
      <c r="C6965" s="7"/>
      <c r="D6965" s="7"/>
      <c r="E6965" s="8"/>
      <c r="F6965" t="str">
        <f t="shared" si="243"/>
        <v/>
      </c>
      <c r="G6965" t="str">
        <f t="shared" si="244"/>
        <v/>
      </c>
    </row>
    <row r="6966" spans="2:7" x14ac:dyDescent="0.25">
      <c r="B6966" s="6"/>
      <c r="C6966" s="7"/>
      <c r="D6966" s="7"/>
      <c r="E6966" s="8"/>
      <c r="F6966" t="str">
        <f t="shared" si="243"/>
        <v/>
      </c>
      <c r="G6966" t="str">
        <f t="shared" si="244"/>
        <v/>
      </c>
    </row>
    <row r="6967" spans="2:7" x14ac:dyDescent="0.25">
      <c r="B6967" s="6"/>
      <c r="C6967" s="7"/>
      <c r="D6967" s="7"/>
      <c r="E6967" s="8"/>
      <c r="F6967" t="str">
        <f t="shared" si="243"/>
        <v/>
      </c>
      <c r="G6967" t="str">
        <f t="shared" si="244"/>
        <v/>
      </c>
    </row>
    <row r="6968" spans="2:7" x14ac:dyDescent="0.25">
      <c r="B6968" s="6"/>
      <c r="C6968" s="7"/>
      <c r="D6968" s="7"/>
      <c r="E6968" s="8"/>
      <c r="F6968" t="str">
        <f t="shared" si="243"/>
        <v/>
      </c>
      <c r="G6968" t="str">
        <f t="shared" si="244"/>
        <v/>
      </c>
    </row>
    <row r="6969" spans="2:7" x14ac:dyDescent="0.25">
      <c r="B6969" s="6"/>
      <c r="C6969" s="7"/>
      <c r="D6969" s="7"/>
      <c r="E6969" s="8"/>
      <c r="F6969" t="str">
        <f t="shared" si="243"/>
        <v/>
      </c>
      <c r="G6969" t="str">
        <f t="shared" si="244"/>
        <v/>
      </c>
    </row>
    <row r="6970" spans="2:7" x14ac:dyDescent="0.25">
      <c r="B6970" s="6"/>
      <c r="C6970" s="7"/>
      <c r="D6970" s="7"/>
      <c r="E6970" s="8"/>
      <c r="F6970" t="str">
        <f t="shared" si="243"/>
        <v/>
      </c>
      <c r="G6970" t="str">
        <f t="shared" si="244"/>
        <v/>
      </c>
    </row>
    <row r="6971" spans="2:7" x14ac:dyDescent="0.25">
      <c r="B6971" s="6"/>
      <c r="C6971" s="7"/>
      <c r="D6971" s="7"/>
      <c r="E6971" s="8"/>
      <c r="F6971" t="str">
        <f t="shared" si="243"/>
        <v/>
      </c>
      <c r="G6971" t="str">
        <f t="shared" si="244"/>
        <v/>
      </c>
    </row>
    <row r="6972" spans="2:7" x14ac:dyDescent="0.25">
      <c r="B6972" s="6"/>
      <c r="C6972" s="7"/>
      <c r="D6972" s="7"/>
      <c r="E6972" s="8"/>
      <c r="F6972" t="str">
        <f t="shared" si="243"/>
        <v/>
      </c>
      <c r="G6972" t="str">
        <f t="shared" si="244"/>
        <v/>
      </c>
    </row>
    <row r="6973" spans="2:7" x14ac:dyDescent="0.25">
      <c r="B6973" s="6"/>
      <c r="C6973" s="7"/>
      <c r="D6973" s="7"/>
      <c r="E6973" s="8"/>
      <c r="F6973" t="str">
        <f t="shared" si="243"/>
        <v/>
      </c>
      <c r="G6973" t="str">
        <f t="shared" si="244"/>
        <v/>
      </c>
    </row>
    <row r="6974" spans="2:7" x14ac:dyDescent="0.25">
      <c r="B6974" s="6"/>
      <c r="C6974" s="7"/>
      <c r="D6974" s="7"/>
      <c r="E6974" s="8"/>
      <c r="F6974" t="str">
        <f t="shared" si="243"/>
        <v/>
      </c>
      <c r="G6974" t="str">
        <f t="shared" si="244"/>
        <v/>
      </c>
    </row>
    <row r="6975" spans="2:7" x14ac:dyDescent="0.25">
      <c r="B6975" s="6"/>
      <c r="C6975" s="7"/>
      <c r="D6975" s="7"/>
      <c r="E6975" s="8"/>
      <c r="F6975" t="str">
        <f t="shared" si="243"/>
        <v/>
      </c>
      <c r="G6975" t="str">
        <f t="shared" si="244"/>
        <v/>
      </c>
    </row>
    <row r="6976" spans="2:7" x14ac:dyDescent="0.25">
      <c r="B6976" s="6"/>
      <c r="C6976" s="7"/>
      <c r="D6976" s="7"/>
      <c r="E6976" s="8"/>
      <c r="F6976" t="str">
        <f t="shared" si="243"/>
        <v/>
      </c>
      <c r="G6976" t="str">
        <f t="shared" si="244"/>
        <v/>
      </c>
    </row>
    <row r="6977" spans="2:7" x14ac:dyDescent="0.25">
      <c r="B6977" s="6"/>
      <c r="C6977" s="7"/>
      <c r="D6977" s="7"/>
      <c r="E6977" s="8"/>
      <c r="F6977" t="str">
        <f t="shared" si="243"/>
        <v/>
      </c>
      <c r="G6977" t="str">
        <f t="shared" si="244"/>
        <v/>
      </c>
    </row>
    <row r="6978" spans="2:7" x14ac:dyDescent="0.25">
      <c r="B6978" s="6"/>
      <c r="C6978" s="7"/>
      <c r="D6978" s="7"/>
      <c r="E6978" s="8"/>
      <c r="F6978" t="str">
        <f t="shared" si="243"/>
        <v/>
      </c>
      <c r="G6978" t="str">
        <f t="shared" si="244"/>
        <v/>
      </c>
    </row>
    <row r="6979" spans="2:7" x14ac:dyDescent="0.25">
      <c r="B6979" s="6"/>
      <c r="C6979" s="7"/>
      <c r="D6979" s="7"/>
      <c r="E6979" s="8"/>
      <c r="F6979" t="str">
        <f t="shared" si="243"/>
        <v/>
      </c>
      <c r="G6979" t="str">
        <f t="shared" si="244"/>
        <v/>
      </c>
    </row>
    <row r="6980" spans="2:7" x14ac:dyDescent="0.25">
      <c r="B6980" s="6"/>
      <c r="C6980" s="7"/>
      <c r="D6980" s="7"/>
      <c r="E6980" s="8"/>
      <c r="F6980" t="str">
        <f t="shared" ref="F6980:F7043" si="245">IF(B6980="","",LOG10(D6980))</f>
        <v/>
      </c>
      <c r="G6980" t="str">
        <f t="shared" ref="G6980:G7043" si="246">IF(E6980="", "",0.434*E6980/D6980)</f>
        <v/>
      </c>
    </row>
    <row r="6981" spans="2:7" x14ac:dyDescent="0.25">
      <c r="B6981" s="6"/>
      <c r="C6981" s="7"/>
      <c r="D6981" s="7"/>
      <c r="E6981" s="8"/>
      <c r="F6981" t="str">
        <f t="shared" si="245"/>
        <v/>
      </c>
      <c r="G6981" t="str">
        <f t="shared" si="246"/>
        <v/>
      </c>
    </row>
    <row r="6982" spans="2:7" x14ac:dyDescent="0.25">
      <c r="B6982" s="6"/>
      <c r="C6982" s="7"/>
      <c r="D6982" s="7"/>
      <c r="E6982" s="8"/>
      <c r="F6982" t="str">
        <f t="shared" si="245"/>
        <v/>
      </c>
      <c r="G6982" t="str">
        <f t="shared" si="246"/>
        <v/>
      </c>
    </row>
    <row r="6983" spans="2:7" x14ac:dyDescent="0.25">
      <c r="B6983" s="6"/>
      <c r="C6983" s="7"/>
      <c r="D6983" s="7"/>
      <c r="E6983" s="8"/>
      <c r="F6983" t="str">
        <f t="shared" si="245"/>
        <v/>
      </c>
      <c r="G6983" t="str">
        <f t="shared" si="246"/>
        <v/>
      </c>
    </row>
    <row r="6984" spans="2:7" x14ac:dyDescent="0.25">
      <c r="B6984" s="6"/>
      <c r="C6984" s="7"/>
      <c r="D6984" s="7"/>
      <c r="E6984" s="8"/>
      <c r="F6984" t="str">
        <f t="shared" si="245"/>
        <v/>
      </c>
      <c r="G6984" t="str">
        <f t="shared" si="246"/>
        <v/>
      </c>
    </row>
    <row r="6985" spans="2:7" x14ac:dyDescent="0.25">
      <c r="B6985" s="6"/>
      <c r="C6985" s="7"/>
      <c r="D6985" s="7"/>
      <c r="E6985" s="8"/>
      <c r="F6985" t="str">
        <f t="shared" si="245"/>
        <v/>
      </c>
      <c r="G6985" t="str">
        <f t="shared" si="246"/>
        <v/>
      </c>
    </row>
    <row r="6986" spans="2:7" x14ac:dyDescent="0.25">
      <c r="B6986" s="6"/>
      <c r="C6986" s="7"/>
      <c r="D6986" s="7"/>
      <c r="E6986" s="8"/>
      <c r="F6986" t="str">
        <f t="shared" si="245"/>
        <v/>
      </c>
      <c r="G6986" t="str">
        <f t="shared" si="246"/>
        <v/>
      </c>
    </row>
    <row r="6987" spans="2:7" x14ac:dyDescent="0.25">
      <c r="B6987" s="6"/>
      <c r="C6987" s="7"/>
      <c r="D6987" s="7"/>
      <c r="E6987" s="8"/>
      <c r="F6987" t="str">
        <f t="shared" si="245"/>
        <v/>
      </c>
      <c r="G6987" t="str">
        <f t="shared" si="246"/>
        <v/>
      </c>
    </row>
    <row r="6988" spans="2:7" x14ac:dyDescent="0.25">
      <c r="B6988" s="6"/>
      <c r="C6988" s="7"/>
      <c r="D6988" s="7"/>
      <c r="E6988" s="8"/>
      <c r="F6988" t="str">
        <f t="shared" si="245"/>
        <v/>
      </c>
      <c r="G6988" t="str">
        <f t="shared" si="246"/>
        <v/>
      </c>
    </row>
    <row r="6989" spans="2:7" x14ac:dyDescent="0.25">
      <c r="B6989" s="6"/>
      <c r="C6989" s="7"/>
      <c r="D6989" s="7"/>
      <c r="E6989" s="8"/>
      <c r="F6989" t="str">
        <f t="shared" si="245"/>
        <v/>
      </c>
      <c r="G6989" t="str">
        <f t="shared" si="246"/>
        <v/>
      </c>
    </row>
    <row r="6990" spans="2:7" x14ac:dyDescent="0.25">
      <c r="B6990" s="6"/>
      <c r="C6990" s="7"/>
      <c r="D6990" s="7"/>
      <c r="E6990" s="8"/>
      <c r="F6990" t="str">
        <f t="shared" si="245"/>
        <v/>
      </c>
      <c r="G6990" t="str">
        <f t="shared" si="246"/>
        <v/>
      </c>
    </row>
    <row r="6991" spans="2:7" x14ac:dyDescent="0.25">
      <c r="B6991" s="6"/>
      <c r="C6991" s="7"/>
      <c r="D6991" s="7"/>
      <c r="E6991" s="8"/>
      <c r="F6991" t="str">
        <f t="shared" si="245"/>
        <v/>
      </c>
      <c r="G6991" t="str">
        <f t="shared" si="246"/>
        <v/>
      </c>
    </row>
    <row r="6992" spans="2:7" x14ac:dyDescent="0.25">
      <c r="B6992" s="6"/>
      <c r="C6992" s="7"/>
      <c r="D6992" s="7"/>
      <c r="E6992" s="8"/>
      <c r="F6992" t="str">
        <f t="shared" si="245"/>
        <v/>
      </c>
      <c r="G6992" t="str">
        <f t="shared" si="246"/>
        <v/>
      </c>
    </row>
    <row r="6993" spans="2:7" x14ac:dyDescent="0.25">
      <c r="B6993" s="6"/>
      <c r="C6993" s="7"/>
      <c r="D6993" s="7"/>
      <c r="E6993" s="8"/>
      <c r="F6993" t="str">
        <f t="shared" si="245"/>
        <v/>
      </c>
      <c r="G6993" t="str">
        <f t="shared" si="246"/>
        <v/>
      </c>
    </row>
    <row r="6994" spans="2:7" x14ac:dyDescent="0.25">
      <c r="B6994" s="6"/>
      <c r="C6994" s="7"/>
      <c r="D6994" s="7"/>
      <c r="E6994" s="8"/>
      <c r="F6994" t="str">
        <f t="shared" si="245"/>
        <v/>
      </c>
      <c r="G6994" t="str">
        <f t="shared" si="246"/>
        <v/>
      </c>
    </row>
    <row r="6995" spans="2:7" x14ac:dyDescent="0.25">
      <c r="B6995" s="6"/>
      <c r="C6995" s="7"/>
      <c r="D6995" s="7"/>
      <c r="E6995" s="8"/>
      <c r="F6995" t="str">
        <f t="shared" si="245"/>
        <v/>
      </c>
      <c r="G6995" t="str">
        <f t="shared" si="246"/>
        <v/>
      </c>
    </row>
    <row r="6996" spans="2:7" x14ac:dyDescent="0.25">
      <c r="B6996" s="6"/>
      <c r="C6996" s="7"/>
      <c r="D6996" s="7"/>
      <c r="E6996" s="8"/>
      <c r="F6996" t="str">
        <f t="shared" si="245"/>
        <v/>
      </c>
      <c r="G6996" t="str">
        <f t="shared" si="246"/>
        <v/>
      </c>
    </row>
    <row r="6997" spans="2:7" x14ac:dyDescent="0.25">
      <c r="B6997" s="6"/>
      <c r="C6997" s="7"/>
      <c r="D6997" s="7"/>
      <c r="E6997" s="8"/>
      <c r="F6997" t="str">
        <f t="shared" si="245"/>
        <v/>
      </c>
      <c r="G6997" t="str">
        <f t="shared" si="246"/>
        <v/>
      </c>
    </row>
    <row r="6998" spans="2:7" x14ac:dyDescent="0.25">
      <c r="B6998" s="6"/>
      <c r="C6998" s="7"/>
      <c r="D6998" s="7"/>
      <c r="E6998" s="8"/>
      <c r="F6998" t="str">
        <f t="shared" si="245"/>
        <v/>
      </c>
      <c r="G6998" t="str">
        <f t="shared" si="246"/>
        <v/>
      </c>
    </row>
    <row r="6999" spans="2:7" x14ac:dyDescent="0.25">
      <c r="B6999" s="6"/>
      <c r="C6999" s="7"/>
      <c r="D6999" s="7"/>
      <c r="E6999" s="8"/>
      <c r="F6999" t="str">
        <f t="shared" si="245"/>
        <v/>
      </c>
      <c r="G6999" t="str">
        <f t="shared" si="246"/>
        <v/>
      </c>
    </row>
    <row r="7000" spans="2:7" x14ac:dyDescent="0.25">
      <c r="B7000" s="6"/>
      <c r="C7000" s="7"/>
      <c r="D7000" s="7"/>
      <c r="E7000" s="8"/>
      <c r="F7000" t="str">
        <f t="shared" si="245"/>
        <v/>
      </c>
      <c r="G7000" t="str">
        <f t="shared" si="246"/>
        <v/>
      </c>
    </row>
    <row r="7001" spans="2:7" x14ac:dyDescent="0.25">
      <c r="B7001" s="6"/>
      <c r="C7001" s="7"/>
      <c r="D7001" s="7"/>
      <c r="E7001" s="8"/>
      <c r="F7001" t="str">
        <f t="shared" si="245"/>
        <v/>
      </c>
      <c r="G7001" t="str">
        <f t="shared" si="246"/>
        <v/>
      </c>
    </row>
    <row r="7002" spans="2:7" x14ac:dyDescent="0.25">
      <c r="B7002" s="6"/>
      <c r="C7002" s="7"/>
      <c r="D7002" s="7"/>
      <c r="E7002" s="8"/>
      <c r="F7002" t="str">
        <f t="shared" si="245"/>
        <v/>
      </c>
      <c r="G7002" t="str">
        <f t="shared" si="246"/>
        <v/>
      </c>
    </row>
    <row r="7003" spans="2:7" x14ac:dyDescent="0.25">
      <c r="B7003" s="6"/>
      <c r="C7003" s="7"/>
      <c r="D7003" s="7"/>
      <c r="E7003" s="8"/>
      <c r="F7003" t="str">
        <f t="shared" si="245"/>
        <v/>
      </c>
      <c r="G7003" t="str">
        <f t="shared" si="246"/>
        <v/>
      </c>
    </row>
    <row r="7004" spans="2:7" x14ac:dyDescent="0.25">
      <c r="B7004" s="6"/>
      <c r="C7004" s="7"/>
      <c r="D7004" s="7"/>
      <c r="E7004" s="8"/>
      <c r="F7004" t="str">
        <f t="shared" si="245"/>
        <v/>
      </c>
      <c r="G7004" t="str">
        <f t="shared" si="246"/>
        <v/>
      </c>
    </row>
    <row r="7005" spans="2:7" x14ac:dyDescent="0.25">
      <c r="B7005" s="6"/>
      <c r="C7005" s="7"/>
      <c r="D7005" s="7"/>
      <c r="E7005" s="8"/>
      <c r="F7005" t="str">
        <f t="shared" si="245"/>
        <v/>
      </c>
      <c r="G7005" t="str">
        <f t="shared" si="246"/>
        <v/>
      </c>
    </row>
    <row r="7006" spans="2:7" x14ac:dyDescent="0.25">
      <c r="B7006" s="6"/>
      <c r="C7006" s="7"/>
      <c r="D7006" s="7"/>
      <c r="E7006" s="8"/>
      <c r="F7006" t="str">
        <f t="shared" si="245"/>
        <v/>
      </c>
      <c r="G7006" t="str">
        <f t="shared" si="246"/>
        <v/>
      </c>
    </row>
    <row r="7007" spans="2:7" x14ac:dyDescent="0.25">
      <c r="B7007" s="6"/>
      <c r="C7007" s="7"/>
      <c r="D7007" s="7"/>
      <c r="E7007" s="8"/>
      <c r="F7007" t="str">
        <f t="shared" si="245"/>
        <v/>
      </c>
      <c r="G7007" t="str">
        <f t="shared" si="246"/>
        <v/>
      </c>
    </row>
    <row r="7008" spans="2:7" x14ac:dyDescent="0.25">
      <c r="B7008" s="6"/>
      <c r="C7008" s="7"/>
      <c r="D7008" s="7"/>
      <c r="E7008" s="8"/>
      <c r="F7008" t="str">
        <f t="shared" si="245"/>
        <v/>
      </c>
      <c r="G7008" t="str">
        <f t="shared" si="246"/>
        <v/>
      </c>
    </row>
    <row r="7009" spans="2:7" x14ac:dyDescent="0.25">
      <c r="B7009" s="6"/>
      <c r="C7009" s="7"/>
      <c r="D7009" s="7"/>
      <c r="E7009" s="8"/>
      <c r="F7009" t="str">
        <f t="shared" si="245"/>
        <v/>
      </c>
      <c r="G7009" t="str">
        <f t="shared" si="246"/>
        <v/>
      </c>
    </row>
    <row r="7010" spans="2:7" x14ac:dyDescent="0.25">
      <c r="B7010" s="6"/>
      <c r="C7010" s="7"/>
      <c r="D7010" s="7"/>
      <c r="E7010" s="8"/>
      <c r="F7010" t="str">
        <f t="shared" si="245"/>
        <v/>
      </c>
      <c r="G7010" t="str">
        <f t="shared" si="246"/>
        <v/>
      </c>
    </row>
    <row r="7011" spans="2:7" x14ac:dyDescent="0.25">
      <c r="B7011" s="6"/>
      <c r="C7011" s="7"/>
      <c r="D7011" s="7"/>
      <c r="E7011" s="8"/>
      <c r="F7011" t="str">
        <f t="shared" si="245"/>
        <v/>
      </c>
      <c r="G7011" t="str">
        <f t="shared" si="246"/>
        <v/>
      </c>
    </row>
    <row r="7012" spans="2:7" x14ac:dyDescent="0.25">
      <c r="B7012" s="6"/>
      <c r="C7012" s="7"/>
      <c r="D7012" s="7"/>
      <c r="E7012" s="8"/>
      <c r="F7012" t="str">
        <f t="shared" si="245"/>
        <v/>
      </c>
      <c r="G7012" t="str">
        <f t="shared" si="246"/>
        <v/>
      </c>
    </row>
    <row r="7013" spans="2:7" x14ac:dyDescent="0.25">
      <c r="B7013" s="6"/>
      <c r="C7013" s="7"/>
      <c r="D7013" s="7"/>
      <c r="E7013" s="8"/>
      <c r="F7013" t="str">
        <f t="shared" si="245"/>
        <v/>
      </c>
      <c r="G7013" t="str">
        <f t="shared" si="246"/>
        <v/>
      </c>
    </row>
    <row r="7014" spans="2:7" x14ac:dyDescent="0.25">
      <c r="B7014" s="6"/>
      <c r="C7014" s="7"/>
      <c r="D7014" s="7"/>
      <c r="E7014" s="8"/>
      <c r="F7014" t="str">
        <f t="shared" si="245"/>
        <v/>
      </c>
      <c r="G7014" t="str">
        <f t="shared" si="246"/>
        <v/>
      </c>
    </row>
    <row r="7015" spans="2:7" x14ac:dyDescent="0.25">
      <c r="B7015" s="6"/>
      <c r="C7015" s="7"/>
      <c r="D7015" s="7"/>
      <c r="E7015" s="8"/>
      <c r="F7015" t="str">
        <f t="shared" si="245"/>
        <v/>
      </c>
      <c r="G7015" t="str">
        <f t="shared" si="246"/>
        <v/>
      </c>
    </row>
    <row r="7016" spans="2:7" x14ac:dyDescent="0.25">
      <c r="B7016" s="6"/>
      <c r="C7016" s="7"/>
      <c r="D7016" s="7"/>
      <c r="E7016" s="8"/>
      <c r="F7016" t="str">
        <f t="shared" si="245"/>
        <v/>
      </c>
      <c r="G7016" t="str">
        <f t="shared" si="246"/>
        <v/>
      </c>
    </row>
    <row r="7017" spans="2:7" x14ac:dyDescent="0.25">
      <c r="B7017" s="6"/>
      <c r="C7017" s="7"/>
      <c r="D7017" s="7"/>
      <c r="E7017" s="8"/>
      <c r="F7017" t="str">
        <f t="shared" si="245"/>
        <v/>
      </c>
      <c r="G7017" t="str">
        <f t="shared" si="246"/>
        <v/>
      </c>
    </row>
    <row r="7018" spans="2:7" x14ac:dyDescent="0.25">
      <c r="B7018" s="6"/>
      <c r="C7018" s="7"/>
      <c r="D7018" s="7"/>
      <c r="E7018" s="8"/>
      <c r="F7018" t="str">
        <f t="shared" si="245"/>
        <v/>
      </c>
      <c r="G7018" t="str">
        <f t="shared" si="246"/>
        <v/>
      </c>
    </row>
    <row r="7019" spans="2:7" x14ac:dyDescent="0.25">
      <c r="B7019" s="6"/>
      <c r="C7019" s="7"/>
      <c r="D7019" s="7"/>
      <c r="E7019" s="8"/>
      <c r="F7019" t="str">
        <f t="shared" si="245"/>
        <v/>
      </c>
      <c r="G7019" t="str">
        <f t="shared" si="246"/>
        <v/>
      </c>
    </row>
    <row r="7020" spans="2:7" x14ac:dyDescent="0.25">
      <c r="B7020" s="6"/>
      <c r="C7020" s="7"/>
      <c r="D7020" s="7"/>
      <c r="E7020" s="8"/>
      <c r="F7020" t="str">
        <f t="shared" si="245"/>
        <v/>
      </c>
      <c r="G7020" t="str">
        <f t="shared" si="246"/>
        <v/>
      </c>
    </row>
    <row r="7021" spans="2:7" x14ac:dyDescent="0.25">
      <c r="B7021" s="6"/>
      <c r="C7021" s="7"/>
      <c r="D7021" s="7"/>
      <c r="E7021" s="8"/>
      <c r="F7021" t="str">
        <f t="shared" si="245"/>
        <v/>
      </c>
      <c r="G7021" t="str">
        <f t="shared" si="246"/>
        <v/>
      </c>
    </row>
    <row r="7022" spans="2:7" x14ac:dyDescent="0.25">
      <c r="B7022" s="6"/>
      <c r="C7022" s="7"/>
      <c r="D7022" s="7"/>
      <c r="E7022" s="8"/>
      <c r="F7022" t="str">
        <f t="shared" si="245"/>
        <v/>
      </c>
      <c r="G7022" t="str">
        <f t="shared" si="246"/>
        <v/>
      </c>
    </row>
    <row r="7023" spans="2:7" x14ac:dyDescent="0.25">
      <c r="B7023" s="6"/>
      <c r="C7023" s="7"/>
      <c r="D7023" s="7"/>
      <c r="E7023" s="8"/>
      <c r="F7023" t="str">
        <f t="shared" si="245"/>
        <v/>
      </c>
      <c r="G7023" t="str">
        <f t="shared" si="246"/>
        <v/>
      </c>
    </row>
    <row r="7024" spans="2:7" x14ac:dyDescent="0.25">
      <c r="B7024" s="6"/>
      <c r="C7024" s="7"/>
      <c r="D7024" s="7"/>
      <c r="E7024" s="8"/>
      <c r="F7024" t="str">
        <f t="shared" si="245"/>
        <v/>
      </c>
      <c r="G7024" t="str">
        <f t="shared" si="246"/>
        <v/>
      </c>
    </row>
    <row r="7025" spans="2:7" x14ac:dyDescent="0.25">
      <c r="B7025" s="6"/>
      <c r="C7025" s="7"/>
      <c r="D7025" s="7"/>
      <c r="E7025" s="8"/>
      <c r="F7025" t="str">
        <f t="shared" si="245"/>
        <v/>
      </c>
      <c r="G7025" t="str">
        <f t="shared" si="246"/>
        <v/>
      </c>
    </row>
    <row r="7026" spans="2:7" x14ac:dyDescent="0.25">
      <c r="B7026" s="6"/>
      <c r="C7026" s="7"/>
      <c r="D7026" s="7"/>
      <c r="E7026" s="8"/>
      <c r="F7026" t="str">
        <f t="shared" si="245"/>
        <v/>
      </c>
      <c r="G7026" t="str">
        <f t="shared" si="246"/>
        <v/>
      </c>
    </row>
    <row r="7027" spans="2:7" x14ac:dyDescent="0.25">
      <c r="B7027" s="6"/>
      <c r="C7027" s="7"/>
      <c r="D7027" s="7"/>
      <c r="E7027" s="8"/>
      <c r="F7027" t="str">
        <f t="shared" si="245"/>
        <v/>
      </c>
      <c r="G7027" t="str">
        <f t="shared" si="246"/>
        <v/>
      </c>
    </row>
    <row r="7028" spans="2:7" x14ac:dyDescent="0.25">
      <c r="B7028" s="6"/>
      <c r="C7028" s="7"/>
      <c r="D7028" s="7"/>
      <c r="E7028" s="8"/>
      <c r="F7028" t="str">
        <f t="shared" si="245"/>
        <v/>
      </c>
      <c r="G7028" t="str">
        <f t="shared" si="246"/>
        <v/>
      </c>
    </row>
    <row r="7029" spans="2:7" x14ac:dyDescent="0.25">
      <c r="B7029" s="6"/>
      <c r="C7029" s="7"/>
      <c r="D7029" s="7"/>
      <c r="E7029" s="8"/>
      <c r="F7029" t="str">
        <f t="shared" si="245"/>
        <v/>
      </c>
      <c r="G7029" t="str">
        <f t="shared" si="246"/>
        <v/>
      </c>
    </row>
    <row r="7030" spans="2:7" x14ac:dyDescent="0.25">
      <c r="B7030" s="6"/>
      <c r="C7030" s="7"/>
      <c r="D7030" s="7"/>
      <c r="E7030" s="8"/>
      <c r="F7030" t="str">
        <f t="shared" si="245"/>
        <v/>
      </c>
      <c r="G7030" t="str">
        <f t="shared" si="246"/>
        <v/>
      </c>
    </row>
    <row r="7031" spans="2:7" x14ac:dyDescent="0.25">
      <c r="B7031" s="6"/>
      <c r="C7031" s="7"/>
      <c r="D7031" s="7"/>
      <c r="E7031" s="8"/>
      <c r="F7031" t="str">
        <f t="shared" si="245"/>
        <v/>
      </c>
      <c r="G7031" t="str">
        <f t="shared" si="246"/>
        <v/>
      </c>
    </row>
    <row r="7032" spans="2:7" x14ac:dyDescent="0.25">
      <c r="B7032" s="6"/>
      <c r="C7032" s="7"/>
      <c r="D7032" s="7"/>
      <c r="E7032" s="8"/>
      <c r="F7032" t="str">
        <f t="shared" si="245"/>
        <v/>
      </c>
      <c r="G7032" t="str">
        <f t="shared" si="246"/>
        <v/>
      </c>
    </row>
    <row r="7033" spans="2:7" x14ac:dyDescent="0.25">
      <c r="B7033" s="6"/>
      <c r="C7033" s="7"/>
      <c r="D7033" s="7"/>
      <c r="E7033" s="8"/>
      <c r="F7033" t="str">
        <f t="shared" si="245"/>
        <v/>
      </c>
      <c r="G7033" t="str">
        <f t="shared" si="246"/>
        <v/>
      </c>
    </row>
    <row r="7034" spans="2:7" x14ac:dyDescent="0.25">
      <c r="B7034" s="6"/>
      <c r="C7034" s="7"/>
      <c r="D7034" s="7"/>
      <c r="E7034" s="8"/>
      <c r="F7034" t="str">
        <f t="shared" si="245"/>
        <v/>
      </c>
      <c r="G7034" t="str">
        <f t="shared" si="246"/>
        <v/>
      </c>
    </row>
    <row r="7035" spans="2:7" x14ac:dyDescent="0.25">
      <c r="B7035" s="6"/>
      <c r="C7035" s="7"/>
      <c r="D7035" s="7"/>
      <c r="E7035" s="8"/>
      <c r="F7035" t="str">
        <f t="shared" si="245"/>
        <v/>
      </c>
      <c r="G7035" t="str">
        <f t="shared" si="246"/>
        <v/>
      </c>
    </row>
    <row r="7036" spans="2:7" x14ac:dyDescent="0.25">
      <c r="B7036" s="6"/>
      <c r="C7036" s="7"/>
      <c r="D7036" s="7"/>
      <c r="E7036" s="8"/>
      <c r="F7036" t="str">
        <f t="shared" si="245"/>
        <v/>
      </c>
      <c r="G7036" t="str">
        <f t="shared" si="246"/>
        <v/>
      </c>
    </row>
    <row r="7037" spans="2:7" x14ac:dyDescent="0.25">
      <c r="B7037" s="6"/>
      <c r="C7037" s="7"/>
      <c r="D7037" s="7"/>
      <c r="E7037" s="8"/>
      <c r="F7037" t="str">
        <f t="shared" si="245"/>
        <v/>
      </c>
      <c r="G7037" t="str">
        <f t="shared" si="246"/>
        <v/>
      </c>
    </row>
    <row r="7038" spans="2:7" x14ac:dyDescent="0.25">
      <c r="B7038" s="6"/>
      <c r="C7038" s="7"/>
      <c r="D7038" s="7"/>
      <c r="E7038" s="8"/>
      <c r="F7038" t="str">
        <f t="shared" si="245"/>
        <v/>
      </c>
      <c r="G7038" t="str">
        <f t="shared" si="246"/>
        <v/>
      </c>
    </row>
    <row r="7039" spans="2:7" x14ac:dyDescent="0.25">
      <c r="B7039" s="6"/>
      <c r="C7039" s="7"/>
      <c r="D7039" s="7"/>
      <c r="E7039" s="8"/>
      <c r="F7039" t="str">
        <f t="shared" si="245"/>
        <v/>
      </c>
      <c r="G7039" t="str">
        <f t="shared" si="246"/>
        <v/>
      </c>
    </row>
    <row r="7040" spans="2:7" x14ac:dyDescent="0.25">
      <c r="B7040" s="6"/>
      <c r="C7040" s="7"/>
      <c r="D7040" s="7"/>
      <c r="E7040" s="8"/>
      <c r="F7040" t="str">
        <f t="shared" si="245"/>
        <v/>
      </c>
      <c r="G7040" t="str">
        <f t="shared" si="246"/>
        <v/>
      </c>
    </row>
    <row r="7041" spans="2:7" x14ac:dyDescent="0.25">
      <c r="B7041" s="6"/>
      <c r="C7041" s="7"/>
      <c r="D7041" s="7"/>
      <c r="E7041" s="8"/>
      <c r="F7041" t="str">
        <f t="shared" si="245"/>
        <v/>
      </c>
      <c r="G7041" t="str">
        <f t="shared" si="246"/>
        <v/>
      </c>
    </row>
    <row r="7042" spans="2:7" x14ac:dyDescent="0.25">
      <c r="B7042" s="6"/>
      <c r="C7042" s="7"/>
      <c r="D7042" s="7"/>
      <c r="E7042" s="8"/>
      <c r="F7042" t="str">
        <f t="shared" si="245"/>
        <v/>
      </c>
      <c r="G7042" t="str">
        <f t="shared" si="246"/>
        <v/>
      </c>
    </row>
    <row r="7043" spans="2:7" x14ac:dyDescent="0.25">
      <c r="B7043" s="6"/>
      <c r="C7043" s="7"/>
      <c r="D7043" s="7"/>
      <c r="E7043" s="8"/>
      <c r="F7043" t="str">
        <f t="shared" si="245"/>
        <v/>
      </c>
      <c r="G7043" t="str">
        <f t="shared" si="246"/>
        <v/>
      </c>
    </row>
    <row r="7044" spans="2:7" x14ac:dyDescent="0.25">
      <c r="B7044" s="6"/>
      <c r="C7044" s="7"/>
      <c r="D7044" s="7"/>
      <c r="E7044" s="8"/>
      <c r="F7044" t="str">
        <f t="shared" ref="F7044:F7107" si="247">IF(B7044="","",LOG10(D7044))</f>
        <v/>
      </c>
      <c r="G7044" t="str">
        <f t="shared" ref="G7044:G7107" si="248">IF(E7044="", "",0.434*E7044/D7044)</f>
        <v/>
      </c>
    </row>
    <row r="7045" spans="2:7" x14ac:dyDescent="0.25">
      <c r="B7045" s="6"/>
      <c r="C7045" s="7"/>
      <c r="D7045" s="7"/>
      <c r="E7045" s="8"/>
      <c r="F7045" t="str">
        <f t="shared" si="247"/>
        <v/>
      </c>
      <c r="G7045" t="str">
        <f t="shared" si="248"/>
        <v/>
      </c>
    </row>
    <row r="7046" spans="2:7" x14ac:dyDescent="0.25">
      <c r="B7046" s="6"/>
      <c r="C7046" s="7"/>
      <c r="D7046" s="7"/>
      <c r="E7046" s="8"/>
      <c r="F7046" t="str">
        <f t="shared" si="247"/>
        <v/>
      </c>
      <c r="G7046" t="str">
        <f t="shared" si="248"/>
        <v/>
      </c>
    </row>
    <row r="7047" spans="2:7" x14ac:dyDescent="0.25">
      <c r="B7047" s="6"/>
      <c r="C7047" s="7"/>
      <c r="D7047" s="7"/>
      <c r="E7047" s="8"/>
      <c r="F7047" t="str">
        <f t="shared" si="247"/>
        <v/>
      </c>
      <c r="G7047" t="str">
        <f t="shared" si="248"/>
        <v/>
      </c>
    </row>
    <row r="7048" spans="2:7" x14ac:dyDescent="0.25">
      <c r="B7048" s="6"/>
      <c r="C7048" s="7"/>
      <c r="D7048" s="7"/>
      <c r="E7048" s="8"/>
      <c r="F7048" t="str">
        <f t="shared" si="247"/>
        <v/>
      </c>
      <c r="G7048" t="str">
        <f t="shared" si="248"/>
        <v/>
      </c>
    </row>
    <row r="7049" spans="2:7" x14ac:dyDescent="0.25">
      <c r="B7049" s="6"/>
      <c r="C7049" s="7"/>
      <c r="D7049" s="7"/>
      <c r="E7049" s="8"/>
      <c r="F7049" t="str">
        <f t="shared" si="247"/>
        <v/>
      </c>
      <c r="G7049" t="str">
        <f t="shared" si="248"/>
        <v/>
      </c>
    </row>
    <row r="7050" spans="2:7" x14ac:dyDescent="0.25">
      <c r="B7050" s="6"/>
      <c r="C7050" s="7"/>
      <c r="D7050" s="7"/>
      <c r="E7050" s="8"/>
      <c r="F7050" t="str">
        <f t="shared" si="247"/>
        <v/>
      </c>
      <c r="G7050" t="str">
        <f t="shared" si="248"/>
        <v/>
      </c>
    </row>
    <row r="7051" spans="2:7" x14ac:dyDescent="0.25">
      <c r="B7051" s="6"/>
      <c r="C7051" s="7"/>
      <c r="D7051" s="7"/>
      <c r="E7051" s="8"/>
      <c r="F7051" t="str">
        <f t="shared" si="247"/>
        <v/>
      </c>
      <c r="G7051" t="str">
        <f t="shared" si="248"/>
        <v/>
      </c>
    </row>
    <row r="7052" spans="2:7" x14ac:dyDescent="0.25">
      <c r="B7052" s="6"/>
      <c r="C7052" s="7"/>
      <c r="D7052" s="7"/>
      <c r="E7052" s="8"/>
      <c r="F7052" t="str">
        <f t="shared" si="247"/>
        <v/>
      </c>
      <c r="G7052" t="str">
        <f t="shared" si="248"/>
        <v/>
      </c>
    </row>
    <row r="7053" spans="2:7" x14ac:dyDescent="0.25">
      <c r="B7053" s="6"/>
      <c r="C7053" s="7"/>
      <c r="D7053" s="7"/>
      <c r="E7053" s="8"/>
      <c r="F7053" t="str">
        <f t="shared" si="247"/>
        <v/>
      </c>
      <c r="G7053" t="str">
        <f t="shared" si="248"/>
        <v/>
      </c>
    </row>
    <row r="7054" spans="2:7" x14ac:dyDescent="0.25">
      <c r="B7054" s="6"/>
      <c r="C7054" s="7"/>
      <c r="D7054" s="7"/>
      <c r="E7054" s="8"/>
      <c r="F7054" t="str">
        <f t="shared" si="247"/>
        <v/>
      </c>
      <c r="G7054" t="str">
        <f t="shared" si="248"/>
        <v/>
      </c>
    </row>
    <row r="7055" spans="2:7" x14ac:dyDescent="0.25">
      <c r="B7055" s="6"/>
      <c r="C7055" s="7"/>
      <c r="D7055" s="7"/>
      <c r="E7055" s="8"/>
      <c r="F7055" t="str">
        <f t="shared" si="247"/>
        <v/>
      </c>
      <c r="G7055" t="str">
        <f t="shared" si="248"/>
        <v/>
      </c>
    </row>
    <row r="7056" spans="2:7" x14ac:dyDescent="0.25">
      <c r="B7056" s="6"/>
      <c r="C7056" s="7"/>
      <c r="D7056" s="7"/>
      <c r="E7056" s="8"/>
      <c r="F7056" t="str">
        <f t="shared" si="247"/>
        <v/>
      </c>
      <c r="G7056" t="str">
        <f t="shared" si="248"/>
        <v/>
      </c>
    </row>
    <row r="7057" spans="2:7" x14ac:dyDescent="0.25">
      <c r="B7057" s="6"/>
      <c r="C7057" s="7"/>
      <c r="D7057" s="7"/>
      <c r="E7057" s="8"/>
      <c r="F7057" t="str">
        <f t="shared" si="247"/>
        <v/>
      </c>
      <c r="G7057" t="str">
        <f t="shared" si="248"/>
        <v/>
      </c>
    </row>
    <row r="7058" spans="2:7" x14ac:dyDescent="0.25">
      <c r="B7058" s="6"/>
      <c r="C7058" s="7"/>
      <c r="D7058" s="7"/>
      <c r="E7058" s="8"/>
      <c r="F7058" t="str">
        <f t="shared" si="247"/>
        <v/>
      </c>
      <c r="G7058" t="str">
        <f t="shared" si="248"/>
        <v/>
      </c>
    </row>
    <row r="7059" spans="2:7" x14ac:dyDescent="0.25">
      <c r="B7059" s="6"/>
      <c r="C7059" s="7"/>
      <c r="D7059" s="7"/>
      <c r="E7059" s="8"/>
      <c r="F7059" t="str">
        <f t="shared" si="247"/>
        <v/>
      </c>
      <c r="G7059" t="str">
        <f t="shared" si="248"/>
        <v/>
      </c>
    </row>
    <row r="7060" spans="2:7" x14ac:dyDescent="0.25">
      <c r="B7060" s="6"/>
      <c r="C7060" s="7"/>
      <c r="D7060" s="7"/>
      <c r="E7060" s="8"/>
      <c r="F7060" t="str">
        <f t="shared" si="247"/>
        <v/>
      </c>
      <c r="G7060" t="str">
        <f t="shared" si="248"/>
        <v/>
      </c>
    </row>
    <row r="7061" spans="2:7" x14ac:dyDescent="0.25">
      <c r="B7061" s="6"/>
      <c r="C7061" s="7"/>
      <c r="D7061" s="7"/>
      <c r="E7061" s="8"/>
      <c r="F7061" t="str">
        <f t="shared" si="247"/>
        <v/>
      </c>
      <c r="G7061" t="str">
        <f t="shared" si="248"/>
        <v/>
      </c>
    </row>
    <row r="7062" spans="2:7" x14ac:dyDescent="0.25">
      <c r="B7062" s="6"/>
      <c r="C7062" s="7"/>
      <c r="D7062" s="7"/>
      <c r="E7062" s="8"/>
      <c r="F7062" t="str">
        <f t="shared" si="247"/>
        <v/>
      </c>
      <c r="G7062" t="str">
        <f t="shared" si="248"/>
        <v/>
      </c>
    </row>
    <row r="7063" spans="2:7" x14ac:dyDescent="0.25">
      <c r="B7063" s="6"/>
      <c r="C7063" s="7"/>
      <c r="D7063" s="7"/>
      <c r="E7063" s="8"/>
      <c r="F7063" t="str">
        <f t="shared" si="247"/>
        <v/>
      </c>
      <c r="G7063" t="str">
        <f t="shared" si="248"/>
        <v/>
      </c>
    </row>
    <row r="7064" spans="2:7" x14ac:dyDescent="0.25">
      <c r="B7064" s="6"/>
      <c r="C7064" s="7"/>
      <c r="D7064" s="7"/>
      <c r="E7064" s="8"/>
      <c r="F7064" t="str">
        <f t="shared" si="247"/>
        <v/>
      </c>
      <c r="G7064" t="str">
        <f t="shared" si="248"/>
        <v/>
      </c>
    </row>
    <row r="7065" spans="2:7" x14ac:dyDescent="0.25">
      <c r="B7065" s="6"/>
      <c r="C7065" s="7"/>
      <c r="D7065" s="7"/>
      <c r="E7065" s="8"/>
      <c r="F7065" t="str">
        <f t="shared" si="247"/>
        <v/>
      </c>
      <c r="G7065" t="str">
        <f t="shared" si="248"/>
        <v/>
      </c>
    </row>
    <row r="7066" spans="2:7" x14ac:dyDescent="0.25">
      <c r="B7066" s="6"/>
      <c r="C7066" s="7"/>
      <c r="D7066" s="7"/>
      <c r="E7066" s="8"/>
      <c r="F7066" t="str">
        <f t="shared" si="247"/>
        <v/>
      </c>
      <c r="G7066" t="str">
        <f t="shared" si="248"/>
        <v/>
      </c>
    </row>
    <row r="7067" spans="2:7" x14ac:dyDescent="0.25">
      <c r="B7067" s="6"/>
      <c r="C7067" s="7"/>
      <c r="D7067" s="7"/>
      <c r="E7067" s="8"/>
      <c r="F7067" t="str">
        <f t="shared" si="247"/>
        <v/>
      </c>
      <c r="G7067" t="str">
        <f t="shared" si="248"/>
        <v/>
      </c>
    </row>
    <row r="7068" spans="2:7" x14ac:dyDescent="0.25">
      <c r="B7068" s="6"/>
      <c r="C7068" s="7"/>
      <c r="D7068" s="7"/>
      <c r="E7068" s="8"/>
      <c r="F7068" t="str">
        <f t="shared" si="247"/>
        <v/>
      </c>
      <c r="G7068" t="str">
        <f t="shared" si="248"/>
        <v/>
      </c>
    </row>
    <row r="7069" spans="2:7" x14ac:dyDescent="0.25">
      <c r="B7069" s="6"/>
      <c r="C7069" s="7"/>
      <c r="D7069" s="7"/>
      <c r="E7069" s="8"/>
      <c r="F7069" t="str">
        <f t="shared" si="247"/>
        <v/>
      </c>
      <c r="G7069" t="str">
        <f t="shared" si="248"/>
        <v/>
      </c>
    </row>
    <row r="7070" spans="2:7" x14ac:dyDescent="0.25">
      <c r="B7070" s="6"/>
      <c r="C7070" s="7"/>
      <c r="D7070" s="7"/>
      <c r="E7070" s="8"/>
      <c r="F7070" t="str">
        <f t="shared" si="247"/>
        <v/>
      </c>
      <c r="G7070" t="str">
        <f t="shared" si="248"/>
        <v/>
      </c>
    </row>
    <row r="7071" spans="2:7" x14ac:dyDescent="0.25">
      <c r="B7071" s="6"/>
      <c r="C7071" s="7"/>
      <c r="D7071" s="7"/>
      <c r="E7071" s="8"/>
      <c r="F7071" t="str">
        <f t="shared" si="247"/>
        <v/>
      </c>
      <c r="G7071" t="str">
        <f t="shared" si="248"/>
        <v/>
      </c>
    </row>
    <row r="7072" spans="2:7" x14ac:dyDescent="0.25">
      <c r="B7072" s="6"/>
      <c r="C7072" s="7"/>
      <c r="D7072" s="7"/>
      <c r="E7072" s="8"/>
      <c r="F7072" t="str">
        <f t="shared" si="247"/>
        <v/>
      </c>
      <c r="G7072" t="str">
        <f t="shared" si="248"/>
        <v/>
      </c>
    </row>
    <row r="7073" spans="2:7" x14ac:dyDescent="0.25">
      <c r="B7073" s="6"/>
      <c r="C7073" s="7"/>
      <c r="D7073" s="7"/>
      <c r="E7073" s="8"/>
      <c r="F7073" t="str">
        <f t="shared" si="247"/>
        <v/>
      </c>
      <c r="G7073" t="str">
        <f t="shared" si="248"/>
        <v/>
      </c>
    </row>
    <row r="7074" spans="2:7" x14ac:dyDescent="0.25">
      <c r="B7074" s="6"/>
      <c r="C7074" s="7"/>
      <c r="D7074" s="7"/>
      <c r="E7074" s="8"/>
      <c r="F7074" t="str">
        <f t="shared" si="247"/>
        <v/>
      </c>
      <c r="G7074" t="str">
        <f t="shared" si="248"/>
        <v/>
      </c>
    </row>
    <row r="7075" spans="2:7" x14ac:dyDescent="0.25">
      <c r="B7075" s="6"/>
      <c r="C7075" s="7"/>
      <c r="D7075" s="7"/>
      <c r="E7075" s="8"/>
      <c r="F7075" t="str">
        <f t="shared" si="247"/>
        <v/>
      </c>
      <c r="G7075" t="str">
        <f t="shared" si="248"/>
        <v/>
      </c>
    </row>
    <row r="7076" spans="2:7" x14ac:dyDescent="0.25">
      <c r="B7076" s="6"/>
      <c r="C7076" s="7"/>
      <c r="D7076" s="7"/>
      <c r="E7076" s="8"/>
      <c r="F7076" t="str">
        <f t="shared" si="247"/>
        <v/>
      </c>
      <c r="G7076" t="str">
        <f t="shared" si="248"/>
        <v/>
      </c>
    </row>
    <row r="7077" spans="2:7" x14ac:dyDescent="0.25">
      <c r="B7077" s="6"/>
      <c r="C7077" s="7"/>
      <c r="D7077" s="7"/>
      <c r="E7077" s="8"/>
      <c r="F7077" t="str">
        <f t="shared" si="247"/>
        <v/>
      </c>
      <c r="G7077" t="str">
        <f t="shared" si="248"/>
        <v/>
      </c>
    </row>
    <row r="7078" spans="2:7" x14ac:dyDescent="0.25">
      <c r="B7078" s="6"/>
      <c r="C7078" s="7"/>
      <c r="D7078" s="7"/>
      <c r="E7078" s="8"/>
      <c r="F7078" t="str">
        <f t="shared" si="247"/>
        <v/>
      </c>
      <c r="G7078" t="str">
        <f t="shared" si="248"/>
        <v/>
      </c>
    </row>
    <row r="7079" spans="2:7" x14ac:dyDescent="0.25">
      <c r="B7079" s="6"/>
      <c r="C7079" s="7"/>
      <c r="D7079" s="7"/>
      <c r="E7079" s="8"/>
      <c r="F7079" t="str">
        <f t="shared" si="247"/>
        <v/>
      </c>
      <c r="G7079" t="str">
        <f t="shared" si="248"/>
        <v/>
      </c>
    </row>
    <row r="7080" spans="2:7" x14ac:dyDescent="0.25">
      <c r="B7080" s="6"/>
      <c r="C7080" s="7"/>
      <c r="D7080" s="7"/>
      <c r="E7080" s="8"/>
      <c r="F7080" t="str">
        <f t="shared" si="247"/>
        <v/>
      </c>
      <c r="G7080" t="str">
        <f t="shared" si="248"/>
        <v/>
      </c>
    </row>
    <row r="7081" spans="2:7" x14ac:dyDescent="0.25">
      <c r="B7081" s="6"/>
      <c r="C7081" s="7"/>
      <c r="D7081" s="7"/>
      <c r="E7081" s="8"/>
      <c r="F7081" t="str">
        <f t="shared" si="247"/>
        <v/>
      </c>
      <c r="G7081" t="str">
        <f t="shared" si="248"/>
        <v/>
      </c>
    </row>
    <row r="7082" spans="2:7" x14ac:dyDescent="0.25">
      <c r="B7082" s="6"/>
      <c r="C7082" s="7"/>
      <c r="D7082" s="7"/>
      <c r="E7082" s="8"/>
      <c r="F7082" t="str">
        <f t="shared" si="247"/>
        <v/>
      </c>
      <c r="G7082" t="str">
        <f t="shared" si="248"/>
        <v/>
      </c>
    </row>
    <row r="7083" spans="2:7" x14ac:dyDescent="0.25">
      <c r="B7083" s="6"/>
      <c r="C7083" s="7"/>
      <c r="D7083" s="7"/>
      <c r="E7083" s="8"/>
      <c r="F7083" t="str">
        <f t="shared" si="247"/>
        <v/>
      </c>
      <c r="G7083" t="str">
        <f t="shared" si="248"/>
        <v/>
      </c>
    </row>
    <row r="7084" spans="2:7" x14ac:dyDescent="0.25">
      <c r="B7084" s="6"/>
      <c r="C7084" s="7"/>
      <c r="D7084" s="7"/>
      <c r="E7084" s="8"/>
      <c r="F7084" t="str">
        <f t="shared" si="247"/>
        <v/>
      </c>
      <c r="G7084" t="str">
        <f t="shared" si="248"/>
        <v/>
      </c>
    </row>
    <row r="7085" spans="2:7" x14ac:dyDescent="0.25">
      <c r="B7085" s="6"/>
      <c r="C7085" s="7"/>
      <c r="D7085" s="7"/>
      <c r="E7085" s="8"/>
      <c r="F7085" t="str">
        <f t="shared" si="247"/>
        <v/>
      </c>
      <c r="G7085" t="str">
        <f t="shared" si="248"/>
        <v/>
      </c>
    </row>
    <row r="7086" spans="2:7" x14ac:dyDescent="0.25">
      <c r="B7086" s="6"/>
      <c r="C7086" s="7"/>
      <c r="D7086" s="7"/>
      <c r="E7086" s="8"/>
      <c r="F7086" t="str">
        <f t="shared" si="247"/>
        <v/>
      </c>
      <c r="G7086" t="str">
        <f t="shared" si="248"/>
        <v/>
      </c>
    </row>
    <row r="7087" spans="2:7" x14ac:dyDescent="0.25">
      <c r="B7087" s="6"/>
      <c r="C7087" s="7"/>
      <c r="D7087" s="7"/>
      <c r="E7087" s="8"/>
      <c r="F7087" t="str">
        <f t="shared" si="247"/>
        <v/>
      </c>
      <c r="G7087" t="str">
        <f t="shared" si="248"/>
        <v/>
      </c>
    </row>
    <row r="7088" spans="2:7" x14ac:dyDescent="0.25">
      <c r="B7088" s="6"/>
      <c r="C7088" s="7"/>
      <c r="D7088" s="7"/>
      <c r="E7088" s="8"/>
      <c r="F7088" t="str">
        <f t="shared" si="247"/>
        <v/>
      </c>
      <c r="G7088" t="str">
        <f t="shared" si="248"/>
        <v/>
      </c>
    </row>
    <row r="7089" spans="2:7" x14ac:dyDescent="0.25">
      <c r="B7089" s="6"/>
      <c r="C7089" s="7"/>
      <c r="D7089" s="7"/>
      <c r="E7089" s="8"/>
      <c r="F7089" t="str">
        <f t="shared" si="247"/>
        <v/>
      </c>
      <c r="G7089" t="str">
        <f t="shared" si="248"/>
        <v/>
      </c>
    </row>
    <row r="7090" spans="2:7" x14ac:dyDescent="0.25">
      <c r="B7090" s="6"/>
      <c r="C7090" s="7"/>
      <c r="D7090" s="7"/>
      <c r="E7090" s="8"/>
      <c r="F7090" t="str">
        <f t="shared" si="247"/>
        <v/>
      </c>
      <c r="G7090" t="str">
        <f t="shared" si="248"/>
        <v/>
      </c>
    </row>
    <row r="7091" spans="2:7" x14ac:dyDescent="0.25">
      <c r="B7091" s="6"/>
      <c r="C7091" s="7"/>
      <c r="D7091" s="7"/>
      <c r="E7091" s="8"/>
      <c r="F7091" t="str">
        <f t="shared" si="247"/>
        <v/>
      </c>
      <c r="G7091" t="str">
        <f t="shared" si="248"/>
        <v/>
      </c>
    </row>
    <row r="7092" spans="2:7" x14ac:dyDescent="0.25">
      <c r="B7092" s="6"/>
      <c r="C7092" s="7"/>
      <c r="D7092" s="7"/>
      <c r="E7092" s="8"/>
      <c r="F7092" t="str">
        <f t="shared" si="247"/>
        <v/>
      </c>
      <c r="G7092" t="str">
        <f t="shared" si="248"/>
        <v/>
      </c>
    </row>
    <row r="7093" spans="2:7" x14ac:dyDescent="0.25">
      <c r="B7093" s="6"/>
      <c r="C7093" s="7"/>
      <c r="D7093" s="7"/>
      <c r="E7093" s="8"/>
      <c r="F7093" t="str">
        <f t="shared" si="247"/>
        <v/>
      </c>
      <c r="G7093" t="str">
        <f t="shared" si="248"/>
        <v/>
      </c>
    </row>
    <row r="7094" spans="2:7" x14ac:dyDescent="0.25">
      <c r="B7094" s="6"/>
      <c r="C7094" s="7"/>
      <c r="D7094" s="7"/>
      <c r="E7094" s="8"/>
      <c r="F7094" t="str">
        <f t="shared" si="247"/>
        <v/>
      </c>
      <c r="G7094" t="str">
        <f t="shared" si="248"/>
        <v/>
      </c>
    </row>
    <row r="7095" spans="2:7" x14ac:dyDescent="0.25">
      <c r="B7095" s="6"/>
      <c r="C7095" s="7"/>
      <c r="D7095" s="7"/>
      <c r="E7095" s="8"/>
      <c r="F7095" t="str">
        <f t="shared" si="247"/>
        <v/>
      </c>
      <c r="G7095" t="str">
        <f t="shared" si="248"/>
        <v/>
      </c>
    </row>
    <row r="7096" spans="2:7" x14ac:dyDescent="0.25">
      <c r="B7096" s="6"/>
      <c r="C7096" s="7"/>
      <c r="D7096" s="7"/>
      <c r="E7096" s="8"/>
      <c r="F7096" t="str">
        <f t="shared" si="247"/>
        <v/>
      </c>
      <c r="G7096" t="str">
        <f t="shared" si="248"/>
        <v/>
      </c>
    </row>
    <row r="7097" spans="2:7" x14ac:dyDescent="0.25">
      <c r="B7097" s="6"/>
      <c r="C7097" s="7"/>
      <c r="D7097" s="7"/>
      <c r="E7097" s="8"/>
      <c r="F7097" t="str">
        <f t="shared" si="247"/>
        <v/>
      </c>
      <c r="G7097" t="str">
        <f t="shared" si="248"/>
        <v/>
      </c>
    </row>
    <row r="7098" spans="2:7" x14ac:dyDescent="0.25">
      <c r="B7098" s="6"/>
      <c r="C7098" s="7"/>
      <c r="D7098" s="7"/>
      <c r="E7098" s="8"/>
      <c r="F7098" t="str">
        <f t="shared" si="247"/>
        <v/>
      </c>
      <c r="G7098" t="str">
        <f t="shared" si="248"/>
        <v/>
      </c>
    </row>
    <row r="7099" spans="2:7" x14ac:dyDescent="0.25">
      <c r="B7099" s="6"/>
      <c r="C7099" s="7"/>
      <c r="D7099" s="7"/>
      <c r="E7099" s="8"/>
      <c r="F7099" t="str">
        <f t="shared" si="247"/>
        <v/>
      </c>
      <c r="G7099" t="str">
        <f t="shared" si="248"/>
        <v/>
      </c>
    </row>
    <row r="7100" spans="2:7" x14ac:dyDescent="0.25">
      <c r="B7100" s="6"/>
      <c r="C7100" s="7"/>
      <c r="D7100" s="7"/>
      <c r="E7100" s="8"/>
      <c r="F7100" t="str">
        <f t="shared" si="247"/>
        <v/>
      </c>
      <c r="G7100" t="str">
        <f t="shared" si="248"/>
        <v/>
      </c>
    </row>
    <row r="7101" spans="2:7" x14ac:dyDescent="0.25">
      <c r="B7101" s="6"/>
      <c r="C7101" s="7"/>
      <c r="D7101" s="7"/>
      <c r="E7101" s="8"/>
      <c r="F7101" t="str">
        <f t="shared" si="247"/>
        <v/>
      </c>
      <c r="G7101" t="str">
        <f t="shared" si="248"/>
        <v/>
      </c>
    </row>
    <row r="7102" spans="2:7" x14ac:dyDescent="0.25">
      <c r="B7102" s="6"/>
      <c r="C7102" s="7"/>
      <c r="D7102" s="7"/>
      <c r="E7102" s="8"/>
      <c r="F7102" t="str">
        <f t="shared" si="247"/>
        <v/>
      </c>
      <c r="G7102" t="str">
        <f t="shared" si="248"/>
        <v/>
      </c>
    </row>
    <row r="7103" spans="2:7" x14ac:dyDescent="0.25">
      <c r="B7103" s="6"/>
      <c r="C7103" s="7"/>
      <c r="D7103" s="7"/>
      <c r="E7103" s="8"/>
      <c r="F7103" t="str">
        <f t="shared" si="247"/>
        <v/>
      </c>
      <c r="G7103" t="str">
        <f t="shared" si="248"/>
        <v/>
      </c>
    </row>
    <row r="7104" spans="2:7" x14ac:dyDescent="0.25">
      <c r="B7104" s="6"/>
      <c r="C7104" s="7"/>
      <c r="D7104" s="7"/>
      <c r="E7104" s="8"/>
      <c r="F7104" t="str">
        <f t="shared" si="247"/>
        <v/>
      </c>
      <c r="G7104" t="str">
        <f t="shared" si="248"/>
        <v/>
      </c>
    </row>
    <row r="7105" spans="2:7" x14ac:dyDescent="0.25">
      <c r="B7105" s="6"/>
      <c r="C7105" s="7"/>
      <c r="D7105" s="7"/>
      <c r="E7105" s="8"/>
      <c r="F7105" t="str">
        <f t="shared" si="247"/>
        <v/>
      </c>
      <c r="G7105" t="str">
        <f t="shared" si="248"/>
        <v/>
      </c>
    </row>
    <row r="7106" spans="2:7" x14ac:dyDescent="0.25">
      <c r="B7106" s="6"/>
      <c r="C7106" s="7"/>
      <c r="D7106" s="7"/>
      <c r="E7106" s="8"/>
      <c r="F7106" t="str">
        <f t="shared" si="247"/>
        <v/>
      </c>
      <c r="G7106" t="str">
        <f t="shared" si="248"/>
        <v/>
      </c>
    </row>
    <row r="7107" spans="2:7" x14ac:dyDescent="0.25">
      <c r="B7107" s="6"/>
      <c r="C7107" s="7"/>
      <c r="D7107" s="7"/>
      <c r="E7107" s="8"/>
      <c r="F7107" t="str">
        <f t="shared" si="247"/>
        <v/>
      </c>
      <c r="G7107" t="str">
        <f t="shared" si="248"/>
        <v/>
      </c>
    </row>
    <row r="7108" spans="2:7" x14ac:dyDescent="0.25">
      <c r="B7108" s="6"/>
      <c r="C7108" s="7"/>
      <c r="D7108" s="7"/>
      <c r="E7108" s="8"/>
      <c r="F7108" t="str">
        <f t="shared" ref="F7108:F7171" si="249">IF(B7108="","",LOG10(D7108))</f>
        <v/>
      </c>
      <c r="G7108" t="str">
        <f t="shared" ref="G7108:G7171" si="250">IF(E7108="", "",0.434*E7108/D7108)</f>
        <v/>
      </c>
    </row>
    <row r="7109" spans="2:7" x14ac:dyDescent="0.25">
      <c r="B7109" s="6"/>
      <c r="C7109" s="7"/>
      <c r="D7109" s="7"/>
      <c r="E7109" s="8"/>
      <c r="F7109" t="str">
        <f t="shared" si="249"/>
        <v/>
      </c>
      <c r="G7109" t="str">
        <f t="shared" si="250"/>
        <v/>
      </c>
    </row>
    <row r="7110" spans="2:7" x14ac:dyDescent="0.25">
      <c r="B7110" s="6"/>
      <c r="C7110" s="7"/>
      <c r="D7110" s="7"/>
      <c r="E7110" s="8"/>
      <c r="F7110" t="str">
        <f t="shared" si="249"/>
        <v/>
      </c>
      <c r="G7110" t="str">
        <f t="shared" si="250"/>
        <v/>
      </c>
    </row>
    <row r="7111" spans="2:7" x14ac:dyDescent="0.25">
      <c r="B7111" s="6"/>
      <c r="C7111" s="7"/>
      <c r="D7111" s="7"/>
      <c r="E7111" s="8"/>
      <c r="F7111" t="str">
        <f t="shared" si="249"/>
        <v/>
      </c>
      <c r="G7111" t="str">
        <f t="shared" si="250"/>
        <v/>
      </c>
    </row>
    <row r="7112" spans="2:7" x14ac:dyDescent="0.25">
      <c r="B7112" s="6"/>
      <c r="C7112" s="7"/>
      <c r="D7112" s="7"/>
      <c r="E7112" s="8"/>
      <c r="F7112" t="str">
        <f t="shared" si="249"/>
        <v/>
      </c>
      <c r="G7112" t="str">
        <f t="shared" si="250"/>
        <v/>
      </c>
    </row>
    <row r="7113" spans="2:7" x14ac:dyDescent="0.25">
      <c r="B7113" s="6"/>
      <c r="C7113" s="7"/>
      <c r="D7113" s="7"/>
      <c r="E7113" s="8"/>
      <c r="F7113" t="str">
        <f t="shared" si="249"/>
        <v/>
      </c>
      <c r="G7113" t="str">
        <f t="shared" si="250"/>
        <v/>
      </c>
    </row>
    <row r="7114" spans="2:7" x14ac:dyDescent="0.25">
      <c r="B7114" s="6"/>
      <c r="C7114" s="7"/>
      <c r="D7114" s="7"/>
      <c r="E7114" s="8"/>
      <c r="F7114" t="str">
        <f t="shared" si="249"/>
        <v/>
      </c>
      <c r="G7114" t="str">
        <f t="shared" si="250"/>
        <v/>
      </c>
    </row>
    <row r="7115" spans="2:7" x14ac:dyDescent="0.25">
      <c r="B7115" s="6"/>
      <c r="C7115" s="7"/>
      <c r="D7115" s="7"/>
      <c r="E7115" s="8"/>
      <c r="F7115" t="str">
        <f t="shared" si="249"/>
        <v/>
      </c>
      <c r="G7115" t="str">
        <f t="shared" si="250"/>
        <v/>
      </c>
    </row>
    <row r="7116" spans="2:7" x14ac:dyDescent="0.25">
      <c r="B7116" s="6"/>
      <c r="C7116" s="7"/>
      <c r="D7116" s="7"/>
      <c r="E7116" s="8"/>
      <c r="F7116" t="str">
        <f t="shared" si="249"/>
        <v/>
      </c>
      <c r="G7116" t="str">
        <f t="shared" si="250"/>
        <v/>
      </c>
    </row>
    <row r="7117" spans="2:7" x14ac:dyDescent="0.25">
      <c r="B7117" s="6"/>
      <c r="C7117" s="7"/>
      <c r="D7117" s="7"/>
      <c r="E7117" s="8"/>
      <c r="F7117" t="str">
        <f t="shared" si="249"/>
        <v/>
      </c>
      <c r="G7117" t="str">
        <f t="shared" si="250"/>
        <v/>
      </c>
    </row>
    <row r="7118" spans="2:7" x14ac:dyDescent="0.25">
      <c r="B7118" s="6"/>
      <c r="C7118" s="7"/>
      <c r="D7118" s="7"/>
      <c r="E7118" s="8"/>
      <c r="F7118" t="str">
        <f t="shared" si="249"/>
        <v/>
      </c>
      <c r="G7118" t="str">
        <f t="shared" si="250"/>
        <v/>
      </c>
    </row>
    <row r="7119" spans="2:7" x14ac:dyDescent="0.25">
      <c r="B7119" s="6"/>
      <c r="C7119" s="7"/>
      <c r="D7119" s="7"/>
      <c r="E7119" s="8"/>
      <c r="F7119" t="str">
        <f t="shared" si="249"/>
        <v/>
      </c>
      <c r="G7119" t="str">
        <f t="shared" si="250"/>
        <v/>
      </c>
    </row>
    <row r="7120" spans="2:7" x14ac:dyDescent="0.25">
      <c r="B7120" s="6"/>
      <c r="C7120" s="7"/>
      <c r="D7120" s="7"/>
      <c r="E7120" s="8"/>
      <c r="F7120" t="str">
        <f t="shared" si="249"/>
        <v/>
      </c>
      <c r="G7120" t="str">
        <f t="shared" si="250"/>
        <v/>
      </c>
    </row>
    <row r="7121" spans="2:7" x14ac:dyDescent="0.25">
      <c r="B7121" s="6"/>
      <c r="C7121" s="7"/>
      <c r="D7121" s="7"/>
      <c r="E7121" s="8"/>
      <c r="F7121" t="str">
        <f t="shared" si="249"/>
        <v/>
      </c>
      <c r="G7121" t="str">
        <f t="shared" si="250"/>
        <v/>
      </c>
    </row>
    <row r="7122" spans="2:7" x14ac:dyDescent="0.25">
      <c r="B7122" s="6"/>
      <c r="C7122" s="7"/>
      <c r="D7122" s="7"/>
      <c r="E7122" s="8"/>
      <c r="F7122" t="str">
        <f t="shared" si="249"/>
        <v/>
      </c>
      <c r="G7122" t="str">
        <f t="shared" si="250"/>
        <v/>
      </c>
    </row>
    <row r="7123" spans="2:7" x14ac:dyDescent="0.25">
      <c r="B7123" s="6"/>
      <c r="C7123" s="7"/>
      <c r="D7123" s="7"/>
      <c r="E7123" s="8"/>
      <c r="F7123" t="str">
        <f t="shared" si="249"/>
        <v/>
      </c>
      <c r="G7123" t="str">
        <f t="shared" si="250"/>
        <v/>
      </c>
    </row>
    <row r="7124" spans="2:7" x14ac:dyDescent="0.25">
      <c r="B7124" s="6"/>
      <c r="C7124" s="7"/>
      <c r="D7124" s="7"/>
      <c r="E7124" s="8"/>
      <c r="F7124" t="str">
        <f t="shared" si="249"/>
        <v/>
      </c>
      <c r="G7124" t="str">
        <f t="shared" si="250"/>
        <v/>
      </c>
    </row>
    <row r="7125" spans="2:7" x14ac:dyDescent="0.25">
      <c r="B7125" s="6"/>
      <c r="C7125" s="7"/>
      <c r="D7125" s="7"/>
      <c r="E7125" s="8"/>
      <c r="F7125" t="str">
        <f t="shared" si="249"/>
        <v/>
      </c>
      <c r="G7125" t="str">
        <f t="shared" si="250"/>
        <v/>
      </c>
    </row>
    <row r="7126" spans="2:7" x14ac:dyDescent="0.25">
      <c r="B7126" s="6"/>
      <c r="C7126" s="7"/>
      <c r="D7126" s="7"/>
      <c r="E7126" s="8"/>
      <c r="F7126" t="str">
        <f t="shared" si="249"/>
        <v/>
      </c>
      <c r="G7126" t="str">
        <f t="shared" si="250"/>
        <v/>
      </c>
    </row>
    <row r="7127" spans="2:7" x14ac:dyDescent="0.25">
      <c r="B7127" s="6"/>
      <c r="C7127" s="7"/>
      <c r="D7127" s="7"/>
      <c r="E7127" s="8"/>
      <c r="F7127" t="str">
        <f t="shared" si="249"/>
        <v/>
      </c>
      <c r="G7127" t="str">
        <f t="shared" si="250"/>
        <v/>
      </c>
    </row>
    <row r="7128" spans="2:7" x14ac:dyDescent="0.25">
      <c r="B7128" s="6"/>
      <c r="C7128" s="7"/>
      <c r="D7128" s="7"/>
      <c r="E7128" s="8"/>
      <c r="F7128" t="str">
        <f t="shared" si="249"/>
        <v/>
      </c>
      <c r="G7128" t="str">
        <f t="shared" si="250"/>
        <v/>
      </c>
    </row>
    <row r="7129" spans="2:7" x14ac:dyDescent="0.25">
      <c r="B7129" s="6"/>
      <c r="C7129" s="7"/>
      <c r="D7129" s="7"/>
      <c r="E7129" s="8"/>
      <c r="F7129" t="str">
        <f t="shared" si="249"/>
        <v/>
      </c>
      <c r="G7129" t="str">
        <f t="shared" si="250"/>
        <v/>
      </c>
    </row>
    <row r="7130" spans="2:7" x14ac:dyDescent="0.25">
      <c r="B7130" s="6"/>
      <c r="C7130" s="7"/>
      <c r="D7130" s="7"/>
      <c r="E7130" s="8"/>
      <c r="F7130" t="str">
        <f t="shared" si="249"/>
        <v/>
      </c>
      <c r="G7130" t="str">
        <f t="shared" si="250"/>
        <v/>
      </c>
    </row>
    <row r="7131" spans="2:7" x14ac:dyDescent="0.25">
      <c r="B7131" s="6"/>
      <c r="C7131" s="7"/>
      <c r="D7131" s="7"/>
      <c r="E7131" s="8"/>
      <c r="F7131" t="str">
        <f t="shared" si="249"/>
        <v/>
      </c>
      <c r="G7131" t="str">
        <f t="shared" si="250"/>
        <v/>
      </c>
    </row>
    <row r="7132" spans="2:7" x14ac:dyDescent="0.25">
      <c r="B7132" s="6"/>
      <c r="C7132" s="7"/>
      <c r="D7132" s="7"/>
      <c r="E7132" s="8"/>
      <c r="F7132" t="str">
        <f t="shared" si="249"/>
        <v/>
      </c>
      <c r="G7132" t="str">
        <f t="shared" si="250"/>
        <v/>
      </c>
    </row>
    <row r="7133" spans="2:7" x14ac:dyDescent="0.25">
      <c r="B7133" s="6"/>
      <c r="C7133" s="7"/>
      <c r="D7133" s="7"/>
      <c r="E7133" s="8"/>
      <c r="F7133" t="str">
        <f t="shared" si="249"/>
        <v/>
      </c>
      <c r="G7133" t="str">
        <f t="shared" si="250"/>
        <v/>
      </c>
    </row>
    <row r="7134" spans="2:7" x14ac:dyDescent="0.25">
      <c r="B7134" s="6"/>
      <c r="C7134" s="7"/>
      <c r="D7134" s="7"/>
      <c r="E7134" s="8"/>
      <c r="F7134" t="str">
        <f t="shared" si="249"/>
        <v/>
      </c>
      <c r="G7134" t="str">
        <f t="shared" si="250"/>
        <v/>
      </c>
    </row>
    <row r="7135" spans="2:7" x14ac:dyDescent="0.25">
      <c r="B7135" s="6"/>
      <c r="C7135" s="7"/>
      <c r="D7135" s="7"/>
      <c r="E7135" s="8"/>
      <c r="F7135" t="str">
        <f t="shared" si="249"/>
        <v/>
      </c>
      <c r="G7135" t="str">
        <f t="shared" si="250"/>
        <v/>
      </c>
    </row>
    <row r="7136" spans="2:7" x14ac:dyDescent="0.25">
      <c r="B7136" s="6"/>
      <c r="C7136" s="7"/>
      <c r="D7136" s="7"/>
      <c r="E7136" s="8"/>
      <c r="F7136" t="str">
        <f t="shared" si="249"/>
        <v/>
      </c>
      <c r="G7136" t="str">
        <f t="shared" si="250"/>
        <v/>
      </c>
    </row>
    <row r="7137" spans="2:7" x14ac:dyDescent="0.25">
      <c r="B7137" s="6"/>
      <c r="C7137" s="7"/>
      <c r="D7137" s="7"/>
      <c r="E7137" s="8"/>
      <c r="F7137" t="str">
        <f t="shared" si="249"/>
        <v/>
      </c>
      <c r="G7137" t="str">
        <f t="shared" si="250"/>
        <v/>
      </c>
    </row>
    <row r="7138" spans="2:7" x14ac:dyDescent="0.25">
      <c r="B7138" s="6"/>
      <c r="C7138" s="7"/>
      <c r="D7138" s="7"/>
      <c r="E7138" s="8"/>
      <c r="F7138" t="str">
        <f t="shared" si="249"/>
        <v/>
      </c>
      <c r="G7138" t="str">
        <f t="shared" si="250"/>
        <v/>
      </c>
    </row>
    <row r="7139" spans="2:7" x14ac:dyDescent="0.25">
      <c r="B7139" s="6"/>
      <c r="C7139" s="7"/>
      <c r="D7139" s="7"/>
      <c r="E7139" s="8"/>
      <c r="F7139" t="str">
        <f t="shared" si="249"/>
        <v/>
      </c>
      <c r="G7139" t="str">
        <f t="shared" si="250"/>
        <v/>
      </c>
    </row>
    <row r="7140" spans="2:7" x14ac:dyDescent="0.25">
      <c r="B7140" s="6"/>
      <c r="C7140" s="7"/>
      <c r="D7140" s="7"/>
      <c r="E7140" s="8"/>
      <c r="F7140" t="str">
        <f t="shared" si="249"/>
        <v/>
      </c>
      <c r="G7140" t="str">
        <f t="shared" si="250"/>
        <v/>
      </c>
    </row>
    <row r="7141" spans="2:7" x14ac:dyDescent="0.25">
      <c r="B7141" s="6"/>
      <c r="C7141" s="7"/>
      <c r="D7141" s="7"/>
      <c r="E7141" s="8"/>
      <c r="F7141" t="str">
        <f t="shared" si="249"/>
        <v/>
      </c>
      <c r="G7141" t="str">
        <f t="shared" si="250"/>
        <v/>
      </c>
    </row>
    <row r="7142" spans="2:7" x14ac:dyDescent="0.25">
      <c r="B7142" s="6"/>
      <c r="C7142" s="7"/>
      <c r="D7142" s="7"/>
      <c r="E7142" s="8"/>
      <c r="F7142" t="str">
        <f t="shared" si="249"/>
        <v/>
      </c>
      <c r="G7142" t="str">
        <f t="shared" si="250"/>
        <v/>
      </c>
    </row>
    <row r="7143" spans="2:7" x14ac:dyDescent="0.25">
      <c r="B7143" s="6"/>
      <c r="C7143" s="7"/>
      <c r="D7143" s="7"/>
      <c r="E7143" s="8"/>
      <c r="F7143" t="str">
        <f t="shared" si="249"/>
        <v/>
      </c>
      <c r="G7143" t="str">
        <f t="shared" si="250"/>
        <v/>
      </c>
    </row>
    <row r="7144" spans="2:7" x14ac:dyDescent="0.25">
      <c r="B7144" s="6"/>
      <c r="C7144" s="7"/>
      <c r="D7144" s="7"/>
      <c r="E7144" s="8"/>
      <c r="F7144" t="str">
        <f t="shared" si="249"/>
        <v/>
      </c>
      <c r="G7144" t="str">
        <f t="shared" si="250"/>
        <v/>
      </c>
    </row>
    <row r="7145" spans="2:7" x14ac:dyDescent="0.25">
      <c r="B7145" s="6"/>
      <c r="C7145" s="7"/>
      <c r="D7145" s="7"/>
      <c r="E7145" s="8"/>
      <c r="F7145" t="str">
        <f t="shared" si="249"/>
        <v/>
      </c>
      <c r="G7145" t="str">
        <f t="shared" si="250"/>
        <v/>
      </c>
    </row>
    <row r="7146" spans="2:7" x14ac:dyDescent="0.25">
      <c r="B7146" s="6"/>
      <c r="C7146" s="7"/>
      <c r="D7146" s="7"/>
      <c r="E7146" s="8"/>
      <c r="F7146" t="str">
        <f t="shared" si="249"/>
        <v/>
      </c>
      <c r="G7146" t="str">
        <f t="shared" si="250"/>
        <v/>
      </c>
    </row>
    <row r="7147" spans="2:7" x14ac:dyDescent="0.25">
      <c r="B7147" s="6"/>
      <c r="C7147" s="7"/>
      <c r="D7147" s="7"/>
      <c r="E7147" s="8"/>
      <c r="F7147" t="str">
        <f t="shared" si="249"/>
        <v/>
      </c>
      <c r="G7147" t="str">
        <f t="shared" si="250"/>
        <v/>
      </c>
    </row>
    <row r="7148" spans="2:7" x14ac:dyDescent="0.25">
      <c r="B7148" s="6"/>
      <c r="C7148" s="7"/>
      <c r="D7148" s="7"/>
      <c r="E7148" s="8"/>
      <c r="F7148" t="str">
        <f t="shared" si="249"/>
        <v/>
      </c>
      <c r="G7148" t="str">
        <f t="shared" si="250"/>
        <v/>
      </c>
    </row>
    <row r="7149" spans="2:7" x14ac:dyDescent="0.25">
      <c r="B7149" s="6"/>
      <c r="C7149" s="7"/>
      <c r="D7149" s="7"/>
      <c r="E7149" s="8"/>
      <c r="F7149" t="str">
        <f t="shared" si="249"/>
        <v/>
      </c>
      <c r="G7149" t="str">
        <f t="shared" si="250"/>
        <v/>
      </c>
    </row>
    <row r="7150" spans="2:7" x14ac:dyDescent="0.25">
      <c r="B7150" s="6"/>
      <c r="C7150" s="7"/>
      <c r="D7150" s="7"/>
      <c r="E7150" s="8"/>
      <c r="F7150" t="str">
        <f t="shared" si="249"/>
        <v/>
      </c>
      <c r="G7150" t="str">
        <f t="shared" si="250"/>
        <v/>
      </c>
    </row>
    <row r="7151" spans="2:7" x14ac:dyDescent="0.25">
      <c r="B7151" s="6"/>
      <c r="C7151" s="7"/>
      <c r="D7151" s="7"/>
      <c r="E7151" s="8"/>
      <c r="F7151" t="str">
        <f t="shared" si="249"/>
        <v/>
      </c>
      <c r="G7151" t="str">
        <f t="shared" si="250"/>
        <v/>
      </c>
    </row>
    <row r="7152" spans="2:7" x14ac:dyDescent="0.25">
      <c r="B7152" s="6"/>
      <c r="C7152" s="7"/>
      <c r="D7152" s="7"/>
      <c r="E7152" s="8"/>
      <c r="F7152" t="str">
        <f t="shared" si="249"/>
        <v/>
      </c>
      <c r="G7152" t="str">
        <f t="shared" si="250"/>
        <v/>
      </c>
    </row>
    <row r="7153" spans="2:7" x14ac:dyDescent="0.25">
      <c r="B7153" s="6"/>
      <c r="C7153" s="7"/>
      <c r="D7153" s="7"/>
      <c r="E7153" s="8"/>
      <c r="F7153" t="str">
        <f t="shared" si="249"/>
        <v/>
      </c>
      <c r="G7153" t="str">
        <f t="shared" si="250"/>
        <v/>
      </c>
    </row>
    <row r="7154" spans="2:7" x14ac:dyDescent="0.25">
      <c r="B7154" s="6"/>
      <c r="C7154" s="7"/>
      <c r="D7154" s="7"/>
      <c r="E7154" s="8"/>
      <c r="F7154" t="str">
        <f t="shared" si="249"/>
        <v/>
      </c>
      <c r="G7154" t="str">
        <f t="shared" si="250"/>
        <v/>
      </c>
    </row>
    <row r="7155" spans="2:7" x14ac:dyDescent="0.25">
      <c r="B7155" s="6"/>
      <c r="C7155" s="7"/>
      <c r="D7155" s="7"/>
      <c r="E7155" s="8"/>
      <c r="F7155" t="str">
        <f t="shared" si="249"/>
        <v/>
      </c>
      <c r="G7155" t="str">
        <f t="shared" si="250"/>
        <v/>
      </c>
    </row>
    <row r="7156" spans="2:7" x14ac:dyDescent="0.25">
      <c r="B7156" s="6"/>
      <c r="C7156" s="7"/>
      <c r="D7156" s="7"/>
      <c r="E7156" s="8"/>
      <c r="F7156" t="str">
        <f t="shared" si="249"/>
        <v/>
      </c>
      <c r="G7156" t="str">
        <f t="shared" si="250"/>
        <v/>
      </c>
    </row>
    <row r="7157" spans="2:7" x14ac:dyDescent="0.25">
      <c r="B7157" s="6"/>
      <c r="C7157" s="7"/>
      <c r="D7157" s="7"/>
      <c r="E7157" s="8"/>
      <c r="F7157" t="str">
        <f t="shared" si="249"/>
        <v/>
      </c>
      <c r="G7157" t="str">
        <f t="shared" si="250"/>
        <v/>
      </c>
    </row>
    <row r="7158" spans="2:7" x14ac:dyDescent="0.25">
      <c r="B7158" s="6"/>
      <c r="C7158" s="7"/>
      <c r="D7158" s="7"/>
      <c r="E7158" s="8"/>
      <c r="F7158" t="str">
        <f t="shared" si="249"/>
        <v/>
      </c>
      <c r="G7158" t="str">
        <f t="shared" si="250"/>
        <v/>
      </c>
    </row>
    <row r="7159" spans="2:7" x14ac:dyDescent="0.25">
      <c r="B7159" s="6"/>
      <c r="C7159" s="7"/>
      <c r="D7159" s="7"/>
      <c r="E7159" s="8"/>
      <c r="F7159" t="str">
        <f t="shared" si="249"/>
        <v/>
      </c>
      <c r="G7159" t="str">
        <f t="shared" si="250"/>
        <v/>
      </c>
    </row>
    <row r="7160" spans="2:7" x14ac:dyDescent="0.25">
      <c r="B7160" s="6"/>
      <c r="C7160" s="7"/>
      <c r="D7160" s="7"/>
      <c r="E7160" s="8"/>
      <c r="F7160" t="str">
        <f t="shared" si="249"/>
        <v/>
      </c>
      <c r="G7160" t="str">
        <f t="shared" si="250"/>
        <v/>
      </c>
    </row>
    <row r="7161" spans="2:7" x14ac:dyDescent="0.25">
      <c r="B7161" s="6"/>
      <c r="C7161" s="7"/>
      <c r="D7161" s="7"/>
      <c r="E7161" s="8"/>
      <c r="F7161" t="str">
        <f t="shared" si="249"/>
        <v/>
      </c>
      <c r="G7161" t="str">
        <f t="shared" si="250"/>
        <v/>
      </c>
    </row>
    <row r="7162" spans="2:7" x14ac:dyDescent="0.25">
      <c r="B7162" s="6"/>
      <c r="C7162" s="7"/>
      <c r="D7162" s="7"/>
      <c r="E7162" s="8"/>
      <c r="F7162" t="str">
        <f t="shared" si="249"/>
        <v/>
      </c>
      <c r="G7162" t="str">
        <f t="shared" si="250"/>
        <v/>
      </c>
    </row>
    <row r="7163" spans="2:7" x14ac:dyDescent="0.25">
      <c r="B7163" s="6"/>
      <c r="C7163" s="7"/>
      <c r="D7163" s="7"/>
      <c r="E7163" s="8"/>
      <c r="F7163" t="str">
        <f t="shared" si="249"/>
        <v/>
      </c>
      <c r="G7163" t="str">
        <f t="shared" si="250"/>
        <v/>
      </c>
    </row>
    <row r="7164" spans="2:7" x14ac:dyDescent="0.25">
      <c r="B7164" s="6"/>
      <c r="C7164" s="7"/>
      <c r="D7164" s="7"/>
      <c r="E7164" s="8"/>
      <c r="F7164" t="str">
        <f t="shared" si="249"/>
        <v/>
      </c>
      <c r="G7164" t="str">
        <f t="shared" si="250"/>
        <v/>
      </c>
    </row>
    <row r="7165" spans="2:7" x14ac:dyDescent="0.25">
      <c r="B7165" s="6"/>
      <c r="C7165" s="7"/>
      <c r="D7165" s="7"/>
      <c r="E7165" s="8"/>
      <c r="F7165" t="str">
        <f t="shared" si="249"/>
        <v/>
      </c>
      <c r="G7165" t="str">
        <f t="shared" si="250"/>
        <v/>
      </c>
    </row>
    <row r="7166" spans="2:7" x14ac:dyDescent="0.25">
      <c r="B7166" s="6"/>
      <c r="C7166" s="7"/>
      <c r="D7166" s="7"/>
      <c r="E7166" s="8"/>
      <c r="F7166" t="str">
        <f t="shared" si="249"/>
        <v/>
      </c>
      <c r="G7166" t="str">
        <f t="shared" si="250"/>
        <v/>
      </c>
    </row>
    <row r="7167" spans="2:7" x14ac:dyDescent="0.25">
      <c r="B7167" s="6"/>
      <c r="C7167" s="7"/>
      <c r="D7167" s="7"/>
      <c r="E7167" s="8"/>
      <c r="F7167" t="str">
        <f t="shared" si="249"/>
        <v/>
      </c>
      <c r="G7167" t="str">
        <f t="shared" si="250"/>
        <v/>
      </c>
    </row>
    <row r="7168" spans="2:7" x14ac:dyDescent="0.25">
      <c r="B7168" s="6"/>
      <c r="C7168" s="7"/>
      <c r="D7168" s="7"/>
      <c r="E7168" s="8"/>
      <c r="F7168" t="str">
        <f t="shared" si="249"/>
        <v/>
      </c>
      <c r="G7168" t="str">
        <f t="shared" si="250"/>
        <v/>
      </c>
    </row>
    <row r="7169" spans="2:7" x14ac:dyDescent="0.25">
      <c r="B7169" s="6"/>
      <c r="C7169" s="7"/>
      <c r="D7169" s="7"/>
      <c r="E7169" s="8"/>
      <c r="F7169" t="str">
        <f t="shared" si="249"/>
        <v/>
      </c>
      <c r="G7169" t="str">
        <f t="shared" si="250"/>
        <v/>
      </c>
    </row>
    <row r="7170" spans="2:7" x14ac:dyDescent="0.25">
      <c r="B7170" s="6"/>
      <c r="C7170" s="7"/>
      <c r="D7170" s="7"/>
      <c r="E7170" s="8"/>
      <c r="F7170" t="str">
        <f t="shared" si="249"/>
        <v/>
      </c>
      <c r="G7170" t="str">
        <f t="shared" si="250"/>
        <v/>
      </c>
    </row>
    <row r="7171" spans="2:7" x14ac:dyDescent="0.25">
      <c r="B7171" s="6"/>
      <c r="C7171" s="7"/>
      <c r="D7171" s="7"/>
      <c r="E7171" s="8"/>
      <c r="F7171" t="str">
        <f t="shared" si="249"/>
        <v/>
      </c>
      <c r="G7171" t="str">
        <f t="shared" si="250"/>
        <v/>
      </c>
    </row>
    <row r="7172" spans="2:7" x14ac:dyDescent="0.25">
      <c r="B7172" s="6"/>
      <c r="C7172" s="7"/>
      <c r="D7172" s="7"/>
      <c r="E7172" s="8"/>
      <c r="F7172" t="str">
        <f t="shared" ref="F7172:F7235" si="251">IF(B7172="","",LOG10(D7172))</f>
        <v/>
      </c>
      <c r="G7172" t="str">
        <f t="shared" ref="G7172:G7235" si="252">IF(E7172="", "",0.434*E7172/D7172)</f>
        <v/>
      </c>
    </row>
    <row r="7173" spans="2:7" x14ac:dyDescent="0.25">
      <c r="B7173" s="6"/>
      <c r="C7173" s="7"/>
      <c r="D7173" s="7"/>
      <c r="E7173" s="8"/>
      <c r="F7173" t="str">
        <f t="shared" si="251"/>
        <v/>
      </c>
      <c r="G7173" t="str">
        <f t="shared" si="252"/>
        <v/>
      </c>
    </row>
    <row r="7174" spans="2:7" x14ac:dyDescent="0.25">
      <c r="B7174" s="6"/>
      <c r="C7174" s="7"/>
      <c r="D7174" s="7"/>
      <c r="E7174" s="8"/>
      <c r="F7174" t="str">
        <f t="shared" si="251"/>
        <v/>
      </c>
      <c r="G7174" t="str">
        <f t="shared" si="252"/>
        <v/>
      </c>
    </row>
    <row r="7175" spans="2:7" x14ac:dyDescent="0.25">
      <c r="B7175" s="6"/>
      <c r="C7175" s="7"/>
      <c r="D7175" s="7"/>
      <c r="E7175" s="8"/>
      <c r="F7175" t="str">
        <f t="shared" si="251"/>
        <v/>
      </c>
      <c r="G7175" t="str">
        <f t="shared" si="252"/>
        <v/>
      </c>
    </row>
    <row r="7176" spans="2:7" x14ac:dyDescent="0.25">
      <c r="B7176" s="6"/>
      <c r="C7176" s="7"/>
      <c r="D7176" s="7"/>
      <c r="E7176" s="8"/>
      <c r="F7176" t="str">
        <f t="shared" si="251"/>
        <v/>
      </c>
      <c r="G7176" t="str">
        <f t="shared" si="252"/>
        <v/>
      </c>
    </row>
    <row r="7177" spans="2:7" x14ac:dyDescent="0.25">
      <c r="B7177" s="6"/>
      <c r="C7177" s="7"/>
      <c r="D7177" s="7"/>
      <c r="E7177" s="8"/>
      <c r="F7177" t="str">
        <f t="shared" si="251"/>
        <v/>
      </c>
      <c r="G7177" t="str">
        <f t="shared" si="252"/>
        <v/>
      </c>
    </row>
    <row r="7178" spans="2:7" x14ac:dyDescent="0.25">
      <c r="B7178" s="6"/>
      <c r="C7178" s="7"/>
      <c r="D7178" s="7"/>
      <c r="E7178" s="8"/>
      <c r="F7178" t="str">
        <f t="shared" si="251"/>
        <v/>
      </c>
      <c r="G7178" t="str">
        <f t="shared" si="252"/>
        <v/>
      </c>
    </row>
    <row r="7179" spans="2:7" x14ac:dyDescent="0.25">
      <c r="B7179" s="6"/>
      <c r="C7179" s="7"/>
      <c r="D7179" s="7"/>
      <c r="E7179" s="8"/>
      <c r="F7179" t="str">
        <f t="shared" si="251"/>
        <v/>
      </c>
      <c r="G7179" t="str">
        <f t="shared" si="252"/>
        <v/>
      </c>
    </row>
    <row r="7180" spans="2:7" x14ac:dyDescent="0.25">
      <c r="B7180" s="6"/>
      <c r="C7180" s="7"/>
      <c r="D7180" s="7"/>
      <c r="E7180" s="8"/>
      <c r="F7180" t="str">
        <f t="shared" si="251"/>
        <v/>
      </c>
      <c r="G7180" t="str">
        <f t="shared" si="252"/>
        <v/>
      </c>
    </row>
    <row r="7181" spans="2:7" x14ac:dyDescent="0.25">
      <c r="B7181" s="6"/>
      <c r="C7181" s="7"/>
      <c r="D7181" s="7"/>
      <c r="E7181" s="8"/>
      <c r="F7181" t="str">
        <f t="shared" si="251"/>
        <v/>
      </c>
      <c r="G7181" t="str">
        <f t="shared" si="252"/>
        <v/>
      </c>
    </row>
    <row r="7182" spans="2:7" x14ac:dyDescent="0.25">
      <c r="B7182" s="6"/>
      <c r="C7182" s="7"/>
      <c r="D7182" s="7"/>
      <c r="E7182" s="8"/>
      <c r="F7182" t="str">
        <f t="shared" si="251"/>
        <v/>
      </c>
      <c r="G7182" t="str">
        <f t="shared" si="252"/>
        <v/>
      </c>
    </row>
    <row r="7183" spans="2:7" x14ac:dyDescent="0.25">
      <c r="B7183" s="6"/>
      <c r="C7183" s="7"/>
      <c r="D7183" s="7"/>
      <c r="E7183" s="8"/>
      <c r="F7183" t="str">
        <f t="shared" si="251"/>
        <v/>
      </c>
      <c r="G7183" t="str">
        <f t="shared" si="252"/>
        <v/>
      </c>
    </row>
    <row r="7184" spans="2:7" x14ac:dyDescent="0.25">
      <c r="B7184" s="6"/>
      <c r="C7184" s="7"/>
      <c r="D7184" s="7"/>
      <c r="E7184" s="8"/>
      <c r="F7184" t="str">
        <f t="shared" si="251"/>
        <v/>
      </c>
      <c r="G7184" t="str">
        <f t="shared" si="252"/>
        <v/>
      </c>
    </row>
    <row r="7185" spans="2:7" x14ac:dyDescent="0.25">
      <c r="B7185" s="6"/>
      <c r="C7185" s="7"/>
      <c r="D7185" s="7"/>
      <c r="E7185" s="8"/>
      <c r="F7185" t="str">
        <f t="shared" si="251"/>
        <v/>
      </c>
      <c r="G7185" t="str">
        <f t="shared" si="252"/>
        <v/>
      </c>
    </row>
    <row r="7186" spans="2:7" x14ac:dyDescent="0.25">
      <c r="B7186" s="6"/>
      <c r="C7186" s="7"/>
      <c r="D7186" s="7"/>
      <c r="E7186" s="8"/>
      <c r="F7186" t="str">
        <f t="shared" si="251"/>
        <v/>
      </c>
      <c r="G7186" t="str">
        <f t="shared" si="252"/>
        <v/>
      </c>
    </row>
    <row r="7187" spans="2:7" x14ac:dyDescent="0.25">
      <c r="B7187" s="6"/>
      <c r="C7187" s="7"/>
      <c r="D7187" s="7"/>
      <c r="E7187" s="8"/>
      <c r="F7187" t="str">
        <f t="shared" si="251"/>
        <v/>
      </c>
      <c r="G7187" t="str">
        <f t="shared" si="252"/>
        <v/>
      </c>
    </row>
    <row r="7188" spans="2:7" x14ac:dyDescent="0.25">
      <c r="B7188" s="6"/>
      <c r="C7188" s="7"/>
      <c r="D7188" s="7"/>
      <c r="E7188" s="8"/>
      <c r="F7188" t="str">
        <f t="shared" si="251"/>
        <v/>
      </c>
      <c r="G7188" t="str">
        <f t="shared" si="252"/>
        <v/>
      </c>
    </row>
    <row r="7189" spans="2:7" x14ac:dyDescent="0.25">
      <c r="B7189" s="6"/>
      <c r="C7189" s="7"/>
      <c r="D7189" s="7"/>
      <c r="E7189" s="8"/>
      <c r="F7189" t="str">
        <f t="shared" si="251"/>
        <v/>
      </c>
      <c r="G7189" t="str">
        <f t="shared" si="252"/>
        <v/>
      </c>
    </row>
    <row r="7190" spans="2:7" x14ac:dyDescent="0.25">
      <c r="B7190" s="6"/>
      <c r="C7190" s="7"/>
      <c r="D7190" s="7"/>
      <c r="E7190" s="8"/>
      <c r="F7190" t="str">
        <f t="shared" si="251"/>
        <v/>
      </c>
      <c r="G7190" t="str">
        <f t="shared" si="252"/>
        <v/>
      </c>
    </row>
    <row r="7191" spans="2:7" x14ac:dyDescent="0.25">
      <c r="B7191" s="6"/>
      <c r="C7191" s="7"/>
      <c r="D7191" s="7"/>
      <c r="E7191" s="8"/>
      <c r="F7191" t="str">
        <f t="shared" si="251"/>
        <v/>
      </c>
      <c r="G7191" t="str">
        <f t="shared" si="252"/>
        <v/>
      </c>
    </row>
    <row r="7192" spans="2:7" x14ac:dyDescent="0.25">
      <c r="B7192" s="6"/>
      <c r="C7192" s="7"/>
      <c r="D7192" s="7"/>
      <c r="E7192" s="8"/>
      <c r="F7192" t="str">
        <f t="shared" si="251"/>
        <v/>
      </c>
      <c r="G7192" t="str">
        <f t="shared" si="252"/>
        <v/>
      </c>
    </row>
    <row r="7193" spans="2:7" x14ac:dyDescent="0.25">
      <c r="B7193" s="6"/>
      <c r="C7193" s="7"/>
      <c r="D7193" s="7"/>
      <c r="E7193" s="8"/>
      <c r="F7193" t="str">
        <f t="shared" si="251"/>
        <v/>
      </c>
      <c r="G7193" t="str">
        <f t="shared" si="252"/>
        <v/>
      </c>
    </row>
    <row r="7194" spans="2:7" x14ac:dyDescent="0.25">
      <c r="B7194" s="6"/>
      <c r="C7194" s="7"/>
      <c r="D7194" s="7"/>
      <c r="E7194" s="8"/>
      <c r="F7194" t="str">
        <f t="shared" si="251"/>
        <v/>
      </c>
      <c r="G7194" t="str">
        <f t="shared" si="252"/>
        <v/>
      </c>
    </row>
    <row r="7195" spans="2:7" x14ac:dyDescent="0.25">
      <c r="B7195" s="6"/>
      <c r="C7195" s="7"/>
      <c r="D7195" s="7"/>
      <c r="E7195" s="8"/>
      <c r="F7195" t="str">
        <f t="shared" si="251"/>
        <v/>
      </c>
      <c r="G7195" t="str">
        <f t="shared" si="252"/>
        <v/>
      </c>
    </row>
    <row r="7196" spans="2:7" x14ac:dyDescent="0.25">
      <c r="B7196" s="6"/>
      <c r="C7196" s="7"/>
      <c r="D7196" s="7"/>
      <c r="E7196" s="8"/>
      <c r="F7196" t="str">
        <f t="shared" si="251"/>
        <v/>
      </c>
      <c r="G7196" t="str">
        <f t="shared" si="252"/>
        <v/>
      </c>
    </row>
    <row r="7197" spans="2:7" x14ac:dyDescent="0.25">
      <c r="B7197" s="6"/>
      <c r="C7197" s="7"/>
      <c r="D7197" s="7"/>
      <c r="E7197" s="8"/>
      <c r="F7197" t="str">
        <f t="shared" si="251"/>
        <v/>
      </c>
      <c r="G7197" t="str">
        <f t="shared" si="252"/>
        <v/>
      </c>
    </row>
    <row r="7198" spans="2:7" x14ac:dyDescent="0.25">
      <c r="B7198" s="6"/>
      <c r="C7198" s="7"/>
      <c r="D7198" s="7"/>
      <c r="E7198" s="8"/>
      <c r="F7198" t="str">
        <f t="shared" si="251"/>
        <v/>
      </c>
      <c r="G7198" t="str">
        <f t="shared" si="252"/>
        <v/>
      </c>
    </row>
    <row r="7199" spans="2:7" x14ac:dyDescent="0.25">
      <c r="B7199" s="6"/>
      <c r="C7199" s="7"/>
      <c r="D7199" s="7"/>
      <c r="E7199" s="8"/>
      <c r="F7199" t="str">
        <f t="shared" si="251"/>
        <v/>
      </c>
      <c r="G7199" t="str">
        <f t="shared" si="252"/>
        <v/>
      </c>
    </row>
    <row r="7200" spans="2:7" x14ac:dyDescent="0.25">
      <c r="B7200" s="6"/>
      <c r="C7200" s="7"/>
      <c r="D7200" s="7"/>
      <c r="E7200" s="8"/>
      <c r="F7200" t="str">
        <f t="shared" si="251"/>
        <v/>
      </c>
      <c r="G7200" t="str">
        <f t="shared" si="252"/>
        <v/>
      </c>
    </row>
    <row r="7201" spans="2:7" x14ac:dyDescent="0.25">
      <c r="B7201" s="6"/>
      <c r="C7201" s="7"/>
      <c r="D7201" s="7"/>
      <c r="E7201" s="8"/>
      <c r="F7201" t="str">
        <f t="shared" si="251"/>
        <v/>
      </c>
      <c r="G7201" t="str">
        <f t="shared" si="252"/>
        <v/>
      </c>
    </row>
    <row r="7202" spans="2:7" x14ac:dyDescent="0.25">
      <c r="B7202" s="6"/>
      <c r="C7202" s="7"/>
      <c r="D7202" s="7"/>
      <c r="E7202" s="8"/>
      <c r="F7202" t="str">
        <f t="shared" si="251"/>
        <v/>
      </c>
      <c r="G7202" t="str">
        <f t="shared" si="252"/>
        <v/>
      </c>
    </row>
    <row r="7203" spans="2:7" x14ac:dyDescent="0.25">
      <c r="B7203" s="6"/>
      <c r="C7203" s="7"/>
      <c r="D7203" s="7"/>
      <c r="E7203" s="8"/>
      <c r="F7203" t="str">
        <f t="shared" si="251"/>
        <v/>
      </c>
      <c r="G7203" t="str">
        <f t="shared" si="252"/>
        <v/>
      </c>
    </row>
    <row r="7204" spans="2:7" x14ac:dyDescent="0.25">
      <c r="B7204" s="6"/>
      <c r="C7204" s="7"/>
      <c r="D7204" s="7"/>
      <c r="E7204" s="8"/>
      <c r="F7204" t="str">
        <f t="shared" si="251"/>
        <v/>
      </c>
      <c r="G7204" t="str">
        <f t="shared" si="252"/>
        <v/>
      </c>
    </row>
    <row r="7205" spans="2:7" x14ac:dyDescent="0.25">
      <c r="B7205" s="6"/>
      <c r="C7205" s="7"/>
      <c r="D7205" s="7"/>
      <c r="E7205" s="8"/>
      <c r="F7205" t="str">
        <f t="shared" si="251"/>
        <v/>
      </c>
      <c r="G7205" t="str">
        <f t="shared" si="252"/>
        <v/>
      </c>
    </row>
    <row r="7206" spans="2:7" x14ac:dyDescent="0.25">
      <c r="B7206" s="6"/>
      <c r="C7206" s="7"/>
      <c r="D7206" s="7"/>
      <c r="E7206" s="8"/>
      <c r="F7206" t="str">
        <f t="shared" si="251"/>
        <v/>
      </c>
      <c r="G7206" t="str">
        <f t="shared" si="252"/>
        <v/>
      </c>
    </row>
    <row r="7207" spans="2:7" x14ac:dyDescent="0.25">
      <c r="B7207" s="6"/>
      <c r="C7207" s="7"/>
      <c r="D7207" s="7"/>
      <c r="E7207" s="8"/>
      <c r="F7207" t="str">
        <f t="shared" si="251"/>
        <v/>
      </c>
      <c r="G7207" t="str">
        <f t="shared" si="252"/>
        <v/>
      </c>
    </row>
    <row r="7208" spans="2:7" x14ac:dyDescent="0.25">
      <c r="B7208" s="6"/>
      <c r="C7208" s="7"/>
      <c r="D7208" s="7"/>
      <c r="E7208" s="8"/>
      <c r="F7208" t="str">
        <f t="shared" si="251"/>
        <v/>
      </c>
      <c r="G7208" t="str">
        <f t="shared" si="252"/>
        <v/>
      </c>
    </row>
    <row r="7209" spans="2:7" x14ac:dyDescent="0.25">
      <c r="B7209" s="6"/>
      <c r="C7209" s="7"/>
      <c r="D7209" s="7"/>
      <c r="E7209" s="8"/>
      <c r="F7209" t="str">
        <f t="shared" si="251"/>
        <v/>
      </c>
      <c r="G7209" t="str">
        <f t="shared" si="252"/>
        <v/>
      </c>
    </row>
    <row r="7210" spans="2:7" x14ac:dyDescent="0.25">
      <c r="B7210" s="6"/>
      <c r="C7210" s="7"/>
      <c r="D7210" s="7"/>
      <c r="E7210" s="8"/>
      <c r="F7210" t="str">
        <f t="shared" si="251"/>
        <v/>
      </c>
      <c r="G7210" t="str">
        <f t="shared" si="252"/>
        <v/>
      </c>
    </row>
    <row r="7211" spans="2:7" x14ac:dyDescent="0.25">
      <c r="B7211" s="6"/>
      <c r="C7211" s="7"/>
      <c r="D7211" s="7"/>
      <c r="E7211" s="8"/>
      <c r="F7211" t="str">
        <f t="shared" si="251"/>
        <v/>
      </c>
      <c r="G7211" t="str">
        <f t="shared" si="252"/>
        <v/>
      </c>
    </row>
    <row r="7212" spans="2:7" x14ac:dyDescent="0.25">
      <c r="B7212" s="6"/>
      <c r="C7212" s="7"/>
      <c r="D7212" s="7"/>
      <c r="E7212" s="8"/>
      <c r="F7212" t="str">
        <f t="shared" si="251"/>
        <v/>
      </c>
      <c r="G7212" t="str">
        <f t="shared" si="252"/>
        <v/>
      </c>
    </row>
    <row r="7213" spans="2:7" x14ac:dyDescent="0.25">
      <c r="B7213" s="6"/>
      <c r="C7213" s="7"/>
      <c r="D7213" s="7"/>
      <c r="E7213" s="8"/>
      <c r="F7213" t="str">
        <f t="shared" si="251"/>
        <v/>
      </c>
      <c r="G7213" t="str">
        <f t="shared" si="252"/>
        <v/>
      </c>
    </row>
    <row r="7214" spans="2:7" x14ac:dyDescent="0.25">
      <c r="B7214" s="6"/>
      <c r="C7214" s="7"/>
      <c r="D7214" s="7"/>
      <c r="E7214" s="8"/>
      <c r="F7214" t="str">
        <f t="shared" si="251"/>
        <v/>
      </c>
      <c r="G7214" t="str">
        <f t="shared" si="252"/>
        <v/>
      </c>
    </row>
    <row r="7215" spans="2:7" x14ac:dyDescent="0.25">
      <c r="B7215" s="6"/>
      <c r="C7215" s="7"/>
      <c r="D7215" s="7"/>
      <c r="E7215" s="8"/>
      <c r="F7215" t="str">
        <f t="shared" si="251"/>
        <v/>
      </c>
      <c r="G7215" t="str">
        <f t="shared" si="252"/>
        <v/>
      </c>
    </row>
    <row r="7216" spans="2:7" x14ac:dyDescent="0.25">
      <c r="B7216" s="6"/>
      <c r="C7216" s="7"/>
      <c r="D7216" s="7"/>
      <c r="E7216" s="8"/>
      <c r="F7216" t="str">
        <f t="shared" si="251"/>
        <v/>
      </c>
      <c r="G7216" t="str">
        <f t="shared" si="252"/>
        <v/>
      </c>
    </row>
    <row r="7217" spans="2:7" x14ac:dyDescent="0.25">
      <c r="B7217" s="6"/>
      <c r="C7217" s="7"/>
      <c r="D7217" s="7"/>
      <c r="E7217" s="8"/>
      <c r="F7217" t="str">
        <f t="shared" si="251"/>
        <v/>
      </c>
      <c r="G7217" t="str">
        <f t="shared" si="252"/>
        <v/>
      </c>
    </row>
    <row r="7218" spans="2:7" x14ac:dyDescent="0.25">
      <c r="B7218" s="6"/>
      <c r="C7218" s="7"/>
      <c r="D7218" s="7"/>
      <c r="E7218" s="8"/>
      <c r="F7218" t="str">
        <f t="shared" si="251"/>
        <v/>
      </c>
      <c r="G7218" t="str">
        <f t="shared" si="252"/>
        <v/>
      </c>
    </row>
    <row r="7219" spans="2:7" x14ac:dyDescent="0.25">
      <c r="B7219" s="6"/>
      <c r="C7219" s="7"/>
      <c r="D7219" s="7"/>
      <c r="E7219" s="8"/>
      <c r="F7219" t="str">
        <f t="shared" si="251"/>
        <v/>
      </c>
      <c r="G7219" t="str">
        <f t="shared" si="252"/>
        <v/>
      </c>
    </row>
    <row r="7220" spans="2:7" x14ac:dyDescent="0.25">
      <c r="B7220" s="6"/>
      <c r="C7220" s="7"/>
      <c r="D7220" s="7"/>
      <c r="E7220" s="8"/>
      <c r="F7220" t="str">
        <f t="shared" si="251"/>
        <v/>
      </c>
      <c r="G7220" t="str">
        <f t="shared" si="252"/>
        <v/>
      </c>
    </row>
    <row r="7221" spans="2:7" x14ac:dyDescent="0.25">
      <c r="B7221" s="6"/>
      <c r="C7221" s="7"/>
      <c r="D7221" s="7"/>
      <c r="E7221" s="8"/>
      <c r="F7221" t="str">
        <f t="shared" si="251"/>
        <v/>
      </c>
      <c r="G7221" t="str">
        <f t="shared" si="252"/>
        <v/>
      </c>
    </row>
    <row r="7222" spans="2:7" x14ac:dyDescent="0.25">
      <c r="B7222" s="6"/>
      <c r="C7222" s="7"/>
      <c r="D7222" s="7"/>
      <c r="E7222" s="8"/>
      <c r="F7222" t="str">
        <f t="shared" si="251"/>
        <v/>
      </c>
      <c r="G7222" t="str">
        <f t="shared" si="252"/>
        <v/>
      </c>
    </row>
    <row r="7223" spans="2:7" x14ac:dyDescent="0.25">
      <c r="B7223" s="6"/>
      <c r="C7223" s="7"/>
      <c r="D7223" s="7"/>
      <c r="E7223" s="8"/>
      <c r="F7223" t="str">
        <f t="shared" si="251"/>
        <v/>
      </c>
      <c r="G7223" t="str">
        <f t="shared" si="252"/>
        <v/>
      </c>
    </row>
    <row r="7224" spans="2:7" x14ac:dyDescent="0.25">
      <c r="B7224" s="6"/>
      <c r="C7224" s="7"/>
      <c r="D7224" s="7"/>
      <c r="E7224" s="8"/>
      <c r="F7224" t="str">
        <f t="shared" si="251"/>
        <v/>
      </c>
      <c r="G7224" t="str">
        <f t="shared" si="252"/>
        <v/>
      </c>
    </row>
    <row r="7225" spans="2:7" x14ac:dyDescent="0.25">
      <c r="B7225" s="6"/>
      <c r="C7225" s="7"/>
      <c r="D7225" s="7"/>
      <c r="E7225" s="8"/>
      <c r="F7225" t="str">
        <f t="shared" si="251"/>
        <v/>
      </c>
      <c r="G7225" t="str">
        <f t="shared" si="252"/>
        <v/>
      </c>
    </row>
    <row r="7226" spans="2:7" x14ac:dyDescent="0.25">
      <c r="B7226" s="6"/>
      <c r="C7226" s="7"/>
      <c r="D7226" s="7"/>
      <c r="E7226" s="8"/>
      <c r="F7226" t="str">
        <f t="shared" si="251"/>
        <v/>
      </c>
      <c r="G7226" t="str">
        <f t="shared" si="252"/>
        <v/>
      </c>
    </row>
    <row r="7227" spans="2:7" x14ac:dyDescent="0.25">
      <c r="B7227" s="6"/>
      <c r="C7227" s="7"/>
      <c r="D7227" s="7"/>
      <c r="E7227" s="8"/>
      <c r="F7227" t="str">
        <f t="shared" si="251"/>
        <v/>
      </c>
      <c r="G7227" t="str">
        <f t="shared" si="252"/>
        <v/>
      </c>
    </row>
    <row r="7228" spans="2:7" x14ac:dyDescent="0.25">
      <c r="B7228" s="6"/>
      <c r="C7228" s="7"/>
      <c r="D7228" s="7"/>
      <c r="E7228" s="8"/>
      <c r="F7228" t="str">
        <f t="shared" si="251"/>
        <v/>
      </c>
      <c r="G7228" t="str">
        <f t="shared" si="252"/>
        <v/>
      </c>
    </row>
    <row r="7229" spans="2:7" x14ac:dyDescent="0.25">
      <c r="B7229" s="6"/>
      <c r="C7229" s="7"/>
      <c r="D7229" s="7"/>
      <c r="E7229" s="8"/>
      <c r="F7229" t="str">
        <f t="shared" si="251"/>
        <v/>
      </c>
      <c r="G7229" t="str">
        <f t="shared" si="252"/>
        <v/>
      </c>
    </row>
    <row r="7230" spans="2:7" x14ac:dyDescent="0.25">
      <c r="B7230" s="6"/>
      <c r="C7230" s="7"/>
      <c r="D7230" s="7"/>
      <c r="E7230" s="8"/>
      <c r="F7230" t="str">
        <f t="shared" si="251"/>
        <v/>
      </c>
      <c r="G7230" t="str">
        <f t="shared" si="252"/>
        <v/>
      </c>
    </row>
    <row r="7231" spans="2:7" x14ac:dyDescent="0.25">
      <c r="B7231" s="6"/>
      <c r="C7231" s="7"/>
      <c r="D7231" s="7"/>
      <c r="E7231" s="8"/>
      <c r="F7231" t="str">
        <f t="shared" si="251"/>
        <v/>
      </c>
      <c r="G7231" t="str">
        <f t="shared" si="252"/>
        <v/>
      </c>
    </row>
    <row r="7232" spans="2:7" x14ac:dyDescent="0.25">
      <c r="B7232" s="6"/>
      <c r="C7232" s="7"/>
      <c r="D7232" s="7"/>
      <c r="E7232" s="8"/>
      <c r="F7232" t="str">
        <f t="shared" si="251"/>
        <v/>
      </c>
      <c r="G7232" t="str">
        <f t="shared" si="252"/>
        <v/>
      </c>
    </row>
    <row r="7233" spans="2:7" x14ac:dyDescent="0.25">
      <c r="B7233" s="6"/>
      <c r="C7233" s="7"/>
      <c r="D7233" s="7"/>
      <c r="E7233" s="8"/>
      <c r="F7233" t="str">
        <f t="shared" si="251"/>
        <v/>
      </c>
      <c r="G7233" t="str">
        <f t="shared" si="252"/>
        <v/>
      </c>
    </row>
    <row r="7234" spans="2:7" x14ac:dyDescent="0.25">
      <c r="B7234" s="6"/>
      <c r="C7234" s="7"/>
      <c r="D7234" s="7"/>
      <c r="E7234" s="8"/>
      <c r="F7234" t="str">
        <f t="shared" si="251"/>
        <v/>
      </c>
      <c r="G7234" t="str">
        <f t="shared" si="252"/>
        <v/>
      </c>
    </row>
    <row r="7235" spans="2:7" x14ac:dyDescent="0.25">
      <c r="B7235" s="6"/>
      <c r="C7235" s="7"/>
      <c r="D7235" s="7"/>
      <c r="E7235" s="8"/>
      <c r="F7235" t="str">
        <f t="shared" si="251"/>
        <v/>
      </c>
      <c r="G7235" t="str">
        <f t="shared" si="252"/>
        <v/>
      </c>
    </row>
    <row r="7236" spans="2:7" x14ac:dyDescent="0.25">
      <c r="B7236" s="6"/>
      <c r="C7236" s="7"/>
      <c r="D7236" s="7"/>
      <c r="E7236" s="8"/>
      <c r="F7236" t="str">
        <f t="shared" ref="F7236:F7299" si="253">IF(B7236="","",LOG10(D7236))</f>
        <v/>
      </c>
      <c r="G7236" t="str">
        <f t="shared" ref="G7236:G7299" si="254">IF(E7236="", "",0.434*E7236/D7236)</f>
        <v/>
      </c>
    </row>
    <row r="7237" spans="2:7" x14ac:dyDescent="0.25">
      <c r="B7237" s="6"/>
      <c r="C7237" s="7"/>
      <c r="D7237" s="7"/>
      <c r="E7237" s="8"/>
      <c r="F7237" t="str">
        <f t="shared" si="253"/>
        <v/>
      </c>
      <c r="G7237" t="str">
        <f t="shared" si="254"/>
        <v/>
      </c>
    </row>
    <row r="7238" spans="2:7" x14ac:dyDescent="0.25">
      <c r="B7238" s="6"/>
      <c r="C7238" s="7"/>
      <c r="D7238" s="7"/>
      <c r="E7238" s="8"/>
      <c r="F7238" t="str">
        <f t="shared" si="253"/>
        <v/>
      </c>
      <c r="G7238" t="str">
        <f t="shared" si="254"/>
        <v/>
      </c>
    </row>
    <row r="7239" spans="2:7" x14ac:dyDescent="0.25">
      <c r="B7239" s="6"/>
      <c r="C7239" s="7"/>
      <c r="D7239" s="7"/>
      <c r="E7239" s="8"/>
      <c r="F7239" t="str">
        <f t="shared" si="253"/>
        <v/>
      </c>
      <c r="G7239" t="str">
        <f t="shared" si="254"/>
        <v/>
      </c>
    </row>
    <row r="7240" spans="2:7" x14ac:dyDescent="0.25">
      <c r="B7240" s="6"/>
      <c r="C7240" s="7"/>
      <c r="D7240" s="7"/>
      <c r="E7240" s="8"/>
      <c r="F7240" t="str">
        <f t="shared" si="253"/>
        <v/>
      </c>
      <c r="G7240" t="str">
        <f t="shared" si="254"/>
        <v/>
      </c>
    </row>
    <row r="7241" spans="2:7" x14ac:dyDescent="0.25">
      <c r="B7241" s="6"/>
      <c r="C7241" s="7"/>
      <c r="D7241" s="7"/>
      <c r="E7241" s="8"/>
      <c r="F7241" t="str">
        <f t="shared" si="253"/>
        <v/>
      </c>
      <c r="G7241" t="str">
        <f t="shared" si="254"/>
        <v/>
      </c>
    </row>
    <row r="7242" spans="2:7" x14ac:dyDescent="0.25">
      <c r="B7242" s="6"/>
      <c r="C7242" s="7"/>
      <c r="D7242" s="7"/>
      <c r="E7242" s="8"/>
      <c r="F7242" t="str">
        <f t="shared" si="253"/>
        <v/>
      </c>
      <c r="G7242" t="str">
        <f t="shared" si="254"/>
        <v/>
      </c>
    </row>
    <row r="7243" spans="2:7" x14ac:dyDescent="0.25">
      <c r="B7243" s="6"/>
      <c r="C7243" s="7"/>
      <c r="D7243" s="7"/>
      <c r="E7243" s="8"/>
      <c r="F7243" t="str">
        <f t="shared" si="253"/>
        <v/>
      </c>
      <c r="G7243" t="str">
        <f t="shared" si="254"/>
        <v/>
      </c>
    </row>
    <row r="7244" spans="2:7" x14ac:dyDescent="0.25">
      <c r="B7244" s="6"/>
      <c r="C7244" s="7"/>
      <c r="D7244" s="7"/>
      <c r="E7244" s="8"/>
      <c r="F7244" t="str">
        <f t="shared" si="253"/>
        <v/>
      </c>
      <c r="G7244" t="str">
        <f t="shared" si="254"/>
        <v/>
      </c>
    </row>
    <row r="7245" spans="2:7" x14ac:dyDescent="0.25">
      <c r="B7245" s="6"/>
      <c r="C7245" s="7"/>
      <c r="D7245" s="7"/>
      <c r="E7245" s="8"/>
      <c r="F7245" t="str">
        <f t="shared" si="253"/>
        <v/>
      </c>
      <c r="G7245" t="str">
        <f t="shared" si="254"/>
        <v/>
      </c>
    </row>
    <row r="7246" spans="2:7" x14ac:dyDescent="0.25">
      <c r="B7246" s="6"/>
      <c r="C7246" s="7"/>
      <c r="D7246" s="7"/>
      <c r="E7246" s="8"/>
      <c r="F7246" t="str">
        <f t="shared" si="253"/>
        <v/>
      </c>
      <c r="G7246" t="str">
        <f t="shared" si="254"/>
        <v/>
      </c>
    </row>
    <row r="7247" spans="2:7" x14ac:dyDescent="0.25">
      <c r="B7247" s="6"/>
      <c r="C7247" s="7"/>
      <c r="D7247" s="7"/>
      <c r="E7247" s="8"/>
      <c r="F7247" t="str">
        <f t="shared" si="253"/>
        <v/>
      </c>
      <c r="G7247" t="str">
        <f t="shared" si="254"/>
        <v/>
      </c>
    </row>
    <row r="7248" spans="2:7" x14ac:dyDescent="0.25">
      <c r="B7248" s="6"/>
      <c r="C7248" s="7"/>
      <c r="D7248" s="7"/>
      <c r="E7248" s="8"/>
      <c r="F7248" t="str">
        <f t="shared" si="253"/>
        <v/>
      </c>
      <c r="G7248" t="str">
        <f t="shared" si="254"/>
        <v/>
      </c>
    </row>
    <row r="7249" spans="2:7" x14ac:dyDescent="0.25">
      <c r="B7249" s="6"/>
      <c r="C7249" s="7"/>
      <c r="D7249" s="7"/>
      <c r="E7249" s="8"/>
      <c r="F7249" t="str">
        <f t="shared" si="253"/>
        <v/>
      </c>
      <c r="G7249" t="str">
        <f t="shared" si="254"/>
        <v/>
      </c>
    </row>
    <row r="7250" spans="2:7" x14ac:dyDescent="0.25">
      <c r="B7250" s="6"/>
      <c r="C7250" s="7"/>
      <c r="D7250" s="7"/>
      <c r="E7250" s="8"/>
      <c r="F7250" t="str">
        <f t="shared" si="253"/>
        <v/>
      </c>
      <c r="G7250" t="str">
        <f t="shared" si="254"/>
        <v/>
      </c>
    </row>
    <row r="7251" spans="2:7" x14ac:dyDescent="0.25">
      <c r="B7251" s="6"/>
      <c r="C7251" s="7"/>
      <c r="D7251" s="7"/>
      <c r="E7251" s="8"/>
      <c r="F7251" t="str">
        <f t="shared" si="253"/>
        <v/>
      </c>
      <c r="G7251" t="str">
        <f t="shared" si="254"/>
        <v/>
      </c>
    </row>
    <row r="7252" spans="2:7" x14ac:dyDescent="0.25">
      <c r="B7252" s="6"/>
      <c r="C7252" s="7"/>
      <c r="D7252" s="7"/>
      <c r="E7252" s="8"/>
      <c r="F7252" t="str">
        <f t="shared" si="253"/>
        <v/>
      </c>
      <c r="G7252" t="str">
        <f t="shared" si="254"/>
        <v/>
      </c>
    </row>
    <row r="7253" spans="2:7" x14ac:dyDescent="0.25">
      <c r="B7253" s="6"/>
      <c r="C7253" s="7"/>
      <c r="D7253" s="7"/>
      <c r="E7253" s="8"/>
      <c r="F7253" t="str">
        <f t="shared" si="253"/>
        <v/>
      </c>
      <c r="G7253" t="str">
        <f t="shared" si="254"/>
        <v/>
      </c>
    </row>
    <row r="7254" spans="2:7" x14ac:dyDescent="0.25">
      <c r="B7254" s="6"/>
      <c r="C7254" s="7"/>
      <c r="D7254" s="7"/>
      <c r="E7254" s="8"/>
      <c r="F7254" t="str">
        <f t="shared" si="253"/>
        <v/>
      </c>
      <c r="G7254" t="str">
        <f t="shared" si="254"/>
        <v/>
      </c>
    </row>
    <row r="7255" spans="2:7" x14ac:dyDescent="0.25">
      <c r="B7255" s="6"/>
      <c r="C7255" s="7"/>
      <c r="D7255" s="7"/>
      <c r="E7255" s="8"/>
      <c r="F7255" t="str">
        <f t="shared" si="253"/>
        <v/>
      </c>
      <c r="G7255" t="str">
        <f t="shared" si="254"/>
        <v/>
      </c>
    </row>
    <row r="7256" spans="2:7" x14ac:dyDescent="0.25">
      <c r="B7256" s="6"/>
      <c r="C7256" s="7"/>
      <c r="D7256" s="7"/>
      <c r="E7256" s="8"/>
      <c r="F7256" t="str">
        <f t="shared" si="253"/>
        <v/>
      </c>
      <c r="G7256" t="str">
        <f t="shared" si="254"/>
        <v/>
      </c>
    </row>
    <row r="7257" spans="2:7" x14ac:dyDescent="0.25">
      <c r="B7257" s="6"/>
      <c r="C7257" s="7"/>
      <c r="D7257" s="7"/>
      <c r="E7257" s="8"/>
      <c r="F7257" t="str">
        <f t="shared" si="253"/>
        <v/>
      </c>
      <c r="G7257" t="str">
        <f t="shared" si="254"/>
        <v/>
      </c>
    </row>
    <row r="7258" spans="2:7" x14ac:dyDescent="0.25">
      <c r="B7258" s="6"/>
      <c r="C7258" s="7"/>
      <c r="D7258" s="7"/>
      <c r="E7258" s="8"/>
      <c r="F7258" t="str">
        <f t="shared" si="253"/>
        <v/>
      </c>
      <c r="G7258" t="str">
        <f t="shared" si="254"/>
        <v/>
      </c>
    </row>
    <row r="7259" spans="2:7" x14ac:dyDescent="0.25">
      <c r="B7259" s="6"/>
      <c r="C7259" s="7"/>
      <c r="D7259" s="7"/>
      <c r="E7259" s="8"/>
      <c r="F7259" t="str">
        <f t="shared" si="253"/>
        <v/>
      </c>
      <c r="G7259" t="str">
        <f t="shared" si="254"/>
        <v/>
      </c>
    </row>
    <row r="7260" spans="2:7" x14ac:dyDescent="0.25">
      <c r="B7260" s="6"/>
      <c r="C7260" s="7"/>
      <c r="D7260" s="7"/>
      <c r="E7260" s="8"/>
      <c r="F7260" t="str">
        <f t="shared" si="253"/>
        <v/>
      </c>
      <c r="G7260" t="str">
        <f t="shared" si="254"/>
        <v/>
      </c>
    </row>
    <row r="7261" spans="2:7" x14ac:dyDescent="0.25">
      <c r="B7261" s="6"/>
      <c r="C7261" s="7"/>
      <c r="D7261" s="7"/>
      <c r="E7261" s="8"/>
      <c r="F7261" t="str">
        <f t="shared" si="253"/>
        <v/>
      </c>
      <c r="G7261" t="str">
        <f t="shared" si="254"/>
        <v/>
      </c>
    </row>
    <row r="7262" spans="2:7" x14ac:dyDescent="0.25">
      <c r="B7262" s="6"/>
      <c r="C7262" s="7"/>
      <c r="D7262" s="7"/>
      <c r="E7262" s="8"/>
      <c r="F7262" t="str">
        <f t="shared" si="253"/>
        <v/>
      </c>
      <c r="G7262" t="str">
        <f t="shared" si="254"/>
        <v/>
      </c>
    </row>
    <row r="7263" spans="2:7" x14ac:dyDescent="0.25">
      <c r="B7263" s="6"/>
      <c r="C7263" s="7"/>
      <c r="D7263" s="7"/>
      <c r="E7263" s="8"/>
      <c r="F7263" t="str">
        <f t="shared" si="253"/>
        <v/>
      </c>
      <c r="G7263" t="str">
        <f t="shared" si="254"/>
        <v/>
      </c>
    </row>
    <row r="7264" spans="2:7" x14ac:dyDescent="0.25">
      <c r="B7264" s="6"/>
      <c r="C7264" s="7"/>
      <c r="D7264" s="7"/>
      <c r="E7264" s="8"/>
      <c r="F7264" t="str">
        <f t="shared" si="253"/>
        <v/>
      </c>
      <c r="G7264" t="str">
        <f t="shared" si="254"/>
        <v/>
      </c>
    </row>
    <row r="7265" spans="2:7" x14ac:dyDescent="0.25">
      <c r="B7265" s="6"/>
      <c r="C7265" s="7"/>
      <c r="D7265" s="7"/>
      <c r="E7265" s="8"/>
      <c r="F7265" t="str">
        <f t="shared" si="253"/>
        <v/>
      </c>
      <c r="G7265" t="str">
        <f t="shared" si="254"/>
        <v/>
      </c>
    </row>
    <row r="7266" spans="2:7" x14ac:dyDescent="0.25">
      <c r="B7266" s="6"/>
      <c r="C7266" s="7"/>
      <c r="D7266" s="7"/>
      <c r="E7266" s="8"/>
      <c r="F7266" t="str">
        <f t="shared" si="253"/>
        <v/>
      </c>
      <c r="G7266" t="str">
        <f t="shared" si="254"/>
        <v/>
      </c>
    </row>
    <row r="7267" spans="2:7" x14ac:dyDescent="0.25">
      <c r="B7267" s="6"/>
      <c r="C7267" s="7"/>
      <c r="D7267" s="7"/>
      <c r="E7267" s="8"/>
      <c r="F7267" t="str">
        <f t="shared" si="253"/>
        <v/>
      </c>
      <c r="G7267" t="str">
        <f t="shared" si="254"/>
        <v/>
      </c>
    </row>
    <row r="7268" spans="2:7" x14ac:dyDescent="0.25">
      <c r="B7268" s="6"/>
      <c r="C7268" s="7"/>
      <c r="D7268" s="7"/>
      <c r="E7268" s="8"/>
      <c r="F7268" t="str">
        <f t="shared" si="253"/>
        <v/>
      </c>
      <c r="G7268" t="str">
        <f t="shared" si="254"/>
        <v/>
      </c>
    </row>
    <row r="7269" spans="2:7" x14ac:dyDescent="0.25">
      <c r="B7269" s="6"/>
      <c r="C7269" s="7"/>
      <c r="D7269" s="7"/>
      <c r="E7269" s="8"/>
      <c r="F7269" t="str">
        <f t="shared" si="253"/>
        <v/>
      </c>
      <c r="G7269" t="str">
        <f t="shared" si="254"/>
        <v/>
      </c>
    </row>
    <row r="7270" spans="2:7" x14ac:dyDescent="0.25">
      <c r="B7270" s="6"/>
      <c r="C7270" s="7"/>
      <c r="D7270" s="7"/>
      <c r="E7270" s="8"/>
      <c r="F7270" t="str">
        <f t="shared" si="253"/>
        <v/>
      </c>
      <c r="G7270" t="str">
        <f t="shared" si="254"/>
        <v/>
      </c>
    </row>
    <row r="7271" spans="2:7" x14ac:dyDescent="0.25">
      <c r="B7271" s="6"/>
      <c r="C7271" s="7"/>
      <c r="D7271" s="7"/>
      <c r="E7271" s="8"/>
      <c r="F7271" t="str">
        <f t="shared" si="253"/>
        <v/>
      </c>
      <c r="G7271" t="str">
        <f t="shared" si="254"/>
        <v/>
      </c>
    </row>
    <row r="7272" spans="2:7" x14ac:dyDescent="0.25">
      <c r="B7272" s="6"/>
      <c r="C7272" s="7"/>
      <c r="D7272" s="7"/>
      <c r="E7272" s="8"/>
      <c r="F7272" t="str">
        <f t="shared" si="253"/>
        <v/>
      </c>
      <c r="G7272" t="str">
        <f t="shared" si="254"/>
        <v/>
      </c>
    </row>
    <row r="7273" spans="2:7" x14ac:dyDescent="0.25">
      <c r="B7273" s="6"/>
      <c r="C7273" s="7"/>
      <c r="D7273" s="7"/>
      <c r="E7273" s="8"/>
      <c r="F7273" t="str">
        <f t="shared" si="253"/>
        <v/>
      </c>
      <c r="G7273" t="str">
        <f t="shared" si="254"/>
        <v/>
      </c>
    </row>
    <row r="7274" spans="2:7" x14ac:dyDescent="0.25">
      <c r="B7274" s="6"/>
      <c r="C7274" s="7"/>
      <c r="D7274" s="7"/>
      <c r="E7274" s="8"/>
      <c r="F7274" t="str">
        <f t="shared" si="253"/>
        <v/>
      </c>
      <c r="G7274" t="str">
        <f t="shared" si="254"/>
        <v/>
      </c>
    </row>
    <row r="7275" spans="2:7" x14ac:dyDescent="0.25">
      <c r="B7275" s="6"/>
      <c r="C7275" s="7"/>
      <c r="D7275" s="7"/>
      <c r="E7275" s="8"/>
      <c r="F7275" t="str">
        <f t="shared" si="253"/>
        <v/>
      </c>
      <c r="G7275" t="str">
        <f t="shared" si="254"/>
        <v/>
      </c>
    </row>
    <row r="7276" spans="2:7" x14ac:dyDescent="0.25">
      <c r="B7276" s="6"/>
      <c r="C7276" s="7"/>
      <c r="D7276" s="7"/>
      <c r="E7276" s="8"/>
      <c r="F7276" t="str">
        <f t="shared" si="253"/>
        <v/>
      </c>
      <c r="G7276" t="str">
        <f t="shared" si="254"/>
        <v/>
      </c>
    </row>
    <row r="7277" spans="2:7" x14ac:dyDescent="0.25">
      <c r="B7277" s="6"/>
      <c r="C7277" s="7"/>
      <c r="D7277" s="7"/>
      <c r="E7277" s="8"/>
      <c r="F7277" t="str">
        <f t="shared" si="253"/>
        <v/>
      </c>
      <c r="G7277" t="str">
        <f t="shared" si="254"/>
        <v/>
      </c>
    </row>
    <row r="7278" spans="2:7" x14ac:dyDescent="0.25">
      <c r="B7278" s="6"/>
      <c r="C7278" s="7"/>
      <c r="D7278" s="7"/>
      <c r="E7278" s="8"/>
      <c r="F7278" t="str">
        <f t="shared" si="253"/>
        <v/>
      </c>
      <c r="G7278" t="str">
        <f t="shared" si="254"/>
        <v/>
      </c>
    </row>
    <row r="7279" spans="2:7" x14ac:dyDescent="0.25">
      <c r="B7279" s="6"/>
      <c r="C7279" s="7"/>
      <c r="D7279" s="7"/>
      <c r="E7279" s="8"/>
      <c r="F7279" t="str">
        <f t="shared" si="253"/>
        <v/>
      </c>
      <c r="G7279" t="str">
        <f t="shared" si="254"/>
        <v/>
      </c>
    </row>
    <row r="7280" spans="2:7" x14ac:dyDescent="0.25">
      <c r="B7280" s="6"/>
      <c r="C7280" s="7"/>
      <c r="D7280" s="7"/>
      <c r="E7280" s="8"/>
      <c r="F7280" t="str">
        <f t="shared" si="253"/>
        <v/>
      </c>
      <c r="G7280" t="str">
        <f t="shared" si="254"/>
        <v/>
      </c>
    </row>
    <row r="7281" spans="2:7" x14ac:dyDescent="0.25">
      <c r="B7281" s="6"/>
      <c r="C7281" s="7"/>
      <c r="D7281" s="7"/>
      <c r="E7281" s="8"/>
      <c r="F7281" t="str">
        <f t="shared" si="253"/>
        <v/>
      </c>
      <c r="G7281" t="str">
        <f t="shared" si="254"/>
        <v/>
      </c>
    </row>
    <row r="7282" spans="2:7" x14ac:dyDescent="0.25">
      <c r="B7282" s="6"/>
      <c r="C7282" s="7"/>
      <c r="D7282" s="7"/>
      <c r="E7282" s="8"/>
      <c r="F7282" t="str">
        <f t="shared" si="253"/>
        <v/>
      </c>
      <c r="G7282" t="str">
        <f t="shared" si="254"/>
        <v/>
      </c>
    </row>
    <row r="7283" spans="2:7" x14ac:dyDescent="0.25">
      <c r="B7283" s="6"/>
      <c r="C7283" s="7"/>
      <c r="D7283" s="7"/>
      <c r="E7283" s="8"/>
      <c r="F7283" t="str">
        <f t="shared" si="253"/>
        <v/>
      </c>
      <c r="G7283" t="str">
        <f t="shared" si="254"/>
        <v/>
      </c>
    </row>
    <row r="7284" spans="2:7" x14ac:dyDescent="0.25">
      <c r="B7284" s="6"/>
      <c r="C7284" s="7"/>
      <c r="D7284" s="7"/>
      <c r="E7284" s="8"/>
      <c r="F7284" t="str">
        <f t="shared" si="253"/>
        <v/>
      </c>
      <c r="G7284" t="str">
        <f t="shared" si="254"/>
        <v/>
      </c>
    </row>
    <row r="7285" spans="2:7" x14ac:dyDescent="0.25">
      <c r="B7285" s="6"/>
      <c r="C7285" s="7"/>
      <c r="D7285" s="7"/>
      <c r="E7285" s="8"/>
      <c r="F7285" t="str">
        <f t="shared" si="253"/>
        <v/>
      </c>
      <c r="G7285" t="str">
        <f t="shared" si="254"/>
        <v/>
      </c>
    </row>
    <row r="7286" spans="2:7" x14ac:dyDescent="0.25">
      <c r="B7286" s="6"/>
      <c r="C7286" s="7"/>
      <c r="D7286" s="7"/>
      <c r="E7286" s="8"/>
      <c r="F7286" t="str">
        <f t="shared" si="253"/>
        <v/>
      </c>
      <c r="G7286" t="str">
        <f t="shared" si="254"/>
        <v/>
      </c>
    </row>
    <row r="7287" spans="2:7" x14ac:dyDescent="0.25">
      <c r="B7287" s="6"/>
      <c r="C7287" s="7"/>
      <c r="D7287" s="7"/>
      <c r="E7287" s="8"/>
      <c r="F7287" t="str">
        <f t="shared" si="253"/>
        <v/>
      </c>
      <c r="G7287" t="str">
        <f t="shared" si="254"/>
        <v/>
      </c>
    </row>
    <row r="7288" spans="2:7" x14ac:dyDescent="0.25">
      <c r="B7288" s="6"/>
      <c r="C7288" s="7"/>
      <c r="D7288" s="7"/>
      <c r="E7288" s="8"/>
      <c r="F7288" t="str">
        <f t="shared" si="253"/>
        <v/>
      </c>
      <c r="G7288" t="str">
        <f t="shared" si="254"/>
        <v/>
      </c>
    </row>
    <row r="7289" spans="2:7" x14ac:dyDescent="0.25">
      <c r="B7289" s="6"/>
      <c r="C7289" s="7"/>
      <c r="D7289" s="7"/>
      <c r="E7289" s="8"/>
      <c r="F7289" t="str">
        <f t="shared" si="253"/>
        <v/>
      </c>
      <c r="G7289" t="str">
        <f t="shared" si="254"/>
        <v/>
      </c>
    </row>
    <row r="7290" spans="2:7" x14ac:dyDescent="0.25">
      <c r="B7290" s="6"/>
      <c r="C7290" s="7"/>
      <c r="D7290" s="7"/>
      <c r="E7290" s="8"/>
      <c r="F7290" t="str">
        <f t="shared" si="253"/>
        <v/>
      </c>
      <c r="G7290" t="str">
        <f t="shared" si="254"/>
        <v/>
      </c>
    </row>
    <row r="7291" spans="2:7" x14ac:dyDescent="0.25">
      <c r="B7291" s="6"/>
      <c r="C7291" s="7"/>
      <c r="D7291" s="7"/>
      <c r="E7291" s="8"/>
      <c r="F7291" t="str">
        <f t="shared" si="253"/>
        <v/>
      </c>
      <c r="G7291" t="str">
        <f t="shared" si="254"/>
        <v/>
      </c>
    </row>
    <row r="7292" spans="2:7" x14ac:dyDescent="0.25">
      <c r="B7292" s="6"/>
      <c r="C7292" s="7"/>
      <c r="D7292" s="7"/>
      <c r="E7292" s="8"/>
      <c r="F7292" t="str">
        <f t="shared" si="253"/>
        <v/>
      </c>
      <c r="G7292" t="str">
        <f t="shared" si="254"/>
        <v/>
      </c>
    </row>
    <row r="7293" spans="2:7" x14ac:dyDescent="0.25">
      <c r="B7293" s="6"/>
      <c r="C7293" s="7"/>
      <c r="D7293" s="7"/>
      <c r="E7293" s="8"/>
      <c r="F7293" t="str">
        <f t="shared" si="253"/>
        <v/>
      </c>
      <c r="G7293" t="str">
        <f t="shared" si="254"/>
        <v/>
      </c>
    </row>
    <row r="7294" spans="2:7" x14ac:dyDescent="0.25">
      <c r="B7294" s="6"/>
      <c r="C7294" s="7"/>
      <c r="D7294" s="7"/>
      <c r="E7294" s="8"/>
      <c r="F7294" t="str">
        <f t="shared" si="253"/>
        <v/>
      </c>
      <c r="G7294" t="str">
        <f t="shared" si="254"/>
        <v/>
      </c>
    </row>
    <row r="7295" spans="2:7" x14ac:dyDescent="0.25">
      <c r="B7295" s="6"/>
      <c r="C7295" s="7"/>
      <c r="D7295" s="7"/>
      <c r="E7295" s="8"/>
      <c r="F7295" t="str">
        <f t="shared" si="253"/>
        <v/>
      </c>
      <c r="G7295" t="str">
        <f t="shared" si="254"/>
        <v/>
      </c>
    </row>
    <row r="7296" spans="2:7" x14ac:dyDescent="0.25">
      <c r="B7296" s="6"/>
      <c r="C7296" s="7"/>
      <c r="D7296" s="7"/>
      <c r="E7296" s="8"/>
      <c r="F7296" t="str">
        <f t="shared" si="253"/>
        <v/>
      </c>
      <c r="G7296" t="str">
        <f t="shared" si="254"/>
        <v/>
      </c>
    </row>
    <row r="7297" spans="2:7" x14ac:dyDescent="0.25">
      <c r="B7297" s="6"/>
      <c r="C7297" s="7"/>
      <c r="D7297" s="7"/>
      <c r="E7297" s="8"/>
      <c r="F7297" t="str">
        <f t="shared" si="253"/>
        <v/>
      </c>
      <c r="G7297" t="str">
        <f t="shared" si="254"/>
        <v/>
      </c>
    </row>
    <row r="7298" spans="2:7" x14ac:dyDescent="0.25">
      <c r="B7298" s="6"/>
      <c r="C7298" s="7"/>
      <c r="D7298" s="7"/>
      <c r="E7298" s="8"/>
      <c r="F7298" t="str">
        <f t="shared" si="253"/>
        <v/>
      </c>
      <c r="G7298" t="str">
        <f t="shared" si="254"/>
        <v/>
      </c>
    </row>
    <row r="7299" spans="2:7" x14ac:dyDescent="0.25">
      <c r="B7299" s="6"/>
      <c r="C7299" s="7"/>
      <c r="D7299" s="7"/>
      <c r="E7299" s="8"/>
      <c r="F7299" t="str">
        <f t="shared" si="253"/>
        <v/>
      </c>
      <c r="G7299" t="str">
        <f t="shared" si="254"/>
        <v/>
      </c>
    </row>
    <row r="7300" spans="2:7" x14ac:dyDescent="0.25">
      <c r="B7300" s="6"/>
      <c r="C7300" s="7"/>
      <c r="D7300" s="7"/>
      <c r="E7300" s="8"/>
      <c r="F7300" t="str">
        <f t="shared" ref="F7300:F7363" si="255">IF(B7300="","",LOG10(D7300))</f>
        <v/>
      </c>
      <c r="G7300" t="str">
        <f t="shared" ref="G7300:G7363" si="256">IF(E7300="", "",0.434*E7300/D7300)</f>
        <v/>
      </c>
    </row>
    <row r="7301" spans="2:7" x14ac:dyDescent="0.25">
      <c r="B7301" s="6"/>
      <c r="C7301" s="7"/>
      <c r="D7301" s="7"/>
      <c r="E7301" s="8"/>
      <c r="F7301" t="str">
        <f t="shared" si="255"/>
        <v/>
      </c>
      <c r="G7301" t="str">
        <f t="shared" si="256"/>
        <v/>
      </c>
    </row>
    <row r="7302" spans="2:7" x14ac:dyDescent="0.25">
      <c r="B7302" s="6"/>
      <c r="C7302" s="7"/>
      <c r="D7302" s="7"/>
      <c r="E7302" s="8"/>
      <c r="F7302" t="str">
        <f t="shared" si="255"/>
        <v/>
      </c>
      <c r="G7302" t="str">
        <f t="shared" si="256"/>
        <v/>
      </c>
    </row>
    <row r="7303" spans="2:7" x14ac:dyDescent="0.25">
      <c r="B7303" s="6"/>
      <c r="C7303" s="7"/>
      <c r="D7303" s="7"/>
      <c r="E7303" s="8"/>
      <c r="F7303" t="str">
        <f t="shared" si="255"/>
        <v/>
      </c>
      <c r="G7303" t="str">
        <f t="shared" si="256"/>
        <v/>
      </c>
    </row>
    <row r="7304" spans="2:7" x14ac:dyDescent="0.25">
      <c r="B7304" s="6"/>
      <c r="C7304" s="7"/>
      <c r="D7304" s="7"/>
      <c r="E7304" s="8"/>
      <c r="F7304" t="str">
        <f t="shared" si="255"/>
        <v/>
      </c>
      <c r="G7304" t="str">
        <f t="shared" si="256"/>
        <v/>
      </c>
    </row>
    <row r="7305" spans="2:7" x14ac:dyDescent="0.25">
      <c r="B7305" s="6"/>
      <c r="C7305" s="7"/>
      <c r="D7305" s="7"/>
      <c r="E7305" s="8"/>
      <c r="F7305" t="str">
        <f t="shared" si="255"/>
        <v/>
      </c>
      <c r="G7305" t="str">
        <f t="shared" si="256"/>
        <v/>
      </c>
    </row>
    <row r="7306" spans="2:7" x14ac:dyDescent="0.25">
      <c r="B7306" s="6"/>
      <c r="C7306" s="7"/>
      <c r="D7306" s="7"/>
      <c r="E7306" s="8"/>
      <c r="F7306" t="str">
        <f t="shared" si="255"/>
        <v/>
      </c>
      <c r="G7306" t="str">
        <f t="shared" si="256"/>
        <v/>
      </c>
    </row>
    <row r="7307" spans="2:7" x14ac:dyDescent="0.25">
      <c r="B7307" s="6"/>
      <c r="C7307" s="7"/>
      <c r="D7307" s="7"/>
      <c r="E7307" s="8"/>
      <c r="F7307" t="str">
        <f t="shared" si="255"/>
        <v/>
      </c>
      <c r="G7307" t="str">
        <f t="shared" si="256"/>
        <v/>
      </c>
    </row>
    <row r="7308" spans="2:7" x14ac:dyDescent="0.25">
      <c r="B7308" s="6"/>
      <c r="C7308" s="7"/>
      <c r="D7308" s="7"/>
      <c r="E7308" s="8"/>
      <c r="F7308" t="str">
        <f t="shared" si="255"/>
        <v/>
      </c>
      <c r="G7308" t="str">
        <f t="shared" si="256"/>
        <v/>
      </c>
    </row>
    <row r="7309" spans="2:7" x14ac:dyDescent="0.25">
      <c r="B7309" s="6"/>
      <c r="C7309" s="7"/>
      <c r="D7309" s="7"/>
      <c r="E7309" s="8"/>
      <c r="F7309" t="str">
        <f t="shared" si="255"/>
        <v/>
      </c>
      <c r="G7309" t="str">
        <f t="shared" si="256"/>
        <v/>
      </c>
    </row>
    <row r="7310" spans="2:7" x14ac:dyDescent="0.25">
      <c r="B7310" s="6"/>
      <c r="C7310" s="7"/>
      <c r="D7310" s="7"/>
      <c r="E7310" s="8"/>
      <c r="F7310" t="str">
        <f t="shared" si="255"/>
        <v/>
      </c>
      <c r="G7310" t="str">
        <f t="shared" si="256"/>
        <v/>
      </c>
    </row>
    <row r="7311" spans="2:7" x14ac:dyDescent="0.25">
      <c r="B7311" s="6"/>
      <c r="C7311" s="7"/>
      <c r="D7311" s="7"/>
      <c r="E7311" s="8"/>
      <c r="F7311" t="str">
        <f t="shared" si="255"/>
        <v/>
      </c>
      <c r="G7311" t="str">
        <f t="shared" si="256"/>
        <v/>
      </c>
    </row>
    <row r="7312" spans="2:7" x14ac:dyDescent="0.25">
      <c r="B7312" s="6"/>
      <c r="C7312" s="7"/>
      <c r="D7312" s="7"/>
      <c r="E7312" s="8"/>
      <c r="F7312" t="str">
        <f t="shared" si="255"/>
        <v/>
      </c>
      <c r="G7312" t="str">
        <f t="shared" si="256"/>
        <v/>
      </c>
    </row>
    <row r="7313" spans="2:7" x14ac:dyDescent="0.25">
      <c r="B7313" s="6"/>
      <c r="C7313" s="7"/>
      <c r="D7313" s="7"/>
      <c r="E7313" s="8"/>
      <c r="F7313" t="str">
        <f t="shared" si="255"/>
        <v/>
      </c>
      <c r="G7313" t="str">
        <f t="shared" si="256"/>
        <v/>
      </c>
    </row>
    <row r="7314" spans="2:7" x14ac:dyDescent="0.25">
      <c r="B7314" s="6"/>
      <c r="C7314" s="7"/>
      <c r="D7314" s="7"/>
      <c r="E7314" s="8"/>
      <c r="F7314" t="str">
        <f t="shared" si="255"/>
        <v/>
      </c>
      <c r="G7314" t="str">
        <f t="shared" si="256"/>
        <v/>
      </c>
    </row>
    <row r="7315" spans="2:7" x14ac:dyDescent="0.25">
      <c r="B7315" s="6"/>
      <c r="C7315" s="7"/>
      <c r="D7315" s="7"/>
      <c r="E7315" s="8"/>
      <c r="F7315" t="str">
        <f t="shared" si="255"/>
        <v/>
      </c>
      <c r="G7315" t="str">
        <f t="shared" si="256"/>
        <v/>
      </c>
    </row>
    <row r="7316" spans="2:7" x14ac:dyDescent="0.25">
      <c r="B7316" s="6"/>
      <c r="C7316" s="7"/>
      <c r="D7316" s="7"/>
      <c r="E7316" s="8"/>
      <c r="F7316" t="str">
        <f t="shared" si="255"/>
        <v/>
      </c>
      <c r="G7316" t="str">
        <f t="shared" si="256"/>
        <v/>
      </c>
    </row>
    <row r="7317" spans="2:7" x14ac:dyDescent="0.25">
      <c r="B7317" s="6"/>
      <c r="C7317" s="7"/>
      <c r="D7317" s="7"/>
      <c r="E7317" s="8"/>
      <c r="F7317" t="str">
        <f t="shared" si="255"/>
        <v/>
      </c>
      <c r="G7317" t="str">
        <f t="shared" si="256"/>
        <v/>
      </c>
    </row>
    <row r="7318" spans="2:7" x14ac:dyDescent="0.25">
      <c r="B7318" s="6"/>
      <c r="C7318" s="7"/>
      <c r="D7318" s="7"/>
      <c r="E7318" s="8"/>
      <c r="F7318" t="str">
        <f t="shared" si="255"/>
        <v/>
      </c>
      <c r="G7318" t="str">
        <f t="shared" si="256"/>
        <v/>
      </c>
    </row>
    <row r="7319" spans="2:7" x14ac:dyDescent="0.25">
      <c r="B7319" s="6"/>
      <c r="C7319" s="7"/>
      <c r="D7319" s="7"/>
      <c r="E7319" s="8"/>
      <c r="F7319" t="str">
        <f t="shared" si="255"/>
        <v/>
      </c>
      <c r="G7319" t="str">
        <f t="shared" si="256"/>
        <v/>
      </c>
    </row>
    <row r="7320" spans="2:7" x14ac:dyDescent="0.25">
      <c r="B7320" s="6"/>
      <c r="C7320" s="7"/>
      <c r="D7320" s="7"/>
      <c r="E7320" s="8"/>
      <c r="F7320" t="str">
        <f t="shared" si="255"/>
        <v/>
      </c>
      <c r="G7320" t="str">
        <f t="shared" si="256"/>
        <v/>
      </c>
    </row>
    <row r="7321" spans="2:7" x14ac:dyDescent="0.25">
      <c r="B7321" s="6"/>
      <c r="C7321" s="7"/>
      <c r="D7321" s="7"/>
      <c r="E7321" s="8"/>
      <c r="F7321" t="str">
        <f t="shared" si="255"/>
        <v/>
      </c>
      <c r="G7321" t="str">
        <f t="shared" si="256"/>
        <v/>
      </c>
    </row>
    <row r="7322" spans="2:7" x14ac:dyDescent="0.25">
      <c r="B7322" s="6"/>
      <c r="C7322" s="7"/>
      <c r="D7322" s="7"/>
      <c r="E7322" s="8"/>
      <c r="F7322" t="str">
        <f t="shared" si="255"/>
        <v/>
      </c>
      <c r="G7322" t="str">
        <f t="shared" si="256"/>
        <v/>
      </c>
    </row>
    <row r="7323" spans="2:7" x14ac:dyDescent="0.25">
      <c r="B7323" s="6"/>
      <c r="C7323" s="7"/>
      <c r="D7323" s="7"/>
      <c r="E7323" s="8"/>
      <c r="F7323" t="str">
        <f t="shared" si="255"/>
        <v/>
      </c>
      <c r="G7323" t="str">
        <f t="shared" si="256"/>
        <v/>
      </c>
    </row>
    <row r="7324" spans="2:7" x14ac:dyDescent="0.25">
      <c r="B7324" s="6"/>
      <c r="C7324" s="7"/>
      <c r="D7324" s="7"/>
      <c r="E7324" s="8"/>
      <c r="F7324" t="str">
        <f t="shared" si="255"/>
        <v/>
      </c>
      <c r="G7324" t="str">
        <f t="shared" si="256"/>
        <v/>
      </c>
    </row>
    <row r="7325" spans="2:7" x14ac:dyDescent="0.25">
      <c r="B7325" s="6"/>
      <c r="C7325" s="7"/>
      <c r="D7325" s="7"/>
      <c r="E7325" s="8"/>
      <c r="F7325" t="str">
        <f t="shared" si="255"/>
        <v/>
      </c>
      <c r="G7325" t="str">
        <f t="shared" si="256"/>
        <v/>
      </c>
    </row>
    <row r="7326" spans="2:7" x14ac:dyDescent="0.25">
      <c r="B7326" s="6"/>
      <c r="C7326" s="7"/>
      <c r="D7326" s="7"/>
      <c r="E7326" s="8"/>
      <c r="F7326" t="str">
        <f t="shared" si="255"/>
        <v/>
      </c>
      <c r="G7326" t="str">
        <f t="shared" si="256"/>
        <v/>
      </c>
    </row>
    <row r="7327" spans="2:7" x14ac:dyDescent="0.25">
      <c r="B7327" s="6"/>
      <c r="C7327" s="7"/>
      <c r="D7327" s="7"/>
      <c r="E7327" s="8"/>
      <c r="F7327" t="str">
        <f t="shared" si="255"/>
        <v/>
      </c>
      <c r="G7327" t="str">
        <f t="shared" si="256"/>
        <v/>
      </c>
    </row>
    <row r="7328" spans="2:7" x14ac:dyDescent="0.25">
      <c r="B7328" s="6"/>
      <c r="C7328" s="7"/>
      <c r="D7328" s="7"/>
      <c r="E7328" s="8"/>
      <c r="F7328" t="str">
        <f t="shared" si="255"/>
        <v/>
      </c>
      <c r="G7328" t="str">
        <f t="shared" si="256"/>
        <v/>
      </c>
    </row>
    <row r="7329" spans="2:7" x14ac:dyDescent="0.25">
      <c r="B7329" s="6"/>
      <c r="C7329" s="7"/>
      <c r="D7329" s="7"/>
      <c r="E7329" s="8"/>
      <c r="F7329" t="str">
        <f t="shared" si="255"/>
        <v/>
      </c>
      <c r="G7329" t="str">
        <f t="shared" si="256"/>
        <v/>
      </c>
    </row>
    <row r="7330" spans="2:7" x14ac:dyDescent="0.25">
      <c r="B7330" s="6"/>
      <c r="C7330" s="7"/>
      <c r="D7330" s="7"/>
      <c r="E7330" s="8"/>
      <c r="F7330" t="str">
        <f t="shared" si="255"/>
        <v/>
      </c>
      <c r="G7330" t="str">
        <f t="shared" si="256"/>
        <v/>
      </c>
    </row>
    <row r="7331" spans="2:7" x14ac:dyDescent="0.25">
      <c r="B7331" s="6"/>
      <c r="C7331" s="7"/>
      <c r="D7331" s="7"/>
      <c r="E7331" s="8"/>
      <c r="F7331" t="str">
        <f t="shared" si="255"/>
        <v/>
      </c>
      <c r="G7331" t="str">
        <f t="shared" si="256"/>
        <v/>
      </c>
    </row>
    <row r="7332" spans="2:7" x14ac:dyDescent="0.25">
      <c r="B7332" s="6"/>
      <c r="C7332" s="7"/>
      <c r="D7332" s="7"/>
      <c r="E7332" s="8"/>
      <c r="F7332" t="str">
        <f t="shared" si="255"/>
        <v/>
      </c>
      <c r="G7332" t="str">
        <f t="shared" si="256"/>
        <v/>
      </c>
    </row>
    <row r="7333" spans="2:7" x14ac:dyDescent="0.25">
      <c r="B7333" s="6"/>
      <c r="C7333" s="7"/>
      <c r="D7333" s="7"/>
      <c r="E7333" s="8"/>
      <c r="F7333" t="str">
        <f t="shared" si="255"/>
        <v/>
      </c>
      <c r="G7333" t="str">
        <f t="shared" si="256"/>
        <v/>
      </c>
    </row>
    <row r="7334" spans="2:7" x14ac:dyDescent="0.25">
      <c r="B7334" s="6"/>
      <c r="C7334" s="7"/>
      <c r="D7334" s="7"/>
      <c r="E7334" s="8"/>
      <c r="F7334" t="str">
        <f t="shared" si="255"/>
        <v/>
      </c>
      <c r="G7334" t="str">
        <f t="shared" si="256"/>
        <v/>
      </c>
    </row>
    <row r="7335" spans="2:7" x14ac:dyDescent="0.25">
      <c r="B7335" s="6"/>
      <c r="C7335" s="7"/>
      <c r="D7335" s="7"/>
      <c r="E7335" s="8"/>
      <c r="F7335" t="str">
        <f t="shared" si="255"/>
        <v/>
      </c>
      <c r="G7335" t="str">
        <f t="shared" si="256"/>
        <v/>
      </c>
    </row>
    <row r="7336" spans="2:7" x14ac:dyDescent="0.25">
      <c r="B7336" s="6"/>
      <c r="C7336" s="7"/>
      <c r="D7336" s="7"/>
      <c r="E7336" s="8"/>
      <c r="F7336" t="str">
        <f t="shared" si="255"/>
        <v/>
      </c>
      <c r="G7336" t="str">
        <f t="shared" si="256"/>
        <v/>
      </c>
    </row>
    <row r="7337" spans="2:7" x14ac:dyDescent="0.25">
      <c r="B7337" s="6"/>
      <c r="C7337" s="7"/>
      <c r="D7337" s="7"/>
      <c r="E7337" s="8"/>
      <c r="F7337" t="str">
        <f t="shared" si="255"/>
        <v/>
      </c>
      <c r="G7337" t="str">
        <f t="shared" si="256"/>
        <v/>
      </c>
    </row>
    <row r="7338" spans="2:7" x14ac:dyDescent="0.25">
      <c r="B7338" s="6"/>
      <c r="C7338" s="7"/>
      <c r="D7338" s="7"/>
      <c r="E7338" s="8"/>
      <c r="F7338" t="str">
        <f t="shared" si="255"/>
        <v/>
      </c>
      <c r="G7338" t="str">
        <f t="shared" si="256"/>
        <v/>
      </c>
    </row>
    <row r="7339" spans="2:7" x14ac:dyDescent="0.25">
      <c r="B7339" s="6"/>
      <c r="C7339" s="7"/>
      <c r="D7339" s="7"/>
      <c r="E7339" s="8"/>
      <c r="F7339" t="str">
        <f t="shared" si="255"/>
        <v/>
      </c>
      <c r="G7339" t="str">
        <f t="shared" si="256"/>
        <v/>
      </c>
    </row>
    <row r="7340" spans="2:7" x14ac:dyDescent="0.25">
      <c r="B7340" s="6"/>
      <c r="C7340" s="7"/>
      <c r="D7340" s="7"/>
      <c r="E7340" s="8"/>
      <c r="F7340" t="str">
        <f t="shared" si="255"/>
        <v/>
      </c>
      <c r="G7340" t="str">
        <f t="shared" si="256"/>
        <v/>
      </c>
    </row>
    <row r="7341" spans="2:7" x14ac:dyDescent="0.25">
      <c r="B7341" s="6"/>
      <c r="C7341" s="7"/>
      <c r="D7341" s="7"/>
      <c r="E7341" s="8"/>
      <c r="F7341" t="str">
        <f t="shared" si="255"/>
        <v/>
      </c>
      <c r="G7341" t="str">
        <f t="shared" si="256"/>
        <v/>
      </c>
    </row>
    <row r="7342" spans="2:7" x14ac:dyDescent="0.25">
      <c r="B7342" s="6"/>
      <c r="C7342" s="7"/>
      <c r="D7342" s="7"/>
      <c r="E7342" s="8"/>
      <c r="F7342" t="str">
        <f t="shared" si="255"/>
        <v/>
      </c>
      <c r="G7342" t="str">
        <f t="shared" si="256"/>
        <v/>
      </c>
    </row>
    <row r="7343" spans="2:7" x14ac:dyDescent="0.25">
      <c r="B7343" s="6"/>
      <c r="C7343" s="7"/>
      <c r="D7343" s="7"/>
      <c r="E7343" s="8"/>
      <c r="F7343" t="str">
        <f t="shared" si="255"/>
        <v/>
      </c>
      <c r="G7343" t="str">
        <f t="shared" si="256"/>
        <v/>
      </c>
    </row>
    <row r="7344" spans="2:7" x14ac:dyDescent="0.25">
      <c r="B7344" s="6"/>
      <c r="C7344" s="7"/>
      <c r="D7344" s="7"/>
      <c r="E7344" s="8"/>
      <c r="F7344" t="str">
        <f t="shared" si="255"/>
        <v/>
      </c>
      <c r="G7344" t="str">
        <f t="shared" si="256"/>
        <v/>
      </c>
    </row>
    <row r="7345" spans="2:7" x14ac:dyDescent="0.25">
      <c r="B7345" s="6"/>
      <c r="C7345" s="7"/>
      <c r="D7345" s="7"/>
      <c r="E7345" s="8"/>
      <c r="F7345" t="str">
        <f t="shared" si="255"/>
        <v/>
      </c>
      <c r="G7345" t="str">
        <f t="shared" si="256"/>
        <v/>
      </c>
    </row>
    <row r="7346" spans="2:7" x14ac:dyDescent="0.25">
      <c r="B7346" s="6"/>
      <c r="C7346" s="7"/>
      <c r="D7346" s="7"/>
      <c r="E7346" s="8"/>
      <c r="F7346" t="str">
        <f t="shared" si="255"/>
        <v/>
      </c>
      <c r="G7346" t="str">
        <f t="shared" si="256"/>
        <v/>
      </c>
    </row>
    <row r="7347" spans="2:7" x14ac:dyDescent="0.25">
      <c r="B7347" s="6"/>
      <c r="C7347" s="7"/>
      <c r="D7347" s="7"/>
      <c r="E7347" s="8"/>
      <c r="F7347" t="str">
        <f t="shared" si="255"/>
        <v/>
      </c>
      <c r="G7347" t="str">
        <f t="shared" si="256"/>
        <v/>
      </c>
    </row>
    <row r="7348" spans="2:7" x14ac:dyDescent="0.25">
      <c r="B7348" s="6"/>
      <c r="C7348" s="7"/>
      <c r="D7348" s="7"/>
      <c r="E7348" s="8"/>
      <c r="F7348" t="str">
        <f t="shared" si="255"/>
        <v/>
      </c>
      <c r="G7348" t="str">
        <f t="shared" si="256"/>
        <v/>
      </c>
    </row>
    <row r="7349" spans="2:7" x14ac:dyDescent="0.25">
      <c r="B7349" s="6"/>
      <c r="C7349" s="7"/>
      <c r="D7349" s="7"/>
      <c r="E7349" s="8"/>
      <c r="F7349" t="str">
        <f t="shared" si="255"/>
        <v/>
      </c>
      <c r="G7349" t="str">
        <f t="shared" si="256"/>
        <v/>
      </c>
    </row>
    <row r="7350" spans="2:7" x14ac:dyDescent="0.25">
      <c r="B7350" s="6"/>
      <c r="C7350" s="7"/>
      <c r="D7350" s="7"/>
      <c r="E7350" s="8"/>
      <c r="F7350" t="str">
        <f t="shared" si="255"/>
        <v/>
      </c>
      <c r="G7350" t="str">
        <f t="shared" si="256"/>
        <v/>
      </c>
    </row>
    <row r="7351" spans="2:7" x14ac:dyDescent="0.25">
      <c r="B7351" s="6"/>
      <c r="C7351" s="7"/>
      <c r="D7351" s="7"/>
      <c r="E7351" s="8"/>
      <c r="F7351" t="str">
        <f t="shared" si="255"/>
        <v/>
      </c>
      <c r="G7351" t="str">
        <f t="shared" si="256"/>
        <v/>
      </c>
    </row>
    <row r="7352" spans="2:7" x14ac:dyDescent="0.25">
      <c r="B7352" s="6"/>
      <c r="C7352" s="7"/>
      <c r="D7352" s="7"/>
      <c r="E7352" s="8"/>
      <c r="F7352" t="str">
        <f t="shared" si="255"/>
        <v/>
      </c>
      <c r="G7352" t="str">
        <f t="shared" si="256"/>
        <v/>
      </c>
    </row>
    <row r="7353" spans="2:7" x14ac:dyDescent="0.25">
      <c r="B7353" s="6"/>
      <c r="C7353" s="7"/>
      <c r="D7353" s="7"/>
      <c r="E7353" s="8"/>
      <c r="F7353" t="str">
        <f t="shared" si="255"/>
        <v/>
      </c>
      <c r="G7353" t="str">
        <f t="shared" si="256"/>
        <v/>
      </c>
    </row>
    <row r="7354" spans="2:7" x14ac:dyDescent="0.25">
      <c r="B7354" s="6"/>
      <c r="C7354" s="7"/>
      <c r="D7354" s="7"/>
      <c r="E7354" s="8"/>
      <c r="F7354" t="str">
        <f t="shared" si="255"/>
        <v/>
      </c>
      <c r="G7354" t="str">
        <f t="shared" si="256"/>
        <v/>
      </c>
    </row>
    <row r="7355" spans="2:7" x14ac:dyDescent="0.25">
      <c r="B7355" s="6"/>
      <c r="C7355" s="7"/>
      <c r="D7355" s="7"/>
      <c r="E7355" s="8"/>
      <c r="F7355" t="str">
        <f t="shared" si="255"/>
        <v/>
      </c>
      <c r="G7355" t="str">
        <f t="shared" si="256"/>
        <v/>
      </c>
    </row>
    <row r="7356" spans="2:7" x14ac:dyDescent="0.25">
      <c r="B7356" s="6"/>
      <c r="C7356" s="7"/>
      <c r="D7356" s="7"/>
      <c r="E7356" s="8"/>
      <c r="F7356" t="str">
        <f t="shared" si="255"/>
        <v/>
      </c>
      <c r="G7356" t="str">
        <f t="shared" si="256"/>
        <v/>
      </c>
    </row>
    <row r="7357" spans="2:7" x14ac:dyDescent="0.25">
      <c r="B7357" s="6"/>
      <c r="C7357" s="7"/>
      <c r="D7357" s="7"/>
      <c r="E7357" s="8"/>
      <c r="F7357" t="str">
        <f t="shared" si="255"/>
        <v/>
      </c>
      <c r="G7357" t="str">
        <f t="shared" si="256"/>
        <v/>
      </c>
    </row>
    <row r="7358" spans="2:7" x14ac:dyDescent="0.25">
      <c r="B7358" s="6"/>
      <c r="C7358" s="7"/>
      <c r="D7358" s="7"/>
      <c r="E7358" s="8"/>
      <c r="F7358" t="str">
        <f t="shared" si="255"/>
        <v/>
      </c>
      <c r="G7358" t="str">
        <f t="shared" si="256"/>
        <v/>
      </c>
    </row>
    <row r="7359" spans="2:7" x14ac:dyDescent="0.25">
      <c r="B7359" s="6"/>
      <c r="C7359" s="7"/>
      <c r="D7359" s="7"/>
      <c r="E7359" s="8"/>
      <c r="F7359" t="str">
        <f t="shared" si="255"/>
        <v/>
      </c>
      <c r="G7359" t="str">
        <f t="shared" si="256"/>
        <v/>
      </c>
    </row>
    <row r="7360" spans="2:7" x14ac:dyDescent="0.25">
      <c r="B7360" s="6"/>
      <c r="C7360" s="7"/>
      <c r="D7360" s="7"/>
      <c r="E7360" s="8"/>
      <c r="F7360" t="str">
        <f t="shared" si="255"/>
        <v/>
      </c>
      <c r="G7360" t="str">
        <f t="shared" si="256"/>
        <v/>
      </c>
    </row>
    <row r="7361" spans="2:7" x14ac:dyDescent="0.25">
      <c r="B7361" s="6"/>
      <c r="C7361" s="7"/>
      <c r="D7361" s="7"/>
      <c r="E7361" s="8"/>
      <c r="F7361" t="str">
        <f t="shared" si="255"/>
        <v/>
      </c>
      <c r="G7361" t="str">
        <f t="shared" si="256"/>
        <v/>
      </c>
    </row>
    <row r="7362" spans="2:7" x14ac:dyDescent="0.25">
      <c r="B7362" s="6"/>
      <c r="C7362" s="7"/>
      <c r="D7362" s="7"/>
      <c r="E7362" s="8"/>
      <c r="F7362" t="str">
        <f t="shared" si="255"/>
        <v/>
      </c>
      <c r="G7362" t="str">
        <f t="shared" si="256"/>
        <v/>
      </c>
    </row>
    <row r="7363" spans="2:7" x14ac:dyDescent="0.25">
      <c r="B7363" s="6"/>
      <c r="C7363" s="7"/>
      <c r="D7363" s="7"/>
      <c r="E7363" s="8"/>
      <c r="F7363" t="str">
        <f t="shared" si="255"/>
        <v/>
      </c>
      <c r="G7363" t="str">
        <f t="shared" si="256"/>
        <v/>
      </c>
    </row>
    <row r="7364" spans="2:7" x14ac:dyDescent="0.25">
      <c r="B7364" s="6"/>
      <c r="C7364" s="7"/>
      <c r="D7364" s="7"/>
      <c r="E7364" s="8"/>
      <c r="F7364" t="str">
        <f t="shared" ref="F7364:F7427" si="257">IF(B7364="","",LOG10(D7364))</f>
        <v/>
      </c>
      <c r="G7364" t="str">
        <f t="shared" ref="G7364:G7427" si="258">IF(E7364="", "",0.434*E7364/D7364)</f>
        <v/>
      </c>
    </row>
    <row r="7365" spans="2:7" x14ac:dyDescent="0.25">
      <c r="B7365" s="6"/>
      <c r="C7365" s="7"/>
      <c r="D7365" s="7"/>
      <c r="E7365" s="8"/>
      <c r="F7365" t="str">
        <f t="shared" si="257"/>
        <v/>
      </c>
      <c r="G7365" t="str">
        <f t="shared" si="258"/>
        <v/>
      </c>
    </row>
    <row r="7366" spans="2:7" x14ac:dyDescent="0.25">
      <c r="B7366" s="6"/>
      <c r="C7366" s="7"/>
      <c r="D7366" s="7"/>
      <c r="E7366" s="8"/>
      <c r="F7366" t="str">
        <f t="shared" si="257"/>
        <v/>
      </c>
      <c r="G7366" t="str">
        <f t="shared" si="258"/>
        <v/>
      </c>
    </row>
    <row r="7367" spans="2:7" x14ac:dyDescent="0.25">
      <c r="B7367" s="6"/>
      <c r="C7367" s="7"/>
      <c r="D7367" s="7"/>
      <c r="E7367" s="8"/>
      <c r="F7367" t="str">
        <f t="shared" si="257"/>
        <v/>
      </c>
      <c r="G7367" t="str">
        <f t="shared" si="258"/>
        <v/>
      </c>
    </row>
    <row r="7368" spans="2:7" x14ac:dyDescent="0.25">
      <c r="B7368" s="6"/>
      <c r="C7368" s="7"/>
      <c r="D7368" s="7"/>
      <c r="E7368" s="8"/>
      <c r="F7368" t="str">
        <f t="shared" si="257"/>
        <v/>
      </c>
      <c r="G7368" t="str">
        <f t="shared" si="258"/>
        <v/>
      </c>
    </row>
    <row r="7369" spans="2:7" x14ac:dyDescent="0.25">
      <c r="B7369" s="6"/>
      <c r="C7369" s="7"/>
      <c r="D7369" s="7"/>
      <c r="E7369" s="8"/>
      <c r="F7369" t="str">
        <f t="shared" si="257"/>
        <v/>
      </c>
      <c r="G7369" t="str">
        <f t="shared" si="258"/>
        <v/>
      </c>
    </row>
    <row r="7370" spans="2:7" x14ac:dyDescent="0.25">
      <c r="B7370" s="6"/>
      <c r="C7370" s="7"/>
      <c r="D7370" s="7"/>
      <c r="E7370" s="8"/>
      <c r="F7370" t="str">
        <f t="shared" si="257"/>
        <v/>
      </c>
      <c r="G7370" t="str">
        <f t="shared" si="258"/>
        <v/>
      </c>
    </row>
    <row r="7371" spans="2:7" x14ac:dyDescent="0.25">
      <c r="B7371" s="6"/>
      <c r="C7371" s="7"/>
      <c r="D7371" s="7"/>
      <c r="E7371" s="8"/>
      <c r="F7371" t="str">
        <f t="shared" si="257"/>
        <v/>
      </c>
      <c r="G7371" t="str">
        <f t="shared" si="258"/>
        <v/>
      </c>
    </row>
    <row r="7372" spans="2:7" x14ac:dyDescent="0.25">
      <c r="B7372" s="6"/>
      <c r="C7372" s="7"/>
      <c r="D7372" s="7"/>
      <c r="E7372" s="8"/>
      <c r="F7372" t="str">
        <f t="shared" si="257"/>
        <v/>
      </c>
      <c r="G7372" t="str">
        <f t="shared" si="258"/>
        <v/>
      </c>
    </row>
    <row r="7373" spans="2:7" x14ac:dyDescent="0.25">
      <c r="B7373" s="6"/>
      <c r="C7373" s="7"/>
      <c r="D7373" s="7"/>
      <c r="E7373" s="8"/>
      <c r="F7373" t="str">
        <f t="shared" si="257"/>
        <v/>
      </c>
      <c r="G7373" t="str">
        <f t="shared" si="258"/>
        <v/>
      </c>
    </row>
    <row r="7374" spans="2:7" x14ac:dyDescent="0.25">
      <c r="B7374" s="6"/>
      <c r="C7374" s="7"/>
      <c r="D7374" s="7"/>
      <c r="E7374" s="8"/>
      <c r="F7374" t="str">
        <f t="shared" si="257"/>
        <v/>
      </c>
      <c r="G7374" t="str">
        <f t="shared" si="258"/>
        <v/>
      </c>
    </row>
    <row r="7375" spans="2:7" x14ac:dyDescent="0.25">
      <c r="B7375" s="6"/>
      <c r="C7375" s="7"/>
      <c r="D7375" s="7"/>
      <c r="E7375" s="8"/>
      <c r="F7375" t="str">
        <f t="shared" si="257"/>
        <v/>
      </c>
      <c r="G7375" t="str">
        <f t="shared" si="258"/>
        <v/>
      </c>
    </row>
    <row r="7376" spans="2:7" x14ac:dyDescent="0.25">
      <c r="B7376" s="6"/>
      <c r="C7376" s="7"/>
      <c r="D7376" s="7"/>
      <c r="E7376" s="8"/>
      <c r="F7376" t="str">
        <f t="shared" si="257"/>
        <v/>
      </c>
      <c r="G7376" t="str">
        <f t="shared" si="258"/>
        <v/>
      </c>
    </row>
    <row r="7377" spans="2:7" x14ac:dyDescent="0.25">
      <c r="B7377" s="6"/>
      <c r="C7377" s="7"/>
      <c r="D7377" s="7"/>
      <c r="E7377" s="8"/>
      <c r="F7377" t="str">
        <f t="shared" si="257"/>
        <v/>
      </c>
      <c r="G7377" t="str">
        <f t="shared" si="258"/>
        <v/>
      </c>
    </row>
    <row r="7378" spans="2:7" x14ac:dyDescent="0.25">
      <c r="B7378" s="6"/>
      <c r="C7378" s="7"/>
      <c r="D7378" s="7"/>
      <c r="E7378" s="8"/>
      <c r="F7378" t="str">
        <f t="shared" si="257"/>
        <v/>
      </c>
      <c r="G7378" t="str">
        <f t="shared" si="258"/>
        <v/>
      </c>
    </row>
    <row r="7379" spans="2:7" x14ac:dyDescent="0.25">
      <c r="B7379" s="6"/>
      <c r="C7379" s="7"/>
      <c r="D7379" s="7"/>
      <c r="E7379" s="8"/>
      <c r="F7379" t="str">
        <f t="shared" si="257"/>
        <v/>
      </c>
      <c r="G7379" t="str">
        <f t="shared" si="258"/>
        <v/>
      </c>
    </row>
    <row r="7380" spans="2:7" x14ac:dyDescent="0.25">
      <c r="B7380" s="6"/>
      <c r="C7380" s="7"/>
      <c r="D7380" s="7"/>
      <c r="E7380" s="8"/>
      <c r="F7380" t="str">
        <f t="shared" si="257"/>
        <v/>
      </c>
      <c r="G7380" t="str">
        <f t="shared" si="258"/>
        <v/>
      </c>
    </row>
    <row r="7381" spans="2:7" x14ac:dyDescent="0.25">
      <c r="B7381" s="6"/>
      <c r="C7381" s="7"/>
      <c r="D7381" s="7"/>
      <c r="E7381" s="8"/>
      <c r="F7381" t="str">
        <f t="shared" si="257"/>
        <v/>
      </c>
      <c r="G7381" t="str">
        <f t="shared" si="258"/>
        <v/>
      </c>
    </row>
    <row r="7382" spans="2:7" x14ac:dyDescent="0.25">
      <c r="B7382" s="6"/>
      <c r="C7382" s="7"/>
      <c r="D7382" s="7"/>
      <c r="E7382" s="8"/>
      <c r="F7382" t="str">
        <f t="shared" si="257"/>
        <v/>
      </c>
      <c r="G7382" t="str">
        <f t="shared" si="258"/>
        <v/>
      </c>
    </row>
    <row r="7383" spans="2:7" x14ac:dyDescent="0.25">
      <c r="B7383" s="6"/>
      <c r="C7383" s="7"/>
      <c r="D7383" s="7"/>
      <c r="E7383" s="8"/>
      <c r="F7383" t="str">
        <f t="shared" si="257"/>
        <v/>
      </c>
      <c r="G7383" t="str">
        <f t="shared" si="258"/>
        <v/>
      </c>
    </row>
    <row r="7384" spans="2:7" x14ac:dyDescent="0.25">
      <c r="B7384" s="6"/>
      <c r="C7384" s="7"/>
      <c r="D7384" s="7"/>
      <c r="E7384" s="8"/>
      <c r="F7384" t="str">
        <f t="shared" si="257"/>
        <v/>
      </c>
      <c r="G7384" t="str">
        <f t="shared" si="258"/>
        <v/>
      </c>
    </row>
    <row r="7385" spans="2:7" x14ac:dyDescent="0.25">
      <c r="B7385" s="6"/>
      <c r="C7385" s="7"/>
      <c r="D7385" s="7"/>
      <c r="E7385" s="8"/>
      <c r="F7385" t="str">
        <f t="shared" si="257"/>
        <v/>
      </c>
      <c r="G7385" t="str">
        <f t="shared" si="258"/>
        <v/>
      </c>
    </row>
    <row r="7386" spans="2:7" x14ac:dyDescent="0.25">
      <c r="B7386" s="6"/>
      <c r="C7386" s="7"/>
      <c r="D7386" s="7"/>
      <c r="E7386" s="8"/>
      <c r="F7386" t="str">
        <f t="shared" si="257"/>
        <v/>
      </c>
      <c r="G7386" t="str">
        <f t="shared" si="258"/>
        <v/>
      </c>
    </row>
    <row r="7387" spans="2:7" x14ac:dyDescent="0.25">
      <c r="B7387" s="6"/>
      <c r="C7387" s="7"/>
      <c r="D7387" s="7"/>
      <c r="E7387" s="8"/>
      <c r="F7387" t="str">
        <f t="shared" si="257"/>
        <v/>
      </c>
      <c r="G7387" t="str">
        <f t="shared" si="258"/>
        <v/>
      </c>
    </row>
    <row r="7388" spans="2:7" x14ac:dyDescent="0.25">
      <c r="B7388" s="6"/>
      <c r="C7388" s="7"/>
      <c r="D7388" s="7"/>
      <c r="E7388" s="8"/>
      <c r="F7388" t="str">
        <f t="shared" si="257"/>
        <v/>
      </c>
      <c r="G7388" t="str">
        <f t="shared" si="258"/>
        <v/>
      </c>
    </row>
    <row r="7389" spans="2:7" x14ac:dyDescent="0.25">
      <c r="B7389" s="6"/>
      <c r="C7389" s="7"/>
      <c r="D7389" s="7"/>
      <c r="E7389" s="8"/>
      <c r="F7389" t="str">
        <f t="shared" si="257"/>
        <v/>
      </c>
      <c r="G7389" t="str">
        <f t="shared" si="258"/>
        <v/>
      </c>
    </row>
    <row r="7390" spans="2:7" x14ac:dyDescent="0.25">
      <c r="B7390" s="6"/>
      <c r="C7390" s="7"/>
      <c r="D7390" s="7"/>
      <c r="E7390" s="8"/>
      <c r="F7390" t="str">
        <f t="shared" si="257"/>
        <v/>
      </c>
      <c r="G7390" t="str">
        <f t="shared" si="258"/>
        <v/>
      </c>
    </row>
    <row r="7391" spans="2:7" x14ac:dyDescent="0.25">
      <c r="B7391" s="6"/>
      <c r="C7391" s="7"/>
      <c r="D7391" s="7"/>
      <c r="E7391" s="8"/>
      <c r="F7391" t="str">
        <f t="shared" si="257"/>
        <v/>
      </c>
      <c r="G7391" t="str">
        <f t="shared" si="258"/>
        <v/>
      </c>
    </row>
    <row r="7392" spans="2:7" x14ac:dyDescent="0.25">
      <c r="B7392" s="6"/>
      <c r="C7392" s="7"/>
      <c r="D7392" s="7"/>
      <c r="E7392" s="8"/>
      <c r="F7392" t="str">
        <f t="shared" si="257"/>
        <v/>
      </c>
      <c r="G7392" t="str">
        <f t="shared" si="258"/>
        <v/>
      </c>
    </row>
    <row r="7393" spans="2:7" x14ac:dyDescent="0.25">
      <c r="B7393" s="6"/>
      <c r="C7393" s="7"/>
      <c r="D7393" s="7"/>
      <c r="E7393" s="8"/>
      <c r="F7393" t="str">
        <f t="shared" si="257"/>
        <v/>
      </c>
      <c r="G7393" t="str">
        <f t="shared" si="258"/>
        <v/>
      </c>
    </row>
    <row r="7394" spans="2:7" x14ac:dyDescent="0.25">
      <c r="B7394" s="6"/>
      <c r="C7394" s="7"/>
      <c r="D7394" s="7"/>
      <c r="E7394" s="8"/>
      <c r="F7394" t="str">
        <f t="shared" si="257"/>
        <v/>
      </c>
      <c r="G7394" t="str">
        <f t="shared" si="258"/>
        <v/>
      </c>
    </row>
    <row r="7395" spans="2:7" x14ac:dyDescent="0.25">
      <c r="B7395" s="6"/>
      <c r="C7395" s="7"/>
      <c r="D7395" s="7"/>
      <c r="E7395" s="8"/>
      <c r="F7395" t="str">
        <f t="shared" si="257"/>
        <v/>
      </c>
      <c r="G7395" t="str">
        <f t="shared" si="258"/>
        <v/>
      </c>
    </row>
    <row r="7396" spans="2:7" x14ac:dyDescent="0.25">
      <c r="B7396" s="6"/>
      <c r="C7396" s="7"/>
      <c r="D7396" s="7"/>
      <c r="E7396" s="8"/>
      <c r="F7396" t="str">
        <f t="shared" si="257"/>
        <v/>
      </c>
      <c r="G7396" t="str">
        <f t="shared" si="258"/>
        <v/>
      </c>
    </row>
    <row r="7397" spans="2:7" x14ac:dyDescent="0.25">
      <c r="B7397" s="6"/>
      <c r="C7397" s="7"/>
      <c r="D7397" s="7"/>
      <c r="E7397" s="8"/>
      <c r="F7397" t="str">
        <f t="shared" si="257"/>
        <v/>
      </c>
      <c r="G7397" t="str">
        <f t="shared" si="258"/>
        <v/>
      </c>
    </row>
    <row r="7398" spans="2:7" x14ac:dyDescent="0.25">
      <c r="B7398" s="6"/>
      <c r="C7398" s="7"/>
      <c r="D7398" s="7"/>
      <c r="E7398" s="8"/>
      <c r="F7398" t="str">
        <f t="shared" si="257"/>
        <v/>
      </c>
      <c r="G7398" t="str">
        <f t="shared" si="258"/>
        <v/>
      </c>
    </row>
    <row r="7399" spans="2:7" x14ac:dyDescent="0.25">
      <c r="B7399" s="6"/>
      <c r="C7399" s="7"/>
      <c r="D7399" s="7"/>
      <c r="E7399" s="8"/>
      <c r="F7399" t="str">
        <f t="shared" si="257"/>
        <v/>
      </c>
      <c r="G7399" t="str">
        <f t="shared" si="258"/>
        <v/>
      </c>
    </row>
    <row r="7400" spans="2:7" x14ac:dyDescent="0.25">
      <c r="B7400" s="6"/>
      <c r="C7400" s="7"/>
      <c r="D7400" s="7"/>
      <c r="E7400" s="8"/>
      <c r="F7400" t="str">
        <f t="shared" si="257"/>
        <v/>
      </c>
      <c r="G7400" t="str">
        <f t="shared" si="258"/>
        <v/>
      </c>
    </row>
    <row r="7401" spans="2:7" x14ac:dyDescent="0.25">
      <c r="B7401" s="6"/>
      <c r="C7401" s="7"/>
      <c r="D7401" s="7"/>
      <c r="E7401" s="8"/>
      <c r="F7401" t="str">
        <f t="shared" si="257"/>
        <v/>
      </c>
      <c r="G7401" t="str">
        <f t="shared" si="258"/>
        <v/>
      </c>
    </row>
    <row r="7402" spans="2:7" x14ac:dyDescent="0.25">
      <c r="B7402" s="6"/>
      <c r="C7402" s="7"/>
      <c r="D7402" s="7"/>
      <c r="E7402" s="8"/>
      <c r="F7402" t="str">
        <f t="shared" si="257"/>
        <v/>
      </c>
      <c r="G7402" t="str">
        <f t="shared" si="258"/>
        <v/>
      </c>
    </row>
    <row r="7403" spans="2:7" x14ac:dyDescent="0.25">
      <c r="B7403" s="6"/>
      <c r="C7403" s="7"/>
      <c r="D7403" s="7"/>
      <c r="E7403" s="8"/>
      <c r="F7403" t="str">
        <f t="shared" si="257"/>
        <v/>
      </c>
      <c r="G7403" t="str">
        <f t="shared" si="258"/>
        <v/>
      </c>
    </row>
    <row r="7404" spans="2:7" x14ac:dyDescent="0.25">
      <c r="B7404" s="6"/>
      <c r="C7404" s="7"/>
      <c r="D7404" s="7"/>
      <c r="E7404" s="8"/>
      <c r="F7404" t="str">
        <f t="shared" si="257"/>
        <v/>
      </c>
      <c r="G7404" t="str">
        <f t="shared" si="258"/>
        <v/>
      </c>
    </row>
    <row r="7405" spans="2:7" x14ac:dyDescent="0.25">
      <c r="B7405" s="6"/>
      <c r="C7405" s="7"/>
      <c r="D7405" s="7"/>
      <c r="E7405" s="8"/>
      <c r="F7405" t="str">
        <f t="shared" si="257"/>
        <v/>
      </c>
      <c r="G7405" t="str">
        <f t="shared" si="258"/>
        <v/>
      </c>
    </row>
    <row r="7406" spans="2:7" x14ac:dyDescent="0.25">
      <c r="B7406" s="6"/>
      <c r="C7406" s="7"/>
      <c r="D7406" s="7"/>
      <c r="E7406" s="8"/>
      <c r="F7406" t="str">
        <f t="shared" si="257"/>
        <v/>
      </c>
      <c r="G7406" t="str">
        <f t="shared" si="258"/>
        <v/>
      </c>
    </row>
    <row r="7407" spans="2:7" x14ac:dyDescent="0.25">
      <c r="B7407" s="6"/>
      <c r="C7407" s="7"/>
      <c r="D7407" s="7"/>
      <c r="E7407" s="8"/>
      <c r="F7407" t="str">
        <f t="shared" si="257"/>
        <v/>
      </c>
      <c r="G7407" t="str">
        <f t="shared" si="258"/>
        <v/>
      </c>
    </row>
    <row r="7408" spans="2:7" x14ac:dyDescent="0.25">
      <c r="B7408" s="6"/>
      <c r="C7408" s="7"/>
      <c r="D7408" s="7"/>
      <c r="E7408" s="8"/>
      <c r="F7408" t="str">
        <f t="shared" si="257"/>
        <v/>
      </c>
      <c r="G7408" t="str">
        <f t="shared" si="258"/>
        <v/>
      </c>
    </row>
    <row r="7409" spans="2:7" x14ac:dyDescent="0.25">
      <c r="B7409" s="6"/>
      <c r="C7409" s="7"/>
      <c r="D7409" s="7"/>
      <c r="E7409" s="8"/>
      <c r="F7409" t="str">
        <f t="shared" si="257"/>
        <v/>
      </c>
      <c r="G7409" t="str">
        <f t="shared" si="258"/>
        <v/>
      </c>
    </row>
    <row r="7410" spans="2:7" x14ac:dyDescent="0.25">
      <c r="B7410" s="6"/>
      <c r="C7410" s="7"/>
      <c r="D7410" s="7"/>
      <c r="E7410" s="8"/>
      <c r="F7410" t="str">
        <f t="shared" si="257"/>
        <v/>
      </c>
      <c r="G7410" t="str">
        <f t="shared" si="258"/>
        <v/>
      </c>
    </row>
    <row r="7411" spans="2:7" x14ac:dyDescent="0.25">
      <c r="B7411" s="6"/>
      <c r="C7411" s="7"/>
      <c r="D7411" s="7"/>
      <c r="E7411" s="8"/>
      <c r="F7411" t="str">
        <f t="shared" si="257"/>
        <v/>
      </c>
      <c r="G7411" t="str">
        <f t="shared" si="258"/>
        <v/>
      </c>
    </row>
    <row r="7412" spans="2:7" x14ac:dyDescent="0.25">
      <c r="B7412" s="6"/>
      <c r="C7412" s="7"/>
      <c r="D7412" s="7"/>
      <c r="E7412" s="8"/>
      <c r="F7412" t="str">
        <f t="shared" si="257"/>
        <v/>
      </c>
      <c r="G7412" t="str">
        <f t="shared" si="258"/>
        <v/>
      </c>
    </row>
    <row r="7413" spans="2:7" x14ac:dyDescent="0.25">
      <c r="B7413" s="6"/>
      <c r="C7413" s="7"/>
      <c r="D7413" s="7"/>
      <c r="E7413" s="8"/>
      <c r="F7413" t="str">
        <f t="shared" si="257"/>
        <v/>
      </c>
      <c r="G7413" t="str">
        <f t="shared" si="258"/>
        <v/>
      </c>
    </row>
    <row r="7414" spans="2:7" x14ac:dyDescent="0.25">
      <c r="B7414" s="6"/>
      <c r="C7414" s="7"/>
      <c r="D7414" s="7"/>
      <c r="E7414" s="8"/>
      <c r="F7414" t="str">
        <f t="shared" si="257"/>
        <v/>
      </c>
      <c r="G7414" t="str">
        <f t="shared" si="258"/>
        <v/>
      </c>
    </row>
    <row r="7415" spans="2:7" x14ac:dyDescent="0.25">
      <c r="B7415" s="6"/>
      <c r="C7415" s="7"/>
      <c r="D7415" s="7"/>
      <c r="E7415" s="8"/>
      <c r="F7415" t="str">
        <f t="shared" si="257"/>
        <v/>
      </c>
      <c r="G7415" t="str">
        <f t="shared" si="258"/>
        <v/>
      </c>
    </row>
    <row r="7416" spans="2:7" x14ac:dyDescent="0.25">
      <c r="B7416" s="6"/>
      <c r="C7416" s="7"/>
      <c r="D7416" s="7"/>
      <c r="E7416" s="8"/>
      <c r="F7416" t="str">
        <f t="shared" si="257"/>
        <v/>
      </c>
      <c r="G7416" t="str">
        <f t="shared" si="258"/>
        <v/>
      </c>
    </row>
    <row r="7417" spans="2:7" x14ac:dyDescent="0.25">
      <c r="B7417" s="6"/>
      <c r="C7417" s="7"/>
      <c r="D7417" s="7"/>
      <c r="E7417" s="8"/>
      <c r="F7417" t="str">
        <f t="shared" si="257"/>
        <v/>
      </c>
      <c r="G7417" t="str">
        <f t="shared" si="258"/>
        <v/>
      </c>
    </row>
    <row r="7418" spans="2:7" x14ac:dyDescent="0.25">
      <c r="B7418" s="6"/>
      <c r="C7418" s="7"/>
      <c r="D7418" s="7"/>
      <c r="E7418" s="8"/>
      <c r="F7418" t="str">
        <f t="shared" si="257"/>
        <v/>
      </c>
      <c r="G7418" t="str">
        <f t="shared" si="258"/>
        <v/>
      </c>
    </row>
    <row r="7419" spans="2:7" x14ac:dyDescent="0.25">
      <c r="B7419" s="6"/>
      <c r="C7419" s="7"/>
      <c r="D7419" s="7"/>
      <c r="E7419" s="8"/>
      <c r="F7419" t="str">
        <f t="shared" si="257"/>
        <v/>
      </c>
      <c r="G7419" t="str">
        <f t="shared" si="258"/>
        <v/>
      </c>
    </row>
    <row r="7420" spans="2:7" x14ac:dyDescent="0.25">
      <c r="B7420" s="6"/>
      <c r="C7420" s="7"/>
      <c r="D7420" s="7"/>
      <c r="E7420" s="8"/>
      <c r="F7420" t="str">
        <f t="shared" si="257"/>
        <v/>
      </c>
      <c r="G7420" t="str">
        <f t="shared" si="258"/>
        <v/>
      </c>
    </row>
    <row r="7421" spans="2:7" x14ac:dyDescent="0.25">
      <c r="B7421" s="6"/>
      <c r="C7421" s="7"/>
      <c r="D7421" s="7"/>
      <c r="E7421" s="8"/>
      <c r="F7421" t="str">
        <f t="shared" si="257"/>
        <v/>
      </c>
      <c r="G7421" t="str">
        <f t="shared" si="258"/>
        <v/>
      </c>
    </row>
    <row r="7422" spans="2:7" x14ac:dyDescent="0.25">
      <c r="B7422" s="6"/>
      <c r="C7422" s="7"/>
      <c r="D7422" s="7"/>
      <c r="E7422" s="8"/>
      <c r="F7422" t="str">
        <f t="shared" si="257"/>
        <v/>
      </c>
      <c r="G7422" t="str">
        <f t="shared" si="258"/>
        <v/>
      </c>
    </row>
    <row r="7423" spans="2:7" x14ac:dyDescent="0.25">
      <c r="B7423" s="6"/>
      <c r="C7423" s="7"/>
      <c r="D7423" s="7"/>
      <c r="E7423" s="8"/>
      <c r="F7423" t="str">
        <f t="shared" si="257"/>
        <v/>
      </c>
      <c r="G7423" t="str">
        <f t="shared" si="258"/>
        <v/>
      </c>
    </row>
    <row r="7424" spans="2:7" x14ac:dyDescent="0.25">
      <c r="B7424" s="6"/>
      <c r="C7424" s="7"/>
      <c r="D7424" s="7"/>
      <c r="E7424" s="8"/>
      <c r="F7424" t="str">
        <f t="shared" si="257"/>
        <v/>
      </c>
      <c r="G7424" t="str">
        <f t="shared" si="258"/>
        <v/>
      </c>
    </row>
    <row r="7425" spans="2:7" x14ac:dyDescent="0.25">
      <c r="B7425" s="6"/>
      <c r="C7425" s="7"/>
      <c r="D7425" s="7"/>
      <c r="E7425" s="8"/>
      <c r="F7425" t="str">
        <f t="shared" si="257"/>
        <v/>
      </c>
      <c r="G7425" t="str">
        <f t="shared" si="258"/>
        <v/>
      </c>
    </row>
    <row r="7426" spans="2:7" x14ac:dyDescent="0.25">
      <c r="B7426" s="6"/>
      <c r="C7426" s="7"/>
      <c r="D7426" s="7"/>
      <c r="E7426" s="8"/>
      <c r="F7426" t="str">
        <f t="shared" si="257"/>
        <v/>
      </c>
      <c r="G7426" t="str">
        <f t="shared" si="258"/>
        <v/>
      </c>
    </row>
    <row r="7427" spans="2:7" x14ac:dyDescent="0.25">
      <c r="B7427" s="6"/>
      <c r="C7427" s="7"/>
      <c r="D7427" s="7"/>
      <c r="E7427" s="8"/>
      <c r="F7427" t="str">
        <f t="shared" si="257"/>
        <v/>
      </c>
      <c r="G7427" t="str">
        <f t="shared" si="258"/>
        <v/>
      </c>
    </row>
    <row r="7428" spans="2:7" x14ac:dyDescent="0.25">
      <c r="B7428" s="6"/>
      <c r="C7428" s="7"/>
      <c r="D7428" s="7"/>
      <c r="E7428" s="8"/>
      <c r="F7428" t="str">
        <f t="shared" ref="F7428:F7491" si="259">IF(B7428="","",LOG10(D7428))</f>
        <v/>
      </c>
      <c r="G7428" t="str">
        <f t="shared" ref="G7428:G7491" si="260">IF(E7428="", "",0.434*E7428/D7428)</f>
        <v/>
      </c>
    </row>
    <row r="7429" spans="2:7" x14ac:dyDescent="0.25">
      <c r="B7429" s="6"/>
      <c r="C7429" s="7"/>
      <c r="D7429" s="7"/>
      <c r="E7429" s="8"/>
      <c r="F7429" t="str">
        <f t="shared" si="259"/>
        <v/>
      </c>
      <c r="G7429" t="str">
        <f t="shared" si="260"/>
        <v/>
      </c>
    </row>
    <row r="7430" spans="2:7" x14ac:dyDescent="0.25">
      <c r="B7430" s="6"/>
      <c r="C7430" s="7"/>
      <c r="D7430" s="7"/>
      <c r="E7430" s="8"/>
      <c r="F7430" t="str">
        <f t="shared" si="259"/>
        <v/>
      </c>
      <c r="G7430" t="str">
        <f t="shared" si="260"/>
        <v/>
      </c>
    </row>
    <row r="7431" spans="2:7" x14ac:dyDescent="0.25">
      <c r="B7431" s="6"/>
      <c r="C7431" s="7"/>
      <c r="D7431" s="7"/>
      <c r="E7431" s="8"/>
      <c r="F7431" t="str">
        <f t="shared" si="259"/>
        <v/>
      </c>
      <c r="G7431" t="str">
        <f t="shared" si="260"/>
        <v/>
      </c>
    </row>
    <row r="7432" spans="2:7" x14ac:dyDescent="0.25">
      <c r="B7432" s="6"/>
      <c r="C7432" s="7"/>
      <c r="D7432" s="7"/>
      <c r="E7432" s="8"/>
      <c r="F7432" t="str">
        <f t="shared" si="259"/>
        <v/>
      </c>
      <c r="G7432" t="str">
        <f t="shared" si="260"/>
        <v/>
      </c>
    </row>
    <row r="7433" spans="2:7" x14ac:dyDescent="0.25">
      <c r="B7433" s="6"/>
      <c r="C7433" s="7"/>
      <c r="D7433" s="7"/>
      <c r="E7433" s="8"/>
      <c r="F7433" t="str">
        <f t="shared" si="259"/>
        <v/>
      </c>
      <c r="G7433" t="str">
        <f t="shared" si="260"/>
        <v/>
      </c>
    </row>
    <row r="7434" spans="2:7" x14ac:dyDescent="0.25">
      <c r="B7434" s="6"/>
      <c r="C7434" s="7"/>
      <c r="D7434" s="7"/>
      <c r="E7434" s="8"/>
      <c r="F7434" t="str">
        <f t="shared" si="259"/>
        <v/>
      </c>
      <c r="G7434" t="str">
        <f t="shared" si="260"/>
        <v/>
      </c>
    </row>
    <row r="7435" spans="2:7" x14ac:dyDescent="0.25">
      <c r="B7435" s="6"/>
      <c r="C7435" s="7"/>
      <c r="D7435" s="7"/>
      <c r="E7435" s="8"/>
      <c r="F7435" t="str">
        <f t="shared" si="259"/>
        <v/>
      </c>
      <c r="G7435" t="str">
        <f t="shared" si="260"/>
        <v/>
      </c>
    </row>
    <row r="7436" spans="2:7" x14ac:dyDescent="0.25">
      <c r="B7436" s="6"/>
      <c r="C7436" s="7"/>
      <c r="D7436" s="7"/>
      <c r="E7436" s="8"/>
      <c r="F7436" t="str">
        <f t="shared" si="259"/>
        <v/>
      </c>
      <c r="G7436" t="str">
        <f t="shared" si="260"/>
        <v/>
      </c>
    </row>
    <row r="7437" spans="2:7" x14ac:dyDescent="0.25">
      <c r="B7437" s="6"/>
      <c r="C7437" s="7"/>
      <c r="D7437" s="7"/>
      <c r="E7437" s="8"/>
      <c r="F7437" t="str">
        <f t="shared" si="259"/>
        <v/>
      </c>
      <c r="G7437" t="str">
        <f t="shared" si="260"/>
        <v/>
      </c>
    </row>
    <row r="7438" spans="2:7" x14ac:dyDescent="0.25">
      <c r="B7438" s="6"/>
      <c r="C7438" s="7"/>
      <c r="D7438" s="7"/>
      <c r="E7438" s="8"/>
      <c r="F7438" t="str">
        <f t="shared" si="259"/>
        <v/>
      </c>
      <c r="G7438" t="str">
        <f t="shared" si="260"/>
        <v/>
      </c>
    </row>
    <row r="7439" spans="2:7" x14ac:dyDescent="0.25">
      <c r="B7439" s="6"/>
      <c r="C7439" s="7"/>
      <c r="D7439" s="7"/>
      <c r="E7439" s="8"/>
      <c r="F7439" t="str">
        <f t="shared" si="259"/>
        <v/>
      </c>
      <c r="G7439" t="str">
        <f t="shared" si="260"/>
        <v/>
      </c>
    </row>
    <row r="7440" spans="2:7" x14ac:dyDescent="0.25">
      <c r="B7440" s="6"/>
      <c r="C7440" s="7"/>
      <c r="D7440" s="7"/>
      <c r="E7440" s="8"/>
      <c r="F7440" t="str">
        <f t="shared" si="259"/>
        <v/>
      </c>
      <c r="G7440" t="str">
        <f t="shared" si="260"/>
        <v/>
      </c>
    </row>
    <row r="7441" spans="2:7" x14ac:dyDescent="0.25">
      <c r="B7441" s="6"/>
      <c r="C7441" s="7"/>
      <c r="D7441" s="7"/>
      <c r="E7441" s="8"/>
      <c r="F7441" t="str">
        <f t="shared" si="259"/>
        <v/>
      </c>
      <c r="G7441" t="str">
        <f t="shared" si="260"/>
        <v/>
      </c>
    </row>
    <row r="7442" spans="2:7" x14ac:dyDescent="0.25">
      <c r="B7442" s="6"/>
      <c r="C7442" s="7"/>
      <c r="D7442" s="7"/>
      <c r="E7442" s="8"/>
      <c r="F7442" t="str">
        <f t="shared" si="259"/>
        <v/>
      </c>
      <c r="G7442" t="str">
        <f t="shared" si="260"/>
        <v/>
      </c>
    </row>
    <row r="7443" spans="2:7" x14ac:dyDescent="0.25">
      <c r="B7443" s="6"/>
      <c r="C7443" s="7"/>
      <c r="D7443" s="7"/>
      <c r="E7443" s="8"/>
      <c r="F7443" t="str">
        <f t="shared" si="259"/>
        <v/>
      </c>
      <c r="G7443" t="str">
        <f t="shared" si="260"/>
        <v/>
      </c>
    </row>
    <row r="7444" spans="2:7" x14ac:dyDescent="0.25">
      <c r="B7444" s="6"/>
      <c r="C7444" s="7"/>
      <c r="D7444" s="7"/>
      <c r="E7444" s="8"/>
      <c r="F7444" t="str">
        <f t="shared" si="259"/>
        <v/>
      </c>
      <c r="G7444" t="str">
        <f t="shared" si="260"/>
        <v/>
      </c>
    </row>
    <row r="7445" spans="2:7" x14ac:dyDescent="0.25">
      <c r="B7445" s="6"/>
      <c r="C7445" s="7"/>
      <c r="D7445" s="7"/>
      <c r="E7445" s="8"/>
      <c r="F7445" t="str">
        <f t="shared" si="259"/>
        <v/>
      </c>
      <c r="G7445" t="str">
        <f t="shared" si="260"/>
        <v/>
      </c>
    </row>
    <row r="7446" spans="2:7" x14ac:dyDescent="0.25">
      <c r="B7446" s="6"/>
      <c r="C7446" s="7"/>
      <c r="D7446" s="7"/>
      <c r="E7446" s="8"/>
      <c r="F7446" t="str">
        <f t="shared" si="259"/>
        <v/>
      </c>
      <c r="G7446" t="str">
        <f t="shared" si="260"/>
        <v/>
      </c>
    </row>
    <row r="7447" spans="2:7" x14ac:dyDescent="0.25">
      <c r="B7447" s="6"/>
      <c r="C7447" s="7"/>
      <c r="D7447" s="7"/>
      <c r="E7447" s="8"/>
      <c r="F7447" t="str">
        <f t="shared" si="259"/>
        <v/>
      </c>
      <c r="G7447" t="str">
        <f t="shared" si="260"/>
        <v/>
      </c>
    </row>
    <row r="7448" spans="2:7" x14ac:dyDescent="0.25">
      <c r="B7448" s="6"/>
      <c r="C7448" s="7"/>
      <c r="D7448" s="7"/>
      <c r="E7448" s="8"/>
      <c r="F7448" t="str">
        <f t="shared" si="259"/>
        <v/>
      </c>
      <c r="G7448" t="str">
        <f t="shared" si="260"/>
        <v/>
      </c>
    </row>
    <row r="7449" spans="2:7" x14ac:dyDescent="0.25">
      <c r="B7449" s="6"/>
      <c r="C7449" s="7"/>
      <c r="D7449" s="7"/>
      <c r="E7449" s="8"/>
      <c r="F7449" t="str">
        <f t="shared" si="259"/>
        <v/>
      </c>
      <c r="G7449" t="str">
        <f t="shared" si="260"/>
        <v/>
      </c>
    </row>
    <row r="7450" spans="2:7" x14ac:dyDescent="0.25">
      <c r="B7450" s="6"/>
      <c r="C7450" s="7"/>
      <c r="D7450" s="7"/>
      <c r="E7450" s="8"/>
      <c r="F7450" t="str">
        <f t="shared" si="259"/>
        <v/>
      </c>
      <c r="G7450" t="str">
        <f t="shared" si="260"/>
        <v/>
      </c>
    </row>
    <row r="7451" spans="2:7" x14ac:dyDescent="0.25">
      <c r="B7451" s="6"/>
      <c r="C7451" s="7"/>
      <c r="D7451" s="7"/>
      <c r="E7451" s="8"/>
      <c r="F7451" t="str">
        <f t="shared" si="259"/>
        <v/>
      </c>
      <c r="G7451" t="str">
        <f t="shared" si="260"/>
        <v/>
      </c>
    </row>
    <row r="7452" spans="2:7" x14ac:dyDescent="0.25">
      <c r="B7452" s="6"/>
      <c r="C7452" s="7"/>
      <c r="D7452" s="7"/>
      <c r="E7452" s="8"/>
      <c r="F7452" t="str">
        <f t="shared" si="259"/>
        <v/>
      </c>
      <c r="G7452" t="str">
        <f t="shared" si="260"/>
        <v/>
      </c>
    </row>
    <row r="7453" spans="2:7" x14ac:dyDescent="0.25">
      <c r="B7453" s="6"/>
      <c r="C7453" s="7"/>
      <c r="D7453" s="7"/>
      <c r="E7453" s="8"/>
      <c r="F7453" t="str">
        <f t="shared" si="259"/>
        <v/>
      </c>
      <c r="G7453" t="str">
        <f t="shared" si="260"/>
        <v/>
      </c>
    </row>
    <row r="7454" spans="2:7" x14ac:dyDescent="0.25">
      <c r="B7454" s="6"/>
      <c r="C7454" s="7"/>
      <c r="D7454" s="7"/>
      <c r="E7454" s="8"/>
      <c r="F7454" t="str">
        <f t="shared" si="259"/>
        <v/>
      </c>
      <c r="G7454" t="str">
        <f t="shared" si="260"/>
        <v/>
      </c>
    </row>
    <row r="7455" spans="2:7" x14ac:dyDescent="0.25">
      <c r="B7455" s="6"/>
      <c r="C7455" s="7"/>
      <c r="D7455" s="7"/>
      <c r="E7455" s="8"/>
      <c r="F7455" t="str">
        <f t="shared" si="259"/>
        <v/>
      </c>
      <c r="G7455" t="str">
        <f t="shared" si="260"/>
        <v/>
      </c>
    </row>
    <row r="7456" spans="2:7" x14ac:dyDescent="0.25">
      <c r="B7456" s="6"/>
      <c r="C7456" s="7"/>
      <c r="D7456" s="7"/>
      <c r="E7456" s="8"/>
      <c r="F7456" t="str">
        <f t="shared" si="259"/>
        <v/>
      </c>
      <c r="G7456" t="str">
        <f t="shared" si="260"/>
        <v/>
      </c>
    </row>
    <row r="7457" spans="2:7" x14ac:dyDescent="0.25">
      <c r="B7457" s="6"/>
      <c r="C7457" s="7"/>
      <c r="D7457" s="7"/>
      <c r="E7457" s="8"/>
      <c r="F7457" t="str">
        <f t="shared" si="259"/>
        <v/>
      </c>
      <c r="G7457" t="str">
        <f t="shared" si="260"/>
        <v/>
      </c>
    </row>
    <row r="7458" spans="2:7" x14ac:dyDescent="0.25">
      <c r="B7458" s="6"/>
      <c r="C7458" s="7"/>
      <c r="D7458" s="7"/>
      <c r="E7458" s="8"/>
      <c r="F7458" t="str">
        <f t="shared" si="259"/>
        <v/>
      </c>
      <c r="G7458" t="str">
        <f t="shared" si="260"/>
        <v/>
      </c>
    </row>
    <row r="7459" spans="2:7" x14ac:dyDescent="0.25">
      <c r="B7459" s="6"/>
      <c r="C7459" s="7"/>
      <c r="D7459" s="7"/>
      <c r="E7459" s="8"/>
      <c r="F7459" t="str">
        <f t="shared" si="259"/>
        <v/>
      </c>
      <c r="G7459" t="str">
        <f t="shared" si="260"/>
        <v/>
      </c>
    </row>
    <row r="7460" spans="2:7" x14ac:dyDescent="0.25">
      <c r="B7460" s="6"/>
      <c r="C7460" s="7"/>
      <c r="D7460" s="7"/>
      <c r="E7460" s="8"/>
      <c r="F7460" t="str">
        <f t="shared" si="259"/>
        <v/>
      </c>
      <c r="G7460" t="str">
        <f t="shared" si="260"/>
        <v/>
      </c>
    </row>
    <row r="7461" spans="2:7" x14ac:dyDescent="0.25">
      <c r="B7461" s="6"/>
      <c r="C7461" s="7"/>
      <c r="D7461" s="7"/>
      <c r="E7461" s="8"/>
      <c r="F7461" t="str">
        <f t="shared" si="259"/>
        <v/>
      </c>
      <c r="G7461" t="str">
        <f t="shared" si="260"/>
        <v/>
      </c>
    </row>
    <row r="7462" spans="2:7" x14ac:dyDescent="0.25">
      <c r="B7462" s="6"/>
      <c r="C7462" s="7"/>
      <c r="D7462" s="7"/>
      <c r="E7462" s="8"/>
      <c r="F7462" t="str">
        <f t="shared" si="259"/>
        <v/>
      </c>
      <c r="G7462" t="str">
        <f t="shared" si="260"/>
        <v/>
      </c>
    </row>
    <row r="7463" spans="2:7" x14ac:dyDescent="0.25">
      <c r="B7463" s="6"/>
      <c r="C7463" s="7"/>
      <c r="D7463" s="7"/>
      <c r="E7463" s="8"/>
      <c r="F7463" t="str">
        <f t="shared" si="259"/>
        <v/>
      </c>
      <c r="G7463" t="str">
        <f t="shared" si="260"/>
        <v/>
      </c>
    </row>
    <row r="7464" spans="2:7" x14ac:dyDescent="0.25">
      <c r="B7464" s="6"/>
      <c r="C7464" s="7"/>
      <c r="D7464" s="7"/>
      <c r="E7464" s="8"/>
      <c r="F7464" t="str">
        <f t="shared" si="259"/>
        <v/>
      </c>
      <c r="G7464" t="str">
        <f t="shared" si="260"/>
        <v/>
      </c>
    </row>
    <row r="7465" spans="2:7" x14ac:dyDescent="0.25">
      <c r="B7465" s="6"/>
      <c r="C7465" s="7"/>
      <c r="D7465" s="7"/>
      <c r="E7465" s="8"/>
      <c r="F7465" t="str">
        <f t="shared" si="259"/>
        <v/>
      </c>
      <c r="G7465" t="str">
        <f t="shared" si="260"/>
        <v/>
      </c>
    </row>
    <row r="7466" spans="2:7" x14ac:dyDescent="0.25">
      <c r="B7466" s="6"/>
      <c r="C7466" s="7"/>
      <c r="D7466" s="7"/>
      <c r="E7466" s="8"/>
      <c r="F7466" t="str">
        <f t="shared" si="259"/>
        <v/>
      </c>
      <c r="G7466" t="str">
        <f t="shared" si="260"/>
        <v/>
      </c>
    </row>
    <row r="7467" spans="2:7" x14ac:dyDescent="0.25">
      <c r="B7467" s="6"/>
      <c r="C7467" s="7"/>
      <c r="D7467" s="7"/>
      <c r="E7467" s="8"/>
      <c r="F7467" t="str">
        <f t="shared" si="259"/>
        <v/>
      </c>
      <c r="G7467" t="str">
        <f t="shared" si="260"/>
        <v/>
      </c>
    </row>
    <row r="7468" spans="2:7" x14ac:dyDescent="0.25">
      <c r="B7468" s="6"/>
      <c r="C7468" s="7"/>
      <c r="D7468" s="7"/>
      <c r="E7468" s="8"/>
      <c r="F7468" t="str">
        <f t="shared" si="259"/>
        <v/>
      </c>
      <c r="G7468" t="str">
        <f t="shared" si="260"/>
        <v/>
      </c>
    </row>
    <row r="7469" spans="2:7" x14ac:dyDescent="0.25">
      <c r="B7469" s="6"/>
      <c r="C7469" s="7"/>
      <c r="D7469" s="7"/>
      <c r="E7469" s="8"/>
      <c r="F7469" t="str">
        <f t="shared" si="259"/>
        <v/>
      </c>
      <c r="G7469" t="str">
        <f t="shared" si="260"/>
        <v/>
      </c>
    </row>
    <row r="7470" spans="2:7" x14ac:dyDescent="0.25">
      <c r="B7470" s="6"/>
      <c r="C7470" s="7"/>
      <c r="D7470" s="7"/>
      <c r="E7470" s="8"/>
      <c r="F7470" t="str">
        <f t="shared" si="259"/>
        <v/>
      </c>
      <c r="G7470" t="str">
        <f t="shared" si="260"/>
        <v/>
      </c>
    </row>
    <row r="7471" spans="2:7" x14ac:dyDescent="0.25">
      <c r="B7471" s="6"/>
      <c r="C7471" s="7"/>
      <c r="D7471" s="7"/>
      <c r="E7471" s="8"/>
      <c r="F7471" t="str">
        <f t="shared" si="259"/>
        <v/>
      </c>
      <c r="G7471" t="str">
        <f t="shared" si="260"/>
        <v/>
      </c>
    </row>
    <row r="7472" spans="2:7" x14ac:dyDescent="0.25">
      <c r="B7472" s="6"/>
      <c r="C7472" s="7"/>
      <c r="D7472" s="7"/>
      <c r="E7472" s="8"/>
      <c r="F7472" t="str">
        <f t="shared" si="259"/>
        <v/>
      </c>
      <c r="G7472" t="str">
        <f t="shared" si="260"/>
        <v/>
      </c>
    </row>
    <row r="7473" spans="2:7" x14ac:dyDescent="0.25">
      <c r="B7473" s="6"/>
      <c r="C7473" s="7"/>
      <c r="D7473" s="7"/>
      <c r="E7473" s="8"/>
      <c r="F7473" t="str">
        <f t="shared" si="259"/>
        <v/>
      </c>
      <c r="G7473" t="str">
        <f t="shared" si="260"/>
        <v/>
      </c>
    </row>
    <row r="7474" spans="2:7" x14ac:dyDescent="0.25">
      <c r="B7474" s="6"/>
      <c r="C7474" s="7"/>
      <c r="D7474" s="7"/>
      <c r="E7474" s="8"/>
      <c r="F7474" t="str">
        <f t="shared" si="259"/>
        <v/>
      </c>
      <c r="G7474" t="str">
        <f t="shared" si="260"/>
        <v/>
      </c>
    </row>
    <row r="7475" spans="2:7" x14ac:dyDescent="0.25">
      <c r="B7475" s="6"/>
      <c r="C7475" s="7"/>
      <c r="D7475" s="7"/>
      <c r="E7475" s="8"/>
      <c r="F7475" t="str">
        <f t="shared" si="259"/>
        <v/>
      </c>
      <c r="G7475" t="str">
        <f t="shared" si="260"/>
        <v/>
      </c>
    </row>
    <row r="7476" spans="2:7" x14ac:dyDescent="0.25">
      <c r="B7476" s="6"/>
      <c r="C7476" s="7"/>
      <c r="D7476" s="7"/>
      <c r="E7476" s="8"/>
      <c r="F7476" t="str">
        <f t="shared" si="259"/>
        <v/>
      </c>
      <c r="G7476" t="str">
        <f t="shared" si="260"/>
        <v/>
      </c>
    </row>
    <row r="7477" spans="2:7" x14ac:dyDescent="0.25">
      <c r="B7477" s="6"/>
      <c r="C7477" s="7"/>
      <c r="D7477" s="7"/>
      <c r="E7477" s="8"/>
      <c r="F7477" t="str">
        <f t="shared" si="259"/>
        <v/>
      </c>
      <c r="G7477" t="str">
        <f t="shared" si="260"/>
        <v/>
      </c>
    </row>
    <row r="7478" spans="2:7" x14ac:dyDescent="0.25">
      <c r="B7478" s="6"/>
      <c r="C7478" s="7"/>
      <c r="D7478" s="7"/>
      <c r="E7478" s="8"/>
      <c r="F7478" t="str">
        <f t="shared" si="259"/>
        <v/>
      </c>
      <c r="G7478" t="str">
        <f t="shared" si="260"/>
        <v/>
      </c>
    </row>
    <row r="7479" spans="2:7" x14ac:dyDescent="0.25">
      <c r="B7479" s="6"/>
      <c r="C7479" s="7"/>
      <c r="D7479" s="7"/>
      <c r="E7479" s="8"/>
      <c r="F7479" t="str">
        <f t="shared" si="259"/>
        <v/>
      </c>
      <c r="G7479" t="str">
        <f t="shared" si="260"/>
        <v/>
      </c>
    </row>
    <row r="7480" spans="2:7" x14ac:dyDescent="0.25">
      <c r="B7480" s="6"/>
      <c r="C7480" s="7"/>
      <c r="D7480" s="7"/>
      <c r="E7480" s="8"/>
      <c r="F7480" t="str">
        <f t="shared" si="259"/>
        <v/>
      </c>
      <c r="G7480" t="str">
        <f t="shared" si="260"/>
        <v/>
      </c>
    </row>
    <row r="7481" spans="2:7" x14ac:dyDescent="0.25">
      <c r="B7481" s="6"/>
      <c r="C7481" s="7"/>
      <c r="D7481" s="7"/>
      <c r="E7481" s="8"/>
      <c r="F7481" t="str">
        <f t="shared" si="259"/>
        <v/>
      </c>
      <c r="G7481" t="str">
        <f t="shared" si="260"/>
        <v/>
      </c>
    </row>
    <row r="7482" spans="2:7" x14ac:dyDescent="0.25">
      <c r="B7482" s="6"/>
      <c r="C7482" s="7"/>
      <c r="D7482" s="7"/>
      <c r="E7482" s="8"/>
      <c r="F7482" t="str">
        <f t="shared" si="259"/>
        <v/>
      </c>
      <c r="G7482" t="str">
        <f t="shared" si="260"/>
        <v/>
      </c>
    </row>
    <row r="7483" spans="2:7" x14ac:dyDescent="0.25">
      <c r="B7483" s="6"/>
      <c r="C7483" s="7"/>
      <c r="D7483" s="7"/>
      <c r="E7483" s="8"/>
      <c r="F7483" t="str">
        <f t="shared" si="259"/>
        <v/>
      </c>
      <c r="G7483" t="str">
        <f t="shared" si="260"/>
        <v/>
      </c>
    </row>
    <row r="7484" spans="2:7" x14ac:dyDescent="0.25">
      <c r="B7484" s="6"/>
      <c r="C7484" s="7"/>
      <c r="D7484" s="7"/>
      <c r="E7484" s="8"/>
      <c r="F7484" t="str">
        <f t="shared" si="259"/>
        <v/>
      </c>
      <c r="G7484" t="str">
        <f t="shared" si="260"/>
        <v/>
      </c>
    </row>
    <row r="7485" spans="2:7" x14ac:dyDescent="0.25">
      <c r="B7485" s="6"/>
      <c r="C7485" s="7"/>
      <c r="D7485" s="7"/>
      <c r="E7485" s="8"/>
      <c r="F7485" t="str">
        <f t="shared" si="259"/>
        <v/>
      </c>
      <c r="G7485" t="str">
        <f t="shared" si="260"/>
        <v/>
      </c>
    </row>
    <row r="7486" spans="2:7" x14ac:dyDescent="0.25">
      <c r="B7486" s="6"/>
      <c r="C7486" s="7"/>
      <c r="D7486" s="7"/>
      <c r="E7486" s="8"/>
      <c r="F7486" t="str">
        <f t="shared" si="259"/>
        <v/>
      </c>
      <c r="G7486" t="str">
        <f t="shared" si="260"/>
        <v/>
      </c>
    </row>
    <row r="7487" spans="2:7" x14ac:dyDescent="0.25">
      <c r="B7487" s="6"/>
      <c r="C7487" s="7"/>
      <c r="D7487" s="7"/>
      <c r="E7487" s="8"/>
      <c r="F7487" t="str">
        <f t="shared" si="259"/>
        <v/>
      </c>
      <c r="G7487" t="str">
        <f t="shared" si="260"/>
        <v/>
      </c>
    </row>
    <row r="7488" spans="2:7" x14ac:dyDescent="0.25">
      <c r="B7488" s="6"/>
      <c r="C7488" s="7"/>
      <c r="D7488" s="7"/>
      <c r="E7488" s="8"/>
      <c r="F7488" t="str">
        <f t="shared" si="259"/>
        <v/>
      </c>
      <c r="G7488" t="str">
        <f t="shared" si="260"/>
        <v/>
      </c>
    </row>
    <row r="7489" spans="2:7" x14ac:dyDescent="0.25">
      <c r="B7489" s="6"/>
      <c r="C7489" s="7"/>
      <c r="D7489" s="7"/>
      <c r="E7489" s="8"/>
      <c r="F7489" t="str">
        <f t="shared" si="259"/>
        <v/>
      </c>
      <c r="G7489" t="str">
        <f t="shared" si="260"/>
        <v/>
      </c>
    </row>
    <row r="7490" spans="2:7" x14ac:dyDescent="0.25">
      <c r="B7490" s="6"/>
      <c r="C7490" s="7"/>
      <c r="D7490" s="7"/>
      <c r="E7490" s="8"/>
      <c r="F7490" t="str">
        <f t="shared" si="259"/>
        <v/>
      </c>
      <c r="G7490" t="str">
        <f t="shared" si="260"/>
        <v/>
      </c>
    </row>
    <row r="7491" spans="2:7" x14ac:dyDescent="0.25">
      <c r="B7491" s="6"/>
      <c r="C7491" s="7"/>
      <c r="D7491" s="7"/>
      <c r="E7491" s="8"/>
      <c r="F7491" t="str">
        <f t="shared" si="259"/>
        <v/>
      </c>
      <c r="G7491" t="str">
        <f t="shared" si="260"/>
        <v/>
      </c>
    </row>
    <row r="7492" spans="2:7" x14ac:dyDescent="0.25">
      <c r="B7492" s="6"/>
      <c r="C7492" s="7"/>
      <c r="D7492" s="7"/>
      <c r="E7492" s="8"/>
      <c r="F7492" t="str">
        <f t="shared" ref="F7492:F7555" si="261">IF(B7492="","",LOG10(D7492))</f>
        <v/>
      </c>
      <c r="G7492" t="str">
        <f t="shared" ref="G7492:G7555" si="262">IF(E7492="", "",0.434*E7492/D7492)</f>
        <v/>
      </c>
    </row>
    <row r="7493" spans="2:7" x14ac:dyDescent="0.25">
      <c r="B7493" s="6"/>
      <c r="C7493" s="7"/>
      <c r="D7493" s="7"/>
      <c r="E7493" s="8"/>
      <c r="F7493" t="str">
        <f t="shared" si="261"/>
        <v/>
      </c>
      <c r="G7493" t="str">
        <f t="shared" si="262"/>
        <v/>
      </c>
    </row>
    <row r="7494" spans="2:7" x14ac:dyDescent="0.25">
      <c r="B7494" s="6"/>
      <c r="C7494" s="7"/>
      <c r="D7494" s="7"/>
      <c r="E7494" s="8"/>
      <c r="F7494" t="str">
        <f t="shared" si="261"/>
        <v/>
      </c>
      <c r="G7494" t="str">
        <f t="shared" si="262"/>
        <v/>
      </c>
    </row>
    <row r="7495" spans="2:7" x14ac:dyDescent="0.25">
      <c r="B7495" s="6"/>
      <c r="C7495" s="7"/>
      <c r="D7495" s="7"/>
      <c r="E7495" s="8"/>
      <c r="F7495" t="str">
        <f t="shared" si="261"/>
        <v/>
      </c>
      <c r="G7495" t="str">
        <f t="shared" si="262"/>
        <v/>
      </c>
    </row>
    <row r="7496" spans="2:7" x14ac:dyDescent="0.25">
      <c r="B7496" s="6"/>
      <c r="C7496" s="7"/>
      <c r="D7496" s="7"/>
      <c r="E7496" s="8"/>
      <c r="F7496" t="str">
        <f t="shared" si="261"/>
        <v/>
      </c>
      <c r="G7496" t="str">
        <f t="shared" si="262"/>
        <v/>
      </c>
    </row>
    <row r="7497" spans="2:7" x14ac:dyDescent="0.25">
      <c r="B7497" s="6"/>
      <c r="C7497" s="7"/>
      <c r="D7497" s="7"/>
      <c r="E7497" s="8"/>
      <c r="F7497" t="str">
        <f t="shared" si="261"/>
        <v/>
      </c>
      <c r="G7497" t="str">
        <f t="shared" si="262"/>
        <v/>
      </c>
    </row>
    <row r="7498" spans="2:7" x14ac:dyDescent="0.25">
      <c r="B7498" s="6"/>
      <c r="C7498" s="7"/>
      <c r="D7498" s="7"/>
      <c r="E7498" s="8"/>
      <c r="F7498" t="str">
        <f t="shared" si="261"/>
        <v/>
      </c>
      <c r="G7498" t="str">
        <f t="shared" si="262"/>
        <v/>
      </c>
    </row>
    <row r="7499" spans="2:7" x14ac:dyDescent="0.25">
      <c r="B7499" s="6"/>
      <c r="C7499" s="7"/>
      <c r="D7499" s="7"/>
      <c r="E7499" s="8"/>
      <c r="F7499" t="str">
        <f t="shared" si="261"/>
        <v/>
      </c>
      <c r="G7499" t="str">
        <f t="shared" si="262"/>
        <v/>
      </c>
    </row>
    <row r="7500" spans="2:7" x14ac:dyDescent="0.25">
      <c r="B7500" s="6"/>
      <c r="C7500" s="7"/>
      <c r="D7500" s="7"/>
      <c r="E7500" s="8"/>
      <c r="F7500" t="str">
        <f t="shared" si="261"/>
        <v/>
      </c>
      <c r="G7500" t="str">
        <f t="shared" si="262"/>
        <v/>
      </c>
    </row>
    <row r="7501" spans="2:7" x14ac:dyDescent="0.25">
      <c r="B7501" s="6"/>
      <c r="C7501" s="7"/>
      <c r="D7501" s="7"/>
      <c r="E7501" s="8"/>
      <c r="F7501" t="str">
        <f t="shared" si="261"/>
        <v/>
      </c>
      <c r="G7501" t="str">
        <f t="shared" si="262"/>
        <v/>
      </c>
    </row>
    <row r="7502" spans="2:7" x14ac:dyDescent="0.25">
      <c r="B7502" s="6"/>
      <c r="C7502" s="7"/>
      <c r="D7502" s="7"/>
      <c r="E7502" s="8"/>
      <c r="F7502" t="str">
        <f t="shared" si="261"/>
        <v/>
      </c>
      <c r="G7502" t="str">
        <f t="shared" si="262"/>
        <v/>
      </c>
    </row>
    <row r="7503" spans="2:7" x14ac:dyDescent="0.25">
      <c r="B7503" s="6"/>
      <c r="C7503" s="7"/>
      <c r="D7503" s="7"/>
      <c r="E7503" s="8"/>
      <c r="F7503" t="str">
        <f t="shared" si="261"/>
        <v/>
      </c>
      <c r="G7503" t="str">
        <f t="shared" si="262"/>
        <v/>
      </c>
    </row>
    <row r="7504" spans="2:7" x14ac:dyDescent="0.25">
      <c r="B7504" s="6"/>
      <c r="C7504" s="7"/>
      <c r="D7504" s="7"/>
      <c r="E7504" s="8"/>
      <c r="F7504" t="str">
        <f t="shared" si="261"/>
        <v/>
      </c>
      <c r="G7504" t="str">
        <f t="shared" si="262"/>
        <v/>
      </c>
    </row>
    <row r="7505" spans="2:7" x14ac:dyDescent="0.25">
      <c r="B7505" s="6"/>
      <c r="C7505" s="7"/>
      <c r="D7505" s="7"/>
      <c r="E7505" s="8"/>
      <c r="F7505" t="str">
        <f t="shared" si="261"/>
        <v/>
      </c>
      <c r="G7505" t="str">
        <f t="shared" si="262"/>
        <v/>
      </c>
    </row>
    <row r="7506" spans="2:7" x14ac:dyDescent="0.25">
      <c r="B7506" s="6"/>
      <c r="C7506" s="7"/>
      <c r="D7506" s="7"/>
      <c r="E7506" s="8"/>
      <c r="F7506" t="str">
        <f t="shared" si="261"/>
        <v/>
      </c>
      <c r="G7506" t="str">
        <f t="shared" si="262"/>
        <v/>
      </c>
    </row>
    <row r="7507" spans="2:7" x14ac:dyDescent="0.25">
      <c r="B7507" s="6"/>
      <c r="C7507" s="7"/>
      <c r="D7507" s="7"/>
      <c r="E7507" s="8"/>
      <c r="F7507" t="str">
        <f t="shared" si="261"/>
        <v/>
      </c>
      <c r="G7507" t="str">
        <f t="shared" si="262"/>
        <v/>
      </c>
    </row>
    <row r="7508" spans="2:7" x14ac:dyDescent="0.25">
      <c r="B7508" s="6"/>
      <c r="C7508" s="7"/>
      <c r="D7508" s="7"/>
      <c r="E7508" s="8"/>
      <c r="F7508" t="str">
        <f t="shared" si="261"/>
        <v/>
      </c>
      <c r="G7508" t="str">
        <f t="shared" si="262"/>
        <v/>
      </c>
    </row>
    <row r="7509" spans="2:7" x14ac:dyDescent="0.25">
      <c r="B7509" s="6"/>
      <c r="C7509" s="7"/>
      <c r="D7509" s="7"/>
      <c r="E7509" s="8"/>
      <c r="F7509" t="str">
        <f t="shared" si="261"/>
        <v/>
      </c>
      <c r="G7509" t="str">
        <f t="shared" si="262"/>
        <v/>
      </c>
    </row>
    <row r="7510" spans="2:7" x14ac:dyDescent="0.25">
      <c r="B7510" s="6"/>
      <c r="C7510" s="7"/>
      <c r="D7510" s="7"/>
      <c r="E7510" s="8"/>
      <c r="F7510" t="str">
        <f t="shared" si="261"/>
        <v/>
      </c>
      <c r="G7510" t="str">
        <f t="shared" si="262"/>
        <v/>
      </c>
    </row>
    <row r="7511" spans="2:7" x14ac:dyDescent="0.25">
      <c r="B7511" s="6"/>
      <c r="C7511" s="7"/>
      <c r="D7511" s="7"/>
      <c r="E7511" s="8"/>
      <c r="F7511" t="str">
        <f t="shared" si="261"/>
        <v/>
      </c>
      <c r="G7511" t="str">
        <f t="shared" si="262"/>
        <v/>
      </c>
    </row>
    <row r="7512" spans="2:7" x14ac:dyDescent="0.25">
      <c r="B7512" s="6"/>
      <c r="C7512" s="7"/>
      <c r="D7512" s="7"/>
      <c r="E7512" s="8"/>
      <c r="F7512" t="str">
        <f t="shared" si="261"/>
        <v/>
      </c>
      <c r="G7512" t="str">
        <f t="shared" si="262"/>
        <v/>
      </c>
    </row>
    <row r="7513" spans="2:7" x14ac:dyDescent="0.25">
      <c r="B7513" s="6"/>
      <c r="C7513" s="7"/>
      <c r="D7513" s="7"/>
      <c r="E7513" s="8"/>
      <c r="F7513" t="str">
        <f t="shared" si="261"/>
        <v/>
      </c>
      <c r="G7513" t="str">
        <f t="shared" si="262"/>
        <v/>
      </c>
    </row>
    <row r="7514" spans="2:7" x14ac:dyDescent="0.25">
      <c r="B7514" s="6"/>
      <c r="C7514" s="7"/>
      <c r="D7514" s="7"/>
      <c r="E7514" s="8"/>
      <c r="F7514" t="str">
        <f t="shared" si="261"/>
        <v/>
      </c>
      <c r="G7514" t="str">
        <f t="shared" si="262"/>
        <v/>
      </c>
    </row>
    <row r="7515" spans="2:7" x14ac:dyDescent="0.25">
      <c r="B7515" s="6"/>
      <c r="C7515" s="7"/>
      <c r="D7515" s="7"/>
      <c r="E7515" s="8"/>
      <c r="F7515" t="str">
        <f t="shared" si="261"/>
        <v/>
      </c>
      <c r="G7515" t="str">
        <f t="shared" si="262"/>
        <v/>
      </c>
    </row>
    <row r="7516" spans="2:7" x14ac:dyDescent="0.25">
      <c r="B7516" s="6"/>
      <c r="C7516" s="7"/>
      <c r="D7516" s="7"/>
      <c r="E7516" s="8"/>
      <c r="F7516" t="str">
        <f t="shared" si="261"/>
        <v/>
      </c>
      <c r="G7516" t="str">
        <f t="shared" si="262"/>
        <v/>
      </c>
    </row>
    <row r="7517" spans="2:7" x14ac:dyDescent="0.25">
      <c r="B7517" s="6"/>
      <c r="C7517" s="7"/>
      <c r="D7517" s="7"/>
      <c r="E7517" s="8"/>
      <c r="F7517" t="str">
        <f t="shared" si="261"/>
        <v/>
      </c>
      <c r="G7517" t="str">
        <f t="shared" si="262"/>
        <v/>
      </c>
    </row>
    <row r="7518" spans="2:7" x14ac:dyDescent="0.25">
      <c r="B7518" s="6"/>
      <c r="C7518" s="7"/>
      <c r="D7518" s="7"/>
      <c r="E7518" s="8"/>
      <c r="F7518" t="str">
        <f t="shared" si="261"/>
        <v/>
      </c>
      <c r="G7518" t="str">
        <f t="shared" si="262"/>
        <v/>
      </c>
    </row>
    <row r="7519" spans="2:7" x14ac:dyDescent="0.25">
      <c r="B7519" s="6"/>
      <c r="C7519" s="7"/>
      <c r="D7519" s="7"/>
      <c r="E7519" s="8"/>
      <c r="F7519" t="str">
        <f t="shared" si="261"/>
        <v/>
      </c>
      <c r="G7519" t="str">
        <f t="shared" si="262"/>
        <v/>
      </c>
    </row>
    <row r="7520" spans="2:7" x14ac:dyDescent="0.25">
      <c r="B7520" s="6"/>
      <c r="C7520" s="7"/>
      <c r="D7520" s="7"/>
      <c r="E7520" s="8"/>
      <c r="F7520" t="str">
        <f t="shared" si="261"/>
        <v/>
      </c>
      <c r="G7520" t="str">
        <f t="shared" si="262"/>
        <v/>
      </c>
    </row>
    <row r="7521" spans="2:7" x14ac:dyDescent="0.25">
      <c r="B7521" s="6"/>
      <c r="C7521" s="7"/>
      <c r="D7521" s="7"/>
      <c r="E7521" s="8"/>
      <c r="F7521" t="str">
        <f t="shared" si="261"/>
        <v/>
      </c>
      <c r="G7521" t="str">
        <f t="shared" si="262"/>
        <v/>
      </c>
    </row>
    <row r="7522" spans="2:7" x14ac:dyDescent="0.25">
      <c r="B7522" s="6"/>
      <c r="C7522" s="7"/>
      <c r="D7522" s="7"/>
      <c r="E7522" s="8"/>
      <c r="F7522" t="str">
        <f t="shared" si="261"/>
        <v/>
      </c>
      <c r="G7522" t="str">
        <f t="shared" si="262"/>
        <v/>
      </c>
    </row>
    <row r="7523" spans="2:7" x14ac:dyDescent="0.25">
      <c r="B7523" s="6"/>
      <c r="C7523" s="7"/>
      <c r="D7523" s="7"/>
      <c r="E7523" s="8"/>
      <c r="F7523" t="str">
        <f t="shared" si="261"/>
        <v/>
      </c>
      <c r="G7523" t="str">
        <f t="shared" si="262"/>
        <v/>
      </c>
    </row>
    <row r="7524" spans="2:7" x14ac:dyDescent="0.25">
      <c r="B7524" s="6"/>
      <c r="C7524" s="7"/>
      <c r="D7524" s="7"/>
      <c r="E7524" s="8"/>
      <c r="F7524" t="str">
        <f t="shared" si="261"/>
        <v/>
      </c>
      <c r="G7524" t="str">
        <f t="shared" si="262"/>
        <v/>
      </c>
    </row>
    <row r="7525" spans="2:7" x14ac:dyDescent="0.25">
      <c r="B7525" s="6"/>
      <c r="C7525" s="7"/>
      <c r="D7525" s="7"/>
      <c r="E7525" s="8"/>
      <c r="F7525" t="str">
        <f t="shared" si="261"/>
        <v/>
      </c>
      <c r="G7525" t="str">
        <f t="shared" si="262"/>
        <v/>
      </c>
    </row>
    <row r="7526" spans="2:7" x14ac:dyDescent="0.25">
      <c r="B7526" s="6"/>
      <c r="C7526" s="7"/>
      <c r="D7526" s="7"/>
      <c r="E7526" s="8"/>
      <c r="F7526" t="str">
        <f t="shared" si="261"/>
        <v/>
      </c>
      <c r="G7526" t="str">
        <f t="shared" si="262"/>
        <v/>
      </c>
    </row>
    <row r="7527" spans="2:7" x14ac:dyDescent="0.25">
      <c r="B7527" s="6"/>
      <c r="C7527" s="7"/>
      <c r="D7527" s="7"/>
      <c r="E7527" s="8"/>
      <c r="F7527" t="str">
        <f t="shared" si="261"/>
        <v/>
      </c>
      <c r="G7527" t="str">
        <f t="shared" si="262"/>
        <v/>
      </c>
    </row>
    <row r="7528" spans="2:7" x14ac:dyDescent="0.25">
      <c r="B7528" s="6"/>
      <c r="C7528" s="7"/>
      <c r="D7528" s="7"/>
      <c r="E7528" s="8"/>
      <c r="F7528" t="str">
        <f t="shared" si="261"/>
        <v/>
      </c>
      <c r="G7528" t="str">
        <f t="shared" si="262"/>
        <v/>
      </c>
    </row>
    <row r="7529" spans="2:7" x14ac:dyDescent="0.25">
      <c r="B7529" s="6"/>
      <c r="C7529" s="7"/>
      <c r="D7529" s="7"/>
      <c r="E7529" s="8"/>
      <c r="F7529" t="str">
        <f t="shared" si="261"/>
        <v/>
      </c>
      <c r="G7529" t="str">
        <f t="shared" si="262"/>
        <v/>
      </c>
    </row>
    <row r="7530" spans="2:7" x14ac:dyDescent="0.25">
      <c r="B7530" s="6"/>
      <c r="C7530" s="7"/>
      <c r="D7530" s="7"/>
      <c r="E7530" s="8"/>
      <c r="F7530" t="str">
        <f t="shared" si="261"/>
        <v/>
      </c>
      <c r="G7530" t="str">
        <f t="shared" si="262"/>
        <v/>
      </c>
    </row>
    <row r="7531" spans="2:7" x14ac:dyDescent="0.25">
      <c r="B7531" s="6"/>
      <c r="C7531" s="7"/>
      <c r="D7531" s="7"/>
      <c r="E7531" s="8"/>
      <c r="F7531" t="str">
        <f t="shared" si="261"/>
        <v/>
      </c>
      <c r="G7531" t="str">
        <f t="shared" si="262"/>
        <v/>
      </c>
    </row>
    <row r="7532" spans="2:7" x14ac:dyDescent="0.25">
      <c r="B7532" s="6"/>
      <c r="C7532" s="7"/>
      <c r="D7532" s="7"/>
      <c r="E7532" s="8"/>
      <c r="F7532" t="str">
        <f t="shared" si="261"/>
        <v/>
      </c>
      <c r="G7532" t="str">
        <f t="shared" si="262"/>
        <v/>
      </c>
    </row>
    <row r="7533" spans="2:7" x14ac:dyDescent="0.25">
      <c r="B7533" s="6"/>
      <c r="C7533" s="7"/>
      <c r="D7533" s="7"/>
      <c r="E7533" s="8"/>
      <c r="F7533" t="str">
        <f t="shared" si="261"/>
        <v/>
      </c>
      <c r="G7533" t="str">
        <f t="shared" si="262"/>
        <v/>
      </c>
    </row>
    <row r="7534" spans="2:7" x14ac:dyDescent="0.25">
      <c r="B7534" s="6"/>
      <c r="C7534" s="7"/>
      <c r="D7534" s="7"/>
      <c r="E7534" s="8"/>
      <c r="F7534" t="str">
        <f t="shared" si="261"/>
        <v/>
      </c>
      <c r="G7534" t="str">
        <f t="shared" si="262"/>
        <v/>
      </c>
    </row>
    <row r="7535" spans="2:7" x14ac:dyDescent="0.25">
      <c r="B7535" s="6"/>
      <c r="C7535" s="7"/>
      <c r="D7535" s="7"/>
      <c r="E7535" s="8"/>
      <c r="F7535" t="str">
        <f t="shared" si="261"/>
        <v/>
      </c>
      <c r="G7535" t="str">
        <f t="shared" si="262"/>
        <v/>
      </c>
    </row>
    <row r="7536" spans="2:7" x14ac:dyDescent="0.25">
      <c r="B7536" s="6"/>
      <c r="C7536" s="7"/>
      <c r="D7536" s="7"/>
      <c r="E7536" s="8"/>
      <c r="F7536" t="str">
        <f t="shared" si="261"/>
        <v/>
      </c>
      <c r="G7536" t="str">
        <f t="shared" si="262"/>
        <v/>
      </c>
    </row>
    <row r="7537" spans="2:7" x14ac:dyDescent="0.25">
      <c r="B7537" s="6"/>
      <c r="C7537" s="7"/>
      <c r="D7537" s="7"/>
      <c r="E7537" s="8"/>
      <c r="F7537" t="str">
        <f t="shared" si="261"/>
        <v/>
      </c>
      <c r="G7537" t="str">
        <f t="shared" si="262"/>
        <v/>
      </c>
    </row>
    <row r="7538" spans="2:7" x14ac:dyDescent="0.25">
      <c r="B7538" s="6"/>
      <c r="C7538" s="7"/>
      <c r="D7538" s="7"/>
      <c r="E7538" s="8"/>
      <c r="F7538" t="str">
        <f t="shared" si="261"/>
        <v/>
      </c>
      <c r="G7538" t="str">
        <f t="shared" si="262"/>
        <v/>
      </c>
    </row>
    <row r="7539" spans="2:7" x14ac:dyDescent="0.25">
      <c r="B7539" s="6"/>
      <c r="C7539" s="7"/>
      <c r="D7539" s="7"/>
      <c r="E7539" s="8"/>
      <c r="F7539" t="str">
        <f t="shared" si="261"/>
        <v/>
      </c>
      <c r="G7539" t="str">
        <f t="shared" si="262"/>
        <v/>
      </c>
    </row>
    <row r="7540" spans="2:7" x14ac:dyDescent="0.25">
      <c r="B7540" s="6"/>
      <c r="C7540" s="7"/>
      <c r="D7540" s="7"/>
      <c r="E7540" s="8"/>
      <c r="F7540" t="str">
        <f t="shared" si="261"/>
        <v/>
      </c>
      <c r="G7540" t="str">
        <f t="shared" si="262"/>
        <v/>
      </c>
    </row>
    <row r="7541" spans="2:7" x14ac:dyDescent="0.25">
      <c r="B7541" s="6"/>
      <c r="C7541" s="7"/>
      <c r="D7541" s="7"/>
      <c r="E7541" s="8"/>
      <c r="F7541" t="str">
        <f t="shared" si="261"/>
        <v/>
      </c>
      <c r="G7541" t="str">
        <f t="shared" si="262"/>
        <v/>
      </c>
    </row>
    <row r="7542" spans="2:7" x14ac:dyDescent="0.25">
      <c r="B7542" s="6"/>
      <c r="C7542" s="7"/>
      <c r="D7542" s="7"/>
      <c r="E7542" s="8"/>
      <c r="F7542" t="str">
        <f t="shared" si="261"/>
        <v/>
      </c>
      <c r="G7542" t="str">
        <f t="shared" si="262"/>
        <v/>
      </c>
    </row>
    <row r="7543" spans="2:7" x14ac:dyDescent="0.25">
      <c r="B7543" s="6"/>
      <c r="C7543" s="7"/>
      <c r="D7543" s="7"/>
      <c r="E7543" s="8"/>
      <c r="F7543" t="str">
        <f t="shared" si="261"/>
        <v/>
      </c>
      <c r="G7543" t="str">
        <f t="shared" si="262"/>
        <v/>
      </c>
    </row>
    <row r="7544" spans="2:7" x14ac:dyDescent="0.25">
      <c r="B7544" s="6"/>
      <c r="C7544" s="7"/>
      <c r="D7544" s="7"/>
      <c r="E7544" s="8"/>
      <c r="F7544" t="str">
        <f t="shared" si="261"/>
        <v/>
      </c>
      <c r="G7544" t="str">
        <f t="shared" si="262"/>
        <v/>
      </c>
    </row>
    <row r="7545" spans="2:7" x14ac:dyDescent="0.25">
      <c r="B7545" s="6"/>
      <c r="C7545" s="7"/>
      <c r="D7545" s="7"/>
      <c r="E7545" s="8"/>
      <c r="F7545" t="str">
        <f t="shared" si="261"/>
        <v/>
      </c>
      <c r="G7545" t="str">
        <f t="shared" si="262"/>
        <v/>
      </c>
    </row>
    <row r="7546" spans="2:7" x14ac:dyDescent="0.25">
      <c r="B7546" s="6"/>
      <c r="C7546" s="7"/>
      <c r="D7546" s="7"/>
      <c r="E7546" s="8"/>
      <c r="F7546" t="str">
        <f t="shared" si="261"/>
        <v/>
      </c>
      <c r="G7546" t="str">
        <f t="shared" si="262"/>
        <v/>
      </c>
    </row>
    <row r="7547" spans="2:7" x14ac:dyDescent="0.25">
      <c r="B7547" s="6"/>
      <c r="C7547" s="7"/>
      <c r="D7547" s="7"/>
      <c r="E7547" s="8"/>
      <c r="F7547" t="str">
        <f t="shared" si="261"/>
        <v/>
      </c>
      <c r="G7547" t="str">
        <f t="shared" si="262"/>
        <v/>
      </c>
    </row>
    <row r="7548" spans="2:7" x14ac:dyDescent="0.25">
      <c r="B7548" s="6"/>
      <c r="C7548" s="7"/>
      <c r="D7548" s="7"/>
      <c r="E7548" s="8"/>
      <c r="F7548" t="str">
        <f t="shared" si="261"/>
        <v/>
      </c>
      <c r="G7548" t="str">
        <f t="shared" si="262"/>
        <v/>
      </c>
    </row>
    <row r="7549" spans="2:7" x14ac:dyDescent="0.25">
      <c r="B7549" s="6"/>
      <c r="C7549" s="7"/>
      <c r="D7549" s="7"/>
      <c r="E7549" s="8"/>
      <c r="F7549" t="str">
        <f t="shared" si="261"/>
        <v/>
      </c>
      <c r="G7549" t="str">
        <f t="shared" si="262"/>
        <v/>
      </c>
    </row>
    <row r="7550" spans="2:7" x14ac:dyDescent="0.25">
      <c r="B7550" s="6"/>
      <c r="C7550" s="7"/>
      <c r="D7550" s="7"/>
      <c r="E7550" s="8"/>
      <c r="F7550" t="str">
        <f t="shared" si="261"/>
        <v/>
      </c>
      <c r="G7550" t="str">
        <f t="shared" si="262"/>
        <v/>
      </c>
    </row>
    <row r="7551" spans="2:7" x14ac:dyDescent="0.25">
      <c r="B7551" s="6"/>
      <c r="C7551" s="7"/>
      <c r="D7551" s="7"/>
      <c r="E7551" s="8"/>
      <c r="F7551" t="str">
        <f t="shared" si="261"/>
        <v/>
      </c>
      <c r="G7551" t="str">
        <f t="shared" si="262"/>
        <v/>
      </c>
    </row>
    <row r="7552" spans="2:7" x14ac:dyDescent="0.25">
      <c r="B7552" s="6"/>
      <c r="C7552" s="7"/>
      <c r="D7552" s="7"/>
      <c r="E7552" s="8"/>
      <c r="F7552" t="str">
        <f t="shared" si="261"/>
        <v/>
      </c>
      <c r="G7552" t="str">
        <f t="shared" si="262"/>
        <v/>
      </c>
    </row>
    <row r="7553" spans="2:7" x14ac:dyDescent="0.25">
      <c r="B7553" s="6"/>
      <c r="C7553" s="7"/>
      <c r="D7553" s="7"/>
      <c r="E7553" s="8"/>
      <c r="F7553" t="str">
        <f t="shared" si="261"/>
        <v/>
      </c>
      <c r="G7553" t="str">
        <f t="shared" si="262"/>
        <v/>
      </c>
    </row>
    <row r="7554" spans="2:7" x14ac:dyDescent="0.25">
      <c r="B7554" s="6"/>
      <c r="C7554" s="7"/>
      <c r="D7554" s="7"/>
      <c r="E7554" s="8"/>
      <c r="F7554" t="str">
        <f t="shared" si="261"/>
        <v/>
      </c>
      <c r="G7554" t="str">
        <f t="shared" si="262"/>
        <v/>
      </c>
    </row>
    <row r="7555" spans="2:7" x14ac:dyDescent="0.25">
      <c r="B7555" s="6"/>
      <c r="C7555" s="7"/>
      <c r="D7555" s="7"/>
      <c r="E7555" s="8"/>
      <c r="F7555" t="str">
        <f t="shared" si="261"/>
        <v/>
      </c>
      <c r="G7555" t="str">
        <f t="shared" si="262"/>
        <v/>
      </c>
    </row>
    <row r="7556" spans="2:7" x14ac:dyDescent="0.25">
      <c r="B7556" s="6"/>
      <c r="C7556" s="7"/>
      <c r="D7556" s="7"/>
      <c r="E7556" s="8"/>
      <c r="F7556" t="str">
        <f t="shared" ref="F7556:F7619" si="263">IF(B7556="","",LOG10(D7556))</f>
        <v/>
      </c>
      <c r="G7556" t="str">
        <f t="shared" ref="G7556:G7619" si="264">IF(E7556="", "",0.434*E7556/D7556)</f>
        <v/>
      </c>
    </row>
    <row r="7557" spans="2:7" x14ac:dyDescent="0.25">
      <c r="B7557" s="6"/>
      <c r="C7557" s="7"/>
      <c r="D7557" s="7"/>
      <c r="E7557" s="8"/>
      <c r="F7557" t="str">
        <f t="shared" si="263"/>
        <v/>
      </c>
      <c r="G7557" t="str">
        <f t="shared" si="264"/>
        <v/>
      </c>
    </row>
    <row r="7558" spans="2:7" x14ac:dyDescent="0.25">
      <c r="B7558" s="6"/>
      <c r="C7558" s="7"/>
      <c r="D7558" s="7"/>
      <c r="E7558" s="8"/>
      <c r="F7558" t="str">
        <f t="shared" si="263"/>
        <v/>
      </c>
      <c r="G7558" t="str">
        <f t="shared" si="264"/>
        <v/>
      </c>
    </row>
    <row r="7559" spans="2:7" x14ac:dyDescent="0.25">
      <c r="B7559" s="6"/>
      <c r="C7559" s="7"/>
      <c r="D7559" s="7"/>
      <c r="E7559" s="8"/>
      <c r="F7559" t="str">
        <f t="shared" si="263"/>
        <v/>
      </c>
      <c r="G7559" t="str">
        <f t="shared" si="264"/>
        <v/>
      </c>
    </row>
    <row r="7560" spans="2:7" x14ac:dyDescent="0.25">
      <c r="B7560" s="6"/>
      <c r="C7560" s="7"/>
      <c r="D7560" s="7"/>
      <c r="E7560" s="8"/>
      <c r="F7560" t="str">
        <f t="shared" si="263"/>
        <v/>
      </c>
      <c r="G7560" t="str">
        <f t="shared" si="264"/>
        <v/>
      </c>
    </row>
    <row r="7561" spans="2:7" x14ac:dyDescent="0.25">
      <c r="B7561" s="6"/>
      <c r="C7561" s="7"/>
      <c r="D7561" s="7"/>
      <c r="E7561" s="8"/>
      <c r="F7561" t="str">
        <f t="shared" si="263"/>
        <v/>
      </c>
      <c r="G7561" t="str">
        <f t="shared" si="264"/>
        <v/>
      </c>
    </row>
    <row r="7562" spans="2:7" x14ac:dyDescent="0.25">
      <c r="B7562" s="6"/>
      <c r="C7562" s="7"/>
      <c r="D7562" s="7"/>
      <c r="E7562" s="8"/>
      <c r="F7562" t="str">
        <f t="shared" si="263"/>
        <v/>
      </c>
      <c r="G7562" t="str">
        <f t="shared" si="264"/>
        <v/>
      </c>
    </row>
    <row r="7563" spans="2:7" x14ac:dyDescent="0.25">
      <c r="B7563" s="6"/>
      <c r="C7563" s="7"/>
      <c r="D7563" s="7"/>
      <c r="E7563" s="8"/>
      <c r="F7563" t="str">
        <f t="shared" si="263"/>
        <v/>
      </c>
      <c r="G7563" t="str">
        <f t="shared" si="264"/>
        <v/>
      </c>
    </row>
    <row r="7564" spans="2:7" x14ac:dyDescent="0.25">
      <c r="B7564" s="6"/>
      <c r="C7564" s="7"/>
      <c r="D7564" s="7"/>
      <c r="E7564" s="8"/>
      <c r="F7564" t="str">
        <f t="shared" si="263"/>
        <v/>
      </c>
      <c r="G7564" t="str">
        <f t="shared" si="264"/>
        <v/>
      </c>
    </row>
    <row r="7565" spans="2:7" x14ac:dyDescent="0.25">
      <c r="B7565" s="6"/>
      <c r="C7565" s="7"/>
      <c r="D7565" s="7"/>
      <c r="E7565" s="8"/>
      <c r="F7565" t="str">
        <f t="shared" si="263"/>
        <v/>
      </c>
      <c r="G7565" t="str">
        <f t="shared" si="264"/>
        <v/>
      </c>
    </row>
    <row r="7566" spans="2:7" x14ac:dyDescent="0.25">
      <c r="B7566" s="6"/>
      <c r="C7566" s="7"/>
      <c r="D7566" s="7"/>
      <c r="E7566" s="8"/>
      <c r="F7566" t="str">
        <f t="shared" si="263"/>
        <v/>
      </c>
      <c r="G7566" t="str">
        <f t="shared" si="264"/>
        <v/>
      </c>
    </row>
    <row r="7567" spans="2:7" x14ac:dyDescent="0.25">
      <c r="B7567" s="6"/>
      <c r="C7567" s="7"/>
      <c r="D7567" s="7"/>
      <c r="E7567" s="8"/>
      <c r="F7567" t="str">
        <f t="shared" si="263"/>
        <v/>
      </c>
      <c r="G7567" t="str">
        <f t="shared" si="264"/>
        <v/>
      </c>
    </row>
    <row r="7568" spans="2:7" x14ac:dyDescent="0.25">
      <c r="B7568" s="6"/>
      <c r="C7568" s="7"/>
      <c r="D7568" s="7"/>
      <c r="E7568" s="8"/>
      <c r="F7568" t="str">
        <f t="shared" si="263"/>
        <v/>
      </c>
      <c r="G7568" t="str">
        <f t="shared" si="264"/>
        <v/>
      </c>
    </row>
    <row r="7569" spans="2:7" x14ac:dyDescent="0.25">
      <c r="B7569" s="6"/>
      <c r="C7569" s="7"/>
      <c r="D7569" s="7"/>
      <c r="E7569" s="8"/>
      <c r="F7569" t="str">
        <f t="shared" si="263"/>
        <v/>
      </c>
      <c r="G7569" t="str">
        <f t="shared" si="264"/>
        <v/>
      </c>
    </row>
    <row r="7570" spans="2:7" x14ac:dyDescent="0.25">
      <c r="B7570" s="6"/>
      <c r="C7570" s="7"/>
      <c r="D7570" s="7"/>
      <c r="E7570" s="8"/>
      <c r="F7570" t="str">
        <f t="shared" si="263"/>
        <v/>
      </c>
      <c r="G7570" t="str">
        <f t="shared" si="264"/>
        <v/>
      </c>
    </row>
    <row r="7571" spans="2:7" x14ac:dyDescent="0.25">
      <c r="B7571" s="6"/>
      <c r="C7571" s="7"/>
      <c r="D7571" s="7"/>
      <c r="E7571" s="8"/>
      <c r="F7571" t="str">
        <f t="shared" si="263"/>
        <v/>
      </c>
      <c r="G7571" t="str">
        <f t="shared" si="264"/>
        <v/>
      </c>
    </row>
    <row r="7572" spans="2:7" x14ac:dyDescent="0.25">
      <c r="B7572" s="6"/>
      <c r="C7572" s="7"/>
      <c r="D7572" s="7"/>
      <c r="E7572" s="8"/>
      <c r="F7572" t="str">
        <f t="shared" si="263"/>
        <v/>
      </c>
      <c r="G7572" t="str">
        <f t="shared" si="264"/>
        <v/>
      </c>
    </row>
    <row r="7573" spans="2:7" x14ac:dyDescent="0.25">
      <c r="B7573" s="6"/>
      <c r="C7573" s="7"/>
      <c r="D7573" s="7"/>
      <c r="E7573" s="8"/>
      <c r="F7573" t="str">
        <f t="shared" si="263"/>
        <v/>
      </c>
      <c r="G7573" t="str">
        <f t="shared" si="264"/>
        <v/>
      </c>
    </row>
    <row r="7574" spans="2:7" x14ac:dyDescent="0.25">
      <c r="B7574" s="6"/>
      <c r="C7574" s="7"/>
      <c r="D7574" s="7"/>
      <c r="E7574" s="8"/>
      <c r="F7574" t="str">
        <f t="shared" si="263"/>
        <v/>
      </c>
      <c r="G7574" t="str">
        <f t="shared" si="264"/>
        <v/>
      </c>
    </row>
    <row r="7575" spans="2:7" x14ac:dyDescent="0.25">
      <c r="B7575" s="6"/>
      <c r="C7575" s="7"/>
      <c r="D7575" s="7"/>
      <c r="E7575" s="8"/>
      <c r="F7575" t="str">
        <f t="shared" si="263"/>
        <v/>
      </c>
      <c r="G7575" t="str">
        <f t="shared" si="264"/>
        <v/>
      </c>
    </row>
    <row r="7576" spans="2:7" x14ac:dyDescent="0.25">
      <c r="B7576" s="6"/>
      <c r="C7576" s="7"/>
      <c r="D7576" s="7"/>
      <c r="E7576" s="8"/>
      <c r="F7576" t="str">
        <f t="shared" si="263"/>
        <v/>
      </c>
      <c r="G7576" t="str">
        <f t="shared" si="264"/>
        <v/>
      </c>
    </row>
    <row r="7577" spans="2:7" x14ac:dyDescent="0.25">
      <c r="B7577" s="6"/>
      <c r="C7577" s="7"/>
      <c r="D7577" s="7"/>
      <c r="E7577" s="8"/>
      <c r="F7577" t="str">
        <f t="shared" si="263"/>
        <v/>
      </c>
      <c r="G7577" t="str">
        <f t="shared" si="264"/>
        <v/>
      </c>
    </row>
    <row r="7578" spans="2:7" x14ac:dyDescent="0.25">
      <c r="B7578" s="6"/>
      <c r="C7578" s="7"/>
      <c r="D7578" s="7"/>
      <c r="E7578" s="8"/>
      <c r="F7578" t="str">
        <f t="shared" si="263"/>
        <v/>
      </c>
      <c r="G7578" t="str">
        <f t="shared" si="264"/>
        <v/>
      </c>
    </row>
    <row r="7579" spans="2:7" x14ac:dyDescent="0.25">
      <c r="B7579" s="6"/>
      <c r="C7579" s="7"/>
      <c r="D7579" s="7"/>
      <c r="E7579" s="8"/>
      <c r="F7579" t="str">
        <f t="shared" si="263"/>
        <v/>
      </c>
      <c r="G7579" t="str">
        <f t="shared" si="264"/>
        <v/>
      </c>
    </row>
    <row r="7580" spans="2:7" x14ac:dyDescent="0.25">
      <c r="B7580" s="6"/>
      <c r="C7580" s="7"/>
      <c r="D7580" s="7"/>
      <c r="E7580" s="8"/>
      <c r="F7580" t="str">
        <f t="shared" si="263"/>
        <v/>
      </c>
      <c r="G7580" t="str">
        <f t="shared" si="264"/>
        <v/>
      </c>
    </row>
    <row r="7581" spans="2:7" x14ac:dyDescent="0.25">
      <c r="B7581" s="6"/>
      <c r="C7581" s="7"/>
      <c r="D7581" s="7"/>
      <c r="E7581" s="8"/>
      <c r="F7581" t="str">
        <f t="shared" si="263"/>
        <v/>
      </c>
      <c r="G7581" t="str">
        <f t="shared" si="264"/>
        <v/>
      </c>
    </row>
    <row r="7582" spans="2:7" x14ac:dyDescent="0.25">
      <c r="B7582" s="6"/>
      <c r="C7582" s="7"/>
      <c r="D7582" s="7"/>
      <c r="E7582" s="8"/>
      <c r="F7582" t="str">
        <f t="shared" si="263"/>
        <v/>
      </c>
      <c r="G7582" t="str">
        <f t="shared" si="264"/>
        <v/>
      </c>
    </row>
    <row r="7583" spans="2:7" x14ac:dyDescent="0.25">
      <c r="B7583" s="6"/>
      <c r="C7583" s="7"/>
      <c r="D7583" s="7"/>
      <c r="E7583" s="8"/>
      <c r="F7583" t="str">
        <f t="shared" si="263"/>
        <v/>
      </c>
      <c r="G7583" t="str">
        <f t="shared" si="264"/>
        <v/>
      </c>
    </row>
    <row r="7584" spans="2:7" x14ac:dyDescent="0.25">
      <c r="B7584" s="6"/>
      <c r="C7584" s="7"/>
      <c r="D7584" s="7"/>
      <c r="E7584" s="8"/>
      <c r="F7584" t="str">
        <f t="shared" si="263"/>
        <v/>
      </c>
      <c r="G7584" t="str">
        <f t="shared" si="264"/>
        <v/>
      </c>
    </row>
    <row r="7585" spans="2:7" x14ac:dyDescent="0.25">
      <c r="B7585" s="6"/>
      <c r="C7585" s="7"/>
      <c r="D7585" s="7"/>
      <c r="E7585" s="8"/>
      <c r="F7585" t="str">
        <f t="shared" si="263"/>
        <v/>
      </c>
      <c r="G7585" t="str">
        <f t="shared" si="264"/>
        <v/>
      </c>
    </row>
    <row r="7586" spans="2:7" x14ac:dyDescent="0.25">
      <c r="B7586" s="6"/>
      <c r="C7586" s="7"/>
      <c r="D7586" s="7"/>
      <c r="E7586" s="8"/>
      <c r="F7586" t="str">
        <f t="shared" si="263"/>
        <v/>
      </c>
      <c r="G7586" t="str">
        <f t="shared" si="264"/>
        <v/>
      </c>
    </row>
    <row r="7587" spans="2:7" x14ac:dyDescent="0.25">
      <c r="B7587" s="6"/>
      <c r="C7587" s="7"/>
      <c r="D7587" s="7"/>
      <c r="E7587" s="8"/>
      <c r="F7587" t="str">
        <f t="shared" si="263"/>
        <v/>
      </c>
      <c r="G7587" t="str">
        <f t="shared" si="264"/>
        <v/>
      </c>
    </row>
    <row r="7588" spans="2:7" x14ac:dyDescent="0.25">
      <c r="B7588" s="6"/>
      <c r="C7588" s="7"/>
      <c r="D7588" s="7"/>
      <c r="E7588" s="8"/>
      <c r="F7588" t="str">
        <f t="shared" si="263"/>
        <v/>
      </c>
      <c r="G7588" t="str">
        <f t="shared" si="264"/>
        <v/>
      </c>
    </row>
    <row r="7589" spans="2:7" x14ac:dyDescent="0.25">
      <c r="B7589" s="6"/>
      <c r="C7589" s="7"/>
      <c r="D7589" s="7"/>
      <c r="E7589" s="8"/>
      <c r="F7589" t="str">
        <f t="shared" si="263"/>
        <v/>
      </c>
      <c r="G7589" t="str">
        <f t="shared" si="264"/>
        <v/>
      </c>
    </row>
    <row r="7590" spans="2:7" x14ac:dyDescent="0.25">
      <c r="B7590" s="6"/>
      <c r="C7590" s="7"/>
      <c r="D7590" s="7"/>
      <c r="E7590" s="8"/>
      <c r="F7590" t="str">
        <f t="shared" si="263"/>
        <v/>
      </c>
      <c r="G7590" t="str">
        <f t="shared" si="264"/>
        <v/>
      </c>
    </row>
    <row r="7591" spans="2:7" x14ac:dyDescent="0.25">
      <c r="B7591" s="6"/>
      <c r="C7591" s="7"/>
      <c r="D7591" s="7"/>
      <c r="E7591" s="8"/>
      <c r="F7591" t="str">
        <f t="shared" si="263"/>
        <v/>
      </c>
      <c r="G7591" t="str">
        <f t="shared" si="264"/>
        <v/>
      </c>
    </row>
    <row r="7592" spans="2:7" x14ac:dyDescent="0.25">
      <c r="B7592" s="6"/>
      <c r="C7592" s="7"/>
      <c r="D7592" s="7"/>
      <c r="E7592" s="8"/>
      <c r="F7592" t="str">
        <f t="shared" si="263"/>
        <v/>
      </c>
      <c r="G7592" t="str">
        <f t="shared" si="264"/>
        <v/>
      </c>
    </row>
    <row r="7593" spans="2:7" x14ac:dyDescent="0.25">
      <c r="B7593" s="6"/>
      <c r="C7593" s="7"/>
      <c r="D7593" s="7"/>
      <c r="E7593" s="8"/>
      <c r="F7593" t="str">
        <f t="shared" si="263"/>
        <v/>
      </c>
      <c r="G7593" t="str">
        <f t="shared" si="264"/>
        <v/>
      </c>
    </row>
    <row r="7594" spans="2:7" x14ac:dyDescent="0.25">
      <c r="B7594" s="6"/>
      <c r="C7594" s="7"/>
      <c r="D7594" s="7"/>
      <c r="E7594" s="8"/>
      <c r="F7594" t="str">
        <f t="shared" si="263"/>
        <v/>
      </c>
      <c r="G7594" t="str">
        <f t="shared" si="264"/>
        <v/>
      </c>
    </row>
    <row r="7595" spans="2:7" x14ac:dyDescent="0.25">
      <c r="B7595" s="6"/>
      <c r="C7595" s="7"/>
      <c r="D7595" s="7"/>
      <c r="E7595" s="8"/>
      <c r="F7595" t="str">
        <f t="shared" si="263"/>
        <v/>
      </c>
      <c r="G7595" t="str">
        <f t="shared" si="264"/>
        <v/>
      </c>
    </row>
    <row r="7596" spans="2:7" x14ac:dyDescent="0.25">
      <c r="B7596" s="6"/>
      <c r="C7596" s="7"/>
      <c r="D7596" s="7"/>
      <c r="E7596" s="8"/>
      <c r="F7596" t="str">
        <f t="shared" si="263"/>
        <v/>
      </c>
      <c r="G7596" t="str">
        <f t="shared" si="264"/>
        <v/>
      </c>
    </row>
    <row r="7597" spans="2:7" x14ac:dyDescent="0.25">
      <c r="B7597" s="6"/>
      <c r="C7597" s="7"/>
      <c r="D7597" s="7"/>
      <c r="E7597" s="8"/>
      <c r="F7597" t="str">
        <f t="shared" si="263"/>
        <v/>
      </c>
      <c r="G7597" t="str">
        <f t="shared" si="264"/>
        <v/>
      </c>
    </row>
    <row r="7598" spans="2:7" x14ac:dyDescent="0.25">
      <c r="B7598" s="6"/>
      <c r="C7598" s="7"/>
      <c r="D7598" s="7"/>
      <c r="E7598" s="8"/>
      <c r="F7598" t="str">
        <f t="shared" si="263"/>
        <v/>
      </c>
      <c r="G7598" t="str">
        <f t="shared" si="264"/>
        <v/>
      </c>
    </row>
    <row r="7599" spans="2:7" x14ac:dyDescent="0.25">
      <c r="B7599" s="6"/>
      <c r="C7599" s="7"/>
      <c r="D7599" s="7"/>
      <c r="E7599" s="8"/>
      <c r="F7599" t="str">
        <f t="shared" si="263"/>
        <v/>
      </c>
      <c r="G7599" t="str">
        <f t="shared" si="264"/>
        <v/>
      </c>
    </row>
    <row r="7600" spans="2:7" x14ac:dyDescent="0.25">
      <c r="B7600" s="6"/>
      <c r="C7600" s="7"/>
      <c r="D7600" s="7"/>
      <c r="E7600" s="8"/>
      <c r="F7600" t="str">
        <f t="shared" si="263"/>
        <v/>
      </c>
      <c r="G7600" t="str">
        <f t="shared" si="264"/>
        <v/>
      </c>
    </row>
    <row r="7601" spans="2:7" x14ac:dyDescent="0.25">
      <c r="B7601" s="6"/>
      <c r="C7601" s="7"/>
      <c r="D7601" s="7"/>
      <c r="E7601" s="8"/>
      <c r="F7601" t="str">
        <f t="shared" si="263"/>
        <v/>
      </c>
      <c r="G7601" t="str">
        <f t="shared" si="264"/>
        <v/>
      </c>
    </row>
    <row r="7602" spans="2:7" x14ac:dyDescent="0.25">
      <c r="B7602" s="6"/>
      <c r="C7602" s="7"/>
      <c r="D7602" s="7"/>
      <c r="E7602" s="8"/>
      <c r="F7602" t="str">
        <f t="shared" si="263"/>
        <v/>
      </c>
      <c r="G7602" t="str">
        <f t="shared" si="264"/>
        <v/>
      </c>
    </row>
    <row r="7603" spans="2:7" x14ac:dyDescent="0.25">
      <c r="B7603" s="6"/>
      <c r="C7603" s="7"/>
      <c r="D7603" s="7"/>
      <c r="E7603" s="8"/>
      <c r="F7603" t="str">
        <f t="shared" si="263"/>
        <v/>
      </c>
      <c r="G7603" t="str">
        <f t="shared" si="264"/>
        <v/>
      </c>
    </row>
    <row r="7604" spans="2:7" x14ac:dyDescent="0.25">
      <c r="B7604" s="6"/>
      <c r="C7604" s="7"/>
      <c r="D7604" s="7"/>
      <c r="E7604" s="8"/>
      <c r="F7604" t="str">
        <f t="shared" si="263"/>
        <v/>
      </c>
      <c r="G7604" t="str">
        <f t="shared" si="264"/>
        <v/>
      </c>
    </row>
    <row r="7605" spans="2:7" x14ac:dyDescent="0.25">
      <c r="B7605" s="6"/>
      <c r="C7605" s="7"/>
      <c r="D7605" s="7"/>
      <c r="E7605" s="8"/>
      <c r="F7605" t="str">
        <f t="shared" si="263"/>
        <v/>
      </c>
      <c r="G7605" t="str">
        <f t="shared" si="264"/>
        <v/>
      </c>
    </row>
    <row r="7606" spans="2:7" x14ac:dyDescent="0.25">
      <c r="B7606" s="6"/>
      <c r="C7606" s="7"/>
      <c r="D7606" s="7"/>
      <c r="E7606" s="8"/>
      <c r="F7606" t="str">
        <f t="shared" si="263"/>
        <v/>
      </c>
      <c r="G7606" t="str">
        <f t="shared" si="264"/>
        <v/>
      </c>
    </row>
    <row r="7607" spans="2:7" x14ac:dyDescent="0.25">
      <c r="B7607" s="6"/>
      <c r="C7607" s="7"/>
      <c r="D7607" s="7"/>
      <c r="E7607" s="8"/>
      <c r="F7607" t="str">
        <f t="shared" si="263"/>
        <v/>
      </c>
      <c r="G7607" t="str">
        <f t="shared" si="264"/>
        <v/>
      </c>
    </row>
    <row r="7608" spans="2:7" x14ac:dyDescent="0.25">
      <c r="B7608" s="6"/>
      <c r="C7608" s="7"/>
      <c r="D7608" s="7"/>
      <c r="E7608" s="8"/>
      <c r="F7608" t="str">
        <f t="shared" si="263"/>
        <v/>
      </c>
      <c r="G7608" t="str">
        <f t="shared" si="264"/>
        <v/>
      </c>
    </row>
    <row r="7609" spans="2:7" x14ac:dyDescent="0.25">
      <c r="B7609" s="6"/>
      <c r="C7609" s="7"/>
      <c r="D7609" s="7"/>
      <c r="E7609" s="8"/>
      <c r="F7609" t="str">
        <f t="shared" si="263"/>
        <v/>
      </c>
      <c r="G7609" t="str">
        <f t="shared" si="264"/>
        <v/>
      </c>
    </row>
    <row r="7610" spans="2:7" x14ac:dyDescent="0.25">
      <c r="B7610" s="6"/>
      <c r="C7610" s="7"/>
      <c r="D7610" s="7"/>
      <c r="E7610" s="8"/>
      <c r="F7610" t="str">
        <f t="shared" si="263"/>
        <v/>
      </c>
      <c r="G7610" t="str">
        <f t="shared" si="264"/>
        <v/>
      </c>
    </row>
    <row r="7611" spans="2:7" x14ac:dyDescent="0.25">
      <c r="B7611" s="6"/>
      <c r="C7611" s="7"/>
      <c r="D7611" s="7"/>
      <c r="E7611" s="8"/>
      <c r="F7611" t="str">
        <f t="shared" si="263"/>
        <v/>
      </c>
      <c r="G7611" t="str">
        <f t="shared" si="264"/>
        <v/>
      </c>
    </row>
    <row r="7612" spans="2:7" x14ac:dyDescent="0.25">
      <c r="B7612" s="6"/>
      <c r="C7612" s="7"/>
      <c r="D7612" s="7"/>
      <c r="E7612" s="8"/>
      <c r="F7612" t="str">
        <f t="shared" si="263"/>
        <v/>
      </c>
      <c r="G7612" t="str">
        <f t="shared" si="264"/>
        <v/>
      </c>
    </row>
    <row r="7613" spans="2:7" x14ac:dyDescent="0.25">
      <c r="B7613" s="6"/>
      <c r="C7613" s="7"/>
      <c r="D7613" s="7"/>
      <c r="E7613" s="8"/>
      <c r="F7613" t="str">
        <f t="shared" si="263"/>
        <v/>
      </c>
      <c r="G7613" t="str">
        <f t="shared" si="264"/>
        <v/>
      </c>
    </row>
    <row r="7614" spans="2:7" x14ac:dyDescent="0.25">
      <c r="B7614" s="6"/>
      <c r="C7614" s="7"/>
      <c r="D7614" s="7"/>
      <c r="E7614" s="8"/>
      <c r="F7614" t="str">
        <f t="shared" si="263"/>
        <v/>
      </c>
      <c r="G7614" t="str">
        <f t="shared" si="264"/>
        <v/>
      </c>
    </row>
    <row r="7615" spans="2:7" x14ac:dyDescent="0.25">
      <c r="B7615" s="6"/>
      <c r="C7615" s="7"/>
      <c r="D7615" s="7"/>
      <c r="E7615" s="8"/>
      <c r="F7615" t="str">
        <f t="shared" si="263"/>
        <v/>
      </c>
      <c r="G7615" t="str">
        <f t="shared" si="264"/>
        <v/>
      </c>
    </row>
    <row r="7616" spans="2:7" x14ac:dyDescent="0.25">
      <c r="B7616" s="6"/>
      <c r="C7616" s="7"/>
      <c r="D7616" s="7"/>
      <c r="E7616" s="8"/>
      <c r="F7616" t="str">
        <f t="shared" si="263"/>
        <v/>
      </c>
      <c r="G7616" t="str">
        <f t="shared" si="264"/>
        <v/>
      </c>
    </row>
    <row r="7617" spans="2:7" x14ac:dyDescent="0.25">
      <c r="B7617" s="6"/>
      <c r="C7617" s="7"/>
      <c r="D7617" s="7"/>
      <c r="E7617" s="8"/>
      <c r="F7617" t="str">
        <f t="shared" si="263"/>
        <v/>
      </c>
      <c r="G7617" t="str">
        <f t="shared" si="264"/>
        <v/>
      </c>
    </row>
    <row r="7618" spans="2:7" x14ac:dyDescent="0.25">
      <c r="B7618" s="6"/>
      <c r="C7618" s="7"/>
      <c r="D7618" s="7"/>
      <c r="E7618" s="8"/>
      <c r="F7618" t="str">
        <f t="shared" si="263"/>
        <v/>
      </c>
      <c r="G7618" t="str">
        <f t="shared" si="264"/>
        <v/>
      </c>
    </row>
    <row r="7619" spans="2:7" x14ac:dyDescent="0.25">
      <c r="B7619" s="6"/>
      <c r="C7619" s="7"/>
      <c r="D7619" s="7"/>
      <c r="E7619" s="8"/>
      <c r="F7619" t="str">
        <f t="shared" si="263"/>
        <v/>
      </c>
      <c r="G7619" t="str">
        <f t="shared" si="264"/>
        <v/>
      </c>
    </row>
    <row r="7620" spans="2:7" x14ac:dyDescent="0.25">
      <c r="B7620" s="6"/>
      <c r="C7620" s="7"/>
      <c r="D7620" s="7"/>
      <c r="E7620" s="8"/>
      <c r="F7620" t="str">
        <f t="shared" ref="F7620:F7683" si="265">IF(B7620="","",LOG10(D7620))</f>
        <v/>
      </c>
      <c r="G7620" t="str">
        <f t="shared" ref="G7620:G7683" si="266">IF(E7620="", "",0.434*E7620/D7620)</f>
        <v/>
      </c>
    </row>
    <row r="7621" spans="2:7" x14ac:dyDescent="0.25">
      <c r="B7621" s="6"/>
      <c r="C7621" s="7"/>
      <c r="D7621" s="7"/>
      <c r="E7621" s="8"/>
      <c r="F7621" t="str">
        <f t="shared" si="265"/>
        <v/>
      </c>
      <c r="G7621" t="str">
        <f t="shared" si="266"/>
        <v/>
      </c>
    </row>
    <row r="7622" spans="2:7" x14ac:dyDescent="0.25">
      <c r="B7622" s="6"/>
      <c r="C7622" s="7"/>
      <c r="D7622" s="7"/>
      <c r="E7622" s="8"/>
      <c r="F7622" t="str">
        <f t="shared" si="265"/>
        <v/>
      </c>
      <c r="G7622" t="str">
        <f t="shared" si="266"/>
        <v/>
      </c>
    </row>
    <row r="7623" spans="2:7" x14ac:dyDescent="0.25">
      <c r="B7623" s="6"/>
      <c r="C7623" s="7"/>
      <c r="D7623" s="7"/>
      <c r="E7623" s="8"/>
      <c r="F7623" t="str">
        <f t="shared" si="265"/>
        <v/>
      </c>
      <c r="G7623" t="str">
        <f t="shared" si="266"/>
        <v/>
      </c>
    </row>
    <row r="7624" spans="2:7" x14ac:dyDescent="0.25">
      <c r="B7624" s="6"/>
      <c r="C7624" s="7"/>
      <c r="D7624" s="7"/>
      <c r="E7624" s="8"/>
      <c r="F7624" t="str">
        <f t="shared" si="265"/>
        <v/>
      </c>
      <c r="G7624" t="str">
        <f t="shared" si="266"/>
        <v/>
      </c>
    </row>
    <row r="7625" spans="2:7" x14ac:dyDescent="0.25">
      <c r="B7625" s="6"/>
      <c r="C7625" s="7"/>
      <c r="D7625" s="7"/>
      <c r="E7625" s="8"/>
      <c r="F7625" t="str">
        <f t="shared" si="265"/>
        <v/>
      </c>
      <c r="G7625" t="str">
        <f t="shared" si="266"/>
        <v/>
      </c>
    </row>
    <row r="7626" spans="2:7" x14ac:dyDescent="0.25">
      <c r="B7626" s="6"/>
      <c r="C7626" s="7"/>
      <c r="D7626" s="7"/>
      <c r="E7626" s="8"/>
      <c r="F7626" t="str">
        <f t="shared" si="265"/>
        <v/>
      </c>
      <c r="G7626" t="str">
        <f t="shared" si="266"/>
        <v/>
      </c>
    </row>
    <row r="7627" spans="2:7" x14ac:dyDescent="0.25">
      <c r="B7627" s="6"/>
      <c r="C7627" s="7"/>
      <c r="D7627" s="7"/>
      <c r="E7627" s="8"/>
      <c r="F7627" t="str">
        <f t="shared" si="265"/>
        <v/>
      </c>
      <c r="G7627" t="str">
        <f t="shared" si="266"/>
        <v/>
      </c>
    </row>
    <row r="7628" spans="2:7" x14ac:dyDescent="0.25">
      <c r="B7628" s="6"/>
      <c r="C7628" s="7"/>
      <c r="D7628" s="7"/>
      <c r="E7628" s="8"/>
      <c r="F7628" t="str">
        <f t="shared" si="265"/>
        <v/>
      </c>
      <c r="G7628" t="str">
        <f t="shared" si="266"/>
        <v/>
      </c>
    </row>
    <row r="7629" spans="2:7" x14ac:dyDescent="0.25">
      <c r="B7629" s="6"/>
      <c r="C7629" s="7"/>
      <c r="D7629" s="7"/>
      <c r="E7629" s="8"/>
      <c r="F7629" t="str">
        <f t="shared" si="265"/>
        <v/>
      </c>
      <c r="G7629" t="str">
        <f t="shared" si="266"/>
        <v/>
      </c>
    </row>
    <row r="7630" spans="2:7" x14ac:dyDescent="0.25">
      <c r="B7630" s="6"/>
      <c r="C7630" s="7"/>
      <c r="D7630" s="7"/>
      <c r="E7630" s="8"/>
      <c r="F7630" t="str">
        <f t="shared" si="265"/>
        <v/>
      </c>
      <c r="G7630" t="str">
        <f t="shared" si="266"/>
        <v/>
      </c>
    </row>
    <row r="7631" spans="2:7" x14ac:dyDescent="0.25">
      <c r="B7631" s="6"/>
      <c r="C7631" s="7"/>
      <c r="D7631" s="7"/>
      <c r="E7631" s="8"/>
      <c r="F7631" t="str">
        <f t="shared" si="265"/>
        <v/>
      </c>
      <c r="G7631" t="str">
        <f t="shared" si="266"/>
        <v/>
      </c>
    </row>
    <row r="7632" spans="2:7" x14ac:dyDescent="0.25">
      <c r="B7632" s="6"/>
      <c r="C7632" s="7"/>
      <c r="D7632" s="7"/>
      <c r="E7632" s="8"/>
      <c r="F7632" t="str">
        <f t="shared" si="265"/>
        <v/>
      </c>
      <c r="G7632" t="str">
        <f t="shared" si="266"/>
        <v/>
      </c>
    </row>
    <row r="7633" spans="2:7" x14ac:dyDescent="0.25">
      <c r="B7633" s="6"/>
      <c r="C7633" s="7"/>
      <c r="D7633" s="7"/>
      <c r="E7633" s="8"/>
      <c r="F7633" t="str">
        <f t="shared" si="265"/>
        <v/>
      </c>
      <c r="G7633" t="str">
        <f t="shared" si="266"/>
        <v/>
      </c>
    </row>
    <row r="7634" spans="2:7" x14ac:dyDescent="0.25">
      <c r="B7634" s="6"/>
      <c r="C7634" s="7"/>
      <c r="D7634" s="7"/>
      <c r="E7634" s="8"/>
      <c r="F7634" t="str">
        <f t="shared" si="265"/>
        <v/>
      </c>
      <c r="G7634" t="str">
        <f t="shared" si="266"/>
        <v/>
      </c>
    </row>
    <row r="7635" spans="2:7" x14ac:dyDescent="0.25">
      <c r="B7635" s="6"/>
      <c r="C7635" s="7"/>
      <c r="D7635" s="7"/>
      <c r="E7635" s="8"/>
      <c r="F7635" t="str">
        <f t="shared" si="265"/>
        <v/>
      </c>
      <c r="G7635" t="str">
        <f t="shared" si="266"/>
        <v/>
      </c>
    </row>
    <row r="7636" spans="2:7" x14ac:dyDescent="0.25">
      <c r="B7636" s="6"/>
      <c r="C7636" s="7"/>
      <c r="D7636" s="7"/>
      <c r="E7636" s="8"/>
      <c r="F7636" t="str">
        <f t="shared" si="265"/>
        <v/>
      </c>
      <c r="G7636" t="str">
        <f t="shared" si="266"/>
        <v/>
      </c>
    </row>
    <row r="7637" spans="2:7" x14ac:dyDescent="0.25">
      <c r="B7637" s="6"/>
      <c r="C7637" s="7"/>
      <c r="D7637" s="7"/>
      <c r="E7637" s="8"/>
      <c r="F7637" t="str">
        <f t="shared" si="265"/>
        <v/>
      </c>
      <c r="G7637" t="str">
        <f t="shared" si="266"/>
        <v/>
      </c>
    </row>
    <row r="7638" spans="2:7" x14ac:dyDescent="0.25">
      <c r="B7638" s="6"/>
      <c r="C7638" s="7"/>
      <c r="D7638" s="7"/>
      <c r="E7638" s="8"/>
      <c r="F7638" t="str">
        <f t="shared" si="265"/>
        <v/>
      </c>
      <c r="G7638" t="str">
        <f t="shared" si="266"/>
        <v/>
      </c>
    </row>
    <row r="7639" spans="2:7" x14ac:dyDescent="0.25">
      <c r="B7639" s="6"/>
      <c r="C7639" s="7"/>
      <c r="D7639" s="7"/>
      <c r="E7639" s="8"/>
      <c r="F7639" t="str">
        <f t="shared" si="265"/>
        <v/>
      </c>
      <c r="G7639" t="str">
        <f t="shared" si="266"/>
        <v/>
      </c>
    </row>
    <row r="7640" spans="2:7" x14ac:dyDescent="0.25">
      <c r="B7640" s="6"/>
      <c r="C7640" s="7"/>
      <c r="D7640" s="7"/>
      <c r="E7640" s="8"/>
      <c r="F7640" t="str">
        <f t="shared" si="265"/>
        <v/>
      </c>
      <c r="G7640" t="str">
        <f t="shared" si="266"/>
        <v/>
      </c>
    </row>
    <row r="7641" spans="2:7" x14ac:dyDescent="0.25">
      <c r="B7641" s="6"/>
      <c r="C7641" s="7"/>
      <c r="D7641" s="7"/>
      <c r="E7641" s="8"/>
      <c r="F7641" t="str">
        <f t="shared" si="265"/>
        <v/>
      </c>
      <c r="G7641" t="str">
        <f t="shared" si="266"/>
        <v/>
      </c>
    </row>
    <row r="7642" spans="2:7" x14ac:dyDescent="0.25">
      <c r="B7642" s="6"/>
      <c r="C7642" s="7"/>
      <c r="D7642" s="7"/>
      <c r="E7642" s="8"/>
      <c r="F7642" t="str">
        <f t="shared" si="265"/>
        <v/>
      </c>
      <c r="G7642" t="str">
        <f t="shared" si="266"/>
        <v/>
      </c>
    </row>
    <row r="7643" spans="2:7" x14ac:dyDescent="0.25">
      <c r="B7643" s="6"/>
      <c r="C7643" s="7"/>
      <c r="D7643" s="7"/>
      <c r="E7643" s="8"/>
      <c r="F7643" t="str">
        <f t="shared" si="265"/>
        <v/>
      </c>
      <c r="G7643" t="str">
        <f t="shared" si="266"/>
        <v/>
      </c>
    </row>
    <row r="7644" spans="2:7" x14ac:dyDescent="0.25">
      <c r="B7644" s="6"/>
      <c r="C7644" s="7"/>
      <c r="D7644" s="7"/>
      <c r="E7644" s="8"/>
      <c r="F7644" t="str">
        <f t="shared" si="265"/>
        <v/>
      </c>
      <c r="G7644" t="str">
        <f t="shared" si="266"/>
        <v/>
      </c>
    </row>
    <row r="7645" spans="2:7" x14ac:dyDescent="0.25">
      <c r="B7645" s="6"/>
      <c r="C7645" s="7"/>
      <c r="D7645" s="7"/>
      <c r="E7645" s="8"/>
      <c r="F7645" t="str">
        <f t="shared" si="265"/>
        <v/>
      </c>
      <c r="G7645" t="str">
        <f t="shared" si="266"/>
        <v/>
      </c>
    </row>
    <row r="7646" spans="2:7" x14ac:dyDescent="0.25">
      <c r="B7646" s="6"/>
      <c r="C7646" s="7"/>
      <c r="D7646" s="7"/>
      <c r="E7646" s="8"/>
      <c r="F7646" t="str">
        <f t="shared" si="265"/>
        <v/>
      </c>
      <c r="G7646" t="str">
        <f t="shared" si="266"/>
        <v/>
      </c>
    </row>
    <row r="7647" spans="2:7" x14ac:dyDescent="0.25">
      <c r="B7647" s="6"/>
      <c r="C7647" s="7"/>
      <c r="D7647" s="7"/>
      <c r="E7647" s="8"/>
      <c r="F7647" t="str">
        <f t="shared" si="265"/>
        <v/>
      </c>
      <c r="G7647" t="str">
        <f t="shared" si="266"/>
        <v/>
      </c>
    </row>
    <row r="7648" spans="2:7" x14ac:dyDescent="0.25">
      <c r="B7648" s="6"/>
      <c r="C7648" s="7"/>
      <c r="D7648" s="7"/>
      <c r="E7648" s="8"/>
      <c r="F7648" t="str">
        <f t="shared" si="265"/>
        <v/>
      </c>
      <c r="G7648" t="str">
        <f t="shared" si="266"/>
        <v/>
      </c>
    </row>
    <row r="7649" spans="2:7" x14ac:dyDescent="0.25">
      <c r="B7649" s="6"/>
      <c r="C7649" s="7"/>
      <c r="D7649" s="7"/>
      <c r="E7649" s="8"/>
      <c r="F7649" t="str">
        <f t="shared" si="265"/>
        <v/>
      </c>
      <c r="G7649" t="str">
        <f t="shared" si="266"/>
        <v/>
      </c>
    </row>
    <row r="7650" spans="2:7" x14ac:dyDescent="0.25">
      <c r="B7650" s="6"/>
      <c r="C7650" s="7"/>
      <c r="D7650" s="7"/>
      <c r="E7650" s="8"/>
      <c r="F7650" t="str">
        <f t="shared" si="265"/>
        <v/>
      </c>
      <c r="G7650" t="str">
        <f t="shared" si="266"/>
        <v/>
      </c>
    </row>
    <row r="7651" spans="2:7" x14ac:dyDescent="0.25">
      <c r="B7651" s="6"/>
      <c r="C7651" s="7"/>
      <c r="D7651" s="7"/>
      <c r="E7651" s="8"/>
      <c r="F7651" t="str">
        <f t="shared" si="265"/>
        <v/>
      </c>
      <c r="G7651" t="str">
        <f t="shared" si="266"/>
        <v/>
      </c>
    </row>
    <row r="7652" spans="2:7" x14ac:dyDescent="0.25">
      <c r="B7652" s="6"/>
      <c r="C7652" s="7"/>
      <c r="D7652" s="7"/>
      <c r="E7652" s="8"/>
      <c r="F7652" t="str">
        <f t="shared" si="265"/>
        <v/>
      </c>
      <c r="G7652" t="str">
        <f t="shared" si="266"/>
        <v/>
      </c>
    </row>
    <row r="7653" spans="2:7" x14ac:dyDescent="0.25">
      <c r="B7653" s="6"/>
      <c r="C7653" s="7"/>
      <c r="D7653" s="7"/>
      <c r="E7653" s="8"/>
      <c r="F7653" t="str">
        <f t="shared" si="265"/>
        <v/>
      </c>
      <c r="G7653" t="str">
        <f t="shared" si="266"/>
        <v/>
      </c>
    </row>
    <row r="7654" spans="2:7" x14ac:dyDescent="0.25">
      <c r="B7654" s="6"/>
      <c r="C7654" s="7"/>
      <c r="D7654" s="7"/>
      <c r="E7654" s="8"/>
      <c r="F7654" t="str">
        <f t="shared" si="265"/>
        <v/>
      </c>
      <c r="G7654" t="str">
        <f t="shared" si="266"/>
        <v/>
      </c>
    </row>
    <row r="7655" spans="2:7" x14ac:dyDescent="0.25">
      <c r="B7655" s="6"/>
      <c r="C7655" s="7"/>
      <c r="D7655" s="7"/>
      <c r="E7655" s="8"/>
      <c r="F7655" t="str">
        <f t="shared" si="265"/>
        <v/>
      </c>
      <c r="G7655" t="str">
        <f t="shared" si="266"/>
        <v/>
      </c>
    </row>
    <row r="7656" spans="2:7" x14ac:dyDescent="0.25">
      <c r="B7656" s="6"/>
      <c r="C7656" s="7"/>
      <c r="D7656" s="7"/>
      <c r="E7656" s="8"/>
      <c r="F7656" t="str">
        <f t="shared" si="265"/>
        <v/>
      </c>
      <c r="G7656" t="str">
        <f t="shared" si="266"/>
        <v/>
      </c>
    </row>
    <row r="7657" spans="2:7" x14ac:dyDescent="0.25">
      <c r="B7657" s="6"/>
      <c r="C7657" s="7"/>
      <c r="D7657" s="7"/>
      <c r="E7657" s="8"/>
      <c r="F7657" t="str">
        <f t="shared" si="265"/>
        <v/>
      </c>
      <c r="G7657" t="str">
        <f t="shared" si="266"/>
        <v/>
      </c>
    </row>
    <row r="7658" spans="2:7" x14ac:dyDescent="0.25">
      <c r="B7658" s="6"/>
      <c r="C7658" s="7"/>
      <c r="D7658" s="7"/>
      <c r="E7658" s="8"/>
      <c r="F7658" t="str">
        <f t="shared" si="265"/>
        <v/>
      </c>
      <c r="G7658" t="str">
        <f t="shared" si="266"/>
        <v/>
      </c>
    </row>
    <row r="7659" spans="2:7" x14ac:dyDescent="0.25">
      <c r="B7659" s="6"/>
      <c r="C7659" s="7"/>
      <c r="D7659" s="7"/>
      <c r="E7659" s="8"/>
      <c r="F7659" t="str">
        <f t="shared" si="265"/>
        <v/>
      </c>
      <c r="G7659" t="str">
        <f t="shared" si="266"/>
        <v/>
      </c>
    </row>
    <row r="7660" spans="2:7" x14ac:dyDescent="0.25">
      <c r="B7660" s="6"/>
      <c r="C7660" s="7"/>
      <c r="D7660" s="7"/>
      <c r="E7660" s="8"/>
      <c r="F7660" t="str">
        <f t="shared" si="265"/>
        <v/>
      </c>
      <c r="G7660" t="str">
        <f t="shared" si="266"/>
        <v/>
      </c>
    </row>
    <row r="7661" spans="2:7" x14ac:dyDescent="0.25">
      <c r="B7661" s="6"/>
      <c r="C7661" s="7"/>
      <c r="D7661" s="7"/>
      <c r="E7661" s="8"/>
      <c r="F7661" t="str">
        <f t="shared" si="265"/>
        <v/>
      </c>
      <c r="G7661" t="str">
        <f t="shared" si="266"/>
        <v/>
      </c>
    </row>
    <row r="7662" spans="2:7" x14ac:dyDescent="0.25">
      <c r="B7662" s="6"/>
      <c r="C7662" s="7"/>
      <c r="D7662" s="7"/>
      <c r="E7662" s="8"/>
      <c r="F7662" t="str">
        <f t="shared" si="265"/>
        <v/>
      </c>
      <c r="G7662" t="str">
        <f t="shared" si="266"/>
        <v/>
      </c>
    </row>
    <row r="7663" spans="2:7" x14ac:dyDescent="0.25">
      <c r="B7663" s="6"/>
      <c r="C7663" s="7"/>
      <c r="D7663" s="7"/>
      <c r="E7663" s="8"/>
      <c r="F7663" t="str">
        <f t="shared" si="265"/>
        <v/>
      </c>
      <c r="G7663" t="str">
        <f t="shared" si="266"/>
        <v/>
      </c>
    </row>
    <row r="7664" spans="2:7" x14ac:dyDescent="0.25">
      <c r="B7664" s="6"/>
      <c r="C7664" s="7"/>
      <c r="D7664" s="7"/>
      <c r="E7664" s="8"/>
      <c r="F7664" t="str">
        <f t="shared" si="265"/>
        <v/>
      </c>
      <c r="G7664" t="str">
        <f t="shared" si="266"/>
        <v/>
      </c>
    </row>
    <row r="7665" spans="2:7" x14ac:dyDescent="0.25">
      <c r="B7665" s="6"/>
      <c r="C7665" s="7"/>
      <c r="D7665" s="7"/>
      <c r="E7665" s="8"/>
      <c r="F7665" t="str">
        <f t="shared" si="265"/>
        <v/>
      </c>
      <c r="G7665" t="str">
        <f t="shared" si="266"/>
        <v/>
      </c>
    </row>
    <row r="7666" spans="2:7" x14ac:dyDescent="0.25">
      <c r="B7666" s="6"/>
      <c r="C7666" s="7"/>
      <c r="D7666" s="7"/>
      <c r="E7666" s="8"/>
      <c r="F7666" t="str">
        <f t="shared" si="265"/>
        <v/>
      </c>
      <c r="G7666" t="str">
        <f t="shared" si="266"/>
        <v/>
      </c>
    </row>
    <row r="7667" spans="2:7" x14ac:dyDescent="0.25">
      <c r="B7667" s="6"/>
      <c r="C7667" s="7"/>
      <c r="D7667" s="7"/>
      <c r="E7667" s="8"/>
      <c r="F7667" t="str">
        <f t="shared" si="265"/>
        <v/>
      </c>
      <c r="G7667" t="str">
        <f t="shared" si="266"/>
        <v/>
      </c>
    </row>
    <row r="7668" spans="2:7" x14ac:dyDescent="0.25">
      <c r="B7668" s="6"/>
      <c r="C7668" s="7"/>
      <c r="D7668" s="7"/>
      <c r="E7668" s="8"/>
      <c r="F7668" t="str">
        <f t="shared" si="265"/>
        <v/>
      </c>
      <c r="G7668" t="str">
        <f t="shared" si="266"/>
        <v/>
      </c>
    </row>
    <row r="7669" spans="2:7" x14ac:dyDescent="0.25">
      <c r="B7669" s="6"/>
      <c r="C7669" s="7"/>
      <c r="D7669" s="7"/>
      <c r="E7669" s="8"/>
      <c r="F7669" t="str">
        <f t="shared" si="265"/>
        <v/>
      </c>
      <c r="G7669" t="str">
        <f t="shared" si="266"/>
        <v/>
      </c>
    </row>
    <row r="7670" spans="2:7" x14ac:dyDescent="0.25">
      <c r="B7670" s="6"/>
      <c r="C7670" s="7"/>
      <c r="D7670" s="7"/>
      <c r="E7670" s="8"/>
      <c r="F7670" t="str">
        <f t="shared" si="265"/>
        <v/>
      </c>
      <c r="G7670" t="str">
        <f t="shared" si="266"/>
        <v/>
      </c>
    </row>
    <row r="7671" spans="2:7" x14ac:dyDescent="0.25">
      <c r="B7671" s="6"/>
      <c r="C7671" s="7"/>
      <c r="D7671" s="7"/>
      <c r="E7671" s="8"/>
      <c r="F7671" t="str">
        <f t="shared" si="265"/>
        <v/>
      </c>
      <c r="G7671" t="str">
        <f t="shared" si="266"/>
        <v/>
      </c>
    </row>
    <row r="7672" spans="2:7" x14ac:dyDescent="0.25">
      <c r="B7672" s="6"/>
      <c r="C7672" s="7"/>
      <c r="D7672" s="7"/>
      <c r="E7672" s="8"/>
      <c r="F7672" t="str">
        <f t="shared" si="265"/>
        <v/>
      </c>
      <c r="G7672" t="str">
        <f t="shared" si="266"/>
        <v/>
      </c>
    </row>
    <row r="7673" spans="2:7" x14ac:dyDescent="0.25">
      <c r="B7673" s="6"/>
      <c r="C7673" s="7"/>
      <c r="D7673" s="7"/>
      <c r="E7673" s="8"/>
      <c r="F7673" t="str">
        <f t="shared" si="265"/>
        <v/>
      </c>
      <c r="G7673" t="str">
        <f t="shared" si="266"/>
        <v/>
      </c>
    </row>
    <row r="7674" spans="2:7" x14ac:dyDescent="0.25">
      <c r="B7674" s="6"/>
      <c r="C7674" s="7"/>
      <c r="D7674" s="7"/>
      <c r="E7674" s="8"/>
      <c r="F7674" t="str">
        <f t="shared" si="265"/>
        <v/>
      </c>
      <c r="G7674" t="str">
        <f t="shared" si="266"/>
        <v/>
      </c>
    </row>
    <row r="7675" spans="2:7" x14ac:dyDescent="0.25">
      <c r="B7675" s="6"/>
      <c r="C7675" s="7"/>
      <c r="D7675" s="7"/>
      <c r="E7675" s="8"/>
      <c r="F7675" t="str">
        <f t="shared" si="265"/>
        <v/>
      </c>
      <c r="G7675" t="str">
        <f t="shared" si="266"/>
        <v/>
      </c>
    </row>
    <row r="7676" spans="2:7" x14ac:dyDescent="0.25">
      <c r="B7676" s="6"/>
      <c r="C7676" s="7"/>
      <c r="D7676" s="7"/>
      <c r="E7676" s="8"/>
      <c r="F7676" t="str">
        <f t="shared" si="265"/>
        <v/>
      </c>
      <c r="G7676" t="str">
        <f t="shared" si="266"/>
        <v/>
      </c>
    </row>
    <row r="7677" spans="2:7" x14ac:dyDescent="0.25">
      <c r="B7677" s="6"/>
      <c r="C7677" s="7"/>
      <c r="D7677" s="7"/>
      <c r="E7677" s="8"/>
      <c r="F7677" t="str">
        <f t="shared" si="265"/>
        <v/>
      </c>
      <c r="G7677" t="str">
        <f t="shared" si="266"/>
        <v/>
      </c>
    </row>
    <row r="7678" spans="2:7" x14ac:dyDescent="0.25">
      <c r="B7678" s="6"/>
      <c r="C7678" s="7"/>
      <c r="D7678" s="7"/>
      <c r="E7678" s="8"/>
      <c r="F7678" t="str">
        <f t="shared" si="265"/>
        <v/>
      </c>
      <c r="G7678" t="str">
        <f t="shared" si="266"/>
        <v/>
      </c>
    </row>
    <row r="7679" spans="2:7" x14ac:dyDescent="0.25">
      <c r="B7679" s="6"/>
      <c r="C7679" s="7"/>
      <c r="D7679" s="7"/>
      <c r="E7679" s="8"/>
      <c r="F7679" t="str">
        <f t="shared" si="265"/>
        <v/>
      </c>
      <c r="G7679" t="str">
        <f t="shared" si="266"/>
        <v/>
      </c>
    </row>
    <row r="7680" spans="2:7" x14ac:dyDescent="0.25">
      <c r="B7680" s="6"/>
      <c r="C7680" s="7"/>
      <c r="D7680" s="7"/>
      <c r="E7680" s="8"/>
      <c r="F7680" t="str">
        <f t="shared" si="265"/>
        <v/>
      </c>
      <c r="G7680" t="str">
        <f t="shared" si="266"/>
        <v/>
      </c>
    </row>
    <row r="7681" spans="2:7" x14ac:dyDescent="0.25">
      <c r="B7681" s="6"/>
      <c r="C7681" s="7"/>
      <c r="D7681" s="7"/>
      <c r="E7681" s="8"/>
      <c r="F7681" t="str">
        <f t="shared" si="265"/>
        <v/>
      </c>
      <c r="G7681" t="str">
        <f t="shared" si="266"/>
        <v/>
      </c>
    </row>
    <row r="7682" spans="2:7" x14ac:dyDescent="0.25">
      <c r="B7682" s="6"/>
      <c r="C7682" s="7"/>
      <c r="D7682" s="7"/>
      <c r="E7682" s="8"/>
      <c r="F7682" t="str">
        <f t="shared" si="265"/>
        <v/>
      </c>
      <c r="G7682" t="str">
        <f t="shared" si="266"/>
        <v/>
      </c>
    </row>
    <row r="7683" spans="2:7" x14ac:dyDescent="0.25">
      <c r="B7683" s="6"/>
      <c r="C7683" s="7"/>
      <c r="D7683" s="7"/>
      <c r="E7683" s="8"/>
      <c r="F7683" t="str">
        <f t="shared" si="265"/>
        <v/>
      </c>
      <c r="G7683" t="str">
        <f t="shared" si="266"/>
        <v/>
      </c>
    </row>
    <row r="7684" spans="2:7" x14ac:dyDescent="0.25">
      <c r="B7684" s="6"/>
      <c r="C7684" s="7"/>
      <c r="D7684" s="7"/>
      <c r="E7684" s="8"/>
      <c r="F7684" t="str">
        <f t="shared" ref="F7684:F7747" si="267">IF(B7684="","",LOG10(D7684))</f>
        <v/>
      </c>
      <c r="G7684" t="str">
        <f t="shared" ref="G7684:G7747" si="268">IF(E7684="", "",0.434*E7684/D7684)</f>
        <v/>
      </c>
    </row>
    <row r="7685" spans="2:7" x14ac:dyDescent="0.25">
      <c r="B7685" s="6"/>
      <c r="C7685" s="7"/>
      <c r="D7685" s="7"/>
      <c r="E7685" s="8"/>
      <c r="F7685" t="str">
        <f t="shared" si="267"/>
        <v/>
      </c>
      <c r="G7685" t="str">
        <f t="shared" si="268"/>
        <v/>
      </c>
    </row>
    <row r="7686" spans="2:7" x14ac:dyDescent="0.25">
      <c r="B7686" s="6"/>
      <c r="C7686" s="7"/>
      <c r="D7686" s="7"/>
      <c r="E7686" s="8"/>
      <c r="F7686" t="str">
        <f t="shared" si="267"/>
        <v/>
      </c>
      <c r="G7686" t="str">
        <f t="shared" si="268"/>
        <v/>
      </c>
    </row>
    <row r="7687" spans="2:7" x14ac:dyDescent="0.25">
      <c r="B7687" s="6"/>
      <c r="C7687" s="7"/>
      <c r="D7687" s="7"/>
      <c r="E7687" s="8"/>
      <c r="F7687" t="str">
        <f t="shared" si="267"/>
        <v/>
      </c>
      <c r="G7687" t="str">
        <f t="shared" si="268"/>
        <v/>
      </c>
    </row>
    <row r="7688" spans="2:7" x14ac:dyDescent="0.25">
      <c r="B7688" s="6"/>
      <c r="C7688" s="7"/>
      <c r="D7688" s="7"/>
      <c r="E7688" s="8"/>
      <c r="F7688" t="str">
        <f t="shared" si="267"/>
        <v/>
      </c>
      <c r="G7688" t="str">
        <f t="shared" si="268"/>
        <v/>
      </c>
    </row>
    <row r="7689" spans="2:7" x14ac:dyDescent="0.25">
      <c r="B7689" s="6"/>
      <c r="C7689" s="7"/>
      <c r="D7689" s="7"/>
      <c r="E7689" s="8"/>
      <c r="F7689" t="str">
        <f t="shared" si="267"/>
        <v/>
      </c>
      <c r="G7689" t="str">
        <f t="shared" si="268"/>
        <v/>
      </c>
    </row>
    <row r="7690" spans="2:7" x14ac:dyDescent="0.25">
      <c r="B7690" s="6"/>
      <c r="C7690" s="7"/>
      <c r="D7690" s="7"/>
      <c r="E7690" s="8"/>
      <c r="F7690" t="str">
        <f t="shared" si="267"/>
        <v/>
      </c>
      <c r="G7690" t="str">
        <f t="shared" si="268"/>
        <v/>
      </c>
    </row>
    <row r="7691" spans="2:7" x14ac:dyDescent="0.25">
      <c r="B7691" s="6"/>
      <c r="C7691" s="7"/>
      <c r="D7691" s="7"/>
      <c r="E7691" s="8"/>
      <c r="F7691" t="str">
        <f t="shared" si="267"/>
        <v/>
      </c>
      <c r="G7691" t="str">
        <f t="shared" si="268"/>
        <v/>
      </c>
    </row>
    <row r="7692" spans="2:7" x14ac:dyDescent="0.25">
      <c r="B7692" s="6"/>
      <c r="C7692" s="7"/>
      <c r="D7692" s="7"/>
      <c r="E7692" s="8"/>
      <c r="F7692" t="str">
        <f t="shared" si="267"/>
        <v/>
      </c>
      <c r="G7692" t="str">
        <f t="shared" si="268"/>
        <v/>
      </c>
    </row>
    <row r="7693" spans="2:7" x14ac:dyDescent="0.25">
      <c r="B7693" s="6"/>
      <c r="C7693" s="7"/>
      <c r="D7693" s="7"/>
      <c r="E7693" s="8"/>
      <c r="F7693" t="str">
        <f t="shared" si="267"/>
        <v/>
      </c>
      <c r="G7693" t="str">
        <f t="shared" si="268"/>
        <v/>
      </c>
    </row>
    <row r="7694" spans="2:7" x14ac:dyDescent="0.25">
      <c r="B7694" s="6"/>
      <c r="C7694" s="7"/>
      <c r="D7694" s="7"/>
      <c r="E7694" s="8"/>
      <c r="F7694" t="str">
        <f t="shared" si="267"/>
        <v/>
      </c>
      <c r="G7694" t="str">
        <f t="shared" si="268"/>
        <v/>
      </c>
    </row>
    <row r="7695" spans="2:7" x14ac:dyDescent="0.25">
      <c r="B7695" s="6"/>
      <c r="C7695" s="7"/>
      <c r="D7695" s="7"/>
      <c r="E7695" s="8"/>
      <c r="F7695" t="str">
        <f t="shared" si="267"/>
        <v/>
      </c>
      <c r="G7695" t="str">
        <f t="shared" si="268"/>
        <v/>
      </c>
    </row>
    <row r="7696" spans="2:7" x14ac:dyDescent="0.25">
      <c r="B7696" s="6"/>
      <c r="C7696" s="7"/>
      <c r="D7696" s="7"/>
      <c r="E7696" s="8"/>
      <c r="F7696" t="str">
        <f t="shared" si="267"/>
        <v/>
      </c>
      <c r="G7696" t="str">
        <f t="shared" si="268"/>
        <v/>
      </c>
    </row>
    <row r="7697" spans="2:7" x14ac:dyDescent="0.25">
      <c r="B7697" s="6"/>
      <c r="C7697" s="7"/>
      <c r="D7697" s="7"/>
      <c r="E7697" s="8"/>
      <c r="F7697" t="str">
        <f t="shared" si="267"/>
        <v/>
      </c>
      <c r="G7697" t="str">
        <f t="shared" si="268"/>
        <v/>
      </c>
    </row>
    <row r="7698" spans="2:7" x14ac:dyDescent="0.25">
      <c r="B7698" s="6"/>
      <c r="C7698" s="7"/>
      <c r="D7698" s="7"/>
      <c r="E7698" s="8"/>
      <c r="F7698" t="str">
        <f t="shared" si="267"/>
        <v/>
      </c>
      <c r="G7698" t="str">
        <f t="shared" si="268"/>
        <v/>
      </c>
    </row>
    <row r="7699" spans="2:7" x14ac:dyDescent="0.25">
      <c r="B7699" s="6"/>
      <c r="C7699" s="7"/>
      <c r="D7699" s="7"/>
      <c r="E7699" s="8"/>
      <c r="F7699" t="str">
        <f t="shared" si="267"/>
        <v/>
      </c>
      <c r="G7699" t="str">
        <f t="shared" si="268"/>
        <v/>
      </c>
    </row>
    <row r="7700" spans="2:7" x14ac:dyDescent="0.25">
      <c r="B7700" s="6"/>
      <c r="C7700" s="7"/>
      <c r="D7700" s="7"/>
      <c r="E7700" s="8"/>
      <c r="F7700" t="str">
        <f t="shared" si="267"/>
        <v/>
      </c>
      <c r="G7700" t="str">
        <f t="shared" si="268"/>
        <v/>
      </c>
    </row>
    <row r="7701" spans="2:7" x14ac:dyDescent="0.25">
      <c r="B7701" s="6"/>
      <c r="C7701" s="7"/>
      <c r="D7701" s="7"/>
      <c r="E7701" s="8"/>
      <c r="F7701" t="str">
        <f t="shared" si="267"/>
        <v/>
      </c>
      <c r="G7701" t="str">
        <f t="shared" si="268"/>
        <v/>
      </c>
    </row>
    <row r="7702" spans="2:7" x14ac:dyDescent="0.25">
      <c r="B7702" s="6"/>
      <c r="C7702" s="7"/>
      <c r="D7702" s="7"/>
      <c r="E7702" s="8"/>
      <c r="F7702" t="str">
        <f t="shared" si="267"/>
        <v/>
      </c>
      <c r="G7702" t="str">
        <f t="shared" si="268"/>
        <v/>
      </c>
    </row>
    <row r="7703" spans="2:7" x14ac:dyDescent="0.25">
      <c r="B7703" s="6"/>
      <c r="C7703" s="7"/>
      <c r="D7703" s="7"/>
      <c r="E7703" s="8"/>
      <c r="F7703" t="str">
        <f t="shared" si="267"/>
        <v/>
      </c>
      <c r="G7703" t="str">
        <f t="shared" si="268"/>
        <v/>
      </c>
    </row>
    <row r="7704" spans="2:7" x14ac:dyDescent="0.25">
      <c r="B7704" s="6"/>
      <c r="C7704" s="7"/>
      <c r="D7704" s="7"/>
      <c r="E7704" s="8"/>
      <c r="F7704" t="str">
        <f t="shared" si="267"/>
        <v/>
      </c>
      <c r="G7704" t="str">
        <f t="shared" si="268"/>
        <v/>
      </c>
    </row>
    <row r="7705" spans="2:7" x14ac:dyDescent="0.25">
      <c r="B7705" s="6"/>
      <c r="C7705" s="7"/>
      <c r="D7705" s="7"/>
      <c r="E7705" s="8"/>
      <c r="F7705" t="str">
        <f t="shared" si="267"/>
        <v/>
      </c>
      <c r="G7705" t="str">
        <f t="shared" si="268"/>
        <v/>
      </c>
    </row>
    <row r="7706" spans="2:7" x14ac:dyDescent="0.25">
      <c r="B7706" s="6"/>
      <c r="C7706" s="7"/>
      <c r="D7706" s="7"/>
      <c r="E7706" s="8"/>
      <c r="F7706" t="str">
        <f t="shared" si="267"/>
        <v/>
      </c>
      <c r="G7706" t="str">
        <f t="shared" si="268"/>
        <v/>
      </c>
    </row>
    <row r="7707" spans="2:7" x14ac:dyDescent="0.25">
      <c r="B7707" s="6"/>
      <c r="C7707" s="7"/>
      <c r="D7707" s="7"/>
      <c r="E7707" s="8"/>
      <c r="F7707" t="str">
        <f t="shared" si="267"/>
        <v/>
      </c>
      <c r="G7707" t="str">
        <f t="shared" si="268"/>
        <v/>
      </c>
    </row>
    <row r="7708" spans="2:7" x14ac:dyDescent="0.25">
      <c r="B7708" s="6"/>
      <c r="C7708" s="7"/>
      <c r="D7708" s="7"/>
      <c r="E7708" s="8"/>
      <c r="F7708" t="str">
        <f t="shared" si="267"/>
        <v/>
      </c>
      <c r="G7708" t="str">
        <f t="shared" si="268"/>
        <v/>
      </c>
    </row>
    <row r="7709" spans="2:7" x14ac:dyDescent="0.25">
      <c r="B7709" s="6"/>
      <c r="C7709" s="7"/>
      <c r="D7709" s="7"/>
      <c r="E7709" s="8"/>
      <c r="F7709" t="str">
        <f t="shared" si="267"/>
        <v/>
      </c>
      <c r="G7709" t="str">
        <f t="shared" si="268"/>
        <v/>
      </c>
    </row>
    <row r="7710" spans="2:7" x14ac:dyDescent="0.25">
      <c r="B7710" s="6"/>
      <c r="C7710" s="7"/>
      <c r="D7710" s="7"/>
      <c r="E7710" s="8"/>
      <c r="F7710" t="str">
        <f t="shared" si="267"/>
        <v/>
      </c>
      <c r="G7710" t="str">
        <f t="shared" si="268"/>
        <v/>
      </c>
    </row>
    <row r="7711" spans="2:7" x14ac:dyDescent="0.25">
      <c r="B7711" s="6"/>
      <c r="C7711" s="7"/>
      <c r="D7711" s="7"/>
      <c r="E7711" s="8"/>
      <c r="F7711" t="str">
        <f t="shared" si="267"/>
        <v/>
      </c>
      <c r="G7711" t="str">
        <f t="shared" si="268"/>
        <v/>
      </c>
    </row>
    <row r="7712" spans="2:7" x14ac:dyDescent="0.25">
      <c r="B7712" s="6"/>
      <c r="C7712" s="7"/>
      <c r="D7712" s="7"/>
      <c r="E7712" s="8"/>
      <c r="F7712" t="str">
        <f t="shared" si="267"/>
        <v/>
      </c>
      <c r="G7712" t="str">
        <f t="shared" si="268"/>
        <v/>
      </c>
    </row>
    <row r="7713" spans="2:7" x14ac:dyDescent="0.25">
      <c r="B7713" s="6"/>
      <c r="C7713" s="7"/>
      <c r="D7713" s="7"/>
      <c r="E7713" s="8"/>
      <c r="F7713" t="str">
        <f t="shared" si="267"/>
        <v/>
      </c>
      <c r="G7713" t="str">
        <f t="shared" si="268"/>
        <v/>
      </c>
    </row>
    <row r="7714" spans="2:7" x14ac:dyDescent="0.25">
      <c r="B7714" s="6"/>
      <c r="C7714" s="7"/>
      <c r="D7714" s="7"/>
      <c r="E7714" s="8"/>
      <c r="F7714" t="str">
        <f t="shared" si="267"/>
        <v/>
      </c>
      <c r="G7714" t="str">
        <f t="shared" si="268"/>
        <v/>
      </c>
    </row>
    <row r="7715" spans="2:7" x14ac:dyDescent="0.25">
      <c r="B7715" s="6"/>
      <c r="C7715" s="7"/>
      <c r="D7715" s="7"/>
      <c r="E7715" s="8"/>
      <c r="F7715" t="str">
        <f t="shared" si="267"/>
        <v/>
      </c>
      <c r="G7715" t="str">
        <f t="shared" si="268"/>
        <v/>
      </c>
    </row>
    <row r="7716" spans="2:7" x14ac:dyDescent="0.25">
      <c r="B7716" s="6"/>
      <c r="C7716" s="7"/>
      <c r="D7716" s="7"/>
      <c r="E7716" s="8"/>
      <c r="F7716" t="str">
        <f t="shared" si="267"/>
        <v/>
      </c>
      <c r="G7716" t="str">
        <f t="shared" si="268"/>
        <v/>
      </c>
    </row>
    <row r="7717" spans="2:7" x14ac:dyDescent="0.25">
      <c r="B7717" s="6"/>
      <c r="C7717" s="7"/>
      <c r="D7717" s="7"/>
      <c r="E7717" s="8"/>
      <c r="F7717" t="str">
        <f t="shared" si="267"/>
        <v/>
      </c>
      <c r="G7717" t="str">
        <f t="shared" si="268"/>
        <v/>
      </c>
    </row>
    <row r="7718" spans="2:7" x14ac:dyDescent="0.25">
      <c r="B7718" s="6"/>
      <c r="C7718" s="7"/>
      <c r="D7718" s="7"/>
      <c r="E7718" s="8"/>
      <c r="F7718" t="str">
        <f t="shared" si="267"/>
        <v/>
      </c>
      <c r="G7718" t="str">
        <f t="shared" si="268"/>
        <v/>
      </c>
    </row>
    <row r="7719" spans="2:7" x14ac:dyDescent="0.25">
      <c r="B7719" s="6"/>
      <c r="C7719" s="7"/>
      <c r="D7719" s="7"/>
      <c r="E7719" s="8"/>
      <c r="F7719" t="str">
        <f t="shared" si="267"/>
        <v/>
      </c>
      <c r="G7719" t="str">
        <f t="shared" si="268"/>
        <v/>
      </c>
    </row>
    <row r="7720" spans="2:7" x14ac:dyDescent="0.25">
      <c r="B7720" s="6"/>
      <c r="C7720" s="7"/>
      <c r="D7720" s="7"/>
      <c r="E7720" s="8"/>
      <c r="F7720" t="str">
        <f t="shared" si="267"/>
        <v/>
      </c>
      <c r="G7720" t="str">
        <f t="shared" si="268"/>
        <v/>
      </c>
    </row>
    <row r="7721" spans="2:7" x14ac:dyDescent="0.25">
      <c r="B7721" s="6"/>
      <c r="C7721" s="7"/>
      <c r="D7721" s="7"/>
      <c r="E7721" s="8"/>
      <c r="F7721" t="str">
        <f t="shared" si="267"/>
        <v/>
      </c>
      <c r="G7721" t="str">
        <f t="shared" si="268"/>
        <v/>
      </c>
    </row>
    <row r="7722" spans="2:7" x14ac:dyDescent="0.25">
      <c r="B7722" s="6"/>
      <c r="C7722" s="7"/>
      <c r="D7722" s="7"/>
      <c r="E7722" s="8"/>
      <c r="F7722" t="str">
        <f t="shared" si="267"/>
        <v/>
      </c>
      <c r="G7722" t="str">
        <f t="shared" si="268"/>
        <v/>
      </c>
    </row>
    <row r="7723" spans="2:7" x14ac:dyDescent="0.25">
      <c r="B7723" s="6"/>
      <c r="C7723" s="7"/>
      <c r="D7723" s="7"/>
      <c r="E7723" s="8"/>
      <c r="F7723" t="str">
        <f t="shared" si="267"/>
        <v/>
      </c>
      <c r="G7723" t="str">
        <f t="shared" si="268"/>
        <v/>
      </c>
    </row>
    <row r="7724" spans="2:7" x14ac:dyDescent="0.25">
      <c r="B7724" s="6"/>
      <c r="C7724" s="7"/>
      <c r="D7724" s="7"/>
      <c r="E7724" s="8"/>
      <c r="F7724" t="str">
        <f t="shared" si="267"/>
        <v/>
      </c>
      <c r="G7724" t="str">
        <f t="shared" si="268"/>
        <v/>
      </c>
    </row>
    <row r="7725" spans="2:7" x14ac:dyDescent="0.25">
      <c r="B7725" s="6"/>
      <c r="C7725" s="7"/>
      <c r="D7725" s="7"/>
      <c r="E7725" s="8"/>
      <c r="F7725" t="str">
        <f t="shared" si="267"/>
        <v/>
      </c>
      <c r="G7725" t="str">
        <f t="shared" si="268"/>
        <v/>
      </c>
    </row>
    <row r="7726" spans="2:7" x14ac:dyDescent="0.25">
      <c r="B7726" s="6"/>
      <c r="C7726" s="7"/>
      <c r="D7726" s="7"/>
      <c r="E7726" s="8"/>
      <c r="F7726" t="str">
        <f t="shared" si="267"/>
        <v/>
      </c>
      <c r="G7726" t="str">
        <f t="shared" si="268"/>
        <v/>
      </c>
    </row>
    <row r="7727" spans="2:7" x14ac:dyDescent="0.25">
      <c r="B7727" s="6"/>
      <c r="C7727" s="7"/>
      <c r="D7727" s="7"/>
      <c r="E7727" s="8"/>
      <c r="F7727" t="str">
        <f t="shared" si="267"/>
        <v/>
      </c>
      <c r="G7727" t="str">
        <f t="shared" si="268"/>
        <v/>
      </c>
    </row>
    <row r="7728" spans="2:7" x14ac:dyDescent="0.25">
      <c r="B7728" s="6"/>
      <c r="C7728" s="7"/>
      <c r="D7728" s="7"/>
      <c r="E7728" s="8"/>
      <c r="F7728" t="str">
        <f t="shared" si="267"/>
        <v/>
      </c>
      <c r="G7728" t="str">
        <f t="shared" si="268"/>
        <v/>
      </c>
    </row>
    <row r="7729" spans="2:7" x14ac:dyDescent="0.25">
      <c r="B7729" s="6"/>
      <c r="C7729" s="7"/>
      <c r="D7729" s="7"/>
      <c r="E7729" s="8"/>
      <c r="F7729" t="str">
        <f t="shared" si="267"/>
        <v/>
      </c>
      <c r="G7729" t="str">
        <f t="shared" si="268"/>
        <v/>
      </c>
    </row>
    <row r="7730" spans="2:7" x14ac:dyDescent="0.25">
      <c r="B7730" s="6"/>
      <c r="C7730" s="7"/>
      <c r="D7730" s="7"/>
      <c r="E7730" s="8"/>
      <c r="F7730" t="str">
        <f t="shared" si="267"/>
        <v/>
      </c>
      <c r="G7730" t="str">
        <f t="shared" si="268"/>
        <v/>
      </c>
    </row>
    <row r="7731" spans="2:7" x14ac:dyDescent="0.25">
      <c r="B7731" s="6"/>
      <c r="C7731" s="7"/>
      <c r="D7731" s="7"/>
      <c r="E7731" s="8"/>
      <c r="F7731" t="str">
        <f t="shared" si="267"/>
        <v/>
      </c>
      <c r="G7731" t="str">
        <f t="shared" si="268"/>
        <v/>
      </c>
    </row>
    <row r="7732" spans="2:7" x14ac:dyDescent="0.25">
      <c r="B7732" s="6"/>
      <c r="C7732" s="7"/>
      <c r="D7732" s="7"/>
      <c r="E7732" s="8"/>
      <c r="F7732" t="str">
        <f t="shared" si="267"/>
        <v/>
      </c>
      <c r="G7732" t="str">
        <f t="shared" si="268"/>
        <v/>
      </c>
    </row>
    <row r="7733" spans="2:7" x14ac:dyDescent="0.25">
      <c r="B7733" s="6"/>
      <c r="C7733" s="7"/>
      <c r="D7733" s="7"/>
      <c r="E7733" s="8"/>
      <c r="F7733" t="str">
        <f t="shared" si="267"/>
        <v/>
      </c>
      <c r="G7733" t="str">
        <f t="shared" si="268"/>
        <v/>
      </c>
    </row>
    <row r="7734" spans="2:7" x14ac:dyDescent="0.25">
      <c r="B7734" s="6"/>
      <c r="C7734" s="7"/>
      <c r="D7734" s="7"/>
      <c r="E7734" s="8"/>
      <c r="F7734" t="str">
        <f t="shared" si="267"/>
        <v/>
      </c>
      <c r="G7734" t="str">
        <f t="shared" si="268"/>
        <v/>
      </c>
    </row>
    <row r="7735" spans="2:7" x14ac:dyDescent="0.25">
      <c r="B7735" s="6"/>
      <c r="C7735" s="7"/>
      <c r="D7735" s="7"/>
      <c r="E7735" s="8"/>
      <c r="F7735" t="str">
        <f t="shared" si="267"/>
        <v/>
      </c>
      <c r="G7735" t="str">
        <f t="shared" si="268"/>
        <v/>
      </c>
    </row>
    <row r="7736" spans="2:7" x14ac:dyDescent="0.25">
      <c r="B7736" s="6"/>
      <c r="C7736" s="7"/>
      <c r="D7736" s="7"/>
      <c r="E7736" s="8"/>
      <c r="F7736" t="str">
        <f t="shared" si="267"/>
        <v/>
      </c>
      <c r="G7736" t="str">
        <f t="shared" si="268"/>
        <v/>
      </c>
    </row>
    <row r="7737" spans="2:7" x14ac:dyDescent="0.25">
      <c r="B7737" s="6"/>
      <c r="C7737" s="7"/>
      <c r="D7737" s="7"/>
      <c r="E7737" s="8"/>
      <c r="F7737" t="str">
        <f t="shared" si="267"/>
        <v/>
      </c>
      <c r="G7737" t="str">
        <f t="shared" si="268"/>
        <v/>
      </c>
    </row>
    <row r="7738" spans="2:7" x14ac:dyDescent="0.25">
      <c r="B7738" s="6"/>
      <c r="C7738" s="7"/>
      <c r="D7738" s="7"/>
      <c r="E7738" s="8"/>
      <c r="F7738" t="str">
        <f t="shared" si="267"/>
        <v/>
      </c>
      <c r="G7738" t="str">
        <f t="shared" si="268"/>
        <v/>
      </c>
    </row>
    <row r="7739" spans="2:7" x14ac:dyDescent="0.25">
      <c r="B7739" s="6"/>
      <c r="C7739" s="7"/>
      <c r="D7739" s="7"/>
      <c r="E7739" s="8"/>
      <c r="F7739" t="str">
        <f t="shared" si="267"/>
        <v/>
      </c>
      <c r="G7739" t="str">
        <f t="shared" si="268"/>
        <v/>
      </c>
    </row>
    <row r="7740" spans="2:7" x14ac:dyDescent="0.25">
      <c r="B7740" s="6"/>
      <c r="C7740" s="7"/>
      <c r="D7740" s="7"/>
      <c r="E7740" s="8"/>
      <c r="F7740" t="str">
        <f t="shared" si="267"/>
        <v/>
      </c>
      <c r="G7740" t="str">
        <f t="shared" si="268"/>
        <v/>
      </c>
    </row>
    <row r="7741" spans="2:7" x14ac:dyDescent="0.25">
      <c r="B7741" s="6"/>
      <c r="C7741" s="7"/>
      <c r="D7741" s="7"/>
      <c r="E7741" s="8"/>
      <c r="F7741" t="str">
        <f t="shared" si="267"/>
        <v/>
      </c>
      <c r="G7741" t="str">
        <f t="shared" si="268"/>
        <v/>
      </c>
    </row>
    <row r="7742" spans="2:7" x14ac:dyDescent="0.25">
      <c r="B7742" s="6"/>
      <c r="C7742" s="7"/>
      <c r="D7742" s="7"/>
      <c r="E7742" s="8"/>
      <c r="F7742" t="str">
        <f t="shared" si="267"/>
        <v/>
      </c>
      <c r="G7742" t="str">
        <f t="shared" si="268"/>
        <v/>
      </c>
    </row>
    <row r="7743" spans="2:7" x14ac:dyDescent="0.25">
      <c r="B7743" s="6"/>
      <c r="C7743" s="7"/>
      <c r="D7743" s="7"/>
      <c r="E7743" s="8"/>
      <c r="F7743" t="str">
        <f t="shared" si="267"/>
        <v/>
      </c>
      <c r="G7743" t="str">
        <f t="shared" si="268"/>
        <v/>
      </c>
    </row>
    <row r="7744" spans="2:7" x14ac:dyDescent="0.25">
      <c r="B7744" s="6"/>
      <c r="C7744" s="7"/>
      <c r="D7744" s="7"/>
      <c r="E7744" s="8"/>
      <c r="F7744" t="str">
        <f t="shared" si="267"/>
        <v/>
      </c>
      <c r="G7744" t="str">
        <f t="shared" si="268"/>
        <v/>
      </c>
    </row>
    <row r="7745" spans="2:7" x14ac:dyDescent="0.25">
      <c r="B7745" s="6"/>
      <c r="C7745" s="7"/>
      <c r="D7745" s="7"/>
      <c r="E7745" s="8"/>
      <c r="F7745" t="str">
        <f t="shared" si="267"/>
        <v/>
      </c>
      <c r="G7745" t="str">
        <f t="shared" si="268"/>
        <v/>
      </c>
    </row>
    <row r="7746" spans="2:7" x14ac:dyDescent="0.25">
      <c r="B7746" s="6"/>
      <c r="C7746" s="7"/>
      <c r="D7746" s="7"/>
      <c r="E7746" s="8"/>
      <c r="F7746" t="str">
        <f t="shared" si="267"/>
        <v/>
      </c>
      <c r="G7746" t="str">
        <f t="shared" si="268"/>
        <v/>
      </c>
    </row>
    <row r="7747" spans="2:7" x14ac:dyDescent="0.25">
      <c r="B7747" s="6"/>
      <c r="C7747" s="7"/>
      <c r="D7747" s="7"/>
      <c r="E7747" s="8"/>
      <c r="F7747" t="str">
        <f t="shared" si="267"/>
        <v/>
      </c>
      <c r="G7747" t="str">
        <f t="shared" si="268"/>
        <v/>
      </c>
    </row>
    <row r="7748" spans="2:7" x14ac:dyDescent="0.25">
      <c r="B7748" s="6"/>
      <c r="C7748" s="7"/>
      <c r="D7748" s="7"/>
      <c r="E7748" s="8"/>
      <c r="F7748" t="str">
        <f t="shared" ref="F7748:F7811" si="269">IF(B7748="","",LOG10(D7748))</f>
        <v/>
      </c>
      <c r="G7748" t="str">
        <f t="shared" ref="G7748:G7811" si="270">IF(E7748="", "",0.434*E7748/D7748)</f>
        <v/>
      </c>
    </row>
    <row r="7749" spans="2:7" x14ac:dyDescent="0.25">
      <c r="B7749" s="6"/>
      <c r="C7749" s="7"/>
      <c r="D7749" s="7"/>
      <c r="E7749" s="8"/>
      <c r="F7749" t="str">
        <f t="shared" si="269"/>
        <v/>
      </c>
      <c r="G7749" t="str">
        <f t="shared" si="270"/>
        <v/>
      </c>
    </row>
    <row r="7750" spans="2:7" x14ac:dyDescent="0.25">
      <c r="B7750" s="6"/>
      <c r="C7750" s="7"/>
      <c r="D7750" s="7"/>
      <c r="E7750" s="8"/>
      <c r="F7750" t="str">
        <f t="shared" si="269"/>
        <v/>
      </c>
      <c r="G7750" t="str">
        <f t="shared" si="270"/>
        <v/>
      </c>
    </row>
    <row r="7751" spans="2:7" x14ac:dyDescent="0.25">
      <c r="B7751" s="6"/>
      <c r="C7751" s="7"/>
      <c r="D7751" s="7"/>
      <c r="E7751" s="8"/>
      <c r="F7751" t="str">
        <f t="shared" si="269"/>
        <v/>
      </c>
      <c r="G7751" t="str">
        <f t="shared" si="270"/>
        <v/>
      </c>
    </row>
    <row r="7752" spans="2:7" x14ac:dyDescent="0.25">
      <c r="B7752" s="6"/>
      <c r="C7752" s="7"/>
      <c r="D7752" s="7"/>
      <c r="E7752" s="8"/>
      <c r="F7752" t="str">
        <f t="shared" si="269"/>
        <v/>
      </c>
      <c r="G7752" t="str">
        <f t="shared" si="270"/>
        <v/>
      </c>
    </row>
    <row r="7753" spans="2:7" x14ac:dyDescent="0.25">
      <c r="B7753" s="6"/>
      <c r="C7753" s="7"/>
      <c r="D7753" s="7"/>
      <c r="E7753" s="8"/>
      <c r="F7753" t="str">
        <f t="shared" si="269"/>
        <v/>
      </c>
      <c r="G7753" t="str">
        <f t="shared" si="270"/>
        <v/>
      </c>
    </row>
    <row r="7754" spans="2:7" x14ac:dyDescent="0.25">
      <c r="B7754" s="6"/>
      <c r="C7754" s="7"/>
      <c r="D7754" s="7"/>
      <c r="E7754" s="8"/>
      <c r="F7754" t="str">
        <f t="shared" si="269"/>
        <v/>
      </c>
      <c r="G7754" t="str">
        <f t="shared" si="270"/>
        <v/>
      </c>
    </row>
    <row r="7755" spans="2:7" x14ac:dyDescent="0.25">
      <c r="B7755" s="6"/>
      <c r="C7755" s="7"/>
      <c r="D7755" s="7"/>
      <c r="E7755" s="8"/>
      <c r="F7755" t="str">
        <f t="shared" si="269"/>
        <v/>
      </c>
      <c r="G7755" t="str">
        <f t="shared" si="270"/>
        <v/>
      </c>
    </row>
    <row r="7756" spans="2:7" x14ac:dyDescent="0.25">
      <c r="B7756" s="6"/>
      <c r="C7756" s="7"/>
      <c r="D7756" s="7"/>
      <c r="E7756" s="8"/>
      <c r="F7756" t="str">
        <f t="shared" si="269"/>
        <v/>
      </c>
      <c r="G7756" t="str">
        <f t="shared" si="270"/>
        <v/>
      </c>
    </row>
    <row r="7757" spans="2:7" x14ac:dyDescent="0.25">
      <c r="B7757" s="6"/>
      <c r="C7757" s="7"/>
      <c r="D7757" s="7"/>
      <c r="E7757" s="8"/>
      <c r="F7757" t="str">
        <f t="shared" si="269"/>
        <v/>
      </c>
      <c r="G7757" t="str">
        <f t="shared" si="270"/>
        <v/>
      </c>
    </row>
    <row r="7758" spans="2:7" x14ac:dyDescent="0.25">
      <c r="B7758" s="6"/>
      <c r="C7758" s="7"/>
      <c r="D7758" s="7"/>
      <c r="E7758" s="8"/>
      <c r="F7758" t="str">
        <f t="shared" si="269"/>
        <v/>
      </c>
      <c r="G7758" t="str">
        <f t="shared" si="270"/>
        <v/>
      </c>
    </row>
    <row r="7759" spans="2:7" x14ac:dyDescent="0.25">
      <c r="B7759" s="6"/>
      <c r="C7759" s="7"/>
      <c r="D7759" s="7"/>
      <c r="E7759" s="8"/>
      <c r="F7759" t="str">
        <f t="shared" si="269"/>
        <v/>
      </c>
      <c r="G7759" t="str">
        <f t="shared" si="270"/>
        <v/>
      </c>
    </row>
    <row r="7760" spans="2:7" x14ac:dyDescent="0.25">
      <c r="B7760" s="6"/>
      <c r="C7760" s="7"/>
      <c r="D7760" s="7"/>
      <c r="E7760" s="8"/>
      <c r="F7760" t="str">
        <f t="shared" si="269"/>
        <v/>
      </c>
      <c r="G7760" t="str">
        <f t="shared" si="270"/>
        <v/>
      </c>
    </row>
    <row r="7761" spans="2:7" x14ac:dyDescent="0.25">
      <c r="B7761" s="6"/>
      <c r="C7761" s="7"/>
      <c r="D7761" s="7"/>
      <c r="E7761" s="8"/>
      <c r="F7761" t="str">
        <f t="shared" si="269"/>
        <v/>
      </c>
      <c r="G7761" t="str">
        <f t="shared" si="270"/>
        <v/>
      </c>
    </row>
    <row r="7762" spans="2:7" x14ac:dyDescent="0.25">
      <c r="B7762" s="6"/>
      <c r="C7762" s="7"/>
      <c r="D7762" s="7"/>
      <c r="E7762" s="8"/>
      <c r="F7762" t="str">
        <f t="shared" si="269"/>
        <v/>
      </c>
      <c r="G7762" t="str">
        <f t="shared" si="270"/>
        <v/>
      </c>
    </row>
    <row r="7763" spans="2:7" x14ac:dyDescent="0.25">
      <c r="B7763" s="6"/>
      <c r="C7763" s="7"/>
      <c r="D7763" s="7"/>
      <c r="E7763" s="8"/>
      <c r="F7763" t="str">
        <f t="shared" si="269"/>
        <v/>
      </c>
      <c r="G7763" t="str">
        <f t="shared" si="270"/>
        <v/>
      </c>
    </row>
    <row r="7764" spans="2:7" x14ac:dyDescent="0.25">
      <c r="B7764" s="6"/>
      <c r="C7764" s="7"/>
      <c r="D7764" s="7"/>
      <c r="E7764" s="8"/>
      <c r="F7764" t="str">
        <f t="shared" si="269"/>
        <v/>
      </c>
      <c r="G7764" t="str">
        <f t="shared" si="270"/>
        <v/>
      </c>
    </row>
    <row r="7765" spans="2:7" x14ac:dyDescent="0.25">
      <c r="B7765" s="6"/>
      <c r="C7765" s="7"/>
      <c r="D7765" s="7"/>
      <c r="E7765" s="8"/>
      <c r="F7765" t="str">
        <f t="shared" si="269"/>
        <v/>
      </c>
      <c r="G7765" t="str">
        <f t="shared" si="270"/>
        <v/>
      </c>
    </row>
    <row r="7766" spans="2:7" x14ac:dyDescent="0.25">
      <c r="B7766" s="6"/>
      <c r="C7766" s="7"/>
      <c r="D7766" s="7"/>
      <c r="E7766" s="8"/>
      <c r="F7766" t="str">
        <f t="shared" si="269"/>
        <v/>
      </c>
      <c r="G7766" t="str">
        <f t="shared" si="270"/>
        <v/>
      </c>
    </row>
    <row r="7767" spans="2:7" x14ac:dyDescent="0.25">
      <c r="B7767" s="6"/>
      <c r="C7767" s="7"/>
      <c r="D7767" s="7"/>
      <c r="E7767" s="8"/>
      <c r="F7767" t="str">
        <f t="shared" si="269"/>
        <v/>
      </c>
      <c r="G7767" t="str">
        <f t="shared" si="270"/>
        <v/>
      </c>
    </row>
    <row r="7768" spans="2:7" x14ac:dyDescent="0.25">
      <c r="B7768" s="6"/>
      <c r="C7768" s="7"/>
      <c r="D7768" s="7"/>
      <c r="E7768" s="8"/>
      <c r="F7768" t="str">
        <f t="shared" si="269"/>
        <v/>
      </c>
      <c r="G7768" t="str">
        <f t="shared" si="270"/>
        <v/>
      </c>
    </row>
    <row r="7769" spans="2:7" x14ac:dyDescent="0.25">
      <c r="B7769" s="6"/>
      <c r="C7769" s="7"/>
      <c r="D7769" s="7"/>
      <c r="E7769" s="8"/>
      <c r="F7769" t="str">
        <f t="shared" si="269"/>
        <v/>
      </c>
      <c r="G7769" t="str">
        <f t="shared" si="270"/>
        <v/>
      </c>
    </row>
    <row r="7770" spans="2:7" x14ac:dyDescent="0.25">
      <c r="B7770" s="6"/>
      <c r="C7770" s="7"/>
      <c r="D7770" s="7"/>
      <c r="E7770" s="8"/>
      <c r="F7770" t="str">
        <f t="shared" si="269"/>
        <v/>
      </c>
      <c r="G7770" t="str">
        <f t="shared" si="270"/>
        <v/>
      </c>
    </row>
    <row r="7771" spans="2:7" x14ac:dyDescent="0.25">
      <c r="B7771" s="6"/>
      <c r="C7771" s="7"/>
      <c r="D7771" s="7"/>
      <c r="E7771" s="8"/>
      <c r="F7771" t="str">
        <f t="shared" si="269"/>
        <v/>
      </c>
      <c r="G7771" t="str">
        <f t="shared" si="270"/>
        <v/>
      </c>
    </row>
    <row r="7772" spans="2:7" x14ac:dyDescent="0.25">
      <c r="B7772" s="6"/>
      <c r="C7772" s="7"/>
      <c r="D7772" s="7"/>
      <c r="E7772" s="8"/>
      <c r="F7772" t="str">
        <f t="shared" si="269"/>
        <v/>
      </c>
      <c r="G7772" t="str">
        <f t="shared" si="270"/>
        <v/>
      </c>
    </row>
    <row r="7773" spans="2:7" x14ac:dyDescent="0.25">
      <c r="B7773" s="6"/>
      <c r="C7773" s="7"/>
      <c r="D7773" s="7"/>
      <c r="E7773" s="8"/>
      <c r="F7773" t="str">
        <f t="shared" si="269"/>
        <v/>
      </c>
      <c r="G7773" t="str">
        <f t="shared" si="270"/>
        <v/>
      </c>
    </row>
    <row r="7774" spans="2:7" x14ac:dyDescent="0.25">
      <c r="B7774" s="6"/>
      <c r="C7774" s="7"/>
      <c r="D7774" s="7"/>
      <c r="E7774" s="8"/>
      <c r="F7774" t="str">
        <f t="shared" si="269"/>
        <v/>
      </c>
      <c r="G7774" t="str">
        <f t="shared" si="270"/>
        <v/>
      </c>
    </row>
    <row r="7775" spans="2:7" x14ac:dyDescent="0.25">
      <c r="B7775" s="6"/>
      <c r="C7775" s="7"/>
      <c r="D7775" s="7"/>
      <c r="E7775" s="8"/>
      <c r="F7775" t="str">
        <f t="shared" si="269"/>
        <v/>
      </c>
      <c r="G7775" t="str">
        <f t="shared" si="270"/>
        <v/>
      </c>
    </row>
    <row r="7776" spans="2:7" x14ac:dyDescent="0.25">
      <c r="B7776" s="6"/>
      <c r="C7776" s="7"/>
      <c r="D7776" s="7"/>
      <c r="E7776" s="8"/>
      <c r="F7776" t="str">
        <f t="shared" si="269"/>
        <v/>
      </c>
      <c r="G7776" t="str">
        <f t="shared" si="270"/>
        <v/>
      </c>
    </row>
    <row r="7777" spans="2:7" x14ac:dyDescent="0.25">
      <c r="B7777" s="6"/>
      <c r="C7777" s="7"/>
      <c r="D7777" s="7"/>
      <c r="E7777" s="8"/>
      <c r="F7777" t="str">
        <f t="shared" si="269"/>
        <v/>
      </c>
      <c r="G7777" t="str">
        <f t="shared" si="270"/>
        <v/>
      </c>
    </row>
    <row r="7778" spans="2:7" x14ac:dyDescent="0.25">
      <c r="B7778" s="6"/>
      <c r="C7778" s="7"/>
      <c r="D7778" s="7"/>
      <c r="E7778" s="8"/>
      <c r="F7778" t="str">
        <f t="shared" si="269"/>
        <v/>
      </c>
      <c r="G7778" t="str">
        <f t="shared" si="270"/>
        <v/>
      </c>
    </row>
    <row r="7779" spans="2:7" x14ac:dyDescent="0.25">
      <c r="B7779" s="6"/>
      <c r="C7779" s="7"/>
      <c r="D7779" s="7"/>
      <c r="E7779" s="8"/>
      <c r="F7779" t="str">
        <f t="shared" si="269"/>
        <v/>
      </c>
      <c r="G7779" t="str">
        <f t="shared" si="270"/>
        <v/>
      </c>
    </row>
    <row r="7780" spans="2:7" x14ac:dyDescent="0.25">
      <c r="B7780" s="6"/>
      <c r="C7780" s="7"/>
      <c r="D7780" s="7"/>
      <c r="E7780" s="8"/>
      <c r="F7780" t="str">
        <f t="shared" si="269"/>
        <v/>
      </c>
      <c r="G7780" t="str">
        <f t="shared" si="270"/>
        <v/>
      </c>
    </row>
    <row r="7781" spans="2:7" x14ac:dyDescent="0.25">
      <c r="B7781" s="6"/>
      <c r="C7781" s="7"/>
      <c r="D7781" s="7"/>
      <c r="E7781" s="8"/>
      <c r="F7781" t="str">
        <f t="shared" si="269"/>
        <v/>
      </c>
      <c r="G7781" t="str">
        <f t="shared" si="270"/>
        <v/>
      </c>
    </row>
    <row r="7782" spans="2:7" x14ac:dyDescent="0.25">
      <c r="B7782" s="6"/>
      <c r="C7782" s="7"/>
      <c r="D7782" s="7"/>
      <c r="E7782" s="8"/>
      <c r="F7782" t="str">
        <f t="shared" si="269"/>
        <v/>
      </c>
      <c r="G7782" t="str">
        <f t="shared" si="270"/>
        <v/>
      </c>
    </row>
    <row r="7783" spans="2:7" x14ac:dyDescent="0.25">
      <c r="B7783" s="6"/>
      <c r="C7783" s="7"/>
      <c r="D7783" s="7"/>
      <c r="E7783" s="8"/>
      <c r="F7783" t="str">
        <f t="shared" si="269"/>
        <v/>
      </c>
      <c r="G7783" t="str">
        <f t="shared" si="270"/>
        <v/>
      </c>
    </row>
    <row r="7784" spans="2:7" x14ac:dyDescent="0.25">
      <c r="B7784" s="6"/>
      <c r="C7784" s="7"/>
      <c r="D7784" s="7"/>
      <c r="E7784" s="8"/>
      <c r="F7784" t="str">
        <f t="shared" si="269"/>
        <v/>
      </c>
      <c r="G7784" t="str">
        <f t="shared" si="270"/>
        <v/>
      </c>
    </row>
    <row r="7785" spans="2:7" x14ac:dyDescent="0.25">
      <c r="B7785" s="6"/>
      <c r="C7785" s="7"/>
      <c r="D7785" s="7"/>
      <c r="E7785" s="8"/>
      <c r="F7785" t="str">
        <f t="shared" si="269"/>
        <v/>
      </c>
      <c r="G7785" t="str">
        <f t="shared" si="270"/>
        <v/>
      </c>
    </row>
    <row r="7786" spans="2:7" x14ac:dyDescent="0.25">
      <c r="B7786" s="6"/>
      <c r="C7786" s="7"/>
      <c r="D7786" s="7"/>
      <c r="E7786" s="8"/>
      <c r="F7786" t="str">
        <f t="shared" si="269"/>
        <v/>
      </c>
      <c r="G7786" t="str">
        <f t="shared" si="270"/>
        <v/>
      </c>
    </row>
    <row r="7787" spans="2:7" x14ac:dyDescent="0.25">
      <c r="B7787" s="6"/>
      <c r="C7787" s="7"/>
      <c r="D7787" s="7"/>
      <c r="E7787" s="8"/>
      <c r="F7787" t="str">
        <f t="shared" si="269"/>
        <v/>
      </c>
      <c r="G7787" t="str">
        <f t="shared" si="270"/>
        <v/>
      </c>
    </row>
    <row r="7788" spans="2:7" x14ac:dyDescent="0.25">
      <c r="B7788" s="6"/>
      <c r="C7788" s="7"/>
      <c r="D7788" s="7"/>
      <c r="E7788" s="8"/>
      <c r="F7788" t="str">
        <f t="shared" si="269"/>
        <v/>
      </c>
      <c r="G7788" t="str">
        <f t="shared" si="270"/>
        <v/>
      </c>
    </row>
    <row r="7789" spans="2:7" x14ac:dyDescent="0.25">
      <c r="B7789" s="6"/>
      <c r="C7789" s="7"/>
      <c r="D7789" s="7"/>
      <c r="E7789" s="8"/>
      <c r="F7789" t="str">
        <f t="shared" si="269"/>
        <v/>
      </c>
      <c r="G7789" t="str">
        <f t="shared" si="270"/>
        <v/>
      </c>
    </row>
    <row r="7790" spans="2:7" x14ac:dyDescent="0.25">
      <c r="B7790" s="6"/>
      <c r="C7790" s="7"/>
      <c r="D7790" s="7"/>
      <c r="E7790" s="8"/>
      <c r="F7790" t="str">
        <f t="shared" si="269"/>
        <v/>
      </c>
      <c r="G7790" t="str">
        <f t="shared" si="270"/>
        <v/>
      </c>
    </row>
    <row r="7791" spans="2:7" x14ac:dyDescent="0.25">
      <c r="B7791" s="6"/>
      <c r="C7791" s="7"/>
      <c r="D7791" s="7"/>
      <c r="E7791" s="8"/>
      <c r="F7791" t="str">
        <f t="shared" si="269"/>
        <v/>
      </c>
      <c r="G7791" t="str">
        <f t="shared" si="270"/>
        <v/>
      </c>
    </row>
    <row r="7792" spans="2:7" x14ac:dyDescent="0.25">
      <c r="B7792" s="6"/>
      <c r="C7792" s="7"/>
      <c r="D7792" s="7"/>
      <c r="E7792" s="8"/>
      <c r="F7792" t="str">
        <f t="shared" si="269"/>
        <v/>
      </c>
      <c r="G7792" t="str">
        <f t="shared" si="270"/>
        <v/>
      </c>
    </row>
    <row r="7793" spans="2:7" x14ac:dyDescent="0.25">
      <c r="B7793" s="6"/>
      <c r="C7793" s="7"/>
      <c r="D7793" s="7"/>
      <c r="E7793" s="8"/>
      <c r="F7793" t="str">
        <f t="shared" si="269"/>
        <v/>
      </c>
      <c r="G7793" t="str">
        <f t="shared" si="270"/>
        <v/>
      </c>
    </row>
    <row r="7794" spans="2:7" x14ac:dyDescent="0.25">
      <c r="B7794" s="6"/>
      <c r="C7794" s="7"/>
      <c r="D7794" s="7"/>
      <c r="E7794" s="8"/>
      <c r="F7794" t="str">
        <f t="shared" si="269"/>
        <v/>
      </c>
      <c r="G7794" t="str">
        <f t="shared" si="270"/>
        <v/>
      </c>
    </row>
    <row r="7795" spans="2:7" x14ac:dyDescent="0.25">
      <c r="B7795" s="6"/>
      <c r="C7795" s="7"/>
      <c r="D7795" s="7"/>
      <c r="E7795" s="8"/>
      <c r="F7795" t="str">
        <f t="shared" si="269"/>
        <v/>
      </c>
      <c r="G7795" t="str">
        <f t="shared" si="270"/>
        <v/>
      </c>
    </row>
    <row r="7796" spans="2:7" x14ac:dyDescent="0.25">
      <c r="B7796" s="6"/>
      <c r="C7796" s="7"/>
      <c r="D7796" s="7"/>
      <c r="E7796" s="8"/>
      <c r="F7796" t="str">
        <f t="shared" si="269"/>
        <v/>
      </c>
      <c r="G7796" t="str">
        <f t="shared" si="270"/>
        <v/>
      </c>
    </row>
    <row r="7797" spans="2:7" x14ac:dyDescent="0.25">
      <c r="B7797" s="6"/>
      <c r="C7797" s="7"/>
      <c r="D7797" s="7"/>
      <c r="E7797" s="8"/>
      <c r="F7797" t="str">
        <f t="shared" si="269"/>
        <v/>
      </c>
      <c r="G7797" t="str">
        <f t="shared" si="270"/>
        <v/>
      </c>
    </row>
    <row r="7798" spans="2:7" x14ac:dyDescent="0.25">
      <c r="B7798" s="6"/>
      <c r="C7798" s="7"/>
      <c r="D7798" s="7"/>
      <c r="E7798" s="8"/>
      <c r="F7798" t="str">
        <f t="shared" si="269"/>
        <v/>
      </c>
      <c r="G7798" t="str">
        <f t="shared" si="270"/>
        <v/>
      </c>
    </row>
    <row r="7799" spans="2:7" x14ac:dyDescent="0.25">
      <c r="B7799" s="6"/>
      <c r="C7799" s="7"/>
      <c r="D7799" s="7"/>
      <c r="E7799" s="8"/>
      <c r="F7799" t="str">
        <f t="shared" si="269"/>
        <v/>
      </c>
      <c r="G7799" t="str">
        <f t="shared" si="270"/>
        <v/>
      </c>
    </row>
    <row r="7800" spans="2:7" x14ac:dyDescent="0.25">
      <c r="B7800" s="6"/>
      <c r="C7800" s="7"/>
      <c r="D7800" s="7"/>
      <c r="E7800" s="8"/>
      <c r="F7800" t="str">
        <f t="shared" si="269"/>
        <v/>
      </c>
      <c r="G7800" t="str">
        <f t="shared" si="270"/>
        <v/>
      </c>
    </row>
    <row r="7801" spans="2:7" x14ac:dyDescent="0.25">
      <c r="B7801" s="6"/>
      <c r="C7801" s="7"/>
      <c r="D7801" s="7"/>
      <c r="E7801" s="8"/>
      <c r="F7801" t="str">
        <f t="shared" si="269"/>
        <v/>
      </c>
      <c r="G7801" t="str">
        <f t="shared" si="270"/>
        <v/>
      </c>
    </row>
    <row r="7802" spans="2:7" x14ac:dyDescent="0.25">
      <c r="B7802" s="6"/>
      <c r="C7802" s="7"/>
      <c r="D7802" s="7"/>
      <c r="E7802" s="8"/>
      <c r="F7802" t="str">
        <f t="shared" si="269"/>
        <v/>
      </c>
      <c r="G7802" t="str">
        <f t="shared" si="270"/>
        <v/>
      </c>
    </row>
    <row r="7803" spans="2:7" x14ac:dyDescent="0.25">
      <c r="B7803" s="6"/>
      <c r="C7803" s="7"/>
      <c r="D7803" s="7"/>
      <c r="E7803" s="8"/>
      <c r="F7803" t="str">
        <f t="shared" si="269"/>
        <v/>
      </c>
      <c r="G7803" t="str">
        <f t="shared" si="270"/>
        <v/>
      </c>
    </row>
    <row r="7804" spans="2:7" x14ac:dyDescent="0.25">
      <c r="B7804" s="6"/>
      <c r="C7804" s="7"/>
      <c r="D7804" s="7"/>
      <c r="E7804" s="8"/>
      <c r="F7804" t="str">
        <f t="shared" si="269"/>
        <v/>
      </c>
      <c r="G7804" t="str">
        <f t="shared" si="270"/>
        <v/>
      </c>
    </row>
    <row r="7805" spans="2:7" x14ac:dyDescent="0.25">
      <c r="B7805" s="6"/>
      <c r="C7805" s="7"/>
      <c r="D7805" s="7"/>
      <c r="E7805" s="8"/>
      <c r="F7805" t="str">
        <f t="shared" si="269"/>
        <v/>
      </c>
      <c r="G7805" t="str">
        <f t="shared" si="270"/>
        <v/>
      </c>
    </row>
    <row r="7806" spans="2:7" x14ac:dyDescent="0.25">
      <c r="B7806" s="6"/>
      <c r="C7806" s="7"/>
      <c r="D7806" s="7"/>
      <c r="E7806" s="8"/>
      <c r="F7806" t="str">
        <f t="shared" si="269"/>
        <v/>
      </c>
      <c r="G7806" t="str">
        <f t="shared" si="270"/>
        <v/>
      </c>
    </row>
    <row r="7807" spans="2:7" x14ac:dyDescent="0.25">
      <c r="B7807" s="6"/>
      <c r="C7807" s="7"/>
      <c r="D7807" s="7"/>
      <c r="E7807" s="8"/>
      <c r="F7807" t="str">
        <f t="shared" si="269"/>
        <v/>
      </c>
      <c r="G7807" t="str">
        <f t="shared" si="270"/>
        <v/>
      </c>
    </row>
    <row r="7808" spans="2:7" x14ac:dyDescent="0.25">
      <c r="B7808" s="6"/>
      <c r="C7808" s="7"/>
      <c r="D7808" s="7"/>
      <c r="E7808" s="8"/>
      <c r="F7808" t="str">
        <f t="shared" si="269"/>
        <v/>
      </c>
      <c r="G7808" t="str">
        <f t="shared" si="270"/>
        <v/>
      </c>
    </row>
    <row r="7809" spans="2:7" x14ac:dyDescent="0.25">
      <c r="B7809" s="6"/>
      <c r="C7809" s="7"/>
      <c r="D7809" s="7"/>
      <c r="E7809" s="8"/>
      <c r="F7809" t="str">
        <f t="shared" si="269"/>
        <v/>
      </c>
      <c r="G7809" t="str">
        <f t="shared" si="270"/>
        <v/>
      </c>
    </row>
    <row r="7810" spans="2:7" x14ac:dyDescent="0.25">
      <c r="B7810" s="6"/>
      <c r="C7810" s="7"/>
      <c r="D7810" s="7"/>
      <c r="E7810" s="8"/>
      <c r="F7810" t="str">
        <f t="shared" si="269"/>
        <v/>
      </c>
      <c r="G7810" t="str">
        <f t="shared" si="270"/>
        <v/>
      </c>
    </row>
    <row r="7811" spans="2:7" x14ac:dyDescent="0.25">
      <c r="B7811" s="6"/>
      <c r="C7811" s="7"/>
      <c r="D7811" s="7"/>
      <c r="E7811" s="8"/>
      <c r="F7811" t="str">
        <f t="shared" si="269"/>
        <v/>
      </c>
      <c r="G7811" t="str">
        <f t="shared" si="270"/>
        <v/>
      </c>
    </row>
    <row r="7812" spans="2:7" x14ac:dyDescent="0.25">
      <c r="B7812" s="6"/>
      <c r="C7812" s="7"/>
      <c r="D7812" s="7"/>
      <c r="E7812" s="8"/>
      <c r="F7812" t="str">
        <f t="shared" ref="F7812:F7875" si="271">IF(B7812="","",LOG10(D7812))</f>
        <v/>
      </c>
      <c r="G7812" t="str">
        <f t="shared" ref="G7812:G7875" si="272">IF(E7812="", "",0.434*E7812/D7812)</f>
        <v/>
      </c>
    </row>
    <row r="7813" spans="2:7" x14ac:dyDescent="0.25">
      <c r="B7813" s="6"/>
      <c r="C7813" s="7"/>
      <c r="D7813" s="7"/>
      <c r="E7813" s="8"/>
      <c r="F7813" t="str">
        <f t="shared" si="271"/>
        <v/>
      </c>
      <c r="G7813" t="str">
        <f t="shared" si="272"/>
        <v/>
      </c>
    </row>
    <row r="7814" spans="2:7" x14ac:dyDescent="0.25">
      <c r="B7814" s="6"/>
      <c r="C7814" s="7"/>
      <c r="D7814" s="7"/>
      <c r="E7814" s="8"/>
      <c r="F7814" t="str">
        <f t="shared" si="271"/>
        <v/>
      </c>
      <c r="G7814" t="str">
        <f t="shared" si="272"/>
        <v/>
      </c>
    </row>
    <row r="7815" spans="2:7" x14ac:dyDescent="0.25">
      <c r="B7815" s="6"/>
      <c r="C7815" s="7"/>
      <c r="D7815" s="7"/>
      <c r="E7815" s="8"/>
      <c r="F7815" t="str">
        <f t="shared" si="271"/>
        <v/>
      </c>
      <c r="G7815" t="str">
        <f t="shared" si="272"/>
        <v/>
      </c>
    </row>
    <row r="7816" spans="2:7" x14ac:dyDescent="0.25">
      <c r="B7816" s="6"/>
      <c r="C7816" s="7"/>
      <c r="D7816" s="7"/>
      <c r="E7816" s="8"/>
      <c r="F7816" t="str">
        <f t="shared" si="271"/>
        <v/>
      </c>
      <c r="G7816" t="str">
        <f t="shared" si="272"/>
        <v/>
      </c>
    </row>
    <row r="7817" spans="2:7" x14ac:dyDescent="0.25">
      <c r="B7817" s="6"/>
      <c r="C7817" s="7"/>
      <c r="D7817" s="7"/>
      <c r="E7817" s="8"/>
      <c r="F7817" t="str">
        <f t="shared" si="271"/>
        <v/>
      </c>
      <c r="G7817" t="str">
        <f t="shared" si="272"/>
        <v/>
      </c>
    </row>
    <row r="7818" spans="2:7" x14ac:dyDescent="0.25">
      <c r="B7818" s="6"/>
      <c r="C7818" s="7"/>
      <c r="D7818" s="7"/>
      <c r="E7818" s="8"/>
      <c r="F7818" t="str">
        <f t="shared" si="271"/>
        <v/>
      </c>
      <c r="G7818" t="str">
        <f t="shared" si="272"/>
        <v/>
      </c>
    </row>
    <row r="7819" spans="2:7" x14ac:dyDescent="0.25">
      <c r="B7819" s="6"/>
      <c r="C7819" s="7"/>
      <c r="D7819" s="7"/>
      <c r="E7819" s="8"/>
      <c r="F7819" t="str">
        <f t="shared" si="271"/>
        <v/>
      </c>
      <c r="G7819" t="str">
        <f t="shared" si="272"/>
        <v/>
      </c>
    </row>
    <row r="7820" spans="2:7" x14ac:dyDescent="0.25">
      <c r="B7820" s="6"/>
      <c r="C7820" s="7"/>
      <c r="D7820" s="7"/>
      <c r="E7820" s="8"/>
      <c r="F7820" t="str">
        <f t="shared" si="271"/>
        <v/>
      </c>
      <c r="G7820" t="str">
        <f t="shared" si="272"/>
        <v/>
      </c>
    </row>
    <row r="7821" spans="2:7" x14ac:dyDescent="0.25">
      <c r="B7821" s="6"/>
      <c r="C7821" s="7"/>
      <c r="D7821" s="7"/>
      <c r="E7821" s="8"/>
      <c r="F7821" t="str">
        <f t="shared" si="271"/>
        <v/>
      </c>
      <c r="G7821" t="str">
        <f t="shared" si="272"/>
        <v/>
      </c>
    </row>
    <row r="7822" spans="2:7" x14ac:dyDescent="0.25">
      <c r="B7822" s="6"/>
      <c r="C7822" s="7"/>
      <c r="D7822" s="7"/>
      <c r="E7822" s="8"/>
      <c r="F7822" t="str">
        <f t="shared" si="271"/>
        <v/>
      </c>
      <c r="G7822" t="str">
        <f t="shared" si="272"/>
        <v/>
      </c>
    </row>
    <row r="7823" spans="2:7" x14ac:dyDescent="0.25">
      <c r="B7823" s="6"/>
      <c r="C7823" s="7"/>
      <c r="D7823" s="7"/>
      <c r="E7823" s="8"/>
      <c r="F7823" t="str">
        <f t="shared" si="271"/>
        <v/>
      </c>
      <c r="G7823" t="str">
        <f t="shared" si="272"/>
        <v/>
      </c>
    </row>
    <row r="7824" spans="2:7" x14ac:dyDescent="0.25">
      <c r="B7824" s="6"/>
      <c r="C7824" s="7"/>
      <c r="D7824" s="7"/>
      <c r="E7824" s="8"/>
      <c r="F7824" t="str">
        <f t="shared" si="271"/>
        <v/>
      </c>
      <c r="G7824" t="str">
        <f t="shared" si="272"/>
        <v/>
      </c>
    </row>
    <row r="7825" spans="2:7" x14ac:dyDescent="0.25">
      <c r="B7825" s="6"/>
      <c r="C7825" s="7"/>
      <c r="D7825" s="7"/>
      <c r="E7825" s="8"/>
      <c r="F7825" t="str">
        <f t="shared" si="271"/>
        <v/>
      </c>
      <c r="G7825" t="str">
        <f t="shared" si="272"/>
        <v/>
      </c>
    </row>
    <row r="7826" spans="2:7" x14ac:dyDescent="0.25">
      <c r="B7826" s="6"/>
      <c r="C7826" s="7"/>
      <c r="D7826" s="7"/>
      <c r="E7826" s="8"/>
      <c r="F7826" t="str">
        <f t="shared" si="271"/>
        <v/>
      </c>
      <c r="G7826" t="str">
        <f t="shared" si="272"/>
        <v/>
      </c>
    </row>
    <row r="7827" spans="2:7" x14ac:dyDescent="0.25">
      <c r="B7827" s="6"/>
      <c r="C7827" s="7"/>
      <c r="D7827" s="7"/>
      <c r="E7827" s="8"/>
      <c r="F7827" t="str">
        <f t="shared" si="271"/>
        <v/>
      </c>
      <c r="G7827" t="str">
        <f t="shared" si="272"/>
        <v/>
      </c>
    </row>
    <row r="7828" spans="2:7" x14ac:dyDescent="0.25">
      <c r="B7828" s="6"/>
      <c r="C7828" s="7"/>
      <c r="D7828" s="7"/>
      <c r="E7828" s="8"/>
      <c r="F7828" t="str">
        <f t="shared" si="271"/>
        <v/>
      </c>
      <c r="G7828" t="str">
        <f t="shared" si="272"/>
        <v/>
      </c>
    </row>
    <row r="7829" spans="2:7" x14ac:dyDescent="0.25">
      <c r="B7829" s="6"/>
      <c r="C7829" s="7"/>
      <c r="D7829" s="7"/>
      <c r="E7829" s="8"/>
      <c r="F7829" t="str">
        <f t="shared" si="271"/>
        <v/>
      </c>
      <c r="G7829" t="str">
        <f t="shared" si="272"/>
        <v/>
      </c>
    </row>
    <row r="7830" spans="2:7" x14ac:dyDescent="0.25">
      <c r="B7830" s="6"/>
      <c r="C7830" s="7"/>
      <c r="D7830" s="7"/>
      <c r="E7830" s="8"/>
      <c r="F7830" t="str">
        <f t="shared" si="271"/>
        <v/>
      </c>
      <c r="G7830" t="str">
        <f t="shared" si="272"/>
        <v/>
      </c>
    </row>
    <row r="7831" spans="2:7" x14ac:dyDescent="0.25">
      <c r="B7831" s="6"/>
      <c r="C7831" s="7"/>
      <c r="D7831" s="7"/>
      <c r="E7831" s="8"/>
      <c r="F7831" t="str">
        <f t="shared" si="271"/>
        <v/>
      </c>
      <c r="G7831" t="str">
        <f t="shared" si="272"/>
        <v/>
      </c>
    </row>
    <row r="7832" spans="2:7" x14ac:dyDescent="0.25">
      <c r="B7832" s="6"/>
      <c r="C7832" s="7"/>
      <c r="D7832" s="7"/>
      <c r="E7832" s="8"/>
      <c r="F7832" t="str">
        <f t="shared" si="271"/>
        <v/>
      </c>
      <c r="G7832" t="str">
        <f t="shared" si="272"/>
        <v/>
      </c>
    </row>
    <row r="7833" spans="2:7" x14ac:dyDescent="0.25">
      <c r="B7833" s="6"/>
      <c r="C7833" s="7"/>
      <c r="D7833" s="7"/>
      <c r="E7833" s="8"/>
      <c r="F7833" t="str">
        <f t="shared" si="271"/>
        <v/>
      </c>
      <c r="G7833" t="str">
        <f t="shared" si="272"/>
        <v/>
      </c>
    </row>
    <row r="7834" spans="2:7" x14ac:dyDescent="0.25">
      <c r="B7834" s="6"/>
      <c r="C7834" s="7"/>
      <c r="D7834" s="7"/>
      <c r="E7834" s="8"/>
      <c r="F7834" t="str">
        <f t="shared" si="271"/>
        <v/>
      </c>
      <c r="G7834" t="str">
        <f t="shared" si="272"/>
        <v/>
      </c>
    </row>
    <row r="7835" spans="2:7" x14ac:dyDescent="0.25">
      <c r="B7835" s="6"/>
      <c r="C7835" s="7"/>
      <c r="D7835" s="7"/>
      <c r="E7835" s="8"/>
      <c r="F7835" t="str">
        <f t="shared" si="271"/>
        <v/>
      </c>
      <c r="G7835" t="str">
        <f t="shared" si="272"/>
        <v/>
      </c>
    </row>
    <row r="7836" spans="2:7" x14ac:dyDescent="0.25">
      <c r="B7836" s="6"/>
      <c r="C7836" s="7"/>
      <c r="D7836" s="7"/>
      <c r="E7836" s="8"/>
      <c r="F7836" t="str">
        <f t="shared" si="271"/>
        <v/>
      </c>
      <c r="G7836" t="str">
        <f t="shared" si="272"/>
        <v/>
      </c>
    </row>
    <row r="7837" spans="2:7" x14ac:dyDescent="0.25">
      <c r="B7837" s="6"/>
      <c r="C7837" s="7"/>
      <c r="D7837" s="7"/>
      <c r="E7837" s="8"/>
      <c r="F7837" t="str">
        <f t="shared" si="271"/>
        <v/>
      </c>
      <c r="G7837" t="str">
        <f t="shared" si="272"/>
        <v/>
      </c>
    </row>
    <row r="7838" spans="2:7" x14ac:dyDescent="0.25">
      <c r="B7838" s="6"/>
      <c r="C7838" s="7"/>
      <c r="D7838" s="7"/>
      <c r="E7838" s="8"/>
      <c r="F7838" t="str">
        <f t="shared" si="271"/>
        <v/>
      </c>
      <c r="G7838" t="str">
        <f t="shared" si="272"/>
        <v/>
      </c>
    </row>
    <row r="7839" spans="2:7" x14ac:dyDescent="0.25">
      <c r="B7839" s="6"/>
      <c r="C7839" s="7"/>
      <c r="D7839" s="7"/>
      <c r="E7839" s="8"/>
      <c r="F7839" t="str">
        <f t="shared" si="271"/>
        <v/>
      </c>
      <c r="G7839" t="str">
        <f t="shared" si="272"/>
        <v/>
      </c>
    </row>
    <row r="7840" spans="2:7" x14ac:dyDescent="0.25">
      <c r="B7840" s="6"/>
      <c r="C7840" s="7"/>
      <c r="D7840" s="7"/>
      <c r="E7840" s="8"/>
      <c r="F7840" t="str">
        <f t="shared" si="271"/>
        <v/>
      </c>
      <c r="G7840" t="str">
        <f t="shared" si="272"/>
        <v/>
      </c>
    </row>
    <row r="7841" spans="2:7" x14ac:dyDescent="0.25">
      <c r="B7841" s="6"/>
      <c r="C7841" s="7"/>
      <c r="D7841" s="7"/>
      <c r="E7841" s="8"/>
      <c r="F7841" t="str">
        <f t="shared" si="271"/>
        <v/>
      </c>
      <c r="G7841" t="str">
        <f t="shared" si="272"/>
        <v/>
      </c>
    </row>
    <row r="7842" spans="2:7" x14ac:dyDescent="0.25">
      <c r="B7842" s="6"/>
      <c r="C7842" s="7"/>
      <c r="D7842" s="7"/>
      <c r="E7842" s="8"/>
      <c r="F7842" t="str">
        <f t="shared" si="271"/>
        <v/>
      </c>
      <c r="G7842" t="str">
        <f t="shared" si="272"/>
        <v/>
      </c>
    </row>
    <row r="7843" spans="2:7" x14ac:dyDescent="0.25">
      <c r="B7843" s="6"/>
      <c r="C7843" s="7"/>
      <c r="D7843" s="7"/>
      <c r="E7843" s="8"/>
      <c r="F7843" t="str">
        <f t="shared" si="271"/>
        <v/>
      </c>
      <c r="G7843" t="str">
        <f t="shared" si="272"/>
        <v/>
      </c>
    </row>
    <row r="7844" spans="2:7" x14ac:dyDescent="0.25">
      <c r="B7844" s="6"/>
      <c r="C7844" s="7"/>
      <c r="D7844" s="7"/>
      <c r="E7844" s="8"/>
      <c r="F7844" t="str">
        <f t="shared" si="271"/>
        <v/>
      </c>
      <c r="G7844" t="str">
        <f t="shared" si="272"/>
        <v/>
      </c>
    </row>
    <row r="7845" spans="2:7" x14ac:dyDescent="0.25">
      <c r="B7845" s="6"/>
      <c r="C7845" s="7"/>
      <c r="D7845" s="7"/>
      <c r="E7845" s="8"/>
      <c r="F7845" t="str">
        <f t="shared" si="271"/>
        <v/>
      </c>
      <c r="G7845" t="str">
        <f t="shared" si="272"/>
        <v/>
      </c>
    </row>
    <row r="7846" spans="2:7" x14ac:dyDescent="0.25">
      <c r="B7846" s="6"/>
      <c r="C7846" s="7"/>
      <c r="D7846" s="7"/>
      <c r="E7846" s="8"/>
      <c r="F7846" t="str">
        <f t="shared" si="271"/>
        <v/>
      </c>
      <c r="G7846" t="str">
        <f t="shared" si="272"/>
        <v/>
      </c>
    </row>
    <row r="7847" spans="2:7" x14ac:dyDescent="0.25">
      <c r="B7847" s="6"/>
      <c r="C7847" s="7"/>
      <c r="D7847" s="7"/>
      <c r="E7847" s="8"/>
      <c r="F7847" t="str">
        <f t="shared" si="271"/>
        <v/>
      </c>
      <c r="G7847" t="str">
        <f t="shared" si="272"/>
        <v/>
      </c>
    </row>
    <row r="7848" spans="2:7" x14ac:dyDescent="0.25">
      <c r="B7848" s="6"/>
      <c r="C7848" s="7"/>
      <c r="D7848" s="7"/>
      <c r="E7848" s="8"/>
      <c r="F7848" t="str">
        <f t="shared" si="271"/>
        <v/>
      </c>
      <c r="G7848" t="str">
        <f t="shared" si="272"/>
        <v/>
      </c>
    </row>
    <row r="7849" spans="2:7" x14ac:dyDescent="0.25">
      <c r="B7849" s="6"/>
      <c r="C7849" s="7"/>
      <c r="D7849" s="7"/>
      <c r="E7849" s="8"/>
      <c r="F7849" t="str">
        <f t="shared" si="271"/>
        <v/>
      </c>
      <c r="G7849" t="str">
        <f t="shared" si="272"/>
        <v/>
      </c>
    </row>
    <row r="7850" spans="2:7" x14ac:dyDescent="0.25">
      <c r="B7850" s="6"/>
      <c r="C7850" s="7"/>
      <c r="D7850" s="7"/>
      <c r="E7850" s="8"/>
      <c r="F7850" t="str">
        <f t="shared" si="271"/>
        <v/>
      </c>
      <c r="G7850" t="str">
        <f t="shared" si="272"/>
        <v/>
      </c>
    </row>
    <row r="7851" spans="2:7" x14ac:dyDescent="0.25">
      <c r="B7851" s="6"/>
      <c r="C7851" s="7"/>
      <c r="D7851" s="7"/>
      <c r="E7851" s="8"/>
      <c r="F7851" t="str">
        <f t="shared" si="271"/>
        <v/>
      </c>
      <c r="G7851" t="str">
        <f t="shared" si="272"/>
        <v/>
      </c>
    </row>
    <row r="7852" spans="2:7" x14ac:dyDescent="0.25">
      <c r="B7852" s="6"/>
      <c r="C7852" s="7"/>
      <c r="D7852" s="7"/>
      <c r="E7852" s="8"/>
      <c r="F7852" t="str">
        <f t="shared" si="271"/>
        <v/>
      </c>
      <c r="G7852" t="str">
        <f t="shared" si="272"/>
        <v/>
      </c>
    </row>
    <row r="7853" spans="2:7" x14ac:dyDescent="0.25">
      <c r="B7853" s="6"/>
      <c r="C7853" s="7"/>
      <c r="D7853" s="7"/>
      <c r="E7853" s="8"/>
      <c r="F7853" t="str">
        <f t="shared" si="271"/>
        <v/>
      </c>
      <c r="G7853" t="str">
        <f t="shared" si="272"/>
        <v/>
      </c>
    </row>
    <row r="7854" spans="2:7" x14ac:dyDescent="0.25">
      <c r="B7854" s="6"/>
      <c r="C7854" s="7"/>
      <c r="D7854" s="7"/>
      <c r="E7854" s="8"/>
      <c r="F7854" t="str">
        <f t="shared" si="271"/>
        <v/>
      </c>
      <c r="G7854" t="str">
        <f t="shared" si="272"/>
        <v/>
      </c>
    </row>
    <row r="7855" spans="2:7" x14ac:dyDescent="0.25">
      <c r="B7855" s="6"/>
      <c r="C7855" s="7"/>
      <c r="D7855" s="7"/>
      <c r="E7855" s="8"/>
      <c r="F7855" t="str">
        <f t="shared" si="271"/>
        <v/>
      </c>
      <c r="G7855" t="str">
        <f t="shared" si="272"/>
        <v/>
      </c>
    </row>
    <row r="7856" spans="2:7" x14ac:dyDescent="0.25">
      <c r="B7856" s="6"/>
      <c r="C7856" s="7"/>
      <c r="D7856" s="7"/>
      <c r="E7856" s="8"/>
      <c r="F7856" t="str">
        <f t="shared" si="271"/>
        <v/>
      </c>
      <c r="G7856" t="str">
        <f t="shared" si="272"/>
        <v/>
      </c>
    </row>
    <row r="7857" spans="2:7" x14ac:dyDescent="0.25">
      <c r="B7857" s="6"/>
      <c r="C7857" s="7"/>
      <c r="D7857" s="7"/>
      <c r="E7857" s="8"/>
      <c r="F7857" t="str">
        <f t="shared" si="271"/>
        <v/>
      </c>
      <c r="G7857" t="str">
        <f t="shared" si="272"/>
        <v/>
      </c>
    </row>
    <row r="7858" spans="2:7" x14ac:dyDescent="0.25">
      <c r="B7858" s="6"/>
      <c r="C7858" s="7"/>
      <c r="D7858" s="7"/>
      <c r="E7858" s="8"/>
      <c r="F7858" t="str">
        <f t="shared" si="271"/>
        <v/>
      </c>
      <c r="G7858" t="str">
        <f t="shared" si="272"/>
        <v/>
      </c>
    </row>
    <row r="7859" spans="2:7" x14ac:dyDescent="0.25">
      <c r="B7859" s="6"/>
      <c r="C7859" s="7"/>
      <c r="D7859" s="7"/>
      <c r="E7859" s="8"/>
      <c r="F7859" t="str">
        <f t="shared" si="271"/>
        <v/>
      </c>
      <c r="G7859" t="str">
        <f t="shared" si="272"/>
        <v/>
      </c>
    </row>
    <row r="7860" spans="2:7" x14ac:dyDescent="0.25">
      <c r="B7860" s="6"/>
      <c r="C7860" s="7"/>
      <c r="D7860" s="7"/>
      <c r="E7860" s="8"/>
      <c r="F7860" t="str">
        <f t="shared" si="271"/>
        <v/>
      </c>
      <c r="G7860" t="str">
        <f t="shared" si="272"/>
        <v/>
      </c>
    </row>
    <row r="7861" spans="2:7" x14ac:dyDescent="0.25">
      <c r="B7861" s="6"/>
      <c r="C7861" s="7"/>
      <c r="D7861" s="7"/>
      <c r="E7861" s="8"/>
      <c r="F7861" t="str">
        <f t="shared" si="271"/>
        <v/>
      </c>
      <c r="G7861" t="str">
        <f t="shared" si="272"/>
        <v/>
      </c>
    </row>
    <row r="7862" spans="2:7" x14ac:dyDescent="0.25">
      <c r="B7862" s="6"/>
      <c r="C7862" s="7"/>
      <c r="D7862" s="7"/>
      <c r="E7862" s="8"/>
      <c r="F7862" t="str">
        <f t="shared" si="271"/>
        <v/>
      </c>
      <c r="G7862" t="str">
        <f t="shared" si="272"/>
        <v/>
      </c>
    </row>
    <row r="7863" spans="2:7" x14ac:dyDescent="0.25">
      <c r="B7863" s="6"/>
      <c r="C7863" s="7"/>
      <c r="D7863" s="7"/>
      <c r="E7863" s="8"/>
      <c r="F7863" t="str">
        <f t="shared" si="271"/>
        <v/>
      </c>
      <c r="G7863" t="str">
        <f t="shared" si="272"/>
        <v/>
      </c>
    </row>
    <row r="7864" spans="2:7" x14ac:dyDescent="0.25">
      <c r="B7864" s="6"/>
      <c r="C7864" s="7"/>
      <c r="D7864" s="7"/>
      <c r="E7864" s="8"/>
      <c r="F7864" t="str">
        <f t="shared" si="271"/>
        <v/>
      </c>
      <c r="G7864" t="str">
        <f t="shared" si="272"/>
        <v/>
      </c>
    </row>
    <row r="7865" spans="2:7" x14ac:dyDescent="0.25">
      <c r="B7865" s="6"/>
      <c r="C7865" s="7"/>
      <c r="D7865" s="7"/>
      <c r="E7865" s="8"/>
      <c r="F7865" t="str">
        <f t="shared" si="271"/>
        <v/>
      </c>
      <c r="G7865" t="str">
        <f t="shared" si="272"/>
        <v/>
      </c>
    </row>
    <row r="7866" spans="2:7" x14ac:dyDescent="0.25">
      <c r="B7866" s="6"/>
      <c r="C7866" s="7"/>
      <c r="D7866" s="7"/>
      <c r="E7866" s="8"/>
      <c r="F7866" t="str">
        <f t="shared" si="271"/>
        <v/>
      </c>
      <c r="G7866" t="str">
        <f t="shared" si="272"/>
        <v/>
      </c>
    </row>
    <row r="7867" spans="2:7" x14ac:dyDescent="0.25">
      <c r="B7867" s="6"/>
      <c r="C7867" s="7"/>
      <c r="D7867" s="7"/>
      <c r="E7867" s="8"/>
      <c r="F7867" t="str">
        <f t="shared" si="271"/>
        <v/>
      </c>
      <c r="G7867" t="str">
        <f t="shared" si="272"/>
        <v/>
      </c>
    </row>
    <row r="7868" spans="2:7" x14ac:dyDescent="0.25">
      <c r="B7868" s="6"/>
      <c r="C7868" s="7"/>
      <c r="D7868" s="7"/>
      <c r="E7868" s="8"/>
      <c r="F7868" t="str">
        <f t="shared" si="271"/>
        <v/>
      </c>
      <c r="G7868" t="str">
        <f t="shared" si="272"/>
        <v/>
      </c>
    </row>
    <row r="7869" spans="2:7" x14ac:dyDescent="0.25">
      <c r="B7869" s="6"/>
      <c r="C7869" s="7"/>
      <c r="D7869" s="7"/>
      <c r="E7869" s="8"/>
      <c r="F7869" t="str">
        <f t="shared" si="271"/>
        <v/>
      </c>
      <c r="G7869" t="str">
        <f t="shared" si="272"/>
        <v/>
      </c>
    </row>
    <row r="7870" spans="2:7" x14ac:dyDescent="0.25">
      <c r="B7870" s="6"/>
      <c r="C7870" s="7"/>
      <c r="D7870" s="7"/>
      <c r="E7870" s="8"/>
      <c r="F7870" t="str">
        <f t="shared" si="271"/>
        <v/>
      </c>
      <c r="G7870" t="str">
        <f t="shared" si="272"/>
        <v/>
      </c>
    </row>
    <row r="7871" spans="2:7" x14ac:dyDescent="0.25">
      <c r="B7871" s="6"/>
      <c r="C7871" s="7"/>
      <c r="D7871" s="7"/>
      <c r="E7871" s="8"/>
      <c r="F7871" t="str">
        <f t="shared" si="271"/>
        <v/>
      </c>
      <c r="G7871" t="str">
        <f t="shared" si="272"/>
        <v/>
      </c>
    </row>
    <row r="7872" spans="2:7" x14ac:dyDescent="0.25">
      <c r="B7872" s="6"/>
      <c r="C7872" s="7"/>
      <c r="D7872" s="7"/>
      <c r="E7872" s="8"/>
      <c r="F7872" t="str">
        <f t="shared" si="271"/>
        <v/>
      </c>
      <c r="G7872" t="str">
        <f t="shared" si="272"/>
        <v/>
      </c>
    </row>
    <row r="7873" spans="2:7" x14ac:dyDescent="0.25">
      <c r="B7873" s="6"/>
      <c r="C7873" s="7"/>
      <c r="D7873" s="7"/>
      <c r="E7873" s="8"/>
      <c r="F7873" t="str">
        <f t="shared" si="271"/>
        <v/>
      </c>
      <c r="G7873" t="str">
        <f t="shared" si="272"/>
        <v/>
      </c>
    </row>
    <row r="7874" spans="2:7" x14ac:dyDescent="0.25">
      <c r="B7874" s="6"/>
      <c r="C7874" s="7"/>
      <c r="D7874" s="7"/>
      <c r="E7874" s="8"/>
      <c r="F7874" t="str">
        <f t="shared" si="271"/>
        <v/>
      </c>
      <c r="G7874" t="str">
        <f t="shared" si="272"/>
        <v/>
      </c>
    </row>
    <row r="7875" spans="2:7" x14ac:dyDescent="0.25">
      <c r="B7875" s="6"/>
      <c r="C7875" s="7"/>
      <c r="D7875" s="7"/>
      <c r="E7875" s="8"/>
      <c r="F7875" t="str">
        <f t="shared" si="271"/>
        <v/>
      </c>
      <c r="G7875" t="str">
        <f t="shared" si="272"/>
        <v/>
      </c>
    </row>
    <row r="7876" spans="2:7" x14ac:dyDescent="0.25">
      <c r="B7876" s="6"/>
      <c r="C7876" s="7"/>
      <c r="D7876" s="7"/>
      <c r="E7876" s="8"/>
      <c r="F7876" t="str">
        <f t="shared" ref="F7876:F7939" si="273">IF(B7876="","",LOG10(D7876))</f>
        <v/>
      </c>
      <c r="G7876" t="str">
        <f t="shared" ref="G7876:G7939" si="274">IF(E7876="", "",0.434*E7876/D7876)</f>
        <v/>
      </c>
    </row>
    <row r="7877" spans="2:7" x14ac:dyDescent="0.25">
      <c r="B7877" s="6"/>
      <c r="C7877" s="7"/>
      <c r="D7877" s="7"/>
      <c r="E7877" s="8"/>
      <c r="F7877" t="str">
        <f t="shared" si="273"/>
        <v/>
      </c>
      <c r="G7877" t="str">
        <f t="shared" si="274"/>
        <v/>
      </c>
    </row>
    <row r="7878" spans="2:7" x14ac:dyDescent="0.25">
      <c r="B7878" s="6"/>
      <c r="C7878" s="7"/>
      <c r="D7878" s="7"/>
      <c r="E7878" s="8"/>
      <c r="F7878" t="str">
        <f t="shared" si="273"/>
        <v/>
      </c>
      <c r="G7878" t="str">
        <f t="shared" si="274"/>
        <v/>
      </c>
    </row>
    <row r="7879" spans="2:7" x14ac:dyDescent="0.25">
      <c r="B7879" s="6"/>
      <c r="C7879" s="7"/>
      <c r="D7879" s="7"/>
      <c r="E7879" s="8"/>
      <c r="F7879" t="str">
        <f t="shared" si="273"/>
        <v/>
      </c>
      <c r="G7879" t="str">
        <f t="shared" si="274"/>
        <v/>
      </c>
    </row>
    <row r="7880" spans="2:7" x14ac:dyDescent="0.25">
      <c r="B7880" s="6"/>
      <c r="C7880" s="7"/>
      <c r="D7880" s="7"/>
      <c r="E7880" s="8"/>
      <c r="F7880" t="str">
        <f t="shared" si="273"/>
        <v/>
      </c>
      <c r="G7880" t="str">
        <f t="shared" si="274"/>
        <v/>
      </c>
    </row>
    <row r="7881" spans="2:7" x14ac:dyDescent="0.25">
      <c r="B7881" s="6"/>
      <c r="C7881" s="7"/>
      <c r="D7881" s="7"/>
      <c r="E7881" s="8"/>
      <c r="F7881" t="str">
        <f t="shared" si="273"/>
        <v/>
      </c>
      <c r="G7881" t="str">
        <f t="shared" si="274"/>
        <v/>
      </c>
    </row>
    <row r="7882" spans="2:7" x14ac:dyDescent="0.25">
      <c r="B7882" s="6"/>
      <c r="C7882" s="7"/>
      <c r="D7882" s="7"/>
      <c r="E7882" s="8"/>
      <c r="F7882" t="str">
        <f t="shared" si="273"/>
        <v/>
      </c>
      <c r="G7882" t="str">
        <f t="shared" si="274"/>
        <v/>
      </c>
    </row>
    <row r="7883" spans="2:7" x14ac:dyDescent="0.25">
      <c r="B7883" s="6"/>
      <c r="C7883" s="7"/>
      <c r="D7883" s="7"/>
      <c r="E7883" s="8"/>
      <c r="F7883" t="str">
        <f t="shared" si="273"/>
        <v/>
      </c>
      <c r="G7883" t="str">
        <f t="shared" si="274"/>
        <v/>
      </c>
    </row>
    <row r="7884" spans="2:7" x14ac:dyDescent="0.25">
      <c r="B7884" s="6"/>
      <c r="C7884" s="7"/>
      <c r="D7884" s="7"/>
      <c r="E7884" s="8"/>
      <c r="F7884" t="str">
        <f t="shared" si="273"/>
        <v/>
      </c>
      <c r="G7884" t="str">
        <f t="shared" si="274"/>
        <v/>
      </c>
    </row>
    <row r="7885" spans="2:7" x14ac:dyDescent="0.25">
      <c r="B7885" s="6"/>
      <c r="C7885" s="7"/>
      <c r="D7885" s="7"/>
      <c r="E7885" s="8"/>
      <c r="F7885" t="str">
        <f t="shared" si="273"/>
        <v/>
      </c>
      <c r="G7885" t="str">
        <f t="shared" si="274"/>
        <v/>
      </c>
    </row>
    <row r="7886" spans="2:7" x14ac:dyDescent="0.25">
      <c r="B7886" s="6"/>
      <c r="C7886" s="7"/>
      <c r="D7886" s="7"/>
      <c r="E7886" s="8"/>
      <c r="F7886" t="str">
        <f t="shared" si="273"/>
        <v/>
      </c>
      <c r="G7886" t="str">
        <f t="shared" si="274"/>
        <v/>
      </c>
    </row>
    <row r="7887" spans="2:7" x14ac:dyDescent="0.25">
      <c r="B7887" s="6"/>
      <c r="C7887" s="7"/>
      <c r="D7887" s="7"/>
      <c r="E7887" s="8"/>
      <c r="F7887" t="str">
        <f t="shared" si="273"/>
        <v/>
      </c>
      <c r="G7887" t="str">
        <f t="shared" si="274"/>
        <v/>
      </c>
    </row>
    <row r="7888" spans="2:7" x14ac:dyDescent="0.25">
      <c r="B7888" s="6"/>
      <c r="C7888" s="7"/>
      <c r="D7888" s="7"/>
      <c r="E7888" s="8"/>
      <c r="F7888" t="str">
        <f t="shared" si="273"/>
        <v/>
      </c>
      <c r="G7888" t="str">
        <f t="shared" si="274"/>
        <v/>
      </c>
    </row>
    <row r="7889" spans="2:7" x14ac:dyDescent="0.25">
      <c r="B7889" s="6"/>
      <c r="C7889" s="7"/>
      <c r="D7889" s="7"/>
      <c r="E7889" s="8"/>
      <c r="F7889" t="str">
        <f t="shared" si="273"/>
        <v/>
      </c>
      <c r="G7889" t="str">
        <f t="shared" si="274"/>
        <v/>
      </c>
    </row>
    <row r="7890" spans="2:7" x14ac:dyDescent="0.25">
      <c r="B7890" s="6"/>
      <c r="C7890" s="7"/>
      <c r="D7890" s="7"/>
      <c r="E7890" s="8"/>
      <c r="F7890" t="str">
        <f t="shared" si="273"/>
        <v/>
      </c>
      <c r="G7890" t="str">
        <f t="shared" si="274"/>
        <v/>
      </c>
    </row>
    <row r="7891" spans="2:7" x14ac:dyDescent="0.25">
      <c r="B7891" s="6"/>
      <c r="C7891" s="7"/>
      <c r="D7891" s="7"/>
      <c r="E7891" s="8"/>
      <c r="F7891" t="str">
        <f t="shared" si="273"/>
        <v/>
      </c>
      <c r="G7891" t="str">
        <f t="shared" si="274"/>
        <v/>
      </c>
    </row>
    <row r="7892" spans="2:7" x14ac:dyDescent="0.25">
      <c r="B7892" s="6"/>
      <c r="C7892" s="7"/>
      <c r="D7892" s="7"/>
      <c r="E7892" s="8"/>
      <c r="F7892" t="str">
        <f t="shared" si="273"/>
        <v/>
      </c>
      <c r="G7892" t="str">
        <f t="shared" si="274"/>
        <v/>
      </c>
    </row>
    <row r="7893" spans="2:7" x14ac:dyDescent="0.25">
      <c r="B7893" s="6"/>
      <c r="C7893" s="7"/>
      <c r="D7893" s="7"/>
      <c r="E7893" s="8"/>
      <c r="F7893" t="str">
        <f t="shared" si="273"/>
        <v/>
      </c>
      <c r="G7893" t="str">
        <f t="shared" si="274"/>
        <v/>
      </c>
    </row>
    <row r="7894" spans="2:7" x14ac:dyDescent="0.25">
      <c r="B7894" s="6"/>
      <c r="C7894" s="7"/>
      <c r="D7894" s="7"/>
      <c r="E7894" s="8"/>
      <c r="F7894" t="str">
        <f t="shared" si="273"/>
        <v/>
      </c>
      <c r="G7894" t="str">
        <f t="shared" si="274"/>
        <v/>
      </c>
    </row>
    <row r="7895" spans="2:7" x14ac:dyDescent="0.25">
      <c r="B7895" s="6"/>
      <c r="C7895" s="7"/>
      <c r="D7895" s="7"/>
      <c r="E7895" s="8"/>
      <c r="F7895" t="str">
        <f t="shared" si="273"/>
        <v/>
      </c>
      <c r="G7895" t="str">
        <f t="shared" si="274"/>
        <v/>
      </c>
    </row>
    <row r="7896" spans="2:7" x14ac:dyDescent="0.25">
      <c r="B7896" s="6"/>
      <c r="C7896" s="7"/>
      <c r="D7896" s="7"/>
      <c r="E7896" s="8"/>
      <c r="F7896" t="str">
        <f t="shared" si="273"/>
        <v/>
      </c>
      <c r="G7896" t="str">
        <f t="shared" si="274"/>
        <v/>
      </c>
    </row>
    <row r="7897" spans="2:7" x14ac:dyDescent="0.25">
      <c r="B7897" s="6"/>
      <c r="C7897" s="7"/>
      <c r="D7897" s="7"/>
      <c r="E7897" s="8"/>
      <c r="F7897" t="str">
        <f t="shared" si="273"/>
        <v/>
      </c>
      <c r="G7897" t="str">
        <f t="shared" si="274"/>
        <v/>
      </c>
    </row>
    <row r="7898" spans="2:7" x14ac:dyDescent="0.25">
      <c r="B7898" s="6"/>
      <c r="C7898" s="7"/>
      <c r="D7898" s="7"/>
      <c r="E7898" s="8"/>
      <c r="F7898" t="str">
        <f t="shared" si="273"/>
        <v/>
      </c>
      <c r="G7898" t="str">
        <f t="shared" si="274"/>
        <v/>
      </c>
    </row>
    <row r="7899" spans="2:7" x14ac:dyDescent="0.25">
      <c r="B7899" s="6"/>
      <c r="C7899" s="7"/>
      <c r="D7899" s="7"/>
      <c r="E7899" s="8"/>
      <c r="F7899" t="str">
        <f t="shared" si="273"/>
        <v/>
      </c>
      <c r="G7899" t="str">
        <f t="shared" si="274"/>
        <v/>
      </c>
    </row>
    <row r="7900" spans="2:7" x14ac:dyDescent="0.25">
      <c r="B7900" s="6"/>
      <c r="C7900" s="7"/>
      <c r="D7900" s="7"/>
      <c r="E7900" s="8"/>
      <c r="F7900" t="str">
        <f t="shared" si="273"/>
        <v/>
      </c>
      <c r="G7900" t="str">
        <f t="shared" si="274"/>
        <v/>
      </c>
    </row>
    <row r="7901" spans="2:7" x14ac:dyDescent="0.25">
      <c r="B7901" s="6"/>
      <c r="C7901" s="7"/>
      <c r="D7901" s="7"/>
      <c r="E7901" s="8"/>
      <c r="F7901" t="str">
        <f t="shared" si="273"/>
        <v/>
      </c>
      <c r="G7901" t="str">
        <f t="shared" si="274"/>
        <v/>
      </c>
    </row>
    <row r="7902" spans="2:7" x14ac:dyDescent="0.25">
      <c r="B7902" s="6"/>
      <c r="C7902" s="7"/>
      <c r="D7902" s="7"/>
      <c r="E7902" s="8"/>
      <c r="F7902" t="str">
        <f t="shared" si="273"/>
        <v/>
      </c>
      <c r="G7902" t="str">
        <f t="shared" si="274"/>
        <v/>
      </c>
    </row>
    <row r="7903" spans="2:7" x14ac:dyDescent="0.25">
      <c r="B7903" s="6"/>
      <c r="C7903" s="7"/>
      <c r="D7903" s="7"/>
      <c r="E7903" s="8"/>
      <c r="F7903" t="str">
        <f t="shared" si="273"/>
        <v/>
      </c>
      <c r="G7903" t="str">
        <f t="shared" si="274"/>
        <v/>
      </c>
    </row>
    <row r="7904" spans="2:7" x14ac:dyDescent="0.25">
      <c r="B7904" s="6"/>
      <c r="C7904" s="7"/>
      <c r="D7904" s="7"/>
      <c r="E7904" s="8"/>
      <c r="F7904" t="str">
        <f t="shared" si="273"/>
        <v/>
      </c>
      <c r="G7904" t="str">
        <f t="shared" si="274"/>
        <v/>
      </c>
    </row>
    <row r="7905" spans="2:7" x14ac:dyDescent="0.25">
      <c r="B7905" s="6"/>
      <c r="C7905" s="7"/>
      <c r="D7905" s="7"/>
      <c r="E7905" s="8"/>
      <c r="F7905" t="str">
        <f t="shared" si="273"/>
        <v/>
      </c>
      <c r="G7905" t="str">
        <f t="shared" si="274"/>
        <v/>
      </c>
    </row>
    <row r="7906" spans="2:7" x14ac:dyDescent="0.25">
      <c r="B7906" s="6"/>
      <c r="C7906" s="7"/>
      <c r="D7906" s="7"/>
      <c r="E7906" s="8"/>
      <c r="F7906" t="str">
        <f t="shared" si="273"/>
        <v/>
      </c>
      <c r="G7906" t="str">
        <f t="shared" si="274"/>
        <v/>
      </c>
    </row>
    <row r="7907" spans="2:7" x14ac:dyDescent="0.25">
      <c r="B7907" s="6"/>
      <c r="C7907" s="7"/>
      <c r="D7907" s="7"/>
      <c r="E7907" s="8"/>
      <c r="F7907" t="str">
        <f t="shared" si="273"/>
        <v/>
      </c>
      <c r="G7907" t="str">
        <f t="shared" si="274"/>
        <v/>
      </c>
    </row>
    <row r="7908" spans="2:7" x14ac:dyDescent="0.25">
      <c r="B7908" s="6"/>
      <c r="C7908" s="7"/>
      <c r="D7908" s="7"/>
      <c r="E7908" s="8"/>
      <c r="F7908" t="str">
        <f t="shared" si="273"/>
        <v/>
      </c>
      <c r="G7908" t="str">
        <f t="shared" si="274"/>
        <v/>
      </c>
    </row>
    <row r="7909" spans="2:7" x14ac:dyDescent="0.25">
      <c r="B7909" s="6"/>
      <c r="C7909" s="7"/>
      <c r="D7909" s="7"/>
      <c r="E7909" s="8"/>
      <c r="F7909" t="str">
        <f t="shared" si="273"/>
        <v/>
      </c>
      <c r="G7909" t="str">
        <f t="shared" si="274"/>
        <v/>
      </c>
    </row>
    <row r="7910" spans="2:7" x14ac:dyDescent="0.25">
      <c r="B7910" s="6"/>
      <c r="C7910" s="7"/>
      <c r="D7910" s="7"/>
      <c r="E7910" s="8"/>
      <c r="F7910" t="str">
        <f t="shared" si="273"/>
        <v/>
      </c>
      <c r="G7910" t="str">
        <f t="shared" si="274"/>
        <v/>
      </c>
    </row>
    <row r="7911" spans="2:7" x14ac:dyDescent="0.25">
      <c r="B7911" s="6"/>
      <c r="C7911" s="7"/>
      <c r="D7911" s="7"/>
      <c r="E7911" s="8"/>
      <c r="F7911" t="str">
        <f t="shared" si="273"/>
        <v/>
      </c>
      <c r="G7911" t="str">
        <f t="shared" si="274"/>
        <v/>
      </c>
    </row>
    <row r="7912" spans="2:7" x14ac:dyDescent="0.25">
      <c r="B7912" s="6"/>
      <c r="C7912" s="7"/>
      <c r="D7912" s="7"/>
      <c r="E7912" s="8"/>
      <c r="F7912" t="str">
        <f t="shared" si="273"/>
        <v/>
      </c>
      <c r="G7912" t="str">
        <f t="shared" si="274"/>
        <v/>
      </c>
    </row>
    <row r="7913" spans="2:7" x14ac:dyDescent="0.25">
      <c r="B7913" s="6"/>
      <c r="C7913" s="7"/>
      <c r="D7913" s="7"/>
      <c r="E7913" s="8"/>
      <c r="F7913" t="str">
        <f t="shared" si="273"/>
        <v/>
      </c>
      <c r="G7913" t="str">
        <f t="shared" si="274"/>
        <v/>
      </c>
    </row>
    <row r="7914" spans="2:7" x14ac:dyDescent="0.25">
      <c r="B7914" s="6"/>
      <c r="C7914" s="7"/>
      <c r="D7914" s="7"/>
      <c r="E7914" s="8"/>
      <c r="F7914" t="str">
        <f t="shared" si="273"/>
        <v/>
      </c>
      <c r="G7914" t="str">
        <f t="shared" si="274"/>
        <v/>
      </c>
    </row>
    <row r="7915" spans="2:7" x14ac:dyDescent="0.25">
      <c r="B7915" s="6"/>
      <c r="C7915" s="7"/>
      <c r="D7915" s="7"/>
      <c r="E7915" s="8"/>
      <c r="F7915" t="str">
        <f t="shared" si="273"/>
        <v/>
      </c>
      <c r="G7915" t="str">
        <f t="shared" si="274"/>
        <v/>
      </c>
    </row>
    <row r="7916" spans="2:7" x14ac:dyDescent="0.25">
      <c r="B7916" s="6"/>
      <c r="C7916" s="7"/>
      <c r="D7916" s="7"/>
      <c r="E7916" s="8"/>
      <c r="F7916" t="str">
        <f t="shared" si="273"/>
        <v/>
      </c>
      <c r="G7916" t="str">
        <f t="shared" si="274"/>
        <v/>
      </c>
    </row>
    <row r="7917" spans="2:7" x14ac:dyDescent="0.25">
      <c r="B7917" s="6"/>
      <c r="C7917" s="7"/>
      <c r="D7917" s="7"/>
      <c r="E7917" s="8"/>
      <c r="F7917" t="str">
        <f t="shared" si="273"/>
        <v/>
      </c>
      <c r="G7917" t="str">
        <f t="shared" si="274"/>
        <v/>
      </c>
    </row>
    <row r="7918" spans="2:7" x14ac:dyDescent="0.25">
      <c r="B7918" s="6"/>
      <c r="C7918" s="7"/>
      <c r="D7918" s="7"/>
      <c r="E7918" s="8"/>
      <c r="F7918" t="str">
        <f t="shared" si="273"/>
        <v/>
      </c>
      <c r="G7918" t="str">
        <f t="shared" si="274"/>
        <v/>
      </c>
    </row>
    <row r="7919" spans="2:7" x14ac:dyDescent="0.25">
      <c r="B7919" s="6"/>
      <c r="C7919" s="7"/>
      <c r="D7919" s="7"/>
      <c r="E7919" s="8"/>
      <c r="F7919" t="str">
        <f t="shared" si="273"/>
        <v/>
      </c>
      <c r="G7919" t="str">
        <f t="shared" si="274"/>
        <v/>
      </c>
    </row>
    <row r="7920" spans="2:7" x14ac:dyDescent="0.25">
      <c r="B7920" s="6"/>
      <c r="C7920" s="7"/>
      <c r="D7920" s="7"/>
      <c r="E7920" s="8"/>
      <c r="F7920" t="str">
        <f t="shared" si="273"/>
        <v/>
      </c>
      <c r="G7920" t="str">
        <f t="shared" si="274"/>
        <v/>
      </c>
    </row>
    <row r="7921" spans="2:7" x14ac:dyDescent="0.25">
      <c r="B7921" s="6"/>
      <c r="C7921" s="7"/>
      <c r="D7921" s="7"/>
      <c r="E7921" s="8"/>
      <c r="F7921" t="str">
        <f t="shared" si="273"/>
        <v/>
      </c>
      <c r="G7921" t="str">
        <f t="shared" si="274"/>
        <v/>
      </c>
    </row>
    <row r="7922" spans="2:7" x14ac:dyDescent="0.25">
      <c r="B7922" s="6"/>
      <c r="C7922" s="7"/>
      <c r="D7922" s="7"/>
      <c r="E7922" s="8"/>
      <c r="F7922" t="str">
        <f t="shared" si="273"/>
        <v/>
      </c>
      <c r="G7922" t="str">
        <f t="shared" si="274"/>
        <v/>
      </c>
    </row>
    <row r="7923" spans="2:7" x14ac:dyDescent="0.25">
      <c r="B7923" s="6"/>
      <c r="C7923" s="7"/>
      <c r="D7923" s="7"/>
      <c r="E7923" s="8"/>
      <c r="F7923" t="str">
        <f t="shared" si="273"/>
        <v/>
      </c>
      <c r="G7923" t="str">
        <f t="shared" si="274"/>
        <v/>
      </c>
    </row>
    <row r="7924" spans="2:7" x14ac:dyDescent="0.25">
      <c r="B7924" s="6"/>
      <c r="C7924" s="7"/>
      <c r="D7924" s="7"/>
      <c r="E7924" s="8"/>
      <c r="F7924" t="str">
        <f t="shared" si="273"/>
        <v/>
      </c>
      <c r="G7924" t="str">
        <f t="shared" si="274"/>
        <v/>
      </c>
    </row>
    <row r="7925" spans="2:7" x14ac:dyDescent="0.25">
      <c r="B7925" s="6"/>
      <c r="C7925" s="7"/>
      <c r="D7925" s="7"/>
      <c r="E7925" s="8"/>
      <c r="F7925" t="str">
        <f t="shared" si="273"/>
        <v/>
      </c>
      <c r="G7925" t="str">
        <f t="shared" si="274"/>
        <v/>
      </c>
    </row>
    <row r="7926" spans="2:7" x14ac:dyDescent="0.25">
      <c r="B7926" s="6"/>
      <c r="C7926" s="7"/>
      <c r="D7926" s="7"/>
      <c r="E7926" s="8"/>
      <c r="F7926" t="str">
        <f t="shared" si="273"/>
        <v/>
      </c>
      <c r="G7926" t="str">
        <f t="shared" si="274"/>
        <v/>
      </c>
    </row>
    <row r="7927" spans="2:7" x14ac:dyDescent="0.25">
      <c r="B7927" s="6"/>
      <c r="C7927" s="7"/>
      <c r="D7927" s="7"/>
      <c r="E7927" s="8"/>
      <c r="F7927" t="str">
        <f t="shared" si="273"/>
        <v/>
      </c>
      <c r="G7927" t="str">
        <f t="shared" si="274"/>
        <v/>
      </c>
    </row>
    <row r="7928" spans="2:7" x14ac:dyDescent="0.25">
      <c r="B7928" s="6"/>
      <c r="C7928" s="7"/>
      <c r="D7928" s="7"/>
      <c r="E7928" s="8"/>
      <c r="F7928" t="str">
        <f t="shared" si="273"/>
        <v/>
      </c>
      <c r="G7928" t="str">
        <f t="shared" si="274"/>
        <v/>
      </c>
    </row>
    <row r="7929" spans="2:7" x14ac:dyDescent="0.25">
      <c r="B7929" s="6"/>
      <c r="C7929" s="7"/>
      <c r="D7929" s="7"/>
      <c r="E7929" s="8"/>
      <c r="F7929" t="str">
        <f t="shared" si="273"/>
        <v/>
      </c>
      <c r="G7929" t="str">
        <f t="shared" si="274"/>
        <v/>
      </c>
    </row>
    <row r="7930" spans="2:7" x14ac:dyDescent="0.25">
      <c r="B7930" s="6"/>
      <c r="C7930" s="7"/>
      <c r="D7930" s="7"/>
      <c r="E7930" s="8"/>
      <c r="F7930" t="str">
        <f t="shared" si="273"/>
        <v/>
      </c>
      <c r="G7930" t="str">
        <f t="shared" si="274"/>
        <v/>
      </c>
    </row>
    <row r="7931" spans="2:7" x14ac:dyDescent="0.25">
      <c r="B7931" s="6"/>
      <c r="C7931" s="7"/>
      <c r="D7931" s="7"/>
      <c r="E7931" s="8"/>
      <c r="F7931" t="str">
        <f t="shared" si="273"/>
        <v/>
      </c>
      <c r="G7931" t="str">
        <f t="shared" si="274"/>
        <v/>
      </c>
    </row>
    <row r="7932" spans="2:7" x14ac:dyDescent="0.25">
      <c r="B7932" s="6"/>
      <c r="C7932" s="7"/>
      <c r="D7932" s="7"/>
      <c r="E7932" s="8"/>
      <c r="F7932" t="str">
        <f t="shared" si="273"/>
        <v/>
      </c>
      <c r="G7932" t="str">
        <f t="shared" si="274"/>
        <v/>
      </c>
    </row>
    <row r="7933" spans="2:7" x14ac:dyDescent="0.25">
      <c r="B7933" s="6"/>
      <c r="C7933" s="7"/>
      <c r="D7933" s="7"/>
      <c r="E7933" s="8"/>
      <c r="F7933" t="str">
        <f t="shared" si="273"/>
        <v/>
      </c>
      <c r="G7933" t="str">
        <f t="shared" si="274"/>
        <v/>
      </c>
    </row>
    <row r="7934" spans="2:7" x14ac:dyDescent="0.25">
      <c r="B7934" s="6"/>
      <c r="C7934" s="7"/>
      <c r="D7934" s="7"/>
      <c r="E7934" s="8"/>
      <c r="F7934" t="str">
        <f t="shared" si="273"/>
        <v/>
      </c>
      <c r="G7934" t="str">
        <f t="shared" si="274"/>
        <v/>
      </c>
    </row>
    <row r="7935" spans="2:7" x14ac:dyDescent="0.25">
      <c r="B7935" s="6"/>
      <c r="C7935" s="7"/>
      <c r="D7935" s="7"/>
      <c r="E7935" s="8"/>
      <c r="F7935" t="str">
        <f t="shared" si="273"/>
        <v/>
      </c>
      <c r="G7935" t="str">
        <f t="shared" si="274"/>
        <v/>
      </c>
    </row>
    <row r="7936" spans="2:7" x14ac:dyDescent="0.25">
      <c r="B7936" s="6"/>
      <c r="C7936" s="7"/>
      <c r="D7936" s="7"/>
      <c r="E7936" s="8"/>
      <c r="F7936" t="str">
        <f t="shared" si="273"/>
        <v/>
      </c>
      <c r="G7936" t="str">
        <f t="shared" si="274"/>
        <v/>
      </c>
    </row>
    <row r="7937" spans="2:7" x14ac:dyDescent="0.25">
      <c r="B7937" s="6"/>
      <c r="C7937" s="7"/>
      <c r="D7937" s="7"/>
      <c r="E7937" s="8"/>
      <c r="F7937" t="str">
        <f t="shared" si="273"/>
        <v/>
      </c>
      <c r="G7937" t="str">
        <f t="shared" si="274"/>
        <v/>
      </c>
    </row>
    <row r="7938" spans="2:7" x14ac:dyDescent="0.25">
      <c r="B7938" s="6"/>
      <c r="C7938" s="7"/>
      <c r="D7938" s="7"/>
      <c r="E7938" s="8"/>
      <c r="F7938" t="str">
        <f t="shared" si="273"/>
        <v/>
      </c>
      <c r="G7938" t="str">
        <f t="shared" si="274"/>
        <v/>
      </c>
    </row>
    <row r="7939" spans="2:7" x14ac:dyDescent="0.25">
      <c r="B7939" s="6"/>
      <c r="C7939" s="7"/>
      <c r="D7939" s="7"/>
      <c r="E7939" s="8"/>
      <c r="F7939" t="str">
        <f t="shared" si="273"/>
        <v/>
      </c>
      <c r="G7939" t="str">
        <f t="shared" si="274"/>
        <v/>
      </c>
    </row>
    <row r="7940" spans="2:7" x14ac:dyDescent="0.25">
      <c r="B7940" s="6"/>
      <c r="C7940" s="7"/>
      <c r="D7940" s="7"/>
      <c r="E7940" s="8"/>
      <c r="F7940" t="str">
        <f t="shared" ref="F7940:F8003" si="275">IF(B7940="","",LOG10(D7940))</f>
        <v/>
      </c>
      <c r="G7940" t="str">
        <f t="shared" ref="G7940:G8003" si="276">IF(E7940="", "",0.434*E7940/D7940)</f>
        <v/>
      </c>
    </row>
    <row r="7941" spans="2:7" x14ac:dyDescent="0.25">
      <c r="B7941" s="6"/>
      <c r="C7941" s="7"/>
      <c r="D7941" s="7"/>
      <c r="E7941" s="8"/>
      <c r="F7941" t="str">
        <f t="shared" si="275"/>
        <v/>
      </c>
      <c r="G7941" t="str">
        <f t="shared" si="276"/>
        <v/>
      </c>
    </row>
    <row r="7942" spans="2:7" x14ac:dyDescent="0.25">
      <c r="B7942" s="6"/>
      <c r="C7942" s="7"/>
      <c r="D7942" s="7"/>
      <c r="E7942" s="8"/>
      <c r="F7942" t="str">
        <f t="shared" si="275"/>
        <v/>
      </c>
      <c r="G7942" t="str">
        <f t="shared" si="276"/>
        <v/>
      </c>
    </row>
    <row r="7943" spans="2:7" x14ac:dyDescent="0.25">
      <c r="B7943" s="6"/>
      <c r="C7943" s="7"/>
      <c r="D7943" s="7"/>
      <c r="E7943" s="8"/>
      <c r="F7943" t="str">
        <f t="shared" si="275"/>
        <v/>
      </c>
      <c r="G7943" t="str">
        <f t="shared" si="276"/>
        <v/>
      </c>
    </row>
    <row r="7944" spans="2:7" x14ac:dyDescent="0.25">
      <c r="B7944" s="6"/>
      <c r="C7944" s="7"/>
      <c r="D7944" s="7"/>
      <c r="E7944" s="8"/>
      <c r="F7944" t="str">
        <f t="shared" si="275"/>
        <v/>
      </c>
      <c r="G7944" t="str">
        <f t="shared" si="276"/>
        <v/>
      </c>
    </row>
    <row r="7945" spans="2:7" x14ac:dyDescent="0.25">
      <c r="B7945" s="6"/>
      <c r="C7945" s="7"/>
      <c r="D7945" s="7"/>
      <c r="E7945" s="8"/>
      <c r="F7945" t="str">
        <f t="shared" si="275"/>
        <v/>
      </c>
      <c r="G7945" t="str">
        <f t="shared" si="276"/>
        <v/>
      </c>
    </row>
    <row r="7946" spans="2:7" x14ac:dyDescent="0.25">
      <c r="B7946" s="6"/>
      <c r="C7946" s="7"/>
      <c r="D7946" s="7"/>
      <c r="E7946" s="8"/>
      <c r="F7946" t="str">
        <f t="shared" si="275"/>
        <v/>
      </c>
      <c r="G7946" t="str">
        <f t="shared" si="276"/>
        <v/>
      </c>
    </row>
    <row r="7947" spans="2:7" x14ac:dyDescent="0.25">
      <c r="B7947" s="6"/>
      <c r="C7947" s="7"/>
      <c r="D7947" s="7"/>
      <c r="E7947" s="8"/>
      <c r="F7947" t="str">
        <f t="shared" si="275"/>
        <v/>
      </c>
      <c r="G7947" t="str">
        <f t="shared" si="276"/>
        <v/>
      </c>
    </row>
    <row r="7948" spans="2:7" x14ac:dyDescent="0.25">
      <c r="B7948" s="6"/>
      <c r="C7948" s="7"/>
      <c r="D7948" s="7"/>
      <c r="E7948" s="8"/>
      <c r="F7948" t="str">
        <f t="shared" si="275"/>
        <v/>
      </c>
      <c r="G7948" t="str">
        <f t="shared" si="276"/>
        <v/>
      </c>
    </row>
    <row r="7949" spans="2:7" x14ac:dyDescent="0.25">
      <c r="B7949" s="6"/>
      <c r="C7949" s="7"/>
      <c r="D7949" s="7"/>
      <c r="E7949" s="8"/>
      <c r="F7949" t="str">
        <f t="shared" si="275"/>
        <v/>
      </c>
      <c r="G7949" t="str">
        <f t="shared" si="276"/>
        <v/>
      </c>
    </row>
    <row r="7950" spans="2:7" x14ac:dyDescent="0.25">
      <c r="B7950" s="6"/>
      <c r="C7950" s="7"/>
      <c r="D7950" s="7"/>
      <c r="E7950" s="8"/>
      <c r="F7950" t="str">
        <f t="shared" si="275"/>
        <v/>
      </c>
      <c r="G7950" t="str">
        <f t="shared" si="276"/>
        <v/>
      </c>
    </row>
    <row r="7951" spans="2:7" x14ac:dyDescent="0.25">
      <c r="B7951" s="6"/>
      <c r="C7951" s="7"/>
      <c r="D7951" s="7"/>
      <c r="E7951" s="8"/>
      <c r="F7951" t="str">
        <f t="shared" si="275"/>
        <v/>
      </c>
      <c r="G7951" t="str">
        <f t="shared" si="276"/>
        <v/>
      </c>
    </row>
    <row r="7952" spans="2:7" x14ac:dyDescent="0.25">
      <c r="B7952" s="6"/>
      <c r="C7952" s="7"/>
      <c r="D7952" s="7"/>
      <c r="E7952" s="8"/>
      <c r="F7952" t="str">
        <f t="shared" si="275"/>
        <v/>
      </c>
      <c r="G7952" t="str">
        <f t="shared" si="276"/>
        <v/>
      </c>
    </row>
    <row r="7953" spans="2:7" x14ac:dyDescent="0.25">
      <c r="B7953" s="6"/>
      <c r="C7953" s="7"/>
      <c r="D7953" s="7"/>
      <c r="E7953" s="8"/>
      <c r="F7953" t="str">
        <f t="shared" si="275"/>
        <v/>
      </c>
      <c r="G7953" t="str">
        <f t="shared" si="276"/>
        <v/>
      </c>
    </row>
    <row r="7954" spans="2:7" x14ac:dyDescent="0.25">
      <c r="B7954" s="6"/>
      <c r="C7954" s="7"/>
      <c r="D7954" s="7"/>
      <c r="E7954" s="8"/>
      <c r="F7954" t="str">
        <f t="shared" si="275"/>
        <v/>
      </c>
      <c r="G7954" t="str">
        <f t="shared" si="276"/>
        <v/>
      </c>
    </row>
    <row r="7955" spans="2:7" x14ac:dyDescent="0.25">
      <c r="B7955" s="6"/>
      <c r="C7955" s="7"/>
      <c r="D7955" s="7"/>
      <c r="E7955" s="8"/>
      <c r="F7955" t="str">
        <f t="shared" si="275"/>
        <v/>
      </c>
      <c r="G7955" t="str">
        <f t="shared" si="276"/>
        <v/>
      </c>
    </row>
    <row r="7956" spans="2:7" x14ac:dyDescent="0.25">
      <c r="B7956" s="6"/>
      <c r="C7956" s="7"/>
      <c r="D7956" s="7"/>
      <c r="E7956" s="8"/>
      <c r="F7956" t="str">
        <f t="shared" si="275"/>
        <v/>
      </c>
      <c r="G7956" t="str">
        <f t="shared" si="276"/>
        <v/>
      </c>
    </row>
    <row r="7957" spans="2:7" x14ac:dyDescent="0.25">
      <c r="B7957" s="6"/>
      <c r="C7957" s="7"/>
      <c r="D7957" s="7"/>
      <c r="E7957" s="8"/>
      <c r="F7957" t="str">
        <f t="shared" si="275"/>
        <v/>
      </c>
      <c r="G7957" t="str">
        <f t="shared" si="276"/>
        <v/>
      </c>
    </row>
    <row r="7958" spans="2:7" x14ac:dyDescent="0.25">
      <c r="B7958" s="6"/>
      <c r="C7958" s="7"/>
      <c r="D7958" s="7"/>
      <c r="E7958" s="8"/>
      <c r="F7958" t="str">
        <f t="shared" si="275"/>
        <v/>
      </c>
      <c r="G7958" t="str">
        <f t="shared" si="276"/>
        <v/>
      </c>
    </row>
    <row r="7959" spans="2:7" x14ac:dyDescent="0.25">
      <c r="B7959" s="6"/>
      <c r="C7959" s="7"/>
      <c r="D7959" s="7"/>
      <c r="E7959" s="8"/>
      <c r="F7959" t="str">
        <f t="shared" si="275"/>
        <v/>
      </c>
      <c r="G7959" t="str">
        <f t="shared" si="276"/>
        <v/>
      </c>
    </row>
    <row r="7960" spans="2:7" x14ac:dyDescent="0.25">
      <c r="B7960" s="6"/>
      <c r="C7960" s="7"/>
      <c r="D7960" s="7"/>
      <c r="E7960" s="8"/>
      <c r="F7960" t="str">
        <f t="shared" si="275"/>
        <v/>
      </c>
      <c r="G7960" t="str">
        <f t="shared" si="276"/>
        <v/>
      </c>
    </row>
    <row r="7961" spans="2:7" x14ac:dyDescent="0.25">
      <c r="B7961" s="6"/>
      <c r="C7961" s="7"/>
      <c r="D7961" s="7"/>
      <c r="E7961" s="8"/>
      <c r="F7961" t="str">
        <f t="shared" si="275"/>
        <v/>
      </c>
      <c r="G7961" t="str">
        <f t="shared" si="276"/>
        <v/>
      </c>
    </row>
    <row r="7962" spans="2:7" x14ac:dyDescent="0.25">
      <c r="B7962" s="6"/>
      <c r="C7962" s="7"/>
      <c r="D7962" s="7"/>
      <c r="E7962" s="8"/>
      <c r="F7962" t="str">
        <f t="shared" si="275"/>
        <v/>
      </c>
      <c r="G7962" t="str">
        <f t="shared" si="276"/>
        <v/>
      </c>
    </row>
    <row r="7963" spans="2:7" x14ac:dyDescent="0.25">
      <c r="B7963" s="6"/>
      <c r="C7963" s="7"/>
      <c r="D7963" s="7"/>
      <c r="E7963" s="8"/>
      <c r="F7963" t="str">
        <f t="shared" si="275"/>
        <v/>
      </c>
      <c r="G7963" t="str">
        <f t="shared" si="276"/>
        <v/>
      </c>
    </row>
    <row r="7964" spans="2:7" x14ac:dyDescent="0.25">
      <c r="B7964" s="6"/>
      <c r="C7964" s="7"/>
      <c r="D7964" s="7"/>
      <c r="E7964" s="8"/>
      <c r="F7964" t="str">
        <f t="shared" si="275"/>
        <v/>
      </c>
      <c r="G7964" t="str">
        <f t="shared" si="276"/>
        <v/>
      </c>
    </row>
    <row r="7965" spans="2:7" x14ac:dyDescent="0.25">
      <c r="B7965" s="6"/>
      <c r="C7965" s="7"/>
      <c r="D7965" s="7"/>
      <c r="E7965" s="8"/>
      <c r="F7965" t="str">
        <f t="shared" si="275"/>
        <v/>
      </c>
      <c r="G7965" t="str">
        <f t="shared" si="276"/>
        <v/>
      </c>
    </row>
    <row r="7966" spans="2:7" x14ac:dyDescent="0.25">
      <c r="B7966" s="6"/>
      <c r="C7966" s="7"/>
      <c r="D7966" s="7"/>
      <c r="E7966" s="8"/>
      <c r="F7966" t="str">
        <f t="shared" si="275"/>
        <v/>
      </c>
      <c r="G7966" t="str">
        <f t="shared" si="276"/>
        <v/>
      </c>
    </row>
    <row r="7967" spans="2:7" x14ac:dyDescent="0.25">
      <c r="B7967" s="6"/>
      <c r="C7967" s="7"/>
      <c r="D7967" s="7"/>
      <c r="E7967" s="8"/>
      <c r="F7967" t="str">
        <f t="shared" si="275"/>
        <v/>
      </c>
      <c r="G7967" t="str">
        <f t="shared" si="276"/>
        <v/>
      </c>
    </row>
    <row r="7968" spans="2:7" x14ac:dyDescent="0.25">
      <c r="B7968" s="6"/>
      <c r="C7968" s="7"/>
      <c r="D7968" s="7"/>
      <c r="E7968" s="8"/>
      <c r="F7968" t="str">
        <f t="shared" si="275"/>
        <v/>
      </c>
      <c r="G7968" t="str">
        <f t="shared" si="276"/>
        <v/>
      </c>
    </row>
    <row r="7969" spans="2:7" x14ac:dyDescent="0.25">
      <c r="B7969" s="6"/>
      <c r="C7969" s="7"/>
      <c r="D7969" s="7"/>
      <c r="E7969" s="8"/>
      <c r="F7969" t="str">
        <f t="shared" si="275"/>
        <v/>
      </c>
      <c r="G7969" t="str">
        <f t="shared" si="276"/>
        <v/>
      </c>
    </row>
    <row r="7970" spans="2:7" x14ac:dyDescent="0.25">
      <c r="B7970" s="6"/>
      <c r="C7970" s="7"/>
      <c r="D7970" s="7"/>
      <c r="E7970" s="8"/>
      <c r="F7970" t="str">
        <f t="shared" si="275"/>
        <v/>
      </c>
      <c r="G7970" t="str">
        <f t="shared" si="276"/>
        <v/>
      </c>
    </row>
    <row r="7971" spans="2:7" x14ac:dyDescent="0.25">
      <c r="B7971" s="6"/>
      <c r="C7971" s="7"/>
      <c r="D7971" s="7"/>
      <c r="E7971" s="8"/>
      <c r="F7971" t="str">
        <f t="shared" si="275"/>
        <v/>
      </c>
      <c r="G7971" t="str">
        <f t="shared" si="276"/>
        <v/>
      </c>
    </row>
    <row r="7972" spans="2:7" x14ac:dyDescent="0.25">
      <c r="B7972" s="6"/>
      <c r="C7972" s="7"/>
      <c r="D7972" s="7"/>
      <c r="E7972" s="8"/>
      <c r="F7972" t="str">
        <f t="shared" si="275"/>
        <v/>
      </c>
      <c r="G7972" t="str">
        <f t="shared" si="276"/>
        <v/>
      </c>
    </row>
    <row r="7973" spans="2:7" x14ac:dyDescent="0.25">
      <c r="B7973" s="6"/>
      <c r="C7973" s="7"/>
      <c r="D7973" s="7"/>
      <c r="E7973" s="8"/>
      <c r="F7973" t="str">
        <f t="shared" si="275"/>
        <v/>
      </c>
      <c r="G7973" t="str">
        <f t="shared" si="276"/>
        <v/>
      </c>
    </row>
    <row r="7974" spans="2:7" x14ac:dyDescent="0.25">
      <c r="B7974" s="6"/>
      <c r="C7974" s="7"/>
      <c r="D7974" s="7"/>
      <c r="E7974" s="8"/>
      <c r="F7974" t="str">
        <f t="shared" si="275"/>
        <v/>
      </c>
      <c r="G7974" t="str">
        <f t="shared" si="276"/>
        <v/>
      </c>
    </row>
    <row r="7975" spans="2:7" x14ac:dyDescent="0.25">
      <c r="B7975" s="6"/>
      <c r="C7975" s="7"/>
      <c r="D7975" s="7"/>
      <c r="E7975" s="8"/>
      <c r="F7975" t="str">
        <f t="shared" si="275"/>
        <v/>
      </c>
      <c r="G7975" t="str">
        <f t="shared" si="276"/>
        <v/>
      </c>
    </row>
    <row r="7976" spans="2:7" x14ac:dyDescent="0.25">
      <c r="B7976" s="6"/>
      <c r="C7976" s="7"/>
      <c r="D7976" s="7"/>
      <c r="E7976" s="8"/>
      <c r="F7976" t="str">
        <f t="shared" si="275"/>
        <v/>
      </c>
      <c r="G7976" t="str">
        <f t="shared" si="276"/>
        <v/>
      </c>
    </row>
    <row r="7977" spans="2:7" x14ac:dyDescent="0.25">
      <c r="B7977" s="6"/>
      <c r="C7977" s="7"/>
      <c r="D7977" s="7"/>
      <c r="E7977" s="8"/>
      <c r="F7977" t="str">
        <f t="shared" si="275"/>
        <v/>
      </c>
      <c r="G7977" t="str">
        <f t="shared" si="276"/>
        <v/>
      </c>
    </row>
    <row r="7978" spans="2:7" x14ac:dyDescent="0.25">
      <c r="B7978" s="6"/>
      <c r="C7978" s="7"/>
      <c r="D7978" s="7"/>
      <c r="E7978" s="8"/>
      <c r="F7978" t="str">
        <f t="shared" si="275"/>
        <v/>
      </c>
      <c r="G7978" t="str">
        <f t="shared" si="276"/>
        <v/>
      </c>
    </row>
    <row r="7979" spans="2:7" x14ac:dyDescent="0.25">
      <c r="B7979" s="6"/>
      <c r="C7979" s="7"/>
      <c r="D7979" s="7"/>
      <c r="E7979" s="8"/>
      <c r="F7979" t="str">
        <f t="shared" si="275"/>
        <v/>
      </c>
      <c r="G7979" t="str">
        <f t="shared" si="276"/>
        <v/>
      </c>
    </row>
    <row r="7980" spans="2:7" x14ac:dyDescent="0.25">
      <c r="B7980" s="6"/>
      <c r="C7980" s="7"/>
      <c r="D7980" s="7"/>
      <c r="E7980" s="8"/>
      <c r="F7980" t="str">
        <f t="shared" si="275"/>
        <v/>
      </c>
      <c r="G7980" t="str">
        <f t="shared" si="276"/>
        <v/>
      </c>
    </row>
    <row r="7981" spans="2:7" x14ac:dyDescent="0.25">
      <c r="B7981" s="6"/>
      <c r="C7981" s="7"/>
      <c r="D7981" s="7"/>
      <c r="E7981" s="8"/>
      <c r="F7981" t="str">
        <f t="shared" si="275"/>
        <v/>
      </c>
      <c r="G7981" t="str">
        <f t="shared" si="276"/>
        <v/>
      </c>
    </row>
    <row r="7982" spans="2:7" x14ac:dyDescent="0.25">
      <c r="B7982" s="6"/>
      <c r="C7982" s="7"/>
      <c r="D7982" s="7"/>
      <c r="E7982" s="8"/>
      <c r="F7982" t="str">
        <f t="shared" si="275"/>
        <v/>
      </c>
      <c r="G7982" t="str">
        <f t="shared" si="276"/>
        <v/>
      </c>
    </row>
    <row r="7983" spans="2:7" x14ac:dyDescent="0.25">
      <c r="B7983" s="6"/>
      <c r="C7983" s="7"/>
      <c r="D7983" s="7"/>
      <c r="E7983" s="8"/>
      <c r="F7983" t="str">
        <f t="shared" si="275"/>
        <v/>
      </c>
      <c r="G7983" t="str">
        <f t="shared" si="276"/>
        <v/>
      </c>
    </row>
    <row r="7984" spans="2:7" x14ac:dyDescent="0.25">
      <c r="B7984" s="6"/>
      <c r="C7984" s="7"/>
      <c r="D7984" s="7"/>
      <c r="E7984" s="8"/>
      <c r="F7984" t="str">
        <f t="shared" si="275"/>
        <v/>
      </c>
      <c r="G7984" t="str">
        <f t="shared" si="276"/>
        <v/>
      </c>
    </row>
    <row r="7985" spans="2:7" x14ac:dyDescent="0.25">
      <c r="B7985" s="6"/>
      <c r="C7985" s="7"/>
      <c r="D7985" s="7"/>
      <c r="E7985" s="8"/>
      <c r="F7985" t="str">
        <f t="shared" si="275"/>
        <v/>
      </c>
      <c r="G7985" t="str">
        <f t="shared" si="276"/>
        <v/>
      </c>
    </row>
    <row r="7986" spans="2:7" x14ac:dyDescent="0.25">
      <c r="B7986" s="6"/>
      <c r="C7986" s="7"/>
      <c r="D7986" s="7"/>
      <c r="E7986" s="8"/>
      <c r="F7986" t="str">
        <f t="shared" si="275"/>
        <v/>
      </c>
      <c r="G7986" t="str">
        <f t="shared" si="276"/>
        <v/>
      </c>
    </row>
    <row r="7987" spans="2:7" x14ac:dyDescent="0.25">
      <c r="B7987" s="6"/>
      <c r="C7987" s="7"/>
      <c r="D7987" s="7"/>
      <c r="E7987" s="8"/>
      <c r="F7987" t="str">
        <f t="shared" si="275"/>
        <v/>
      </c>
      <c r="G7987" t="str">
        <f t="shared" si="276"/>
        <v/>
      </c>
    </row>
    <row r="7988" spans="2:7" x14ac:dyDescent="0.25">
      <c r="B7988" s="6"/>
      <c r="C7988" s="7"/>
      <c r="D7988" s="7"/>
      <c r="E7988" s="8"/>
      <c r="F7988" t="str">
        <f t="shared" si="275"/>
        <v/>
      </c>
      <c r="G7988" t="str">
        <f t="shared" si="276"/>
        <v/>
      </c>
    </row>
    <row r="7989" spans="2:7" x14ac:dyDescent="0.25">
      <c r="B7989" s="6"/>
      <c r="C7989" s="7"/>
      <c r="D7989" s="7"/>
      <c r="E7989" s="8"/>
      <c r="F7989" t="str">
        <f t="shared" si="275"/>
        <v/>
      </c>
      <c r="G7989" t="str">
        <f t="shared" si="276"/>
        <v/>
      </c>
    </row>
    <row r="7990" spans="2:7" x14ac:dyDescent="0.25">
      <c r="B7990" s="6"/>
      <c r="C7990" s="7"/>
      <c r="D7990" s="7"/>
      <c r="E7990" s="8"/>
      <c r="F7990" t="str">
        <f t="shared" si="275"/>
        <v/>
      </c>
      <c r="G7990" t="str">
        <f t="shared" si="276"/>
        <v/>
      </c>
    </row>
    <row r="7991" spans="2:7" x14ac:dyDescent="0.25">
      <c r="B7991" s="6"/>
      <c r="C7991" s="7"/>
      <c r="D7991" s="7"/>
      <c r="E7991" s="8"/>
      <c r="F7991" t="str">
        <f t="shared" si="275"/>
        <v/>
      </c>
      <c r="G7991" t="str">
        <f t="shared" si="276"/>
        <v/>
      </c>
    </row>
    <row r="7992" spans="2:7" x14ac:dyDescent="0.25">
      <c r="B7992" s="6"/>
      <c r="C7992" s="7"/>
      <c r="D7992" s="7"/>
      <c r="E7992" s="8"/>
      <c r="F7992" t="str">
        <f t="shared" si="275"/>
        <v/>
      </c>
      <c r="G7992" t="str">
        <f t="shared" si="276"/>
        <v/>
      </c>
    </row>
    <row r="7993" spans="2:7" x14ac:dyDescent="0.25">
      <c r="B7993" s="6"/>
      <c r="C7993" s="7"/>
      <c r="D7993" s="7"/>
      <c r="E7993" s="8"/>
      <c r="F7993" t="str">
        <f t="shared" si="275"/>
        <v/>
      </c>
      <c r="G7993" t="str">
        <f t="shared" si="276"/>
        <v/>
      </c>
    </row>
    <row r="7994" spans="2:7" x14ac:dyDescent="0.25">
      <c r="B7994" s="6"/>
      <c r="C7994" s="7"/>
      <c r="D7994" s="7"/>
      <c r="E7994" s="8"/>
      <c r="F7994" t="str">
        <f t="shared" si="275"/>
        <v/>
      </c>
      <c r="G7994" t="str">
        <f t="shared" si="276"/>
        <v/>
      </c>
    </row>
    <row r="7995" spans="2:7" x14ac:dyDescent="0.25">
      <c r="B7995" s="6"/>
      <c r="C7995" s="7"/>
      <c r="D7995" s="7"/>
      <c r="E7995" s="8"/>
      <c r="F7995" t="str">
        <f t="shared" si="275"/>
        <v/>
      </c>
      <c r="G7995" t="str">
        <f t="shared" si="276"/>
        <v/>
      </c>
    </row>
    <row r="7996" spans="2:7" x14ac:dyDescent="0.25">
      <c r="B7996" s="6"/>
      <c r="C7996" s="7"/>
      <c r="D7996" s="7"/>
      <c r="E7996" s="8"/>
      <c r="F7996" t="str">
        <f t="shared" si="275"/>
        <v/>
      </c>
      <c r="G7996" t="str">
        <f t="shared" si="276"/>
        <v/>
      </c>
    </row>
    <row r="7997" spans="2:7" x14ac:dyDescent="0.25">
      <c r="B7997" s="6"/>
      <c r="C7997" s="7"/>
      <c r="D7997" s="7"/>
      <c r="E7997" s="8"/>
      <c r="F7997" t="str">
        <f t="shared" si="275"/>
        <v/>
      </c>
      <c r="G7997" t="str">
        <f t="shared" si="276"/>
        <v/>
      </c>
    </row>
    <row r="7998" spans="2:7" x14ac:dyDescent="0.25">
      <c r="B7998" s="6"/>
      <c r="C7998" s="7"/>
      <c r="D7998" s="7"/>
      <c r="E7998" s="8"/>
      <c r="F7998" t="str">
        <f t="shared" si="275"/>
        <v/>
      </c>
      <c r="G7998" t="str">
        <f t="shared" si="276"/>
        <v/>
      </c>
    </row>
    <row r="7999" spans="2:7" x14ac:dyDescent="0.25">
      <c r="B7999" s="6"/>
      <c r="C7999" s="7"/>
      <c r="D7999" s="7"/>
      <c r="E7999" s="8"/>
      <c r="F7999" t="str">
        <f t="shared" si="275"/>
        <v/>
      </c>
      <c r="G7999" t="str">
        <f t="shared" si="276"/>
        <v/>
      </c>
    </row>
    <row r="8000" spans="2:7" x14ac:dyDescent="0.25">
      <c r="B8000" s="6"/>
      <c r="C8000" s="7"/>
      <c r="D8000" s="7"/>
      <c r="E8000" s="8"/>
      <c r="F8000" t="str">
        <f t="shared" si="275"/>
        <v/>
      </c>
      <c r="G8000" t="str">
        <f t="shared" si="276"/>
        <v/>
      </c>
    </row>
    <row r="8001" spans="2:7" x14ac:dyDescent="0.25">
      <c r="B8001" s="6"/>
      <c r="C8001" s="7"/>
      <c r="D8001" s="7"/>
      <c r="E8001" s="8"/>
      <c r="F8001" t="str">
        <f t="shared" si="275"/>
        <v/>
      </c>
      <c r="G8001" t="str">
        <f t="shared" si="276"/>
        <v/>
      </c>
    </row>
    <row r="8002" spans="2:7" x14ac:dyDescent="0.25">
      <c r="B8002" s="6"/>
      <c r="C8002" s="7"/>
      <c r="D8002" s="7"/>
      <c r="E8002" s="8"/>
      <c r="F8002" t="str">
        <f t="shared" si="275"/>
        <v/>
      </c>
      <c r="G8002" t="str">
        <f t="shared" si="276"/>
        <v/>
      </c>
    </row>
    <row r="8003" spans="2:7" ht="16.5" thickBot="1" x14ac:dyDescent="0.3">
      <c r="B8003" s="9"/>
      <c r="C8003" s="10"/>
      <c r="D8003" s="10"/>
      <c r="E8003" s="11"/>
      <c r="F8003" t="str">
        <f t="shared" si="275"/>
        <v/>
      </c>
      <c r="G8003" t="str">
        <f t="shared" si="276"/>
        <v/>
      </c>
    </row>
  </sheetData>
  <pageMargins left="0.75" right="0.75" top="1" bottom="1" header="0.5" footer="0.5"/>
  <pageSetup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04"/>
  <sheetViews>
    <sheetView topLeftCell="G1" workbookViewId="0">
      <selection activeCell="R16" sqref="R16"/>
    </sheetView>
  </sheetViews>
  <sheetFormatPr defaultColWidth="11" defaultRowHeight="15.75" x14ac:dyDescent="0.25"/>
  <cols>
    <col min="6" max="6" width="15" bestFit="1" customWidth="1"/>
    <col min="7" max="7" width="17.125" bestFit="1" customWidth="1"/>
    <col min="17" max="17" width="18.625" bestFit="1" customWidth="1"/>
  </cols>
  <sheetData>
    <row r="1" spans="1:21" x14ac:dyDescent="0.25">
      <c r="B1" s="2" t="s">
        <v>2</v>
      </c>
      <c r="J1" s="2" t="s">
        <v>12</v>
      </c>
      <c r="K1" s="2"/>
      <c r="L1" s="2"/>
      <c r="M1" s="2"/>
      <c r="Q1" s="2" t="s">
        <v>13</v>
      </c>
      <c r="T1" s="2" t="s">
        <v>62</v>
      </c>
    </row>
    <row r="2" spans="1:21" x14ac:dyDescent="0.25">
      <c r="B2" t="s">
        <v>0</v>
      </c>
      <c r="C2" t="s">
        <v>2</v>
      </c>
      <c r="D2" t="s">
        <v>3</v>
      </c>
      <c r="E2" t="s">
        <v>10</v>
      </c>
      <c r="F2" t="s">
        <v>11</v>
      </c>
      <c r="G2" t="s">
        <v>24</v>
      </c>
      <c r="H2" t="s">
        <v>25</v>
      </c>
      <c r="O2" t="s">
        <v>58</v>
      </c>
    </row>
    <row r="3" spans="1:21" x14ac:dyDescent="0.25">
      <c r="A3" s="15" t="s">
        <v>27</v>
      </c>
      <c r="B3" s="15"/>
      <c r="C3" s="15" t="b">
        <f>IF(ISNUMBER('Input and Summary Results'!$D$5),'Input and Summary Results'!$D$5,FALSE)</f>
        <v>0</v>
      </c>
      <c r="D3" s="15" t="b">
        <f>IF(ISNUMBER('Input and Summary Results'!$E$5),'Input and Summary Results'!$E$5,FALSE)</f>
        <v>0</v>
      </c>
      <c r="E3" s="15" t="e">
        <f>LOG10(C3)</f>
        <v>#NUM!</v>
      </c>
      <c r="F3" s="15" t="e">
        <f>0.434*D4/C4</f>
        <v>#DIV/0!</v>
      </c>
      <c r="G3" s="15" t="e">
        <f>IF('Input and Summary Results'!$J$4="yes",'Data Transformation'!E3,'Data Transformation'!C3)</f>
        <v>#NUM!</v>
      </c>
      <c r="H3" s="15" t="e">
        <f>IF('Input and Summary Results'!$J$4="yes",'Data Transformation'!F3,'Data Transformation'!D3)</f>
        <v>#DIV/0!</v>
      </c>
      <c r="J3" t="s">
        <v>60</v>
      </c>
      <c r="M3" t="s">
        <v>59</v>
      </c>
      <c r="N3" t="s">
        <v>57</v>
      </c>
      <c r="O3" t="s">
        <v>65</v>
      </c>
      <c r="Q3" t="s">
        <v>14</v>
      </c>
      <c r="R3">
        <f>MIN(G4:G404)</f>
        <v>0</v>
      </c>
      <c r="T3" t="s">
        <v>69</v>
      </c>
    </row>
    <row r="4" spans="1:21" x14ac:dyDescent="0.25">
      <c r="A4" t="s">
        <v>27</v>
      </c>
      <c r="B4" t="str">
        <f>'Input and Summary Results'!G$8</f>
        <v xml:space="preserve"> </v>
      </c>
      <c r="C4" t="b">
        <f>IF(B4=0,FALSE,IF(ISNUMBER('Input and Summary Results'!$D$5),'Input and Summary Results'!$D$5,FALSE))</f>
        <v>0</v>
      </c>
      <c r="D4">
        <f>IF(B4=0,FALSE,'Input and Summary Results'!$E$5)</f>
        <v>0</v>
      </c>
      <c r="E4" t="b">
        <f t="shared" ref="E4:E67" si="0">IF(C4=FALSE,FALSE,LOG10(C4))</f>
        <v>0</v>
      </c>
      <c r="F4" s="13" t="e">
        <f>IF(D4=FALSE, FALSE,0.434*D4/C4)</f>
        <v>#DIV/0!</v>
      </c>
      <c r="G4" t="b">
        <f>IF(B4=" ",FALSE,(IF('Input and Summary Results'!$J$4="yes",'Data Transformation'!E4,'Data Transformation'!C4)))</f>
        <v>0</v>
      </c>
      <c r="H4" t="b">
        <f>IF(B4=" ",FALSE,(IF('Input and Summary Results'!$J$4="yes",'Data Transformation'!F4,'Data Transformation'!D4)))</f>
        <v>0</v>
      </c>
      <c r="J4" t="s">
        <v>28</v>
      </c>
      <c r="M4" t="str">
        <f>J4</f>
        <v>all</v>
      </c>
      <c r="N4">
        <f>COUNTIF(B24:B404,"&gt;0")+COUNTIF(B4,"&gt;0")</f>
        <v>0</v>
      </c>
      <c r="O4" t="b">
        <f t="shared" ref="O4:O25" si="1">IF(N4&gt;4,N4,FALSE)</f>
        <v>0</v>
      </c>
      <c r="Q4" t="s">
        <v>15</v>
      </c>
      <c r="R4">
        <f>IF('Input and Summary Results'!J4="yes",MAX('Data Transformation'!E24:E404),MAX(C24:C404))</f>
        <v>0</v>
      </c>
      <c r="T4" t="s">
        <v>61</v>
      </c>
    </row>
    <row r="5" spans="1:21" x14ac:dyDescent="0.25">
      <c r="A5" t="s">
        <v>27</v>
      </c>
      <c r="B5" t="str">
        <f>'Input and Summary Results'!$G9</f>
        <v xml:space="preserve"> </v>
      </c>
      <c r="C5" t="b">
        <f>IF(B5=0,FALSE,IF(ISNUMBER('Input and Summary Results'!$D$5),'Input and Summary Results'!$D$5,FALSE))</f>
        <v>0</v>
      </c>
      <c r="D5">
        <f>IF(B5=0,FALSE,'Input and Summary Results'!$E$5)</f>
        <v>0</v>
      </c>
      <c r="E5" t="b">
        <f t="shared" si="0"/>
        <v>0</v>
      </c>
      <c r="F5" s="13" t="e">
        <f t="shared" ref="F5:F67" si="2">IF(D5=FALSE, FALSE,0.434*D5/C5)</f>
        <v>#DIV/0!</v>
      </c>
      <c r="G5" t="b">
        <f>IF(B5=" ",FALSE,(IF('Input and Summary Results'!$J$4="yes",'Data Transformation'!E5,'Data Transformation'!C5)))</f>
        <v>0</v>
      </c>
      <c r="H5" t="b">
        <f>IF(B5=" ",FALSE,(IF('Input and Summary Results'!$J$4="yes",'Data Transformation'!F5,'Data Transformation'!D5)))</f>
        <v>0</v>
      </c>
      <c r="J5" s="28">
        <f>LOOKUP(2,1/(COUNTIF($J$4:J4,'Input and Summary Results'!$B$7:$B$404)=0),'Input and Summary Results'!$B$7:$B$404)</f>
        <v>0</v>
      </c>
      <c r="K5" s="28">
        <f>IFERROR(J5," ")</f>
        <v>0</v>
      </c>
      <c r="L5" s="28"/>
      <c r="N5">
        <f t="shared" ref="N5" si="3">COUNTIF($B$4:$B$404,$J5)</f>
        <v>0</v>
      </c>
      <c r="O5" t="b">
        <f t="shared" si="1"/>
        <v>0</v>
      </c>
      <c r="Q5" t="s">
        <v>5</v>
      </c>
      <c r="R5" t="e">
        <f>$G$3</f>
        <v>#NUM!</v>
      </c>
      <c r="T5" t="s">
        <v>63</v>
      </c>
    </row>
    <row r="6" spans="1:21" x14ac:dyDescent="0.25">
      <c r="A6" t="s">
        <v>27</v>
      </c>
      <c r="B6" t="str">
        <f>'Input and Summary Results'!$G10</f>
        <v xml:space="preserve"> </v>
      </c>
      <c r="C6" t="b">
        <f>IF(B6=0,FALSE,IF(ISNUMBER('Input and Summary Results'!$D$5),'Input and Summary Results'!$D$5,FALSE))</f>
        <v>0</v>
      </c>
      <c r="D6">
        <f>IF(B6=0,FALSE,'Input and Summary Results'!$E$5)</f>
        <v>0</v>
      </c>
      <c r="E6" t="b">
        <f t="shared" si="0"/>
        <v>0</v>
      </c>
      <c r="F6" s="13" t="e">
        <f t="shared" si="2"/>
        <v>#DIV/0!</v>
      </c>
      <c r="G6" t="b">
        <f>IF(B6=" ",FALSE,(IF('Input and Summary Results'!$J$4="yes",'Data Transformation'!E6,'Data Transformation'!C6)))</f>
        <v>0</v>
      </c>
      <c r="H6" t="b">
        <f>IF(B6=" ",FALSE,(IF('Input and Summary Results'!$J$4="yes",'Data Transformation'!F6,'Data Transformation'!D6)))</f>
        <v>0</v>
      </c>
      <c r="J6" s="28" t="e">
        <f>LOOKUP(2,1/(COUNTIF($J$4:J5,'Input and Summary Results'!$B$7:$B$404)=0),'Input and Summary Results'!$B$7:$B$404)</f>
        <v>#N/A</v>
      </c>
      <c r="K6" s="28" t="str">
        <f t="shared" ref="K6:K25" si="4">IFERROR(J6," ")</f>
        <v xml:space="preserve"> </v>
      </c>
      <c r="L6" s="28">
        <v>1</v>
      </c>
      <c r="M6" t="e">
        <f>SMALL($K$6:$K$25,L6)</f>
        <v>#NUM!</v>
      </c>
      <c r="N6">
        <f>COUNTIF($B$4:$B$404,$M6)</f>
        <v>0</v>
      </c>
      <c r="O6" t="b">
        <f t="shared" si="1"/>
        <v>0</v>
      </c>
      <c r="Q6" t="s">
        <v>16</v>
      </c>
      <c r="R6" s="81">
        <f>IF('Input and Summary Results'!J4="yes",LOG('Input and Summary Results'!J17,10),'Input and Summary Results'!J17)</f>
        <v>0</v>
      </c>
    </row>
    <row r="7" spans="1:21" x14ac:dyDescent="0.25">
      <c r="A7" t="s">
        <v>27</v>
      </c>
      <c r="B7" t="str">
        <f>'Input and Summary Results'!$G11</f>
        <v xml:space="preserve"> </v>
      </c>
      <c r="C7" t="b">
        <f>IF(B7=0,FALSE,IF(ISNUMBER('Input and Summary Results'!$D$5),'Input and Summary Results'!$D$5,FALSE))</f>
        <v>0</v>
      </c>
      <c r="D7">
        <f>IF(B7=0,FALSE,'Input and Summary Results'!$E$5)</f>
        <v>0</v>
      </c>
      <c r="E7" t="b">
        <f t="shared" si="0"/>
        <v>0</v>
      </c>
      <c r="F7" s="13" t="e">
        <f t="shared" si="2"/>
        <v>#DIV/0!</v>
      </c>
      <c r="G7" t="b">
        <f>IF(B7=" ",FALSE,(IF('Input and Summary Results'!$J$4="yes",'Data Transformation'!E7,'Data Transformation'!C7)))</f>
        <v>0</v>
      </c>
      <c r="H7" t="b">
        <f>IF(B7=" ",FALSE,(IF('Input and Summary Results'!$J$4="yes",'Data Transformation'!F7,'Data Transformation'!D7)))</f>
        <v>0</v>
      </c>
      <c r="J7" s="28" t="e">
        <f>LOOKUP(2,1/(COUNTIF($J$4:J6,'Input and Summary Results'!$B$7:$B$404)=0),'Input and Summary Results'!$B$7:$B$404)</f>
        <v>#N/A</v>
      </c>
      <c r="K7" s="28" t="str">
        <f t="shared" si="4"/>
        <v xml:space="preserve"> </v>
      </c>
      <c r="L7" s="28">
        <v>2</v>
      </c>
      <c r="M7" t="e">
        <f t="shared" ref="M7:M25" si="5">SMALL($K$6:$K$25,L7)</f>
        <v>#NUM!</v>
      </c>
      <c r="N7">
        <f t="shared" ref="N7:N25" si="6">COUNTIF($B$4:$B$404,$M7)</f>
        <v>0</v>
      </c>
      <c r="O7" t="b">
        <f t="shared" si="1"/>
        <v>0</v>
      </c>
      <c r="T7" t="s">
        <v>70</v>
      </c>
    </row>
    <row r="8" spans="1:21" x14ac:dyDescent="0.25">
      <c r="A8" t="s">
        <v>27</v>
      </c>
      <c r="B8" t="str">
        <f>'Input and Summary Results'!$G12</f>
        <v xml:space="preserve"> </v>
      </c>
      <c r="C8" t="b">
        <f>IF(B8=0,FALSE,IF(ISNUMBER('Input and Summary Results'!$D$5),'Input and Summary Results'!$D$5,FALSE))</f>
        <v>0</v>
      </c>
      <c r="D8">
        <f>IF(B8=0,FALSE,'Input and Summary Results'!$E$5)</f>
        <v>0</v>
      </c>
      <c r="E8" t="b">
        <f t="shared" si="0"/>
        <v>0</v>
      </c>
      <c r="F8" s="13" t="e">
        <f t="shared" si="2"/>
        <v>#DIV/0!</v>
      </c>
      <c r="G8" t="b">
        <f>IF(B8=" ",FALSE,(IF('Input and Summary Results'!$J$4="yes",'Data Transformation'!E8,'Data Transformation'!C8)))</f>
        <v>0</v>
      </c>
      <c r="H8" t="b">
        <f>IF(B8=" ",FALSE,(IF('Input and Summary Results'!$J$4="yes",'Data Transformation'!F8,'Data Transformation'!D8)))</f>
        <v>0</v>
      </c>
      <c r="J8" s="28" t="e">
        <f>LOOKUP(2,1/(COUNTIF($J$4:J7,'Input and Summary Results'!$B$7:$B$404)=0),'Input and Summary Results'!$B$7:$B$404)</f>
        <v>#N/A</v>
      </c>
      <c r="K8" s="28" t="str">
        <f t="shared" si="4"/>
        <v xml:space="preserve"> </v>
      </c>
      <c r="L8" s="28">
        <v>3</v>
      </c>
      <c r="M8" t="e">
        <f t="shared" si="5"/>
        <v>#NUM!</v>
      </c>
      <c r="N8">
        <f t="shared" si="6"/>
        <v>0</v>
      </c>
      <c r="O8" t="b">
        <f t="shared" si="1"/>
        <v>0</v>
      </c>
      <c r="Q8" t="s">
        <v>68</v>
      </c>
      <c r="T8" t="s">
        <v>33</v>
      </c>
      <c r="U8">
        <f>IF('Input and Summary Results'!J4="yes",10^R9,R9)</f>
        <v>1</v>
      </c>
    </row>
    <row r="9" spans="1:21" x14ac:dyDescent="0.25">
      <c r="A9" t="s">
        <v>27</v>
      </c>
      <c r="B9" t="str">
        <f>'Input and Summary Results'!$G13</f>
        <v xml:space="preserve"> </v>
      </c>
      <c r="C9" t="b">
        <f>IF(B9=0,FALSE,IF(ISNUMBER('Input and Summary Results'!$D$5),'Input and Summary Results'!$D$5,FALSE))</f>
        <v>0</v>
      </c>
      <c r="D9">
        <f>IF(B9=0,FALSE,'Input and Summary Results'!$E$5)</f>
        <v>0</v>
      </c>
      <c r="E9" t="b">
        <f t="shared" si="0"/>
        <v>0</v>
      </c>
      <c r="F9" s="13" t="e">
        <f t="shared" si="2"/>
        <v>#DIV/0!</v>
      </c>
      <c r="G9" t="b">
        <f>IF(B9=" ",FALSE,(IF('Input and Summary Results'!$J$4="yes",'Data Transformation'!E9,'Data Transformation'!C9)))</f>
        <v>0</v>
      </c>
      <c r="H9" t="b">
        <f>IF(B9=" ",FALSE,(IF('Input and Summary Results'!$J$4="yes",'Data Transformation'!F9,'Data Transformation'!D9)))</f>
        <v>0</v>
      </c>
      <c r="J9" s="28" t="e">
        <f>LOOKUP(2,1/(COUNTIF($J$4:J8,'Input and Summary Results'!$B$7:$B$404)=0),'Input and Summary Results'!$B$7:$B$404)</f>
        <v>#N/A</v>
      </c>
      <c r="K9" s="28" t="str">
        <f t="shared" si="4"/>
        <v xml:space="preserve"> </v>
      </c>
      <c r="L9" s="28">
        <v>4</v>
      </c>
      <c r="M9" t="e">
        <f t="shared" si="5"/>
        <v>#NUM!</v>
      </c>
      <c r="N9">
        <f t="shared" si="6"/>
        <v>0</v>
      </c>
      <c r="O9" t="b">
        <f t="shared" si="1"/>
        <v>0</v>
      </c>
      <c r="Q9" t="s">
        <v>14</v>
      </c>
      <c r="R9">
        <f>IF('Input and Summary Results'!J11="",'Data Transformation'!R3,IF('Input and Summary Results'!$J$4="yes",LOG('Input and Summary Results'!J11,10),'Input and Summary Results'!J11))</f>
        <v>0</v>
      </c>
      <c r="T9" t="s">
        <v>89</v>
      </c>
      <c r="U9">
        <f>IF('Input and Summary Results'!J4="yes",10^R10,R10)</f>
        <v>1</v>
      </c>
    </row>
    <row r="10" spans="1:21" x14ac:dyDescent="0.25">
      <c r="A10" t="s">
        <v>27</v>
      </c>
      <c r="B10" t="str">
        <f>'Input and Summary Results'!$G14</f>
        <v xml:space="preserve"> </v>
      </c>
      <c r="C10" t="b">
        <f>IF(B10=0,FALSE,IF(ISNUMBER('Input and Summary Results'!$D$5),'Input and Summary Results'!$D$5,FALSE))</f>
        <v>0</v>
      </c>
      <c r="D10">
        <f>IF(B10=0,FALSE,'Input and Summary Results'!$E$5)</f>
        <v>0</v>
      </c>
      <c r="E10" t="b">
        <f t="shared" si="0"/>
        <v>0</v>
      </c>
      <c r="F10" s="13" t="e">
        <f t="shared" si="2"/>
        <v>#DIV/0!</v>
      </c>
      <c r="G10" t="b">
        <f>IF(B10=" ",FALSE,(IF('Input and Summary Results'!$J$4="yes",'Data Transformation'!E10,'Data Transformation'!C10)))</f>
        <v>0</v>
      </c>
      <c r="H10" t="b">
        <f>IF(B10=" ",FALSE,(IF('Input and Summary Results'!$J$4="yes",'Data Transformation'!F10,'Data Transformation'!D10)))</f>
        <v>0</v>
      </c>
      <c r="J10" s="28" t="e">
        <f>LOOKUP(2,1/(COUNTIF($J$4:J9,'Input and Summary Results'!$B$7:$B$404)=0),'Input and Summary Results'!$B$7:$B$404)</f>
        <v>#N/A</v>
      </c>
      <c r="K10" s="28" t="str">
        <f t="shared" si="4"/>
        <v xml:space="preserve"> </v>
      </c>
      <c r="L10" s="28">
        <v>5</v>
      </c>
      <c r="M10" t="e">
        <f t="shared" si="5"/>
        <v>#NUM!</v>
      </c>
      <c r="N10">
        <f t="shared" si="6"/>
        <v>0</v>
      </c>
      <c r="O10" t="b">
        <f t="shared" si="1"/>
        <v>0</v>
      </c>
      <c r="Q10" t="s">
        <v>15</v>
      </c>
      <c r="R10">
        <f>IF('Input and Summary Results'!J12="",'Data Transformation'!R4,IF('Input and Summary Results'!$J$4="yes",LOG('Input and Summary Results'!J12,10),'Input and Summary Results'!J12))</f>
        <v>0</v>
      </c>
    </row>
    <row r="11" spans="1:21" x14ac:dyDescent="0.25">
      <c r="A11" t="s">
        <v>27</v>
      </c>
      <c r="B11" t="str">
        <f>'Input and Summary Results'!$G15</f>
        <v xml:space="preserve"> </v>
      </c>
      <c r="C11" t="b">
        <f>IF(B11=0,FALSE,IF(ISNUMBER('Input and Summary Results'!$D$5),'Input and Summary Results'!$D$5,FALSE))</f>
        <v>0</v>
      </c>
      <c r="D11">
        <f>IF(B11=0,FALSE,'Input and Summary Results'!$E$5)</f>
        <v>0</v>
      </c>
      <c r="E11" t="b">
        <f t="shared" si="0"/>
        <v>0</v>
      </c>
      <c r="F11" s="13" t="e">
        <f t="shared" si="2"/>
        <v>#DIV/0!</v>
      </c>
      <c r="G11" t="b">
        <f>IF(B11=" ",FALSE,(IF('Input and Summary Results'!$J$4="yes",'Data Transformation'!E11,'Data Transformation'!C11)))</f>
        <v>0</v>
      </c>
      <c r="H11" t="b">
        <f>IF(B11=" ",FALSE,(IF('Input and Summary Results'!$J$4="yes",'Data Transformation'!F11,'Data Transformation'!D11)))</f>
        <v>0</v>
      </c>
      <c r="J11" s="28" t="e">
        <f>LOOKUP(2,1/(COUNTIF($J$4:J10,'Input and Summary Results'!$B$7:$B$404)=0),'Input and Summary Results'!$B$7:$B$404)</f>
        <v>#N/A</v>
      </c>
      <c r="K11" s="28" t="str">
        <f t="shared" si="4"/>
        <v xml:space="preserve"> </v>
      </c>
      <c r="L11" s="28">
        <v>6</v>
      </c>
      <c r="M11" t="e">
        <f t="shared" si="5"/>
        <v>#NUM!</v>
      </c>
      <c r="N11">
        <f t="shared" si="6"/>
        <v>0</v>
      </c>
      <c r="O11" t="b">
        <f t="shared" si="1"/>
        <v>0</v>
      </c>
    </row>
    <row r="12" spans="1:21" x14ac:dyDescent="0.25">
      <c r="A12" t="s">
        <v>27</v>
      </c>
      <c r="B12" t="str">
        <f>'Input and Summary Results'!$G16</f>
        <v xml:space="preserve"> </v>
      </c>
      <c r="C12" t="b">
        <f>IF(B12=0,FALSE,IF(ISNUMBER('Input and Summary Results'!$D$5),'Input and Summary Results'!$D$5,FALSE))</f>
        <v>0</v>
      </c>
      <c r="D12">
        <f>IF(B12=0,FALSE,'Input and Summary Results'!$E$5)</f>
        <v>0</v>
      </c>
      <c r="E12" t="b">
        <f t="shared" si="0"/>
        <v>0</v>
      </c>
      <c r="F12" s="13" t="e">
        <f t="shared" si="2"/>
        <v>#DIV/0!</v>
      </c>
      <c r="G12" t="b">
        <f>IF(B12=" ",FALSE,(IF('Input and Summary Results'!$J$4="yes",'Data Transformation'!E12,'Data Transformation'!C12)))</f>
        <v>0</v>
      </c>
      <c r="H12" t="b">
        <f>IF(B12=" ",FALSE,(IF('Input and Summary Results'!$J$4="yes",'Data Transformation'!F12,'Data Transformation'!D12)))</f>
        <v>0</v>
      </c>
      <c r="J12" s="28" t="e">
        <f>LOOKUP(2,1/(COUNTIF($J$4:J11,'Input and Summary Results'!$B$7:$B$404)=0),'Input and Summary Results'!$B$7:$B$404)</f>
        <v>#N/A</v>
      </c>
      <c r="K12" s="28" t="str">
        <f t="shared" si="4"/>
        <v xml:space="preserve"> </v>
      </c>
      <c r="L12" s="28">
        <v>7</v>
      </c>
      <c r="M12" t="e">
        <f t="shared" si="5"/>
        <v>#NUM!</v>
      </c>
      <c r="N12">
        <f t="shared" si="6"/>
        <v>0</v>
      </c>
      <c r="O12" t="b">
        <f t="shared" si="1"/>
        <v>0</v>
      </c>
    </row>
    <row r="13" spans="1:21" x14ac:dyDescent="0.25">
      <c r="A13" t="s">
        <v>27</v>
      </c>
      <c r="B13" t="str">
        <f>'Input and Summary Results'!$G17</f>
        <v xml:space="preserve"> </v>
      </c>
      <c r="C13" t="b">
        <f>IF(B13=0,FALSE,IF(ISNUMBER('Input and Summary Results'!$D$5),'Input and Summary Results'!$D$5,FALSE))</f>
        <v>0</v>
      </c>
      <c r="D13">
        <f>IF(B13=0,FALSE,'Input and Summary Results'!$E$5)</f>
        <v>0</v>
      </c>
      <c r="E13" t="b">
        <f t="shared" si="0"/>
        <v>0</v>
      </c>
      <c r="F13" s="13" t="e">
        <f t="shared" si="2"/>
        <v>#DIV/0!</v>
      </c>
      <c r="G13" t="b">
        <f>IF(B13=" ",FALSE,(IF('Input and Summary Results'!$J$4="yes",'Data Transformation'!E13,'Data Transformation'!C13)))</f>
        <v>0</v>
      </c>
      <c r="H13" t="b">
        <f>IF(B13=" ",FALSE,(IF('Input and Summary Results'!$J$4="yes",'Data Transformation'!F13,'Data Transformation'!D13)))</f>
        <v>0</v>
      </c>
      <c r="J13" s="28" t="e">
        <f>LOOKUP(2,1/(COUNTIF($J$4:J12,'Input and Summary Results'!$B$7:$B$404)=0),'Input and Summary Results'!$B$7:$B$404)</f>
        <v>#N/A</v>
      </c>
      <c r="K13" s="28" t="str">
        <f t="shared" si="4"/>
        <v xml:space="preserve"> </v>
      </c>
      <c r="L13" s="28">
        <v>8</v>
      </c>
      <c r="M13" t="e">
        <f t="shared" si="5"/>
        <v>#NUM!</v>
      </c>
      <c r="N13">
        <f t="shared" si="6"/>
        <v>0</v>
      </c>
      <c r="O13" t="b">
        <f t="shared" si="1"/>
        <v>0</v>
      </c>
    </row>
    <row r="14" spans="1:21" x14ac:dyDescent="0.25">
      <c r="A14" t="s">
        <v>27</v>
      </c>
      <c r="B14" t="str">
        <f>'Input and Summary Results'!$G18</f>
        <v xml:space="preserve"> </v>
      </c>
      <c r="C14" t="b">
        <f>IF(B14=0,FALSE,IF(ISNUMBER('Input and Summary Results'!$D$5),'Input and Summary Results'!$D$5,FALSE))</f>
        <v>0</v>
      </c>
      <c r="D14">
        <f>IF(B14=0,FALSE,'Input and Summary Results'!$E$5)</f>
        <v>0</v>
      </c>
      <c r="E14" t="b">
        <f t="shared" si="0"/>
        <v>0</v>
      </c>
      <c r="F14" s="13" t="e">
        <f t="shared" si="2"/>
        <v>#DIV/0!</v>
      </c>
      <c r="G14" t="b">
        <f>IF(B14=" ",FALSE,(IF('Input and Summary Results'!$J$4="yes",'Data Transformation'!E14,'Data Transformation'!C14)))</f>
        <v>0</v>
      </c>
      <c r="H14" t="b">
        <f>IF(B14=" ",FALSE,(IF('Input and Summary Results'!$J$4="yes",'Data Transformation'!F14,'Data Transformation'!D14)))</f>
        <v>0</v>
      </c>
      <c r="J14" s="28" t="e">
        <f>LOOKUP(2,1/(COUNTIF($J$4:J13,'Input and Summary Results'!$B$7:$B$404)=0),'Input and Summary Results'!$B$7:$B$404)</f>
        <v>#N/A</v>
      </c>
      <c r="K14" s="28" t="str">
        <f t="shared" si="4"/>
        <v xml:space="preserve"> </v>
      </c>
      <c r="L14" s="28">
        <v>9</v>
      </c>
      <c r="M14" t="e">
        <f t="shared" si="5"/>
        <v>#NUM!</v>
      </c>
      <c r="N14">
        <f t="shared" si="6"/>
        <v>0</v>
      </c>
      <c r="O14" t="b">
        <f t="shared" si="1"/>
        <v>0</v>
      </c>
      <c r="Q14" t="s">
        <v>94</v>
      </c>
      <c r="R14" t="e">
        <f>AVERAGE(H3,H24:H404)</f>
        <v>#DIV/0!</v>
      </c>
    </row>
    <row r="15" spans="1:21" x14ac:dyDescent="0.25">
      <c r="A15" t="s">
        <v>27</v>
      </c>
      <c r="B15" t="str">
        <f>'Input and Summary Results'!$G19</f>
        <v xml:space="preserve"> </v>
      </c>
      <c r="C15" t="b">
        <f>IF(B15=0,FALSE,IF(ISNUMBER('Input and Summary Results'!$D$5),'Input and Summary Results'!$D$5,FALSE))</f>
        <v>0</v>
      </c>
      <c r="D15">
        <f>IF(B15=0,FALSE,'Input and Summary Results'!$E$5)</f>
        <v>0</v>
      </c>
      <c r="E15" t="b">
        <f t="shared" si="0"/>
        <v>0</v>
      </c>
      <c r="F15" s="13" t="e">
        <f t="shared" si="2"/>
        <v>#DIV/0!</v>
      </c>
      <c r="G15" t="b">
        <f>IF(B15=" ",FALSE,(IF('Input and Summary Results'!$J$4="yes",'Data Transformation'!E15,'Data Transformation'!C15)))</f>
        <v>0</v>
      </c>
      <c r="H15" t="b">
        <f>IF(B15=" ",FALSE,(IF('Input and Summary Results'!$J$4="yes",'Data Transformation'!F15,'Data Transformation'!D15)))</f>
        <v>0</v>
      </c>
      <c r="J15" s="28" t="e">
        <f>LOOKUP(2,1/(COUNTIF($J$4:J14,'Input and Summary Results'!$B$7:$B$404)=0),'Input and Summary Results'!$B$7:$B$404)</f>
        <v>#N/A</v>
      </c>
      <c r="K15" s="28" t="str">
        <f t="shared" si="4"/>
        <v xml:space="preserve"> </v>
      </c>
      <c r="L15" s="28">
        <v>10</v>
      </c>
      <c r="M15" t="e">
        <f t="shared" si="5"/>
        <v>#NUM!</v>
      </c>
      <c r="N15">
        <f t="shared" si="6"/>
        <v>0</v>
      </c>
      <c r="O15" t="b">
        <f t="shared" si="1"/>
        <v>0</v>
      </c>
      <c r="Q15" t="s">
        <v>95</v>
      </c>
      <c r="R15" t="e">
        <f>IF('Input and Summary Results'!J19="",'Data Transformation'!R14,(IF('Input and Summary Results'!J4="yes",'Input and Summary Results'!J19*0.434/C3,'Input and Summary Results'!J19)))</f>
        <v>#DIV/0!</v>
      </c>
    </row>
    <row r="16" spans="1:21" x14ac:dyDescent="0.25">
      <c r="A16" t="s">
        <v>27</v>
      </c>
      <c r="B16" t="str">
        <f>'Input and Summary Results'!$G20</f>
        <v xml:space="preserve"> </v>
      </c>
      <c r="C16" t="b">
        <f>IF(B16=0,FALSE,IF(ISNUMBER('Input and Summary Results'!$D$5),'Input and Summary Results'!$D$5,FALSE))</f>
        <v>0</v>
      </c>
      <c r="D16">
        <f>IF(B16=0,FALSE,'Input and Summary Results'!$E$5)</f>
        <v>0</v>
      </c>
      <c r="E16" t="b">
        <f t="shared" si="0"/>
        <v>0</v>
      </c>
      <c r="F16" s="13" t="e">
        <f t="shared" si="2"/>
        <v>#DIV/0!</v>
      </c>
      <c r="G16" t="b">
        <f>IF(B16=" ",FALSE,(IF('Input and Summary Results'!$J$4="yes",'Data Transformation'!E16,'Data Transformation'!C16)))</f>
        <v>0</v>
      </c>
      <c r="H16" t="b">
        <f>IF(B16=" ",FALSE,(IF('Input and Summary Results'!$J$4="yes",'Data Transformation'!F16,'Data Transformation'!D16)))</f>
        <v>0</v>
      </c>
      <c r="J16" s="28" t="e">
        <f>LOOKUP(2,1/(COUNTIF($J$4:J15,'Input and Summary Results'!$B$7:$B$404)=0),'Input and Summary Results'!$B$7:$B$404)</f>
        <v>#N/A</v>
      </c>
      <c r="K16" s="28" t="str">
        <f t="shared" si="4"/>
        <v xml:space="preserve"> </v>
      </c>
      <c r="L16" s="28">
        <v>11</v>
      </c>
      <c r="M16" t="e">
        <f t="shared" si="5"/>
        <v>#NUM!</v>
      </c>
      <c r="N16">
        <f t="shared" si="6"/>
        <v>0</v>
      </c>
      <c r="O16" t="b">
        <f t="shared" si="1"/>
        <v>0</v>
      </c>
      <c r="Q16" t="s">
        <v>104</v>
      </c>
      <c r="R16" t="e">
        <f>R15*2</f>
        <v>#DIV/0!</v>
      </c>
    </row>
    <row r="17" spans="1:18" x14ac:dyDescent="0.25">
      <c r="A17" t="s">
        <v>27</v>
      </c>
      <c r="B17" t="str">
        <f>'Input and Summary Results'!$G21</f>
        <v xml:space="preserve"> </v>
      </c>
      <c r="C17" t="b">
        <f>IF(B17=0,FALSE,IF(ISNUMBER('Input and Summary Results'!$D$5),'Input and Summary Results'!$D$5,FALSE))</f>
        <v>0</v>
      </c>
      <c r="D17">
        <f>IF(B17=0,FALSE,'Input and Summary Results'!$E$5)</f>
        <v>0</v>
      </c>
      <c r="E17" t="b">
        <f t="shared" si="0"/>
        <v>0</v>
      </c>
      <c r="F17" s="13" t="e">
        <f t="shared" si="2"/>
        <v>#DIV/0!</v>
      </c>
      <c r="G17" t="b">
        <f>IF(B17=" ",FALSE,(IF('Input and Summary Results'!$J$4="yes",'Data Transformation'!E17,'Data Transformation'!C17)))</f>
        <v>0</v>
      </c>
      <c r="H17" t="b">
        <f>IF(B17=" ",FALSE,(IF('Input and Summary Results'!$J$4="yes",'Data Transformation'!F17,'Data Transformation'!D17)))</f>
        <v>0</v>
      </c>
      <c r="J17" s="28" t="e">
        <f>LOOKUP(2,1/(COUNTIF($J$4:J16,'Input and Summary Results'!$B$7:$B$404)=0),'Input and Summary Results'!$B$7:$B$404)</f>
        <v>#N/A</v>
      </c>
      <c r="K17" s="28" t="str">
        <f t="shared" si="4"/>
        <v xml:space="preserve"> </v>
      </c>
      <c r="L17" s="28">
        <v>12</v>
      </c>
      <c r="M17" t="e">
        <f t="shared" si="5"/>
        <v>#NUM!</v>
      </c>
      <c r="N17">
        <f t="shared" si="6"/>
        <v>0</v>
      </c>
      <c r="O17" t="b">
        <f t="shared" si="1"/>
        <v>0</v>
      </c>
    </row>
    <row r="18" spans="1:18" x14ac:dyDescent="0.25">
      <c r="A18" t="s">
        <v>27</v>
      </c>
      <c r="B18" t="str">
        <f>'Input and Summary Results'!$G22</f>
        <v xml:space="preserve"> </v>
      </c>
      <c r="C18" t="b">
        <f>IF(B18=0,FALSE,IF(ISNUMBER('Input and Summary Results'!$D$5),'Input and Summary Results'!$D$5,FALSE))</f>
        <v>0</v>
      </c>
      <c r="D18">
        <f>IF(B18=0,FALSE,'Input and Summary Results'!$E$5)</f>
        <v>0</v>
      </c>
      <c r="E18" t="b">
        <f t="shared" si="0"/>
        <v>0</v>
      </c>
      <c r="F18" s="13" t="e">
        <f t="shared" si="2"/>
        <v>#DIV/0!</v>
      </c>
      <c r="G18" t="b">
        <f>IF(B18=" ",FALSE,(IF('Input and Summary Results'!$J$4="yes",'Data Transformation'!E18,'Data Transformation'!C18)))</f>
        <v>0</v>
      </c>
      <c r="H18" t="b">
        <f>IF(B18=" ",FALSE,(IF('Input and Summary Results'!$J$4="yes",'Data Transformation'!F18,'Data Transformation'!D18)))</f>
        <v>0</v>
      </c>
      <c r="J18" s="28" t="e">
        <f>LOOKUP(2,1/(COUNTIF($J$4:J17,'Input and Summary Results'!$B$7:$B$404)=0),'Input and Summary Results'!$B$7:$B$404)</f>
        <v>#N/A</v>
      </c>
      <c r="K18" s="28" t="str">
        <f t="shared" si="4"/>
        <v xml:space="preserve"> </v>
      </c>
      <c r="L18" s="28">
        <v>13</v>
      </c>
      <c r="M18" t="e">
        <f t="shared" si="5"/>
        <v>#NUM!</v>
      </c>
      <c r="N18">
        <f t="shared" si="6"/>
        <v>0</v>
      </c>
      <c r="O18" t="b">
        <f t="shared" si="1"/>
        <v>0</v>
      </c>
      <c r="Q18" s="2" t="s">
        <v>19</v>
      </c>
    </row>
    <row r="19" spans="1:18" x14ac:dyDescent="0.25">
      <c r="A19" t="s">
        <v>27</v>
      </c>
      <c r="B19" t="str">
        <f>'Input and Summary Results'!$G23</f>
        <v xml:space="preserve"> </v>
      </c>
      <c r="C19" t="b">
        <f>IF(B19=0,FALSE,IF(ISNUMBER('Input and Summary Results'!$D$5),'Input and Summary Results'!$D$5,FALSE))</f>
        <v>0</v>
      </c>
      <c r="D19">
        <f>IF(B19=0,FALSE,'Input and Summary Results'!$E$5)</f>
        <v>0</v>
      </c>
      <c r="E19" t="b">
        <f t="shared" si="0"/>
        <v>0</v>
      </c>
      <c r="F19" s="13" t="e">
        <f t="shared" si="2"/>
        <v>#DIV/0!</v>
      </c>
      <c r="G19" t="b">
        <f>IF(B19=" ",FALSE,(IF('Input and Summary Results'!$J$4="yes",'Data Transformation'!E19,'Data Transformation'!C19)))</f>
        <v>0</v>
      </c>
      <c r="H19" t="b">
        <f>IF(B19=" ",FALSE,(IF('Input and Summary Results'!$J$4="yes",'Data Transformation'!F19,'Data Transformation'!D19)))</f>
        <v>0</v>
      </c>
      <c r="J19" s="28" t="e">
        <f>LOOKUP(2,1/(COUNTIF($J$4:J18,'Input and Summary Results'!$B$7:$B$404)=0),'Input and Summary Results'!$B$7:$B$404)</f>
        <v>#N/A</v>
      </c>
      <c r="K19" s="28" t="str">
        <f t="shared" si="4"/>
        <v xml:space="preserve"> </v>
      </c>
      <c r="L19" s="28">
        <v>14</v>
      </c>
      <c r="M19" t="e">
        <f t="shared" si="5"/>
        <v>#NUM!</v>
      </c>
      <c r="N19">
        <f t="shared" si="6"/>
        <v>0</v>
      </c>
      <c r="O19" t="b">
        <f t="shared" si="1"/>
        <v>0</v>
      </c>
      <c r="Q19" t="s">
        <v>20</v>
      </c>
      <c r="R19" s="14" t="e">
        <f>(R10-R9)/R16</f>
        <v>#DIV/0!</v>
      </c>
    </row>
    <row r="20" spans="1:18" x14ac:dyDescent="0.25">
      <c r="A20" t="s">
        <v>27</v>
      </c>
      <c r="B20" t="str">
        <f>'Input and Summary Results'!$G24</f>
        <v xml:space="preserve"> </v>
      </c>
      <c r="C20" t="b">
        <f>IF(B20=0,FALSE,IF(ISNUMBER('Input and Summary Results'!$D$5),'Input and Summary Results'!$D$5,FALSE))</f>
        <v>0</v>
      </c>
      <c r="D20">
        <f>IF(B20=0,FALSE,'Input and Summary Results'!$E$5)</f>
        <v>0</v>
      </c>
      <c r="E20" t="b">
        <f t="shared" si="0"/>
        <v>0</v>
      </c>
      <c r="F20" s="13" t="e">
        <f t="shared" si="2"/>
        <v>#DIV/0!</v>
      </c>
      <c r="G20" t="b">
        <f>IF(B20=" ",FALSE,(IF('Input and Summary Results'!$J$4="yes",'Data Transformation'!E20,'Data Transformation'!C20)))</f>
        <v>0</v>
      </c>
      <c r="H20" t="b">
        <f>IF(B20=" ",FALSE,(IF('Input and Summary Results'!$J$4="yes",'Data Transformation'!F20,'Data Transformation'!D20)))</f>
        <v>0</v>
      </c>
      <c r="J20" s="28" t="e">
        <f>LOOKUP(2,1/(COUNTIF($J$4:J19,'Input and Summary Results'!$B$7:$B$404)=0),'Input and Summary Results'!$B$7:$B$404)</f>
        <v>#N/A</v>
      </c>
      <c r="K20" s="28" t="str">
        <f t="shared" si="4"/>
        <v xml:space="preserve"> </v>
      </c>
      <c r="L20" s="28">
        <v>15</v>
      </c>
      <c r="M20" t="e">
        <f t="shared" si="5"/>
        <v>#NUM!</v>
      </c>
      <c r="N20">
        <f t="shared" si="6"/>
        <v>0</v>
      </c>
      <c r="O20" t="b">
        <f t="shared" si="1"/>
        <v>0</v>
      </c>
      <c r="Q20" t="s">
        <v>21</v>
      </c>
      <c r="R20" t="e">
        <f>AVERAGE(O5:O24)</f>
        <v>#DIV/0!</v>
      </c>
    </row>
    <row r="21" spans="1:18" x14ac:dyDescent="0.25">
      <c r="A21" t="s">
        <v>27</v>
      </c>
      <c r="B21" t="str">
        <f>'Input and Summary Results'!$G25</f>
        <v xml:space="preserve"> </v>
      </c>
      <c r="C21" t="b">
        <f>IF(B21=0,FALSE,IF(ISNUMBER('Input and Summary Results'!$D$5),'Input and Summary Results'!$D$5,FALSE))</f>
        <v>0</v>
      </c>
      <c r="D21">
        <f>IF(B21=0,FALSE,'Input and Summary Results'!$E$5)</f>
        <v>0</v>
      </c>
      <c r="E21" t="b">
        <f t="shared" si="0"/>
        <v>0</v>
      </c>
      <c r="F21" s="13" t="e">
        <f t="shared" si="2"/>
        <v>#DIV/0!</v>
      </c>
      <c r="G21" t="b">
        <f>IF(B21=" ",FALSE,(IF('Input and Summary Results'!$J$4="yes",'Data Transformation'!E21,'Data Transformation'!C21)))</f>
        <v>0</v>
      </c>
      <c r="H21" t="b">
        <f>IF(B21=" ",FALSE,(IF('Input and Summary Results'!$J$4="yes",'Data Transformation'!F21,'Data Transformation'!D21)))</f>
        <v>0</v>
      </c>
      <c r="J21" s="28" t="e">
        <f>LOOKUP(2,1/(COUNTIF($J$4:J20,'Input and Summary Results'!$B$7:$B$404)=0),'Input and Summary Results'!$B$7:$B$404)</f>
        <v>#N/A</v>
      </c>
      <c r="K21" s="28" t="str">
        <f t="shared" si="4"/>
        <v xml:space="preserve"> </v>
      </c>
      <c r="L21" s="28">
        <v>16</v>
      </c>
      <c r="M21" t="e">
        <f t="shared" si="5"/>
        <v>#NUM!</v>
      </c>
      <c r="N21">
        <f t="shared" si="6"/>
        <v>0</v>
      </c>
      <c r="O21" t="b">
        <f t="shared" si="1"/>
        <v>0</v>
      </c>
      <c r="Q21" t="s">
        <v>22</v>
      </c>
      <c r="R21" t="e">
        <f>MEDIAN(O5:O24)</f>
        <v>#NUM!</v>
      </c>
    </row>
    <row r="22" spans="1:18" x14ac:dyDescent="0.25">
      <c r="A22" t="s">
        <v>27</v>
      </c>
      <c r="B22" t="str">
        <f>'Input and Summary Results'!$G26</f>
        <v xml:space="preserve"> </v>
      </c>
      <c r="C22" t="b">
        <f>IF(B22=0,FALSE,IF(ISNUMBER('Input and Summary Results'!$D$5),'Input and Summary Results'!$D$5,FALSE))</f>
        <v>0</v>
      </c>
      <c r="D22">
        <f>IF(B22=0,FALSE,'Input and Summary Results'!$E$5)</f>
        <v>0</v>
      </c>
      <c r="E22" t="b">
        <f t="shared" si="0"/>
        <v>0</v>
      </c>
      <c r="F22" s="13" t="e">
        <f t="shared" si="2"/>
        <v>#DIV/0!</v>
      </c>
      <c r="G22" t="b">
        <f>IF(B22=" ",FALSE,(IF('Input and Summary Results'!$J$4="yes",'Data Transformation'!E22,'Data Transformation'!C22)))</f>
        <v>0</v>
      </c>
      <c r="H22" t="b">
        <f>IF(B22=" ",FALSE,(IF('Input and Summary Results'!$J$4="yes",'Data Transformation'!F22,'Data Transformation'!D22)))</f>
        <v>0</v>
      </c>
      <c r="J22" s="28" t="e">
        <f>LOOKUP(2,1/(COUNTIF($J$4:J21,'Input and Summary Results'!$B$7:$B$404)=0),'Input and Summary Results'!$B$7:$B$404)</f>
        <v>#N/A</v>
      </c>
      <c r="K22" s="28" t="str">
        <f t="shared" si="4"/>
        <v xml:space="preserve"> </v>
      </c>
      <c r="L22" s="28">
        <v>17</v>
      </c>
      <c r="M22" t="e">
        <f t="shared" si="5"/>
        <v>#NUM!</v>
      </c>
      <c r="N22">
        <f t="shared" si="6"/>
        <v>0</v>
      </c>
      <c r="O22" t="b">
        <f t="shared" si="1"/>
        <v>0</v>
      </c>
    </row>
    <row r="23" spans="1:18" x14ac:dyDescent="0.25">
      <c r="A23" t="s">
        <v>27</v>
      </c>
      <c r="B23" t="str">
        <f>'Input and Summary Results'!$G27</f>
        <v xml:space="preserve"> </v>
      </c>
      <c r="C23" t="b">
        <f>IF(B23=0,FALSE,IF(ISNUMBER('Input and Summary Results'!$D$5),'Input and Summary Results'!$D$5,FALSE))</f>
        <v>0</v>
      </c>
      <c r="D23">
        <f>IF(B23=0,FALSE,'Input and Summary Results'!$E$5)</f>
        <v>0</v>
      </c>
      <c r="E23" t="b">
        <f t="shared" si="0"/>
        <v>0</v>
      </c>
      <c r="F23" s="13" t="e">
        <f t="shared" si="2"/>
        <v>#DIV/0!</v>
      </c>
      <c r="G23" t="b">
        <f>IF(B23=" ",FALSE,(IF('Input and Summary Results'!$J$4="yes",'Data Transformation'!E23,'Data Transformation'!C23)))</f>
        <v>0</v>
      </c>
      <c r="H23" t="b">
        <f>IF(B23=" ",FALSE,(IF('Input and Summary Results'!$J$4="yes",'Data Transformation'!F23,'Data Transformation'!D23)))</f>
        <v>0</v>
      </c>
      <c r="J23" s="28" t="e">
        <f>LOOKUP(2,1/(COUNTIF($J$4:J22,'Input and Summary Results'!$B$7:$B$404)=0),'Input and Summary Results'!$B$7:$B$404)</f>
        <v>#N/A</v>
      </c>
      <c r="K23" s="28" t="str">
        <f t="shared" si="4"/>
        <v xml:space="preserve"> </v>
      </c>
      <c r="L23" s="28">
        <v>18</v>
      </c>
      <c r="M23" t="e">
        <f t="shared" si="5"/>
        <v>#NUM!</v>
      </c>
      <c r="N23">
        <f t="shared" si="6"/>
        <v>0</v>
      </c>
      <c r="O23" t="b">
        <f t="shared" si="1"/>
        <v>0</v>
      </c>
      <c r="Q23" t="s">
        <v>23</v>
      </c>
      <c r="R23" s="14" t="e">
        <f>ROUNDDOWN(MIN(R19:R21),0)</f>
        <v>#DIV/0!</v>
      </c>
    </row>
    <row r="24" spans="1:18" x14ac:dyDescent="0.25">
      <c r="B24" t="b">
        <f>IF('Input and Summary Results'!D7="",FALSE,'Input and Summary Results'!$B7)</f>
        <v>0</v>
      </c>
      <c r="C24" t="b">
        <f>IF(OR(B24=0,'Input and Summary Results'!D7=0,'Input and Summary Results'!D7=""),FALSE,'Input and Summary Results'!$D7)</f>
        <v>0</v>
      </c>
      <c r="D24" t="b">
        <f>IF(OR(B24=0,'Input and Summary Results'!E7=0),FALSE,'Input and Summary Results'!$E7)</f>
        <v>0</v>
      </c>
      <c r="E24" t="b">
        <f t="shared" si="0"/>
        <v>0</v>
      </c>
      <c r="F24" s="13" t="b">
        <f t="shared" si="2"/>
        <v>0</v>
      </c>
      <c r="G24" t="b">
        <f>IF('Input and Summary Results'!$J$4="yes",IF(C24=FALSE,FALSE,IF(E24&lt;$R$10,'Data Transformation'!E24,$R$10)),IF(C24=FALSE,FALSE,IF('Data Transformation'!C24&lt;$R$10,C24,$R$10)))</f>
        <v>0</v>
      </c>
      <c r="H24" t="b">
        <f>IF('Input and Summary Results'!$J$4="yes",'Data Transformation'!F24,'Data Transformation'!D24)</f>
        <v>0</v>
      </c>
      <c r="J24" s="28" t="e">
        <f>LOOKUP(2,1/(COUNTIF($J$4:J23,'Input and Summary Results'!$B$7:$B$404)=0),'Input and Summary Results'!$B$7:$B$404)</f>
        <v>#N/A</v>
      </c>
      <c r="K24" s="28" t="str">
        <f t="shared" si="4"/>
        <v xml:space="preserve"> </v>
      </c>
      <c r="L24" s="28">
        <v>19</v>
      </c>
      <c r="M24" t="e">
        <f t="shared" si="5"/>
        <v>#NUM!</v>
      </c>
      <c r="N24">
        <f t="shared" si="6"/>
        <v>0</v>
      </c>
      <c r="O24" t="b">
        <f t="shared" si="1"/>
        <v>0</v>
      </c>
      <c r="Q24" t="s">
        <v>26</v>
      </c>
      <c r="R24" t="e">
        <f>IF('Input and Summary Results'!J23&gt;0,(ROUNDDOWN('Input and Summary Results'!J23,0)),'Data Transformation'!R23)</f>
        <v>#DIV/0!</v>
      </c>
    </row>
    <row r="25" spans="1:18" x14ac:dyDescent="0.25">
      <c r="B25" t="b">
        <f>IF('Input and Summary Results'!D8="",FALSE,'Input and Summary Results'!$B8)</f>
        <v>0</v>
      </c>
      <c r="C25" t="b">
        <f>IF(OR(B25=0,'Input and Summary Results'!D8=0,'Input and Summary Results'!D8=""),FALSE,'Input and Summary Results'!$D8)</f>
        <v>0</v>
      </c>
      <c r="D25" t="b">
        <f>IF(OR(B25=0,'Input and Summary Results'!E8=0),FALSE,'Input and Summary Results'!$E8)</f>
        <v>0</v>
      </c>
      <c r="E25" t="b">
        <f t="shared" si="0"/>
        <v>0</v>
      </c>
      <c r="F25" s="13" t="b">
        <f t="shared" si="2"/>
        <v>0</v>
      </c>
      <c r="G25" t="b">
        <f>IF('Input and Summary Results'!$J$4="yes",IF(C25=FALSE,FALSE,IF(E25&lt;$R$10,'Data Transformation'!E25,$R$10)),IF(C25=FALSE,FALSE,IF('Data Transformation'!C25&lt;$R$10,C25,$R$10)))</f>
        <v>0</v>
      </c>
      <c r="H25" t="b">
        <f>IF('Input and Summary Results'!$J$4="yes",'Data Transformation'!F25,'Data Transformation'!D25)</f>
        <v>0</v>
      </c>
      <c r="J25" s="28" t="e">
        <f>LOOKUP(2,1/(COUNTIF($J$4:J24,'Input and Summary Results'!$B$7:$B$404)=0),'Input and Summary Results'!$B$7:$B$404)</f>
        <v>#N/A</v>
      </c>
      <c r="K25" s="28" t="str">
        <f t="shared" si="4"/>
        <v xml:space="preserve"> </v>
      </c>
      <c r="L25" s="28">
        <v>20</v>
      </c>
      <c r="M25" t="e">
        <f t="shared" si="5"/>
        <v>#NUM!</v>
      </c>
      <c r="N25">
        <f t="shared" si="6"/>
        <v>0</v>
      </c>
      <c r="O25" t="b">
        <f t="shared" si="1"/>
        <v>0</v>
      </c>
      <c r="Q25" t="s">
        <v>8</v>
      </c>
      <c r="R25" t="e">
        <f>(R10-R9)/R24</f>
        <v>#DIV/0!</v>
      </c>
    </row>
    <row r="26" spans="1:18" x14ac:dyDescent="0.25">
      <c r="B26" t="b">
        <f>IF('Input and Summary Results'!D9="",FALSE,'Input and Summary Results'!$B9)</f>
        <v>0</v>
      </c>
      <c r="C26" t="b">
        <f>IF(OR(B26=0,'Input and Summary Results'!D9=0,'Input and Summary Results'!D9=""),FALSE,'Input and Summary Results'!$D9)</f>
        <v>0</v>
      </c>
      <c r="D26" t="b">
        <f>IF(OR(B26=0,'Input and Summary Results'!E9=0),FALSE,'Input and Summary Results'!$E9)</f>
        <v>0</v>
      </c>
      <c r="E26" t="b">
        <f t="shared" si="0"/>
        <v>0</v>
      </c>
      <c r="F26" s="13" t="b">
        <f t="shared" si="2"/>
        <v>0</v>
      </c>
      <c r="G26" t="b">
        <f>IF('Input and Summary Results'!$J$4="yes",IF(C26=FALSE,FALSE,IF(E26&lt;$R$10,'Data Transformation'!E26,$R$10)),IF(C26=FALSE,FALSE,IF('Data Transformation'!C26&lt;$R$10,C26,$R$10)))</f>
        <v>0</v>
      </c>
      <c r="H26" t="b">
        <f>IF('Input and Summary Results'!$J$4="yes",'Data Transformation'!F26,'Data Transformation'!D26)</f>
        <v>0</v>
      </c>
      <c r="J26" t="s">
        <v>30</v>
      </c>
      <c r="N26">
        <f>SUM(N5:N25)</f>
        <v>0</v>
      </c>
      <c r="Q26" t="s">
        <v>90</v>
      </c>
      <c r="R26" t="e">
        <f>10^R25</f>
        <v>#DIV/0!</v>
      </c>
    </row>
    <row r="27" spans="1:18" x14ac:dyDescent="0.25">
      <c r="B27" t="b">
        <f>IF('Input and Summary Results'!D10="",FALSE,'Input and Summary Results'!$B10)</f>
        <v>0</v>
      </c>
      <c r="C27" t="b">
        <f>IF(OR(B27=0,'Input and Summary Results'!D10=0,'Input and Summary Results'!D10=""),FALSE,'Input and Summary Results'!$D10)</f>
        <v>0</v>
      </c>
      <c r="D27" t="b">
        <f>IF(OR(B27=0,'Input and Summary Results'!E10=0),FALSE,'Input and Summary Results'!$E10)</f>
        <v>0</v>
      </c>
      <c r="E27" t="b">
        <f t="shared" si="0"/>
        <v>0</v>
      </c>
      <c r="F27" s="13" t="b">
        <f t="shared" si="2"/>
        <v>0</v>
      </c>
      <c r="G27" t="b">
        <f>IF('Input and Summary Results'!$J$4="yes",IF(C27=FALSE,FALSE,IF(E27&lt;$R$10,'Data Transformation'!E27,$R$10)),IF(C27=FALSE,FALSE,IF('Data Transformation'!C27&lt;$R$10,C27,$R$10)))</f>
        <v>0</v>
      </c>
      <c r="H27" t="b">
        <f>IF('Input and Summary Results'!$J$4="yes",'Data Transformation'!F27,'Data Transformation'!D27)</f>
        <v>0</v>
      </c>
    </row>
    <row r="28" spans="1:18" x14ac:dyDescent="0.25">
      <c r="B28" t="b">
        <f>IF('Input and Summary Results'!D11="",FALSE,'Input and Summary Results'!$B11)</f>
        <v>0</v>
      </c>
      <c r="C28" t="b">
        <f>IF(OR(B28=0,'Input and Summary Results'!D11=0,'Input and Summary Results'!D11=""),FALSE,'Input and Summary Results'!$D11)</f>
        <v>0</v>
      </c>
      <c r="D28" t="b">
        <f>IF(OR(B28=0,'Input and Summary Results'!E11=0),FALSE,'Input and Summary Results'!$E11)</f>
        <v>0</v>
      </c>
      <c r="E28" t="b">
        <f t="shared" si="0"/>
        <v>0</v>
      </c>
      <c r="F28" s="13" t="b">
        <f t="shared" si="2"/>
        <v>0</v>
      </c>
      <c r="G28" t="b">
        <f>IF('Input and Summary Results'!$J$4="yes",IF(C28=FALSE,FALSE,IF(E28&lt;$R$10,'Data Transformation'!E28,$R$10)),IF(C28=FALSE,FALSE,IF('Data Transformation'!C28&lt;$R$10,C28,$R$10)))</f>
        <v>0</v>
      </c>
      <c r="H28" t="b">
        <f>IF('Input and Summary Results'!$J$4="yes",'Data Transformation'!F28,'Data Transformation'!D28)</f>
        <v>0</v>
      </c>
    </row>
    <row r="29" spans="1:18" x14ac:dyDescent="0.25">
      <c r="B29" t="b">
        <f>IF('Input and Summary Results'!D12="",FALSE,'Input and Summary Results'!$B12)</f>
        <v>0</v>
      </c>
      <c r="C29" t="b">
        <f>IF(OR(B29=0,'Input and Summary Results'!D12=0,'Input and Summary Results'!D12=""),FALSE,'Input and Summary Results'!$D12)</f>
        <v>0</v>
      </c>
      <c r="D29" t="b">
        <f>IF(OR(B29=0,'Input and Summary Results'!E12=0),FALSE,'Input and Summary Results'!$E12)</f>
        <v>0</v>
      </c>
      <c r="E29" t="b">
        <f t="shared" si="0"/>
        <v>0</v>
      </c>
      <c r="F29" s="13" t="b">
        <f t="shared" si="2"/>
        <v>0</v>
      </c>
      <c r="G29" t="b">
        <f>IF('Input and Summary Results'!$J$4="yes",IF(C29=FALSE,FALSE,IF(E29&lt;$R$10,'Data Transformation'!E29,$R$10)),IF(C29=FALSE,FALSE,IF('Data Transformation'!C29&lt;$R$10,C29,$R$10)))</f>
        <v>0</v>
      </c>
      <c r="H29" t="b">
        <f>IF('Input and Summary Results'!$J$4="yes",'Data Transformation'!F29,'Data Transformation'!D29)</f>
        <v>0</v>
      </c>
    </row>
    <row r="30" spans="1:18" x14ac:dyDescent="0.25">
      <c r="B30" t="b">
        <f>IF('Input and Summary Results'!D13="",FALSE,'Input and Summary Results'!$B13)</f>
        <v>0</v>
      </c>
      <c r="C30" t="b">
        <f>IF(OR(B30=0,'Input and Summary Results'!D13=0,'Input and Summary Results'!D13=""),FALSE,'Input and Summary Results'!$D13)</f>
        <v>0</v>
      </c>
      <c r="D30" t="b">
        <f>IF(OR(B30=0,'Input and Summary Results'!E13=0),FALSE,'Input and Summary Results'!$E13)</f>
        <v>0</v>
      </c>
      <c r="E30" t="b">
        <f t="shared" si="0"/>
        <v>0</v>
      </c>
      <c r="F30" s="13" t="b">
        <f t="shared" si="2"/>
        <v>0</v>
      </c>
      <c r="G30" t="b">
        <f>IF('Input and Summary Results'!$J$4="yes",IF(C30=FALSE,FALSE,IF(E30&lt;$R$10,'Data Transformation'!E30,$R$10)),IF(C30=FALSE,FALSE,IF('Data Transformation'!C30&lt;$R$10,C30,$R$10)))</f>
        <v>0</v>
      </c>
      <c r="H30" t="b">
        <f>IF('Input and Summary Results'!$J$4="yes",'Data Transformation'!F30,'Data Transformation'!D30)</f>
        <v>0</v>
      </c>
    </row>
    <row r="31" spans="1:18" x14ac:dyDescent="0.25">
      <c r="B31" t="b">
        <f>IF('Input and Summary Results'!D14="",FALSE,'Input and Summary Results'!$B14)</f>
        <v>0</v>
      </c>
      <c r="C31" t="b">
        <f>IF(OR(B31=0,'Input and Summary Results'!D14=0,'Input and Summary Results'!D14=""),FALSE,'Input and Summary Results'!$D14)</f>
        <v>0</v>
      </c>
      <c r="D31" t="b">
        <f>IF(OR(B31=0,'Input and Summary Results'!E14=0),FALSE,'Input and Summary Results'!$E14)</f>
        <v>0</v>
      </c>
      <c r="E31" t="b">
        <f t="shared" si="0"/>
        <v>0</v>
      </c>
      <c r="F31" s="13" t="b">
        <f t="shared" si="2"/>
        <v>0</v>
      </c>
      <c r="G31" t="b">
        <f>IF('Input and Summary Results'!$J$4="yes",IF(C31=FALSE,FALSE,IF(E31&lt;$R$10,'Data Transformation'!E31,$R$10)),IF(C31=FALSE,FALSE,IF('Data Transformation'!C31&lt;$R$10,C31,$R$10)))</f>
        <v>0</v>
      </c>
      <c r="H31" t="b">
        <f>IF('Input and Summary Results'!$J$4="yes",'Data Transformation'!F31,'Data Transformation'!D31)</f>
        <v>0</v>
      </c>
    </row>
    <row r="32" spans="1:18" x14ac:dyDescent="0.25">
      <c r="B32" t="b">
        <f>IF('Input and Summary Results'!D15="",FALSE,'Input and Summary Results'!$B15)</f>
        <v>0</v>
      </c>
      <c r="C32" t="b">
        <f>IF(OR(B32=0,'Input and Summary Results'!D15=0,'Input and Summary Results'!D15=""),FALSE,'Input and Summary Results'!$D15)</f>
        <v>0</v>
      </c>
      <c r="D32" t="b">
        <f>IF(OR(B32=0,'Input and Summary Results'!E15=0),FALSE,'Input and Summary Results'!$E15)</f>
        <v>0</v>
      </c>
      <c r="E32" t="b">
        <f t="shared" si="0"/>
        <v>0</v>
      </c>
      <c r="F32" s="13" t="b">
        <f t="shared" si="2"/>
        <v>0</v>
      </c>
      <c r="G32" t="b">
        <f>IF('Input and Summary Results'!$J$4="yes",IF(C32=FALSE,FALSE,IF(E32&lt;$R$10,'Data Transformation'!E32,$R$10)),IF(C32=FALSE,FALSE,IF('Data Transformation'!C32&lt;$R$10,C32,$R$10)))</f>
        <v>0</v>
      </c>
      <c r="H32" t="b">
        <f>IF('Input and Summary Results'!$J$4="yes",'Data Transformation'!F32,'Data Transformation'!D32)</f>
        <v>0</v>
      </c>
    </row>
    <row r="33" spans="2:8" x14ac:dyDescent="0.25">
      <c r="B33" t="b">
        <f>IF('Input and Summary Results'!D16="",FALSE,'Input and Summary Results'!$B16)</f>
        <v>0</v>
      </c>
      <c r="C33" t="b">
        <f>IF(OR(B33=0,'Input and Summary Results'!D16=0,'Input and Summary Results'!D16=""),FALSE,'Input and Summary Results'!$D16)</f>
        <v>0</v>
      </c>
      <c r="D33" t="b">
        <f>IF(OR(B33=0,'Input and Summary Results'!E16=0),FALSE,'Input and Summary Results'!$E16)</f>
        <v>0</v>
      </c>
      <c r="E33" t="b">
        <f t="shared" si="0"/>
        <v>0</v>
      </c>
      <c r="F33" s="13" t="b">
        <f t="shared" si="2"/>
        <v>0</v>
      </c>
      <c r="G33" t="b">
        <f>IF('Input and Summary Results'!$J$4="yes",IF(C33=FALSE,FALSE,IF(E33&lt;$R$10,'Data Transformation'!E33,$R$10)),IF(C33=FALSE,FALSE,IF('Data Transformation'!C33&lt;$R$10,C33,$R$10)))</f>
        <v>0</v>
      </c>
      <c r="H33" t="b">
        <f>IF('Input and Summary Results'!$J$4="yes",'Data Transformation'!F33,'Data Transformation'!D33)</f>
        <v>0</v>
      </c>
    </row>
    <row r="34" spans="2:8" x14ac:dyDescent="0.25">
      <c r="B34" t="b">
        <f>IF('Input and Summary Results'!D17="",FALSE,'Input and Summary Results'!$B17)</f>
        <v>0</v>
      </c>
      <c r="C34" t="b">
        <f>IF(OR(B34=0,'Input and Summary Results'!D17=0,'Input and Summary Results'!D17=""),FALSE,'Input and Summary Results'!$D17)</f>
        <v>0</v>
      </c>
      <c r="D34" t="b">
        <f>IF(OR(B34=0,'Input and Summary Results'!E17=0),FALSE,'Input and Summary Results'!$E17)</f>
        <v>0</v>
      </c>
      <c r="E34" t="b">
        <f t="shared" si="0"/>
        <v>0</v>
      </c>
      <c r="F34" s="13" t="b">
        <f t="shared" si="2"/>
        <v>0</v>
      </c>
      <c r="G34" t="b">
        <f>IF('Input and Summary Results'!$J$4="yes",IF(C34=FALSE,FALSE,IF(E34&lt;$R$10,'Data Transformation'!E34,$R$10)),IF(C34=FALSE,FALSE,IF('Data Transformation'!C34&lt;$R$10,C34,$R$10)))</f>
        <v>0</v>
      </c>
      <c r="H34" t="b">
        <f>IF('Input and Summary Results'!$J$4="yes",'Data Transformation'!F34,'Data Transformation'!D34)</f>
        <v>0</v>
      </c>
    </row>
    <row r="35" spans="2:8" x14ac:dyDescent="0.25">
      <c r="B35" t="b">
        <f>IF('Input and Summary Results'!D18="",FALSE,'Input and Summary Results'!$B18)</f>
        <v>0</v>
      </c>
      <c r="C35" t="b">
        <f>IF(OR(B35=0,'Input and Summary Results'!D18=0,'Input and Summary Results'!D18=""),FALSE,'Input and Summary Results'!$D18)</f>
        <v>0</v>
      </c>
      <c r="D35" t="b">
        <f>IF(OR(B35=0,'Input and Summary Results'!E18=0),FALSE,'Input and Summary Results'!$E18)</f>
        <v>0</v>
      </c>
      <c r="E35" t="b">
        <f t="shared" si="0"/>
        <v>0</v>
      </c>
      <c r="F35" s="13" t="b">
        <f t="shared" si="2"/>
        <v>0</v>
      </c>
      <c r="G35" t="b">
        <f>IF('Input and Summary Results'!$J$4="yes",IF(C35=FALSE,FALSE,IF(E35&lt;$R$10,'Data Transformation'!E35,$R$10)),IF(C35=FALSE,FALSE,IF('Data Transformation'!C35&lt;$R$10,C35,$R$10)))</f>
        <v>0</v>
      </c>
      <c r="H35" t="b">
        <f>IF('Input and Summary Results'!$J$4="yes",'Data Transformation'!F35,'Data Transformation'!D35)</f>
        <v>0</v>
      </c>
    </row>
    <row r="36" spans="2:8" x14ac:dyDescent="0.25">
      <c r="B36" t="b">
        <f>IF('Input and Summary Results'!D19="",FALSE,'Input and Summary Results'!$B19)</f>
        <v>0</v>
      </c>
      <c r="C36" t="b">
        <f>IF(OR(B36=0,'Input and Summary Results'!D19=0,'Input and Summary Results'!D19=""),FALSE,'Input and Summary Results'!$D19)</f>
        <v>0</v>
      </c>
      <c r="D36" t="b">
        <f>IF(OR(B36=0,'Input and Summary Results'!E19=0),FALSE,'Input and Summary Results'!$E19)</f>
        <v>0</v>
      </c>
      <c r="E36" t="b">
        <f t="shared" si="0"/>
        <v>0</v>
      </c>
      <c r="F36" s="13" t="b">
        <f t="shared" si="2"/>
        <v>0</v>
      </c>
      <c r="G36" t="b">
        <f>IF('Input and Summary Results'!$J$4="yes",IF(C36=FALSE,FALSE,IF(E36&lt;$R$10,'Data Transformation'!E36,$R$10)),IF(C36=FALSE,FALSE,IF('Data Transformation'!C36&lt;$R$10,C36,$R$10)))</f>
        <v>0</v>
      </c>
      <c r="H36" t="b">
        <f>IF('Input and Summary Results'!$J$4="yes",'Data Transformation'!F36,'Data Transformation'!D36)</f>
        <v>0</v>
      </c>
    </row>
    <row r="37" spans="2:8" x14ac:dyDescent="0.25">
      <c r="B37" t="b">
        <f>IF('Input and Summary Results'!D20="",FALSE,'Input and Summary Results'!$B20)</f>
        <v>0</v>
      </c>
      <c r="C37" t="b">
        <f>IF(OR(B37=0,'Input and Summary Results'!D20=0,'Input and Summary Results'!D20=""),FALSE,'Input and Summary Results'!$D20)</f>
        <v>0</v>
      </c>
      <c r="D37" t="b">
        <f>IF(OR(B37=0,'Input and Summary Results'!E20=0),FALSE,'Input and Summary Results'!$E20)</f>
        <v>0</v>
      </c>
      <c r="E37" t="b">
        <f t="shared" si="0"/>
        <v>0</v>
      </c>
      <c r="F37" s="13" t="b">
        <f t="shared" si="2"/>
        <v>0</v>
      </c>
      <c r="G37" t="b">
        <f>IF('Input and Summary Results'!$J$4="yes",IF(C37=FALSE,FALSE,IF(E37&lt;$R$10,'Data Transformation'!E37,$R$10)),IF(C37=FALSE,FALSE,IF('Data Transformation'!C37&lt;$R$10,C37,$R$10)))</f>
        <v>0</v>
      </c>
      <c r="H37" t="b">
        <f>IF('Input and Summary Results'!$J$4="yes",'Data Transformation'!F37,'Data Transformation'!D37)</f>
        <v>0</v>
      </c>
    </row>
    <row r="38" spans="2:8" x14ac:dyDescent="0.25">
      <c r="B38" t="b">
        <f>IF('Input and Summary Results'!D21="",FALSE,'Input and Summary Results'!$B21)</f>
        <v>0</v>
      </c>
      <c r="C38" t="b">
        <f>IF(OR(B38=0,'Input and Summary Results'!D21=0,'Input and Summary Results'!D21=""),FALSE,'Input and Summary Results'!$D21)</f>
        <v>0</v>
      </c>
      <c r="D38" t="b">
        <f>IF(OR(B38=0,'Input and Summary Results'!E21=0),FALSE,'Input and Summary Results'!$E21)</f>
        <v>0</v>
      </c>
      <c r="E38" t="b">
        <f t="shared" si="0"/>
        <v>0</v>
      </c>
      <c r="F38" s="13" t="b">
        <f t="shared" si="2"/>
        <v>0</v>
      </c>
      <c r="G38" t="b">
        <f>IF('Input and Summary Results'!$J$4="yes",IF(C38=FALSE,FALSE,IF(E38&lt;$R$10,'Data Transformation'!E38,$R$10)),IF(C38=FALSE,FALSE,IF('Data Transformation'!C38&lt;$R$10,C38,$R$10)))</f>
        <v>0</v>
      </c>
      <c r="H38" t="b">
        <f>IF('Input and Summary Results'!$J$4="yes",'Data Transformation'!F38,'Data Transformation'!D38)</f>
        <v>0</v>
      </c>
    </row>
    <row r="39" spans="2:8" x14ac:dyDescent="0.25">
      <c r="B39" t="b">
        <f>IF('Input and Summary Results'!D22="",FALSE,'Input and Summary Results'!$B22)</f>
        <v>0</v>
      </c>
      <c r="C39" t="b">
        <f>IF(OR(B39=0,'Input and Summary Results'!D22=0,'Input and Summary Results'!D22=""),FALSE,'Input and Summary Results'!$D22)</f>
        <v>0</v>
      </c>
      <c r="D39" t="b">
        <f>IF(OR(B39=0,'Input and Summary Results'!E22=0),FALSE,'Input and Summary Results'!$E22)</f>
        <v>0</v>
      </c>
      <c r="E39" t="b">
        <f t="shared" si="0"/>
        <v>0</v>
      </c>
      <c r="F39" s="13" t="b">
        <f t="shared" si="2"/>
        <v>0</v>
      </c>
      <c r="G39" t="b">
        <f>IF('Input and Summary Results'!$J$4="yes",IF(C39=FALSE,FALSE,IF(E39&lt;$R$10,'Data Transformation'!E39,$R$10)),IF(C39=FALSE,FALSE,IF('Data Transformation'!C39&lt;$R$10,C39,$R$10)))</f>
        <v>0</v>
      </c>
      <c r="H39" t="b">
        <f>IF('Input and Summary Results'!$J$4="yes",'Data Transformation'!F39,'Data Transformation'!D39)</f>
        <v>0</v>
      </c>
    </row>
    <row r="40" spans="2:8" x14ac:dyDescent="0.25">
      <c r="B40" t="b">
        <f>IF('Input and Summary Results'!D23="",FALSE,'Input and Summary Results'!$B23)</f>
        <v>0</v>
      </c>
      <c r="C40" t="b">
        <f>IF(OR(B40=0,'Input and Summary Results'!D23=0,'Input and Summary Results'!D23=""),FALSE,'Input and Summary Results'!$D23)</f>
        <v>0</v>
      </c>
      <c r="D40" t="b">
        <f>IF(OR(B40=0,'Input and Summary Results'!E23=0),FALSE,'Input and Summary Results'!$E23)</f>
        <v>0</v>
      </c>
      <c r="E40" t="b">
        <f t="shared" si="0"/>
        <v>0</v>
      </c>
      <c r="F40" s="13" t="b">
        <f t="shared" si="2"/>
        <v>0</v>
      </c>
      <c r="G40" t="b">
        <f>IF('Input and Summary Results'!$J$4="yes",IF(C40=FALSE,FALSE,IF(E40&lt;$R$10,'Data Transformation'!E40,$R$10)),IF(C40=FALSE,FALSE,IF('Data Transformation'!C40&lt;$R$10,C40,$R$10)))</f>
        <v>0</v>
      </c>
      <c r="H40" t="b">
        <f>IF('Input and Summary Results'!$J$4="yes",'Data Transformation'!F40,'Data Transformation'!D40)</f>
        <v>0</v>
      </c>
    </row>
    <row r="41" spans="2:8" x14ac:dyDescent="0.25">
      <c r="B41" t="b">
        <f>IF('Input and Summary Results'!D24="",FALSE,'Input and Summary Results'!$B24)</f>
        <v>0</v>
      </c>
      <c r="C41" t="b">
        <f>IF(OR(B41=0,'Input and Summary Results'!D24=0,'Input and Summary Results'!D24=""),FALSE,'Input and Summary Results'!$D24)</f>
        <v>0</v>
      </c>
      <c r="D41" t="b">
        <f>IF(OR(B41=0,'Input and Summary Results'!E24=0),FALSE,'Input and Summary Results'!$E24)</f>
        <v>0</v>
      </c>
      <c r="E41" t="b">
        <f t="shared" si="0"/>
        <v>0</v>
      </c>
      <c r="F41" s="13" t="b">
        <f t="shared" si="2"/>
        <v>0</v>
      </c>
      <c r="G41" t="b">
        <f>IF('Input and Summary Results'!$J$4="yes",IF(C41=FALSE,FALSE,IF(E41&lt;$R$10,'Data Transformation'!E41,$R$10)),IF(C41=FALSE,FALSE,IF('Data Transformation'!C41&lt;$R$10,C41,$R$10)))</f>
        <v>0</v>
      </c>
      <c r="H41" t="b">
        <f>IF('Input and Summary Results'!$J$4="yes",'Data Transformation'!F41,'Data Transformation'!D41)</f>
        <v>0</v>
      </c>
    </row>
    <row r="42" spans="2:8" x14ac:dyDescent="0.25">
      <c r="B42" t="b">
        <f>IF('Input and Summary Results'!D25="",FALSE,'Input and Summary Results'!$B25)</f>
        <v>0</v>
      </c>
      <c r="C42" t="b">
        <f>IF(OR(B42=0,'Input and Summary Results'!D25=0,'Input and Summary Results'!D25=""),FALSE,'Input and Summary Results'!$D25)</f>
        <v>0</v>
      </c>
      <c r="D42" t="b">
        <f>IF(OR(B42=0,'Input and Summary Results'!E25=0),FALSE,'Input and Summary Results'!$E25)</f>
        <v>0</v>
      </c>
      <c r="E42" t="b">
        <f t="shared" si="0"/>
        <v>0</v>
      </c>
      <c r="F42" s="13" t="b">
        <f t="shared" si="2"/>
        <v>0</v>
      </c>
      <c r="G42" t="b">
        <f>IF('Input and Summary Results'!$J$4="yes",IF(C42=FALSE,FALSE,IF(E42&lt;$R$10,'Data Transformation'!E42,$R$10)),IF(C42=FALSE,FALSE,IF('Data Transformation'!C42&lt;$R$10,C42,$R$10)))</f>
        <v>0</v>
      </c>
      <c r="H42" t="b">
        <f>IF('Input and Summary Results'!$J$4="yes",'Data Transformation'!F42,'Data Transformation'!D42)</f>
        <v>0</v>
      </c>
    </row>
    <row r="43" spans="2:8" x14ac:dyDescent="0.25">
      <c r="B43" t="b">
        <f>IF('Input and Summary Results'!D26="",FALSE,'Input and Summary Results'!$B26)</f>
        <v>0</v>
      </c>
      <c r="C43" t="b">
        <f>IF(OR(B43=0,'Input and Summary Results'!D26=0,'Input and Summary Results'!D26=""),FALSE,'Input and Summary Results'!$D26)</f>
        <v>0</v>
      </c>
      <c r="D43" t="b">
        <f>IF(OR(B43=0,'Input and Summary Results'!E26=0),FALSE,'Input and Summary Results'!$E26)</f>
        <v>0</v>
      </c>
      <c r="E43" t="b">
        <f t="shared" si="0"/>
        <v>0</v>
      </c>
      <c r="F43" s="13" t="b">
        <f t="shared" si="2"/>
        <v>0</v>
      </c>
      <c r="G43" t="b">
        <f>IF('Input and Summary Results'!$J$4="yes",IF(C43=FALSE,FALSE,IF(E43&lt;$R$10,'Data Transformation'!E43,$R$10)),IF(C43=FALSE,FALSE,IF('Data Transformation'!C43&lt;$R$10,C43,$R$10)))</f>
        <v>0</v>
      </c>
      <c r="H43" t="b">
        <f>IF('Input and Summary Results'!$J$4="yes",'Data Transformation'!F43,'Data Transformation'!D43)</f>
        <v>0</v>
      </c>
    </row>
    <row r="44" spans="2:8" x14ac:dyDescent="0.25">
      <c r="B44" t="b">
        <f>IF('Input and Summary Results'!D27="",FALSE,'Input and Summary Results'!$B27)</f>
        <v>0</v>
      </c>
      <c r="C44" t="b">
        <f>IF(OR(B44=0,'Input and Summary Results'!D27=0,'Input and Summary Results'!D27=""),FALSE,'Input and Summary Results'!$D27)</f>
        <v>0</v>
      </c>
      <c r="D44" t="b">
        <f>IF(OR(B44=0,'Input and Summary Results'!E27=0),FALSE,'Input and Summary Results'!$E27)</f>
        <v>0</v>
      </c>
      <c r="E44" t="b">
        <f t="shared" si="0"/>
        <v>0</v>
      </c>
      <c r="F44" s="13" t="b">
        <f t="shared" si="2"/>
        <v>0</v>
      </c>
      <c r="G44" t="b">
        <f>IF('Input and Summary Results'!$J$4="yes",IF(C44=FALSE,FALSE,IF(E44&lt;$R$10,'Data Transformation'!E44,$R$10)),IF(C44=FALSE,FALSE,IF('Data Transformation'!C44&lt;$R$10,C44,$R$10)))</f>
        <v>0</v>
      </c>
      <c r="H44" t="b">
        <f>IF('Input and Summary Results'!$J$4="yes",'Data Transformation'!F44,'Data Transformation'!D44)</f>
        <v>0</v>
      </c>
    </row>
    <row r="45" spans="2:8" x14ac:dyDescent="0.25">
      <c r="B45" t="b">
        <f>IF('Input and Summary Results'!D28="",FALSE,'Input and Summary Results'!$B28)</f>
        <v>0</v>
      </c>
      <c r="C45" t="b">
        <f>IF(OR(B45=0,'Input and Summary Results'!D28=0,'Input and Summary Results'!D28=""),FALSE,'Input and Summary Results'!$D28)</f>
        <v>0</v>
      </c>
      <c r="D45" t="b">
        <f>IF(OR(B45=0,'Input and Summary Results'!E28=0),FALSE,'Input and Summary Results'!$E28)</f>
        <v>0</v>
      </c>
      <c r="E45" t="b">
        <f t="shared" si="0"/>
        <v>0</v>
      </c>
      <c r="F45" s="13" t="b">
        <f t="shared" si="2"/>
        <v>0</v>
      </c>
      <c r="G45" t="b">
        <f>IF('Input and Summary Results'!$J$4="yes",IF(C45=FALSE,FALSE,IF(E45&lt;$R$10,'Data Transformation'!E45,$R$10)),IF(C45=FALSE,FALSE,IF('Data Transformation'!C45&lt;$R$10,C45,$R$10)))</f>
        <v>0</v>
      </c>
      <c r="H45" t="b">
        <f>IF('Input and Summary Results'!$J$4="yes",'Data Transformation'!F45,'Data Transformation'!D45)</f>
        <v>0</v>
      </c>
    </row>
    <row r="46" spans="2:8" x14ac:dyDescent="0.25">
      <c r="B46" t="b">
        <f>IF('Input and Summary Results'!D29="",FALSE,'Input and Summary Results'!$B29)</f>
        <v>0</v>
      </c>
      <c r="C46" t="b">
        <f>IF(OR(B46=0,'Input and Summary Results'!D29=0,'Input and Summary Results'!D29=""),FALSE,'Input and Summary Results'!$D29)</f>
        <v>0</v>
      </c>
      <c r="D46" t="b">
        <f>IF(OR(B46=0,'Input and Summary Results'!E29=0),FALSE,'Input and Summary Results'!$E29)</f>
        <v>0</v>
      </c>
      <c r="E46" t="b">
        <f t="shared" si="0"/>
        <v>0</v>
      </c>
      <c r="F46" s="13" t="b">
        <f t="shared" si="2"/>
        <v>0</v>
      </c>
      <c r="G46" t="b">
        <f>IF('Input and Summary Results'!$J$4="yes",IF(C46=FALSE,FALSE,IF(E46&lt;$R$10,'Data Transformation'!E46,$R$10)),IF(C46=FALSE,FALSE,IF('Data Transformation'!C46&lt;$R$10,C46,$R$10)))</f>
        <v>0</v>
      </c>
      <c r="H46" t="b">
        <f>IF('Input and Summary Results'!$J$4="yes",'Data Transformation'!F46,'Data Transformation'!D46)</f>
        <v>0</v>
      </c>
    </row>
    <row r="47" spans="2:8" x14ac:dyDescent="0.25">
      <c r="B47" t="b">
        <f>IF('Input and Summary Results'!D30="",FALSE,'Input and Summary Results'!$B30)</f>
        <v>0</v>
      </c>
      <c r="C47" t="b">
        <f>IF(OR(B47=0,'Input and Summary Results'!D30=0,'Input and Summary Results'!D30=""),FALSE,'Input and Summary Results'!$D30)</f>
        <v>0</v>
      </c>
      <c r="D47" t="b">
        <f>IF(OR(B47=0,'Input and Summary Results'!E30=0),FALSE,'Input and Summary Results'!$E30)</f>
        <v>0</v>
      </c>
      <c r="E47" t="b">
        <f t="shared" si="0"/>
        <v>0</v>
      </c>
      <c r="F47" s="13" t="b">
        <f t="shared" si="2"/>
        <v>0</v>
      </c>
      <c r="G47" t="b">
        <f>IF('Input and Summary Results'!$J$4="yes",IF(C47=FALSE,FALSE,IF(E47&lt;$R$10,'Data Transformation'!E47,$R$10)),IF(C47=FALSE,FALSE,IF('Data Transformation'!C47&lt;$R$10,C47,$R$10)))</f>
        <v>0</v>
      </c>
      <c r="H47" t="b">
        <f>IF('Input and Summary Results'!$J$4="yes",'Data Transformation'!F47,'Data Transformation'!D47)</f>
        <v>0</v>
      </c>
    </row>
    <row r="48" spans="2:8" x14ac:dyDescent="0.25">
      <c r="B48" t="b">
        <f>IF('Input and Summary Results'!D31="",FALSE,'Input and Summary Results'!$B31)</f>
        <v>0</v>
      </c>
      <c r="C48" t="b">
        <f>IF(OR(B48=0,'Input and Summary Results'!D31=0,'Input and Summary Results'!D31=""),FALSE,'Input and Summary Results'!$D31)</f>
        <v>0</v>
      </c>
      <c r="D48" t="b">
        <f>IF(OR(B48=0,'Input and Summary Results'!E31=0),FALSE,'Input and Summary Results'!$E31)</f>
        <v>0</v>
      </c>
      <c r="E48" t="b">
        <f t="shared" si="0"/>
        <v>0</v>
      </c>
      <c r="F48" s="13" t="b">
        <f t="shared" si="2"/>
        <v>0</v>
      </c>
      <c r="G48" t="b">
        <f>IF('Input and Summary Results'!$J$4="yes",IF(C48=FALSE,FALSE,IF(E48&lt;$R$10,'Data Transformation'!E48,$R$10)),IF(C48=FALSE,FALSE,IF('Data Transformation'!C48&lt;$R$10,C48,$R$10)))</f>
        <v>0</v>
      </c>
      <c r="H48" t="b">
        <f>IF('Input and Summary Results'!$J$4="yes",'Data Transformation'!F48,'Data Transformation'!D48)</f>
        <v>0</v>
      </c>
    </row>
    <row r="49" spans="2:8" x14ac:dyDescent="0.25">
      <c r="B49" t="b">
        <f>IF('Input and Summary Results'!D32="",FALSE,'Input and Summary Results'!$B32)</f>
        <v>0</v>
      </c>
      <c r="C49" t="b">
        <f>IF(OR(B49=0,'Input and Summary Results'!D32=0,'Input and Summary Results'!D32=""),FALSE,'Input and Summary Results'!$D32)</f>
        <v>0</v>
      </c>
      <c r="D49" t="b">
        <f>IF(OR(B49=0,'Input and Summary Results'!E32=0),FALSE,'Input and Summary Results'!$E32)</f>
        <v>0</v>
      </c>
      <c r="E49" t="b">
        <f t="shared" si="0"/>
        <v>0</v>
      </c>
      <c r="F49" s="13" t="b">
        <f t="shared" si="2"/>
        <v>0</v>
      </c>
      <c r="G49" t="b">
        <f>IF('Input and Summary Results'!$J$4="yes",IF(C49=FALSE,FALSE,IF(E49&lt;$R$10,'Data Transformation'!E49,$R$10)),IF(C49=FALSE,FALSE,IF('Data Transformation'!C49&lt;$R$10,C49,$R$10)))</f>
        <v>0</v>
      </c>
      <c r="H49" t="b">
        <f>IF('Input and Summary Results'!$J$4="yes",'Data Transformation'!F49,'Data Transformation'!D49)</f>
        <v>0</v>
      </c>
    </row>
    <row r="50" spans="2:8" x14ac:dyDescent="0.25">
      <c r="B50" t="b">
        <f>IF('Input and Summary Results'!D33="",FALSE,'Input and Summary Results'!$B33)</f>
        <v>0</v>
      </c>
      <c r="C50" t="b">
        <f>IF(OR(B50=0,'Input and Summary Results'!D33=0,'Input and Summary Results'!D33=""),FALSE,'Input and Summary Results'!$D33)</f>
        <v>0</v>
      </c>
      <c r="D50" t="b">
        <f>IF(OR(B50=0,'Input and Summary Results'!E33=0),FALSE,'Input and Summary Results'!$E33)</f>
        <v>0</v>
      </c>
      <c r="E50" t="b">
        <f t="shared" si="0"/>
        <v>0</v>
      </c>
      <c r="F50" s="13" t="b">
        <f t="shared" si="2"/>
        <v>0</v>
      </c>
      <c r="G50" t="b">
        <f>IF('Input and Summary Results'!$J$4="yes",IF(C50=FALSE,FALSE,IF(E50&lt;$R$10,'Data Transformation'!E50,$R$10)),IF(C50=FALSE,FALSE,IF('Data Transformation'!C50&lt;$R$10,C50,$R$10)))</f>
        <v>0</v>
      </c>
      <c r="H50" t="b">
        <f>IF('Input and Summary Results'!$J$4="yes",'Data Transformation'!F50,'Data Transformation'!D50)</f>
        <v>0</v>
      </c>
    </row>
    <row r="51" spans="2:8" x14ac:dyDescent="0.25">
      <c r="B51" t="b">
        <f>IF('Input and Summary Results'!D34="",FALSE,'Input and Summary Results'!$B34)</f>
        <v>0</v>
      </c>
      <c r="C51" t="b">
        <f>IF(OR(B51=0,'Input and Summary Results'!D34=0,'Input and Summary Results'!D34=""),FALSE,'Input and Summary Results'!$D34)</f>
        <v>0</v>
      </c>
      <c r="D51" t="b">
        <f>IF(OR(B51=0,'Input and Summary Results'!E34=0),FALSE,'Input and Summary Results'!$E34)</f>
        <v>0</v>
      </c>
      <c r="E51" t="b">
        <f t="shared" si="0"/>
        <v>0</v>
      </c>
      <c r="F51" s="13" t="b">
        <f t="shared" si="2"/>
        <v>0</v>
      </c>
      <c r="G51" t="b">
        <f>IF('Input and Summary Results'!$J$4="yes",IF(C51=FALSE,FALSE,IF(E51&lt;$R$10,'Data Transformation'!E51,$R$10)),IF(C51=FALSE,FALSE,IF('Data Transformation'!C51&lt;$R$10,C51,$R$10)))</f>
        <v>0</v>
      </c>
      <c r="H51" t="b">
        <f>IF('Input and Summary Results'!$J$4="yes",'Data Transformation'!F51,'Data Transformation'!D51)</f>
        <v>0</v>
      </c>
    </row>
    <row r="52" spans="2:8" x14ac:dyDescent="0.25">
      <c r="B52" t="b">
        <f>IF('Input and Summary Results'!D35="",FALSE,'Input and Summary Results'!$B35)</f>
        <v>0</v>
      </c>
      <c r="C52" t="b">
        <f>IF(OR(B52=0,'Input and Summary Results'!D35=0,'Input and Summary Results'!D35=""),FALSE,'Input and Summary Results'!$D35)</f>
        <v>0</v>
      </c>
      <c r="D52" t="b">
        <f>IF(OR(B52=0,'Input and Summary Results'!E35=0),FALSE,'Input and Summary Results'!$E35)</f>
        <v>0</v>
      </c>
      <c r="E52" t="b">
        <f t="shared" si="0"/>
        <v>0</v>
      </c>
      <c r="F52" s="13" t="b">
        <f t="shared" si="2"/>
        <v>0</v>
      </c>
      <c r="G52" t="b">
        <f>IF('Input and Summary Results'!$J$4="yes",IF(C52=FALSE,FALSE,IF(E52&lt;$R$10,'Data Transformation'!E52,$R$10)),IF(C52=FALSE,FALSE,IF('Data Transformation'!C52&lt;$R$10,C52,$R$10)))</f>
        <v>0</v>
      </c>
      <c r="H52" t="b">
        <f>IF('Input and Summary Results'!$J$4="yes",'Data Transformation'!F52,'Data Transformation'!D52)</f>
        <v>0</v>
      </c>
    </row>
    <row r="53" spans="2:8" x14ac:dyDescent="0.25">
      <c r="B53" t="b">
        <f>IF('Input and Summary Results'!D36="",FALSE,'Input and Summary Results'!$B36)</f>
        <v>0</v>
      </c>
      <c r="C53" t="b">
        <f>IF(OR(B53=0,'Input and Summary Results'!D36=0,'Input and Summary Results'!D36=""),FALSE,'Input and Summary Results'!$D36)</f>
        <v>0</v>
      </c>
      <c r="D53" t="b">
        <f>IF(OR(B53=0,'Input and Summary Results'!E36=0),FALSE,'Input and Summary Results'!$E36)</f>
        <v>0</v>
      </c>
      <c r="E53" t="b">
        <f t="shared" si="0"/>
        <v>0</v>
      </c>
      <c r="F53" s="13" t="b">
        <f t="shared" si="2"/>
        <v>0</v>
      </c>
      <c r="G53" t="b">
        <f>IF('Input and Summary Results'!$J$4="yes",IF(C53=FALSE,FALSE,IF(E53&lt;$R$10,'Data Transformation'!E53,$R$10)),IF(C53=FALSE,FALSE,IF('Data Transformation'!C53&lt;$R$10,C53,$R$10)))</f>
        <v>0</v>
      </c>
      <c r="H53" t="b">
        <f>IF('Input and Summary Results'!$J$4="yes",'Data Transformation'!F53,'Data Transformation'!D53)</f>
        <v>0</v>
      </c>
    </row>
    <row r="54" spans="2:8" x14ac:dyDescent="0.25">
      <c r="B54" t="b">
        <f>IF('Input and Summary Results'!D37="",FALSE,'Input and Summary Results'!$B37)</f>
        <v>0</v>
      </c>
      <c r="C54" t="b">
        <f>IF(OR(B54=0,'Input and Summary Results'!D37=0,'Input and Summary Results'!D37=""),FALSE,'Input and Summary Results'!$D37)</f>
        <v>0</v>
      </c>
      <c r="D54" t="b">
        <f>IF(OR(B54=0,'Input and Summary Results'!E37=0),FALSE,'Input and Summary Results'!$E37)</f>
        <v>0</v>
      </c>
      <c r="E54" t="b">
        <f t="shared" si="0"/>
        <v>0</v>
      </c>
      <c r="F54" s="13" t="b">
        <f t="shared" si="2"/>
        <v>0</v>
      </c>
      <c r="G54" t="b">
        <f>IF('Input and Summary Results'!$J$4="yes",IF(C54=FALSE,FALSE,IF(E54&lt;$R$10,'Data Transformation'!E54,$R$10)),IF(C54=FALSE,FALSE,IF('Data Transformation'!C54&lt;$R$10,C54,$R$10)))</f>
        <v>0</v>
      </c>
      <c r="H54" t="b">
        <f>IF('Input and Summary Results'!$J$4="yes",'Data Transformation'!F54,'Data Transformation'!D54)</f>
        <v>0</v>
      </c>
    </row>
    <row r="55" spans="2:8" x14ac:dyDescent="0.25">
      <c r="B55" t="b">
        <f>IF('Input and Summary Results'!D38="",FALSE,'Input and Summary Results'!$B38)</f>
        <v>0</v>
      </c>
      <c r="C55" t="b">
        <f>IF(OR(B55=0,'Input and Summary Results'!D38=0,'Input and Summary Results'!D38=""),FALSE,'Input and Summary Results'!$D38)</f>
        <v>0</v>
      </c>
      <c r="D55" t="b">
        <f>IF(OR(B55=0,'Input and Summary Results'!E38=0),FALSE,'Input and Summary Results'!$E38)</f>
        <v>0</v>
      </c>
      <c r="E55" t="b">
        <f t="shared" si="0"/>
        <v>0</v>
      </c>
      <c r="F55" s="13" t="b">
        <f t="shared" si="2"/>
        <v>0</v>
      </c>
      <c r="G55" t="b">
        <f>IF('Input and Summary Results'!$J$4="yes",IF(C55=FALSE,FALSE,IF(E55&lt;$R$10,'Data Transformation'!E55,$R$10)),IF(C55=FALSE,FALSE,IF('Data Transformation'!C55&lt;$R$10,C55,$R$10)))</f>
        <v>0</v>
      </c>
      <c r="H55" t="b">
        <f>IF('Input and Summary Results'!$J$4="yes",'Data Transformation'!F55,'Data Transformation'!D55)</f>
        <v>0</v>
      </c>
    </row>
    <row r="56" spans="2:8" x14ac:dyDescent="0.25">
      <c r="B56" t="b">
        <f>IF('Input and Summary Results'!D39="",FALSE,'Input and Summary Results'!$B39)</f>
        <v>0</v>
      </c>
      <c r="C56" t="b">
        <f>IF(OR(B56=0,'Input and Summary Results'!D39=0,'Input and Summary Results'!D39=""),FALSE,'Input and Summary Results'!$D39)</f>
        <v>0</v>
      </c>
      <c r="D56" t="b">
        <f>IF(OR(B56=0,'Input and Summary Results'!E39=0),FALSE,'Input and Summary Results'!$E39)</f>
        <v>0</v>
      </c>
      <c r="E56" t="b">
        <f t="shared" si="0"/>
        <v>0</v>
      </c>
      <c r="F56" s="13" t="b">
        <f t="shared" si="2"/>
        <v>0</v>
      </c>
      <c r="G56" t="b">
        <f>IF('Input and Summary Results'!$J$4="yes",IF(C56=FALSE,FALSE,IF(E56&lt;$R$10,'Data Transformation'!E56,$R$10)),IF(C56=FALSE,FALSE,IF('Data Transformation'!C56&lt;$R$10,C56,$R$10)))</f>
        <v>0</v>
      </c>
      <c r="H56" t="b">
        <f>IF('Input and Summary Results'!$J$4="yes",'Data Transformation'!F56,'Data Transformation'!D56)</f>
        <v>0</v>
      </c>
    </row>
    <row r="57" spans="2:8" x14ac:dyDescent="0.25">
      <c r="B57" t="b">
        <f>IF('Input and Summary Results'!D40="",FALSE,'Input and Summary Results'!$B40)</f>
        <v>0</v>
      </c>
      <c r="C57" t="b">
        <f>IF(OR(B57=0,'Input and Summary Results'!D40=0,'Input and Summary Results'!D40=""),FALSE,'Input and Summary Results'!$D40)</f>
        <v>0</v>
      </c>
      <c r="D57" t="b">
        <f>IF(OR(B57=0,'Input and Summary Results'!E40=0),FALSE,'Input and Summary Results'!$E40)</f>
        <v>0</v>
      </c>
      <c r="E57" t="b">
        <f t="shared" si="0"/>
        <v>0</v>
      </c>
      <c r="F57" s="13" t="b">
        <f t="shared" si="2"/>
        <v>0</v>
      </c>
      <c r="G57" t="b">
        <f>IF('Input and Summary Results'!$J$4="yes",IF(C57=FALSE,FALSE,IF(E57&lt;$R$10,'Data Transformation'!E57,$R$10)),IF(C57=FALSE,FALSE,IF('Data Transformation'!C57&lt;$R$10,C57,$R$10)))</f>
        <v>0</v>
      </c>
      <c r="H57" t="b">
        <f>IF('Input and Summary Results'!$J$4="yes",'Data Transformation'!F57,'Data Transformation'!D57)</f>
        <v>0</v>
      </c>
    </row>
    <row r="58" spans="2:8" x14ac:dyDescent="0.25">
      <c r="B58" t="b">
        <f>IF('Input and Summary Results'!D41="",FALSE,'Input and Summary Results'!$B41)</f>
        <v>0</v>
      </c>
      <c r="C58" t="b">
        <f>IF(OR(B58=0,'Input and Summary Results'!D41=0,'Input and Summary Results'!D41=""),FALSE,'Input and Summary Results'!$D41)</f>
        <v>0</v>
      </c>
      <c r="D58" t="b">
        <f>IF(OR(B58=0,'Input and Summary Results'!E41=0),FALSE,'Input and Summary Results'!$E41)</f>
        <v>0</v>
      </c>
      <c r="E58" t="b">
        <f t="shared" si="0"/>
        <v>0</v>
      </c>
      <c r="F58" s="13" t="b">
        <f t="shared" si="2"/>
        <v>0</v>
      </c>
      <c r="G58" t="b">
        <f>IF('Input and Summary Results'!$J$4="yes",IF(C58=FALSE,FALSE,IF(E58&lt;$R$10,'Data Transformation'!E58,$R$10)),IF(C58=FALSE,FALSE,IF('Data Transformation'!C58&lt;$R$10,C58,$R$10)))</f>
        <v>0</v>
      </c>
      <c r="H58" t="b">
        <f>IF('Input and Summary Results'!$J$4="yes",'Data Transformation'!F58,'Data Transformation'!D58)</f>
        <v>0</v>
      </c>
    </row>
    <row r="59" spans="2:8" x14ac:dyDescent="0.25">
      <c r="B59" t="b">
        <f>IF('Input and Summary Results'!D42="",FALSE,'Input and Summary Results'!$B42)</f>
        <v>0</v>
      </c>
      <c r="C59" t="b">
        <f>IF(OR(B59=0,'Input and Summary Results'!D42=0,'Input and Summary Results'!D42=""),FALSE,'Input and Summary Results'!$D42)</f>
        <v>0</v>
      </c>
      <c r="D59" t="b">
        <f>IF(OR(B59=0,'Input and Summary Results'!E42=0),FALSE,'Input and Summary Results'!$E42)</f>
        <v>0</v>
      </c>
      <c r="E59" t="b">
        <f t="shared" si="0"/>
        <v>0</v>
      </c>
      <c r="F59" s="13" t="b">
        <f t="shared" si="2"/>
        <v>0</v>
      </c>
      <c r="G59" t="b">
        <f>IF('Input and Summary Results'!$J$4="yes",IF(C59=FALSE,FALSE,IF(E59&lt;$R$10,'Data Transformation'!E59,$R$10)),IF(C59=FALSE,FALSE,IF('Data Transformation'!C59&lt;$R$10,C59,$R$10)))</f>
        <v>0</v>
      </c>
      <c r="H59" t="b">
        <f>IF('Input and Summary Results'!$J$4="yes",'Data Transformation'!F59,'Data Transformation'!D59)</f>
        <v>0</v>
      </c>
    </row>
    <row r="60" spans="2:8" x14ac:dyDescent="0.25">
      <c r="B60" t="b">
        <f>IF('Input and Summary Results'!D43="",FALSE,'Input and Summary Results'!$B43)</f>
        <v>0</v>
      </c>
      <c r="C60" t="b">
        <f>IF(OR(B60=0,'Input and Summary Results'!D43=0,'Input and Summary Results'!D43=""),FALSE,'Input and Summary Results'!$D43)</f>
        <v>0</v>
      </c>
      <c r="D60" t="b">
        <f>IF(OR(B60=0,'Input and Summary Results'!E43=0),FALSE,'Input and Summary Results'!$E43)</f>
        <v>0</v>
      </c>
      <c r="E60" t="b">
        <f t="shared" si="0"/>
        <v>0</v>
      </c>
      <c r="F60" s="13" t="b">
        <f t="shared" si="2"/>
        <v>0</v>
      </c>
      <c r="G60" t="b">
        <f>IF('Input and Summary Results'!$J$4="yes",IF(C60=FALSE,FALSE,IF(E60&lt;$R$10,'Data Transformation'!E60,$R$10)),IF(C60=FALSE,FALSE,IF('Data Transformation'!C60&lt;$R$10,C60,$R$10)))</f>
        <v>0</v>
      </c>
      <c r="H60" t="b">
        <f>IF('Input and Summary Results'!$J$4="yes",'Data Transformation'!F60,'Data Transformation'!D60)</f>
        <v>0</v>
      </c>
    </row>
    <row r="61" spans="2:8" x14ac:dyDescent="0.25">
      <c r="B61" t="b">
        <f>IF('Input and Summary Results'!D44="",FALSE,'Input and Summary Results'!$B44)</f>
        <v>0</v>
      </c>
      <c r="C61" t="b">
        <f>IF(OR(B61=0,'Input and Summary Results'!D44=0,'Input and Summary Results'!D44=""),FALSE,'Input and Summary Results'!$D44)</f>
        <v>0</v>
      </c>
      <c r="D61" t="b">
        <f>IF(OR(B61=0,'Input and Summary Results'!E44=0),FALSE,'Input and Summary Results'!$E44)</f>
        <v>0</v>
      </c>
      <c r="E61" t="b">
        <f t="shared" si="0"/>
        <v>0</v>
      </c>
      <c r="F61" s="13" t="b">
        <f t="shared" si="2"/>
        <v>0</v>
      </c>
      <c r="G61" t="b">
        <f>IF('Input and Summary Results'!$J$4="yes",IF(C61=FALSE,FALSE,IF(E61&lt;$R$10,'Data Transformation'!E61,$R$10)),IF(C61=FALSE,FALSE,IF('Data Transformation'!C61&lt;$R$10,C61,$R$10)))</f>
        <v>0</v>
      </c>
      <c r="H61" t="b">
        <f>IF('Input and Summary Results'!$J$4="yes",'Data Transformation'!F61,'Data Transformation'!D61)</f>
        <v>0</v>
      </c>
    </row>
    <row r="62" spans="2:8" x14ac:dyDescent="0.25">
      <c r="B62" t="b">
        <f>IF('Input and Summary Results'!D45="",FALSE,'Input and Summary Results'!$B45)</f>
        <v>0</v>
      </c>
      <c r="C62" t="b">
        <f>IF(OR(B62=0,'Input and Summary Results'!D45=0,'Input and Summary Results'!D45=""),FALSE,'Input and Summary Results'!$D45)</f>
        <v>0</v>
      </c>
      <c r="D62" t="b">
        <f>IF(OR(B62=0,'Input and Summary Results'!E45=0),FALSE,'Input and Summary Results'!$E45)</f>
        <v>0</v>
      </c>
      <c r="E62" t="b">
        <f t="shared" si="0"/>
        <v>0</v>
      </c>
      <c r="F62" s="13" t="b">
        <f t="shared" si="2"/>
        <v>0</v>
      </c>
      <c r="G62" t="b">
        <f>IF('Input and Summary Results'!$J$4="yes",IF(C62=FALSE,FALSE,IF(E62&lt;$R$10,'Data Transformation'!E62,$R$10)),IF(C62=FALSE,FALSE,IF('Data Transformation'!C62&lt;$R$10,C62,$R$10)))</f>
        <v>0</v>
      </c>
      <c r="H62" t="b">
        <f>IF('Input and Summary Results'!$J$4="yes",'Data Transformation'!F62,'Data Transformation'!D62)</f>
        <v>0</v>
      </c>
    </row>
    <row r="63" spans="2:8" x14ac:dyDescent="0.25">
      <c r="B63" t="b">
        <f>IF('Input and Summary Results'!D46="",FALSE,'Input and Summary Results'!$B46)</f>
        <v>0</v>
      </c>
      <c r="C63" t="b">
        <f>IF(OR(B63=0,'Input and Summary Results'!D46=0,'Input and Summary Results'!D46=""),FALSE,'Input and Summary Results'!$D46)</f>
        <v>0</v>
      </c>
      <c r="D63" t="b">
        <f>IF(OR(B63=0,'Input and Summary Results'!E46=0),FALSE,'Input and Summary Results'!$E46)</f>
        <v>0</v>
      </c>
      <c r="E63" t="b">
        <f t="shared" si="0"/>
        <v>0</v>
      </c>
      <c r="F63" s="13" t="b">
        <f t="shared" si="2"/>
        <v>0</v>
      </c>
      <c r="G63" t="b">
        <f>IF('Input and Summary Results'!$J$4="yes",IF(C63=FALSE,FALSE,IF(E63&lt;$R$10,'Data Transformation'!E63,$R$10)),IF(C63=FALSE,FALSE,IF('Data Transformation'!C63&lt;$R$10,C63,$R$10)))</f>
        <v>0</v>
      </c>
      <c r="H63" t="b">
        <f>IF('Input and Summary Results'!$J$4="yes",'Data Transformation'!F63,'Data Transformation'!D63)</f>
        <v>0</v>
      </c>
    </row>
    <row r="64" spans="2:8" x14ac:dyDescent="0.25">
      <c r="B64" t="b">
        <f>IF('Input and Summary Results'!D47="",FALSE,'Input and Summary Results'!$B47)</f>
        <v>0</v>
      </c>
      <c r="C64" t="b">
        <f>IF(OR(B64=0,'Input and Summary Results'!D47=0,'Input and Summary Results'!D47=""),FALSE,'Input and Summary Results'!$D47)</f>
        <v>0</v>
      </c>
      <c r="D64" t="b">
        <f>IF(OR(B64=0,'Input and Summary Results'!E47=0),FALSE,'Input and Summary Results'!$E47)</f>
        <v>0</v>
      </c>
      <c r="E64" t="b">
        <f t="shared" si="0"/>
        <v>0</v>
      </c>
      <c r="F64" s="13" t="b">
        <f t="shared" si="2"/>
        <v>0</v>
      </c>
      <c r="G64" t="b">
        <f>IF('Input and Summary Results'!$J$4="yes",IF(C64=FALSE,FALSE,IF(E64&lt;$R$10,'Data Transformation'!E64,$R$10)),IF(C64=FALSE,FALSE,IF('Data Transformation'!C64&lt;$R$10,C64,$R$10)))</f>
        <v>0</v>
      </c>
      <c r="H64" t="b">
        <f>IF('Input and Summary Results'!$J$4="yes",'Data Transformation'!F64,'Data Transformation'!D64)</f>
        <v>0</v>
      </c>
    </row>
    <row r="65" spans="2:8" x14ac:dyDescent="0.25">
      <c r="B65" t="b">
        <f>IF('Input and Summary Results'!D48="",FALSE,'Input and Summary Results'!$B48)</f>
        <v>0</v>
      </c>
      <c r="C65" t="b">
        <f>IF(OR(B65=0,'Input and Summary Results'!D48=0,'Input and Summary Results'!D48=""),FALSE,'Input and Summary Results'!$D48)</f>
        <v>0</v>
      </c>
      <c r="D65" t="b">
        <f>IF(OR(B65=0,'Input and Summary Results'!E48=0),FALSE,'Input and Summary Results'!$E48)</f>
        <v>0</v>
      </c>
      <c r="E65" t="b">
        <f t="shared" si="0"/>
        <v>0</v>
      </c>
      <c r="F65" s="13" t="b">
        <f t="shared" si="2"/>
        <v>0</v>
      </c>
      <c r="G65" t="b">
        <f>IF('Input and Summary Results'!$J$4="yes",IF(C65=FALSE,FALSE,IF(E65&lt;$R$10,'Data Transformation'!E65,$R$10)),IF(C65=FALSE,FALSE,IF('Data Transformation'!C65&lt;$R$10,C65,$R$10)))</f>
        <v>0</v>
      </c>
      <c r="H65" t="b">
        <f>IF('Input and Summary Results'!$J$4="yes",'Data Transformation'!F65,'Data Transformation'!D65)</f>
        <v>0</v>
      </c>
    </row>
    <row r="66" spans="2:8" x14ac:dyDescent="0.25">
      <c r="B66" t="b">
        <f>IF('Input and Summary Results'!D49="",FALSE,'Input and Summary Results'!$B49)</f>
        <v>0</v>
      </c>
      <c r="C66" t="b">
        <f>IF(OR(B66=0,'Input and Summary Results'!D49=0,'Input and Summary Results'!D49=""),FALSE,'Input and Summary Results'!$D49)</f>
        <v>0</v>
      </c>
      <c r="D66" t="b">
        <f>IF(OR(B66=0,'Input and Summary Results'!E49=0),FALSE,'Input and Summary Results'!$E49)</f>
        <v>0</v>
      </c>
      <c r="E66" t="b">
        <f t="shared" si="0"/>
        <v>0</v>
      </c>
      <c r="F66" s="13" t="b">
        <f t="shared" si="2"/>
        <v>0</v>
      </c>
      <c r="G66" t="b">
        <f>IF('Input and Summary Results'!$J$4="yes",IF(C66=FALSE,FALSE,IF(E66&lt;$R$10,'Data Transformation'!E66,$R$10)),IF(C66=FALSE,FALSE,IF('Data Transformation'!C66&lt;$R$10,C66,$R$10)))</f>
        <v>0</v>
      </c>
      <c r="H66" t="b">
        <f>IF('Input and Summary Results'!$J$4="yes",'Data Transformation'!F66,'Data Transformation'!D66)</f>
        <v>0</v>
      </c>
    </row>
    <row r="67" spans="2:8" x14ac:dyDescent="0.25">
      <c r="B67" t="b">
        <f>IF('Input and Summary Results'!D50="",FALSE,'Input and Summary Results'!$B50)</f>
        <v>0</v>
      </c>
      <c r="C67" t="b">
        <f>IF(OR(B67=0,'Input and Summary Results'!D50=0,'Input and Summary Results'!D50=""),FALSE,'Input and Summary Results'!$D50)</f>
        <v>0</v>
      </c>
      <c r="D67" t="b">
        <f>IF(OR(B67=0,'Input and Summary Results'!E50=0),FALSE,'Input and Summary Results'!$E50)</f>
        <v>0</v>
      </c>
      <c r="E67" t="b">
        <f t="shared" si="0"/>
        <v>0</v>
      </c>
      <c r="F67" s="13" t="b">
        <f t="shared" si="2"/>
        <v>0</v>
      </c>
      <c r="G67" t="b">
        <f>IF('Input and Summary Results'!$J$4="yes",IF(C67=FALSE,FALSE,IF(E67&lt;$R$10,'Data Transformation'!E67,$R$10)),IF(C67=FALSE,FALSE,IF('Data Transformation'!C67&lt;$R$10,C67,$R$10)))</f>
        <v>0</v>
      </c>
      <c r="H67" t="b">
        <f>IF('Input and Summary Results'!$J$4="yes",'Data Transformation'!F67,'Data Transformation'!D67)</f>
        <v>0</v>
      </c>
    </row>
    <row r="68" spans="2:8" x14ac:dyDescent="0.25">
      <c r="B68" t="b">
        <f>IF('Input and Summary Results'!D51="",FALSE,'Input and Summary Results'!$B51)</f>
        <v>0</v>
      </c>
      <c r="C68" t="b">
        <f>IF(OR(B68=0,'Input and Summary Results'!D51=0,'Input and Summary Results'!D51=""),FALSE,'Input and Summary Results'!$D51)</f>
        <v>0</v>
      </c>
      <c r="D68" t="b">
        <f>IF(OR(B68=0,'Input and Summary Results'!E51=0),FALSE,'Input and Summary Results'!$E51)</f>
        <v>0</v>
      </c>
      <c r="E68" t="b">
        <f t="shared" ref="E68:E131" si="7">IF(C68=FALSE,FALSE,LOG10(C68))</f>
        <v>0</v>
      </c>
      <c r="F68" s="13" t="b">
        <f t="shared" ref="F68:F131" si="8">IF(D68=FALSE, FALSE,0.434*D68/C68)</f>
        <v>0</v>
      </c>
      <c r="G68" t="b">
        <f>IF('Input and Summary Results'!$J$4="yes",IF(C68=FALSE,FALSE,IF(E68&lt;$R$10,'Data Transformation'!E68,$R$10)),IF(C68=FALSE,FALSE,IF('Data Transformation'!C68&lt;$R$10,C68,$R$10)))</f>
        <v>0</v>
      </c>
      <c r="H68" t="b">
        <f>IF('Input and Summary Results'!$J$4="yes",'Data Transformation'!F68,'Data Transformation'!D68)</f>
        <v>0</v>
      </c>
    </row>
    <row r="69" spans="2:8" x14ac:dyDescent="0.25">
      <c r="B69" t="b">
        <f>IF('Input and Summary Results'!D52="",FALSE,'Input and Summary Results'!$B52)</f>
        <v>0</v>
      </c>
      <c r="C69" t="b">
        <f>IF(OR(B69=0,'Input and Summary Results'!D52=0,'Input and Summary Results'!D52=""),FALSE,'Input and Summary Results'!$D52)</f>
        <v>0</v>
      </c>
      <c r="D69" t="b">
        <f>IF(OR(B69=0,'Input and Summary Results'!E52=0),FALSE,'Input and Summary Results'!$E52)</f>
        <v>0</v>
      </c>
      <c r="E69" t="b">
        <f t="shared" si="7"/>
        <v>0</v>
      </c>
      <c r="F69" s="13" t="b">
        <f t="shared" si="8"/>
        <v>0</v>
      </c>
      <c r="G69" t="b">
        <f>IF('Input and Summary Results'!$J$4="yes",IF(C69=FALSE,FALSE,IF(E69&lt;$R$10,'Data Transformation'!E69,$R$10)),IF(C69=FALSE,FALSE,IF('Data Transformation'!C69&lt;$R$10,C69,$R$10)))</f>
        <v>0</v>
      </c>
      <c r="H69" t="b">
        <f>IF('Input and Summary Results'!$J$4="yes",'Data Transformation'!F69,'Data Transformation'!D69)</f>
        <v>0</v>
      </c>
    </row>
    <row r="70" spans="2:8" x14ac:dyDescent="0.25">
      <c r="B70" t="b">
        <f>IF('Input and Summary Results'!D53="",FALSE,'Input and Summary Results'!$B53)</f>
        <v>0</v>
      </c>
      <c r="C70" t="b">
        <f>IF(OR(B70=0,'Input and Summary Results'!D53=0,'Input and Summary Results'!D53=""),FALSE,'Input and Summary Results'!$D53)</f>
        <v>0</v>
      </c>
      <c r="D70" t="b">
        <f>IF(OR(B70=0,'Input and Summary Results'!E53=0),FALSE,'Input and Summary Results'!$E53)</f>
        <v>0</v>
      </c>
      <c r="E70" t="b">
        <f t="shared" si="7"/>
        <v>0</v>
      </c>
      <c r="F70" s="13" t="b">
        <f t="shared" si="8"/>
        <v>0</v>
      </c>
      <c r="G70" t="b">
        <f>IF('Input and Summary Results'!$J$4="yes",IF(C70=FALSE,FALSE,IF(E70&lt;$R$10,'Data Transformation'!E70,$R$10)),IF(C70=FALSE,FALSE,IF('Data Transformation'!C70&lt;$R$10,C70,$R$10)))</f>
        <v>0</v>
      </c>
      <c r="H70" t="b">
        <f>IF('Input and Summary Results'!$J$4="yes",'Data Transformation'!F70,'Data Transformation'!D70)</f>
        <v>0</v>
      </c>
    </row>
    <row r="71" spans="2:8" x14ac:dyDescent="0.25">
      <c r="B71" t="b">
        <f>IF('Input and Summary Results'!D54="",FALSE,'Input and Summary Results'!$B54)</f>
        <v>0</v>
      </c>
      <c r="C71" t="b">
        <f>IF(OR(B71=0,'Input and Summary Results'!D54=0,'Input and Summary Results'!D54=""),FALSE,'Input and Summary Results'!$D54)</f>
        <v>0</v>
      </c>
      <c r="D71" t="b">
        <f>IF(OR(B71=0,'Input and Summary Results'!E54=0),FALSE,'Input and Summary Results'!$E54)</f>
        <v>0</v>
      </c>
      <c r="E71" t="b">
        <f t="shared" si="7"/>
        <v>0</v>
      </c>
      <c r="F71" s="13" t="b">
        <f t="shared" si="8"/>
        <v>0</v>
      </c>
      <c r="G71" t="b">
        <f>IF('Input and Summary Results'!$J$4="yes",IF(C71=FALSE,FALSE,IF(E71&lt;$R$10,'Data Transformation'!E71,$R$10)),IF(C71=FALSE,FALSE,IF('Data Transformation'!C71&lt;$R$10,C71,$R$10)))</f>
        <v>0</v>
      </c>
      <c r="H71" t="b">
        <f>IF('Input and Summary Results'!$J$4="yes",'Data Transformation'!F71,'Data Transformation'!D71)</f>
        <v>0</v>
      </c>
    </row>
    <row r="72" spans="2:8" x14ac:dyDescent="0.25">
      <c r="B72" t="b">
        <f>IF('Input and Summary Results'!D55="",FALSE,'Input and Summary Results'!$B55)</f>
        <v>0</v>
      </c>
      <c r="C72" t="b">
        <f>IF(OR(B72=0,'Input and Summary Results'!D55=0,'Input and Summary Results'!D55=""),FALSE,'Input and Summary Results'!$D55)</f>
        <v>0</v>
      </c>
      <c r="D72" t="b">
        <f>IF(OR(B72=0,'Input and Summary Results'!E55=0),FALSE,'Input and Summary Results'!$E55)</f>
        <v>0</v>
      </c>
      <c r="E72" t="b">
        <f t="shared" si="7"/>
        <v>0</v>
      </c>
      <c r="F72" s="13" t="b">
        <f t="shared" si="8"/>
        <v>0</v>
      </c>
      <c r="G72" t="b">
        <f>IF('Input and Summary Results'!$J$4="yes",IF(C72=FALSE,FALSE,IF(E72&lt;$R$10,'Data Transformation'!E72,$R$10)),IF(C72=FALSE,FALSE,IF('Data Transformation'!C72&lt;$R$10,C72,$R$10)))</f>
        <v>0</v>
      </c>
      <c r="H72" t="b">
        <f>IF('Input and Summary Results'!$J$4="yes",'Data Transformation'!F72,'Data Transformation'!D72)</f>
        <v>0</v>
      </c>
    </row>
    <row r="73" spans="2:8" x14ac:dyDescent="0.25">
      <c r="B73" t="b">
        <f>IF('Input and Summary Results'!D56="",FALSE,'Input and Summary Results'!$B56)</f>
        <v>0</v>
      </c>
      <c r="C73" t="b">
        <f>IF(OR(B73=0,'Input and Summary Results'!D56=0,'Input and Summary Results'!D56=""),FALSE,'Input and Summary Results'!$D56)</f>
        <v>0</v>
      </c>
      <c r="D73" t="b">
        <f>IF(OR(B73=0,'Input and Summary Results'!E56=0),FALSE,'Input and Summary Results'!$E56)</f>
        <v>0</v>
      </c>
      <c r="E73" t="b">
        <f t="shared" si="7"/>
        <v>0</v>
      </c>
      <c r="F73" s="13" t="b">
        <f t="shared" si="8"/>
        <v>0</v>
      </c>
      <c r="G73" t="b">
        <f>IF('Input and Summary Results'!$J$4="yes",IF(C73=FALSE,FALSE,IF(E73&lt;$R$10,'Data Transformation'!E73,$R$10)),IF(C73=FALSE,FALSE,IF('Data Transformation'!C73&lt;$R$10,C73,$R$10)))</f>
        <v>0</v>
      </c>
      <c r="H73" t="b">
        <f>IF('Input and Summary Results'!$J$4="yes",'Data Transformation'!F73,'Data Transformation'!D73)</f>
        <v>0</v>
      </c>
    </row>
    <row r="74" spans="2:8" x14ac:dyDescent="0.25">
      <c r="B74" t="b">
        <f>IF('Input and Summary Results'!D57="",FALSE,'Input and Summary Results'!$B57)</f>
        <v>0</v>
      </c>
      <c r="C74" t="b">
        <f>IF(OR(B74=0,'Input and Summary Results'!D57=0,'Input and Summary Results'!D57=""),FALSE,'Input and Summary Results'!$D57)</f>
        <v>0</v>
      </c>
      <c r="D74" t="b">
        <f>IF(OR(B74=0,'Input and Summary Results'!E57=0),FALSE,'Input and Summary Results'!$E57)</f>
        <v>0</v>
      </c>
      <c r="E74" t="b">
        <f t="shared" si="7"/>
        <v>0</v>
      </c>
      <c r="F74" s="13" t="b">
        <f t="shared" si="8"/>
        <v>0</v>
      </c>
      <c r="G74" t="b">
        <f>IF('Input and Summary Results'!$J$4="yes",IF(C74=FALSE,FALSE,IF(E74&lt;$R$10,'Data Transformation'!E74,$R$10)),IF(C74=FALSE,FALSE,IF('Data Transformation'!C74&lt;$R$10,C74,$R$10)))</f>
        <v>0</v>
      </c>
      <c r="H74" t="b">
        <f>IF('Input and Summary Results'!$J$4="yes",'Data Transformation'!F74,'Data Transformation'!D74)</f>
        <v>0</v>
      </c>
    </row>
    <row r="75" spans="2:8" x14ac:dyDescent="0.25">
      <c r="B75" t="b">
        <f>IF('Input and Summary Results'!D58="",FALSE,'Input and Summary Results'!$B58)</f>
        <v>0</v>
      </c>
      <c r="C75" t="b">
        <f>IF(OR(B75=0,'Input and Summary Results'!D58=0,'Input and Summary Results'!D58=""),FALSE,'Input and Summary Results'!$D58)</f>
        <v>0</v>
      </c>
      <c r="D75" t="b">
        <f>IF(OR(B75=0,'Input and Summary Results'!E58=0),FALSE,'Input and Summary Results'!$E58)</f>
        <v>0</v>
      </c>
      <c r="E75" t="b">
        <f t="shared" si="7"/>
        <v>0</v>
      </c>
      <c r="F75" s="13" t="b">
        <f t="shared" si="8"/>
        <v>0</v>
      </c>
      <c r="G75" t="b">
        <f>IF('Input and Summary Results'!$J$4="yes",IF(C75=FALSE,FALSE,IF(E75&lt;$R$10,'Data Transformation'!E75,$R$10)),IF(C75=FALSE,FALSE,IF('Data Transformation'!C75&lt;$R$10,C75,$R$10)))</f>
        <v>0</v>
      </c>
      <c r="H75" t="b">
        <f>IF('Input and Summary Results'!$J$4="yes",'Data Transformation'!F75,'Data Transformation'!D75)</f>
        <v>0</v>
      </c>
    </row>
    <row r="76" spans="2:8" x14ac:dyDescent="0.25">
      <c r="B76" t="b">
        <f>IF('Input and Summary Results'!D59="",FALSE,'Input and Summary Results'!$B59)</f>
        <v>0</v>
      </c>
      <c r="C76" t="b">
        <f>IF(OR(B76=0,'Input and Summary Results'!D59=0,'Input and Summary Results'!D59=""),FALSE,'Input and Summary Results'!$D59)</f>
        <v>0</v>
      </c>
      <c r="D76" t="b">
        <f>IF(OR(B76=0,'Input and Summary Results'!E59=0),FALSE,'Input and Summary Results'!$E59)</f>
        <v>0</v>
      </c>
      <c r="E76" t="b">
        <f t="shared" si="7"/>
        <v>0</v>
      </c>
      <c r="F76" s="13" t="b">
        <f t="shared" si="8"/>
        <v>0</v>
      </c>
      <c r="G76" t="b">
        <f>IF('Input and Summary Results'!$J$4="yes",IF(C76=FALSE,FALSE,IF(E76&lt;$R$10,'Data Transformation'!E76,$R$10)),IF(C76=FALSE,FALSE,IF('Data Transformation'!C76&lt;$R$10,C76,$R$10)))</f>
        <v>0</v>
      </c>
      <c r="H76" t="b">
        <f>IF('Input and Summary Results'!$J$4="yes",'Data Transformation'!F76,'Data Transformation'!D76)</f>
        <v>0</v>
      </c>
    </row>
    <row r="77" spans="2:8" x14ac:dyDescent="0.25">
      <c r="B77" t="b">
        <f>IF('Input and Summary Results'!D60="",FALSE,'Input and Summary Results'!$B60)</f>
        <v>0</v>
      </c>
      <c r="C77" t="b">
        <f>IF(OR(B77=0,'Input and Summary Results'!D60=0,'Input and Summary Results'!D60=""),FALSE,'Input and Summary Results'!$D60)</f>
        <v>0</v>
      </c>
      <c r="D77" t="b">
        <f>IF(OR(B77=0,'Input and Summary Results'!E60=0),FALSE,'Input and Summary Results'!$E60)</f>
        <v>0</v>
      </c>
      <c r="E77" t="b">
        <f t="shared" si="7"/>
        <v>0</v>
      </c>
      <c r="F77" s="13" t="b">
        <f t="shared" si="8"/>
        <v>0</v>
      </c>
      <c r="G77" t="b">
        <f>IF('Input and Summary Results'!$J$4="yes",IF(C77=FALSE,FALSE,IF(E77&lt;$R$10,'Data Transformation'!E77,$R$10)),IF(C77=FALSE,FALSE,IF('Data Transformation'!C77&lt;$R$10,C77,$R$10)))</f>
        <v>0</v>
      </c>
      <c r="H77" t="b">
        <f>IF('Input and Summary Results'!$J$4="yes",'Data Transformation'!F77,'Data Transformation'!D77)</f>
        <v>0</v>
      </c>
    </row>
    <row r="78" spans="2:8" x14ac:dyDescent="0.25">
      <c r="B78" t="b">
        <f>IF('Input and Summary Results'!D61="",FALSE,'Input and Summary Results'!$B61)</f>
        <v>0</v>
      </c>
      <c r="C78" t="b">
        <f>IF(OR(B78=0,'Input and Summary Results'!D61=0,'Input and Summary Results'!D61=""),FALSE,'Input and Summary Results'!$D61)</f>
        <v>0</v>
      </c>
      <c r="D78" t="b">
        <f>IF(OR(B78=0,'Input and Summary Results'!E61=0),FALSE,'Input and Summary Results'!$E61)</f>
        <v>0</v>
      </c>
      <c r="E78" t="b">
        <f t="shared" si="7"/>
        <v>0</v>
      </c>
      <c r="F78" s="13" t="b">
        <f t="shared" si="8"/>
        <v>0</v>
      </c>
      <c r="G78" t="b">
        <f>IF('Input and Summary Results'!$J$4="yes",IF(C78=FALSE,FALSE,IF(E78&lt;$R$10,'Data Transformation'!E78,$R$10)),IF(C78=FALSE,FALSE,IF('Data Transformation'!C78&lt;$R$10,C78,$R$10)))</f>
        <v>0</v>
      </c>
      <c r="H78" t="b">
        <f>IF('Input and Summary Results'!$J$4="yes",'Data Transformation'!F78,'Data Transformation'!D78)</f>
        <v>0</v>
      </c>
    </row>
    <row r="79" spans="2:8" x14ac:dyDescent="0.25">
      <c r="B79" t="b">
        <f>IF('Input and Summary Results'!D62="",FALSE,'Input and Summary Results'!$B62)</f>
        <v>0</v>
      </c>
      <c r="C79" t="b">
        <f>IF(OR(B79=0,'Input and Summary Results'!D62=0,'Input and Summary Results'!D62=""),FALSE,'Input and Summary Results'!$D62)</f>
        <v>0</v>
      </c>
      <c r="D79" t="b">
        <f>IF(OR(B79=0,'Input and Summary Results'!E62=0),FALSE,'Input and Summary Results'!$E62)</f>
        <v>0</v>
      </c>
      <c r="E79" t="b">
        <f t="shared" si="7"/>
        <v>0</v>
      </c>
      <c r="F79" s="13" t="b">
        <f t="shared" si="8"/>
        <v>0</v>
      </c>
      <c r="G79" t="b">
        <f>IF('Input and Summary Results'!$J$4="yes",IF(C79=FALSE,FALSE,IF(E79&lt;$R$10,'Data Transformation'!E79,$R$10)),IF(C79=FALSE,FALSE,IF('Data Transformation'!C79&lt;$R$10,C79,$R$10)))</f>
        <v>0</v>
      </c>
      <c r="H79" t="b">
        <f>IF('Input and Summary Results'!$J$4="yes",'Data Transformation'!F79,'Data Transformation'!D79)</f>
        <v>0</v>
      </c>
    </row>
    <row r="80" spans="2:8" x14ac:dyDescent="0.25">
      <c r="B80" t="b">
        <f>IF('Input and Summary Results'!D63="",FALSE,'Input and Summary Results'!$B63)</f>
        <v>0</v>
      </c>
      <c r="C80" t="b">
        <f>IF(OR(B80=0,'Input and Summary Results'!D63=0,'Input and Summary Results'!D63=""),FALSE,'Input and Summary Results'!$D63)</f>
        <v>0</v>
      </c>
      <c r="D80" t="b">
        <f>IF(OR(B80=0,'Input and Summary Results'!E63=0),FALSE,'Input and Summary Results'!$E63)</f>
        <v>0</v>
      </c>
      <c r="E80" t="b">
        <f t="shared" si="7"/>
        <v>0</v>
      </c>
      <c r="F80" s="13" t="b">
        <f t="shared" si="8"/>
        <v>0</v>
      </c>
      <c r="G80" t="b">
        <f>IF('Input and Summary Results'!$J$4="yes",IF(C80=FALSE,FALSE,IF(E80&lt;$R$10,'Data Transformation'!E80,$R$10)),IF(C80=FALSE,FALSE,IF('Data Transformation'!C80&lt;$R$10,C80,$R$10)))</f>
        <v>0</v>
      </c>
      <c r="H80" t="b">
        <f>IF('Input and Summary Results'!$J$4="yes",'Data Transformation'!F80,'Data Transformation'!D80)</f>
        <v>0</v>
      </c>
    </row>
    <row r="81" spans="2:8" x14ac:dyDescent="0.25">
      <c r="B81" t="b">
        <f>IF('Input and Summary Results'!D64="",FALSE,'Input and Summary Results'!$B64)</f>
        <v>0</v>
      </c>
      <c r="C81" t="b">
        <f>IF(OR(B81=0,'Input and Summary Results'!D64=0,'Input and Summary Results'!D64=""),FALSE,'Input and Summary Results'!$D64)</f>
        <v>0</v>
      </c>
      <c r="D81" t="b">
        <f>IF(OR(B81=0,'Input and Summary Results'!E64=0),FALSE,'Input and Summary Results'!$E64)</f>
        <v>0</v>
      </c>
      <c r="E81" t="b">
        <f t="shared" si="7"/>
        <v>0</v>
      </c>
      <c r="F81" s="13" t="b">
        <f t="shared" si="8"/>
        <v>0</v>
      </c>
      <c r="G81" t="b">
        <f>IF('Input and Summary Results'!$J$4="yes",IF(C81=FALSE,FALSE,IF(E81&lt;$R$10,'Data Transformation'!E81,$R$10)),IF(C81=FALSE,FALSE,IF('Data Transformation'!C81&lt;$R$10,C81,$R$10)))</f>
        <v>0</v>
      </c>
      <c r="H81" t="b">
        <f>IF('Input and Summary Results'!$J$4="yes",'Data Transformation'!F81,'Data Transformation'!D81)</f>
        <v>0</v>
      </c>
    </row>
    <row r="82" spans="2:8" x14ac:dyDescent="0.25">
      <c r="B82" t="b">
        <f>IF('Input and Summary Results'!D65="",FALSE,'Input and Summary Results'!$B65)</f>
        <v>0</v>
      </c>
      <c r="C82" t="b">
        <f>IF(OR(B82=0,'Input and Summary Results'!D65=0,'Input and Summary Results'!D65=""),FALSE,'Input and Summary Results'!$D65)</f>
        <v>0</v>
      </c>
      <c r="D82" t="b">
        <f>IF(OR(B82=0,'Input and Summary Results'!E65=0),FALSE,'Input and Summary Results'!$E65)</f>
        <v>0</v>
      </c>
      <c r="E82" t="b">
        <f t="shared" si="7"/>
        <v>0</v>
      </c>
      <c r="F82" s="13" t="b">
        <f t="shared" si="8"/>
        <v>0</v>
      </c>
      <c r="G82" t="b">
        <f>IF('Input and Summary Results'!$J$4="yes",IF(C82=FALSE,FALSE,IF(E82&lt;$R$10,'Data Transformation'!E82,$R$10)),IF(C82=FALSE,FALSE,IF('Data Transformation'!C82&lt;$R$10,C82,$R$10)))</f>
        <v>0</v>
      </c>
      <c r="H82" t="b">
        <f>IF('Input and Summary Results'!$J$4="yes",'Data Transformation'!F82,'Data Transformation'!D82)</f>
        <v>0</v>
      </c>
    </row>
    <row r="83" spans="2:8" x14ac:dyDescent="0.25">
      <c r="B83" t="b">
        <f>IF('Input and Summary Results'!D66="",FALSE,'Input and Summary Results'!$B66)</f>
        <v>0</v>
      </c>
      <c r="C83" t="b">
        <f>IF(OR(B83=0,'Input and Summary Results'!D66=0,'Input and Summary Results'!D66=""),FALSE,'Input and Summary Results'!$D66)</f>
        <v>0</v>
      </c>
      <c r="D83" t="b">
        <f>IF(OR(B83=0,'Input and Summary Results'!E66=0),FALSE,'Input and Summary Results'!$E66)</f>
        <v>0</v>
      </c>
      <c r="E83" t="b">
        <f t="shared" si="7"/>
        <v>0</v>
      </c>
      <c r="F83" s="13" t="b">
        <f t="shared" si="8"/>
        <v>0</v>
      </c>
      <c r="G83" t="b">
        <f>IF('Input and Summary Results'!$J$4="yes",IF(C83=FALSE,FALSE,IF(E83&lt;$R$10,'Data Transformation'!E83,$R$10)),IF(C83=FALSE,FALSE,IF('Data Transformation'!C83&lt;$R$10,C83,$R$10)))</f>
        <v>0</v>
      </c>
      <c r="H83" t="b">
        <f>IF('Input and Summary Results'!$J$4="yes",'Data Transformation'!F83,'Data Transformation'!D83)</f>
        <v>0</v>
      </c>
    </row>
    <row r="84" spans="2:8" x14ac:dyDescent="0.25">
      <c r="B84" t="b">
        <f>IF('Input and Summary Results'!D67="",FALSE,'Input and Summary Results'!$B67)</f>
        <v>0</v>
      </c>
      <c r="C84" t="b">
        <f>IF(OR(B84=0,'Input and Summary Results'!D67=0,'Input and Summary Results'!D67=""),FALSE,'Input and Summary Results'!$D67)</f>
        <v>0</v>
      </c>
      <c r="D84" t="b">
        <f>IF(OR(B84=0,'Input and Summary Results'!E67=0),FALSE,'Input and Summary Results'!$E67)</f>
        <v>0</v>
      </c>
      <c r="E84" t="b">
        <f t="shared" si="7"/>
        <v>0</v>
      </c>
      <c r="F84" s="13" t="b">
        <f t="shared" si="8"/>
        <v>0</v>
      </c>
      <c r="G84" t="b">
        <f>IF('Input and Summary Results'!$J$4="yes",IF(C84=FALSE,FALSE,IF(E84&lt;$R$10,'Data Transformation'!E84,$R$10)),IF(C84=FALSE,FALSE,IF('Data Transformation'!C84&lt;$R$10,C84,$R$10)))</f>
        <v>0</v>
      </c>
      <c r="H84" t="b">
        <f>IF('Input and Summary Results'!$J$4="yes",'Data Transformation'!F84,'Data Transformation'!D84)</f>
        <v>0</v>
      </c>
    </row>
    <row r="85" spans="2:8" x14ac:dyDescent="0.25">
      <c r="B85" t="b">
        <f>IF('Input and Summary Results'!D68="",FALSE,'Input and Summary Results'!$B68)</f>
        <v>0</v>
      </c>
      <c r="C85" t="b">
        <f>IF(OR(B85=0,'Input and Summary Results'!D68=0,'Input and Summary Results'!D68=""),FALSE,'Input and Summary Results'!$D68)</f>
        <v>0</v>
      </c>
      <c r="D85" t="b">
        <f>IF(OR(B85=0,'Input and Summary Results'!E68=0),FALSE,'Input and Summary Results'!$E68)</f>
        <v>0</v>
      </c>
      <c r="E85" t="b">
        <f t="shared" si="7"/>
        <v>0</v>
      </c>
      <c r="F85" s="13" t="b">
        <f t="shared" si="8"/>
        <v>0</v>
      </c>
      <c r="G85" t="b">
        <f>IF('Input and Summary Results'!$J$4="yes",IF(C85=FALSE,FALSE,IF(E85&lt;$R$10,'Data Transformation'!E85,$R$10)),IF(C85=FALSE,FALSE,IF('Data Transformation'!C85&lt;$R$10,C85,$R$10)))</f>
        <v>0</v>
      </c>
      <c r="H85" t="b">
        <f>IF('Input and Summary Results'!$J$4="yes",'Data Transformation'!F85,'Data Transformation'!D85)</f>
        <v>0</v>
      </c>
    </row>
    <row r="86" spans="2:8" x14ac:dyDescent="0.25">
      <c r="B86" t="b">
        <f>IF('Input and Summary Results'!D69="",FALSE,'Input and Summary Results'!$B69)</f>
        <v>0</v>
      </c>
      <c r="C86" t="b">
        <f>IF(OR(B86=0,'Input and Summary Results'!D69=0,'Input and Summary Results'!D69=""),FALSE,'Input and Summary Results'!$D69)</f>
        <v>0</v>
      </c>
      <c r="D86" t="b">
        <f>IF(OR(B86=0,'Input and Summary Results'!E69=0),FALSE,'Input and Summary Results'!$E69)</f>
        <v>0</v>
      </c>
      <c r="E86" t="b">
        <f t="shared" si="7"/>
        <v>0</v>
      </c>
      <c r="F86" s="13" t="b">
        <f t="shared" si="8"/>
        <v>0</v>
      </c>
      <c r="G86" t="b">
        <f>IF('Input and Summary Results'!$J$4="yes",IF(C86=FALSE,FALSE,IF(E86&lt;$R$10,'Data Transformation'!E86,$R$10)),IF(C86=FALSE,FALSE,IF('Data Transformation'!C86&lt;$R$10,C86,$R$10)))</f>
        <v>0</v>
      </c>
      <c r="H86" t="b">
        <f>IF('Input and Summary Results'!$J$4="yes",'Data Transformation'!F86,'Data Transformation'!D86)</f>
        <v>0</v>
      </c>
    </row>
    <row r="87" spans="2:8" x14ac:dyDescent="0.25">
      <c r="B87" t="b">
        <f>IF('Input and Summary Results'!D70="",FALSE,'Input and Summary Results'!$B70)</f>
        <v>0</v>
      </c>
      <c r="C87" t="b">
        <f>IF(OR(B87=0,'Input and Summary Results'!D70=0,'Input and Summary Results'!D70=""),FALSE,'Input and Summary Results'!$D70)</f>
        <v>0</v>
      </c>
      <c r="D87" t="b">
        <f>IF(OR(B87=0,'Input and Summary Results'!E70=0),FALSE,'Input and Summary Results'!$E70)</f>
        <v>0</v>
      </c>
      <c r="E87" t="b">
        <f t="shared" si="7"/>
        <v>0</v>
      </c>
      <c r="F87" s="13" t="b">
        <f t="shared" si="8"/>
        <v>0</v>
      </c>
      <c r="G87" t="b">
        <f>IF('Input and Summary Results'!$J$4="yes",IF(C87=FALSE,FALSE,IF(E87&lt;$R$10,'Data Transformation'!E87,$R$10)),IF(C87=FALSE,FALSE,IF('Data Transformation'!C87&lt;$R$10,C87,$R$10)))</f>
        <v>0</v>
      </c>
      <c r="H87" t="b">
        <f>IF('Input and Summary Results'!$J$4="yes",'Data Transformation'!F87,'Data Transformation'!D87)</f>
        <v>0</v>
      </c>
    </row>
    <row r="88" spans="2:8" x14ac:dyDescent="0.25">
      <c r="B88" t="b">
        <f>IF('Input and Summary Results'!D71="",FALSE,'Input and Summary Results'!$B71)</f>
        <v>0</v>
      </c>
      <c r="C88" t="b">
        <f>IF(OR(B88=0,'Input and Summary Results'!D71=0,'Input and Summary Results'!D71=""),FALSE,'Input and Summary Results'!$D71)</f>
        <v>0</v>
      </c>
      <c r="D88" t="b">
        <f>IF(OR(B88=0,'Input and Summary Results'!E71=0),FALSE,'Input and Summary Results'!$E71)</f>
        <v>0</v>
      </c>
      <c r="E88" t="b">
        <f t="shared" si="7"/>
        <v>0</v>
      </c>
      <c r="F88" s="13" t="b">
        <f t="shared" si="8"/>
        <v>0</v>
      </c>
      <c r="G88" t="b">
        <f>IF('Input and Summary Results'!$J$4="yes",IF(C88=FALSE,FALSE,IF(E88&lt;$R$10,'Data Transformation'!E88,$R$10)),IF(C88=FALSE,FALSE,IF('Data Transformation'!C88&lt;$R$10,C88,$R$10)))</f>
        <v>0</v>
      </c>
      <c r="H88" t="b">
        <f>IF('Input and Summary Results'!$J$4="yes",'Data Transformation'!F88,'Data Transformation'!D88)</f>
        <v>0</v>
      </c>
    </row>
    <row r="89" spans="2:8" x14ac:dyDescent="0.25">
      <c r="B89" t="b">
        <f>IF('Input and Summary Results'!D72="",FALSE,'Input and Summary Results'!$B72)</f>
        <v>0</v>
      </c>
      <c r="C89" t="b">
        <f>IF(OR(B89=0,'Input and Summary Results'!D72=0,'Input and Summary Results'!D72=""),FALSE,'Input and Summary Results'!$D72)</f>
        <v>0</v>
      </c>
      <c r="D89" t="b">
        <f>IF(OR(B89=0,'Input and Summary Results'!E72=0),FALSE,'Input and Summary Results'!$E72)</f>
        <v>0</v>
      </c>
      <c r="E89" t="b">
        <f t="shared" si="7"/>
        <v>0</v>
      </c>
      <c r="F89" s="13" t="b">
        <f t="shared" si="8"/>
        <v>0</v>
      </c>
      <c r="G89" t="b">
        <f>IF('Input and Summary Results'!$J$4="yes",IF(C89=FALSE,FALSE,IF(E89&lt;$R$10,'Data Transformation'!E89,$R$10)),IF(C89=FALSE,FALSE,IF('Data Transformation'!C89&lt;$R$10,C89,$R$10)))</f>
        <v>0</v>
      </c>
      <c r="H89" t="b">
        <f>IF('Input and Summary Results'!$J$4="yes",'Data Transformation'!F89,'Data Transformation'!D89)</f>
        <v>0</v>
      </c>
    </row>
    <row r="90" spans="2:8" x14ac:dyDescent="0.25">
      <c r="B90" t="b">
        <f>IF('Input and Summary Results'!D73="",FALSE,'Input and Summary Results'!$B73)</f>
        <v>0</v>
      </c>
      <c r="C90" t="b">
        <f>IF(OR(B90=0,'Input and Summary Results'!D73=0,'Input and Summary Results'!D73=""),FALSE,'Input and Summary Results'!$D73)</f>
        <v>0</v>
      </c>
      <c r="D90" t="b">
        <f>IF(OR(B90=0,'Input and Summary Results'!E73=0),FALSE,'Input and Summary Results'!$E73)</f>
        <v>0</v>
      </c>
      <c r="E90" t="b">
        <f t="shared" si="7"/>
        <v>0</v>
      </c>
      <c r="F90" s="13" t="b">
        <f t="shared" si="8"/>
        <v>0</v>
      </c>
      <c r="G90" t="b">
        <f>IF('Input and Summary Results'!$J$4="yes",IF(C90=FALSE,FALSE,IF(E90&lt;$R$10,'Data Transformation'!E90,$R$10)),IF(C90=FALSE,FALSE,IF('Data Transformation'!C90&lt;$R$10,C90,$R$10)))</f>
        <v>0</v>
      </c>
      <c r="H90" t="b">
        <f>IF('Input and Summary Results'!$J$4="yes",'Data Transformation'!F90,'Data Transformation'!D90)</f>
        <v>0</v>
      </c>
    </row>
    <row r="91" spans="2:8" x14ac:dyDescent="0.25">
      <c r="B91" t="b">
        <f>IF('Input and Summary Results'!D74="",FALSE,'Input and Summary Results'!$B74)</f>
        <v>0</v>
      </c>
      <c r="C91" t="b">
        <f>IF(OR(B91=0,'Input and Summary Results'!D74=0,'Input and Summary Results'!D74=""),FALSE,'Input and Summary Results'!$D74)</f>
        <v>0</v>
      </c>
      <c r="D91" t="b">
        <f>IF(OR(B91=0,'Input and Summary Results'!E74=0),FALSE,'Input and Summary Results'!$E74)</f>
        <v>0</v>
      </c>
      <c r="E91" t="b">
        <f t="shared" si="7"/>
        <v>0</v>
      </c>
      <c r="F91" s="13" t="b">
        <f t="shared" si="8"/>
        <v>0</v>
      </c>
      <c r="G91" t="b">
        <f>IF('Input and Summary Results'!$J$4="yes",IF(C91=FALSE,FALSE,IF(E91&lt;$R$10,'Data Transformation'!E91,$R$10)),IF(C91=FALSE,FALSE,IF('Data Transformation'!C91&lt;$R$10,C91,$R$10)))</f>
        <v>0</v>
      </c>
      <c r="H91" t="b">
        <f>IF('Input and Summary Results'!$J$4="yes",'Data Transformation'!F91,'Data Transformation'!D91)</f>
        <v>0</v>
      </c>
    </row>
    <row r="92" spans="2:8" x14ac:dyDescent="0.25">
      <c r="B92" t="b">
        <f>IF('Input and Summary Results'!D75="",FALSE,'Input and Summary Results'!$B75)</f>
        <v>0</v>
      </c>
      <c r="C92" t="b">
        <f>IF(OR(B92=0,'Input and Summary Results'!D75=0,'Input and Summary Results'!D75=""),FALSE,'Input and Summary Results'!$D75)</f>
        <v>0</v>
      </c>
      <c r="D92" t="b">
        <f>IF(OR(B92=0,'Input and Summary Results'!E75=0),FALSE,'Input and Summary Results'!$E75)</f>
        <v>0</v>
      </c>
      <c r="E92" t="b">
        <f t="shared" si="7"/>
        <v>0</v>
      </c>
      <c r="F92" s="13" t="b">
        <f t="shared" si="8"/>
        <v>0</v>
      </c>
      <c r="G92" t="b">
        <f>IF('Input and Summary Results'!$J$4="yes",IF(C92=FALSE,FALSE,IF(E92&lt;$R$10,'Data Transformation'!E92,$R$10)),IF(C92=FALSE,FALSE,IF('Data Transformation'!C92&lt;$R$10,C92,$R$10)))</f>
        <v>0</v>
      </c>
      <c r="H92" t="b">
        <f>IF('Input and Summary Results'!$J$4="yes",'Data Transformation'!F92,'Data Transformation'!D92)</f>
        <v>0</v>
      </c>
    </row>
    <row r="93" spans="2:8" x14ac:dyDescent="0.25">
      <c r="B93" t="b">
        <f>IF('Input and Summary Results'!D76="",FALSE,'Input and Summary Results'!$B76)</f>
        <v>0</v>
      </c>
      <c r="C93" t="b">
        <f>IF(OR(B93=0,'Input and Summary Results'!D76=0,'Input and Summary Results'!D76=""),FALSE,'Input and Summary Results'!$D76)</f>
        <v>0</v>
      </c>
      <c r="D93" t="b">
        <f>IF(OR(B93=0,'Input and Summary Results'!E76=0),FALSE,'Input and Summary Results'!$E76)</f>
        <v>0</v>
      </c>
      <c r="E93" t="b">
        <f t="shared" si="7"/>
        <v>0</v>
      </c>
      <c r="F93" s="13" t="b">
        <f t="shared" si="8"/>
        <v>0</v>
      </c>
      <c r="G93" t="b">
        <f>IF('Input and Summary Results'!$J$4="yes",IF(C93=FALSE,FALSE,IF(E93&lt;$R$10,'Data Transformation'!E93,$R$10)),IF(C93=FALSE,FALSE,IF('Data Transformation'!C93&lt;$R$10,C93,$R$10)))</f>
        <v>0</v>
      </c>
      <c r="H93" t="b">
        <f>IF('Input and Summary Results'!$J$4="yes",'Data Transformation'!F93,'Data Transformation'!D93)</f>
        <v>0</v>
      </c>
    </row>
    <row r="94" spans="2:8" x14ac:dyDescent="0.25">
      <c r="B94" t="b">
        <f>IF('Input and Summary Results'!D77="",FALSE,'Input and Summary Results'!$B77)</f>
        <v>0</v>
      </c>
      <c r="C94" t="b">
        <f>IF(OR(B94=0,'Input and Summary Results'!D77=0,'Input and Summary Results'!D77=""),FALSE,'Input and Summary Results'!$D77)</f>
        <v>0</v>
      </c>
      <c r="D94" t="b">
        <f>IF(OR(B94=0,'Input and Summary Results'!E77=0),FALSE,'Input and Summary Results'!$E77)</f>
        <v>0</v>
      </c>
      <c r="E94" t="b">
        <f t="shared" si="7"/>
        <v>0</v>
      </c>
      <c r="F94" s="13" t="b">
        <f t="shared" si="8"/>
        <v>0</v>
      </c>
      <c r="G94" t="b">
        <f>IF('Input and Summary Results'!$J$4="yes",IF(C94=FALSE,FALSE,IF(E94&lt;$R$10,'Data Transformation'!E94,$R$10)),IF(C94=FALSE,FALSE,IF('Data Transformation'!C94&lt;$R$10,C94,$R$10)))</f>
        <v>0</v>
      </c>
      <c r="H94" t="b">
        <f>IF('Input and Summary Results'!$J$4="yes",'Data Transformation'!F94,'Data Transformation'!D94)</f>
        <v>0</v>
      </c>
    </row>
    <row r="95" spans="2:8" x14ac:dyDescent="0.25">
      <c r="B95" t="b">
        <f>IF('Input and Summary Results'!D78="",FALSE,'Input and Summary Results'!$B78)</f>
        <v>0</v>
      </c>
      <c r="C95" t="b">
        <f>IF(OR(B95=0,'Input and Summary Results'!D78=0,'Input and Summary Results'!D78=""),FALSE,'Input and Summary Results'!$D78)</f>
        <v>0</v>
      </c>
      <c r="D95" t="b">
        <f>IF(OR(B95=0,'Input and Summary Results'!E78=0),FALSE,'Input and Summary Results'!$E78)</f>
        <v>0</v>
      </c>
      <c r="E95" t="b">
        <f t="shared" si="7"/>
        <v>0</v>
      </c>
      <c r="F95" s="13" t="b">
        <f t="shared" si="8"/>
        <v>0</v>
      </c>
      <c r="G95" t="b">
        <f>IF('Input and Summary Results'!$J$4="yes",IF(C95=FALSE,FALSE,IF(E95&lt;$R$10,'Data Transformation'!E95,$R$10)),IF(C95=FALSE,FALSE,IF('Data Transformation'!C95&lt;$R$10,C95,$R$10)))</f>
        <v>0</v>
      </c>
      <c r="H95" t="b">
        <f>IF('Input and Summary Results'!$J$4="yes",'Data Transformation'!F95,'Data Transformation'!D95)</f>
        <v>0</v>
      </c>
    </row>
    <row r="96" spans="2:8" x14ac:dyDescent="0.25">
      <c r="B96" t="b">
        <f>IF('Input and Summary Results'!D79="",FALSE,'Input and Summary Results'!$B79)</f>
        <v>0</v>
      </c>
      <c r="C96" t="b">
        <f>IF(OR(B96=0,'Input and Summary Results'!D79=0,'Input and Summary Results'!D79=""),FALSE,'Input and Summary Results'!$D79)</f>
        <v>0</v>
      </c>
      <c r="D96" t="b">
        <f>IF(OR(B96=0,'Input and Summary Results'!E79=0),FALSE,'Input and Summary Results'!$E79)</f>
        <v>0</v>
      </c>
      <c r="E96" t="b">
        <f t="shared" si="7"/>
        <v>0</v>
      </c>
      <c r="F96" s="13" t="b">
        <f t="shared" si="8"/>
        <v>0</v>
      </c>
      <c r="G96" t="b">
        <f>IF('Input and Summary Results'!$J$4="yes",IF(C96=FALSE,FALSE,IF(E96&lt;$R$10,'Data Transformation'!E96,$R$10)),IF(C96=FALSE,FALSE,IF('Data Transformation'!C96&lt;$R$10,C96,$R$10)))</f>
        <v>0</v>
      </c>
      <c r="H96" t="b">
        <f>IF('Input and Summary Results'!$J$4="yes",'Data Transformation'!F96,'Data Transformation'!D96)</f>
        <v>0</v>
      </c>
    </row>
    <row r="97" spans="2:8" x14ac:dyDescent="0.25">
      <c r="B97" t="b">
        <f>IF('Input and Summary Results'!D80="",FALSE,'Input and Summary Results'!$B80)</f>
        <v>0</v>
      </c>
      <c r="C97" t="b">
        <f>IF(OR(B97=0,'Input and Summary Results'!D80=0,'Input and Summary Results'!D80=""),FALSE,'Input and Summary Results'!$D80)</f>
        <v>0</v>
      </c>
      <c r="D97" t="b">
        <f>IF(OR(B97=0,'Input and Summary Results'!E80=0),FALSE,'Input and Summary Results'!$E80)</f>
        <v>0</v>
      </c>
      <c r="E97" t="b">
        <f t="shared" si="7"/>
        <v>0</v>
      </c>
      <c r="F97" s="13" t="b">
        <f t="shared" si="8"/>
        <v>0</v>
      </c>
      <c r="G97" t="b">
        <f>IF('Input and Summary Results'!$J$4="yes",IF(C97=FALSE,FALSE,IF(E97&lt;$R$10,'Data Transformation'!E97,$R$10)),IF(C97=FALSE,FALSE,IF('Data Transformation'!C97&lt;$R$10,C97,$R$10)))</f>
        <v>0</v>
      </c>
      <c r="H97" t="b">
        <f>IF('Input and Summary Results'!$J$4="yes",'Data Transformation'!F97,'Data Transformation'!D97)</f>
        <v>0</v>
      </c>
    </row>
    <row r="98" spans="2:8" x14ac:dyDescent="0.25">
      <c r="B98" t="b">
        <f>IF('Input and Summary Results'!D81="",FALSE,'Input and Summary Results'!$B81)</f>
        <v>0</v>
      </c>
      <c r="C98" t="b">
        <f>IF(OR(B98=0,'Input and Summary Results'!D81=0,'Input and Summary Results'!D81=""),FALSE,'Input and Summary Results'!$D81)</f>
        <v>0</v>
      </c>
      <c r="D98" t="b">
        <f>IF(OR(B98=0,'Input and Summary Results'!E81=0),FALSE,'Input and Summary Results'!$E81)</f>
        <v>0</v>
      </c>
      <c r="E98" t="b">
        <f t="shared" si="7"/>
        <v>0</v>
      </c>
      <c r="F98" s="13" t="b">
        <f t="shared" si="8"/>
        <v>0</v>
      </c>
      <c r="G98" t="b">
        <f>IF('Input and Summary Results'!$J$4="yes",IF(C98=FALSE,FALSE,IF(E98&lt;$R$10,'Data Transformation'!E98,$R$10)),IF(C98=FALSE,FALSE,IF('Data Transformation'!C98&lt;$R$10,C98,$R$10)))</f>
        <v>0</v>
      </c>
      <c r="H98" t="b">
        <f>IF('Input and Summary Results'!$J$4="yes",'Data Transformation'!F98,'Data Transformation'!D98)</f>
        <v>0</v>
      </c>
    </row>
    <row r="99" spans="2:8" x14ac:dyDescent="0.25">
      <c r="B99" t="b">
        <f>IF('Input and Summary Results'!D82="",FALSE,'Input and Summary Results'!$B82)</f>
        <v>0</v>
      </c>
      <c r="C99" t="b">
        <f>IF(OR(B99=0,'Input and Summary Results'!D82=0,'Input and Summary Results'!D82=""),FALSE,'Input and Summary Results'!$D82)</f>
        <v>0</v>
      </c>
      <c r="D99" t="b">
        <f>IF(OR(B99=0,'Input and Summary Results'!E82=0),FALSE,'Input and Summary Results'!$E82)</f>
        <v>0</v>
      </c>
      <c r="E99" t="b">
        <f t="shared" si="7"/>
        <v>0</v>
      </c>
      <c r="F99" s="13" t="b">
        <f t="shared" si="8"/>
        <v>0</v>
      </c>
      <c r="G99" t="b">
        <f>IF('Input and Summary Results'!$J$4="yes",IF(C99=FALSE,FALSE,IF(E99&lt;$R$10,'Data Transformation'!E99,$R$10)),IF(C99=FALSE,FALSE,IF('Data Transformation'!C99&lt;$R$10,C99,$R$10)))</f>
        <v>0</v>
      </c>
      <c r="H99" t="b">
        <f>IF('Input and Summary Results'!$J$4="yes",'Data Transformation'!F99,'Data Transformation'!D99)</f>
        <v>0</v>
      </c>
    </row>
    <row r="100" spans="2:8" x14ac:dyDescent="0.25">
      <c r="B100" t="b">
        <f>IF('Input and Summary Results'!D83="",FALSE,'Input and Summary Results'!$B83)</f>
        <v>0</v>
      </c>
      <c r="C100" t="b">
        <f>IF(OR(B100=0,'Input and Summary Results'!D83=0,'Input and Summary Results'!D83=""),FALSE,'Input and Summary Results'!$D83)</f>
        <v>0</v>
      </c>
      <c r="D100" t="b">
        <f>IF(OR(B100=0,'Input and Summary Results'!E83=0),FALSE,'Input and Summary Results'!$E83)</f>
        <v>0</v>
      </c>
      <c r="E100" t="b">
        <f t="shared" si="7"/>
        <v>0</v>
      </c>
      <c r="F100" s="13" t="b">
        <f t="shared" si="8"/>
        <v>0</v>
      </c>
      <c r="G100" t="b">
        <f>IF('Input and Summary Results'!$J$4="yes",IF(C100=FALSE,FALSE,IF(E100&lt;$R$10,'Data Transformation'!E100,$R$10)),IF(C100=FALSE,FALSE,IF('Data Transformation'!C100&lt;$R$10,C100,$R$10)))</f>
        <v>0</v>
      </c>
      <c r="H100" t="b">
        <f>IF('Input and Summary Results'!$J$4="yes",'Data Transformation'!F100,'Data Transformation'!D100)</f>
        <v>0</v>
      </c>
    </row>
    <row r="101" spans="2:8" x14ac:dyDescent="0.25">
      <c r="B101" t="b">
        <f>IF('Input and Summary Results'!D84="",FALSE,'Input and Summary Results'!$B84)</f>
        <v>0</v>
      </c>
      <c r="C101" t="b">
        <f>IF(OR(B101=0,'Input and Summary Results'!D84=0,'Input and Summary Results'!D84=""),FALSE,'Input and Summary Results'!$D84)</f>
        <v>0</v>
      </c>
      <c r="D101" t="b">
        <f>IF(OR(B101=0,'Input and Summary Results'!E84=0),FALSE,'Input and Summary Results'!$E84)</f>
        <v>0</v>
      </c>
      <c r="E101" t="b">
        <f t="shared" si="7"/>
        <v>0</v>
      </c>
      <c r="F101" s="13" t="b">
        <f t="shared" si="8"/>
        <v>0</v>
      </c>
      <c r="G101" t="b">
        <f>IF('Input and Summary Results'!$J$4="yes",IF(C101=FALSE,FALSE,IF(E101&lt;$R$10,'Data Transformation'!E101,$R$10)),IF(C101=FALSE,FALSE,IF('Data Transformation'!C101&lt;$R$10,C101,$R$10)))</f>
        <v>0</v>
      </c>
      <c r="H101" t="b">
        <f>IF('Input and Summary Results'!$J$4="yes",'Data Transformation'!F101,'Data Transformation'!D101)</f>
        <v>0</v>
      </c>
    </row>
    <row r="102" spans="2:8" x14ac:dyDescent="0.25">
      <c r="B102" t="b">
        <f>IF('Input and Summary Results'!D85="",FALSE,'Input and Summary Results'!$B85)</f>
        <v>0</v>
      </c>
      <c r="C102" t="b">
        <f>IF(OR(B102=0,'Input and Summary Results'!D85=0,'Input and Summary Results'!D85=""),FALSE,'Input and Summary Results'!$D85)</f>
        <v>0</v>
      </c>
      <c r="D102" t="b">
        <f>IF(OR(B102=0,'Input and Summary Results'!E85=0),FALSE,'Input and Summary Results'!$E85)</f>
        <v>0</v>
      </c>
      <c r="E102" t="b">
        <f t="shared" si="7"/>
        <v>0</v>
      </c>
      <c r="F102" s="13" t="b">
        <f t="shared" si="8"/>
        <v>0</v>
      </c>
      <c r="G102" t="b">
        <f>IF('Input and Summary Results'!$J$4="yes",IF(C102=FALSE,FALSE,IF(E102&lt;$R$10,'Data Transformation'!E102,$R$10)),IF(C102=FALSE,FALSE,IF('Data Transformation'!C102&lt;$R$10,C102,$R$10)))</f>
        <v>0</v>
      </c>
      <c r="H102" t="b">
        <f>IF('Input and Summary Results'!$J$4="yes",'Data Transformation'!F102,'Data Transformation'!D102)</f>
        <v>0</v>
      </c>
    </row>
    <row r="103" spans="2:8" x14ac:dyDescent="0.25">
      <c r="B103" t="b">
        <f>IF('Input and Summary Results'!D86="",FALSE,'Input and Summary Results'!$B86)</f>
        <v>0</v>
      </c>
      <c r="C103" t="b">
        <f>IF(OR(B103=0,'Input and Summary Results'!D86=0,'Input and Summary Results'!D86=""),FALSE,'Input and Summary Results'!$D86)</f>
        <v>0</v>
      </c>
      <c r="D103" t="b">
        <f>IF(OR(B103=0,'Input and Summary Results'!E86=0),FALSE,'Input and Summary Results'!$E86)</f>
        <v>0</v>
      </c>
      <c r="E103" t="b">
        <f t="shared" si="7"/>
        <v>0</v>
      </c>
      <c r="F103" s="13" t="b">
        <f t="shared" si="8"/>
        <v>0</v>
      </c>
      <c r="G103" t="b">
        <f>IF('Input and Summary Results'!$J$4="yes",IF(C103=FALSE,FALSE,IF(E103&lt;$R$10,'Data Transformation'!E103,$R$10)),IF(C103=FALSE,FALSE,IF('Data Transformation'!C103&lt;$R$10,C103,$R$10)))</f>
        <v>0</v>
      </c>
      <c r="H103" t="b">
        <f>IF('Input and Summary Results'!$J$4="yes",'Data Transformation'!F103,'Data Transformation'!D103)</f>
        <v>0</v>
      </c>
    </row>
    <row r="104" spans="2:8" x14ac:dyDescent="0.25">
      <c r="B104" t="b">
        <f>IF('Input and Summary Results'!D87="",FALSE,'Input and Summary Results'!$B87)</f>
        <v>0</v>
      </c>
      <c r="C104" t="b">
        <f>IF(OR(B104=0,'Input and Summary Results'!D87=0,'Input and Summary Results'!D87=""),FALSE,'Input and Summary Results'!$D87)</f>
        <v>0</v>
      </c>
      <c r="D104" t="b">
        <f>IF(OR(B104=0,'Input and Summary Results'!E87=0),FALSE,'Input and Summary Results'!$E87)</f>
        <v>0</v>
      </c>
      <c r="E104" t="b">
        <f t="shared" si="7"/>
        <v>0</v>
      </c>
      <c r="F104" s="13" t="b">
        <f t="shared" si="8"/>
        <v>0</v>
      </c>
      <c r="G104" t="b">
        <f>IF('Input and Summary Results'!$J$4="yes",IF(C104=FALSE,FALSE,IF(E104&lt;$R$10,'Data Transformation'!E104,$R$10)),IF(C104=FALSE,FALSE,IF('Data Transformation'!C104&lt;$R$10,C104,$R$10)))</f>
        <v>0</v>
      </c>
      <c r="H104" t="b">
        <f>IF('Input and Summary Results'!$J$4="yes",'Data Transformation'!F104,'Data Transformation'!D104)</f>
        <v>0</v>
      </c>
    </row>
    <row r="105" spans="2:8" x14ac:dyDescent="0.25">
      <c r="B105" t="b">
        <f>IF('Input and Summary Results'!D88="",FALSE,'Input and Summary Results'!$B88)</f>
        <v>0</v>
      </c>
      <c r="C105" t="b">
        <f>IF(OR(B105=0,'Input and Summary Results'!D88=0,'Input and Summary Results'!D88=""),FALSE,'Input and Summary Results'!$D88)</f>
        <v>0</v>
      </c>
      <c r="D105" t="b">
        <f>IF(OR(B105=0,'Input and Summary Results'!E88=0),FALSE,'Input and Summary Results'!$E88)</f>
        <v>0</v>
      </c>
      <c r="E105" t="b">
        <f t="shared" si="7"/>
        <v>0</v>
      </c>
      <c r="F105" s="13" t="b">
        <f t="shared" si="8"/>
        <v>0</v>
      </c>
      <c r="G105" t="b">
        <f>IF('Input and Summary Results'!$J$4="yes",IF(C105=FALSE,FALSE,IF(E105&lt;$R$10,'Data Transformation'!E105,$R$10)),IF(C105=FALSE,FALSE,IF('Data Transformation'!C105&lt;$R$10,C105,$R$10)))</f>
        <v>0</v>
      </c>
      <c r="H105" t="b">
        <f>IF('Input and Summary Results'!$J$4="yes",'Data Transformation'!F105,'Data Transformation'!D105)</f>
        <v>0</v>
      </c>
    </row>
    <row r="106" spans="2:8" x14ac:dyDescent="0.25">
      <c r="B106" t="b">
        <f>IF('Input and Summary Results'!D89="",FALSE,'Input and Summary Results'!$B89)</f>
        <v>0</v>
      </c>
      <c r="C106" t="b">
        <f>IF(OR(B106=0,'Input and Summary Results'!D89=0,'Input and Summary Results'!D89=""),FALSE,'Input and Summary Results'!$D89)</f>
        <v>0</v>
      </c>
      <c r="D106" t="b">
        <f>IF(OR(B106=0,'Input and Summary Results'!E89=0),FALSE,'Input and Summary Results'!$E89)</f>
        <v>0</v>
      </c>
      <c r="E106" t="b">
        <f t="shared" si="7"/>
        <v>0</v>
      </c>
      <c r="F106" s="13" t="b">
        <f t="shared" si="8"/>
        <v>0</v>
      </c>
      <c r="G106" t="b">
        <f>IF('Input and Summary Results'!$J$4="yes",IF(C106=FALSE,FALSE,IF(E106&lt;$R$10,'Data Transformation'!E106,$R$10)),IF(C106=FALSE,FALSE,IF('Data Transformation'!C106&lt;$R$10,C106,$R$10)))</f>
        <v>0</v>
      </c>
      <c r="H106" t="b">
        <f>IF('Input and Summary Results'!$J$4="yes",'Data Transformation'!F106,'Data Transformation'!D106)</f>
        <v>0</v>
      </c>
    </row>
    <row r="107" spans="2:8" x14ac:dyDescent="0.25">
      <c r="B107" t="b">
        <f>IF('Input and Summary Results'!D90="",FALSE,'Input and Summary Results'!$B90)</f>
        <v>0</v>
      </c>
      <c r="C107" t="b">
        <f>IF(OR(B107=0,'Input and Summary Results'!D90=0,'Input and Summary Results'!D90=""),FALSE,'Input and Summary Results'!$D90)</f>
        <v>0</v>
      </c>
      <c r="D107" t="b">
        <f>IF(OR(B107=0,'Input and Summary Results'!E90=0),FALSE,'Input and Summary Results'!$E90)</f>
        <v>0</v>
      </c>
      <c r="E107" t="b">
        <f t="shared" si="7"/>
        <v>0</v>
      </c>
      <c r="F107" s="13" t="b">
        <f t="shared" si="8"/>
        <v>0</v>
      </c>
      <c r="G107" t="b">
        <f>IF('Input and Summary Results'!$J$4="yes",IF(C107=FALSE,FALSE,IF(E107&lt;$R$10,'Data Transformation'!E107,$R$10)),IF(C107=FALSE,FALSE,IF('Data Transformation'!C107&lt;$R$10,C107,$R$10)))</f>
        <v>0</v>
      </c>
      <c r="H107" t="b">
        <f>IF('Input and Summary Results'!$J$4="yes",'Data Transformation'!F107,'Data Transformation'!D107)</f>
        <v>0</v>
      </c>
    </row>
    <row r="108" spans="2:8" x14ac:dyDescent="0.25">
      <c r="B108" t="b">
        <f>IF('Input and Summary Results'!D91="",FALSE,'Input and Summary Results'!$B91)</f>
        <v>0</v>
      </c>
      <c r="C108" t="b">
        <f>IF(OR(B108=0,'Input and Summary Results'!D91=0,'Input and Summary Results'!D91=""),FALSE,'Input and Summary Results'!$D91)</f>
        <v>0</v>
      </c>
      <c r="D108" t="b">
        <f>IF(OR(B108=0,'Input and Summary Results'!E91=0),FALSE,'Input and Summary Results'!$E91)</f>
        <v>0</v>
      </c>
      <c r="E108" t="b">
        <f t="shared" si="7"/>
        <v>0</v>
      </c>
      <c r="F108" s="13" t="b">
        <f t="shared" si="8"/>
        <v>0</v>
      </c>
      <c r="G108" t="b">
        <f>IF('Input and Summary Results'!$J$4="yes",IF(C108=FALSE,FALSE,IF(E108&lt;$R$10,'Data Transformation'!E108,$R$10)),IF(C108=FALSE,FALSE,IF('Data Transformation'!C108&lt;$R$10,C108,$R$10)))</f>
        <v>0</v>
      </c>
      <c r="H108" t="b">
        <f>IF('Input and Summary Results'!$J$4="yes",'Data Transformation'!F108,'Data Transformation'!D108)</f>
        <v>0</v>
      </c>
    </row>
    <row r="109" spans="2:8" x14ac:dyDescent="0.25">
      <c r="B109" t="b">
        <f>IF('Input and Summary Results'!D92="",FALSE,'Input and Summary Results'!$B92)</f>
        <v>0</v>
      </c>
      <c r="C109" t="b">
        <f>IF(OR(B109=0,'Input and Summary Results'!D92=0,'Input and Summary Results'!D92=""),FALSE,'Input and Summary Results'!$D92)</f>
        <v>0</v>
      </c>
      <c r="D109" t="b">
        <f>IF(OR(B109=0,'Input and Summary Results'!E92=0),FALSE,'Input and Summary Results'!$E92)</f>
        <v>0</v>
      </c>
      <c r="E109" t="b">
        <f t="shared" si="7"/>
        <v>0</v>
      </c>
      <c r="F109" s="13" t="b">
        <f t="shared" si="8"/>
        <v>0</v>
      </c>
      <c r="G109" t="b">
        <f>IF('Input and Summary Results'!$J$4="yes",IF(C109=FALSE,FALSE,IF(E109&lt;$R$10,'Data Transformation'!E109,$R$10)),IF(C109=FALSE,FALSE,IF('Data Transformation'!C109&lt;$R$10,C109,$R$10)))</f>
        <v>0</v>
      </c>
      <c r="H109" t="b">
        <f>IF('Input and Summary Results'!$J$4="yes",'Data Transformation'!F109,'Data Transformation'!D109)</f>
        <v>0</v>
      </c>
    </row>
    <row r="110" spans="2:8" x14ac:dyDescent="0.25">
      <c r="B110" t="b">
        <f>IF('Input and Summary Results'!D93="",FALSE,'Input and Summary Results'!$B93)</f>
        <v>0</v>
      </c>
      <c r="C110" t="b">
        <f>IF(OR(B110=0,'Input and Summary Results'!D93=0,'Input and Summary Results'!D93=""),FALSE,'Input and Summary Results'!$D93)</f>
        <v>0</v>
      </c>
      <c r="D110" t="b">
        <f>IF(OR(B110=0,'Input and Summary Results'!E93=0),FALSE,'Input and Summary Results'!$E93)</f>
        <v>0</v>
      </c>
      <c r="E110" t="b">
        <f t="shared" si="7"/>
        <v>0</v>
      </c>
      <c r="F110" s="13" t="b">
        <f t="shared" si="8"/>
        <v>0</v>
      </c>
      <c r="G110" t="b">
        <f>IF('Input and Summary Results'!$J$4="yes",IF(C110=FALSE,FALSE,IF(E110&lt;$R$10,'Data Transformation'!E110,$R$10)),IF(C110=FALSE,FALSE,IF('Data Transformation'!C110&lt;$R$10,C110,$R$10)))</f>
        <v>0</v>
      </c>
      <c r="H110" t="b">
        <f>IF('Input and Summary Results'!$J$4="yes",'Data Transformation'!F110,'Data Transformation'!D110)</f>
        <v>0</v>
      </c>
    </row>
    <row r="111" spans="2:8" x14ac:dyDescent="0.25">
      <c r="B111" t="b">
        <f>IF('Input and Summary Results'!D94="",FALSE,'Input and Summary Results'!$B94)</f>
        <v>0</v>
      </c>
      <c r="C111" t="b">
        <f>IF(OR(B111=0,'Input and Summary Results'!D94=0,'Input and Summary Results'!D94=""),FALSE,'Input and Summary Results'!$D94)</f>
        <v>0</v>
      </c>
      <c r="D111" t="b">
        <f>IF(OR(B111=0,'Input and Summary Results'!E94=0),FALSE,'Input and Summary Results'!$E94)</f>
        <v>0</v>
      </c>
      <c r="E111" t="b">
        <f t="shared" si="7"/>
        <v>0</v>
      </c>
      <c r="F111" s="13" t="b">
        <f t="shared" si="8"/>
        <v>0</v>
      </c>
      <c r="G111" t="b">
        <f>IF('Input and Summary Results'!$J$4="yes",IF(C111=FALSE,FALSE,IF(E111&lt;$R$10,'Data Transformation'!E111,$R$10)),IF(C111=FALSE,FALSE,IF('Data Transformation'!C111&lt;$R$10,C111,$R$10)))</f>
        <v>0</v>
      </c>
      <c r="H111" t="b">
        <f>IF('Input and Summary Results'!$J$4="yes",'Data Transformation'!F111,'Data Transformation'!D111)</f>
        <v>0</v>
      </c>
    </row>
    <row r="112" spans="2:8" x14ac:dyDescent="0.25">
      <c r="B112" t="b">
        <f>IF('Input and Summary Results'!D95="",FALSE,'Input and Summary Results'!$B95)</f>
        <v>0</v>
      </c>
      <c r="C112" t="b">
        <f>IF(OR(B112=0,'Input and Summary Results'!D95=0,'Input and Summary Results'!D95=""),FALSE,'Input and Summary Results'!$D95)</f>
        <v>0</v>
      </c>
      <c r="D112" t="b">
        <f>IF(OR(B112=0,'Input and Summary Results'!E95=0),FALSE,'Input and Summary Results'!$E95)</f>
        <v>0</v>
      </c>
      <c r="E112" t="b">
        <f t="shared" si="7"/>
        <v>0</v>
      </c>
      <c r="F112" s="13" t="b">
        <f t="shared" si="8"/>
        <v>0</v>
      </c>
      <c r="G112" t="b">
        <f>IF('Input and Summary Results'!$J$4="yes",IF(C112=FALSE,FALSE,IF(E112&lt;$R$10,'Data Transformation'!E112,$R$10)),IF(C112=FALSE,FALSE,IF('Data Transformation'!C112&lt;$R$10,C112,$R$10)))</f>
        <v>0</v>
      </c>
      <c r="H112" t="b">
        <f>IF('Input and Summary Results'!$J$4="yes",'Data Transformation'!F112,'Data Transformation'!D112)</f>
        <v>0</v>
      </c>
    </row>
    <row r="113" spans="2:8" x14ac:dyDescent="0.25">
      <c r="B113" t="b">
        <f>IF('Input and Summary Results'!D96="",FALSE,'Input and Summary Results'!$B96)</f>
        <v>0</v>
      </c>
      <c r="C113" t="b">
        <f>IF(OR(B113=0,'Input and Summary Results'!D96=0,'Input and Summary Results'!D96=""),FALSE,'Input and Summary Results'!$D96)</f>
        <v>0</v>
      </c>
      <c r="D113" t="b">
        <f>IF(OR(B113=0,'Input and Summary Results'!E96=0),FALSE,'Input and Summary Results'!$E96)</f>
        <v>0</v>
      </c>
      <c r="E113" t="b">
        <f t="shared" si="7"/>
        <v>0</v>
      </c>
      <c r="F113" s="13" t="b">
        <f t="shared" si="8"/>
        <v>0</v>
      </c>
      <c r="G113" t="b">
        <f>IF('Input and Summary Results'!$J$4="yes",IF(C113=FALSE,FALSE,IF(E113&lt;$R$10,'Data Transformation'!E113,$R$10)),IF(C113=FALSE,FALSE,IF('Data Transformation'!C113&lt;$R$10,C113,$R$10)))</f>
        <v>0</v>
      </c>
      <c r="H113" t="b">
        <f>IF('Input and Summary Results'!$J$4="yes",'Data Transformation'!F113,'Data Transformation'!D113)</f>
        <v>0</v>
      </c>
    </row>
    <row r="114" spans="2:8" x14ac:dyDescent="0.25">
      <c r="B114" t="b">
        <f>IF('Input and Summary Results'!D97="",FALSE,'Input and Summary Results'!$B97)</f>
        <v>0</v>
      </c>
      <c r="C114" t="b">
        <f>IF(OR(B114=0,'Input and Summary Results'!D97=0,'Input and Summary Results'!D97=""),FALSE,'Input and Summary Results'!$D97)</f>
        <v>0</v>
      </c>
      <c r="D114" t="b">
        <f>IF(OR(B114=0,'Input and Summary Results'!E97=0),FALSE,'Input and Summary Results'!$E97)</f>
        <v>0</v>
      </c>
      <c r="E114" t="b">
        <f t="shared" si="7"/>
        <v>0</v>
      </c>
      <c r="F114" s="13" t="b">
        <f t="shared" si="8"/>
        <v>0</v>
      </c>
      <c r="G114" t="b">
        <f>IF('Input and Summary Results'!$J$4="yes",IF(C114=FALSE,FALSE,IF(E114&lt;$R$10,'Data Transformation'!E114,$R$10)),IF(C114=FALSE,FALSE,IF('Data Transformation'!C114&lt;$R$10,C114,$R$10)))</f>
        <v>0</v>
      </c>
      <c r="H114" t="b">
        <f>IF('Input and Summary Results'!$J$4="yes",'Data Transformation'!F114,'Data Transformation'!D114)</f>
        <v>0</v>
      </c>
    </row>
    <row r="115" spans="2:8" x14ac:dyDescent="0.25">
      <c r="B115" t="b">
        <f>IF('Input and Summary Results'!D98="",FALSE,'Input and Summary Results'!$B98)</f>
        <v>0</v>
      </c>
      <c r="C115" t="b">
        <f>IF(OR(B115=0,'Input and Summary Results'!D98=0,'Input and Summary Results'!D98=""),FALSE,'Input and Summary Results'!$D98)</f>
        <v>0</v>
      </c>
      <c r="D115" t="b">
        <f>IF(OR(B115=0,'Input and Summary Results'!E98=0),FALSE,'Input and Summary Results'!$E98)</f>
        <v>0</v>
      </c>
      <c r="E115" t="b">
        <f t="shared" si="7"/>
        <v>0</v>
      </c>
      <c r="F115" s="13" t="b">
        <f t="shared" si="8"/>
        <v>0</v>
      </c>
      <c r="G115" t="b">
        <f>IF('Input and Summary Results'!$J$4="yes",IF(C115=FALSE,FALSE,IF(E115&lt;$R$10,'Data Transformation'!E115,$R$10)),IF(C115=FALSE,FALSE,IF('Data Transformation'!C115&lt;$R$10,C115,$R$10)))</f>
        <v>0</v>
      </c>
      <c r="H115" t="b">
        <f>IF('Input and Summary Results'!$J$4="yes",'Data Transformation'!F115,'Data Transformation'!D115)</f>
        <v>0</v>
      </c>
    </row>
    <row r="116" spans="2:8" x14ac:dyDescent="0.25">
      <c r="B116" t="b">
        <f>IF('Input and Summary Results'!D99="",FALSE,'Input and Summary Results'!$B99)</f>
        <v>0</v>
      </c>
      <c r="C116" t="b">
        <f>IF(OR(B116=0,'Input and Summary Results'!D99=0,'Input and Summary Results'!D99=""),FALSE,'Input and Summary Results'!$D99)</f>
        <v>0</v>
      </c>
      <c r="D116" t="b">
        <f>IF(OR(B116=0,'Input and Summary Results'!E99=0),FALSE,'Input and Summary Results'!$E99)</f>
        <v>0</v>
      </c>
      <c r="E116" t="b">
        <f t="shared" si="7"/>
        <v>0</v>
      </c>
      <c r="F116" s="13" t="b">
        <f t="shared" si="8"/>
        <v>0</v>
      </c>
      <c r="G116" t="b">
        <f>IF('Input and Summary Results'!$J$4="yes",IF(C116=FALSE,FALSE,IF(E116&lt;$R$10,'Data Transformation'!E116,$R$10)),IF(C116=FALSE,FALSE,IF('Data Transformation'!C116&lt;$R$10,C116,$R$10)))</f>
        <v>0</v>
      </c>
      <c r="H116" t="b">
        <f>IF('Input and Summary Results'!$J$4="yes",'Data Transformation'!F116,'Data Transformation'!D116)</f>
        <v>0</v>
      </c>
    </row>
    <row r="117" spans="2:8" x14ac:dyDescent="0.25">
      <c r="B117" t="b">
        <f>IF('Input and Summary Results'!D100="",FALSE,'Input and Summary Results'!$B100)</f>
        <v>0</v>
      </c>
      <c r="C117" t="b">
        <f>IF(OR(B117=0,'Input and Summary Results'!D100=0,'Input and Summary Results'!D100=""),FALSE,'Input and Summary Results'!$D100)</f>
        <v>0</v>
      </c>
      <c r="D117" t="b">
        <f>IF(OR(B117=0,'Input and Summary Results'!E100=0),FALSE,'Input and Summary Results'!$E100)</f>
        <v>0</v>
      </c>
      <c r="E117" t="b">
        <f t="shared" si="7"/>
        <v>0</v>
      </c>
      <c r="F117" s="13" t="b">
        <f t="shared" si="8"/>
        <v>0</v>
      </c>
      <c r="G117" t="b">
        <f>IF('Input and Summary Results'!$J$4="yes",IF(C117=FALSE,FALSE,IF(E117&lt;$R$10,'Data Transformation'!E117,$R$10)),IF(C117=FALSE,FALSE,IF('Data Transformation'!C117&lt;$R$10,C117,$R$10)))</f>
        <v>0</v>
      </c>
      <c r="H117" t="b">
        <f>IF('Input and Summary Results'!$J$4="yes",'Data Transformation'!F117,'Data Transformation'!D117)</f>
        <v>0</v>
      </c>
    </row>
    <row r="118" spans="2:8" x14ac:dyDescent="0.25">
      <c r="B118" t="b">
        <f>IF('Input and Summary Results'!D101="",FALSE,'Input and Summary Results'!$B101)</f>
        <v>0</v>
      </c>
      <c r="C118" t="b">
        <f>IF(OR(B118=0,'Input and Summary Results'!D101=0,'Input and Summary Results'!D101=""),FALSE,'Input and Summary Results'!$D101)</f>
        <v>0</v>
      </c>
      <c r="D118" t="b">
        <f>IF(OR(B118=0,'Input and Summary Results'!E101=0),FALSE,'Input and Summary Results'!$E101)</f>
        <v>0</v>
      </c>
      <c r="E118" t="b">
        <f t="shared" si="7"/>
        <v>0</v>
      </c>
      <c r="F118" s="13" t="b">
        <f t="shared" si="8"/>
        <v>0</v>
      </c>
      <c r="G118" t="b">
        <f>IF('Input and Summary Results'!$J$4="yes",IF(C118=FALSE,FALSE,IF(E118&lt;$R$10,'Data Transformation'!E118,$R$10)),IF(C118=FALSE,FALSE,IF('Data Transformation'!C118&lt;$R$10,C118,$R$10)))</f>
        <v>0</v>
      </c>
      <c r="H118" t="b">
        <f>IF('Input and Summary Results'!$J$4="yes",'Data Transformation'!F118,'Data Transformation'!D118)</f>
        <v>0</v>
      </c>
    </row>
    <row r="119" spans="2:8" x14ac:dyDescent="0.25">
      <c r="B119" t="b">
        <f>IF('Input and Summary Results'!D102="",FALSE,'Input and Summary Results'!$B102)</f>
        <v>0</v>
      </c>
      <c r="C119" t="b">
        <f>IF(OR(B119=0,'Input and Summary Results'!D102=0,'Input and Summary Results'!D102=""),FALSE,'Input and Summary Results'!$D102)</f>
        <v>0</v>
      </c>
      <c r="D119" t="b">
        <f>IF(OR(B119=0,'Input and Summary Results'!E102=0),FALSE,'Input and Summary Results'!$E102)</f>
        <v>0</v>
      </c>
      <c r="E119" t="b">
        <f t="shared" si="7"/>
        <v>0</v>
      </c>
      <c r="F119" s="13" t="b">
        <f t="shared" si="8"/>
        <v>0</v>
      </c>
      <c r="G119" t="b">
        <f>IF('Input and Summary Results'!$J$4="yes",IF(C119=FALSE,FALSE,IF(E119&lt;$R$10,'Data Transformation'!E119,$R$10)),IF(C119=FALSE,FALSE,IF('Data Transformation'!C119&lt;$R$10,C119,$R$10)))</f>
        <v>0</v>
      </c>
      <c r="H119" t="b">
        <f>IF('Input and Summary Results'!$J$4="yes",'Data Transformation'!F119,'Data Transformation'!D119)</f>
        <v>0</v>
      </c>
    </row>
    <row r="120" spans="2:8" x14ac:dyDescent="0.25">
      <c r="B120" t="b">
        <f>IF('Input and Summary Results'!D103="",FALSE,'Input and Summary Results'!$B103)</f>
        <v>0</v>
      </c>
      <c r="C120" t="b">
        <f>IF(OR(B120=0,'Input and Summary Results'!D103=0,'Input and Summary Results'!D103=""),FALSE,'Input and Summary Results'!$D103)</f>
        <v>0</v>
      </c>
      <c r="D120" t="b">
        <f>IF(OR(B120=0,'Input and Summary Results'!E103=0),FALSE,'Input and Summary Results'!$E103)</f>
        <v>0</v>
      </c>
      <c r="E120" t="b">
        <f t="shared" si="7"/>
        <v>0</v>
      </c>
      <c r="F120" s="13" t="b">
        <f t="shared" si="8"/>
        <v>0</v>
      </c>
      <c r="G120" t="b">
        <f>IF('Input and Summary Results'!$J$4="yes",IF(C120=FALSE,FALSE,IF(E120&lt;$R$10,'Data Transformation'!E120,$R$10)),IF(C120=FALSE,FALSE,IF('Data Transformation'!C120&lt;$R$10,C120,$R$10)))</f>
        <v>0</v>
      </c>
      <c r="H120" t="b">
        <f>IF('Input and Summary Results'!$J$4="yes",'Data Transformation'!F120,'Data Transformation'!D120)</f>
        <v>0</v>
      </c>
    </row>
    <row r="121" spans="2:8" x14ac:dyDescent="0.25">
      <c r="B121" t="b">
        <f>IF('Input and Summary Results'!D104="",FALSE,'Input and Summary Results'!$B104)</f>
        <v>0</v>
      </c>
      <c r="C121" t="b">
        <f>IF(OR(B121=0,'Input and Summary Results'!D104=0,'Input and Summary Results'!D104=""),FALSE,'Input and Summary Results'!$D104)</f>
        <v>0</v>
      </c>
      <c r="D121" t="b">
        <f>IF(OR(B121=0,'Input and Summary Results'!E104=0),FALSE,'Input and Summary Results'!$E104)</f>
        <v>0</v>
      </c>
      <c r="E121" t="b">
        <f t="shared" si="7"/>
        <v>0</v>
      </c>
      <c r="F121" s="13" t="b">
        <f t="shared" si="8"/>
        <v>0</v>
      </c>
      <c r="G121" t="b">
        <f>IF('Input and Summary Results'!$J$4="yes",IF(C121=FALSE,FALSE,IF(E121&lt;$R$10,'Data Transformation'!E121,$R$10)),IF(C121=FALSE,FALSE,IF('Data Transformation'!C121&lt;$R$10,C121,$R$10)))</f>
        <v>0</v>
      </c>
      <c r="H121" t="b">
        <f>IF('Input and Summary Results'!$J$4="yes",'Data Transformation'!F121,'Data Transformation'!D121)</f>
        <v>0</v>
      </c>
    </row>
    <row r="122" spans="2:8" x14ac:dyDescent="0.25">
      <c r="B122" t="b">
        <f>IF('Input and Summary Results'!D105="",FALSE,'Input and Summary Results'!$B105)</f>
        <v>0</v>
      </c>
      <c r="C122" t="b">
        <f>IF(OR(B122=0,'Input and Summary Results'!D105=0,'Input and Summary Results'!D105=""),FALSE,'Input and Summary Results'!$D105)</f>
        <v>0</v>
      </c>
      <c r="D122" t="b">
        <f>IF(OR(B122=0,'Input and Summary Results'!E105=0),FALSE,'Input and Summary Results'!$E105)</f>
        <v>0</v>
      </c>
      <c r="E122" t="b">
        <f t="shared" si="7"/>
        <v>0</v>
      </c>
      <c r="F122" s="13" t="b">
        <f t="shared" si="8"/>
        <v>0</v>
      </c>
      <c r="G122" t="b">
        <f>IF('Input and Summary Results'!$J$4="yes",IF(C122=FALSE,FALSE,IF(E122&lt;$R$10,'Data Transformation'!E122,$R$10)),IF(C122=FALSE,FALSE,IF('Data Transformation'!C122&lt;$R$10,C122,$R$10)))</f>
        <v>0</v>
      </c>
      <c r="H122" t="b">
        <f>IF('Input and Summary Results'!$J$4="yes",'Data Transformation'!F122,'Data Transformation'!D122)</f>
        <v>0</v>
      </c>
    </row>
    <row r="123" spans="2:8" x14ac:dyDescent="0.25">
      <c r="B123" t="b">
        <f>IF('Input and Summary Results'!D106="",FALSE,'Input and Summary Results'!$B106)</f>
        <v>0</v>
      </c>
      <c r="C123" t="b">
        <f>IF(OR(B123=0,'Input and Summary Results'!D106=0,'Input and Summary Results'!D106=""),FALSE,'Input and Summary Results'!$D106)</f>
        <v>0</v>
      </c>
      <c r="D123" t="b">
        <f>IF(OR(B123=0,'Input and Summary Results'!E106=0),FALSE,'Input and Summary Results'!$E106)</f>
        <v>0</v>
      </c>
      <c r="E123" t="b">
        <f t="shared" si="7"/>
        <v>0</v>
      </c>
      <c r="F123" s="13" t="b">
        <f t="shared" si="8"/>
        <v>0</v>
      </c>
      <c r="G123" t="b">
        <f>IF('Input and Summary Results'!$J$4="yes",IF(C123=FALSE,FALSE,IF(E123&lt;$R$10,'Data Transformation'!E123,$R$10)),IF(C123=FALSE,FALSE,IF('Data Transformation'!C123&lt;$R$10,C123,$R$10)))</f>
        <v>0</v>
      </c>
      <c r="H123" t="b">
        <f>IF('Input and Summary Results'!$J$4="yes",'Data Transformation'!F123,'Data Transformation'!D123)</f>
        <v>0</v>
      </c>
    </row>
    <row r="124" spans="2:8" x14ac:dyDescent="0.25">
      <c r="B124" t="b">
        <f>IF('Input and Summary Results'!D107="",FALSE,'Input and Summary Results'!$B107)</f>
        <v>0</v>
      </c>
      <c r="C124" t="b">
        <f>IF(OR(B124=0,'Input and Summary Results'!D107=0,'Input and Summary Results'!D107=""),FALSE,'Input and Summary Results'!$D107)</f>
        <v>0</v>
      </c>
      <c r="D124" t="b">
        <f>IF(OR(B124=0,'Input and Summary Results'!E107=0),FALSE,'Input and Summary Results'!$E107)</f>
        <v>0</v>
      </c>
      <c r="E124" t="b">
        <f t="shared" si="7"/>
        <v>0</v>
      </c>
      <c r="F124" s="13" t="b">
        <f t="shared" si="8"/>
        <v>0</v>
      </c>
      <c r="G124" t="b">
        <f>IF('Input and Summary Results'!$J$4="yes",IF(C124=FALSE,FALSE,IF(E124&lt;$R$10,'Data Transformation'!E124,$R$10)),IF(C124=FALSE,FALSE,IF('Data Transformation'!C124&lt;$R$10,C124,$R$10)))</f>
        <v>0</v>
      </c>
      <c r="H124" t="b">
        <f>IF('Input and Summary Results'!$J$4="yes",'Data Transformation'!F124,'Data Transformation'!D124)</f>
        <v>0</v>
      </c>
    </row>
    <row r="125" spans="2:8" x14ac:dyDescent="0.25">
      <c r="B125" t="b">
        <f>IF('Input and Summary Results'!D108="",FALSE,'Input and Summary Results'!$B108)</f>
        <v>0</v>
      </c>
      <c r="C125" t="b">
        <f>IF(OR(B125=0,'Input and Summary Results'!D108=0,'Input and Summary Results'!D108=""),FALSE,'Input and Summary Results'!$D108)</f>
        <v>0</v>
      </c>
      <c r="D125" t="b">
        <f>IF(OR(B125=0,'Input and Summary Results'!E108=0),FALSE,'Input and Summary Results'!$E108)</f>
        <v>0</v>
      </c>
      <c r="E125" t="b">
        <f t="shared" si="7"/>
        <v>0</v>
      </c>
      <c r="F125" s="13" t="b">
        <f t="shared" si="8"/>
        <v>0</v>
      </c>
      <c r="G125" t="b">
        <f>IF('Input and Summary Results'!$J$4="yes",IF(C125=FALSE,FALSE,IF(E125&lt;$R$10,'Data Transformation'!E125,$R$10)),IF(C125=FALSE,FALSE,IF('Data Transformation'!C125&lt;$R$10,C125,$R$10)))</f>
        <v>0</v>
      </c>
      <c r="H125" t="b">
        <f>IF('Input and Summary Results'!$J$4="yes",'Data Transformation'!F125,'Data Transformation'!D125)</f>
        <v>0</v>
      </c>
    </row>
    <row r="126" spans="2:8" x14ac:dyDescent="0.25">
      <c r="B126" t="b">
        <f>IF('Input and Summary Results'!D109="",FALSE,'Input and Summary Results'!$B109)</f>
        <v>0</v>
      </c>
      <c r="C126" t="b">
        <f>IF(OR(B126=0,'Input and Summary Results'!D109=0,'Input and Summary Results'!D109=""),FALSE,'Input and Summary Results'!$D109)</f>
        <v>0</v>
      </c>
      <c r="D126" t="b">
        <f>IF(OR(B126=0,'Input and Summary Results'!E109=0),FALSE,'Input and Summary Results'!$E109)</f>
        <v>0</v>
      </c>
      <c r="E126" t="b">
        <f t="shared" si="7"/>
        <v>0</v>
      </c>
      <c r="F126" s="13" t="b">
        <f t="shared" si="8"/>
        <v>0</v>
      </c>
      <c r="G126" t="b">
        <f>IF('Input and Summary Results'!$J$4="yes",IF(C126=FALSE,FALSE,IF(E126&lt;$R$10,'Data Transformation'!E126,$R$10)),IF(C126=FALSE,FALSE,IF('Data Transformation'!C126&lt;$R$10,C126,$R$10)))</f>
        <v>0</v>
      </c>
      <c r="H126" t="b">
        <f>IF('Input and Summary Results'!$J$4="yes",'Data Transformation'!F126,'Data Transformation'!D126)</f>
        <v>0</v>
      </c>
    </row>
    <row r="127" spans="2:8" x14ac:dyDescent="0.25">
      <c r="B127" t="b">
        <f>IF('Input and Summary Results'!D110="",FALSE,'Input and Summary Results'!$B110)</f>
        <v>0</v>
      </c>
      <c r="C127" t="b">
        <f>IF(OR(B127=0,'Input and Summary Results'!D110=0,'Input and Summary Results'!D110=""),FALSE,'Input and Summary Results'!$D110)</f>
        <v>0</v>
      </c>
      <c r="D127" t="b">
        <f>IF(OR(B127=0,'Input and Summary Results'!E110=0),FALSE,'Input and Summary Results'!$E110)</f>
        <v>0</v>
      </c>
      <c r="E127" t="b">
        <f t="shared" si="7"/>
        <v>0</v>
      </c>
      <c r="F127" s="13" t="b">
        <f t="shared" si="8"/>
        <v>0</v>
      </c>
      <c r="G127" t="b">
        <f>IF('Input and Summary Results'!$J$4="yes",IF(C127=FALSE,FALSE,IF(E127&lt;$R$10,'Data Transformation'!E127,$R$10)),IF(C127=FALSE,FALSE,IF('Data Transformation'!C127&lt;$R$10,C127,$R$10)))</f>
        <v>0</v>
      </c>
      <c r="H127" t="b">
        <f>IF('Input and Summary Results'!$J$4="yes",'Data Transformation'!F127,'Data Transformation'!D127)</f>
        <v>0</v>
      </c>
    </row>
    <row r="128" spans="2:8" x14ac:dyDescent="0.25">
      <c r="B128" t="b">
        <f>IF('Input and Summary Results'!D111="",FALSE,'Input and Summary Results'!$B111)</f>
        <v>0</v>
      </c>
      <c r="C128" t="b">
        <f>IF(OR(B128=0,'Input and Summary Results'!D111=0,'Input and Summary Results'!D111=""),FALSE,'Input and Summary Results'!$D111)</f>
        <v>0</v>
      </c>
      <c r="D128" t="b">
        <f>IF(OR(B128=0,'Input and Summary Results'!E111=0),FALSE,'Input and Summary Results'!$E111)</f>
        <v>0</v>
      </c>
      <c r="E128" t="b">
        <f t="shared" si="7"/>
        <v>0</v>
      </c>
      <c r="F128" s="13" t="b">
        <f t="shared" si="8"/>
        <v>0</v>
      </c>
      <c r="G128" t="b">
        <f>IF('Input and Summary Results'!$J$4="yes",IF(C128=FALSE,FALSE,IF(E128&lt;$R$10,'Data Transformation'!E128,$R$10)),IF(C128=FALSE,FALSE,IF('Data Transformation'!C128&lt;$R$10,C128,$R$10)))</f>
        <v>0</v>
      </c>
      <c r="H128" t="b">
        <f>IF('Input and Summary Results'!$J$4="yes",'Data Transformation'!F128,'Data Transformation'!D128)</f>
        <v>0</v>
      </c>
    </row>
    <row r="129" spans="2:8" x14ac:dyDescent="0.25">
      <c r="B129" t="b">
        <f>IF('Input and Summary Results'!D112="",FALSE,'Input and Summary Results'!$B112)</f>
        <v>0</v>
      </c>
      <c r="C129" t="b">
        <f>IF(OR(B129=0,'Input and Summary Results'!D112=0,'Input and Summary Results'!D112=""),FALSE,'Input and Summary Results'!$D112)</f>
        <v>0</v>
      </c>
      <c r="D129" t="b">
        <f>IF(OR(B129=0,'Input and Summary Results'!E112=0),FALSE,'Input and Summary Results'!$E112)</f>
        <v>0</v>
      </c>
      <c r="E129" t="b">
        <f t="shared" si="7"/>
        <v>0</v>
      </c>
      <c r="F129" s="13" t="b">
        <f t="shared" si="8"/>
        <v>0</v>
      </c>
      <c r="G129" t="b">
        <f>IF('Input and Summary Results'!$J$4="yes",IF(C129=FALSE,FALSE,IF(E129&lt;$R$10,'Data Transformation'!E129,$R$10)),IF(C129=FALSE,FALSE,IF('Data Transformation'!C129&lt;$R$10,C129,$R$10)))</f>
        <v>0</v>
      </c>
      <c r="H129" t="b">
        <f>IF('Input and Summary Results'!$J$4="yes",'Data Transformation'!F129,'Data Transformation'!D129)</f>
        <v>0</v>
      </c>
    </row>
    <row r="130" spans="2:8" x14ac:dyDescent="0.25">
      <c r="B130" t="b">
        <f>IF('Input and Summary Results'!D113="",FALSE,'Input and Summary Results'!$B113)</f>
        <v>0</v>
      </c>
      <c r="C130" t="b">
        <f>IF(OR(B130=0,'Input and Summary Results'!D113=0,'Input and Summary Results'!D113=""),FALSE,'Input and Summary Results'!$D113)</f>
        <v>0</v>
      </c>
      <c r="D130" t="b">
        <f>IF(OR(B130=0,'Input and Summary Results'!E113=0),FALSE,'Input and Summary Results'!$E113)</f>
        <v>0</v>
      </c>
      <c r="E130" t="b">
        <f t="shared" si="7"/>
        <v>0</v>
      </c>
      <c r="F130" s="13" t="b">
        <f t="shared" si="8"/>
        <v>0</v>
      </c>
      <c r="G130" t="b">
        <f>IF('Input and Summary Results'!$J$4="yes",IF(C130=FALSE,FALSE,IF(E130&lt;$R$10,'Data Transformation'!E130,$R$10)),IF(C130=FALSE,FALSE,IF('Data Transformation'!C130&lt;$R$10,C130,$R$10)))</f>
        <v>0</v>
      </c>
      <c r="H130" t="b">
        <f>IF('Input and Summary Results'!$J$4="yes",'Data Transformation'!F130,'Data Transformation'!D130)</f>
        <v>0</v>
      </c>
    </row>
    <row r="131" spans="2:8" x14ac:dyDescent="0.25">
      <c r="B131" t="b">
        <f>IF('Input and Summary Results'!D114="",FALSE,'Input and Summary Results'!$B114)</f>
        <v>0</v>
      </c>
      <c r="C131" t="b">
        <f>IF(OR(B131=0,'Input and Summary Results'!D114=0,'Input and Summary Results'!D114=""),FALSE,'Input and Summary Results'!$D114)</f>
        <v>0</v>
      </c>
      <c r="D131" t="b">
        <f>IF(OR(B131=0,'Input and Summary Results'!E114=0),FALSE,'Input and Summary Results'!$E114)</f>
        <v>0</v>
      </c>
      <c r="E131" t="b">
        <f t="shared" si="7"/>
        <v>0</v>
      </c>
      <c r="F131" s="13" t="b">
        <f t="shared" si="8"/>
        <v>0</v>
      </c>
      <c r="G131" t="b">
        <f>IF('Input and Summary Results'!$J$4="yes",IF(C131=FALSE,FALSE,IF(E131&lt;$R$10,'Data Transformation'!E131,$R$10)),IF(C131=FALSE,FALSE,IF('Data Transformation'!C131&lt;$R$10,C131,$R$10)))</f>
        <v>0</v>
      </c>
      <c r="H131" t="b">
        <f>IF('Input and Summary Results'!$J$4="yes",'Data Transformation'!F131,'Data Transformation'!D131)</f>
        <v>0</v>
      </c>
    </row>
    <row r="132" spans="2:8" x14ac:dyDescent="0.25">
      <c r="B132" t="b">
        <f>IF('Input and Summary Results'!D115="",FALSE,'Input and Summary Results'!$B115)</f>
        <v>0</v>
      </c>
      <c r="C132" t="b">
        <f>IF(OR(B132=0,'Input and Summary Results'!D115=0,'Input and Summary Results'!D115=""),FALSE,'Input and Summary Results'!$D115)</f>
        <v>0</v>
      </c>
      <c r="D132" t="b">
        <f>IF(OR(B132=0,'Input and Summary Results'!E115=0),FALSE,'Input and Summary Results'!$E115)</f>
        <v>0</v>
      </c>
      <c r="E132" t="b">
        <f t="shared" ref="E132:E195" si="9">IF(C132=FALSE,FALSE,LOG10(C132))</f>
        <v>0</v>
      </c>
      <c r="F132" s="13" t="b">
        <f t="shared" ref="F132:F195" si="10">IF(D132=FALSE, FALSE,0.434*D132/C132)</f>
        <v>0</v>
      </c>
      <c r="G132" t="b">
        <f>IF('Input and Summary Results'!$J$4="yes",IF(C132=FALSE,FALSE,IF(E132&lt;$R$10,'Data Transformation'!E132,$R$10)),IF(C132=FALSE,FALSE,IF('Data Transformation'!C132&lt;$R$10,C132,$R$10)))</f>
        <v>0</v>
      </c>
      <c r="H132" t="b">
        <f>IF('Input and Summary Results'!$J$4="yes",'Data Transformation'!F132,'Data Transformation'!D132)</f>
        <v>0</v>
      </c>
    </row>
    <row r="133" spans="2:8" x14ac:dyDescent="0.25">
      <c r="B133" t="b">
        <f>IF('Input and Summary Results'!D116="",FALSE,'Input and Summary Results'!$B116)</f>
        <v>0</v>
      </c>
      <c r="C133" t="b">
        <f>IF(OR(B133=0,'Input and Summary Results'!D116=0,'Input and Summary Results'!D116=""),FALSE,'Input and Summary Results'!$D116)</f>
        <v>0</v>
      </c>
      <c r="D133" t="b">
        <f>IF(OR(B133=0,'Input and Summary Results'!E116=0),FALSE,'Input and Summary Results'!$E116)</f>
        <v>0</v>
      </c>
      <c r="E133" t="b">
        <f t="shared" si="9"/>
        <v>0</v>
      </c>
      <c r="F133" s="13" t="b">
        <f t="shared" si="10"/>
        <v>0</v>
      </c>
      <c r="G133" t="b">
        <f>IF('Input and Summary Results'!$J$4="yes",IF(C133=FALSE,FALSE,IF(E133&lt;$R$10,'Data Transformation'!E133,$R$10)),IF(C133=FALSE,FALSE,IF('Data Transformation'!C133&lt;$R$10,C133,$R$10)))</f>
        <v>0</v>
      </c>
      <c r="H133" t="b">
        <f>IF('Input and Summary Results'!$J$4="yes",'Data Transformation'!F133,'Data Transformation'!D133)</f>
        <v>0</v>
      </c>
    </row>
    <row r="134" spans="2:8" x14ac:dyDescent="0.25">
      <c r="B134" t="b">
        <f>IF('Input and Summary Results'!D117="",FALSE,'Input and Summary Results'!$B117)</f>
        <v>0</v>
      </c>
      <c r="C134" t="b">
        <f>IF(OR(B134=0,'Input and Summary Results'!D117=0,'Input and Summary Results'!D117=""),FALSE,'Input and Summary Results'!$D117)</f>
        <v>0</v>
      </c>
      <c r="D134" t="b">
        <f>IF(OR(B134=0,'Input and Summary Results'!E117=0),FALSE,'Input and Summary Results'!$E117)</f>
        <v>0</v>
      </c>
      <c r="E134" t="b">
        <f t="shared" si="9"/>
        <v>0</v>
      </c>
      <c r="F134" s="13" t="b">
        <f t="shared" si="10"/>
        <v>0</v>
      </c>
      <c r="G134" t="b">
        <f>IF('Input and Summary Results'!$J$4="yes",IF(C134=FALSE,FALSE,IF(E134&lt;$R$10,'Data Transformation'!E134,$R$10)),IF(C134=FALSE,FALSE,IF('Data Transformation'!C134&lt;$R$10,C134,$R$10)))</f>
        <v>0</v>
      </c>
      <c r="H134" t="b">
        <f>IF('Input and Summary Results'!$J$4="yes",'Data Transformation'!F134,'Data Transformation'!D134)</f>
        <v>0</v>
      </c>
    </row>
    <row r="135" spans="2:8" x14ac:dyDescent="0.25">
      <c r="B135" t="b">
        <f>IF('Input and Summary Results'!D118="",FALSE,'Input and Summary Results'!$B118)</f>
        <v>0</v>
      </c>
      <c r="C135" t="b">
        <f>IF(OR(B135=0,'Input and Summary Results'!D118=0,'Input and Summary Results'!D118=""),FALSE,'Input and Summary Results'!$D118)</f>
        <v>0</v>
      </c>
      <c r="D135" t="b">
        <f>IF(OR(B135=0,'Input and Summary Results'!E118=0),FALSE,'Input and Summary Results'!$E118)</f>
        <v>0</v>
      </c>
      <c r="E135" t="b">
        <f t="shared" si="9"/>
        <v>0</v>
      </c>
      <c r="F135" s="13" t="b">
        <f t="shared" si="10"/>
        <v>0</v>
      </c>
      <c r="G135" t="b">
        <f>IF('Input and Summary Results'!$J$4="yes",IF(C135=FALSE,FALSE,IF(E135&lt;$R$10,'Data Transformation'!E135,$R$10)),IF(C135=FALSE,FALSE,IF('Data Transformation'!C135&lt;$R$10,C135,$R$10)))</f>
        <v>0</v>
      </c>
      <c r="H135" t="b">
        <f>IF('Input and Summary Results'!$J$4="yes",'Data Transformation'!F135,'Data Transformation'!D135)</f>
        <v>0</v>
      </c>
    </row>
    <row r="136" spans="2:8" x14ac:dyDescent="0.25">
      <c r="B136" t="b">
        <f>IF('Input and Summary Results'!D119="",FALSE,'Input and Summary Results'!$B119)</f>
        <v>0</v>
      </c>
      <c r="C136" t="b">
        <f>IF(OR(B136=0,'Input and Summary Results'!D119=0,'Input and Summary Results'!D119=""),FALSE,'Input and Summary Results'!$D119)</f>
        <v>0</v>
      </c>
      <c r="D136" t="b">
        <f>IF(OR(B136=0,'Input and Summary Results'!E119=0),FALSE,'Input and Summary Results'!$E119)</f>
        <v>0</v>
      </c>
      <c r="E136" t="b">
        <f t="shared" si="9"/>
        <v>0</v>
      </c>
      <c r="F136" s="13" t="b">
        <f t="shared" si="10"/>
        <v>0</v>
      </c>
      <c r="G136" t="b">
        <f>IF('Input and Summary Results'!$J$4="yes",IF(C136=FALSE,FALSE,IF(E136&lt;$R$10,'Data Transformation'!E136,$R$10)),IF(C136=FALSE,FALSE,IF('Data Transformation'!C136&lt;$R$10,C136,$R$10)))</f>
        <v>0</v>
      </c>
      <c r="H136" t="b">
        <f>IF('Input and Summary Results'!$J$4="yes",'Data Transformation'!F136,'Data Transformation'!D136)</f>
        <v>0</v>
      </c>
    </row>
    <row r="137" spans="2:8" x14ac:dyDescent="0.25">
      <c r="B137" t="b">
        <f>IF('Input and Summary Results'!D120="",FALSE,'Input and Summary Results'!$B120)</f>
        <v>0</v>
      </c>
      <c r="C137" t="b">
        <f>IF(OR(B137=0,'Input and Summary Results'!D120=0,'Input and Summary Results'!D120=""),FALSE,'Input and Summary Results'!$D120)</f>
        <v>0</v>
      </c>
      <c r="D137" t="b">
        <f>IF(OR(B137=0,'Input and Summary Results'!E120=0),FALSE,'Input and Summary Results'!$E120)</f>
        <v>0</v>
      </c>
      <c r="E137" t="b">
        <f t="shared" si="9"/>
        <v>0</v>
      </c>
      <c r="F137" s="13" t="b">
        <f t="shared" si="10"/>
        <v>0</v>
      </c>
      <c r="G137" t="b">
        <f>IF('Input and Summary Results'!$J$4="yes",IF(C137=FALSE,FALSE,IF(E137&lt;$R$10,'Data Transformation'!E137,$R$10)),IF(C137=FALSE,FALSE,IF('Data Transformation'!C137&lt;$R$10,C137,$R$10)))</f>
        <v>0</v>
      </c>
      <c r="H137" t="b">
        <f>IF('Input and Summary Results'!$J$4="yes",'Data Transformation'!F137,'Data Transformation'!D137)</f>
        <v>0</v>
      </c>
    </row>
    <row r="138" spans="2:8" x14ac:dyDescent="0.25">
      <c r="B138" t="b">
        <f>IF('Input and Summary Results'!D121="",FALSE,'Input and Summary Results'!$B121)</f>
        <v>0</v>
      </c>
      <c r="C138" t="b">
        <f>IF(OR(B138=0,'Input and Summary Results'!D121=0,'Input and Summary Results'!D121=""),FALSE,'Input and Summary Results'!$D121)</f>
        <v>0</v>
      </c>
      <c r="D138" t="b">
        <f>IF(OR(B138=0,'Input and Summary Results'!E121=0),FALSE,'Input and Summary Results'!$E121)</f>
        <v>0</v>
      </c>
      <c r="E138" t="b">
        <f t="shared" si="9"/>
        <v>0</v>
      </c>
      <c r="F138" s="13" t="b">
        <f t="shared" si="10"/>
        <v>0</v>
      </c>
      <c r="G138" t="b">
        <f>IF('Input and Summary Results'!$J$4="yes",IF(C138=FALSE,FALSE,IF(E138&lt;$R$10,'Data Transformation'!E138,$R$10)),IF(C138=FALSE,FALSE,IF('Data Transformation'!C138&lt;$R$10,C138,$R$10)))</f>
        <v>0</v>
      </c>
      <c r="H138" t="b">
        <f>IF('Input and Summary Results'!$J$4="yes",'Data Transformation'!F138,'Data Transformation'!D138)</f>
        <v>0</v>
      </c>
    </row>
    <row r="139" spans="2:8" x14ac:dyDescent="0.25">
      <c r="B139" t="b">
        <f>IF('Input and Summary Results'!D122="",FALSE,'Input and Summary Results'!$B122)</f>
        <v>0</v>
      </c>
      <c r="C139" t="b">
        <f>IF(OR(B139=0,'Input and Summary Results'!D122=0,'Input and Summary Results'!D122=""),FALSE,'Input and Summary Results'!$D122)</f>
        <v>0</v>
      </c>
      <c r="D139" t="b">
        <f>IF(OR(B139=0,'Input and Summary Results'!E122=0),FALSE,'Input and Summary Results'!$E122)</f>
        <v>0</v>
      </c>
      <c r="E139" t="b">
        <f t="shared" si="9"/>
        <v>0</v>
      </c>
      <c r="F139" s="13" t="b">
        <f t="shared" si="10"/>
        <v>0</v>
      </c>
      <c r="G139" t="b">
        <f>IF('Input and Summary Results'!$J$4="yes",IF(C139=FALSE,FALSE,IF(E139&lt;$R$10,'Data Transformation'!E139,$R$10)),IF(C139=FALSE,FALSE,IF('Data Transformation'!C139&lt;$R$10,C139,$R$10)))</f>
        <v>0</v>
      </c>
      <c r="H139" t="b">
        <f>IF('Input and Summary Results'!$J$4="yes",'Data Transformation'!F139,'Data Transformation'!D139)</f>
        <v>0</v>
      </c>
    </row>
    <row r="140" spans="2:8" x14ac:dyDescent="0.25">
      <c r="B140" t="b">
        <f>IF('Input and Summary Results'!D123="",FALSE,'Input and Summary Results'!$B123)</f>
        <v>0</v>
      </c>
      <c r="C140" t="b">
        <f>IF(OR(B140=0,'Input and Summary Results'!D123=0,'Input and Summary Results'!D123=""),FALSE,'Input and Summary Results'!$D123)</f>
        <v>0</v>
      </c>
      <c r="D140" t="b">
        <f>IF(OR(B140=0,'Input and Summary Results'!E123=0),FALSE,'Input and Summary Results'!$E123)</f>
        <v>0</v>
      </c>
      <c r="E140" t="b">
        <f t="shared" si="9"/>
        <v>0</v>
      </c>
      <c r="F140" s="13" t="b">
        <f t="shared" si="10"/>
        <v>0</v>
      </c>
      <c r="G140" t="b">
        <f>IF('Input and Summary Results'!$J$4="yes",IF(C140=FALSE,FALSE,IF(E140&lt;$R$10,'Data Transformation'!E140,$R$10)),IF(C140=FALSE,FALSE,IF('Data Transformation'!C140&lt;$R$10,C140,$R$10)))</f>
        <v>0</v>
      </c>
      <c r="H140" t="b">
        <f>IF('Input and Summary Results'!$J$4="yes",'Data Transformation'!F140,'Data Transformation'!D140)</f>
        <v>0</v>
      </c>
    </row>
    <row r="141" spans="2:8" x14ac:dyDescent="0.25">
      <c r="B141" t="b">
        <f>IF('Input and Summary Results'!D124="",FALSE,'Input and Summary Results'!$B124)</f>
        <v>0</v>
      </c>
      <c r="C141" t="b">
        <f>IF(OR(B141=0,'Input and Summary Results'!D124=0,'Input and Summary Results'!D124=""),FALSE,'Input and Summary Results'!$D124)</f>
        <v>0</v>
      </c>
      <c r="D141" t="b">
        <f>IF(OR(B141=0,'Input and Summary Results'!E124=0),FALSE,'Input and Summary Results'!$E124)</f>
        <v>0</v>
      </c>
      <c r="E141" t="b">
        <f t="shared" si="9"/>
        <v>0</v>
      </c>
      <c r="F141" s="13" t="b">
        <f t="shared" si="10"/>
        <v>0</v>
      </c>
      <c r="G141" t="b">
        <f>IF('Input and Summary Results'!$J$4="yes",IF(C141=FALSE,FALSE,IF(E141&lt;$R$10,'Data Transformation'!E141,$R$10)),IF(C141=FALSE,FALSE,IF('Data Transformation'!C141&lt;$R$10,C141,$R$10)))</f>
        <v>0</v>
      </c>
      <c r="H141" t="b">
        <f>IF('Input and Summary Results'!$J$4="yes",'Data Transformation'!F141,'Data Transformation'!D141)</f>
        <v>0</v>
      </c>
    </row>
    <row r="142" spans="2:8" x14ac:dyDescent="0.25">
      <c r="B142" t="b">
        <f>IF('Input and Summary Results'!D125="",FALSE,'Input and Summary Results'!$B125)</f>
        <v>0</v>
      </c>
      <c r="C142" t="b">
        <f>IF(OR(B142=0,'Input and Summary Results'!D125=0,'Input and Summary Results'!D125=""),FALSE,'Input and Summary Results'!$D125)</f>
        <v>0</v>
      </c>
      <c r="D142" t="b">
        <f>IF(OR(B142=0,'Input and Summary Results'!E125=0),FALSE,'Input and Summary Results'!$E125)</f>
        <v>0</v>
      </c>
      <c r="E142" t="b">
        <f t="shared" si="9"/>
        <v>0</v>
      </c>
      <c r="F142" s="13" t="b">
        <f t="shared" si="10"/>
        <v>0</v>
      </c>
      <c r="G142" t="b">
        <f>IF('Input and Summary Results'!$J$4="yes",IF(C142=FALSE,FALSE,IF(E142&lt;$R$10,'Data Transformation'!E142,$R$10)),IF(C142=FALSE,FALSE,IF('Data Transformation'!C142&lt;$R$10,C142,$R$10)))</f>
        <v>0</v>
      </c>
      <c r="H142" t="b">
        <f>IF('Input and Summary Results'!$J$4="yes",'Data Transformation'!F142,'Data Transformation'!D142)</f>
        <v>0</v>
      </c>
    </row>
    <row r="143" spans="2:8" x14ac:dyDescent="0.25">
      <c r="B143" t="b">
        <f>IF('Input and Summary Results'!D126="",FALSE,'Input and Summary Results'!$B126)</f>
        <v>0</v>
      </c>
      <c r="C143" t="b">
        <f>IF(OR(B143=0,'Input and Summary Results'!D126=0,'Input and Summary Results'!D126=""),FALSE,'Input and Summary Results'!$D126)</f>
        <v>0</v>
      </c>
      <c r="D143" t="b">
        <f>IF(OR(B143=0,'Input and Summary Results'!E126=0),FALSE,'Input and Summary Results'!$E126)</f>
        <v>0</v>
      </c>
      <c r="E143" t="b">
        <f t="shared" si="9"/>
        <v>0</v>
      </c>
      <c r="F143" s="13" t="b">
        <f t="shared" si="10"/>
        <v>0</v>
      </c>
      <c r="G143" t="b">
        <f>IF('Input and Summary Results'!$J$4="yes",IF(C143=FALSE,FALSE,IF(E143&lt;$R$10,'Data Transformation'!E143,$R$10)),IF(C143=FALSE,FALSE,IF('Data Transformation'!C143&lt;$R$10,C143,$R$10)))</f>
        <v>0</v>
      </c>
      <c r="H143" t="b">
        <f>IF('Input and Summary Results'!$J$4="yes",'Data Transformation'!F143,'Data Transformation'!D143)</f>
        <v>0</v>
      </c>
    </row>
    <row r="144" spans="2:8" x14ac:dyDescent="0.25">
      <c r="B144" t="b">
        <f>IF('Input and Summary Results'!D127="",FALSE,'Input and Summary Results'!$B127)</f>
        <v>0</v>
      </c>
      <c r="C144" t="b">
        <f>IF(OR(B144=0,'Input and Summary Results'!D127=0,'Input and Summary Results'!D127=""),FALSE,'Input and Summary Results'!$D127)</f>
        <v>0</v>
      </c>
      <c r="D144" t="b">
        <f>IF(OR(B144=0,'Input and Summary Results'!E127=0),FALSE,'Input and Summary Results'!$E127)</f>
        <v>0</v>
      </c>
      <c r="E144" t="b">
        <f t="shared" si="9"/>
        <v>0</v>
      </c>
      <c r="F144" s="13" t="b">
        <f t="shared" si="10"/>
        <v>0</v>
      </c>
      <c r="G144" t="b">
        <f>IF('Input and Summary Results'!$J$4="yes",IF(C144=FALSE,FALSE,IF(E144&lt;$R$10,'Data Transformation'!E144,$R$10)),IF(C144=FALSE,FALSE,IF('Data Transformation'!C144&lt;$R$10,C144,$R$10)))</f>
        <v>0</v>
      </c>
      <c r="H144" t="b">
        <f>IF('Input and Summary Results'!$J$4="yes",'Data Transformation'!F144,'Data Transformation'!D144)</f>
        <v>0</v>
      </c>
    </row>
    <row r="145" spans="2:8" x14ac:dyDescent="0.25">
      <c r="B145" t="b">
        <f>IF('Input and Summary Results'!D128="",FALSE,'Input and Summary Results'!$B128)</f>
        <v>0</v>
      </c>
      <c r="C145" t="b">
        <f>IF(OR(B145=0,'Input and Summary Results'!D128=0,'Input and Summary Results'!D128=""),FALSE,'Input and Summary Results'!$D128)</f>
        <v>0</v>
      </c>
      <c r="D145" t="b">
        <f>IF(OR(B145=0,'Input and Summary Results'!E128=0),FALSE,'Input and Summary Results'!$E128)</f>
        <v>0</v>
      </c>
      <c r="E145" t="b">
        <f t="shared" si="9"/>
        <v>0</v>
      </c>
      <c r="F145" s="13" t="b">
        <f t="shared" si="10"/>
        <v>0</v>
      </c>
      <c r="G145" t="b">
        <f>IF('Input and Summary Results'!$J$4="yes",IF(C145=FALSE,FALSE,IF(E145&lt;$R$10,'Data Transformation'!E145,$R$10)),IF(C145=FALSE,FALSE,IF('Data Transformation'!C145&lt;$R$10,C145,$R$10)))</f>
        <v>0</v>
      </c>
      <c r="H145" t="b">
        <f>IF('Input and Summary Results'!$J$4="yes",'Data Transformation'!F145,'Data Transformation'!D145)</f>
        <v>0</v>
      </c>
    </row>
    <row r="146" spans="2:8" x14ac:dyDescent="0.25">
      <c r="B146" t="b">
        <f>IF('Input and Summary Results'!D129="",FALSE,'Input and Summary Results'!$B129)</f>
        <v>0</v>
      </c>
      <c r="C146" t="b">
        <f>IF(OR(B146=0,'Input and Summary Results'!D129=0,'Input and Summary Results'!D129=""),FALSE,'Input and Summary Results'!$D129)</f>
        <v>0</v>
      </c>
      <c r="D146" t="b">
        <f>IF(OR(B146=0,'Input and Summary Results'!E129=0),FALSE,'Input and Summary Results'!$E129)</f>
        <v>0</v>
      </c>
      <c r="E146" t="b">
        <f t="shared" si="9"/>
        <v>0</v>
      </c>
      <c r="F146" s="13" t="b">
        <f t="shared" si="10"/>
        <v>0</v>
      </c>
      <c r="G146" t="b">
        <f>IF('Input and Summary Results'!$J$4="yes",IF(C146=FALSE,FALSE,IF(E146&lt;$R$10,'Data Transformation'!E146,$R$10)),IF(C146=FALSE,FALSE,IF('Data Transformation'!C146&lt;$R$10,C146,$R$10)))</f>
        <v>0</v>
      </c>
      <c r="H146" t="b">
        <f>IF('Input and Summary Results'!$J$4="yes",'Data Transformation'!F146,'Data Transformation'!D146)</f>
        <v>0</v>
      </c>
    </row>
    <row r="147" spans="2:8" x14ac:dyDescent="0.25">
      <c r="B147" t="b">
        <f>IF('Input and Summary Results'!D130="",FALSE,'Input and Summary Results'!$B130)</f>
        <v>0</v>
      </c>
      <c r="C147" t="b">
        <f>IF(OR(B147=0,'Input and Summary Results'!D130=0,'Input and Summary Results'!D130=""),FALSE,'Input and Summary Results'!$D130)</f>
        <v>0</v>
      </c>
      <c r="D147" t="b">
        <f>IF(OR(B147=0,'Input and Summary Results'!E130=0),FALSE,'Input and Summary Results'!$E130)</f>
        <v>0</v>
      </c>
      <c r="E147" t="b">
        <f t="shared" si="9"/>
        <v>0</v>
      </c>
      <c r="F147" s="13" t="b">
        <f t="shared" si="10"/>
        <v>0</v>
      </c>
      <c r="G147" t="b">
        <f>IF('Input and Summary Results'!$J$4="yes",IF(C147=FALSE,FALSE,IF(E147&lt;$R$10,'Data Transformation'!E147,$R$10)),IF(C147=FALSE,FALSE,IF('Data Transformation'!C147&lt;$R$10,C147,$R$10)))</f>
        <v>0</v>
      </c>
      <c r="H147" t="b">
        <f>IF('Input and Summary Results'!$J$4="yes",'Data Transformation'!F147,'Data Transformation'!D147)</f>
        <v>0</v>
      </c>
    </row>
    <row r="148" spans="2:8" x14ac:dyDescent="0.25">
      <c r="B148" t="b">
        <f>IF('Input and Summary Results'!D131="",FALSE,'Input and Summary Results'!$B131)</f>
        <v>0</v>
      </c>
      <c r="C148" t="b">
        <f>IF(OR(B148=0,'Input and Summary Results'!D131=0,'Input and Summary Results'!D131=""),FALSE,'Input and Summary Results'!$D131)</f>
        <v>0</v>
      </c>
      <c r="D148" t="b">
        <f>IF(OR(B148=0,'Input and Summary Results'!E131=0),FALSE,'Input and Summary Results'!$E131)</f>
        <v>0</v>
      </c>
      <c r="E148" t="b">
        <f t="shared" si="9"/>
        <v>0</v>
      </c>
      <c r="F148" s="13" t="b">
        <f t="shared" si="10"/>
        <v>0</v>
      </c>
      <c r="G148" t="b">
        <f>IF('Input and Summary Results'!$J$4="yes",IF(C148=FALSE,FALSE,IF(E148&lt;$R$10,'Data Transformation'!E148,$R$10)),IF(C148=FALSE,FALSE,IF('Data Transformation'!C148&lt;$R$10,C148,$R$10)))</f>
        <v>0</v>
      </c>
      <c r="H148" t="b">
        <f>IF('Input and Summary Results'!$J$4="yes",'Data Transformation'!F148,'Data Transformation'!D148)</f>
        <v>0</v>
      </c>
    </row>
    <row r="149" spans="2:8" x14ac:dyDescent="0.25">
      <c r="B149" t="b">
        <f>IF('Input and Summary Results'!D132="",FALSE,'Input and Summary Results'!$B132)</f>
        <v>0</v>
      </c>
      <c r="C149" t="b">
        <f>IF(OR(B149=0,'Input and Summary Results'!D132=0,'Input and Summary Results'!D132=""),FALSE,'Input and Summary Results'!$D132)</f>
        <v>0</v>
      </c>
      <c r="D149" t="b">
        <f>IF(OR(B149=0,'Input and Summary Results'!E132=0),FALSE,'Input and Summary Results'!$E132)</f>
        <v>0</v>
      </c>
      <c r="E149" t="b">
        <f t="shared" si="9"/>
        <v>0</v>
      </c>
      <c r="F149" s="13" t="b">
        <f t="shared" si="10"/>
        <v>0</v>
      </c>
      <c r="G149" t="b">
        <f>IF('Input and Summary Results'!$J$4="yes",IF(C149=FALSE,FALSE,IF(E149&lt;$R$10,'Data Transformation'!E149,$R$10)),IF(C149=FALSE,FALSE,IF('Data Transformation'!C149&lt;$R$10,C149,$R$10)))</f>
        <v>0</v>
      </c>
      <c r="H149" t="b">
        <f>IF('Input and Summary Results'!$J$4="yes",'Data Transformation'!F149,'Data Transformation'!D149)</f>
        <v>0</v>
      </c>
    </row>
    <row r="150" spans="2:8" x14ac:dyDescent="0.25">
      <c r="B150" t="b">
        <f>IF('Input and Summary Results'!D133="",FALSE,'Input and Summary Results'!$B133)</f>
        <v>0</v>
      </c>
      <c r="C150" t="b">
        <f>IF(OR(B150=0,'Input and Summary Results'!D133=0,'Input and Summary Results'!D133=""),FALSE,'Input and Summary Results'!$D133)</f>
        <v>0</v>
      </c>
      <c r="D150" t="b">
        <f>IF(OR(B150=0,'Input and Summary Results'!E133=0),FALSE,'Input and Summary Results'!$E133)</f>
        <v>0</v>
      </c>
      <c r="E150" t="b">
        <f t="shared" si="9"/>
        <v>0</v>
      </c>
      <c r="F150" s="13" t="b">
        <f t="shared" si="10"/>
        <v>0</v>
      </c>
      <c r="G150" t="b">
        <f>IF('Input and Summary Results'!$J$4="yes",IF(C150=FALSE,FALSE,IF(E150&lt;$R$10,'Data Transformation'!E150,$R$10)),IF(C150=FALSE,FALSE,IF('Data Transformation'!C150&lt;$R$10,C150,$R$10)))</f>
        <v>0</v>
      </c>
      <c r="H150" t="b">
        <f>IF('Input and Summary Results'!$J$4="yes",'Data Transformation'!F150,'Data Transformation'!D150)</f>
        <v>0</v>
      </c>
    </row>
    <row r="151" spans="2:8" x14ac:dyDescent="0.25">
      <c r="B151" t="b">
        <f>IF('Input and Summary Results'!D134="",FALSE,'Input and Summary Results'!$B134)</f>
        <v>0</v>
      </c>
      <c r="C151" t="b">
        <f>IF(OR(B151=0,'Input and Summary Results'!D134=0,'Input and Summary Results'!D134=""),FALSE,'Input and Summary Results'!$D134)</f>
        <v>0</v>
      </c>
      <c r="D151" t="b">
        <f>IF(OR(B151=0,'Input and Summary Results'!E134=0),FALSE,'Input and Summary Results'!$E134)</f>
        <v>0</v>
      </c>
      <c r="E151" t="b">
        <f t="shared" si="9"/>
        <v>0</v>
      </c>
      <c r="F151" s="13" t="b">
        <f t="shared" si="10"/>
        <v>0</v>
      </c>
      <c r="G151" t="b">
        <f>IF('Input and Summary Results'!$J$4="yes",IF(C151=FALSE,FALSE,IF(E151&lt;$R$10,'Data Transformation'!E151,$R$10)),IF(C151=FALSE,FALSE,IF('Data Transformation'!C151&lt;$R$10,C151,$R$10)))</f>
        <v>0</v>
      </c>
      <c r="H151" t="b">
        <f>IF('Input and Summary Results'!$J$4="yes",'Data Transformation'!F151,'Data Transformation'!D151)</f>
        <v>0</v>
      </c>
    </row>
    <row r="152" spans="2:8" x14ac:dyDescent="0.25">
      <c r="B152" t="b">
        <f>IF('Input and Summary Results'!D135="",FALSE,'Input and Summary Results'!$B135)</f>
        <v>0</v>
      </c>
      <c r="C152" t="b">
        <f>IF(OR(B152=0,'Input and Summary Results'!D135=0,'Input and Summary Results'!D135=""),FALSE,'Input and Summary Results'!$D135)</f>
        <v>0</v>
      </c>
      <c r="D152" t="b">
        <f>IF(OR(B152=0,'Input and Summary Results'!E135=0),FALSE,'Input and Summary Results'!$E135)</f>
        <v>0</v>
      </c>
      <c r="E152" t="b">
        <f t="shared" si="9"/>
        <v>0</v>
      </c>
      <c r="F152" s="13" t="b">
        <f t="shared" si="10"/>
        <v>0</v>
      </c>
      <c r="G152" t="b">
        <f>IF('Input and Summary Results'!$J$4="yes",IF(C152=FALSE,FALSE,IF(E152&lt;$R$10,'Data Transformation'!E152,$R$10)),IF(C152=FALSE,FALSE,IF('Data Transformation'!C152&lt;$R$10,C152,$R$10)))</f>
        <v>0</v>
      </c>
      <c r="H152" t="b">
        <f>IF('Input and Summary Results'!$J$4="yes",'Data Transformation'!F152,'Data Transformation'!D152)</f>
        <v>0</v>
      </c>
    </row>
    <row r="153" spans="2:8" x14ac:dyDescent="0.25">
      <c r="B153" t="b">
        <f>IF('Input and Summary Results'!D136="",FALSE,'Input and Summary Results'!$B136)</f>
        <v>0</v>
      </c>
      <c r="C153" t="b">
        <f>IF(OR(B153=0,'Input and Summary Results'!D136=0,'Input and Summary Results'!D136=""),FALSE,'Input and Summary Results'!$D136)</f>
        <v>0</v>
      </c>
      <c r="D153" t="b">
        <f>IF(OR(B153=0,'Input and Summary Results'!E136=0),FALSE,'Input and Summary Results'!$E136)</f>
        <v>0</v>
      </c>
      <c r="E153" t="b">
        <f t="shared" si="9"/>
        <v>0</v>
      </c>
      <c r="F153" s="13" t="b">
        <f t="shared" si="10"/>
        <v>0</v>
      </c>
      <c r="G153" t="b">
        <f>IF('Input and Summary Results'!$J$4="yes",IF(C153=FALSE,FALSE,IF(E153&lt;$R$10,'Data Transformation'!E153,$R$10)),IF(C153=FALSE,FALSE,IF('Data Transformation'!C153&lt;$R$10,C153,$R$10)))</f>
        <v>0</v>
      </c>
      <c r="H153" t="b">
        <f>IF('Input and Summary Results'!$J$4="yes",'Data Transformation'!F153,'Data Transformation'!D153)</f>
        <v>0</v>
      </c>
    </row>
    <row r="154" spans="2:8" x14ac:dyDescent="0.25">
      <c r="B154" t="b">
        <f>IF('Input and Summary Results'!D137="",FALSE,'Input and Summary Results'!$B137)</f>
        <v>0</v>
      </c>
      <c r="C154" t="b">
        <f>IF(OR(B154=0,'Input and Summary Results'!D137=0,'Input and Summary Results'!D137=""),FALSE,'Input and Summary Results'!$D137)</f>
        <v>0</v>
      </c>
      <c r="D154" t="b">
        <f>IF(OR(B154=0,'Input and Summary Results'!E137=0),FALSE,'Input and Summary Results'!$E137)</f>
        <v>0</v>
      </c>
      <c r="E154" t="b">
        <f t="shared" si="9"/>
        <v>0</v>
      </c>
      <c r="F154" s="13" t="b">
        <f t="shared" si="10"/>
        <v>0</v>
      </c>
      <c r="G154" t="b">
        <f>IF('Input and Summary Results'!$J$4="yes",IF(C154=FALSE,FALSE,IF(E154&lt;$R$10,'Data Transformation'!E154,$R$10)),IF(C154=FALSE,FALSE,IF('Data Transformation'!C154&lt;$R$10,C154,$R$10)))</f>
        <v>0</v>
      </c>
      <c r="H154" t="b">
        <f>IF('Input and Summary Results'!$J$4="yes",'Data Transformation'!F154,'Data Transformation'!D154)</f>
        <v>0</v>
      </c>
    </row>
    <row r="155" spans="2:8" x14ac:dyDescent="0.25">
      <c r="B155" t="b">
        <f>IF('Input and Summary Results'!D138="",FALSE,'Input and Summary Results'!$B138)</f>
        <v>0</v>
      </c>
      <c r="C155" t="b">
        <f>IF(OR(B155=0,'Input and Summary Results'!D138=0,'Input and Summary Results'!D138=""),FALSE,'Input and Summary Results'!$D138)</f>
        <v>0</v>
      </c>
      <c r="D155" t="b">
        <f>IF(OR(B155=0,'Input and Summary Results'!E138=0),FALSE,'Input and Summary Results'!$E138)</f>
        <v>0</v>
      </c>
      <c r="E155" t="b">
        <f t="shared" si="9"/>
        <v>0</v>
      </c>
      <c r="F155" s="13" t="b">
        <f t="shared" si="10"/>
        <v>0</v>
      </c>
      <c r="G155" t="b">
        <f>IF('Input and Summary Results'!$J$4="yes",IF(C155=FALSE,FALSE,IF(E155&lt;$R$10,'Data Transformation'!E155,$R$10)),IF(C155=FALSE,FALSE,IF('Data Transformation'!C155&lt;$R$10,C155,$R$10)))</f>
        <v>0</v>
      </c>
      <c r="H155" t="b">
        <f>IF('Input and Summary Results'!$J$4="yes",'Data Transformation'!F155,'Data Transformation'!D155)</f>
        <v>0</v>
      </c>
    </row>
    <row r="156" spans="2:8" x14ac:dyDescent="0.25">
      <c r="B156" t="b">
        <f>IF('Input and Summary Results'!D139="",FALSE,'Input and Summary Results'!$B139)</f>
        <v>0</v>
      </c>
      <c r="C156" t="b">
        <f>IF(OR(B156=0,'Input and Summary Results'!D139=0,'Input and Summary Results'!D139=""),FALSE,'Input and Summary Results'!$D139)</f>
        <v>0</v>
      </c>
      <c r="D156" t="b">
        <f>IF(OR(B156=0,'Input and Summary Results'!E139=0),FALSE,'Input and Summary Results'!$E139)</f>
        <v>0</v>
      </c>
      <c r="E156" t="b">
        <f t="shared" si="9"/>
        <v>0</v>
      </c>
      <c r="F156" s="13" t="b">
        <f t="shared" si="10"/>
        <v>0</v>
      </c>
      <c r="G156" t="b">
        <f>IF('Input and Summary Results'!$J$4="yes",IF(C156=FALSE,FALSE,IF(E156&lt;$R$10,'Data Transformation'!E156,$R$10)),IF(C156=FALSE,FALSE,IF('Data Transformation'!C156&lt;$R$10,C156,$R$10)))</f>
        <v>0</v>
      </c>
      <c r="H156" t="b">
        <f>IF('Input and Summary Results'!$J$4="yes",'Data Transformation'!F156,'Data Transformation'!D156)</f>
        <v>0</v>
      </c>
    </row>
    <row r="157" spans="2:8" x14ac:dyDescent="0.25">
      <c r="B157" t="b">
        <f>IF('Input and Summary Results'!D140="",FALSE,'Input and Summary Results'!$B140)</f>
        <v>0</v>
      </c>
      <c r="C157" t="b">
        <f>IF(OR(B157=0,'Input and Summary Results'!D140=0,'Input and Summary Results'!D140=""),FALSE,'Input and Summary Results'!$D140)</f>
        <v>0</v>
      </c>
      <c r="D157" t="b">
        <f>IF(OR(B157=0,'Input and Summary Results'!E140=0),FALSE,'Input and Summary Results'!$E140)</f>
        <v>0</v>
      </c>
      <c r="E157" t="b">
        <f t="shared" si="9"/>
        <v>0</v>
      </c>
      <c r="F157" s="13" t="b">
        <f t="shared" si="10"/>
        <v>0</v>
      </c>
      <c r="G157" t="b">
        <f>IF('Input and Summary Results'!$J$4="yes",IF(C157=FALSE,FALSE,IF(E157&lt;$R$10,'Data Transformation'!E157,$R$10)),IF(C157=FALSE,FALSE,IF('Data Transformation'!C157&lt;$R$10,C157,$R$10)))</f>
        <v>0</v>
      </c>
      <c r="H157" t="b">
        <f>IF('Input and Summary Results'!$J$4="yes",'Data Transformation'!F157,'Data Transformation'!D157)</f>
        <v>0</v>
      </c>
    </row>
    <row r="158" spans="2:8" x14ac:dyDescent="0.25">
      <c r="B158" t="b">
        <f>IF('Input and Summary Results'!D141="",FALSE,'Input and Summary Results'!$B141)</f>
        <v>0</v>
      </c>
      <c r="C158" t="b">
        <f>IF(OR(B158=0,'Input and Summary Results'!D141=0,'Input and Summary Results'!D141=""),FALSE,'Input and Summary Results'!$D141)</f>
        <v>0</v>
      </c>
      <c r="D158" t="b">
        <f>IF(OR(B158=0,'Input and Summary Results'!E141=0),FALSE,'Input and Summary Results'!$E141)</f>
        <v>0</v>
      </c>
      <c r="E158" t="b">
        <f t="shared" si="9"/>
        <v>0</v>
      </c>
      <c r="F158" s="13" t="b">
        <f t="shared" si="10"/>
        <v>0</v>
      </c>
      <c r="G158" t="b">
        <f>IF('Input and Summary Results'!$J$4="yes",IF(C158=FALSE,FALSE,IF(E158&lt;$R$10,'Data Transformation'!E158,$R$10)),IF(C158=FALSE,FALSE,IF('Data Transformation'!C158&lt;$R$10,C158,$R$10)))</f>
        <v>0</v>
      </c>
      <c r="H158" t="b">
        <f>IF('Input and Summary Results'!$J$4="yes",'Data Transformation'!F158,'Data Transformation'!D158)</f>
        <v>0</v>
      </c>
    </row>
    <row r="159" spans="2:8" x14ac:dyDescent="0.25">
      <c r="B159" t="b">
        <f>IF('Input and Summary Results'!D142="",FALSE,'Input and Summary Results'!$B142)</f>
        <v>0</v>
      </c>
      <c r="C159" t="b">
        <f>IF(OR(B159=0,'Input and Summary Results'!D142=0,'Input and Summary Results'!D142=""),FALSE,'Input and Summary Results'!$D142)</f>
        <v>0</v>
      </c>
      <c r="D159" t="b">
        <f>IF(OR(B159=0,'Input and Summary Results'!E142=0),FALSE,'Input and Summary Results'!$E142)</f>
        <v>0</v>
      </c>
      <c r="E159" t="b">
        <f t="shared" si="9"/>
        <v>0</v>
      </c>
      <c r="F159" s="13" t="b">
        <f t="shared" si="10"/>
        <v>0</v>
      </c>
      <c r="G159" t="b">
        <f>IF('Input and Summary Results'!$J$4="yes",IF(C159=FALSE,FALSE,IF(E159&lt;$R$10,'Data Transformation'!E159,$R$10)),IF(C159=FALSE,FALSE,IF('Data Transformation'!C159&lt;$R$10,C159,$R$10)))</f>
        <v>0</v>
      </c>
      <c r="H159" t="b">
        <f>IF('Input and Summary Results'!$J$4="yes",'Data Transformation'!F159,'Data Transformation'!D159)</f>
        <v>0</v>
      </c>
    </row>
    <row r="160" spans="2:8" x14ac:dyDescent="0.25">
      <c r="B160" t="b">
        <f>IF('Input and Summary Results'!D143="",FALSE,'Input and Summary Results'!$B143)</f>
        <v>0</v>
      </c>
      <c r="C160" t="b">
        <f>IF(OR(B160=0,'Input and Summary Results'!D143=0,'Input and Summary Results'!D143=""),FALSE,'Input and Summary Results'!$D143)</f>
        <v>0</v>
      </c>
      <c r="D160" t="b">
        <f>IF(OR(B160=0,'Input and Summary Results'!E143=0),FALSE,'Input and Summary Results'!$E143)</f>
        <v>0</v>
      </c>
      <c r="E160" t="b">
        <f t="shared" si="9"/>
        <v>0</v>
      </c>
      <c r="F160" s="13" t="b">
        <f t="shared" si="10"/>
        <v>0</v>
      </c>
      <c r="G160" t="b">
        <f>IF('Input and Summary Results'!$J$4="yes",IF(C160=FALSE,FALSE,IF(E160&lt;$R$10,'Data Transformation'!E160,$R$10)),IF(C160=FALSE,FALSE,IF('Data Transformation'!C160&lt;$R$10,C160,$R$10)))</f>
        <v>0</v>
      </c>
      <c r="H160" t="b">
        <f>IF('Input and Summary Results'!$J$4="yes",'Data Transformation'!F160,'Data Transformation'!D160)</f>
        <v>0</v>
      </c>
    </row>
    <row r="161" spans="2:8" x14ac:dyDescent="0.25">
      <c r="B161" t="b">
        <f>IF('Input and Summary Results'!D144="",FALSE,'Input and Summary Results'!$B144)</f>
        <v>0</v>
      </c>
      <c r="C161" t="b">
        <f>IF(OR(B161=0,'Input and Summary Results'!D144=0,'Input and Summary Results'!D144=""),FALSE,'Input and Summary Results'!$D144)</f>
        <v>0</v>
      </c>
      <c r="D161" t="b">
        <f>IF(OR(B161=0,'Input and Summary Results'!E144=0),FALSE,'Input and Summary Results'!$E144)</f>
        <v>0</v>
      </c>
      <c r="E161" t="b">
        <f t="shared" si="9"/>
        <v>0</v>
      </c>
      <c r="F161" s="13" t="b">
        <f t="shared" si="10"/>
        <v>0</v>
      </c>
      <c r="G161" t="b">
        <f>IF('Input and Summary Results'!$J$4="yes",IF(C161=FALSE,FALSE,IF(E161&lt;$R$10,'Data Transformation'!E161,$R$10)),IF(C161=FALSE,FALSE,IF('Data Transformation'!C161&lt;$R$10,C161,$R$10)))</f>
        <v>0</v>
      </c>
      <c r="H161" t="b">
        <f>IF('Input and Summary Results'!$J$4="yes",'Data Transformation'!F161,'Data Transformation'!D161)</f>
        <v>0</v>
      </c>
    </row>
    <row r="162" spans="2:8" x14ac:dyDescent="0.25">
      <c r="B162" t="b">
        <f>IF('Input and Summary Results'!D145="",FALSE,'Input and Summary Results'!$B145)</f>
        <v>0</v>
      </c>
      <c r="C162" t="b">
        <f>IF(OR(B162=0,'Input and Summary Results'!D145=0,'Input and Summary Results'!D145=""),FALSE,'Input and Summary Results'!$D145)</f>
        <v>0</v>
      </c>
      <c r="D162" t="b">
        <f>IF(OR(B162=0,'Input and Summary Results'!E145=0),FALSE,'Input and Summary Results'!$E145)</f>
        <v>0</v>
      </c>
      <c r="E162" t="b">
        <f t="shared" si="9"/>
        <v>0</v>
      </c>
      <c r="F162" s="13" t="b">
        <f t="shared" si="10"/>
        <v>0</v>
      </c>
      <c r="G162" t="b">
        <f>IF('Input and Summary Results'!$J$4="yes",IF(C162=FALSE,FALSE,IF(E162&lt;$R$10,'Data Transformation'!E162,$R$10)),IF(C162=FALSE,FALSE,IF('Data Transformation'!C162&lt;$R$10,C162,$R$10)))</f>
        <v>0</v>
      </c>
      <c r="H162" t="b">
        <f>IF('Input and Summary Results'!$J$4="yes",'Data Transformation'!F162,'Data Transformation'!D162)</f>
        <v>0</v>
      </c>
    </row>
    <row r="163" spans="2:8" x14ac:dyDescent="0.25">
      <c r="B163" t="b">
        <f>IF('Input and Summary Results'!D146="",FALSE,'Input and Summary Results'!$B146)</f>
        <v>0</v>
      </c>
      <c r="C163" t="b">
        <f>IF(OR(B163=0,'Input and Summary Results'!D146=0,'Input and Summary Results'!D146=""),FALSE,'Input and Summary Results'!$D146)</f>
        <v>0</v>
      </c>
      <c r="D163" t="b">
        <f>IF(OR(B163=0,'Input and Summary Results'!E146=0),FALSE,'Input and Summary Results'!$E146)</f>
        <v>0</v>
      </c>
      <c r="E163" t="b">
        <f t="shared" si="9"/>
        <v>0</v>
      </c>
      <c r="F163" s="13" t="b">
        <f t="shared" si="10"/>
        <v>0</v>
      </c>
      <c r="G163" t="b">
        <f>IF('Input and Summary Results'!$J$4="yes",IF(C163=FALSE,FALSE,IF(E163&lt;$R$10,'Data Transformation'!E163,$R$10)),IF(C163=FALSE,FALSE,IF('Data Transformation'!C163&lt;$R$10,C163,$R$10)))</f>
        <v>0</v>
      </c>
      <c r="H163" t="b">
        <f>IF('Input and Summary Results'!$J$4="yes",'Data Transformation'!F163,'Data Transformation'!D163)</f>
        <v>0</v>
      </c>
    </row>
    <row r="164" spans="2:8" x14ac:dyDescent="0.25">
      <c r="B164" t="b">
        <f>IF('Input and Summary Results'!D147="",FALSE,'Input and Summary Results'!$B147)</f>
        <v>0</v>
      </c>
      <c r="C164" t="b">
        <f>IF(OR(B164=0,'Input and Summary Results'!D147=0,'Input and Summary Results'!D147=""),FALSE,'Input and Summary Results'!$D147)</f>
        <v>0</v>
      </c>
      <c r="D164" t="b">
        <f>IF(OR(B164=0,'Input and Summary Results'!E147=0),FALSE,'Input and Summary Results'!$E147)</f>
        <v>0</v>
      </c>
      <c r="E164" t="b">
        <f t="shared" si="9"/>
        <v>0</v>
      </c>
      <c r="F164" s="13" t="b">
        <f t="shared" si="10"/>
        <v>0</v>
      </c>
      <c r="G164" t="b">
        <f>IF('Input and Summary Results'!$J$4="yes",IF(C164=FALSE,FALSE,IF(E164&lt;$R$10,'Data Transformation'!E164,$R$10)),IF(C164=FALSE,FALSE,IF('Data Transformation'!C164&lt;$R$10,C164,$R$10)))</f>
        <v>0</v>
      </c>
      <c r="H164" t="b">
        <f>IF('Input and Summary Results'!$J$4="yes",'Data Transformation'!F164,'Data Transformation'!D164)</f>
        <v>0</v>
      </c>
    </row>
    <row r="165" spans="2:8" x14ac:dyDescent="0.25">
      <c r="B165" t="b">
        <f>IF('Input and Summary Results'!D148="",FALSE,'Input and Summary Results'!$B148)</f>
        <v>0</v>
      </c>
      <c r="C165" t="b">
        <f>IF(OR(B165=0,'Input and Summary Results'!D148=0,'Input and Summary Results'!D148=""),FALSE,'Input and Summary Results'!$D148)</f>
        <v>0</v>
      </c>
      <c r="D165" t="b">
        <f>IF(OR(B165=0,'Input and Summary Results'!E148=0),FALSE,'Input and Summary Results'!$E148)</f>
        <v>0</v>
      </c>
      <c r="E165" t="b">
        <f t="shared" si="9"/>
        <v>0</v>
      </c>
      <c r="F165" s="13" t="b">
        <f t="shared" si="10"/>
        <v>0</v>
      </c>
      <c r="G165" t="b">
        <f>IF('Input and Summary Results'!$J$4="yes",IF(C165=FALSE,FALSE,IF(E165&lt;$R$10,'Data Transformation'!E165,$R$10)),IF(C165=FALSE,FALSE,IF('Data Transformation'!C165&lt;$R$10,C165,$R$10)))</f>
        <v>0</v>
      </c>
      <c r="H165" t="b">
        <f>IF('Input and Summary Results'!$J$4="yes",'Data Transformation'!F165,'Data Transformation'!D165)</f>
        <v>0</v>
      </c>
    </row>
    <row r="166" spans="2:8" x14ac:dyDescent="0.25">
      <c r="B166" t="b">
        <f>IF('Input and Summary Results'!D149="",FALSE,'Input and Summary Results'!$B149)</f>
        <v>0</v>
      </c>
      <c r="C166" t="b">
        <f>IF(OR(B166=0,'Input and Summary Results'!D149=0,'Input and Summary Results'!D149=""),FALSE,'Input and Summary Results'!$D149)</f>
        <v>0</v>
      </c>
      <c r="D166" t="b">
        <f>IF(OR(B166=0,'Input and Summary Results'!E149=0),FALSE,'Input and Summary Results'!$E149)</f>
        <v>0</v>
      </c>
      <c r="E166" t="b">
        <f t="shared" si="9"/>
        <v>0</v>
      </c>
      <c r="F166" s="13" t="b">
        <f t="shared" si="10"/>
        <v>0</v>
      </c>
      <c r="G166" t="b">
        <f>IF('Input and Summary Results'!$J$4="yes",IF(C166=FALSE,FALSE,IF(E166&lt;$R$10,'Data Transformation'!E166,$R$10)),IF(C166=FALSE,FALSE,IF('Data Transformation'!C166&lt;$R$10,C166,$R$10)))</f>
        <v>0</v>
      </c>
      <c r="H166" t="b">
        <f>IF('Input and Summary Results'!$J$4="yes",'Data Transformation'!F166,'Data Transformation'!D166)</f>
        <v>0</v>
      </c>
    </row>
    <row r="167" spans="2:8" x14ac:dyDescent="0.25">
      <c r="B167" t="b">
        <f>IF('Input and Summary Results'!D150="",FALSE,'Input and Summary Results'!$B150)</f>
        <v>0</v>
      </c>
      <c r="C167" t="b">
        <f>IF(OR(B167=0,'Input and Summary Results'!D150=0,'Input and Summary Results'!D150=""),FALSE,'Input and Summary Results'!$D150)</f>
        <v>0</v>
      </c>
      <c r="D167" t="b">
        <f>IF(OR(B167=0,'Input and Summary Results'!E150=0),FALSE,'Input and Summary Results'!$E150)</f>
        <v>0</v>
      </c>
      <c r="E167" t="b">
        <f t="shared" si="9"/>
        <v>0</v>
      </c>
      <c r="F167" s="13" t="b">
        <f t="shared" si="10"/>
        <v>0</v>
      </c>
      <c r="G167" t="b">
        <f>IF('Input and Summary Results'!$J$4="yes",IF(C167=FALSE,FALSE,IF(E167&lt;$R$10,'Data Transformation'!E167,$R$10)),IF(C167=FALSE,FALSE,IF('Data Transformation'!C167&lt;$R$10,C167,$R$10)))</f>
        <v>0</v>
      </c>
      <c r="H167" t="b">
        <f>IF('Input and Summary Results'!$J$4="yes",'Data Transformation'!F167,'Data Transformation'!D167)</f>
        <v>0</v>
      </c>
    </row>
    <row r="168" spans="2:8" x14ac:dyDescent="0.25">
      <c r="B168" t="b">
        <f>IF('Input and Summary Results'!D151="",FALSE,'Input and Summary Results'!$B151)</f>
        <v>0</v>
      </c>
      <c r="C168" t="b">
        <f>IF(OR(B168=0,'Input and Summary Results'!D151=0,'Input and Summary Results'!D151=""),FALSE,'Input and Summary Results'!$D151)</f>
        <v>0</v>
      </c>
      <c r="D168" t="b">
        <f>IF(OR(B168=0,'Input and Summary Results'!E151=0),FALSE,'Input and Summary Results'!$E151)</f>
        <v>0</v>
      </c>
      <c r="E168" t="b">
        <f t="shared" si="9"/>
        <v>0</v>
      </c>
      <c r="F168" s="13" t="b">
        <f t="shared" si="10"/>
        <v>0</v>
      </c>
      <c r="G168" t="b">
        <f>IF('Input and Summary Results'!$J$4="yes",IF(C168=FALSE,FALSE,IF(E168&lt;$R$10,'Data Transformation'!E168,$R$10)),IF(C168=FALSE,FALSE,IF('Data Transformation'!C168&lt;$R$10,C168,$R$10)))</f>
        <v>0</v>
      </c>
      <c r="H168" t="b">
        <f>IF('Input and Summary Results'!$J$4="yes",'Data Transformation'!F168,'Data Transformation'!D168)</f>
        <v>0</v>
      </c>
    </row>
    <row r="169" spans="2:8" x14ac:dyDescent="0.25">
      <c r="B169" t="b">
        <f>IF('Input and Summary Results'!D152="",FALSE,'Input and Summary Results'!$B152)</f>
        <v>0</v>
      </c>
      <c r="C169" t="b">
        <f>IF(OR(B169=0,'Input and Summary Results'!D152=0,'Input and Summary Results'!D152=""),FALSE,'Input and Summary Results'!$D152)</f>
        <v>0</v>
      </c>
      <c r="D169" t="b">
        <f>IF(OR(B169=0,'Input and Summary Results'!E152=0),FALSE,'Input and Summary Results'!$E152)</f>
        <v>0</v>
      </c>
      <c r="E169" t="b">
        <f t="shared" si="9"/>
        <v>0</v>
      </c>
      <c r="F169" s="13" t="b">
        <f t="shared" si="10"/>
        <v>0</v>
      </c>
      <c r="G169" t="b">
        <f>IF('Input and Summary Results'!$J$4="yes",IF(C169=FALSE,FALSE,IF(E169&lt;$R$10,'Data Transformation'!E169,$R$10)),IF(C169=FALSE,FALSE,IF('Data Transformation'!C169&lt;$R$10,C169,$R$10)))</f>
        <v>0</v>
      </c>
      <c r="H169" t="b">
        <f>IF('Input and Summary Results'!$J$4="yes",'Data Transformation'!F169,'Data Transformation'!D169)</f>
        <v>0</v>
      </c>
    </row>
    <row r="170" spans="2:8" x14ac:dyDescent="0.25">
      <c r="B170" t="b">
        <f>IF('Input and Summary Results'!D153="",FALSE,'Input and Summary Results'!$B153)</f>
        <v>0</v>
      </c>
      <c r="C170" t="b">
        <f>IF(OR(B170=0,'Input and Summary Results'!D153=0,'Input and Summary Results'!D153=""),FALSE,'Input and Summary Results'!$D153)</f>
        <v>0</v>
      </c>
      <c r="D170" t="b">
        <f>IF(OR(B170=0,'Input and Summary Results'!E153=0),FALSE,'Input and Summary Results'!$E153)</f>
        <v>0</v>
      </c>
      <c r="E170" t="b">
        <f t="shared" si="9"/>
        <v>0</v>
      </c>
      <c r="F170" s="13" t="b">
        <f t="shared" si="10"/>
        <v>0</v>
      </c>
      <c r="G170" t="b">
        <f>IF('Input and Summary Results'!$J$4="yes",IF(C170=FALSE,FALSE,IF(E170&lt;$R$10,'Data Transformation'!E170,$R$10)),IF(C170=FALSE,FALSE,IF('Data Transformation'!C170&lt;$R$10,C170,$R$10)))</f>
        <v>0</v>
      </c>
      <c r="H170" t="b">
        <f>IF('Input and Summary Results'!$J$4="yes",'Data Transformation'!F170,'Data Transformation'!D170)</f>
        <v>0</v>
      </c>
    </row>
    <row r="171" spans="2:8" x14ac:dyDescent="0.25">
      <c r="B171" t="b">
        <f>IF('Input and Summary Results'!D154="",FALSE,'Input and Summary Results'!$B154)</f>
        <v>0</v>
      </c>
      <c r="C171" t="b">
        <f>IF(OR(B171=0,'Input and Summary Results'!D154=0,'Input and Summary Results'!D154=""),FALSE,'Input and Summary Results'!$D154)</f>
        <v>0</v>
      </c>
      <c r="D171" t="b">
        <f>IF(OR(B171=0,'Input and Summary Results'!E154=0),FALSE,'Input and Summary Results'!$E154)</f>
        <v>0</v>
      </c>
      <c r="E171" t="b">
        <f t="shared" si="9"/>
        <v>0</v>
      </c>
      <c r="F171" s="13" t="b">
        <f t="shared" si="10"/>
        <v>0</v>
      </c>
      <c r="G171" t="b">
        <f>IF('Input and Summary Results'!$J$4="yes",IF(C171=FALSE,FALSE,IF(E171&lt;$R$10,'Data Transformation'!E171,$R$10)),IF(C171=FALSE,FALSE,IF('Data Transformation'!C171&lt;$R$10,C171,$R$10)))</f>
        <v>0</v>
      </c>
      <c r="H171" t="b">
        <f>IF('Input and Summary Results'!$J$4="yes",'Data Transformation'!F171,'Data Transformation'!D171)</f>
        <v>0</v>
      </c>
    </row>
    <row r="172" spans="2:8" x14ac:dyDescent="0.25">
      <c r="B172" t="b">
        <f>IF('Input and Summary Results'!D155="",FALSE,'Input and Summary Results'!$B155)</f>
        <v>0</v>
      </c>
      <c r="C172" t="b">
        <f>IF(OR(B172=0,'Input and Summary Results'!D155=0,'Input and Summary Results'!D155=""),FALSE,'Input and Summary Results'!$D155)</f>
        <v>0</v>
      </c>
      <c r="D172" t="b">
        <f>IF(OR(B172=0,'Input and Summary Results'!E155=0),FALSE,'Input and Summary Results'!$E155)</f>
        <v>0</v>
      </c>
      <c r="E172" t="b">
        <f t="shared" si="9"/>
        <v>0</v>
      </c>
      <c r="F172" s="13" t="b">
        <f t="shared" si="10"/>
        <v>0</v>
      </c>
      <c r="G172" t="b">
        <f>IF('Input and Summary Results'!$J$4="yes",IF(C172=FALSE,FALSE,IF(E172&lt;$R$10,'Data Transformation'!E172,$R$10)),IF(C172=FALSE,FALSE,IF('Data Transformation'!C172&lt;$R$10,C172,$R$10)))</f>
        <v>0</v>
      </c>
      <c r="H172" t="b">
        <f>IF('Input and Summary Results'!$J$4="yes",'Data Transformation'!F172,'Data Transformation'!D172)</f>
        <v>0</v>
      </c>
    </row>
    <row r="173" spans="2:8" x14ac:dyDescent="0.25">
      <c r="B173" t="b">
        <f>IF('Input and Summary Results'!D156="",FALSE,'Input and Summary Results'!$B156)</f>
        <v>0</v>
      </c>
      <c r="C173" t="b">
        <f>IF(OR(B173=0,'Input and Summary Results'!D156=0,'Input and Summary Results'!D156=""),FALSE,'Input and Summary Results'!$D156)</f>
        <v>0</v>
      </c>
      <c r="D173" t="b">
        <f>IF(OR(B173=0,'Input and Summary Results'!E156=0),FALSE,'Input and Summary Results'!$E156)</f>
        <v>0</v>
      </c>
      <c r="E173" t="b">
        <f t="shared" si="9"/>
        <v>0</v>
      </c>
      <c r="F173" s="13" t="b">
        <f t="shared" si="10"/>
        <v>0</v>
      </c>
      <c r="G173" t="b">
        <f>IF('Input and Summary Results'!$J$4="yes",IF(C173=FALSE,FALSE,IF(E173&lt;$R$10,'Data Transformation'!E173,$R$10)),IF(C173=FALSE,FALSE,IF('Data Transformation'!C173&lt;$R$10,C173,$R$10)))</f>
        <v>0</v>
      </c>
      <c r="H173" t="b">
        <f>IF('Input and Summary Results'!$J$4="yes",'Data Transformation'!F173,'Data Transformation'!D173)</f>
        <v>0</v>
      </c>
    </row>
    <row r="174" spans="2:8" x14ac:dyDescent="0.25">
      <c r="B174" t="b">
        <f>IF('Input and Summary Results'!D157="",FALSE,'Input and Summary Results'!$B157)</f>
        <v>0</v>
      </c>
      <c r="C174" t="b">
        <f>IF(OR(B174=0,'Input and Summary Results'!D157=0,'Input and Summary Results'!D157=""),FALSE,'Input and Summary Results'!$D157)</f>
        <v>0</v>
      </c>
      <c r="D174" t="b">
        <f>IF(OR(B174=0,'Input and Summary Results'!E157=0),FALSE,'Input and Summary Results'!$E157)</f>
        <v>0</v>
      </c>
      <c r="E174" t="b">
        <f t="shared" si="9"/>
        <v>0</v>
      </c>
      <c r="F174" s="13" t="b">
        <f t="shared" si="10"/>
        <v>0</v>
      </c>
      <c r="G174" t="b">
        <f>IF('Input and Summary Results'!$J$4="yes",IF(C174=FALSE,FALSE,IF(E174&lt;$R$10,'Data Transformation'!E174,$R$10)),IF(C174=FALSE,FALSE,IF('Data Transformation'!C174&lt;$R$10,C174,$R$10)))</f>
        <v>0</v>
      </c>
      <c r="H174" t="b">
        <f>IF('Input and Summary Results'!$J$4="yes",'Data Transformation'!F174,'Data Transformation'!D174)</f>
        <v>0</v>
      </c>
    </row>
    <row r="175" spans="2:8" x14ac:dyDescent="0.25">
      <c r="B175" t="b">
        <f>IF('Input and Summary Results'!D158="",FALSE,'Input and Summary Results'!$B158)</f>
        <v>0</v>
      </c>
      <c r="C175" t="b">
        <f>IF(OR(B175=0,'Input and Summary Results'!D158=0,'Input and Summary Results'!D158=""),FALSE,'Input and Summary Results'!$D158)</f>
        <v>0</v>
      </c>
      <c r="D175" t="b">
        <f>IF(OR(B175=0,'Input and Summary Results'!E158=0),FALSE,'Input and Summary Results'!$E158)</f>
        <v>0</v>
      </c>
      <c r="E175" t="b">
        <f t="shared" si="9"/>
        <v>0</v>
      </c>
      <c r="F175" s="13" t="b">
        <f t="shared" si="10"/>
        <v>0</v>
      </c>
      <c r="G175" t="b">
        <f>IF('Input and Summary Results'!$J$4="yes",IF(C175=FALSE,FALSE,IF(E175&lt;$R$10,'Data Transformation'!E175,$R$10)),IF(C175=FALSE,FALSE,IF('Data Transformation'!C175&lt;$R$10,C175,$R$10)))</f>
        <v>0</v>
      </c>
      <c r="H175" t="b">
        <f>IF('Input and Summary Results'!$J$4="yes",'Data Transformation'!F175,'Data Transformation'!D175)</f>
        <v>0</v>
      </c>
    </row>
    <row r="176" spans="2:8" x14ac:dyDescent="0.25">
      <c r="B176" t="b">
        <f>IF('Input and Summary Results'!D159="",FALSE,'Input and Summary Results'!$B159)</f>
        <v>0</v>
      </c>
      <c r="C176" t="b">
        <f>IF(OR(B176=0,'Input and Summary Results'!D159=0,'Input and Summary Results'!D159=""),FALSE,'Input and Summary Results'!$D159)</f>
        <v>0</v>
      </c>
      <c r="D176" t="b">
        <f>IF(OR(B176=0,'Input and Summary Results'!E159=0),FALSE,'Input and Summary Results'!$E159)</f>
        <v>0</v>
      </c>
      <c r="E176" t="b">
        <f t="shared" si="9"/>
        <v>0</v>
      </c>
      <c r="F176" s="13" t="b">
        <f t="shared" si="10"/>
        <v>0</v>
      </c>
      <c r="G176" t="b">
        <f>IF('Input and Summary Results'!$J$4="yes",IF(C176=FALSE,FALSE,IF(E176&lt;$R$10,'Data Transformation'!E176,$R$10)),IF(C176=FALSE,FALSE,IF('Data Transformation'!C176&lt;$R$10,C176,$R$10)))</f>
        <v>0</v>
      </c>
      <c r="H176" t="b">
        <f>IF('Input and Summary Results'!$J$4="yes",'Data Transformation'!F176,'Data Transformation'!D176)</f>
        <v>0</v>
      </c>
    </row>
    <row r="177" spans="2:8" x14ac:dyDescent="0.25">
      <c r="B177" t="b">
        <f>IF('Input and Summary Results'!D160="",FALSE,'Input and Summary Results'!$B160)</f>
        <v>0</v>
      </c>
      <c r="C177" t="b">
        <f>IF(OR(B177=0,'Input and Summary Results'!D160=0,'Input and Summary Results'!D160=""),FALSE,'Input and Summary Results'!$D160)</f>
        <v>0</v>
      </c>
      <c r="D177" t="b">
        <f>IF(OR(B177=0,'Input and Summary Results'!E160=0),FALSE,'Input and Summary Results'!$E160)</f>
        <v>0</v>
      </c>
      <c r="E177" t="b">
        <f t="shared" si="9"/>
        <v>0</v>
      </c>
      <c r="F177" s="13" t="b">
        <f t="shared" si="10"/>
        <v>0</v>
      </c>
      <c r="G177" t="b">
        <f>IF('Input and Summary Results'!$J$4="yes",IF(C177=FALSE,FALSE,IF(E177&lt;$R$10,'Data Transformation'!E177,$R$10)),IF(C177=FALSE,FALSE,IF('Data Transformation'!C177&lt;$R$10,C177,$R$10)))</f>
        <v>0</v>
      </c>
      <c r="H177" t="b">
        <f>IF('Input and Summary Results'!$J$4="yes",'Data Transformation'!F177,'Data Transformation'!D177)</f>
        <v>0</v>
      </c>
    </row>
    <row r="178" spans="2:8" x14ac:dyDescent="0.25">
      <c r="B178" t="b">
        <f>IF('Input and Summary Results'!D161="",FALSE,'Input and Summary Results'!$B161)</f>
        <v>0</v>
      </c>
      <c r="C178" t="b">
        <f>IF(OR(B178=0,'Input and Summary Results'!D161=0,'Input and Summary Results'!D161=""),FALSE,'Input and Summary Results'!$D161)</f>
        <v>0</v>
      </c>
      <c r="D178" t="b">
        <f>IF(OR(B178=0,'Input and Summary Results'!E161=0),FALSE,'Input and Summary Results'!$E161)</f>
        <v>0</v>
      </c>
      <c r="E178" t="b">
        <f t="shared" si="9"/>
        <v>0</v>
      </c>
      <c r="F178" s="13" t="b">
        <f t="shared" si="10"/>
        <v>0</v>
      </c>
      <c r="G178" t="b">
        <f>IF('Input and Summary Results'!$J$4="yes",IF(C178=FALSE,FALSE,IF(E178&lt;$R$10,'Data Transformation'!E178,$R$10)),IF(C178=FALSE,FALSE,IF('Data Transformation'!C178&lt;$R$10,C178,$R$10)))</f>
        <v>0</v>
      </c>
      <c r="H178" t="b">
        <f>IF('Input and Summary Results'!$J$4="yes",'Data Transformation'!F178,'Data Transformation'!D178)</f>
        <v>0</v>
      </c>
    </row>
    <row r="179" spans="2:8" x14ac:dyDescent="0.25">
      <c r="B179" t="b">
        <f>IF('Input and Summary Results'!D162="",FALSE,'Input and Summary Results'!$B162)</f>
        <v>0</v>
      </c>
      <c r="C179" t="b">
        <f>IF(OR(B179=0,'Input and Summary Results'!D162=0,'Input and Summary Results'!D162=""),FALSE,'Input and Summary Results'!$D162)</f>
        <v>0</v>
      </c>
      <c r="D179" t="b">
        <f>IF(OR(B179=0,'Input and Summary Results'!E162=0),FALSE,'Input and Summary Results'!$E162)</f>
        <v>0</v>
      </c>
      <c r="E179" t="b">
        <f t="shared" si="9"/>
        <v>0</v>
      </c>
      <c r="F179" s="13" t="b">
        <f t="shared" si="10"/>
        <v>0</v>
      </c>
      <c r="G179" t="b">
        <f>IF('Input and Summary Results'!$J$4="yes",IF(C179=FALSE,FALSE,IF(E179&lt;$R$10,'Data Transformation'!E179,$R$10)),IF(C179=FALSE,FALSE,IF('Data Transformation'!C179&lt;$R$10,C179,$R$10)))</f>
        <v>0</v>
      </c>
      <c r="H179" t="b">
        <f>IF('Input and Summary Results'!$J$4="yes",'Data Transformation'!F179,'Data Transformation'!D179)</f>
        <v>0</v>
      </c>
    </row>
    <row r="180" spans="2:8" x14ac:dyDescent="0.25">
      <c r="B180" t="b">
        <f>IF('Input and Summary Results'!D163="",FALSE,'Input and Summary Results'!$B163)</f>
        <v>0</v>
      </c>
      <c r="C180" t="b">
        <f>IF(OR(B180=0,'Input and Summary Results'!D163=0,'Input and Summary Results'!D163=""),FALSE,'Input and Summary Results'!$D163)</f>
        <v>0</v>
      </c>
      <c r="D180" t="b">
        <f>IF(OR(B180=0,'Input and Summary Results'!E163=0),FALSE,'Input and Summary Results'!$E163)</f>
        <v>0</v>
      </c>
      <c r="E180" t="b">
        <f t="shared" si="9"/>
        <v>0</v>
      </c>
      <c r="F180" s="13" t="b">
        <f t="shared" si="10"/>
        <v>0</v>
      </c>
      <c r="G180" t="b">
        <f>IF('Input and Summary Results'!$J$4="yes",IF(C180=FALSE,FALSE,IF(E180&lt;$R$10,'Data Transformation'!E180,$R$10)),IF(C180=FALSE,FALSE,IF('Data Transformation'!C180&lt;$R$10,C180,$R$10)))</f>
        <v>0</v>
      </c>
      <c r="H180" t="b">
        <f>IF('Input and Summary Results'!$J$4="yes",'Data Transformation'!F180,'Data Transformation'!D180)</f>
        <v>0</v>
      </c>
    </row>
    <row r="181" spans="2:8" x14ac:dyDescent="0.25">
      <c r="B181" t="b">
        <f>IF('Input and Summary Results'!D164="",FALSE,'Input and Summary Results'!$B164)</f>
        <v>0</v>
      </c>
      <c r="C181" t="b">
        <f>IF(OR(B181=0,'Input and Summary Results'!D164=0,'Input and Summary Results'!D164=""),FALSE,'Input and Summary Results'!$D164)</f>
        <v>0</v>
      </c>
      <c r="D181" t="b">
        <f>IF(OR(B181=0,'Input and Summary Results'!E164=0),FALSE,'Input and Summary Results'!$E164)</f>
        <v>0</v>
      </c>
      <c r="E181" t="b">
        <f t="shared" si="9"/>
        <v>0</v>
      </c>
      <c r="F181" s="13" t="b">
        <f t="shared" si="10"/>
        <v>0</v>
      </c>
      <c r="G181" t="b">
        <f>IF('Input and Summary Results'!$J$4="yes",IF(C181=FALSE,FALSE,IF(E181&lt;$R$10,'Data Transformation'!E181,$R$10)),IF(C181=FALSE,FALSE,IF('Data Transformation'!C181&lt;$R$10,C181,$R$10)))</f>
        <v>0</v>
      </c>
      <c r="H181" t="b">
        <f>IF('Input and Summary Results'!$J$4="yes",'Data Transformation'!F181,'Data Transformation'!D181)</f>
        <v>0</v>
      </c>
    </row>
    <row r="182" spans="2:8" x14ac:dyDescent="0.25">
      <c r="B182" t="b">
        <f>IF('Input and Summary Results'!D165="",FALSE,'Input and Summary Results'!$B165)</f>
        <v>0</v>
      </c>
      <c r="C182" t="b">
        <f>IF(OR(B182=0,'Input and Summary Results'!D165=0,'Input and Summary Results'!D165=""),FALSE,'Input and Summary Results'!$D165)</f>
        <v>0</v>
      </c>
      <c r="D182" t="b">
        <f>IF(OR(B182=0,'Input and Summary Results'!E165=0),FALSE,'Input and Summary Results'!$E165)</f>
        <v>0</v>
      </c>
      <c r="E182" t="b">
        <f t="shared" si="9"/>
        <v>0</v>
      </c>
      <c r="F182" s="13" t="b">
        <f t="shared" si="10"/>
        <v>0</v>
      </c>
      <c r="G182" t="b">
        <f>IF('Input and Summary Results'!$J$4="yes",IF(C182=FALSE,FALSE,IF(E182&lt;$R$10,'Data Transformation'!E182,$R$10)),IF(C182=FALSE,FALSE,IF('Data Transformation'!C182&lt;$R$10,C182,$R$10)))</f>
        <v>0</v>
      </c>
      <c r="H182" t="b">
        <f>IF('Input and Summary Results'!$J$4="yes",'Data Transformation'!F182,'Data Transformation'!D182)</f>
        <v>0</v>
      </c>
    </row>
    <row r="183" spans="2:8" x14ac:dyDescent="0.25">
      <c r="B183" t="b">
        <f>IF('Input and Summary Results'!D166="",FALSE,'Input and Summary Results'!$B166)</f>
        <v>0</v>
      </c>
      <c r="C183" t="b">
        <f>IF(OR(B183=0,'Input and Summary Results'!D166=0,'Input and Summary Results'!D166=""),FALSE,'Input and Summary Results'!$D166)</f>
        <v>0</v>
      </c>
      <c r="D183" t="b">
        <f>IF(OR(B183=0,'Input and Summary Results'!E166=0),FALSE,'Input and Summary Results'!$E166)</f>
        <v>0</v>
      </c>
      <c r="E183" t="b">
        <f t="shared" si="9"/>
        <v>0</v>
      </c>
      <c r="F183" s="13" t="b">
        <f t="shared" si="10"/>
        <v>0</v>
      </c>
      <c r="G183" t="b">
        <f>IF('Input and Summary Results'!$J$4="yes",IF(C183=FALSE,FALSE,IF(E183&lt;$R$10,'Data Transformation'!E183,$R$10)),IF(C183=FALSE,FALSE,IF('Data Transformation'!C183&lt;$R$10,C183,$R$10)))</f>
        <v>0</v>
      </c>
      <c r="H183" t="b">
        <f>IF('Input and Summary Results'!$J$4="yes",'Data Transformation'!F183,'Data Transformation'!D183)</f>
        <v>0</v>
      </c>
    </row>
    <row r="184" spans="2:8" x14ac:dyDescent="0.25">
      <c r="B184" t="b">
        <f>IF('Input and Summary Results'!D167="",FALSE,'Input and Summary Results'!$B167)</f>
        <v>0</v>
      </c>
      <c r="C184" t="b">
        <f>IF(OR(B184=0,'Input and Summary Results'!D167=0,'Input and Summary Results'!D167=""),FALSE,'Input and Summary Results'!$D167)</f>
        <v>0</v>
      </c>
      <c r="D184" t="b">
        <f>IF(OR(B184=0,'Input and Summary Results'!E167=0),FALSE,'Input and Summary Results'!$E167)</f>
        <v>0</v>
      </c>
      <c r="E184" t="b">
        <f t="shared" si="9"/>
        <v>0</v>
      </c>
      <c r="F184" s="13" t="b">
        <f t="shared" si="10"/>
        <v>0</v>
      </c>
      <c r="G184" t="b">
        <f>IF('Input and Summary Results'!$J$4="yes",IF(C184=FALSE,FALSE,IF(E184&lt;$R$10,'Data Transformation'!E184,$R$10)),IF(C184=FALSE,FALSE,IF('Data Transformation'!C184&lt;$R$10,C184,$R$10)))</f>
        <v>0</v>
      </c>
      <c r="H184" t="b">
        <f>IF('Input and Summary Results'!$J$4="yes",'Data Transformation'!F184,'Data Transformation'!D184)</f>
        <v>0</v>
      </c>
    </row>
    <row r="185" spans="2:8" x14ac:dyDescent="0.25">
      <c r="B185" t="b">
        <f>IF('Input and Summary Results'!D168="",FALSE,'Input and Summary Results'!$B168)</f>
        <v>0</v>
      </c>
      <c r="C185" t="b">
        <f>IF(OR(B185=0,'Input and Summary Results'!D168=0,'Input and Summary Results'!D168=""),FALSE,'Input and Summary Results'!$D168)</f>
        <v>0</v>
      </c>
      <c r="D185" t="b">
        <f>IF(OR(B185=0,'Input and Summary Results'!E168=0),FALSE,'Input and Summary Results'!$E168)</f>
        <v>0</v>
      </c>
      <c r="E185" t="b">
        <f t="shared" si="9"/>
        <v>0</v>
      </c>
      <c r="F185" s="13" t="b">
        <f t="shared" si="10"/>
        <v>0</v>
      </c>
      <c r="G185" t="b">
        <f>IF('Input and Summary Results'!$J$4="yes",IF(C185=FALSE,FALSE,IF(E185&lt;$R$10,'Data Transformation'!E185,$R$10)),IF(C185=FALSE,FALSE,IF('Data Transformation'!C185&lt;$R$10,C185,$R$10)))</f>
        <v>0</v>
      </c>
      <c r="H185" t="b">
        <f>IF('Input and Summary Results'!$J$4="yes",'Data Transformation'!F185,'Data Transformation'!D185)</f>
        <v>0</v>
      </c>
    </row>
    <row r="186" spans="2:8" x14ac:dyDescent="0.25">
      <c r="B186" t="b">
        <f>IF('Input and Summary Results'!D169="",FALSE,'Input and Summary Results'!$B169)</f>
        <v>0</v>
      </c>
      <c r="C186" t="b">
        <f>IF(OR(B186=0,'Input and Summary Results'!D169=0,'Input and Summary Results'!D169=""),FALSE,'Input and Summary Results'!$D169)</f>
        <v>0</v>
      </c>
      <c r="D186" t="b">
        <f>IF(OR(B186=0,'Input and Summary Results'!E169=0),FALSE,'Input and Summary Results'!$E169)</f>
        <v>0</v>
      </c>
      <c r="E186" t="b">
        <f t="shared" si="9"/>
        <v>0</v>
      </c>
      <c r="F186" s="13" t="b">
        <f t="shared" si="10"/>
        <v>0</v>
      </c>
      <c r="G186" t="b">
        <f>IF('Input and Summary Results'!$J$4="yes",IF(C186=FALSE,FALSE,IF(E186&lt;$R$10,'Data Transformation'!E186,$R$10)),IF(C186=FALSE,FALSE,IF('Data Transformation'!C186&lt;$R$10,C186,$R$10)))</f>
        <v>0</v>
      </c>
      <c r="H186" t="b">
        <f>IF('Input and Summary Results'!$J$4="yes",'Data Transformation'!F186,'Data Transformation'!D186)</f>
        <v>0</v>
      </c>
    </row>
    <row r="187" spans="2:8" x14ac:dyDescent="0.25">
      <c r="B187" t="b">
        <f>IF('Input and Summary Results'!D170="",FALSE,'Input and Summary Results'!$B170)</f>
        <v>0</v>
      </c>
      <c r="C187" t="b">
        <f>IF(OR(B187=0,'Input and Summary Results'!D170=0,'Input and Summary Results'!D170=""),FALSE,'Input and Summary Results'!$D170)</f>
        <v>0</v>
      </c>
      <c r="D187" t="b">
        <f>IF(OR(B187=0,'Input and Summary Results'!E170=0),FALSE,'Input and Summary Results'!$E170)</f>
        <v>0</v>
      </c>
      <c r="E187" t="b">
        <f t="shared" si="9"/>
        <v>0</v>
      </c>
      <c r="F187" s="13" t="b">
        <f t="shared" si="10"/>
        <v>0</v>
      </c>
      <c r="G187" t="b">
        <f>IF('Input and Summary Results'!$J$4="yes",IF(C187=FALSE,FALSE,IF(E187&lt;$R$10,'Data Transformation'!E187,$R$10)),IF(C187=FALSE,FALSE,IF('Data Transformation'!C187&lt;$R$10,C187,$R$10)))</f>
        <v>0</v>
      </c>
      <c r="H187" t="b">
        <f>IF('Input and Summary Results'!$J$4="yes",'Data Transformation'!F187,'Data Transformation'!D187)</f>
        <v>0</v>
      </c>
    </row>
    <row r="188" spans="2:8" x14ac:dyDescent="0.25">
      <c r="B188" t="b">
        <f>IF('Input and Summary Results'!D171="",FALSE,'Input and Summary Results'!$B171)</f>
        <v>0</v>
      </c>
      <c r="C188" t="b">
        <f>IF(OR(B188=0,'Input and Summary Results'!D171=0,'Input and Summary Results'!D171=""),FALSE,'Input and Summary Results'!$D171)</f>
        <v>0</v>
      </c>
      <c r="D188" t="b">
        <f>IF(OR(B188=0,'Input and Summary Results'!E171=0),FALSE,'Input and Summary Results'!$E171)</f>
        <v>0</v>
      </c>
      <c r="E188" t="b">
        <f t="shared" si="9"/>
        <v>0</v>
      </c>
      <c r="F188" s="13" t="b">
        <f t="shared" si="10"/>
        <v>0</v>
      </c>
      <c r="G188" t="b">
        <f>IF('Input and Summary Results'!$J$4="yes",IF(C188=FALSE,FALSE,IF(E188&lt;$R$10,'Data Transformation'!E188,$R$10)),IF(C188=FALSE,FALSE,IF('Data Transformation'!C188&lt;$R$10,C188,$R$10)))</f>
        <v>0</v>
      </c>
      <c r="H188" t="b">
        <f>IF('Input and Summary Results'!$J$4="yes",'Data Transformation'!F188,'Data Transformation'!D188)</f>
        <v>0</v>
      </c>
    </row>
    <row r="189" spans="2:8" x14ac:dyDescent="0.25">
      <c r="B189" t="b">
        <f>IF('Input and Summary Results'!D172="",FALSE,'Input and Summary Results'!$B172)</f>
        <v>0</v>
      </c>
      <c r="C189" t="b">
        <f>IF(OR(B189=0,'Input and Summary Results'!D172=0,'Input and Summary Results'!D172=""),FALSE,'Input and Summary Results'!$D172)</f>
        <v>0</v>
      </c>
      <c r="D189" t="b">
        <f>IF(OR(B189=0,'Input and Summary Results'!E172=0),FALSE,'Input and Summary Results'!$E172)</f>
        <v>0</v>
      </c>
      <c r="E189" t="b">
        <f t="shared" si="9"/>
        <v>0</v>
      </c>
      <c r="F189" s="13" t="b">
        <f t="shared" si="10"/>
        <v>0</v>
      </c>
      <c r="G189" t="b">
        <f>IF('Input and Summary Results'!$J$4="yes",IF(C189=FALSE,FALSE,IF(E189&lt;$R$10,'Data Transformation'!E189,$R$10)),IF(C189=FALSE,FALSE,IF('Data Transformation'!C189&lt;$R$10,C189,$R$10)))</f>
        <v>0</v>
      </c>
      <c r="H189" t="b">
        <f>IF('Input and Summary Results'!$J$4="yes",'Data Transformation'!F189,'Data Transformation'!D189)</f>
        <v>0</v>
      </c>
    </row>
    <row r="190" spans="2:8" x14ac:dyDescent="0.25">
      <c r="B190" t="b">
        <f>IF('Input and Summary Results'!D173="",FALSE,'Input and Summary Results'!$B173)</f>
        <v>0</v>
      </c>
      <c r="C190" t="b">
        <f>IF(OR(B190=0,'Input and Summary Results'!D173=0,'Input and Summary Results'!D173=""),FALSE,'Input and Summary Results'!$D173)</f>
        <v>0</v>
      </c>
      <c r="D190" t="b">
        <f>IF(OR(B190=0,'Input and Summary Results'!E173=0),FALSE,'Input and Summary Results'!$E173)</f>
        <v>0</v>
      </c>
      <c r="E190" t="b">
        <f t="shared" si="9"/>
        <v>0</v>
      </c>
      <c r="F190" s="13" t="b">
        <f t="shared" si="10"/>
        <v>0</v>
      </c>
      <c r="G190" t="b">
        <f>IF('Input and Summary Results'!$J$4="yes",IF(C190=FALSE,FALSE,IF(E190&lt;$R$10,'Data Transformation'!E190,$R$10)),IF(C190=FALSE,FALSE,IF('Data Transformation'!C190&lt;$R$10,C190,$R$10)))</f>
        <v>0</v>
      </c>
      <c r="H190" t="b">
        <f>IF('Input and Summary Results'!$J$4="yes",'Data Transformation'!F190,'Data Transformation'!D190)</f>
        <v>0</v>
      </c>
    </row>
    <row r="191" spans="2:8" x14ac:dyDescent="0.25">
      <c r="B191" t="b">
        <f>IF('Input and Summary Results'!D174="",FALSE,'Input and Summary Results'!$B174)</f>
        <v>0</v>
      </c>
      <c r="C191" t="b">
        <f>IF(OR(B191=0,'Input and Summary Results'!D174=0,'Input and Summary Results'!D174=""),FALSE,'Input and Summary Results'!$D174)</f>
        <v>0</v>
      </c>
      <c r="D191" t="b">
        <f>IF(OR(B191=0,'Input and Summary Results'!E174=0),FALSE,'Input and Summary Results'!$E174)</f>
        <v>0</v>
      </c>
      <c r="E191" t="b">
        <f t="shared" si="9"/>
        <v>0</v>
      </c>
      <c r="F191" s="13" t="b">
        <f t="shared" si="10"/>
        <v>0</v>
      </c>
      <c r="G191" t="b">
        <f>IF('Input and Summary Results'!$J$4="yes",IF(C191=FALSE,FALSE,IF(E191&lt;$R$10,'Data Transformation'!E191,$R$10)),IF(C191=FALSE,FALSE,IF('Data Transformation'!C191&lt;$R$10,C191,$R$10)))</f>
        <v>0</v>
      </c>
      <c r="H191" t="b">
        <f>IF('Input and Summary Results'!$J$4="yes",'Data Transformation'!F191,'Data Transformation'!D191)</f>
        <v>0</v>
      </c>
    </row>
    <row r="192" spans="2:8" x14ac:dyDescent="0.25">
      <c r="B192" t="b">
        <f>IF('Input and Summary Results'!D175="",FALSE,'Input and Summary Results'!$B175)</f>
        <v>0</v>
      </c>
      <c r="C192" t="b">
        <f>IF(OR(B192=0,'Input and Summary Results'!D175=0,'Input and Summary Results'!D175=""),FALSE,'Input and Summary Results'!$D175)</f>
        <v>0</v>
      </c>
      <c r="D192" t="b">
        <f>IF(OR(B192=0,'Input and Summary Results'!E175=0),FALSE,'Input and Summary Results'!$E175)</f>
        <v>0</v>
      </c>
      <c r="E192" t="b">
        <f t="shared" si="9"/>
        <v>0</v>
      </c>
      <c r="F192" s="13" t="b">
        <f t="shared" si="10"/>
        <v>0</v>
      </c>
      <c r="G192" t="b">
        <f>IF('Input and Summary Results'!$J$4="yes",IF(C192=FALSE,FALSE,IF(E192&lt;$R$10,'Data Transformation'!E192,$R$10)),IF(C192=FALSE,FALSE,IF('Data Transformation'!C192&lt;$R$10,C192,$R$10)))</f>
        <v>0</v>
      </c>
      <c r="H192" t="b">
        <f>IF('Input and Summary Results'!$J$4="yes",'Data Transformation'!F192,'Data Transformation'!D192)</f>
        <v>0</v>
      </c>
    </row>
    <row r="193" spans="2:8" x14ac:dyDescent="0.25">
      <c r="B193" t="b">
        <f>IF('Input and Summary Results'!D176="",FALSE,'Input and Summary Results'!$B176)</f>
        <v>0</v>
      </c>
      <c r="C193" t="b">
        <f>IF(OR(B193=0,'Input and Summary Results'!D176=0,'Input and Summary Results'!D176=""),FALSE,'Input and Summary Results'!$D176)</f>
        <v>0</v>
      </c>
      <c r="D193" t="b">
        <f>IF(OR(B193=0,'Input and Summary Results'!E176=0),FALSE,'Input and Summary Results'!$E176)</f>
        <v>0</v>
      </c>
      <c r="E193" t="b">
        <f t="shared" si="9"/>
        <v>0</v>
      </c>
      <c r="F193" s="13" t="b">
        <f t="shared" si="10"/>
        <v>0</v>
      </c>
      <c r="G193" t="b">
        <f>IF('Input and Summary Results'!$J$4="yes",IF(C193=FALSE,FALSE,IF(E193&lt;$R$10,'Data Transformation'!E193,$R$10)),IF(C193=FALSE,FALSE,IF('Data Transformation'!C193&lt;$R$10,C193,$R$10)))</f>
        <v>0</v>
      </c>
      <c r="H193" t="b">
        <f>IF('Input and Summary Results'!$J$4="yes",'Data Transformation'!F193,'Data Transformation'!D193)</f>
        <v>0</v>
      </c>
    </row>
    <row r="194" spans="2:8" x14ac:dyDescent="0.25">
      <c r="B194" t="b">
        <f>IF('Input and Summary Results'!D177="",FALSE,'Input and Summary Results'!$B177)</f>
        <v>0</v>
      </c>
      <c r="C194" t="b">
        <f>IF(OR(B194=0,'Input and Summary Results'!D177=0,'Input and Summary Results'!D177=""),FALSE,'Input and Summary Results'!$D177)</f>
        <v>0</v>
      </c>
      <c r="D194" t="b">
        <f>IF(OR(B194=0,'Input and Summary Results'!E177=0),FALSE,'Input and Summary Results'!$E177)</f>
        <v>0</v>
      </c>
      <c r="E194" t="b">
        <f t="shared" si="9"/>
        <v>0</v>
      </c>
      <c r="F194" s="13" t="b">
        <f t="shared" si="10"/>
        <v>0</v>
      </c>
      <c r="G194" t="b">
        <f>IF('Input and Summary Results'!$J$4="yes",IF(C194=FALSE,FALSE,IF(E194&lt;$R$10,'Data Transformation'!E194,$R$10)),IF(C194=FALSE,FALSE,IF('Data Transformation'!C194&lt;$R$10,C194,$R$10)))</f>
        <v>0</v>
      </c>
      <c r="H194" t="b">
        <f>IF('Input and Summary Results'!$J$4="yes",'Data Transformation'!F194,'Data Transformation'!D194)</f>
        <v>0</v>
      </c>
    </row>
    <row r="195" spans="2:8" x14ac:dyDescent="0.25">
      <c r="B195" t="b">
        <f>IF('Input and Summary Results'!D178="",FALSE,'Input and Summary Results'!$B178)</f>
        <v>0</v>
      </c>
      <c r="C195" t="b">
        <f>IF(OR(B195=0,'Input and Summary Results'!D178=0,'Input and Summary Results'!D178=""),FALSE,'Input and Summary Results'!$D178)</f>
        <v>0</v>
      </c>
      <c r="D195" t="b">
        <f>IF(OR(B195=0,'Input and Summary Results'!E178=0),FALSE,'Input and Summary Results'!$E178)</f>
        <v>0</v>
      </c>
      <c r="E195" t="b">
        <f t="shared" si="9"/>
        <v>0</v>
      </c>
      <c r="F195" s="13" t="b">
        <f t="shared" si="10"/>
        <v>0</v>
      </c>
      <c r="G195" t="b">
        <f>IF('Input and Summary Results'!$J$4="yes",IF(C195=FALSE,FALSE,IF(E195&lt;$R$10,'Data Transformation'!E195,$R$10)),IF(C195=FALSE,FALSE,IF('Data Transformation'!C195&lt;$R$10,C195,$R$10)))</f>
        <v>0</v>
      </c>
      <c r="H195" t="b">
        <f>IF('Input and Summary Results'!$J$4="yes",'Data Transformation'!F195,'Data Transformation'!D195)</f>
        <v>0</v>
      </c>
    </row>
    <row r="196" spans="2:8" x14ac:dyDescent="0.25">
      <c r="B196" t="b">
        <f>IF('Input and Summary Results'!D179="",FALSE,'Input and Summary Results'!$B179)</f>
        <v>0</v>
      </c>
      <c r="C196" t="b">
        <f>IF(OR(B196=0,'Input and Summary Results'!D179=0,'Input and Summary Results'!D179=""),FALSE,'Input and Summary Results'!$D179)</f>
        <v>0</v>
      </c>
      <c r="D196" t="b">
        <f>IF(OR(B196=0,'Input and Summary Results'!E179=0),FALSE,'Input and Summary Results'!$E179)</f>
        <v>0</v>
      </c>
      <c r="E196" t="b">
        <f t="shared" ref="E196:E259" si="11">IF(C196=FALSE,FALSE,LOG10(C196))</f>
        <v>0</v>
      </c>
      <c r="F196" s="13" t="b">
        <f t="shared" ref="F196:F259" si="12">IF(D196=FALSE, FALSE,0.434*D196/C196)</f>
        <v>0</v>
      </c>
      <c r="G196" t="b">
        <f>IF('Input and Summary Results'!$J$4="yes",IF(C196=FALSE,FALSE,IF(E196&lt;$R$10,'Data Transformation'!E196,$R$10)),IF(C196=FALSE,FALSE,IF('Data Transformation'!C196&lt;$R$10,C196,$R$10)))</f>
        <v>0</v>
      </c>
      <c r="H196" t="b">
        <f>IF('Input and Summary Results'!$J$4="yes",'Data Transformation'!F196,'Data Transformation'!D196)</f>
        <v>0</v>
      </c>
    </row>
    <row r="197" spans="2:8" x14ac:dyDescent="0.25">
      <c r="B197" t="b">
        <f>IF('Input and Summary Results'!D180="",FALSE,'Input and Summary Results'!$B180)</f>
        <v>0</v>
      </c>
      <c r="C197" t="b">
        <f>IF(OR(B197=0,'Input and Summary Results'!D180=0,'Input and Summary Results'!D180=""),FALSE,'Input and Summary Results'!$D180)</f>
        <v>0</v>
      </c>
      <c r="D197" t="b">
        <f>IF(OR(B197=0,'Input and Summary Results'!E180=0),FALSE,'Input and Summary Results'!$E180)</f>
        <v>0</v>
      </c>
      <c r="E197" t="b">
        <f t="shared" si="11"/>
        <v>0</v>
      </c>
      <c r="F197" s="13" t="b">
        <f t="shared" si="12"/>
        <v>0</v>
      </c>
      <c r="G197" t="b">
        <f>IF('Input and Summary Results'!$J$4="yes",IF(C197=FALSE,FALSE,IF(E197&lt;$R$10,'Data Transformation'!E197,$R$10)),IF(C197=FALSE,FALSE,IF('Data Transformation'!C197&lt;$R$10,C197,$R$10)))</f>
        <v>0</v>
      </c>
      <c r="H197" t="b">
        <f>IF('Input and Summary Results'!$J$4="yes",'Data Transformation'!F197,'Data Transformation'!D197)</f>
        <v>0</v>
      </c>
    </row>
    <row r="198" spans="2:8" x14ac:dyDescent="0.25">
      <c r="B198" t="b">
        <f>IF('Input and Summary Results'!D181="",FALSE,'Input and Summary Results'!$B181)</f>
        <v>0</v>
      </c>
      <c r="C198" t="b">
        <f>IF(OR(B198=0,'Input and Summary Results'!D181=0,'Input and Summary Results'!D181=""),FALSE,'Input and Summary Results'!$D181)</f>
        <v>0</v>
      </c>
      <c r="D198" t="b">
        <f>IF(OR(B198=0,'Input and Summary Results'!E181=0),FALSE,'Input and Summary Results'!$E181)</f>
        <v>0</v>
      </c>
      <c r="E198" t="b">
        <f t="shared" si="11"/>
        <v>0</v>
      </c>
      <c r="F198" s="13" t="b">
        <f t="shared" si="12"/>
        <v>0</v>
      </c>
      <c r="G198" t="b">
        <f>IF('Input and Summary Results'!$J$4="yes",IF(C198=FALSE,FALSE,IF(E198&lt;$R$10,'Data Transformation'!E198,$R$10)),IF(C198=FALSE,FALSE,IF('Data Transformation'!C198&lt;$R$10,C198,$R$10)))</f>
        <v>0</v>
      </c>
      <c r="H198" t="b">
        <f>IF('Input and Summary Results'!$J$4="yes",'Data Transformation'!F198,'Data Transformation'!D198)</f>
        <v>0</v>
      </c>
    </row>
    <row r="199" spans="2:8" x14ac:dyDescent="0.25">
      <c r="B199" t="b">
        <f>IF('Input and Summary Results'!D182="",FALSE,'Input and Summary Results'!$B182)</f>
        <v>0</v>
      </c>
      <c r="C199" t="b">
        <f>IF(OR(B199=0,'Input and Summary Results'!D182=0,'Input and Summary Results'!D182=""),FALSE,'Input and Summary Results'!$D182)</f>
        <v>0</v>
      </c>
      <c r="D199" t="b">
        <f>IF(OR(B199=0,'Input and Summary Results'!E182=0),FALSE,'Input and Summary Results'!$E182)</f>
        <v>0</v>
      </c>
      <c r="E199" t="b">
        <f t="shared" si="11"/>
        <v>0</v>
      </c>
      <c r="F199" s="13" t="b">
        <f t="shared" si="12"/>
        <v>0</v>
      </c>
      <c r="G199" t="b">
        <f>IF('Input and Summary Results'!$J$4="yes",IF(C199=FALSE,FALSE,IF(E199&lt;$R$10,'Data Transformation'!E199,$R$10)),IF(C199=FALSE,FALSE,IF('Data Transformation'!C199&lt;$R$10,C199,$R$10)))</f>
        <v>0</v>
      </c>
      <c r="H199" t="b">
        <f>IF('Input and Summary Results'!$J$4="yes",'Data Transformation'!F199,'Data Transformation'!D199)</f>
        <v>0</v>
      </c>
    </row>
    <row r="200" spans="2:8" x14ac:dyDescent="0.25">
      <c r="B200" t="b">
        <f>IF('Input and Summary Results'!D183="",FALSE,'Input and Summary Results'!$B183)</f>
        <v>0</v>
      </c>
      <c r="C200" t="b">
        <f>IF(OR(B200=0,'Input and Summary Results'!D183=0,'Input and Summary Results'!D183=""),FALSE,'Input and Summary Results'!$D183)</f>
        <v>0</v>
      </c>
      <c r="D200" t="b">
        <f>IF(OR(B200=0,'Input and Summary Results'!E183=0),FALSE,'Input and Summary Results'!$E183)</f>
        <v>0</v>
      </c>
      <c r="E200" t="b">
        <f t="shared" si="11"/>
        <v>0</v>
      </c>
      <c r="F200" s="13" t="b">
        <f t="shared" si="12"/>
        <v>0</v>
      </c>
      <c r="G200" t="b">
        <f>IF('Input and Summary Results'!$J$4="yes",IF(C200=FALSE,FALSE,IF(E200&lt;$R$10,'Data Transformation'!E200,$R$10)),IF(C200=FALSE,FALSE,IF('Data Transformation'!C200&lt;$R$10,C200,$R$10)))</f>
        <v>0</v>
      </c>
      <c r="H200" t="b">
        <f>IF('Input and Summary Results'!$J$4="yes",'Data Transformation'!F200,'Data Transformation'!D200)</f>
        <v>0</v>
      </c>
    </row>
    <row r="201" spans="2:8" x14ac:dyDescent="0.25">
      <c r="B201" t="b">
        <f>IF('Input and Summary Results'!D184="",FALSE,'Input and Summary Results'!$B184)</f>
        <v>0</v>
      </c>
      <c r="C201" t="b">
        <f>IF(OR(B201=0,'Input and Summary Results'!D184=0,'Input and Summary Results'!D184=""),FALSE,'Input and Summary Results'!$D184)</f>
        <v>0</v>
      </c>
      <c r="D201" t="b">
        <f>IF(OR(B201=0,'Input and Summary Results'!E184=0),FALSE,'Input and Summary Results'!$E184)</f>
        <v>0</v>
      </c>
      <c r="E201" t="b">
        <f t="shared" si="11"/>
        <v>0</v>
      </c>
      <c r="F201" s="13" t="b">
        <f t="shared" si="12"/>
        <v>0</v>
      </c>
      <c r="G201" t="b">
        <f>IF('Input and Summary Results'!$J$4="yes",IF(C201=FALSE,FALSE,IF(E201&lt;$R$10,'Data Transformation'!E201,$R$10)),IF(C201=FALSE,FALSE,IF('Data Transformation'!C201&lt;$R$10,C201,$R$10)))</f>
        <v>0</v>
      </c>
      <c r="H201" t="b">
        <f>IF('Input and Summary Results'!$J$4="yes",'Data Transformation'!F201,'Data Transformation'!D201)</f>
        <v>0</v>
      </c>
    </row>
    <row r="202" spans="2:8" x14ac:dyDescent="0.25">
      <c r="B202" t="b">
        <f>IF('Input and Summary Results'!D185="",FALSE,'Input and Summary Results'!$B185)</f>
        <v>0</v>
      </c>
      <c r="C202" t="b">
        <f>IF(OR(B202=0,'Input and Summary Results'!D185=0,'Input and Summary Results'!D185=""),FALSE,'Input and Summary Results'!$D185)</f>
        <v>0</v>
      </c>
      <c r="D202" t="b">
        <f>IF(OR(B202=0,'Input and Summary Results'!E185=0),FALSE,'Input and Summary Results'!$E185)</f>
        <v>0</v>
      </c>
      <c r="E202" t="b">
        <f t="shared" si="11"/>
        <v>0</v>
      </c>
      <c r="F202" s="13" t="b">
        <f t="shared" si="12"/>
        <v>0</v>
      </c>
      <c r="G202" t="b">
        <f>IF('Input and Summary Results'!$J$4="yes",IF(C202=FALSE,FALSE,IF(E202&lt;$R$10,'Data Transformation'!E202,$R$10)),IF(C202=FALSE,FALSE,IF('Data Transformation'!C202&lt;$R$10,C202,$R$10)))</f>
        <v>0</v>
      </c>
      <c r="H202" t="b">
        <f>IF('Input and Summary Results'!$J$4="yes",'Data Transformation'!F202,'Data Transformation'!D202)</f>
        <v>0</v>
      </c>
    </row>
    <row r="203" spans="2:8" x14ac:dyDescent="0.25">
      <c r="B203" t="b">
        <f>IF('Input and Summary Results'!D186="",FALSE,'Input and Summary Results'!$B186)</f>
        <v>0</v>
      </c>
      <c r="C203" t="b">
        <f>IF(OR(B203=0,'Input and Summary Results'!D186=0,'Input and Summary Results'!D186=""),FALSE,'Input and Summary Results'!$D186)</f>
        <v>0</v>
      </c>
      <c r="D203" t="b">
        <f>IF(OR(B203=0,'Input and Summary Results'!E186=0),FALSE,'Input and Summary Results'!$E186)</f>
        <v>0</v>
      </c>
      <c r="E203" t="b">
        <f t="shared" si="11"/>
        <v>0</v>
      </c>
      <c r="F203" s="13" t="b">
        <f t="shared" si="12"/>
        <v>0</v>
      </c>
      <c r="G203" t="b">
        <f>IF('Input and Summary Results'!$J$4="yes",IF(C203=FALSE,FALSE,IF(E203&lt;$R$10,'Data Transformation'!E203,$R$10)),IF(C203=FALSE,FALSE,IF('Data Transformation'!C203&lt;$R$10,C203,$R$10)))</f>
        <v>0</v>
      </c>
      <c r="H203" t="b">
        <f>IF('Input and Summary Results'!$J$4="yes",'Data Transformation'!F203,'Data Transformation'!D203)</f>
        <v>0</v>
      </c>
    </row>
    <row r="204" spans="2:8" x14ac:dyDescent="0.25">
      <c r="B204" t="b">
        <f>IF('Input and Summary Results'!D187="",FALSE,'Input and Summary Results'!$B187)</f>
        <v>0</v>
      </c>
      <c r="C204" t="b">
        <f>IF(OR(B204=0,'Input and Summary Results'!D187=0,'Input and Summary Results'!D187=""),FALSE,'Input and Summary Results'!$D187)</f>
        <v>0</v>
      </c>
      <c r="D204" t="b">
        <f>IF(OR(B204=0,'Input and Summary Results'!E187=0),FALSE,'Input and Summary Results'!$E187)</f>
        <v>0</v>
      </c>
      <c r="E204" t="b">
        <f t="shared" si="11"/>
        <v>0</v>
      </c>
      <c r="F204" s="13" t="b">
        <f t="shared" si="12"/>
        <v>0</v>
      </c>
      <c r="G204" t="b">
        <f>IF('Input and Summary Results'!$J$4="yes",IF(C204=FALSE,FALSE,IF(E204&lt;$R$10,'Data Transformation'!E204,$R$10)),IF(C204=FALSE,FALSE,IF('Data Transformation'!C204&lt;$R$10,C204,$R$10)))</f>
        <v>0</v>
      </c>
      <c r="H204" t="b">
        <f>IF('Input and Summary Results'!$J$4="yes",'Data Transformation'!F204,'Data Transformation'!D204)</f>
        <v>0</v>
      </c>
    </row>
    <row r="205" spans="2:8" x14ac:dyDescent="0.25">
      <c r="B205" t="b">
        <f>IF('Input and Summary Results'!D188="",FALSE,'Input and Summary Results'!$B188)</f>
        <v>0</v>
      </c>
      <c r="C205" t="b">
        <f>IF(OR(B205=0,'Input and Summary Results'!D188=0,'Input and Summary Results'!D188=""),FALSE,'Input and Summary Results'!$D188)</f>
        <v>0</v>
      </c>
      <c r="D205" t="b">
        <f>IF(OR(B205=0,'Input and Summary Results'!E188=0),FALSE,'Input and Summary Results'!$E188)</f>
        <v>0</v>
      </c>
      <c r="E205" t="b">
        <f t="shared" si="11"/>
        <v>0</v>
      </c>
      <c r="F205" s="13" t="b">
        <f t="shared" si="12"/>
        <v>0</v>
      </c>
      <c r="G205" t="b">
        <f>IF('Input and Summary Results'!$J$4="yes",IF(C205=FALSE,FALSE,IF(E205&lt;$R$10,'Data Transformation'!E205,$R$10)),IF(C205=FALSE,FALSE,IF('Data Transformation'!C205&lt;$R$10,C205,$R$10)))</f>
        <v>0</v>
      </c>
      <c r="H205" t="b">
        <f>IF('Input and Summary Results'!$J$4="yes",'Data Transformation'!F205,'Data Transformation'!D205)</f>
        <v>0</v>
      </c>
    </row>
    <row r="206" spans="2:8" x14ac:dyDescent="0.25">
      <c r="B206" t="b">
        <f>IF('Input and Summary Results'!D189="",FALSE,'Input and Summary Results'!$B189)</f>
        <v>0</v>
      </c>
      <c r="C206" t="b">
        <f>IF(OR(B206=0,'Input and Summary Results'!D189=0,'Input and Summary Results'!D189=""),FALSE,'Input and Summary Results'!$D189)</f>
        <v>0</v>
      </c>
      <c r="D206" t="b">
        <f>IF(OR(B206=0,'Input and Summary Results'!E189=0),FALSE,'Input and Summary Results'!$E189)</f>
        <v>0</v>
      </c>
      <c r="E206" t="b">
        <f t="shared" si="11"/>
        <v>0</v>
      </c>
      <c r="F206" s="13" t="b">
        <f t="shared" si="12"/>
        <v>0</v>
      </c>
      <c r="G206" t="b">
        <f>IF('Input and Summary Results'!$J$4="yes",IF(C206=FALSE,FALSE,IF(E206&lt;$R$10,'Data Transformation'!E206,$R$10)),IF(C206=FALSE,FALSE,IF('Data Transformation'!C206&lt;$R$10,C206,$R$10)))</f>
        <v>0</v>
      </c>
      <c r="H206" t="b">
        <f>IF('Input and Summary Results'!$J$4="yes",'Data Transformation'!F206,'Data Transformation'!D206)</f>
        <v>0</v>
      </c>
    </row>
    <row r="207" spans="2:8" x14ac:dyDescent="0.25">
      <c r="B207" t="b">
        <f>IF('Input and Summary Results'!D190="",FALSE,'Input and Summary Results'!$B190)</f>
        <v>0</v>
      </c>
      <c r="C207" t="b">
        <f>IF(OR(B207=0,'Input and Summary Results'!D190=0,'Input and Summary Results'!D190=""),FALSE,'Input and Summary Results'!$D190)</f>
        <v>0</v>
      </c>
      <c r="D207" t="b">
        <f>IF(OR(B207=0,'Input and Summary Results'!E190=0),FALSE,'Input and Summary Results'!$E190)</f>
        <v>0</v>
      </c>
      <c r="E207" t="b">
        <f t="shared" si="11"/>
        <v>0</v>
      </c>
      <c r="F207" s="13" t="b">
        <f t="shared" si="12"/>
        <v>0</v>
      </c>
      <c r="G207" t="b">
        <f>IF('Input and Summary Results'!$J$4="yes",IF(C207=FALSE,FALSE,IF(E207&lt;$R$10,'Data Transformation'!E207,$R$10)),IF(C207=FALSE,FALSE,IF('Data Transformation'!C207&lt;$R$10,C207,$R$10)))</f>
        <v>0</v>
      </c>
      <c r="H207" t="b">
        <f>IF('Input and Summary Results'!$J$4="yes",'Data Transformation'!F207,'Data Transformation'!D207)</f>
        <v>0</v>
      </c>
    </row>
    <row r="208" spans="2:8" x14ac:dyDescent="0.25">
      <c r="B208" t="b">
        <f>IF('Input and Summary Results'!D191="",FALSE,'Input and Summary Results'!$B191)</f>
        <v>0</v>
      </c>
      <c r="C208" t="b">
        <f>IF(OR(B208=0,'Input and Summary Results'!D191=0,'Input and Summary Results'!D191=""),FALSE,'Input and Summary Results'!$D191)</f>
        <v>0</v>
      </c>
      <c r="D208" t="b">
        <f>IF(OR(B208=0,'Input and Summary Results'!E191=0),FALSE,'Input and Summary Results'!$E191)</f>
        <v>0</v>
      </c>
      <c r="E208" t="b">
        <f t="shared" si="11"/>
        <v>0</v>
      </c>
      <c r="F208" s="13" t="b">
        <f t="shared" si="12"/>
        <v>0</v>
      </c>
      <c r="G208" t="b">
        <f>IF('Input and Summary Results'!$J$4="yes",IF(C208=FALSE,FALSE,IF(E208&lt;$R$10,'Data Transformation'!E208,$R$10)),IF(C208=FALSE,FALSE,IF('Data Transformation'!C208&lt;$R$10,C208,$R$10)))</f>
        <v>0</v>
      </c>
      <c r="H208" t="b">
        <f>IF('Input and Summary Results'!$J$4="yes",'Data Transformation'!F208,'Data Transformation'!D208)</f>
        <v>0</v>
      </c>
    </row>
    <row r="209" spans="2:8" x14ac:dyDescent="0.25">
      <c r="B209" t="b">
        <f>IF('Input and Summary Results'!D192="",FALSE,'Input and Summary Results'!$B192)</f>
        <v>0</v>
      </c>
      <c r="C209" t="b">
        <f>IF(OR(B209=0,'Input and Summary Results'!D192=0,'Input and Summary Results'!D192=""),FALSE,'Input and Summary Results'!$D192)</f>
        <v>0</v>
      </c>
      <c r="D209" t="b">
        <f>IF(OR(B209=0,'Input and Summary Results'!E192=0),FALSE,'Input and Summary Results'!$E192)</f>
        <v>0</v>
      </c>
      <c r="E209" t="b">
        <f t="shared" si="11"/>
        <v>0</v>
      </c>
      <c r="F209" s="13" t="b">
        <f t="shared" si="12"/>
        <v>0</v>
      </c>
      <c r="G209" t="b">
        <f>IF('Input and Summary Results'!$J$4="yes",IF(C209=FALSE,FALSE,IF(E209&lt;$R$10,'Data Transformation'!E209,$R$10)),IF(C209=FALSE,FALSE,IF('Data Transformation'!C209&lt;$R$10,C209,$R$10)))</f>
        <v>0</v>
      </c>
      <c r="H209" t="b">
        <f>IF('Input and Summary Results'!$J$4="yes",'Data Transformation'!F209,'Data Transformation'!D209)</f>
        <v>0</v>
      </c>
    </row>
    <row r="210" spans="2:8" x14ac:dyDescent="0.25">
      <c r="B210" t="b">
        <f>IF('Input and Summary Results'!D193="",FALSE,'Input and Summary Results'!$B193)</f>
        <v>0</v>
      </c>
      <c r="C210" t="b">
        <f>IF(OR(B210=0,'Input and Summary Results'!D193=0,'Input and Summary Results'!D193=""),FALSE,'Input and Summary Results'!$D193)</f>
        <v>0</v>
      </c>
      <c r="D210" t="b">
        <f>IF(OR(B210=0,'Input and Summary Results'!E193=0),FALSE,'Input and Summary Results'!$E193)</f>
        <v>0</v>
      </c>
      <c r="E210" t="b">
        <f t="shared" si="11"/>
        <v>0</v>
      </c>
      <c r="F210" s="13" t="b">
        <f t="shared" si="12"/>
        <v>0</v>
      </c>
      <c r="G210" t="b">
        <f>IF('Input and Summary Results'!$J$4="yes",IF(C210=FALSE,FALSE,IF(E210&lt;$R$10,'Data Transformation'!E210,$R$10)),IF(C210=FALSE,FALSE,IF('Data Transformation'!C210&lt;$R$10,C210,$R$10)))</f>
        <v>0</v>
      </c>
      <c r="H210" t="b">
        <f>IF('Input and Summary Results'!$J$4="yes",'Data Transformation'!F210,'Data Transformation'!D210)</f>
        <v>0</v>
      </c>
    </row>
    <row r="211" spans="2:8" x14ac:dyDescent="0.25">
      <c r="B211" t="b">
        <f>IF('Input and Summary Results'!D194="",FALSE,'Input and Summary Results'!$B194)</f>
        <v>0</v>
      </c>
      <c r="C211" t="b">
        <f>IF(OR(B211=0,'Input and Summary Results'!D194=0,'Input and Summary Results'!D194=""),FALSE,'Input and Summary Results'!$D194)</f>
        <v>0</v>
      </c>
      <c r="D211" t="b">
        <f>IF(OR(B211=0,'Input and Summary Results'!E194=0),FALSE,'Input and Summary Results'!$E194)</f>
        <v>0</v>
      </c>
      <c r="E211" t="b">
        <f t="shared" si="11"/>
        <v>0</v>
      </c>
      <c r="F211" s="13" t="b">
        <f t="shared" si="12"/>
        <v>0</v>
      </c>
      <c r="G211" t="b">
        <f>IF('Input and Summary Results'!$J$4="yes",IF(C211=FALSE,FALSE,IF(E211&lt;$R$10,'Data Transformation'!E211,$R$10)),IF(C211=FALSE,FALSE,IF('Data Transformation'!C211&lt;$R$10,C211,$R$10)))</f>
        <v>0</v>
      </c>
      <c r="H211" t="b">
        <f>IF('Input and Summary Results'!$J$4="yes",'Data Transformation'!F211,'Data Transformation'!D211)</f>
        <v>0</v>
      </c>
    </row>
    <row r="212" spans="2:8" x14ac:dyDescent="0.25">
      <c r="B212" t="b">
        <f>IF('Input and Summary Results'!D195="",FALSE,'Input and Summary Results'!$B195)</f>
        <v>0</v>
      </c>
      <c r="C212" t="b">
        <f>IF(OR(B212=0,'Input and Summary Results'!D195=0,'Input and Summary Results'!D195=""),FALSE,'Input and Summary Results'!$D195)</f>
        <v>0</v>
      </c>
      <c r="D212" t="b">
        <f>IF(OR(B212=0,'Input and Summary Results'!E195=0),FALSE,'Input and Summary Results'!$E195)</f>
        <v>0</v>
      </c>
      <c r="E212" t="b">
        <f t="shared" si="11"/>
        <v>0</v>
      </c>
      <c r="F212" s="13" t="b">
        <f t="shared" si="12"/>
        <v>0</v>
      </c>
      <c r="G212" t="b">
        <f>IF('Input and Summary Results'!$J$4="yes",IF(C212=FALSE,FALSE,IF(E212&lt;$R$10,'Data Transformation'!E212,$R$10)),IF(C212=FALSE,FALSE,IF('Data Transformation'!C212&lt;$R$10,C212,$R$10)))</f>
        <v>0</v>
      </c>
      <c r="H212" t="b">
        <f>IF('Input and Summary Results'!$J$4="yes",'Data Transformation'!F212,'Data Transformation'!D212)</f>
        <v>0</v>
      </c>
    </row>
    <row r="213" spans="2:8" x14ac:dyDescent="0.25">
      <c r="B213" t="b">
        <f>IF('Input and Summary Results'!D196="",FALSE,'Input and Summary Results'!$B196)</f>
        <v>0</v>
      </c>
      <c r="C213" t="b">
        <f>IF(OR(B213=0,'Input and Summary Results'!D196=0,'Input and Summary Results'!D196=""),FALSE,'Input and Summary Results'!$D196)</f>
        <v>0</v>
      </c>
      <c r="D213" t="b">
        <f>IF(OR(B213=0,'Input and Summary Results'!E196=0),FALSE,'Input and Summary Results'!$E196)</f>
        <v>0</v>
      </c>
      <c r="E213" t="b">
        <f t="shared" si="11"/>
        <v>0</v>
      </c>
      <c r="F213" s="13" t="b">
        <f t="shared" si="12"/>
        <v>0</v>
      </c>
      <c r="G213" t="b">
        <f>IF('Input and Summary Results'!$J$4="yes",IF(C213=FALSE,FALSE,IF(E213&lt;$R$10,'Data Transformation'!E213,$R$10)),IF(C213=FALSE,FALSE,IF('Data Transformation'!C213&lt;$R$10,C213,$R$10)))</f>
        <v>0</v>
      </c>
      <c r="H213" t="b">
        <f>IF('Input and Summary Results'!$J$4="yes",'Data Transformation'!F213,'Data Transformation'!D213)</f>
        <v>0</v>
      </c>
    </row>
    <row r="214" spans="2:8" x14ac:dyDescent="0.25">
      <c r="B214" t="b">
        <f>IF('Input and Summary Results'!D197="",FALSE,'Input and Summary Results'!$B197)</f>
        <v>0</v>
      </c>
      <c r="C214" t="b">
        <f>IF(OR(B214=0,'Input and Summary Results'!D197=0,'Input and Summary Results'!D197=""),FALSE,'Input and Summary Results'!$D197)</f>
        <v>0</v>
      </c>
      <c r="D214" t="b">
        <f>IF(OR(B214=0,'Input and Summary Results'!E197=0),FALSE,'Input and Summary Results'!$E197)</f>
        <v>0</v>
      </c>
      <c r="E214" t="b">
        <f t="shared" si="11"/>
        <v>0</v>
      </c>
      <c r="F214" s="13" t="b">
        <f t="shared" si="12"/>
        <v>0</v>
      </c>
      <c r="G214" t="b">
        <f>IF('Input and Summary Results'!$J$4="yes",IF(C214=FALSE,FALSE,IF(E214&lt;$R$10,'Data Transformation'!E214,$R$10)),IF(C214=FALSE,FALSE,IF('Data Transformation'!C214&lt;$R$10,C214,$R$10)))</f>
        <v>0</v>
      </c>
      <c r="H214" t="b">
        <f>IF('Input and Summary Results'!$J$4="yes",'Data Transformation'!F214,'Data Transformation'!D214)</f>
        <v>0</v>
      </c>
    </row>
    <row r="215" spans="2:8" x14ac:dyDescent="0.25">
      <c r="B215" t="b">
        <f>IF('Input and Summary Results'!D198="",FALSE,'Input and Summary Results'!$B198)</f>
        <v>0</v>
      </c>
      <c r="C215" t="b">
        <f>IF(OR(B215=0,'Input and Summary Results'!D198=0,'Input and Summary Results'!D198=""),FALSE,'Input and Summary Results'!$D198)</f>
        <v>0</v>
      </c>
      <c r="D215" t="b">
        <f>IF(OR(B215=0,'Input and Summary Results'!E198=0),FALSE,'Input and Summary Results'!$E198)</f>
        <v>0</v>
      </c>
      <c r="E215" t="b">
        <f t="shared" si="11"/>
        <v>0</v>
      </c>
      <c r="F215" s="13" t="b">
        <f t="shared" si="12"/>
        <v>0</v>
      </c>
      <c r="G215" t="b">
        <f>IF('Input and Summary Results'!$J$4="yes",IF(C215=FALSE,FALSE,IF(E215&lt;$R$10,'Data Transformation'!E215,$R$10)),IF(C215=FALSE,FALSE,IF('Data Transformation'!C215&lt;$R$10,C215,$R$10)))</f>
        <v>0</v>
      </c>
      <c r="H215" t="b">
        <f>IF('Input and Summary Results'!$J$4="yes",'Data Transformation'!F215,'Data Transformation'!D215)</f>
        <v>0</v>
      </c>
    </row>
    <row r="216" spans="2:8" x14ac:dyDescent="0.25">
      <c r="B216" t="b">
        <f>IF('Input and Summary Results'!D199="",FALSE,'Input and Summary Results'!$B199)</f>
        <v>0</v>
      </c>
      <c r="C216" t="b">
        <f>IF(OR(B216=0,'Input and Summary Results'!D199=0,'Input and Summary Results'!D199=""),FALSE,'Input and Summary Results'!$D199)</f>
        <v>0</v>
      </c>
      <c r="D216" t="b">
        <f>IF(OR(B216=0,'Input and Summary Results'!E199=0),FALSE,'Input and Summary Results'!$E199)</f>
        <v>0</v>
      </c>
      <c r="E216" t="b">
        <f t="shared" si="11"/>
        <v>0</v>
      </c>
      <c r="F216" s="13" t="b">
        <f t="shared" si="12"/>
        <v>0</v>
      </c>
      <c r="G216" t="b">
        <f>IF('Input and Summary Results'!$J$4="yes",IF(C216=FALSE,FALSE,IF(E216&lt;$R$10,'Data Transformation'!E216,$R$10)),IF(C216=FALSE,FALSE,IF('Data Transformation'!C216&lt;$R$10,C216,$R$10)))</f>
        <v>0</v>
      </c>
      <c r="H216" t="b">
        <f>IF('Input and Summary Results'!$J$4="yes",'Data Transformation'!F216,'Data Transformation'!D216)</f>
        <v>0</v>
      </c>
    </row>
    <row r="217" spans="2:8" x14ac:dyDescent="0.25">
      <c r="B217" t="b">
        <f>IF('Input and Summary Results'!D200="",FALSE,'Input and Summary Results'!$B200)</f>
        <v>0</v>
      </c>
      <c r="C217" t="b">
        <f>IF(OR(B217=0,'Input and Summary Results'!D200=0,'Input and Summary Results'!D200=""),FALSE,'Input and Summary Results'!$D200)</f>
        <v>0</v>
      </c>
      <c r="D217" t="b">
        <f>IF(OR(B217=0,'Input and Summary Results'!E200=0),FALSE,'Input and Summary Results'!$E200)</f>
        <v>0</v>
      </c>
      <c r="E217" t="b">
        <f t="shared" si="11"/>
        <v>0</v>
      </c>
      <c r="F217" s="13" t="b">
        <f t="shared" si="12"/>
        <v>0</v>
      </c>
      <c r="G217" t="b">
        <f>IF('Input and Summary Results'!$J$4="yes",IF(C217=FALSE,FALSE,IF(E217&lt;$R$10,'Data Transformation'!E217,$R$10)),IF(C217=FALSE,FALSE,IF('Data Transformation'!C217&lt;$R$10,C217,$R$10)))</f>
        <v>0</v>
      </c>
      <c r="H217" t="b">
        <f>IF('Input and Summary Results'!$J$4="yes",'Data Transformation'!F217,'Data Transformation'!D217)</f>
        <v>0</v>
      </c>
    </row>
    <row r="218" spans="2:8" x14ac:dyDescent="0.25">
      <c r="B218" t="b">
        <f>IF('Input and Summary Results'!D201="",FALSE,'Input and Summary Results'!$B201)</f>
        <v>0</v>
      </c>
      <c r="C218" t="b">
        <f>IF(OR(B218=0,'Input and Summary Results'!D201=0,'Input and Summary Results'!D201=""),FALSE,'Input and Summary Results'!$D201)</f>
        <v>0</v>
      </c>
      <c r="D218" t="b">
        <f>IF(OR(B218=0,'Input and Summary Results'!E201=0),FALSE,'Input and Summary Results'!$E201)</f>
        <v>0</v>
      </c>
      <c r="E218" t="b">
        <f t="shared" si="11"/>
        <v>0</v>
      </c>
      <c r="F218" s="13" t="b">
        <f t="shared" si="12"/>
        <v>0</v>
      </c>
      <c r="G218" t="b">
        <f>IF('Input and Summary Results'!$J$4="yes",IF(C218=FALSE,FALSE,IF(E218&lt;$R$10,'Data Transformation'!E218,$R$10)),IF(C218=FALSE,FALSE,IF('Data Transformation'!C218&lt;$R$10,C218,$R$10)))</f>
        <v>0</v>
      </c>
      <c r="H218" t="b">
        <f>IF('Input and Summary Results'!$J$4="yes",'Data Transformation'!F218,'Data Transformation'!D218)</f>
        <v>0</v>
      </c>
    </row>
    <row r="219" spans="2:8" x14ac:dyDescent="0.25">
      <c r="B219" t="b">
        <f>IF('Input and Summary Results'!D202="",FALSE,'Input and Summary Results'!$B202)</f>
        <v>0</v>
      </c>
      <c r="C219" t="b">
        <f>IF(OR(B219=0,'Input and Summary Results'!D202=0,'Input and Summary Results'!D202=""),FALSE,'Input and Summary Results'!$D202)</f>
        <v>0</v>
      </c>
      <c r="D219" t="b">
        <f>IF(OR(B219=0,'Input and Summary Results'!E202=0),FALSE,'Input and Summary Results'!$E202)</f>
        <v>0</v>
      </c>
      <c r="E219" t="b">
        <f t="shared" si="11"/>
        <v>0</v>
      </c>
      <c r="F219" s="13" t="b">
        <f t="shared" si="12"/>
        <v>0</v>
      </c>
      <c r="G219" t="b">
        <f>IF('Input and Summary Results'!$J$4="yes",IF(C219=FALSE,FALSE,IF(E219&lt;$R$10,'Data Transformation'!E219,$R$10)),IF(C219=FALSE,FALSE,IF('Data Transformation'!C219&lt;$R$10,C219,$R$10)))</f>
        <v>0</v>
      </c>
      <c r="H219" t="b">
        <f>IF('Input and Summary Results'!$J$4="yes",'Data Transformation'!F219,'Data Transformation'!D219)</f>
        <v>0</v>
      </c>
    </row>
    <row r="220" spans="2:8" x14ac:dyDescent="0.25">
      <c r="B220" t="b">
        <f>IF('Input and Summary Results'!D203="",FALSE,'Input and Summary Results'!$B203)</f>
        <v>0</v>
      </c>
      <c r="C220" t="b">
        <f>IF(OR(B220=0,'Input and Summary Results'!D203=0,'Input and Summary Results'!D203=""),FALSE,'Input and Summary Results'!$D203)</f>
        <v>0</v>
      </c>
      <c r="D220" t="b">
        <f>IF(OR(B220=0,'Input and Summary Results'!E203=0),FALSE,'Input and Summary Results'!$E203)</f>
        <v>0</v>
      </c>
      <c r="E220" t="b">
        <f t="shared" si="11"/>
        <v>0</v>
      </c>
      <c r="F220" s="13" t="b">
        <f t="shared" si="12"/>
        <v>0</v>
      </c>
      <c r="G220" t="b">
        <f>IF('Input and Summary Results'!$J$4="yes",IF(C220=FALSE,FALSE,IF(E220&lt;$R$10,'Data Transformation'!E220,$R$10)),IF(C220=FALSE,FALSE,IF('Data Transformation'!C220&lt;$R$10,C220,$R$10)))</f>
        <v>0</v>
      </c>
      <c r="H220" t="b">
        <f>IF('Input and Summary Results'!$J$4="yes",'Data Transformation'!F220,'Data Transformation'!D220)</f>
        <v>0</v>
      </c>
    </row>
    <row r="221" spans="2:8" x14ac:dyDescent="0.25">
      <c r="B221" t="b">
        <f>IF('Input and Summary Results'!D204="",FALSE,'Input and Summary Results'!$B204)</f>
        <v>0</v>
      </c>
      <c r="C221" t="b">
        <f>IF(OR(B221=0,'Input and Summary Results'!D204=0,'Input and Summary Results'!D204=""),FALSE,'Input and Summary Results'!$D204)</f>
        <v>0</v>
      </c>
      <c r="D221" t="b">
        <f>IF(OR(B221=0,'Input and Summary Results'!E204=0),FALSE,'Input and Summary Results'!$E204)</f>
        <v>0</v>
      </c>
      <c r="E221" t="b">
        <f t="shared" si="11"/>
        <v>0</v>
      </c>
      <c r="F221" s="13" t="b">
        <f t="shared" si="12"/>
        <v>0</v>
      </c>
      <c r="G221" t="b">
        <f>IF('Input and Summary Results'!$J$4="yes",IF(C221=FALSE,FALSE,IF(E221&lt;$R$10,'Data Transformation'!E221,$R$10)),IF(C221=FALSE,FALSE,IF('Data Transformation'!C221&lt;$R$10,C221,$R$10)))</f>
        <v>0</v>
      </c>
      <c r="H221" t="b">
        <f>IF('Input and Summary Results'!$J$4="yes",'Data Transformation'!F221,'Data Transformation'!D221)</f>
        <v>0</v>
      </c>
    </row>
    <row r="222" spans="2:8" x14ac:dyDescent="0.25">
      <c r="B222" t="b">
        <f>IF('Input and Summary Results'!D205="",FALSE,'Input and Summary Results'!$B205)</f>
        <v>0</v>
      </c>
      <c r="C222" t="b">
        <f>IF(OR(B222=0,'Input and Summary Results'!D205=0,'Input and Summary Results'!D205=""),FALSE,'Input and Summary Results'!$D205)</f>
        <v>0</v>
      </c>
      <c r="D222" t="b">
        <f>IF(OR(B222=0,'Input and Summary Results'!E205=0),FALSE,'Input and Summary Results'!$E205)</f>
        <v>0</v>
      </c>
      <c r="E222" t="b">
        <f t="shared" si="11"/>
        <v>0</v>
      </c>
      <c r="F222" s="13" t="b">
        <f t="shared" si="12"/>
        <v>0</v>
      </c>
      <c r="G222" t="b">
        <f>IF('Input and Summary Results'!$J$4="yes",IF(C222=FALSE,FALSE,IF(E222&lt;$R$10,'Data Transformation'!E222,$R$10)),IF(C222=FALSE,FALSE,IF('Data Transformation'!C222&lt;$R$10,C222,$R$10)))</f>
        <v>0</v>
      </c>
      <c r="H222" t="b">
        <f>IF('Input and Summary Results'!$J$4="yes",'Data Transformation'!F222,'Data Transformation'!D222)</f>
        <v>0</v>
      </c>
    </row>
    <row r="223" spans="2:8" x14ac:dyDescent="0.25">
      <c r="B223" t="b">
        <f>IF('Input and Summary Results'!D206="",FALSE,'Input and Summary Results'!$B206)</f>
        <v>0</v>
      </c>
      <c r="C223" t="b">
        <f>IF(OR(B223=0,'Input and Summary Results'!D206=0,'Input and Summary Results'!D206=""),FALSE,'Input and Summary Results'!$D206)</f>
        <v>0</v>
      </c>
      <c r="D223" t="b">
        <f>IF(OR(B223=0,'Input and Summary Results'!E206=0),FALSE,'Input and Summary Results'!$E206)</f>
        <v>0</v>
      </c>
      <c r="E223" t="b">
        <f t="shared" si="11"/>
        <v>0</v>
      </c>
      <c r="F223" s="13" t="b">
        <f t="shared" si="12"/>
        <v>0</v>
      </c>
      <c r="G223" t="b">
        <f>IF('Input and Summary Results'!$J$4="yes",IF(C223=FALSE,FALSE,IF(E223&lt;$R$10,'Data Transformation'!E223,$R$10)),IF(C223=FALSE,FALSE,IF('Data Transformation'!C223&lt;$R$10,C223,$R$10)))</f>
        <v>0</v>
      </c>
      <c r="H223" t="b">
        <f>IF('Input and Summary Results'!$J$4="yes",'Data Transformation'!F223,'Data Transformation'!D223)</f>
        <v>0</v>
      </c>
    </row>
    <row r="224" spans="2:8" x14ac:dyDescent="0.25">
      <c r="B224" t="b">
        <f>IF('Input and Summary Results'!D207="",FALSE,'Input and Summary Results'!$B207)</f>
        <v>0</v>
      </c>
      <c r="C224" t="b">
        <f>IF(OR(B224=0,'Input and Summary Results'!D207=0,'Input and Summary Results'!D207=""),FALSE,'Input and Summary Results'!$D207)</f>
        <v>0</v>
      </c>
      <c r="D224" t="b">
        <f>IF(OR(B224=0,'Input and Summary Results'!E207=0),FALSE,'Input and Summary Results'!$E207)</f>
        <v>0</v>
      </c>
      <c r="E224" t="b">
        <f t="shared" si="11"/>
        <v>0</v>
      </c>
      <c r="F224" s="13" t="b">
        <f t="shared" si="12"/>
        <v>0</v>
      </c>
      <c r="G224" t="b">
        <f>IF('Input and Summary Results'!$J$4="yes",IF(C224=FALSE,FALSE,IF(E224&lt;$R$10,'Data Transformation'!E224,$R$10)),IF(C224=FALSE,FALSE,IF('Data Transformation'!C224&lt;$R$10,C224,$R$10)))</f>
        <v>0</v>
      </c>
      <c r="H224" t="b">
        <f>IF('Input and Summary Results'!$J$4="yes",'Data Transformation'!F224,'Data Transformation'!D224)</f>
        <v>0</v>
      </c>
    </row>
    <row r="225" spans="2:8" x14ac:dyDescent="0.25">
      <c r="B225" t="b">
        <f>IF('Input and Summary Results'!D208="",FALSE,'Input and Summary Results'!$B208)</f>
        <v>0</v>
      </c>
      <c r="C225" t="b">
        <f>IF(OR(B225=0,'Input and Summary Results'!D208=0,'Input and Summary Results'!D208=""),FALSE,'Input and Summary Results'!$D208)</f>
        <v>0</v>
      </c>
      <c r="D225" t="b">
        <f>IF(OR(B225=0,'Input and Summary Results'!E208=0),FALSE,'Input and Summary Results'!$E208)</f>
        <v>0</v>
      </c>
      <c r="E225" t="b">
        <f t="shared" si="11"/>
        <v>0</v>
      </c>
      <c r="F225" s="13" t="b">
        <f t="shared" si="12"/>
        <v>0</v>
      </c>
      <c r="G225" t="b">
        <f>IF('Input and Summary Results'!$J$4="yes",IF(C225=FALSE,FALSE,IF(E225&lt;$R$10,'Data Transformation'!E225,$R$10)),IF(C225=FALSE,FALSE,IF('Data Transformation'!C225&lt;$R$10,C225,$R$10)))</f>
        <v>0</v>
      </c>
      <c r="H225" t="b">
        <f>IF('Input and Summary Results'!$J$4="yes",'Data Transformation'!F225,'Data Transformation'!D225)</f>
        <v>0</v>
      </c>
    </row>
    <row r="226" spans="2:8" x14ac:dyDescent="0.25">
      <c r="B226" t="b">
        <f>IF('Input and Summary Results'!D209="",FALSE,'Input and Summary Results'!$B209)</f>
        <v>0</v>
      </c>
      <c r="C226" t="b">
        <f>IF(OR(B226=0,'Input and Summary Results'!D209=0,'Input and Summary Results'!D209=""),FALSE,'Input and Summary Results'!$D209)</f>
        <v>0</v>
      </c>
      <c r="D226" t="b">
        <f>IF(OR(B226=0,'Input and Summary Results'!E209=0),FALSE,'Input and Summary Results'!$E209)</f>
        <v>0</v>
      </c>
      <c r="E226" t="b">
        <f t="shared" si="11"/>
        <v>0</v>
      </c>
      <c r="F226" s="13" t="b">
        <f t="shared" si="12"/>
        <v>0</v>
      </c>
      <c r="G226" t="b">
        <f>IF('Input and Summary Results'!$J$4="yes",IF(C226=FALSE,FALSE,IF(E226&lt;$R$10,'Data Transformation'!E226,$R$10)),IF(C226=FALSE,FALSE,IF('Data Transformation'!C226&lt;$R$10,C226,$R$10)))</f>
        <v>0</v>
      </c>
      <c r="H226" t="b">
        <f>IF('Input and Summary Results'!$J$4="yes",'Data Transformation'!F226,'Data Transformation'!D226)</f>
        <v>0</v>
      </c>
    </row>
    <row r="227" spans="2:8" x14ac:dyDescent="0.25">
      <c r="B227" t="b">
        <f>IF('Input and Summary Results'!D210="",FALSE,'Input and Summary Results'!$B210)</f>
        <v>0</v>
      </c>
      <c r="C227" t="b">
        <f>IF(OR(B227=0,'Input and Summary Results'!D210=0,'Input and Summary Results'!D210=""),FALSE,'Input and Summary Results'!$D210)</f>
        <v>0</v>
      </c>
      <c r="D227" t="b">
        <f>IF(OR(B227=0,'Input and Summary Results'!E210=0),FALSE,'Input and Summary Results'!$E210)</f>
        <v>0</v>
      </c>
      <c r="E227" t="b">
        <f t="shared" si="11"/>
        <v>0</v>
      </c>
      <c r="F227" s="13" t="b">
        <f t="shared" si="12"/>
        <v>0</v>
      </c>
      <c r="G227" t="b">
        <f>IF('Input and Summary Results'!$J$4="yes",IF(C227=FALSE,FALSE,IF(E227&lt;$R$10,'Data Transformation'!E227,$R$10)),IF(C227=FALSE,FALSE,IF('Data Transformation'!C227&lt;$R$10,C227,$R$10)))</f>
        <v>0</v>
      </c>
      <c r="H227" t="b">
        <f>IF('Input and Summary Results'!$J$4="yes",'Data Transformation'!F227,'Data Transformation'!D227)</f>
        <v>0</v>
      </c>
    </row>
    <row r="228" spans="2:8" x14ac:dyDescent="0.25">
      <c r="B228" t="b">
        <f>IF('Input and Summary Results'!D211="",FALSE,'Input and Summary Results'!$B211)</f>
        <v>0</v>
      </c>
      <c r="C228" t="b">
        <f>IF(OR(B228=0,'Input and Summary Results'!D211=0,'Input and Summary Results'!D211=""),FALSE,'Input and Summary Results'!$D211)</f>
        <v>0</v>
      </c>
      <c r="D228" t="b">
        <f>IF(OR(B228=0,'Input and Summary Results'!E211=0),FALSE,'Input and Summary Results'!$E211)</f>
        <v>0</v>
      </c>
      <c r="E228" t="b">
        <f t="shared" si="11"/>
        <v>0</v>
      </c>
      <c r="F228" s="13" t="b">
        <f t="shared" si="12"/>
        <v>0</v>
      </c>
      <c r="G228" t="b">
        <f>IF('Input and Summary Results'!$J$4="yes",IF(C228=FALSE,FALSE,IF(E228&lt;$R$10,'Data Transformation'!E228,$R$10)),IF(C228=FALSE,FALSE,IF('Data Transformation'!C228&lt;$R$10,C228,$R$10)))</f>
        <v>0</v>
      </c>
      <c r="H228" t="b">
        <f>IF('Input and Summary Results'!$J$4="yes",'Data Transformation'!F228,'Data Transformation'!D228)</f>
        <v>0</v>
      </c>
    </row>
    <row r="229" spans="2:8" x14ac:dyDescent="0.25">
      <c r="B229" t="b">
        <f>IF('Input and Summary Results'!D212="",FALSE,'Input and Summary Results'!$B212)</f>
        <v>0</v>
      </c>
      <c r="C229" t="b">
        <f>IF(OR(B229=0,'Input and Summary Results'!D212=0,'Input and Summary Results'!D212=""),FALSE,'Input and Summary Results'!$D212)</f>
        <v>0</v>
      </c>
      <c r="D229" t="b">
        <f>IF(OR(B229=0,'Input and Summary Results'!E212=0),FALSE,'Input and Summary Results'!$E212)</f>
        <v>0</v>
      </c>
      <c r="E229" t="b">
        <f t="shared" si="11"/>
        <v>0</v>
      </c>
      <c r="F229" s="13" t="b">
        <f t="shared" si="12"/>
        <v>0</v>
      </c>
      <c r="G229" t="b">
        <f>IF('Input and Summary Results'!$J$4="yes",IF(C229=FALSE,FALSE,IF(E229&lt;$R$10,'Data Transformation'!E229,$R$10)),IF(C229=FALSE,FALSE,IF('Data Transformation'!C229&lt;$R$10,C229,$R$10)))</f>
        <v>0</v>
      </c>
      <c r="H229" t="b">
        <f>IF('Input and Summary Results'!$J$4="yes",'Data Transformation'!F229,'Data Transformation'!D229)</f>
        <v>0</v>
      </c>
    </row>
    <row r="230" spans="2:8" x14ac:dyDescent="0.25">
      <c r="B230" t="b">
        <f>IF('Input and Summary Results'!D213="",FALSE,'Input and Summary Results'!$B213)</f>
        <v>0</v>
      </c>
      <c r="C230" t="b">
        <f>IF(OR(B230=0,'Input and Summary Results'!D213=0,'Input and Summary Results'!D213=""),FALSE,'Input and Summary Results'!$D213)</f>
        <v>0</v>
      </c>
      <c r="D230" t="b">
        <f>IF(OR(B230=0,'Input and Summary Results'!E213=0),FALSE,'Input and Summary Results'!$E213)</f>
        <v>0</v>
      </c>
      <c r="E230" t="b">
        <f t="shared" si="11"/>
        <v>0</v>
      </c>
      <c r="F230" s="13" t="b">
        <f t="shared" si="12"/>
        <v>0</v>
      </c>
      <c r="G230" t="b">
        <f>IF('Input and Summary Results'!$J$4="yes",IF(C230=FALSE,FALSE,IF(E230&lt;$R$10,'Data Transformation'!E230,$R$10)),IF(C230=FALSE,FALSE,IF('Data Transformation'!C230&lt;$R$10,C230,$R$10)))</f>
        <v>0</v>
      </c>
      <c r="H230" t="b">
        <f>IF('Input and Summary Results'!$J$4="yes",'Data Transformation'!F230,'Data Transformation'!D230)</f>
        <v>0</v>
      </c>
    </row>
    <row r="231" spans="2:8" x14ac:dyDescent="0.25">
      <c r="B231" t="b">
        <f>IF('Input and Summary Results'!D214="",FALSE,'Input and Summary Results'!$B214)</f>
        <v>0</v>
      </c>
      <c r="C231" t="b">
        <f>IF(OR(B231=0,'Input and Summary Results'!D214=0,'Input and Summary Results'!D214=""),FALSE,'Input and Summary Results'!$D214)</f>
        <v>0</v>
      </c>
      <c r="D231" t="b">
        <f>IF(OR(B231=0,'Input and Summary Results'!E214=0),FALSE,'Input and Summary Results'!$E214)</f>
        <v>0</v>
      </c>
      <c r="E231" t="b">
        <f t="shared" si="11"/>
        <v>0</v>
      </c>
      <c r="F231" s="13" t="b">
        <f t="shared" si="12"/>
        <v>0</v>
      </c>
      <c r="G231" t="b">
        <f>IF('Input and Summary Results'!$J$4="yes",IF(C231=FALSE,FALSE,IF(E231&lt;$R$10,'Data Transformation'!E231,$R$10)),IF(C231=FALSE,FALSE,IF('Data Transformation'!C231&lt;$R$10,C231,$R$10)))</f>
        <v>0</v>
      </c>
      <c r="H231" t="b">
        <f>IF('Input and Summary Results'!$J$4="yes",'Data Transformation'!F231,'Data Transformation'!D231)</f>
        <v>0</v>
      </c>
    </row>
    <row r="232" spans="2:8" x14ac:dyDescent="0.25">
      <c r="B232" t="b">
        <f>IF('Input and Summary Results'!D215="",FALSE,'Input and Summary Results'!$B215)</f>
        <v>0</v>
      </c>
      <c r="C232" t="b">
        <f>IF(OR(B232=0,'Input and Summary Results'!D215=0,'Input and Summary Results'!D215=""),FALSE,'Input and Summary Results'!$D215)</f>
        <v>0</v>
      </c>
      <c r="D232" t="b">
        <f>IF(OR(B232=0,'Input and Summary Results'!E215=0),FALSE,'Input and Summary Results'!$E215)</f>
        <v>0</v>
      </c>
      <c r="E232" t="b">
        <f t="shared" si="11"/>
        <v>0</v>
      </c>
      <c r="F232" s="13" t="b">
        <f t="shared" si="12"/>
        <v>0</v>
      </c>
      <c r="G232" t="b">
        <f>IF('Input and Summary Results'!$J$4="yes",IF(C232=FALSE,FALSE,IF(E232&lt;$R$10,'Data Transformation'!E232,$R$10)),IF(C232=FALSE,FALSE,IF('Data Transformation'!C232&lt;$R$10,C232,$R$10)))</f>
        <v>0</v>
      </c>
      <c r="H232" t="b">
        <f>IF('Input and Summary Results'!$J$4="yes",'Data Transformation'!F232,'Data Transformation'!D232)</f>
        <v>0</v>
      </c>
    </row>
    <row r="233" spans="2:8" x14ac:dyDescent="0.25">
      <c r="B233" t="b">
        <f>IF('Input and Summary Results'!D216="",FALSE,'Input and Summary Results'!$B216)</f>
        <v>0</v>
      </c>
      <c r="C233" t="b">
        <f>IF(OR(B233=0,'Input and Summary Results'!D216=0,'Input and Summary Results'!D216=""),FALSE,'Input and Summary Results'!$D216)</f>
        <v>0</v>
      </c>
      <c r="D233" t="b">
        <f>IF(OR(B233=0,'Input and Summary Results'!E216=0),FALSE,'Input and Summary Results'!$E216)</f>
        <v>0</v>
      </c>
      <c r="E233" t="b">
        <f t="shared" si="11"/>
        <v>0</v>
      </c>
      <c r="F233" s="13" t="b">
        <f t="shared" si="12"/>
        <v>0</v>
      </c>
      <c r="G233" t="b">
        <f>IF('Input and Summary Results'!$J$4="yes",IF(C233=FALSE,FALSE,IF(E233&lt;$R$10,'Data Transformation'!E233,$R$10)),IF(C233=FALSE,FALSE,IF('Data Transformation'!C233&lt;$R$10,C233,$R$10)))</f>
        <v>0</v>
      </c>
      <c r="H233" t="b">
        <f>IF('Input and Summary Results'!$J$4="yes",'Data Transformation'!F233,'Data Transformation'!D233)</f>
        <v>0</v>
      </c>
    </row>
    <row r="234" spans="2:8" x14ac:dyDescent="0.25">
      <c r="B234" t="b">
        <f>IF('Input and Summary Results'!D217="",FALSE,'Input and Summary Results'!$B217)</f>
        <v>0</v>
      </c>
      <c r="C234" t="b">
        <f>IF(OR(B234=0,'Input and Summary Results'!D217=0,'Input and Summary Results'!D217=""),FALSE,'Input and Summary Results'!$D217)</f>
        <v>0</v>
      </c>
      <c r="D234" t="b">
        <f>IF(OR(B234=0,'Input and Summary Results'!E217=0),FALSE,'Input and Summary Results'!$E217)</f>
        <v>0</v>
      </c>
      <c r="E234" t="b">
        <f t="shared" si="11"/>
        <v>0</v>
      </c>
      <c r="F234" s="13" t="b">
        <f t="shared" si="12"/>
        <v>0</v>
      </c>
      <c r="G234" t="b">
        <f>IF('Input and Summary Results'!$J$4="yes",IF(C234=FALSE,FALSE,IF(E234&lt;$R$10,'Data Transformation'!E234,$R$10)),IF(C234=FALSE,FALSE,IF('Data Transformation'!C234&lt;$R$10,C234,$R$10)))</f>
        <v>0</v>
      </c>
      <c r="H234" t="b">
        <f>IF('Input and Summary Results'!$J$4="yes",'Data Transformation'!F234,'Data Transformation'!D234)</f>
        <v>0</v>
      </c>
    </row>
    <row r="235" spans="2:8" x14ac:dyDescent="0.25">
      <c r="B235" t="b">
        <f>IF('Input and Summary Results'!D218="",FALSE,'Input and Summary Results'!$B218)</f>
        <v>0</v>
      </c>
      <c r="C235" t="b">
        <f>IF(OR(B235=0,'Input and Summary Results'!D218=0,'Input and Summary Results'!D218=""),FALSE,'Input and Summary Results'!$D218)</f>
        <v>0</v>
      </c>
      <c r="D235" t="b">
        <f>IF(OR(B235=0,'Input and Summary Results'!E218=0),FALSE,'Input and Summary Results'!$E218)</f>
        <v>0</v>
      </c>
      <c r="E235" t="b">
        <f t="shared" si="11"/>
        <v>0</v>
      </c>
      <c r="F235" s="13" t="b">
        <f t="shared" si="12"/>
        <v>0</v>
      </c>
      <c r="G235" t="b">
        <f>IF('Input and Summary Results'!$J$4="yes",IF(C235=FALSE,FALSE,IF(E235&lt;$R$10,'Data Transformation'!E235,$R$10)),IF(C235=FALSE,FALSE,IF('Data Transformation'!C235&lt;$R$10,C235,$R$10)))</f>
        <v>0</v>
      </c>
      <c r="H235" t="b">
        <f>IF('Input and Summary Results'!$J$4="yes",'Data Transformation'!F235,'Data Transformation'!D235)</f>
        <v>0</v>
      </c>
    </row>
    <row r="236" spans="2:8" x14ac:dyDescent="0.25">
      <c r="B236" t="b">
        <f>IF('Input and Summary Results'!D219="",FALSE,'Input and Summary Results'!$B219)</f>
        <v>0</v>
      </c>
      <c r="C236" t="b">
        <f>IF(OR(B236=0,'Input and Summary Results'!D219=0,'Input and Summary Results'!D219=""),FALSE,'Input and Summary Results'!$D219)</f>
        <v>0</v>
      </c>
      <c r="D236" t="b">
        <f>IF(OR(B236=0,'Input and Summary Results'!E219=0),FALSE,'Input and Summary Results'!$E219)</f>
        <v>0</v>
      </c>
      <c r="E236" t="b">
        <f t="shared" si="11"/>
        <v>0</v>
      </c>
      <c r="F236" s="13" t="b">
        <f t="shared" si="12"/>
        <v>0</v>
      </c>
      <c r="G236" t="b">
        <f>IF('Input and Summary Results'!$J$4="yes",IF(C236=FALSE,FALSE,IF(E236&lt;$R$10,'Data Transformation'!E236,$R$10)),IF(C236=FALSE,FALSE,IF('Data Transformation'!C236&lt;$R$10,C236,$R$10)))</f>
        <v>0</v>
      </c>
      <c r="H236" t="b">
        <f>IF('Input and Summary Results'!$J$4="yes",'Data Transformation'!F236,'Data Transformation'!D236)</f>
        <v>0</v>
      </c>
    </row>
    <row r="237" spans="2:8" x14ac:dyDescent="0.25">
      <c r="B237" t="b">
        <f>IF('Input and Summary Results'!D220="",FALSE,'Input and Summary Results'!$B220)</f>
        <v>0</v>
      </c>
      <c r="C237" t="b">
        <f>IF(OR(B237=0,'Input and Summary Results'!D220=0,'Input and Summary Results'!D220=""),FALSE,'Input and Summary Results'!$D220)</f>
        <v>0</v>
      </c>
      <c r="D237" t="b">
        <f>IF(OR(B237=0,'Input and Summary Results'!E220=0),FALSE,'Input and Summary Results'!$E220)</f>
        <v>0</v>
      </c>
      <c r="E237" t="b">
        <f t="shared" si="11"/>
        <v>0</v>
      </c>
      <c r="F237" s="13" t="b">
        <f t="shared" si="12"/>
        <v>0</v>
      </c>
      <c r="G237" t="b">
        <f>IF('Input and Summary Results'!$J$4="yes",IF(C237=FALSE,FALSE,IF(E237&lt;$R$10,'Data Transformation'!E237,$R$10)),IF(C237=FALSE,FALSE,IF('Data Transformation'!C237&lt;$R$10,C237,$R$10)))</f>
        <v>0</v>
      </c>
      <c r="H237" t="b">
        <f>IF('Input and Summary Results'!$J$4="yes",'Data Transformation'!F237,'Data Transformation'!D237)</f>
        <v>0</v>
      </c>
    </row>
    <row r="238" spans="2:8" x14ac:dyDescent="0.25">
      <c r="B238" t="b">
        <f>IF('Input and Summary Results'!D221="",FALSE,'Input and Summary Results'!$B221)</f>
        <v>0</v>
      </c>
      <c r="C238" t="b">
        <f>IF(OR(B238=0,'Input and Summary Results'!D221=0,'Input and Summary Results'!D221=""),FALSE,'Input and Summary Results'!$D221)</f>
        <v>0</v>
      </c>
      <c r="D238" t="b">
        <f>IF(OR(B238=0,'Input and Summary Results'!E221=0),FALSE,'Input and Summary Results'!$E221)</f>
        <v>0</v>
      </c>
      <c r="E238" t="b">
        <f t="shared" si="11"/>
        <v>0</v>
      </c>
      <c r="F238" s="13" t="b">
        <f t="shared" si="12"/>
        <v>0</v>
      </c>
      <c r="G238" t="b">
        <f>IF('Input and Summary Results'!$J$4="yes",IF(C238=FALSE,FALSE,IF(E238&lt;$R$10,'Data Transformation'!E238,$R$10)),IF(C238=FALSE,FALSE,IF('Data Transformation'!C238&lt;$R$10,C238,$R$10)))</f>
        <v>0</v>
      </c>
      <c r="H238" t="b">
        <f>IF('Input and Summary Results'!$J$4="yes",'Data Transformation'!F238,'Data Transformation'!D238)</f>
        <v>0</v>
      </c>
    </row>
    <row r="239" spans="2:8" x14ac:dyDescent="0.25">
      <c r="B239" t="b">
        <f>IF('Input and Summary Results'!D222="",FALSE,'Input and Summary Results'!$B222)</f>
        <v>0</v>
      </c>
      <c r="C239" t="b">
        <f>IF(OR(B239=0,'Input and Summary Results'!D222=0,'Input and Summary Results'!D222=""),FALSE,'Input and Summary Results'!$D222)</f>
        <v>0</v>
      </c>
      <c r="D239" t="b">
        <f>IF(OR(B239=0,'Input and Summary Results'!E222=0),FALSE,'Input and Summary Results'!$E222)</f>
        <v>0</v>
      </c>
      <c r="E239" t="b">
        <f t="shared" si="11"/>
        <v>0</v>
      </c>
      <c r="F239" s="13" t="b">
        <f t="shared" si="12"/>
        <v>0</v>
      </c>
      <c r="G239" t="b">
        <f>IF('Input and Summary Results'!$J$4="yes",IF(C239=FALSE,FALSE,IF(E239&lt;$R$10,'Data Transformation'!E239,$R$10)),IF(C239=FALSE,FALSE,IF('Data Transformation'!C239&lt;$R$10,C239,$R$10)))</f>
        <v>0</v>
      </c>
      <c r="H239" t="b">
        <f>IF('Input and Summary Results'!$J$4="yes",'Data Transformation'!F239,'Data Transformation'!D239)</f>
        <v>0</v>
      </c>
    </row>
    <row r="240" spans="2:8" x14ac:dyDescent="0.25">
      <c r="B240" t="b">
        <f>IF('Input and Summary Results'!D223="",FALSE,'Input and Summary Results'!$B223)</f>
        <v>0</v>
      </c>
      <c r="C240" t="b">
        <f>IF(OR(B240=0,'Input and Summary Results'!D223=0,'Input and Summary Results'!D223=""),FALSE,'Input and Summary Results'!$D223)</f>
        <v>0</v>
      </c>
      <c r="D240" t="b">
        <f>IF(OR(B240=0,'Input and Summary Results'!E223=0),FALSE,'Input and Summary Results'!$E223)</f>
        <v>0</v>
      </c>
      <c r="E240" t="b">
        <f t="shared" si="11"/>
        <v>0</v>
      </c>
      <c r="F240" s="13" t="b">
        <f t="shared" si="12"/>
        <v>0</v>
      </c>
      <c r="G240" t="b">
        <f>IF('Input and Summary Results'!$J$4="yes",IF(C240=FALSE,FALSE,IF(E240&lt;$R$10,'Data Transformation'!E240,$R$10)),IF(C240=FALSE,FALSE,IF('Data Transformation'!C240&lt;$R$10,C240,$R$10)))</f>
        <v>0</v>
      </c>
      <c r="H240" t="b">
        <f>IF('Input and Summary Results'!$J$4="yes",'Data Transformation'!F240,'Data Transformation'!D240)</f>
        <v>0</v>
      </c>
    </row>
    <row r="241" spans="2:8" x14ac:dyDescent="0.25">
      <c r="B241" t="b">
        <f>IF('Input and Summary Results'!D224="",FALSE,'Input and Summary Results'!$B224)</f>
        <v>0</v>
      </c>
      <c r="C241" t="b">
        <f>IF(OR(B241=0,'Input and Summary Results'!D224=0,'Input and Summary Results'!D224=""),FALSE,'Input and Summary Results'!$D224)</f>
        <v>0</v>
      </c>
      <c r="D241" t="b">
        <f>IF(OR(B241=0,'Input and Summary Results'!E224=0),FALSE,'Input and Summary Results'!$E224)</f>
        <v>0</v>
      </c>
      <c r="E241" t="b">
        <f t="shared" si="11"/>
        <v>0</v>
      </c>
      <c r="F241" s="13" t="b">
        <f t="shared" si="12"/>
        <v>0</v>
      </c>
      <c r="G241" t="b">
        <f>IF('Input and Summary Results'!$J$4="yes",IF(C241=FALSE,FALSE,IF(E241&lt;$R$10,'Data Transformation'!E241,$R$10)),IF(C241=FALSE,FALSE,IF('Data Transformation'!C241&lt;$R$10,C241,$R$10)))</f>
        <v>0</v>
      </c>
      <c r="H241" t="b">
        <f>IF('Input and Summary Results'!$J$4="yes",'Data Transformation'!F241,'Data Transformation'!D241)</f>
        <v>0</v>
      </c>
    </row>
    <row r="242" spans="2:8" x14ac:dyDescent="0.25">
      <c r="B242" t="b">
        <f>IF('Input and Summary Results'!D225="",FALSE,'Input and Summary Results'!$B225)</f>
        <v>0</v>
      </c>
      <c r="C242" t="b">
        <f>IF(OR(B242=0,'Input and Summary Results'!D225=0,'Input and Summary Results'!D225=""),FALSE,'Input and Summary Results'!$D225)</f>
        <v>0</v>
      </c>
      <c r="D242" t="b">
        <f>IF(OR(B242=0,'Input and Summary Results'!E225=0),FALSE,'Input and Summary Results'!$E225)</f>
        <v>0</v>
      </c>
      <c r="E242" t="b">
        <f t="shared" si="11"/>
        <v>0</v>
      </c>
      <c r="F242" s="13" t="b">
        <f t="shared" si="12"/>
        <v>0</v>
      </c>
      <c r="G242" t="b">
        <f>IF('Input and Summary Results'!$J$4="yes",IF(C242=FALSE,FALSE,IF(E242&lt;$R$10,'Data Transformation'!E242,$R$10)),IF(C242=FALSE,FALSE,IF('Data Transformation'!C242&lt;$R$10,C242,$R$10)))</f>
        <v>0</v>
      </c>
      <c r="H242" t="b">
        <f>IF('Input and Summary Results'!$J$4="yes",'Data Transformation'!F242,'Data Transformation'!D242)</f>
        <v>0</v>
      </c>
    </row>
    <row r="243" spans="2:8" x14ac:dyDescent="0.25">
      <c r="B243" t="b">
        <f>IF('Input and Summary Results'!D226="",FALSE,'Input and Summary Results'!$B226)</f>
        <v>0</v>
      </c>
      <c r="C243" t="b">
        <f>IF(OR(B243=0,'Input and Summary Results'!D226=0,'Input and Summary Results'!D226=""),FALSE,'Input and Summary Results'!$D226)</f>
        <v>0</v>
      </c>
      <c r="D243" t="b">
        <f>IF(OR(B243=0,'Input and Summary Results'!E226=0),FALSE,'Input and Summary Results'!$E226)</f>
        <v>0</v>
      </c>
      <c r="E243" t="b">
        <f t="shared" si="11"/>
        <v>0</v>
      </c>
      <c r="F243" s="13" t="b">
        <f t="shared" si="12"/>
        <v>0</v>
      </c>
      <c r="G243" t="b">
        <f>IF('Input and Summary Results'!$J$4="yes",IF(C243=FALSE,FALSE,IF(E243&lt;$R$10,'Data Transformation'!E243,$R$10)),IF(C243=FALSE,FALSE,IF('Data Transformation'!C243&lt;$R$10,C243,$R$10)))</f>
        <v>0</v>
      </c>
      <c r="H243" t="b">
        <f>IF('Input and Summary Results'!$J$4="yes",'Data Transformation'!F243,'Data Transformation'!D243)</f>
        <v>0</v>
      </c>
    </row>
    <row r="244" spans="2:8" x14ac:dyDescent="0.25">
      <c r="B244" t="b">
        <f>IF('Input and Summary Results'!D227="",FALSE,'Input and Summary Results'!$B227)</f>
        <v>0</v>
      </c>
      <c r="C244" t="b">
        <f>IF(OR(B244=0,'Input and Summary Results'!D227=0,'Input and Summary Results'!D227=""),FALSE,'Input and Summary Results'!$D227)</f>
        <v>0</v>
      </c>
      <c r="D244" t="b">
        <f>IF(OR(B244=0,'Input and Summary Results'!E227=0),FALSE,'Input and Summary Results'!$E227)</f>
        <v>0</v>
      </c>
      <c r="E244" t="b">
        <f t="shared" si="11"/>
        <v>0</v>
      </c>
      <c r="F244" s="13" t="b">
        <f t="shared" si="12"/>
        <v>0</v>
      </c>
      <c r="G244" t="b">
        <f>IF('Input and Summary Results'!$J$4="yes",IF(C244=FALSE,FALSE,IF(E244&lt;$R$10,'Data Transformation'!E244,$R$10)),IF(C244=FALSE,FALSE,IF('Data Transformation'!C244&lt;$R$10,C244,$R$10)))</f>
        <v>0</v>
      </c>
      <c r="H244" t="b">
        <f>IF('Input and Summary Results'!$J$4="yes",'Data Transformation'!F244,'Data Transformation'!D244)</f>
        <v>0</v>
      </c>
    </row>
    <row r="245" spans="2:8" x14ac:dyDescent="0.25">
      <c r="B245" t="b">
        <f>IF('Input and Summary Results'!D228="",FALSE,'Input and Summary Results'!$B228)</f>
        <v>0</v>
      </c>
      <c r="C245" t="b">
        <f>IF(OR(B245=0,'Input and Summary Results'!D228=0,'Input and Summary Results'!D228=""),FALSE,'Input and Summary Results'!$D228)</f>
        <v>0</v>
      </c>
      <c r="D245" t="b">
        <f>IF(OR(B245=0,'Input and Summary Results'!E228=0),FALSE,'Input and Summary Results'!$E228)</f>
        <v>0</v>
      </c>
      <c r="E245" t="b">
        <f t="shared" si="11"/>
        <v>0</v>
      </c>
      <c r="F245" s="13" t="b">
        <f t="shared" si="12"/>
        <v>0</v>
      </c>
      <c r="G245" t="b">
        <f>IF('Input and Summary Results'!$J$4="yes",IF(C245=FALSE,FALSE,IF(E245&lt;$R$10,'Data Transformation'!E245,$R$10)),IF(C245=FALSE,FALSE,IF('Data Transformation'!C245&lt;$R$10,C245,$R$10)))</f>
        <v>0</v>
      </c>
      <c r="H245" t="b">
        <f>IF('Input and Summary Results'!$J$4="yes",'Data Transformation'!F245,'Data Transformation'!D245)</f>
        <v>0</v>
      </c>
    </row>
    <row r="246" spans="2:8" x14ac:dyDescent="0.25">
      <c r="B246" t="b">
        <f>IF('Input and Summary Results'!D229="",FALSE,'Input and Summary Results'!$B229)</f>
        <v>0</v>
      </c>
      <c r="C246" t="b">
        <f>IF(OR(B246=0,'Input and Summary Results'!D229=0,'Input and Summary Results'!D229=""),FALSE,'Input and Summary Results'!$D229)</f>
        <v>0</v>
      </c>
      <c r="D246" t="b">
        <f>IF(OR(B246=0,'Input and Summary Results'!E229=0),FALSE,'Input and Summary Results'!$E229)</f>
        <v>0</v>
      </c>
      <c r="E246" t="b">
        <f t="shared" si="11"/>
        <v>0</v>
      </c>
      <c r="F246" s="13" t="b">
        <f t="shared" si="12"/>
        <v>0</v>
      </c>
      <c r="G246" t="b">
        <f>IF('Input and Summary Results'!$J$4="yes",IF(C246=FALSE,FALSE,IF(E246&lt;$R$10,'Data Transformation'!E246,$R$10)),IF(C246=FALSE,FALSE,IF('Data Transformation'!C246&lt;$R$10,C246,$R$10)))</f>
        <v>0</v>
      </c>
      <c r="H246" t="b">
        <f>IF('Input and Summary Results'!$J$4="yes",'Data Transformation'!F246,'Data Transformation'!D246)</f>
        <v>0</v>
      </c>
    </row>
    <row r="247" spans="2:8" x14ac:dyDescent="0.25">
      <c r="B247" t="b">
        <f>IF('Input and Summary Results'!D230="",FALSE,'Input and Summary Results'!$B230)</f>
        <v>0</v>
      </c>
      <c r="C247" t="b">
        <f>IF(OR(B247=0,'Input and Summary Results'!D230=0,'Input and Summary Results'!D230=""),FALSE,'Input and Summary Results'!$D230)</f>
        <v>0</v>
      </c>
      <c r="D247" t="b">
        <f>IF(OR(B247=0,'Input and Summary Results'!E230=0),FALSE,'Input and Summary Results'!$E230)</f>
        <v>0</v>
      </c>
      <c r="E247" t="b">
        <f t="shared" si="11"/>
        <v>0</v>
      </c>
      <c r="F247" s="13" t="b">
        <f t="shared" si="12"/>
        <v>0</v>
      </c>
      <c r="G247" t="b">
        <f>IF('Input and Summary Results'!$J$4="yes",IF(C247=FALSE,FALSE,IF(E247&lt;$R$10,'Data Transformation'!E247,$R$10)),IF(C247=FALSE,FALSE,IF('Data Transformation'!C247&lt;$R$10,C247,$R$10)))</f>
        <v>0</v>
      </c>
      <c r="H247" t="b">
        <f>IF('Input and Summary Results'!$J$4="yes",'Data Transformation'!F247,'Data Transformation'!D247)</f>
        <v>0</v>
      </c>
    </row>
    <row r="248" spans="2:8" x14ac:dyDescent="0.25">
      <c r="B248" t="b">
        <f>IF('Input and Summary Results'!D231="",FALSE,'Input and Summary Results'!$B231)</f>
        <v>0</v>
      </c>
      <c r="C248" t="b">
        <f>IF(OR(B248=0,'Input and Summary Results'!D231=0,'Input and Summary Results'!D231=""),FALSE,'Input and Summary Results'!$D231)</f>
        <v>0</v>
      </c>
      <c r="D248" t="b">
        <f>IF(OR(B248=0,'Input and Summary Results'!E231=0),FALSE,'Input and Summary Results'!$E231)</f>
        <v>0</v>
      </c>
      <c r="E248" t="b">
        <f t="shared" si="11"/>
        <v>0</v>
      </c>
      <c r="F248" s="13" t="b">
        <f t="shared" si="12"/>
        <v>0</v>
      </c>
      <c r="G248" t="b">
        <f>IF('Input and Summary Results'!$J$4="yes",IF(C248=FALSE,FALSE,IF(E248&lt;$R$10,'Data Transformation'!E248,$R$10)),IF(C248=FALSE,FALSE,IF('Data Transformation'!C248&lt;$R$10,C248,$R$10)))</f>
        <v>0</v>
      </c>
      <c r="H248" t="b">
        <f>IF('Input and Summary Results'!$J$4="yes",'Data Transformation'!F248,'Data Transformation'!D248)</f>
        <v>0</v>
      </c>
    </row>
    <row r="249" spans="2:8" x14ac:dyDescent="0.25">
      <c r="B249" t="b">
        <f>IF('Input and Summary Results'!D232="",FALSE,'Input and Summary Results'!$B232)</f>
        <v>0</v>
      </c>
      <c r="C249" t="b">
        <f>IF(OR(B249=0,'Input and Summary Results'!D232=0,'Input and Summary Results'!D232=""),FALSE,'Input and Summary Results'!$D232)</f>
        <v>0</v>
      </c>
      <c r="D249" t="b">
        <f>IF(OR(B249=0,'Input and Summary Results'!E232=0),FALSE,'Input and Summary Results'!$E232)</f>
        <v>0</v>
      </c>
      <c r="E249" t="b">
        <f t="shared" si="11"/>
        <v>0</v>
      </c>
      <c r="F249" s="13" t="b">
        <f t="shared" si="12"/>
        <v>0</v>
      </c>
      <c r="G249" t="b">
        <f>IF('Input and Summary Results'!$J$4="yes",IF(C249=FALSE,FALSE,IF(E249&lt;$R$10,'Data Transformation'!E249,$R$10)),IF(C249=FALSE,FALSE,IF('Data Transformation'!C249&lt;$R$10,C249,$R$10)))</f>
        <v>0</v>
      </c>
      <c r="H249" t="b">
        <f>IF('Input and Summary Results'!$J$4="yes",'Data Transformation'!F249,'Data Transformation'!D249)</f>
        <v>0</v>
      </c>
    </row>
    <row r="250" spans="2:8" x14ac:dyDescent="0.25">
      <c r="B250" t="b">
        <f>IF('Input and Summary Results'!D233="",FALSE,'Input and Summary Results'!$B233)</f>
        <v>0</v>
      </c>
      <c r="C250" t="b">
        <f>IF(OR(B250=0,'Input and Summary Results'!D233=0,'Input and Summary Results'!D233=""),FALSE,'Input and Summary Results'!$D233)</f>
        <v>0</v>
      </c>
      <c r="D250" t="b">
        <f>IF(OR(B250=0,'Input and Summary Results'!E233=0),FALSE,'Input and Summary Results'!$E233)</f>
        <v>0</v>
      </c>
      <c r="E250" t="b">
        <f t="shared" si="11"/>
        <v>0</v>
      </c>
      <c r="F250" s="13" t="b">
        <f t="shared" si="12"/>
        <v>0</v>
      </c>
      <c r="G250" t="b">
        <f>IF('Input and Summary Results'!$J$4="yes",IF(C250=FALSE,FALSE,IF(E250&lt;$R$10,'Data Transformation'!E250,$R$10)),IF(C250=FALSE,FALSE,IF('Data Transformation'!C250&lt;$R$10,C250,$R$10)))</f>
        <v>0</v>
      </c>
      <c r="H250" t="b">
        <f>IF('Input and Summary Results'!$J$4="yes",'Data Transformation'!F250,'Data Transformation'!D250)</f>
        <v>0</v>
      </c>
    </row>
    <row r="251" spans="2:8" x14ac:dyDescent="0.25">
      <c r="B251" t="b">
        <f>IF('Input and Summary Results'!D234="",FALSE,'Input and Summary Results'!$B234)</f>
        <v>0</v>
      </c>
      <c r="C251" t="b">
        <f>IF(OR(B251=0,'Input and Summary Results'!D234=0,'Input and Summary Results'!D234=""),FALSE,'Input and Summary Results'!$D234)</f>
        <v>0</v>
      </c>
      <c r="D251" t="b">
        <f>IF(OR(B251=0,'Input and Summary Results'!E234=0),FALSE,'Input and Summary Results'!$E234)</f>
        <v>0</v>
      </c>
      <c r="E251" t="b">
        <f t="shared" si="11"/>
        <v>0</v>
      </c>
      <c r="F251" s="13" t="b">
        <f t="shared" si="12"/>
        <v>0</v>
      </c>
      <c r="G251" t="b">
        <f>IF('Input and Summary Results'!$J$4="yes",IF(C251=FALSE,FALSE,IF(E251&lt;$R$10,'Data Transformation'!E251,$R$10)),IF(C251=FALSE,FALSE,IF('Data Transformation'!C251&lt;$R$10,C251,$R$10)))</f>
        <v>0</v>
      </c>
      <c r="H251" t="b">
        <f>IF('Input and Summary Results'!$J$4="yes",'Data Transformation'!F251,'Data Transformation'!D251)</f>
        <v>0</v>
      </c>
    </row>
    <row r="252" spans="2:8" x14ac:dyDescent="0.25">
      <c r="B252" t="b">
        <f>IF('Input and Summary Results'!D235="",FALSE,'Input and Summary Results'!$B235)</f>
        <v>0</v>
      </c>
      <c r="C252" t="b">
        <f>IF(OR(B252=0,'Input and Summary Results'!D235=0,'Input and Summary Results'!D235=""),FALSE,'Input and Summary Results'!$D235)</f>
        <v>0</v>
      </c>
      <c r="D252" t="b">
        <f>IF(OR(B252=0,'Input and Summary Results'!E235=0),FALSE,'Input and Summary Results'!$E235)</f>
        <v>0</v>
      </c>
      <c r="E252" t="b">
        <f t="shared" si="11"/>
        <v>0</v>
      </c>
      <c r="F252" s="13" t="b">
        <f t="shared" si="12"/>
        <v>0</v>
      </c>
      <c r="G252" t="b">
        <f>IF('Input and Summary Results'!$J$4="yes",IF(C252=FALSE,FALSE,IF(E252&lt;$R$10,'Data Transformation'!E252,$R$10)),IF(C252=FALSE,FALSE,IF('Data Transformation'!C252&lt;$R$10,C252,$R$10)))</f>
        <v>0</v>
      </c>
      <c r="H252" t="b">
        <f>IF('Input and Summary Results'!$J$4="yes",'Data Transformation'!F252,'Data Transformation'!D252)</f>
        <v>0</v>
      </c>
    </row>
    <row r="253" spans="2:8" x14ac:dyDescent="0.25">
      <c r="B253" t="b">
        <f>IF('Input and Summary Results'!D236="",FALSE,'Input and Summary Results'!$B236)</f>
        <v>0</v>
      </c>
      <c r="C253" t="b">
        <f>IF(OR(B253=0,'Input and Summary Results'!D236=0,'Input and Summary Results'!D236=""),FALSE,'Input and Summary Results'!$D236)</f>
        <v>0</v>
      </c>
      <c r="D253" t="b">
        <f>IF(OR(B253=0,'Input and Summary Results'!E236=0),FALSE,'Input and Summary Results'!$E236)</f>
        <v>0</v>
      </c>
      <c r="E253" t="b">
        <f t="shared" si="11"/>
        <v>0</v>
      </c>
      <c r="F253" s="13" t="b">
        <f t="shared" si="12"/>
        <v>0</v>
      </c>
      <c r="G253" t="b">
        <f>IF('Input and Summary Results'!$J$4="yes",IF(C253=FALSE,FALSE,IF(E253&lt;$R$10,'Data Transformation'!E253,$R$10)),IF(C253=FALSE,FALSE,IF('Data Transformation'!C253&lt;$R$10,C253,$R$10)))</f>
        <v>0</v>
      </c>
      <c r="H253" t="b">
        <f>IF('Input and Summary Results'!$J$4="yes",'Data Transformation'!F253,'Data Transformation'!D253)</f>
        <v>0</v>
      </c>
    </row>
    <row r="254" spans="2:8" x14ac:dyDescent="0.25">
      <c r="B254" t="b">
        <f>IF('Input and Summary Results'!D237="",FALSE,'Input and Summary Results'!$B237)</f>
        <v>0</v>
      </c>
      <c r="C254" t="b">
        <f>IF(OR(B254=0,'Input and Summary Results'!D237=0,'Input and Summary Results'!D237=""),FALSE,'Input and Summary Results'!$D237)</f>
        <v>0</v>
      </c>
      <c r="D254" t="b">
        <f>IF(OR(B254=0,'Input and Summary Results'!E237=0),FALSE,'Input and Summary Results'!$E237)</f>
        <v>0</v>
      </c>
      <c r="E254" t="b">
        <f t="shared" si="11"/>
        <v>0</v>
      </c>
      <c r="F254" s="13" t="b">
        <f t="shared" si="12"/>
        <v>0</v>
      </c>
      <c r="G254" t="b">
        <f>IF('Input and Summary Results'!$J$4="yes",IF(C254=FALSE,FALSE,IF(E254&lt;$R$10,'Data Transformation'!E254,$R$10)),IF(C254=FALSE,FALSE,IF('Data Transformation'!C254&lt;$R$10,C254,$R$10)))</f>
        <v>0</v>
      </c>
      <c r="H254" t="b">
        <f>IF('Input and Summary Results'!$J$4="yes",'Data Transformation'!F254,'Data Transformation'!D254)</f>
        <v>0</v>
      </c>
    </row>
    <row r="255" spans="2:8" x14ac:dyDescent="0.25">
      <c r="B255" t="b">
        <f>IF('Input and Summary Results'!D238="",FALSE,'Input and Summary Results'!$B238)</f>
        <v>0</v>
      </c>
      <c r="C255" t="b">
        <f>IF(OR(B255=0,'Input and Summary Results'!D238=0,'Input and Summary Results'!D238=""),FALSE,'Input and Summary Results'!$D238)</f>
        <v>0</v>
      </c>
      <c r="D255" t="b">
        <f>IF(OR(B255=0,'Input and Summary Results'!E238=0),FALSE,'Input and Summary Results'!$E238)</f>
        <v>0</v>
      </c>
      <c r="E255" t="b">
        <f t="shared" si="11"/>
        <v>0</v>
      </c>
      <c r="F255" s="13" t="b">
        <f t="shared" si="12"/>
        <v>0</v>
      </c>
      <c r="G255" t="b">
        <f>IF('Input and Summary Results'!$J$4="yes",IF(C255=FALSE,FALSE,IF(E255&lt;$R$10,'Data Transformation'!E255,$R$10)),IF(C255=FALSE,FALSE,IF('Data Transformation'!C255&lt;$R$10,C255,$R$10)))</f>
        <v>0</v>
      </c>
      <c r="H255" t="b">
        <f>IF('Input and Summary Results'!$J$4="yes",'Data Transformation'!F255,'Data Transformation'!D255)</f>
        <v>0</v>
      </c>
    </row>
    <row r="256" spans="2:8" x14ac:dyDescent="0.25">
      <c r="B256" t="b">
        <f>IF('Input and Summary Results'!D239="",FALSE,'Input and Summary Results'!$B239)</f>
        <v>0</v>
      </c>
      <c r="C256" t="b">
        <f>IF(OR(B256=0,'Input and Summary Results'!D239=0,'Input and Summary Results'!D239=""),FALSE,'Input and Summary Results'!$D239)</f>
        <v>0</v>
      </c>
      <c r="D256" t="b">
        <f>IF(OR(B256=0,'Input and Summary Results'!E239=0),FALSE,'Input and Summary Results'!$E239)</f>
        <v>0</v>
      </c>
      <c r="E256" t="b">
        <f t="shared" si="11"/>
        <v>0</v>
      </c>
      <c r="F256" s="13" t="b">
        <f t="shared" si="12"/>
        <v>0</v>
      </c>
      <c r="G256" t="b">
        <f>IF('Input and Summary Results'!$J$4="yes",IF(C256=FALSE,FALSE,IF(E256&lt;$R$10,'Data Transformation'!E256,$R$10)),IF(C256=FALSE,FALSE,IF('Data Transformation'!C256&lt;$R$10,C256,$R$10)))</f>
        <v>0</v>
      </c>
      <c r="H256" t="b">
        <f>IF('Input and Summary Results'!$J$4="yes",'Data Transformation'!F256,'Data Transformation'!D256)</f>
        <v>0</v>
      </c>
    </row>
    <row r="257" spans="2:8" x14ac:dyDescent="0.25">
      <c r="B257" t="b">
        <f>IF('Input and Summary Results'!D240="",FALSE,'Input and Summary Results'!$B240)</f>
        <v>0</v>
      </c>
      <c r="C257" t="b">
        <f>IF(OR(B257=0,'Input and Summary Results'!D240=0,'Input and Summary Results'!D240=""),FALSE,'Input and Summary Results'!$D240)</f>
        <v>0</v>
      </c>
      <c r="D257" t="b">
        <f>IF(OR(B257=0,'Input and Summary Results'!E240=0),FALSE,'Input and Summary Results'!$E240)</f>
        <v>0</v>
      </c>
      <c r="E257" t="b">
        <f t="shared" si="11"/>
        <v>0</v>
      </c>
      <c r="F257" s="13" t="b">
        <f t="shared" si="12"/>
        <v>0</v>
      </c>
      <c r="G257" t="b">
        <f>IF('Input and Summary Results'!$J$4="yes",IF(C257=FALSE,FALSE,IF(E257&lt;$R$10,'Data Transformation'!E257,$R$10)),IF(C257=FALSE,FALSE,IF('Data Transformation'!C257&lt;$R$10,C257,$R$10)))</f>
        <v>0</v>
      </c>
      <c r="H257" t="b">
        <f>IF('Input and Summary Results'!$J$4="yes",'Data Transformation'!F257,'Data Transformation'!D257)</f>
        <v>0</v>
      </c>
    </row>
    <row r="258" spans="2:8" x14ac:dyDescent="0.25">
      <c r="B258" t="b">
        <f>IF('Input and Summary Results'!D241="",FALSE,'Input and Summary Results'!$B241)</f>
        <v>0</v>
      </c>
      <c r="C258" t="b">
        <f>IF(OR(B258=0,'Input and Summary Results'!D241=0,'Input and Summary Results'!D241=""),FALSE,'Input and Summary Results'!$D241)</f>
        <v>0</v>
      </c>
      <c r="D258" t="b">
        <f>IF(OR(B258=0,'Input and Summary Results'!E241=0),FALSE,'Input and Summary Results'!$E241)</f>
        <v>0</v>
      </c>
      <c r="E258" t="b">
        <f t="shared" si="11"/>
        <v>0</v>
      </c>
      <c r="F258" s="13" t="b">
        <f t="shared" si="12"/>
        <v>0</v>
      </c>
      <c r="G258" t="b">
        <f>IF('Input and Summary Results'!$J$4="yes",IF(C258=FALSE,FALSE,IF(E258&lt;$R$10,'Data Transformation'!E258,$R$10)),IF(C258=FALSE,FALSE,IF('Data Transformation'!C258&lt;$R$10,C258,$R$10)))</f>
        <v>0</v>
      </c>
      <c r="H258" t="b">
        <f>IF('Input and Summary Results'!$J$4="yes",'Data Transformation'!F258,'Data Transformation'!D258)</f>
        <v>0</v>
      </c>
    </row>
    <row r="259" spans="2:8" x14ac:dyDescent="0.25">
      <c r="B259" t="b">
        <f>IF('Input and Summary Results'!D242="",FALSE,'Input and Summary Results'!$B242)</f>
        <v>0</v>
      </c>
      <c r="C259" t="b">
        <f>IF(OR(B259=0,'Input and Summary Results'!D242=0,'Input and Summary Results'!D242=""),FALSE,'Input and Summary Results'!$D242)</f>
        <v>0</v>
      </c>
      <c r="D259" t="b">
        <f>IF(OR(B259=0,'Input and Summary Results'!E242=0),FALSE,'Input and Summary Results'!$E242)</f>
        <v>0</v>
      </c>
      <c r="E259" t="b">
        <f t="shared" si="11"/>
        <v>0</v>
      </c>
      <c r="F259" s="13" t="b">
        <f t="shared" si="12"/>
        <v>0</v>
      </c>
      <c r="G259" t="b">
        <f>IF('Input and Summary Results'!$J$4="yes",IF(C259=FALSE,FALSE,IF(E259&lt;$R$10,'Data Transformation'!E259,$R$10)),IF(C259=FALSE,FALSE,IF('Data Transformation'!C259&lt;$R$10,C259,$R$10)))</f>
        <v>0</v>
      </c>
      <c r="H259" t="b">
        <f>IF('Input and Summary Results'!$J$4="yes",'Data Transformation'!F259,'Data Transformation'!D259)</f>
        <v>0</v>
      </c>
    </row>
    <row r="260" spans="2:8" x14ac:dyDescent="0.25">
      <c r="B260" t="b">
        <f>IF('Input and Summary Results'!D243="",FALSE,'Input and Summary Results'!$B243)</f>
        <v>0</v>
      </c>
      <c r="C260" t="b">
        <f>IF(OR(B260=0,'Input and Summary Results'!D243=0,'Input and Summary Results'!D243=""),FALSE,'Input and Summary Results'!$D243)</f>
        <v>0</v>
      </c>
      <c r="D260" t="b">
        <f>IF(OR(B260=0,'Input and Summary Results'!E243=0),FALSE,'Input and Summary Results'!$E243)</f>
        <v>0</v>
      </c>
      <c r="E260" t="b">
        <f t="shared" ref="E260:E323" si="13">IF(C260=FALSE,FALSE,LOG10(C260))</f>
        <v>0</v>
      </c>
      <c r="F260" s="13" t="b">
        <f t="shared" ref="F260:F323" si="14">IF(D260=FALSE, FALSE,0.434*D260/C260)</f>
        <v>0</v>
      </c>
      <c r="G260" t="b">
        <f>IF('Input and Summary Results'!$J$4="yes",IF(C260=FALSE,FALSE,IF(E260&lt;$R$10,'Data Transformation'!E260,$R$10)),IF(C260=FALSE,FALSE,IF('Data Transformation'!C260&lt;$R$10,C260,$R$10)))</f>
        <v>0</v>
      </c>
      <c r="H260" t="b">
        <f>IF('Input and Summary Results'!$J$4="yes",'Data Transformation'!F260,'Data Transformation'!D260)</f>
        <v>0</v>
      </c>
    </row>
    <row r="261" spans="2:8" x14ac:dyDescent="0.25">
      <c r="B261" t="b">
        <f>IF('Input and Summary Results'!D244="",FALSE,'Input and Summary Results'!$B244)</f>
        <v>0</v>
      </c>
      <c r="C261" t="b">
        <f>IF(OR(B261=0,'Input and Summary Results'!D244=0,'Input and Summary Results'!D244=""),FALSE,'Input and Summary Results'!$D244)</f>
        <v>0</v>
      </c>
      <c r="D261" t="b">
        <f>IF(OR(B261=0,'Input and Summary Results'!E244=0),FALSE,'Input and Summary Results'!$E244)</f>
        <v>0</v>
      </c>
      <c r="E261" t="b">
        <f t="shared" si="13"/>
        <v>0</v>
      </c>
      <c r="F261" s="13" t="b">
        <f t="shared" si="14"/>
        <v>0</v>
      </c>
      <c r="G261" t="b">
        <f>IF('Input and Summary Results'!$J$4="yes",IF(C261=FALSE,FALSE,IF(E261&lt;$R$10,'Data Transformation'!E261,$R$10)),IF(C261=FALSE,FALSE,IF('Data Transformation'!C261&lt;$R$10,C261,$R$10)))</f>
        <v>0</v>
      </c>
      <c r="H261" t="b">
        <f>IF('Input and Summary Results'!$J$4="yes",'Data Transformation'!F261,'Data Transformation'!D261)</f>
        <v>0</v>
      </c>
    </row>
    <row r="262" spans="2:8" x14ac:dyDescent="0.25">
      <c r="B262" t="b">
        <f>IF('Input and Summary Results'!D245="",FALSE,'Input and Summary Results'!$B245)</f>
        <v>0</v>
      </c>
      <c r="C262" t="b">
        <f>IF(OR(B262=0,'Input and Summary Results'!D245=0,'Input and Summary Results'!D245=""),FALSE,'Input and Summary Results'!$D245)</f>
        <v>0</v>
      </c>
      <c r="D262" t="b">
        <f>IF(OR(B262=0,'Input and Summary Results'!E245=0),FALSE,'Input and Summary Results'!$E245)</f>
        <v>0</v>
      </c>
      <c r="E262" t="b">
        <f t="shared" si="13"/>
        <v>0</v>
      </c>
      <c r="F262" s="13" t="b">
        <f t="shared" si="14"/>
        <v>0</v>
      </c>
      <c r="G262" t="b">
        <f>IF('Input and Summary Results'!$J$4="yes",IF(C262=FALSE,FALSE,IF(E262&lt;$R$10,'Data Transformation'!E262,$R$10)),IF(C262=FALSE,FALSE,IF('Data Transformation'!C262&lt;$R$10,C262,$R$10)))</f>
        <v>0</v>
      </c>
      <c r="H262" t="b">
        <f>IF('Input and Summary Results'!$J$4="yes",'Data Transformation'!F262,'Data Transformation'!D262)</f>
        <v>0</v>
      </c>
    </row>
    <row r="263" spans="2:8" x14ac:dyDescent="0.25">
      <c r="B263" t="b">
        <f>IF('Input and Summary Results'!D246="",FALSE,'Input and Summary Results'!$B246)</f>
        <v>0</v>
      </c>
      <c r="C263" t="b">
        <f>IF(OR(B263=0,'Input and Summary Results'!D246=0,'Input and Summary Results'!D246=""),FALSE,'Input and Summary Results'!$D246)</f>
        <v>0</v>
      </c>
      <c r="D263" t="b">
        <f>IF(OR(B263=0,'Input and Summary Results'!E246=0),FALSE,'Input and Summary Results'!$E246)</f>
        <v>0</v>
      </c>
      <c r="E263" t="b">
        <f t="shared" si="13"/>
        <v>0</v>
      </c>
      <c r="F263" s="13" t="b">
        <f t="shared" si="14"/>
        <v>0</v>
      </c>
      <c r="G263" t="b">
        <f>IF('Input and Summary Results'!$J$4="yes",IF(C263=FALSE,FALSE,IF(E263&lt;$R$10,'Data Transformation'!E263,$R$10)),IF(C263=FALSE,FALSE,IF('Data Transformation'!C263&lt;$R$10,C263,$R$10)))</f>
        <v>0</v>
      </c>
      <c r="H263" t="b">
        <f>IF('Input and Summary Results'!$J$4="yes",'Data Transformation'!F263,'Data Transformation'!D263)</f>
        <v>0</v>
      </c>
    </row>
    <row r="264" spans="2:8" x14ac:dyDescent="0.25">
      <c r="B264" t="b">
        <f>IF('Input and Summary Results'!D247="",FALSE,'Input and Summary Results'!$B247)</f>
        <v>0</v>
      </c>
      <c r="C264" t="b">
        <f>IF(OR(B264=0,'Input and Summary Results'!D247=0,'Input and Summary Results'!D247=""),FALSE,'Input and Summary Results'!$D247)</f>
        <v>0</v>
      </c>
      <c r="D264" t="b">
        <f>IF(OR(B264=0,'Input and Summary Results'!E247=0),FALSE,'Input and Summary Results'!$E247)</f>
        <v>0</v>
      </c>
      <c r="E264" t="b">
        <f t="shared" si="13"/>
        <v>0</v>
      </c>
      <c r="F264" s="13" t="b">
        <f t="shared" si="14"/>
        <v>0</v>
      </c>
      <c r="G264" t="b">
        <f>IF('Input and Summary Results'!$J$4="yes",IF(C264=FALSE,FALSE,IF(E264&lt;$R$10,'Data Transformation'!E264,$R$10)),IF(C264=FALSE,FALSE,IF('Data Transformation'!C264&lt;$R$10,C264,$R$10)))</f>
        <v>0</v>
      </c>
      <c r="H264" t="b">
        <f>IF('Input and Summary Results'!$J$4="yes",'Data Transformation'!F264,'Data Transformation'!D264)</f>
        <v>0</v>
      </c>
    </row>
    <row r="265" spans="2:8" x14ac:dyDescent="0.25">
      <c r="B265" t="b">
        <f>IF('Input and Summary Results'!D248="",FALSE,'Input and Summary Results'!$B248)</f>
        <v>0</v>
      </c>
      <c r="C265" t="b">
        <f>IF(OR(B265=0,'Input and Summary Results'!D248=0,'Input and Summary Results'!D248=""),FALSE,'Input and Summary Results'!$D248)</f>
        <v>0</v>
      </c>
      <c r="D265" t="b">
        <f>IF(OR(B265=0,'Input and Summary Results'!E248=0),FALSE,'Input and Summary Results'!$E248)</f>
        <v>0</v>
      </c>
      <c r="E265" t="b">
        <f t="shared" si="13"/>
        <v>0</v>
      </c>
      <c r="F265" s="13" t="b">
        <f t="shared" si="14"/>
        <v>0</v>
      </c>
      <c r="G265" t="b">
        <f>IF('Input and Summary Results'!$J$4="yes",IF(C265=FALSE,FALSE,IF(E265&lt;$R$10,'Data Transformation'!E265,$R$10)),IF(C265=FALSE,FALSE,IF('Data Transformation'!C265&lt;$R$10,C265,$R$10)))</f>
        <v>0</v>
      </c>
      <c r="H265" t="b">
        <f>IF('Input and Summary Results'!$J$4="yes",'Data Transformation'!F265,'Data Transformation'!D265)</f>
        <v>0</v>
      </c>
    </row>
    <row r="266" spans="2:8" x14ac:dyDescent="0.25">
      <c r="B266" t="b">
        <f>IF('Input and Summary Results'!D249="",FALSE,'Input and Summary Results'!$B249)</f>
        <v>0</v>
      </c>
      <c r="C266" t="b">
        <f>IF(OR(B266=0,'Input and Summary Results'!D249=0,'Input and Summary Results'!D249=""),FALSE,'Input and Summary Results'!$D249)</f>
        <v>0</v>
      </c>
      <c r="D266" t="b">
        <f>IF(OR(B266=0,'Input and Summary Results'!E249=0),FALSE,'Input and Summary Results'!$E249)</f>
        <v>0</v>
      </c>
      <c r="E266" t="b">
        <f t="shared" si="13"/>
        <v>0</v>
      </c>
      <c r="F266" s="13" t="b">
        <f t="shared" si="14"/>
        <v>0</v>
      </c>
      <c r="G266" t="b">
        <f>IF('Input and Summary Results'!$J$4="yes",IF(C266=FALSE,FALSE,IF(E266&lt;$R$10,'Data Transformation'!E266,$R$10)),IF(C266=FALSE,FALSE,IF('Data Transformation'!C266&lt;$R$10,C266,$R$10)))</f>
        <v>0</v>
      </c>
      <c r="H266" t="b">
        <f>IF('Input and Summary Results'!$J$4="yes",'Data Transformation'!F266,'Data Transformation'!D266)</f>
        <v>0</v>
      </c>
    </row>
    <row r="267" spans="2:8" x14ac:dyDescent="0.25">
      <c r="B267" t="b">
        <f>IF('Input and Summary Results'!D250="",FALSE,'Input and Summary Results'!$B250)</f>
        <v>0</v>
      </c>
      <c r="C267" t="b">
        <f>IF(OR(B267=0,'Input and Summary Results'!D250=0,'Input and Summary Results'!D250=""),FALSE,'Input and Summary Results'!$D250)</f>
        <v>0</v>
      </c>
      <c r="D267" t="b">
        <f>IF(OR(B267=0,'Input and Summary Results'!E250=0),FALSE,'Input and Summary Results'!$E250)</f>
        <v>0</v>
      </c>
      <c r="E267" t="b">
        <f t="shared" si="13"/>
        <v>0</v>
      </c>
      <c r="F267" s="13" t="b">
        <f t="shared" si="14"/>
        <v>0</v>
      </c>
      <c r="G267" t="b">
        <f>IF('Input and Summary Results'!$J$4="yes",IF(C267=FALSE,FALSE,IF(E267&lt;$R$10,'Data Transformation'!E267,$R$10)),IF(C267=FALSE,FALSE,IF('Data Transformation'!C267&lt;$R$10,C267,$R$10)))</f>
        <v>0</v>
      </c>
      <c r="H267" t="b">
        <f>IF('Input and Summary Results'!$J$4="yes",'Data Transformation'!F267,'Data Transformation'!D267)</f>
        <v>0</v>
      </c>
    </row>
    <row r="268" spans="2:8" x14ac:dyDescent="0.25">
      <c r="B268" t="b">
        <f>IF('Input and Summary Results'!D251="",FALSE,'Input and Summary Results'!$B251)</f>
        <v>0</v>
      </c>
      <c r="C268" t="b">
        <f>IF(OR(B268=0,'Input and Summary Results'!D251=0,'Input and Summary Results'!D251=""),FALSE,'Input and Summary Results'!$D251)</f>
        <v>0</v>
      </c>
      <c r="D268" t="b">
        <f>IF(OR(B268=0,'Input and Summary Results'!E251=0),FALSE,'Input and Summary Results'!$E251)</f>
        <v>0</v>
      </c>
      <c r="E268" t="b">
        <f t="shared" si="13"/>
        <v>0</v>
      </c>
      <c r="F268" s="13" t="b">
        <f t="shared" si="14"/>
        <v>0</v>
      </c>
      <c r="G268" t="b">
        <f>IF('Input and Summary Results'!$J$4="yes",IF(C268=FALSE,FALSE,IF(E268&lt;$R$10,'Data Transformation'!E268,$R$10)),IF(C268=FALSE,FALSE,IF('Data Transformation'!C268&lt;$R$10,C268,$R$10)))</f>
        <v>0</v>
      </c>
      <c r="H268" t="b">
        <f>IF('Input and Summary Results'!$J$4="yes",'Data Transformation'!F268,'Data Transformation'!D268)</f>
        <v>0</v>
      </c>
    </row>
    <row r="269" spans="2:8" x14ac:dyDescent="0.25">
      <c r="B269" t="b">
        <f>IF('Input and Summary Results'!D252="",FALSE,'Input and Summary Results'!$B252)</f>
        <v>0</v>
      </c>
      <c r="C269" t="b">
        <f>IF(OR(B269=0,'Input and Summary Results'!D252=0,'Input and Summary Results'!D252=""),FALSE,'Input and Summary Results'!$D252)</f>
        <v>0</v>
      </c>
      <c r="D269" t="b">
        <f>IF(OR(B269=0,'Input and Summary Results'!E252=0),FALSE,'Input and Summary Results'!$E252)</f>
        <v>0</v>
      </c>
      <c r="E269" t="b">
        <f t="shared" si="13"/>
        <v>0</v>
      </c>
      <c r="F269" s="13" t="b">
        <f t="shared" si="14"/>
        <v>0</v>
      </c>
      <c r="G269" t="b">
        <f>IF('Input and Summary Results'!$J$4="yes",IF(C269=FALSE,FALSE,IF(E269&lt;$R$10,'Data Transformation'!E269,$R$10)),IF(C269=FALSE,FALSE,IF('Data Transformation'!C269&lt;$R$10,C269,$R$10)))</f>
        <v>0</v>
      </c>
      <c r="H269" t="b">
        <f>IF('Input and Summary Results'!$J$4="yes",'Data Transformation'!F269,'Data Transformation'!D269)</f>
        <v>0</v>
      </c>
    </row>
    <row r="270" spans="2:8" x14ac:dyDescent="0.25">
      <c r="B270" t="b">
        <f>IF('Input and Summary Results'!D253="",FALSE,'Input and Summary Results'!$B253)</f>
        <v>0</v>
      </c>
      <c r="C270" t="b">
        <f>IF(OR(B270=0,'Input and Summary Results'!D253=0,'Input and Summary Results'!D253=""),FALSE,'Input and Summary Results'!$D253)</f>
        <v>0</v>
      </c>
      <c r="D270" t="b">
        <f>IF(OR(B270=0,'Input and Summary Results'!E253=0),FALSE,'Input and Summary Results'!$E253)</f>
        <v>0</v>
      </c>
      <c r="E270" t="b">
        <f t="shared" si="13"/>
        <v>0</v>
      </c>
      <c r="F270" s="13" t="b">
        <f t="shared" si="14"/>
        <v>0</v>
      </c>
      <c r="G270" t="b">
        <f>IF('Input and Summary Results'!$J$4="yes",IF(C270=FALSE,FALSE,IF(E270&lt;$R$10,'Data Transformation'!E270,$R$10)),IF(C270=FALSE,FALSE,IF('Data Transformation'!C270&lt;$R$10,C270,$R$10)))</f>
        <v>0</v>
      </c>
      <c r="H270" t="b">
        <f>IF('Input and Summary Results'!$J$4="yes",'Data Transformation'!F270,'Data Transformation'!D270)</f>
        <v>0</v>
      </c>
    </row>
    <row r="271" spans="2:8" x14ac:dyDescent="0.25">
      <c r="B271" t="b">
        <f>IF('Input and Summary Results'!D254="",FALSE,'Input and Summary Results'!$B254)</f>
        <v>0</v>
      </c>
      <c r="C271" t="b">
        <f>IF(OR(B271=0,'Input and Summary Results'!D254=0,'Input and Summary Results'!D254=""),FALSE,'Input and Summary Results'!$D254)</f>
        <v>0</v>
      </c>
      <c r="D271" t="b">
        <f>IF(OR(B271=0,'Input and Summary Results'!E254=0),FALSE,'Input and Summary Results'!$E254)</f>
        <v>0</v>
      </c>
      <c r="E271" t="b">
        <f t="shared" si="13"/>
        <v>0</v>
      </c>
      <c r="F271" s="13" t="b">
        <f t="shared" si="14"/>
        <v>0</v>
      </c>
      <c r="G271" t="b">
        <f>IF('Input and Summary Results'!$J$4="yes",IF(C271=FALSE,FALSE,IF(E271&lt;$R$10,'Data Transformation'!E271,$R$10)),IF(C271=FALSE,FALSE,IF('Data Transformation'!C271&lt;$R$10,C271,$R$10)))</f>
        <v>0</v>
      </c>
      <c r="H271" t="b">
        <f>IF('Input and Summary Results'!$J$4="yes",'Data Transformation'!F271,'Data Transformation'!D271)</f>
        <v>0</v>
      </c>
    </row>
    <row r="272" spans="2:8" x14ac:dyDescent="0.25">
      <c r="B272" t="b">
        <f>IF('Input and Summary Results'!D255="",FALSE,'Input and Summary Results'!$B255)</f>
        <v>0</v>
      </c>
      <c r="C272" t="b">
        <f>IF(OR(B272=0,'Input and Summary Results'!D255=0,'Input and Summary Results'!D255=""),FALSE,'Input and Summary Results'!$D255)</f>
        <v>0</v>
      </c>
      <c r="D272" t="b">
        <f>IF(OR(B272=0,'Input and Summary Results'!E255=0),FALSE,'Input and Summary Results'!$E255)</f>
        <v>0</v>
      </c>
      <c r="E272" t="b">
        <f t="shared" si="13"/>
        <v>0</v>
      </c>
      <c r="F272" s="13" t="b">
        <f t="shared" si="14"/>
        <v>0</v>
      </c>
      <c r="G272" t="b">
        <f>IF('Input and Summary Results'!$J$4="yes",IF(C272=FALSE,FALSE,IF(E272&lt;$R$10,'Data Transformation'!E272,$R$10)),IF(C272=FALSE,FALSE,IF('Data Transformation'!C272&lt;$R$10,C272,$R$10)))</f>
        <v>0</v>
      </c>
      <c r="H272" t="b">
        <f>IF('Input and Summary Results'!$J$4="yes",'Data Transformation'!F272,'Data Transformation'!D272)</f>
        <v>0</v>
      </c>
    </row>
    <row r="273" spans="2:8" x14ac:dyDescent="0.25">
      <c r="B273" t="b">
        <f>IF('Input and Summary Results'!D256="",FALSE,'Input and Summary Results'!$B256)</f>
        <v>0</v>
      </c>
      <c r="C273" t="b">
        <f>IF(OR(B273=0,'Input and Summary Results'!D256=0,'Input and Summary Results'!D256=""),FALSE,'Input and Summary Results'!$D256)</f>
        <v>0</v>
      </c>
      <c r="D273" t="b">
        <f>IF(OR(B273=0,'Input and Summary Results'!E256=0),FALSE,'Input and Summary Results'!$E256)</f>
        <v>0</v>
      </c>
      <c r="E273" t="b">
        <f t="shared" si="13"/>
        <v>0</v>
      </c>
      <c r="F273" s="13" t="b">
        <f t="shared" si="14"/>
        <v>0</v>
      </c>
      <c r="G273" t="b">
        <f>IF('Input and Summary Results'!$J$4="yes",IF(C273=FALSE,FALSE,IF(E273&lt;$R$10,'Data Transformation'!E273,$R$10)),IF(C273=FALSE,FALSE,IF('Data Transformation'!C273&lt;$R$10,C273,$R$10)))</f>
        <v>0</v>
      </c>
      <c r="H273" t="b">
        <f>IF('Input and Summary Results'!$J$4="yes",'Data Transformation'!F273,'Data Transformation'!D273)</f>
        <v>0</v>
      </c>
    </row>
    <row r="274" spans="2:8" x14ac:dyDescent="0.25">
      <c r="B274" t="b">
        <f>IF('Input and Summary Results'!D257="",FALSE,'Input and Summary Results'!$B257)</f>
        <v>0</v>
      </c>
      <c r="C274" t="b">
        <f>IF(OR(B274=0,'Input and Summary Results'!D257=0,'Input and Summary Results'!D257=""),FALSE,'Input and Summary Results'!$D257)</f>
        <v>0</v>
      </c>
      <c r="D274" t="b">
        <f>IF(OR(B274=0,'Input and Summary Results'!E257=0),FALSE,'Input and Summary Results'!$E257)</f>
        <v>0</v>
      </c>
      <c r="E274" t="b">
        <f t="shared" si="13"/>
        <v>0</v>
      </c>
      <c r="F274" s="13" t="b">
        <f t="shared" si="14"/>
        <v>0</v>
      </c>
      <c r="G274" t="b">
        <f>IF('Input and Summary Results'!$J$4="yes",IF(C274=FALSE,FALSE,IF(E274&lt;$R$10,'Data Transformation'!E274,$R$10)),IF(C274=FALSE,FALSE,IF('Data Transformation'!C274&lt;$R$10,C274,$R$10)))</f>
        <v>0</v>
      </c>
      <c r="H274" t="b">
        <f>IF('Input and Summary Results'!$J$4="yes",'Data Transformation'!F274,'Data Transformation'!D274)</f>
        <v>0</v>
      </c>
    </row>
    <row r="275" spans="2:8" x14ac:dyDescent="0.25">
      <c r="B275" t="b">
        <f>IF('Input and Summary Results'!D258="",FALSE,'Input and Summary Results'!$B258)</f>
        <v>0</v>
      </c>
      <c r="C275" t="b">
        <f>IF(OR(B275=0,'Input and Summary Results'!D258=0,'Input and Summary Results'!D258=""),FALSE,'Input and Summary Results'!$D258)</f>
        <v>0</v>
      </c>
      <c r="D275" t="b">
        <f>IF(OR(B275=0,'Input and Summary Results'!E258=0),FALSE,'Input and Summary Results'!$E258)</f>
        <v>0</v>
      </c>
      <c r="E275" t="b">
        <f t="shared" si="13"/>
        <v>0</v>
      </c>
      <c r="F275" s="13" t="b">
        <f t="shared" si="14"/>
        <v>0</v>
      </c>
      <c r="G275" t="b">
        <f>IF('Input and Summary Results'!$J$4="yes",IF(C275=FALSE,FALSE,IF(E275&lt;$R$10,'Data Transformation'!E275,$R$10)),IF(C275=FALSE,FALSE,IF('Data Transformation'!C275&lt;$R$10,C275,$R$10)))</f>
        <v>0</v>
      </c>
      <c r="H275" t="b">
        <f>IF('Input and Summary Results'!$J$4="yes",'Data Transformation'!F275,'Data Transformation'!D275)</f>
        <v>0</v>
      </c>
    </row>
    <row r="276" spans="2:8" x14ac:dyDescent="0.25">
      <c r="B276" t="b">
        <f>IF('Input and Summary Results'!D259="",FALSE,'Input and Summary Results'!$B259)</f>
        <v>0</v>
      </c>
      <c r="C276" t="b">
        <f>IF(OR(B276=0,'Input and Summary Results'!D259=0,'Input and Summary Results'!D259=""),FALSE,'Input and Summary Results'!$D259)</f>
        <v>0</v>
      </c>
      <c r="D276" t="b">
        <f>IF(OR(B276=0,'Input and Summary Results'!E259=0),FALSE,'Input and Summary Results'!$E259)</f>
        <v>0</v>
      </c>
      <c r="E276" t="b">
        <f t="shared" si="13"/>
        <v>0</v>
      </c>
      <c r="F276" s="13" t="b">
        <f t="shared" si="14"/>
        <v>0</v>
      </c>
      <c r="G276" t="b">
        <f>IF('Input and Summary Results'!$J$4="yes",IF(C276=FALSE,FALSE,IF(E276&lt;$R$10,'Data Transformation'!E276,$R$10)),IF(C276=FALSE,FALSE,IF('Data Transformation'!C276&lt;$R$10,C276,$R$10)))</f>
        <v>0</v>
      </c>
      <c r="H276" t="b">
        <f>IF('Input and Summary Results'!$J$4="yes",'Data Transformation'!F276,'Data Transformation'!D276)</f>
        <v>0</v>
      </c>
    </row>
    <row r="277" spans="2:8" x14ac:dyDescent="0.25">
      <c r="B277" t="b">
        <f>IF('Input and Summary Results'!D260="",FALSE,'Input and Summary Results'!$B260)</f>
        <v>0</v>
      </c>
      <c r="C277" t="b">
        <f>IF(OR(B277=0,'Input and Summary Results'!D260=0,'Input and Summary Results'!D260=""),FALSE,'Input and Summary Results'!$D260)</f>
        <v>0</v>
      </c>
      <c r="D277" t="b">
        <f>IF(OR(B277=0,'Input and Summary Results'!E260=0),FALSE,'Input and Summary Results'!$E260)</f>
        <v>0</v>
      </c>
      <c r="E277" t="b">
        <f t="shared" si="13"/>
        <v>0</v>
      </c>
      <c r="F277" s="13" t="b">
        <f t="shared" si="14"/>
        <v>0</v>
      </c>
      <c r="G277" t="b">
        <f>IF('Input and Summary Results'!$J$4="yes",IF(C277=FALSE,FALSE,IF(E277&lt;$R$10,'Data Transformation'!E277,$R$10)),IF(C277=FALSE,FALSE,IF('Data Transformation'!C277&lt;$R$10,C277,$R$10)))</f>
        <v>0</v>
      </c>
      <c r="H277" t="b">
        <f>IF('Input and Summary Results'!$J$4="yes",'Data Transformation'!F277,'Data Transformation'!D277)</f>
        <v>0</v>
      </c>
    </row>
    <row r="278" spans="2:8" x14ac:dyDescent="0.25">
      <c r="B278" t="b">
        <f>IF('Input and Summary Results'!D261="",FALSE,'Input and Summary Results'!$B261)</f>
        <v>0</v>
      </c>
      <c r="C278" t="b">
        <f>IF(OR(B278=0,'Input and Summary Results'!D261=0,'Input and Summary Results'!D261=""),FALSE,'Input and Summary Results'!$D261)</f>
        <v>0</v>
      </c>
      <c r="D278" t="b">
        <f>IF(OR(B278=0,'Input and Summary Results'!E261=0),FALSE,'Input and Summary Results'!$E261)</f>
        <v>0</v>
      </c>
      <c r="E278" t="b">
        <f t="shared" si="13"/>
        <v>0</v>
      </c>
      <c r="F278" s="13" t="b">
        <f t="shared" si="14"/>
        <v>0</v>
      </c>
      <c r="G278" t="b">
        <f>IF('Input and Summary Results'!$J$4="yes",IF(C278=FALSE,FALSE,IF(E278&lt;$R$10,'Data Transformation'!E278,$R$10)),IF(C278=FALSE,FALSE,IF('Data Transformation'!C278&lt;$R$10,C278,$R$10)))</f>
        <v>0</v>
      </c>
      <c r="H278" t="b">
        <f>IF('Input and Summary Results'!$J$4="yes",'Data Transformation'!F278,'Data Transformation'!D278)</f>
        <v>0</v>
      </c>
    </row>
    <row r="279" spans="2:8" x14ac:dyDescent="0.25">
      <c r="B279" t="b">
        <f>IF('Input and Summary Results'!D262="",FALSE,'Input and Summary Results'!$B262)</f>
        <v>0</v>
      </c>
      <c r="C279" t="b">
        <f>IF(OR(B279=0,'Input and Summary Results'!D262=0,'Input and Summary Results'!D262=""),FALSE,'Input and Summary Results'!$D262)</f>
        <v>0</v>
      </c>
      <c r="D279" t="b">
        <f>IF(OR(B279=0,'Input and Summary Results'!E262=0),FALSE,'Input and Summary Results'!$E262)</f>
        <v>0</v>
      </c>
      <c r="E279" t="b">
        <f t="shared" si="13"/>
        <v>0</v>
      </c>
      <c r="F279" s="13" t="b">
        <f t="shared" si="14"/>
        <v>0</v>
      </c>
      <c r="G279" t="b">
        <f>IF('Input and Summary Results'!$J$4="yes",IF(C279=FALSE,FALSE,IF(E279&lt;$R$10,'Data Transformation'!E279,$R$10)),IF(C279=FALSE,FALSE,IF('Data Transformation'!C279&lt;$R$10,C279,$R$10)))</f>
        <v>0</v>
      </c>
      <c r="H279" t="b">
        <f>IF('Input and Summary Results'!$J$4="yes",'Data Transformation'!F279,'Data Transformation'!D279)</f>
        <v>0</v>
      </c>
    </row>
    <row r="280" spans="2:8" x14ac:dyDescent="0.25">
      <c r="B280" t="b">
        <f>IF('Input and Summary Results'!D263="",FALSE,'Input and Summary Results'!$B263)</f>
        <v>0</v>
      </c>
      <c r="C280" t="b">
        <f>IF(OR(B280=0,'Input and Summary Results'!D263=0,'Input and Summary Results'!D263=""),FALSE,'Input and Summary Results'!$D263)</f>
        <v>0</v>
      </c>
      <c r="D280" t="b">
        <f>IF(OR(B280=0,'Input and Summary Results'!E263=0),FALSE,'Input and Summary Results'!$E263)</f>
        <v>0</v>
      </c>
      <c r="E280" t="b">
        <f t="shared" si="13"/>
        <v>0</v>
      </c>
      <c r="F280" s="13" t="b">
        <f t="shared" si="14"/>
        <v>0</v>
      </c>
      <c r="G280" t="b">
        <f>IF('Input and Summary Results'!$J$4="yes",IF(C280=FALSE,FALSE,IF(E280&lt;$R$10,'Data Transformation'!E280,$R$10)),IF(C280=FALSE,FALSE,IF('Data Transformation'!C280&lt;$R$10,C280,$R$10)))</f>
        <v>0</v>
      </c>
      <c r="H280" t="b">
        <f>IF('Input and Summary Results'!$J$4="yes",'Data Transformation'!F280,'Data Transformation'!D280)</f>
        <v>0</v>
      </c>
    </row>
    <row r="281" spans="2:8" x14ac:dyDescent="0.25">
      <c r="B281" t="b">
        <f>IF('Input and Summary Results'!D264="",FALSE,'Input and Summary Results'!$B264)</f>
        <v>0</v>
      </c>
      <c r="C281" t="b">
        <f>IF(OR(B281=0,'Input and Summary Results'!D264=0,'Input and Summary Results'!D264=""),FALSE,'Input and Summary Results'!$D264)</f>
        <v>0</v>
      </c>
      <c r="D281" t="b">
        <f>IF(OR(B281=0,'Input and Summary Results'!E264=0),FALSE,'Input and Summary Results'!$E264)</f>
        <v>0</v>
      </c>
      <c r="E281" t="b">
        <f t="shared" si="13"/>
        <v>0</v>
      </c>
      <c r="F281" s="13" t="b">
        <f t="shared" si="14"/>
        <v>0</v>
      </c>
      <c r="G281" t="b">
        <f>IF('Input and Summary Results'!$J$4="yes",IF(C281=FALSE,FALSE,IF(E281&lt;$R$10,'Data Transformation'!E281,$R$10)),IF(C281=FALSE,FALSE,IF('Data Transformation'!C281&lt;$R$10,C281,$R$10)))</f>
        <v>0</v>
      </c>
      <c r="H281" t="b">
        <f>IF('Input and Summary Results'!$J$4="yes",'Data Transformation'!F281,'Data Transformation'!D281)</f>
        <v>0</v>
      </c>
    </row>
    <row r="282" spans="2:8" x14ac:dyDescent="0.25">
      <c r="B282" t="b">
        <f>IF('Input and Summary Results'!D265="",FALSE,'Input and Summary Results'!$B265)</f>
        <v>0</v>
      </c>
      <c r="C282" t="b">
        <f>IF(OR(B282=0,'Input and Summary Results'!D265=0,'Input and Summary Results'!D265=""),FALSE,'Input and Summary Results'!$D265)</f>
        <v>0</v>
      </c>
      <c r="D282" t="b">
        <f>IF(OR(B282=0,'Input and Summary Results'!E265=0),FALSE,'Input and Summary Results'!$E265)</f>
        <v>0</v>
      </c>
      <c r="E282" t="b">
        <f t="shared" si="13"/>
        <v>0</v>
      </c>
      <c r="F282" s="13" t="b">
        <f t="shared" si="14"/>
        <v>0</v>
      </c>
      <c r="G282" t="b">
        <f>IF('Input and Summary Results'!$J$4="yes",IF(C282=FALSE,FALSE,IF(E282&lt;$R$10,'Data Transformation'!E282,$R$10)),IF(C282=FALSE,FALSE,IF('Data Transformation'!C282&lt;$R$10,C282,$R$10)))</f>
        <v>0</v>
      </c>
      <c r="H282" t="b">
        <f>IF('Input and Summary Results'!$J$4="yes",'Data Transformation'!F282,'Data Transformation'!D282)</f>
        <v>0</v>
      </c>
    </row>
    <row r="283" spans="2:8" x14ac:dyDescent="0.25">
      <c r="B283" t="b">
        <f>IF('Input and Summary Results'!D266="",FALSE,'Input and Summary Results'!$B266)</f>
        <v>0</v>
      </c>
      <c r="C283" t="b">
        <f>IF(OR(B283=0,'Input and Summary Results'!D266=0,'Input and Summary Results'!D266=""),FALSE,'Input and Summary Results'!$D266)</f>
        <v>0</v>
      </c>
      <c r="D283" t="b">
        <f>IF(OR(B283=0,'Input and Summary Results'!E266=0),FALSE,'Input and Summary Results'!$E266)</f>
        <v>0</v>
      </c>
      <c r="E283" t="b">
        <f t="shared" si="13"/>
        <v>0</v>
      </c>
      <c r="F283" s="13" t="b">
        <f t="shared" si="14"/>
        <v>0</v>
      </c>
      <c r="G283" t="b">
        <f>IF('Input and Summary Results'!$J$4="yes",IF(C283=FALSE,FALSE,IF(E283&lt;$R$10,'Data Transformation'!E283,$R$10)),IF(C283=FALSE,FALSE,IF('Data Transformation'!C283&lt;$R$10,C283,$R$10)))</f>
        <v>0</v>
      </c>
      <c r="H283" t="b">
        <f>IF('Input and Summary Results'!$J$4="yes",'Data Transformation'!F283,'Data Transformation'!D283)</f>
        <v>0</v>
      </c>
    </row>
    <row r="284" spans="2:8" x14ac:dyDescent="0.25">
      <c r="B284" t="b">
        <f>IF('Input and Summary Results'!D267="",FALSE,'Input and Summary Results'!$B267)</f>
        <v>0</v>
      </c>
      <c r="C284" t="b">
        <f>IF(OR(B284=0,'Input and Summary Results'!D267=0,'Input and Summary Results'!D267=""),FALSE,'Input and Summary Results'!$D267)</f>
        <v>0</v>
      </c>
      <c r="D284" t="b">
        <f>IF(OR(B284=0,'Input and Summary Results'!E267=0),FALSE,'Input and Summary Results'!$E267)</f>
        <v>0</v>
      </c>
      <c r="E284" t="b">
        <f t="shared" si="13"/>
        <v>0</v>
      </c>
      <c r="F284" s="13" t="b">
        <f t="shared" si="14"/>
        <v>0</v>
      </c>
      <c r="G284" t="b">
        <f>IF('Input and Summary Results'!$J$4="yes",IF(C284=FALSE,FALSE,IF(E284&lt;$R$10,'Data Transformation'!E284,$R$10)),IF(C284=FALSE,FALSE,IF('Data Transformation'!C284&lt;$R$10,C284,$R$10)))</f>
        <v>0</v>
      </c>
      <c r="H284" t="b">
        <f>IF('Input and Summary Results'!$J$4="yes",'Data Transformation'!F284,'Data Transformation'!D284)</f>
        <v>0</v>
      </c>
    </row>
    <row r="285" spans="2:8" x14ac:dyDescent="0.25">
      <c r="B285" t="b">
        <f>IF('Input and Summary Results'!D268="",FALSE,'Input and Summary Results'!$B268)</f>
        <v>0</v>
      </c>
      <c r="C285" t="b">
        <f>IF(OR(B285=0,'Input and Summary Results'!D268=0,'Input and Summary Results'!D268=""),FALSE,'Input and Summary Results'!$D268)</f>
        <v>0</v>
      </c>
      <c r="D285" t="b">
        <f>IF(OR(B285=0,'Input and Summary Results'!E268=0),FALSE,'Input and Summary Results'!$E268)</f>
        <v>0</v>
      </c>
      <c r="E285" t="b">
        <f t="shared" si="13"/>
        <v>0</v>
      </c>
      <c r="F285" s="13" t="b">
        <f t="shared" si="14"/>
        <v>0</v>
      </c>
      <c r="G285" t="b">
        <f>IF('Input and Summary Results'!$J$4="yes",IF(C285=FALSE,FALSE,IF(E285&lt;$R$10,'Data Transformation'!E285,$R$10)),IF(C285=FALSE,FALSE,IF('Data Transformation'!C285&lt;$R$10,C285,$R$10)))</f>
        <v>0</v>
      </c>
      <c r="H285" t="b">
        <f>IF('Input and Summary Results'!$J$4="yes",'Data Transformation'!F285,'Data Transformation'!D285)</f>
        <v>0</v>
      </c>
    </row>
    <row r="286" spans="2:8" x14ac:dyDescent="0.25">
      <c r="B286" t="b">
        <f>IF('Input and Summary Results'!D269="",FALSE,'Input and Summary Results'!$B269)</f>
        <v>0</v>
      </c>
      <c r="C286" t="b">
        <f>IF(OR(B286=0,'Input and Summary Results'!D269=0,'Input and Summary Results'!D269=""),FALSE,'Input and Summary Results'!$D269)</f>
        <v>0</v>
      </c>
      <c r="D286" t="b">
        <f>IF(OR(B286=0,'Input and Summary Results'!E269=0),FALSE,'Input and Summary Results'!$E269)</f>
        <v>0</v>
      </c>
      <c r="E286" t="b">
        <f t="shared" si="13"/>
        <v>0</v>
      </c>
      <c r="F286" s="13" t="b">
        <f t="shared" si="14"/>
        <v>0</v>
      </c>
      <c r="G286" t="b">
        <f>IF('Input and Summary Results'!$J$4="yes",IF(C286=FALSE,FALSE,IF(E286&lt;$R$10,'Data Transformation'!E286,$R$10)),IF(C286=FALSE,FALSE,IF('Data Transformation'!C286&lt;$R$10,C286,$R$10)))</f>
        <v>0</v>
      </c>
      <c r="H286" t="b">
        <f>IF('Input and Summary Results'!$J$4="yes",'Data Transformation'!F286,'Data Transformation'!D286)</f>
        <v>0</v>
      </c>
    </row>
    <row r="287" spans="2:8" x14ac:dyDescent="0.25">
      <c r="B287" t="b">
        <f>IF('Input and Summary Results'!D270="",FALSE,'Input and Summary Results'!$B270)</f>
        <v>0</v>
      </c>
      <c r="C287" t="b">
        <f>IF(OR(B287=0,'Input and Summary Results'!D270=0,'Input and Summary Results'!D270=""),FALSE,'Input and Summary Results'!$D270)</f>
        <v>0</v>
      </c>
      <c r="D287" t="b">
        <f>IF(OR(B287=0,'Input and Summary Results'!E270=0),FALSE,'Input and Summary Results'!$E270)</f>
        <v>0</v>
      </c>
      <c r="E287" t="b">
        <f t="shared" si="13"/>
        <v>0</v>
      </c>
      <c r="F287" s="13" t="b">
        <f t="shared" si="14"/>
        <v>0</v>
      </c>
      <c r="G287" t="b">
        <f>IF('Input and Summary Results'!$J$4="yes",IF(C287=FALSE,FALSE,IF(E287&lt;$R$10,'Data Transformation'!E287,$R$10)),IF(C287=FALSE,FALSE,IF('Data Transformation'!C287&lt;$R$10,C287,$R$10)))</f>
        <v>0</v>
      </c>
      <c r="H287" t="b">
        <f>IF('Input and Summary Results'!$J$4="yes",'Data Transformation'!F287,'Data Transformation'!D287)</f>
        <v>0</v>
      </c>
    </row>
    <row r="288" spans="2:8" x14ac:dyDescent="0.25">
      <c r="B288" t="b">
        <f>IF('Input and Summary Results'!D271="",FALSE,'Input and Summary Results'!$B271)</f>
        <v>0</v>
      </c>
      <c r="C288" t="b">
        <f>IF(OR(B288=0,'Input and Summary Results'!D271=0,'Input and Summary Results'!D271=""),FALSE,'Input and Summary Results'!$D271)</f>
        <v>0</v>
      </c>
      <c r="D288" t="b">
        <f>IF(OR(B288=0,'Input and Summary Results'!E271=0),FALSE,'Input and Summary Results'!$E271)</f>
        <v>0</v>
      </c>
      <c r="E288" t="b">
        <f t="shared" si="13"/>
        <v>0</v>
      </c>
      <c r="F288" s="13" t="b">
        <f t="shared" si="14"/>
        <v>0</v>
      </c>
      <c r="G288" t="b">
        <f>IF('Input and Summary Results'!$J$4="yes",IF(C288=FALSE,FALSE,IF(E288&lt;$R$10,'Data Transformation'!E288,$R$10)),IF(C288=FALSE,FALSE,IF('Data Transformation'!C288&lt;$R$10,C288,$R$10)))</f>
        <v>0</v>
      </c>
      <c r="H288" t="b">
        <f>IF('Input and Summary Results'!$J$4="yes",'Data Transformation'!F288,'Data Transformation'!D288)</f>
        <v>0</v>
      </c>
    </row>
    <row r="289" spans="2:8" x14ac:dyDescent="0.25">
      <c r="B289" t="b">
        <f>IF('Input and Summary Results'!D272="",FALSE,'Input and Summary Results'!$B272)</f>
        <v>0</v>
      </c>
      <c r="C289" t="b">
        <f>IF(OR(B289=0,'Input and Summary Results'!D272=0,'Input and Summary Results'!D272=""),FALSE,'Input and Summary Results'!$D272)</f>
        <v>0</v>
      </c>
      <c r="D289" t="b">
        <f>IF(OR(B289=0,'Input and Summary Results'!E272=0),FALSE,'Input and Summary Results'!$E272)</f>
        <v>0</v>
      </c>
      <c r="E289" t="b">
        <f t="shared" si="13"/>
        <v>0</v>
      </c>
      <c r="F289" s="13" t="b">
        <f t="shared" si="14"/>
        <v>0</v>
      </c>
      <c r="G289" t="b">
        <f>IF('Input and Summary Results'!$J$4="yes",IF(C289=FALSE,FALSE,IF(E289&lt;$R$10,'Data Transformation'!E289,$R$10)),IF(C289=FALSE,FALSE,IF('Data Transformation'!C289&lt;$R$10,C289,$R$10)))</f>
        <v>0</v>
      </c>
      <c r="H289" t="b">
        <f>IF('Input and Summary Results'!$J$4="yes",'Data Transformation'!F289,'Data Transformation'!D289)</f>
        <v>0</v>
      </c>
    </row>
    <row r="290" spans="2:8" x14ac:dyDescent="0.25">
      <c r="B290" t="b">
        <f>IF('Input and Summary Results'!D273="",FALSE,'Input and Summary Results'!$B273)</f>
        <v>0</v>
      </c>
      <c r="C290" t="b">
        <f>IF(OR(B290=0,'Input and Summary Results'!D273=0,'Input and Summary Results'!D273=""),FALSE,'Input and Summary Results'!$D273)</f>
        <v>0</v>
      </c>
      <c r="D290" t="b">
        <f>IF(OR(B290=0,'Input and Summary Results'!E273=0),FALSE,'Input and Summary Results'!$E273)</f>
        <v>0</v>
      </c>
      <c r="E290" t="b">
        <f t="shared" si="13"/>
        <v>0</v>
      </c>
      <c r="F290" s="13" t="b">
        <f t="shared" si="14"/>
        <v>0</v>
      </c>
      <c r="G290" t="b">
        <f>IF('Input and Summary Results'!$J$4="yes",IF(C290=FALSE,FALSE,IF(E290&lt;$R$10,'Data Transformation'!E290,$R$10)),IF(C290=FALSE,FALSE,IF('Data Transformation'!C290&lt;$R$10,C290,$R$10)))</f>
        <v>0</v>
      </c>
      <c r="H290" t="b">
        <f>IF('Input and Summary Results'!$J$4="yes",'Data Transformation'!F290,'Data Transformation'!D290)</f>
        <v>0</v>
      </c>
    </row>
    <row r="291" spans="2:8" x14ac:dyDescent="0.25">
      <c r="B291" t="b">
        <f>IF('Input and Summary Results'!D274="",FALSE,'Input and Summary Results'!$B274)</f>
        <v>0</v>
      </c>
      <c r="C291" t="b">
        <f>IF(OR(B291=0,'Input and Summary Results'!D274=0,'Input and Summary Results'!D274=""),FALSE,'Input and Summary Results'!$D274)</f>
        <v>0</v>
      </c>
      <c r="D291" t="b">
        <f>IF(OR(B291=0,'Input and Summary Results'!E274=0),FALSE,'Input and Summary Results'!$E274)</f>
        <v>0</v>
      </c>
      <c r="E291" t="b">
        <f t="shared" si="13"/>
        <v>0</v>
      </c>
      <c r="F291" s="13" t="b">
        <f t="shared" si="14"/>
        <v>0</v>
      </c>
      <c r="G291" t="b">
        <f>IF('Input and Summary Results'!$J$4="yes",IF(C291=FALSE,FALSE,IF(E291&lt;$R$10,'Data Transformation'!E291,$R$10)),IF(C291=FALSE,FALSE,IF('Data Transformation'!C291&lt;$R$10,C291,$R$10)))</f>
        <v>0</v>
      </c>
      <c r="H291" t="b">
        <f>IF('Input and Summary Results'!$J$4="yes",'Data Transformation'!F291,'Data Transformation'!D291)</f>
        <v>0</v>
      </c>
    </row>
    <row r="292" spans="2:8" x14ac:dyDescent="0.25">
      <c r="B292" t="b">
        <f>IF('Input and Summary Results'!D275="",FALSE,'Input and Summary Results'!$B275)</f>
        <v>0</v>
      </c>
      <c r="C292" t="b">
        <f>IF(OR(B292=0,'Input and Summary Results'!D275=0,'Input and Summary Results'!D275=""),FALSE,'Input and Summary Results'!$D275)</f>
        <v>0</v>
      </c>
      <c r="D292" t="b">
        <f>IF(OR(B292=0,'Input and Summary Results'!E275=0),FALSE,'Input and Summary Results'!$E275)</f>
        <v>0</v>
      </c>
      <c r="E292" t="b">
        <f t="shared" si="13"/>
        <v>0</v>
      </c>
      <c r="F292" s="13" t="b">
        <f t="shared" si="14"/>
        <v>0</v>
      </c>
      <c r="G292" t="b">
        <f>IF('Input and Summary Results'!$J$4="yes",IF(C292=FALSE,FALSE,IF(E292&lt;$R$10,'Data Transformation'!E292,$R$10)),IF(C292=FALSE,FALSE,IF('Data Transformation'!C292&lt;$R$10,C292,$R$10)))</f>
        <v>0</v>
      </c>
      <c r="H292" t="b">
        <f>IF('Input and Summary Results'!$J$4="yes",'Data Transformation'!F292,'Data Transformation'!D292)</f>
        <v>0</v>
      </c>
    </row>
    <row r="293" spans="2:8" x14ac:dyDescent="0.25">
      <c r="B293" t="b">
        <f>IF('Input and Summary Results'!D276="",FALSE,'Input and Summary Results'!$B276)</f>
        <v>0</v>
      </c>
      <c r="C293" t="b">
        <f>IF(OR(B293=0,'Input and Summary Results'!D276=0,'Input and Summary Results'!D276=""),FALSE,'Input and Summary Results'!$D276)</f>
        <v>0</v>
      </c>
      <c r="D293" t="b">
        <f>IF(OR(B293=0,'Input and Summary Results'!E276=0),FALSE,'Input and Summary Results'!$E276)</f>
        <v>0</v>
      </c>
      <c r="E293" t="b">
        <f t="shared" si="13"/>
        <v>0</v>
      </c>
      <c r="F293" s="13" t="b">
        <f t="shared" si="14"/>
        <v>0</v>
      </c>
      <c r="G293" t="b">
        <f>IF('Input and Summary Results'!$J$4="yes",IF(C293=FALSE,FALSE,IF(E293&lt;$R$10,'Data Transformation'!E293,$R$10)),IF(C293=FALSE,FALSE,IF('Data Transformation'!C293&lt;$R$10,C293,$R$10)))</f>
        <v>0</v>
      </c>
      <c r="H293" t="b">
        <f>IF('Input and Summary Results'!$J$4="yes",'Data Transformation'!F293,'Data Transformation'!D293)</f>
        <v>0</v>
      </c>
    </row>
    <row r="294" spans="2:8" x14ac:dyDescent="0.25">
      <c r="B294" t="b">
        <f>IF('Input and Summary Results'!D277="",FALSE,'Input and Summary Results'!$B277)</f>
        <v>0</v>
      </c>
      <c r="C294" t="b">
        <f>IF(OR(B294=0,'Input and Summary Results'!D277=0,'Input and Summary Results'!D277=""),FALSE,'Input and Summary Results'!$D277)</f>
        <v>0</v>
      </c>
      <c r="D294" t="b">
        <f>IF(OR(B294=0,'Input and Summary Results'!E277=0),FALSE,'Input and Summary Results'!$E277)</f>
        <v>0</v>
      </c>
      <c r="E294" t="b">
        <f t="shared" si="13"/>
        <v>0</v>
      </c>
      <c r="F294" s="13" t="b">
        <f t="shared" si="14"/>
        <v>0</v>
      </c>
      <c r="G294" t="b">
        <f>IF('Input and Summary Results'!$J$4="yes",IF(C294=FALSE,FALSE,IF(E294&lt;$R$10,'Data Transformation'!E294,$R$10)),IF(C294=FALSE,FALSE,IF('Data Transformation'!C294&lt;$R$10,C294,$R$10)))</f>
        <v>0</v>
      </c>
      <c r="H294" t="b">
        <f>IF('Input and Summary Results'!$J$4="yes",'Data Transformation'!F294,'Data Transformation'!D294)</f>
        <v>0</v>
      </c>
    </row>
    <row r="295" spans="2:8" x14ac:dyDescent="0.25">
      <c r="B295" t="b">
        <f>IF('Input and Summary Results'!D278="",FALSE,'Input and Summary Results'!$B278)</f>
        <v>0</v>
      </c>
      <c r="C295" t="b">
        <f>IF(OR(B295=0,'Input and Summary Results'!D278=0,'Input and Summary Results'!D278=""),FALSE,'Input and Summary Results'!$D278)</f>
        <v>0</v>
      </c>
      <c r="D295" t="b">
        <f>IF(OR(B295=0,'Input and Summary Results'!E278=0),FALSE,'Input and Summary Results'!$E278)</f>
        <v>0</v>
      </c>
      <c r="E295" t="b">
        <f t="shared" si="13"/>
        <v>0</v>
      </c>
      <c r="F295" s="13" t="b">
        <f t="shared" si="14"/>
        <v>0</v>
      </c>
      <c r="G295" t="b">
        <f>IF('Input and Summary Results'!$J$4="yes",IF(C295=FALSE,FALSE,IF(E295&lt;$R$10,'Data Transformation'!E295,$R$10)),IF(C295=FALSE,FALSE,IF('Data Transformation'!C295&lt;$R$10,C295,$R$10)))</f>
        <v>0</v>
      </c>
      <c r="H295" t="b">
        <f>IF('Input and Summary Results'!$J$4="yes",'Data Transformation'!F295,'Data Transformation'!D295)</f>
        <v>0</v>
      </c>
    </row>
    <row r="296" spans="2:8" x14ac:dyDescent="0.25">
      <c r="B296" t="b">
        <f>IF('Input and Summary Results'!D279="",FALSE,'Input and Summary Results'!$B279)</f>
        <v>0</v>
      </c>
      <c r="C296" t="b">
        <f>IF(OR(B296=0,'Input and Summary Results'!D279=0,'Input and Summary Results'!D279=""),FALSE,'Input and Summary Results'!$D279)</f>
        <v>0</v>
      </c>
      <c r="D296" t="b">
        <f>IF(OR(B296=0,'Input and Summary Results'!E279=0),FALSE,'Input and Summary Results'!$E279)</f>
        <v>0</v>
      </c>
      <c r="E296" t="b">
        <f t="shared" si="13"/>
        <v>0</v>
      </c>
      <c r="F296" s="13" t="b">
        <f t="shared" si="14"/>
        <v>0</v>
      </c>
      <c r="G296" t="b">
        <f>IF('Input and Summary Results'!$J$4="yes",IF(C296=FALSE,FALSE,IF(E296&lt;$R$10,'Data Transformation'!E296,$R$10)),IF(C296=FALSE,FALSE,IF('Data Transformation'!C296&lt;$R$10,C296,$R$10)))</f>
        <v>0</v>
      </c>
      <c r="H296" t="b">
        <f>IF('Input and Summary Results'!$J$4="yes",'Data Transformation'!F296,'Data Transformation'!D296)</f>
        <v>0</v>
      </c>
    </row>
    <row r="297" spans="2:8" x14ac:dyDescent="0.25">
      <c r="B297" t="b">
        <f>IF('Input and Summary Results'!D280="",FALSE,'Input and Summary Results'!$B280)</f>
        <v>0</v>
      </c>
      <c r="C297" t="b">
        <f>IF(OR(B297=0,'Input and Summary Results'!D280=0,'Input and Summary Results'!D280=""),FALSE,'Input and Summary Results'!$D280)</f>
        <v>0</v>
      </c>
      <c r="D297" t="b">
        <f>IF(OR(B297=0,'Input and Summary Results'!E280=0),FALSE,'Input and Summary Results'!$E280)</f>
        <v>0</v>
      </c>
      <c r="E297" t="b">
        <f t="shared" si="13"/>
        <v>0</v>
      </c>
      <c r="F297" s="13" t="b">
        <f t="shared" si="14"/>
        <v>0</v>
      </c>
      <c r="G297" t="b">
        <f>IF('Input and Summary Results'!$J$4="yes",IF(C297=FALSE,FALSE,IF(E297&lt;$R$10,'Data Transformation'!E297,$R$10)),IF(C297=FALSE,FALSE,IF('Data Transformation'!C297&lt;$R$10,C297,$R$10)))</f>
        <v>0</v>
      </c>
      <c r="H297" t="b">
        <f>IF('Input and Summary Results'!$J$4="yes",'Data Transformation'!F297,'Data Transformation'!D297)</f>
        <v>0</v>
      </c>
    </row>
    <row r="298" spans="2:8" x14ac:dyDescent="0.25">
      <c r="B298" t="b">
        <f>IF('Input and Summary Results'!D281="",FALSE,'Input and Summary Results'!$B281)</f>
        <v>0</v>
      </c>
      <c r="C298" t="b">
        <f>IF(OR(B298=0,'Input and Summary Results'!D281=0,'Input and Summary Results'!D281=""),FALSE,'Input and Summary Results'!$D281)</f>
        <v>0</v>
      </c>
      <c r="D298" t="b">
        <f>IF(OR(B298=0,'Input and Summary Results'!E281=0),FALSE,'Input and Summary Results'!$E281)</f>
        <v>0</v>
      </c>
      <c r="E298" t="b">
        <f t="shared" si="13"/>
        <v>0</v>
      </c>
      <c r="F298" s="13" t="b">
        <f t="shared" si="14"/>
        <v>0</v>
      </c>
      <c r="G298" t="b">
        <f>IF('Input and Summary Results'!$J$4="yes",IF(C298=FALSE,FALSE,IF(E298&lt;$R$10,'Data Transformation'!E298,$R$10)),IF(C298=FALSE,FALSE,IF('Data Transformation'!C298&lt;$R$10,C298,$R$10)))</f>
        <v>0</v>
      </c>
      <c r="H298" t="b">
        <f>IF('Input and Summary Results'!$J$4="yes",'Data Transformation'!F298,'Data Transformation'!D298)</f>
        <v>0</v>
      </c>
    </row>
    <row r="299" spans="2:8" x14ac:dyDescent="0.25">
      <c r="B299" t="b">
        <f>IF('Input and Summary Results'!D282="",FALSE,'Input and Summary Results'!$B282)</f>
        <v>0</v>
      </c>
      <c r="C299" t="b">
        <f>IF(OR(B299=0,'Input and Summary Results'!D282=0,'Input and Summary Results'!D282=""),FALSE,'Input and Summary Results'!$D282)</f>
        <v>0</v>
      </c>
      <c r="D299" t="b">
        <f>IF(OR(B299=0,'Input and Summary Results'!E282=0),FALSE,'Input and Summary Results'!$E282)</f>
        <v>0</v>
      </c>
      <c r="E299" t="b">
        <f t="shared" si="13"/>
        <v>0</v>
      </c>
      <c r="F299" s="13" t="b">
        <f t="shared" si="14"/>
        <v>0</v>
      </c>
      <c r="G299" t="b">
        <f>IF('Input and Summary Results'!$J$4="yes",IF(C299=FALSE,FALSE,IF(E299&lt;$R$10,'Data Transformation'!E299,$R$10)),IF(C299=FALSE,FALSE,IF('Data Transformation'!C299&lt;$R$10,C299,$R$10)))</f>
        <v>0</v>
      </c>
      <c r="H299" t="b">
        <f>IF('Input and Summary Results'!$J$4="yes",'Data Transformation'!F299,'Data Transformation'!D299)</f>
        <v>0</v>
      </c>
    </row>
    <row r="300" spans="2:8" x14ac:dyDescent="0.25">
      <c r="B300" t="b">
        <f>IF('Input and Summary Results'!D283="",FALSE,'Input and Summary Results'!$B283)</f>
        <v>0</v>
      </c>
      <c r="C300" t="b">
        <f>IF(OR(B300=0,'Input and Summary Results'!D283=0,'Input and Summary Results'!D283=""),FALSE,'Input and Summary Results'!$D283)</f>
        <v>0</v>
      </c>
      <c r="D300" t="b">
        <f>IF(OR(B300=0,'Input and Summary Results'!E283=0),FALSE,'Input and Summary Results'!$E283)</f>
        <v>0</v>
      </c>
      <c r="E300" t="b">
        <f t="shared" si="13"/>
        <v>0</v>
      </c>
      <c r="F300" s="13" t="b">
        <f t="shared" si="14"/>
        <v>0</v>
      </c>
      <c r="G300" t="b">
        <f>IF('Input and Summary Results'!$J$4="yes",IF(C300=FALSE,FALSE,IF(E300&lt;$R$10,'Data Transformation'!E300,$R$10)),IF(C300=FALSE,FALSE,IF('Data Transformation'!C300&lt;$R$10,C300,$R$10)))</f>
        <v>0</v>
      </c>
      <c r="H300" t="b">
        <f>IF('Input and Summary Results'!$J$4="yes",'Data Transformation'!F300,'Data Transformation'!D300)</f>
        <v>0</v>
      </c>
    </row>
    <row r="301" spans="2:8" x14ac:dyDescent="0.25">
      <c r="B301" t="b">
        <f>IF('Input and Summary Results'!D284="",FALSE,'Input and Summary Results'!$B284)</f>
        <v>0</v>
      </c>
      <c r="C301" t="b">
        <f>IF(OR(B301=0,'Input and Summary Results'!D284=0,'Input and Summary Results'!D284=""),FALSE,'Input and Summary Results'!$D284)</f>
        <v>0</v>
      </c>
      <c r="D301" t="b">
        <f>IF(OR(B301=0,'Input and Summary Results'!E284=0),FALSE,'Input and Summary Results'!$E284)</f>
        <v>0</v>
      </c>
      <c r="E301" t="b">
        <f t="shared" si="13"/>
        <v>0</v>
      </c>
      <c r="F301" s="13" t="b">
        <f t="shared" si="14"/>
        <v>0</v>
      </c>
      <c r="G301" t="b">
        <f>IF('Input and Summary Results'!$J$4="yes",IF(C301=FALSE,FALSE,IF(E301&lt;$R$10,'Data Transformation'!E301,$R$10)),IF(C301=FALSE,FALSE,IF('Data Transformation'!C301&lt;$R$10,C301,$R$10)))</f>
        <v>0</v>
      </c>
      <c r="H301" t="b">
        <f>IF('Input and Summary Results'!$J$4="yes",'Data Transformation'!F301,'Data Transformation'!D301)</f>
        <v>0</v>
      </c>
    </row>
    <row r="302" spans="2:8" x14ac:dyDescent="0.25">
      <c r="B302" t="b">
        <f>IF('Input and Summary Results'!D285="",FALSE,'Input and Summary Results'!$B285)</f>
        <v>0</v>
      </c>
      <c r="C302" t="b">
        <f>IF(OR(B302=0,'Input and Summary Results'!D285=0,'Input and Summary Results'!D285=""),FALSE,'Input and Summary Results'!$D285)</f>
        <v>0</v>
      </c>
      <c r="D302" t="b">
        <f>IF(OR(B302=0,'Input and Summary Results'!E285=0),FALSE,'Input and Summary Results'!$E285)</f>
        <v>0</v>
      </c>
      <c r="E302" t="b">
        <f t="shared" si="13"/>
        <v>0</v>
      </c>
      <c r="F302" s="13" t="b">
        <f t="shared" si="14"/>
        <v>0</v>
      </c>
      <c r="G302" t="b">
        <f>IF('Input and Summary Results'!$J$4="yes",IF(C302=FALSE,FALSE,IF(E302&lt;$R$10,'Data Transformation'!E302,$R$10)),IF(C302=FALSE,FALSE,IF('Data Transformation'!C302&lt;$R$10,C302,$R$10)))</f>
        <v>0</v>
      </c>
      <c r="H302" t="b">
        <f>IF('Input and Summary Results'!$J$4="yes",'Data Transformation'!F302,'Data Transformation'!D302)</f>
        <v>0</v>
      </c>
    </row>
    <row r="303" spans="2:8" x14ac:dyDescent="0.25">
      <c r="B303" t="b">
        <f>IF('Input and Summary Results'!D286="",FALSE,'Input and Summary Results'!$B286)</f>
        <v>0</v>
      </c>
      <c r="C303" t="b">
        <f>IF(OR(B303=0,'Input and Summary Results'!D286=0,'Input and Summary Results'!D286=""),FALSE,'Input and Summary Results'!$D286)</f>
        <v>0</v>
      </c>
      <c r="D303" t="b">
        <f>IF(OR(B303=0,'Input and Summary Results'!E286=0),FALSE,'Input and Summary Results'!$E286)</f>
        <v>0</v>
      </c>
      <c r="E303" t="b">
        <f t="shared" si="13"/>
        <v>0</v>
      </c>
      <c r="F303" s="13" t="b">
        <f t="shared" si="14"/>
        <v>0</v>
      </c>
      <c r="G303" t="b">
        <f>IF('Input and Summary Results'!$J$4="yes",IF(C303=FALSE,FALSE,IF(E303&lt;$R$10,'Data Transformation'!E303,$R$10)),IF(C303=FALSE,FALSE,IF('Data Transformation'!C303&lt;$R$10,C303,$R$10)))</f>
        <v>0</v>
      </c>
      <c r="H303" t="b">
        <f>IF('Input and Summary Results'!$J$4="yes",'Data Transformation'!F303,'Data Transformation'!D303)</f>
        <v>0</v>
      </c>
    </row>
    <row r="304" spans="2:8" x14ac:dyDescent="0.25">
      <c r="B304" t="b">
        <f>IF('Input and Summary Results'!D287="",FALSE,'Input and Summary Results'!$B287)</f>
        <v>0</v>
      </c>
      <c r="C304" t="b">
        <f>IF(OR(B304=0,'Input and Summary Results'!D287=0,'Input and Summary Results'!D287=""),FALSE,'Input and Summary Results'!$D287)</f>
        <v>0</v>
      </c>
      <c r="D304" t="b">
        <f>IF(OR(B304=0,'Input and Summary Results'!E287=0),FALSE,'Input and Summary Results'!$E287)</f>
        <v>0</v>
      </c>
      <c r="E304" t="b">
        <f t="shared" si="13"/>
        <v>0</v>
      </c>
      <c r="F304" s="13" t="b">
        <f t="shared" si="14"/>
        <v>0</v>
      </c>
      <c r="G304" t="b">
        <f>IF('Input and Summary Results'!$J$4="yes",IF(C304=FALSE,FALSE,IF(E304&lt;$R$10,'Data Transformation'!E304,$R$10)),IF(C304=FALSE,FALSE,IF('Data Transformation'!C304&lt;$R$10,C304,$R$10)))</f>
        <v>0</v>
      </c>
      <c r="H304" t="b">
        <f>IF('Input and Summary Results'!$J$4="yes",'Data Transformation'!F304,'Data Transformation'!D304)</f>
        <v>0</v>
      </c>
    </row>
    <row r="305" spans="2:8" x14ac:dyDescent="0.25">
      <c r="B305" t="b">
        <f>IF('Input and Summary Results'!D288="",FALSE,'Input and Summary Results'!$B288)</f>
        <v>0</v>
      </c>
      <c r="C305" t="b">
        <f>IF(OR(B305=0,'Input and Summary Results'!D288=0,'Input and Summary Results'!D288=""),FALSE,'Input and Summary Results'!$D288)</f>
        <v>0</v>
      </c>
      <c r="D305" t="b">
        <f>IF(OR(B305=0,'Input and Summary Results'!E288=0),FALSE,'Input and Summary Results'!$E288)</f>
        <v>0</v>
      </c>
      <c r="E305" t="b">
        <f t="shared" si="13"/>
        <v>0</v>
      </c>
      <c r="F305" s="13" t="b">
        <f t="shared" si="14"/>
        <v>0</v>
      </c>
      <c r="G305" t="b">
        <f>IF('Input and Summary Results'!$J$4="yes",IF(C305=FALSE,FALSE,IF(E305&lt;$R$10,'Data Transformation'!E305,$R$10)),IF(C305=FALSE,FALSE,IF('Data Transformation'!C305&lt;$R$10,C305,$R$10)))</f>
        <v>0</v>
      </c>
      <c r="H305" t="b">
        <f>IF('Input and Summary Results'!$J$4="yes",'Data Transformation'!F305,'Data Transformation'!D305)</f>
        <v>0</v>
      </c>
    </row>
    <row r="306" spans="2:8" x14ac:dyDescent="0.25">
      <c r="B306" t="b">
        <f>IF('Input and Summary Results'!D289="",FALSE,'Input and Summary Results'!$B289)</f>
        <v>0</v>
      </c>
      <c r="C306" t="b">
        <f>IF(OR(B306=0,'Input and Summary Results'!D289=0,'Input and Summary Results'!D289=""),FALSE,'Input and Summary Results'!$D289)</f>
        <v>0</v>
      </c>
      <c r="D306" t="b">
        <f>IF(OR(B306=0,'Input and Summary Results'!E289=0),FALSE,'Input and Summary Results'!$E289)</f>
        <v>0</v>
      </c>
      <c r="E306" t="b">
        <f t="shared" si="13"/>
        <v>0</v>
      </c>
      <c r="F306" s="13" t="b">
        <f t="shared" si="14"/>
        <v>0</v>
      </c>
      <c r="G306" t="b">
        <f>IF('Input and Summary Results'!$J$4="yes",IF(C306=FALSE,FALSE,IF(E306&lt;$R$10,'Data Transformation'!E306,$R$10)),IF(C306=FALSE,FALSE,IF('Data Transformation'!C306&lt;$R$10,C306,$R$10)))</f>
        <v>0</v>
      </c>
      <c r="H306" t="b">
        <f>IF('Input and Summary Results'!$J$4="yes",'Data Transformation'!F306,'Data Transformation'!D306)</f>
        <v>0</v>
      </c>
    </row>
    <row r="307" spans="2:8" x14ac:dyDescent="0.25">
      <c r="B307" t="b">
        <f>IF('Input and Summary Results'!D290="",FALSE,'Input and Summary Results'!$B290)</f>
        <v>0</v>
      </c>
      <c r="C307" t="b">
        <f>IF(OR(B307=0,'Input and Summary Results'!D290=0,'Input and Summary Results'!D290=""),FALSE,'Input and Summary Results'!$D290)</f>
        <v>0</v>
      </c>
      <c r="D307" t="b">
        <f>IF(OR(B307=0,'Input and Summary Results'!E290=0),FALSE,'Input and Summary Results'!$E290)</f>
        <v>0</v>
      </c>
      <c r="E307" t="b">
        <f t="shared" si="13"/>
        <v>0</v>
      </c>
      <c r="F307" s="13" t="b">
        <f t="shared" si="14"/>
        <v>0</v>
      </c>
      <c r="G307" t="b">
        <f>IF('Input and Summary Results'!$J$4="yes",IF(C307=FALSE,FALSE,IF(E307&lt;$R$10,'Data Transformation'!E307,$R$10)),IF(C307=FALSE,FALSE,IF('Data Transformation'!C307&lt;$R$10,C307,$R$10)))</f>
        <v>0</v>
      </c>
      <c r="H307" t="b">
        <f>IF('Input and Summary Results'!$J$4="yes",'Data Transformation'!F307,'Data Transformation'!D307)</f>
        <v>0</v>
      </c>
    </row>
    <row r="308" spans="2:8" x14ac:dyDescent="0.25">
      <c r="B308" t="b">
        <f>IF('Input and Summary Results'!D291="",FALSE,'Input and Summary Results'!$B291)</f>
        <v>0</v>
      </c>
      <c r="C308" t="b">
        <f>IF(OR(B308=0,'Input and Summary Results'!D291=0,'Input and Summary Results'!D291=""),FALSE,'Input and Summary Results'!$D291)</f>
        <v>0</v>
      </c>
      <c r="D308" t="b">
        <f>IF(OR(B308=0,'Input and Summary Results'!E291=0),FALSE,'Input and Summary Results'!$E291)</f>
        <v>0</v>
      </c>
      <c r="E308" t="b">
        <f t="shared" si="13"/>
        <v>0</v>
      </c>
      <c r="F308" s="13" t="b">
        <f t="shared" si="14"/>
        <v>0</v>
      </c>
      <c r="G308" t="b">
        <f>IF('Input and Summary Results'!$J$4="yes",IF(C308=FALSE,FALSE,IF(E308&lt;$R$10,'Data Transformation'!E308,$R$10)),IF(C308=FALSE,FALSE,IF('Data Transformation'!C308&lt;$R$10,C308,$R$10)))</f>
        <v>0</v>
      </c>
      <c r="H308" t="b">
        <f>IF('Input and Summary Results'!$J$4="yes",'Data Transformation'!F308,'Data Transformation'!D308)</f>
        <v>0</v>
      </c>
    </row>
    <row r="309" spans="2:8" x14ac:dyDescent="0.25">
      <c r="B309" t="b">
        <f>IF('Input and Summary Results'!D292="",FALSE,'Input and Summary Results'!$B292)</f>
        <v>0</v>
      </c>
      <c r="C309" t="b">
        <f>IF(OR(B309=0,'Input and Summary Results'!D292=0,'Input and Summary Results'!D292=""),FALSE,'Input and Summary Results'!$D292)</f>
        <v>0</v>
      </c>
      <c r="D309" t="b">
        <f>IF(OR(B309=0,'Input and Summary Results'!E292=0),FALSE,'Input and Summary Results'!$E292)</f>
        <v>0</v>
      </c>
      <c r="E309" t="b">
        <f t="shared" si="13"/>
        <v>0</v>
      </c>
      <c r="F309" s="13" t="b">
        <f t="shared" si="14"/>
        <v>0</v>
      </c>
      <c r="G309" t="b">
        <f>IF('Input and Summary Results'!$J$4="yes",IF(C309=FALSE,FALSE,IF(E309&lt;$R$10,'Data Transformation'!E309,$R$10)),IF(C309=FALSE,FALSE,IF('Data Transformation'!C309&lt;$R$10,C309,$R$10)))</f>
        <v>0</v>
      </c>
      <c r="H309" t="b">
        <f>IF('Input and Summary Results'!$J$4="yes",'Data Transformation'!F309,'Data Transformation'!D309)</f>
        <v>0</v>
      </c>
    </row>
    <row r="310" spans="2:8" x14ac:dyDescent="0.25">
      <c r="B310" t="b">
        <f>IF('Input and Summary Results'!D293="",FALSE,'Input and Summary Results'!$B293)</f>
        <v>0</v>
      </c>
      <c r="C310" t="b">
        <f>IF(OR(B310=0,'Input and Summary Results'!D293=0,'Input and Summary Results'!D293=""),FALSE,'Input and Summary Results'!$D293)</f>
        <v>0</v>
      </c>
      <c r="D310" t="b">
        <f>IF(OR(B310=0,'Input and Summary Results'!E293=0),FALSE,'Input and Summary Results'!$E293)</f>
        <v>0</v>
      </c>
      <c r="E310" t="b">
        <f t="shared" si="13"/>
        <v>0</v>
      </c>
      <c r="F310" s="13" t="b">
        <f t="shared" si="14"/>
        <v>0</v>
      </c>
      <c r="G310" t="b">
        <f>IF('Input and Summary Results'!$J$4="yes",IF(C310=FALSE,FALSE,IF(E310&lt;$R$10,'Data Transformation'!E310,$R$10)),IF(C310=FALSE,FALSE,IF('Data Transformation'!C310&lt;$R$10,C310,$R$10)))</f>
        <v>0</v>
      </c>
      <c r="H310" t="b">
        <f>IF('Input and Summary Results'!$J$4="yes",'Data Transformation'!F310,'Data Transformation'!D310)</f>
        <v>0</v>
      </c>
    </row>
    <row r="311" spans="2:8" x14ac:dyDescent="0.25">
      <c r="B311" t="b">
        <f>IF('Input and Summary Results'!D294="",FALSE,'Input and Summary Results'!$B294)</f>
        <v>0</v>
      </c>
      <c r="C311" t="b">
        <f>IF(OR(B311=0,'Input and Summary Results'!D294=0,'Input and Summary Results'!D294=""),FALSE,'Input and Summary Results'!$D294)</f>
        <v>0</v>
      </c>
      <c r="D311" t="b">
        <f>IF(OR(B311=0,'Input and Summary Results'!E294=0),FALSE,'Input and Summary Results'!$E294)</f>
        <v>0</v>
      </c>
      <c r="E311" t="b">
        <f t="shared" si="13"/>
        <v>0</v>
      </c>
      <c r="F311" s="13" t="b">
        <f t="shared" si="14"/>
        <v>0</v>
      </c>
      <c r="G311" t="b">
        <f>IF('Input and Summary Results'!$J$4="yes",IF(C311=FALSE,FALSE,IF(E311&lt;$R$10,'Data Transformation'!E311,$R$10)),IF(C311=FALSE,FALSE,IF('Data Transformation'!C311&lt;$R$10,C311,$R$10)))</f>
        <v>0</v>
      </c>
      <c r="H311" t="b">
        <f>IF('Input and Summary Results'!$J$4="yes",'Data Transformation'!F311,'Data Transformation'!D311)</f>
        <v>0</v>
      </c>
    </row>
    <row r="312" spans="2:8" x14ac:dyDescent="0.25">
      <c r="B312" t="b">
        <f>IF('Input and Summary Results'!D295="",FALSE,'Input and Summary Results'!$B295)</f>
        <v>0</v>
      </c>
      <c r="C312" t="b">
        <f>IF(OR(B312=0,'Input and Summary Results'!D295=0,'Input and Summary Results'!D295=""),FALSE,'Input and Summary Results'!$D295)</f>
        <v>0</v>
      </c>
      <c r="D312" t="b">
        <f>IF(OR(B312=0,'Input and Summary Results'!E295=0),FALSE,'Input and Summary Results'!$E295)</f>
        <v>0</v>
      </c>
      <c r="E312" t="b">
        <f t="shared" si="13"/>
        <v>0</v>
      </c>
      <c r="F312" s="13" t="b">
        <f t="shared" si="14"/>
        <v>0</v>
      </c>
      <c r="G312" t="b">
        <f>IF('Input and Summary Results'!$J$4="yes",IF(C312=FALSE,FALSE,IF(E312&lt;$R$10,'Data Transformation'!E312,$R$10)),IF(C312=FALSE,FALSE,IF('Data Transformation'!C312&lt;$R$10,C312,$R$10)))</f>
        <v>0</v>
      </c>
      <c r="H312" t="b">
        <f>IF('Input and Summary Results'!$J$4="yes",'Data Transformation'!F312,'Data Transformation'!D312)</f>
        <v>0</v>
      </c>
    </row>
    <row r="313" spans="2:8" x14ac:dyDescent="0.25">
      <c r="B313" t="b">
        <f>IF('Input and Summary Results'!D296="",FALSE,'Input and Summary Results'!$B296)</f>
        <v>0</v>
      </c>
      <c r="C313" t="b">
        <f>IF(OR(B313=0,'Input and Summary Results'!D296=0,'Input and Summary Results'!D296=""),FALSE,'Input and Summary Results'!$D296)</f>
        <v>0</v>
      </c>
      <c r="D313" t="b">
        <f>IF(OR(B313=0,'Input and Summary Results'!E296=0),FALSE,'Input and Summary Results'!$E296)</f>
        <v>0</v>
      </c>
      <c r="E313" t="b">
        <f t="shared" si="13"/>
        <v>0</v>
      </c>
      <c r="F313" s="13" t="b">
        <f t="shared" si="14"/>
        <v>0</v>
      </c>
      <c r="G313" t="b">
        <f>IF('Input and Summary Results'!$J$4="yes",IF(C313=FALSE,FALSE,IF(E313&lt;$R$10,'Data Transformation'!E313,$R$10)),IF(C313=FALSE,FALSE,IF('Data Transformation'!C313&lt;$R$10,C313,$R$10)))</f>
        <v>0</v>
      </c>
      <c r="H313" t="b">
        <f>IF('Input and Summary Results'!$J$4="yes",'Data Transformation'!F313,'Data Transformation'!D313)</f>
        <v>0</v>
      </c>
    </row>
    <row r="314" spans="2:8" x14ac:dyDescent="0.25">
      <c r="B314" t="b">
        <f>IF('Input and Summary Results'!D297="",FALSE,'Input and Summary Results'!$B297)</f>
        <v>0</v>
      </c>
      <c r="C314" t="b">
        <f>IF(OR(B314=0,'Input and Summary Results'!D297=0,'Input and Summary Results'!D297=""),FALSE,'Input and Summary Results'!$D297)</f>
        <v>0</v>
      </c>
      <c r="D314" t="b">
        <f>IF(OR(B314=0,'Input and Summary Results'!E297=0),FALSE,'Input and Summary Results'!$E297)</f>
        <v>0</v>
      </c>
      <c r="E314" t="b">
        <f t="shared" si="13"/>
        <v>0</v>
      </c>
      <c r="F314" s="13" t="b">
        <f t="shared" si="14"/>
        <v>0</v>
      </c>
      <c r="G314" t="b">
        <f>IF('Input and Summary Results'!$J$4="yes",IF(C314=FALSE,FALSE,IF(E314&lt;$R$10,'Data Transformation'!E314,$R$10)),IF(C314=FALSE,FALSE,IF('Data Transformation'!C314&lt;$R$10,C314,$R$10)))</f>
        <v>0</v>
      </c>
      <c r="H314" t="b">
        <f>IF('Input and Summary Results'!$J$4="yes",'Data Transformation'!F314,'Data Transformation'!D314)</f>
        <v>0</v>
      </c>
    </row>
    <row r="315" spans="2:8" x14ac:dyDescent="0.25">
      <c r="B315" t="b">
        <f>IF('Input and Summary Results'!D298="",FALSE,'Input and Summary Results'!$B298)</f>
        <v>0</v>
      </c>
      <c r="C315" t="b">
        <f>IF(OR(B315=0,'Input and Summary Results'!D298=0,'Input and Summary Results'!D298=""),FALSE,'Input and Summary Results'!$D298)</f>
        <v>0</v>
      </c>
      <c r="D315" t="b">
        <f>IF(OR(B315=0,'Input and Summary Results'!E298=0),FALSE,'Input and Summary Results'!$E298)</f>
        <v>0</v>
      </c>
      <c r="E315" t="b">
        <f t="shared" si="13"/>
        <v>0</v>
      </c>
      <c r="F315" s="13" t="b">
        <f t="shared" si="14"/>
        <v>0</v>
      </c>
      <c r="G315" t="b">
        <f>IF('Input and Summary Results'!$J$4="yes",IF(C315=FALSE,FALSE,IF(E315&lt;$R$10,'Data Transformation'!E315,$R$10)),IF(C315=FALSE,FALSE,IF('Data Transformation'!C315&lt;$R$10,C315,$R$10)))</f>
        <v>0</v>
      </c>
      <c r="H315" t="b">
        <f>IF('Input and Summary Results'!$J$4="yes",'Data Transformation'!F315,'Data Transformation'!D315)</f>
        <v>0</v>
      </c>
    </row>
    <row r="316" spans="2:8" x14ac:dyDescent="0.25">
      <c r="B316" t="b">
        <f>IF('Input and Summary Results'!D299="",FALSE,'Input and Summary Results'!$B299)</f>
        <v>0</v>
      </c>
      <c r="C316" t="b">
        <f>IF(OR(B316=0,'Input and Summary Results'!D299=0,'Input and Summary Results'!D299=""),FALSE,'Input and Summary Results'!$D299)</f>
        <v>0</v>
      </c>
      <c r="D316" t="b">
        <f>IF(OR(B316=0,'Input and Summary Results'!E299=0),FALSE,'Input and Summary Results'!$E299)</f>
        <v>0</v>
      </c>
      <c r="E316" t="b">
        <f t="shared" si="13"/>
        <v>0</v>
      </c>
      <c r="F316" s="13" t="b">
        <f t="shared" si="14"/>
        <v>0</v>
      </c>
      <c r="G316" t="b">
        <f>IF('Input and Summary Results'!$J$4="yes",IF(C316=FALSE,FALSE,IF(E316&lt;$R$10,'Data Transformation'!E316,$R$10)),IF(C316=FALSE,FALSE,IF('Data Transformation'!C316&lt;$R$10,C316,$R$10)))</f>
        <v>0</v>
      </c>
      <c r="H316" t="b">
        <f>IF('Input and Summary Results'!$J$4="yes",'Data Transformation'!F316,'Data Transformation'!D316)</f>
        <v>0</v>
      </c>
    </row>
    <row r="317" spans="2:8" x14ac:dyDescent="0.25">
      <c r="B317" t="b">
        <f>IF('Input and Summary Results'!D300="",FALSE,'Input and Summary Results'!$B300)</f>
        <v>0</v>
      </c>
      <c r="C317" t="b">
        <f>IF(OR(B317=0,'Input and Summary Results'!D300=0,'Input and Summary Results'!D300=""),FALSE,'Input and Summary Results'!$D300)</f>
        <v>0</v>
      </c>
      <c r="D317" t="b">
        <f>IF(OR(B317=0,'Input and Summary Results'!E300=0),FALSE,'Input and Summary Results'!$E300)</f>
        <v>0</v>
      </c>
      <c r="E317" t="b">
        <f t="shared" si="13"/>
        <v>0</v>
      </c>
      <c r="F317" s="13" t="b">
        <f t="shared" si="14"/>
        <v>0</v>
      </c>
      <c r="G317" t="b">
        <f>IF('Input and Summary Results'!$J$4="yes",IF(C317=FALSE,FALSE,IF(E317&lt;$R$10,'Data Transformation'!E317,$R$10)),IF(C317=FALSE,FALSE,IF('Data Transformation'!C317&lt;$R$10,C317,$R$10)))</f>
        <v>0</v>
      </c>
      <c r="H317" t="b">
        <f>IF('Input and Summary Results'!$J$4="yes",'Data Transformation'!F317,'Data Transformation'!D317)</f>
        <v>0</v>
      </c>
    </row>
    <row r="318" spans="2:8" x14ac:dyDescent="0.25">
      <c r="B318" t="b">
        <f>IF('Input and Summary Results'!D301="",FALSE,'Input and Summary Results'!$B301)</f>
        <v>0</v>
      </c>
      <c r="C318" t="b">
        <f>IF(OR(B318=0,'Input and Summary Results'!D301=0,'Input and Summary Results'!D301=""),FALSE,'Input and Summary Results'!$D301)</f>
        <v>0</v>
      </c>
      <c r="D318" t="b">
        <f>IF(OR(B318=0,'Input and Summary Results'!E301=0),FALSE,'Input and Summary Results'!$E301)</f>
        <v>0</v>
      </c>
      <c r="E318" t="b">
        <f t="shared" si="13"/>
        <v>0</v>
      </c>
      <c r="F318" s="13" t="b">
        <f t="shared" si="14"/>
        <v>0</v>
      </c>
      <c r="G318" t="b">
        <f>IF('Input and Summary Results'!$J$4="yes",IF(C318=FALSE,FALSE,IF(E318&lt;$R$10,'Data Transformation'!E318,$R$10)),IF(C318=FALSE,FALSE,IF('Data Transformation'!C318&lt;$R$10,C318,$R$10)))</f>
        <v>0</v>
      </c>
      <c r="H318" t="b">
        <f>IF('Input and Summary Results'!$J$4="yes",'Data Transformation'!F318,'Data Transformation'!D318)</f>
        <v>0</v>
      </c>
    </row>
    <row r="319" spans="2:8" x14ac:dyDescent="0.25">
      <c r="B319" t="b">
        <f>IF('Input and Summary Results'!D302="",FALSE,'Input and Summary Results'!$B302)</f>
        <v>0</v>
      </c>
      <c r="C319" t="b">
        <f>IF(OR(B319=0,'Input and Summary Results'!D302=0,'Input and Summary Results'!D302=""),FALSE,'Input and Summary Results'!$D302)</f>
        <v>0</v>
      </c>
      <c r="D319" t="b">
        <f>IF(OR(B319=0,'Input and Summary Results'!E302=0),FALSE,'Input and Summary Results'!$E302)</f>
        <v>0</v>
      </c>
      <c r="E319" t="b">
        <f t="shared" si="13"/>
        <v>0</v>
      </c>
      <c r="F319" s="13" t="b">
        <f t="shared" si="14"/>
        <v>0</v>
      </c>
      <c r="G319" t="b">
        <f>IF('Input and Summary Results'!$J$4="yes",IF(C319=FALSE,FALSE,IF(E319&lt;$R$10,'Data Transformation'!E319,$R$10)),IF(C319=FALSE,FALSE,IF('Data Transformation'!C319&lt;$R$10,C319,$R$10)))</f>
        <v>0</v>
      </c>
      <c r="H319" t="b">
        <f>IF('Input and Summary Results'!$J$4="yes",'Data Transformation'!F319,'Data Transformation'!D319)</f>
        <v>0</v>
      </c>
    </row>
    <row r="320" spans="2:8" x14ac:dyDescent="0.25">
      <c r="B320" t="b">
        <f>IF('Input and Summary Results'!D303="",FALSE,'Input and Summary Results'!$B303)</f>
        <v>0</v>
      </c>
      <c r="C320" t="b">
        <f>IF(OR(B320=0,'Input and Summary Results'!D303=0,'Input and Summary Results'!D303=""),FALSE,'Input and Summary Results'!$D303)</f>
        <v>0</v>
      </c>
      <c r="D320" t="b">
        <f>IF(OR(B320=0,'Input and Summary Results'!E303=0),FALSE,'Input and Summary Results'!$E303)</f>
        <v>0</v>
      </c>
      <c r="E320" t="b">
        <f t="shared" si="13"/>
        <v>0</v>
      </c>
      <c r="F320" s="13" t="b">
        <f t="shared" si="14"/>
        <v>0</v>
      </c>
      <c r="G320" t="b">
        <f>IF('Input and Summary Results'!$J$4="yes",IF(C320=FALSE,FALSE,IF(E320&lt;$R$10,'Data Transformation'!E320,$R$10)),IF(C320=FALSE,FALSE,IF('Data Transformation'!C320&lt;$R$10,C320,$R$10)))</f>
        <v>0</v>
      </c>
      <c r="H320" t="b">
        <f>IF('Input and Summary Results'!$J$4="yes",'Data Transformation'!F320,'Data Transformation'!D320)</f>
        <v>0</v>
      </c>
    </row>
    <row r="321" spans="2:8" x14ac:dyDescent="0.25">
      <c r="B321" t="b">
        <f>IF('Input and Summary Results'!D304="",FALSE,'Input and Summary Results'!$B304)</f>
        <v>0</v>
      </c>
      <c r="C321" t="b">
        <f>IF(OR(B321=0,'Input and Summary Results'!D304=0,'Input and Summary Results'!D304=""),FALSE,'Input and Summary Results'!$D304)</f>
        <v>0</v>
      </c>
      <c r="D321" t="b">
        <f>IF(OR(B321=0,'Input and Summary Results'!E304=0),FALSE,'Input and Summary Results'!$E304)</f>
        <v>0</v>
      </c>
      <c r="E321" t="b">
        <f t="shared" si="13"/>
        <v>0</v>
      </c>
      <c r="F321" s="13" t="b">
        <f t="shared" si="14"/>
        <v>0</v>
      </c>
      <c r="G321" t="b">
        <f>IF('Input and Summary Results'!$J$4="yes",IF(C321=FALSE,FALSE,IF(E321&lt;$R$10,'Data Transformation'!E321,$R$10)),IF(C321=FALSE,FALSE,IF('Data Transformation'!C321&lt;$R$10,C321,$R$10)))</f>
        <v>0</v>
      </c>
      <c r="H321" t="b">
        <f>IF('Input and Summary Results'!$J$4="yes",'Data Transformation'!F321,'Data Transformation'!D321)</f>
        <v>0</v>
      </c>
    </row>
    <row r="322" spans="2:8" x14ac:dyDescent="0.25">
      <c r="B322" t="b">
        <f>IF('Input and Summary Results'!D305="",FALSE,'Input and Summary Results'!$B305)</f>
        <v>0</v>
      </c>
      <c r="C322" t="b">
        <f>IF(OR(B322=0,'Input and Summary Results'!D305=0,'Input and Summary Results'!D305=""),FALSE,'Input and Summary Results'!$D305)</f>
        <v>0</v>
      </c>
      <c r="D322" t="b">
        <f>IF(OR(B322=0,'Input and Summary Results'!E305=0),FALSE,'Input and Summary Results'!$E305)</f>
        <v>0</v>
      </c>
      <c r="E322" t="b">
        <f t="shared" si="13"/>
        <v>0</v>
      </c>
      <c r="F322" s="13" t="b">
        <f t="shared" si="14"/>
        <v>0</v>
      </c>
      <c r="G322" t="b">
        <f>IF('Input and Summary Results'!$J$4="yes",IF(C322=FALSE,FALSE,IF(E322&lt;$R$10,'Data Transformation'!E322,$R$10)),IF(C322=FALSE,FALSE,IF('Data Transformation'!C322&lt;$R$10,C322,$R$10)))</f>
        <v>0</v>
      </c>
      <c r="H322" t="b">
        <f>IF('Input and Summary Results'!$J$4="yes",'Data Transformation'!F322,'Data Transformation'!D322)</f>
        <v>0</v>
      </c>
    </row>
    <row r="323" spans="2:8" x14ac:dyDescent="0.25">
      <c r="B323" t="b">
        <f>IF('Input and Summary Results'!D306="",FALSE,'Input and Summary Results'!$B306)</f>
        <v>0</v>
      </c>
      <c r="C323" t="b">
        <f>IF(OR(B323=0,'Input and Summary Results'!D306=0,'Input and Summary Results'!D306=""),FALSE,'Input and Summary Results'!$D306)</f>
        <v>0</v>
      </c>
      <c r="D323" t="b">
        <f>IF(OR(B323=0,'Input and Summary Results'!E306=0),FALSE,'Input and Summary Results'!$E306)</f>
        <v>0</v>
      </c>
      <c r="E323" t="b">
        <f t="shared" si="13"/>
        <v>0</v>
      </c>
      <c r="F323" s="13" t="b">
        <f t="shared" si="14"/>
        <v>0</v>
      </c>
      <c r="G323" t="b">
        <f>IF('Input and Summary Results'!$J$4="yes",IF(C323=FALSE,FALSE,IF(E323&lt;$R$10,'Data Transformation'!E323,$R$10)),IF(C323=FALSE,FALSE,IF('Data Transformation'!C323&lt;$R$10,C323,$R$10)))</f>
        <v>0</v>
      </c>
      <c r="H323" t="b">
        <f>IF('Input and Summary Results'!$J$4="yes",'Data Transformation'!F323,'Data Transformation'!D323)</f>
        <v>0</v>
      </c>
    </row>
    <row r="324" spans="2:8" x14ac:dyDescent="0.25">
      <c r="B324" t="b">
        <f>IF('Input and Summary Results'!D307="",FALSE,'Input and Summary Results'!$B307)</f>
        <v>0</v>
      </c>
      <c r="C324" t="b">
        <f>IF(OR(B324=0,'Input and Summary Results'!D307=0,'Input and Summary Results'!D307=""),FALSE,'Input and Summary Results'!$D307)</f>
        <v>0</v>
      </c>
      <c r="D324" t="b">
        <f>IF(OR(B324=0,'Input and Summary Results'!E307=0),FALSE,'Input and Summary Results'!$E307)</f>
        <v>0</v>
      </c>
      <c r="E324" t="b">
        <f t="shared" ref="E324:E387" si="15">IF(C324=FALSE,FALSE,LOG10(C324))</f>
        <v>0</v>
      </c>
      <c r="F324" s="13" t="b">
        <f t="shared" ref="F324:F387" si="16">IF(D324=FALSE, FALSE,0.434*D324/C324)</f>
        <v>0</v>
      </c>
      <c r="G324" t="b">
        <f>IF('Input and Summary Results'!$J$4="yes",IF(C324=FALSE,FALSE,IF(E324&lt;$R$10,'Data Transformation'!E324,$R$10)),IF(C324=FALSE,FALSE,IF('Data Transformation'!C324&lt;$R$10,C324,$R$10)))</f>
        <v>0</v>
      </c>
      <c r="H324" t="b">
        <f>IF('Input and Summary Results'!$J$4="yes",'Data Transformation'!F324,'Data Transformation'!D324)</f>
        <v>0</v>
      </c>
    </row>
    <row r="325" spans="2:8" x14ac:dyDescent="0.25">
      <c r="B325" t="b">
        <f>IF('Input and Summary Results'!D308="",FALSE,'Input and Summary Results'!$B308)</f>
        <v>0</v>
      </c>
      <c r="C325" t="b">
        <f>IF(OR(B325=0,'Input and Summary Results'!D308=0,'Input and Summary Results'!D308=""),FALSE,'Input and Summary Results'!$D308)</f>
        <v>0</v>
      </c>
      <c r="D325" t="b">
        <f>IF(OR(B325=0,'Input and Summary Results'!E308=0),FALSE,'Input and Summary Results'!$E308)</f>
        <v>0</v>
      </c>
      <c r="E325" t="b">
        <f t="shared" si="15"/>
        <v>0</v>
      </c>
      <c r="F325" s="13" t="b">
        <f t="shared" si="16"/>
        <v>0</v>
      </c>
      <c r="G325" t="b">
        <f>IF('Input and Summary Results'!$J$4="yes",IF(C325=FALSE,FALSE,IF(E325&lt;$R$10,'Data Transformation'!E325,$R$10)),IF(C325=FALSE,FALSE,IF('Data Transformation'!C325&lt;$R$10,C325,$R$10)))</f>
        <v>0</v>
      </c>
      <c r="H325" t="b">
        <f>IF('Input and Summary Results'!$J$4="yes",'Data Transformation'!F325,'Data Transformation'!D325)</f>
        <v>0</v>
      </c>
    </row>
    <row r="326" spans="2:8" x14ac:dyDescent="0.25">
      <c r="B326" t="b">
        <f>IF('Input and Summary Results'!D309="",FALSE,'Input and Summary Results'!$B309)</f>
        <v>0</v>
      </c>
      <c r="C326" t="b">
        <f>IF(OR(B326=0,'Input and Summary Results'!D309=0,'Input and Summary Results'!D309=""),FALSE,'Input and Summary Results'!$D309)</f>
        <v>0</v>
      </c>
      <c r="D326" t="b">
        <f>IF(OR(B326=0,'Input and Summary Results'!E309=0),FALSE,'Input and Summary Results'!$E309)</f>
        <v>0</v>
      </c>
      <c r="E326" t="b">
        <f t="shared" si="15"/>
        <v>0</v>
      </c>
      <c r="F326" s="13" t="b">
        <f t="shared" si="16"/>
        <v>0</v>
      </c>
      <c r="G326" t="b">
        <f>IF('Input and Summary Results'!$J$4="yes",IF(C326=FALSE,FALSE,IF(E326&lt;$R$10,'Data Transformation'!E326,$R$10)),IF(C326=FALSE,FALSE,IF('Data Transformation'!C326&lt;$R$10,C326,$R$10)))</f>
        <v>0</v>
      </c>
      <c r="H326" t="b">
        <f>IF('Input and Summary Results'!$J$4="yes",'Data Transformation'!F326,'Data Transformation'!D326)</f>
        <v>0</v>
      </c>
    </row>
    <row r="327" spans="2:8" x14ac:dyDescent="0.25">
      <c r="B327" t="b">
        <f>IF('Input and Summary Results'!D310="",FALSE,'Input and Summary Results'!$B310)</f>
        <v>0</v>
      </c>
      <c r="C327" t="b">
        <f>IF(OR(B327=0,'Input and Summary Results'!D310=0,'Input and Summary Results'!D310=""),FALSE,'Input and Summary Results'!$D310)</f>
        <v>0</v>
      </c>
      <c r="D327" t="b">
        <f>IF(OR(B327=0,'Input and Summary Results'!E310=0),FALSE,'Input and Summary Results'!$E310)</f>
        <v>0</v>
      </c>
      <c r="E327" t="b">
        <f t="shared" si="15"/>
        <v>0</v>
      </c>
      <c r="F327" s="13" t="b">
        <f t="shared" si="16"/>
        <v>0</v>
      </c>
      <c r="G327" t="b">
        <f>IF('Input and Summary Results'!$J$4="yes",IF(C327=FALSE,FALSE,IF(E327&lt;$R$10,'Data Transformation'!E327,$R$10)),IF(C327=FALSE,FALSE,IF('Data Transformation'!C327&lt;$R$10,C327,$R$10)))</f>
        <v>0</v>
      </c>
      <c r="H327" t="b">
        <f>IF('Input and Summary Results'!$J$4="yes",'Data Transformation'!F327,'Data Transformation'!D327)</f>
        <v>0</v>
      </c>
    </row>
    <row r="328" spans="2:8" x14ac:dyDescent="0.25">
      <c r="B328" t="b">
        <f>IF('Input and Summary Results'!D311="",FALSE,'Input and Summary Results'!$B311)</f>
        <v>0</v>
      </c>
      <c r="C328" t="b">
        <f>IF(OR(B328=0,'Input and Summary Results'!D311=0,'Input and Summary Results'!D311=""),FALSE,'Input and Summary Results'!$D311)</f>
        <v>0</v>
      </c>
      <c r="D328" t="b">
        <f>IF(OR(B328=0,'Input and Summary Results'!E311=0),FALSE,'Input and Summary Results'!$E311)</f>
        <v>0</v>
      </c>
      <c r="E328" t="b">
        <f t="shared" si="15"/>
        <v>0</v>
      </c>
      <c r="F328" s="13" t="b">
        <f t="shared" si="16"/>
        <v>0</v>
      </c>
      <c r="G328" t="b">
        <f>IF('Input and Summary Results'!$J$4="yes",IF(C328=FALSE,FALSE,IF(E328&lt;$R$10,'Data Transformation'!E328,$R$10)),IF(C328=FALSE,FALSE,IF('Data Transformation'!C328&lt;$R$10,C328,$R$10)))</f>
        <v>0</v>
      </c>
      <c r="H328" t="b">
        <f>IF('Input and Summary Results'!$J$4="yes",'Data Transformation'!F328,'Data Transformation'!D328)</f>
        <v>0</v>
      </c>
    </row>
    <row r="329" spans="2:8" x14ac:dyDescent="0.25">
      <c r="B329" t="b">
        <f>IF('Input and Summary Results'!D312="",FALSE,'Input and Summary Results'!$B312)</f>
        <v>0</v>
      </c>
      <c r="C329" t="b">
        <f>IF(OR(B329=0,'Input and Summary Results'!D312=0,'Input and Summary Results'!D312=""),FALSE,'Input and Summary Results'!$D312)</f>
        <v>0</v>
      </c>
      <c r="D329" t="b">
        <f>IF(OR(B329=0,'Input and Summary Results'!E312=0),FALSE,'Input and Summary Results'!$E312)</f>
        <v>0</v>
      </c>
      <c r="E329" t="b">
        <f t="shared" si="15"/>
        <v>0</v>
      </c>
      <c r="F329" s="13" t="b">
        <f t="shared" si="16"/>
        <v>0</v>
      </c>
      <c r="G329" t="b">
        <f>IF('Input and Summary Results'!$J$4="yes",IF(C329=FALSE,FALSE,IF(E329&lt;$R$10,'Data Transformation'!E329,$R$10)),IF(C329=FALSE,FALSE,IF('Data Transformation'!C329&lt;$R$10,C329,$R$10)))</f>
        <v>0</v>
      </c>
      <c r="H329" t="b">
        <f>IF('Input and Summary Results'!$J$4="yes",'Data Transformation'!F329,'Data Transformation'!D329)</f>
        <v>0</v>
      </c>
    </row>
    <row r="330" spans="2:8" x14ac:dyDescent="0.25">
      <c r="B330" t="b">
        <f>IF('Input and Summary Results'!D313="",FALSE,'Input and Summary Results'!$B313)</f>
        <v>0</v>
      </c>
      <c r="C330" t="b">
        <f>IF(OR(B330=0,'Input and Summary Results'!D313=0,'Input and Summary Results'!D313=""),FALSE,'Input and Summary Results'!$D313)</f>
        <v>0</v>
      </c>
      <c r="D330" t="b">
        <f>IF(OR(B330=0,'Input and Summary Results'!E313=0),FALSE,'Input and Summary Results'!$E313)</f>
        <v>0</v>
      </c>
      <c r="E330" t="b">
        <f t="shared" si="15"/>
        <v>0</v>
      </c>
      <c r="F330" s="13" t="b">
        <f t="shared" si="16"/>
        <v>0</v>
      </c>
      <c r="G330" t="b">
        <f>IF('Input and Summary Results'!$J$4="yes",IF(C330=FALSE,FALSE,IF(E330&lt;$R$10,'Data Transformation'!E330,$R$10)),IF(C330=FALSE,FALSE,IF('Data Transformation'!C330&lt;$R$10,C330,$R$10)))</f>
        <v>0</v>
      </c>
      <c r="H330" t="b">
        <f>IF('Input and Summary Results'!$J$4="yes",'Data Transformation'!F330,'Data Transformation'!D330)</f>
        <v>0</v>
      </c>
    </row>
    <row r="331" spans="2:8" x14ac:dyDescent="0.25">
      <c r="B331" t="b">
        <f>IF('Input and Summary Results'!D314="",FALSE,'Input and Summary Results'!$B314)</f>
        <v>0</v>
      </c>
      <c r="C331" t="b">
        <f>IF(OR(B331=0,'Input and Summary Results'!D314=0,'Input and Summary Results'!D314=""),FALSE,'Input and Summary Results'!$D314)</f>
        <v>0</v>
      </c>
      <c r="D331" t="b">
        <f>IF(OR(B331=0,'Input and Summary Results'!E314=0),FALSE,'Input and Summary Results'!$E314)</f>
        <v>0</v>
      </c>
      <c r="E331" t="b">
        <f t="shared" si="15"/>
        <v>0</v>
      </c>
      <c r="F331" s="13" t="b">
        <f t="shared" si="16"/>
        <v>0</v>
      </c>
      <c r="G331" t="b">
        <f>IF('Input and Summary Results'!$J$4="yes",IF(C331=FALSE,FALSE,IF(E331&lt;$R$10,'Data Transformation'!E331,$R$10)),IF(C331=FALSE,FALSE,IF('Data Transformation'!C331&lt;$R$10,C331,$R$10)))</f>
        <v>0</v>
      </c>
      <c r="H331" t="b">
        <f>IF('Input and Summary Results'!$J$4="yes",'Data Transformation'!F331,'Data Transformation'!D331)</f>
        <v>0</v>
      </c>
    </row>
    <row r="332" spans="2:8" x14ac:dyDescent="0.25">
      <c r="B332" t="b">
        <f>IF('Input and Summary Results'!D315="",FALSE,'Input and Summary Results'!$B315)</f>
        <v>0</v>
      </c>
      <c r="C332" t="b">
        <f>IF(OR(B332=0,'Input and Summary Results'!D315=0,'Input and Summary Results'!D315=""),FALSE,'Input and Summary Results'!$D315)</f>
        <v>0</v>
      </c>
      <c r="D332" t="b">
        <f>IF(OR(B332=0,'Input and Summary Results'!E315=0),FALSE,'Input and Summary Results'!$E315)</f>
        <v>0</v>
      </c>
      <c r="E332" t="b">
        <f t="shared" si="15"/>
        <v>0</v>
      </c>
      <c r="F332" s="13" t="b">
        <f t="shared" si="16"/>
        <v>0</v>
      </c>
      <c r="G332" t="b">
        <f>IF('Input and Summary Results'!$J$4="yes",IF(C332=FALSE,FALSE,IF(E332&lt;$R$10,'Data Transformation'!E332,$R$10)),IF(C332=FALSE,FALSE,IF('Data Transformation'!C332&lt;$R$10,C332,$R$10)))</f>
        <v>0</v>
      </c>
      <c r="H332" t="b">
        <f>IF('Input and Summary Results'!$J$4="yes",'Data Transformation'!F332,'Data Transformation'!D332)</f>
        <v>0</v>
      </c>
    </row>
    <row r="333" spans="2:8" x14ac:dyDescent="0.25">
      <c r="B333" t="b">
        <f>IF('Input and Summary Results'!D316="",FALSE,'Input and Summary Results'!$B316)</f>
        <v>0</v>
      </c>
      <c r="C333" t="b">
        <f>IF(OR(B333=0,'Input and Summary Results'!D316=0,'Input and Summary Results'!D316=""),FALSE,'Input and Summary Results'!$D316)</f>
        <v>0</v>
      </c>
      <c r="D333" t="b">
        <f>IF(OR(B333=0,'Input and Summary Results'!E316=0),FALSE,'Input and Summary Results'!$E316)</f>
        <v>0</v>
      </c>
      <c r="E333" t="b">
        <f t="shared" si="15"/>
        <v>0</v>
      </c>
      <c r="F333" s="13" t="b">
        <f t="shared" si="16"/>
        <v>0</v>
      </c>
      <c r="G333" t="b">
        <f>IF('Input and Summary Results'!$J$4="yes",IF(C333=FALSE,FALSE,IF(E333&lt;$R$10,'Data Transformation'!E333,$R$10)),IF(C333=FALSE,FALSE,IF('Data Transformation'!C333&lt;$R$10,C333,$R$10)))</f>
        <v>0</v>
      </c>
      <c r="H333" t="b">
        <f>IF('Input and Summary Results'!$J$4="yes",'Data Transformation'!F333,'Data Transformation'!D333)</f>
        <v>0</v>
      </c>
    </row>
    <row r="334" spans="2:8" x14ac:dyDescent="0.25">
      <c r="B334" t="b">
        <f>IF('Input and Summary Results'!D317="",FALSE,'Input and Summary Results'!$B317)</f>
        <v>0</v>
      </c>
      <c r="C334" t="b">
        <f>IF(OR(B334=0,'Input and Summary Results'!D317=0,'Input and Summary Results'!D317=""),FALSE,'Input and Summary Results'!$D317)</f>
        <v>0</v>
      </c>
      <c r="D334" t="b">
        <f>IF(OR(B334=0,'Input and Summary Results'!E317=0),FALSE,'Input and Summary Results'!$E317)</f>
        <v>0</v>
      </c>
      <c r="E334" t="b">
        <f t="shared" si="15"/>
        <v>0</v>
      </c>
      <c r="F334" s="13" t="b">
        <f t="shared" si="16"/>
        <v>0</v>
      </c>
      <c r="G334" t="b">
        <f>IF('Input and Summary Results'!$J$4="yes",IF(C334=FALSE,FALSE,IF(E334&lt;$R$10,'Data Transformation'!E334,$R$10)),IF(C334=FALSE,FALSE,IF('Data Transformation'!C334&lt;$R$10,C334,$R$10)))</f>
        <v>0</v>
      </c>
      <c r="H334" t="b">
        <f>IF('Input and Summary Results'!$J$4="yes",'Data Transformation'!F334,'Data Transformation'!D334)</f>
        <v>0</v>
      </c>
    </row>
    <row r="335" spans="2:8" x14ac:dyDescent="0.25">
      <c r="B335" t="b">
        <f>IF('Input and Summary Results'!D318="",FALSE,'Input and Summary Results'!$B318)</f>
        <v>0</v>
      </c>
      <c r="C335" t="b">
        <f>IF(OR(B335=0,'Input and Summary Results'!D318=0,'Input and Summary Results'!D318=""),FALSE,'Input and Summary Results'!$D318)</f>
        <v>0</v>
      </c>
      <c r="D335" t="b">
        <f>IF(OR(B335=0,'Input and Summary Results'!E318=0),FALSE,'Input and Summary Results'!$E318)</f>
        <v>0</v>
      </c>
      <c r="E335" t="b">
        <f t="shared" si="15"/>
        <v>0</v>
      </c>
      <c r="F335" s="13" t="b">
        <f t="shared" si="16"/>
        <v>0</v>
      </c>
      <c r="G335" t="b">
        <f>IF('Input and Summary Results'!$J$4="yes",IF(C335=FALSE,FALSE,IF(E335&lt;$R$10,'Data Transformation'!E335,$R$10)),IF(C335=FALSE,FALSE,IF('Data Transformation'!C335&lt;$R$10,C335,$R$10)))</f>
        <v>0</v>
      </c>
      <c r="H335" t="b">
        <f>IF('Input and Summary Results'!$J$4="yes",'Data Transformation'!F335,'Data Transformation'!D335)</f>
        <v>0</v>
      </c>
    </row>
    <row r="336" spans="2:8" x14ac:dyDescent="0.25">
      <c r="B336" t="b">
        <f>IF('Input and Summary Results'!D319="",FALSE,'Input and Summary Results'!$B319)</f>
        <v>0</v>
      </c>
      <c r="C336" t="b">
        <f>IF(OR(B336=0,'Input and Summary Results'!D319=0,'Input and Summary Results'!D319=""),FALSE,'Input and Summary Results'!$D319)</f>
        <v>0</v>
      </c>
      <c r="D336" t="b">
        <f>IF(OR(B336=0,'Input and Summary Results'!E319=0),FALSE,'Input and Summary Results'!$E319)</f>
        <v>0</v>
      </c>
      <c r="E336" t="b">
        <f t="shared" si="15"/>
        <v>0</v>
      </c>
      <c r="F336" s="13" t="b">
        <f t="shared" si="16"/>
        <v>0</v>
      </c>
      <c r="G336" t="b">
        <f>IF('Input and Summary Results'!$J$4="yes",IF(C336=FALSE,FALSE,IF(E336&lt;$R$10,'Data Transformation'!E336,$R$10)),IF(C336=FALSE,FALSE,IF('Data Transformation'!C336&lt;$R$10,C336,$R$10)))</f>
        <v>0</v>
      </c>
      <c r="H336" t="b">
        <f>IF('Input and Summary Results'!$J$4="yes",'Data Transformation'!F336,'Data Transformation'!D336)</f>
        <v>0</v>
      </c>
    </row>
    <row r="337" spans="2:8" x14ac:dyDescent="0.25">
      <c r="B337" t="b">
        <f>IF('Input and Summary Results'!D320="",FALSE,'Input and Summary Results'!$B320)</f>
        <v>0</v>
      </c>
      <c r="C337" t="b">
        <f>IF(OR(B337=0,'Input and Summary Results'!D320=0,'Input and Summary Results'!D320=""),FALSE,'Input and Summary Results'!$D320)</f>
        <v>0</v>
      </c>
      <c r="D337" t="b">
        <f>IF(OR(B337=0,'Input and Summary Results'!E320=0),FALSE,'Input and Summary Results'!$E320)</f>
        <v>0</v>
      </c>
      <c r="E337" t="b">
        <f t="shared" si="15"/>
        <v>0</v>
      </c>
      <c r="F337" s="13" t="b">
        <f t="shared" si="16"/>
        <v>0</v>
      </c>
      <c r="G337" t="b">
        <f>IF('Input and Summary Results'!$J$4="yes",IF(C337=FALSE,FALSE,IF(E337&lt;$R$10,'Data Transformation'!E337,$R$10)),IF(C337=FALSE,FALSE,IF('Data Transformation'!C337&lt;$R$10,C337,$R$10)))</f>
        <v>0</v>
      </c>
      <c r="H337" t="b">
        <f>IF('Input and Summary Results'!$J$4="yes",'Data Transformation'!F337,'Data Transformation'!D337)</f>
        <v>0</v>
      </c>
    </row>
    <row r="338" spans="2:8" x14ac:dyDescent="0.25">
      <c r="B338" t="b">
        <f>IF('Input and Summary Results'!D321="",FALSE,'Input and Summary Results'!$B321)</f>
        <v>0</v>
      </c>
      <c r="C338" t="b">
        <f>IF(OR(B338=0,'Input and Summary Results'!D321=0,'Input and Summary Results'!D321=""),FALSE,'Input and Summary Results'!$D321)</f>
        <v>0</v>
      </c>
      <c r="D338" t="b">
        <f>IF(OR(B338=0,'Input and Summary Results'!E321=0),FALSE,'Input and Summary Results'!$E321)</f>
        <v>0</v>
      </c>
      <c r="E338" t="b">
        <f t="shared" si="15"/>
        <v>0</v>
      </c>
      <c r="F338" s="13" t="b">
        <f t="shared" si="16"/>
        <v>0</v>
      </c>
      <c r="G338" t="b">
        <f>IF('Input and Summary Results'!$J$4="yes",IF(C338=FALSE,FALSE,IF(E338&lt;$R$10,'Data Transformation'!E338,$R$10)),IF(C338=FALSE,FALSE,IF('Data Transformation'!C338&lt;$R$10,C338,$R$10)))</f>
        <v>0</v>
      </c>
      <c r="H338" t="b">
        <f>IF('Input and Summary Results'!$J$4="yes",'Data Transformation'!F338,'Data Transformation'!D338)</f>
        <v>0</v>
      </c>
    </row>
    <row r="339" spans="2:8" x14ac:dyDescent="0.25">
      <c r="B339" t="b">
        <f>IF('Input and Summary Results'!D322="",FALSE,'Input and Summary Results'!$B322)</f>
        <v>0</v>
      </c>
      <c r="C339" t="b">
        <f>IF(OR(B339=0,'Input and Summary Results'!D322=0,'Input and Summary Results'!D322=""),FALSE,'Input and Summary Results'!$D322)</f>
        <v>0</v>
      </c>
      <c r="D339" t="b">
        <f>IF(OR(B339=0,'Input and Summary Results'!E322=0),FALSE,'Input and Summary Results'!$E322)</f>
        <v>0</v>
      </c>
      <c r="E339" t="b">
        <f t="shared" si="15"/>
        <v>0</v>
      </c>
      <c r="F339" s="13" t="b">
        <f t="shared" si="16"/>
        <v>0</v>
      </c>
      <c r="G339" t="b">
        <f>IF('Input and Summary Results'!$J$4="yes",IF(C339=FALSE,FALSE,IF(E339&lt;$R$10,'Data Transformation'!E339,$R$10)),IF(C339=FALSE,FALSE,IF('Data Transformation'!C339&lt;$R$10,C339,$R$10)))</f>
        <v>0</v>
      </c>
      <c r="H339" t="b">
        <f>IF('Input and Summary Results'!$J$4="yes",'Data Transformation'!F339,'Data Transformation'!D339)</f>
        <v>0</v>
      </c>
    </row>
    <row r="340" spans="2:8" x14ac:dyDescent="0.25">
      <c r="B340" t="b">
        <f>IF('Input and Summary Results'!D323="",FALSE,'Input and Summary Results'!$B323)</f>
        <v>0</v>
      </c>
      <c r="C340" t="b">
        <f>IF(OR(B340=0,'Input and Summary Results'!D323=0,'Input and Summary Results'!D323=""),FALSE,'Input and Summary Results'!$D323)</f>
        <v>0</v>
      </c>
      <c r="D340" t="b">
        <f>IF(OR(B340=0,'Input and Summary Results'!E323=0),FALSE,'Input and Summary Results'!$E323)</f>
        <v>0</v>
      </c>
      <c r="E340" t="b">
        <f t="shared" si="15"/>
        <v>0</v>
      </c>
      <c r="F340" s="13" t="b">
        <f t="shared" si="16"/>
        <v>0</v>
      </c>
      <c r="G340" t="b">
        <f>IF('Input and Summary Results'!$J$4="yes",IF(C340=FALSE,FALSE,IF(E340&lt;$R$10,'Data Transformation'!E340,$R$10)),IF(C340=FALSE,FALSE,IF('Data Transformation'!C340&lt;$R$10,C340,$R$10)))</f>
        <v>0</v>
      </c>
      <c r="H340" t="b">
        <f>IF('Input and Summary Results'!$J$4="yes",'Data Transformation'!F340,'Data Transformation'!D340)</f>
        <v>0</v>
      </c>
    </row>
    <row r="341" spans="2:8" x14ac:dyDescent="0.25">
      <c r="B341" t="b">
        <f>IF('Input and Summary Results'!D324="",FALSE,'Input and Summary Results'!$B324)</f>
        <v>0</v>
      </c>
      <c r="C341" t="b">
        <f>IF(OR(B341=0,'Input and Summary Results'!D324=0,'Input and Summary Results'!D324=""),FALSE,'Input and Summary Results'!$D324)</f>
        <v>0</v>
      </c>
      <c r="D341" t="b">
        <f>IF(OR(B341=0,'Input and Summary Results'!E324=0),FALSE,'Input and Summary Results'!$E324)</f>
        <v>0</v>
      </c>
      <c r="E341" t="b">
        <f t="shared" si="15"/>
        <v>0</v>
      </c>
      <c r="F341" s="13" t="b">
        <f t="shared" si="16"/>
        <v>0</v>
      </c>
      <c r="G341" t="b">
        <f>IF('Input and Summary Results'!$J$4="yes",IF(C341=FALSE,FALSE,IF(E341&lt;$R$10,'Data Transformation'!E341,$R$10)),IF(C341=FALSE,FALSE,IF('Data Transformation'!C341&lt;$R$10,C341,$R$10)))</f>
        <v>0</v>
      </c>
      <c r="H341" t="b">
        <f>IF('Input and Summary Results'!$J$4="yes",'Data Transformation'!F341,'Data Transformation'!D341)</f>
        <v>0</v>
      </c>
    </row>
    <row r="342" spans="2:8" x14ac:dyDescent="0.25">
      <c r="B342" t="b">
        <f>IF('Input and Summary Results'!D325="",FALSE,'Input and Summary Results'!$B325)</f>
        <v>0</v>
      </c>
      <c r="C342" t="b">
        <f>IF(OR(B342=0,'Input and Summary Results'!D325=0,'Input and Summary Results'!D325=""),FALSE,'Input and Summary Results'!$D325)</f>
        <v>0</v>
      </c>
      <c r="D342" t="b">
        <f>IF(OR(B342=0,'Input and Summary Results'!E325=0),FALSE,'Input and Summary Results'!$E325)</f>
        <v>0</v>
      </c>
      <c r="E342" t="b">
        <f t="shared" si="15"/>
        <v>0</v>
      </c>
      <c r="F342" s="13" t="b">
        <f t="shared" si="16"/>
        <v>0</v>
      </c>
      <c r="G342" t="b">
        <f>IF('Input and Summary Results'!$J$4="yes",IF(C342=FALSE,FALSE,IF(E342&lt;$R$10,'Data Transformation'!E342,$R$10)),IF(C342=FALSE,FALSE,IF('Data Transformation'!C342&lt;$R$10,C342,$R$10)))</f>
        <v>0</v>
      </c>
      <c r="H342" t="b">
        <f>IF('Input and Summary Results'!$J$4="yes",'Data Transformation'!F342,'Data Transformation'!D342)</f>
        <v>0</v>
      </c>
    </row>
    <row r="343" spans="2:8" x14ac:dyDescent="0.25">
      <c r="B343" t="b">
        <f>IF('Input and Summary Results'!D326="",FALSE,'Input and Summary Results'!$B326)</f>
        <v>0</v>
      </c>
      <c r="C343" t="b">
        <f>IF(OR(B343=0,'Input and Summary Results'!D326=0,'Input and Summary Results'!D326=""),FALSE,'Input and Summary Results'!$D326)</f>
        <v>0</v>
      </c>
      <c r="D343" t="b">
        <f>IF(OR(B343=0,'Input and Summary Results'!E326=0),FALSE,'Input and Summary Results'!$E326)</f>
        <v>0</v>
      </c>
      <c r="E343" t="b">
        <f t="shared" si="15"/>
        <v>0</v>
      </c>
      <c r="F343" s="13" t="b">
        <f t="shared" si="16"/>
        <v>0</v>
      </c>
      <c r="G343" t="b">
        <f>IF('Input and Summary Results'!$J$4="yes",IF(C343=FALSE,FALSE,IF(E343&lt;$R$10,'Data Transformation'!E343,$R$10)),IF(C343=FALSE,FALSE,IF('Data Transformation'!C343&lt;$R$10,C343,$R$10)))</f>
        <v>0</v>
      </c>
      <c r="H343" t="b">
        <f>IF('Input and Summary Results'!$J$4="yes",'Data Transformation'!F343,'Data Transformation'!D343)</f>
        <v>0</v>
      </c>
    </row>
    <row r="344" spans="2:8" x14ac:dyDescent="0.25">
      <c r="B344" t="b">
        <f>IF('Input and Summary Results'!D327="",FALSE,'Input and Summary Results'!$B327)</f>
        <v>0</v>
      </c>
      <c r="C344" t="b">
        <f>IF(OR(B344=0,'Input and Summary Results'!D327=0,'Input and Summary Results'!D327=""),FALSE,'Input and Summary Results'!$D327)</f>
        <v>0</v>
      </c>
      <c r="D344" t="b">
        <f>IF(OR(B344=0,'Input and Summary Results'!E327=0),FALSE,'Input and Summary Results'!$E327)</f>
        <v>0</v>
      </c>
      <c r="E344" t="b">
        <f t="shared" si="15"/>
        <v>0</v>
      </c>
      <c r="F344" s="13" t="b">
        <f t="shared" si="16"/>
        <v>0</v>
      </c>
      <c r="G344" t="b">
        <f>IF('Input and Summary Results'!$J$4="yes",IF(C344=FALSE,FALSE,IF(E344&lt;$R$10,'Data Transformation'!E344,$R$10)),IF(C344=FALSE,FALSE,IF('Data Transformation'!C344&lt;$R$10,C344,$R$10)))</f>
        <v>0</v>
      </c>
      <c r="H344" t="b">
        <f>IF('Input and Summary Results'!$J$4="yes",'Data Transformation'!F344,'Data Transformation'!D344)</f>
        <v>0</v>
      </c>
    </row>
    <row r="345" spans="2:8" x14ac:dyDescent="0.25">
      <c r="B345" t="b">
        <f>IF('Input and Summary Results'!D328="",FALSE,'Input and Summary Results'!$B328)</f>
        <v>0</v>
      </c>
      <c r="C345" t="b">
        <f>IF(OR(B345=0,'Input and Summary Results'!D328=0,'Input and Summary Results'!D328=""),FALSE,'Input and Summary Results'!$D328)</f>
        <v>0</v>
      </c>
      <c r="D345" t="b">
        <f>IF(OR(B345=0,'Input and Summary Results'!E328=0),FALSE,'Input and Summary Results'!$E328)</f>
        <v>0</v>
      </c>
      <c r="E345" t="b">
        <f t="shared" si="15"/>
        <v>0</v>
      </c>
      <c r="F345" s="13" t="b">
        <f t="shared" si="16"/>
        <v>0</v>
      </c>
      <c r="G345" t="b">
        <f>IF('Input and Summary Results'!$J$4="yes",IF(C345=FALSE,FALSE,IF(E345&lt;$R$10,'Data Transformation'!E345,$R$10)),IF(C345=FALSE,FALSE,IF('Data Transformation'!C345&lt;$R$10,C345,$R$10)))</f>
        <v>0</v>
      </c>
      <c r="H345" t="b">
        <f>IF('Input and Summary Results'!$J$4="yes",'Data Transformation'!F345,'Data Transformation'!D345)</f>
        <v>0</v>
      </c>
    </row>
    <row r="346" spans="2:8" x14ac:dyDescent="0.25">
      <c r="B346" t="b">
        <f>IF('Input and Summary Results'!D329="",FALSE,'Input and Summary Results'!$B329)</f>
        <v>0</v>
      </c>
      <c r="C346" t="b">
        <f>IF(OR(B346=0,'Input and Summary Results'!D329=0,'Input and Summary Results'!D329=""),FALSE,'Input and Summary Results'!$D329)</f>
        <v>0</v>
      </c>
      <c r="D346" t="b">
        <f>IF(OR(B346=0,'Input and Summary Results'!E329=0),FALSE,'Input and Summary Results'!$E329)</f>
        <v>0</v>
      </c>
      <c r="E346" t="b">
        <f t="shared" si="15"/>
        <v>0</v>
      </c>
      <c r="F346" s="13" t="b">
        <f t="shared" si="16"/>
        <v>0</v>
      </c>
      <c r="G346" t="b">
        <f>IF('Input and Summary Results'!$J$4="yes",IF(C346=FALSE,FALSE,IF(E346&lt;$R$10,'Data Transformation'!E346,$R$10)),IF(C346=FALSE,FALSE,IF('Data Transformation'!C346&lt;$R$10,C346,$R$10)))</f>
        <v>0</v>
      </c>
      <c r="H346" t="b">
        <f>IF('Input and Summary Results'!$J$4="yes",'Data Transformation'!F346,'Data Transformation'!D346)</f>
        <v>0</v>
      </c>
    </row>
    <row r="347" spans="2:8" x14ac:dyDescent="0.25">
      <c r="B347" t="b">
        <f>IF('Input and Summary Results'!D330="",FALSE,'Input and Summary Results'!$B330)</f>
        <v>0</v>
      </c>
      <c r="C347" t="b">
        <f>IF(OR(B347=0,'Input and Summary Results'!D330=0,'Input and Summary Results'!D330=""),FALSE,'Input and Summary Results'!$D330)</f>
        <v>0</v>
      </c>
      <c r="D347" t="b">
        <f>IF(OR(B347=0,'Input and Summary Results'!E330=0),FALSE,'Input and Summary Results'!$E330)</f>
        <v>0</v>
      </c>
      <c r="E347" t="b">
        <f t="shared" si="15"/>
        <v>0</v>
      </c>
      <c r="F347" s="13" t="b">
        <f t="shared" si="16"/>
        <v>0</v>
      </c>
      <c r="G347" t="b">
        <f>IF('Input and Summary Results'!$J$4="yes",IF(C347=FALSE,FALSE,IF(E347&lt;$R$10,'Data Transformation'!E347,$R$10)),IF(C347=FALSE,FALSE,IF('Data Transformation'!C347&lt;$R$10,C347,$R$10)))</f>
        <v>0</v>
      </c>
      <c r="H347" t="b">
        <f>IF('Input and Summary Results'!$J$4="yes",'Data Transformation'!F347,'Data Transformation'!D347)</f>
        <v>0</v>
      </c>
    </row>
    <row r="348" spans="2:8" x14ac:dyDescent="0.25">
      <c r="B348" t="b">
        <f>IF('Input and Summary Results'!D331="",FALSE,'Input and Summary Results'!$B331)</f>
        <v>0</v>
      </c>
      <c r="C348" t="b">
        <f>IF(OR(B348=0,'Input and Summary Results'!D331=0,'Input and Summary Results'!D331=""),FALSE,'Input and Summary Results'!$D331)</f>
        <v>0</v>
      </c>
      <c r="D348" t="b">
        <f>IF(OR(B348=0,'Input and Summary Results'!E331=0),FALSE,'Input and Summary Results'!$E331)</f>
        <v>0</v>
      </c>
      <c r="E348" t="b">
        <f t="shared" si="15"/>
        <v>0</v>
      </c>
      <c r="F348" s="13" t="b">
        <f t="shared" si="16"/>
        <v>0</v>
      </c>
      <c r="G348" t="b">
        <f>IF('Input and Summary Results'!$J$4="yes",IF(C348=FALSE,FALSE,IF(E348&lt;$R$10,'Data Transformation'!E348,$R$10)),IF(C348=FALSE,FALSE,IF('Data Transformation'!C348&lt;$R$10,C348,$R$10)))</f>
        <v>0</v>
      </c>
      <c r="H348" t="b">
        <f>IF('Input and Summary Results'!$J$4="yes",'Data Transformation'!F348,'Data Transformation'!D348)</f>
        <v>0</v>
      </c>
    </row>
    <row r="349" spans="2:8" x14ac:dyDescent="0.25">
      <c r="B349" t="b">
        <f>IF('Input and Summary Results'!D332="",FALSE,'Input and Summary Results'!$B332)</f>
        <v>0</v>
      </c>
      <c r="C349" t="b">
        <f>IF(OR(B349=0,'Input and Summary Results'!D332=0,'Input and Summary Results'!D332=""),FALSE,'Input and Summary Results'!$D332)</f>
        <v>0</v>
      </c>
      <c r="D349" t="b">
        <f>IF(OR(B349=0,'Input and Summary Results'!E332=0),FALSE,'Input and Summary Results'!$E332)</f>
        <v>0</v>
      </c>
      <c r="E349" t="b">
        <f t="shared" si="15"/>
        <v>0</v>
      </c>
      <c r="F349" s="13" t="b">
        <f t="shared" si="16"/>
        <v>0</v>
      </c>
      <c r="G349" t="b">
        <f>IF('Input and Summary Results'!$J$4="yes",IF(C349=FALSE,FALSE,IF(E349&lt;$R$10,'Data Transformation'!E349,$R$10)),IF(C349=FALSE,FALSE,IF('Data Transformation'!C349&lt;$R$10,C349,$R$10)))</f>
        <v>0</v>
      </c>
      <c r="H349" t="b">
        <f>IF('Input and Summary Results'!$J$4="yes",'Data Transformation'!F349,'Data Transformation'!D349)</f>
        <v>0</v>
      </c>
    </row>
    <row r="350" spans="2:8" x14ac:dyDescent="0.25">
      <c r="B350" t="b">
        <f>IF('Input and Summary Results'!D333="",FALSE,'Input and Summary Results'!$B333)</f>
        <v>0</v>
      </c>
      <c r="C350" t="b">
        <f>IF(OR(B350=0,'Input and Summary Results'!D333=0,'Input and Summary Results'!D333=""),FALSE,'Input and Summary Results'!$D333)</f>
        <v>0</v>
      </c>
      <c r="D350" t="b">
        <f>IF(OR(B350=0,'Input and Summary Results'!E333=0),FALSE,'Input and Summary Results'!$E333)</f>
        <v>0</v>
      </c>
      <c r="E350" t="b">
        <f t="shared" si="15"/>
        <v>0</v>
      </c>
      <c r="F350" s="13" t="b">
        <f t="shared" si="16"/>
        <v>0</v>
      </c>
      <c r="G350" t="b">
        <f>IF('Input and Summary Results'!$J$4="yes",IF(C350=FALSE,FALSE,IF(E350&lt;$R$10,'Data Transformation'!E350,$R$10)),IF(C350=FALSE,FALSE,IF('Data Transformation'!C350&lt;$R$10,C350,$R$10)))</f>
        <v>0</v>
      </c>
      <c r="H350" t="b">
        <f>IF('Input and Summary Results'!$J$4="yes",'Data Transformation'!F350,'Data Transformation'!D350)</f>
        <v>0</v>
      </c>
    </row>
    <row r="351" spans="2:8" x14ac:dyDescent="0.25">
      <c r="B351" t="b">
        <f>IF('Input and Summary Results'!D334="",FALSE,'Input and Summary Results'!$B334)</f>
        <v>0</v>
      </c>
      <c r="C351" t="b">
        <f>IF(OR(B351=0,'Input and Summary Results'!D334=0,'Input and Summary Results'!D334=""),FALSE,'Input and Summary Results'!$D334)</f>
        <v>0</v>
      </c>
      <c r="D351" t="b">
        <f>IF(OR(B351=0,'Input and Summary Results'!E334=0),FALSE,'Input and Summary Results'!$E334)</f>
        <v>0</v>
      </c>
      <c r="E351" t="b">
        <f t="shared" si="15"/>
        <v>0</v>
      </c>
      <c r="F351" s="13" t="b">
        <f t="shared" si="16"/>
        <v>0</v>
      </c>
      <c r="G351" t="b">
        <f>IF('Input and Summary Results'!$J$4="yes",IF(C351=FALSE,FALSE,IF(E351&lt;$R$10,'Data Transformation'!E351,$R$10)),IF(C351=FALSE,FALSE,IF('Data Transformation'!C351&lt;$R$10,C351,$R$10)))</f>
        <v>0</v>
      </c>
      <c r="H351" t="b">
        <f>IF('Input and Summary Results'!$J$4="yes",'Data Transformation'!F351,'Data Transformation'!D351)</f>
        <v>0</v>
      </c>
    </row>
    <row r="352" spans="2:8" x14ac:dyDescent="0.25">
      <c r="B352" t="b">
        <f>IF('Input and Summary Results'!D335="",FALSE,'Input and Summary Results'!$B335)</f>
        <v>0</v>
      </c>
      <c r="C352" t="b">
        <f>IF(OR(B352=0,'Input and Summary Results'!D335=0,'Input and Summary Results'!D335=""),FALSE,'Input and Summary Results'!$D335)</f>
        <v>0</v>
      </c>
      <c r="D352" t="b">
        <f>IF(OR(B352=0,'Input and Summary Results'!E335=0),FALSE,'Input and Summary Results'!$E335)</f>
        <v>0</v>
      </c>
      <c r="E352" t="b">
        <f t="shared" si="15"/>
        <v>0</v>
      </c>
      <c r="F352" s="13" t="b">
        <f t="shared" si="16"/>
        <v>0</v>
      </c>
      <c r="G352" t="b">
        <f>IF('Input and Summary Results'!$J$4="yes",IF(C352=FALSE,FALSE,IF(E352&lt;$R$10,'Data Transformation'!E352,$R$10)),IF(C352=FALSE,FALSE,IF('Data Transformation'!C352&lt;$R$10,C352,$R$10)))</f>
        <v>0</v>
      </c>
      <c r="H352" t="b">
        <f>IF('Input and Summary Results'!$J$4="yes",'Data Transformation'!F352,'Data Transformation'!D352)</f>
        <v>0</v>
      </c>
    </row>
    <row r="353" spans="2:8" x14ac:dyDescent="0.25">
      <c r="B353" t="b">
        <f>IF('Input and Summary Results'!D336="",FALSE,'Input and Summary Results'!$B336)</f>
        <v>0</v>
      </c>
      <c r="C353" t="b">
        <f>IF(OR(B353=0,'Input and Summary Results'!D336=0,'Input and Summary Results'!D336=""),FALSE,'Input and Summary Results'!$D336)</f>
        <v>0</v>
      </c>
      <c r="D353" t="b">
        <f>IF(OR(B353=0,'Input and Summary Results'!E336=0),FALSE,'Input and Summary Results'!$E336)</f>
        <v>0</v>
      </c>
      <c r="E353" t="b">
        <f t="shared" si="15"/>
        <v>0</v>
      </c>
      <c r="F353" s="13" t="b">
        <f t="shared" si="16"/>
        <v>0</v>
      </c>
      <c r="G353" t="b">
        <f>IF('Input and Summary Results'!$J$4="yes",IF(C353=FALSE,FALSE,IF(E353&lt;$R$10,'Data Transformation'!E353,$R$10)),IF(C353=FALSE,FALSE,IF('Data Transformation'!C353&lt;$R$10,C353,$R$10)))</f>
        <v>0</v>
      </c>
      <c r="H353" t="b">
        <f>IF('Input and Summary Results'!$J$4="yes",'Data Transformation'!F353,'Data Transformation'!D353)</f>
        <v>0</v>
      </c>
    </row>
    <row r="354" spans="2:8" x14ac:dyDescent="0.25">
      <c r="B354" t="b">
        <f>IF('Input and Summary Results'!D337="",FALSE,'Input and Summary Results'!$B337)</f>
        <v>0</v>
      </c>
      <c r="C354" t="b">
        <f>IF(OR(B354=0,'Input and Summary Results'!D337=0,'Input and Summary Results'!D337=""),FALSE,'Input and Summary Results'!$D337)</f>
        <v>0</v>
      </c>
      <c r="D354" t="b">
        <f>IF(OR(B354=0,'Input and Summary Results'!E337=0),FALSE,'Input and Summary Results'!$E337)</f>
        <v>0</v>
      </c>
      <c r="E354" t="b">
        <f t="shared" si="15"/>
        <v>0</v>
      </c>
      <c r="F354" s="13" t="b">
        <f t="shared" si="16"/>
        <v>0</v>
      </c>
      <c r="G354" t="b">
        <f>IF('Input and Summary Results'!$J$4="yes",IF(C354=FALSE,FALSE,IF(E354&lt;$R$10,'Data Transformation'!E354,$R$10)),IF(C354=FALSE,FALSE,IF('Data Transformation'!C354&lt;$R$10,C354,$R$10)))</f>
        <v>0</v>
      </c>
      <c r="H354" t="b">
        <f>IF('Input and Summary Results'!$J$4="yes",'Data Transformation'!F354,'Data Transformation'!D354)</f>
        <v>0</v>
      </c>
    </row>
    <row r="355" spans="2:8" x14ac:dyDescent="0.25">
      <c r="B355" t="b">
        <f>IF('Input and Summary Results'!D338="",FALSE,'Input and Summary Results'!$B338)</f>
        <v>0</v>
      </c>
      <c r="C355" t="b">
        <f>IF(OR(B355=0,'Input and Summary Results'!D338=0,'Input and Summary Results'!D338=""),FALSE,'Input and Summary Results'!$D338)</f>
        <v>0</v>
      </c>
      <c r="D355" t="b">
        <f>IF(OR(B355=0,'Input and Summary Results'!E338=0),FALSE,'Input and Summary Results'!$E338)</f>
        <v>0</v>
      </c>
      <c r="E355" t="b">
        <f t="shared" si="15"/>
        <v>0</v>
      </c>
      <c r="F355" s="13" t="b">
        <f t="shared" si="16"/>
        <v>0</v>
      </c>
      <c r="G355" t="b">
        <f>IF('Input and Summary Results'!$J$4="yes",IF(C355=FALSE,FALSE,IF(E355&lt;$R$10,'Data Transformation'!E355,$R$10)),IF(C355=FALSE,FALSE,IF('Data Transformation'!C355&lt;$R$10,C355,$R$10)))</f>
        <v>0</v>
      </c>
      <c r="H355" t="b">
        <f>IF('Input and Summary Results'!$J$4="yes",'Data Transformation'!F355,'Data Transformation'!D355)</f>
        <v>0</v>
      </c>
    </row>
    <row r="356" spans="2:8" x14ac:dyDescent="0.25">
      <c r="B356" t="b">
        <f>IF('Input and Summary Results'!D339="",FALSE,'Input and Summary Results'!$B339)</f>
        <v>0</v>
      </c>
      <c r="C356" t="b">
        <f>IF(OR(B356=0,'Input and Summary Results'!D339=0,'Input and Summary Results'!D339=""),FALSE,'Input and Summary Results'!$D339)</f>
        <v>0</v>
      </c>
      <c r="D356" t="b">
        <f>IF(OR(B356=0,'Input and Summary Results'!E339=0),FALSE,'Input and Summary Results'!$E339)</f>
        <v>0</v>
      </c>
      <c r="E356" t="b">
        <f t="shared" si="15"/>
        <v>0</v>
      </c>
      <c r="F356" s="13" t="b">
        <f t="shared" si="16"/>
        <v>0</v>
      </c>
      <c r="G356" t="b">
        <f>IF('Input and Summary Results'!$J$4="yes",IF(C356=FALSE,FALSE,IF(E356&lt;$R$10,'Data Transformation'!E356,$R$10)),IF(C356=FALSE,FALSE,IF('Data Transformation'!C356&lt;$R$10,C356,$R$10)))</f>
        <v>0</v>
      </c>
      <c r="H356" t="b">
        <f>IF('Input and Summary Results'!$J$4="yes",'Data Transformation'!F356,'Data Transformation'!D356)</f>
        <v>0</v>
      </c>
    </row>
    <row r="357" spans="2:8" x14ac:dyDescent="0.25">
      <c r="B357" t="b">
        <f>IF('Input and Summary Results'!D340="",FALSE,'Input and Summary Results'!$B340)</f>
        <v>0</v>
      </c>
      <c r="C357" t="b">
        <f>IF(OR(B357=0,'Input and Summary Results'!D340=0,'Input and Summary Results'!D340=""),FALSE,'Input and Summary Results'!$D340)</f>
        <v>0</v>
      </c>
      <c r="D357" t="b">
        <f>IF(OR(B357=0,'Input and Summary Results'!E340=0),FALSE,'Input and Summary Results'!$E340)</f>
        <v>0</v>
      </c>
      <c r="E357" t="b">
        <f t="shared" si="15"/>
        <v>0</v>
      </c>
      <c r="F357" s="13" t="b">
        <f t="shared" si="16"/>
        <v>0</v>
      </c>
      <c r="G357" t="b">
        <f>IF('Input and Summary Results'!$J$4="yes",IF(C357=FALSE,FALSE,IF(E357&lt;$R$10,'Data Transformation'!E357,$R$10)),IF(C357=FALSE,FALSE,IF('Data Transformation'!C357&lt;$R$10,C357,$R$10)))</f>
        <v>0</v>
      </c>
      <c r="H357" t="b">
        <f>IF('Input and Summary Results'!$J$4="yes",'Data Transformation'!F357,'Data Transformation'!D357)</f>
        <v>0</v>
      </c>
    </row>
    <row r="358" spans="2:8" x14ac:dyDescent="0.25">
      <c r="B358" t="b">
        <f>IF('Input and Summary Results'!D341="",FALSE,'Input and Summary Results'!$B341)</f>
        <v>0</v>
      </c>
      <c r="C358" t="b">
        <f>IF(OR(B358=0,'Input and Summary Results'!D341=0,'Input and Summary Results'!D341=""),FALSE,'Input and Summary Results'!$D341)</f>
        <v>0</v>
      </c>
      <c r="D358" t="b">
        <f>IF(OR(B358=0,'Input and Summary Results'!E341=0),FALSE,'Input and Summary Results'!$E341)</f>
        <v>0</v>
      </c>
      <c r="E358" t="b">
        <f t="shared" si="15"/>
        <v>0</v>
      </c>
      <c r="F358" s="13" t="b">
        <f t="shared" si="16"/>
        <v>0</v>
      </c>
      <c r="G358" t="b">
        <f>IF('Input and Summary Results'!$J$4="yes",IF(C358=FALSE,FALSE,IF(E358&lt;$R$10,'Data Transformation'!E358,$R$10)),IF(C358=FALSE,FALSE,IF('Data Transformation'!C358&lt;$R$10,C358,$R$10)))</f>
        <v>0</v>
      </c>
      <c r="H358" t="b">
        <f>IF('Input and Summary Results'!$J$4="yes",'Data Transformation'!F358,'Data Transformation'!D358)</f>
        <v>0</v>
      </c>
    </row>
    <row r="359" spans="2:8" x14ac:dyDescent="0.25">
      <c r="B359" t="b">
        <f>IF('Input and Summary Results'!D342="",FALSE,'Input and Summary Results'!$B342)</f>
        <v>0</v>
      </c>
      <c r="C359" t="b">
        <f>IF(OR(B359=0,'Input and Summary Results'!D342=0,'Input and Summary Results'!D342=""),FALSE,'Input and Summary Results'!$D342)</f>
        <v>0</v>
      </c>
      <c r="D359" t="b">
        <f>IF(OR(B359=0,'Input and Summary Results'!E342=0),FALSE,'Input and Summary Results'!$E342)</f>
        <v>0</v>
      </c>
      <c r="E359" t="b">
        <f t="shared" si="15"/>
        <v>0</v>
      </c>
      <c r="F359" s="13" t="b">
        <f t="shared" si="16"/>
        <v>0</v>
      </c>
      <c r="G359" t="b">
        <f>IF('Input and Summary Results'!$J$4="yes",IF(C359=FALSE,FALSE,IF(E359&lt;$R$10,'Data Transformation'!E359,$R$10)),IF(C359=FALSE,FALSE,IF('Data Transformation'!C359&lt;$R$10,C359,$R$10)))</f>
        <v>0</v>
      </c>
      <c r="H359" t="b">
        <f>IF('Input and Summary Results'!$J$4="yes",'Data Transformation'!F359,'Data Transformation'!D359)</f>
        <v>0</v>
      </c>
    </row>
    <row r="360" spans="2:8" x14ac:dyDescent="0.25">
      <c r="B360" t="b">
        <f>IF('Input and Summary Results'!D343="",FALSE,'Input and Summary Results'!$B343)</f>
        <v>0</v>
      </c>
      <c r="C360" t="b">
        <f>IF(OR(B360=0,'Input and Summary Results'!D343=0,'Input and Summary Results'!D343=""),FALSE,'Input and Summary Results'!$D343)</f>
        <v>0</v>
      </c>
      <c r="D360" t="b">
        <f>IF(OR(B360=0,'Input and Summary Results'!E343=0),FALSE,'Input and Summary Results'!$E343)</f>
        <v>0</v>
      </c>
      <c r="E360" t="b">
        <f t="shared" si="15"/>
        <v>0</v>
      </c>
      <c r="F360" s="13" t="b">
        <f t="shared" si="16"/>
        <v>0</v>
      </c>
      <c r="G360" t="b">
        <f>IF('Input and Summary Results'!$J$4="yes",IF(C360=FALSE,FALSE,IF(E360&lt;$R$10,'Data Transformation'!E360,$R$10)),IF(C360=FALSE,FALSE,IF('Data Transformation'!C360&lt;$R$10,C360,$R$10)))</f>
        <v>0</v>
      </c>
      <c r="H360" t="b">
        <f>IF('Input and Summary Results'!$J$4="yes",'Data Transformation'!F360,'Data Transformation'!D360)</f>
        <v>0</v>
      </c>
    </row>
    <row r="361" spans="2:8" x14ac:dyDescent="0.25">
      <c r="B361" t="b">
        <f>IF('Input and Summary Results'!D344="",FALSE,'Input and Summary Results'!$B344)</f>
        <v>0</v>
      </c>
      <c r="C361" t="b">
        <f>IF(OR(B361=0,'Input and Summary Results'!D344=0,'Input and Summary Results'!D344=""),FALSE,'Input and Summary Results'!$D344)</f>
        <v>0</v>
      </c>
      <c r="D361" t="b">
        <f>IF(OR(B361=0,'Input and Summary Results'!E344=0),FALSE,'Input and Summary Results'!$E344)</f>
        <v>0</v>
      </c>
      <c r="E361" t="b">
        <f t="shared" si="15"/>
        <v>0</v>
      </c>
      <c r="F361" s="13" t="b">
        <f t="shared" si="16"/>
        <v>0</v>
      </c>
      <c r="G361" t="b">
        <f>IF('Input and Summary Results'!$J$4="yes",IF(C361=FALSE,FALSE,IF(E361&lt;$R$10,'Data Transformation'!E361,$R$10)),IF(C361=FALSE,FALSE,IF('Data Transformation'!C361&lt;$R$10,C361,$R$10)))</f>
        <v>0</v>
      </c>
      <c r="H361" t="b">
        <f>IF('Input and Summary Results'!$J$4="yes",'Data Transformation'!F361,'Data Transformation'!D361)</f>
        <v>0</v>
      </c>
    </row>
    <row r="362" spans="2:8" x14ac:dyDescent="0.25">
      <c r="B362" t="b">
        <f>IF('Input and Summary Results'!D345="",FALSE,'Input and Summary Results'!$B345)</f>
        <v>0</v>
      </c>
      <c r="C362" t="b">
        <f>IF(OR(B362=0,'Input and Summary Results'!D345=0,'Input and Summary Results'!D345=""),FALSE,'Input and Summary Results'!$D345)</f>
        <v>0</v>
      </c>
      <c r="D362" t="b">
        <f>IF(OR(B362=0,'Input and Summary Results'!E345=0),FALSE,'Input and Summary Results'!$E345)</f>
        <v>0</v>
      </c>
      <c r="E362" t="b">
        <f t="shared" si="15"/>
        <v>0</v>
      </c>
      <c r="F362" s="13" t="b">
        <f t="shared" si="16"/>
        <v>0</v>
      </c>
      <c r="G362" t="b">
        <f>IF('Input and Summary Results'!$J$4="yes",IF(C362=FALSE,FALSE,IF(E362&lt;$R$10,'Data Transformation'!E362,$R$10)),IF(C362=FALSE,FALSE,IF('Data Transformation'!C362&lt;$R$10,C362,$R$10)))</f>
        <v>0</v>
      </c>
      <c r="H362" t="b">
        <f>IF('Input and Summary Results'!$J$4="yes",'Data Transformation'!F362,'Data Transformation'!D362)</f>
        <v>0</v>
      </c>
    </row>
    <row r="363" spans="2:8" x14ac:dyDescent="0.25">
      <c r="B363" t="b">
        <f>IF('Input and Summary Results'!D346="",FALSE,'Input and Summary Results'!$B346)</f>
        <v>0</v>
      </c>
      <c r="C363" t="b">
        <f>IF(OR(B363=0,'Input and Summary Results'!D346=0,'Input and Summary Results'!D346=""),FALSE,'Input and Summary Results'!$D346)</f>
        <v>0</v>
      </c>
      <c r="D363" t="b">
        <f>IF(OR(B363=0,'Input and Summary Results'!E346=0),FALSE,'Input and Summary Results'!$E346)</f>
        <v>0</v>
      </c>
      <c r="E363" t="b">
        <f t="shared" si="15"/>
        <v>0</v>
      </c>
      <c r="F363" s="13" t="b">
        <f t="shared" si="16"/>
        <v>0</v>
      </c>
      <c r="G363" t="b">
        <f>IF('Input and Summary Results'!$J$4="yes",IF(C363=FALSE,FALSE,IF(E363&lt;$R$10,'Data Transformation'!E363,$R$10)),IF(C363=FALSE,FALSE,IF('Data Transformation'!C363&lt;$R$10,C363,$R$10)))</f>
        <v>0</v>
      </c>
      <c r="H363" t="b">
        <f>IF('Input and Summary Results'!$J$4="yes",'Data Transformation'!F363,'Data Transformation'!D363)</f>
        <v>0</v>
      </c>
    </row>
    <row r="364" spans="2:8" x14ac:dyDescent="0.25">
      <c r="B364" t="b">
        <f>IF('Input and Summary Results'!D347="",FALSE,'Input and Summary Results'!$B347)</f>
        <v>0</v>
      </c>
      <c r="C364" t="b">
        <f>IF(OR(B364=0,'Input and Summary Results'!D347=0,'Input and Summary Results'!D347=""),FALSE,'Input and Summary Results'!$D347)</f>
        <v>0</v>
      </c>
      <c r="D364" t="b">
        <f>IF(OR(B364=0,'Input and Summary Results'!E347=0),FALSE,'Input and Summary Results'!$E347)</f>
        <v>0</v>
      </c>
      <c r="E364" t="b">
        <f t="shared" si="15"/>
        <v>0</v>
      </c>
      <c r="F364" s="13" t="b">
        <f t="shared" si="16"/>
        <v>0</v>
      </c>
      <c r="G364" t="b">
        <f>IF('Input and Summary Results'!$J$4="yes",IF(C364=FALSE,FALSE,IF(E364&lt;$R$10,'Data Transformation'!E364,$R$10)),IF(C364=FALSE,FALSE,IF('Data Transformation'!C364&lt;$R$10,C364,$R$10)))</f>
        <v>0</v>
      </c>
      <c r="H364" t="b">
        <f>IF('Input and Summary Results'!$J$4="yes",'Data Transformation'!F364,'Data Transformation'!D364)</f>
        <v>0</v>
      </c>
    </row>
    <row r="365" spans="2:8" x14ac:dyDescent="0.25">
      <c r="B365" t="b">
        <f>IF('Input and Summary Results'!D348="",FALSE,'Input and Summary Results'!$B348)</f>
        <v>0</v>
      </c>
      <c r="C365" t="b">
        <f>IF(OR(B365=0,'Input and Summary Results'!D348=0,'Input and Summary Results'!D348=""),FALSE,'Input and Summary Results'!$D348)</f>
        <v>0</v>
      </c>
      <c r="D365" t="b">
        <f>IF(OR(B365=0,'Input and Summary Results'!E348=0),FALSE,'Input and Summary Results'!$E348)</f>
        <v>0</v>
      </c>
      <c r="E365" t="b">
        <f t="shared" si="15"/>
        <v>0</v>
      </c>
      <c r="F365" s="13" t="b">
        <f t="shared" si="16"/>
        <v>0</v>
      </c>
      <c r="G365" t="b">
        <f>IF('Input and Summary Results'!$J$4="yes",IF(C365=FALSE,FALSE,IF(E365&lt;$R$10,'Data Transformation'!E365,$R$10)),IF(C365=FALSE,FALSE,IF('Data Transformation'!C365&lt;$R$10,C365,$R$10)))</f>
        <v>0</v>
      </c>
      <c r="H365" t="b">
        <f>IF('Input and Summary Results'!$J$4="yes",'Data Transformation'!F365,'Data Transformation'!D365)</f>
        <v>0</v>
      </c>
    </row>
    <row r="366" spans="2:8" x14ac:dyDescent="0.25">
      <c r="B366" t="b">
        <f>IF('Input and Summary Results'!D349="",FALSE,'Input and Summary Results'!$B349)</f>
        <v>0</v>
      </c>
      <c r="C366" t="b">
        <f>IF(OR(B366=0,'Input and Summary Results'!D349=0,'Input and Summary Results'!D349=""),FALSE,'Input and Summary Results'!$D349)</f>
        <v>0</v>
      </c>
      <c r="D366" t="b">
        <f>IF(OR(B366=0,'Input and Summary Results'!E349=0),FALSE,'Input and Summary Results'!$E349)</f>
        <v>0</v>
      </c>
      <c r="E366" t="b">
        <f t="shared" si="15"/>
        <v>0</v>
      </c>
      <c r="F366" s="13" t="b">
        <f t="shared" si="16"/>
        <v>0</v>
      </c>
      <c r="G366" t="b">
        <f>IF('Input and Summary Results'!$J$4="yes",IF(C366=FALSE,FALSE,IF(E366&lt;$R$10,'Data Transformation'!E366,$R$10)),IF(C366=FALSE,FALSE,IF('Data Transformation'!C366&lt;$R$10,C366,$R$10)))</f>
        <v>0</v>
      </c>
      <c r="H366" t="b">
        <f>IF('Input and Summary Results'!$J$4="yes",'Data Transformation'!F366,'Data Transformation'!D366)</f>
        <v>0</v>
      </c>
    </row>
    <row r="367" spans="2:8" x14ac:dyDescent="0.25">
      <c r="B367" t="b">
        <f>IF('Input and Summary Results'!D350="",FALSE,'Input and Summary Results'!$B350)</f>
        <v>0</v>
      </c>
      <c r="C367" t="b">
        <f>IF(OR(B367=0,'Input and Summary Results'!D350=0,'Input and Summary Results'!D350=""),FALSE,'Input and Summary Results'!$D350)</f>
        <v>0</v>
      </c>
      <c r="D367" t="b">
        <f>IF(OR(B367=0,'Input and Summary Results'!E350=0),FALSE,'Input and Summary Results'!$E350)</f>
        <v>0</v>
      </c>
      <c r="E367" t="b">
        <f t="shared" si="15"/>
        <v>0</v>
      </c>
      <c r="F367" s="13" t="b">
        <f t="shared" si="16"/>
        <v>0</v>
      </c>
      <c r="G367" t="b">
        <f>IF('Input and Summary Results'!$J$4="yes",IF(C367=FALSE,FALSE,IF(E367&lt;$R$10,'Data Transformation'!E367,$R$10)),IF(C367=FALSE,FALSE,IF('Data Transformation'!C367&lt;$R$10,C367,$R$10)))</f>
        <v>0</v>
      </c>
      <c r="H367" t="b">
        <f>IF('Input and Summary Results'!$J$4="yes",'Data Transformation'!F367,'Data Transformation'!D367)</f>
        <v>0</v>
      </c>
    </row>
    <row r="368" spans="2:8" x14ac:dyDescent="0.25">
      <c r="B368" t="b">
        <f>IF('Input and Summary Results'!D351="",FALSE,'Input and Summary Results'!$B351)</f>
        <v>0</v>
      </c>
      <c r="C368" t="b">
        <f>IF(OR(B368=0,'Input and Summary Results'!D351=0,'Input and Summary Results'!D351=""),FALSE,'Input and Summary Results'!$D351)</f>
        <v>0</v>
      </c>
      <c r="D368" t="b">
        <f>IF(OR(B368=0,'Input and Summary Results'!E351=0),FALSE,'Input and Summary Results'!$E351)</f>
        <v>0</v>
      </c>
      <c r="E368" t="b">
        <f t="shared" si="15"/>
        <v>0</v>
      </c>
      <c r="F368" s="13" t="b">
        <f t="shared" si="16"/>
        <v>0</v>
      </c>
      <c r="G368" t="b">
        <f>IF('Input and Summary Results'!$J$4="yes",IF(C368=FALSE,FALSE,IF(E368&lt;$R$10,'Data Transformation'!E368,$R$10)),IF(C368=FALSE,FALSE,IF('Data Transformation'!C368&lt;$R$10,C368,$R$10)))</f>
        <v>0</v>
      </c>
      <c r="H368" t="b">
        <f>IF('Input and Summary Results'!$J$4="yes",'Data Transformation'!F368,'Data Transformation'!D368)</f>
        <v>0</v>
      </c>
    </row>
    <row r="369" spans="2:8" x14ac:dyDescent="0.25">
      <c r="B369" t="b">
        <f>IF('Input and Summary Results'!D352="",FALSE,'Input and Summary Results'!$B352)</f>
        <v>0</v>
      </c>
      <c r="C369" t="b">
        <f>IF(OR(B369=0,'Input and Summary Results'!D352=0,'Input and Summary Results'!D352=""),FALSE,'Input and Summary Results'!$D352)</f>
        <v>0</v>
      </c>
      <c r="D369" t="b">
        <f>IF(OR(B369=0,'Input and Summary Results'!E352=0),FALSE,'Input and Summary Results'!$E352)</f>
        <v>0</v>
      </c>
      <c r="E369" t="b">
        <f t="shared" si="15"/>
        <v>0</v>
      </c>
      <c r="F369" s="13" t="b">
        <f t="shared" si="16"/>
        <v>0</v>
      </c>
      <c r="G369" t="b">
        <f>IF('Input and Summary Results'!$J$4="yes",IF(C369=FALSE,FALSE,IF(E369&lt;$R$10,'Data Transformation'!E369,$R$10)),IF(C369=FALSE,FALSE,IF('Data Transformation'!C369&lt;$R$10,C369,$R$10)))</f>
        <v>0</v>
      </c>
      <c r="H369" t="b">
        <f>IF('Input and Summary Results'!$J$4="yes",'Data Transformation'!F369,'Data Transformation'!D369)</f>
        <v>0</v>
      </c>
    </row>
    <row r="370" spans="2:8" x14ac:dyDescent="0.25">
      <c r="B370" t="b">
        <f>IF('Input and Summary Results'!D353="",FALSE,'Input and Summary Results'!$B353)</f>
        <v>0</v>
      </c>
      <c r="C370" t="b">
        <f>IF(OR(B370=0,'Input and Summary Results'!D353=0,'Input and Summary Results'!D353=""),FALSE,'Input and Summary Results'!$D353)</f>
        <v>0</v>
      </c>
      <c r="D370" t="b">
        <f>IF(OR(B370=0,'Input and Summary Results'!E353=0),FALSE,'Input and Summary Results'!$E353)</f>
        <v>0</v>
      </c>
      <c r="E370" t="b">
        <f t="shared" si="15"/>
        <v>0</v>
      </c>
      <c r="F370" s="13" t="b">
        <f t="shared" si="16"/>
        <v>0</v>
      </c>
      <c r="G370" t="b">
        <f>IF('Input and Summary Results'!$J$4="yes",IF(C370=FALSE,FALSE,IF(E370&lt;$R$10,'Data Transformation'!E370,$R$10)),IF(C370=FALSE,FALSE,IF('Data Transformation'!C370&lt;$R$10,C370,$R$10)))</f>
        <v>0</v>
      </c>
      <c r="H370" t="b">
        <f>IF('Input and Summary Results'!$J$4="yes",'Data Transformation'!F370,'Data Transformation'!D370)</f>
        <v>0</v>
      </c>
    </row>
    <row r="371" spans="2:8" x14ac:dyDescent="0.25">
      <c r="B371" t="b">
        <f>IF('Input and Summary Results'!D354="",FALSE,'Input and Summary Results'!$B354)</f>
        <v>0</v>
      </c>
      <c r="C371" t="b">
        <f>IF(OR(B371=0,'Input and Summary Results'!D354=0,'Input and Summary Results'!D354=""),FALSE,'Input and Summary Results'!$D354)</f>
        <v>0</v>
      </c>
      <c r="D371" t="b">
        <f>IF(OR(B371=0,'Input and Summary Results'!E354=0),FALSE,'Input and Summary Results'!$E354)</f>
        <v>0</v>
      </c>
      <c r="E371" t="b">
        <f t="shared" si="15"/>
        <v>0</v>
      </c>
      <c r="F371" s="13" t="b">
        <f t="shared" si="16"/>
        <v>0</v>
      </c>
      <c r="G371" t="b">
        <f>IF('Input and Summary Results'!$J$4="yes",IF(C371=FALSE,FALSE,IF(E371&lt;$R$10,'Data Transformation'!E371,$R$10)),IF(C371=FALSE,FALSE,IF('Data Transformation'!C371&lt;$R$10,C371,$R$10)))</f>
        <v>0</v>
      </c>
      <c r="H371" t="b">
        <f>IF('Input and Summary Results'!$J$4="yes",'Data Transformation'!F371,'Data Transformation'!D371)</f>
        <v>0</v>
      </c>
    </row>
    <row r="372" spans="2:8" x14ac:dyDescent="0.25">
      <c r="B372" t="b">
        <f>IF('Input and Summary Results'!D355="",FALSE,'Input and Summary Results'!$B355)</f>
        <v>0</v>
      </c>
      <c r="C372" t="b">
        <f>IF(OR(B372=0,'Input and Summary Results'!D355=0,'Input and Summary Results'!D355=""),FALSE,'Input and Summary Results'!$D355)</f>
        <v>0</v>
      </c>
      <c r="D372" t="b">
        <f>IF(OR(B372=0,'Input and Summary Results'!E355=0),FALSE,'Input and Summary Results'!$E355)</f>
        <v>0</v>
      </c>
      <c r="E372" t="b">
        <f t="shared" si="15"/>
        <v>0</v>
      </c>
      <c r="F372" s="13" t="b">
        <f t="shared" si="16"/>
        <v>0</v>
      </c>
      <c r="G372" t="b">
        <f>IF('Input and Summary Results'!$J$4="yes",IF(C372=FALSE,FALSE,IF(E372&lt;$R$10,'Data Transformation'!E372,$R$10)),IF(C372=FALSE,FALSE,IF('Data Transformation'!C372&lt;$R$10,C372,$R$10)))</f>
        <v>0</v>
      </c>
      <c r="H372" t="b">
        <f>IF('Input and Summary Results'!$J$4="yes",'Data Transformation'!F372,'Data Transformation'!D372)</f>
        <v>0</v>
      </c>
    </row>
    <row r="373" spans="2:8" x14ac:dyDescent="0.25">
      <c r="B373" t="b">
        <f>IF('Input and Summary Results'!D356="",FALSE,'Input and Summary Results'!$B356)</f>
        <v>0</v>
      </c>
      <c r="C373" t="b">
        <f>IF(OR(B373=0,'Input and Summary Results'!D356=0,'Input and Summary Results'!D356=""),FALSE,'Input and Summary Results'!$D356)</f>
        <v>0</v>
      </c>
      <c r="D373" t="b">
        <f>IF(OR(B373=0,'Input and Summary Results'!E356=0),FALSE,'Input and Summary Results'!$E356)</f>
        <v>0</v>
      </c>
      <c r="E373" t="b">
        <f t="shared" si="15"/>
        <v>0</v>
      </c>
      <c r="F373" s="13" t="b">
        <f t="shared" si="16"/>
        <v>0</v>
      </c>
      <c r="G373" t="b">
        <f>IF('Input and Summary Results'!$J$4="yes",IF(C373=FALSE,FALSE,IF(E373&lt;$R$10,'Data Transformation'!E373,$R$10)),IF(C373=FALSE,FALSE,IF('Data Transformation'!C373&lt;$R$10,C373,$R$10)))</f>
        <v>0</v>
      </c>
      <c r="H373" t="b">
        <f>IF('Input and Summary Results'!$J$4="yes",'Data Transformation'!F373,'Data Transformation'!D373)</f>
        <v>0</v>
      </c>
    </row>
    <row r="374" spans="2:8" x14ac:dyDescent="0.25">
      <c r="B374" t="b">
        <f>IF('Input and Summary Results'!D357="",FALSE,'Input and Summary Results'!$B357)</f>
        <v>0</v>
      </c>
      <c r="C374" t="b">
        <f>IF(OR(B374=0,'Input and Summary Results'!D357=0,'Input and Summary Results'!D357=""),FALSE,'Input and Summary Results'!$D357)</f>
        <v>0</v>
      </c>
      <c r="D374" t="b">
        <f>IF(OR(B374=0,'Input and Summary Results'!E357=0),FALSE,'Input and Summary Results'!$E357)</f>
        <v>0</v>
      </c>
      <c r="E374" t="b">
        <f t="shared" si="15"/>
        <v>0</v>
      </c>
      <c r="F374" s="13" t="b">
        <f t="shared" si="16"/>
        <v>0</v>
      </c>
      <c r="G374" t="b">
        <f>IF('Input and Summary Results'!$J$4="yes",IF(C374=FALSE,FALSE,IF(E374&lt;$R$10,'Data Transformation'!E374,$R$10)),IF(C374=FALSE,FALSE,IF('Data Transformation'!C374&lt;$R$10,C374,$R$10)))</f>
        <v>0</v>
      </c>
      <c r="H374" t="b">
        <f>IF('Input and Summary Results'!$J$4="yes",'Data Transformation'!F374,'Data Transformation'!D374)</f>
        <v>0</v>
      </c>
    </row>
    <row r="375" spans="2:8" x14ac:dyDescent="0.25">
      <c r="B375" t="b">
        <f>IF('Input and Summary Results'!D358="",FALSE,'Input and Summary Results'!$B358)</f>
        <v>0</v>
      </c>
      <c r="C375" t="b">
        <f>IF(OR(B375=0,'Input and Summary Results'!D358=0,'Input and Summary Results'!D358=""),FALSE,'Input and Summary Results'!$D358)</f>
        <v>0</v>
      </c>
      <c r="D375" t="b">
        <f>IF(OR(B375=0,'Input and Summary Results'!E358=0),FALSE,'Input and Summary Results'!$E358)</f>
        <v>0</v>
      </c>
      <c r="E375" t="b">
        <f t="shared" si="15"/>
        <v>0</v>
      </c>
      <c r="F375" s="13" t="b">
        <f t="shared" si="16"/>
        <v>0</v>
      </c>
      <c r="G375" t="b">
        <f>IF('Input and Summary Results'!$J$4="yes",IF(C375=FALSE,FALSE,IF(E375&lt;$R$10,'Data Transformation'!E375,$R$10)),IF(C375=FALSE,FALSE,IF('Data Transformation'!C375&lt;$R$10,C375,$R$10)))</f>
        <v>0</v>
      </c>
      <c r="H375" t="b">
        <f>IF('Input and Summary Results'!$J$4="yes",'Data Transformation'!F375,'Data Transformation'!D375)</f>
        <v>0</v>
      </c>
    </row>
    <row r="376" spans="2:8" x14ac:dyDescent="0.25">
      <c r="B376" t="b">
        <f>IF('Input and Summary Results'!D359="",FALSE,'Input and Summary Results'!$B359)</f>
        <v>0</v>
      </c>
      <c r="C376" t="b">
        <f>IF(OR(B376=0,'Input and Summary Results'!D359=0,'Input and Summary Results'!D359=""),FALSE,'Input and Summary Results'!$D359)</f>
        <v>0</v>
      </c>
      <c r="D376" t="b">
        <f>IF(OR(B376=0,'Input and Summary Results'!E359=0),FALSE,'Input and Summary Results'!$E359)</f>
        <v>0</v>
      </c>
      <c r="E376" t="b">
        <f t="shared" si="15"/>
        <v>0</v>
      </c>
      <c r="F376" s="13" t="b">
        <f t="shared" si="16"/>
        <v>0</v>
      </c>
      <c r="G376" t="b">
        <f>IF('Input and Summary Results'!$J$4="yes",IF(C376=FALSE,FALSE,IF(E376&lt;$R$10,'Data Transformation'!E376,$R$10)),IF(C376=FALSE,FALSE,IF('Data Transformation'!C376&lt;$R$10,C376,$R$10)))</f>
        <v>0</v>
      </c>
      <c r="H376" t="b">
        <f>IF('Input and Summary Results'!$J$4="yes",'Data Transformation'!F376,'Data Transformation'!D376)</f>
        <v>0</v>
      </c>
    </row>
    <row r="377" spans="2:8" x14ac:dyDescent="0.25">
      <c r="B377" t="b">
        <f>IF('Input and Summary Results'!D360="",FALSE,'Input and Summary Results'!$B360)</f>
        <v>0</v>
      </c>
      <c r="C377" t="b">
        <f>IF(OR(B377=0,'Input and Summary Results'!D360=0,'Input and Summary Results'!D360=""),FALSE,'Input and Summary Results'!$D360)</f>
        <v>0</v>
      </c>
      <c r="D377" t="b">
        <f>IF(OR(B377=0,'Input and Summary Results'!E360=0),FALSE,'Input and Summary Results'!$E360)</f>
        <v>0</v>
      </c>
      <c r="E377" t="b">
        <f t="shared" si="15"/>
        <v>0</v>
      </c>
      <c r="F377" s="13" t="b">
        <f t="shared" si="16"/>
        <v>0</v>
      </c>
      <c r="G377" t="b">
        <f>IF('Input and Summary Results'!$J$4="yes",IF(C377=FALSE,FALSE,IF(E377&lt;$R$10,'Data Transformation'!E377,$R$10)),IF(C377=FALSE,FALSE,IF('Data Transformation'!C377&lt;$R$10,C377,$R$10)))</f>
        <v>0</v>
      </c>
      <c r="H377" t="b">
        <f>IF('Input and Summary Results'!$J$4="yes",'Data Transformation'!F377,'Data Transformation'!D377)</f>
        <v>0</v>
      </c>
    </row>
    <row r="378" spans="2:8" x14ac:dyDescent="0.25">
      <c r="B378" t="b">
        <f>IF('Input and Summary Results'!D361="",FALSE,'Input and Summary Results'!$B361)</f>
        <v>0</v>
      </c>
      <c r="C378" t="b">
        <f>IF(OR(B378=0,'Input and Summary Results'!D361=0,'Input and Summary Results'!D361=""),FALSE,'Input and Summary Results'!$D361)</f>
        <v>0</v>
      </c>
      <c r="D378" t="b">
        <f>IF(OR(B378=0,'Input and Summary Results'!E361=0),FALSE,'Input and Summary Results'!$E361)</f>
        <v>0</v>
      </c>
      <c r="E378" t="b">
        <f t="shared" si="15"/>
        <v>0</v>
      </c>
      <c r="F378" s="13" t="b">
        <f t="shared" si="16"/>
        <v>0</v>
      </c>
      <c r="G378" t="b">
        <f>IF('Input and Summary Results'!$J$4="yes",IF(C378=FALSE,FALSE,IF(E378&lt;$R$10,'Data Transformation'!E378,$R$10)),IF(C378=FALSE,FALSE,IF('Data Transformation'!C378&lt;$R$10,C378,$R$10)))</f>
        <v>0</v>
      </c>
      <c r="H378" t="b">
        <f>IF('Input and Summary Results'!$J$4="yes",'Data Transformation'!F378,'Data Transformation'!D378)</f>
        <v>0</v>
      </c>
    </row>
    <row r="379" spans="2:8" x14ac:dyDescent="0.25">
      <c r="B379" t="b">
        <f>IF('Input and Summary Results'!D362="",FALSE,'Input and Summary Results'!$B362)</f>
        <v>0</v>
      </c>
      <c r="C379" t="b">
        <f>IF(OR(B379=0,'Input and Summary Results'!D362=0,'Input and Summary Results'!D362=""),FALSE,'Input and Summary Results'!$D362)</f>
        <v>0</v>
      </c>
      <c r="D379" t="b">
        <f>IF(OR(B379=0,'Input and Summary Results'!E362=0),FALSE,'Input and Summary Results'!$E362)</f>
        <v>0</v>
      </c>
      <c r="E379" t="b">
        <f t="shared" si="15"/>
        <v>0</v>
      </c>
      <c r="F379" s="13" t="b">
        <f t="shared" si="16"/>
        <v>0</v>
      </c>
      <c r="G379" t="b">
        <f>IF('Input and Summary Results'!$J$4="yes",IF(C379=FALSE,FALSE,IF(E379&lt;$R$10,'Data Transformation'!E379,$R$10)),IF(C379=FALSE,FALSE,IF('Data Transformation'!C379&lt;$R$10,C379,$R$10)))</f>
        <v>0</v>
      </c>
      <c r="H379" t="b">
        <f>IF('Input and Summary Results'!$J$4="yes",'Data Transformation'!F379,'Data Transformation'!D379)</f>
        <v>0</v>
      </c>
    </row>
    <row r="380" spans="2:8" x14ac:dyDescent="0.25">
      <c r="B380" t="b">
        <f>IF('Input and Summary Results'!D363="",FALSE,'Input and Summary Results'!$B363)</f>
        <v>0</v>
      </c>
      <c r="C380" t="b">
        <f>IF(OR(B380=0,'Input and Summary Results'!D363=0,'Input and Summary Results'!D363=""),FALSE,'Input and Summary Results'!$D363)</f>
        <v>0</v>
      </c>
      <c r="D380" t="b">
        <f>IF(OR(B380=0,'Input and Summary Results'!E363=0),FALSE,'Input and Summary Results'!$E363)</f>
        <v>0</v>
      </c>
      <c r="E380" t="b">
        <f t="shared" si="15"/>
        <v>0</v>
      </c>
      <c r="F380" s="13" t="b">
        <f t="shared" si="16"/>
        <v>0</v>
      </c>
      <c r="G380" t="b">
        <f>IF('Input and Summary Results'!$J$4="yes",IF(C380=FALSE,FALSE,IF(E380&lt;$R$10,'Data Transformation'!E380,$R$10)),IF(C380=FALSE,FALSE,IF('Data Transformation'!C380&lt;$R$10,C380,$R$10)))</f>
        <v>0</v>
      </c>
      <c r="H380" t="b">
        <f>IF('Input and Summary Results'!$J$4="yes",'Data Transformation'!F380,'Data Transformation'!D380)</f>
        <v>0</v>
      </c>
    </row>
    <row r="381" spans="2:8" x14ac:dyDescent="0.25">
      <c r="B381" t="b">
        <f>IF('Input and Summary Results'!D364="",FALSE,'Input and Summary Results'!$B364)</f>
        <v>0</v>
      </c>
      <c r="C381" t="b">
        <f>IF(OR(B381=0,'Input and Summary Results'!D364=0,'Input and Summary Results'!D364=""),FALSE,'Input and Summary Results'!$D364)</f>
        <v>0</v>
      </c>
      <c r="D381" t="b">
        <f>IF(OR(B381=0,'Input and Summary Results'!E364=0),FALSE,'Input and Summary Results'!$E364)</f>
        <v>0</v>
      </c>
      <c r="E381" t="b">
        <f t="shared" si="15"/>
        <v>0</v>
      </c>
      <c r="F381" s="13" t="b">
        <f t="shared" si="16"/>
        <v>0</v>
      </c>
      <c r="G381" t="b">
        <f>IF('Input and Summary Results'!$J$4="yes",IF(C381=FALSE,FALSE,IF(E381&lt;$R$10,'Data Transformation'!E381,$R$10)),IF(C381=FALSE,FALSE,IF('Data Transformation'!C381&lt;$R$10,C381,$R$10)))</f>
        <v>0</v>
      </c>
      <c r="H381" t="b">
        <f>IF('Input and Summary Results'!$J$4="yes",'Data Transformation'!F381,'Data Transformation'!D381)</f>
        <v>0</v>
      </c>
    </row>
    <row r="382" spans="2:8" x14ac:dyDescent="0.25">
      <c r="B382" t="b">
        <f>IF('Input and Summary Results'!D365="",FALSE,'Input and Summary Results'!$B365)</f>
        <v>0</v>
      </c>
      <c r="C382" t="b">
        <f>IF(OR(B382=0,'Input and Summary Results'!D365=0,'Input and Summary Results'!D365=""),FALSE,'Input and Summary Results'!$D365)</f>
        <v>0</v>
      </c>
      <c r="D382" t="b">
        <f>IF(OR(B382=0,'Input and Summary Results'!E365=0),FALSE,'Input and Summary Results'!$E365)</f>
        <v>0</v>
      </c>
      <c r="E382" t="b">
        <f t="shared" si="15"/>
        <v>0</v>
      </c>
      <c r="F382" s="13" t="b">
        <f t="shared" si="16"/>
        <v>0</v>
      </c>
      <c r="G382" t="b">
        <f>IF('Input and Summary Results'!$J$4="yes",IF(C382=FALSE,FALSE,IF(E382&lt;$R$10,'Data Transformation'!E382,$R$10)),IF(C382=FALSE,FALSE,IF('Data Transformation'!C382&lt;$R$10,C382,$R$10)))</f>
        <v>0</v>
      </c>
      <c r="H382" t="b">
        <f>IF('Input and Summary Results'!$J$4="yes",'Data Transformation'!F382,'Data Transformation'!D382)</f>
        <v>0</v>
      </c>
    </row>
    <row r="383" spans="2:8" x14ac:dyDescent="0.25">
      <c r="B383" t="b">
        <f>IF('Input and Summary Results'!D366="",FALSE,'Input and Summary Results'!$B366)</f>
        <v>0</v>
      </c>
      <c r="C383" t="b">
        <f>IF(OR(B383=0,'Input and Summary Results'!D366=0,'Input and Summary Results'!D366=""),FALSE,'Input and Summary Results'!$D366)</f>
        <v>0</v>
      </c>
      <c r="D383" t="b">
        <f>IF(OR(B383=0,'Input and Summary Results'!E366=0),FALSE,'Input and Summary Results'!$E366)</f>
        <v>0</v>
      </c>
      <c r="E383" t="b">
        <f t="shared" si="15"/>
        <v>0</v>
      </c>
      <c r="F383" s="13" t="b">
        <f t="shared" si="16"/>
        <v>0</v>
      </c>
      <c r="G383" t="b">
        <f>IF('Input and Summary Results'!$J$4="yes",IF(C383=FALSE,FALSE,IF(E383&lt;$R$10,'Data Transformation'!E383,$R$10)),IF(C383=FALSE,FALSE,IF('Data Transformation'!C383&lt;$R$10,C383,$R$10)))</f>
        <v>0</v>
      </c>
      <c r="H383" t="b">
        <f>IF('Input and Summary Results'!$J$4="yes",'Data Transformation'!F383,'Data Transformation'!D383)</f>
        <v>0</v>
      </c>
    </row>
    <row r="384" spans="2:8" x14ac:dyDescent="0.25">
      <c r="B384" t="b">
        <f>IF('Input and Summary Results'!D367="",FALSE,'Input and Summary Results'!$B367)</f>
        <v>0</v>
      </c>
      <c r="C384" t="b">
        <f>IF(OR(B384=0,'Input and Summary Results'!D367=0,'Input and Summary Results'!D367=""),FALSE,'Input and Summary Results'!$D367)</f>
        <v>0</v>
      </c>
      <c r="D384" t="b">
        <f>IF(OR(B384=0,'Input and Summary Results'!E367=0),FALSE,'Input and Summary Results'!$E367)</f>
        <v>0</v>
      </c>
      <c r="E384" t="b">
        <f t="shared" si="15"/>
        <v>0</v>
      </c>
      <c r="F384" s="13" t="b">
        <f t="shared" si="16"/>
        <v>0</v>
      </c>
      <c r="G384" t="b">
        <f>IF('Input and Summary Results'!$J$4="yes",IF(C384=FALSE,FALSE,IF(E384&lt;$R$10,'Data Transformation'!E384,$R$10)),IF(C384=FALSE,FALSE,IF('Data Transformation'!C384&lt;$R$10,C384,$R$10)))</f>
        <v>0</v>
      </c>
      <c r="H384" t="b">
        <f>IF('Input and Summary Results'!$J$4="yes",'Data Transformation'!F384,'Data Transformation'!D384)</f>
        <v>0</v>
      </c>
    </row>
    <row r="385" spans="2:8" x14ac:dyDescent="0.25">
      <c r="B385" t="b">
        <f>IF('Input and Summary Results'!D368="",FALSE,'Input and Summary Results'!$B368)</f>
        <v>0</v>
      </c>
      <c r="C385" t="b">
        <f>IF(OR(B385=0,'Input and Summary Results'!D368=0,'Input and Summary Results'!D368=""),FALSE,'Input and Summary Results'!$D368)</f>
        <v>0</v>
      </c>
      <c r="D385" t="b">
        <f>IF(OR(B385=0,'Input and Summary Results'!E368=0),FALSE,'Input and Summary Results'!$E368)</f>
        <v>0</v>
      </c>
      <c r="E385" t="b">
        <f t="shared" si="15"/>
        <v>0</v>
      </c>
      <c r="F385" s="13" t="b">
        <f t="shared" si="16"/>
        <v>0</v>
      </c>
      <c r="G385" t="b">
        <f>IF('Input and Summary Results'!$J$4="yes",IF(C385=FALSE,FALSE,IF(E385&lt;$R$10,'Data Transformation'!E385,$R$10)),IF(C385=FALSE,FALSE,IF('Data Transformation'!C385&lt;$R$10,C385,$R$10)))</f>
        <v>0</v>
      </c>
      <c r="H385" t="b">
        <f>IF('Input and Summary Results'!$J$4="yes",'Data Transformation'!F385,'Data Transformation'!D385)</f>
        <v>0</v>
      </c>
    </row>
    <row r="386" spans="2:8" x14ac:dyDescent="0.25">
      <c r="B386" t="b">
        <f>IF('Input and Summary Results'!D369="",FALSE,'Input and Summary Results'!$B369)</f>
        <v>0</v>
      </c>
      <c r="C386" t="b">
        <f>IF(OR(B386=0,'Input and Summary Results'!D369=0,'Input and Summary Results'!D369=""),FALSE,'Input and Summary Results'!$D369)</f>
        <v>0</v>
      </c>
      <c r="D386" t="b">
        <f>IF(OR(B386=0,'Input and Summary Results'!E369=0),FALSE,'Input and Summary Results'!$E369)</f>
        <v>0</v>
      </c>
      <c r="E386" t="b">
        <f t="shared" si="15"/>
        <v>0</v>
      </c>
      <c r="F386" s="13" t="b">
        <f t="shared" si="16"/>
        <v>0</v>
      </c>
      <c r="G386" t="b">
        <f>IF('Input and Summary Results'!$J$4="yes",IF(C386=FALSE,FALSE,IF(E386&lt;$R$10,'Data Transformation'!E386,$R$10)),IF(C386=FALSE,FALSE,IF('Data Transformation'!C386&lt;$R$10,C386,$R$10)))</f>
        <v>0</v>
      </c>
      <c r="H386" t="b">
        <f>IF('Input and Summary Results'!$J$4="yes",'Data Transformation'!F386,'Data Transformation'!D386)</f>
        <v>0</v>
      </c>
    </row>
    <row r="387" spans="2:8" x14ac:dyDescent="0.25">
      <c r="B387" t="b">
        <f>IF('Input and Summary Results'!D370="",FALSE,'Input and Summary Results'!$B370)</f>
        <v>0</v>
      </c>
      <c r="C387" t="b">
        <f>IF(OR(B387=0,'Input and Summary Results'!D370=0,'Input and Summary Results'!D370=""),FALSE,'Input and Summary Results'!$D370)</f>
        <v>0</v>
      </c>
      <c r="D387" t="b">
        <f>IF(OR(B387=0,'Input and Summary Results'!E370=0),FALSE,'Input and Summary Results'!$E370)</f>
        <v>0</v>
      </c>
      <c r="E387" t="b">
        <f t="shared" si="15"/>
        <v>0</v>
      </c>
      <c r="F387" s="13" t="b">
        <f t="shared" si="16"/>
        <v>0</v>
      </c>
      <c r="G387" t="b">
        <f>IF('Input and Summary Results'!$J$4="yes",IF(C387=FALSE,FALSE,IF(E387&lt;$R$10,'Data Transformation'!E387,$R$10)),IF(C387=FALSE,FALSE,IF('Data Transformation'!C387&lt;$R$10,C387,$R$10)))</f>
        <v>0</v>
      </c>
      <c r="H387" t="b">
        <f>IF('Input and Summary Results'!$J$4="yes",'Data Transformation'!F387,'Data Transformation'!D387)</f>
        <v>0</v>
      </c>
    </row>
    <row r="388" spans="2:8" x14ac:dyDescent="0.25">
      <c r="B388" t="b">
        <f>IF('Input and Summary Results'!D371="",FALSE,'Input and Summary Results'!$B371)</f>
        <v>0</v>
      </c>
      <c r="C388" t="b">
        <f>IF(OR(B388=0,'Input and Summary Results'!D371=0,'Input and Summary Results'!D371=""),FALSE,'Input and Summary Results'!$D371)</f>
        <v>0</v>
      </c>
      <c r="D388" t="b">
        <f>IF(OR(B388=0,'Input and Summary Results'!E371=0),FALSE,'Input and Summary Results'!$E371)</f>
        <v>0</v>
      </c>
      <c r="E388" t="b">
        <f t="shared" ref="E388:E404" si="17">IF(C388=FALSE,FALSE,LOG10(C388))</f>
        <v>0</v>
      </c>
      <c r="F388" s="13" t="b">
        <f t="shared" ref="F388:F404" si="18">IF(D388=FALSE, FALSE,0.434*D388/C388)</f>
        <v>0</v>
      </c>
      <c r="G388" t="b">
        <f>IF('Input and Summary Results'!$J$4="yes",IF(C388=FALSE,FALSE,IF(E388&lt;$R$10,'Data Transformation'!E388,$R$10)),IF(C388=FALSE,FALSE,IF('Data Transformation'!C388&lt;$R$10,C388,$R$10)))</f>
        <v>0</v>
      </c>
      <c r="H388" t="b">
        <f>IF('Input and Summary Results'!$J$4="yes",'Data Transformation'!F388,'Data Transformation'!D388)</f>
        <v>0</v>
      </c>
    </row>
    <row r="389" spans="2:8" x14ac:dyDescent="0.25">
      <c r="B389" t="b">
        <f>IF('Input and Summary Results'!D372="",FALSE,'Input and Summary Results'!$B372)</f>
        <v>0</v>
      </c>
      <c r="C389" t="b">
        <f>IF(OR(B389=0,'Input and Summary Results'!D372=0,'Input and Summary Results'!D372=""),FALSE,'Input and Summary Results'!$D372)</f>
        <v>0</v>
      </c>
      <c r="D389" t="b">
        <f>IF(OR(B389=0,'Input and Summary Results'!E372=0),FALSE,'Input and Summary Results'!$E372)</f>
        <v>0</v>
      </c>
      <c r="E389" t="b">
        <f t="shared" si="17"/>
        <v>0</v>
      </c>
      <c r="F389" s="13" t="b">
        <f t="shared" si="18"/>
        <v>0</v>
      </c>
      <c r="G389" t="b">
        <f>IF('Input and Summary Results'!$J$4="yes",IF(C389=FALSE,FALSE,IF(E389&lt;$R$10,'Data Transformation'!E389,$R$10)),IF(C389=FALSE,FALSE,IF('Data Transformation'!C389&lt;$R$10,C389,$R$10)))</f>
        <v>0</v>
      </c>
      <c r="H389" t="b">
        <f>IF('Input and Summary Results'!$J$4="yes",'Data Transformation'!F389,'Data Transformation'!D389)</f>
        <v>0</v>
      </c>
    </row>
    <row r="390" spans="2:8" x14ac:dyDescent="0.25">
      <c r="B390" t="b">
        <f>IF('Input and Summary Results'!D373="",FALSE,'Input and Summary Results'!$B373)</f>
        <v>0</v>
      </c>
      <c r="C390" t="b">
        <f>IF(OR(B390=0,'Input and Summary Results'!D373=0,'Input and Summary Results'!D373=""),FALSE,'Input and Summary Results'!$D373)</f>
        <v>0</v>
      </c>
      <c r="D390" t="b">
        <f>IF(OR(B390=0,'Input and Summary Results'!E373=0),FALSE,'Input and Summary Results'!$E373)</f>
        <v>0</v>
      </c>
      <c r="E390" t="b">
        <f t="shared" si="17"/>
        <v>0</v>
      </c>
      <c r="F390" s="13" t="b">
        <f t="shared" si="18"/>
        <v>0</v>
      </c>
      <c r="G390" t="b">
        <f>IF('Input and Summary Results'!$J$4="yes",IF(C390=FALSE,FALSE,IF(E390&lt;$R$10,'Data Transformation'!E390,$R$10)),IF(C390=FALSE,FALSE,IF('Data Transformation'!C390&lt;$R$10,C390,$R$10)))</f>
        <v>0</v>
      </c>
      <c r="H390" t="b">
        <f>IF('Input and Summary Results'!$J$4="yes",'Data Transformation'!F390,'Data Transformation'!D390)</f>
        <v>0</v>
      </c>
    </row>
    <row r="391" spans="2:8" x14ac:dyDescent="0.25">
      <c r="B391" t="b">
        <f>IF('Input and Summary Results'!D374="",FALSE,'Input and Summary Results'!$B374)</f>
        <v>0</v>
      </c>
      <c r="C391" t="b">
        <f>IF(OR(B391=0,'Input and Summary Results'!D374=0,'Input and Summary Results'!D374=""),FALSE,'Input and Summary Results'!$D374)</f>
        <v>0</v>
      </c>
      <c r="D391" t="b">
        <f>IF(OR(B391=0,'Input and Summary Results'!E374=0),FALSE,'Input and Summary Results'!$E374)</f>
        <v>0</v>
      </c>
      <c r="E391" t="b">
        <f t="shared" si="17"/>
        <v>0</v>
      </c>
      <c r="F391" s="13" t="b">
        <f t="shared" si="18"/>
        <v>0</v>
      </c>
      <c r="G391" t="b">
        <f>IF('Input and Summary Results'!$J$4="yes",IF(C391=FALSE,FALSE,IF(E391&lt;$R$10,'Data Transformation'!E391,$R$10)),IF(C391=FALSE,FALSE,IF('Data Transformation'!C391&lt;$R$10,C391,$R$10)))</f>
        <v>0</v>
      </c>
      <c r="H391" t="b">
        <f>IF('Input and Summary Results'!$J$4="yes",'Data Transformation'!F391,'Data Transformation'!D391)</f>
        <v>0</v>
      </c>
    </row>
    <row r="392" spans="2:8" x14ac:dyDescent="0.25">
      <c r="B392" t="b">
        <f>IF('Input and Summary Results'!D375="",FALSE,'Input and Summary Results'!$B375)</f>
        <v>0</v>
      </c>
      <c r="C392" t="b">
        <f>IF(OR(B392=0,'Input and Summary Results'!D375=0,'Input and Summary Results'!D375=""),FALSE,'Input and Summary Results'!$D375)</f>
        <v>0</v>
      </c>
      <c r="D392" t="b">
        <f>IF(OR(B392=0,'Input and Summary Results'!E375=0),FALSE,'Input and Summary Results'!$E375)</f>
        <v>0</v>
      </c>
      <c r="E392" t="b">
        <f t="shared" si="17"/>
        <v>0</v>
      </c>
      <c r="F392" s="13" t="b">
        <f t="shared" si="18"/>
        <v>0</v>
      </c>
      <c r="G392" t="b">
        <f>IF('Input and Summary Results'!$J$4="yes",IF(C392=FALSE,FALSE,IF(E392&lt;$R$10,'Data Transformation'!E392,$R$10)),IF(C392=FALSE,FALSE,IF('Data Transformation'!C392&lt;$R$10,C392,$R$10)))</f>
        <v>0</v>
      </c>
      <c r="H392" t="b">
        <f>IF('Input and Summary Results'!$J$4="yes",'Data Transformation'!F392,'Data Transformation'!D392)</f>
        <v>0</v>
      </c>
    </row>
    <row r="393" spans="2:8" x14ac:dyDescent="0.25">
      <c r="B393" t="b">
        <f>IF('Input and Summary Results'!D376="",FALSE,'Input and Summary Results'!$B376)</f>
        <v>0</v>
      </c>
      <c r="C393" t="b">
        <f>IF(OR(B393=0,'Input and Summary Results'!D376=0,'Input and Summary Results'!D376=""),FALSE,'Input and Summary Results'!$D376)</f>
        <v>0</v>
      </c>
      <c r="D393" t="b">
        <f>IF(OR(B393=0,'Input and Summary Results'!E376=0),FALSE,'Input and Summary Results'!$E376)</f>
        <v>0</v>
      </c>
      <c r="E393" t="b">
        <f t="shared" si="17"/>
        <v>0</v>
      </c>
      <c r="F393" s="13" t="b">
        <f t="shared" si="18"/>
        <v>0</v>
      </c>
      <c r="G393" t="b">
        <f>IF('Input and Summary Results'!$J$4="yes",IF(C393=FALSE,FALSE,IF(E393&lt;$R$10,'Data Transformation'!E393,$R$10)),IF(C393=FALSE,FALSE,IF('Data Transformation'!C393&lt;$R$10,C393,$R$10)))</f>
        <v>0</v>
      </c>
      <c r="H393" t="b">
        <f>IF('Input and Summary Results'!$J$4="yes",'Data Transformation'!F393,'Data Transformation'!D393)</f>
        <v>0</v>
      </c>
    </row>
    <row r="394" spans="2:8" x14ac:dyDescent="0.25">
      <c r="B394" t="b">
        <f>IF('Input and Summary Results'!D377="",FALSE,'Input and Summary Results'!$B377)</f>
        <v>0</v>
      </c>
      <c r="C394" t="b">
        <f>IF(OR(B394=0,'Input and Summary Results'!D377=0,'Input and Summary Results'!D377=""),FALSE,'Input and Summary Results'!$D377)</f>
        <v>0</v>
      </c>
      <c r="D394" t="b">
        <f>IF(OR(B394=0,'Input and Summary Results'!E377=0),FALSE,'Input and Summary Results'!$E377)</f>
        <v>0</v>
      </c>
      <c r="E394" t="b">
        <f t="shared" si="17"/>
        <v>0</v>
      </c>
      <c r="F394" s="13" t="b">
        <f t="shared" si="18"/>
        <v>0</v>
      </c>
      <c r="G394" t="b">
        <f>IF('Input and Summary Results'!$J$4="yes",IF(C394=FALSE,FALSE,IF(E394&lt;$R$10,'Data Transformation'!E394,$R$10)),IF(C394=FALSE,FALSE,IF('Data Transformation'!C394&lt;$R$10,C394,$R$10)))</f>
        <v>0</v>
      </c>
      <c r="H394" t="b">
        <f>IF('Input and Summary Results'!$J$4="yes",'Data Transformation'!F394,'Data Transformation'!D394)</f>
        <v>0</v>
      </c>
    </row>
    <row r="395" spans="2:8" x14ac:dyDescent="0.25">
      <c r="B395" t="b">
        <f>IF('Input and Summary Results'!D378="",FALSE,'Input and Summary Results'!$B378)</f>
        <v>0</v>
      </c>
      <c r="C395" t="b">
        <f>IF(OR(B395=0,'Input and Summary Results'!D378=0,'Input and Summary Results'!D378=""),FALSE,'Input and Summary Results'!$D378)</f>
        <v>0</v>
      </c>
      <c r="D395" t="b">
        <f>IF(OR(B395=0,'Input and Summary Results'!E378=0),FALSE,'Input and Summary Results'!$E378)</f>
        <v>0</v>
      </c>
      <c r="E395" t="b">
        <f t="shared" si="17"/>
        <v>0</v>
      </c>
      <c r="F395" s="13" t="b">
        <f t="shared" si="18"/>
        <v>0</v>
      </c>
      <c r="G395" t="b">
        <f>IF('Input and Summary Results'!$J$4="yes",IF(C395=FALSE,FALSE,IF(E395&lt;$R$10,'Data Transformation'!E395,$R$10)),IF(C395=FALSE,FALSE,IF('Data Transformation'!C395&lt;$R$10,C395,$R$10)))</f>
        <v>0</v>
      </c>
      <c r="H395" t="b">
        <f>IF('Input and Summary Results'!$J$4="yes",'Data Transformation'!F395,'Data Transformation'!D395)</f>
        <v>0</v>
      </c>
    </row>
    <row r="396" spans="2:8" x14ac:dyDescent="0.25">
      <c r="B396" t="b">
        <f>IF('Input and Summary Results'!D379="",FALSE,'Input and Summary Results'!$B379)</f>
        <v>0</v>
      </c>
      <c r="C396" t="b">
        <f>IF(OR(B396=0,'Input and Summary Results'!D379=0,'Input and Summary Results'!D379=""),FALSE,'Input and Summary Results'!$D379)</f>
        <v>0</v>
      </c>
      <c r="D396" t="b">
        <f>IF(OR(B396=0,'Input and Summary Results'!E379=0),FALSE,'Input and Summary Results'!$E379)</f>
        <v>0</v>
      </c>
      <c r="E396" t="b">
        <f t="shared" si="17"/>
        <v>0</v>
      </c>
      <c r="F396" s="13" t="b">
        <f t="shared" si="18"/>
        <v>0</v>
      </c>
      <c r="G396" t="b">
        <f>IF('Input and Summary Results'!$J$4="yes",IF(C396=FALSE,FALSE,IF(E396&lt;$R$10,'Data Transformation'!E396,$R$10)),IF(C396=FALSE,FALSE,IF('Data Transformation'!C396&lt;$R$10,C396,$R$10)))</f>
        <v>0</v>
      </c>
      <c r="H396" t="b">
        <f>IF('Input and Summary Results'!$J$4="yes",'Data Transformation'!F396,'Data Transformation'!D396)</f>
        <v>0</v>
      </c>
    </row>
    <row r="397" spans="2:8" x14ac:dyDescent="0.25">
      <c r="B397" t="b">
        <f>IF('Input and Summary Results'!D380="",FALSE,'Input and Summary Results'!$B380)</f>
        <v>0</v>
      </c>
      <c r="C397" t="b">
        <f>IF(OR(B397=0,'Input and Summary Results'!D380=0,'Input and Summary Results'!D380=""),FALSE,'Input and Summary Results'!$D380)</f>
        <v>0</v>
      </c>
      <c r="D397" t="b">
        <f>IF(OR(B397=0,'Input and Summary Results'!E380=0),FALSE,'Input and Summary Results'!$E380)</f>
        <v>0</v>
      </c>
      <c r="E397" t="b">
        <f t="shared" si="17"/>
        <v>0</v>
      </c>
      <c r="F397" s="13" t="b">
        <f t="shared" si="18"/>
        <v>0</v>
      </c>
      <c r="G397" t="b">
        <f>IF('Input and Summary Results'!$J$4="yes",IF(C397=FALSE,FALSE,IF(E397&lt;$R$10,'Data Transformation'!E397,$R$10)),IF(C397=FALSE,FALSE,IF('Data Transformation'!C397&lt;$R$10,C397,$R$10)))</f>
        <v>0</v>
      </c>
      <c r="H397" t="b">
        <f>IF('Input and Summary Results'!$J$4="yes",'Data Transformation'!F397,'Data Transformation'!D397)</f>
        <v>0</v>
      </c>
    </row>
    <row r="398" spans="2:8" x14ac:dyDescent="0.25">
      <c r="B398" t="b">
        <f>IF('Input and Summary Results'!D381="",FALSE,'Input and Summary Results'!$B381)</f>
        <v>0</v>
      </c>
      <c r="C398" t="b">
        <f>IF(OR(B398=0,'Input and Summary Results'!D381=0,'Input and Summary Results'!D381=""),FALSE,'Input and Summary Results'!$D381)</f>
        <v>0</v>
      </c>
      <c r="D398" t="b">
        <f>IF(OR(B398=0,'Input and Summary Results'!E381=0),FALSE,'Input and Summary Results'!$E381)</f>
        <v>0</v>
      </c>
      <c r="E398" t="b">
        <f t="shared" si="17"/>
        <v>0</v>
      </c>
      <c r="F398" s="13" t="b">
        <f t="shared" si="18"/>
        <v>0</v>
      </c>
      <c r="G398" t="b">
        <f>IF('Input and Summary Results'!$J$4="yes",IF(C398=FALSE,FALSE,IF(E398&lt;$R$10,'Data Transformation'!E398,$R$10)),IF(C398=FALSE,FALSE,IF('Data Transformation'!C398&lt;$R$10,C398,$R$10)))</f>
        <v>0</v>
      </c>
      <c r="H398" t="b">
        <f>IF('Input and Summary Results'!$J$4="yes",'Data Transformation'!F398,'Data Transformation'!D398)</f>
        <v>0</v>
      </c>
    </row>
    <row r="399" spans="2:8" x14ac:dyDescent="0.25">
      <c r="B399" t="b">
        <f>IF('Input and Summary Results'!D382="",FALSE,'Input and Summary Results'!$B382)</f>
        <v>0</v>
      </c>
      <c r="C399" t="b">
        <f>IF(OR(B399=0,'Input and Summary Results'!D382=0,'Input and Summary Results'!D382=""),FALSE,'Input and Summary Results'!$D382)</f>
        <v>0</v>
      </c>
      <c r="D399" t="b">
        <f>IF(OR(B399=0,'Input and Summary Results'!E382=0),FALSE,'Input and Summary Results'!$E382)</f>
        <v>0</v>
      </c>
      <c r="E399" t="b">
        <f t="shared" si="17"/>
        <v>0</v>
      </c>
      <c r="F399" s="13" t="b">
        <f t="shared" si="18"/>
        <v>0</v>
      </c>
      <c r="G399" t="b">
        <f>IF('Input and Summary Results'!$J$4="yes",IF(C399=FALSE,FALSE,IF(E399&lt;$R$10,'Data Transformation'!E399,$R$10)),IF(C399=FALSE,FALSE,IF('Data Transformation'!C399&lt;$R$10,C399,$R$10)))</f>
        <v>0</v>
      </c>
      <c r="H399" t="b">
        <f>IF('Input and Summary Results'!$J$4="yes",'Data Transformation'!F399,'Data Transformation'!D399)</f>
        <v>0</v>
      </c>
    </row>
    <row r="400" spans="2:8" x14ac:dyDescent="0.25">
      <c r="B400" t="b">
        <f>IF('Input and Summary Results'!D383="",FALSE,'Input and Summary Results'!$B383)</f>
        <v>0</v>
      </c>
      <c r="C400" t="b">
        <f>IF(OR(B400=0,'Input and Summary Results'!D383=0,'Input and Summary Results'!D383=""),FALSE,'Input and Summary Results'!$D383)</f>
        <v>0</v>
      </c>
      <c r="D400" t="b">
        <f>IF(OR(B400=0,'Input and Summary Results'!E383=0),FALSE,'Input and Summary Results'!$E383)</f>
        <v>0</v>
      </c>
      <c r="E400" t="b">
        <f t="shared" si="17"/>
        <v>0</v>
      </c>
      <c r="F400" s="13" t="b">
        <f t="shared" si="18"/>
        <v>0</v>
      </c>
      <c r="G400" t="b">
        <f>IF('Input and Summary Results'!$J$4="yes",IF(C400=FALSE,FALSE,IF(E400&lt;$R$10,'Data Transformation'!E400,$R$10)),IF(C400=FALSE,FALSE,IF('Data Transformation'!C400&lt;$R$10,C400,$R$10)))</f>
        <v>0</v>
      </c>
      <c r="H400" t="b">
        <f>IF('Input and Summary Results'!$J$4="yes",'Data Transformation'!F400,'Data Transformation'!D400)</f>
        <v>0</v>
      </c>
    </row>
    <row r="401" spans="2:8" x14ac:dyDescent="0.25">
      <c r="B401" t="b">
        <f>IF('Input and Summary Results'!D384="",FALSE,'Input and Summary Results'!$B384)</f>
        <v>0</v>
      </c>
      <c r="C401" t="b">
        <f>IF(OR(B401=0,'Input and Summary Results'!D384=0,'Input and Summary Results'!D384=""),FALSE,'Input and Summary Results'!$D384)</f>
        <v>0</v>
      </c>
      <c r="D401" t="b">
        <f>IF(OR(B401=0,'Input and Summary Results'!E384=0),FALSE,'Input and Summary Results'!$E384)</f>
        <v>0</v>
      </c>
      <c r="E401" t="b">
        <f t="shared" si="17"/>
        <v>0</v>
      </c>
      <c r="F401" s="13" t="b">
        <f t="shared" si="18"/>
        <v>0</v>
      </c>
      <c r="G401" t="b">
        <f>IF('Input and Summary Results'!$J$4="yes",IF(C401=FALSE,FALSE,IF(E401&lt;$R$10,'Data Transformation'!E401,$R$10)),IF(C401=FALSE,FALSE,IF('Data Transformation'!C401&lt;$R$10,C401,$R$10)))</f>
        <v>0</v>
      </c>
      <c r="H401" t="b">
        <f>IF('Input and Summary Results'!$J$4="yes",'Data Transformation'!F401,'Data Transformation'!D401)</f>
        <v>0</v>
      </c>
    </row>
    <row r="402" spans="2:8" x14ac:dyDescent="0.25">
      <c r="B402" t="b">
        <f>IF('Input and Summary Results'!D385="",FALSE,'Input and Summary Results'!$B385)</f>
        <v>0</v>
      </c>
      <c r="C402" t="b">
        <f>IF(OR(B402=0,'Input and Summary Results'!D385=0,'Input and Summary Results'!D385=""),FALSE,'Input and Summary Results'!$D385)</f>
        <v>0</v>
      </c>
      <c r="D402" t="b">
        <f>IF(OR(B402=0,'Input and Summary Results'!E385=0),FALSE,'Input and Summary Results'!$E385)</f>
        <v>0</v>
      </c>
      <c r="E402" t="b">
        <f t="shared" si="17"/>
        <v>0</v>
      </c>
      <c r="F402" s="13" t="b">
        <f t="shared" si="18"/>
        <v>0</v>
      </c>
      <c r="G402" t="b">
        <f>IF('Input and Summary Results'!$J$4="yes",IF(C402=FALSE,FALSE,IF(E402&lt;$R$10,'Data Transformation'!E402,$R$10)),IF(C402=FALSE,FALSE,IF('Data Transformation'!C402&lt;$R$10,C402,$R$10)))</f>
        <v>0</v>
      </c>
      <c r="H402" t="b">
        <f>IF('Input and Summary Results'!$J$4="yes",'Data Transformation'!F402,'Data Transformation'!D402)</f>
        <v>0</v>
      </c>
    </row>
    <row r="403" spans="2:8" x14ac:dyDescent="0.25">
      <c r="B403" t="b">
        <f>IF('Input and Summary Results'!D386="",FALSE,'Input and Summary Results'!$B386)</f>
        <v>0</v>
      </c>
      <c r="C403" t="b">
        <f>IF(OR(B403=0,'Input and Summary Results'!D386=0,'Input and Summary Results'!D386=""),FALSE,'Input and Summary Results'!$D386)</f>
        <v>0</v>
      </c>
      <c r="D403" t="b">
        <f>IF(OR(B403=0,'Input and Summary Results'!E386=0),FALSE,'Input and Summary Results'!$E386)</f>
        <v>0</v>
      </c>
      <c r="E403" t="b">
        <f t="shared" si="17"/>
        <v>0</v>
      </c>
      <c r="F403" s="13" t="b">
        <f t="shared" si="18"/>
        <v>0</v>
      </c>
      <c r="G403" t="b">
        <f>IF('Input and Summary Results'!$J$4="yes",IF(C403=FALSE,FALSE,IF(E403&lt;$R$10,'Data Transformation'!E403,$R$10)),IF(C403=FALSE,FALSE,IF('Data Transformation'!C403&lt;$R$10,C403,$R$10)))</f>
        <v>0</v>
      </c>
      <c r="H403" t="b">
        <f>IF('Input and Summary Results'!$J$4="yes",'Data Transformation'!F403,'Data Transformation'!D403)</f>
        <v>0</v>
      </c>
    </row>
    <row r="404" spans="2:8" x14ac:dyDescent="0.25">
      <c r="B404" t="b">
        <f>IF('Input and Summary Results'!D387="",FALSE,'Input and Summary Results'!$B387)</f>
        <v>0</v>
      </c>
      <c r="C404" t="b">
        <f>IF(OR(B404=0,'Input and Summary Results'!D387=0,'Input and Summary Results'!D387=""),FALSE,'Input and Summary Results'!$D387)</f>
        <v>0</v>
      </c>
      <c r="D404" t="b">
        <f>IF(OR(B404=0,'Input and Summary Results'!E387=0),FALSE,'Input and Summary Results'!$E387)</f>
        <v>0</v>
      </c>
      <c r="E404" t="b">
        <f t="shared" si="17"/>
        <v>0</v>
      </c>
      <c r="F404" s="13" t="b">
        <f t="shared" si="18"/>
        <v>0</v>
      </c>
      <c r="G404" t="b">
        <f>IF('Input and Summary Results'!$J$4="yes",IF(C404=FALSE,FALSE,IF(E404&lt;$R$10,'Data Transformation'!E404,$R$10)),IF(C404=FALSE,FALSE,IF('Data Transformation'!C404&lt;$R$10,C404,$R$10)))</f>
        <v>0</v>
      </c>
      <c r="H404" t="b">
        <f>IF('Input and Summary Results'!$J$4="yes",'Data Transformation'!F404,'Data Transformation'!D404)</f>
        <v>0</v>
      </c>
    </row>
  </sheetData>
  <conditionalFormatting sqref="D7:D386">
    <cfRule type="cellIs" dxfId="14" priority="2" operator="greaterThan">
      <formula>$U$9</formula>
    </cfRule>
    <cfRule type="cellIs" dxfId="13" priority="3" operator="greaterThan">
      <formula>$R$10</formula>
    </cfRule>
  </conditionalFormatting>
  <pageMargins left="0.75" right="0.75" top="1" bottom="1" header="0.5" footer="0.5"/>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51"/>
  <sheetViews>
    <sheetView topLeftCell="F1" workbookViewId="0">
      <selection activeCell="R15" sqref="R15"/>
    </sheetView>
  </sheetViews>
  <sheetFormatPr defaultColWidth="11" defaultRowHeight="15.75" x14ac:dyDescent="0.25"/>
  <cols>
    <col min="1" max="1" width="17" customWidth="1"/>
    <col min="2" max="2" width="12.625" bestFit="1" customWidth="1"/>
    <col min="3" max="3" width="15.875" customWidth="1"/>
    <col min="4" max="4" width="5" customWidth="1"/>
    <col min="5" max="5" width="5.625" customWidth="1"/>
    <col min="6" max="6" width="4.625" customWidth="1"/>
    <col min="7" max="7" width="6.875" customWidth="1"/>
    <col min="11" max="11" width="13" bestFit="1" customWidth="1"/>
    <col min="12" max="12" width="4.125" customWidth="1"/>
    <col min="13" max="13" width="6.875" customWidth="1"/>
    <col min="14" max="14" width="9" customWidth="1"/>
    <col min="16" max="16" width="10.875" customWidth="1"/>
    <col min="17" max="17" width="22" bestFit="1" customWidth="1"/>
  </cols>
  <sheetData>
    <row r="1" spans="1:22" ht="63" x14ac:dyDescent="0.25">
      <c r="A1" s="69" t="s">
        <v>82</v>
      </c>
      <c r="B1" t="str">
        <f>IF('Input and Summary Results'!J17&gt;'Input and Summary Results'!D5,"yes","no")</f>
        <v>yes</v>
      </c>
    </row>
    <row r="2" spans="1:22" ht="21" x14ac:dyDescent="0.35">
      <c r="A2" s="68" t="s">
        <v>84</v>
      </c>
    </row>
    <row r="3" spans="1:22" x14ac:dyDescent="0.25">
      <c r="B3" t="s">
        <v>50</v>
      </c>
      <c r="C3" t="s">
        <v>101</v>
      </c>
      <c r="D3" s="94" t="s">
        <v>41</v>
      </c>
      <c r="E3" s="94"/>
      <c r="F3" s="94" t="s">
        <v>42</v>
      </c>
      <c r="G3" s="94"/>
      <c r="H3" s="95" t="s">
        <v>40</v>
      </c>
      <c r="I3" s="95"/>
      <c r="J3" s="95"/>
      <c r="K3" s="95"/>
      <c r="L3" s="94" t="s">
        <v>46</v>
      </c>
      <c r="M3" s="94"/>
      <c r="N3" s="94"/>
      <c r="O3" s="20" t="s">
        <v>47</v>
      </c>
    </row>
    <row r="4" spans="1:22" x14ac:dyDescent="0.25">
      <c r="A4" s="2" t="s">
        <v>19</v>
      </c>
      <c r="B4" s="19" t="e">
        <f>'Data Transformation'!$R$24</f>
        <v>#DIV/0!</v>
      </c>
      <c r="C4" s="19"/>
      <c r="D4" t="s">
        <v>34</v>
      </c>
      <c r="E4" t="s">
        <v>35</v>
      </c>
      <c r="F4" t="s">
        <v>34</v>
      </c>
      <c r="G4" t="s">
        <v>35</v>
      </c>
      <c r="H4" s="16" t="s">
        <v>37</v>
      </c>
      <c r="I4" s="17" t="s">
        <v>38</v>
      </c>
      <c r="J4" s="16" t="s">
        <v>39</v>
      </c>
      <c r="K4" s="17" t="s">
        <v>45</v>
      </c>
      <c r="L4" t="s">
        <v>34</v>
      </c>
      <c r="M4" t="s">
        <v>35</v>
      </c>
      <c r="N4" t="s">
        <v>36</v>
      </c>
      <c r="T4" s="74" t="s">
        <v>88</v>
      </c>
      <c r="V4" t="s">
        <v>83</v>
      </c>
    </row>
    <row r="5" spans="1:22" ht="16.5" thickBot="1" x14ac:dyDescent="0.3">
      <c r="A5" t="s">
        <v>33</v>
      </c>
      <c r="B5">
        <f>'Data Transformation'!$R$9</f>
        <v>0</v>
      </c>
      <c r="C5" t="e">
        <f>IF(AND('Data Transformation'!$R$10&gt;=Weighting!B5,'Data Transformation'!$R$10&lt;Weighting!B6),B5+0.00001,B5)</f>
        <v>#DIV/0!</v>
      </c>
      <c r="J5" s="13"/>
      <c r="K5" s="13"/>
      <c r="O5" s="13"/>
      <c r="Q5" s="2" t="s">
        <v>44</v>
      </c>
      <c r="R5" s="18">
        <f>IF(B1="yes",COUNTIF(O6:O25,"&gt;0"),COUNTIF(O32:O51,"&gt;0"))</f>
        <v>0</v>
      </c>
    </row>
    <row r="6" spans="1:22" x14ac:dyDescent="0.25">
      <c r="B6" t="e">
        <f>B5+'Data Transformation'!$R$25</f>
        <v>#DIV/0!</v>
      </c>
      <c r="C6" t="e">
        <f>IF(AND('Data Transformation'!$R$10&gt;=Weighting!B6,'Data Transformation'!$R$10&lt;Weighting!B7),B6+0.00001,B6)</f>
        <v>#DIV/0!</v>
      </c>
      <c r="D6" t="e">
        <f>IF(FREQUENCY('Data Transformation'!$R$5,$C6),1,0)</f>
        <v>#NUM!</v>
      </c>
      <c r="E6" t="e">
        <f>D6-D5</f>
        <v>#NUM!</v>
      </c>
      <c r="F6">
        <f>IF(FREQUENCY('Data Transformation'!$R$6,$C6),1,0)</f>
        <v>1</v>
      </c>
      <c r="G6">
        <f>F6-F5</f>
        <v>1</v>
      </c>
      <c r="H6" t="e">
        <f>IF(D6=1,H5+1,E6)</f>
        <v>#NUM!</v>
      </c>
      <c r="I6" t="e">
        <f>IF(H6=0,I7+1,H6)</f>
        <v>#NUM!</v>
      </c>
      <c r="J6" s="13">
        <f t="shared" ref="J6:J25" si="0">IF(F6=1,1,J7+1)</f>
        <v>1</v>
      </c>
      <c r="K6" s="13" t="e">
        <f t="shared" ref="K6:K25" si="1">IF(MIN(I6,J6)&gt;3,3,MIN(I6,J6))</f>
        <v>#NUM!</v>
      </c>
      <c r="L6">
        <f>IF(FREQUENCY('Data Transformation'!$R$10,$C6),1,0)</f>
        <v>1</v>
      </c>
      <c r="M6">
        <f>L6-L5</f>
        <v>1</v>
      </c>
      <c r="N6">
        <f>N5+1*M5</f>
        <v>0</v>
      </c>
      <c r="O6" s="13" t="e">
        <f>IF(N6=0,K6,0)</f>
        <v>#NUM!</v>
      </c>
      <c r="Q6" s="2" t="s">
        <v>43</v>
      </c>
      <c r="R6" t="e">
        <f>IF(B1="yes",SUM(O6:O25),SUM(O32:O51))</f>
        <v>#NUM!</v>
      </c>
      <c r="T6" s="70"/>
      <c r="V6" t="e">
        <f>IF(T6="",IF($B$1="yes",O6,O32),T6)</f>
        <v>#NUM!</v>
      </c>
    </row>
    <row r="7" spans="1:22" x14ac:dyDescent="0.25">
      <c r="B7" t="e">
        <f>B6+'Data Transformation'!$R$25</f>
        <v>#DIV/0!</v>
      </c>
      <c r="C7" t="e">
        <f>IF(AND('Data Transformation'!$R$10&gt;=Weighting!B7,'Data Transformation'!$R$10&lt;Weighting!B8),B7+0.00001,B7)</f>
        <v>#DIV/0!</v>
      </c>
      <c r="D7" t="e">
        <f>IF(FREQUENCY('Data Transformation'!$R$5,$C7),1,0)</f>
        <v>#NUM!</v>
      </c>
      <c r="E7" t="e">
        <f t="shared" ref="E7:E25" si="2">D7-D6</f>
        <v>#NUM!</v>
      </c>
      <c r="F7">
        <f>IF(FREQUENCY('Data Transformation'!$R$6,$C7),1,0)</f>
        <v>1</v>
      </c>
      <c r="G7">
        <f t="shared" ref="G7:G25" si="3">F7-F6</f>
        <v>0</v>
      </c>
      <c r="H7" t="e">
        <f t="shared" ref="H7:H15" si="4">IF(D7=1,H6+1,E7)</f>
        <v>#NUM!</v>
      </c>
      <c r="I7" t="e">
        <f t="shared" ref="I7:I14" si="5">IF(H7=0,I8+1,H7)</f>
        <v>#NUM!</v>
      </c>
      <c r="J7" s="13">
        <f t="shared" si="0"/>
        <v>1</v>
      </c>
      <c r="K7" s="13" t="e">
        <f t="shared" si="1"/>
        <v>#NUM!</v>
      </c>
      <c r="L7">
        <f>IF(FREQUENCY('Data Transformation'!$R$10,$C7),1,0)</f>
        <v>1</v>
      </c>
      <c r="M7">
        <f t="shared" ref="M7:M25" si="6">L7-L6</f>
        <v>0</v>
      </c>
      <c r="N7">
        <f t="shared" ref="N7:N25" si="7">N6+1*M6</f>
        <v>1</v>
      </c>
      <c r="O7" s="13">
        <f t="shared" ref="O7:O25" si="8">IF(N7=0,K7,0)</f>
        <v>0</v>
      </c>
      <c r="T7" s="71"/>
      <c r="V7">
        <f t="shared" ref="V7:V25" si="9">IF(T7="",IF($B$1="yes",O7,O33),T7)</f>
        <v>0</v>
      </c>
    </row>
    <row r="8" spans="1:22" x14ac:dyDescent="0.25">
      <c r="B8" t="e">
        <f>B7+'Data Transformation'!$R$25</f>
        <v>#DIV/0!</v>
      </c>
      <c r="C8" t="e">
        <f>IF(AND('Data Transformation'!$R$10&gt;=Weighting!B8,'Data Transformation'!$R$10&lt;Weighting!B9),B8+0.00001,B8)</f>
        <v>#DIV/0!</v>
      </c>
      <c r="D8" t="e">
        <f>IF(FREQUENCY('Data Transformation'!$R$5,$C8),1,0)</f>
        <v>#NUM!</v>
      </c>
      <c r="E8" t="e">
        <f t="shared" si="2"/>
        <v>#NUM!</v>
      </c>
      <c r="F8">
        <f>IF(FREQUENCY('Data Transformation'!$R$6,$C8),1,0)</f>
        <v>1</v>
      </c>
      <c r="G8">
        <f t="shared" si="3"/>
        <v>0</v>
      </c>
      <c r="H8" t="e">
        <f t="shared" si="4"/>
        <v>#NUM!</v>
      </c>
      <c r="I8" t="e">
        <f t="shared" si="5"/>
        <v>#NUM!</v>
      </c>
      <c r="J8" s="13">
        <f t="shared" si="0"/>
        <v>1</v>
      </c>
      <c r="K8" s="13" t="e">
        <f t="shared" si="1"/>
        <v>#NUM!</v>
      </c>
      <c r="L8">
        <f>IF(FREQUENCY('Data Transformation'!$R$10,$C8),1,0)</f>
        <v>1</v>
      </c>
      <c r="M8">
        <f t="shared" si="6"/>
        <v>0</v>
      </c>
      <c r="N8">
        <f t="shared" si="7"/>
        <v>1</v>
      </c>
      <c r="O8" s="13">
        <f t="shared" si="8"/>
        <v>0</v>
      </c>
      <c r="T8" s="71"/>
      <c r="V8">
        <f t="shared" si="9"/>
        <v>0</v>
      </c>
    </row>
    <row r="9" spans="1:22" x14ac:dyDescent="0.25">
      <c r="B9" t="e">
        <f>B8+'Data Transformation'!$R$25</f>
        <v>#DIV/0!</v>
      </c>
      <c r="C9" t="e">
        <f>IF(AND('Data Transformation'!$R$10&gt;=Weighting!B9,'Data Transformation'!$R$10&lt;Weighting!B10),B9+0.00001,B9)</f>
        <v>#DIV/0!</v>
      </c>
      <c r="D9" t="e">
        <f>IF(FREQUENCY('Data Transformation'!$R$5,$C9),1,0)</f>
        <v>#NUM!</v>
      </c>
      <c r="E9" t="e">
        <f t="shared" si="2"/>
        <v>#NUM!</v>
      </c>
      <c r="F9">
        <f>IF(FREQUENCY('Data Transformation'!$R$6,$C9),1,0)</f>
        <v>1</v>
      </c>
      <c r="G9">
        <f t="shared" si="3"/>
        <v>0</v>
      </c>
      <c r="H9" t="e">
        <f t="shared" si="4"/>
        <v>#NUM!</v>
      </c>
      <c r="I9" t="e">
        <f t="shared" si="5"/>
        <v>#NUM!</v>
      </c>
      <c r="J9" s="13">
        <f t="shared" si="0"/>
        <v>1</v>
      </c>
      <c r="K9" s="13" t="e">
        <f t="shared" si="1"/>
        <v>#NUM!</v>
      </c>
      <c r="L9">
        <f>IF(FREQUENCY('Data Transformation'!$R$10,$C9),1,0)</f>
        <v>1</v>
      </c>
      <c r="M9">
        <f t="shared" si="6"/>
        <v>0</v>
      </c>
      <c r="N9">
        <f t="shared" si="7"/>
        <v>1</v>
      </c>
      <c r="O9" s="13">
        <f t="shared" si="8"/>
        <v>0</v>
      </c>
      <c r="T9" s="71"/>
      <c r="V9">
        <f t="shared" si="9"/>
        <v>0</v>
      </c>
    </row>
    <row r="10" spans="1:22" x14ac:dyDescent="0.25">
      <c r="B10" t="e">
        <f>B9+'Data Transformation'!$R$25</f>
        <v>#DIV/0!</v>
      </c>
      <c r="C10" t="e">
        <f>IF(AND('Data Transformation'!$R$10&gt;=Weighting!B10,'Data Transformation'!$R$10&lt;Weighting!B11),B10+0.00001,B10)</f>
        <v>#DIV/0!</v>
      </c>
      <c r="D10" t="e">
        <f>IF(FREQUENCY('Data Transformation'!$R$5,$C10),1,0)</f>
        <v>#NUM!</v>
      </c>
      <c r="E10" t="e">
        <f t="shared" si="2"/>
        <v>#NUM!</v>
      </c>
      <c r="F10">
        <f>IF(FREQUENCY('Data Transformation'!$R$6,$C10),1,0)</f>
        <v>1</v>
      </c>
      <c r="G10">
        <f t="shared" si="3"/>
        <v>0</v>
      </c>
      <c r="H10" t="e">
        <f t="shared" si="4"/>
        <v>#NUM!</v>
      </c>
      <c r="I10" t="e">
        <f t="shared" si="5"/>
        <v>#NUM!</v>
      </c>
      <c r="J10" s="13">
        <f t="shared" si="0"/>
        <v>1</v>
      </c>
      <c r="K10" s="13" t="e">
        <f t="shared" si="1"/>
        <v>#NUM!</v>
      </c>
      <c r="L10">
        <f>IF(FREQUENCY('Data Transformation'!$R$10,$C10),1,0)</f>
        <v>1</v>
      </c>
      <c r="M10">
        <f t="shared" si="6"/>
        <v>0</v>
      </c>
      <c r="N10">
        <f t="shared" si="7"/>
        <v>1</v>
      </c>
      <c r="O10" s="13">
        <f t="shared" si="8"/>
        <v>0</v>
      </c>
      <c r="T10" s="71"/>
      <c r="V10">
        <f t="shared" si="9"/>
        <v>0</v>
      </c>
    </row>
    <row r="11" spans="1:22" ht="23.25" x14ac:dyDescent="0.35">
      <c r="B11" t="e">
        <f>B10+'Data Transformation'!$R$25</f>
        <v>#DIV/0!</v>
      </c>
      <c r="C11" t="e">
        <f>IF(AND('Data Transformation'!$R$10&gt;=Weighting!B11,'Data Transformation'!$R$10&lt;Weighting!B12),B11+0.00001,B11)</f>
        <v>#DIV/0!</v>
      </c>
      <c r="D11" t="e">
        <f>IF(FREQUENCY('Data Transformation'!$R$5,$C11),1,0)</f>
        <v>#NUM!</v>
      </c>
      <c r="E11" t="e">
        <f t="shared" si="2"/>
        <v>#NUM!</v>
      </c>
      <c r="F11">
        <f>IF(FREQUENCY('Data Transformation'!$R$6,$C11),1,0)</f>
        <v>1</v>
      </c>
      <c r="G11">
        <f t="shared" si="3"/>
        <v>0</v>
      </c>
      <c r="H11" t="e">
        <f t="shared" si="4"/>
        <v>#NUM!</v>
      </c>
      <c r="I11" t="e">
        <f t="shared" si="5"/>
        <v>#NUM!</v>
      </c>
      <c r="J11" s="13">
        <f t="shared" si="0"/>
        <v>1</v>
      </c>
      <c r="K11" s="13" t="e">
        <f t="shared" si="1"/>
        <v>#NUM!</v>
      </c>
      <c r="L11">
        <f>IF(FREQUENCY('Data Transformation'!$R$10,$C11),1,0)</f>
        <v>1</v>
      </c>
      <c r="M11">
        <f t="shared" si="6"/>
        <v>0</v>
      </c>
      <c r="N11">
        <f t="shared" si="7"/>
        <v>1</v>
      </c>
      <c r="O11" s="13">
        <f t="shared" si="8"/>
        <v>0</v>
      </c>
      <c r="Q11" s="54"/>
      <c r="T11" s="71"/>
      <c r="V11">
        <f t="shared" si="9"/>
        <v>0</v>
      </c>
    </row>
    <row r="12" spans="1:22" x14ac:dyDescent="0.25">
      <c r="B12" t="e">
        <f>B11+'Data Transformation'!$R$25</f>
        <v>#DIV/0!</v>
      </c>
      <c r="C12" t="e">
        <f>IF(AND('Data Transformation'!$R$10&gt;=Weighting!B12,'Data Transformation'!$R$10&lt;Weighting!B13),B12+0.00001,B12)</f>
        <v>#DIV/0!</v>
      </c>
      <c r="D12" t="e">
        <f>IF(FREQUENCY('Data Transformation'!$R$5,$C12),1,0)</f>
        <v>#NUM!</v>
      </c>
      <c r="E12" t="e">
        <f t="shared" si="2"/>
        <v>#NUM!</v>
      </c>
      <c r="F12">
        <f>IF(FREQUENCY('Data Transformation'!$R$6,$C12),1,0)</f>
        <v>1</v>
      </c>
      <c r="G12">
        <f t="shared" si="3"/>
        <v>0</v>
      </c>
      <c r="H12" t="e">
        <f t="shared" si="4"/>
        <v>#NUM!</v>
      </c>
      <c r="I12" t="e">
        <f t="shared" si="5"/>
        <v>#NUM!</v>
      </c>
      <c r="J12" s="13">
        <f t="shared" si="0"/>
        <v>1</v>
      </c>
      <c r="K12" s="13" t="e">
        <f t="shared" si="1"/>
        <v>#NUM!</v>
      </c>
      <c r="L12">
        <f>IF(FREQUENCY('Data Transformation'!$R$10,$C12),1,0)</f>
        <v>1</v>
      </c>
      <c r="M12">
        <f t="shared" si="6"/>
        <v>0</v>
      </c>
      <c r="N12">
        <f t="shared" si="7"/>
        <v>1</v>
      </c>
      <c r="O12" s="13">
        <f t="shared" si="8"/>
        <v>0</v>
      </c>
      <c r="T12" s="71"/>
      <c r="V12">
        <f t="shared" si="9"/>
        <v>0</v>
      </c>
    </row>
    <row r="13" spans="1:22" x14ac:dyDescent="0.25">
      <c r="B13" t="e">
        <f>B12+'Data Transformation'!$R$25</f>
        <v>#DIV/0!</v>
      </c>
      <c r="C13" t="e">
        <f>IF(AND('Data Transformation'!$R$10&gt;=Weighting!B13,'Data Transformation'!$R$10&lt;Weighting!B14),B13+0.00001,B13)</f>
        <v>#DIV/0!</v>
      </c>
      <c r="D13" t="e">
        <f>IF(FREQUENCY('Data Transformation'!$R$5,$C13),1,0)</f>
        <v>#NUM!</v>
      </c>
      <c r="E13" t="e">
        <f t="shared" si="2"/>
        <v>#NUM!</v>
      </c>
      <c r="F13">
        <f>IF(FREQUENCY('Data Transformation'!$R$6,$C13),1,0)</f>
        <v>1</v>
      </c>
      <c r="G13">
        <f t="shared" si="3"/>
        <v>0</v>
      </c>
      <c r="H13" t="e">
        <f t="shared" si="4"/>
        <v>#NUM!</v>
      </c>
      <c r="I13" t="e">
        <f t="shared" si="5"/>
        <v>#NUM!</v>
      </c>
      <c r="J13" s="13">
        <f t="shared" si="0"/>
        <v>1</v>
      </c>
      <c r="K13" s="13" t="e">
        <f t="shared" si="1"/>
        <v>#NUM!</v>
      </c>
      <c r="L13">
        <f>IF(FREQUENCY('Data Transformation'!$R$10,$C13),1,0)</f>
        <v>1</v>
      </c>
      <c r="M13">
        <f t="shared" si="6"/>
        <v>0</v>
      </c>
      <c r="N13">
        <f t="shared" si="7"/>
        <v>1</v>
      </c>
      <c r="O13" s="13">
        <f t="shared" si="8"/>
        <v>0</v>
      </c>
      <c r="T13" s="71"/>
      <c r="V13">
        <f t="shared" si="9"/>
        <v>0</v>
      </c>
    </row>
    <row r="14" spans="1:22" x14ac:dyDescent="0.25">
      <c r="B14" t="e">
        <f>B13+'Data Transformation'!$R$25</f>
        <v>#DIV/0!</v>
      </c>
      <c r="C14" t="e">
        <f>IF(AND('Data Transformation'!$R$10&gt;=Weighting!B14,'Data Transformation'!$R$10&lt;Weighting!B15),B14+0.00001,B14)</f>
        <v>#DIV/0!</v>
      </c>
      <c r="D14" t="e">
        <f>IF(FREQUENCY('Data Transformation'!$R$5,$C14),1,0)</f>
        <v>#NUM!</v>
      </c>
      <c r="E14" t="e">
        <f t="shared" si="2"/>
        <v>#NUM!</v>
      </c>
      <c r="F14">
        <f>IF(FREQUENCY('Data Transformation'!$R$6,$C14),1,0)</f>
        <v>1</v>
      </c>
      <c r="G14">
        <f t="shared" si="3"/>
        <v>0</v>
      </c>
      <c r="H14" t="e">
        <f t="shared" si="4"/>
        <v>#NUM!</v>
      </c>
      <c r="I14" t="e">
        <f t="shared" si="5"/>
        <v>#NUM!</v>
      </c>
      <c r="J14" s="13">
        <f t="shared" si="0"/>
        <v>1</v>
      </c>
      <c r="K14" s="13" t="e">
        <f t="shared" si="1"/>
        <v>#NUM!</v>
      </c>
      <c r="L14">
        <f>IF(FREQUENCY('Data Transformation'!$R$10,$C14),1,0)</f>
        <v>1</v>
      </c>
      <c r="M14">
        <f t="shared" si="6"/>
        <v>0</v>
      </c>
      <c r="N14">
        <f t="shared" si="7"/>
        <v>1</v>
      </c>
      <c r="O14" s="13">
        <f t="shared" si="8"/>
        <v>0</v>
      </c>
      <c r="T14" s="71"/>
      <c r="V14">
        <f t="shared" si="9"/>
        <v>0</v>
      </c>
    </row>
    <row r="15" spans="1:22" x14ac:dyDescent="0.25">
      <c r="B15" t="e">
        <f>B14+'Data Transformation'!$R$25</f>
        <v>#DIV/0!</v>
      </c>
      <c r="C15" t="e">
        <f>IF(AND('Data Transformation'!$R$10&gt;=Weighting!B15,'Data Transformation'!$R$10&lt;Weighting!B16),B15+0.00001,B15)</f>
        <v>#DIV/0!</v>
      </c>
      <c r="D15" t="e">
        <f>IF(FREQUENCY('Data Transformation'!$R$5,$C15),1,0)</f>
        <v>#NUM!</v>
      </c>
      <c r="E15" t="e">
        <f t="shared" si="2"/>
        <v>#NUM!</v>
      </c>
      <c r="F15">
        <f>IF(FREQUENCY('Data Transformation'!$R$6,$C15),1,0)</f>
        <v>1</v>
      </c>
      <c r="G15">
        <f t="shared" si="3"/>
        <v>0</v>
      </c>
      <c r="H15" t="e">
        <f t="shared" si="4"/>
        <v>#NUM!</v>
      </c>
      <c r="I15" t="e">
        <f t="shared" ref="I15:I20" si="10">IF(H15=0,I22+1,H15)</f>
        <v>#NUM!</v>
      </c>
      <c r="J15" s="13">
        <f t="shared" si="0"/>
        <v>1</v>
      </c>
      <c r="K15" s="13" t="e">
        <f t="shared" si="1"/>
        <v>#NUM!</v>
      </c>
      <c r="L15">
        <f>IF(FREQUENCY('Data Transformation'!$R$10,$C15),1,0)</f>
        <v>1</v>
      </c>
      <c r="M15">
        <f t="shared" si="6"/>
        <v>0</v>
      </c>
      <c r="N15">
        <f t="shared" si="7"/>
        <v>1</v>
      </c>
      <c r="O15" s="13">
        <f t="shared" si="8"/>
        <v>0</v>
      </c>
      <c r="T15" s="71"/>
      <c r="V15">
        <f t="shared" si="9"/>
        <v>0</v>
      </c>
    </row>
    <row r="16" spans="1:22" x14ac:dyDescent="0.25">
      <c r="B16" t="e">
        <f>B15+'Data Transformation'!$R$25</f>
        <v>#DIV/0!</v>
      </c>
      <c r="C16" t="e">
        <f>IF(AND('Data Transformation'!$R$10&gt;=Weighting!B16,'Data Transformation'!$R$10&lt;Weighting!B17),B16+0.00001,B16)</f>
        <v>#DIV/0!</v>
      </c>
      <c r="D16" t="e">
        <f>IF(FREQUENCY('Data Transformation'!$R$5,$C16),1,0)</f>
        <v>#NUM!</v>
      </c>
      <c r="E16" t="e">
        <f t="shared" si="2"/>
        <v>#NUM!</v>
      </c>
      <c r="F16">
        <f>IF(FREQUENCY('Data Transformation'!$R$6,$C16),1,0)</f>
        <v>1</v>
      </c>
      <c r="G16">
        <f t="shared" si="3"/>
        <v>0</v>
      </c>
      <c r="H16" t="e">
        <f t="shared" ref="H16:H25" si="11">IF(D16=1,H15+1,E16)</f>
        <v>#NUM!</v>
      </c>
      <c r="I16" t="e">
        <f t="shared" si="10"/>
        <v>#NUM!</v>
      </c>
      <c r="J16" s="13">
        <f t="shared" si="0"/>
        <v>1</v>
      </c>
      <c r="K16" s="13" t="e">
        <f t="shared" si="1"/>
        <v>#NUM!</v>
      </c>
      <c r="L16">
        <f>IF(FREQUENCY('Data Transformation'!$R$10,$C16),1,0)</f>
        <v>1</v>
      </c>
      <c r="M16">
        <f t="shared" si="6"/>
        <v>0</v>
      </c>
      <c r="N16">
        <f t="shared" si="7"/>
        <v>1</v>
      </c>
      <c r="O16" s="13">
        <f t="shared" si="8"/>
        <v>0</v>
      </c>
      <c r="T16" s="71"/>
      <c r="V16">
        <f t="shared" si="9"/>
        <v>0</v>
      </c>
    </row>
    <row r="17" spans="1:22" x14ac:dyDescent="0.25">
      <c r="B17" t="e">
        <f>B16+'Data Transformation'!$R$25</f>
        <v>#DIV/0!</v>
      </c>
      <c r="C17" t="e">
        <f>IF(AND('Data Transformation'!$R$10&gt;=Weighting!B17,'Data Transformation'!$R$10&lt;Weighting!B18),B17+0.00001,B17)</f>
        <v>#DIV/0!</v>
      </c>
      <c r="D17" t="e">
        <f>IF(FREQUENCY('Data Transformation'!$R$5,$C17),1,0)</f>
        <v>#NUM!</v>
      </c>
      <c r="E17" t="e">
        <f t="shared" si="2"/>
        <v>#NUM!</v>
      </c>
      <c r="F17">
        <f>IF(FREQUENCY('Data Transformation'!$R$6,$C17),1,0)</f>
        <v>1</v>
      </c>
      <c r="G17">
        <f t="shared" si="3"/>
        <v>0</v>
      </c>
      <c r="H17" t="e">
        <f t="shared" si="11"/>
        <v>#NUM!</v>
      </c>
      <c r="I17" t="e">
        <f t="shared" si="10"/>
        <v>#NUM!</v>
      </c>
      <c r="J17" s="13">
        <f t="shared" si="0"/>
        <v>1</v>
      </c>
      <c r="K17" s="13" t="e">
        <f t="shared" si="1"/>
        <v>#NUM!</v>
      </c>
      <c r="L17">
        <f>IF(FREQUENCY('Data Transformation'!$R$10,$C17),1,0)</f>
        <v>1</v>
      </c>
      <c r="M17">
        <f t="shared" si="6"/>
        <v>0</v>
      </c>
      <c r="N17">
        <f t="shared" si="7"/>
        <v>1</v>
      </c>
      <c r="O17" s="13">
        <f t="shared" si="8"/>
        <v>0</v>
      </c>
      <c r="T17" s="71"/>
      <c r="V17">
        <f t="shared" si="9"/>
        <v>0</v>
      </c>
    </row>
    <row r="18" spans="1:22" x14ac:dyDescent="0.25">
      <c r="B18" t="e">
        <f>B17+'Data Transformation'!$R$25</f>
        <v>#DIV/0!</v>
      </c>
      <c r="C18" t="e">
        <f>IF(AND('Data Transformation'!$R$10&gt;=Weighting!B18,'Data Transformation'!$R$10&lt;Weighting!B19),B18+0.00001,B18)</f>
        <v>#DIV/0!</v>
      </c>
      <c r="D18" t="e">
        <f>IF(FREQUENCY('Data Transformation'!$R$5,$C18),1,0)</f>
        <v>#NUM!</v>
      </c>
      <c r="E18" t="e">
        <f t="shared" si="2"/>
        <v>#NUM!</v>
      </c>
      <c r="F18">
        <f>IF(FREQUENCY('Data Transformation'!$R$6,$C18),1,0)</f>
        <v>1</v>
      </c>
      <c r="G18">
        <f t="shared" si="3"/>
        <v>0</v>
      </c>
      <c r="H18" t="e">
        <f t="shared" si="11"/>
        <v>#NUM!</v>
      </c>
      <c r="I18" t="e">
        <f t="shared" si="10"/>
        <v>#NUM!</v>
      </c>
      <c r="J18" s="13">
        <f t="shared" si="0"/>
        <v>1</v>
      </c>
      <c r="K18" s="13" t="e">
        <f t="shared" si="1"/>
        <v>#NUM!</v>
      </c>
      <c r="L18">
        <f>IF(FREQUENCY('Data Transformation'!$R$10,$C18),1,0)</f>
        <v>1</v>
      </c>
      <c r="M18">
        <f t="shared" si="6"/>
        <v>0</v>
      </c>
      <c r="N18">
        <f t="shared" si="7"/>
        <v>1</v>
      </c>
      <c r="O18" s="13">
        <f t="shared" si="8"/>
        <v>0</v>
      </c>
      <c r="T18" s="71"/>
      <c r="V18">
        <f t="shared" si="9"/>
        <v>0</v>
      </c>
    </row>
    <row r="19" spans="1:22" x14ac:dyDescent="0.25">
      <c r="B19" t="e">
        <f>B18+'Data Transformation'!$R$25</f>
        <v>#DIV/0!</v>
      </c>
      <c r="C19" t="e">
        <f>IF(AND('Data Transformation'!$R$10&gt;=Weighting!B19,'Data Transformation'!$R$10&lt;Weighting!B20),B19+0.00001,B19)</f>
        <v>#DIV/0!</v>
      </c>
      <c r="D19" t="e">
        <f>IF(FREQUENCY('Data Transformation'!$R$5,$C19),1,0)</f>
        <v>#NUM!</v>
      </c>
      <c r="E19" t="e">
        <f t="shared" si="2"/>
        <v>#NUM!</v>
      </c>
      <c r="F19">
        <f>IF(FREQUENCY('Data Transformation'!$R$6,$C19),1,0)</f>
        <v>1</v>
      </c>
      <c r="G19">
        <f t="shared" si="3"/>
        <v>0</v>
      </c>
      <c r="H19" t="e">
        <f t="shared" si="11"/>
        <v>#NUM!</v>
      </c>
      <c r="I19" t="e">
        <f t="shared" si="10"/>
        <v>#NUM!</v>
      </c>
      <c r="J19" s="13">
        <f t="shared" si="0"/>
        <v>1</v>
      </c>
      <c r="K19" s="13" t="e">
        <f t="shared" si="1"/>
        <v>#NUM!</v>
      </c>
      <c r="L19">
        <f>IF(FREQUENCY('Data Transformation'!$R$10,$C19),1,0)</f>
        <v>1</v>
      </c>
      <c r="M19">
        <f t="shared" si="6"/>
        <v>0</v>
      </c>
      <c r="N19">
        <f t="shared" si="7"/>
        <v>1</v>
      </c>
      <c r="O19" s="13">
        <f t="shared" si="8"/>
        <v>0</v>
      </c>
      <c r="T19" s="71"/>
      <c r="V19">
        <f t="shared" si="9"/>
        <v>0</v>
      </c>
    </row>
    <row r="20" spans="1:22" x14ac:dyDescent="0.25">
      <c r="B20" t="e">
        <f>B19+'Data Transformation'!$R$25</f>
        <v>#DIV/0!</v>
      </c>
      <c r="C20" t="e">
        <f>IF(AND('Data Transformation'!$R$10&gt;=Weighting!B20,'Data Transformation'!$R$10&lt;Weighting!B21),B20+0.00001,B20)</f>
        <v>#DIV/0!</v>
      </c>
      <c r="D20" t="e">
        <f>IF(FREQUENCY('Data Transformation'!$R$5,$C20),1,0)</f>
        <v>#NUM!</v>
      </c>
      <c r="E20" t="e">
        <f t="shared" si="2"/>
        <v>#NUM!</v>
      </c>
      <c r="F20">
        <f>IF(FREQUENCY('Data Transformation'!$R$6,$C20),1,0)</f>
        <v>1</v>
      </c>
      <c r="G20">
        <f t="shared" si="3"/>
        <v>0</v>
      </c>
      <c r="H20" t="e">
        <f t="shared" si="11"/>
        <v>#NUM!</v>
      </c>
      <c r="I20" t="e">
        <f t="shared" si="10"/>
        <v>#NUM!</v>
      </c>
      <c r="J20" s="13">
        <f t="shared" si="0"/>
        <v>1</v>
      </c>
      <c r="K20" s="13" t="e">
        <f t="shared" si="1"/>
        <v>#NUM!</v>
      </c>
      <c r="L20">
        <f>IF(FREQUENCY('Data Transformation'!$R$10,$C20),1,0)</f>
        <v>1</v>
      </c>
      <c r="M20">
        <f t="shared" si="6"/>
        <v>0</v>
      </c>
      <c r="N20">
        <f t="shared" si="7"/>
        <v>1</v>
      </c>
      <c r="O20" s="13">
        <f t="shared" si="8"/>
        <v>0</v>
      </c>
      <c r="T20" s="71"/>
      <c r="V20">
        <f t="shared" si="9"/>
        <v>0</v>
      </c>
    </row>
    <row r="21" spans="1:22" x14ac:dyDescent="0.25">
      <c r="B21" t="e">
        <f>B20+'Data Transformation'!$R$25</f>
        <v>#DIV/0!</v>
      </c>
      <c r="C21" t="e">
        <f>IF(AND('Data Transformation'!$R$10&gt;=Weighting!B21,'Data Transformation'!$R$10&lt;Weighting!B22),B21+0.00001,B21)</f>
        <v>#DIV/0!</v>
      </c>
      <c r="D21" t="e">
        <f>IF(FREQUENCY('Data Transformation'!$R$5,$C21),1,0)</f>
        <v>#NUM!</v>
      </c>
      <c r="E21" t="e">
        <f t="shared" si="2"/>
        <v>#NUM!</v>
      </c>
      <c r="F21">
        <f>IF(FREQUENCY('Data Transformation'!$R$6,$C21),1,0)</f>
        <v>1</v>
      </c>
      <c r="G21">
        <f t="shared" si="3"/>
        <v>0</v>
      </c>
      <c r="H21" t="e">
        <f t="shared" si="11"/>
        <v>#NUM!</v>
      </c>
      <c r="I21" t="e">
        <f>IF(H21=0,I28+1,H21)</f>
        <v>#NUM!</v>
      </c>
      <c r="J21" s="13">
        <f t="shared" si="0"/>
        <v>1</v>
      </c>
      <c r="K21" s="13" t="e">
        <f t="shared" si="1"/>
        <v>#NUM!</v>
      </c>
      <c r="L21">
        <f>IF(FREQUENCY('Data Transformation'!$R$10,$C21),1,0)</f>
        <v>1</v>
      </c>
      <c r="M21">
        <f t="shared" si="6"/>
        <v>0</v>
      </c>
      <c r="N21">
        <f t="shared" si="7"/>
        <v>1</v>
      </c>
      <c r="O21" s="13">
        <f t="shared" si="8"/>
        <v>0</v>
      </c>
      <c r="T21" s="71"/>
      <c r="V21">
        <f t="shared" si="9"/>
        <v>0</v>
      </c>
    </row>
    <row r="22" spans="1:22" x14ac:dyDescent="0.25">
      <c r="B22" t="e">
        <f>B21+'Data Transformation'!$R$25</f>
        <v>#DIV/0!</v>
      </c>
      <c r="C22" t="e">
        <f>IF(AND('Data Transformation'!$R$10&gt;=Weighting!B22,'Data Transformation'!$R$10&lt;Weighting!B23),B22+0.00001,B22)</f>
        <v>#DIV/0!</v>
      </c>
      <c r="D22" t="e">
        <f>IF(FREQUENCY('Data Transformation'!$R$5,$C22),1,0)</f>
        <v>#NUM!</v>
      </c>
      <c r="E22" t="e">
        <f t="shared" si="2"/>
        <v>#NUM!</v>
      </c>
      <c r="F22">
        <f>IF(FREQUENCY('Data Transformation'!$R$6,$C22),1,0)</f>
        <v>1</v>
      </c>
      <c r="G22">
        <f t="shared" si="3"/>
        <v>0</v>
      </c>
      <c r="H22" t="e">
        <f t="shared" si="11"/>
        <v>#NUM!</v>
      </c>
      <c r="I22" t="e">
        <f>IF(H22=0,I29+1,H22)</f>
        <v>#NUM!</v>
      </c>
      <c r="J22" s="13">
        <f t="shared" si="0"/>
        <v>1</v>
      </c>
      <c r="K22" s="13" t="e">
        <f t="shared" si="1"/>
        <v>#NUM!</v>
      </c>
      <c r="L22">
        <f>IF(FREQUENCY('Data Transformation'!$R$10,$C22),1,0)</f>
        <v>1</v>
      </c>
      <c r="M22">
        <f t="shared" si="6"/>
        <v>0</v>
      </c>
      <c r="N22">
        <f t="shared" si="7"/>
        <v>1</v>
      </c>
      <c r="O22" s="13">
        <f t="shared" si="8"/>
        <v>0</v>
      </c>
      <c r="T22" s="71"/>
      <c r="V22">
        <f t="shared" si="9"/>
        <v>0</v>
      </c>
    </row>
    <row r="23" spans="1:22" x14ac:dyDescent="0.25">
      <c r="B23" t="e">
        <f>B22+'Data Transformation'!$R$25</f>
        <v>#DIV/0!</v>
      </c>
      <c r="C23" t="e">
        <f>IF(AND('Data Transformation'!$R$10&gt;=Weighting!B23,'Data Transformation'!$R$10&lt;Weighting!B24),B23+0.00001,B23)</f>
        <v>#DIV/0!</v>
      </c>
      <c r="D23" t="e">
        <f>IF(FREQUENCY('Data Transformation'!$R$5,$C23),1,0)</f>
        <v>#NUM!</v>
      </c>
      <c r="E23" t="e">
        <f t="shared" si="2"/>
        <v>#NUM!</v>
      </c>
      <c r="F23">
        <f>IF(FREQUENCY('Data Transformation'!$R$6,$C23),1,0)</f>
        <v>1</v>
      </c>
      <c r="G23">
        <f t="shared" si="3"/>
        <v>0</v>
      </c>
      <c r="H23" t="e">
        <f t="shared" si="11"/>
        <v>#NUM!</v>
      </c>
      <c r="I23" t="e">
        <f>IF(H23=0,I30+1,H23)</f>
        <v>#NUM!</v>
      </c>
      <c r="J23" s="13">
        <f t="shared" si="0"/>
        <v>1</v>
      </c>
      <c r="K23" s="13" t="e">
        <f t="shared" si="1"/>
        <v>#NUM!</v>
      </c>
      <c r="L23">
        <f>IF(FREQUENCY('Data Transformation'!$R$10,$C23),1,0)</f>
        <v>1</v>
      </c>
      <c r="M23">
        <f t="shared" si="6"/>
        <v>0</v>
      </c>
      <c r="N23">
        <f t="shared" si="7"/>
        <v>1</v>
      </c>
      <c r="O23" s="13">
        <f t="shared" si="8"/>
        <v>0</v>
      </c>
      <c r="T23" s="71"/>
      <c r="V23">
        <f t="shared" si="9"/>
        <v>0</v>
      </c>
    </row>
    <row r="24" spans="1:22" x14ac:dyDescent="0.25">
      <c r="B24" t="e">
        <f>B23+'Data Transformation'!$R$25</f>
        <v>#DIV/0!</v>
      </c>
      <c r="C24" t="e">
        <f>IF(AND('Data Transformation'!$R$10&gt;=Weighting!B24,'Data Transformation'!$R$10&lt;Weighting!B25),B24+0.00001,B24)</f>
        <v>#DIV/0!</v>
      </c>
      <c r="D24" t="e">
        <f>IF(FREQUENCY('Data Transformation'!$R$5,$C24),1,0)</f>
        <v>#NUM!</v>
      </c>
      <c r="E24" t="e">
        <f t="shared" si="2"/>
        <v>#NUM!</v>
      </c>
      <c r="F24">
        <f>IF(FREQUENCY('Data Transformation'!$R$6,$C24),1,0)</f>
        <v>1</v>
      </c>
      <c r="G24">
        <f t="shared" si="3"/>
        <v>0</v>
      </c>
      <c r="H24" t="e">
        <f t="shared" si="11"/>
        <v>#NUM!</v>
      </c>
      <c r="I24" t="e">
        <f>IF(H24=0,I31+1,H24)</f>
        <v>#NUM!</v>
      </c>
      <c r="J24" s="13">
        <f t="shared" si="0"/>
        <v>1</v>
      </c>
      <c r="K24" s="13" t="e">
        <f t="shared" si="1"/>
        <v>#NUM!</v>
      </c>
      <c r="L24">
        <f>IF(FREQUENCY('Data Transformation'!$R$10,$C24),1,0)</f>
        <v>1</v>
      </c>
      <c r="M24">
        <f t="shared" si="6"/>
        <v>0</v>
      </c>
      <c r="N24">
        <f t="shared" si="7"/>
        <v>1</v>
      </c>
      <c r="O24" s="13">
        <f t="shared" si="8"/>
        <v>0</v>
      </c>
      <c r="T24" s="71"/>
      <c r="V24">
        <f t="shared" si="9"/>
        <v>0</v>
      </c>
    </row>
    <row r="25" spans="1:22" ht="16.5" thickBot="1" x14ac:dyDescent="0.3">
      <c r="B25" t="e">
        <f>B24+'Data Transformation'!$R$25</f>
        <v>#DIV/0!</v>
      </c>
      <c r="C25" t="e">
        <f>IF(AND('Data Transformation'!$R$10&gt;=Weighting!B25,'Data Transformation'!$R$10&lt;Weighting!B26),B25+0.00001,B25)</f>
        <v>#DIV/0!</v>
      </c>
      <c r="D25" t="e">
        <f>IF(FREQUENCY('Data Transformation'!$R$5,$C25),1,0)</f>
        <v>#NUM!</v>
      </c>
      <c r="E25" t="e">
        <f t="shared" si="2"/>
        <v>#NUM!</v>
      </c>
      <c r="F25">
        <f>IF(FREQUENCY('Data Transformation'!$R$6,$C25),1,0)</f>
        <v>1</v>
      </c>
      <c r="G25">
        <f t="shared" si="3"/>
        <v>0</v>
      </c>
      <c r="H25" t="e">
        <f t="shared" si="11"/>
        <v>#NUM!</v>
      </c>
      <c r="I25" t="e">
        <f>IF(H25=0,#REF!+1,H25)</f>
        <v>#NUM!</v>
      </c>
      <c r="J25" s="13">
        <f t="shared" si="0"/>
        <v>1</v>
      </c>
      <c r="K25" s="13" t="e">
        <f t="shared" si="1"/>
        <v>#NUM!</v>
      </c>
      <c r="L25">
        <f>IF(FREQUENCY('Data Transformation'!$R$10,$C25),1,0)</f>
        <v>1</v>
      </c>
      <c r="M25">
        <f t="shared" si="6"/>
        <v>0</v>
      </c>
      <c r="N25">
        <f t="shared" si="7"/>
        <v>1</v>
      </c>
      <c r="O25" s="13">
        <f t="shared" si="8"/>
        <v>0</v>
      </c>
      <c r="T25" s="72"/>
      <c r="V25">
        <f t="shared" si="9"/>
        <v>0</v>
      </c>
    </row>
    <row r="26" spans="1:22" x14ac:dyDescent="0.25">
      <c r="B26" t="e">
        <f>B25+'Data Transformation'!$R$25</f>
        <v>#DIV/0!</v>
      </c>
      <c r="C26" t="e">
        <f>IF(AND('Data Transformation'!$R$10&gt;=Weighting!B26,'Data Transformation'!$R$10&lt;Weighting!B27),B26+0.00001,B26)</f>
        <v>#DIV/0!</v>
      </c>
    </row>
    <row r="28" spans="1:22" ht="21" x14ac:dyDescent="0.35">
      <c r="A28" s="68" t="s">
        <v>85</v>
      </c>
    </row>
    <row r="29" spans="1:22" x14ac:dyDescent="0.25">
      <c r="D29" s="94" t="s">
        <v>41</v>
      </c>
      <c r="E29" s="94"/>
      <c r="F29" s="94" t="s">
        <v>42</v>
      </c>
      <c r="G29" s="94"/>
      <c r="H29" s="94" t="s">
        <v>40</v>
      </c>
      <c r="I29" s="94"/>
      <c r="J29" s="94"/>
      <c r="K29" s="94"/>
      <c r="L29" s="94" t="s">
        <v>46</v>
      </c>
      <c r="M29" s="94"/>
      <c r="N29" s="94"/>
      <c r="O29" s="20" t="s">
        <v>47</v>
      </c>
    </row>
    <row r="30" spans="1:22" x14ac:dyDescent="0.25">
      <c r="A30" s="2" t="s">
        <v>19</v>
      </c>
      <c r="B30" s="19" t="e">
        <f>'Data Transformation'!$R$24</f>
        <v>#DIV/0!</v>
      </c>
      <c r="C30" s="19"/>
      <c r="D30" t="s">
        <v>34</v>
      </c>
      <c r="E30" t="s">
        <v>35</v>
      </c>
      <c r="F30" t="s">
        <v>34</v>
      </c>
      <c r="G30" t="s">
        <v>35</v>
      </c>
      <c r="H30" s="67" t="s">
        <v>37</v>
      </c>
      <c r="I30" s="17" t="s">
        <v>86</v>
      </c>
      <c r="J30" s="67" t="s">
        <v>87</v>
      </c>
      <c r="K30" s="17" t="s">
        <v>45</v>
      </c>
      <c r="L30" t="s">
        <v>34</v>
      </c>
      <c r="M30" t="s">
        <v>35</v>
      </c>
      <c r="N30" t="s">
        <v>36</v>
      </c>
    </row>
    <row r="31" spans="1:22" x14ac:dyDescent="0.25">
      <c r="A31" t="s">
        <v>33</v>
      </c>
      <c r="B31" t="e">
        <f>C5</f>
        <v>#DIV/0!</v>
      </c>
      <c r="J31" s="13"/>
      <c r="K31" s="13"/>
      <c r="O31" s="13"/>
    </row>
    <row r="32" spans="1:22" x14ac:dyDescent="0.25">
      <c r="B32" t="e">
        <f t="shared" ref="B32:B51" si="12">C6</f>
        <v>#DIV/0!</v>
      </c>
      <c r="D32" t="e">
        <f>IF(FREQUENCY('Data Transformation'!$R$5,$B32),1,0)</f>
        <v>#NUM!</v>
      </c>
      <c r="E32" t="e">
        <f>D32-D31</f>
        <v>#NUM!</v>
      </c>
      <c r="F32">
        <f>IF(FREQUENCY('Data Transformation'!$R$6,$B32),1,0)</f>
        <v>1</v>
      </c>
      <c r="G32">
        <f>F32-F31</f>
        <v>1</v>
      </c>
      <c r="H32">
        <f>IF(F32=1,H31+1,G32)</f>
        <v>1</v>
      </c>
      <c r="I32" s="13" t="e">
        <f t="shared" ref="I32:I50" si="13">IF(D32=1,1,I33+1)</f>
        <v>#NUM!</v>
      </c>
      <c r="J32" t="e">
        <f>IF(I31=1,J31+1,I32)</f>
        <v>#NUM!</v>
      </c>
      <c r="K32" s="13" t="e">
        <f>IF(MIN(J32,H32)&gt;3,3,MIN(J32,H32))</f>
        <v>#NUM!</v>
      </c>
      <c r="L32">
        <f>IF(FREQUENCY('Data Transformation'!$R$10,$B32),1,0)</f>
        <v>1</v>
      </c>
      <c r="M32">
        <f>L32-L31</f>
        <v>1</v>
      </c>
      <c r="N32">
        <f>N31+1*M31</f>
        <v>0</v>
      </c>
      <c r="O32" s="13" t="e">
        <f>IF(N32=0,K32,0)</f>
        <v>#NUM!</v>
      </c>
    </row>
    <row r="33" spans="2:15" x14ac:dyDescent="0.25">
      <c r="B33" t="e">
        <f t="shared" si="12"/>
        <v>#DIV/0!</v>
      </c>
      <c r="D33" t="e">
        <f>IF(FREQUENCY('Data Transformation'!$R$5,$B33),1,0)</f>
        <v>#NUM!</v>
      </c>
      <c r="E33" t="e">
        <f t="shared" ref="E33:E51" si="14">D33-D32</f>
        <v>#NUM!</v>
      </c>
      <c r="F33">
        <f>IF(FREQUENCY('Data Transformation'!$R$6,$B33),1,0)</f>
        <v>1</v>
      </c>
      <c r="G33">
        <f t="shared" ref="G33:G51" si="15">F33-F32</f>
        <v>0</v>
      </c>
      <c r="H33">
        <f t="shared" ref="H33:H51" si="16">IF(F33=1,H32+1,G33)</f>
        <v>2</v>
      </c>
      <c r="I33" s="13" t="e">
        <f t="shared" si="13"/>
        <v>#NUM!</v>
      </c>
      <c r="J33" t="e">
        <f t="shared" ref="J33:J51" si="17">IF(I32=1,J32+1,I33)</f>
        <v>#NUM!</v>
      </c>
      <c r="K33" s="13" t="e">
        <f t="shared" ref="K33:K51" si="18">IF(MIN(J33,H33)&gt;3,3,MIN(J33,H33))</f>
        <v>#NUM!</v>
      </c>
      <c r="L33">
        <f>IF(FREQUENCY('Data Transformation'!$R$10,$B33),1,0)</f>
        <v>1</v>
      </c>
      <c r="M33">
        <f t="shared" ref="M33:M51" si="19">L33-L32</f>
        <v>0</v>
      </c>
      <c r="N33">
        <f t="shared" ref="N33:N51" si="20">N32+1*M32</f>
        <v>1</v>
      </c>
      <c r="O33" s="13">
        <f t="shared" ref="O33:O51" si="21">IF(N33=0,K33,0)</f>
        <v>0</v>
      </c>
    </row>
    <row r="34" spans="2:15" x14ac:dyDescent="0.25">
      <c r="B34" t="e">
        <f t="shared" si="12"/>
        <v>#DIV/0!</v>
      </c>
      <c r="D34" t="e">
        <f>IF(FREQUENCY('Data Transformation'!$R$5,$B34),1,0)</f>
        <v>#NUM!</v>
      </c>
      <c r="E34" t="e">
        <f t="shared" si="14"/>
        <v>#NUM!</v>
      </c>
      <c r="F34">
        <f>IF(FREQUENCY('Data Transformation'!$R$6,$B34),1,0)</f>
        <v>1</v>
      </c>
      <c r="G34">
        <f t="shared" si="15"/>
        <v>0</v>
      </c>
      <c r="H34">
        <f t="shared" si="16"/>
        <v>3</v>
      </c>
      <c r="I34" s="13" t="e">
        <f t="shared" si="13"/>
        <v>#NUM!</v>
      </c>
      <c r="J34" t="e">
        <f t="shared" si="17"/>
        <v>#NUM!</v>
      </c>
      <c r="K34" s="13" t="e">
        <f t="shared" si="18"/>
        <v>#NUM!</v>
      </c>
      <c r="L34">
        <f>IF(FREQUENCY('Data Transformation'!$R$10,$B34),1,0)</f>
        <v>1</v>
      </c>
      <c r="M34">
        <f t="shared" si="19"/>
        <v>0</v>
      </c>
      <c r="N34">
        <f t="shared" si="20"/>
        <v>1</v>
      </c>
      <c r="O34" s="13">
        <f t="shared" si="21"/>
        <v>0</v>
      </c>
    </row>
    <row r="35" spans="2:15" x14ac:dyDescent="0.25">
      <c r="B35" t="e">
        <f t="shared" si="12"/>
        <v>#DIV/0!</v>
      </c>
      <c r="D35" t="e">
        <f>IF(FREQUENCY('Data Transformation'!$R$5,$B35),1,0)</f>
        <v>#NUM!</v>
      </c>
      <c r="E35" t="e">
        <f t="shared" si="14"/>
        <v>#NUM!</v>
      </c>
      <c r="F35">
        <f>IF(FREQUENCY('Data Transformation'!$R$6,$B35),1,0)</f>
        <v>1</v>
      </c>
      <c r="G35">
        <f t="shared" si="15"/>
        <v>0</v>
      </c>
      <c r="H35">
        <f t="shared" si="16"/>
        <v>4</v>
      </c>
      <c r="I35" s="13" t="e">
        <f t="shared" si="13"/>
        <v>#NUM!</v>
      </c>
      <c r="J35" t="e">
        <f t="shared" si="17"/>
        <v>#NUM!</v>
      </c>
      <c r="K35" s="13" t="e">
        <f t="shared" si="18"/>
        <v>#NUM!</v>
      </c>
      <c r="L35">
        <f>IF(FREQUENCY('Data Transformation'!$R$10,$B35),1,0)</f>
        <v>1</v>
      </c>
      <c r="M35">
        <f t="shared" si="19"/>
        <v>0</v>
      </c>
      <c r="N35">
        <f t="shared" si="20"/>
        <v>1</v>
      </c>
      <c r="O35" s="13">
        <f t="shared" si="21"/>
        <v>0</v>
      </c>
    </row>
    <row r="36" spans="2:15" x14ac:dyDescent="0.25">
      <c r="B36" t="e">
        <f t="shared" si="12"/>
        <v>#DIV/0!</v>
      </c>
      <c r="D36" t="e">
        <f>IF(FREQUENCY('Data Transformation'!$R$5,$B36),1,0)</f>
        <v>#NUM!</v>
      </c>
      <c r="E36" t="e">
        <f t="shared" si="14"/>
        <v>#NUM!</v>
      </c>
      <c r="F36">
        <f>IF(FREQUENCY('Data Transformation'!$R$6,$B36),1,0)</f>
        <v>1</v>
      </c>
      <c r="G36">
        <f t="shared" si="15"/>
        <v>0</v>
      </c>
      <c r="H36">
        <f t="shared" si="16"/>
        <v>5</v>
      </c>
      <c r="I36" s="13" t="e">
        <f t="shared" si="13"/>
        <v>#NUM!</v>
      </c>
      <c r="J36" t="e">
        <f t="shared" si="17"/>
        <v>#NUM!</v>
      </c>
      <c r="K36" s="13" t="e">
        <f t="shared" si="18"/>
        <v>#NUM!</v>
      </c>
      <c r="L36">
        <f>IF(FREQUENCY('Data Transformation'!$R$10,$B36),1,0)</f>
        <v>1</v>
      </c>
      <c r="M36">
        <f t="shared" si="19"/>
        <v>0</v>
      </c>
      <c r="N36">
        <f t="shared" si="20"/>
        <v>1</v>
      </c>
      <c r="O36" s="13">
        <f t="shared" si="21"/>
        <v>0</v>
      </c>
    </row>
    <row r="37" spans="2:15" x14ac:dyDescent="0.25">
      <c r="B37" t="e">
        <f t="shared" si="12"/>
        <v>#DIV/0!</v>
      </c>
      <c r="D37" t="e">
        <f>IF(FREQUENCY('Data Transformation'!$R$5,$B37),1,0)</f>
        <v>#NUM!</v>
      </c>
      <c r="E37" t="e">
        <f t="shared" si="14"/>
        <v>#NUM!</v>
      </c>
      <c r="F37">
        <f>IF(FREQUENCY('Data Transformation'!$R$6,$B37),1,0)</f>
        <v>1</v>
      </c>
      <c r="G37">
        <f t="shared" si="15"/>
        <v>0</v>
      </c>
      <c r="H37">
        <f t="shared" si="16"/>
        <v>6</v>
      </c>
      <c r="I37" s="13" t="e">
        <f t="shared" si="13"/>
        <v>#NUM!</v>
      </c>
      <c r="J37" t="e">
        <f t="shared" si="17"/>
        <v>#NUM!</v>
      </c>
      <c r="K37" s="13" t="e">
        <f t="shared" si="18"/>
        <v>#NUM!</v>
      </c>
      <c r="L37">
        <f>IF(FREQUENCY('Data Transformation'!$R$10,$B37),1,0)</f>
        <v>1</v>
      </c>
      <c r="M37">
        <f t="shared" si="19"/>
        <v>0</v>
      </c>
      <c r="N37">
        <f t="shared" si="20"/>
        <v>1</v>
      </c>
      <c r="O37" s="13">
        <f t="shared" si="21"/>
        <v>0</v>
      </c>
    </row>
    <row r="38" spans="2:15" x14ac:dyDescent="0.25">
      <c r="B38" t="e">
        <f t="shared" si="12"/>
        <v>#DIV/0!</v>
      </c>
      <c r="D38" t="e">
        <f>IF(FREQUENCY('Data Transformation'!$R$5,$B38),1,0)</f>
        <v>#NUM!</v>
      </c>
      <c r="E38" t="e">
        <f t="shared" si="14"/>
        <v>#NUM!</v>
      </c>
      <c r="F38">
        <f>IF(FREQUENCY('Data Transformation'!$R$6,$B38),1,0)</f>
        <v>1</v>
      </c>
      <c r="G38">
        <f t="shared" si="15"/>
        <v>0</v>
      </c>
      <c r="H38">
        <f t="shared" si="16"/>
        <v>7</v>
      </c>
      <c r="I38" s="13" t="e">
        <f t="shared" si="13"/>
        <v>#NUM!</v>
      </c>
      <c r="J38" t="e">
        <f t="shared" si="17"/>
        <v>#NUM!</v>
      </c>
      <c r="K38" s="13" t="e">
        <f t="shared" si="18"/>
        <v>#NUM!</v>
      </c>
      <c r="L38">
        <f>IF(FREQUENCY('Data Transformation'!$R$10,$B38),1,0)</f>
        <v>1</v>
      </c>
      <c r="M38">
        <f t="shared" si="19"/>
        <v>0</v>
      </c>
      <c r="N38">
        <f t="shared" si="20"/>
        <v>1</v>
      </c>
      <c r="O38" s="13">
        <f t="shared" si="21"/>
        <v>0</v>
      </c>
    </row>
    <row r="39" spans="2:15" x14ac:dyDescent="0.25">
      <c r="B39" t="e">
        <f t="shared" si="12"/>
        <v>#DIV/0!</v>
      </c>
      <c r="D39" t="e">
        <f>IF(FREQUENCY('Data Transformation'!$R$5,$B39),1,0)</f>
        <v>#NUM!</v>
      </c>
      <c r="E39" t="e">
        <f t="shared" si="14"/>
        <v>#NUM!</v>
      </c>
      <c r="F39">
        <f>IF(FREQUENCY('Data Transformation'!$R$6,$B39),1,0)</f>
        <v>1</v>
      </c>
      <c r="G39">
        <f t="shared" si="15"/>
        <v>0</v>
      </c>
      <c r="H39">
        <f t="shared" si="16"/>
        <v>8</v>
      </c>
      <c r="I39" s="13" t="e">
        <f t="shared" si="13"/>
        <v>#NUM!</v>
      </c>
      <c r="J39" t="e">
        <f t="shared" si="17"/>
        <v>#NUM!</v>
      </c>
      <c r="K39" s="13" t="e">
        <f t="shared" si="18"/>
        <v>#NUM!</v>
      </c>
      <c r="L39">
        <f>IF(FREQUENCY('Data Transformation'!$R$10,$B39),1,0)</f>
        <v>1</v>
      </c>
      <c r="M39">
        <f t="shared" si="19"/>
        <v>0</v>
      </c>
      <c r="N39">
        <f t="shared" si="20"/>
        <v>1</v>
      </c>
      <c r="O39" s="13">
        <f t="shared" si="21"/>
        <v>0</v>
      </c>
    </row>
    <row r="40" spans="2:15" x14ac:dyDescent="0.25">
      <c r="B40" t="e">
        <f t="shared" si="12"/>
        <v>#DIV/0!</v>
      </c>
      <c r="D40" t="e">
        <f>IF(FREQUENCY('Data Transformation'!$R$5,$B40),1,0)</f>
        <v>#NUM!</v>
      </c>
      <c r="E40" t="e">
        <f t="shared" si="14"/>
        <v>#NUM!</v>
      </c>
      <c r="F40">
        <f>IF(FREQUENCY('Data Transformation'!$R$6,$B40),1,0)</f>
        <v>1</v>
      </c>
      <c r="G40">
        <f t="shared" si="15"/>
        <v>0</v>
      </c>
      <c r="H40">
        <f t="shared" si="16"/>
        <v>9</v>
      </c>
      <c r="I40" s="13" t="e">
        <f t="shared" si="13"/>
        <v>#NUM!</v>
      </c>
      <c r="J40" t="e">
        <f t="shared" si="17"/>
        <v>#NUM!</v>
      </c>
      <c r="K40" s="13" t="e">
        <f t="shared" si="18"/>
        <v>#NUM!</v>
      </c>
      <c r="L40">
        <f>IF(FREQUENCY('Data Transformation'!$R$10,$B40),1,0)</f>
        <v>1</v>
      </c>
      <c r="M40">
        <f t="shared" si="19"/>
        <v>0</v>
      </c>
      <c r="N40">
        <f t="shared" si="20"/>
        <v>1</v>
      </c>
      <c r="O40" s="13">
        <f t="shared" si="21"/>
        <v>0</v>
      </c>
    </row>
    <row r="41" spans="2:15" x14ac:dyDescent="0.25">
      <c r="B41" t="e">
        <f t="shared" si="12"/>
        <v>#DIV/0!</v>
      </c>
      <c r="D41" t="e">
        <f>IF(FREQUENCY('Data Transformation'!$R$5,$B41),1,0)</f>
        <v>#NUM!</v>
      </c>
      <c r="E41" t="e">
        <f t="shared" si="14"/>
        <v>#NUM!</v>
      </c>
      <c r="F41">
        <f>IF(FREQUENCY('Data Transformation'!$R$6,$B41),1,0)</f>
        <v>1</v>
      </c>
      <c r="G41">
        <f t="shared" si="15"/>
        <v>0</v>
      </c>
      <c r="H41">
        <f t="shared" si="16"/>
        <v>10</v>
      </c>
      <c r="I41" s="13" t="e">
        <f t="shared" si="13"/>
        <v>#NUM!</v>
      </c>
      <c r="J41" t="e">
        <f t="shared" si="17"/>
        <v>#NUM!</v>
      </c>
      <c r="K41" s="13" t="e">
        <f t="shared" si="18"/>
        <v>#NUM!</v>
      </c>
      <c r="L41">
        <f>IF(FREQUENCY('Data Transformation'!$R$10,$B41),1,0)</f>
        <v>1</v>
      </c>
      <c r="M41">
        <f t="shared" si="19"/>
        <v>0</v>
      </c>
      <c r="N41">
        <f t="shared" si="20"/>
        <v>1</v>
      </c>
      <c r="O41" s="13">
        <f t="shared" si="21"/>
        <v>0</v>
      </c>
    </row>
    <row r="42" spans="2:15" x14ac:dyDescent="0.25">
      <c r="B42" t="e">
        <f t="shared" si="12"/>
        <v>#DIV/0!</v>
      </c>
      <c r="D42" t="e">
        <f>IF(FREQUENCY('Data Transformation'!$R$5,$B42),1,0)</f>
        <v>#NUM!</v>
      </c>
      <c r="E42" t="e">
        <f t="shared" si="14"/>
        <v>#NUM!</v>
      </c>
      <c r="F42">
        <f>IF(FREQUENCY('Data Transformation'!$R$6,$B42),1,0)</f>
        <v>1</v>
      </c>
      <c r="G42">
        <f t="shared" si="15"/>
        <v>0</v>
      </c>
      <c r="H42">
        <f t="shared" si="16"/>
        <v>11</v>
      </c>
      <c r="I42" s="13" t="e">
        <f t="shared" si="13"/>
        <v>#NUM!</v>
      </c>
      <c r="J42" t="e">
        <f t="shared" si="17"/>
        <v>#NUM!</v>
      </c>
      <c r="K42" s="13" t="e">
        <f t="shared" si="18"/>
        <v>#NUM!</v>
      </c>
      <c r="L42">
        <f>IF(FREQUENCY('Data Transformation'!$R$10,$B42),1,0)</f>
        <v>1</v>
      </c>
      <c r="M42">
        <f t="shared" si="19"/>
        <v>0</v>
      </c>
      <c r="N42">
        <f t="shared" si="20"/>
        <v>1</v>
      </c>
      <c r="O42" s="13">
        <f t="shared" si="21"/>
        <v>0</v>
      </c>
    </row>
    <row r="43" spans="2:15" x14ac:dyDescent="0.25">
      <c r="B43" t="e">
        <f t="shared" si="12"/>
        <v>#DIV/0!</v>
      </c>
      <c r="D43" t="e">
        <f>IF(FREQUENCY('Data Transformation'!$R$5,$B43),1,0)</f>
        <v>#NUM!</v>
      </c>
      <c r="E43" t="e">
        <f t="shared" si="14"/>
        <v>#NUM!</v>
      </c>
      <c r="F43">
        <f>IF(FREQUENCY('Data Transformation'!$R$6,$B43),1,0)</f>
        <v>1</v>
      </c>
      <c r="G43">
        <f t="shared" si="15"/>
        <v>0</v>
      </c>
      <c r="H43">
        <f t="shared" si="16"/>
        <v>12</v>
      </c>
      <c r="I43" s="13" t="e">
        <f t="shared" si="13"/>
        <v>#NUM!</v>
      </c>
      <c r="J43" t="e">
        <f t="shared" si="17"/>
        <v>#NUM!</v>
      </c>
      <c r="K43" s="13" t="e">
        <f t="shared" si="18"/>
        <v>#NUM!</v>
      </c>
      <c r="L43">
        <f>IF(FREQUENCY('Data Transformation'!$R$10,$B43),1,0)</f>
        <v>1</v>
      </c>
      <c r="M43">
        <f t="shared" si="19"/>
        <v>0</v>
      </c>
      <c r="N43">
        <f t="shared" si="20"/>
        <v>1</v>
      </c>
      <c r="O43" s="13">
        <f t="shared" si="21"/>
        <v>0</v>
      </c>
    </row>
    <row r="44" spans="2:15" x14ac:dyDescent="0.25">
      <c r="B44" t="e">
        <f t="shared" si="12"/>
        <v>#DIV/0!</v>
      </c>
      <c r="D44" t="e">
        <f>IF(FREQUENCY('Data Transformation'!$R$5,$B44),1,0)</f>
        <v>#NUM!</v>
      </c>
      <c r="E44" t="e">
        <f t="shared" si="14"/>
        <v>#NUM!</v>
      </c>
      <c r="F44">
        <f>IF(FREQUENCY('Data Transformation'!$R$6,$B44),1,0)</f>
        <v>1</v>
      </c>
      <c r="G44">
        <f t="shared" si="15"/>
        <v>0</v>
      </c>
      <c r="H44">
        <f t="shared" si="16"/>
        <v>13</v>
      </c>
      <c r="I44" s="13" t="e">
        <f t="shared" si="13"/>
        <v>#NUM!</v>
      </c>
      <c r="J44" t="e">
        <f t="shared" si="17"/>
        <v>#NUM!</v>
      </c>
      <c r="K44" s="13" t="e">
        <f t="shared" si="18"/>
        <v>#NUM!</v>
      </c>
      <c r="L44">
        <f>IF(FREQUENCY('Data Transformation'!$R$10,$B44),1,0)</f>
        <v>1</v>
      </c>
      <c r="M44">
        <f t="shared" si="19"/>
        <v>0</v>
      </c>
      <c r="N44">
        <f t="shared" si="20"/>
        <v>1</v>
      </c>
      <c r="O44" s="13">
        <f t="shared" si="21"/>
        <v>0</v>
      </c>
    </row>
    <row r="45" spans="2:15" x14ac:dyDescent="0.25">
      <c r="B45" t="e">
        <f t="shared" si="12"/>
        <v>#DIV/0!</v>
      </c>
      <c r="D45" t="e">
        <f>IF(FREQUENCY('Data Transformation'!$R$5,$B45),1,0)</f>
        <v>#NUM!</v>
      </c>
      <c r="E45" t="e">
        <f t="shared" si="14"/>
        <v>#NUM!</v>
      </c>
      <c r="F45">
        <f>IF(FREQUENCY('Data Transformation'!$R$6,$B45),1,0)</f>
        <v>1</v>
      </c>
      <c r="G45">
        <f t="shared" si="15"/>
        <v>0</v>
      </c>
      <c r="H45">
        <f t="shared" si="16"/>
        <v>14</v>
      </c>
      <c r="I45" s="13" t="e">
        <f t="shared" si="13"/>
        <v>#NUM!</v>
      </c>
      <c r="J45" t="e">
        <f t="shared" si="17"/>
        <v>#NUM!</v>
      </c>
      <c r="K45" s="13" t="e">
        <f t="shared" si="18"/>
        <v>#NUM!</v>
      </c>
      <c r="L45">
        <f>IF(FREQUENCY('Data Transformation'!$R$10,$B45),1,0)</f>
        <v>1</v>
      </c>
      <c r="M45">
        <f t="shared" si="19"/>
        <v>0</v>
      </c>
      <c r="N45">
        <f t="shared" si="20"/>
        <v>1</v>
      </c>
      <c r="O45" s="13">
        <f t="shared" si="21"/>
        <v>0</v>
      </c>
    </row>
    <row r="46" spans="2:15" x14ac:dyDescent="0.25">
      <c r="B46" t="e">
        <f t="shared" si="12"/>
        <v>#DIV/0!</v>
      </c>
      <c r="D46" t="e">
        <f>IF(FREQUENCY('Data Transformation'!$R$5,$B46),1,0)</f>
        <v>#NUM!</v>
      </c>
      <c r="E46" t="e">
        <f t="shared" si="14"/>
        <v>#NUM!</v>
      </c>
      <c r="F46">
        <f>IF(FREQUENCY('Data Transformation'!$R$6,$B46),1,0)</f>
        <v>1</v>
      </c>
      <c r="G46">
        <f t="shared" si="15"/>
        <v>0</v>
      </c>
      <c r="H46">
        <f t="shared" si="16"/>
        <v>15</v>
      </c>
      <c r="I46" s="13" t="e">
        <f t="shared" si="13"/>
        <v>#NUM!</v>
      </c>
      <c r="J46" t="e">
        <f t="shared" si="17"/>
        <v>#NUM!</v>
      </c>
      <c r="K46" s="13" t="e">
        <f t="shared" si="18"/>
        <v>#NUM!</v>
      </c>
      <c r="L46">
        <f>IF(FREQUENCY('Data Transformation'!$R$10,$B46),1,0)</f>
        <v>1</v>
      </c>
      <c r="M46">
        <f t="shared" si="19"/>
        <v>0</v>
      </c>
      <c r="N46">
        <f t="shared" si="20"/>
        <v>1</v>
      </c>
      <c r="O46" s="13">
        <f t="shared" si="21"/>
        <v>0</v>
      </c>
    </row>
    <row r="47" spans="2:15" x14ac:dyDescent="0.25">
      <c r="B47" t="e">
        <f t="shared" si="12"/>
        <v>#DIV/0!</v>
      </c>
      <c r="D47" t="e">
        <f>IF(FREQUENCY('Data Transformation'!$R$5,$B47),1,0)</f>
        <v>#NUM!</v>
      </c>
      <c r="E47" t="e">
        <f t="shared" si="14"/>
        <v>#NUM!</v>
      </c>
      <c r="F47">
        <f>IF(FREQUENCY('Data Transformation'!$R$6,$B47),1,0)</f>
        <v>1</v>
      </c>
      <c r="G47">
        <f t="shared" si="15"/>
        <v>0</v>
      </c>
      <c r="H47">
        <f t="shared" si="16"/>
        <v>16</v>
      </c>
      <c r="I47" s="13" t="e">
        <f t="shared" si="13"/>
        <v>#NUM!</v>
      </c>
      <c r="J47" t="e">
        <f t="shared" si="17"/>
        <v>#NUM!</v>
      </c>
      <c r="K47" s="13" t="e">
        <f t="shared" si="18"/>
        <v>#NUM!</v>
      </c>
      <c r="L47">
        <f>IF(FREQUENCY('Data Transformation'!$R$10,$B47),1,0)</f>
        <v>1</v>
      </c>
      <c r="M47">
        <f t="shared" si="19"/>
        <v>0</v>
      </c>
      <c r="N47">
        <f t="shared" si="20"/>
        <v>1</v>
      </c>
      <c r="O47" s="13">
        <f t="shared" si="21"/>
        <v>0</v>
      </c>
    </row>
    <row r="48" spans="2:15" x14ac:dyDescent="0.25">
      <c r="B48" t="e">
        <f t="shared" si="12"/>
        <v>#DIV/0!</v>
      </c>
      <c r="D48" t="e">
        <f>IF(FREQUENCY('Data Transformation'!$R$5,$B48),1,0)</f>
        <v>#NUM!</v>
      </c>
      <c r="E48" t="e">
        <f t="shared" si="14"/>
        <v>#NUM!</v>
      </c>
      <c r="F48">
        <f>IF(FREQUENCY('Data Transformation'!$R$6,$B48),1,0)</f>
        <v>1</v>
      </c>
      <c r="G48">
        <f t="shared" si="15"/>
        <v>0</v>
      </c>
      <c r="H48">
        <f t="shared" si="16"/>
        <v>17</v>
      </c>
      <c r="I48" s="13" t="e">
        <f t="shared" si="13"/>
        <v>#NUM!</v>
      </c>
      <c r="J48" t="e">
        <f t="shared" si="17"/>
        <v>#NUM!</v>
      </c>
      <c r="K48" s="13" t="e">
        <f t="shared" si="18"/>
        <v>#NUM!</v>
      </c>
      <c r="L48">
        <f>IF(FREQUENCY('Data Transformation'!$R$10,$B48),1,0)</f>
        <v>1</v>
      </c>
      <c r="M48">
        <f t="shared" si="19"/>
        <v>0</v>
      </c>
      <c r="N48">
        <f t="shared" si="20"/>
        <v>1</v>
      </c>
      <c r="O48" s="13">
        <f t="shared" si="21"/>
        <v>0</v>
      </c>
    </row>
    <row r="49" spans="2:15" x14ac:dyDescent="0.25">
      <c r="B49" t="e">
        <f t="shared" si="12"/>
        <v>#DIV/0!</v>
      </c>
      <c r="D49" t="e">
        <f>IF(FREQUENCY('Data Transformation'!$R$5,$B49),1,0)</f>
        <v>#NUM!</v>
      </c>
      <c r="E49" t="e">
        <f t="shared" si="14"/>
        <v>#NUM!</v>
      </c>
      <c r="F49">
        <f>IF(FREQUENCY('Data Transformation'!$R$6,$B49),1,0)</f>
        <v>1</v>
      </c>
      <c r="G49">
        <f t="shared" si="15"/>
        <v>0</v>
      </c>
      <c r="H49">
        <f t="shared" si="16"/>
        <v>18</v>
      </c>
      <c r="I49" s="13" t="e">
        <f t="shared" si="13"/>
        <v>#NUM!</v>
      </c>
      <c r="J49" t="e">
        <f t="shared" si="17"/>
        <v>#NUM!</v>
      </c>
      <c r="K49" s="13" t="e">
        <f t="shared" si="18"/>
        <v>#NUM!</v>
      </c>
      <c r="L49">
        <f>IF(FREQUENCY('Data Transformation'!$R$10,$B49),1,0)</f>
        <v>1</v>
      </c>
      <c r="M49">
        <f t="shared" si="19"/>
        <v>0</v>
      </c>
      <c r="N49">
        <f t="shared" si="20"/>
        <v>1</v>
      </c>
      <c r="O49" s="13">
        <f t="shared" si="21"/>
        <v>0</v>
      </c>
    </row>
    <row r="50" spans="2:15" x14ac:dyDescent="0.25">
      <c r="B50" t="e">
        <f t="shared" si="12"/>
        <v>#DIV/0!</v>
      </c>
      <c r="D50" t="e">
        <f>IF(FREQUENCY('Data Transformation'!$R$5,$B50),1,0)</f>
        <v>#NUM!</v>
      </c>
      <c r="E50" t="e">
        <f t="shared" si="14"/>
        <v>#NUM!</v>
      </c>
      <c r="F50">
        <f>IF(FREQUENCY('Data Transformation'!$R$6,$B50),1,0)</f>
        <v>1</v>
      </c>
      <c r="G50">
        <f t="shared" si="15"/>
        <v>0</v>
      </c>
      <c r="H50">
        <f t="shared" si="16"/>
        <v>19</v>
      </c>
      <c r="I50" s="13" t="e">
        <f t="shared" si="13"/>
        <v>#NUM!</v>
      </c>
      <c r="J50" t="e">
        <f t="shared" si="17"/>
        <v>#NUM!</v>
      </c>
      <c r="K50" s="13" t="e">
        <f t="shared" si="18"/>
        <v>#NUM!</v>
      </c>
      <c r="L50">
        <f>IF(FREQUENCY('Data Transformation'!$R$10,$B50),1,0)</f>
        <v>1</v>
      </c>
      <c r="M50">
        <f t="shared" si="19"/>
        <v>0</v>
      </c>
      <c r="N50">
        <f t="shared" si="20"/>
        <v>1</v>
      </c>
      <c r="O50" s="13">
        <f t="shared" si="21"/>
        <v>0</v>
      </c>
    </row>
    <row r="51" spans="2:15" x14ac:dyDescent="0.25">
      <c r="B51" t="e">
        <f t="shared" si="12"/>
        <v>#DIV/0!</v>
      </c>
      <c r="D51" t="e">
        <f>IF(FREQUENCY('Data Transformation'!$R$5,$B51),1,0)</f>
        <v>#NUM!</v>
      </c>
      <c r="E51" t="e">
        <f t="shared" si="14"/>
        <v>#NUM!</v>
      </c>
      <c r="F51">
        <f>IF(FREQUENCY('Data Transformation'!$R$6,$B51),1,0)</f>
        <v>1</v>
      </c>
      <c r="G51">
        <f t="shared" si="15"/>
        <v>0</v>
      </c>
      <c r="H51">
        <f t="shared" si="16"/>
        <v>20</v>
      </c>
      <c r="I51" s="13" t="e">
        <f>IF(D51=1,1,J52+1)</f>
        <v>#NUM!</v>
      </c>
      <c r="J51" t="e">
        <f t="shared" si="17"/>
        <v>#NUM!</v>
      </c>
      <c r="K51" s="13" t="e">
        <f t="shared" si="18"/>
        <v>#NUM!</v>
      </c>
      <c r="L51">
        <f>IF(FREQUENCY('Data Transformation'!$R$10,$B51),1,0)</f>
        <v>1</v>
      </c>
      <c r="M51">
        <f t="shared" si="19"/>
        <v>0</v>
      </c>
      <c r="N51">
        <f t="shared" si="20"/>
        <v>1</v>
      </c>
      <c r="O51" s="13">
        <f t="shared" si="21"/>
        <v>0</v>
      </c>
    </row>
  </sheetData>
  <mergeCells count="8">
    <mergeCell ref="D3:E3"/>
    <mergeCell ref="F3:G3"/>
    <mergeCell ref="H3:K3"/>
    <mergeCell ref="L3:N3"/>
    <mergeCell ref="D29:E29"/>
    <mergeCell ref="F29:G29"/>
    <mergeCell ref="H29:K29"/>
    <mergeCell ref="L29:N29"/>
  </mergeCells>
  <conditionalFormatting sqref="M6:N25">
    <cfRule type="cellIs" dxfId="12" priority="18" operator="greaterThan">
      <formula>0</formula>
    </cfRule>
  </conditionalFormatting>
  <conditionalFormatting sqref="O6:O25">
    <cfRule type="colorScale" priority="17">
      <colorScale>
        <cfvo type="min"/>
        <cfvo type="percentile" val="50"/>
        <cfvo type="max"/>
        <color rgb="FF63BE7B"/>
        <color rgb="FFFFEB84"/>
        <color rgb="FFF8696B"/>
      </colorScale>
    </cfRule>
  </conditionalFormatting>
  <conditionalFormatting sqref="E6:E25">
    <cfRule type="cellIs" dxfId="11" priority="12" operator="equal">
      <formula>1</formula>
    </cfRule>
    <cfRule type="cellIs" dxfId="10" priority="16" operator="greaterThan">
      <formula>0</formula>
    </cfRule>
  </conditionalFormatting>
  <conditionalFormatting sqref="G6:G25">
    <cfRule type="cellIs" dxfId="9" priority="13" operator="equal">
      <formula>1</formula>
    </cfRule>
    <cfRule type="cellIs" dxfId="8" priority="15" operator="greaterThan">
      <formula>0</formula>
    </cfRule>
  </conditionalFormatting>
  <conditionalFormatting sqref="K6:K25">
    <cfRule type="colorScale" priority="20">
      <colorScale>
        <cfvo type="min"/>
        <cfvo type="percentile" val="50"/>
        <cfvo type="max"/>
        <color rgb="FF63BE7B"/>
        <color rgb="FFFFEB84"/>
        <color rgb="FFF8696B"/>
      </colorScale>
    </cfRule>
  </conditionalFormatting>
  <conditionalFormatting sqref="M6:M25">
    <cfRule type="cellIs" dxfId="7" priority="11" operator="equal">
      <formula>1</formula>
    </cfRule>
  </conditionalFormatting>
  <conditionalFormatting sqref="M32:N51">
    <cfRule type="cellIs" dxfId="6" priority="9" operator="greaterThan">
      <formula>0</formula>
    </cfRule>
  </conditionalFormatting>
  <conditionalFormatting sqref="O32:O51">
    <cfRule type="colorScale" priority="8">
      <colorScale>
        <cfvo type="min"/>
        <cfvo type="percentile" val="50"/>
        <cfvo type="max"/>
        <color rgb="FF63BE7B"/>
        <color rgb="FFFFEB84"/>
        <color rgb="FFF8696B"/>
      </colorScale>
    </cfRule>
  </conditionalFormatting>
  <conditionalFormatting sqref="E32:E51">
    <cfRule type="cellIs" dxfId="5" priority="4" operator="equal">
      <formula>1</formula>
    </cfRule>
    <cfRule type="cellIs" dxfId="4" priority="7" operator="greaterThan">
      <formula>0</formula>
    </cfRule>
  </conditionalFormatting>
  <conditionalFormatting sqref="G32:G51">
    <cfRule type="cellIs" dxfId="3" priority="5" operator="equal">
      <formula>1</formula>
    </cfRule>
    <cfRule type="cellIs" dxfId="2" priority="6" operator="greaterThan">
      <formula>0</formula>
    </cfRule>
  </conditionalFormatting>
  <conditionalFormatting sqref="K32:K51">
    <cfRule type="colorScale" priority="10">
      <colorScale>
        <cfvo type="min"/>
        <cfvo type="percentile" val="50"/>
        <cfvo type="max"/>
        <color rgb="FF63BE7B"/>
        <color rgb="FFFFEB84"/>
        <color rgb="FFF8696B"/>
      </colorScale>
    </cfRule>
  </conditionalFormatting>
  <conditionalFormatting sqref="M32:M51">
    <cfRule type="cellIs" dxfId="1" priority="3" operator="equal">
      <formula>1</formula>
    </cfRule>
  </conditionalFormatting>
  <conditionalFormatting sqref="V5:V25">
    <cfRule type="colorScale" priority="1">
      <colorScale>
        <cfvo type="min"/>
        <cfvo type="percentile" val="50"/>
        <cfvo type="max"/>
        <color rgb="FF63BE7B"/>
        <color rgb="FFFFEB84"/>
        <color rgb="FFF8696B"/>
      </colorScale>
    </cfRule>
  </conditionalFormatting>
  <dataValidations count="2">
    <dataValidation allowBlank="1" showInputMessage="1" showErrorMessage="1" promptTitle="Bin Weighting Override" prompt="If a different bin weighting scale is preferred, those values can be entered here. The weighted scores are normalized in a later calculation, so the magnitude of the weighting scale can be determined by the user." sqref="T4"/>
    <dataValidation allowBlank="1" showInputMessage="1" showErrorMessage="1" promptTitle="Bin weight determination" prompt="The columns in this section were used to find the WT and Dead bin and then apply the corresponding weights to all other bins. These columns should be left alone." sqref="H3:K3"/>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505"/>
  <sheetViews>
    <sheetView workbookViewId="0">
      <pane ySplit="2" topLeftCell="A474" activePane="bottomLeft" state="frozen"/>
      <selection pane="bottomLeft" activeCell="A480" sqref="A480"/>
    </sheetView>
  </sheetViews>
  <sheetFormatPr defaultColWidth="11" defaultRowHeight="15.75" x14ac:dyDescent="0.25"/>
  <cols>
    <col min="4" max="4" width="11" bestFit="1" customWidth="1"/>
    <col min="5" max="5" width="4" bestFit="1" customWidth="1"/>
    <col min="6" max="6" width="9" customWidth="1"/>
    <col min="7" max="7" width="6.625" customWidth="1"/>
    <col min="8" max="8" width="6.875" customWidth="1"/>
    <col min="9" max="9" width="12.125" bestFit="1" customWidth="1"/>
    <col min="10" max="10" width="5.625" customWidth="1"/>
    <col min="11" max="11" width="6.875" customWidth="1"/>
    <col min="12" max="12" width="12.875" bestFit="1" customWidth="1"/>
    <col min="13" max="13" width="12.625" bestFit="1" customWidth="1"/>
    <col min="15" max="15" width="15.375" style="16" bestFit="1" customWidth="1"/>
    <col min="16" max="16" width="12.125" style="51" bestFit="1" customWidth="1"/>
    <col min="17" max="17" width="25.125" style="51" bestFit="1" customWidth="1"/>
    <col min="18" max="18" width="22.5" style="51" bestFit="1" customWidth="1"/>
    <col min="19" max="19" width="8.5" style="51" bestFit="1" customWidth="1"/>
  </cols>
  <sheetData>
    <row r="1" spans="1:20" ht="21" x14ac:dyDescent="0.35">
      <c r="O1" s="49"/>
      <c r="P1" s="97" t="s">
        <v>52</v>
      </c>
      <c r="Q1" s="97"/>
      <c r="R1" s="97"/>
      <c r="S1" s="97"/>
    </row>
    <row r="2" spans="1:20" ht="21" x14ac:dyDescent="0.35">
      <c r="O2" s="50" t="s">
        <v>65</v>
      </c>
      <c r="P2" s="29" t="s">
        <v>53</v>
      </c>
      <c r="Q2" s="29" t="s">
        <v>54</v>
      </c>
      <c r="R2" s="29" t="s">
        <v>55</v>
      </c>
      <c r="S2" s="29" t="s">
        <v>56</v>
      </c>
      <c r="T2" s="63" t="s">
        <v>81</v>
      </c>
    </row>
    <row r="3" spans="1:20" ht="23.25" x14ac:dyDescent="0.35">
      <c r="D3" s="46" t="s">
        <v>51</v>
      </c>
      <c r="E3" s="54"/>
      <c r="F3" s="54"/>
      <c r="G3" s="54"/>
      <c r="H3" s="54"/>
      <c r="I3" s="54"/>
      <c r="J3" s="55"/>
      <c r="K3" s="55"/>
      <c r="L3" s="55"/>
      <c r="M3" s="56"/>
      <c r="N3" s="54"/>
      <c r="O3" s="48" t="b">
        <f>INDEX('Data Transformation'!$O$4:$O$25,MATCH($D3,'Data Transformation'!$M$4:$M$25,0),MATCH($O$2,'Data Transformation'!$O$3,0))</f>
        <v>0</v>
      </c>
      <c r="P3" s="52" t="e">
        <f>IF(O3=FALSE,NA(),(VLOOKUP(1,E6:M25,4,FALSE)/(O3-1)))</f>
        <v>#N/A</v>
      </c>
      <c r="Q3" s="52" t="e">
        <f>IF(O3=FALSE,NA(),SUM(L6:L25)/Weighting!$R$5)</f>
        <v>#N/A</v>
      </c>
      <c r="R3" s="52" t="e">
        <f>IF(O3=FALSE,NA(),SUM(M6:M25)/Weighting!$R$6)</f>
        <v>#N/A</v>
      </c>
      <c r="S3" s="52" t="e">
        <f>IF(O3=FALSE,NA(),(VLOOKUP(1,I6:M25,3,FALSE))/(O3-1))</f>
        <v>#N/A</v>
      </c>
      <c r="T3" s="57" t="e">
        <f>IF(O3=FALSE,NA(),IF(SUM(L6:L25)=2,"yes","no"))</f>
        <v>#N/A</v>
      </c>
    </row>
    <row r="4" spans="1:20" x14ac:dyDescent="0.25">
      <c r="D4" t="s">
        <v>50</v>
      </c>
      <c r="E4" t="s">
        <v>5</v>
      </c>
      <c r="F4" t="s">
        <v>99</v>
      </c>
      <c r="G4" t="s">
        <v>102</v>
      </c>
      <c r="H4" t="s">
        <v>103</v>
      </c>
      <c r="I4" t="s">
        <v>75</v>
      </c>
      <c r="J4" s="7" t="s">
        <v>34</v>
      </c>
      <c r="K4" s="7" t="s">
        <v>35</v>
      </c>
      <c r="L4" s="7" t="s">
        <v>49</v>
      </c>
      <c r="M4" s="21" t="s">
        <v>48</v>
      </c>
    </row>
    <row r="5" spans="1:20" x14ac:dyDescent="0.25">
      <c r="F5" t="e">
        <f>IF(E5=1,'Data Transformation'!$G$3+0.5*'Data Transformation'!$R$25,IF(E6=1,F6-'Data Transformation'!$R$25,FALSE))</f>
        <v>#NUM!</v>
      </c>
      <c r="G5">
        <f>IF(ISLOGICAL(F5),"",FREQUENCY('Data Transformation'!$G$24:$G$404,'Bin Analysis and Plots'!F5))</f>
        <v>0</v>
      </c>
      <c r="H5" t="e">
        <f>IF(ISLOGICAL(F5),"",G5-G4)</f>
        <v>#VALUE!</v>
      </c>
    </row>
    <row r="6" spans="1:20" x14ac:dyDescent="0.25">
      <c r="C6" s="61" t="e">
        <f>IF(Weighting!$O$6&gt;0,D6,"")</f>
        <v>#NUM!</v>
      </c>
      <c r="D6" t="e">
        <f>Weighting!$C$6</f>
        <v>#DIV/0!</v>
      </c>
      <c r="E6" t="e">
        <f>Weighting!$E$6</f>
        <v>#NUM!</v>
      </c>
      <c r="F6" t="e">
        <f>IF(E6=1,'Data Transformation'!$G$3+0.5*'Data Transformation'!$R$25,IF(E7=1,F7-'Data Transformation'!$R$25,FALSE))</f>
        <v>#NUM!</v>
      </c>
      <c r="G6">
        <f>IF(ISLOGICAL(F6),"",FREQUENCY('Data Transformation'!$G$24:$G$404,'Bin Analysis and Plots'!F6))</f>
        <v>0</v>
      </c>
      <c r="H6">
        <f>IF(ISLOGICAL(F6),"",G6-G5)</f>
        <v>0</v>
      </c>
      <c r="I6">
        <f>Weighting!$G$6</f>
        <v>1</v>
      </c>
      <c r="J6" s="7">
        <f>FREQUENCY('Data Transformation'!$G$24:$G$404, $D6)</f>
        <v>0</v>
      </c>
      <c r="K6" s="7" t="e">
        <f t="shared" ref="K6:K25" si="0">J6-J5+E6</f>
        <v>#NUM!</v>
      </c>
      <c r="L6" s="7" t="e">
        <f>IF(K6=0,0,1)</f>
        <v>#NUM!</v>
      </c>
      <c r="M6" s="22" t="e">
        <f>L6*Weighting!$V$6</f>
        <v>#NUM!</v>
      </c>
    </row>
    <row r="7" spans="1:20" x14ac:dyDescent="0.25">
      <c r="C7" s="61" t="str">
        <f>IF(Weighting!$O$7&gt;0,D7,"")</f>
        <v/>
      </c>
      <c r="D7" t="e">
        <f>Weighting!$C$7</f>
        <v>#DIV/0!</v>
      </c>
      <c r="E7" t="e">
        <f>Weighting!$E$7</f>
        <v>#NUM!</v>
      </c>
      <c r="F7" t="e">
        <f>IF(E7=1,'Data Transformation'!$G$3+0.5*'Data Transformation'!$R$25,IF(E8=1,F8-'Data Transformation'!$R$25,FALSE))</f>
        <v>#NUM!</v>
      </c>
      <c r="G7">
        <f>IF(ISLOGICAL(F7),"",FREQUENCY('Data Transformation'!$G$24:$G$404,'Bin Analysis and Plots'!F7))</f>
        <v>0</v>
      </c>
      <c r="H7">
        <f t="shared" ref="H7:H25" si="1">IF(ISLOGICAL(F7),"",G7-G6)</f>
        <v>0</v>
      </c>
      <c r="I7">
        <f>Weighting!$G$7</f>
        <v>0</v>
      </c>
      <c r="J7" s="7">
        <f>FREQUENCY('Data Transformation'!$G$24:$G$404, $D7)</f>
        <v>0</v>
      </c>
      <c r="K7" s="7" t="e">
        <f t="shared" si="0"/>
        <v>#NUM!</v>
      </c>
      <c r="L7" s="7" t="e">
        <f>IF(K7=0,0,1)</f>
        <v>#NUM!</v>
      </c>
      <c r="M7" s="22" t="e">
        <f>L7*Weighting!$V$7</f>
        <v>#NUM!</v>
      </c>
    </row>
    <row r="8" spans="1:20" x14ac:dyDescent="0.25">
      <c r="C8" s="61" t="str">
        <f>IF(Weighting!$O$8&gt;0,D8,"")</f>
        <v/>
      </c>
      <c r="D8" t="e">
        <f>Weighting!$C$8</f>
        <v>#DIV/0!</v>
      </c>
      <c r="E8" t="e">
        <f>Weighting!$E$8</f>
        <v>#NUM!</v>
      </c>
      <c r="F8" t="e">
        <f>IF(E8=1,'Data Transformation'!$G$3+0.5*'Data Transformation'!$R$25,IF(E9=1,F9-'Data Transformation'!$R$25,FALSE))</f>
        <v>#NUM!</v>
      </c>
      <c r="G8">
        <f>IF(ISLOGICAL(F8),"",FREQUENCY('Data Transformation'!$G$24:$G$404,'Bin Analysis and Plots'!F8))</f>
        <v>0</v>
      </c>
      <c r="H8">
        <f t="shared" si="1"/>
        <v>0</v>
      </c>
      <c r="I8">
        <f>Weighting!$G$8</f>
        <v>0</v>
      </c>
      <c r="J8" s="7">
        <f>FREQUENCY('Data Transformation'!$G$24:$G$404, $D8)</f>
        <v>0</v>
      </c>
      <c r="K8" s="7" t="e">
        <f t="shared" si="0"/>
        <v>#NUM!</v>
      </c>
      <c r="L8" s="7" t="e">
        <f t="shared" ref="L8:L25" si="2">IF(K8=0,0,1)</f>
        <v>#NUM!</v>
      </c>
      <c r="M8" s="22" t="e">
        <f>L8*Weighting!$V$8</f>
        <v>#NUM!</v>
      </c>
    </row>
    <row r="9" spans="1:20" x14ac:dyDescent="0.25">
      <c r="C9" s="61" t="str">
        <f>IF(Weighting!$O$9&gt;0,D9,"")</f>
        <v/>
      </c>
      <c r="D9" t="e">
        <f>Weighting!$C$9</f>
        <v>#DIV/0!</v>
      </c>
      <c r="E9" t="e">
        <f>Weighting!$E$9</f>
        <v>#NUM!</v>
      </c>
      <c r="F9" t="e">
        <f>IF(E9=1,'Data Transformation'!$G$3+0.5*'Data Transformation'!$R$25,IF(E10=1,F10-'Data Transformation'!$R$25,FALSE))</f>
        <v>#NUM!</v>
      </c>
      <c r="G9">
        <f>IF(ISLOGICAL(F9),"",FREQUENCY('Data Transformation'!$G$24:$G$404,'Bin Analysis and Plots'!F9))</f>
        <v>0</v>
      </c>
      <c r="H9">
        <f t="shared" si="1"/>
        <v>0</v>
      </c>
      <c r="I9">
        <f>Weighting!$G$9</f>
        <v>0</v>
      </c>
      <c r="J9" s="7">
        <f>FREQUENCY('Data Transformation'!$G$24:$G$404, $D9)</f>
        <v>0</v>
      </c>
      <c r="K9" s="7" t="e">
        <f t="shared" si="0"/>
        <v>#NUM!</v>
      </c>
      <c r="L9" s="7" t="e">
        <f t="shared" si="2"/>
        <v>#NUM!</v>
      </c>
      <c r="M9" s="22" t="e">
        <f>L9*Weighting!$V$9</f>
        <v>#NUM!</v>
      </c>
      <c r="P9" s="51" t="s">
        <v>92</v>
      </c>
    </row>
    <row r="10" spans="1:20" x14ac:dyDescent="0.25">
      <c r="C10" s="61" t="str">
        <f>IF(Weighting!$O$10&gt;0,D10,"")</f>
        <v/>
      </c>
      <c r="D10" t="e">
        <f>Weighting!$C$10</f>
        <v>#DIV/0!</v>
      </c>
      <c r="E10" t="e">
        <f>Weighting!$E$10</f>
        <v>#NUM!</v>
      </c>
      <c r="F10" t="e">
        <f>IF(E10=1,'Data Transformation'!$G$3+0.5*'Data Transformation'!$R$25,IF(E11=1,F11-'Data Transformation'!$R$25,FALSE))</f>
        <v>#NUM!</v>
      </c>
      <c r="G10">
        <f>IF(ISLOGICAL(F10),"",FREQUENCY('Data Transformation'!$G$24:$G$404,'Bin Analysis and Plots'!F10))</f>
        <v>0</v>
      </c>
      <c r="H10">
        <f t="shared" si="1"/>
        <v>0</v>
      </c>
      <c r="I10">
        <f>Weighting!$G$10</f>
        <v>0</v>
      </c>
      <c r="J10" s="7">
        <f>FREQUENCY('Data Transformation'!$G$24:$G$404, $D10)</f>
        <v>0</v>
      </c>
      <c r="K10" s="7" t="e">
        <f t="shared" si="0"/>
        <v>#NUM!</v>
      </c>
      <c r="L10" s="7" t="e">
        <f t="shared" si="2"/>
        <v>#NUM!</v>
      </c>
      <c r="M10" s="22" t="e">
        <f>L10*Weighting!$V$10</f>
        <v>#NUM!</v>
      </c>
    </row>
    <row r="11" spans="1:20" x14ac:dyDescent="0.25">
      <c r="C11" s="61" t="str">
        <f>IF(Weighting!$O$11&gt;0,D11,"")</f>
        <v/>
      </c>
      <c r="D11" t="e">
        <f>Weighting!$C$11</f>
        <v>#DIV/0!</v>
      </c>
      <c r="E11" t="e">
        <f>Weighting!$E$11</f>
        <v>#NUM!</v>
      </c>
      <c r="F11" t="e">
        <f>IF(E11=1,'Data Transformation'!$G$3+0.5*'Data Transformation'!$R$25,IF(E12=1,F12-'Data Transformation'!$R$25,FALSE))</f>
        <v>#NUM!</v>
      </c>
      <c r="G11">
        <f>IF(ISLOGICAL(F11),"",FREQUENCY('Data Transformation'!$G$24:$G$404,'Bin Analysis and Plots'!F11))</f>
        <v>0</v>
      </c>
      <c r="H11">
        <f t="shared" si="1"/>
        <v>0</v>
      </c>
      <c r="I11">
        <f>Weighting!$G$11</f>
        <v>0</v>
      </c>
      <c r="J11" s="7">
        <f>FREQUENCY('Data Transformation'!$G$24:$G$404, $D11)</f>
        <v>0</v>
      </c>
      <c r="K11" s="7" t="e">
        <f t="shared" si="0"/>
        <v>#NUM!</v>
      </c>
      <c r="L11" s="7" t="e">
        <f t="shared" si="2"/>
        <v>#NUM!</v>
      </c>
      <c r="M11" s="22" t="e">
        <f>L11*Weighting!$V$11</f>
        <v>#NUM!</v>
      </c>
    </row>
    <row r="12" spans="1:20" x14ac:dyDescent="0.25">
      <c r="C12" s="61" t="str">
        <f>IF(Weighting!$O$12&gt;0,D12,"")</f>
        <v/>
      </c>
      <c r="D12" t="e">
        <f>Weighting!$C$12</f>
        <v>#DIV/0!</v>
      </c>
      <c r="E12" t="e">
        <f>Weighting!$E$12</f>
        <v>#NUM!</v>
      </c>
      <c r="F12" t="e">
        <f>IF(E12=1,'Data Transformation'!$G$3+0.5*'Data Transformation'!$R$25,IF(E13=1,F13-'Data Transformation'!$R$25,FALSE))</f>
        <v>#NUM!</v>
      </c>
      <c r="G12">
        <f>IF(ISLOGICAL(F12),"",FREQUENCY('Data Transformation'!$G$24:$G$404,'Bin Analysis and Plots'!F12))</f>
        <v>0</v>
      </c>
      <c r="H12">
        <f t="shared" si="1"/>
        <v>0</v>
      </c>
      <c r="I12">
        <f>Weighting!$G$12</f>
        <v>0</v>
      </c>
      <c r="J12" s="7">
        <f>FREQUENCY('Data Transformation'!$G$24:$G$404, $D12)</f>
        <v>0</v>
      </c>
      <c r="K12" s="7" t="e">
        <f t="shared" si="0"/>
        <v>#NUM!</v>
      </c>
      <c r="L12" s="7" t="e">
        <f t="shared" si="2"/>
        <v>#NUM!</v>
      </c>
      <c r="M12" s="22" t="e">
        <f>L12*Weighting!$V$12</f>
        <v>#NUM!</v>
      </c>
    </row>
    <row r="13" spans="1:20" x14ac:dyDescent="0.25">
      <c r="C13" s="61" t="str">
        <f>IF(Weighting!$O$13&gt;0,D13,"")</f>
        <v/>
      </c>
      <c r="D13" t="e">
        <f>Weighting!$C$13</f>
        <v>#DIV/0!</v>
      </c>
      <c r="E13" t="e">
        <f>Weighting!$E$13</f>
        <v>#NUM!</v>
      </c>
      <c r="F13" t="e">
        <f>IF(E13=1,'Data Transformation'!$G$3+0.5*'Data Transformation'!$R$25,IF(E14=1,F14-'Data Transformation'!$R$25,FALSE))</f>
        <v>#NUM!</v>
      </c>
      <c r="G13">
        <f>IF(ISLOGICAL(F13),"",FREQUENCY('Data Transformation'!$G$24:$G$404,'Bin Analysis and Plots'!F13))</f>
        <v>0</v>
      </c>
      <c r="H13">
        <f t="shared" si="1"/>
        <v>0</v>
      </c>
      <c r="I13">
        <f>Weighting!$G$13</f>
        <v>0</v>
      </c>
      <c r="J13" s="7">
        <f>FREQUENCY('Data Transformation'!$G$24:$G$404, $D13)</f>
        <v>0</v>
      </c>
      <c r="K13" s="7" t="e">
        <f t="shared" si="0"/>
        <v>#NUM!</v>
      </c>
      <c r="L13" s="7" t="e">
        <f t="shared" si="2"/>
        <v>#NUM!</v>
      </c>
      <c r="M13" s="22" t="e">
        <f>L13*Weighting!$V$13</f>
        <v>#NUM!</v>
      </c>
    </row>
    <row r="14" spans="1:20" x14ac:dyDescent="0.25">
      <c r="C14" s="61" t="str">
        <f>IF(Weighting!$O$14&gt;0,D14,"")</f>
        <v/>
      </c>
      <c r="D14" t="e">
        <f>Weighting!$C$14</f>
        <v>#DIV/0!</v>
      </c>
      <c r="E14" t="e">
        <f>Weighting!$E$14</f>
        <v>#NUM!</v>
      </c>
      <c r="F14" t="e">
        <f>IF(E14=1,'Data Transformation'!$G$3+0.5*'Data Transformation'!$R$25,IF(E15=1,F15-'Data Transformation'!$R$25,FALSE))</f>
        <v>#NUM!</v>
      </c>
      <c r="G14">
        <f>IF(ISLOGICAL(F14),"",FREQUENCY('Data Transformation'!$G$24:$G$404,'Bin Analysis and Plots'!F14))</f>
        <v>0</v>
      </c>
      <c r="H14">
        <f t="shared" si="1"/>
        <v>0</v>
      </c>
      <c r="I14">
        <f>Weighting!$G$14</f>
        <v>0</v>
      </c>
      <c r="J14" s="7">
        <f>FREQUENCY('Data Transformation'!$G$24:$G$404, $D14)</f>
        <v>0</v>
      </c>
      <c r="K14" s="7" t="e">
        <f t="shared" si="0"/>
        <v>#NUM!</v>
      </c>
      <c r="L14" s="7" t="e">
        <f t="shared" si="2"/>
        <v>#NUM!</v>
      </c>
      <c r="M14" s="22" t="e">
        <f>L14*Weighting!$V$14</f>
        <v>#NUM!</v>
      </c>
    </row>
    <row r="15" spans="1:20" x14ac:dyDescent="0.25">
      <c r="C15" s="61" t="str">
        <f>IF(Weighting!$O$15&gt;0,D15,"")</f>
        <v/>
      </c>
      <c r="D15" t="e">
        <f>Weighting!$C$15</f>
        <v>#DIV/0!</v>
      </c>
      <c r="E15" t="e">
        <f>Weighting!$E$15</f>
        <v>#NUM!</v>
      </c>
      <c r="F15" t="e">
        <f>IF(E15=1,'Data Transformation'!$G$3+0.5*'Data Transformation'!$R$25,IF(E16=1,F16-'Data Transformation'!$R$25,FALSE))</f>
        <v>#NUM!</v>
      </c>
      <c r="G15">
        <f>IF(ISLOGICAL(F15),"",FREQUENCY('Data Transformation'!$G$24:$G$404,'Bin Analysis and Plots'!F15))</f>
        <v>0</v>
      </c>
      <c r="H15">
        <f t="shared" si="1"/>
        <v>0</v>
      </c>
      <c r="I15">
        <f>Weighting!$G$15</f>
        <v>0</v>
      </c>
      <c r="J15" s="7">
        <f>FREQUENCY('Data Transformation'!$G$24:$G$404, $D15)</f>
        <v>0</v>
      </c>
      <c r="K15" s="7" t="e">
        <f t="shared" si="0"/>
        <v>#NUM!</v>
      </c>
      <c r="L15" s="7" t="e">
        <f t="shared" si="2"/>
        <v>#NUM!</v>
      </c>
      <c r="M15" s="22" t="e">
        <f>L15*Weighting!$V$15</f>
        <v>#NUM!</v>
      </c>
    </row>
    <row r="16" spans="1:20" x14ac:dyDescent="0.25">
      <c r="A16" t="str">
        <f>""</f>
        <v/>
      </c>
      <c r="C16" s="61" t="str">
        <f>IF(Weighting!$O$16&gt;0,D16,"")</f>
        <v/>
      </c>
      <c r="D16" t="e">
        <f>Weighting!$C$16</f>
        <v>#DIV/0!</v>
      </c>
      <c r="E16" t="e">
        <f>Weighting!$E$16</f>
        <v>#NUM!</v>
      </c>
      <c r="F16" t="e">
        <f>IF(E16=1,'Data Transformation'!$G$3+0.5*'Data Transformation'!$R$25,IF(E17=1,F17-'Data Transformation'!$R$25,FALSE))</f>
        <v>#NUM!</v>
      </c>
      <c r="G16">
        <f>IF(ISLOGICAL(F16),"",FREQUENCY('Data Transformation'!$G$24:$G$404,'Bin Analysis and Plots'!F16))</f>
        <v>0</v>
      </c>
      <c r="H16">
        <f t="shared" si="1"/>
        <v>0</v>
      </c>
      <c r="I16">
        <f>Weighting!$G$16</f>
        <v>0</v>
      </c>
      <c r="J16" s="7">
        <f>FREQUENCY('Data Transformation'!$G$24:$G$404, $D16)</f>
        <v>0</v>
      </c>
      <c r="K16" s="7" t="e">
        <f t="shared" si="0"/>
        <v>#NUM!</v>
      </c>
      <c r="L16" s="7" t="e">
        <f t="shared" si="2"/>
        <v>#NUM!</v>
      </c>
      <c r="M16" s="22" t="e">
        <f>L16*Weighting!$V$16</f>
        <v>#NUM!</v>
      </c>
    </row>
    <row r="17" spans="1:24" x14ac:dyDescent="0.25">
      <c r="C17" s="61" t="str">
        <f>IF(Weighting!$O$17&gt;0,D17,"")</f>
        <v/>
      </c>
      <c r="D17" t="e">
        <f>Weighting!$C$17</f>
        <v>#DIV/0!</v>
      </c>
      <c r="E17" t="e">
        <f>Weighting!$E$17</f>
        <v>#NUM!</v>
      </c>
      <c r="F17" t="e">
        <f>IF(E17=1,'Data Transformation'!$G$3+0.5*'Data Transformation'!$R$25,IF(E18=1,F18-'Data Transformation'!$R$25,FALSE))</f>
        <v>#NUM!</v>
      </c>
      <c r="G17">
        <f>IF(ISLOGICAL(F17),"",FREQUENCY('Data Transformation'!$G$24:$G$404,'Bin Analysis and Plots'!F17))</f>
        <v>0</v>
      </c>
      <c r="H17">
        <f t="shared" si="1"/>
        <v>0</v>
      </c>
      <c r="I17">
        <f>Weighting!$G$17</f>
        <v>0</v>
      </c>
      <c r="J17" s="7">
        <f>FREQUENCY('Data Transformation'!$G$24:$G$404, $D17)</f>
        <v>0</v>
      </c>
      <c r="K17" s="7" t="e">
        <f t="shared" si="0"/>
        <v>#NUM!</v>
      </c>
      <c r="L17" s="7" t="e">
        <f t="shared" si="2"/>
        <v>#NUM!</v>
      </c>
      <c r="M17" s="22" t="e">
        <f>L17*Weighting!$V$17</f>
        <v>#NUM!</v>
      </c>
    </row>
    <row r="18" spans="1:24" x14ac:dyDescent="0.25">
      <c r="C18" s="61" t="str">
        <f>IF(Weighting!$O$18&gt;0,D18,"")</f>
        <v/>
      </c>
      <c r="D18" t="e">
        <f>Weighting!$C$18</f>
        <v>#DIV/0!</v>
      </c>
      <c r="E18" t="e">
        <f>Weighting!$E$18</f>
        <v>#NUM!</v>
      </c>
      <c r="F18" t="e">
        <f>IF(E18=1,'Data Transformation'!$G$3+0.5*'Data Transformation'!$R$25,IF(E19=1,F19-'Data Transformation'!$R$25,FALSE))</f>
        <v>#NUM!</v>
      </c>
      <c r="G18">
        <f>IF(ISLOGICAL(F18),"",FREQUENCY('Data Transformation'!$G$24:$G$404,'Bin Analysis and Plots'!F18))</f>
        <v>0</v>
      </c>
      <c r="H18">
        <f t="shared" si="1"/>
        <v>0</v>
      </c>
      <c r="I18">
        <f>Weighting!$G$18</f>
        <v>0</v>
      </c>
      <c r="J18" s="7">
        <f>FREQUENCY('Data Transformation'!$G$24:$G$404, $D18)</f>
        <v>0</v>
      </c>
      <c r="K18" s="7" t="e">
        <f t="shared" si="0"/>
        <v>#NUM!</v>
      </c>
      <c r="L18" s="7" t="e">
        <f t="shared" si="2"/>
        <v>#NUM!</v>
      </c>
      <c r="M18" s="22" t="e">
        <f>L18*Weighting!$V$18</f>
        <v>#NUM!</v>
      </c>
    </row>
    <row r="19" spans="1:24" x14ac:dyDescent="0.25">
      <c r="C19" s="61" t="str">
        <f>IF(Weighting!$O$19&gt;0,D19,"")</f>
        <v/>
      </c>
      <c r="D19" t="e">
        <f>Weighting!$C$19</f>
        <v>#DIV/0!</v>
      </c>
      <c r="E19" t="e">
        <f>Weighting!$E$19</f>
        <v>#NUM!</v>
      </c>
      <c r="F19" t="e">
        <f>IF(E19=1,'Data Transformation'!$G$3+0.5*'Data Transformation'!$R$25,IF(E20=1,F20-'Data Transformation'!$R$25,FALSE))</f>
        <v>#NUM!</v>
      </c>
      <c r="G19">
        <f>IF(ISLOGICAL(F19),"",FREQUENCY('Data Transformation'!$G$24:$G$404,'Bin Analysis and Plots'!F19))</f>
        <v>0</v>
      </c>
      <c r="H19">
        <f t="shared" si="1"/>
        <v>0</v>
      </c>
      <c r="I19">
        <f>Weighting!$G$19</f>
        <v>0</v>
      </c>
      <c r="J19" s="7">
        <f>FREQUENCY('Data Transformation'!$G$24:$G$404, $D19)</f>
        <v>0</v>
      </c>
      <c r="K19" s="7" t="e">
        <f t="shared" si="0"/>
        <v>#NUM!</v>
      </c>
      <c r="L19" s="7" t="e">
        <f t="shared" si="2"/>
        <v>#NUM!</v>
      </c>
      <c r="M19" s="22" t="e">
        <f>L19*Weighting!$V$19</f>
        <v>#NUM!</v>
      </c>
    </row>
    <row r="20" spans="1:24" x14ac:dyDescent="0.25">
      <c r="C20" s="61" t="str">
        <f>IF(Weighting!$O$20&gt;0,D20,"")</f>
        <v/>
      </c>
      <c r="D20" t="e">
        <f>Weighting!$C$20</f>
        <v>#DIV/0!</v>
      </c>
      <c r="E20" t="e">
        <f>Weighting!$E$20</f>
        <v>#NUM!</v>
      </c>
      <c r="F20" t="e">
        <f>IF(E20=1,'Data Transformation'!$G$3+0.5*'Data Transformation'!$R$25,IF(E21=1,F21-'Data Transformation'!$R$25,FALSE))</f>
        <v>#NUM!</v>
      </c>
      <c r="G20">
        <f>IF(ISLOGICAL(F20),"",FREQUENCY('Data Transformation'!$G$24:$G$404,'Bin Analysis and Plots'!F20))</f>
        <v>0</v>
      </c>
      <c r="H20">
        <f t="shared" si="1"/>
        <v>0</v>
      </c>
      <c r="I20">
        <f>Weighting!$G$20</f>
        <v>0</v>
      </c>
      <c r="J20" s="7">
        <f>FREQUENCY('Data Transformation'!$G$24:$G$404, $D20)</f>
        <v>0</v>
      </c>
      <c r="K20" s="7" t="e">
        <f t="shared" si="0"/>
        <v>#NUM!</v>
      </c>
      <c r="L20" s="7" t="e">
        <f t="shared" si="2"/>
        <v>#NUM!</v>
      </c>
      <c r="M20" s="22" t="e">
        <f>L20*Weighting!$V$20</f>
        <v>#NUM!</v>
      </c>
    </row>
    <row r="21" spans="1:24" x14ac:dyDescent="0.25">
      <c r="C21" s="61" t="str">
        <f>IF(Weighting!$O$21&gt;0,D21,"")</f>
        <v/>
      </c>
      <c r="D21" t="e">
        <f>Weighting!$C$21</f>
        <v>#DIV/0!</v>
      </c>
      <c r="E21" t="e">
        <f>Weighting!$E$21</f>
        <v>#NUM!</v>
      </c>
      <c r="F21" t="e">
        <f>IF(E21=1,'Data Transformation'!$G$3+0.5*'Data Transformation'!$R$25,IF(E22=1,F22-'Data Transformation'!$R$25,FALSE))</f>
        <v>#NUM!</v>
      </c>
      <c r="G21">
        <f>IF(ISLOGICAL(F21),"",FREQUENCY('Data Transformation'!$G$24:$G$404,'Bin Analysis and Plots'!F21))</f>
        <v>0</v>
      </c>
      <c r="H21">
        <f t="shared" si="1"/>
        <v>0</v>
      </c>
      <c r="I21">
        <f>Weighting!$G$21</f>
        <v>0</v>
      </c>
      <c r="J21" s="7">
        <f>FREQUENCY('Data Transformation'!$G$24:$G$404, $D21)</f>
        <v>0</v>
      </c>
      <c r="K21" s="7" t="e">
        <f t="shared" si="0"/>
        <v>#NUM!</v>
      </c>
      <c r="L21" s="7" t="e">
        <f t="shared" si="2"/>
        <v>#NUM!</v>
      </c>
      <c r="M21" s="22" t="e">
        <f>L21*Weighting!$V$21</f>
        <v>#NUM!</v>
      </c>
    </row>
    <row r="22" spans="1:24" x14ac:dyDescent="0.25">
      <c r="C22" s="61" t="str">
        <f>IF(Weighting!$O$22&gt;0,D22,"")</f>
        <v/>
      </c>
      <c r="D22" t="e">
        <f>Weighting!$C$22</f>
        <v>#DIV/0!</v>
      </c>
      <c r="E22" t="e">
        <f>Weighting!$E$22</f>
        <v>#NUM!</v>
      </c>
      <c r="F22" t="e">
        <f>IF(E22=1,'Data Transformation'!$G$3+0.5*'Data Transformation'!$R$25,IF(E23=1,F23-'Data Transformation'!$R$25,FALSE))</f>
        <v>#NUM!</v>
      </c>
      <c r="G22">
        <f>IF(ISLOGICAL(F22),"",FREQUENCY('Data Transformation'!$G$24:$G$404,'Bin Analysis and Plots'!F22))</f>
        <v>0</v>
      </c>
      <c r="H22">
        <f t="shared" si="1"/>
        <v>0</v>
      </c>
      <c r="I22">
        <f>Weighting!$G$22</f>
        <v>0</v>
      </c>
      <c r="J22" s="7">
        <f>FREQUENCY('Data Transformation'!$G$24:$G$404, $D22)</f>
        <v>0</v>
      </c>
      <c r="K22" s="7" t="e">
        <f t="shared" si="0"/>
        <v>#NUM!</v>
      </c>
      <c r="L22" s="7" t="e">
        <f t="shared" si="2"/>
        <v>#NUM!</v>
      </c>
      <c r="M22" s="22" t="e">
        <f>L22*Weighting!$V$22</f>
        <v>#NUM!</v>
      </c>
    </row>
    <row r="23" spans="1:24" x14ac:dyDescent="0.25">
      <c r="C23" s="61" t="str">
        <f>IF(Weighting!$O$23&gt;0,D23,"")</f>
        <v/>
      </c>
      <c r="D23" t="e">
        <f>Weighting!$C$23</f>
        <v>#DIV/0!</v>
      </c>
      <c r="E23" t="e">
        <f>Weighting!$E$23</f>
        <v>#NUM!</v>
      </c>
      <c r="F23" t="e">
        <f>IF(E23=1,'Data Transformation'!$G$3+0.5*'Data Transformation'!$R$25,IF(E24=1,F24-'Data Transformation'!$R$25,FALSE))</f>
        <v>#NUM!</v>
      </c>
      <c r="G23">
        <f>IF(ISLOGICAL(F23),"",FREQUENCY('Data Transformation'!$G$24:$G$404,'Bin Analysis and Plots'!F23))</f>
        <v>0</v>
      </c>
      <c r="H23">
        <f t="shared" si="1"/>
        <v>0</v>
      </c>
      <c r="I23">
        <f>Weighting!$G$23</f>
        <v>0</v>
      </c>
      <c r="J23" s="7">
        <f>FREQUENCY('Data Transformation'!$G$24:$G$404, $D23)</f>
        <v>0</v>
      </c>
      <c r="K23" s="7" t="e">
        <f t="shared" si="0"/>
        <v>#NUM!</v>
      </c>
      <c r="L23" s="7" t="e">
        <f t="shared" si="2"/>
        <v>#NUM!</v>
      </c>
      <c r="M23" s="22" t="e">
        <f>L23*Weighting!$V$23</f>
        <v>#NUM!</v>
      </c>
    </row>
    <row r="24" spans="1:24" x14ac:dyDescent="0.25">
      <c r="C24" s="61" t="str">
        <f>IF(Weighting!$O$24&gt;0,D24,"")</f>
        <v/>
      </c>
      <c r="D24" t="e">
        <f>Weighting!$C$24</f>
        <v>#DIV/0!</v>
      </c>
      <c r="E24" t="e">
        <f>Weighting!$E$24</f>
        <v>#NUM!</v>
      </c>
      <c r="F24" t="e">
        <f>IF(E24=1,'Data Transformation'!$G$3+0.5*'Data Transformation'!$R$25,IF(E25=1,F25-'Data Transformation'!$R$25,FALSE))</f>
        <v>#NUM!</v>
      </c>
      <c r="G24">
        <f>IF(ISLOGICAL(F24),"",FREQUENCY('Data Transformation'!$G$24:$G$404,'Bin Analysis and Plots'!F24))</f>
        <v>0</v>
      </c>
      <c r="H24">
        <f t="shared" si="1"/>
        <v>0</v>
      </c>
      <c r="I24">
        <f>Weighting!$G$24</f>
        <v>0</v>
      </c>
      <c r="J24" s="7">
        <f>FREQUENCY('Data Transformation'!$G$24:$G$404, $D24)</f>
        <v>0</v>
      </c>
      <c r="K24" s="7" t="e">
        <f t="shared" si="0"/>
        <v>#NUM!</v>
      </c>
      <c r="L24" s="7" t="e">
        <f t="shared" si="2"/>
        <v>#NUM!</v>
      </c>
      <c r="M24" s="22" t="e">
        <f>L24*Weighting!$V$24</f>
        <v>#NUM!</v>
      </c>
    </row>
    <row r="25" spans="1:24" x14ac:dyDescent="0.25">
      <c r="C25" s="61" t="str">
        <f>IF(Weighting!$O$25&gt;0,D25,"")</f>
        <v/>
      </c>
      <c r="D25" t="e">
        <f>Weighting!$C$25</f>
        <v>#DIV/0!</v>
      </c>
      <c r="E25" t="e">
        <f>Weighting!$E$25</f>
        <v>#NUM!</v>
      </c>
      <c r="F25" t="e">
        <f>IF(E25=1,'Data Transformation'!$G$3+0.5*'Data Transformation'!$R$25,IF(E26=1,F26-'Data Transformation'!$R$25,FALSE))</f>
        <v>#NUM!</v>
      </c>
      <c r="G25">
        <f>IF(ISLOGICAL(F25),"",FREQUENCY('Data Transformation'!$G$24:$G$404,'Bin Analysis and Plots'!F25))</f>
        <v>0</v>
      </c>
      <c r="H25">
        <f t="shared" si="1"/>
        <v>0</v>
      </c>
      <c r="I25">
        <f>Weighting!$G$25</f>
        <v>0</v>
      </c>
      <c r="J25" s="7">
        <f>FREQUENCY('Data Transformation'!$G$24:$G$404, $D25)</f>
        <v>0</v>
      </c>
      <c r="K25" s="7" t="e">
        <f t="shared" si="0"/>
        <v>#NUM!</v>
      </c>
      <c r="L25" s="7" t="e">
        <f t="shared" si="2"/>
        <v>#NUM!</v>
      </c>
      <c r="M25" s="22" t="e">
        <f>L25*Weighting!$V$25</f>
        <v>#NUM!</v>
      </c>
    </row>
    <row r="27" spans="1:24" ht="23.25" x14ac:dyDescent="0.35">
      <c r="A27" s="46"/>
      <c r="C27" s="46" t="s">
        <v>0</v>
      </c>
      <c r="D27" s="46" t="str">
        <f>'Input and Summary Results'!G8</f>
        <v xml:space="preserve"> </v>
      </c>
      <c r="E27" s="46"/>
      <c r="F27" s="46"/>
      <c r="G27" s="46"/>
      <c r="H27" s="46"/>
      <c r="I27" s="52"/>
      <c r="J27" s="46"/>
      <c r="K27" s="47"/>
      <c r="N27" s="46"/>
      <c r="O27" s="48" t="e">
        <f>INDEX('Data Transformation'!$O$4:$O$25,MATCH($D27,'Data Transformation'!$M$4:$M$25,0),MATCH($O$2,'Data Transformation'!$O$3,0))</f>
        <v>#N/A</v>
      </c>
      <c r="P27" s="52" t="e">
        <f>IF(O27=FALSE,NA(),(VLOOKUP(1,E30:M49,4,FALSE))/(O27-1))</f>
        <v>#N/A</v>
      </c>
      <c r="Q27" s="52" t="e">
        <f>IF(O27=FALSE,NA(),SUM(L30:L49)/Weighting!$R$5)</f>
        <v>#N/A</v>
      </c>
      <c r="R27" s="52" t="e">
        <f>IF(O27=FALSE,NA(),SUM(M30:M49)/Weighting!$R$6)</f>
        <v>#N/A</v>
      </c>
      <c r="S27" s="52" t="e">
        <f>IF(O27=FALSE,NA(),(VLOOKUP(1,I30:M49,3,FALSE))/(O27-1))</f>
        <v>#N/A</v>
      </c>
      <c r="T27" s="57" t="e">
        <f>IF(O27=FALSE,NA(),IF(SUM(L30:L49)=2,"yes","no"))</f>
        <v>#N/A</v>
      </c>
      <c r="U27" s="46"/>
      <c r="V27" s="46"/>
      <c r="W27" s="46"/>
      <c r="X27" s="46"/>
    </row>
    <row r="28" spans="1:24" x14ac:dyDescent="0.25">
      <c r="A28" s="96" t="s">
        <v>64</v>
      </c>
      <c r="B28" s="96"/>
      <c r="C28" s="17" t="s">
        <v>72</v>
      </c>
      <c r="D28" t="s">
        <v>50</v>
      </c>
      <c r="E28" t="s">
        <v>98</v>
      </c>
      <c r="F28" t="s">
        <v>99</v>
      </c>
      <c r="G28" t="s">
        <v>102</v>
      </c>
      <c r="H28" t="s">
        <v>103</v>
      </c>
      <c r="I28" t="s">
        <v>75</v>
      </c>
      <c r="J28" s="7" t="s">
        <v>34</v>
      </c>
      <c r="K28" s="7" t="s">
        <v>35</v>
      </c>
      <c r="L28" s="7" t="s">
        <v>49</v>
      </c>
      <c r="M28" s="21" t="s">
        <v>48</v>
      </c>
    </row>
    <row r="29" spans="1:24" x14ac:dyDescent="0.25">
      <c r="C29" s="13"/>
      <c r="F29" t="e">
        <f>IF(E29=1,'Data Transformation'!$G$3+0.5*'Data Transformation'!$R$25,IF(E30=1,F30-'Data Transformation'!$R$25,FALSE))</f>
        <v>#NUM!</v>
      </c>
      <c r="G29">
        <f t="array" ref="G29">IF(ISLOGICAL(F29),"",FREQUENCY(IF('Data Transformation'!$B$24:$B$404='Bin Analysis and Plots'!$D$27,'Data Transformation'!$G$24:$G$404),'Bin Analysis and Plots'!F29))</f>
        <v>0</v>
      </c>
      <c r="H29" t="e">
        <f>IF(ISLOGICAL(F29),"",G29-G28)</f>
        <v>#VALUE!</v>
      </c>
    </row>
    <row r="30" spans="1:24" x14ac:dyDescent="0.25">
      <c r="A30" s="45" t="b">
        <f t="array" ref="A30">IF(ISERROR(INDEX('Data Transformation'!$B$4:$G$450,SMALL(IF('Data Transformation'!$B$4:$B$450='Bin Analysis and Plots'!D27,ROW('Data Transformation'!$B$4:$B$450)),ROW($1:$1))-3,3)),"",INDEX('Data Transformation'!$B$4:$G$450,SMALL(IF('Data Transformation'!$B$4:$B$450='Bin Analysis and Plots'!D27,ROW('Data Transformation'!$B$4:$B$450)),ROW($1:$1))-3,6))</f>
        <v>0</v>
      </c>
      <c r="B30" s="45" t="str">
        <f>IFERROR(SMALL(A30:A49,'Data Transformation'!$L$6),"")</f>
        <v/>
      </c>
      <c r="C30" s="61" t="e">
        <f>IF(Weighting!$O$6&gt;0,D30,"")</f>
        <v>#NUM!</v>
      </c>
      <c r="D30" t="e">
        <f>Weighting!$C$6</f>
        <v>#DIV/0!</v>
      </c>
      <c r="E30" t="e">
        <f>Weighting!$E$6</f>
        <v>#NUM!</v>
      </c>
      <c r="F30" t="e">
        <f>IF(E30=1,'Data Transformation'!$G$3+0.5*'Data Transformation'!$R$25,IF(E31=1,F31-'Data Transformation'!$R$25,FALSE))</f>
        <v>#NUM!</v>
      </c>
      <c r="G30">
        <f t="array" ref="G30">IF(ISLOGICAL(F30),"",FREQUENCY(IF('Data Transformation'!$B$24:$B$404='Bin Analysis and Plots'!$D$27,'Data Transformation'!$G$24:$G$404),'Bin Analysis and Plots'!F30))</f>
        <v>0</v>
      </c>
      <c r="H30">
        <f>IF(ISLOGICAL(F30),"",G30-G29)</f>
        <v>0</v>
      </c>
      <c r="I30">
        <f>Weighting!$G$6</f>
        <v>1</v>
      </c>
      <c r="J30" s="7">
        <f t="array" ref="J30">FREQUENCY(IF('Data Transformation'!$B$4:$B$404=D27,'Data Transformation'!$G$4:$G$404),'Bin Analysis and Plots'!$D30)</f>
        <v>0</v>
      </c>
      <c r="K30" s="7">
        <f>J30-J29</f>
        <v>0</v>
      </c>
      <c r="L30" s="7">
        <f>IF(K30=0,0,1)</f>
        <v>0</v>
      </c>
      <c r="M30" s="22" t="e">
        <f>L30*Weighting!$V$6</f>
        <v>#NUM!</v>
      </c>
    </row>
    <row r="31" spans="1:24" x14ac:dyDescent="0.25">
      <c r="A31" s="45" t="b">
        <f t="array" ref="A31">IF(ISERROR(INDEX('Data Transformation'!$B$4:$G$450,SMALL(IF('Data Transformation'!$B$4:$B$450='Bin Analysis and Plots'!D27,ROW('Data Transformation'!$B$4:$B$450)),ROW($2:$2))-3,3)),"",INDEX('Data Transformation'!$B$4:$G$450,SMALL(IF('Data Transformation'!$B$4:$B$450='Bin Analysis and Plots'!D27,ROW('Data Transformation'!$B$4:$B$450)),ROW($2:$2))-3,6))</f>
        <v>0</v>
      </c>
      <c r="B31" s="45" t="str">
        <f>IFERROR(SMALL(A30:A49,'Data Transformation'!$L$7),"")</f>
        <v/>
      </c>
      <c r="C31" s="61" t="str">
        <f>IF(Weighting!$O$7&gt;0,D31,"")</f>
        <v/>
      </c>
      <c r="D31" t="e">
        <f>Weighting!$C$7</f>
        <v>#DIV/0!</v>
      </c>
      <c r="E31" t="e">
        <f>Weighting!$E$7</f>
        <v>#NUM!</v>
      </c>
      <c r="F31" t="e">
        <f>IF(E31=1,'Data Transformation'!$G$3+0.5*'Data Transformation'!$R$25,IF(E32=1,F32-'Data Transformation'!$R$25,FALSE))</f>
        <v>#NUM!</v>
      </c>
      <c r="G31">
        <f t="array" ref="G31">IF(ISLOGICAL(F31),"",FREQUENCY(IF('Data Transformation'!$B$24:$B$404='Bin Analysis and Plots'!$D$27,'Data Transformation'!$G$24:$G$404),'Bin Analysis and Plots'!F31))</f>
        <v>0</v>
      </c>
      <c r="H31">
        <f t="shared" ref="H31:H49" si="3">IF(ISLOGICAL(F31),"",G31-G30)</f>
        <v>0</v>
      </c>
      <c r="I31">
        <f>Weighting!$G$7</f>
        <v>0</v>
      </c>
      <c r="J31" s="7">
        <f t="array" ref="J31">FREQUENCY(IF('Data Transformation'!$B$4:$B$404=D27,'Data Transformation'!$G$4:$G$404),'Bin Analysis and Plots'!$D31)</f>
        <v>0</v>
      </c>
      <c r="K31" s="7">
        <f t="shared" ref="K31:K49" si="4">J31-J30</f>
        <v>0</v>
      </c>
      <c r="L31" s="7">
        <f>IF(K31=0,0,1)</f>
        <v>0</v>
      </c>
      <c r="M31" s="22">
        <f>L31*Weighting!$V$7</f>
        <v>0</v>
      </c>
    </row>
    <row r="32" spans="1:24" x14ac:dyDescent="0.25">
      <c r="A32" s="45" t="b">
        <f t="array" ref="A32">IF(ISERROR(INDEX('Data Transformation'!$B$4:$G$450,SMALL(IF('Data Transformation'!$B$4:$B$450='Bin Analysis and Plots'!D27,ROW('Data Transformation'!$B$4:$B$450)),ROW($3:$3))-3,3)),"",INDEX('Data Transformation'!$B$4:$G$450,SMALL(IF('Data Transformation'!$B$4:$B$450='Bin Analysis and Plots'!D27,ROW('Data Transformation'!$B$4:$B$450)),ROW($3:$3))-3,6))</f>
        <v>0</v>
      </c>
      <c r="B32" s="45" t="str">
        <f>IFERROR(SMALL(A30:A49,'Data Transformation'!$L$8),"")</f>
        <v/>
      </c>
      <c r="C32" s="61" t="str">
        <f>IF(Weighting!$O$8&gt;0,D32,"")</f>
        <v/>
      </c>
      <c r="D32" t="e">
        <f>Weighting!$C$8</f>
        <v>#DIV/0!</v>
      </c>
      <c r="E32" t="e">
        <f>Weighting!$E$8</f>
        <v>#NUM!</v>
      </c>
      <c r="F32" t="e">
        <f>IF(E32=1,'Data Transformation'!$G$3+0.5*'Data Transformation'!$R$25,IF(E33=1,F33-'Data Transformation'!$R$25,FALSE))</f>
        <v>#NUM!</v>
      </c>
      <c r="G32">
        <f t="array" ref="G32">IF(ISLOGICAL(F32),"",FREQUENCY(IF('Data Transformation'!$B$24:$B$404='Bin Analysis and Plots'!$D$27,'Data Transformation'!$G$24:$G$404),'Bin Analysis and Plots'!F32))</f>
        <v>0</v>
      </c>
      <c r="H32">
        <f t="shared" si="3"/>
        <v>0</v>
      </c>
      <c r="I32">
        <f>Weighting!$G$8</f>
        <v>0</v>
      </c>
      <c r="J32" s="7">
        <f t="array" ref="J32">FREQUENCY(IF('Data Transformation'!$B$4:$B$404=D27,'Data Transformation'!$G$4:$G$404),'Bin Analysis and Plots'!$D32)</f>
        <v>0</v>
      </c>
      <c r="K32" s="7">
        <f t="shared" si="4"/>
        <v>0</v>
      </c>
      <c r="L32" s="7">
        <f t="shared" ref="L32:L49" si="5">IF(K32=0,0,1)</f>
        <v>0</v>
      </c>
      <c r="M32" s="22">
        <f>L32*Weighting!$V$8</f>
        <v>0</v>
      </c>
    </row>
    <row r="33" spans="1:13" x14ac:dyDescent="0.25">
      <c r="A33" s="45" t="b">
        <f t="array" ref="A33">IF(ISERROR(INDEX('Data Transformation'!$B$4:$G$450,SMALL(IF('Data Transformation'!$B$4:$B$450='Bin Analysis and Plots'!D27,ROW('Data Transformation'!$B$4:$B$450)),ROW($4:$4))-3,3)),"",INDEX('Data Transformation'!$B$4:$G$450,SMALL(IF('Data Transformation'!$B$4:$B$450='Bin Analysis and Plots'!D27,ROW('Data Transformation'!$B$4:$B$450)),ROW($4:$4))-3,6))</f>
        <v>0</v>
      </c>
      <c r="B33" s="45" t="str">
        <f>IFERROR(SMALL(A30:A49,'Data Transformation'!$L$9),"")</f>
        <v/>
      </c>
      <c r="C33" s="61" t="str">
        <f>IF(Weighting!$O$9&gt;0,D33,"")</f>
        <v/>
      </c>
      <c r="D33" t="e">
        <f>Weighting!$C$9</f>
        <v>#DIV/0!</v>
      </c>
      <c r="E33" t="e">
        <f>Weighting!$E$9</f>
        <v>#NUM!</v>
      </c>
      <c r="F33" t="e">
        <f>IF(E33=1,'Data Transformation'!$G$3+0.5*'Data Transformation'!$R$25,IF(E34=1,F34-'Data Transformation'!$R$25,FALSE))</f>
        <v>#NUM!</v>
      </c>
      <c r="G33">
        <f t="array" ref="G33">IF(ISLOGICAL(F33),"",FREQUENCY(IF('Data Transformation'!$B$24:$B$404='Bin Analysis and Plots'!$D$27,'Data Transformation'!$G$24:$G$404),'Bin Analysis and Plots'!F33))</f>
        <v>0</v>
      </c>
      <c r="H33">
        <f t="shared" si="3"/>
        <v>0</v>
      </c>
      <c r="I33">
        <f>Weighting!$G$9</f>
        <v>0</v>
      </c>
      <c r="J33" s="7">
        <f t="array" ref="J33">FREQUENCY(IF('Data Transformation'!$B$4:$B$404=D27,'Data Transformation'!$G$4:$G$404),'Bin Analysis and Plots'!$D33)</f>
        <v>0</v>
      </c>
      <c r="K33" s="7">
        <f t="shared" si="4"/>
        <v>0</v>
      </c>
      <c r="L33" s="7">
        <f t="shared" si="5"/>
        <v>0</v>
      </c>
      <c r="M33" s="22">
        <f>L33*Weighting!$V$9</f>
        <v>0</v>
      </c>
    </row>
    <row r="34" spans="1:13" x14ac:dyDescent="0.25">
      <c r="A34" s="45" t="b">
        <f t="array" ref="A34">IF(ISERROR(INDEX('Data Transformation'!$B$4:$G$450,SMALL(IF('Data Transformation'!$B$4:$B$450='Bin Analysis and Plots'!D27,ROW('Data Transformation'!$B$4:$B$450)),ROW($5:$5))-3,3)),"",INDEX('Data Transformation'!$B$4:$G$450,SMALL(IF('Data Transformation'!$B$4:$B$450='Bin Analysis and Plots'!D27,ROW('Data Transformation'!$B$4:$B$450)),ROW($5:$5))-3,6))</f>
        <v>0</v>
      </c>
      <c r="B34" s="45" t="str">
        <f>IFERROR(SMALL(A30:A49,'Data Transformation'!$L$10),"")</f>
        <v/>
      </c>
      <c r="C34" s="61" t="str">
        <f>IF(Weighting!$O$10&gt;0,D34,"")</f>
        <v/>
      </c>
      <c r="D34" t="e">
        <f>Weighting!$C$10</f>
        <v>#DIV/0!</v>
      </c>
      <c r="E34" t="e">
        <f>Weighting!$E$10</f>
        <v>#NUM!</v>
      </c>
      <c r="F34" t="e">
        <f>IF(E34=1,'Data Transformation'!$G$3+0.5*'Data Transformation'!$R$25,IF(E35=1,F35-'Data Transformation'!$R$25,FALSE))</f>
        <v>#NUM!</v>
      </c>
      <c r="G34">
        <f t="array" ref="G34">IF(ISLOGICAL(F34),"",FREQUENCY(IF('Data Transformation'!$B$24:$B$404='Bin Analysis and Plots'!$D$27,'Data Transformation'!$G$24:$G$404),'Bin Analysis and Plots'!F34))</f>
        <v>0</v>
      </c>
      <c r="H34">
        <f t="shared" si="3"/>
        <v>0</v>
      </c>
      <c r="I34">
        <f>Weighting!$G$10</f>
        <v>0</v>
      </c>
      <c r="J34" s="7">
        <f t="array" ref="J34">FREQUENCY(IF('Data Transformation'!$B$4:$B$404=D27,'Data Transformation'!$G$4:$G$404),'Bin Analysis and Plots'!$D34)</f>
        <v>0</v>
      </c>
      <c r="K34" s="7">
        <f t="shared" si="4"/>
        <v>0</v>
      </c>
      <c r="L34" s="7">
        <f t="shared" si="5"/>
        <v>0</v>
      </c>
      <c r="M34" s="22">
        <f>L34*Weighting!$V$10</f>
        <v>0</v>
      </c>
    </row>
    <row r="35" spans="1:13" x14ac:dyDescent="0.25">
      <c r="A35" s="45" t="b">
        <f t="array" ref="A35">IF(ISERROR(INDEX('Data Transformation'!$B$4:$G$450,SMALL(IF('Data Transformation'!$B$4:$B$450='Bin Analysis and Plots'!D27,ROW('Data Transformation'!$B$4:$B$450)),ROW($6:$6))-3,3)),"",INDEX('Data Transformation'!$B$4:$G$450,SMALL(IF('Data Transformation'!$B$4:$B$450='Bin Analysis and Plots'!D27,ROW('Data Transformation'!$B$4:$B$450)),ROW($6:$6))-3,6))</f>
        <v>0</v>
      </c>
      <c r="B35" s="45" t="str">
        <f>IFERROR(SMALL(A30:A49,'Data Transformation'!$L$11),"")</f>
        <v/>
      </c>
      <c r="C35" s="61" t="str">
        <f>IF(Weighting!$O$11&gt;0,D35,"")</f>
        <v/>
      </c>
      <c r="D35" t="e">
        <f>Weighting!$C$11</f>
        <v>#DIV/0!</v>
      </c>
      <c r="E35" t="e">
        <f>Weighting!$E$11</f>
        <v>#NUM!</v>
      </c>
      <c r="F35" t="e">
        <f>IF(E35=1,'Data Transformation'!$G$3+0.5*'Data Transformation'!$R$25,IF(E36=1,F36-'Data Transformation'!$R$25,FALSE))</f>
        <v>#NUM!</v>
      </c>
      <c r="G35">
        <f t="array" ref="G35">IF(ISLOGICAL(F35),"",FREQUENCY(IF('Data Transformation'!$B$24:$B$404='Bin Analysis and Plots'!$D$27,'Data Transformation'!$G$24:$G$404),'Bin Analysis and Plots'!F35))</f>
        <v>0</v>
      </c>
      <c r="H35">
        <f t="shared" si="3"/>
        <v>0</v>
      </c>
      <c r="I35">
        <f>Weighting!$G$11</f>
        <v>0</v>
      </c>
      <c r="J35" s="7">
        <f t="array" ref="J35">FREQUENCY(IF('Data Transformation'!$B$4:$B$404=D27,'Data Transformation'!$G$4:$G$404),'Bin Analysis and Plots'!$D35)</f>
        <v>0</v>
      </c>
      <c r="K35" s="7">
        <f t="shared" si="4"/>
        <v>0</v>
      </c>
      <c r="L35" s="7">
        <f t="shared" si="5"/>
        <v>0</v>
      </c>
      <c r="M35" s="22">
        <f>L35*Weighting!$V$11</f>
        <v>0</v>
      </c>
    </row>
    <row r="36" spans="1:13" x14ac:dyDescent="0.25">
      <c r="A36" s="45" t="b">
        <f t="array" ref="A36">IF(ISERROR(INDEX('Data Transformation'!$B$4:$G$450,SMALL(IF('Data Transformation'!$B$4:$B$450='Bin Analysis and Plots'!D27,ROW('Data Transformation'!$B$4:$B$450)),ROW($7:$7))-3,3)),"",INDEX('Data Transformation'!$B$4:$G$450,SMALL(IF('Data Transformation'!$B$4:$B$450='Bin Analysis and Plots'!D27,ROW('Data Transformation'!$B$4:$B$450)),ROW($7:$7))-3,6))</f>
        <v>0</v>
      </c>
      <c r="B36" s="45" t="str">
        <f>IFERROR(SMALL(A30:A49,'Data Transformation'!$L$12),"")</f>
        <v/>
      </c>
      <c r="C36" s="61" t="str">
        <f>IF(Weighting!$O$12&gt;0,D36,"")</f>
        <v/>
      </c>
      <c r="D36" t="e">
        <f>Weighting!$C$12</f>
        <v>#DIV/0!</v>
      </c>
      <c r="E36" t="e">
        <f>Weighting!$E$12</f>
        <v>#NUM!</v>
      </c>
      <c r="F36" t="e">
        <f>IF(E36=1,'Data Transformation'!$G$3+0.5*'Data Transformation'!$R$25,IF(E37=1,F37-'Data Transformation'!$R$25,FALSE))</f>
        <v>#NUM!</v>
      </c>
      <c r="G36">
        <f t="array" ref="G36">IF(ISLOGICAL(F36),"",FREQUENCY(IF('Data Transformation'!$B$24:$B$404='Bin Analysis and Plots'!$D$27,'Data Transformation'!$G$24:$G$404),'Bin Analysis and Plots'!F36))</f>
        <v>0</v>
      </c>
      <c r="H36">
        <f t="shared" si="3"/>
        <v>0</v>
      </c>
      <c r="I36">
        <f>Weighting!$G$12</f>
        <v>0</v>
      </c>
      <c r="J36" s="7">
        <f t="array" ref="J36">FREQUENCY(IF('Data Transformation'!$B$4:$B$404=D27,'Data Transformation'!$G$4:$G$404),'Bin Analysis and Plots'!$D36)</f>
        <v>0</v>
      </c>
      <c r="K36" s="7">
        <f t="shared" si="4"/>
        <v>0</v>
      </c>
      <c r="L36" s="7">
        <f t="shared" si="5"/>
        <v>0</v>
      </c>
      <c r="M36" s="22">
        <f>L36*Weighting!$V$12</f>
        <v>0</v>
      </c>
    </row>
    <row r="37" spans="1:13" x14ac:dyDescent="0.25">
      <c r="A37" s="45" t="b">
        <f t="array" ref="A37">IF(ISERROR(INDEX('Data Transformation'!$B$4:$G$450,SMALL(IF('Data Transformation'!$B$4:$B$450='Bin Analysis and Plots'!D27,ROW('Data Transformation'!$B$4:$B$450)),ROW($8:$8))-3,3)),"",INDEX('Data Transformation'!$B$4:$G$450,SMALL(IF('Data Transformation'!$B$4:$B$450='Bin Analysis and Plots'!D27,ROW('Data Transformation'!$B$4:$B$450)),ROW($8:$8))-3,6))</f>
        <v>0</v>
      </c>
      <c r="B37" s="45" t="str">
        <f>IFERROR(SMALL(A30:A49,'Data Transformation'!$L$13),"")</f>
        <v/>
      </c>
      <c r="C37" s="61" t="str">
        <f>IF(Weighting!$O$13&gt;0,D37,"")</f>
        <v/>
      </c>
      <c r="D37" t="e">
        <f>Weighting!$C$13</f>
        <v>#DIV/0!</v>
      </c>
      <c r="E37" t="e">
        <f>Weighting!$E$13</f>
        <v>#NUM!</v>
      </c>
      <c r="F37" t="e">
        <f>IF(E37=1,'Data Transformation'!$G$3+0.5*'Data Transformation'!$R$25,IF(E38=1,F38-'Data Transformation'!$R$25,FALSE))</f>
        <v>#NUM!</v>
      </c>
      <c r="G37">
        <f t="array" ref="G37">IF(ISLOGICAL(F37),"",FREQUENCY(IF('Data Transformation'!$B$24:$B$404='Bin Analysis and Plots'!$D$27,'Data Transformation'!$G$24:$G$404),'Bin Analysis and Plots'!F37))</f>
        <v>0</v>
      </c>
      <c r="H37">
        <f t="shared" si="3"/>
        <v>0</v>
      </c>
      <c r="I37">
        <f>Weighting!$G$13</f>
        <v>0</v>
      </c>
      <c r="J37" s="7">
        <f t="array" ref="J37">FREQUENCY(IF('Data Transformation'!$B$4:$B$404=D27,'Data Transformation'!$G$4:$G$404),'Bin Analysis and Plots'!$D37)</f>
        <v>0</v>
      </c>
      <c r="K37" s="7">
        <f t="shared" si="4"/>
        <v>0</v>
      </c>
      <c r="L37" s="7">
        <f t="shared" si="5"/>
        <v>0</v>
      </c>
      <c r="M37" s="22">
        <f>L37*Weighting!$V$13</f>
        <v>0</v>
      </c>
    </row>
    <row r="38" spans="1:13" x14ac:dyDescent="0.25">
      <c r="A38" s="45" t="b">
        <f t="array" ref="A38">IF(ISERROR(INDEX('Data Transformation'!$B$4:$G$450,SMALL(IF('Data Transformation'!$B$4:$B$450='Bin Analysis and Plots'!D27,ROW('Data Transformation'!$B$4:$B$450)),ROW($9:$9))-3,3)),"",INDEX('Data Transformation'!$B$4:$G$450,SMALL(IF('Data Transformation'!$B$4:$B$450='Bin Analysis and Plots'!D27,ROW('Data Transformation'!$B$4:$B$450)),ROW($9:$9))-3,6))</f>
        <v>0</v>
      </c>
      <c r="B38" s="45" t="str">
        <f>IFERROR(SMALL(A30:A49,'Data Transformation'!$L$14),"")</f>
        <v/>
      </c>
      <c r="C38" s="61" t="str">
        <f>IF(Weighting!$O$14&gt;0,D38,"")</f>
        <v/>
      </c>
      <c r="D38" t="e">
        <f>Weighting!$C$14</f>
        <v>#DIV/0!</v>
      </c>
      <c r="E38" t="e">
        <f>Weighting!$E$14</f>
        <v>#NUM!</v>
      </c>
      <c r="F38" t="e">
        <f>IF(E38=1,'Data Transformation'!$G$3+0.5*'Data Transformation'!$R$25,IF(E39=1,F39-'Data Transformation'!$R$25,FALSE))</f>
        <v>#NUM!</v>
      </c>
      <c r="G38">
        <f t="array" ref="G38">IF(ISLOGICAL(F38),"",FREQUENCY(IF('Data Transformation'!$B$24:$B$404='Bin Analysis and Plots'!$D$27,'Data Transformation'!$G$24:$G$404),'Bin Analysis and Plots'!F38))</f>
        <v>0</v>
      </c>
      <c r="H38">
        <f t="shared" si="3"/>
        <v>0</v>
      </c>
      <c r="I38">
        <f>Weighting!$G$14</f>
        <v>0</v>
      </c>
      <c r="J38" s="7">
        <f t="array" ref="J38">FREQUENCY(IF('Data Transformation'!$B$4:$B$404=D27,'Data Transformation'!$G$4:$G$404),'Bin Analysis and Plots'!$D38)</f>
        <v>0</v>
      </c>
      <c r="K38" s="7">
        <f t="shared" si="4"/>
        <v>0</v>
      </c>
      <c r="L38" s="7">
        <f t="shared" si="5"/>
        <v>0</v>
      </c>
      <c r="M38" s="22">
        <f>L38*Weighting!$V$14</f>
        <v>0</v>
      </c>
    </row>
    <row r="39" spans="1:13" x14ac:dyDescent="0.25">
      <c r="A39" s="45" t="b">
        <f t="array" ref="A39">IF(ISERROR(INDEX('Data Transformation'!$B$4:$G$450,SMALL(IF('Data Transformation'!$B$4:$B$450='Bin Analysis and Plots'!D27,ROW('Data Transformation'!$B$4:$B$450)),ROW($10:$10))-3,3)),"",INDEX('Data Transformation'!$B$4:$G$450,SMALL(IF('Data Transformation'!$B$4:$B$450='Bin Analysis and Plots'!D27,ROW('Data Transformation'!$B$4:$B$450)),ROW($10:$10))-3,6))</f>
        <v>0</v>
      </c>
      <c r="B39" s="45" t="str">
        <f>IFERROR(SMALL(A30:A49,'Data Transformation'!$L$15),"")</f>
        <v/>
      </c>
      <c r="C39" s="61" t="str">
        <f>IF(Weighting!$O$15&gt;0,D39,"")</f>
        <v/>
      </c>
      <c r="D39" t="e">
        <f>Weighting!$C$15</f>
        <v>#DIV/0!</v>
      </c>
      <c r="E39" t="e">
        <f>Weighting!$E$15</f>
        <v>#NUM!</v>
      </c>
      <c r="F39" t="e">
        <f>IF(E39=1,'Data Transformation'!$G$3+0.5*'Data Transformation'!$R$25,IF(E40=1,F40-'Data Transformation'!$R$25,FALSE))</f>
        <v>#NUM!</v>
      </c>
      <c r="G39">
        <f t="array" ref="G39">IF(ISLOGICAL(F39),"",FREQUENCY(IF('Data Transformation'!$B$24:$B$404='Bin Analysis and Plots'!$D$27,'Data Transformation'!$G$24:$G$404),'Bin Analysis and Plots'!F39))</f>
        <v>0</v>
      </c>
      <c r="H39">
        <f t="shared" si="3"/>
        <v>0</v>
      </c>
      <c r="I39">
        <f>Weighting!$G$15</f>
        <v>0</v>
      </c>
      <c r="J39" s="7">
        <f t="array" ref="J39">FREQUENCY(IF('Data Transformation'!$B$4:$B$404=D27,'Data Transformation'!$G$4:$G$404),'Bin Analysis and Plots'!$D39)</f>
        <v>0</v>
      </c>
      <c r="K39" s="7">
        <f t="shared" si="4"/>
        <v>0</v>
      </c>
      <c r="L39" s="7">
        <f t="shared" si="5"/>
        <v>0</v>
      </c>
      <c r="M39" s="22">
        <f>L39*Weighting!$V$15</f>
        <v>0</v>
      </c>
    </row>
    <row r="40" spans="1:13" x14ac:dyDescent="0.25">
      <c r="A40" s="45" t="b">
        <f t="array" ref="A40">IF(ISERROR(INDEX('Data Transformation'!$B$4:$G$450,SMALL(IF('Data Transformation'!$B$4:$B$450='Bin Analysis and Plots'!D27,ROW('Data Transformation'!$B$4:$B$450)),ROW($11:$11))-3,3)),"",INDEX('Data Transformation'!$B$4:$G$450,SMALL(IF('Data Transformation'!$B$4:$B$450='Bin Analysis and Plots'!D27,ROW('Data Transformation'!$B$4:$B$450)),ROW($11:$11))-3,6))</f>
        <v>0</v>
      </c>
      <c r="B40" s="45" t="str">
        <f>IFERROR(SMALL(A30:A49,'Data Transformation'!$L$16),"")</f>
        <v/>
      </c>
      <c r="C40" s="61" t="str">
        <f>IF(Weighting!$O$16&gt;0,D40,"")</f>
        <v/>
      </c>
      <c r="D40" t="e">
        <f>Weighting!$C$16</f>
        <v>#DIV/0!</v>
      </c>
      <c r="E40" t="e">
        <f>Weighting!$E$16</f>
        <v>#NUM!</v>
      </c>
      <c r="F40" t="e">
        <f>IF(E40=1,'Data Transformation'!$G$3+0.5*'Data Transformation'!$R$25,IF(E41=1,F41-'Data Transformation'!$R$25,FALSE))</f>
        <v>#NUM!</v>
      </c>
      <c r="G40">
        <f t="array" ref="G40">IF(ISLOGICAL(F40),"",FREQUENCY(IF('Data Transformation'!$B$24:$B$404='Bin Analysis and Plots'!$D$27,'Data Transformation'!$G$24:$G$404),'Bin Analysis and Plots'!F40))</f>
        <v>0</v>
      </c>
      <c r="H40">
        <f t="shared" si="3"/>
        <v>0</v>
      </c>
      <c r="I40">
        <f>Weighting!$G$16</f>
        <v>0</v>
      </c>
      <c r="J40" s="7">
        <f t="array" ref="J40">FREQUENCY(IF('Data Transformation'!$B$4:$B$404=D27,'Data Transformation'!$G$4:$G$404),'Bin Analysis and Plots'!$D40)</f>
        <v>0</v>
      </c>
      <c r="K40" s="7">
        <f t="shared" si="4"/>
        <v>0</v>
      </c>
      <c r="L40" s="7">
        <f t="shared" si="5"/>
        <v>0</v>
      </c>
      <c r="M40" s="22">
        <f>L40*Weighting!$V$16</f>
        <v>0</v>
      </c>
    </row>
    <row r="41" spans="1:13" x14ac:dyDescent="0.25">
      <c r="A41" s="45" t="b">
        <f t="array" ref="A41">IF(ISERROR(INDEX('Data Transformation'!$B$4:$G$450,SMALL(IF('Data Transformation'!$B$4:$B$450='Bin Analysis and Plots'!D27,ROW('Data Transformation'!$B$4:$B$450)),ROW($12:$12))-3,3)),"",INDEX('Data Transformation'!$B$4:$G$450,SMALL(IF('Data Transformation'!$B$4:$B$450='Bin Analysis and Plots'!D27,ROW('Data Transformation'!$B$4:$B$450)),ROW($12:$12))-3,6))</f>
        <v>0</v>
      </c>
      <c r="B41" s="45" t="str">
        <f>IFERROR(SMALL(A30:A49,'Data Transformation'!$L$17),"")</f>
        <v/>
      </c>
      <c r="C41" s="61" t="str">
        <f>IF(Weighting!$O$17&gt;0,D41,"")</f>
        <v/>
      </c>
      <c r="D41" t="e">
        <f>Weighting!$C$17</f>
        <v>#DIV/0!</v>
      </c>
      <c r="E41" t="e">
        <f>Weighting!$E$17</f>
        <v>#NUM!</v>
      </c>
      <c r="F41" t="e">
        <f>IF(E41=1,'Data Transformation'!$G$3+0.5*'Data Transformation'!$R$25,IF(E42=1,F42-'Data Transformation'!$R$25,FALSE))</f>
        <v>#NUM!</v>
      </c>
      <c r="G41">
        <f t="array" ref="G41">IF(ISLOGICAL(F41),"",FREQUENCY(IF('Data Transformation'!$B$24:$B$404='Bin Analysis and Plots'!$D$27,'Data Transformation'!$G$24:$G$404),'Bin Analysis and Plots'!F41))</f>
        <v>0</v>
      </c>
      <c r="H41">
        <f t="shared" si="3"/>
        <v>0</v>
      </c>
      <c r="I41">
        <f>Weighting!$G$17</f>
        <v>0</v>
      </c>
      <c r="J41" s="7">
        <f t="array" ref="J41">FREQUENCY(IF('Data Transformation'!$B$4:$B$404=D27,'Data Transformation'!$G$4:$G$404),'Bin Analysis and Plots'!$D41)</f>
        <v>0</v>
      </c>
      <c r="K41" s="7">
        <f t="shared" si="4"/>
        <v>0</v>
      </c>
      <c r="L41" s="7">
        <f t="shared" si="5"/>
        <v>0</v>
      </c>
      <c r="M41" s="22">
        <f>L41*Weighting!$V$17</f>
        <v>0</v>
      </c>
    </row>
    <row r="42" spans="1:13" x14ac:dyDescent="0.25">
      <c r="A42" s="45" t="b">
        <f t="array" ref="A42">IF(ISERROR(INDEX('Data Transformation'!$B$4:$G$450,SMALL(IF('Data Transformation'!$B$4:$B$450='Bin Analysis and Plots'!D27,ROW('Data Transformation'!$B$4:$B$450)),ROW($13:$13))-3,3)),"",INDEX('Data Transformation'!$B$4:$G$450,SMALL(IF('Data Transformation'!$B$4:$B$450='Bin Analysis and Plots'!D27,ROW('Data Transformation'!$B$4:$B$450)),ROW($13:$13))-3,6))</f>
        <v>0</v>
      </c>
      <c r="B42" s="45" t="str">
        <f>IFERROR(SMALL(A30:A49,'Data Transformation'!$L$18),"")</f>
        <v/>
      </c>
      <c r="C42" s="61" t="str">
        <f>IF(Weighting!$O$18&gt;0,D42,"")</f>
        <v/>
      </c>
      <c r="D42" t="e">
        <f>Weighting!$C$18</f>
        <v>#DIV/0!</v>
      </c>
      <c r="E42" t="e">
        <f>Weighting!$E$18</f>
        <v>#NUM!</v>
      </c>
      <c r="F42" t="e">
        <f>IF(E42=1,'Data Transformation'!$G$3+0.5*'Data Transformation'!$R$25,IF(E43=1,F43-'Data Transformation'!$R$25,FALSE))</f>
        <v>#NUM!</v>
      </c>
      <c r="G42">
        <f t="array" ref="G42">IF(ISLOGICAL(F42),"",FREQUENCY(IF('Data Transformation'!$B$24:$B$404='Bin Analysis and Plots'!$D$27,'Data Transformation'!$G$24:$G$404),'Bin Analysis and Plots'!F42))</f>
        <v>0</v>
      </c>
      <c r="H42">
        <f t="shared" si="3"/>
        <v>0</v>
      </c>
      <c r="I42">
        <f>Weighting!$G$18</f>
        <v>0</v>
      </c>
      <c r="J42" s="7">
        <f t="array" ref="J42">FREQUENCY(IF('Data Transformation'!$B$4:$B$404=D27,'Data Transformation'!$G$4:$G$404),'Bin Analysis and Plots'!$D42)</f>
        <v>0</v>
      </c>
      <c r="K42" s="7">
        <f t="shared" si="4"/>
        <v>0</v>
      </c>
      <c r="L42" s="7">
        <f t="shared" si="5"/>
        <v>0</v>
      </c>
      <c r="M42" s="22">
        <f>L42*Weighting!$V$18</f>
        <v>0</v>
      </c>
    </row>
    <row r="43" spans="1:13" x14ac:dyDescent="0.25">
      <c r="A43" s="45" t="b">
        <f t="array" ref="A43">IF(ISERROR(INDEX('Data Transformation'!$B$4:$G$450,SMALL(IF('Data Transformation'!$B$4:$B$450='Bin Analysis and Plots'!D27,ROW('Data Transformation'!$B$4:$B$450)),ROW($14:$14))-3,3)),"",INDEX('Data Transformation'!$B$4:$G$450,SMALL(IF('Data Transformation'!$B$4:$B$450='Bin Analysis and Plots'!D27,ROW('Data Transformation'!$B$4:$B$450)),ROW($14:$14))-3,6))</f>
        <v>0</v>
      </c>
      <c r="B43" s="45" t="str">
        <f>IFERROR(SMALL(A30:A49,'Data Transformation'!$L$19),"")</f>
        <v/>
      </c>
      <c r="C43" s="61" t="str">
        <f>IF(Weighting!$O$19&gt;0,D43,"")</f>
        <v/>
      </c>
      <c r="D43" t="e">
        <f>Weighting!$C$19</f>
        <v>#DIV/0!</v>
      </c>
      <c r="E43" t="e">
        <f>Weighting!$E$19</f>
        <v>#NUM!</v>
      </c>
      <c r="F43" t="e">
        <f>IF(E43=1,'Data Transformation'!$G$3+0.5*'Data Transformation'!$R$25,IF(E44=1,F44-'Data Transformation'!$R$25,FALSE))</f>
        <v>#NUM!</v>
      </c>
      <c r="G43">
        <f t="array" ref="G43">IF(ISLOGICAL(F43),"",FREQUENCY(IF('Data Transformation'!$B$24:$B$404='Bin Analysis and Plots'!$D$27,'Data Transformation'!$G$24:$G$404),'Bin Analysis and Plots'!F43))</f>
        <v>0</v>
      </c>
      <c r="H43">
        <f t="shared" si="3"/>
        <v>0</v>
      </c>
      <c r="I43">
        <f>Weighting!$G$19</f>
        <v>0</v>
      </c>
      <c r="J43" s="7">
        <f t="array" ref="J43">FREQUENCY(IF('Data Transformation'!$B$4:$B$404=D27,'Data Transformation'!$G$4:$G$404),'Bin Analysis and Plots'!$D43)</f>
        <v>0</v>
      </c>
      <c r="K43" s="7">
        <f t="shared" si="4"/>
        <v>0</v>
      </c>
      <c r="L43" s="7">
        <f t="shared" si="5"/>
        <v>0</v>
      </c>
      <c r="M43" s="22">
        <f>L43*Weighting!$V$19</f>
        <v>0</v>
      </c>
    </row>
    <row r="44" spans="1:13" x14ac:dyDescent="0.25">
      <c r="A44" s="45" t="b">
        <f t="array" ref="A44">IF(ISERROR(INDEX('Data Transformation'!$B$4:$G$450,SMALL(IF('Data Transformation'!$B$4:$B$450='Bin Analysis and Plots'!D27,ROW('Data Transformation'!$B$4:$B$450)),ROW($15:$15))-3,3)),"",INDEX('Data Transformation'!$B$4:$G$450,SMALL(IF('Data Transformation'!$B$4:$B$450='Bin Analysis and Plots'!D27,ROW('Data Transformation'!$B$4:$B$450)),ROW($15:$15))-3,6))</f>
        <v>0</v>
      </c>
      <c r="B44" s="45" t="str">
        <f>IFERROR(SMALL(A30:A49,'Data Transformation'!$L$20),"")</f>
        <v/>
      </c>
      <c r="C44" s="61" t="str">
        <f>IF(Weighting!$O$20&gt;0,D44,"")</f>
        <v/>
      </c>
      <c r="D44" t="e">
        <f>Weighting!$C$20</f>
        <v>#DIV/0!</v>
      </c>
      <c r="E44" t="e">
        <f>Weighting!$E$20</f>
        <v>#NUM!</v>
      </c>
      <c r="F44" t="e">
        <f>IF(E44=1,'Data Transformation'!$G$3+0.5*'Data Transformation'!$R$25,IF(E45=1,F45-'Data Transformation'!$R$25,FALSE))</f>
        <v>#NUM!</v>
      </c>
      <c r="G44">
        <f t="array" ref="G44">IF(ISLOGICAL(F44),"",FREQUENCY(IF('Data Transformation'!$B$24:$B$404='Bin Analysis and Plots'!$D$27,'Data Transformation'!$G$24:$G$404),'Bin Analysis and Plots'!F44))</f>
        <v>0</v>
      </c>
      <c r="H44">
        <f t="shared" si="3"/>
        <v>0</v>
      </c>
      <c r="I44">
        <f>Weighting!$G$20</f>
        <v>0</v>
      </c>
      <c r="J44" s="7">
        <f t="array" ref="J44">FREQUENCY(IF('Data Transformation'!$B$4:$B$404=D27,'Data Transformation'!$G$4:$G$404),'Bin Analysis and Plots'!$D44)</f>
        <v>0</v>
      </c>
      <c r="K44" s="7">
        <f t="shared" si="4"/>
        <v>0</v>
      </c>
      <c r="L44" s="7">
        <f t="shared" si="5"/>
        <v>0</v>
      </c>
      <c r="M44" s="22">
        <f>L44*Weighting!$V$20</f>
        <v>0</v>
      </c>
    </row>
    <row r="45" spans="1:13" x14ac:dyDescent="0.25">
      <c r="A45" s="45" t="b">
        <f t="array" ref="A45">IF(ISERROR(INDEX('Data Transformation'!$B$4:$G$450,SMALL(IF('Data Transformation'!$B$4:$B$450='Bin Analysis and Plots'!D27,ROW('Data Transformation'!$B$4:$B$450)),ROW($16:$16))-3,3)),"",INDEX('Data Transformation'!$B$4:$G$450,SMALL(IF('Data Transformation'!$B$4:$B$450='Bin Analysis and Plots'!D27,ROW('Data Transformation'!$B$4:$B$450)),ROW($16:$16))-3,6))</f>
        <v>0</v>
      </c>
      <c r="B45" s="45" t="str">
        <f>IFERROR(SMALL(A30:A49,'Data Transformation'!$L$21),"")</f>
        <v/>
      </c>
      <c r="C45" s="61" t="str">
        <f>IF(Weighting!$O$21&gt;0,D45,"")</f>
        <v/>
      </c>
      <c r="D45" t="e">
        <f>Weighting!$C$21</f>
        <v>#DIV/0!</v>
      </c>
      <c r="E45" t="e">
        <f>Weighting!$E$21</f>
        <v>#NUM!</v>
      </c>
      <c r="F45" t="e">
        <f>IF(E45=1,'Data Transformation'!$G$3+0.5*'Data Transformation'!$R$25,IF(E46=1,F46-'Data Transformation'!$R$25,FALSE))</f>
        <v>#NUM!</v>
      </c>
      <c r="G45">
        <f t="array" ref="G45">IF(ISLOGICAL(F45),"",FREQUENCY(IF('Data Transformation'!$B$24:$B$404='Bin Analysis and Plots'!$D$27,'Data Transformation'!$G$24:$G$404),'Bin Analysis and Plots'!F45))</f>
        <v>0</v>
      </c>
      <c r="H45">
        <f t="shared" si="3"/>
        <v>0</v>
      </c>
      <c r="I45">
        <f>Weighting!$G$21</f>
        <v>0</v>
      </c>
      <c r="J45" s="7">
        <f t="array" ref="J45">FREQUENCY(IF('Data Transformation'!$B$4:$B$404=D27,'Data Transformation'!$G$4:$G$404),'Bin Analysis and Plots'!$D45)</f>
        <v>0</v>
      </c>
      <c r="K45" s="7">
        <f t="shared" si="4"/>
        <v>0</v>
      </c>
      <c r="L45" s="7">
        <f t="shared" si="5"/>
        <v>0</v>
      </c>
      <c r="M45" s="22">
        <f>L45*Weighting!$V$21</f>
        <v>0</v>
      </c>
    </row>
    <row r="46" spans="1:13" x14ac:dyDescent="0.25">
      <c r="A46" s="45" t="b">
        <f t="array" ref="A46">IF(ISERROR(INDEX('Data Transformation'!$B$4:$G$450,SMALL(IF('Data Transformation'!$B$4:$B$450='Bin Analysis and Plots'!D27,ROW('Data Transformation'!$B$4:$B$450)),ROW($17:$17))-3,3)),"",INDEX('Data Transformation'!$B$4:$G$450,SMALL(IF('Data Transformation'!$B$4:$B$450='Bin Analysis and Plots'!D27,ROW('Data Transformation'!$B$4:$B$450)),ROW($17:$17))-3,6))</f>
        <v>0</v>
      </c>
      <c r="B46" s="45" t="str">
        <f>IFERROR(SMALL(A30:A49,'Data Transformation'!$L$22),"")</f>
        <v/>
      </c>
      <c r="C46" s="61" t="str">
        <f>IF(Weighting!$O$22&gt;0,D46,"")</f>
        <v/>
      </c>
      <c r="D46" t="e">
        <f>Weighting!$C$22</f>
        <v>#DIV/0!</v>
      </c>
      <c r="E46" t="e">
        <f>Weighting!$E$22</f>
        <v>#NUM!</v>
      </c>
      <c r="F46" t="e">
        <f>IF(E46=1,'Data Transformation'!$G$3+0.5*'Data Transformation'!$R$25,IF(E47=1,F47-'Data Transformation'!$R$25,FALSE))</f>
        <v>#NUM!</v>
      </c>
      <c r="G46">
        <f t="array" ref="G46">IF(ISLOGICAL(F46),"",FREQUENCY(IF('Data Transformation'!$B$24:$B$404='Bin Analysis and Plots'!$D$27,'Data Transformation'!$G$24:$G$404),'Bin Analysis and Plots'!F46))</f>
        <v>0</v>
      </c>
      <c r="H46">
        <f t="shared" si="3"/>
        <v>0</v>
      </c>
      <c r="I46">
        <f>Weighting!$G$22</f>
        <v>0</v>
      </c>
      <c r="J46" s="7">
        <f t="array" ref="J46">FREQUENCY(IF('Data Transformation'!$B$4:$B$404=D27,'Data Transformation'!$G$4:$G$404),'Bin Analysis and Plots'!$D46)</f>
        <v>0</v>
      </c>
      <c r="K46" s="7">
        <f t="shared" si="4"/>
        <v>0</v>
      </c>
      <c r="L46" s="7">
        <f t="shared" si="5"/>
        <v>0</v>
      </c>
      <c r="M46" s="22">
        <f>L46*Weighting!$V$22</f>
        <v>0</v>
      </c>
    </row>
    <row r="47" spans="1:13" x14ac:dyDescent="0.25">
      <c r="A47" s="45" t="b">
        <f t="array" ref="A47">IF(ISERROR(INDEX('Data Transformation'!$B$4:$G$450,SMALL(IF('Data Transformation'!$B$4:$B$450='Bin Analysis and Plots'!D27,ROW('Data Transformation'!$B$4:$B$450)),ROW($18:$18))-3,3)),"",INDEX('Data Transformation'!$B$4:$G$450,SMALL(IF('Data Transformation'!$B$4:$B$450='Bin Analysis and Plots'!D27,ROW('Data Transformation'!$B$4:$B$450)),ROW($18:$18))-3,6))</f>
        <v>0</v>
      </c>
      <c r="B47" s="45" t="str">
        <f>IFERROR(SMALL(A30:A49,'Data Transformation'!$L$23),"")</f>
        <v/>
      </c>
      <c r="C47" s="61" t="str">
        <f>IF(Weighting!$O$23&gt;0,D47,"")</f>
        <v/>
      </c>
      <c r="D47" t="e">
        <f>Weighting!$C$23</f>
        <v>#DIV/0!</v>
      </c>
      <c r="E47" t="e">
        <f>Weighting!$E$23</f>
        <v>#NUM!</v>
      </c>
      <c r="F47" t="e">
        <f>IF(E47=1,'Data Transformation'!$G$3+0.5*'Data Transformation'!$R$25,IF(E48=1,F48-'Data Transformation'!$R$25,FALSE))</f>
        <v>#NUM!</v>
      </c>
      <c r="G47">
        <f t="array" ref="G47">IF(ISLOGICAL(F47),"",FREQUENCY(IF('Data Transformation'!$B$24:$B$404='Bin Analysis and Plots'!$D$27,'Data Transformation'!$G$24:$G$404),'Bin Analysis and Plots'!F47))</f>
        <v>0</v>
      </c>
      <c r="H47">
        <f t="shared" si="3"/>
        <v>0</v>
      </c>
      <c r="I47">
        <f>Weighting!$G$23</f>
        <v>0</v>
      </c>
      <c r="J47" s="7">
        <f t="array" ref="J47">FREQUENCY(IF('Data Transformation'!$B$4:$B$404=D27,'Data Transformation'!$G$4:$G$404),'Bin Analysis and Plots'!$D47)</f>
        <v>0</v>
      </c>
      <c r="K47" s="7">
        <f t="shared" si="4"/>
        <v>0</v>
      </c>
      <c r="L47" s="7">
        <f t="shared" si="5"/>
        <v>0</v>
      </c>
      <c r="M47" s="22">
        <f>L47*Weighting!$V$23</f>
        <v>0</v>
      </c>
    </row>
    <row r="48" spans="1:13" x14ac:dyDescent="0.25">
      <c r="A48" s="45" t="str">
        <f>IF(ISERROR(INDEX('Data Transformation'!$B$4:$G$450,SMALL(IF('Data Transformation'!$B$4:$B$450='Bin Analysis and Plots'!D27,ROW('Data Transformation'!$B$4:$B$450)),ROW($19:$19))-3,3)),"",INDEX('Data Transformation'!$B$4:$G$450,SMALL(IF('Data Transformation'!$B$4:$B$450='Bin Analysis and Plots'!D27,ROW('Data Transformation'!$B$4:$B$450)),ROW($19:$19))-3,6))</f>
        <v/>
      </c>
      <c r="B48" s="45" t="str">
        <f>IFERROR(SMALL(A30:A49,'Data Transformation'!$L$24),"")</f>
        <v/>
      </c>
      <c r="C48" s="61" t="str">
        <f>IF(Weighting!$O$24&gt;0,D48,"")</f>
        <v/>
      </c>
      <c r="D48" t="e">
        <f>Weighting!$C$24</f>
        <v>#DIV/0!</v>
      </c>
      <c r="E48" t="e">
        <f>Weighting!$E$24</f>
        <v>#NUM!</v>
      </c>
      <c r="F48" t="e">
        <f>IF(E48=1,'Data Transformation'!$G$3+0.5*'Data Transformation'!$R$25,IF(E49=1,F49-'Data Transformation'!$R$25,FALSE))</f>
        <v>#NUM!</v>
      </c>
      <c r="G48">
        <f t="array" ref="G48">IF(ISLOGICAL(F48),"",FREQUENCY(IF('Data Transformation'!$B$24:$B$404='Bin Analysis and Plots'!$D$27,'Data Transformation'!$G$24:$G$404),'Bin Analysis and Plots'!F48))</f>
        <v>0</v>
      </c>
      <c r="H48">
        <f t="shared" si="3"/>
        <v>0</v>
      </c>
      <c r="I48">
        <f>Weighting!$G$24</f>
        <v>0</v>
      </c>
      <c r="J48" s="7">
        <f t="array" ref="J48">FREQUENCY(IF('Data Transformation'!$B$4:$B$404=D27,'Data Transformation'!$G$4:$G$404),'Bin Analysis and Plots'!$D48)</f>
        <v>0</v>
      </c>
      <c r="K48" s="7">
        <f t="shared" si="4"/>
        <v>0</v>
      </c>
      <c r="L48" s="7">
        <f t="shared" si="5"/>
        <v>0</v>
      </c>
      <c r="M48" s="22">
        <f>L48*Weighting!$V$24</f>
        <v>0</v>
      </c>
    </row>
    <row r="49" spans="1:20" x14ac:dyDescent="0.25">
      <c r="A49" s="45" t="b">
        <f t="array" ref="A49">IF(ISERROR(INDEX('Data Transformation'!$B$4:$G$450,SMALL(IF('Data Transformation'!$B$4:$B$450='Bin Analysis and Plots'!D27,ROW('Data Transformation'!$B$4:$B$450)),ROW($20:$20))-3,3)),"",INDEX('Data Transformation'!$B$4:$G$450,SMALL(IF('Data Transformation'!$B$4:$B$450='Bin Analysis and Plots'!D27,ROW('Data Transformation'!$B$4:$B$450)),ROW($20:$20))-3,6))</f>
        <v>0</v>
      </c>
      <c r="B49" s="45" t="str">
        <f>IFERROR(SMALL(A30:A49,'Data Transformation'!$L$25),"")</f>
        <v/>
      </c>
      <c r="C49" s="61" t="str">
        <f>IF(Weighting!$O$25&gt;0,D49,"")</f>
        <v/>
      </c>
      <c r="D49" t="e">
        <f>Weighting!$C$25</f>
        <v>#DIV/0!</v>
      </c>
      <c r="E49" t="e">
        <f>Weighting!$E$25</f>
        <v>#NUM!</v>
      </c>
      <c r="F49" t="e">
        <f>IF(E49=1,'Data Transformation'!$G$3+0.5*'Data Transformation'!$R$25,IF(E50=1,F50-'Data Transformation'!$R$25,FALSE))</f>
        <v>#NUM!</v>
      </c>
      <c r="G49">
        <f t="array" ref="G49">IF(ISLOGICAL(F49),"",FREQUENCY(IF('Data Transformation'!$B$24:$B$404='Bin Analysis and Plots'!$D$27,'Data Transformation'!$G$24:$G$404),'Bin Analysis and Plots'!F49))</f>
        <v>0</v>
      </c>
      <c r="H49">
        <f t="shared" si="3"/>
        <v>0</v>
      </c>
      <c r="I49">
        <f>Weighting!$G$25</f>
        <v>0</v>
      </c>
      <c r="J49" s="7">
        <f t="array" ref="J49">FREQUENCY(IF('Data Transformation'!$B$4:$B$404=D27,'Data Transformation'!$G$4:$G$404),'Bin Analysis and Plots'!$D49)</f>
        <v>0</v>
      </c>
      <c r="K49" s="7">
        <f t="shared" si="4"/>
        <v>0</v>
      </c>
      <c r="L49" s="7">
        <f t="shared" si="5"/>
        <v>0</v>
      </c>
      <c r="M49" s="22">
        <f>L49*Weighting!$V$25</f>
        <v>0</v>
      </c>
    </row>
    <row r="50" spans="1:20" x14ac:dyDescent="0.25">
      <c r="C50" s="60" t="str">
        <f>IF(B50="","",D50)</f>
        <v/>
      </c>
    </row>
    <row r="51" spans="1:20" ht="23.25" x14ac:dyDescent="0.35">
      <c r="B51" s="46"/>
      <c r="C51" s="46" t="s">
        <v>0</v>
      </c>
      <c r="D51" s="46" t="str">
        <f>'Input and Summary Results'!G9</f>
        <v xml:space="preserve"> </v>
      </c>
      <c r="E51" s="46"/>
      <c r="F51" s="46"/>
      <c r="G51" s="46"/>
      <c r="H51" s="46"/>
      <c r="I51" s="46"/>
      <c r="J51" s="47"/>
      <c r="K51" s="47"/>
      <c r="L51" s="47"/>
      <c r="M51" s="46"/>
      <c r="N51" s="46"/>
      <c r="O51" s="48" t="e">
        <f>INDEX('Data Transformation'!$O$4:$O$25,MATCH($D51,'Data Transformation'!$M$4:$M$25,0),MATCH($O$2,'Data Transformation'!$O$3,0))</f>
        <v>#N/A</v>
      </c>
      <c r="P51" s="52" t="e">
        <f>IF(O51=FALSE,NA(),(VLOOKUP(1,E54:M73,4,FALSE))/(O51-1))</f>
        <v>#N/A</v>
      </c>
      <c r="Q51" s="52" t="e">
        <f>IF(O51=FALSE,NA(),SUM(L54:L73)/Weighting!$R$5)</f>
        <v>#N/A</v>
      </c>
      <c r="R51" s="52" t="e">
        <f>IF(O51=FALSE,NA(),SUM(M54:M73)/Weighting!$R$6)</f>
        <v>#N/A</v>
      </c>
      <c r="S51" s="52" t="e">
        <f>IF(O51=FALSE,NA(),(VLOOKUP(1,I54:M73,3,FALSE))/(O51-1))</f>
        <v>#N/A</v>
      </c>
      <c r="T51" s="57" t="e">
        <f>IF(O51=FALSE,NA(),IF(SUM(L54:L73)=2,"yes","no"))</f>
        <v>#N/A</v>
      </c>
    </row>
    <row r="52" spans="1:20" x14ac:dyDescent="0.25">
      <c r="A52" s="96" t="s">
        <v>64</v>
      </c>
      <c r="B52" s="96"/>
      <c r="C52" s="58" t="s">
        <v>72</v>
      </c>
      <c r="D52" t="s">
        <v>50</v>
      </c>
      <c r="E52" t="s">
        <v>5</v>
      </c>
      <c r="F52" t="s">
        <v>99</v>
      </c>
      <c r="G52" t="s">
        <v>100</v>
      </c>
      <c r="I52" t="s">
        <v>75</v>
      </c>
      <c r="J52" s="7" t="s">
        <v>34</v>
      </c>
      <c r="K52" s="7" t="s">
        <v>35</v>
      </c>
      <c r="L52" s="7" t="s">
        <v>49</v>
      </c>
      <c r="M52" s="21" t="s">
        <v>48</v>
      </c>
    </row>
    <row r="53" spans="1:20" x14ac:dyDescent="0.25">
      <c r="C53" s="60" t="str">
        <f t="shared" ref="C53:C74" si="6">IF(B53="","",D53)</f>
        <v/>
      </c>
      <c r="F53" t="e">
        <f>IF(E53=1,'Data Transformation'!$G$3+0.5*'Data Transformation'!$R$25,IF(E54=1,F54-'Data Transformation'!$R$25,FALSE))</f>
        <v>#NUM!</v>
      </c>
      <c r="G53">
        <f t="array" ref="G53">IF(ISLOGICAL(F53),"",FREQUENCY(IF('Data Transformation'!$B$24:$B$404='Bin Analysis and Plots'!$D$51,'Data Transformation'!$G$24:$G$404),'Bin Analysis and Plots'!F53))</f>
        <v>0</v>
      </c>
      <c r="H53" t="e">
        <f>IF(ISLOGICAL(F53),"",G53-G52)</f>
        <v>#VALUE!</v>
      </c>
    </row>
    <row r="54" spans="1:20" x14ac:dyDescent="0.25">
      <c r="A54" s="45" t="b">
        <f t="array" ref="A54">IF(ISERROR(INDEX('Data Transformation'!$B$4:$G$450,SMALL(IF('Data Transformation'!$B$4:$B$450='Bin Analysis and Plots'!D51,ROW('Data Transformation'!$B$4:$B$450)),ROW($1:$1))-3,3)),"",INDEX('Data Transformation'!$B$4:$G$450,SMALL(IF('Data Transformation'!$B$4:$B$450='Bin Analysis and Plots'!D51,ROW('Data Transformation'!$B$4:$B$450)),ROW($1:$1))-3,6))</f>
        <v>0</v>
      </c>
      <c r="B54" s="45" t="str">
        <f>IFERROR(SMALL(A54:A73,'Data Transformation'!$L$6),"")</f>
        <v/>
      </c>
      <c r="C54" s="61" t="e">
        <f>IF(Weighting!$O$6&gt;0,D54,"")</f>
        <v>#NUM!</v>
      </c>
      <c r="D54" t="e">
        <f>Weighting!$C$6</f>
        <v>#DIV/0!</v>
      </c>
      <c r="E54" t="e">
        <f>Weighting!$E$6</f>
        <v>#NUM!</v>
      </c>
      <c r="F54" t="e">
        <f>IF(E54=1,'Data Transformation'!$G$3+0.5*'Data Transformation'!$R$25,IF(E55=1,F55-'Data Transformation'!$R$25,FALSE))</f>
        <v>#NUM!</v>
      </c>
      <c r="G54">
        <f t="array" ref="G54">IF(ISLOGICAL(F54),"",FREQUENCY(IF('Data Transformation'!$B$24:$B$404='Bin Analysis and Plots'!$D$51,'Data Transformation'!$G$24:$G$404),'Bin Analysis and Plots'!F54))</f>
        <v>0</v>
      </c>
      <c r="H54">
        <f>IF(ISLOGICAL(F54),"",G54-G53)</f>
        <v>0</v>
      </c>
      <c r="I54">
        <f>Weighting!$G$6</f>
        <v>1</v>
      </c>
      <c r="J54" s="7">
        <f t="array" ref="J54">FREQUENCY(IF('Data Transformation'!$B$4:$B$404=D51,'Data Transformation'!$G$4:$G$404),'Bin Analysis and Plots'!$D54)</f>
        <v>0</v>
      </c>
      <c r="K54" s="7">
        <f>J54-J53</f>
        <v>0</v>
      </c>
      <c r="L54" s="7">
        <f>IF(K54=0,0,1)</f>
        <v>0</v>
      </c>
      <c r="M54" s="22" t="e">
        <f>L54*Weighting!$V$6</f>
        <v>#NUM!</v>
      </c>
    </row>
    <row r="55" spans="1:20" x14ac:dyDescent="0.25">
      <c r="A55" s="45" t="b">
        <f t="array" ref="A55">IF(ISERROR(INDEX('Data Transformation'!$B$4:$G$450,SMALL(IF('Data Transformation'!$B$4:$B$450='Bin Analysis and Plots'!D51,ROW('Data Transformation'!$B$4:$B$450)),ROW($2:$2))-3,3)),"",INDEX('Data Transformation'!$B$4:$G$450,SMALL(IF('Data Transformation'!$B$4:$B$450='Bin Analysis and Plots'!D51,ROW('Data Transformation'!$B$4:$B$450)),ROW($2:$2))-3,6))</f>
        <v>0</v>
      </c>
      <c r="B55" s="45" t="str">
        <f>IFERROR(SMALL(A54:A73,'Data Transformation'!$L$7),"")</f>
        <v/>
      </c>
      <c r="C55" s="61" t="str">
        <f>IF(Weighting!$O$7&gt;0,D55,"")</f>
        <v/>
      </c>
      <c r="D55" t="e">
        <f>Weighting!$C$7</f>
        <v>#DIV/0!</v>
      </c>
      <c r="E55" t="e">
        <f>Weighting!$E$7</f>
        <v>#NUM!</v>
      </c>
      <c r="F55" t="e">
        <f>IF(E55=1,'Data Transformation'!$G$3+0.5*'Data Transformation'!$R$25,IF(E56=1,F56-'Data Transformation'!$R$25,FALSE))</f>
        <v>#NUM!</v>
      </c>
      <c r="G55">
        <f t="array" ref="G55">IF(ISLOGICAL(F55),"",FREQUENCY(IF('Data Transformation'!$B$24:$B$404='Bin Analysis and Plots'!$D$51,'Data Transformation'!$G$24:$G$404),'Bin Analysis and Plots'!F55))</f>
        <v>0</v>
      </c>
      <c r="H55">
        <f t="shared" ref="H55:H73" si="7">IF(ISLOGICAL(F55),"",G55-G54)</f>
        <v>0</v>
      </c>
      <c r="I55">
        <f>Weighting!$G$7</f>
        <v>0</v>
      </c>
      <c r="J55" s="7">
        <f t="array" ref="J55">FREQUENCY(IF('Data Transformation'!$B$4:$B$404=D51,'Data Transformation'!$G$4:$G$404),'Bin Analysis and Plots'!$D55)</f>
        <v>0</v>
      </c>
      <c r="K55" s="7">
        <f t="shared" ref="K55:K73" si="8">J55-J54</f>
        <v>0</v>
      </c>
      <c r="L55" s="7">
        <f>IF(K55=0,0,1)</f>
        <v>0</v>
      </c>
      <c r="M55" s="22">
        <f>L55*Weighting!$V$7</f>
        <v>0</v>
      </c>
    </row>
    <row r="56" spans="1:20" x14ac:dyDescent="0.25">
      <c r="A56" s="45" t="b">
        <f t="array" ref="A56">IF(ISERROR(INDEX('Data Transformation'!$B$4:$G$450,SMALL(IF('Data Transformation'!$B$4:$B$450='Bin Analysis and Plots'!D51,ROW('Data Transformation'!$B$4:$B$450)),ROW($3:$3))-3,3)),"",INDEX('Data Transformation'!$B$4:$G$450,SMALL(IF('Data Transformation'!$B$4:$B$450='Bin Analysis and Plots'!D51,ROW('Data Transformation'!$B$4:$B$450)),ROW($3:$3))-3,6))</f>
        <v>0</v>
      </c>
      <c r="B56" s="45" t="str">
        <f>IFERROR(SMALL(A54:A73,'Data Transformation'!$L$8),"")</f>
        <v/>
      </c>
      <c r="C56" s="61" t="str">
        <f>IF(Weighting!$O$8&gt;0,D56,"")</f>
        <v/>
      </c>
      <c r="D56" t="e">
        <f>Weighting!$C$8</f>
        <v>#DIV/0!</v>
      </c>
      <c r="E56" t="e">
        <f>Weighting!$E$8</f>
        <v>#NUM!</v>
      </c>
      <c r="F56" t="e">
        <f>IF(E56=1,'Data Transformation'!$G$3+0.5*'Data Transformation'!$R$25,IF(E57=1,F57-'Data Transformation'!$R$25,FALSE))</f>
        <v>#NUM!</v>
      </c>
      <c r="G56">
        <f t="array" ref="G56">IF(ISLOGICAL(F56),"",FREQUENCY(IF('Data Transformation'!$B$24:$B$404='Bin Analysis and Plots'!$D$51,'Data Transformation'!$G$24:$G$404),'Bin Analysis and Plots'!F56))</f>
        <v>0</v>
      </c>
      <c r="H56">
        <f t="shared" si="7"/>
        <v>0</v>
      </c>
      <c r="I56">
        <f>Weighting!$G$8</f>
        <v>0</v>
      </c>
      <c r="J56" s="7">
        <f t="array" ref="J56">FREQUENCY(IF('Data Transformation'!$B$4:$B$404=D51,'Data Transformation'!$G$4:$G$404),'Bin Analysis and Plots'!$D56)</f>
        <v>0</v>
      </c>
      <c r="K56" s="7">
        <f t="shared" si="8"/>
        <v>0</v>
      </c>
      <c r="L56" s="7">
        <f t="shared" ref="L56:L73" si="9">IF(K56=0,0,1)</f>
        <v>0</v>
      </c>
      <c r="M56" s="22">
        <f>L56*Weighting!$V$8</f>
        <v>0</v>
      </c>
    </row>
    <row r="57" spans="1:20" x14ac:dyDescent="0.25">
      <c r="A57" s="45" t="b">
        <f t="array" ref="A57">IF(ISERROR(INDEX('Data Transformation'!$B$4:$G$450,SMALL(IF('Data Transformation'!$B$4:$B$450='Bin Analysis and Plots'!D51,ROW('Data Transformation'!$B$4:$B$450)),ROW($4:$4))-3,3)),"",INDEX('Data Transformation'!$B$4:$G$450,SMALL(IF('Data Transformation'!$B$4:$B$450='Bin Analysis and Plots'!D51,ROW('Data Transformation'!$B$4:$B$450)),ROW($4:$4))-3,6))</f>
        <v>0</v>
      </c>
      <c r="B57" s="45" t="str">
        <f>IFERROR(SMALL(A54:A73,'Data Transformation'!$L$9),"")</f>
        <v/>
      </c>
      <c r="C57" s="61" t="str">
        <f>IF(Weighting!$O$9&gt;0,D57,"")</f>
        <v/>
      </c>
      <c r="D57" t="e">
        <f>Weighting!$C$9</f>
        <v>#DIV/0!</v>
      </c>
      <c r="E57" t="e">
        <f>Weighting!$E$9</f>
        <v>#NUM!</v>
      </c>
      <c r="F57" t="e">
        <f>IF(E57=1,'Data Transformation'!$G$3+0.5*'Data Transformation'!$R$25,IF(E58=1,F58-'Data Transformation'!$R$25,FALSE))</f>
        <v>#NUM!</v>
      </c>
      <c r="G57">
        <f t="array" ref="G57">IF(ISLOGICAL(F57),"",FREQUENCY(IF('Data Transformation'!$B$24:$B$404='Bin Analysis and Plots'!$D$51,'Data Transformation'!$G$24:$G$404),'Bin Analysis and Plots'!F57))</f>
        <v>0</v>
      </c>
      <c r="H57">
        <f t="shared" si="7"/>
        <v>0</v>
      </c>
      <c r="I57">
        <f>Weighting!$G$9</f>
        <v>0</v>
      </c>
      <c r="J57" s="7">
        <f t="array" ref="J57">FREQUENCY(IF('Data Transformation'!$B$4:$B$404=D51,'Data Transformation'!$G$4:$G$404),'Bin Analysis and Plots'!$D57)</f>
        <v>0</v>
      </c>
      <c r="K57" s="7">
        <f t="shared" si="8"/>
        <v>0</v>
      </c>
      <c r="L57" s="7">
        <f t="shared" si="9"/>
        <v>0</v>
      </c>
      <c r="M57" s="22">
        <f>L57*Weighting!$V$9</f>
        <v>0</v>
      </c>
    </row>
    <row r="58" spans="1:20" x14ac:dyDescent="0.25">
      <c r="A58" s="45" t="b">
        <f t="array" ref="A58">IF(ISERROR(INDEX('Data Transformation'!$B$4:$G$450,SMALL(IF('Data Transformation'!$B$4:$B$450='Bin Analysis and Plots'!D51,ROW('Data Transformation'!$B$4:$B$450)),ROW($5:$5))-3,3)),"",INDEX('Data Transformation'!$B$4:$G$450,SMALL(IF('Data Transformation'!$B$4:$B$450='Bin Analysis and Plots'!D51,ROW('Data Transformation'!$B$4:$B$450)),ROW($5:$5))-3,6))</f>
        <v>0</v>
      </c>
      <c r="B58" s="45" t="str">
        <f>IFERROR(SMALL(A54:A73,'Data Transformation'!$L$10),"")</f>
        <v/>
      </c>
      <c r="C58" s="61" t="str">
        <f>IF(Weighting!$O$10&gt;0,D58,"")</f>
        <v/>
      </c>
      <c r="D58" t="e">
        <f>Weighting!$C$10</f>
        <v>#DIV/0!</v>
      </c>
      <c r="E58" t="e">
        <f>Weighting!$E$10</f>
        <v>#NUM!</v>
      </c>
      <c r="F58" t="e">
        <f>IF(E58=1,'Data Transformation'!$G$3+0.5*'Data Transformation'!$R$25,IF(E59=1,F59-'Data Transformation'!$R$25,FALSE))</f>
        <v>#NUM!</v>
      </c>
      <c r="G58">
        <f t="array" ref="G58">IF(ISLOGICAL(F58),"",FREQUENCY(IF('Data Transformation'!$B$24:$B$404='Bin Analysis and Plots'!$D$51,'Data Transformation'!$G$24:$G$404),'Bin Analysis and Plots'!F58))</f>
        <v>0</v>
      </c>
      <c r="H58">
        <f t="shared" si="7"/>
        <v>0</v>
      </c>
      <c r="I58">
        <f>Weighting!$G$10</f>
        <v>0</v>
      </c>
      <c r="J58" s="7">
        <f t="array" ref="J58">FREQUENCY(IF('Data Transformation'!$B$4:$B$404=D51,'Data Transformation'!$G$4:$G$404),'Bin Analysis and Plots'!$D58)</f>
        <v>0</v>
      </c>
      <c r="K58" s="7">
        <f t="shared" si="8"/>
        <v>0</v>
      </c>
      <c r="L58" s="7">
        <f t="shared" si="9"/>
        <v>0</v>
      </c>
      <c r="M58" s="22">
        <f>L58*Weighting!$V$10</f>
        <v>0</v>
      </c>
    </row>
    <row r="59" spans="1:20" x14ac:dyDescent="0.25">
      <c r="A59" s="45" t="b">
        <f t="array" ref="A59">IF(ISERROR(INDEX('Data Transformation'!$B$4:$G$450,SMALL(IF('Data Transformation'!$B$4:$B$450='Bin Analysis and Plots'!D51,ROW('Data Transformation'!$B$4:$B$450)),ROW($6:$6))-3,3)),"",INDEX('Data Transformation'!$B$4:$G$450,SMALL(IF('Data Transformation'!$B$4:$B$450='Bin Analysis and Plots'!D51,ROW('Data Transformation'!$B$4:$B$450)),ROW($6:$6))-3,6))</f>
        <v>0</v>
      </c>
      <c r="B59" s="45" t="str">
        <f>IFERROR(SMALL(A54:A73,'Data Transformation'!$L$11),"")</f>
        <v/>
      </c>
      <c r="C59" s="61" t="str">
        <f>IF(Weighting!$O$11&gt;0,D59,"")</f>
        <v/>
      </c>
      <c r="D59" t="e">
        <f>Weighting!$C$11</f>
        <v>#DIV/0!</v>
      </c>
      <c r="E59" t="e">
        <f>Weighting!$E$11</f>
        <v>#NUM!</v>
      </c>
      <c r="F59" t="e">
        <f>IF(E59=1,'Data Transformation'!$G$3+0.5*'Data Transformation'!$R$25,IF(E60=1,F60-'Data Transformation'!$R$25,FALSE))</f>
        <v>#NUM!</v>
      </c>
      <c r="G59">
        <f t="array" ref="G59">IF(ISLOGICAL(F59),"",FREQUENCY(IF('Data Transformation'!$B$24:$B$404='Bin Analysis and Plots'!$D$51,'Data Transformation'!$G$24:$G$404),'Bin Analysis and Plots'!F59))</f>
        <v>0</v>
      </c>
      <c r="H59">
        <f t="shared" si="7"/>
        <v>0</v>
      </c>
      <c r="I59">
        <f>Weighting!$G$11</f>
        <v>0</v>
      </c>
      <c r="J59" s="7">
        <f t="array" ref="J59">FREQUENCY(IF('Data Transformation'!$B$4:$B$404=D51,'Data Transformation'!$G$4:$G$404),'Bin Analysis and Plots'!$D59)</f>
        <v>0</v>
      </c>
      <c r="K59" s="7">
        <f t="shared" si="8"/>
        <v>0</v>
      </c>
      <c r="L59" s="7">
        <f t="shared" si="9"/>
        <v>0</v>
      </c>
      <c r="M59" s="22">
        <f>L59*Weighting!$V$11</f>
        <v>0</v>
      </c>
    </row>
    <row r="60" spans="1:20" x14ac:dyDescent="0.25">
      <c r="A60" s="45" t="b">
        <f t="array" ref="A60">IF(ISERROR(INDEX('Data Transformation'!$B$4:$G$450,SMALL(IF('Data Transformation'!$B$4:$B$450='Bin Analysis and Plots'!D51,ROW('Data Transformation'!$B$4:$B$450)),ROW($7:$7))-3,3)),"",INDEX('Data Transformation'!$B$4:$G$450,SMALL(IF('Data Transformation'!$B$4:$B$450='Bin Analysis and Plots'!D51,ROW('Data Transformation'!$B$4:$B$450)),ROW($7:$7))-3,6))</f>
        <v>0</v>
      </c>
      <c r="B60" s="45" t="str">
        <f>IFERROR(SMALL(A54:A73,'Data Transformation'!$L$12),"")</f>
        <v/>
      </c>
      <c r="C60" s="61" t="str">
        <f>IF(Weighting!$O$12&gt;0,D60,"")</f>
        <v/>
      </c>
      <c r="D60" t="e">
        <f>Weighting!$C$12</f>
        <v>#DIV/0!</v>
      </c>
      <c r="E60" t="e">
        <f>Weighting!$E$12</f>
        <v>#NUM!</v>
      </c>
      <c r="F60" t="e">
        <f>IF(E60=1,'Data Transformation'!$G$3+0.5*'Data Transformation'!$R$25,IF(E61=1,F61-'Data Transformation'!$R$25,FALSE))</f>
        <v>#NUM!</v>
      </c>
      <c r="G60">
        <f t="array" ref="G60">IF(ISLOGICAL(F60),"",FREQUENCY(IF('Data Transformation'!$B$24:$B$404='Bin Analysis and Plots'!$D$51,'Data Transformation'!$G$24:$G$404),'Bin Analysis and Plots'!F60))</f>
        <v>0</v>
      </c>
      <c r="H60">
        <f t="shared" si="7"/>
        <v>0</v>
      </c>
      <c r="I60">
        <f>Weighting!$G$12</f>
        <v>0</v>
      </c>
      <c r="J60" s="7">
        <f t="array" ref="J60">FREQUENCY(IF('Data Transformation'!$B$4:$B$404=D51,'Data Transformation'!$G$4:$G$404),'Bin Analysis and Plots'!$D60)</f>
        <v>0</v>
      </c>
      <c r="K60" s="7">
        <f t="shared" si="8"/>
        <v>0</v>
      </c>
      <c r="L60" s="7">
        <f t="shared" si="9"/>
        <v>0</v>
      </c>
      <c r="M60" s="22">
        <f>L60*Weighting!$V$12</f>
        <v>0</v>
      </c>
    </row>
    <row r="61" spans="1:20" x14ac:dyDescent="0.25">
      <c r="A61" s="45" t="b">
        <f t="array" ref="A61">IF(ISERROR(INDEX('Data Transformation'!$B$4:$G$450,SMALL(IF('Data Transformation'!$B$4:$B$450='Bin Analysis and Plots'!D51,ROW('Data Transformation'!$B$4:$B$450)),ROW($8:$8))-3,3)),"",INDEX('Data Transformation'!$B$4:$G$450,SMALL(IF('Data Transformation'!$B$4:$B$450='Bin Analysis and Plots'!D51,ROW('Data Transformation'!$B$4:$B$450)),ROW($8:$8))-3,6))</f>
        <v>0</v>
      </c>
      <c r="B61" s="45" t="str">
        <f>IFERROR(SMALL(A54:A73,'Data Transformation'!$L$13),"")</f>
        <v/>
      </c>
      <c r="C61" s="61" t="str">
        <f>IF(Weighting!$O$13&gt;0,D61,"")</f>
        <v/>
      </c>
      <c r="D61" t="e">
        <f>Weighting!$C$13</f>
        <v>#DIV/0!</v>
      </c>
      <c r="E61" t="e">
        <f>Weighting!$E$13</f>
        <v>#NUM!</v>
      </c>
      <c r="F61" t="e">
        <f>IF(E61=1,'Data Transformation'!$G$3+0.5*'Data Transformation'!$R$25,IF(E62=1,F62-'Data Transformation'!$R$25,FALSE))</f>
        <v>#NUM!</v>
      </c>
      <c r="G61">
        <f t="array" ref="G61">IF(ISLOGICAL(F61),"",FREQUENCY(IF('Data Transformation'!$B$24:$B$404='Bin Analysis and Plots'!$D$51,'Data Transformation'!$G$24:$G$404),'Bin Analysis and Plots'!F61))</f>
        <v>0</v>
      </c>
      <c r="H61">
        <f t="shared" si="7"/>
        <v>0</v>
      </c>
      <c r="I61">
        <f>Weighting!$G$13</f>
        <v>0</v>
      </c>
      <c r="J61" s="7">
        <f t="array" ref="J61">FREQUENCY(IF('Data Transformation'!$B$4:$B$404=D51,'Data Transformation'!$G$4:$G$404),'Bin Analysis and Plots'!$D61)</f>
        <v>0</v>
      </c>
      <c r="K61" s="7">
        <f t="shared" si="8"/>
        <v>0</v>
      </c>
      <c r="L61" s="7">
        <f t="shared" si="9"/>
        <v>0</v>
      </c>
      <c r="M61" s="22">
        <f>L61*Weighting!$V$13</f>
        <v>0</v>
      </c>
    </row>
    <row r="62" spans="1:20" x14ac:dyDescent="0.25">
      <c r="A62" s="45" t="b">
        <f t="array" ref="A62">IF(ISERROR(INDEX('Data Transformation'!$B$4:$G$450,SMALL(IF('Data Transformation'!$B$4:$B$450='Bin Analysis and Plots'!D51,ROW('Data Transformation'!$B$4:$B$450)),ROW($9:$9))-3,3)),"",INDEX('Data Transformation'!$B$4:$G$450,SMALL(IF('Data Transformation'!$B$4:$B$450='Bin Analysis and Plots'!D51,ROW('Data Transformation'!$B$4:$B$450)),ROW($9:$9))-3,6))</f>
        <v>0</v>
      </c>
      <c r="B62" s="45" t="str">
        <f>IFERROR(SMALL(A54:A73,'Data Transformation'!$L$14),"")</f>
        <v/>
      </c>
      <c r="C62" s="61" t="str">
        <f>IF(Weighting!$O$14&gt;0,D62,"")</f>
        <v/>
      </c>
      <c r="D62" t="e">
        <f>Weighting!$C$14</f>
        <v>#DIV/0!</v>
      </c>
      <c r="E62" t="e">
        <f>Weighting!$E$14</f>
        <v>#NUM!</v>
      </c>
      <c r="F62" t="e">
        <f>IF(E62=1,'Data Transformation'!$G$3+0.5*'Data Transformation'!$R$25,IF(E63=1,F63-'Data Transformation'!$R$25,FALSE))</f>
        <v>#NUM!</v>
      </c>
      <c r="G62">
        <f t="array" ref="G62">IF(ISLOGICAL(F62),"",FREQUENCY(IF('Data Transformation'!$B$24:$B$404='Bin Analysis and Plots'!$D$51,'Data Transformation'!$G$24:$G$404),'Bin Analysis and Plots'!F62))</f>
        <v>0</v>
      </c>
      <c r="H62">
        <f t="shared" si="7"/>
        <v>0</v>
      </c>
      <c r="I62">
        <f>Weighting!$G$14</f>
        <v>0</v>
      </c>
      <c r="J62" s="7">
        <f t="array" ref="J62">FREQUENCY(IF('Data Transformation'!$B$4:$B$404=D51,'Data Transformation'!$G$4:$G$404),'Bin Analysis and Plots'!$D62)</f>
        <v>0</v>
      </c>
      <c r="K62" s="7">
        <f t="shared" si="8"/>
        <v>0</v>
      </c>
      <c r="L62" s="7">
        <f t="shared" si="9"/>
        <v>0</v>
      </c>
      <c r="M62" s="22">
        <f>L62*Weighting!$V$14</f>
        <v>0</v>
      </c>
    </row>
    <row r="63" spans="1:20" x14ac:dyDescent="0.25">
      <c r="A63" s="45" t="b">
        <f t="array" ref="A63">IF(ISERROR(INDEX('Data Transformation'!$B$4:$G$450,SMALL(IF('Data Transformation'!$B$4:$B$450='Bin Analysis and Plots'!D51,ROW('Data Transformation'!$B$4:$B$450)),ROW($10:$10))-3,3)),"",INDEX('Data Transformation'!$B$4:$G$450,SMALL(IF('Data Transformation'!$B$4:$B$450='Bin Analysis and Plots'!D51,ROW('Data Transformation'!$B$4:$B$450)),ROW($10:$10))-3,6))</f>
        <v>0</v>
      </c>
      <c r="B63" s="45" t="str">
        <f>IFERROR(SMALL(A54:A73,'Data Transformation'!$L$15),"")</f>
        <v/>
      </c>
      <c r="C63" s="61" t="str">
        <f>IF(Weighting!$O$15&gt;0,D63,"")</f>
        <v/>
      </c>
      <c r="D63" t="e">
        <f>Weighting!$C$15</f>
        <v>#DIV/0!</v>
      </c>
      <c r="E63" t="e">
        <f>Weighting!$E$15</f>
        <v>#NUM!</v>
      </c>
      <c r="F63" t="e">
        <f>IF(E63=1,'Data Transformation'!$G$3+0.5*'Data Transformation'!$R$25,IF(E64=1,F64-'Data Transformation'!$R$25,FALSE))</f>
        <v>#NUM!</v>
      </c>
      <c r="G63">
        <f t="array" ref="G63">IF(ISLOGICAL(F63),"",FREQUENCY(IF('Data Transformation'!$B$24:$B$404='Bin Analysis and Plots'!$D$51,'Data Transformation'!$G$24:$G$404),'Bin Analysis and Plots'!F63))</f>
        <v>0</v>
      </c>
      <c r="H63">
        <f t="shared" si="7"/>
        <v>0</v>
      </c>
      <c r="I63">
        <f>Weighting!$G$15</f>
        <v>0</v>
      </c>
      <c r="J63" s="7">
        <f t="array" ref="J63">FREQUENCY(IF('Data Transformation'!$B$4:$B$404=D51,'Data Transformation'!$G$4:$G$404),'Bin Analysis and Plots'!$D63)</f>
        <v>0</v>
      </c>
      <c r="K63" s="7">
        <f t="shared" si="8"/>
        <v>0</v>
      </c>
      <c r="L63" s="7">
        <f t="shared" si="9"/>
        <v>0</v>
      </c>
      <c r="M63" s="22">
        <f>L63*Weighting!$V$15</f>
        <v>0</v>
      </c>
    </row>
    <row r="64" spans="1:20" x14ac:dyDescent="0.25">
      <c r="A64" s="45" t="b">
        <f t="array" ref="A64">IF(ISERROR(INDEX('Data Transformation'!$B$4:$G$450,SMALL(IF('Data Transformation'!$B$4:$B$450='Bin Analysis and Plots'!D51,ROW('Data Transformation'!$B$4:$B$450)),ROW($11:$11))-3,3)),"",INDEX('Data Transformation'!$B$4:$G$450,SMALL(IF('Data Transformation'!$B$4:$B$450='Bin Analysis and Plots'!D51,ROW('Data Transformation'!$B$4:$B$450)),ROW($11:$11))-3,6))</f>
        <v>0</v>
      </c>
      <c r="B64" s="45" t="str">
        <f>IFERROR(SMALL(A54:A73,'Data Transformation'!$L$16),"")</f>
        <v/>
      </c>
      <c r="C64" s="61" t="str">
        <f>IF(Weighting!$O$16&gt;0,D64,"")</f>
        <v/>
      </c>
      <c r="D64" t="e">
        <f>Weighting!$C$16</f>
        <v>#DIV/0!</v>
      </c>
      <c r="E64" t="e">
        <f>Weighting!$E$16</f>
        <v>#NUM!</v>
      </c>
      <c r="F64" t="e">
        <f>IF(E64=1,'Data Transformation'!$G$3+0.5*'Data Transformation'!$R$25,IF(E65=1,F65-'Data Transformation'!$R$25,FALSE))</f>
        <v>#NUM!</v>
      </c>
      <c r="G64">
        <f t="array" ref="G64">IF(ISLOGICAL(F64),"",FREQUENCY(IF('Data Transformation'!$B$24:$B$404='Bin Analysis and Plots'!$D$51,'Data Transformation'!$G$24:$G$404),'Bin Analysis and Plots'!F64))</f>
        <v>0</v>
      </c>
      <c r="H64">
        <f t="shared" si="7"/>
        <v>0</v>
      </c>
      <c r="I64">
        <f>Weighting!$G$16</f>
        <v>0</v>
      </c>
      <c r="J64" s="7">
        <f t="array" ref="J64">FREQUENCY(IF('Data Transformation'!$B$4:$B$404=D51,'Data Transformation'!$G$4:$G$404),'Bin Analysis and Plots'!$D64)</f>
        <v>0</v>
      </c>
      <c r="K64" s="7">
        <f t="shared" si="8"/>
        <v>0</v>
      </c>
      <c r="L64" s="7">
        <f t="shared" si="9"/>
        <v>0</v>
      </c>
      <c r="M64" s="22">
        <f>L64*Weighting!$V$16</f>
        <v>0</v>
      </c>
    </row>
    <row r="65" spans="1:20" x14ac:dyDescent="0.25">
      <c r="A65" s="45" t="b">
        <f t="array" ref="A65">IF(ISERROR(INDEX('Data Transformation'!$B$4:$G$450,SMALL(IF('Data Transformation'!$B$4:$B$450='Bin Analysis and Plots'!D51,ROW('Data Transformation'!$B$4:$B$450)),ROW($12:$12))-3,3)),"",INDEX('Data Transformation'!$B$4:$G$450,SMALL(IF('Data Transformation'!$B$4:$B$450='Bin Analysis and Plots'!D51,ROW('Data Transformation'!$B$4:$B$450)),ROW($12:$12))-3,6))</f>
        <v>0</v>
      </c>
      <c r="B65" s="45" t="str">
        <f>IFERROR(SMALL(A54:A73,'Data Transformation'!$L$17),"")</f>
        <v/>
      </c>
      <c r="C65" s="61" t="str">
        <f>IF(Weighting!$O$17&gt;0,D65,"")</f>
        <v/>
      </c>
      <c r="D65" t="e">
        <f>Weighting!$C$17</f>
        <v>#DIV/0!</v>
      </c>
      <c r="E65" t="e">
        <f>Weighting!$E$17</f>
        <v>#NUM!</v>
      </c>
      <c r="F65" t="e">
        <f>IF(E65=1,'Data Transformation'!$G$3+0.5*'Data Transformation'!$R$25,IF(E66=1,F66-'Data Transformation'!$R$25,FALSE))</f>
        <v>#NUM!</v>
      </c>
      <c r="G65">
        <f t="array" ref="G65">IF(ISLOGICAL(F65),"",FREQUENCY(IF('Data Transformation'!$B$24:$B$404='Bin Analysis and Plots'!$D$51,'Data Transformation'!$G$24:$G$404),'Bin Analysis and Plots'!F65))</f>
        <v>0</v>
      </c>
      <c r="H65">
        <f t="shared" si="7"/>
        <v>0</v>
      </c>
      <c r="I65">
        <f>Weighting!$G$17</f>
        <v>0</v>
      </c>
      <c r="J65" s="7">
        <f t="array" ref="J65">FREQUENCY(IF('Data Transformation'!$B$4:$B$404=D51,'Data Transformation'!$G$4:$G$404),'Bin Analysis and Plots'!$D65)</f>
        <v>0</v>
      </c>
      <c r="K65" s="7">
        <f t="shared" si="8"/>
        <v>0</v>
      </c>
      <c r="L65" s="7">
        <f t="shared" si="9"/>
        <v>0</v>
      </c>
      <c r="M65" s="22">
        <f>L65*Weighting!$V$17</f>
        <v>0</v>
      </c>
    </row>
    <row r="66" spans="1:20" x14ac:dyDescent="0.25">
      <c r="A66" s="45" t="b">
        <f t="array" ref="A66">IF(ISERROR(INDEX('Data Transformation'!$B$4:$G$450,SMALL(IF('Data Transformation'!$B$4:$B$450='Bin Analysis and Plots'!D51,ROW('Data Transformation'!$B$4:$B$450)),ROW($13:$13))-3,3)),"",INDEX('Data Transformation'!$B$4:$G$450,SMALL(IF('Data Transformation'!$B$4:$B$450='Bin Analysis and Plots'!D51,ROW('Data Transformation'!$B$4:$B$450)),ROW($13:$13))-3,6))</f>
        <v>0</v>
      </c>
      <c r="B66" s="45" t="str">
        <f>IFERROR(SMALL(A54:A73,'Data Transformation'!$L$18),"")</f>
        <v/>
      </c>
      <c r="C66" s="61" t="str">
        <f>IF(Weighting!$O$18&gt;0,D66,"")</f>
        <v/>
      </c>
      <c r="D66" t="e">
        <f>Weighting!$C$18</f>
        <v>#DIV/0!</v>
      </c>
      <c r="E66" t="e">
        <f>Weighting!$E$18</f>
        <v>#NUM!</v>
      </c>
      <c r="F66" t="e">
        <f>IF(E66=1,'Data Transformation'!$G$3+0.5*'Data Transformation'!$R$25,IF(E67=1,F67-'Data Transformation'!$R$25,FALSE))</f>
        <v>#NUM!</v>
      </c>
      <c r="G66">
        <f t="array" ref="G66">IF(ISLOGICAL(F66),"",FREQUENCY(IF('Data Transformation'!$B$24:$B$404='Bin Analysis and Plots'!$D$51,'Data Transformation'!$G$24:$G$404),'Bin Analysis and Plots'!F66))</f>
        <v>0</v>
      </c>
      <c r="H66">
        <f t="shared" si="7"/>
        <v>0</v>
      </c>
      <c r="I66">
        <f>Weighting!$G$18</f>
        <v>0</v>
      </c>
      <c r="J66" s="7">
        <f t="array" ref="J66">FREQUENCY(IF('Data Transformation'!$B$4:$B$404=D51,'Data Transformation'!$G$4:$G$404),'Bin Analysis and Plots'!$D66)</f>
        <v>0</v>
      </c>
      <c r="K66" s="7">
        <f t="shared" si="8"/>
        <v>0</v>
      </c>
      <c r="L66" s="7">
        <f t="shared" si="9"/>
        <v>0</v>
      </c>
      <c r="M66" s="22">
        <f>L66*Weighting!$V$18</f>
        <v>0</v>
      </c>
    </row>
    <row r="67" spans="1:20" x14ac:dyDescent="0.25">
      <c r="A67" s="45" t="b">
        <f t="array" ref="A67">IF(ISERROR(INDEX('Data Transformation'!$B$4:$G$450,SMALL(IF('Data Transformation'!$B$4:$B$450='Bin Analysis and Plots'!D51,ROW('Data Transformation'!$B$4:$B$450)),ROW($14:$14))-3,3)),"",INDEX('Data Transformation'!$B$4:$G$450,SMALL(IF('Data Transformation'!$B$4:$B$450='Bin Analysis and Plots'!D51,ROW('Data Transformation'!$B$4:$B$450)),ROW($14:$14))-3,6))</f>
        <v>0</v>
      </c>
      <c r="B67" s="45" t="str">
        <f>IFERROR(SMALL(A54:A73,'Data Transformation'!$L$19),"")</f>
        <v/>
      </c>
      <c r="C67" s="61" t="str">
        <f>IF(Weighting!$O$19&gt;0,D67,"")</f>
        <v/>
      </c>
      <c r="D67" t="e">
        <f>Weighting!$C$19</f>
        <v>#DIV/0!</v>
      </c>
      <c r="E67" t="e">
        <f>Weighting!$E$19</f>
        <v>#NUM!</v>
      </c>
      <c r="F67" t="e">
        <f>IF(E67=1,'Data Transformation'!$G$3+0.5*'Data Transformation'!$R$25,IF(E68=1,F68-'Data Transformation'!$R$25,FALSE))</f>
        <v>#NUM!</v>
      </c>
      <c r="G67">
        <f t="array" ref="G67">IF(ISLOGICAL(F67),"",FREQUENCY(IF('Data Transformation'!$B$24:$B$404='Bin Analysis and Plots'!$D$51,'Data Transformation'!$G$24:$G$404),'Bin Analysis and Plots'!F67))</f>
        <v>0</v>
      </c>
      <c r="H67">
        <f t="shared" si="7"/>
        <v>0</v>
      </c>
      <c r="I67">
        <f>Weighting!$G$19</f>
        <v>0</v>
      </c>
      <c r="J67" s="7">
        <f t="array" ref="J67">FREQUENCY(IF('Data Transformation'!$B$4:$B$404=D51,'Data Transformation'!$G$4:$G$404),'Bin Analysis and Plots'!$D67)</f>
        <v>0</v>
      </c>
      <c r="K67" s="7">
        <f t="shared" si="8"/>
        <v>0</v>
      </c>
      <c r="L67" s="7">
        <f t="shared" si="9"/>
        <v>0</v>
      </c>
      <c r="M67" s="22">
        <f>L67*Weighting!$V$19</f>
        <v>0</v>
      </c>
    </row>
    <row r="68" spans="1:20" x14ac:dyDescent="0.25">
      <c r="A68" s="45" t="b">
        <f t="array" ref="A68">IF(ISERROR(INDEX('Data Transformation'!$B$4:$G$450,SMALL(IF('Data Transformation'!$B$4:$B$450='Bin Analysis and Plots'!D51,ROW('Data Transformation'!$B$4:$B$450)),ROW($15:$15))-3,3)),"",INDEX('Data Transformation'!$B$4:$G$450,SMALL(IF('Data Transformation'!$B$4:$B$450='Bin Analysis and Plots'!D51,ROW('Data Transformation'!$B$4:$B$450)),ROW($15:$15))-3,6))</f>
        <v>0</v>
      </c>
      <c r="B68" s="45" t="str">
        <f>IFERROR(SMALL(A54:A73,'Data Transformation'!$L$20),"")</f>
        <v/>
      </c>
      <c r="C68" s="61" t="str">
        <f>IF(Weighting!$O$20&gt;0,D68,"")</f>
        <v/>
      </c>
      <c r="D68" t="e">
        <f>Weighting!$C$20</f>
        <v>#DIV/0!</v>
      </c>
      <c r="E68" t="e">
        <f>Weighting!$E$20</f>
        <v>#NUM!</v>
      </c>
      <c r="F68" t="e">
        <f>IF(E68=1,'Data Transformation'!$G$3+0.5*'Data Transformation'!$R$25,IF(E69=1,F69-'Data Transformation'!$R$25,FALSE))</f>
        <v>#NUM!</v>
      </c>
      <c r="G68">
        <f t="array" ref="G68">IF(ISLOGICAL(F68),"",FREQUENCY(IF('Data Transformation'!$B$24:$B$404='Bin Analysis and Plots'!$D$51,'Data Transformation'!$G$24:$G$404),'Bin Analysis and Plots'!F68))</f>
        <v>0</v>
      </c>
      <c r="H68">
        <f t="shared" si="7"/>
        <v>0</v>
      </c>
      <c r="I68">
        <f>Weighting!$G$20</f>
        <v>0</v>
      </c>
      <c r="J68" s="7">
        <f t="array" ref="J68">FREQUENCY(IF('Data Transformation'!$B$4:$B$404=D51,'Data Transformation'!$G$4:$G$404),'Bin Analysis and Plots'!$D68)</f>
        <v>0</v>
      </c>
      <c r="K68" s="7">
        <f t="shared" si="8"/>
        <v>0</v>
      </c>
      <c r="L68" s="7">
        <f t="shared" si="9"/>
        <v>0</v>
      </c>
      <c r="M68" s="22">
        <f>L68*Weighting!$V$20</f>
        <v>0</v>
      </c>
    </row>
    <row r="69" spans="1:20" x14ac:dyDescent="0.25">
      <c r="A69" s="45" t="b">
        <f t="array" ref="A69">IF(ISERROR(INDEX('Data Transformation'!$B$4:$G$450,SMALL(IF('Data Transformation'!$B$4:$B$450='Bin Analysis and Plots'!D51,ROW('Data Transformation'!$B$4:$B$450)),ROW($16:$16))-3,3)),"",INDEX('Data Transformation'!$B$4:$G$450,SMALL(IF('Data Transformation'!$B$4:$B$450='Bin Analysis and Plots'!D51,ROW('Data Transformation'!$B$4:$B$450)),ROW($16:$16))-3,6))</f>
        <v>0</v>
      </c>
      <c r="B69" s="45" t="str">
        <f>IFERROR(SMALL(A54:A73,'Data Transformation'!$L$21),"")</f>
        <v/>
      </c>
      <c r="C69" s="61" t="str">
        <f>IF(Weighting!$O$21&gt;0,D69,"")</f>
        <v/>
      </c>
      <c r="D69" t="e">
        <f>Weighting!$C$21</f>
        <v>#DIV/0!</v>
      </c>
      <c r="E69" t="e">
        <f>Weighting!$E$21</f>
        <v>#NUM!</v>
      </c>
      <c r="F69" t="e">
        <f>IF(E69=1,'Data Transformation'!$G$3+0.5*'Data Transformation'!$R$25,IF(E70=1,F70-'Data Transformation'!$R$25,FALSE))</f>
        <v>#NUM!</v>
      </c>
      <c r="G69">
        <f t="array" ref="G69">IF(ISLOGICAL(F69),"",FREQUENCY(IF('Data Transformation'!$B$24:$B$404='Bin Analysis and Plots'!$D$51,'Data Transformation'!$G$24:$G$404),'Bin Analysis and Plots'!F69))</f>
        <v>0</v>
      </c>
      <c r="H69">
        <f t="shared" si="7"/>
        <v>0</v>
      </c>
      <c r="I69">
        <f>Weighting!$G$21</f>
        <v>0</v>
      </c>
      <c r="J69" s="7">
        <f t="array" ref="J69">FREQUENCY(IF('Data Transformation'!$B$4:$B$404=D51,'Data Transformation'!$G$4:$G$404),'Bin Analysis and Plots'!$D69)</f>
        <v>0</v>
      </c>
      <c r="K69" s="7">
        <f t="shared" si="8"/>
        <v>0</v>
      </c>
      <c r="L69" s="7">
        <f t="shared" si="9"/>
        <v>0</v>
      </c>
      <c r="M69" s="22">
        <f>L69*Weighting!$V$21</f>
        <v>0</v>
      </c>
    </row>
    <row r="70" spans="1:20" x14ac:dyDescent="0.25">
      <c r="A70" s="45" t="b">
        <f t="array" ref="A70">IF(ISERROR(INDEX('Data Transformation'!$B$4:$G$450,SMALL(IF('Data Transformation'!$B$4:$B$450='Bin Analysis and Plots'!D51,ROW('Data Transformation'!$B$4:$B$450)),ROW($17:$17))-3,3)),"",INDEX('Data Transformation'!$B$4:$G$450,SMALL(IF('Data Transformation'!$B$4:$B$450='Bin Analysis and Plots'!D51,ROW('Data Transformation'!$B$4:$B$450)),ROW($17:$17))-3,6))</f>
        <v>0</v>
      </c>
      <c r="B70" s="45" t="str">
        <f>IFERROR(SMALL(A54:A73,'Data Transformation'!$L$22),"")</f>
        <v/>
      </c>
      <c r="C70" s="61" t="str">
        <f>IF(Weighting!$O$22&gt;0,D70,"")</f>
        <v/>
      </c>
      <c r="D70" t="e">
        <f>Weighting!$C$22</f>
        <v>#DIV/0!</v>
      </c>
      <c r="E70" t="e">
        <f>Weighting!$E$22</f>
        <v>#NUM!</v>
      </c>
      <c r="F70" t="e">
        <f>IF(E70=1,'Data Transformation'!$G$3+0.5*'Data Transformation'!$R$25,IF(E71=1,F71-'Data Transformation'!$R$25,FALSE))</f>
        <v>#NUM!</v>
      </c>
      <c r="G70">
        <f t="array" ref="G70">IF(ISLOGICAL(F70),"",FREQUENCY(IF('Data Transformation'!$B$24:$B$404='Bin Analysis and Plots'!$D$51,'Data Transformation'!$G$24:$G$404),'Bin Analysis and Plots'!F70))</f>
        <v>0</v>
      </c>
      <c r="H70">
        <f t="shared" si="7"/>
        <v>0</v>
      </c>
      <c r="I70">
        <f>Weighting!$G$22</f>
        <v>0</v>
      </c>
      <c r="J70" s="7">
        <f t="array" ref="J70">FREQUENCY(IF('Data Transformation'!$B$4:$B$404=D51,'Data Transformation'!$G$4:$G$404),'Bin Analysis and Plots'!$D70)</f>
        <v>0</v>
      </c>
      <c r="K70" s="7">
        <f t="shared" si="8"/>
        <v>0</v>
      </c>
      <c r="L70" s="7">
        <f t="shared" si="9"/>
        <v>0</v>
      </c>
      <c r="M70" s="22">
        <f>L70*Weighting!$V$22</f>
        <v>0</v>
      </c>
    </row>
    <row r="71" spans="1:20" x14ac:dyDescent="0.25">
      <c r="A71" s="45" t="b">
        <f t="array" ref="A71">IF(ISERROR(INDEX('Data Transformation'!$B$4:$G$450,SMALL(IF('Data Transformation'!$B$4:$B$450='Bin Analysis and Plots'!D51,ROW('Data Transformation'!$B$4:$B$450)),ROW($18:$18))-3,3)),"",INDEX('Data Transformation'!$B$4:$G$450,SMALL(IF('Data Transformation'!$B$4:$B$450='Bin Analysis and Plots'!D51,ROW('Data Transformation'!$B$4:$B$450)),ROW($18:$18))-3,6))</f>
        <v>0</v>
      </c>
      <c r="B71" s="45" t="str">
        <f>IFERROR(SMALL(A54:A73,'Data Transformation'!$L$23),"")</f>
        <v/>
      </c>
      <c r="C71" s="61" t="str">
        <f>IF(Weighting!$O$23&gt;0,D71,"")</f>
        <v/>
      </c>
      <c r="D71" t="e">
        <f>Weighting!$C$23</f>
        <v>#DIV/0!</v>
      </c>
      <c r="E71" t="e">
        <f>Weighting!$E$23</f>
        <v>#NUM!</v>
      </c>
      <c r="F71" t="e">
        <f>IF(E71=1,'Data Transformation'!$G$3+0.5*'Data Transformation'!$R$25,IF(E72=1,F72-'Data Transformation'!$R$25,FALSE))</f>
        <v>#NUM!</v>
      </c>
      <c r="G71">
        <f t="array" ref="G71">IF(ISLOGICAL(F71),"",FREQUENCY(IF('Data Transformation'!$B$24:$B$404='Bin Analysis and Plots'!$D$51,'Data Transformation'!$G$24:$G$404),'Bin Analysis and Plots'!F71))</f>
        <v>0</v>
      </c>
      <c r="H71">
        <f t="shared" si="7"/>
        <v>0</v>
      </c>
      <c r="I71">
        <f>Weighting!$G$23</f>
        <v>0</v>
      </c>
      <c r="J71" s="7">
        <f t="array" ref="J71">FREQUENCY(IF('Data Transformation'!$B$4:$B$404=D51,'Data Transformation'!$G$4:$G$404),'Bin Analysis and Plots'!$D71)</f>
        <v>0</v>
      </c>
      <c r="K71" s="7">
        <f t="shared" si="8"/>
        <v>0</v>
      </c>
      <c r="L71" s="7">
        <f t="shared" si="9"/>
        <v>0</v>
      </c>
      <c r="M71" s="22">
        <f>L71*Weighting!$V$23</f>
        <v>0</v>
      </c>
    </row>
    <row r="72" spans="1:20" x14ac:dyDescent="0.25">
      <c r="A72" s="45" t="str">
        <f>IF(ISERROR(INDEX('Data Transformation'!$B$4:$G$450,SMALL(IF('Data Transformation'!$B$4:$B$450='Bin Analysis and Plots'!D51,ROW('Data Transformation'!$B$4:$B$450)),ROW($19:$19))-3,3)),"",INDEX('Data Transformation'!$B$4:$G$450,SMALL(IF('Data Transformation'!$B$4:$B$450='Bin Analysis and Plots'!D51,ROW('Data Transformation'!$B$4:$B$450)),ROW($19:$19))-3,6))</f>
        <v/>
      </c>
      <c r="B72" s="45" t="str">
        <f>IFERROR(SMALL(A54:A73,'Data Transformation'!$L$24),"")</f>
        <v/>
      </c>
      <c r="C72" s="61" t="str">
        <f>IF(Weighting!$O$24&gt;0,D72,"")</f>
        <v/>
      </c>
      <c r="D72" t="e">
        <f>Weighting!$C$24</f>
        <v>#DIV/0!</v>
      </c>
      <c r="E72" t="e">
        <f>Weighting!$E$24</f>
        <v>#NUM!</v>
      </c>
      <c r="F72" t="e">
        <f>IF(E72=1,'Data Transformation'!$G$3+0.5*'Data Transformation'!$R$25,IF(E73=1,F73-'Data Transformation'!$R$25,FALSE))</f>
        <v>#NUM!</v>
      </c>
      <c r="G72">
        <f t="array" ref="G72">IF(ISLOGICAL(F72),"",FREQUENCY(IF('Data Transformation'!$B$24:$B$404='Bin Analysis and Plots'!$D$51,'Data Transformation'!$G$24:$G$404),'Bin Analysis and Plots'!F72))</f>
        <v>0</v>
      </c>
      <c r="H72">
        <f t="shared" si="7"/>
        <v>0</v>
      </c>
      <c r="I72">
        <f>Weighting!$G$24</f>
        <v>0</v>
      </c>
      <c r="J72" s="7">
        <f t="array" ref="J72">FREQUENCY(IF('Data Transformation'!$B$4:$B$404=D51,'Data Transformation'!$G$4:$G$404),'Bin Analysis and Plots'!$D72)</f>
        <v>0</v>
      </c>
      <c r="K72" s="7">
        <f t="shared" si="8"/>
        <v>0</v>
      </c>
      <c r="L72" s="7">
        <f t="shared" si="9"/>
        <v>0</v>
      </c>
      <c r="M72" s="22">
        <f>L72*Weighting!$V$24</f>
        <v>0</v>
      </c>
    </row>
    <row r="73" spans="1:20" x14ac:dyDescent="0.25">
      <c r="A73" s="45" t="b">
        <f t="array" ref="A73">IF(ISERROR(INDEX('Data Transformation'!$B$4:$G$450,SMALL(IF('Data Transformation'!$B$4:$B$450='Bin Analysis and Plots'!D51,ROW('Data Transformation'!$B$4:$B$450)),ROW($20:$20))-3,3)),"",INDEX('Data Transformation'!$B$4:$G$450,SMALL(IF('Data Transformation'!$B$4:$B$450='Bin Analysis and Plots'!D51,ROW('Data Transformation'!$B$4:$B$450)),ROW($20:$20))-3,6))</f>
        <v>0</v>
      </c>
      <c r="B73" s="45" t="str">
        <f>IFERROR(SMALL(A54:A73,'Data Transformation'!$L$25),"")</f>
        <v/>
      </c>
      <c r="C73" s="61" t="str">
        <f>IF(Weighting!$O$25&gt;0,D73,"")</f>
        <v/>
      </c>
      <c r="D73" t="e">
        <f>Weighting!$C$25</f>
        <v>#DIV/0!</v>
      </c>
      <c r="E73" t="e">
        <f>Weighting!$E$25</f>
        <v>#NUM!</v>
      </c>
      <c r="F73" t="e">
        <f>IF(E73=1,'Data Transformation'!$G$3+0.5*'Data Transformation'!$R$25,IF(E74=1,F74-'Data Transformation'!$R$25,FALSE))</f>
        <v>#NUM!</v>
      </c>
      <c r="G73">
        <f t="array" ref="G73">IF(ISLOGICAL(F73),"",FREQUENCY(IF('Data Transformation'!$B$24:$B$404='Bin Analysis and Plots'!$D$51,'Data Transformation'!$G$24:$G$404),'Bin Analysis and Plots'!F73))</f>
        <v>0</v>
      </c>
      <c r="H73">
        <f t="shared" si="7"/>
        <v>0</v>
      </c>
      <c r="I73">
        <f>Weighting!$G$25</f>
        <v>0</v>
      </c>
      <c r="J73" s="7">
        <f t="array" ref="J73">FREQUENCY(IF('Data Transformation'!$B$4:$B$404=D51,'Data Transformation'!$G$4:$G$404),'Bin Analysis and Plots'!$D73)</f>
        <v>0</v>
      </c>
      <c r="K73" s="7">
        <f t="shared" si="8"/>
        <v>0</v>
      </c>
      <c r="L73" s="7">
        <f t="shared" si="9"/>
        <v>0</v>
      </c>
      <c r="M73" s="22">
        <f>L73*Weighting!$V$25</f>
        <v>0</v>
      </c>
    </row>
    <row r="74" spans="1:20" x14ac:dyDescent="0.25">
      <c r="C74" s="60" t="str">
        <f t="shared" si="6"/>
        <v/>
      </c>
    </row>
    <row r="75" spans="1:20" ht="23.25" x14ac:dyDescent="0.35">
      <c r="C75" s="46" t="s">
        <v>0</v>
      </c>
      <c r="D75" s="46" t="str">
        <f>'Input and Summary Results'!G10</f>
        <v xml:space="preserve"> </v>
      </c>
      <c r="E75" s="46"/>
      <c r="F75" s="46"/>
      <c r="G75" s="46"/>
      <c r="H75" s="46"/>
      <c r="I75" s="46"/>
      <c r="J75" s="47"/>
      <c r="K75" s="47"/>
      <c r="L75" s="47"/>
      <c r="M75" s="46"/>
      <c r="N75" s="46"/>
      <c r="O75" s="48" t="e">
        <f>INDEX('Data Transformation'!$O$4:$O$25,MATCH($D75,'Data Transformation'!$M$4:$M$25,0),MATCH($O$2,'Data Transformation'!$O$3,0))</f>
        <v>#N/A</v>
      </c>
      <c r="P75" s="52" t="e">
        <f>IF(O75=FALSE,NA(),(VLOOKUP(1,E78:M97,4,FALSE))/(O75-1))</f>
        <v>#N/A</v>
      </c>
      <c r="Q75" s="52" t="e">
        <f>IF(O75=FALSE,NA(),SUM(L78:L97)/Weighting!$R$5)</f>
        <v>#N/A</v>
      </c>
      <c r="R75" s="52" t="e">
        <f>IF(O75=FALSE,NA(),SUM(M78:M97)/Weighting!$R$6)</f>
        <v>#N/A</v>
      </c>
      <c r="S75" s="52" t="e">
        <f>IF(O75=FALSE,NA(),(VLOOKUP(1,I78:M97,3,FALSE))/(O75-1))</f>
        <v>#N/A</v>
      </c>
      <c r="T75" s="57" t="e">
        <f>IF(O75=FALSE,NA(),IF(SUM(L78:L97)=2,"yes","no"))</f>
        <v>#N/A</v>
      </c>
    </row>
    <row r="76" spans="1:20" x14ac:dyDescent="0.25">
      <c r="A76" s="96" t="s">
        <v>64</v>
      </c>
      <c r="B76" s="96"/>
      <c r="C76" s="58" t="s">
        <v>72</v>
      </c>
      <c r="D76" t="s">
        <v>50</v>
      </c>
      <c r="E76" t="s">
        <v>5</v>
      </c>
      <c r="I76" t="s">
        <v>75</v>
      </c>
      <c r="J76" s="7" t="s">
        <v>34</v>
      </c>
      <c r="K76" s="7" t="s">
        <v>35</v>
      </c>
      <c r="L76" s="7" t="s">
        <v>49</v>
      </c>
      <c r="M76" s="21" t="s">
        <v>48</v>
      </c>
    </row>
    <row r="77" spans="1:20" x14ac:dyDescent="0.25">
      <c r="C77" s="60" t="str">
        <f t="shared" ref="C77:C98" si="10">IF(B77="","",D77)</f>
        <v/>
      </c>
      <c r="F77" t="e">
        <f>IF(E77=1,'Data Transformation'!$G$3+0.5*'Data Transformation'!$R$25,IF(E78=1,F78-'Data Transformation'!$R$25,FALSE))</f>
        <v>#NUM!</v>
      </c>
      <c r="G77">
        <f t="array" ref="G77">IF(ISLOGICAL(F77),"",FREQUENCY(IF('Data Transformation'!$B$24:$B$404='Bin Analysis and Plots'!$D$75,'Data Transformation'!$G$24:$G$404),'Bin Analysis and Plots'!F77))</f>
        <v>0</v>
      </c>
      <c r="H77">
        <f>IF(ISLOGICAL(F77),"",G77-G76)</f>
        <v>0</v>
      </c>
    </row>
    <row r="78" spans="1:20" x14ac:dyDescent="0.25">
      <c r="A78" s="45" t="b">
        <f t="array" ref="A78">IF(ISERROR(INDEX('Data Transformation'!$B$4:$G$450,SMALL(IF('Data Transformation'!$B$4:$B$450='Bin Analysis and Plots'!D75,ROW('Data Transformation'!$B$4:$B$450)),ROW($1:$1))-3,3)),"",INDEX('Data Transformation'!$B$4:$G$450,SMALL(IF('Data Transformation'!$B$4:$B$450='Bin Analysis and Plots'!D75,ROW('Data Transformation'!$B$4:$B$450)),ROW($1:$1))-3,6))</f>
        <v>0</v>
      </c>
      <c r="B78" s="45" t="str">
        <f>IFERROR(SMALL(A78:A97,'Data Transformation'!$L$6),"")</f>
        <v/>
      </c>
      <c r="C78" s="61" t="e">
        <f>IF(Weighting!$O$6&gt;0,D78,"")</f>
        <v>#NUM!</v>
      </c>
      <c r="D78" t="e">
        <f>Weighting!$C$6</f>
        <v>#DIV/0!</v>
      </c>
      <c r="E78" t="e">
        <f>Weighting!$E$6</f>
        <v>#NUM!</v>
      </c>
      <c r="F78" t="e">
        <f>IF(E78=1,'Data Transformation'!$G$3+0.5*'Data Transformation'!$R$25,IF(E79=1,F79-'Data Transformation'!$R$25,FALSE))</f>
        <v>#NUM!</v>
      </c>
      <c r="G78">
        <f t="array" ref="G78">IF(ISLOGICAL(F78),"",FREQUENCY(IF('Data Transformation'!$B$24:$B$404='Bin Analysis and Plots'!$D$75,'Data Transformation'!$G$24:$G$404),'Bin Analysis and Plots'!F78))</f>
        <v>0</v>
      </c>
      <c r="H78">
        <f>IF(ISLOGICAL(F78),"",G78-G77)</f>
        <v>0</v>
      </c>
      <c r="I78">
        <f>Weighting!$G$6</f>
        <v>1</v>
      </c>
      <c r="J78" s="7">
        <f t="array" ref="J78">FREQUENCY(IF('Data Transformation'!$B$4:$B$404=D75,'Data Transformation'!$G$4:$G$404),'Bin Analysis and Plots'!$D78)</f>
        <v>0</v>
      </c>
      <c r="K78" s="7">
        <f>J78-J77</f>
        <v>0</v>
      </c>
      <c r="L78" s="7">
        <f>IF(K78=0,0,1)</f>
        <v>0</v>
      </c>
      <c r="M78" s="22" t="e">
        <f>L78*Weighting!$V$6</f>
        <v>#NUM!</v>
      </c>
    </row>
    <row r="79" spans="1:20" x14ac:dyDescent="0.25">
      <c r="A79" s="45" t="b">
        <f t="array" ref="A79">IF(ISERROR(INDEX('Data Transformation'!$B$4:$G$450,SMALL(IF('Data Transformation'!$B$4:$B$450='Bin Analysis and Plots'!D75,ROW('Data Transformation'!$B$4:$B$450)),ROW($2:$2))-3,3)),"",INDEX('Data Transformation'!$B$4:$G$450,SMALL(IF('Data Transformation'!$B$4:$B$450='Bin Analysis and Plots'!D75,ROW('Data Transformation'!$B$4:$B$450)),ROW($2:$2))-3,6))</f>
        <v>0</v>
      </c>
      <c r="B79" s="45" t="str">
        <f>IFERROR(SMALL(A78:A97,'Data Transformation'!$L$7),"")</f>
        <v/>
      </c>
      <c r="C79" s="61" t="str">
        <f>IF(Weighting!$O$7&gt;0,D79,"")</f>
        <v/>
      </c>
      <c r="D79" t="e">
        <f>Weighting!$C$7</f>
        <v>#DIV/0!</v>
      </c>
      <c r="E79" t="e">
        <f>Weighting!$E$7</f>
        <v>#NUM!</v>
      </c>
      <c r="F79" t="e">
        <f>IF(E79=1,'Data Transformation'!$G$3+0.5*'Data Transformation'!$R$25,IF(E80=1,F80-'Data Transformation'!$R$25,FALSE))</f>
        <v>#NUM!</v>
      </c>
      <c r="G79">
        <f t="array" ref="G79">IF(ISLOGICAL(F79),"",FREQUENCY(IF('Data Transformation'!$B$24:$B$404='Bin Analysis and Plots'!$D$75,'Data Transformation'!$G$24:$G$404),'Bin Analysis and Plots'!F79))</f>
        <v>0</v>
      </c>
      <c r="H79">
        <f t="shared" ref="H79:H97" si="11">IF(ISLOGICAL(F79),"",G79-G78)</f>
        <v>0</v>
      </c>
      <c r="I79">
        <f>Weighting!$G$7</f>
        <v>0</v>
      </c>
      <c r="J79" s="7">
        <f t="array" ref="J79">FREQUENCY(IF('Data Transformation'!$B$4:$B$404=D75,'Data Transformation'!$G$4:$G$404),'Bin Analysis and Plots'!$D79)</f>
        <v>0</v>
      </c>
      <c r="K79" s="7">
        <f t="shared" ref="K79:K97" si="12">J79-J78</f>
        <v>0</v>
      </c>
      <c r="L79" s="7">
        <f>IF(K79=0,0,1)</f>
        <v>0</v>
      </c>
      <c r="M79" s="22">
        <f>L79*Weighting!$V$7</f>
        <v>0</v>
      </c>
    </row>
    <row r="80" spans="1:20" x14ac:dyDescent="0.25">
      <c r="A80" s="45" t="b">
        <f t="array" ref="A80">IF(ISERROR(INDEX('Data Transformation'!$B$4:$G$450,SMALL(IF('Data Transformation'!$B$4:$B$450='Bin Analysis and Plots'!D75,ROW('Data Transformation'!$B$4:$B$450)),ROW($3:$3))-3,3)),"",INDEX('Data Transformation'!$B$4:$G$450,SMALL(IF('Data Transformation'!$B$4:$B$450='Bin Analysis and Plots'!D75,ROW('Data Transformation'!$B$4:$B$450)),ROW($3:$3))-3,6))</f>
        <v>0</v>
      </c>
      <c r="B80" s="45" t="str">
        <f>IFERROR(SMALL(A78:A97,'Data Transformation'!$L$8),"")</f>
        <v/>
      </c>
      <c r="C80" s="61" t="str">
        <f>IF(Weighting!$O$8&gt;0,D80,"")</f>
        <v/>
      </c>
      <c r="D80" t="e">
        <f>Weighting!$C$8</f>
        <v>#DIV/0!</v>
      </c>
      <c r="E80" t="e">
        <f>Weighting!$E$8</f>
        <v>#NUM!</v>
      </c>
      <c r="F80" t="e">
        <f>IF(E80=1,'Data Transformation'!$G$3+0.5*'Data Transformation'!$R$25,IF(E81=1,F81-'Data Transformation'!$R$25,FALSE))</f>
        <v>#NUM!</v>
      </c>
      <c r="G80">
        <f t="array" ref="G80">IF(ISLOGICAL(F80),"",FREQUENCY(IF('Data Transformation'!$B$24:$B$404='Bin Analysis and Plots'!$D$75,'Data Transformation'!$G$24:$G$404),'Bin Analysis and Plots'!F80))</f>
        <v>0</v>
      </c>
      <c r="H80">
        <f t="shared" si="11"/>
        <v>0</v>
      </c>
      <c r="I80">
        <f>Weighting!$G$8</f>
        <v>0</v>
      </c>
      <c r="J80" s="7">
        <f t="array" ref="J80">FREQUENCY(IF('Data Transformation'!$B$4:$B$404=D75,'Data Transformation'!$G$4:$G$404),'Bin Analysis and Plots'!$D80)</f>
        <v>0</v>
      </c>
      <c r="K80" s="7">
        <f t="shared" si="12"/>
        <v>0</v>
      </c>
      <c r="L80" s="7">
        <f t="shared" ref="L80:L97" si="13">IF(K80=0,0,1)</f>
        <v>0</v>
      </c>
      <c r="M80" s="22">
        <f>L80*Weighting!$V$8</f>
        <v>0</v>
      </c>
    </row>
    <row r="81" spans="1:13" x14ac:dyDescent="0.25">
      <c r="A81" s="45" t="b">
        <f t="array" ref="A81">IF(ISERROR(INDEX('Data Transformation'!$B$4:$G$450,SMALL(IF('Data Transformation'!$B$4:$B$450='Bin Analysis and Plots'!D75,ROW('Data Transformation'!$B$4:$B$450)),ROW($4:$4))-3,3)),"",INDEX('Data Transformation'!$B$4:$G$450,SMALL(IF('Data Transformation'!$B$4:$B$450='Bin Analysis and Plots'!D75,ROW('Data Transformation'!$B$4:$B$450)),ROW($4:$4))-3,6))</f>
        <v>0</v>
      </c>
      <c r="B81" s="45" t="str">
        <f>IFERROR(SMALL(A78:A97,'Data Transformation'!$L$9),"")</f>
        <v/>
      </c>
      <c r="C81" s="61" t="str">
        <f>IF(Weighting!$O$9&gt;0,D81,"")</f>
        <v/>
      </c>
      <c r="D81" t="e">
        <f>Weighting!$B$9</f>
        <v>#DIV/0!</v>
      </c>
      <c r="E81" t="e">
        <f>Weighting!$E$9</f>
        <v>#NUM!</v>
      </c>
      <c r="F81" t="e">
        <f>IF(E81=1,'Data Transformation'!$G$3+0.5*'Data Transformation'!$R$25,IF(E82=1,F82-'Data Transformation'!$R$25,FALSE))</f>
        <v>#NUM!</v>
      </c>
      <c r="G81">
        <f t="array" ref="G81">IF(ISLOGICAL(F81),"",FREQUENCY(IF('Data Transformation'!$B$24:$B$404='Bin Analysis and Plots'!$D$75,'Data Transformation'!$G$24:$G$404),'Bin Analysis and Plots'!F81))</f>
        <v>0</v>
      </c>
      <c r="H81">
        <f t="shared" si="11"/>
        <v>0</v>
      </c>
      <c r="I81">
        <f>Weighting!$G$9</f>
        <v>0</v>
      </c>
      <c r="J81" s="7">
        <f t="array" ref="J81">FREQUENCY(IF('Data Transformation'!$B$4:$B$404=D75,'Data Transformation'!$G$4:$G$404),'Bin Analysis and Plots'!$D81)</f>
        <v>0</v>
      </c>
      <c r="K81" s="7">
        <f t="shared" si="12"/>
        <v>0</v>
      </c>
      <c r="L81" s="7">
        <f t="shared" si="13"/>
        <v>0</v>
      </c>
      <c r="M81" s="22">
        <f>L81*Weighting!$V$9</f>
        <v>0</v>
      </c>
    </row>
    <row r="82" spans="1:13" x14ac:dyDescent="0.25">
      <c r="A82" s="45" t="b">
        <f t="array" ref="A82">IF(ISERROR(INDEX('Data Transformation'!$B$4:$G$450,SMALL(IF('Data Transformation'!$B$4:$B$450='Bin Analysis and Plots'!D75,ROW('Data Transformation'!$B$4:$B$450)),ROW($5:$5))-3,3)),"",INDEX('Data Transformation'!$B$4:$G$450,SMALL(IF('Data Transformation'!$B$4:$B$450='Bin Analysis and Plots'!D75,ROW('Data Transformation'!$B$4:$B$450)),ROW($5:$5))-3,6))</f>
        <v>0</v>
      </c>
      <c r="B82" s="45" t="str">
        <f>IFERROR(SMALL(A78:A97,'Data Transformation'!$L$10),"")</f>
        <v/>
      </c>
      <c r="C82" s="61" t="str">
        <f>IF(Weighting!$O$10&gt;0,D82,"")</f>
        <v/>
      </c>
      <c r="D82" t="e">
        <f>Weighting!$C$10</f>
        <v>#DIV/0!</v>
      </c>
      <c r="E82" t="e">
        <f>Weighting!$E$10</f>
        <v>#NUM!</v>
      </c>
      <c r="F82" t="e">
        <f>IF(E82=1,'Data Transformation'!$G$3+0.5*'Data Transformation'!$R$25,IF(E83=1,F83-'Data Transformation'!$R$25,FALSE))</f>
        <v>#NUM!</v>
      </c>
      <c r="G82">
        <f t="array" ref="G82">IF(ISLOGICAL(F82),"",FREQUENCY(IF('Data Transformation'!$B$24:$B$404='Bin Analysis and Plots'!$D$75,'Data Transformation'!$G$24:$G$404),'Bin Analysis and Plots'!F82))</f>
        <v>0</v>
      </c>
      <c r="H82">
        <f t="shared" si="11"/>
        <v>0</v>
      </c>
      <c r="I82">
        <f>Weighting!$G$10</f>
        <v>0</v>
      </c>
      <c r="J82" s="7">
        <f t="array" ref="J82">FREQUENCY(IF('Data Transformation'!$B$4:$B$404=D75,'Data Transformation'!$G$4:$G$404),'Bin Analysis and Plots'!$D82)</f>
        <v>0</v>
      </c>
      <c r="K82" s="7">
        <f t="shared" si="12"/>
        <v>0</v>
      </c>
      <c r="L82" s="7">
        <f t="shared" si="13"/>
        <v>0</v>
      </c>
      <c r="M82" s="22">
        <f>L82*Weighting!$V$10</f>
        <v>0</v>
      </c>
    </row>
    <row r="83" spans="1:13" x14ac:dyDescent="0.25">
      <c r="A83" s="45" t="b">
        <f t="array" ref="A83">IF(ISERROR(INDEX('Data Transformation'!$B$4:$G$450,SMALL(IF('Data Transformation'!$B$4:$B$450='Bin Analysis and Plots'!D75,ROW('Data Transformation'!$B$4:$B$450)),ROW($6:$6))-3,3)),"",INDEX('Data Transformation'!$B$4:$G$450,SMALL(IF('Data Transformation'!$B$4:$B$450='Bin Analysis and Plots'!D75,ROW('Data Transformation'!$B$4:$B$450)),ROW($6:$6))-3,6))</f>
        <v>0</v>
      </c>
      <c r="B83" s="45" t="str">
        <f>IFERROR(SMALL(A78:A97,'Data Transformation'!$L$11),"")</f>
        <v/>
      </c>
      <c r="C83" s="61" t="str">
        <f>IF(Weighting!$O$11&gt;0,D83,"")</f>
        <v/>
      </c>
      <c r="D83" t="e">
        <f>Weighting!$C$11</f>
        <v>#DIV/0!</v>
      </c>
      <c r="E83" t="e">
        <f>Weighting!$E$11</f>
        <v>#NUM!</v>
      </c>
      <c r="F83" t="e">
        <f>IF(E83=1,'Data Transformation'!$G$3+0.5*'Data Transformation'!$R$25,IF(E84=1,F84-'Data Transformation'!$R$25,FALSE))</f>
        <v>#NUM!</v>
      </c>
      <c r="G83">
        <f t="array" ref="G83">IF(ISLOGICAL(F83),"",FREQUENCY(IF('Data Transformation'!$B$24:$B$404='Bin Analysis and Plots'!$D$75,'Data Transformation'!$G$24:$G$404),'Bin Analysis and Plots'!F83))</f>
        <v>0</v>
      </c>
      <c r="H83">
        <f t="shared" si="11"/>
        <v>0</v>
      </c>
      <c r="I83">
        <f>Weighting!$G$11</f>
        <v>0</v>
      </c>
      <c r="J83" s="7">
        <f t="array" ref="J83">FREQUENCY(IF('Data Transformation'!$B$4:$B$404=D75,'Data Transformation'!$G$4:$G$404),'Bin Analysis and Plots'!$D83)</f>
        <v>0</v>
      </c>
      <c r="K83" s="7">
        <f t="shared" si="12"/>
        <v>0</v>
      </c>
      <c r="L83" s="7">
        <f t="shared" si="13"/>
        <v>0</v>
      </c>
      <c r="M83" s="22">
        <f>L83*Weighting!$V$11</f>
        <v>0</v>
      </c>
    </row>
    <row r="84" spans="1:13" x14ac:dyDescent="0.25">
      <c r="A84" s="45" t="b">
        <f t="array" ref="A84">IF(ISERROR(INDEX('Data Transformation'!$B$4:$G$450,SMALL(IF('Data Transformation'!$B$4:$B$450='Bin Analysis and Plots'!D75,ROW('Data Transformation'!$B$4:$B$450)),ROW($7:$7))-3,3)),"",INDEX('Data Transformation'!$B$4:$G$450,SMALL(IF('Data Transformation'!$B$4:$B$450='Bin Analysis and Plots'!D75,ROW('Data Transformation'!$B$4:$B$450)),ROW($7:$7))-3,6))</f>
        <v>0</v>
      </c>
      <c r="B84" s="45" t="str">
        <f>IFERROR(SMALL(A78:A97,'Data Transformation'!$L$12),"")</f>
        <v/>
      </c>
      <c r="C84" s="61" t="str">
        <f>IF(Weighting!$O$12&gt;0,D84,"")</f>
        <v/>
      </c>
      <c r="D84" t="e">
        <f>Weighting!$C$12</f>
        <v>#DIV/0!</v>
      </c>
      <c r="E84" t="e">
        <f>Weighting!$E$12</f>
        <v>#NUM!</v>
      </c>
      <c r="F84" t="e">
        <f>IF(E84=1,'Data Transformation'!$G$3+0.5*'Data Transformation'!$R$25,IF(E85=1,F85-'Data Transformation'!$R$25,FALSE))</f>
        <v>#NUM!</v>
      </c>
      <c r="G84">
        <f t="array" ref="G84">IF(ISLOGICAL(F84),"",FREQUENCY(IF('Data Transformation'!$B$24:$B$404='Bin Analysis and Plots'!$D$75,'Data Transformation'!$G$24:$G$404),'Bin Analysis and Plots'!F84))</f>
        <v>0</v>
      </c>
      <c r="H84">
        <f t="shared" si="11"/>
        <v>0</v>
      </c>
      <c r="I84">
        <f>Weighting!$G$12</f>
        <v>0</v>
      </c>
      <c r="J84" s="7">
        <f t="array" ref="J84">FREQUENCY(IF('Data Transformation'!$B$4:$B$404=D75,'Data Transformation'!$G$4:$G$404),'Bin Analysis and Plots'!$D84)</f>
        <v>0</v>
      </c>
      <c r="K84" s="7">
        <f t="shared" si="12"/>
        <v>0</v>
      </c>
      <c r="L84" s="7">
        <f t="shared" si="13"/>
        <v>0</v>
      </c>
      <c r="M84" s="22">
        <f>L84*Weighting!$V$12</f>
        <v>0</v>
      </c>
    </row>
    <row r="85" spans="1:13" x14ac:dyDescent="0.25">
      <c r="A85" s="45" t="b">
        <f t="array" ref="A85">IF(ISERROR(INDEX('Data Transformation'!$B$4:$G$450,SMALL(IF('Data Transformation'!$B$4:$B$450='Bin Analysis and Plots'!D75,ROW('Data Transformation'!$B$4:$B$450)),ROW($8:$8))-3,3)),"",INDEX('Data Transformation'!$B$4:$G$450,SMALL(IF('Data Transformation'!$B$4:$B$450='Bin Analysis and Plots'!D75,ROW('Data Transformation'!$B$4:$B$450)),ROW($8:$8))-3,6))</f>
        <v>0</v>
      </c>
      <c r="B85" s="45" t="str">
        <f>IFERROR(SMALL(A78:A97,'Data Transformation'!$L$13),"")</f>
        <v/>
      </c>
      <c r="C85" s="61" t="str">
        <f>IF(Weighting!$O$13&gt;0,D85,"")</f>
        <v/>
      </c>
      <c r="D85" t="e">
        <f>Weighting!$C$13</f>
        <v>#DIV/0!</v>
      </c>
      <c r="E85" t="e">
        <f>Weighting!$E$13</f>
        <v>#NUM!</v>
      </c>
      <c r="F85" t="e">
        <f>IF(E85=1,'Data Transformation'!$G$3+0.5*'Data Transformation'!$R$25,IF(E86=1,F86-'Data Transformation'!$R$25,FALSE))</f>
        <v>#NUM!</v>
      </c>
      <c r="G85">
        <f t="array" ref="G85">IF(ISLOGICAL(F85),"",FREQUENCY(IF('Data Transformation'!$B$24:$B$404='Bin Analysis and Plots'!$D$75,'Data Transformation'!$G$24:$G$404),'Bin Analysis and Plots'!F85))</f>
        <v>0</v>
      </c>
      <c r="H85">
        <f t="shared" si="11"/>
        <v>0</v>
      </c>
      <c r="I85">
        <f>Weighting!$G$13</f>
        <v>0</v>
      </c>
      <c r="J85" s="7">
        <f t="array" ref="J85">FREQUENCY(IF('Data Transformation'!$B$4:$B$404=D75,'Data Transformation'!$G$4:$G$404),'Bin Analysis and Plots'!$D85)</f>
        <v>0</v>
      </c>
      <c r="K85" s="7">
        <f t="shared" si="12"/>
        <v>0</v>
      </c>
      <c r="L85" s="7">
        <f t="shared" si="13"/>
        <v>0</v>
      </c>
      <c r="M85" s="22">
        <f>L85*Weighting!$V$13</f>
        <v>0</v>
      </c>
    </row>
    <row r="86" spans="1:13" x14ac:dyDescent="0.25">
      <c r="A86" s="45" t="b">
        <f t="array" ref="A86">IF(ISERROR(INDEX('Data Transformation'!$B$4:$G$450,SMALL(IF('Data Transformation'!$B$4:$B$450='Bin Analysis and Plots'!D75,ROW('Data Transformation'!$B$4:$B$450)),ROW($9:$9))-3,3)),"",INDEX('Data Transformation'!$B$4:$G$450,SMALL(IF('Data Transformation'!$B$4:$B$450='Bin Analysis and Plots'!D75,ROW('Data Transformation'!$B$4:$B$450)),ROW($9:$9))-3,6))</f>
        <v>0</v>
      </c>
      <c r="B86" s="45" t="str">
        <f>IFERROR(SMALL(A78:A97,'Data Transformation'!$L$14),"")</f>
        <v/>
      </c>
      <c r="C86" s="61" t="str">
        <f>IF(Weighting!$O$14&gt;0,D86,"")</f>
        <v/>
      </c>
      <c r="D86" t="e">
        <f>Weighting!$C$14</f>
        <v>#DIV/0!</v>
      </c>
      <c r="E86" t="e">
        <f>Weighting!$E$14</f>
        <v>#NUM!</v>
      </c>
      <c r="F86" t="e">
        <f>IF(E86=1,'Data Transformation'!$G$3+0.5*'Data Transformation'!$R$25,IF(E87=1,F87-'Data Transformation'!$R$25,FALSE))</f>
        <v>#NUM!</v>
      </c>
      <c r="G86">
        <f t="array" ref="G86">IF(ISLOGICAL(F86),"",FREQUENCY(IF('Data Transformation'!$B$24:$B$404='Bin Analysis and Plots'!$D$75,'Data Transformation'!$G$24:$G$404),'Bin Analysis and Plots'!F86))</f>
        <v>0</v>
      </c>
      <c r="H86">
        <f t="shared" si="11"/>
        <v>0</v>
      </c>
      <c r="I86">
        <f>Weighting!$G$14</f>
        <v>0</v>
      </c>
      <c r="J86" s="7">
        <f t="array" ref="J86">FREQUENCY(IF('Data Transformation'!$B$4:$B$404=D75,'Data Transformation'!$G$4:$G$404),'Bin Analysis and Plots'!$D86)</f>
        <v>0</v>
      </c>
      <c r="K86" s="7">
        <f t="shared" si="12"/>
        <v>0</v>
      </c>
      <c r="L86" s="7">
        <f t="shared" si="13"/>
        <v>0</v>
      </c>
      <c r="M86" s="22">
        <f>L86*Weighting!$V$14</f>
        <v>0</v>
      </c>
    </row>
    <row r="87" spans="1:13" x14ac:dyDescent="0.25">
      <c r="A87" s="45" t="b">
        <f t="array" ref="A87">IF(ISERROR(INDEX('Data Transformation'!$B$4:$G$450,SMALL(IF('Data Transformation'!$B$4:$B$450='Bin Analysis and Plots'!D75,ROW('Data Transformation'!$B$4:$B$450)),ROW($10:$10))-3,3)),"",INDEX('Data Transformation'!$B$4:$G$450,SMALL(IF('Data Transformation'!$B$4:$B$450='Bin Analysis and Plots'!D75,ROW('Data Transformation'!$B$4:$B$450)),ROW($10:$10))-3,6))</f>
        <v>0</v>
      </c>
      <c r="B87" s="45" t="str">
        <f>IFERROR(SMALL(A78:A97,'Data Transformation'!$L$15),"")</f>
        <v/>
      </c>
      <c r="C87" s="61" t="str">
        <f>IF(Weighting!$O$15&gt;0,D87,"")</f>
        <v/>
      </c>
      <c r="D87" t="e">
        <f>Weighting!$C$15</f>
        <v>#DIV/0!</v>
      </c>
      <c r="E87" t="e">
        <f>Weighting!$E$15</f>
        <v>#NUM!</v>
      </c>
      <c r="F87" t="e">
        <f>IF(E87=1,'Data Transformation'!$G$3+0.5*'Data Transformation'!$R$25,IF(E88=1,F88-'Data Transformation'!$R$25,FALSE))</f>
        <v>#NUM!</v>
      </c>
      <c r="G87">
        <f t="array" ref="G87">IF(ISLOGICAL(F87),"",FREQUENCY(IF('Data Transformation'!$B$24:$B$404='Bin Analysis and Plots'!$D$75,'Data Transformation'!$G$24:$G$404),'Bin Analysis and Plots'!F87))</f>
        <v>0</v>
      </c>
      <c r="H87">
        <f t="shared" si="11"/>
        <v>0</v>
      </c>
      <c r="I87">
        <f>Weighting!$G$15</f>
        <v>0</v>
      </c>
      <c r="J87" s="7">
        <f t="array" ref="J87">FREQUENCY(IF('Data Transformation'!$B$4:$B$404=D75,'Data Transformation'!$G$4:$G$404),'Bin Analysis and Plots'!$D87)</f>
        <v>0</v>
      </c>
      <c r="K87" s="7">
        <f t="shared" si="12"/>
        <v>0</v>
      </c>
      <c r="L87" s="7">
        <f t="shared" si="13"/>
        <v>0</v>
      </c>
      <c r="M87" s="22">
        <f>L87*Weighting!$V$15</f>
        <v>0</v>
      </c>
    </row>
    <row r="88" spans="1:13" x14ac:dyDescent="0.25">
      <c r="A88" s="45" t="b">
        <f t="array" ref="A88">IF(ISERROR(INDEX('Data Transformation'!$B$4:$G$450,SMALL(IF('Data Transformation'!$B$4:$B$450='Bin Analysis and Plots'!D75,ROW('Data Transformation'!$B$4:$B$450)),ROW($11:$11))-3,3)),"",INDEX('Data Transformation'!$B$4:$G$450,SMALL(IF('Data Transformation'!$B$4:$B$450='Bin Analysis and Plots'!D75,ROW('Data Transformation'!$B$4:$B$450)),ROW($11:$11))-3,6))</f>
        <v>0</v>
      </c>
      <c r="B88" s="45" t="str">
        <f>IFERROR(SMALL(A78:A97,'Data Transformation'!$L$16),"")</f>
        <v/>
      </c>
      <c r="C88" s="61" t="str">
        <f>IF(Weighting!$O$16&gt;0,D88,"")</f>
        <v/>
      </c>
      <c r="D88" t="e">
        <f>Weighting!$C$16</f>
        <v>#DIV/0!</v>
      </c>
      <c r="E88" t="e">
        <f>Weighting!$E$16</f>
        <v>#NUM!</v>
      </c>
      <c r="F88" t="e">
        <f>IF(E88=1,'Data Transformation'!$G$3+0.5*'Data Transformation'!$R$25,IF(E89=1,F89-'Data Transformation'!$R$25,FALSE))</f>
        <v>#NUM!</v>
      </c>
      <c r="G88">
        <f t="array" ref="G88">IF(ISLOGICAL(F88),"",FREQUENCY(IF('Data Transformation'!$B$24:$B$404='Bin Analysis and Plots'!$D$75,'Data Transformation'!$G$24:$G$404),'Bin Analysis and Plots'!F88))</f>
        <v>0</v>
      </c>
      <c r="H88">
        <f t="shared" si="11"/>
        <v>0</v>
      </c>
      <c r="I88">
        <f>Weighting!$G$16</f>
        <v>0</v>
      </c>
      <c r="J88" s="7">
        <f t="array" ref="J88">FREQUENCY(IF('Data Transformation'!$B$4:$B$404=D75,'Data Transformation'!$G$4:$G$404),'Bin Analysis and Plots'!$D88)</f>
        <v>0</v>
      </c>
      <c r="K88" s="7">
        <f t="shared" si="12"/>
        <v>0</v>
      </c>
      <c r="L88" s="7">
        <f t="shared" si="13"/>
        <v>0</v>
      </c>
      <c r="M88" s="22">
        <f>L88*Weighting!$V$16</f>
        <v>0</v>
      </c>
    </row>
    <row r="89" spans="1:13" x14ac:dyDescent="0.25">
      <c r="A89" s="45" t="b">
        <f t="array" ref="A89">IF(ISERROR(INDEX('Data Transformation'!$B$4:$G$450,SMALL(IF('Data Transformation'!$B$4:$B$450='Bin Analysis and Plots'!D75,ROW('Data Transformation'!$B$4:$B$450)),ROW($12:$12))-3,3)),"",INDEX('Data Transformation'!$B$4:$G$450,SMALL(IF('Data Transformation'!$B$4:$B$450='Bin Analysis and Plots'!D75,ROW('Data Transformation'!$B$4:$B$450)),ROW($12:$12))-3,6))</f>
        <v>0</v>
      </c>
      <c r="B89" s="45" t="str">
        <f>IFERROR(SMALL(A78:A97,'Data Transformation'!$L$17),"")</f>
        <v/>
      </c>
      <c r="C89" s="61" t="str">
        <f>IF(Weighting!$O$17&gt;0,D89,"")</f>
        <v/>
      </c>
      <c r="D89" t="e">
        <f>Weighting!$C$17</f>
        <v>#DIV/0!</v>
      </c>
      <c r="E89" t="e">
        <f>Weighting!$E$17</f>
        <v>#NUM!</v>
      </c>
      <c r="F89" t="e">
        <f>IF(E89=1,'Data Transformation'!$G$3+0.5*'Data Transformation'!$R$25,IF(E90=1,F90-'Data Transformation'!$R$25,FALSE))</f>
        <v>#NUM!</v>
      </c>
      <c r="G89">
        <f t="array" ref="G89">IF(ISLOGICAL(F89),"",FREQUENCY(IF('Data Transformation'!$B$24:$B$404='Bin Analysis and Plots'!$D$75,'Data Transformation'!$G$24:$G$404),'Bin Analysis and Plots'!F89))</f>
        <v>0</v>
      </c>
      <c r="H89">
        <f t="shared" si="11"/>
        <v>0</v>
      </c>
      <c r="I89">
        <f>Weighting!$G$17</f>
        <v>0</v>
      </c>
      <c r="J89" s="7">
        <f t="array" ref="J89">FREQUENCY(IF('Data Transformation'!$B$4:$B$404=D75,'Data Transformation'!$G$4:$G$404),'Bin Analysis and Plots'!$D89)</f>
        <v>0</v>
      </c>
      <c r="K89" s="7">
        <f t="shared" si="12"/>
        <v>0</v>
      </c>
      <c r="L89" s="7">
        <f t="shared" si="13"/>
        <v>0</v>
      </c>
      <c r="M89" s="22">
        <f>L89*Weighting!$V$17</f>
        <v>0</v>
      </c>
    </row>
    <row r="90" spans="1:13" x14ac:dyDescent="0.25">
      <c r="A90" s="45" t="b">
        <f t="array" ref="A90">IF(ISERROR(INDEX('Data Transformation'!$B$4:$G$450,SMALL(IF('Data Transformation'!$B$4:$B$450='Bin Analysis and Plots'!D75,ROW('Data Transformation'!$B$4:$B$450)),ROW($13:$13))-3,3)),"",INDEX('Data Transformation'!$B$4:$G$450,SMALL(IF('Data Transformation'!$B$4:$B$450='Bin Analysis and Plots'!D75,ROW('Data Transformation'!$B$4:$B$450)),ROW($13:$13))-3,6))</f>
        <v>0</v>
      </c>
      <c r="B90" s="45" t="str">
        <f>IFERROR(SMALL(A78:A97,'Data Transformation'!$L$18),"")</f>
        <v/>
      </c>
      <c r="C90" s="61" t="str">
        <f>IF(Weighting!$O$18&gt;0,D90,"")</f>
        <v/>
      </c>
      <c r="D90" t="e">
        <f>Weighting!$C$18</f>
        <v>#DIV/0!</v>
      </c>
      <c r="E90" t="e">
        <f>Weighting!$E$18</f>
        <v>#NUM!</v>
      </c>
      <c r="F90" t="e">
        <f>IF(E90=1,'Data Transformation'!$G$3+0.5*'Data Transformation'!$R$25,IF(E91=1,F91-'Data Transformation'!$R$25,FALSE))</f>
        <v>#NUM!</v>
      </c>
      <c r="G90">
        <f t="array" ref="G90">IF(ISLOGICAL(F90),"",FREQUENCY(IF('Data Transformation'!$B$24:$B$404='Bin Analysis and Plots'!$D$75,'Data Transformation'!$G$24:$G$404),'Bin Analysis and Plots'!F90))</f>
        <v>0</v>
      </c>
      <c r="H90">
        <f t="shared" si="11"/>
        <v>0</v>
      </c>
      <c r="I90">
        <f>Weighting!$G$18</f>
        <v>0</v>
      </c>
      <c r="J90" s="7">
        <f t="array" ref="J90">FREQUENCY(IF('Data Transformation'!$B$4:$B$404=D75,'Data Transformation'!$G$4:$G$404),'Bin Analysis and Plots'!$D90)</f>
        <v>0</v>
      </c>
      <c r="K90" s="7">
        <f t="shared" si="12"/>
        <v>0</v>
      </c>
      <c r="L90" s="7">
        <f t="shared" si="13"/>
        <v>0</v>
      </c>
      <c r="M90" s="22">
        <f>L90*Weighting!$V$18</f>
        <v>0</v>
      </c>
    </row>
    <row r="91" spans="1:13" x14ac:dyDescent="0.25">
      <c r="A91" s="45" t="b">
        <f t="array" ref="A91">IF(ISERROR(INDEX('Data Transformation'!$B$4:$G$450,SMALL(IF('Data Transformation'!$B$4:$B$450='Bin Analysis and Plots'!D75,ROW('Data Transformation'!$B$4:$B$450)),ROW($14:$14))-3,3)),"",INDEX('Data Transformation'!$B$4:$G$450,SMALL(IF('Data Transformation'!$B$4:$B$450='Bin Analysis and Plots'!D75,ROW('Data Transformation'!$B$4:$B$450)),ROW($14:$14))-3,6))</f>
        <v>0</v>
      </c>
      <c r="B91" s="45" t="str">
        <f>IFERROR(SMALL(A78:A97,'Data Transformation'!$L$19),"")</f>
        <v/>
      </c>
      <c r="C91" s="61" t="str">
        <f>IF(Weighting!$O$19&gt;0,D91,"")</f>
        <v/>
      </c>
      <c r="D91" t="e">
        <f>Weighting!$C$19</f>
        <v>#DIV/0!</v>
      </c>
      <c r="E91" t="e">
        <f>Weighting!$E$19</f>
        <v>#NUM!</v>
      </c>
      <c r="F91" t="e">
        <f>IF(E91=1,'Data Transformation'!$G$3+0.5*'Data Transformation'!$R$25,IF(E92=1,F92-'Data Transformation'!$R$25,FALSE))</f>
        <v>#NUM!</v>
      </c>
      <c r="G91">
        <f t="array" ref="G91">IF(ISLOGICAL(F91),"",FREQUENCY(IF('Data Transformation'!$B$24:$B$404='Bin Analysis and Plots'!$D$75,'Data Transformation'!$G$24:$G$404),'Bin Analysis and Plots'!F91))</f>
        <v>0</v>
      </c>
      <c r="H91">
        <f t="shared" si="11"/>
        <v>0</v>
      </c>
      <c r="I91">
        <f>Weighting!$G$19</f>
        <v>0</v>
      </c>
      <c r="J91" s="7">
        <f t="array" ref="J91">FREQUENCY(IF('Data Transformation'!$B$4:$B$404=D75,'Data Transformation'!$G$4:$G$404),'Bin Analysis and Plots'!$D91)</f>
        <v>0</v>
      </c>
      <c r="K91" s="7">
        <f t="shared" si="12"/>
        <v>0</v>
      </c>
      <c r="L91" s="7">
        <f t="shared" si="13"/>
        <v>0</v>
      </c>
      <c r="M91" s="22">
        <f>L91*Weighting!$V$19</f>
        <v>0</v>
      </c>
    </row>
    <row r="92" spans="1:13" x14ac:dyDescent="0.25">
      <c r="A92" s="45" t="b">
        <f t="array" ref="A92">IF(ISERROR(INDEX('Data Transformation'!$B$4:$G$450,SMALL(IF('Data Transformation'!$B$4:$B$450='Bin Analysis and Plots'!D75,ROW('Data Transformation'!$B$4:$B$450)),ROW($15:$15))-3,3)),"",INDEX('Data Transformation'!$B$4:$G$450,SMALL(IF('Data Transformation'!$B$4:$B$450='Bin Analysis and Plots'!D75,ROW('Data Transformation'!$B$4:$B$450)),ROW($15:$15))-3,6))</f>
        <v>0</v>
      </c>
      <c r="B92" s="45" t="str">
        <f>IFERROR(SMALL(A78:A97,'Data Transformation'!$L$20),"")</f>
        <v/>
      </c>
      <c r="C92" s="61" t="str">
        <f>IF(Weighting!$O$20&gt;0,D92,"")</f>
        <v/>
      </c>
      <c r="D92" t="e">
        <f>Weighting!$C$20</f>
        <v>#DIV/0!</v>
      </c>
      <c r="E92" t="e">
        <f>Weighting!$E$20</f>
        <v>#NUM!</v>
      </c>
      <c r="F92" t="e">
        <f>IF(E92=1,'Data Transformation'!$G$3+0.5*'Data Transformation'!$R$25,IF(E93=1,F93-'Data Transformation'!$R$25,FALSE))</f>
        <v>#NUM!</v>
      </c>
      <c r="G92">
        <f t="array" ref="G92">IF(ISLOGICAL(F92),"",FREQUENCY(IF('Data Transformation'!$B$24:$B$404='Bin Analysis and Plots'!$D$75,'Data Transformation'!$G$24:$G$404),'Bin Analysis and Plots'!F92))</f>
        <v>0</v>
      </c>
      <c r="H92">
        <f t="shared" si="11"/>
        <v>0</v>
      </c>
      <c r="I92">
        <f>Weighting!$G$20</f>
        <v>0</v>
      </c>
      <c r="J92" s="7">
        <f t="array" ref="J92">FREQUENCY(IF('Data Transformation'!$B$4:$B$404=D75,'Data Transformation'!$G$4:$G$404),'Bin Analysis and Plots'!$D92)</f>
        <v>0</v>
      </c>
      <c r="K92" s="7">
        <f t="shared" si="12"/>
        <v>0</v>
      </c>
      <c r="L92" s="7">
        <f t="shared" si="13"/>
        <v>0</v>
      </c>
      <c r="M92" s="22">
        <f>L92*Weighting!$V$20</f>
        <v>0</v>
      </c>
    </row>
    <row r="93" spans="1:13" x14ac:dyDescent="0.25">
      <c r="A93" s="45" t="b">
        <f t="array" ref="A93">IF(ISERROR(INDEX('Data Transformation'!$B$4:$G$450,SMALL(IF('Data Transformation'!$B$4:$B$450='Bin Analysis and Plots'!D75,ROW('Data Transformation'!$B$4:$B$450)),ROW($16:$16))-3,3)),"",INDEX('Data Transformation'!$B$4:$G$450,SMALL(IF('Data Transformation'!$B$4:$B$450='Bin Analysis and Plots'!D75,ROW('Data Transformation'!$B$4:$B$450)),ROW($16:$16))-3,6))</f>
        <v>0</v>
      </c>
      <c r="B93" s="45" t="str">
        <f>IFERROR(SMALL(A78:A97,'Data Transformation'!$L$21),"")</f>
        <v/>
      </c>
      <c r="C93" s="61" t="str">
        <f>IF(Weighting!$O$21&gt;0,D93,"")</f>
        <v/>
      </c>
      <c r="D93" t="e">
        <f>Weighting!$C$21</f>
        <v>#DIV/0!</v>
      </c>
      <c r="E93" t="e">
        <f>Weighting!$E$21</f>
        <v>#NUM!</v>
      </c>
      <c r="F93" t="e">
        <f>IF(E93=1,'Data Transformation'!$G$3+0.5*'Data Transformation'!$R$25,IF(E94=1,F94-'Data Transformation'!$R$25,FALSE))</f>
        <v>#NUM!</v>
      </c>
      <c r="G93">
        <f t="array" ref="G93">IF(ISLOGICAL(F93),"",FREQUENCY(IF('Data Transformation'!$B$24:$B$404='Bin Analysis and Plots'!$D$75,'Data Transformation'!$G$24:$G$404),'Bin Analysis and Plots'!F93))</f>
        <v>0</v>
      </c>
      <c r="H93">
        <f t="shared" si="11"/>
        <v>0</v>
      </c>
      <c r="I93">
        <f>Weighting!$G$21</f>
        <v>0</v>
      </c>
      <c r="J93" s="7">
        <f t="array" ref="J93">FREQUENCY(IF('Data Transformation'!$B$4:$B$404=D75,'Data Transformation'!$G$4:$G$404),'Bin Analysis and Plots'!$D93)</f>
        <v>0</v>
      </c>
      <c r="K93" s="7">
        <f t="shared" si="12"/>
        <v>0</v>
      </c>
      <c r="L93" s="7">
        <f t="shared" si="13"/>
        <v>0</v>
      </c>
      <c r="M93" s="22">
        <f>L93*Weighting!$V$21</f>
        <v>0</v>
      </c>
    </row>
    <row r="94" spans="1:13" x14ac:dyDescent="0.25">
      <c r="A94" s="45" t="b">
        <f t="array" ref="A94">IF(ISERROR(INDEX('Data Transformation'!$B$4:$G$450,SMALL(IF('Data Transformation'!$B$4:$B$450='Bin Analysis and Plots'!D75,ROW('Data Transformation'!$B$4:$B$450)),ROW($17:$17))-3,3)),"",INDEX('Data Transformation'!$B$4:$G$450,SMALL(IF('Data Transformation'!$B$4:$B$450='Bin Analysis and Plots'!D75,ROW('Data Transformation'!$B$4:$B$450)),ROW($17:$17))-3,6))</f>
        <v>0</v>
      </c>
      <c r="B94" s="45" t="str">
        <f>IFERROR(SMALL(A78:A97,'Data Transformation'!$L$22),"")</f>
        <v/>
      </c>
      <c r="C94" s="61" t="str">
        <f>IF(Weighting!$O$22&gt;0,D94,"")</f>
        <v/>
      </c>
      <c r="D94" t="e">
        <f>Weighting!$C$22</f>
        <v>#DIV/0!</v>
      </c>
      <c r="E94" t="e">
        <f>Weighting!$E$22</f>
        <v>#NUM!</v>
      </c>
      <c r="F94" t="e">
        <f>IF(E94=1,'Data Transformation'!$G$3+0.5*'Data Transformation'!$R$25,IF(E95=1,F95-'Data Transformation'!$R$25,FALSE))</f>
        <v>#NUM!</v>
      </c>
      <c r="G94">
        <f t="array" ref="G94">IF(ISLOGICAL(F94),"",FREQUENCY(IF('Data Transformation'!$B$24:$B$404='Bin Analysis and Plots'!$D$75,'Data Transformation'!$G$24:$G$404),'Bin Analysis and Plots'!F94))</f>
        <v>0</v>
      </c>
      <c r="H94">
        <f t="shared" si="11"/>
        <v>0</v>
      </c>
      <c r="I94">
        <f>Weighting!$G$22</f>
        <v>0</v>
      </c>
      <c r="J94" s="7">
        <f t="array" ref="J94">FREQUENCY(IF('Data Transformation'!$B$4:$B$404=D75,'Data Transformation'!$G$4:$G$404),'Bin Analysis and Plots'!$D94)</f>
        <v>0</v>
      </c>
      <c r="K94" s="7">
        <f t="shared" si="12"/>
        <v>0</v>
      </c>
      <c r="L94" s="7">
        <f t="shared" si="13"/>
        <v>0</v>
      </c>
      <c r="M94" s="22">
        <f>L94*Weighting!$V$22</f>
        <v>0</v>
      </c>
    </row>
    <row r="95" spans="1:13" x14ac:dyDescent="0.25">
      <c r="A95" s="45" t="b">
        <f t="array" ref="A95">IF(ISERROR(INDEX('Data Transformation'!$B$4:$G$450,SMALL(IF('Data Transformation'!$B$4:$B$450='Bin Analysis and Plots'!D75,ROW('Data Transformation'!$B$4:$B$450)),ROW($18:$18))-3,3)),"",INDEX('Data Transformation'!$B$4:$G$450,SMALL(IF('Data Transformation'!$B$4:$B$450='Bin Analysis and Plots'!D75,ROW('Data Transformation'!$B$4:$B$450)),ROW($18:$18))-3,6))</f>
        <v>0</v>
      </c>
      <c r="B95" s="45" t="str">
        <f>IFERROR(SMALL(A78:A97,'Data Transformation'!$L$23),"")</f>
        <v/>
      </c>
      <c r="C95" s="61" t="str">
        <f>IF(Weighting!$O$23&gt;0,D95,"")</f>
        <v/>
      </c>
      <c r="D95" t="e">
        <f>Weighting!$C$23</f>
        <v>#DIV/0!</v>
      </c>
      <c r="E95" t="e">
        <f>Weighting!$E$23</f>
        <v>#NUM!</v>
      </c>
      <c r="F95" t="e">
        <f>IF(E95=1,'Data Transformation'!$G$3+0.5*'Data Transformation'!$R$25,IF(E96=1,F96-'Data Transformation'!$R$25,FALSE))</f>
        <v>#NUM!</v>
      </c>
      <c r="G95">
        <f t="array" ref="G95">IF(ISLOGICAL(F95),"",FREQUENCY(IF('Data Transformation'!$B$24:$B$404='Bin Analysis and Plots'!$D$75,'Data Transformation'!$G$24:$G$404),'Bin Analysis and Plots'!F95))</f>
        <v>0</v>
      </c>
      <c r="H95">
        <f t="shared" si="11"/>
        <v>0</v>
      </c>
      <c r="I95">
        <f>Weighting!$G$23</f>
        <v>0</v>
      </c>
      <c r="J95" s="7">
        <f t="array" ref="J95">FREQUENCY(IF('Data Transformation'!$B$4:$B$404=D75,'Data Transformation'!$G$4:$G$404),'Bin Analysis and Plots'!$D95)</f>
        <v>0</v>
      </c>
      <c r="K95" s="7">
        <f t="shared" si="12"/>
        <v>0</v>
      </c>
      <c r="L95" s="7">
        <f t="shared" si="13"/>
        <v>0</v>
      </c>
      <c r="M95" s="22">
        <f>L95*Weighting!$V$23</f>
        <v>0</v>
      </c>
    </row>
    <row r="96" spans="1:13" x14ac:dyDescent="0.25">
      <c r="A96" s="45" t="str">
        <f>IF(ISERROR(INDEX('Data Transformation'!$B$4:$G$450,SMALL(IF('Data Transformation'!$B$4:$B$450='Bin Analysis and Plots'!D75,ROW('Data Transformation'!$B$4:$B$450)),ROW($19:$19))-3,3)),"",INDEX('Data Transformation'!$B$4:$G$450,SMALL(IF('Data Transformation'!$B$4:$B$450='Bin Analysis and Plots'!D75,ROW('Data Transformation'!$B$4:$B$450)),ROW($19:$19))-3,6))</f>
        <v/>
      </c>
      <c r="B96" s="45" t="str">
        <f>IFERROR(SMALL(A78:A97,'Data Transformation'!$L$24),"")</f>
        <v/>
      </c>
      <c r="C96" s="61" t="str">
        <f>IF(Weighting!$O$24&gt;0,D96,"")</f>
        <v/>
      </c>
      <c r="D96" t="e">
        <f>Weighting!$C$24</f>
        <v>#DIV/0!</v>
      </c>
      <c r="E96" t="e">
        <f>Weighting!$E$24</f>
        <v>#NUM!</v>
      </c>
      <c r="F96" t="e">
        <f>IF(E96=1,'Data Transformation'!$G$3+0.5*'Data Transformation'!$R$25,IF(E97=1,F97-'Data Transformation'!$R$25,FALSE))</f>
        <v>#NUM!</v>
      </c>
      <c r="G96">
        <f t="array" ref="G96">IF(ISLOGICAL(F96),"",FREQUENCY(IF('Data Transformation'!$B$24:$B$404='Bin Analysis and Plots'!$D$75,'Data Transformation'!$G$24:$G$404),'Bin Analysis and Plots'!F96))</f>
        <v>0</v>
      </c>
      <c r="H96">
        <f t="shared" si="11"/>
        <v>0</v>
      </c>
      <c r="I96">
        <f>Weighting!$G$24</f>
        <v>0</v>
      </c>
      <c r="J96" s="7">
        <f t="array" ref="J96">FREQUENCY(IF('Data Transformation'!$B$4:$B$404=D75,'Data Transformation'!$G$4:$G$404),'Bin Analysis and Plots'!$D96)</f>
        <v>0</v>
      </c>
      <c r="K96" s="7">
        <f t="shared" si="12"/>
        <v>0</v>
      </c>
      <c r="L96" s="7">
        <f t="shared" si="13"/>
        <v>0</v>
      </c>
      <c r="M96" s="22">
        <f>L96*Weighting!$V$24</f>
        <v>0</v>
      </c>
    </row>
    <row r="97" spans="1:20" x14ac:dyDescent="0.25">
      <c r="A97" s="45" t="b">
        <f t="array" ref="A97">IF(ISERROR(INDEX('Data Transformation'!$B$4:$G$450,SMALL(IF('Data Transformation'!$B$4:$B$450='Bin Analysis and Plots'!D75,ROW('Data Transformation'!$B$4:$B$450)),ROW($20:$20))-3,3)),"",INDEX('Data Transformation'!$B$4:$G$450,SMALL(IF('Data Transformation'!$B$4:$B$450='Bin Analysis and Plots'!D75,ROW('Data Transformation'!$B$4:$B$450)),ROW($20:$20))-3,6))</f>
        <v>0</v>
      </c>
      <c r="B97" s="45" t="str">
        <f>IFERROR(SMALL(A78:A97,'Data Transformation'!$L$25),"")</f>
        <v/>
      </c>
      <c r="C97" s="61" t="str">
        <f>IF(Weighting!$O$25&gt;0,D97,"")</f>
        <v/>
      </c>
      <c r="D97" t="e">
        <f>Weighting!$C$25</f>
        <v>#DIV/0!</v>
      </c>
      <c r="E97" t="e">
        <f>Weighting!$E$25</f>
        <v>#NUM!</v>
      </c>
      <c r="F97" t="e">
        <f>IF(E97=1,'Data Transformation'!$G$3+0.5*'Data Transformation'!$R$25,IF(E98=1,F98-'Data Transformation'!$R$25,FALSE))</f>
        <v>#NUM!</v>
      </c>
      <c r="G97">
        <f t="array" ref="G97">IF(ISLOGICAL(F97),"",FREQUENCY(IF('Data Transformation'!$B$24:$B$404='Bin Analysis and Plots'!$D$75,'Data Transformation'!$G$24:$G$404),'Bin Analysis and Plots'!F97))</f>
        <v>0</v>
      </c>
      <c r="H97">
        <f t="shared" si="11"/>
        <v>0</v>
      </c>
      <c r="I97">
        <f>Weighting!$G$25</f>
        <v>0</v>
      </c>
      <c r="J97" s="7">
        <f t="array" ref="J97">FREQUENCY(IF('Data Transformation'!$B$4:$B$404=D75,'Data Transformation'!$G$4:$G$404),'Bin Analysis and Plots'!$D97)</f>
        <v>0</v>
      </c>
      <c r="K97" s="7">
        <f t="shared" si="12"/>
        <v>0</v>
      </c>
      <c r="L97" s="7">
        <f t="shared" si="13"/>
        <v>0</v>
      </c>
      <c r="M97" s="22">
        <f>L97*Weighting!$V$25</f>
        <v>0</v>
      </c>
    </row>
    <row r="98" spans="1:20" x14ac:dyDescent="0.25">
      <c r="C98" s="60" t="str">
        <f t="shared" si="10"/>
        <v/>
      </c>
    </row>
    <row r="99" spans="1:20" ht="23.25" x14ac:dyDescent="0.35">
      <c r="C99" s="46" t="s">
        <v>0</v>
      </c>
      <c r="D99" s="46" t="str">
        <f>'Input and Summary Results'!G11</f>
        <v xml:space="preserve"> </v>
      </c>
      <c r="E99" s="46"/>
      <c r="F99" s="46"/>
      <c r="G99" s="46"/>
      <c r="H99" s="46"/>
      <c r="I99" s="46"/>
      <c r="J99" s="47"/>
      <c r="K99" s="47"/>
      <c r="L99" s="47"/>
      <c r="M99" s="46"/>
      <c r="N99" s="46"/>
      <c r="O99" s="48" t="e">
        <f>INDEX('Data Transformation'!$O$4:$O$25,MATCH($D99,'Data Transformation'!$M$4:$M$25,0),MATCH($O$2,'Data Transformation'!$O$3,0))</f>
        <v>#N/A</v>
      </c>
      <c r="P99" s="52" t="e">
        <f>IF(O99=FALSE,NA(),(VLOOKUP(1,E102:M121,4,FALSE))/(O99-1))</f>
        <v>#N/A</v>
      </c>
      <c r="Q99" s="52" t="e">
        <f>IF(O99=FALSE,NA(),SUM(L102:L121)/Weighting!$R$5)</f>
        <v>#N/A</v>
      </c>
      <c r="R99" s="52" t="e">
        <f>IF(O99=FALSE,NA(),SUM(M102:M121)/Weighting!$R$6)</f>
        <v>#N/A</v>
      </c>
      <c r="S99" s="52" t="e">
        <f>IF(O99=FALSE,NA(),(VLOOKUP(1,I102:M121,3,FALSE))/(O99-1))</f>
        <v>#N/A</v>
      </c>
      <c r="T99" s="57" t="e">
        <f>IF(O99=FALSE,NA(),IF(SUM(L102:L121)=2,"yes","no"))</f>
        <v>#N/A</v>
      </c>
    </row>
    <row r="100" spans="1:20" x14ac:dyDescent="0.25">
      <c r="A100" s="96" t="s">
        <v>64</v>
      </c>
      <c r="B100" s="96"/>
      <c r="C100" s="58" t="s">
        <v>72</v>
      </c>
      <c r="D100" t="s">
        <v>50</v>
      </c>
      <c r="E100" t="s">
        <v>5</v>
      </c>
      <c r="I100" t="s">
        <v>75</v>
      </c>
      <c r="J100" s="7" t="s">
        <v>34</v>
      </c>
      <c r="K100" s="7" t="s">
        <v>35</v>
      </c>
      <c r="L100" s="7" t="s">
        <v>49</v>
      </c>
      <c r="M100" s="21" t="s">
        <v>48</v>
      </c>
    </row>
    <row r="101" spans="1:20" x14ac:dyDescent="0.25">
      <c r="C101" s="60" t="str">
        <f t="shared" ref="C101:C122" si="14">IF(B101="","",D101)</f>
        <v/>
      </c>
      <c r="F101" t="e">
        <f>IF(E101=1,'Data Transformation'!$G$3+0.5*'Data Transformation'!$R$25,IF(E102=1,F102-'Data Transformation'!$R$25,FALSE))</f>
        <v>#NUM!</v>
      </c>
      <c r="G101">
        <f t="array" ref="G101">IF(ISLOGICAL(F101),"",FREQUENCY(IF('Data Transformation'!$B$24:$B$404='Bin Analysis and Plots'!$D$99,'Data Transformation'!$G$24:$G$404),'Bin Analysis and Plots'!F101))</f>
        <v>0</v>
      </c>
      <c r="H101">
        <f>IF(ISLOGICAL(F101),"",G101-G100)</f>
        <v>0</v>
      </c>
    </row>
    <row r="102" spans="1:20" x14ac:dyDescent="0.25">
      <c r="A102" s="45" t="b">
        <f t="array" ref="A102">IF(ISERROR(INDEX('Data Transformation'!$B$4:$G$450,SMALL(IF('Data Transformation'!$B$4:$B$450='Bin Analysis and Plots'!D99,ROW('Data Transformation'!$B$4:$B$450)),ROW($1:$1))-3,3)),"",INDEX('Data Transformation'!$B$4:$G$450,SMALL(IF('Data Transformation'!$B$4:$B$450='Bin Analysis and Plots'!D99,ROW('Data Transformation'!$B$4:$B$450)),ROW($1:$1))-3,6))</f>
        <v>0</v>
      </c>
      <c r="B102" s="45" t="str">
        <f>IFERROR(SMALL(A102:A121,'Data Transformation'!$L$6),"")</f>
        <v/>
      </c>
      <c r="C102" s="61" t="e">
        <f>IF(Weighting!$O$6&gt;0,D102,"")</f>
        <v>#NUM!</v>
      </c>
      <c r="D102" t="e">
        <f>Weighting!$C$6</f>
        <v>#DIV/0!</v>
      </c>
      <c r="E102" t="e">
        <f>Weighting!$E$6</f>
        <v>#NUM!</v>
      </c>
      <c r="F102" t="e">
        <f>IF(E102=1,'Data Transformation'!$G$3+0.5*'Data Transformation'!$R$25,IF(E103=1,F103-'Data Transformation'!$R$25,FALSE))</f>
        <v>#NUM!</v>
      </c>
      <c r="G102">
        <f t="array" ref="G102">IF(ISLOGICAL(F102),"",FREQUENCY(IF('Data Transformation'!$B$24:$B$404='Bin Analysis and Plots'!$D$99,'Data Transformation'!$G$24:$G$404),'Bin Analysis and Plots'!F102))</f>
        <v>0</v>
      </c>
      <c r="H102">
        <f>IF(ISLOGICAL(F102),"",G102-G101)</f>
        <v>0</v>
      </c>
      <c r="I102">
        <f>Weighting!$G$6</f>
        <v>1</v>
      </c>
      <c r="J102" s="7">
        <f t="array" ref="J102">FREQUENCY(IF('Data Transformation'!$B$4:$B$404=D99,'Data Transformation'!$G$4:$G$404),'Bin Analysis and Plots'!$D102)</f>
        <v>0</v>
      </c>
      <c r="K102" s="7">
        <f>J102-J101</f>
        <v>0</v>
      </c>
      <c r="L102" s="7">
        <f>IF(K102=0,0,1)</f>
        <v>0</v>
      </c>
      <c r="M102" s="22" t="e">
        <f>L102*Weighting!$V$6</f>
        <v>#NUM!</v>
      </c>
    </row>
    <row r="103" spans="1:20" x14ac:dyDescent="0.25">
      <c r="A103" s="45" t="b">
        <f t="array" ref="A103">IF(ISERROR(INDEX('Data Transformation'!$B$4:$G$450,SMALL(IF('Data Transformation'!$B$4:$B$450='Bin Analysis and Plots'!D99,ROW('Data Transformation'!$B$4:$B$450)),ROW($2:$2))-3,3)),"",INDEX('Data Transformation'!$B$4:$G$450,SMALL(IF('Data Transformation'!$B$4:$B$450='Bin Analysis and Plots'!D99,ROW('Data Transformation'!$B$4:$B$450)),ROW($2:$2))-3,6))</f>
        <v>0</v>
      </c>
      <c r="B103" s="45" t="str">
        <f>IFERROR(SMALL(A102:A121,'Data Transformation'!$L$7),"")</f>
        <v/>
      </c>
      <c r="C103" s="61" t="str">
        <f>IF(Weighting!$O$7&gt;0,D103,"")</f>
        <v/>
      </c>
      <c r="D103" t="e">
        <f>Weighting!$C$7</f>
        <v>#DIV/0!</v>
      </c>
      <c r="E103" t="e">
        <f>Weighting!$E$7</f>
        <v>#NUM!</v>
      </c>
      <c r="F103" t="e">
        <f>IF(E103=1,'Data Transformation'!$G$3+0.5*'Data Transformation'!$R$25,IF(E104=1,F104-'Data Transformation'!$R$25,FALSE))</f>
        <v>#NUM!</v>
      </c>
      <c r="G103">
        <f t="array" ref="G103">IF(ISLOGICAL(F103),"",FREQUENCY(IF('Data Transformation'!$B$24:$B$404='Bin Analysis and Plots'!$D$99,'Data Transformation'!$G$24:$G$404),'Bin Analysis and Plots'!F103))</f>
        <v>0</v>
      </c>
      <c r="H103">
        <f t="shared" ref="H103:H121" si="15">IF(ISLOGICAL(F103),"",G103-G102)</f>
        <v>0</v>
      </c>
      <c r="I103">
        <f>Weighting!$G$7</f>
        <v>0</v>
      </c>
      <c r="J103" s="7">
        <f t="array" ref="J103">FREQUENCY(IF('Data Transformation'!$B$4:$B$404=D99,'Data Transformation'!$G$4:$G$404),'Bin Analysis and Plots'!$D103)</f>
        <v>0</v>
      </c>
      <c r="K103" s="7">
        <f t="shared" ref="K103:K121" si="16">J103-J102</f>
        <v>0</v>
      </c>
      <c r="L103" s="7">
        <f>IF(K103=0,0,1)</f>
        <v>0</v>
      </c>
      <c r="M103" s="22">
        <f>L103*Weighting!$V$7</f>
        <v>0</v>
      </c>
    </row>
    <row r="104" spans="1:20" x14ac:dyDescent="0.25">
      <c r="A104" s="45" t="b">
        <f t="array" ref="A104">IF(ISERROR(INDEX('Data Transformation'!$B$4:$G$450,SMALL(IF('Data Transformation'!$B$4:$B$450='Bin Analysis and Plots'!D99,ROW('Data Transformation'!$B$4:$B$450)),ROW($3:$3))-3,3)),"",INDEX('Data Transformation'!$B$4:$G$450,SMALL(IF('Data Transformation'!$B$4:$B$450='Bin Analysis and Plots'!D99,ROW('Data Transformation'!$B$4:$B$450)),ROW($3:$3))-3,6))</f>
        <v>0</v>
      </c>
      <c r="B104" s="45" t="str">
        <f>IFERROR(SMALL(A102:A121,'Data Transformation'!$L$8),"")</f>
        <v/>
      </c>
      <c r="C104" s="61" t="str">
        <f>IF(Weighting!$O$8&gt;0,D104,"")</f>
        <v/>
      </c>
      <c r="D104" t="e">
        <f>Weighting!$C$8</f>
        <v>#DIV/0!</v>
      </c>
      <c r="E104" t="e">
        <f>Weighting!$E$8</f>
        <v>#NUM!</v>
      </c>
      <c r="F104" t="e">
        <f>IF(E104=1,'Data Transformation'!$G$3+0.5*'Data Transformation'!$R$25,IF(E105=1,F105-'Data Transformation'!$R$25,FALSE))</f>
        <v>#NUM!</v>
      </c>
      <c r="G104">
        <f t="array" ref="G104">IF(ISLOGICAL(F104),"",FREQUENCY(IF('Data Transformation'!$B$24:$B$404='Bin Analysis and Plots'!$D$99,'Data Transformation'!$G$24:$G$404),'Bin Analysis and Plots'!F104))</f>
        <v>0</v>
      </c>
      <c r="H104">
        <f t="shared" si="15"/>
        <v>0</v>
      </c>
      <c r="I104">
        <f>Weighting!$G$8</f>
        <v>0</v>
      </c>
      <c r="J104" s="7">
        <f t="array" ref="J104">FREQUENCY(IF('Data Transformation'!$B$4:$B$404=D99,'Data Transformation'!$G$4:$G$404),'Bin Analysis and Plots'!$D104)</f>
        <v>0</v>
      </c>
      <c r="K104" s="7">
        <f t="shared" si="16"/>
        <v>0</v>
      </c>
      <c r="L104" s="7">
        <f t="shared" ref="L104:L121" si="17">IF(K104=0,0,1)</f>
        <v>0</v>
      </c>
      <c r="M104" s="22">
        <f>L104*Weighting!$V$8</f>
        <v>0</v>
      </c>
    </row>
    <row r="105" spans="1:20" x14ac:dyDescent="0.25">
      <c r="A105" s="45" t="b">
        <f t="array" ref="A105">IF(ISERROR(INDEX('Data Transformation'!$B$4:$G$450,SMALL(IF('Data Transformation'!$B$4:$B$450='Bin Analysis and Plots'!D99,ROW('Data Transformation'!$B$4:$B$450)),ROW($4:$4))-3,3)),"",INDEX('Data Transformation'!$B$4:$G$450,SMALL(IF('Data Transformation'!$B$4:$B$450='Bin Analysis and Plots'!D99,ROW('Data Transformation'!$B$4:$B$450)),ROW($4:$4))-3,6))</f>
        <v>0</v>
      </c>
      <c r="B105" s="45" t="str">
        <f>IFERROR(SMALL(A102:A121,'Data Transformation'!$L$9),"")</f>
        <v/>
      </c>
      <c r="C105" s="61" t="str">
        <f>IF(Weighting!$O$9&gt;0,D105,"")</f>
        <v/>
      </c>
      <c r="D105" t="e">
        <f>Weighting!$B$9</f>
        <v>#DIV/0!</v>
      </c>
      <c r="E105" t="e">
        <f>Weighting!$E$9</f>
        <v>#NUM!</v>
      </c>
      <c r="F105" t="e">
        <f>IF(E105=1,'Data Transformation'!$G$3+0.5*'Data Transformation'!$R$25,IF(E106=1,F106-'Data Transformation'!$R$25,FALSE))</f>
        <v>#NUM!</v>
      </c>
      <c r="G105">
        <f t="array" ref="G105">IF(ISLOGICAL(F105),"",FREQUENCY(IF('Data Transformation'!$B$24:$B$404='Bin Analysis and Plots'!$D$99,'Data Transformation'!$G$24:$G$404),'Bin Analysis and Plots'!F105))</f>
        <v>0</v>
      </c>
      <c r="H105">
        <f t="shared" si="15"/>
        <v>0</v>
      </c>
      <c r="I105">
        <f>Weighting!$G$9</f>
        <v>0</v>
      </c>
      <c r="J105" s="7">
        <f t="array" ref="J105">FREQUENCY(IF('Data Transformation'!$B$4:$B$404=D99,'Data Transformation'!$G$4:$G$404),'Bin Analysis and Plots'!$D105)</f>
        <v>0</v>
      </c>
      <c r="K105" s="7">
        <f t="shared" si="16"/>
        <v>0</v>
      </c>
      <c r="L105" s="7">
        <f t="shared" si="17"/>
        <v>0</v>
      </c>
      <c r="M105" s="22">
        <f>L105*Weighting!$V$9</f>
        <v>0</v>
      </c>
    </row>
    <row r="106" spans="1:20" x14ac:dyDescent="0.25">
      <c r="A106" s="45" t="b">
        <f t="array" ref="A106">IF(ISERROR(INDEX('Data Transformation'!$B$4:$G$450,SMALL(IF('Data Transformation'!$B$4:$B$450='Bin Analysis and Plots'!D99,ROW('Data Transformation'!$B$4:$B$450)),ROW($5:$5))-3,3)),"",INDEX('Data Transformation'!$B$4:$G$450,SMALL(IF('Data Transformation'!$B$4:$B$450='Bin Analysis and Plots'!D99,ROW('Data Transformation'!$B$4:$B$450)),ROW($5:$5))-3,6))</f>
        <v>0</v>
      </c>
      <c r="B106" s="45" t="str">
        <f>IFERROR(SMALL(A102:A121,'Data Transformation'!$L$10),"")</f>
        <v/>
      </c>
      <c r="C106" s="61" t="str">
        <f>IF(Weighting!$O$10&gt;0,D106,"")</f>
        <v/>
      </c>
      <c r="D106" t="e">
        <f>Weighting!$C$10</f>
        <v>#DIV/0!</v>
      </c>
      <c r="E106" t="e">
        <f>Weighting!$E$10</f>
        <v>#NUM!</v>
      </c>
      <c r="F106" t="e">
        <f>IF(E106=1,'Data Transformation'!$G$3+0.5*'Data Transformation'!$R$25,IF(E107=1,F107-'Data Transformation'!$R$25,FALSE))</f>
        <v>#NUM!</v>
      </c>
      <c r="G106">
        <f t="array" ref="G106">IF(ISLOGICAL(F106),"",FREQUENCY(IF('Data Transformation'!$B$24:$B$404='Bin Analysis and Plots'!$D$99,'Data Transformation'!$G$24:$G$404),'Bin Analysis and Plots'!F106))</f>
        <v>0</v>
      </c>
      <c r="H106">
        <f t="shared" si="15"/>
        <v>0</v>
      </c>
      <c r="I106">
        <f>Weighting!$G$10</f>
        <v>0</v>
      </c>
      <c r="J106" s="7">
        <f t="array" ref="J106">FREQUENCY(IF('Data Transformation'!$B$4:$B$404=D99,'Data Transformation'!$G$4:$G$404),'Bin Analysis and Plots'!$D106)</f>
        <v>0</v>
      </c>
      <c r="K106" s="7">
        <f t="shared" si="16"/>
        <v>0</v>
      </c>
      <c r="L106" s="7">
        <f t="shared" si="17"/>
        <v>0</v>
      </c>
      <c r="M106" s="22">
        <f>L106*Weighting!$V$10</f>
        <v>0</v>
      </c>
    </row>
    <row r="107" spans="1:20" x14ac:dyDescent="0.25">
      <c r="A107" s="45" t="b">
        <f t="array" ref="A107">IF(ISERROR(INDEX('Data Transformation'!$B$4:$G$450,SMALL(IF('Data Transformation'!$B$4:$B$450='Bin Analysis and Plots'!D99,ROW('Data Transformation'!$B$4:$B$450)),ROW($6:$6))-3,3)),"",INDEX('Data Transformation'!$B$4:$G$450,SMALL(IF('Data Transformation'!$B$4:$B$450='Bin Analysis and Plots'!D99,ROW('Data Transformation'!$B$4:$B$450)),ROW($6:$6))-3,6))</f>
        <v>0</v>
      </c>
      <c r="B107" s="45" t="str">
        <f>IFERROR(SMALL(A102:A121,'Data Transformation'!$L$11),"")</f>
        <v/>
      </c>
      <c r="C107" s="61" t="str">
        <f>IF(Weighting!$O$11&gt;0,D107,"")</f>
        <v/>
      </c>
      <c r="D107" t="e">
        <f>Weighting!$C$11</f>
        <v>#DIV/0!</v>
      </c>
      <c r="E107" t="e">
        <f>Weighting!$E$11</f>
        <v>#NUM!</v>
      </c>
      <c r="F107" t="e">
        <f>IF(E107=1,'Data Transformation'!$G$3+0.5*'Data Transformation'!$R$25,IF(E108=1,F108-'Data Transformation'!$R$25,FALSE))</f>
        <v>#NUM!</v>
      </c>
      <c r="G107">
        <f t="array" ref="G107">IF(ISLOGICAL(F107),"",FREQUENCY(IF('Data Transformation'!$B$24:$B$404='Bin Analysis and Plots'!$D$99,'Data Transformation'!$G$24:$G$404),'Bin Analysis and Plots'!F107))</f>
        <v>0</v>
      </c>
      <c r="H107">
        <f t="shared" si="15"/>
        <v>0</v>
      </c>
      <c r="I107">
        <f>Weighting!$G$11</f>
        <v>0</v>
      </c>
      <c r="J107" s="7">
        <f t="array" ref="J107">FREQUENCY(IF('Data Transformation'!$B$4:$B$404=D99,'Data Transformation'!$G$4:$G$404),'Bin Analysis and Plots'!$D107)</f>
        <v>0</v>
      </c>
      <c r="K107" s="7">
        <f t="shared" si="16"/>
        <v>0</v>
      </c>
      <c r="L107" s="7">
        <f t="shared" si="17"/>
        <v>0</v>
      </c>
      <c r="M107" s="22">
        <f>L107*Weighting!$V$11</f>
        <v>0</v>
      </c>
    </row>
    <row r="108" spans="1:20" x14ac:dyDescent="0.25">
      <c r="A108" s="45" t="b">
        <f t="array" ref="A108">IF(ISERROR(INDEX('Data Transformation'!$B$4:$G$450,SMALL(IF('Data Transformation'!$B$4:$B$450='Bin Analysis and Plots'!D99,ROW('Data Transformation'!$B$4:$B$450)),ROW($7:$7))-3,3)),"",INDEX('Data Transformation'!$B$4:$G$450,SMALL(IF('Data Transformation'!$B$4:$B$450='Bin Analysis and Plots'!D99,ROW('Data Transformation'!$B$4:$B$450)),ROW($7:$7))-3,6))</f>
        <v>0</v>
      </c>
      <c r="B108" s="45" t="str">
        <f>IFERROR(SMALL(A102:A121,'Data Transformation'!$L$12),"")</f>
        <v/>
      </c>
      <c r="C108" s="61" t="str">
        <f>IF(Weighting!$O$12&gt;0,D108,"")</f>
        <v/>
      </c>
      <c r="D108" t="e">
        <f>Weighting!$C$12</f>
        <v>#DIV/0!</v>
      </c>
      <c r="E108" t="e">
        <f>Weighting!$E$12</f>
        <v>#NUM!</v>
      </c>
      <c r="F108" t="e">
        <f>IF(E108=1,'Data Transformation'!$G$3+0.5*'Data Transformation'!$R$25,IF(E109=1,F109-'Data Transformation'!$R$25,FALSE))</f>
        <v>#NUM!</v>
      </c>
      <c r="G108">
        <f t="array" ref="G108">IF(ISLOGICAL(F108),"",FREQUENCY(IF('Data Transformation'!$B$24:$B$404='Bin Analysis and Plots'!$D$99,'Data Transformation'!$G$24:$G$404),'Bin Analysis and Plots'!F108))</f>
        <v>0</v>
      </c>
      <c r="H108">
        <f t="shared" si="15"/>
        <v>0</v>
      </c>
      <c r="I108">
        <f>Weighting!$G$12</f>
        <v>0</v>
      </c>
      <c r="J108" s="7">
        <f t="array" ref="J108">FREQUENCY(IF('Data Transformation'!$B$4:$B$404=D99,'Data Transformation'!$G$4:$G$404),'Bin Analysis and Plots'!$D108)</f>
        <v>0</v>
      </c>
      <c r="K108" s="7">
        <f t="shared" si="16"/>
        <v>0</v>
      </c>
      <c r="L108" s="7">
        <f t="shared" si="17"/>
        <v>0</v>
      </c>
      <c r="M108" s="22">
        <f>L108*Weighting!$V$12</f>
        <v>0</v>
      </c>
    </row>
    <row r="109" spans="1:20" x14ac:dyDescent="0.25">
      <c r="A109" s="45" t="b">
        <f t="array" ref="A109">IF(ISERROR(INDEX('Data Transformation'!$B$4:$G$450,SMALL(IF('Data Transformation'!$B$4:$B$450='Bin Analysis and Plots'!D99,ROW('Data Transformation'!$B$4:$B$450)),ROW($8:$8))-3,3)),"",INDEX('Data Transformation'!$B$4:$G$450,SMALL(IF('Data Transformation'!$B$4:$B$450='Bin Analysis and Plots'!D99,ROW('Data Transformation'!$B$4:$B$450)),ROW($8:$8))-3,6))</f>
        <v>0</v>
      </c>
      <c r="B109" s="45" t="str">
        <f>IFERROR(SMALL(A102:A121,'Data Transformation'!$L$13),"")</f>
        <v/>
      </c>
      <c r="C109" s="61" t="str">
        <f>IF(Weighting!$O$13&gt;0,D109,"")</f>
        <v/>
      </c>
      <c r="D109" t="e">
        <f>Weighting!$C$13</f>
        <v>#DIV/0!</v>
      </c>
      <c r="E109" t="e">
        <f>Weighting!$E$13</f>
        <v>#NUM!</v>
      </c>
      <c r="F109" t="e">
        <f>IF(E109=1,'Data Transformation'!$G$3+0.5*'Data Transformation'!$R$25,IF(E110=1,F110-'Data Transformation'!$R$25,FALSE))</f>
        <v>#NUM!</v>
      </c>
      <c r="G109">
        <f t="array" ref="G109">IF(ISLOGICAL(F109),"",FREQUENCY(IF('Data Transformation'!$B$24:$B$404='Bin Analysis and Plots'!$D$99,'Data Transformation'!$G$24:$G$404),'Bin Analysis and Plots'!F109))</f>
        <v>0</v>
      </c>
      <c r="H109">
        <f t="shared" si="15"/>
        <v>0</v>
      </c>
      <c r="I109">
        <f>Weighting!$G$13</f>
        <v>0</v>
      </c>
      <c r="J109" s="7">
        <f t="array" ref="J109">FREQUENCY(IF('Data Transformation'!$B$4:$B$404=D99,'Data Transformation'!$G$4:$G$404),'Bin Analysis and Plots'!$D109)</f>
        <v>0</v>
      </c>
      <c r="K109" s="7">
        <f t="shared" si="16"/>
        <v>0</v>
      </c>
      <c r="L109" s="7">
        <f t="shared" si="17"/>
        <v>0</v>
      </c>
      <c r="M109" s="22">
        <f>L109*Weighting!$V$13</f>
        <v>0</v>
      </c>
    </row>
    <row r="110" spans="1:20" x14ac:dyDescent="0.25">
      <c r="A110" s="45" t="b">
        <f t="array" ref="A110">IF(ISERROR(INDEX('Data Transformation'!$B$4:$G$450,SMALL(IF('Data Transformation'!$B$4:$B$450='Bin Analysis and Plots'!D99,ROW('Data Transformation'!$B$4:$B$450)),ROW($9:$9))-3,3)),"",INDEX('Data Transformation'!$B$4:$G$450,SMALL(IF('Data Transformation'!$B$4:$B$450='Bin Analysis and Plots'!D99,ROW('Data Transformation'!$B$4:$B$450)),ROW($9:$9))-3,6))</f>
        <v>0</v>
      </c>
      <c r="B110" s="45" t="str">
        <f>IFERROR(SMALL(A102:A121,'Data Transformation'!$L$14),"")</f>
        <v/>
      </c>
      <c r="C110" s="61" t="str">
        <f>IF(Weighting!$O$14&gt;0,D110,"")</f>
        <v/>
      </c>
      <c r="D110" t="e">
        <f>Weighting!$C$14</f>
        <v>#DIV/0!</v>
      </c>
      <c r="E110" t="e">
        <f>Weighting!$E$14</f>
        <v>#NUM!</v>
      </c>
      <c r="F110" t="e">
        <f>IF(E110=1,'Data Transformation'!$G$3+0.5*'Data Transformation'!$R$25,IF(E111=1,F111-'Data Transformation'!$R$25,FALSE))</f>
        <v>#NUM!</v>
      </c>
      <c r="G110">
        <f t="array" ref="G110">IF(ISLOGICAL(F110),"",FREQUENCY(IF('Data Transformation'!$B$24:$B$404='Bin Analysis and Plots'!$D$99,'Data Transformation'!$G$24:$G$404),'Bin Analysis and Plots'!F110))</f>
        <v>0</v>
      </c>
      <c r="H110">
        <f t="shared" si="15"/>
        <v>0</v>
      </c>
      <c r="I110">
        <f>Weighting!$G$14</f>
        <v>0</v>
      </c>
      <c r="J110" s="7">
        <f t="array" ref="J110">FREQUENCY(IF('Data Transformation'!$B$4:$B$404=D99,'Data Transformation'!$G$4:$G$404),'Bin Analysis and Plots'!$D110)</f>
        <v>0</v>
      </c>
      <c r="K110" s="7">
        <f t="shared" si="16"/>
        <v>0</v>
      </c>
      <c r="L110" s="7">
        <f t="shared" si="17"/>
        <v>0</v>
      </c>
      <c r="M110" s="22">
        <f>L110*Weighting!$V$14</f>
        <v>0</v>
      </c>
    </row>
    <row r="111" spans="1:20" x14ac:dyDescent="0.25">
      <c r="A111" s="45" t="b">
        <f t="array" ref="A111">IF(ISERROR(INDEX('Data Transformation'!$B$4:$G$450,SMALL(IF('Data Transformation'!$B$4:$B$450='Bin Analysis and Plots'!D99,ROW('Data Transformation'!$B$4:$B$450)),ROW($10:$10))-3,3)),"",INDEX('Data Transformation'!$B$4:$G$450,SMALL(IF('Data Transformation'!$B$4:$B$450='Bin Analysis and Plots'!D99,ROW('Data Transformation'!$B$4:$B$450)),ROW($10:$10))-3,6))</f>
        <v>0</v>
      </c>
      <c r="B111" s="45" t="str">
        <f>IFERROR(SMALL(A102:A121,'Data Transformation'!$L$15),"")</f>
        <v/>
      </c>
      <c r="C111" s="61" t="str">
        <f>IF(Weighting!$O$15&gt;0,D111,"")</f>
        <v/>
      </c>
      <c r="D111" t="e">
        <f>Weighting!$C$15</f>
        <v>#DIV/0!</v>
      </c>
      <c r="E111" t="e">
        <f>Weighting!$E$15</f>
        <v>#NUM!</v>
      </c>
      <c r="F111" t="e">
        <f>IF(E111=1,'Data Transformation'!$G$3+0.5*'Data Transformation'!$R$25,IF(E112=1,F112-'Data Transformation'!$R$25,FALSE))</f>
        <v>#NUM!</v>
      </c>
      <c r="G111">
        <f t="array" ref="G111">IF(ISLOGICAL(F111),"",FREQUENCY(IF('Data Transformation'!$B$24:$B$404='Bin Analysis and Plots'!$D$99,'Data Transformation'!$G$24:$G$404),'Bin Analysis and Plots'!F111))</f>
        <v>0</v>
      </c>
      <c r="H111">
        <f t="shared" si="15"/>
        <v>0</v>
      </c>
      <c r="I111">
        <f>Weighting!$G$15</f>
        <v>0</v>
      </c>
      <c r="J111" s="7">
        <f t="array" ref="J111">FREQUENCY(IF('Data Transformation'!$B$4:$B$404=D99,'Data Transformation'!$G$4:$G$404),'Bin Analysis and Plots'!$D111)</f>
        <v>0</v>
      </c>
      <c r="K111" s="7">
        <f t="shared" si="16"/>
        <v>0</v>
      </c>
      <c r="L111" s="7">
        <f t="shared" si="17"/>
        <v>0</v>
      </c>
      <c r="M111" s="22">
        <f>L111*Weighting!$V$15</f>
        <v>0</v>
      </c>
    </row>
    <row r="112" spans="1:20" x14ac:dyDescent="0.25">
      <c r="A112" s="45" t="b">
        <f t="array" ref="A112">IF(ISERROR(INDEX('Data Transformation'!$B$4:$G$450,SMALL(IF('Data Transformation'!$B$4:$B$450='Bin Analysis and Plots'!D99,ROW('Data Transformation'!$B$4:$B$450)),ROW($11:$11))-3,3)),"",INDEX('Data Transformation'!$B$4:$G$450,SMALL(IF('Data Transformation'!$B$4:$B$450='Bin Analysis and Plots'!D99,ROW('Data Transformation'!$B$4:$B$450)),ROW($11:$11))-3,6))</f>
        <v>0</v>
      </c>
      <c r="B112" s="45" t="str">
        <f>IFERROR(SMALL(A102:A121,'Data Transformation'!$L$16),"")</f>
        <v/>
      </c>
      <c r="C112" s="61" t="str">
        <f>IF(Weighting!$O$16&gt;0,D112,"")</f>
        <v/>
      </c>
      <c r="D112" t="e">
        <f>Weighting!$C$16</f>
        <v>#DIV/0!</v>
      </c>
      <c r="E112" t="e">
        <f>Weighting!$E$16</f>
        <v>#NUM!</v>
      </c>
      <c r="F112" t="e">
        <f>IF(E112=1,'Data Transformation'!$G$3+0.5*'Data Transformation'!$R$25,IF(E113=1,F113-'Data Transformation'!$R$25,FALSE))</f>
        <v>#NUM!</v>
      </c>
      <c r="G112">
        <f t="array" ref="G112">IF(ISLOGICAL(F112),"",FREQUENCY(IF('Data Transformation'!$B$24:$B$404='Bin Analysis and Plots'!$D$99,'Data Transformation'!$G$24:$G$404),'Bin Analysis and Plots'!F112))</f>
        <v>0</v>
      </c>
      <c r="H112">
        <f t="shared" si="15"/>
        <v>0</v>
      </c>
      <c r="I112">
        <f>Weighting!$G$16</f>
        <v>0</v>
      </c>
      <c r="J112" s="7">
        <f t="array" ref="J112">FREQUENCY(IF('Data Transformation'!$B$4:$B$404=D99,'Data Transformation'!$G$4:$G$404),'Bin Analysis and Plots'!$D112)</f>
        <v>0</v>
      </c>
      <c r="K112" s="7">
        <f t="shared" si="16"/>
        <v>0</v>
      </c>
      <c r="L112" s="7">
        <f t="shared" si="17"/>
        <v>0</v>
      </c>
      <c r="M112" s="22">
        <f>L112*Weighting!$V$16</f>
        <v>0</v>
      </c>
    </row>
    <row r="113" spans="1:20" x14ac:dyDescent="0.25">
      <c r="A113" s="45" t="b">
        <f t="array" ref="A113">IF(ISERROR(INDEX('Data Transformation'!$B$4:$G$450,SMALL(IF('Data Transformation'!$B$4:$B$450='Bin Analysis and Plots'!D99,ROW('Data Transformation'!$B$4:$B$450)),ROW($12:$12))-3,3)),"",INDEX('Data Transformation'!$B$4:$G$450,SMALL(IF('Data Transformation'!$B$4:$B$450='Bin Analysis and Plots'!D99,ROW('Data Transformation'!$B$4:$B$450)),ROW($12:$12))-3,6))</f>
        <v>0</v>
      </c>
      <c r="B113" s="45" t="str">
        <f>IFERROR(SMALL(A102:A121,'Data Transformation'!$L$17),"")</f>
        <v/>
      </c>
      <c r="C113" s="61" t="str">
        <f>IF(Weighting!$O$17&gt;0,D113,"")</f>
        <v/>
      </c>
      <c r="D113" t="e">
        <f>Weighting!$C$17</f>
        <v>#DIV/0!</v>
      </c>
      <c r="E113" t="e">
        <f>Weighting!$E$17</f>
        <v>#NUM!</v>
      </c>
      <c r="F113" t="e">
        <f>IF(E113=1,'Data Transformation'!$G$3+0.5*'Data Transformation'!$R$25,IF(E114=1,F114-'Data Transformation'!$R$25,FALSE))</f>
        <v>#NUM!</v>
      </c>
      <c r="G113">
        <f t="array" ref="G113">IF(ISLOGICAL(F113),"",FREQUENCY(IF('Data Transformation'!$B$24:$B$404='Bin Analysis and Plots'!$D$99,'Data Transformation'!$G$24:$G$404),'Bin Analysis and Plots'!F113))</f>
        <v>0</v>
      </c>
      <c r="H113">
        <f t="shared" si="15"/>
        <v>0</v>
      </c>
      <c r="I113">
        <f>Weighting!$G$17</f>
        <v>0</v>
      </c>
      <c r="J113" s="7">
        <f t="array" ref="J113">FREQUENCY(IF('Data Transformation'!$B$4:$B$404=D99,'Data Transformation'!$G$4:$G$404),'Bin Analysis and Plots'!$D113)</f>
        <v>0</v>
      </c>
      <c r="K113" s="7">
        <f t="shared" si="16"/>
        <v>0</v>
      </c>
      <c r="L113" s="7">
        <f t="shared" si="17"/>
        <v>0</v>
      </c>
      <c r="M113" s="22">
        <f>L113*Weighting!$V$17</f>
        <v>0</v>
      </c>
    </row>
    <row r="114" spans="1:20" x14ac:dyDescent="0.25">
      <c r="A114" s="45" t="b">
        <f t="array" ref="A114">IF(ISERROR(INDEX('Data Transformation'!$B$4:$G$450,SMALL(IF('Data Transformation'!$B$4:$B$450='Bin Analysis and Plots'!D99,ROW('Data Transformation'!$B$4:$B$450)),ROW($13:$13))-3,3)),"",INDEX('Data Transformation'!$B$4:$G$450,SMALL(IF('Data Transformation'!$B$4:$B$450='Bin Analysis and Plots'!D99,ROW('Data Transformation'!$B$4:$B$450)),ROW($13:$13))-3,6))</f>
        <v>0</v>
      </c>
      <c r="B114" s="45" t="str">
        <f>IFERROR(SMALL(A102:A121,'Data Transformation'!$L$18),"")</f>
        <v/>
      </c>
      <c r="C114" s="61" t="str">
        <f>IF(Weighting!$O$18&gt;0,D114,"")</f>
        <v/>
      </c>
      <c r="D114" t="e">
        <f>Weighting!$C$18</f>
        <v>#DIV/0!</v>
      </c>
      <c r="E114" t="e">
        <f>Weighting!$E$18</f>
        <v>#NUM!</v>
      </c>
      <c r="F114" t="e">
        <f>IF(E114=1,'Data Transformation'!$G$3+0.5*'Data Transformation'!$R$25,IF(E115=1,F115-'Data Transformation'!$R$25,FALSE))</f>
        <v>#NUM!</v>
      </c>
      <c r="G114">
        <f t="array" ref="G114">IF(ISLOGICAL(F114),"",FREQUENCY(IF('Data Transformation'!$B$24:$B$404='Bin Analysis and Plots'!$D$99,'Data Transformation'!$G$24:$G$404),'Bin Analysis and Plots'!F114))</f>
        <v>0</v>
      </c>
      <c r="H114">
        <f t="shared" si="15"/>
        <v>0</v>
      </c>
      <c r="I114">
        <f>Weighting!$G$18</f>
        <v>0</v>
      </c>
      <c r="J114" s="7">
        <f t="array" ref="J114">FREQUENCY(IF('Data Transformation'!$B$4:$B$404=D99,'Data Transformation'!$G$4:$G$404),'Bin Analysis and Plots'!$D114)</f>
        <v>0</v>
      </c>
      <c r="K114" s="7">
        <f t="shared" si="16"/>
        <v>0</v>
      </c>
      <c r="L114" s="7">
        <f t="shared" si="17"/>
        <v>0</v>
      </c>
      <c r="M114" s="22">
        <f>L114*Weighting!$V$18</f>
        <v>0</v>
      </c>
    </row>
    <row r="115" spans="1:20" x14ac:dyDescent="0.25">
      <c r="A115" s="45" t="b">
        <f t="array" ref="A115">IF(ISERROR(INDEX('Data Transformation'!$B$4:$G$450,SMALL(IF('Data Transformation'!$B$4:$B$450='Bin Analysis and Plots'!D99,ROW('Data Transformation'!$B$4:$B$450)),ROW($14:$14))-3,3)),"",INDEX('Data Transformation'!$B$4:$G$450,SMALL(IF('Data Transformation'!$B$4:$B$450='Bin Analysis and Plots'!D99,ROW('Data Transformation'!$B$4:$B$450)),ROW($14:$14))-3,6))</f>
        <v>0</v>
      </c>
      <c r="B115" s="45" t="str">
        <f>IFERROR(SMALL(A102:A121,'Data Transformation'!$L$19),"")</f>
        <v/>
      </c>
      <c r="C115" s="61" t="str">
        <f>IF(Weighting!$O$19&gt;0,D115,"")</f>
        <v/>
      </c>
      <c r="D115" t="e">
        <f>Weighting!$C$19</f>
        <v>#DIV/0!</v>
      </c>
      <c r="E115" t="e">
        <f>Weighting!$E$19</f>
        <v>#NUM!</v>
      </c>
      <c r="F115" t="e">
        <f>IF(E115=1,'Data Transformation'!$G$3+0.5*'Data Transformation'!$R$25,IF(E116=1,F116-'Data Transformation'!$R$25,FALSE))</f>
        <v>#NUM!</v>
      </c>
      <c r="G115">
        <f t="array" ref="G115">IF(ISLOGICAL(F115),"",FREQUENCY(IF('Data Transformation'!$B$24:$B$404='Bin Analysis and Plots'!$D$99,'Data Transformation'!$G$24:$G$404),'Bin Analysis and Plots'!F115))</f>
        <v>0</v>
      </c>
      <c r="H115">
        <f t="shared" si="15"/>
        <v>0</v>
      </c>
      <c r="I115">
        <f>Weighting!$G$19</f>
        <v>0</v>
      </c>
      <c r="J115" s="7">
        <f t="array" ref="J115">FREQUENCY(IF('Data Transformation'!$B$4:$B$404=D99,'Data Transformation'!$G$4:$G$404),'Bin Analysis and Plots'!$D115)</f>
        <v>0</v>
      </c>
      <c r="K115" s="7">
        <f t="shared" si="16"/>
        <v>0</v>
      </c>
      <c r="L115" s="7">
        <f t="shared" si="17"/>
        <v>0</v>
      </c>
      <c r="M115" s="22">
        <f>L115*Weighting!$V$19</f>
        <v>0</v>
      </c>
    </row>
    <row r="116" spans="1:20" x14ac:dyDescent="0.25">
      <c r="A116" s="45" t="b">
        <f t="array" ref="A116">IF(ISERROR(INDEX('Data Transformation'!$B$4:$G$450,SMALL(IF('Data Transformation'!$B$4:$B$450='Bin Analysis and Plots'!D99,ROW('Data Transformation'!$B$4:$B$450)),ROW($15:$15))-3,3)),"",INDEX('Data Transformation'!$B$4:$G$450,SMALL(IF('Data Transformation'!$B$4:$B$450='Bin Analysis and Plots'!D99,ROW('Data Transformation'!$B$4:$B$450)),ROW($15:$15))-3,6))</f>
        <v>0</v>
      </c>
      <c r="B116" s="45" t="str">
        <f>IFERROR(SMALL(A102:A121,'Data Transformation'!$L$20),"")</f>
        <v/>
      </c>
      <c r="C116" s="61" t="str">
        <f>IF(Weighting!$O$20&gt;0,D116,"")</f>
        <v/>
      </c>
      <c r="D116" t="e">
        <f>Weighting!$C$20</f>
        <v>#DIV/0!</v>
      </c>
      <c r="E116" t="e">
        <f>Weighting!$E$20</f>
        <v>#NUM!</v>
      </c>
      <c r="F116" t="e">
        <f>IF(E116=1,'Data Transformation'!$G$3+0.5*'Data Transformation'!$R$25,IF(E117=1,F117-'Data Transformation'!$R$25,FALSE))</f>
        <v>#NUM!</v>
      </c>
      <c r="G116">
        <f t="array" ref="G116">IF(ISLOGICAL(F116),"",FREQUENCY(IF('Data Transformation'!$B$24:$B$404='Bin Analysis and Plots'!$D$99,'Data Transformation'!$G$24:$G$404),'Bin Analysis and Plots'!F116))</f>
        <v>0</v>
      </c>
      <c r="H116">
        <f t="shared" si="15"/>
        <v>0</v>
      </c>
      <c r="I116">
        <f>Weighting!$G$20</f>
        <v>0</v>
      </c>
      <c r="J116" s="7">
        <f t="array" ref="J116">FREQUENCY(IF('Data Transformation'!$B$4:$B$404=D99,'Data Transformation'!$G$4:$G$404),'Bin Analysis and Plots'!$D116)</f>
        <v>0</v>
      </c>
      <c r="K116" s="7">
        <f t="shared" si="16"/>
        <v>0</v>
      </c>
      <c r="L116" s="7">
        <f t="shared" si="17"/>
        <v>0</v>
      </c>
      <c r="M116" s="22">
        <f>L116*Weighting!$V$20</f>
        <v>0</v>
      </c>
    </row>
    <row r="117" spans="1:20" x14ac:dyDescent="0.25">
      <c r="A117" s="45" t="b">
        <f t="array" ref="A117">IF(ISERROR(INDEX('Data Transformation'!$B$4:$G$450,SMALL(IF('Data Transformation'!$B$4:$B$450='Bin Analysis and Plots'!D99,ROW('Data Transformation'!$B$4:$B$450)),ROW($16:$16))-3,3)),"",INDEX('Data Transformation'!$B$4:$G$450,SMALL(IF('Data Transformation'!$B$4:$B$450='Bin Analysis and Plots'!D99,ROW('Data Transformation'!$B$4:$B$450)),ROW($16:$16))-3,6))</f>
        <v>0</v>
      </c>
      <c r="B117" s="45" t="str">
        <f>IFERROR(SMALL(A102:A121,'Data Transformation'!$L$21),"")</f>
        <v/>
      </c>
      <c r="C117" s="61" t="str">
        <f>IF(Weighting!$O$21&gt;0,D117,"")</f>
        <v/>
      </c>
      <c r="D117" t="e">
        <f>Weighting!$C$21</f>
        <v>#DIV/0!</v>
      </c>
      <c r="E117" t="e">
        <f>Weighting!$E$21</f>
        <v>#NUM!</v>
      </c>
      <c r="F117" t="e">
        <f>IF(E117=1,'Data Transformation'!$G$3+0.5*'Data Transformation'!$R$25,IF(E118=1,F118-'Data Transformation'!$R$25,FALSE))</f>
        <v>#NUM!</v>
      </c>
      <c r="G117">
        <f t="array" ref="G117">IF(ISLOGICAL(F117),"",FREQUENCY(IF('Data Transformation'!$B$24:$B$404='Bin Analysis and Plots'!$D$99,'Data Transformation'!$G$24:$G$404),'Bin Analysis and Plots'!F117))</f>
        <v>0</v>
      </c>
      <c r="H117">
        <f t="shared" si="15"/>
        <v>0</v>
      </c>
      <c r="I117">
        <f>Weighting!$G$21</f>
        <v>0</v>
      </c>
      <c r="J117" s="7">
        <f t="array" ref="J117">FREQUENCY(IF('Data Transformation'!$B$4:$B$404=D99,'Data Transformation'!$G$4:$G$404),'Bin Analysis and Plots'!$D117)</f>
        <v>0</v>
      </c>
      <c r="K117" s="7">
        <f t="shared" si="16"/>
        <v>0</v>
      </c>
      <c r="L117" s="7">
        <f t="shared" si="17"/>
        <v>0</v>
      </c>
      <c r="M117" s="22">
        <f>L117*Weighting!$V$21</f>
        <v>0</v>
      </c>
    </row>
    <row r="118" spans="1:20" x14ac:dyDescent="0.25">
      <c r="A118" s="45" t="b">
        <f t="array" ref="A118">IF(ISERROR(INDEX('Data Transformation'!$B$4:$G$450,SMALL(IF('Data Transformation'!$B$4:$B$450='Bin Analysis and Plots'!D99,ROW('Data Transformation'!$B$4:$B$450)),ROW($17:$17))-3,3)),"",INDEX('Data Transformation'!$B$4:$G$450,SMALL(IF('Data Transformation'!$B$4:$B$450='Bin Analysis and Plots'!D99,ROW('Data Transformation'!$B$4:$B$450)),ROW($17:$17))-3,6))</f>
        <v>0</v>
      </c>
      <c r="B118" s="45" t="str">
        <f>IFERROR(SMALL(A102:A121,'Data Transformation'!$L$22),"")</f>
        <v/>
      </c>
      <c r="C118" s="61" t="str">
        <f>IF(Weighting!$O$22&gt;0,D118,"")</f>
        <v/>
      </c>
      <c r="D118" t="e">
        <f>Weighting!$C$22</f>
        <v>#DIV/0!</v>
      </c>
      <c r="E118" t="e">
        <f>Weighting!$E$22</f>
        <v>#NUM!</v>
      </c>
      <c r="F118" t="e">
        <f>IF(E118=1,'Data Transformation'!$G$3+0.5*'Data Transformation'!$R$25,IF(E119=1,F119-'Data Transformation'!$R$25,FALSE))</f>
        <v>#NUM!</v>
      </c>
      <c r="G118">
        <f t="array" ref="G118">IF(ISLOGICAL(F118),"",FREQUENCY(IF('Data Transformation'!$B$24:$B$404='Bin Analysis and Plots'!$D$99,'Data Transformation'!$G$24:$G$404),'Bin Analysis and Plots'!F118))</f>
        <v>0</v>
      </c>
      <c r="H118">
        <f t="shared" si="15"/>
        <v>0</v>
      </c>
      <c r="I118">
        <f>Weighting!$G$22</f>
        <v>0</v>
      </c>
      <c r="J118" s="7">
        <f t="array" ref="J118">FREQUENCY(IF('Data Transformation'!$B$4:$B$404=D99,'Data Transformation'!$G$4:$G$404),'Bin Analysis and Plots'!$D118)</f>
        <v>0</v>
      </c>
      <c r="K118" s="7">
        <f t="shared" si="16"/>
        <v>0</v>
      </c>
      <c r="L118" s="7">
        <f t="shared" si="17"/>
        <v>0</v>
      </c>
      <c r="M118" s="22">
        <f>L118*Weighting!$V$22</f>
        <v>0</v>
      </c>
    </row>
    <row r="119" spans="1:20" x14ac:dyDescent="0.25">
      <c r="A119" s="45" t="b">
        <f t="array" ref="A119">IF(ISERROR(INDEX('Data Transformation'!$B$4:$G$450,SMALL(IF('Data Transformation'!$B$4:$B$450='Bin Analysis and Plots'!D99,ROW('Data Transformation'!$B$4:$B$450)),ROW($18:$18))-3,3)),"",INDEX('Data Transformation'!$B$4:$G$450,SMALL(IF('Data Transformation'!$B$4:$B$450='Bin Analysis and Plots'!D99,ROW('Data Transformation'!$B$4:$B$450)),ROW($18:$18))-3,6))</f>
        <v>0</v>
      </c>
      <c r="B119" s="45" t="str">
        <f>IFERROR(SMALL(A102:A121,'Data Transformation'!$L$23),"")</f>
        <v/>
      </c>
      <c r="C119" s="61" t="str">
        <f>IF(Weighting!$O$23&gt;0,D119,"")</f>
        <v/>
      </c>
      <c r="D119" t="e">
        <f>Weighting!$C$23</f>
        <v>#DIV/0!</v>
      </c>
      <c r="E119" t="e">
        <f>Weighting!$E$23</f>
        <v>#NUM!</v>
      </c>
      <c r="F119" t="e">
        <f>IF(E119=1,'Data Transformation'!$G$3+0.5*'Data Transformation'!$R$25,IF(E120=1,F120-'Data Transformation'!$R$25,FALSE))</f>
        <v>#NUM!</v>
      </c>
      <c r="G119">
        <f t="array" ref="G119">IF(ISLOGICAL(F119),"",FREQUENCY(IF('Data Transformation'!$B$24:$B$404='Bin Analysis and Plots'!$D$99,'Data Transformation'!$G$24:$G$404),'Bin Analysis and Plots'!F119))</f>
        <v>0</v>
      </c>
      <c r="H119">
        <f t="shared" si="15"/>
        <v>0</v>
      </c>
      <c r="I119">
        <f>Weighting!$G$23</f>
        <v>0</v>
      </c>
      <c r="J119" s="7">
        <f t="array" ref="J119">FREQUENCY(IF('Data Transformation'!$B$4:$B$404=D99,'Data Transformation'!$G$4:$G$404),'Bin Analysis and Plots'!$D119)</f>
        <v>0</v>
      </c>
      <c r="K119" s="7">
        <f t="shared" si="16"/>
        <v>0</v>
      </c>
      <c r="L119" s="7">
        <f t="shared" si="17"/>
        <v>0</v>
      </c>
      <c r="M119" s="22">
        <f>L119*Weighting!$V$23</f>
        <v>0</v>
      </c>
    </row>
    <row r="120" spans="1:20" x14ac:dyDescent="0.25">
      <c r="A120" s="45" t="str">
        <f>IF(ISERROR(INDEX('Data Transformation'!$B$4:$G$450,SMALL(IF('Data Transformation'!$B$4:$B$450='Bin Analysis and Plots'!D99,ROW('Data Transformation'!$B$4:$B$450)),ROW($19:$19))-3,3)),"",INDEX('Data Transformation'!$B$4:$G$450,SMALL(IF('Data Transformation'!$B$4:$B$450='Bin Analysis and Plots'!D99,ROW('Data Transformation'!$B$4:$B$450)),ROW($19:$19))-3,6))</f>
        <v/>
      </c>
      <c r="B120" s="45" t="str">
        <f>IFERROR(SMALL(A102:A121,'Data Transformation'!$L$24),"")</f>
        <v/>
      </c>
      <c r="C120" s="61" t="str">
        <f>IF(Weighting!$O$24&gt;0,D120,"")</f>
        <v/>
      </c>
      <c r="D120" t="e">
        <f>Weighting!$C$24</f>
        <v>#DIV/0!</v>
      </c>
      <c r="E120" t="e">
        <f>Weighting!$E$24</f>
        <v>#NUM!</v>
      </c>
      <c r="F120" t="e">
        <f>IF(E120=1,'Data Transformation'!$G$3+0.5*'Data Transformation'!$R$25,IF(E121=1,F121-'Data Transformation'!$R$25,FALSE))</f>
        <v>#NUM!</v>
      </c>
      <c r="G120">
        <f t="array" ref="G120">IF(ISLOGICAL(F120),"",FREQUENCY(IF('Data Transformation'!$B$24:$B$404='Bin Analysis and Plots'!$D$99,'Data Transformation'!$G$24:$G$404),'Bin Analysis and Plots'!F120))</f>
        <v>0</v>
      </c>
      <c r="H120">
        <f t="shared" si="15"/>
        <v>0</v>
      </c>
      <c r="I120">
        <f>Weighting!$G$24</f>
        <v>0</v>
      </c>
      <c r="J120" s="7">
        <f t="array" ref="J120">FREQUENCY(IF('Data Transformation'!$B$4:$B$404=D99,'Data Transformation'!$G$4:$G$404),'Bin Analysis and Plots'!$D120)</f>
        <v>0</v>
      </c>
      <c r="K120" s="7">
        <f t="shared" si="16"/>
        <v>0</v>
      </c>
      <c r="L120" s="7">
        <f t="shared" si="17"/>
        <v>0</v>
      </c>
      <c r="M120" s="22">
        <f>L120*Weighting!$V$24</f>
        <v>0</v>
      </c>
    </row>
    <row r="121" spans="1:20" x14ac:dyDescent="0.25">
      <c r="A121" s="45" t="b">
        <f t="array" ref="A121">IF(ISERROR(INDEX('Data Transformation'!$B$4:$G$450,SMALL(IF('Data Transformation'!$B$4:$B$450='Bin Analysis and Plots'!D99,ROW('Data Transformation'!$B$4:$B$450)),ROW($20:$20))-3,3)),"",INDEX('Data Transformation'!$B$4:$G$450,SMALL(IF('Data Transformation'!$B$4:$B$450='Bin Analysis and Plots'!D99,ROW('Data Transformation'!$B$4:$B$450)),ROW($20:$20))-3,6))</f>
        <v>0</v>
      </c>
      <c r="B121" s="45" t="str">
        <f>IFERROR(SMALL(A102:A121,'Data Transformation'!$L$25),"")</f>
        <v/>
      </c>
      <c r="C121" s="61" t="str">
        <f>IF(Weighting!$O$25&gt;0,D121,"")</f>
        <v/>
      </c>
      <c r="D121" t="e">
        <f>Weighting!$C$25</f>
        <v>#DIV/0!</v>
      </c>
      <c r="E121" t="e">
        <f>Weighting!$E$25</f>
        <v>#NUM!</v>
      </c>
      <c r="F121" t="e">
        <f>IF(E121=1,'Data Transformation'!$G$3+0.5*'Data Transformation'!$R$25,IF(E122=1,F122-'Data Transformation'!$R$25,FALSE))</f>
        <v>#NUM!</v>
      </c>
      <c r="G121">
        <f t="array" ref="G121">IF(ISLOGICAL(F121),"",FREQUENCY(IF('Data Transformation'!$B$24:$B$404='Bin Analysis and Plots'!$D$99,'Data Transformation'!$G$24:$G$404),'Bin Analysis and Plots'!F121))</f>
        <v>0</v>
      </c>
      <c r="H121">
        <f t="shared" si="15"/>
        <v>0</v>
      </c>
      <c r="I121">
        <f>Weighting!$G$25</f>
        <v>0</v>
      </c>
      <c r="J121" s="7">
        <f t="array" ref="J121">FREQUENCY(IF('Data Transformation'!$B$4:$B$404=D99,'Data Transformation'!$G$4:$G$404),'Bin Analysis and Plots'!$D121)</f>
        <v>0</v>
      </c>
      <c r="K121" s="7">
        <f t="shared" si="16"/>
        <v>0</v>
      </c>
      <c r="L121" s="7">
        <f t="shared" si="17"/>
        <v>0</v>
      </c>
      <c r="M121" s="22">
        <f>L121*Weighting!$V$25</f>
        <v>0</v>
      </c>
    </row>
    <row r="122" spans="1:20" x14ac:dyDescent="0.25">
      <c r="C122" s="60" t="str">
        <f t="shared" si="14"/>
        <v/>
      </c>
    </row>
    <row r="123" spans="1:20" ht="23.25" x14ac:dyDescent="0.35">
      <c r="C123" s="46" t="s">
        <v>0</v>
      </c>
      <c r="D123" s="46" t="str">
        <f>'Input and Summary Results'!G12</f>
        <v xml:space="preserve"> </v>
      </c>
      <c r="E123" s="46"/>
      <c r="F123" s="46"/>
      <c r="G123" s="46"/>
      <c r="H123" s="46"/>
      <c r="I123" s="46"/>
      <c r="J123" s="47"/>
      <c r="K123" s="47"/>
      <c r="L123" s="47"/>
      <c r="M123" s="46"/>
      <c r="N123" s="46"/>
      <c r="O123" s="57" t="e">
        <f>INDEX('Data Transformation'!$O$4:$O$25,MATCH($D123,'Data Transformation'!$M$4:$M$25,0),MATCH($O$2,'Data Transformation'!$O$3,0))</f>
        <v>#N/A</v>
      </c>
      <c r="P123" s="52" t="e">
        <f>IF(O123=FALSE,NA(),(VLOOKUP(1,E126:M145,4,FALSE))/(O123-1))</f>
        <v>#N/A</v>
      </c>
      <c r="Q123" s="52" t="e">
        <f>IF(O123=FALSE,NA(),SUM(L126:L145)/Weighting!$R$5)</f>
        <v>#N/A</v>
      </c>
      <c r="R123" s="52" t="e">
        <f>IF(O123=FALSE,NA(),SUM(M126:M145)/Weighting!$R$6)</f>
        <v>#N/A</v>
      </c>
      <c r="S123" s="52" t="e">
        <f>IF(O123=FALSE,NA(),(VLOOKUP(1,I126:M145,3,FALSE))/(O123-1))</f>
        <v>#N/A</v>
      </c>
      <c r="T123" s="57" t="e">
        <f>IF(O123=FALSE,NA(),IF(SUM(L126:L145)=2,"yes","no"))</f>
        <v>#N/A</v>
      </c>
    </row>
    <row r="124" spans="1:20" x14ac:dyDescent="0.25">
      <c r="A124" s="96" t="s">
        <v>64</v>
      </c>
      <c r="B124" s="96"/>
      <c r="C124" s="58" t="s">
        <v>72</v>
      </c>
      <c r="D124" t="s">
        <v>50</v>
      </c>
      <c r="E124" t="s">
        <v>5</v>
      </c>
      <c r="I124" t="s">
        <v>75</v>
      </c>
      <c r="J124" s="7" t="s">
        <v>34</v>
      </c>
      <c r="K124" s="7" t="s">
        <v>35</v>
      </c>
      <c r="L124" s="7" t="s">
        <v>49</v>
      </c>
      <c r="M124" s="21" t="s">
        <v>48</v>
      </c>
    </row>
    <row r="125" spans="1:20" x14ac:dyDescent="0.25">
      <c r="C125" s="60" t="str">
        <f t="shared" ref="C125:C146" si="18">IF(B125="","",D125)</f>
        <v/>
      </c>
      <c r="F125" t="e">
        <f>IF(E125=1,'Data Transformation'!$G$3+0.5*'Data Transformation'!$R$25,IF(E126=1,F126-'Data Transformation'!$R$25,FALSE))</f>
        <v>#NUM!</v>
      </c>
      <c r="G125">
        <f t="array" ref="G125">IF(ISLOGICAL(F125),"",FREQUENCY(IF('Data Transformation'!$B$24:$B$404='Bin Analysis and Plots'!$D$123,'Data Transformation'!$G$24:$G$404),'Bin Analysis and Plots'!F125))</f>
        <v>0</v>
      </c>
      <c r="H125">
        <f>IF(ISLOGICAL(F125),"",G125-G124)</f>
        <v>0</v>
      </c>
    </row>
    <row r="126" spans="1:20" x14ac:dyDescent="0.25">
      <c r="A126" s="45" t="b">
        <f t="array" ref="A126">IF(ISERROR(INDEX('Data Transformation'!$B$4:$G$450,SMALL(IF('Data Transformation'!$B$4:$B$450='Bin Analysis and Plots'!D123,ROW('Data Transformation'!$B$4:$B$450)),ROW($1:$1))-3,3)),"",INDEX('Data Transformation'!$B$4:$G$450,SMALL(IF('Data Transformation'!$B$4:$B$450='Bin Analysis and Plots'!D123,ROW('Data Transformation'!$B$4:$B$450)),ROW($1:$1))-3,6))</f>
        <v>0</v>
      </c>
      <c r="B126" s="45" t="str">
        <f>IFERROR(SMALL(A126:A145,'Data Transformation'!$L$6),"")</f>
        <v/>
      </c>
      <c r="C126" s="61" t="e">
        <f>IF(Weighting!$O$6&gt;0,D126,"")</f>
        <v>#NUM!</v>
      </c>
      <c r="D126" t="e">
        <f>Weighting!$C$6</f>
        <v>#DIV/0!</v>
      </c>
      <c r="E126" t="e">
        <f>Weighting!$E$6</f>
        <v>#NUM!</v>
      </c>
      <c r="F126" t="e">
        <f>IF(E126=1,'Data Transformation'!$G$3+0.5*'Data Transformation'!$R$25,IF(E127=1,F127-'Data Transformation'!$R$25,FALSE))</f>
        <v>#NUM!</v>
      </c>
      <c r="G126">
        <f t="array" ref="G126">IF(ISLOGICAL(F126),"",FREQUENCY(IF('Data Transformation'!$B$24:$B$404='Bin Analysis and Plots'!$D$123,'Data Transformation'!$G$24:$G$404),'Bin Analysis and Plots'!F126))</f>
        <v>0</v>
      </c>
      <c r="H126">
        <f>IF(ISLOGICAL(F126),"",G126-G125)</f>
        <v>0</v>
      </c>
      <c r="I126">
        <f>Weighting!$G$6</f>
        <v>1</v>
      </c>
      <c r="J126" s="7">
        <f t="array" ref="J126">FREQUENCY(IF('Data Transformation'!$B$4:$B$404=D123,'Data Transformation'!$G$4:$G$404),'Bin Analysis and Plots'!$D126)</f>
        <v>0</v>
      </c>
      <c r="K126" s="7">
        <f>J126-J125</f>
        <v>0</v>
      </c>
      <c r="L126" s="7">
        <f>IF(K126=0,0,1)</f>
        <v>0</v>
      </c>
      <c r="M126" s="22" t="e">
        <f>L126*Weighting!$V$6</f>
        <v>#NUM!</v>
      </c>
    </row>
    <row r="127" spans="1:20" x14ac:dyDescent="0.25">
      <c r="A127" s="45" t="b">
        <f t="array" ref="A127">IF(ISERROR(INDEX('Data Transformation'!$B$4:$G$450,SMALL(IF('Data Transformation'!$B$4:$B$450='Bin Analysis and Plots'!D123,ROW('Data Transformation'!$B$4:$B$450)),ROW($2:$2))-3,3)),"",INDEX('Data Transformation'!$B$4:$G$450,SMALL(IF('Data Transformation'!$B$4:$B$450='Bin Analysis and Plots'!D123,ROW('Data Transformation'!$B$4:$B$450)),ROW($2:$2))-3,6))</f>
        <v>0</v>
      </c>
      <c r="B127" s="45" t="str">
        <f>IFERROR(SMALL(A126:A145,'Data Transformation'!$L$7),"")</f>
        <v/>
      </c>
      <c r="C127" s="61" t="str">
        <f>IF(Weighting!$O$7&gt;0,D127,"")</f>
        <v/>
      </c>
      <c r="D127" t="e">
        <f>Weighting!$C$7</f>
        <v>#DIV/0!</v>
      </c>
      <c r="E127" t="e">
        <f>Weighting!$E$7</f>
        <v>#NUM!</v>
      </c>
      <c r="F127" t="e">
        <f>IF(E127=1,'Data Transformation'!$G$3+0.5*'Data Transformation'!$R$25,IF(E128=1,F128-'Data Transformation'!$R$25,FALSE))</f>
        <v>#NUM!</v>
      </c>
      <c r="G127">
        <f t="array" ref="G127">IF(ISLOGICAL(F127),"",FREQUENCY(IF('Data Transformation'!$B$24:$B$404='Bin Analysis and Plots'!$D$123,'Data Transformation'!$G$24:$G$404),'Bin Analysis and Plots'!F127))</f>
        <v>0</v>
      </c>
      <c r="H127">
        <f t="shared" ref="H127:H145" si="19">IF(ISLOGICAL(F127),"",G127-G126)</f>
        <v>0</v>
      </c>
      <c r="I127">
        <f>Weighting!$G$7</f>
        <v>0</v>
      </c>
      <c r="J127" s="7">
        <f t="array" ref="J127">FREQUENCY(IF('Data Transformation'!$B$4:$B$404=D123,'Data Transformation'!$G$4:$G$404),'Bin Analysis and Plots'!$D127)</f>
        <v>0</v>
      </c>
      <c r="K127" s="7">
        <f t="shared" ref="K127:K145" si="20">J127-J126</f>
        <v>0</v>
      </c>
      <c r="L127" s="7">
        <f>IF(K127=0,0,1)</f>
        <v>0</v>
      </c>
      <c r="M127" s="22">
        <f>L127*Weighting!$V$7</f>
        <v>0</v>
      </c>
    </row>
    <row r="128" spans="1:20" x14ac:dyDescent="0.25">
      <c r="A128" s="45" t="b">
        <f t="array" ref="A128">IF(ISERROR(INDEX('Data Transformation'!$B$4:$G$450,SMALL(IF('Data Transformation'!$B$4:$B$450='Bin Analysis and Plots'!D123,ROW('Data Transformation'!$B$4:$B$450)),ROW($3:$3))-3,3)),"",INDEX('Data Transformation'!$B$4:$G$450,SMALL(IF('Data Transformation'!$B$4:$B$450='Bin Analysis and Plots'!D123,ROW('Data Transformation'!$B$4:$B$450)),ROW($3:$3))-3,6))</f>
        <v>0</v>
      </c>
      <c r="B128" s="45" t="str">
        <f>IFERROR(SMALL(A126:A145,'Data Transformation'!$L$8),"")</f>
        <v/>
      </c>
      <c r="C128" s="61" t="str">
        <f>IF(Weighting!$O$8&gt;0,D128,"")</f>
        <v/>
      </c>
      <c r="D128" t="e">
        <f>Weighting!$C$8</f>
        <v>#DIV/0!</v>
      </c>
      <c r="E128" t="e">
        <f>Weighting!$E$8</f>
        <v>#NUM!</v>
      </c>
      <c r="F128" t="e">
        <f>IF(E128=1,'Data Transformation'!$G$3+0.5*'Data Transformation'!$R$25,IF(E129=1,F129-'Data Transformation'!$R$25,FALSE))</f>
        <v>#NUM!</v>
      </c>
      <c r="G128">
        <f t="array" ref="G128">IF(ISLOGICAL(F128),"",FREQUENCY(IF('Data Transformation'!$B$24:$B$404='Bin Analysis and Plots'!$D$123,'Data Transformation'!$G$24:$G$404),'Bin Analysis and Plots'!F128))</f>
        <v>0</v>
      </c>
      <c r="H128">
        <f t="shared" si="19"/>
        <v>0</v>
      </c>
      <c r="I128">
        <f>Weighting!$G$8</f>
        <v>0</v>
      </c>
      <c r="J128" s="7">
        <f t="array" ref="J128">FREQUENCY(IF('Data Transformation'!$B$4:$B$404=D123,'Data Transformation'!$G$4:$G$404),'Bin Analysis and Plots'!$D128)</f>
        <v>0</v>
      </c>
      <c r="K128" s="7">
        <f t="shared" si="20"/>
        <v>0</v>
      </c>
      <c r="L128" s="7">
        <f t="shared" ref="L128:L145" si="21">IF(K128=0,0,1)</f>
        <v>0</v>
      </c>
      <c r="M128" s="22">
        <f>L128*Weighting!$V$8</f>
        <v>0</v>
      </c>
    </row>
    <row r="129" spans="1:13" x14ac:dyDescent="0.25">
      <c r="A129" s="45" t="b">
        <f t="array" ref="A129">IF(ISERROR(INDEX('Data Transformation'!$B$4:$G$450,SMALL(IF('Data Transformation'!$B$4:$B$450='Bin Analysis and Plots'!D123,ROW('Data Transformation'!$B$4:$B$450)),ROW($4:$4))-3,3)),"",INDEX('Data Transformation'!$B$4:$G$450,SMALL(IF('Data Transformation'!$B$4:$B$450='Bin Analysis and Plots'!D123,ROW('Data Transformation'!$B$4:$B$450)),ROW($4:$4))-3,6))</f>
        <v>0</v>
      </c>
      <c r="B129" s="45" t="str">
        <f>IFERROR(SMALL(A126:A145,'Data Transformation'!$L$9),"")</f>
        <v/>
      </c>
      <c r="C129" s="61" t="str">
        <f>IF(Weighting!$O$9&gt;0,D129,"")</f>
        <v/>
      </c>
      <c r="D129" t="e">
        <f>Weighting!$B$9</f>
        <v>#DIV/0!</v>
      </c>
      <c r="E129" t="e">
        <f>Weighting!$E$9</f>
        <v>#NUM!</v>
      </c>
      <c r="F129" t="e">
        <f>IF(E129=1,'Data Transformation'!$G$3+0.5*'Data Transformation'!$R$25,IF(E130=1,F130-'Data Transformation'!$R$25,FALSE))</f>
        <v>#NUM!</v>
      </c>
      <c r="G129">
        <f t="array" ref="G129">IF(ISLOGICAL(F129),"",FREQUENCY(IF('Data Transformation'!$B$24:$B$404='Bin Analysis and Plots'!$D$123,'Data Transformation'!$G$24:$G$404),'Bin Analysis and Plots'!F129))</f>
        <v>0</v>
      </c>
      <c r="H129">
        <f t="shared" si="19"/>
        <v>0</v>
      </c>
      <c r="I129">
        <f>Weighting!$G$9</f>
        <v>0</v>
      </c>
      <c r="J129" s="7">
        <f t="array" ref="J129">FREQUENCY(IF('Data Transformation'!$B$4:$B$404=D123,'Data Transformation'!$G$4:$G$404),'Bin Analysis and Plots'!$D129)</f>
        <v>0</v>
      </c>
      <c r="K129" s="7">
        <f t="shared" si="20"/>
        <v>0</v>
      </c>
      <c r="L129" s="7">
        <f t="shared" si="21"/>
        <v>0</v>
      </c>
      <c r="M129" s="22">
        <f>L129*Weighting!$V$9</f>
        <v>0</v>
      </c>
    </row>
    <row r="130" spans="1:13" x14ac:dyDescent="0.25">
      <c r="A130" s="45" t="b">
        <f t="array" ref="A130">IF(ISERROR(INDEX('Data Transformation'!$B$4:$G$450,SMALL(IF('Data Transformation'!$B$4:$B$450='Bin Analysis and Plots'!D123,ROW('Data Transformation'!$B$4:$B$450)),ROW($5:$5))-3,3)),"",INDEX('Data Transformation'!$B$4:$G$450,SMALL(IF('Data Transformation'!$B$4:$B$450='Bin Analysis and Plots'!D123,ROW('Data Transformation'!$B$4:$B$450)),ROW($5:$5))-3,6))</f>
        <v>0</v>
      </c>
      <c r="B130" s="45" t="str">
        <f>IFERROR(SMALL(A126:A145,'Data Transformation'!$L$10),"")</f>
        <v/>
      </c>
      <c r="C130" s="61" t="str">
        <f>IF(Weighting!$O$10&gt;0,D130,"")</f>
        <v/>
      </c>
      <c r="D130" t="e">
        <f>Weighting!$C$10</f>
        <v>#DIV/0!</v>
      </c>
      <c r="E130" t="e">
        <f>Weighting!$E$10</f>
        <v>#NUM!</v>
      </c>
      <c r="F130" t="e">
        <f>IF(E130=1,'Data Transformation'!$G$3+0.5*'Data Transformation'!$R$25,IF(E131=1,F131-'Data Transformation'!$R$25,FALSE))</f>
        <v>#NUM!</v>
      </c>
      <c r="G130">
        <f t="array" ref="G130">IF(ISLOGICAL(F130),"",FREQUENCY(IF('Data Transformation'!$B$24:$B$404='Bin Analysis and Plots'!$D$123,'Data Transformation'!$G$24:$G$404),'Bin Analysis and Plots'!F130))</f>
        <v>0</v>
      </c>
      <c r="H130">
        <f t="shared" si="19"/>
        <v>0</v>
      </c>
      <c r="I130">
        <f>Weighting!$G$10</f>
        <v>0</v>
      </c>
      <c r="J130" s="7">
        <f t="array" ref="J130">FREQUENCY(IF('Data Transformation'!$B$4:$B$404=D123,'Data Transformation'!$G$4:$G$404),'Bin Analysis and Plots'!$D130)</f>
        <v>0</v>
      </c>
      <c r="K130" s="7">
        <f t="shared" si="20"/>
        <v>0</v>
      </c>
      <c r="L130" s="7">
        <f t="shared" si="21"/>
        <v>0</v>
      </c>
      <c r="M130" s="22">
        <f>L130*Weighting!$V$10</f>
        <v>0</v>
      </c>
    </row>
    <row r="131" spans="1:13" x14ac:dyDescent="0.25">
      <c r="A131" s="45" t="b">
        <f t="array" ref="A131">IF(ISERROR(INDEX('Data Transformation'!$B$4:$G$450,SMALL(IF('Data Transformation'!$B$4:$B$450='Bin Analysis and Plots'!D123,ROW('Data Transformation'!$B$4:$B$450)),ROW($6:$6))-3,3)),"",INDEX('Data Transformation'!$B$4:$G$450,SMALL(IF('Data Transformation'!$B$4:$B$450='Bin Analysis and Plots'!D123,ROW('Data Transformation'!$B$4:$B$450)),ROW($6:$6))-3,6))</f>
        <v>0</v>
      </c>
      <c r="B131" s="45" t="str">
        <f>IFERROR(SMALL(A126:A145,'Data Transformation'!$L$11),"")</f>
        <v/>
      </c>
      <c r="C131" s="61" t="str">
        <f>IF(Weighting!$O$11&gt;0,D131,"")</f>
        <v/>
      </c>
      <c r="D131" t="e">
        <f>Weighting!$C$11</f>
        <v>#DIV/0!</v>
      </c>
      <c r="E131" t="e">
        <f>Weighting!$E$11</f>
        <v>#NUM!</v>
      </c>
      <c r="F131" t="e">
        <f>IF(E131=1,'Data Transformation'!$G$3+0.5*'Data Transformation'!$R$25,IF(E132=1,F132-'Data Transformation'!$R$25,FALSE))</f>
        <v>#NUM!</v>
      </c>
      <c r="G131">
        <f t="array" ref="G131">IF(ISLOGICAL(F131),"",FREQUENCY(IF('Data Transformation'!$B$24:$B$404='Bin Analysis and Plots'!$D$123,'Data Transformation'!$G$24:$G$404),'Bin Analysis and Plots'!F131))</f>
        <v>0</v>
      </c>
      <c r="H131">
        <f t="shared" si="19"/>
        <v>0</v>
      </c>
      <c r="I131">
        <f>Weighting!$G$11</f>
        <v>0</v>
      </c>
      <c r="J131" s="7">
        <f t="array" ref="J131">FREQUENCY(IF('Data Transformation'!$B$4:$B$404=D123,'Data Transformation'!$G$4:$G$404),'Bin Analysis and Plots'!$D131)</f>
        <v>0</v>
      </c>
      <c r="K131" s="7">
        <f t="shared" si="20"/>
        <v>0</v>
      </c>
      <c r="L131" s="7">
        <f t="shared" si="21"/>
        <v>0</v>
      </c>
      <c r="M131" s="22">
        <f>L131*Weighting!$V$11</f>
        <v>0</v>
      </c>
    </row>
    <row r="132" spans="1:13" x14ac:dyDescent="0.25">
      <c r="A132" s="45" t="b">
        <f t="array" ref="A132">IF(ISERROR(INDEX('Data Transformation'!$B$4:$G$450,SMALL(IF('Data Transformation'!$B$4:$B$450='Bin Analysis and Plots'!D123,ROW('Data Transformation'!$B$4:$B$450)),ROW($7:$7))-3,3)),"",INDEX('Data Transformation'!$B$4:$G$450,SMALL(IF('Data Transformation'!$B$4:$B$450='Bin Analysis and Plots'!D123,ROW('Data Transformation'!$B$4:$B$450)),ROW($7:$7))-3,6))</f>
        <v>0</v>
      </c>
      <c r="B132" s="45" t="str">
        <f>IFERROR(SMALL(A126:A145,'Data Transformation'!$L$12),"")</f>
        <v/>
      </c>
      <c r="C132" s="61" t="str">
        <f>IF(Weighting!$O$12&gt;0,D132,"")</f>
        <v/>
      </c>
      <c r="D132" t="e">
        <f>Weighting!$C$12</f>
        <v>#DIV/0!</v>
      </c>
      <c r="E132" t="e">
        <f>Weighting!$E$12</f>
        <v>#NUM!</v>
      </c>
      <c r="F132" t="e">
        <f>IF(E132=1,'Data Transformation'!$G$3+0.5*'Data Transformation'!$R$25,IF(E133=1,F133-'Data Transformation'!$R$25,FALSE))</f>
        <v>#NUM!</v>
      </c>
      <c r="G132">
        <f t="array" ref="G132">IF(ISLOGICAL(F132),"",FREQUENCY(IF('Data Transformation'!$B$24:$B$404='Bin Analysis and Plots'!$D$123,'Data Transformation'!$G$24:$G$404),'Bin Analysis and Plots'!F132))</f>
        <v>0</v>
      </c>
      <c r="H132">
        <f t="shared" si="19"/>
        <v>0</v>
      </c>
      <c r="I132">
        <f>Weighting!$G$12</f>
        <v>0</v>
      </c>
      <c r="J132" s="7">
        <f t="array" ref="J132">FREQUENCY(IF('Data Transformation'!$B$4:$B$404=D123,'Data Transformation'!$G$4:$G$404),'Bin Analysis and Plots'!$D132)</f>
        <v>0</v>
      </c>
      <c r="K132" s="7">
        <f t="shared" si="20"/>
        <v>0</v>
      </c>
      <c r="L132" s="7">
        <f t="shared" si="21"/>
        <v>0</v>
      </c>
      <c r="M132" s="22">
        <f>L132*Weighting!$V$12</f>
        <v>0</v>
      </c>
    </row>
    <row r="133" spans="1:13" x14ac:dyDescent="0.25">
      <c r="A133" s="45" t="b">
        <f t="array" ref="A133">IF(ISERROR(INDEX('Data Transformation'!$B$4:$G$450,SMALL(IF('Data Transformation'!$B$4:$B$450='Bin Analysis and Plots'!D123,ROW('Data Transformation'!$B$4:$B$450)),ROW($8:$8))-3,3)),"",INDEX('Data Transformation'!$B$4:$G$450,SMALL(IF('Data Transformation'!$B$4:$B$450='Bin Analysis and Plots'!D123,ROW('Data Transformation'!$B$4:$B$450)),ROW($8:$8))-3,6))</f>
        <v>0</v>
      </c>
      <c r="B133" s="45" t="str">
        <f>IFERROR(SMALL(A126:A145,'Data Transformation'!$L$13),"")</f>
        <v/>
      </c>
      <c r="C133" s="61" t="str">
        <f>IF(Weighting!$O$13&gt;0,D133,"")</f>
        <v/>
      </c>
      <c r="D133" t="e">
        <f>Weighting!$C$13</f>
        <v>#DIV/0!</v>
      </c>
      <c r="E133" t="e">
        <f>Weighting!$E$13</f>
        <v>#NUM!</v>
      </c>
      <c r="F133" t="e">
        <f>IF(E133=1,'Data Transformation'!$G$3+0.5*'Data Transformation'!$R$25,IF(E134=1,F134-'Data Transformation'!$R$25,FALSE))</f>
        <v>#NUM!</v>
      </c>
      <c r="G133">
        <f t="array" ref="G133">IF(ISLOGICAL(F133),"",FREQUENCY(IF('Data Transformation'!$B$24:$B$404='Bin Analysis and Plots'!$D$123,'Data Transformation'!$G$24:$G$404),'Bin Analysis and Plots'!F133))</f>
        <v>0</v>
      </c>
      <c r="H133">
        <f t="shared" si="19"/>
        <v>0</v>
      </c>
      <c r="I133">
        <f>Weighting!$G$13</f>
        <v>0</v>
      </c>
      <c r="J133" s="7">
        <f t="array" ref="J133">FREQUENCY(IF('Data Transformation'!$B$4:$B$404=D123,'Data Transformation'!$G$4:$G$404),'Bin Analysis and Plots'!$D133)</f>
        <v>0</v>
      </c>
      <c r="K133" s="7">
        <f t="shared" si="20"/>
        <v>0</v>
      </c>
      <c r="L133" s="7">
        <f t="shared" si="21"/>
        <v>0</v>
      </c>
      <c r="M133" s="22">
        <f>L133*Weighting!$V$13</f>
        <v>0</v>
      </c>
    </row>
    <row r="134" spans="1:13" x14ac:dyDescent="0.25">
      <c r="A134" s="45" t="b">
        <f t="array" ref="A134">IF(ISERROR(INDEX('Data Transformation'!$B$4:$G$450,SMALL(IF('Data Transformation'!$B$4:$B$450='Bin Analysis and Plots'!D123,ROW('Data Transformation'!$B$4:$B$450)),ROW($9:$9))-3,3)),"",INDEX('Data Transformation'!$B$4:$G$450,SMALL(IF('Data Transformation'!$B$4:$B$450='Bin Analysis and Plots'!D123,ROW('Data Transformation'!$B$4:$B$450)),ROW($9:$9))-3,6))</f>
        <v>0</v>
      </c>
      <c r="B134" s="45" t="str">
        <f>IFERROR(SMALL(A126:A145,'Data Transformation'!$L$14),"")</f>
        <v/>
      </c>
      <c r="C134" s="61" t="str">
        <f>IF(Weighting!$O$14&gt;0,D134,"")</f>
        <v/>
      </c>
      <c r="D134" t="e">
        <f>Weighting!$C$14</f>
        <v>#DIV/0!</v>
      </c>
      <c r="E134" t="e">
        <f>Weighting!$E$14</f>
        <v>#NUM!</v>
      </c>
      <c r="F134" t="e">
        <f>IF(E134=1,'Data Transformation'!$G$3+0.5*'Data Transformation'!$R$25,IF(E135=1,F135-'Data Transformation'!$R$25,FALSE))</f>
        <v>#NUM!</v>
      </c>
      <c r="G134">
        <f t="array" ref="G134">IF(ISLOGICAL(F134),"",FREQUENCY(IF('Data Transformation'!$B$24:$B$404='Bin Analysis and Plots'!$D$123,'Data Transformation'!$G$24:$G$404),'Bin Analysis and Plots'!F134))</f>
        <v>0</v>
      </c>
      <c r="H134">
        <f t="shared" si="19"/>
        <v>0</v>
      </c>
      <c r="I134">
        <f>Weighting!$G$14</f>
        <v>0</v>
      </c>
      <c r="J134" s="7">
        <f t="array" ref="J134">FREQUENCY(IF('Data Transformation'!$B$4:$B$404=D123,'Data Transformation'!$G$4:$G$404),'Bin Analysis and Plots'!$D134)</f>
        <v>0</v>
      </c>
      <c r="K134" s="7">
        <f t="shared" si="20"/>
        <v>0</v>
      </c>
      <c r="L134" s="7">
        <f t="shared" si="21"/>
        <v>0</v>
      </c>
      <c r="M134" s="22">
        <f>L134*Weighting!$V$14</f>
        <v>0</v>
      </c>
    </row>
    <row r="135" spans="1:13" x14ac:dyDescent="0.25">
      <c r="A135" s="45" t="b">
        <f t="array" ref="A135">IF(ISERROR(INDEX('Data Transformation'!$B$4:$G$450,SMALL(IF('Data Transformation'!$B$4:$B$450='Bin Analysis and Plots'!D123,ROW('Data Transformation'!$B$4:$B$450)),ROW($10:$10))-3,3)),"",INDEX('Data Transformation'!$B$4:$G$450,SMALL(IF('Data Transformation'!$B$4:$B$450='Bin Analysis and Plots'!D123,ROW('Data Transformation'!$B$4:$B$450)),ROW($10:$10))-3,6))</f>
        <v>0</v>
      </c>
      <c r="B135" s="45" t="str">
        <f>IFERROR(SMALL(A126:A145,'Data Transformation'!$L$15),"")</f>
        <v/>
      </c>
      <c r="C135" s="61" t="str">
        <f>IF(Weighting!$O$15&gt;0,D135,"")</f>
        <v/>
      </c>
      <c r="D135" t="e">
        <f>Weighting!$C$15</f>
        <v>#DIV/0!</v>
      </c>
      <c r="E135" t="e">
        <f>Weighting!$E$15</f>
        <v>#NUM!</v>
      </c>
      <c r="F135" t="e">
        <f>IF(E135=1,'Data Transformation'!$G$3+0.5*'Data Transformation'!$R$25,IF(E136=1,F136-'Data Transformation'!$R$25,FALSE))</f>
        <v>#NUM!</v>
      </c>
      <c r="G135">
        <f t="array" ref="G135">IF(ISLOGICAL(F135),"",FREQUENCY(IF('Data Transformation'!$B$24:$B$404='Bin Analysis and Plots'!$D$123,'Data Transformation'!$G$24:$G$404),'Bin Analysis and Plots'!F135))</f>
        <v>0</v>
      </c>
      <c r="H135">
        <f t="shared" si="19"/>
        <v>0</v>
      </c>
      <c r="I135">
        <f>Weighting!$G$15</f>
        <v>0</v>
      </c>
      <c r="J135" s="7">
        <f t="array" ref="J135">FREQUENCY(IF('Data Transformation'!$B$4:$B$404=D123,'Data Transformation'!$G$4:$G$404),'Bin Analysis and Plots'!$D135)</f>
        <v>0</v>
      </c>
      <c r="K135" s="7">
        <f t="shared" si="20"/>
        <v>0</v>
      </c>
      <c r="L135" s="7">
        <f t="shared" si="21"/>
        <v>0</v>
      </c>
      <c r="M135" s="22">
        <f>L135*Weighting!$V$15</f>
        <v>0</v>
      </c>
    </row>
    <row r="136" spans="1:13" x14ac:dyDescent="0.25">
      <c r="A136" s="45" t="b">
        <f t="array" ref="A136">IF(ISERROR(INDEX('Data Transformation'!$B$4:$G$450,SMALL(IF('Data Transformation'!$B$4:$B$450='Bin Analysis and Plots'!D123,ROW('Data Transformation'!$B$4:$B$450)),ROW($11:$11))-3,3)),"",INDEX('Data Transformation'!$B$4:$G$450,SMALL(IF('Data Transformation'!$B$4:$B$450='Bin Analysis and Plots'!D123,ROW('Data Transformation'!$B$4:$B$450)),ROW($11:$11))-3,6))</f>
        <v>0</v>
      </c>
      <c r="B136" s="45" t="str">
        <f>IFERROR(SMALL(A126:A145,'Data Transformation'!$L$16),"")</f>
        <v/>
      </c>
      <c r="C136" s="61" t="str">
        <f>IF(Weighting!$O$16&gt;0,D136,"")</f>
        <v/>
      </c>
      <c r="D136" t="e">
        <f>Weighting!$C$16</f>
        <v>#DIV/0!</v>
      </c>
      <c r="E136" t="e">
        <f>Weighting!$E$16</f>
        <v>#NUM!</v>
      </c>
      <c r="F136" t="e">
        <f>IF(E136=1,'Data Transformation'!$G$3+0.5*'Data Transformation'!$R$25,IF(E137=1,F137-'Data Transformation'!$R$25,FALSE))</f>
        <v>#NUM!</v>
      </c>
      <c r="G136">
        <f t="array" ref="G136">IF(ISLOGICAL(F136),"",FREQUENCY(IF('Data Transformation'!$B$24:$B$404='Bin Analysis and Plots'!$D$123,'Data Transformation'!$G$24:$G$404),'Bin Analysis and Plots'!F136))</f>
        <v>0</v>
      </c>
      <c r="H136">
        <f t="shared" si="19"/>
        <v>0</v>
      </c>
      <c r="I136">
        <f>Weighting!$G$16</f>
        <v>0</v>
      </c>
      <c r="J136" s="7">
        <f t="array" ref="J136">FREQUENCY(IF('Data Transformation'!$B$4:$B$404=D123,'Data Transformation'!$G$4:$G$404),'Bin Analysis and Plots'!$D136)</f>
        <v>0</v>
      </c>
      <c r="K136" s="7">
        <f t="shared" si="20"/>
        <v>0</v>
      </c>
      <c r="L136" s="7">
        <f t="shared" si="21"/>
        <v>0</v>
      </c>
      <c r="M136" s="22">
        <f>L136*Weighting!$V$16</f>
        <v>0</v>
      </c>
    </row>
    <row r="137" spans="1:13" x14ac:dyDescent="0.25">
      <c r="A137" s="45" t="b">
        <f t="array" ref="A137">IF(ISERROR(INDEX('Data Transformation'!$B$4:$G$450,SMALL(IF('Data Transformation'!$B$4:$B$450='Bin Analysis and Plots'!D123,ROW('Data Transformation'!$B$4:$B$450)),ROW($12:$12))-3,3)),"",INDEX('Data Transformation'!$B$4:$G$450,SMALL(IF('Data Transformation'!$B$4:$B$450='Bin Analysis and Plots'!D123,ROW('Data Transformation'!$B$4:$B$450)),ROW($12:$12))-3,6))</f>
        <v>0</v>
      </c>
      <c r="B137" s="45" t="str">
        <f>IFERROR(SMALL(A126:A145,'Data Transformation'!$L$17),"")</f>
        <v/>
      </c>
      <c r="C137" s="61" t="str">
        <f>IF(Weighting!$O$17&gt;0,D137,"")</f>
        <v/>
      </c>
      <c r="D137" t="e">
        <f>Weighting!$C$17</f>
        <v>#DIV/0!</v>
      </c>
      <c r="E137" t="e">
        <f>Weighting!$E$17</f>
        <v>#NUM!</v>
      </c>
      <c r="F137" t="e">
        <f>IF(E137=1,'Data Transformation'!$G$3+0.5*'Data Transformation'!$R$25,IF(E138=1,F138-'Data Transformation'!$R$25,FALSE))</f>
        <v>#NUM!</v>
      </c>
      <c r="G137">
        <f t="array" ref="G137">IF(ISLOGICAL(F137),"",FREQUENCY(IF('Data Transformation'!$B$24:$B$404='Bin Analysis and Plots'!$D$123,'Data Transformation'!$G$24:$G$404),'Bin Analysis and Plots'!F137))</f>
        <v>0</v>
      </c>
      <c r="H137">
        <f t="shared" si="19"/>
        <v>0</v>
      </c>
      <c r="I137">
        <f>Weighting!$G$17</f>
        <v>0</v>
      </c>
      <c r="J137" s="7">
        <f t="array" ref="J137">FREQUENCY(IF('Data Transformation'!$B$4:$B$404=D123,'Data Transformation'!$G$4:$G$404),'Bin Analysis and Plots'!$D137)</f>
        <v>0</v>
      </c>
      <c r="K137" s="7">
        <f t="shared" si="20"/>
        <v>0</v>
      </c>
      <c r="L137" s="7">
        <f t="shared" si="21"/>
        <v>0</v>
      </c>
      <c r="M137" s="22">
        <f>L137*Weighting!$V$17</f>
        <v>0</v>
      </c>
    </row>
    <row r="138" spans="1:13" x14ac:dyDescent="0.25">
      <c r="A138" s="45" t="b">
        <f t="array" ref="A138">IF(ISERROR(INDEX('Data Transformation'!$B$4:$G$450,SMALL(IF('Data Transformation'!$B$4:$B$450='Bin Analysis and Plots'!D123,ROW('Data Transformation'!$B$4:$B$450)),ROW($13:$13))-3,3)),"",INDEX('Data Transformation'!$B$4:$G$450,SMALL(IF('Data Transformation'!$B$4:$B$450='Bin Analysis and Plots'!D123,ROW('Data Transformation'!$B$4:$B$450)),ROW($13:$13))-3,6))</f>
        <v>0</v>
      </c>
      <c r="B138" s="45" t="str">
        <f>IFERROR(SMALL(A126:A145,'Data Transformation'!$L$18),"")</f>
        <v/>
      </c>
      <c r="C138" s="61" t="str">
        <f>IF(Weighting!$O$18&gt;0,D138,"")</f>
        <v/>
      </c>
      <c r="D138" t="e">
        <f>Weighting!$C$18</f>
        <v>#DIV/0!</v>
      </c>
      <c r="E138" t="e">
        <f>Weighting!$E$18</f>
        <v>#NUM!</v>
      </c>
      <c r="F138" t="e">
        <f>IF(E138=1,'Data Transformation'!$G$3+0.5*'Data Transformation'!$R$25,IF(E139=1,F139-'Data Transformation'!$R$25,FALSE))</f>
        <v>#NUM!</v>
      </c>
      <c r="G138">
        <f t="array" ref="G138">IF(ISLOGICAL(F138),"",FREQUENCY(IF('Data Transformation'!$B$24:$B$404='Bin Analysis and Plots'!$D$123,'Data Transformation'!$G$24:$G$404),'Bin Analysis and Plots'!F138))</f>
        <v>0</v>
      </c>
      <c r="H138">
        <f t="shared" si="19"/>
        <v>0</v>
      </c>
      <c r="I138">
        <f>Weighting!$G$18</f>
        <v>0</v>
      </c>
      <c r="J138" s="7">
        <f t="array" ref="J138">FREQUENCY(IF('Data Transformation'!$B$4:$B$404=D123,'Data Transformation'!$G$4:$G$404),'Bin Analysis and Plots'!$D138)</f>
        <v>0</v>
      </c>
      <c r="K138" s="7">
        <f t="shared" si="20"/>
        <v>0</v>
      </c>
      <c r="L138" s="7">
        <f t="shared" si="21"/>
        <v>0</v>
      </c>
      <c r="M138" s="22">
        <f>L138*Weighting!$V$18</f>
        <v>0</v>
      </c>
    </row>
    <row r="139" spans="1:13" x14ac:dyDescent="0.25">
      <c r="A139" s="45" t="b">
        <f t="array" ref="A139">IF(ISERROR(INDEX('Data Transformation'!$B$4:$G$450,SMALL(IF('Data Transformation'!$B$4:$B$450='Bin Analysis and Plots'!D123,ROW('Data Transformation'!$B$4:$B$450)),ROW($14:$14))-3,3)),"",INDEX('Data Transformation'!$B$4:$G$450,SMALL(IF('Data Transformation'!$B$4:$B$450='Bin Analysis and Plots'!D123,ROW('Data Transformation'!$B$4:$B$450)),ROW($14:$14))-3,6))</f>
        <v>0</v>
      </c>
      <c r="B139" s="45" t="str">
        <f>IFERROR(SMALL(A126:A145,'Data Transformation'!$L$19),"")</f>
        <v/>
      </c>
      <c r="C139" s="61" t="str">
        <f>IF(Weighting!$O$19&gt;0,D139,"")</f>
        <v/>
      </c>
      <c r="D139" t="e">
        <f>Weighting!$C$19</f>
        <v>#DIV/0!</v>
      </c>
      <c r="E139" t="e">
        <f>Weighting!$E$19</f>
        <v>#NUM!</v>
      </c>
      <c r="F139" t="e">
        <f>IF(E139=1,'Data Transformation'!$G$3+0.5*'Data Transformation'!$R$25,IF(E140=1,F140-'Data Transformation'!$R$25,FALSE))</f>
        <v>#NUM!</v>
      </c>
      <c r="G139">
        <f t="array" ref="G139">IF(ISLOGICAL(F139),"",FREQUENCY(IF('Data Transformation'!$B$24:$B$404='Bin Analysis and Plots'!$D$123,'Data Transformation'!$G$24:$G$404),'Bin Analysis and Plots'!F139))</f>
        <v>0</v>
      </c>
      <c r="H139">
        <f t="shared" si="19"/>
        <v>0</v>
      </c>
      <c r="I139">
        <f>Weighting!$G$19</f>
        <v>0</v>
      </c>
      <c r="J139" s="7">
        <f t="array" ref="J139">FREQUENCY(IF('Data Transformation'!$B$4:$B$404=D123,'Data Transformation'!$G$4:$G$404),'Bin Analysis and Plots'!$D139)</f>
        <v>0</v>
      </c>
      <c r="K139" s="7">
        <f t="shared" si="20"/>
        <v>0</v>
      </c>
      <c r="L139" s="7">
        <f t="shared" si="21"/>
        <v>0</v>
      </c>
      <c r="M139" s="22">
        <f>L139*Weighting!$V$19</f>
        <v>0</v>
      </c>
    </row>
    <row r="140" spans="1:13" x14ac:dyDescent="0.25">
      <c r="A140" s="45" t="b">
        <f t="array" ref="A140">IF(ISERROR(INDEX('Data Transformation'!$B$4:$G$450,SMALL(IF('Data Transformation'!$B$4:$B$450='Bin Analysis and Plots'!D123,ROW('Data Transformation'!$B$4:$B$450)),ROW($15:$15))-3,3)),"",INDEX('Data Transformation'!$B$4:$G$450,SMALL(IF('Data Transformation'!$B$4:$B$450='Bin Analysis and Plots'!D123,ROW('Data Transformation'!$B$4:$B$450)),ROW($15:$15))-3,6))</f>
        <v>0</v>
      </c>
      <c r="B140" s="45" t="str">
        <f>IFERROR(SMALL(A126:A145,'Data Transformation'!$L$20),"")</f>
        <v/>
      </c>
      <c r="C140" s="61" t="str">
        <f>IF(Weighting!$O$20&gt;0,D140,"")</f>
        <v/>
      </c>
      <c r="D140" t="e">
        <f>Weighting!$C$20</f>
        <v>#DIV/0!</v>
      </c>
      <c r="E140" t="e">
        <f>Weighting!$E$20</f>
        <v>#NUM!</v>
      </c>
      <c r="F140" t="e">
        <f>IF(E140=1,'Data Transformation'!$G$3+0.5*'Data Transformation'!$R$25,IF(E141=1,F141-'Data Transformation'!$R$25,FALSE))</f>
        <v>#NUM!</v>
      </c>
      <c r="G140">
        <f t="array" ref="G140">IF(ISLOGICAL(F140),"",FREQUENCY(IF('Data Transformation'!$B$24:$B$404='Bin Analysis and Plots'!$D$123,'Data Transformation'!$G$24:$G$404),'Bin Analysis and Plots'!F140))</f>
        <v>0</v>
      </c>
      <c r="H140">
        <f t="shared" si="19"/>
        <v>0</v>
      </c>
      <c r="I140">
        <f>Weighting!$G$20</f>
        <v>0</v>
      </c>
      <c r="J140" s="7">
        <f t="array" ref="J140">FREQUENCY(IF('Data Transformation'!$B$4:$B$404=D123,'Data Transformation'!$G$4:$G$404),'Bin Analysis and Plots'!$D140)</f>
        <v>0</v>
      </c>
      <c r="K140" s="7">
        <f t="shared" si="20"/>
        <v>0</v>
      </c>
      <c r="L140" s="7">
        <f t="shared" si="21"/>
        <v>0</v>
      </c>
      <c r="M140" s="22">
        <f>L140*Weighting!$V$20</f>
        <v>0</v>
      </c>
    </row>
    <row r="141" spans="1:13" x14ac:dyDescent="0.25">
      <c r="A141" s="45" t="b">
        <f t="array" ref="A141">IF(ISERROR(INDEX('Data Transformation'!$B$4:$G$450,SMALL(IF('Data Transformation'!$B$4:$B$450='Bin Analysis and Plots'!D123,ROW('Data Transformation'!$B$4:$B$450)),ROW($16:$16))-3,3)),"",INDEX('Data Transformation'!$B$4:$G$450,SMALL(IF('Data Transformation'!$B$4:$B$450='Bin Analysis and Plots'!D123,ROW('Data Transformation'!$B$4:$B$450)),ROW($16:$16))-3,6))</f>
        <v>0</v>
      </c>
      <c r="B141" s="45" t="str">
        <f>IFERROR(SMALL(A126:A145,'Data Transformation'!$L$21),"")</f>
        <v/>
      </c>
      <c r="C141" s="61" t="str">
        <f>IF(Weighting!$O$21&gt;0,D141,"")</f>
        <v/>
      </c>
      <c r="D141" t="e">
        <f>Weighting!$C$21</f>
        <v>#DIV/0!</v>
      </c>
      <c r="E141" t="e">
        <f>Weighting!$E$21</f>
        <v>#NUM!</v>
      </c>
      <c r="F141" t="e">
        <f>IF(E141=1,'Data Transformation'!$G$3+0.5*'Data Transformation'!$R$25,IF(E142=1,F142-'Data Transformation'!$R$25,FALSE))</f>
        <v>#NUM!</v>
      </c>
      <c r="G141">
        <f t="array" ref="G141">IF(ISLOGICAL(F141),"",FREQUENCY(IF('Data Transformation'!$B$24:$B$404='Bin Analysis and Plots'!$D$123,'Data Transformation'!$G$24:$G$404),'Bin Analysis and Plots'!F141))</f>
        <v>0</v>
      </c>
      <c r="H141">
        <f t="shared" si="19"/>
        <v>0</v>
      </c>
      <c r="I141">
        <f>Weighting!$G$21</f>
        <v>0</v>
      </c>
      <c r="J141" s="7">
        <f t="array" ref="J141">FREQUENCY(IF('Data Transformation'!$B$4:$B$404=D123,'Data Transformation'!$G$4:$G$404),'Bin Analysis and Plots'!$D141)</f>
        <v>0</v>
      </c>
      <c r="K141" s="7">
        <f t="shared" si="20"/>
        <v>0</v>
      </c>
      <c r="L141" s="7">
        <f t="shared" si="21"/>
        <v>0</v>
      </c>
      <c r="M141" s="22">
        <f>L141*Weighting!$V$21</f>
        <v>0</v>
      </c>
    </row>
    <row r="142" spans="1:13" x14ac:dyDescent="0.25">
      <c r="A142" s="45" t="b">
        <f t="array" ref="A142">IF(ISERROR(INDEX('Data Transformation'!$B$4:$G$450,SMALL(IF('Data Transformation'!$B$4:$B$450='Bin Analysis and Plots'!D123,ROW('Data Transformation'!$B$4:$B$450)),ROW($17:$17))-3,3)),"",INDEX('Data Transformation'!$B$4:$G$450,SMALL(IF('Data Transformation'!$B$4:$B$450='Bin Analysis and Plots'!D123,ROW('Data Transformation'!$B$4:$B$450)),ROW($17:$17))-3,6))</f>
        <v>0</v>
      </c>
      <c r="B142" s="45" t="str">
        <f>IFERROR(SMALL(A126:A145,'Data Transformation'!$L$22),"")</f>
        <v/>
      </c>
      <c r="C142" s="61" t="str">
        <f>IF(Weighting!$O$22&gt;0,D142,"")</f>
        <v/>
      </c>
      <c r="D142" t="e">
        <f>Weighting!$C$22</f>
        <v>#DIV/0!</v>
      </c>
      <c r="E142" t="e">
        <f>Weighting!$E$22</f>
        <v>#NUM!</v>
      </c>
      <c r="F142" t="e">
        <f>IF(E142=1,'Data Transformation'!$G$3+0.5*'Data Transformation'!$R$25,IF(E143=1,F143-'Data Transformation'!$R$25,FALSE))</f>
        <v>#NUM!</v>
      </c>
      <c r="G142">
        <f t="array" ref="G142">IF(ISLOGICAL(F142),"",FREQUENCY(IF('Data Transformation'!$B$24:$B$404='Bin Analysis and Plots'!$D$123,'Data Transformation'!$G$24:$G$404),'Bin Analysis and Plots'!F142))</f>
        <v>0</v>
      </c>
      <c r="H142">
        <f t="shared" si="19"/>
        <v>0</v>
      </c>
      <c r="I142">
        <f>Weighting!$G$22</f>
        <v>0</v>
      </c>
      <c r="J142" s="7">
        <f t="array" ref="J142">FREQUENCY(IF('Data Transformation'!$B$4:$B$404=D123,'Data Transformation'!$G$4:$G$404),'Bin Analysis and Plots'!$D142)</f>
        <v>0</v>
      </c>
      <c r="K142" s="7">
        <f t="shared" si="20"/>
        <v>0</v>
      </c>
      <c r="L142" s="7">
        <f t="shared" si="21"/>
        <v>0</v>
      </c>
      <c r="M142" s="22">
        <f>L142*Weighting!$V$22</f>
        <v>0</v>
      </c>
    </row>
    <row r="143" spans="1:13" x14ac:dyDescent="0.25">
      <c r="A143" s="45" t="b">
        <f t="array" ref="A143">IF(ISERROR(INDEX('Data Transformation'!$B$4:$G$450,SMALL(IF('Data Transformation'!$B$4:$B$450='Bin Analysis and Plots'!D123,ROW('Data Transformation'!$B$4:$B$450)),ROW($18:$18))-3,3)),"",INDEX('Data Transformation'!$B$4:$G$450,SMALL(IF('Data Transformation'!$B$4:$B$450='Bin Analysis and Plots'!D123,ROW('Data Transformation'!$B$4:$B$450)),ROW($18:$18))-3,6))</f>
        <v>0</v>
      </c>
      <c r="B143" s="45" t="str">
        <f>IFERROR(SMALL(A126:A145,'Data Transformation'!$L$23),"")</f>
        <v/>
      </c>
      <c r="C143" s="61" t="str">
        <f>IF(Weighting!$O$23&gt;0,D143,"")</f>
        <v/>
      </c>
      <c r="D143" t="e">
        <f>Weighting!$C$23</f>
        <v>#DIV/0!</v>
      </c>
      <c r="E143" t="e">
        <f>Weighting!$E$23</f>
        <v>#NUM!</v>
      </c>
      <c r="F143" t="e">
        <f>IF(E143=1,'Data Transformation'!$G$3+0.5*'Data Transformation'!$R$25,IF(E144=1,F144-'Data Transformation'!$R$25,FALSE))</f>
        <v>#NUM!</v>
      </c>
      <c r="G143">
        <f t="array" ref="G143">IF(ISLOGICAL(F143),"",FREQUENCY(IF('Data Transformation'!$B$24:$B$404='Bin Analysis and Plots'!$D$123,'Data Transformation'!$G$24:$G$404),'Bin Analysis and Plots'!F143))</f>
        <v>0</v>
      </c>
      <c r="H143">
        <f t="shared" si="19"/>
        <v>0</v>
      </c>
      <c r="I143">
        <f>Weighting!$G$23</f>
        <v>0</v>
      </c>
      <c r="J143" s="7">
        <f t="array" ref="J143">FREQUENCY(IF('Data Transformation'!$B$4:$B$404=D123,'Data Transformation'!$G$4:$G$404),'Bin Analysis and Plots'!$D143)</f>
        <v>0</v>
      </c>
      <c r="K143" s="7">
        <f t="shared" si="20"/>
        <v>0</v>
      </c>
      <c r="L143" s="7">
        <f t="shared" si="21"/>
        <v>0</v>
      </c>
      <c r="M143" s="22">
        <f>L143*Weighting!$V$23</f>
        <v>0</v>
      </c>
    </row>
    <row r="144" spans="1:13" x14ac:dyDescent="0.25">
      <c r="A144" s="45" t="str">
        <f>IF(ISERROR(INDEX('Data Transformation'!$B$4:$G$450,SMALL(IF('Data Transformation'!$B$4:$B$450='Bin Analysis and Plots'!D123,ROW('Data Transformation'!$B$4:$B$450)),ROW($19:$19))-3,3)),"",INDEX('Data Transformation'!$B$4:$G$450,SMALL(IF('Data Transformation'!$B$4:$B$450='Bin Analysis and Plots'!D123,ROW('Data Transformation'!$B$4:$B$450)),ROW($19:$19))-3,6))</f>
        <v/>
      </c>
      <c r="B144" s="45" t="str">
        <f>IFERROR(SMALL(A126:A145,'Data Transformation'!$L$24),"")</f>
        <v/>
      </c>
      <c r="C144" s="61" t="str">
        <f>IF(Weighting!$O$24&gt;0,D144,"")</f>
        <v/>
      </c>
      <c r="D144" t="e">
        <f>Weighting!$C$24</f>
        <v>#DIV/0!</v>
      </c>
      <c r="E144" t="e">
        <f>Weighting!$E$24</f>
        <v>#NUM!</v>
      </c>
      <c r="F144" t="e">
        <f>IF(E144=1,'Data Transformation'!$G$3+0.5*'Data Transformation'!$R$25,IF(E145=1,F145-'Data Transformation'!$R$25,FALSE))</f>
        <v>#NUM!</v>
      </c>
      <c r="G144">
        <f t="array" ref="G144">IF(ISLOGICAL(F144),"",FREQUENCY(IF('Data Transformation'!$B$24:$B$404='Bin Analysis and Plots'!$D$123,'Data Transformation'!$G$24:$G$404),'Bin Analysis and Plots'!F144))</f>
        <v>0</v>
      </c>
      <c r="H144">
        <f t="shared" si="19"/>
        <v>0</v>
      </c>
      <c r="I144">
        <f>Weighting!$G$24</f>
        <v>0</v>
      </c>
      <c r="J144" s="7">
        <f t="array" ref="J144">FREQUENCY(IF('Data Transformation'!$B$4:$B$404=D123,'Data Transformation'!$G$4:$G$404),'Bin Analysis and Plots'!$D144)</f>
        <v>0</v>
      </c>
      <c r="K144" s="7">
        <f t="shared" si="20"/>
        <v>0</v>
      </c>
      <c r="L144" s="7">
        <f t="shared" si="21"/>
        <v>0</v>
      </c>
      <c r="M144" s="22">
        <f>L144*Weighting!$V$24</f>
        <v>0</v>
      </c>
    </row>
    <row r="145" spans="1:20" x14ac:dyDescent="0.25">
      <c r="A145" s="45" t="b">
        <f t="array" ref="A145">IF(ISERROR(INDEX('Data Transformation'!$B$4:$G$450,SMALL(IF('Data Transformation'!$B$4:$B$450='Bin Analysis and Plots'!D123,ROW('Data Transformation'!$B$4:$B$450)),ROW($20:$20))-3,3)),"",INDEX('Data Transformation'!$B$4:$G$450,SMALL(IF('Data Transformation'!$B$4:$B$450='Bin Analysis and Plots'!D123,ROW('Data Transformation'!$B$4:$B$450)),ROW($20:$20))-3,6))</f>
        <v>0</v>
      </c>
      <c r="B145" s="45" t="str">
        <f>IFERROR(SMALL(A126:A145,'Data Transformation'!$L$25),"")</f>
        <v/>
      </c>
      <c r="C145" s="61" t="str">
        <f>IF(Weighting!$O$25&gt;0,D145,"")</f>
        <v/>
      </c>
      <c r="D145" t="e">
        <f>Weighting!$C$25</f>
        <v>#DIV/0!</v>
      </c>
      <c r="E145" t="e">
        <f>Weighting!$E$25</f>
        <v>#NUM!</v>
      </c>
      <c r="F145" t="e">
        <f>IF(E145=1,'Data Transformation'!$G$3+0.5*'Data Transformation'!$R$25,IF(E146=1,F146-'Data Transformation'!$R$25,FALSE))</f>
        <v>#NUM!</v>
      </c>
      <c r="G145">
        <f t="array" ref="G145">IF(ISLOGICAL(F145),"",FREQUENCY(IF('Data Transformation'!$B$24:$B$404='Bin Analysis and Plots'!$D$123,'Data Transformation'!$G$24:$G$404),'Bin Analysis and Plots'!F145))</f>
        <v>0</v>
      </c>
      <c r="H145">
        <f t="shared" si="19"/>
        <v>0</v>
      </c>
      <c r="I145">
        <f>Weighting!$G$25</f>
        <v>0</v>
      </c>
      <c r="J145" s="7">
        <f t="array" ref="J145">FREQUENCY(IF('Data Transformation'!$B$4:$B$404=D123,'Data Transformation'!$G$4:$G$404),'Bin Analysis and Plots'!$D145)</f>
        <v>0</v>
      </c>
      <c r="K145" s="7">
        <f t="shared" si="20"/>
        <v>0</v>
      </c>
      <c r="L145" s="7">
        <f t="shared" si="21"/>
        <v>0</v>
      </c>
      <c r="M145" s="22">
        <f>L145*Weighting!$V$25</f>
        <v>0</v>
      </c>
    </row>
    <row r="146" spans="1:20" x14ac:dyDescent="0.25">
      <c r="C146" s="60" t="str">
        <f t="shared" si="18"/>
        <v/>
      </c>
    </row>
    <row r="147" spans="1:20" ht="23.25" x14ac:dyDescent="0.35">
      <c r="C147" s="46" t="s">
        <v>0</v>
      </c>
      <c r="D147" s="46" t="str">
        <f>'Input and Summary Results'!G13</f>
        <v xml:space="preserve"> </v>
      </c>
      <c r="E147" s="46"/>
      <c r="F147" s="46"/>
      <c r="G147" s="46"/>
      <c r="H147" s="46"/>
      <c r="I147" s="46"/>
      <c r="J147" s="47"/>
      <c r="K147" s="47"/>
      <c r="L147" s="47"/>
      <c r="M147" s="46"/>
      <c r="N147" s="46"/>
      <c r="O147" s="57" t="e">
        <f>INDEX('Data Transformation'!$O$4:$O$25,MATCH($D147,'Data Transformation'!$M$4:$M$25,0),MATCH($O$2,'Data Transformation'!$O$3,0))</f>
        <v>#N/A</v>
      </c>
      <c r="P147" s="52" t="e">
        <f>IF(O147=FALSE,NA(),(VLOOKUP(1,E150:M169,4,FALSE))/(O147-1))</f>
        <v>#N/A</v>
      </c>
      <c r="Q147" s="52" t="e">
        <f>IF(O147=FALSE,NA(),SUM(L150:L169)/Weighting!$R$5)</f>
        <v>#N/A</v>
      </c>
      <c r="R147" s="52" t="e">
        <f>IF(O147=FALSE,NA(),SUM(M150:M169)/Weighting!$R$6)</f>
        <v>#N/A</v>
      </c>
      <c r="S147" s="52" t="e">
        <f>IF(O147=FALSE,NA(),(VLOOKUP(1,I150:M169,3,FALSE))/(O147-1))</f>
        <v>#N/A</v>
      </c>
      <c r="T147" s="57" t="e">
        <f>IF(O147=FALSE,NA(),IF(SUM(L150:L169)=2,"yes","no"))</f>
        <v>#N/A</v>
      </c>
    </row>
    <row r="148" spans="1:20" x14ac:dyDescent="0.25">
      <c r="A148" s="96" t="s">
        <v>64</v>
      </c>
      <c r="B148" s="96"/>
      <c r="C148" s="58" t="s">
        <v>72</v>
      </c>
      <c r="D148" t="s">
        <v>50</v>
      </c>
      <c r="E148" t="s">
        <v>5</v>
      </c>
      <c r="I148" t="s">
        <v>75</v>
      </c>
      <c r="J148" s="7" t="s">
        <v>34</v>
      </c>
      <c r="K148" s="7" t="s">
        <v>35</v>
      </c>
      <c r="L148" s="7" t="s">
        <v>49</v>
      </c>
      <c r="M148" s="21" t="s">
        <v>48</v>
      </c>
    </row>
    <row r="149" spans="1:20" x14ac:dyDescent="0.25">
      <c r="C149" s="60" t="str">
        <f t="shared" ref="C149:C170" si="22">IF(B149="","",D149)</f>
        <v/>
      </c>
      <c r="F149" t="e">
        <f>IF(E149=1,'Data Transformation'!$G$3+0.5*'Data Transformation'!$R$25,IF(E150=1,F150-'Data Transformation'!$R$25,FALSE))</f>
        <v>#NUM!</v>
      </c>
      <c r="G149">
        <f t="array" ref="G149">IF(ISLOGICAL(F149),"",FREQUENCY(IF('Data Transformation'!$B$24:$B$404='Bin Analysis and Plots'!$D$147,'Data Transformation'!$G$24:$G$404),'Bin Analysis and Plots'!F149))</f>
        <v>0</v>
      </c>
      <c r="H149">
        <f>IF(ISLOGICAL(F149),"",G149-G148)</f>
        <v>0</v>
      </c>
    </row>
    <row r="150" spans="1:20" x14ac:dyDescent="0.25">
      <c r="A150" s="45" t="b">
        <f t="array" ref="A150">IF(ISERROR(INDEX('Data Transformation'!$B$4:$G$450,SMALL(IF('Data Transformation'!$B$4:$B$450='Bin Analysis and Plots'!D147,ROW('Data Transformation'!$B$4:$B$450)),ROW($1:$1))-3,3)),"",INDEX('Data Transformation'!$B$4:$G$450,SMALL(IF('Data Transformation'!$B$4:$B$450='Bin Analysis and Plots'!D147,ROW('Data Transformation'!$B$4:$B$450)),ROW($1:$1))-3,6))</f>
        <v>0</v>
      </c>
      <c r="B150" s="45" t="str">
        <f>IFERROR(SMALL(A150:A169,'Data Transformation'!$L$6),"")</f>
        <v/>
      </c>
      <c r="C150" s="61" t="e">
        <f>IF(Weighting!$O$6&gt;0,D150,"")</f>
        <v>#NUM!</v>
      </c>
      <c r="D150" t="e">
        <f>Weighting!$C$6</f>
        <v>#DIV/0!</v>
      </c>
      <c r="E150" t="e">
        <f>Weighting!$E$6</f>
        <v>#NUM!</v>
      </c>
      <c r="F150" t="e">
        <f>IF(E150=1,'Data Transformation'!$G$3+0.5*'Data Transformation'!$R$25,IF(E151=1,F151-'Data Transformation'!$R$25,FALSE))</f>
        <v>#NUM!</v>
      </c>
      <c r="G150">
        <f t="array" ref="G150">IF(ISLOGICAL(F150),"",FREQUENCY(IF('Data Transformation'!$B$24:$B$404='Bin Analysis and Plots'!$D$147,'Data Transformation'!$G$24:$G$404),'Bin Analysis and Plots'!F150))</f>
        <v>0</v>
      </c>
      <c r="H150">
        <f>IF(ISLOGICAL(F150),"",G150-G149)</f>
        <v>0</v>
      </c>
      <c r="I150">
        <f>Weighting!$G$6</f>
        <v>1</v>
      </c>
      <c r="J150" s="7">
        <f t="array" ref="J150">FREQUENCY(IF('Data Transformation'!$B$4:$B$404=D147,'Data Transformation'!$G$4:$G$404),'Bin Analysis and Plots'!$D150)</f>
        <v>0</v>
      </c>
      <c r="K150" s="7">
        <f>J150-J149</f>
        <v>0</v>
      </c>
      <c r="L150" s="7">
        <f>IF(K150=0,0,1)</f>
        <v>0</v>
      </c>
      <c r="M150" s="22" t="e">
        <f>L150*Weighting!$V$6</f>
        <v>#NUM!</v>
      </c>
    </row>
    <row r="151" spans="1:20" x14ac:dyDescent="0.25">
      <c r="A151" s="45" t="b">
        <f t="array" ref="A151">IF(ISERROR(INDEX('Data Transformation'!$B$4:$G$450,SMALL(IF('Data Transformation'!$B$4:$B$450='Bin Analysis and Plots'!D147,ROW('Data Transformation'!$B$4:$B$450)),ROW($2:$2))-3,3)),"",INDEX('Data Transformation'!$B$4:$G$450,SMALL(IF('Data Transformation'!$B$4:$B$450='Bin Analysis and Plots'!D147,ROW('Data Transformation'!$B$4:$B$450)),ROW($2:$2))-3,6))</f>
        <v>0</v>
      </c>
      <c r="B151" s="45" t="str">
        <f>IFERROR(SMALL(A150:A169,'Data Transformation'!$L$7),"")</f>
        <v/>
      </c>
      <c r="C151" s="61" t="str">
        <f>IF(Weighting!$O$7&gt;0,D151,"")</f>
        <v/>
      </c>
      <c r="D151" t="e">
        <f>Weighting!$C$7</f>
        <v>#DIV/0!</v>
      </c>
      <c r="E151" t="e">
        <f>Weighting!$E$7</f>
        <v>#NUM!</v>
      </c>
      <c r="F151" t="e">
        <f>IF(E151=1,'Data Transformation'!$G$3+0.5*'Data Transformation'!$R$25,IF(E152=1,F152-'Data Transformation'!$R$25,FALSE))</f>
        <v>#NUM!</v>
      </c>
      <c r="G151">
        <f t="array" ref="G151">IF(ISLOGICAL(F151),"",FREQUENCY(IF('Data Transformation'!$B$24:$B$404='Bin Analysis and Plots'!$D$147,'Data Transformation'!$G$24:$G$404),'Bin Analysis and Plots'!F151))</f>
        <v>0</v>
      </c>
      <c r="H151">
        <f t="shared" ref="H151:H169" si="23">IF(ISLOGICAL(F151),"",G151-G150)</f>
        <v>0</v>
      </c>
      <c r="I151">
        <f>Weighting!$G$7</f>
        <v>0</v>
      </c>
      <c r="J151" s="7">
        <f t="array" ref="J151">FREQUENCY(IF('Data Transformation'!$B$4:$B$404=D147,'Data Transformation'!$G$4:$G$404),'Bin Analysis and Plots'!$D151)</f>
        <v>0</v>
      </c>
      <c r="K151" s="7">
        <f t="shared" ref="K151:K169" si="24">J151-J150</f>
        <v>0</v>
      </c>
      <c r="L151" s="7">
        <f>IF(K151=0,0,1)</f>
        <v>0</v>
      </c>
      <c r="M151" s="22">
        <f>L151*Weighting!$V$7</f>
        <v>0</v>
      </c>
    </row>
    <row r="152" spans="1:20" x14ac:dyDescent="0.25">
      <c r="A152" s="45" t="b">
        <f t="array" ref="A152">IF(ISERROR(INDEX('Data Transformation'!$B$4:$G$450,SMALL(IF('Data Transformation'!$B$4:$B$450='Bin Analysis and Plots'!D147,ROW('Data Transformation'!$B$4:$B$450)),ROW($3:$3))-3,3)),"",INDEX('Data Transformation'!$B$4:$G$450,SMALL(IF('Data Transformation'!$B$4:$B$450='Bin Analysis and Plots'!D147,ROW('Data Transformation'!$B$4:$B$450)),ROW($3:$3))-3,6))</f>
        <v>0</v>
      </c>
      <c r="B152" s="45" t="str">
        <f>IFERROR(SMALL(A150:A169,'Data Transformation'!$L$8),"")</f>
        <v/>
      </c>
      <c r="C152" s="61" t="str">
        <f>IF(Weighting!$O$8&gt;0,D152,"")</f>
        <v/>
      </c>
      <c r="D152" t="e">
        <f>Weighting!$C$8</f>
        <v>#DIV/0!</v>
      </c>
      <c r="E152" t="e">
        <f>Weighting!$E$8</f>
        <v>#NUM!</v>
      </c>
      <c r="F152" t="e">
        <f>IF(E152=1,'Data Transformation'!$G$3+0.5*'Data Transformation'!$R$25,IF(E153=1,F153-'Data Transformation'!$R$25,FALSE))</f>
        <v>#NUM!</v>
      </c>
      <c r="G152">
        <f t="array" ref="G152">IF(ISLOGICAL(F152),"",FREQUENCY(IF('Data Transformation'!$B$24:$B$404='Bin Analysis and Plots'!$D$147,'Data Transformation'!$G$24:$G$404),'Bin Analysis and Plots'!F152))</f>
        <v>0</v>
      </c>
      <c r="H152">
        <f t="shared" si="23"/>
        <v>0</v>
      </c>
      <c r="I152">
        <f>Weighting!$G$8</f>
        <v>0</v>
      </c>
      <c r="J152" s="7">
        <f t="array" ref="J152">FREQUENCY(IF('Data Transformation'!$B$4:$B$404=D147,'Data Transformation'!$G$4:$G$404),'Bin Analysis and Plots'!$D152)</f>
        <v>0</v>
      </c>
      <c r="K152" s="7">
        <f t="shared" si="24"/>
        <v>0</v>
      </c>
      <c r="L152" s="7">
        <f t="shared" ref="L152:L169" si="25">IF(K152=0,0,1)</f>
        <v>0</v>
      </c>
      <c r="M152" s="22">
        <f>L152*Weighting!$V$8</f>
        <v>0</v>
      </c>
    </row>
    <row r="153" spans="1:20" x14ac:dyDescent="0.25">
      <c r="A153" s="45" t="b">
        <f t="array" ref="A153">IF(ISERROR(INDEX('Data Transformation'!$B$4:$G$450,SMALL(IF('Data Transformation'!$B$4:$B$450='Bin Analysis and Plots'!D147,ROW('Data Transformation'!$B$4:$B$450)),ROW($4:$4))-3,3)),"",INDEX('Data Transformation'!$B$4:$G$450,SMALL(IF('Data Transformation'!$B$4:$B$450='Bin Analysis and Plots'!D147,ROW('Data Transformation'!$B$4:$B$450)),ROW($4:$4))-3,6))</f>
        <v>0</v>
      </c>
      <c r="B153" s="45" t="str">
        <f>IFERROR(SMALL(A150:A169,'Data Transformation'!$L$9),"")</f>
        <v/>
      </c>
      <c r="C153" s="61" t="str">
        <f>IF(Weighting!$O$9&gt;0,D153,"")</f>
        <v/>
      </c>
      <c r="D153" t="e">
        <f>Weighting!$B$9</f>
        <v>#DIV/0!</v>
      </c>
      <c r="E153" t="e">
        <f>Weighting!$E$9</f>
        <v>#NUM!</v>
      </c>
      <c r="F153" t="e">
        <f>IF(E153=1,'Data Transformation'!$G$3+0.5*'Data Transformation'!$R$25,IF(E154=1,F154-'Data Transformation'!$R$25,FALSE))</f>
        <v>#NUM!</v>
      </c>
      <c r="G153">
        <f t="array" ref="G153">IF(ISLOGICAL(F153),"",FREQUENCY(IF('Data Transformation'!$B$24:$B$404='Bin Analysis and Plots'!$D$147,'Data Transformation'!$G$24:$G$404),'Bin Analysis and Plots'!F153))</f>
        <v>0</v>
      </c>
      <c r="H153">
        <f t="shared" si="23"/>
        <v>0</v>
      </c>
      <c r="I153">
        <f>Weighting!$G$9</f>
        <v>0</v>
      </c>
      <c r="J153" s="7">
        <f t="array" ref="J153">FREQUENCY(IF('Data Transformation'!$B$4:$B$404=D147,'Data Transformation'!$G$4:$G$404),'Bin Analysis and Plots'!$D153)</f>
        <v>0</v>
      </c>
      <c r="K153" s="7">
        <f t="shared" si="24"/>
        <v>0</v>
      </c>
      <c r="L153" s="7">
        <f t="shared" si="25"/>
        <v>0</v>
      </c>
      <c r="M153" s="22">
        <f>L153*Weighting!$V$9</f>
        <v>0</v>
      </c>
    </row>
    <row r="154" spans="1:20" x14ac:dyDescent="0.25">
      <c r="A154" s="45" t="b">
        <f t="array" ref="A154">IF(ISERROR(INDEX('Data Transformation'!$B$4:$G$450,SMALL(IF('Data Transformation'!$B$4:$B$450='Bin Analysis and Plots'!D147,ROW('Data Transformation'!$B$4:$B$450)),ROW($5:$5))-3,3)),"",INDEX('Data Transformation'!$B$4:$G$450,SMALL(IF('Data Transformation'!$B$4:$B$450='Bin Analysis and Plots'!D147,ROW('Data Transformation'!$B$4:$B$450)),ROW($5:$5))-3,6))</f>
        <v>0</v>
      </c>
      <c r="B154" s="45" t="str">
        <f>IFERROR(SMALL(A150:A169,'Data Transformation'!$L$10),"")</f>
        <v/>
      </c>
      <c r="C154" s="61" t="str">
        <f>IF(Weighting!$O$10&gt;0,D154,"")</f>
        <v/>
      </c>
      <c r="D154" t="e">
        <f>Weighting!$C$10</f>
        <v>#DIV/0!</v>
      </c>
      <c r="E154" t="e">
        <f>Weighting!$E$10</f>
        <v>#NUM!</v>
      </c>
      <c r="F154" t="e">
        <f>IF(E154=1,'Data Transformation'!$G$3+0.5*'Data Transformation'!$R$25,IF(E155=1,F155-'Data Transformation'!$R$25,FALSE))</f>
        <v>#NUM!</v>
      </c>
      <c r="G154">
        <f t="array" ref="G154">IF(ISLOGICAL(F154),"",FREQUENCY(IF('Data Transformation'!$B$24:$B$404='Bin Analysis and Plots'!$D$147,'Data Transformation'!$G$24:$G$404),'Bin Analysis and Plots'!F154))</f>
        <v>0</v>
      </c>
      <c r="H154">
        <f t="shared" si="23"/>
        <v>0</v>
      </c>
      <c r="I154">
        <f>Weighting!$G$10</f>
        <v>0</v>
      </c>
      <c r="J154" s="7">
        <f t="array" ref="J154">FREQUENCY(IF('Data Transformation'!$B$4:$B$404=D147,'Data Transformation'!$G$4:$G$404),'Bin Analysis and Plots'!$D154)</f>
        <v>0</v>
      </c>
      <c r="K154" s="7">
        <f t="shared" si="24"/>
        <v>0</v>
      </c>
      <c r="L154" s="7">
        <f t="shared" si="25"/>
        <v>0</v>
      </c>
      <c r="M154" s="22">
        <f>L154*Weighting!$V$10</f>
        <v>0</v>
      </c>
    </row>
    <row r="155" spans="1:20" x14ac:dyDescent="0.25">
      <c r="A155" s="45" t="b">
        <f t="array" ref="A155">IF(ISERROR(INDEX('Data Transformation'!$B$4:$G$450,SMALL(IF('Data Transformation'!$B$4:$B$450='Bin Analysis and Plots'!D147,ROW('Data Transformation'!$B$4:$B$450)),ROW($6:$6))-3,3)),"",INDEX('Data Transformation'!$B$4:$G$450,SMALL(IF('Data Transformation'!$B$4:$B$450='Bin Analysis and Plots'!D147,ROW('Data Transformation'!$B$4:$B$450)),ROW($6:$6))-3,6))</f>
        <v>0</v>
      </c>
      <c r="B155" s="45" t="str">
        <f>IFERROR(SMALL(A150:A169,'Data Transformation'!$L$11),"")</f>
        <v/>
      </c>
      <c r="C155" s="61" t="str">
        <f>IF(Weighting!$O$11&gt;0,D155,"")</f>
        <v/>
      </c>
      <c r="D155" t="e">
        <f>Weighting!$C$11</f>
        <v>#DIV/0!</v>
      </c>
      <c r="E155" t="e">
        <f>Weighting!$E$11</f>
        <v>#NUM!</v>
      </c>
      <c r="F155" t="e">
        <f>IF(E155=1,'Data Transformation'!$G$3+0.5*'Data Transformation'!$R$25,IF(E156=1,F156-'Data Transformation'!$R$25,FALSE))</f>
        <v>#NUM!</v>
      </c>
      <c r="G155">
        <f t="array" ref="G155">IF(ISLOGICAL(F155),"",FREQUENCY(IF('Data Transformation'!$B$24:$B$404='Bin Analysis and Plots'!$D$147,'Data Transformation'!$G$24:$G$404),'Bin Analysis and Plots'!F155))</f>
        <v>0</v>
      </c>
      <c r="H155">
        <f t="shared" si="23"/>
        <v>0</v>
      </c>
      <c r="I155">
        <f>Weighting!$G$11</f>
        <v>0</v>
      </c>
      <c r="J155" s="7">
        <f t="array" ref="J155">FREQUENCY(IF('Data Transformation'!$B$4:$B$404=D147,'Data Transformation'!$G$4:$G$404),'Bin Analysis and Plots'!$D155)</f>
        <v>0</v>
      </c>
      <c r="K155" s="7">
        <f t="shared" si="24"/>
        <v>0</v>
      </c>
      <c r="L155" s="7">
        <f t="shared" si="25"/>
        <v>0</v>
      </c>
      <c r="M155" s="22">
        <f>L155*Weighting!$V$11</f>
        <v>0</v>
      </c>
    </row>
    <row r="156" spans="1:20" x14ac:dyDescent="0.25">
      <c r="A156" s="45" t="b">
        <f t="array" ref="A156">IF(ISERROR(INDEX('Data Transformation'!$B$4:$G$450,SMALL(IF('Data Transformation'!$B$4:$B$450='Bin Analysis and Plots'!D147,ROW('Data Transformation'!$B$4:$B$450)),ROW($7:$7))-3,3)),"",INDEX('Data Transformation'!$B$4:$G$450,SMALL(IF('Data Transformation'!$B$4:$B$450='Bin Analysis and Plots'!D147,ROW('Data Transformation'!$B$4:$B$450)),ROW($7:$7))-3,6))</f>
        <v>0</v>
      </c>
      <c r="B156" s="45" t="str">
        <f>IFERROR(SMALL(A150:A169,'Data Transformation'!$L$12),"")</f>
        <v/>
      </c>
      <c r="C156" s="61" t="str">
        <f>IF(Weighting!$O$12&gt;0,D156,"")</f>
        <v/>
      </c>
      <c r="D156" t="e">
        <f>Weighting!$C$12</f>
        <v>#DIV/0!</v>
      </c>
      <c r="E156" t="e">
        <f>Weighting!$E$12</f>
        <v>#NUM!</v>
      </c>
      <c r="F156" t="e">
        <f>IF(E156=1,'Data Transformation'!$G$3+0.5*'Data Transformation'!$R$25,IF(E157=1,F157-'Data Transformation'!$R$25,FALSE))</f>
        <v>#NUM!</v>
      </c>
      <c r="G156">
        <f t="array" ref="G156">IF(ISLOGICAL(F156),"",FREQUENCY(IF('Data Transformation'!$B$24:$B$404='Bin Analysis and Plots'!$D$147,'Data Transformation'!$G$24:$G$404),'Bin Analysis and Plots'!F156))</f>
        <v>0</v>
      </c>
      <c r="H156">
        <f t="shared" si="23"/>
        <v>0</v>
      </c>
      <c r="I156">
        <f>Weighting!$G$12</f>
        <v>0</v>
      </c>
      <c r="J156" s="7">
        <f t="array" ref="J156">FREQUENCY(IF('Data Transformation'!$B$4:$B$404=D147,'Data Transformation'!$G$4:$G$404),'Bin Analysis and Plots'!$D156)</f>
        <v>0</v>
      </c>
      <c r="K156" s="7">
        <f t="shared" si="24"/>
        <v>0</v>
      </c>
      <c r="L156" s="7">
        <f t="shared" si="25"/>
        <v>0</v>
      </c>
      <c r="M156" s="22">
        <f>L156*Weighting!$V$12</f>
        <v>0</v>
      </c>
    </row>
    <row r="157" spans="1:20" x14ac:dyDescent="0.25">
      <c r="A157" s="45" t="b">
        <f t="array" ref="A157">IF(ISERROR(INDEX('Data Transformation'!$B$4:$G$450,SMALL(IF('Data Transformation'!$B$4:$B$450='Bin Analysis and Plots'!D147,ROW('Data Transformation'!$B$4:$B$450)),ROW($8:$8))-3,3)),"",INDEX('Data Transformation'!$B$4:$G$450,SMALL(IF('Data Transformation'!$B$4:$B$450='Bin Analysis and Plots'!D147,ROW('Data Transformation'!$B$4:$B$450)),ROW($8:$8))-3,6))</f>
        <v>0</v>
      </c>
      <c r="B157" s="45" t="str">
        <f>IFERROR(SMALL(A150:A169,'Data Transformation'!$L$13),"")</f>
        <v/>
      </c>
      <c r="C157" s="61" t="str">
        <f>IF(Weighting!$O$13&gt;0,D157,"")</f>
        <v/>
      </c>
      <c r="D157" t="e">
        <f>Weighting!$C$13</f>
        <v>#DIV/0!</v>
      </c>
      <c r="E157" t="e">
        <f>Weighting!$E$13</f>
        <v>#NUM!</v>
      </c>
      <c r="F157" t="e">
        <f>IF(E157=1,'Data Transformation'!$G$3+0.5*'Data Transformation'!$R$25,IF(E158=1,F158-'Data Transformation'!$R$25,FALSE))</f>
        <v>#NUM!</v>
      </c>
      <c r="G157">
        <f t="array" ref="G157">IF(ISLOGICAL(F157),"",FREQUENCY(IF('Data Transformation'!$B$24:$B$404='Bin Analysis and Plots'!$D$147,'Data Transformation'!$G$24:$G$404),'Bin Analysis and Plots'!F157))</f>
        <v>0</v>
      </c>
      <c r="H157">
        <f t="shared" si="23"/>
        <v>0</v>
      </c>
      <c r="I157">
        <f>Weighting!$G$13</f>
        <v>0</v>
      </c>
      <c r="J157" s="7">
        <f t="array" ref="J157">FREQUENCY(IF('Data Transformation'!$B$4:$B$404=D147,'Data Transformation'!$G$4:$G$404),'Bin Analysis and Plots'!$D157)</f>
        <v>0</v>
      </c>
      <c r="K157" s="7">
        <f t="shared" si="24"/>
        <v>0</v>
      </c>
      <c r="L157" s="7">
        <f t="shared" si="25"/>
        <v>0</v>
      </c>
      <c r="M157" s="22">
        <f>L157*Weighting!$V$13</f>
        <v>0</v>
      </c>
    </row>
    <row r="158" spans="1:20" x14ac:dyDescent="0.25">
      <c r="A158" s="45" t="b">
        <f t="array" ref="A158">IF(ISERROR(INDEX('Data Transformation'!$B$4:$G$450,SMALL(IF('Data Transformation'!$B$4:$B$450='Bin Analysis and Plots'!D147,ROW('Data Transformation'!$B$4:$B$450)),ROW($9:$9))-3,3)),"",INDEX('Data Transformation'!$B$4:$G$450,SMALL(IF('Data Transformation'!$B$4:$B$450='Bin Analysis and Plots'!D147,ROW('Data Transformation'!$B$4:$B$450)),ROW($9:$9))-3,6))</f>
        <v>0</v>
      </c>
      <c r="B158" s="45" t="str">
        <f>IFERROR(SMALL(A150:A169,'Data Transformation'!$L$14),"")</f>
        <v/>
      </c>
      <c r="C158" s="61" t="str">
        <f>IF(Weighting!$O$14&gt;0,D158,"")</f>
        <v/>
      </c>
      <c r="D158" t="e">
        <f>Weighting!$C$14</f>
        <v>#DIV/0!</v>
      </c>
      <c r="E158" t="e">
        <f>Weighting!$E$14</f>
        <v>#NUM!</v>
      </c>
      <c r="F158" t="e">
        <f>IF(E158=1,'Data Transformation'!$G$3+0.5*'Data Transformation'!$R$25,IF(E159=1,F159-'Data Transformation'!$R$25,FALSE))</f>
        <v>#NUM!</v>
      </c>
      <c r="G158">
        <f t="array" ref="G158">IF(ISLOGICAL(F158),"",FREQUENCY(IF('Data Transformation'!$B$24:$B$404='Bin Analysis and Plots'!$D$147,'Data Transformation'!$G$24:$G$404),'Bin Analysis and Plots'!F158))</f>
        <v>0</v>
      </c>
      <c r="H158">
        <f t="shared" si="23"/>
        <v>0</v>
      </c>
      <c r="I158">
        <f>Weighting!$G$14</f>
        <v>0</v>
      </c>
      <c r="J158" s="7">
        <f t="array" ref="J158">FREQUENCY(IF('Data Transformation'!$B$4:$B$404=D147,'Data Transformation'!$G$4:$G$404),'Bin Analysis and Plots'!$D158)</f>
        <v>0</v>
      </c>
      <c r="K158" s="7">
        <f t="shared" si="24"/>
        <v>0</v>
      </c>
      <c r="L158" s="7">
        <f t="shared" si="25"/>
        <v>0</v>
      </c>
      <c r="M158" s="22">
        <f>L158*Weighting!$V$14</f>
        <v>0</v>
      </c>
    </row>
    <row r="159" spans="1:20" x14ac:dyDescent="0.25">
      <c r="A159" s="45" t="b">
        <f t="array" ref="A159">IF(ISERROR(INDEX('Data Transformation'!$B$4:$G$450,SMALL(IF('Data Transformation'!$B$4:$B$450='Bin Analysis and Plots'!D147,ROW('Data Transformation'!$B$4:$B$450)),ROW($10:$10))-3,3)),"",INDEX('Data Transformation'!$B$4:$G$450,SMALL(IF('Data Transformation'!$B$4:$B$450='Bin Analysis and Plots'!D147,ROW('Data Transformation'!$B$4:$B$450)),ROW($10:$10))-3,6))</f>
        <v>0</v>
      </c>
      <c r="B159" s="45" t="str">
        <f>IFERROR(SMALL(A150:A169,'Data Transformation'!$L$15),"")</f>
        <v/>
      </c>
      <c r="C159" s="61" t="str">
        <f>IF(Weighting!$O$15&gt;0,D159,"")</f>
        <v/>
      </c>
      <c r="D159" t="e">
        <f>Weighting!$C$15</f>
        <v>#DIV/0!</v>
      </c>
      <c r="E159" t="e">
        <f>Weighting!$E$15</f>
        <v>#NUM!</v>
      </c>
      <c r="F159" t="e">
        <f>IF(E159=1,'Data Transformation'!$G$3+0.5*'Data Transformation'!$R$25,IF(E160=1,F160-'Data Transformation'!$R$25,FALSE))</f>
        <v>#NUM!</v>
      </c>
      <c r="G159">
        <f t="array" ref="G159">IF(ISLOGICAL(F159),"",FREQUENCY(IF('Data Transformation'!$B$24:$B$404='Bin Analysis and Plots'!$D$147,'Data Transformation'!$G$24:$G$404),'Bin Analysis and Plots'!F159))</f>
        <v>0</v>
      </c>
      <c r="H159">
        <f t="shared" si="23"/>
        <v>0</v>
      </c>
      <c r="I159">
        <f>Weighting!$G$15</f>
        <v>0</v>
      </c>
      <c r="J159" s="7">
        <f t="array" ref="J159">FREQUENCY(IF('Data Transformation'!$B$4:$B$404=D147,'Data Transformation'!$G$4:$G$404),'Bin Analysis and Plots'!$D159)</f>
        <v>0</v>
      </c>
      <c r="K159" s="7">
        <f t="shared" si="24"/>
        <v>0</v>
      </c>
      <c r="L159" s="7">
        <f t="shared" si="25"/>
        <v>0</v>
      </c>
      <c r="M159" s="22">
        <f>L159*Weighting!$V$15</f>
        <v>0</v>
      </c>
    </row>
    <row r="160" spans="1:20" x14ac:dyDescent="0.25">
      <c r="A160" s="45" t="b">
        <f t="array" ref="A160">IF(ISERROR(INDEX('Data Transformation'!$B$4:$G$450,SMALL(IF('Data Transformation'!$B$4:$B$450='Bin Analysis and Plots'!D147,ROW('Data Transformation'!$B$4:$B$450)),ROW($11:$11))-3,3)),"",INDEX('Data Transformation'!$B$4:$G$450,SMALL(IF('Data Transformation'!$B$4:$B$450='Bin Analysis and Plots'!D147,ROW('Data Transformation'!$B$4:$B$450)),ROW($11:$11))-3,6))</f>
        <v>0</v>
      </c>
      <c r="B160" s="45" t="str">
        <f>IFERROR(SMALL(A150:A169,'Data Transformation'!$L$16),"")</f>
        <v/>
      </c>
      <c r="C160" s="61" t="str">
        <f>IF(Weighting!$O$16&gt;0,D160,"")</f>
        <v/>
      </c>
      <c r="D160" t="e">
        <f>Weighting!$C$16</f>
        <v>#DIV/0!</v>
      </c>
      <c r="E160" t="e">
        <f>Weighting!$E$16</f>
        <v>#NUM!</v>
      </c>
      <c r="F160" t="e">
        <f>IF(E160=1,'Data Transformation'!$G$3+0.5*'Data Transformation'!$R$25,IF(E161=1,F161-'Data Transformation'!$R$25,FALSE))</f>
        <v>#NUM!</v>
      </c>
      <c r="G160">
        <f t="array" ref="G160">IF(ISLOGICAL(F160),"",FREQUENCY(IF('Data Transformation'!$B$24:$B$404='Bin Analysis and Plots'!$D$147,'Data Transformation'!$G$24:$G$404),'Bin Analysis and Plots'!F160))</f>
        <v>0</v>
      </c>
      <c r="H160">
        <f t="shared" si="23"/>
        <v>0</v>
      </c>
      <c r="I160">
        <f>Weighting!$G$16</f>
        <v>0</v>
      </c>
      <c r="J160" s="7">
        <f t="array" ref="J160">FREQUENCY(IF('Data Transformation'!$B$4:$B$404=D147,'Data Transformation'!$G$4:$G$404),'Bin Analysis and Plots'!$D160)</f>
        <v>0</v>
      </c>
      <c r="K160" s="7">
        <f t="shared" si="24"/>
        <v>0</v>
      </c>
      <c r="L160" s="7">
        <f t="shared" si="25"/>
        <v>0</v>
      </c>
      <c r="M160" s="22">
        <f>L160*Weighting!$V$16</f>
        <v>0</v>
      </c>
    </row>
    <row r="161" spans="1:20" x14ac:dyDescent="0.25">
      <c r="A161" s="45" t="b">
        <f t="array" ref="A161">IF(ISERROR(INDEX('Data Transformation'!$B$4:$G$450,SMALL(IF('Data Transformation'!$B$4:$B$450='Bin Analysis and Plots'!D147,ROW('Data Transformation'!$B$4:$B$450)),ROW($12:$12))-3,3)),"",INDEX('Data Transformation'!$B$4:$G$450,SMALL(IF('Data Transformation'!$B$4:$B$450='Bin Analysis and Plots'!D147,ROW('Data Transformation'!$B$4:$B$450)),ROW($12:$12))-3,6))</f>
        <v>0</v>
      </c>
      <c r="B161" s="45" t="str">
        <f>IFERROR(SMALL(A150:A169,'Data Transformation'!$L$17),"")</f>
        <v/>
      </c>
      <c r="C161" s="61" t="str">
        <f>IF(Weighting!$O$17&gt;0,D161,"")</f>
        <v/>
      </c>
      <c r="D161" t="e">
        <f>Weighting!$C$17</f>
        <v>#DIV/0!</v>
      </c>
      <c r="E161" t="e">
        <f>Weighting!$E$17</f>
        <v>#NUM!</v>
      </c>
      <c r="F161" t="e">
        <f>IF(E161=1,'Data Transformation'!$G$3+0.5*'Data Transformation'!$R$25,IF(E162=1,F162-'Data Transformation'!$R$25,FALSE))</f>
        <v>#NUM!</v>
      </c>
      <c r="G161">
        <f t="array" ref="G161">IF(ISLOGICAL(F161),"",FREQUENCY(IF('Data Transformation'!$B$24:$B$404='Bin Analysis and Plots'!$D$147,'Data Transformation'!$G$24:$G$404),'Bin Analysis and Plots'!F161))</f>
        <v>0</v>
      </c>
      <c r="H161">
        <f t="shared" si="23"/>
        <v>0</v>
      </c>
      <c r="I161">
        <f>Weighting!$G$17</f>
        <v>0</v>
      </c>
      <c r="J161" s="7">
        <f t="array" ref="J161">FREQUENCY(IF('Data Transformation'!$B$4:$B$404=D147,'Data Transformation'!$G$4:$G$404),'Bin Analysis and Plots'!$D161)</f>
        <v>0</v>
      </c>
      <c r="K161" s="7">
        <f t="shared" si="24"/>
        <v>0</v>
      </c>
      <c r="L161" s="7">
        <f t="shared" si="25"/>
        <v>0</v>
      </c>
      <c r="M161" s="22">
        <f>L161*Weighting!$V$17</f>
        <v>0</v>
      </c>
    </row>
    <row r="162" spans="1:20" x14ac:dyDescent="0.25">
      <c r="A162" s="45" t="b">
        <f t="array" ref="A162">IF(ISERROR(INDEX('Data Transformation'!$B$4:$G$450,SMALL(IF('Data Transformation'!$B$4:$B$450='Bin Analysis and Plots'!D147,ROW('Data Transformation'!$B$4:$B$450)),ROW($13:$13))-3,3)),"",INDEX('Data Transformation'!$B$4:$G$450,SMALL(IF('Data Transformation'!$B$4:$B$450='Bin Analysis and Plots'!D147,ROW('Data Transformation'!$B$4:$B$450)),ROW($13:$13))-3,6))</f>
        <v>0</v>
      </c>
      <c r="B162" s="45" t="str">
        <f>IFERROR(SMALL(A150:A169,'Data Transformation'!$L$18),"")</f>
        <v/>
      </c>
      <c r="C162" s="61" t="str">
        <f>IF(Weighting!$O$18&gt;0,D162,"")</f>
        <v/>
      </c>
      <c r="D162" t="e">
        <f>Weighting!$C$18</f>
        <v>#DIV/0!</v>
      </c>
      <c r="E162" t="e">
        <f>Weighting!$E$18</f>
        <v>#NUM!</v>
      </c>
      <c r="F162" t="e">
        <f>IF(E162=1,'Data Transformation'!$G$3+0.5*'Data Transformation'!$R$25,IF(E163=1,F163-'Data Transformation'!$R$25,FALSE))</f>
        <v>#NUM!</v>
      </c>
      <c r="G162">
        <f t="array" ref="G162">IF(ISLOGICAL(F162),"",FREQUENCY(IF('Data Transformation'!$B$24:$B$404='Bin Analysis and Plots'!$D$147,'Data Transformation'!$G$24:$G$404),'Bin Analysis and Plots'!F162))</f>
        <v>0</v>
      </c>
      <c r="H162">
        <f t="shared" si="23"/>
        <v>0</v>
      </c>
      <c r="I162">
        <f>Weighting!$G$18</f>
        <v>0</v>
      </c>
      <c r="J162" s="7">
        <f t="array" ref="J162">FREQUENCY(IF('Data Transformation'!$B$4:$B$404=D147,'Data Transformation'!$G$4:$G$404),'Bin Analysis and Plots'!$D162)</f>
        <v>0</v>
      </c>
      <c r="K162" s="7">
        <f t="shared" si="24"/>
        <v>0</v>
      </c>
      <c r="L162" s="7">
        <f t="shared" si="25"/>
        <v>0</v>
      </c>
      <c r="M162" s="22">
        <f>L162*Weighting!$V$18</f>
        <v>0</v>
      </c>
    </row>
    <row r="163" spans="1:20" x14ac:dyDescent="0.25">
      <c r="A163" s="45" t="b">
        <f t="array" ref="A163">IF(ISERROR(INDEX('Data Transformation'!$B$4:$G$450,SMALL(IF('Data Transformation'!$B$4:$B$450='Bin Analysis and Plots'!D147,ROW('Data Transformation'!$B$4:$B$450)),ROW($14:$14))-3,3)),"",INDEX('Data Transformation'!$B$4:$G$450,SMALL(IF('Data Transformation'!$B$4:$B$450='Bin Analysis and Plots'!D147,ROW('Data Transformation'!$B$4:$B$450)),ROW($14:$14))-3,6))</f>
        <v>0</v>
      </c>
      <c r="B163" s="45" t="str">
        <f>IFERROR(SMALL(A150:A169,'Data Transformation'!$L$19),"")</f>
        <v/>
      </c>
      <c r="C163" s="61" t="str">
        <f>IF(Weighting!$O$19&gt;0,D163,"")</f>
        <v/>
      </c>
      <c r="D163" t="e">
        <f>Weighting!$C$19</f>
        <v>#DIV/0!</v>
      </c>
      <c r="E163" t="e">
        <f>Weighting!$E$19</f>
        <v>#NUM!</v>
      </c>
      <c r="F163" t="e">
        <f>IF(E163=1,'Data Transformation'!$G$3+0.5*'Data Transformation'!$R$25,IF(E164=1,F164-'Data Transformation'!$R$25,FALSE))</f>
        <v>#NUM!</v>
      </c>
      <c r="G163">
        <f t="array" ref="G163">IF(ISLOGICAL(F163),"",FREQUENCY(IF('Data Transformation'!$B$24:$B$404='Bin Analysis and Plots'!$D$147,'Data Transformation'!$G$24:$G$404),'Bin Analysis and Plots'!F163))</f>
        <v>0</v>
      </c>
      <c r="H163">
        <f t="shared" si="23"/>
        <v>0</v>
      </c>
      <c r="I163">
        <f>Weighting!$G$19</f>
        <v>0</v>
      </c>
      <c r="J163" s="7">
        <f t="array" ref="J163">FREQUENCY(IF('Data Transformation'!$B$4:$B$404=D147,'Data Transformation'!$G$4:$G$404),'Bin Analysis and Plots'!$D163)</f>
        <v>0</v>
      </c>
      <c r="K163" s="7">
        <f t="shared" si="24"/>
        <v>0</v>
      </c>
      <c r="L163" s="7">
        <f t="shared" si="25"/>
        <v>0</v>
      </c>
      <c r="M163" s="22">
        <f>L163*Weighting!$V$19</f>
        <v>0</v>
      </c>
    </row>
    <row r="164" spans="1:20" x14ac:dyDescent="0.25">
      <c r="A164" s="45" t="b">
        <f t="array" ref="A164">IF(ISERROR(INDEX('Data Transformation'!$B$4:$G$450,SMALL(IF('Data Transformation'!$B$4:$B$450='Bin Analysis and Plots'!D147,ROW('Data Transformation'!$B$4:$B$450)),ROW($15:$15))-3,3)),"",INDEX('Data Transformation'!$B$4:$G$450,SMALL(IF('Data Transformation'!$B$4:$B$450='Bin Analysis and Plots'!D147,ROW('Data Transformation'!$B$4:$B$450)),ROW($15:$15))-3,6))</f>
        <v>0</v>
      </c>
      <c r="B164" s="45" t="str">
        <f>IFERROR(SMALL(A150:A169,'Data Transformation'!$L$20),"")</f>
        <v/>
      </c>
      <c r="C164" s="61" t="str">
        <f>IF(Weighting!$O$20&gt;0,D164,"")</f>
        <v/>
      </c>
      <c r="D164" t="e">
        <f>Weighting!$C$20</f>
        <v>#DIV/0!</v>
      </c>
      <c r="E164" t="e">
        <f>Weighting!$E$20</f>
        <v>#NUM!</v>
      </c>
      <c r="F164" t="e">
        <f>IF(E164=1,'Data Transformation'!$G$3+0.5*'Data Transformation'!$R$25,IF(E165=1,F165-'Data Transformation'!$R$25,FALSE))</f>
        <v>#NUM!</v>
      </c>
      <c r="G164">
        <f t="array" ref="G164">IF(ISLOGICAL(F164),"",FREQUENCY(IF('Data Transformation'!$B$24:$B$404='Bin Analysis and Plots'!$D$147,'Data Transformation'!$G$24:$G$404),'Bin Analysis and Plots'!F164))</f>
        <v>0</v>
      </c>
      <c r="H164">
        <f t="shared" si="23"/>
        <v>0</v>
      </c>
      <c r="I164">
        <f>Weighting!$G$20</f>
        <v>0</v>
      </c>
      <c r="J164" s="7">
        <f t="array" ref="J164">FREQUENCY(IF('Data Transformation'!$B$4:$B$404=D147,'Data Transformation'!$G$4:$G$404),'Bin Analysis and Plots'!$D164)</f>
        <v>0</v>
      </c>
      <c r="K164" s="7">
        <f t="shared" si="24"/>
        <v>0</v>
      </c>
      <c r="L164" s="7">
        <f t="shared" si="25"/>
        <v>0</v>
      </c>
      <c r="M164" s="22">
        <f>L164*Weighting!$V$20</f>
        <v>0</v>
      </c>
    </row>
    <row r="165" spans="1:20" x14ac:dyDescent="0.25">
      <c r="A165" s="45" t="b">
        <f t="array" ref="A165">IF(ISERROR(INDEX('Data Transformation'!$B$4:$G$450,SMALL(IF('Data Transformation'!$B$4:$B$450='Bin Analysis and Plots'!D147,ROW('Data Transformation'!$B$4:$B$450)),ROW($16:$16))-3,3)),"",INDEX('Data Transformation'!$B$4:$G$450,SMALL(IF('Data Transformation'!$B$4:$B$450='Bin Analysis and Plots'!D147,ROW('Data Transformation'!$B$4:$B$450)),ROW($16:$16))-3,6))</f>
        <v>0</v>
      </c>
      <c r="B165" s="45" t="str">
        <f>IFERROR(SMALL(A150:A169,'Data Transformation'!$L$21),"")</f>
        <v/>
      </c>
      <c r="C165" s="61" t="str">
        <f>IF(Weighting!$O$21&gt;0,D165,"")</f>
        <v/>
      </c>
      <c r="D165" t="e">
        <f>Weighting!$C$21</f>
        <v>#DIV/0!</v>
      </c>
      <c r="E165" t="e">
        <f>Weighting!$E$21</f>
        <v>#NUM!</v>
      </c>
      <c r="F165" t="e">
        <f>IF(E165=1,'Data Transformation'!$G$3+0.5*'Data Transformation'!$R$25,IF(E166=1,F166-'Data Transformation'!$R$25,FALSE))</f>
        <v>#NUM!</v>
      </c>
      <c r="G165">
        <f t="array" ref="G165">IF(ISLOGICAL(F165),"",FREQUENCY(IF('Data Transformation'!$B$24:$B$404='Bin Analysis and Plots'!$D$147,'Data Transformation'!$G$24:$G$404),'Bin Analysis and Plots'!F165))</f>
        <v>0</v>
      </c>
      <c r="H165">
        <f t="shared" si="23"/>
        <v>0</v>
      </c>
      <c r="I165">
        <f>Weighting!$G$21</f>
        <v>0</v>
      </c>
      <c r="J165" s="7">
        <f t="array" ref="J165">FREQUENCY(IF('Data Transformation'!$B$4:$B$404=D147,'Data Transformation'!$G$4:$G$404),'Bin Analysis and Plots'!$D165)</f>
        <v>0</v>
      </c>
      <c r="K165" s="7">
        <f t="shared" si="24"/>
        <v>0</v>
      </c>
      <c r="L165" s="7">
        <f t="shared" si="25"/>
        <v>0</v>
      </c>
      <c r="M165" s="22">
        <f>L165*Weighting!$V$21</f>
        <v>0</v>
      </c>
    </row>
    <row r="166" spans="1:20" x14ac:dyDescent="0.25">
      <c r="A166" s="45" t="b">
        <f t="array" ref="A166">IF(ISERROR(INDEX('Data Transformation'!$B$4:$G$450,SMALL(IF('Data Transformation'!$B$4:$B$450='Bin Analysis and Plots'!D147,ROW('Data Transformation'!$B$4:$B$450)),ROW($17:$17))-3,3)),"",INDEX('Data Transformation'!$B$4:$G$450,SMALL(IF('Data Transformation'!$B$4:$B$450='Bin Analysis and Plots'!D147,ROW('Data Transformation'!$B$4:$B$450)),ROW($17:$17))-3,6))</f>
        <v>0</v>
      </c>
      <c r="B166" s="45" t="str">
        <f>IFERROR(SMALL(A150:A169,'Data Transformation'!$L$22),"")</f>
        <v/>
      </c>
      <c r="C166" s="61" t="str">
        <f>IF(Weighting!$O$22&gt;0,D166,"")</f>
        <v/>
      </c>
      <c r="D166" t="e">
        <f>Weighting!$C$22</f>
        <v>#DIV/0!</v>
      </c>
      <c r="E166" t="e">
        <f>Weighting!$E$22</f>
        <v>#NUM!</v>
      </c>
      <c r="F166" t="e">
        <f>IF(E166=1,'Data Transformation'!$G$3+0.5*'Data Transformation'!$R$25,IF(E167=1,F167-'Data Transformation'!$R$25,FALSE))</f>
        <v>#NUM!</v>
      </c>
      <c r="G166">
        <f t="array" ref="G166">IF(ISLOGICAL(F166),"",FREQUENCY(IF('Data Transformation'!$B$24:$B$404='Bin Analysis and Plots'!$D$147,'Data Transformation'!$G$24:$G$404),'Bin Analysis and Plots'!F166))</f>
        <v>0</v>
      </c>
      <c r="H166">
        <f t="shared" si="23"/>
        <v>0</v>
      </c>
      <c r="I166">
        <f>Weighting!$G$22</f>
        <v>0</v>
      </c>
      <c r="J166" s="7">
        <f t="array" ref="J166">FREQUENCY(IF('Data Transformation'!$B$4:$B$404=D147,'Data Transformation'!$G$4:$G$404),'Bin Analysis and Plots'!$D166)</f>
        <v>0</v>
      </c>
      <c r="K166" s="7">
        <f t="shared" si="24"/>
        <v>0</v>
      </c>
      <c r="L166" s="7">
        <f t="shared" si="25"/>
        <v>0</v>
      </c>
      <c r="M166" s="22">
        <f>L166*Weighting!$V$22</f>
        <v>0</v>
      </c>
    </row>
    <row r="167" spans="1:20" x14ac:dyDescent="0.25">
      <c r="A167" s="45" t="b">
        <f t="array" ref="A167">IF(ISERROR(INDEX('Data Transformation'!$B$4:$G$450,SMALL(IF('Data Transformation'!$B$4:$B$450='Bin Analysis and Plots'!D147,ROW('Data Transformation'!$B$4:$B$450)),ROW($18:$18))-3,3)),"",INDEX('Data Transformation'!$B$4:$G$450,SMALL(IF('Data Transformation'!$B$4:$B$450='Bin Analysis and Plots'!D147,ROW('Data Transformation'!$B$4:$B$450)),ROW($18:$18))-3,6))</f>
        <v>0</v>
      </c>
      <c r="B167" s="45" t="str">
        <f>IFERROR(SMALL(A150:A169,'Data Transformation'!$L$23),"")</f>
        <v/>
      </c>
      <c r="C167" s="61" t="str">
        <f>IF(Weighting!$O$23&gt;0,D167,"")</f>
        <v/>
      </c>
      <c r="D167" t="e">
        <f>Weighting!$C$23</f>
        <v>#DIV/0!</v>
      </c>
      <c r="E167" t="e">
        <f>Weighting!$E$23</f>
        <v>#NUM!</v>
      </c>
      <c r="F167" t="e">
        <f>IF(E167=1,'Data Transformation'!$G$3+0.5*'Data Transformation'!$R$25,IF(E168=1,F168-'Data Transformation'!$R$25,FALSE))</f>
        <v>#NUM!</v>
      </c>
      <c r="G167">
        <f t="array" ref="G167">IF(ISLOGICAL(F167),"",FREQUENCY(IF('Data Transformation'!$B$24:$B$404='Bin Analysis and Plots'!$D$147,'Data Transformation'!$G$24:$G$404),'Bin Analysis and Plots'!F167))</f>
        <v>0</v>
      </c>
      <c r="H167">
        <f t="shared" si="23"/>
        <v>0</v>
      </c>
      <c r="I167">
        <f>Weighting!$G$23</f>
        <v>0</v>
      </c>
      <c r="J167" s="7">
        <f t="array" ref="J167">FREQUENCY(IF('Data Transformation'!$B$4:$B$404=D147,'Data Transformation'!$G$4:$G$404),'Bin Analysis and Plots'!$D167)</f>
        <v>0</v>
      </c>
      <c r="K167" s="7">
        <f t="shared" si="24"/>
        <v>0</v>
      </c>
      <c r="L167" s="7">
        <f t="shared" si="25"/>
        <v>0</v>
      </c>
      <c r="M167" s="22">
        <f>L167*Weighting!$V$23</f>
        <v>0</v>
      </c>
    </row>
    <row r="168" spans="1:20" x14ac:dyDescent="0.25">
      <c r="A168" s="45" t="str">
        <f>IF(ISERROR(INDEX('Data Transformation'!$B$4:$G$450,SMALL(IF('Data Transformation'!$B$4:$B$450='Bin Analysis and Plots'!D147,ROW('Data Transformation'!$B$4:$B$450)),ROW($19:$19))-3,3)),"",INDEX('Data Transformation'!$B$4:$G$450,SMALL(IF('Data Transformation'!$B$4:$B$450='Bin Analysis and Plots'!D147,ROW('Data Transformation'!$B$4:$B$450)),ROW($19:$19))-3,6))</f>
        <v/>
      </c>
      <c r="B168" s="45" t="str">
        <f>IFERROR(SMALL(A150:A169,'Data Transformation'!$L$24),"")</f>
        <v/>
      </c>
      <c r="C168" s="61" t="str">
        <f>IF(Weighting!$O$24&gt;0,D168,"")</f>
        <v/>
      </c>
      <c r="D168" t="e">
        <f>Weighting!$C$24</f>
        <v>#DIV/0!</v>
      </c>
      <c r="E168" t="e">
        <f>Weighting!$E$24</f>
        <v>#NUM!</v>
      </c>
      <c r="F168" t="e">
        <f>IF(E168=1,'Data Transformation'!$G$3+0.5*'Data Transformation'!$R$25,IF(E169=1,F169-'Data Transformation'!$R$25,FALSE))</f>
        <v>#NUM!</v>
      </c>
      <c r="G168">
        <f t="array" ref="G168">IF(ISLOGICAL(F168),"",FREQUENCY(IF('Data Transformation'!$B$24:$B$404='Bin Analysis and Plots'!$D$147,'Data Transformation'!$G$24:$G$404),'Bin Analysis and Plots'!F168))</f>
        <v>0</v>
      </c>
      <c r="H168">
        <f t="shared" si="23"/>
        <v>0</v>
      </c>
      <c r="I168">
        <f>Weighting!$G$24</f>
        <v>0</v>
      </c>
      <c r="J168" s="7">
        <f t="array" ref="J168">FREQUENCY(IF('Data Transformation'!$B$4:$B$404=D147,'Data Transformation'!$G$4:$G$404),'Bin Analysis and Plots'!$D168)</f>
        <v>0</v>
      </c>
      <c r="K168" s="7">
        <f t="shared" si="24"/>
        <v>0</v>
      </c>
      <c r="L168" s="7">
        <f t="shared" si="25"/>
        <v>0</v>
      </c>
      <c r="M168" s="22">
        <f>L168*Weighting!$V$24</f>
        <v>0</v>
      </c>
    </row>
    <row r="169" spans="1:20" x14ac:dyDescent="0.25">
      <c r="A169" s="45" t="b">
        <f t="array" ref="A169">IF(ISERROR(INDEX('Data Transformation'!$B$4:$G$450,SMALL(IF('Data Transformation'!$B$4:$B$450='Bin Analysis and Plots'!D147,ROW('Data Transformation'!$B$4:$B$450)),ROW($20:$20))-3,3)),"",INDEX('Data Transformation'!$B$4:$G$450,SMALL(IF('Data Transformation'!$B$4:$B$450='Bin Analysis and Plots'!D147,ROW('Data Transformation'!$B$4:$B$450)),ROW($20:$20))-3,6))</f>
        <v>0</v>
      </c>
      <c r="B169" s="45" t="str">
        <f>IFERROR(SMALL(A150:A169,'Data Transformation'!$L$25),"")</f>
        <v/>
      </c>
      <c r="C169" s="61" t="str">
        <f>IF(Weighting!$O$25&gt;0,D169,"")</f>
        <v/>
      </c>
      <c r="D169" t="e">
        <f>Weighting!$C$25</f>
        <v>#DIV/0!</v>
      </c>
      <c r="E169" t="e">
        <f>Weighting!$E$25</f>
        <v>#NUM!</v>
      </c>
      <c r="F169" t="e">
        <f>IF(E169=1,'Data Transformation'!$G$3+0.5*'Data Transformation'!$R$25,IF(E170=1,F170-'Data Transformation'!$R$25,FALSE))</f>
        <v>#NUM!</v>
      </c>
      <c r="G169">
        <f t="array" ref="G169">IF(ISLOGICAL(F169),"",FREQUENCY(IF('Data Transformation'!$B$24:$B$404='Bin Analysis and Plots'!$D$147,'Data Transformation'!$G$24:$G$404),'Bin Analysis and Plots'!F169))</f>
        <v>0</v>
      </c>
      <c r="H169">
        <f t="shared" si="23"/>
        <v>0</v>
      </c>
      <c r="I169">
        <f>Weighting!$G$25</f>
        <v>0</v>
      </c>
      <c r="J169" s="7">
        <f t="array" ref="J169">FREQUENCY(IF('Data Transformation'!$B$4:$B$404=D147,'Data Transformation'!$G$4:$G$404),'Bin Analysis and Plots'!$D169)</f>
        <v>0</v>
      </c>
      <c r="K169" s="7">
        <f t="shared" si="24"/>
        <v>0</v>
      </c>
      <c r="L169" s="7">
        <f t="shared" si="25"/>
        <v>0</v>
      </c>
      <c r="M169" s="22">
        <f>L169*Weighting!$V$25</f>
        <v>0</v>
      </c>
    </row>
    <row r="170" spans="1:20" x14ac:dyDescent="0.25">
      <c r="C170" s="60" t="str">
        <f t="shared" si="22"/>
        <v/>
      </c>
    </row>
    <row r="171" spans="1:20" ht="23.25" x14ac:dyDescent="0.35">
      <c r="C171" s="46" t="s">
        <v>0</v>
      </c>
      <c r="D171" s="46" t="str">
        <f>'Input and Summary Results'!G14</f>
        <v xml:space="preserve"> </v>
      </c>
      <c r="E171" s="46"/>
      <c r="F171" s="46"/>
      <c r="G171" s="46"/>
      <c r="H171" s="46"/>
      <c r="I171" s="46"/>
      <c r="J171" s="47"/>
      <c r="K171" s="47"/>
      <c r="L171" s="47"/>
      <c r="M171" s="46"/>
      <c r="N171" s="46"/>
      <c r="O171" s="57" t="e">
        <f>INDEX('Data Transformation'!$O$4:$O$25,MATCH($D171,'Data Transformation'!$M$4:$M$25,0),MATCH($O$2,'Data Transformation'!$O$3,0))</f>
        <v>#N/A</v>
      </c>
      <c r="P171" s="52" t="e">
        <f>IF(O171=FALSE,NA(),(VLOOKUP(1,E174:M193,4,FALSE))/(O171-1))</f>
        <v>#N/A</v>
      </c>
      <c r="Q171" s="52" t="e">
        <f>IF(O171=FALSE,NA(),SUM(L174:L193)/Weighting!$R$5)</f>
        <v>#N/A</v>
      </c>
      <c r="R171" s="52" t="e">
        <f>IF(O171=FALSE,NA(),SUM(M174:M193)/Weighting!$R$6)</f>
        <v>#N/A</v>
      </c>
      <c r="S171" s="52" t="e">
        <f>IF(O171=FALSE,NA(),(VLOOKUP(1,I174:M193,3,FALSE))/(O171-1))</f>
        <v>#N/A</v>
      </c>
      <c r="T171" s="57" t="e">
        <f>IF(O171=FALSE,NA(),IF(SUM(L174:L193)=2,"yes","no"))</f>
        <v>#N/A</v>
      </c>
    </row>
    <row r="172" spans="1:20" x14ac:dyDescent="0.25">
      <c r="A172" s="96" t="s">
        <v>64</v>
      </c>
      <c r="B172" s="96"/>
      <c r="C172" s="58" t="s">
        <v>72</v>
      </c>
      <c r="D172" t="s">
        <v>50</v>
      </c>
      <c r="E172" t="s">
        <v>5</v>
      </c>
      <c r="I172" t="s">
        <v>75</v>
      </c>
      <c r="J172" s="7" t="s">
        <v>34</v>
      </c>
      <c r="K172" s="7" t="s">
        <v>35</v>
      </c>
      <c r="L172" s="7" t="s">
        <v>49</v>
      </c>
      <c r="M172" s="21" t="s">
        <v>48</v>
      </c>
    </row>
    <row r="173" spans="1:20" x14ac:dyDescent="0.25">
      <c r="C173" s="60" t="str">
        <f t="shared" ref="C173:C194" si="26">IF(B173="","",D173)</f>
        <v/>
      </c>
      <c r="F173" t="e">
        <f>IF(E173=1,'Data Transformation'!$G$3+0.5*'Data Transformation'!$R$25,IF(E174=1,F174-'Data Transformation'!$R$25,FALSE))</f>
        <v>#NUM!</v>
      </c>
      <c r="G173">
        <f t="array" ref="G173">IF(ISLOGICAL(F173),"",FREQUENCY(IF('Data Transformation'!$B$24:$B$404='Bin Analysis and Plots'!$D$171,'Data Transformation'!$G$24:$G$404),'Bin Analysis and Plots'!F173))</f>
        <v>0</v>
      </c>
      <c r="H173">
        <f>IF(ISLOGICAL(F173),"",G173-G172)</f>
        <v>0</v>
      </c>
    </row>
    <row r="174" spans="1:20" x14ac:dyDescent="0.25">
      <c r="A174" s="45" t="b">
        <f t="array" ref="A174">IF(ISERROR(INDEX('Data Transformation'!$B$4:$G$450,SMALL(IF('Data Transformation'!$B$4:$B$450='Bin Analysis and Plots'!D171,ROW('Data Transformation'!$B$4:$B$450)),ROW($1:$1))-3,3)),"",INDEX('Data Transformation'!$B$4:$G$450,SMALL(IF('Data Transformation'!$B$4:$B$450='Bin Analysis and Plots'!D171,ROW('Data Transformation'!$B$4:$B$450)),ROW($1:$1))-3,6))</f>
        <v>0</v>
      </c>
      <c r="B174" s="45" t="str">
        <f>IFERROR(SMALL(A174:A193,'Data Transformation'!$L$6),"")</f>
        <v/>
      </c>
      <c r="C174" s="61" t="e">
        <f>IF(Weighting!$O$6&gt;0,D174,"")</f>
        <v>#NUM!</v>
      </c>
      <c r="D174" t="e">
        <f>Weighting!$C$6</f>
        <v>#DIV/0!</v>
      </c>
      <c r="E174" t="e">
        <f>Weighting!$E$6</f>
        <v>#NUM!</v>
      </c>
      <c r="F174" t="e">
        <f>IF(E174=1,'Data Transformation'!$G$3+0.5*'Data Transformation'!$R$25,IF(E175=1,F175-'Data Transformation'!$R$25,FALSE))</f>
        <v>#NUM!</v>
      </c>
      <c r="G174">
        <f t="array" ref="G174">IF(ISLOGICAL(F174),"",FREQUENCY(IF('Data Transformation'!$B$24:$B$404='Bin Analysis and Plots'!$D$171,'Data Transformation'!$G$24:$G$404),'Bin Analysis and Plots'!F174))</f>
        <v>0</v>
      </c>
      <c r="H174">
        <f>IF(ISLOGICAL(F174),"",G174-G173)</f>
        <v>0</v>
      </c>
      <c r="I174">
        <f>Weighting!$G$6</f>
        <v>1</v>
      </c>
      <c r="J174" s="7">
        <f t="array" ref="J174">FREQUENCY(IF('Data Transformation'!$B$4:$B$404=D171,'Data Transformation'!$G$4:$G$404),'Bin Analysis and Plots'!$D174)</f>
        <v>0</v>
      </c>
      <c r="K174" s="7">
        <f>J174-J173</f>
        <v>0</v>
      </c>
      <c r="L174" s="7">
        <f>IF(K174=0,0,1)</f>
        <v>0</v>
      </c>
      <c r="M174" s="22" t="e">
        <f>L174*Weighting!$V$6</f>
        <v>#NUM!</v>
      </c>
    </row>
    <row r="175" spans="1:20" x14ac:dyDescent="0.25">
      <c r="A175" s="45" t="b">
        <f t="array" ref="A175">IF(ISERROR(INDEX('Data Transformation'!$B$4:$G$450,SMALL(IF('Data Transformation'!$B$4:$B$450='Bin Analysis and Plots'!D171,ROW('Data Transformation'!$B$4:$B$450)),ROW($2:$2))-3,3)),"",INDEX('Data Transformation'!$B$4:$G$450,SMALL(IF('Data Transformation'!$B$4:$B$450='Bin Analysis and Plots'!D171,ROW('Data Transformation'!$B$4:$B$450)),ROW($2:$2))-3,6))</f>
        <v>0</v>
      </c>
      <c r="B175" s="45" t="str">
        <f>IFERROR(SMALL(A174:A193,'Data Transformation'!$L$7),"")</f>
        <v/>
      </c>
      <c r="C175" s="61" t="str">
        <f>IF(Weighting!$O$7&gt;0,D175,"")</f>
        <v/>
      </c>
      <c r="D175" t="e">
        <f>Weighting!$C$7</f>
        <v>#DIV/0!</v>
      </c>
      <c r="E175" t="e">
        <f>Weighting!$E$7</f>
        <v>#NUM!</v>
      </c>
      <c r="F175" t="e">
        <f>IF(E175=1,'Data Transformation'!$G$3+0.5*'Data Transformation'!$R$25,IF(E176=1,F176-'Data Transformation'!$R$25,FALSE))</f>
        <v>#NUM!</v>
      </c>
      <c r="G175">
        <f t="array" ref="G175">IF(ISLOGICAL(F175),"",FREQUENCY(IF('Data Transformation'!$B$24:$B$404='Bin Analysis and Plots'!$D$171,'Data Transformation'!$G$24:$G$404),'Bin Analysis and Plots'!F175))</f>
        <v>0</v>
      </c>
      <c r="H175">
        <f t="shared" ref="H175:H193" si="27">IF(ISLOGICAL(F175),"",G175-G174)</f>
        <v>0</v>
      </c>
      <c r="I175">
        <f>Weighting!$G$7</f>
        <v>0</v>
      </c>
      <c r="J175" s="7">
        <f t="array" ref="J175">FREQUENCY(IF('Data Transformation'!$B$4:$B$404=D171,'Data Transformation'!$G$4:$G$404),'Bin Analysis and Plots'!$D175)</f>
        <v>0</v>
      </c>
      <c r="K175" s="7">
        <f t="shared" ref="K175:K193" si="28">J175-J174</f>
        <v>0</v>
      </c>
      <c r="L175" s="7">
        <f>IF(K175=0,0,1)</f>
        <v>0</v>
      </c>
      <c r="M175" s="22">
        <f>L175*Weighting!$V$7</f>
        <v>0</v>
      </c>
    </row>
    <row r="176" spans="1:20" x14ac:dyDescent="0.25">
      <c r="A176" s="45" t="b">
        <f t="array" ref="A176">IF(ISERROR(INDEX('Data Transformation'!$B$4:$G$450,SMALL(IF('Data Transformation'!$B$4:$B$450='Bin Analysis and Plots'!D171,ROW('Data Transformation'!$B$4:$B$450)),ROW($3:$3))-3,3)),"",INDEX('Data Transformation'!$B$4:$G$450,SMALL(IF('Data Transformation'!$B$4:$B$450='Bin Analysis and Plots'!D171,ROW('Data Transformation'!$B$4:$B$450)),ROW($3:$3))-3,6))</f>
        <v>0</v>
      </c>
      <c r="B176" s="45" t="str">
        <f>IFERROR(SMALL(A174:A193,'Data Transformation'!$L$8),"")</f>
        <v/>
      </c>
      <c r="C176" s="61" t="str">
        <f>IF(Weighting!$O$8&gt;0,D176,"")</f>
        <v/>
      </c>
      <c r="D176" t="e">
        <f>Weighting!$C$8</f>
        <v>#DIV/0!</v>
      </c>
      <c r="E176" t="e">
        <f>Weighting!$E$8</f>
        <v>#NUM!</v>
      </c>
      <c r="F176" t="e">
        <f>IF(E176=1,'Data Transformation'!$G$3+0.5*'Data Transformation'!$R$25,IF(E177=1,F177-'Data Transformation'!$R$25,FALSE))</f>
        <v>#NUM!</v>
      </c>
      <c r="G176">
        <f t="array" ref="G176">IF(ISLOGICAL(F176),"",FREQUENCY(IF('Data Transformation'!$B$24:$B$404='Bin Analysis and Plots'!$D$171,'Data Transformation'!$G$24:$G$404),'Bin Analysis and Plots'!F176))</f>
        <v>0</v>
      </c>
      <c r="H176">
        <f t="shared" si="27"/>
        <v>0</v>
      </c>
      <c r="I176">
        <f>Weighting!$G$8</f>
        <v>0</v>
      </c>
      <c r="J176" s="7">
        <f t="array" ref="J176">FREQUENCY(IF('Data Transformation'!$B$4:$B$404=D171,'Data Transformation'!$G$4:$G$404),'Bin Analysis and Plots'!$D176)</f>
        <v>0</v>
      </c>
      <c r="K176" s="7">
        <f t="shared" si="28"/>
        <v>0</v>
      </c>
      <c r="L176" s="7">
        <f t="shared" ref="L176:L193" si="29">IF(K176=0,0,1)</f>
        <v>0</v>
      </c>
      <c r="M176" s="22">
        <f>L176*Weighting!$V$8</f>
        <v>0</v>
      </c>
    </row>
    <row r="177" spans="1:13" x14ac:dyDescent="0.25">
      <c r="A177" s="45" t="b">
        <f t="array" ref="A177">IF(ISERROR(INDEX('Data Transformation'!$B$4:$G$450,SMALL(IF('Data Transformation'!$B$4:$B$450='Bin Analysis and Plots'!D171,ROW('Data Transformation'!$B$4:$B$450)),ROW($4:$4))-3,3)),"",INDEX('Data Transformation'!$B$4:$G$450,SMALL(IF('Data Transformation'!$B$4:$B$450='Bin Analysis and Plots'!D171,ROW('Data Transformation'!$B$4:$B$450)),ROW($4:$4))-3,6))</f>
        <v>0</v>
      </c>
      <c r="B177" s="45" t="str">
        <f>IFERROR(SMALL(A174:A193,'Data Transformation'!$L$9),"")</f>
        <v/>
      </c>
      <c r="C177" s="61" t="str">
        <f>IF(Weighting!$O$9&gt;0,D177,"")</f>
        <v/>
      </c>
      <c r="D177" t="e">
        <f>Weighting!$B$9</f>
        <v>#DIV/0!</v>
      </c>
      <c r="E177" t="e">
        <f>Weighting!$E$9</f>
        <v>#NUM!</v>
      </c>
      <c r="F177" t="e">
        <f>IF(E177=1,'Data Transformation'!$G$3+0.5*'Data Transformation'!$R$25,IF(E178=1,F178-'Data Transformation'!$R$25,FALSE))</f>
        <v>#NUM!</v>
      </c>
      <c r="G177">
        <f t="array" ref="G177">IF(ISLOGICAL(F177),"",FREQUENCY(IF('Data Transformation'!$B$24:$B$404='Bin Analysis and Plots'!$D$171,'Data Transformation'!$G$24:$G$404),'Bin Analysis and Plots'!F177))</f>
        <v>0</v>
      </c>
      <c r="H177">
        <f t="shared" si="27"/>
        <v>0</v>
      </c>
      <c r="I177">
        <f>Weighting!$G$9</f>
        <v>0</v>
      </c>
      <c r="J177" s="7">
        <f t="array" ref="J177">FREQUENCY(IF('Data Transformation'!$B$4:$B$404=D171,'Data Transformation'!$G$4:$G$404),'Bin Analysis and Plots'!$D177)</f>
        <v>0</v>
      </c>
      <c r="K177" s="7">
        <f t="shared" si="28"/>
        <v>0</v>
      </c>
      <c r="L177" s="7">
        <f t="shared" si="29"/>
        <v>0</v>
      </c>
      <c r="M177" s="22">
        <f>L177*Weighting!$V$9</f>
        <v>0</v>
      </c>
    </row>
    <row r="178" spans="1:13" x14ac:dyDescent="0.25">
      <c r="A178" s="45" t="b">
        <f t="array" ref="A178">IF(ISERROR(INDEX('Data Transformation'!$B$4:$G$450,SMALL(IF('Data Transformation'!$B$4:$B$450='Bin Analysis and Plots'!D171,ROW('Data Transformation'!$B$4:$B$450)),ROW($5:$5))-3,3)),"",INDEX('Data Transformation'!$B$4:$G$450,SMALL(IF('Data Transformation'!$B$4:$B$450='Bin Analysis and Plots'!D171,ROW('Data Transformation'!$B$4:$B$450)),ROW($5:$5))-3,6))</f>
        <v>0</v>
      </c>
      <c r="B178" s="45" t="str">
        <f>IFERROR(SMALL(A174:A193,'Data Transformation'!$L$10),"")</f>
        <v/>
      </c>
      <c r="C178" s="61" t="str">
        <f>IF(Weighting!$O$10&gt;0,D178,"")</f>
        <v/>
      </c>
      <c r="D178" t="e">
        <f>Weighting!$C$10</f>
        <v>#DIV/0!</v>
      </c>
      <c r="E178" t="e">
        <f>Weighting!$E$10</f>
        <v>#NUM!</v>
      </c>
      <c r="F178" t="e">
        <f>IF(E178=1,'Data Transformation'!$G$3+0.5*'Data Transformation'!$R$25,IF(E179=1,F179-'Data Transformation'!$R$25,FALSE))</f>
        <v>#NUM!</v>
      </c>
      <c r="G178">
        <f t="array" ref="G178">IF(ISLOGICAL(F178),"",FREQUENCY(IF('Data Transformation'!$B$24:$B$404='Bin Analysis and Plots'!$D$171,'Data Transformation'!$G$24:$G$404),'Bin Analysis and Plots'!F178))</f>
        <v>0</v>
      </c>
      <c r="H178">
        <f t="shared" si="27"/>
        <v>0</v>
      </c>
      <c r="I178">
        <f>Weighting!$G$10</f>
        <v>0</v>
      </c>
      <c r="J178" s="7">
        <f t="array" ref="J178">FREQUENCY(IF('Data Transformation'!$B$4:$B$404=D171,'Data Transformation'!$G$4:$G$404),'Bin Analysis and Plots'!$D178)</f>
        <v>0</v>
      </c>
      <c r="K178" s="7">
        <f t="shared" si="28"/>
        <v>0</v>
      </c>
      <c r="L178" s="7">
        <f t="shared" si="29"/>
        <v>0</v>
      </c>
      <c r="M178" s="22">
        <f>L178*Weighting!$V$10</f>
        <v>0</v>
      </c>
    </row>
    <row r="179" spans="1:13" x14ac:dyDescent="0.25">
      <c r="A179" s="45" t="b">
        <f t="array" ref="A179">IF(ISERROR(INDEX('Data Transformation'!$B$4:$G$450,SMALL(IF('Data Transformation'!$B$4:$B$450='Bin Analysis and Plots'!D171,ROW('Data Transformation'!$B$4:$B$450)),ROW($6:$6))-3,3)),"",INDEX('Data Transformation'!$B$4:$G$450,SMALL(IF('Data Transformation'!$B$4:$B$450='Bin Analysis and Plots'!D171,ROW('Data Transformation'!$B$4:$B$450)),ROW($6:$6))-3,6))</f>
        <v>0</v>
      </c>
      <c r="B179" s="45" t="str">
        <f>IFERROR(SMALL(A174:A193,'Data Transformation'!$L$11),"")</f>
        <v/>
      </c>
      <c r="C179" s="61" t="str">
        <f>IF(Weighting!$O$11&gt;0,D179,"")</f>
        <v/>
      </c>
      <c r="D179" t="e">
        <f>Weighting!$C$11</f>
        <v>#DIV/0!</v>
      </c>
      <c r="E179" t="e">
        <f>Weighting!$E$11</f>
        <v>#NUM!</v>
      </c>
      <c r="F179" t="e">
        <f>IF(E179=1,'Data Transformation'!$G$3+0.5*'Data Transformation'!$R$25,IF(E180=1,F180-'Data Transformation'!$R$25,FALSE))</f>
        <v>#NUM!</v>
      </c>
      <c r="G179">
        <f t="array" ref="G179">IF(ISLOGICAL(F179),"",FREQUENCY(IF('Data Transformation'!$B$24:$B$404='Bin Analysis and Plots'!$D$171,'Data Transformation'!$G$24:$G$404),'Bin Analysis and Plots'!F179))</f>
        <v>0</v>
      </c>
      <c r="H179">
        <f t="shared" si="27"/>
        <v>0</v>
      </c>
      <c r="I179">
        <f>Weighting!$G$11</f>
        <v>0</v>
      </c>
      <c r="J179" s="7">
        <f t="array" ref="J179">FREQUENCY(IF('Data Transformation'!$B$4:$B$404=D171,'Data Transformation'!$G$4:$G$404),'Bin Analysis and Plots'!$D179)</f>
        <v>0</v>
      </c>
      <c r="K179" s="7">
        <f t="shared" si="28"/>
        <v>0</v>
      </c>
      <c r="L179" s="7">
        <f t="shared" si="29"/>
        <v>0</v>
      </c>
      <c r="M179" s="22">
        <f>L179*Weighting!$V$11</f>
        <v>0</v>
      </c>
    </row>
    <row r="180" spans="1:13" x14ac:dyDescent="0.25">
      <c r="A180" s="45" t="b">
        <f t="array" ref="A180">IF(ISERROR(INDEX('Data Transformation'!$B$4:$G$450,SMALL(IF('Data Transformation'!$B$4:$B$450='Bin Analysis and Plots'!D171,ROW('Data Transformation'!$B$4:$B$450)),ROW($7:$7))-3,3)),"",INDEX('Data Transformation'!$B$4:$G$450,SMALL(IF('Data Transformation'!$B$4:$B$450='Bin Analysis and Plots'!D171,ROW('Data Transformation'!$B$4:$B$450)),ROW($7:$7))-3,6))</f>
        <v>0</v>
      </c>
      <c r="B180" s="45" t="str">
        <f>IFERROR(SMALL(A174:A193,'Data Transformation'!$L$12),"")</f>
        <v/>
      </c>
      <c r="C180" s="61" t="str">
        <f>IF(Weighting!$O$12&gt;0,D180,"")</f>
        <v/>
      </c>
      <c r="D180" t="e">
        <f>Weighting!$C$12</f>
        <v>#DIV/0!</v>
      </c>
      <c r="E180" t="e">
        <f>Weighting!$E$12</f>
        <v>#NUM!</v>
      </c>
      <c r="F180" t="e">
        <f>IF(E180=1,'Data Transformation'!$G$3+0.5*'Data Transformation'!$R$25,IF(E181=1,F181-'Data Transformation'!$R$25,FALSE))</f>
        <v>#NUM!</v>
      </c>
      <c r="G180">
        <f t="array" ref="G180">IF(ISLOGICAL(F180),"",FREQUENCY(IF('Data Transformation'!$B$24:$B$404='Bin Analysis and Plots'!$D$171,'Data Transformation'!$G$24:$G$404),'Bin Analysis and Plots'!F180))</f>
        <v>0</v>
      </c>
      <c r="H180">
        <f t="shared" si="27"/>
        <v>0</v>
      </c>
      <c r="I180">
        <f>Weighting!$G$12</f>
        <v>0</v>
      </c>
      <c r="J180" s="7">
        <f t="array" ref="J180">FREQUENCY(IF('Data Transformation'!$B$4:$B$404=D171,'Data Transformation'!$G$4:$G$404),'Bin Analysis and Plots'!$D180)</f>
        <v>0</v>
      </c>
      <c r="K180" s="7">
        <f t="shared" si="28"/>
        <v>0</v>
      </c>
      <c r="L180" s="7">
        <f t="shared" si="29"/>
        <v>0</v>
      </c>
      <c r="M180" s="22">
        <f>L180*Weighting!$V$12</f>
        <v>0</v>
      </c>
    </row>
    <row r="181" spans="1:13" x14ac:dyDescent="0.25">
      <c r="A181" s="45" t="b">
        <f t="array" ref="A181">IF(ISERROR(INDEX('Data Transformation'!$B$4:$G$450,SMALL(IF('Data Transformation'!$B$4:$B$450='Bin Analysis and Plots'!D171,ROW('Data Transformation'!$B$4:$B$450)),ROW($8:$8))-3,3)),"",INDEX('Data Transformation'!$B$4:$G$450,SMALL(IF('Data Transformation'!$B$4:$B$450='Bin Analysis and Plots'!D171,ROW('Data Transformation'!$B$4:$B$450)),ROW($8:$8))-3,6))</f>
        <v>0</v>
      </c>
      <c r="B181" s="45" t="str">
        <f>IFERROR(SMALL(A174:A193,'Data Transformation'!$L$13),"")</f>
        <v/>
      </c>
      <c r="C181" s="61" t="str">
        <f>IF(Weighting!$O$13&gt;0,D181,"")</f>
        <v/>
      </c>
      <c r="D181" t="e">
        <f>Weighting!$C$13</f>
        <v>#DIV/0!</v>
      </c>
      <c r="E181" t="e">
        <f>Weighting!$E$13</f>
        <v>#NUM!</v>
      </c>
      <c r="F181" t="e">
        <f>IF(E181=1,'Data Transformation'!$G$3+0.5*'Data Transformation'!$R$25,IF(E182=1,F182-'Data Transformation'!$R$25,FALSE))</f>
        <v>#NUM!</v>
      </c>
      <c r="G181">
        <f t="array" ref="G181">IF(ISLOGICAL(F181),"",FREQUENCY(IF('Data Transformation'!$B$24:$B$404='Bin Analysis and Plots'!$D$171,'Data Transformation'!$G$24:$G$404),'Bin Analysis and Plots'!F181))</f>
        <v>0</v>
      </c>
      <c r="H181">
        <f t="shared" si="27"/>
        <v>0</v>
      </c>
      <c r="I181">
        <f>Weighting!$G$13</f>
        <v>0</v>
      </c>
      <c r="J181" s="7">
        <f t="array" ref="J181">FREQUENCY(IF('Data Transformation'!$B$4:$B$404=D171,'Data Transformation'!$G$4:$G$404),'Bin Analysis and Plots'!$D181)</f>
        <v>0</v>
      </c>
      <c r="K181" s="7">
        <f t="shared" si="28"/>
        <v>0</v>
      </c>
      <c r="L181" s="7">
        <f t="shared" si="29"/>
        <v>0</v>
      </c>
      <c r="M181" s="22">
        <f>L181*Weighting!$V$13</f>
        <v>0</v>
      </c>
    </row>
    <row r="182" spans="1:13" x14ac:dyDescent="0.25">
      <c r="A182" s="45" t="b">
        <f t="array" ref="A182">IF(ISERROR(INDEX('Data Transformation'!$B$4:$G$450,SMALL(IF('Data Transformation'!$B$4:$B$450='Bin Analysis and Plots'!D171,ROW('Data Transformation'!$B$4:$B$450)),ROW($9:$9))-3,3)),"",INDEX('Data Transformation'!$B$4:$G$450,SMALL(IF('Data Transformation'!$B$4:$B$450='Bin Analysis and Plots'!D171,ROW('Data Transformation'!$B$4:$B$450)),ROW($9:$9))-3,6))</f>
        <v>0</v>
      </c>
      <c r="B182" s="45" t="str">
        <f>IFERROR(SMALL(A174:A193,'Data Transformation'!$L$14),"")</f>
        <v/>
      </c>
      <c r="C182" s="61" t="str">
        <f>IF(Weighting!$O$14&gt;0,D182,"")</f>
        <v/>
      </c>
      <c r="D182" t="e">
        <f>Weighting!$C$14</f>
        <v>#DIV/0!</v>
      </c>
      <c r="E182" t="e">
        <f>Weighting!$E$14</f>
        <v>#NUM!</v>
      </c>
      <c r="F182" t="e">
        <f>IF(E182=1,'Data Transformation'!$G$3+0.5*'Data Transformation'!$R$25,IF(E183=1,F183-'Data Transformation'!$R$25,FALSE))</f>
        <v>#NUM!</v>
      </c>
      <c r="G182">
        <f t="array" ref="G182">IF(ISLOGICAL(F182),"",FREQUENCY(IF('Data Transformation'!$B$24:$B$404='Bin Analysis and Plots'!$D$171,'Data Transformation'!$G$24:$G$404),'Bin Analysis and Plots'!F182))</f>
        <v>0</v>
      </c>
      <c r="H182">
        <f t="shared" si="27"/>
        <v>0</v>
      </c>
      <c r="I182">
        <f>Weighting!$G$14</f>
        <v>0</v>
      </c>
      <c r="J182" s="7">
        <f t="array" ref="J182">FREQUENCY(IF('Data Transformation'!$B$4:$B$404=D171,'Data Transformation'!$G$4:$G$404),'Bin Analysis and Plots'!$D182)</f>
        <v>0</v>
      </c>
      <c r="K182" s="7">
        <f t="shared" si="28"/>
        <v>0</v>
      </c>
      <c r="L182" s="7">
        <f t="shared" si="29"/>
        <v>0</v>
      </c>
      <c r="M182" s="22">
        <f>L182*Weighting!$V$14</f>
        <v>0</v>
      </c>
    </row>
    <row r="183" spans="1:13" x14ac:dyDescent="0.25">
      <c r="A183" s="45" t="b">
        <f t="array" ref="A183">IF(ISERROR(INDEX('Data Transformation'!$B$4:$G$450,SMALL(IF('Data Transformation'!$B$4:$B$450='Bin Analysis and Plots'!D171,ROW('Data Transformation'!$B$4:$B$450)),ROW($10:$10))-3,3)),"",INDEX('Data Transformation'!$B$4:$G$450,SMALL(IF('Data Transformation'!$B$4:$B$450='Bin Analysis and Plots'!D171,ROW('Data Transformation'!$B$4:$B$450)),ROW($10:$10))-3,6))</f>
        <v>0</v>
      </c>
      <c r="B183" s="45" t="str">
        <f>IFERROR(SMALL(A174:A193,'Data Transformation'!$L$15),"")</f>
        <v/>
      </c>
      <c r="C183" s="61" t="str">
        <f>IF(Weighting!$O$15&gt;0,D183,"")</f>
        <v/>
      </c>
      <c r="D183" t="e">
        <f>Weighting!$C$15</f>
        <v>#DIV/0!</v>
      </c>
      <c r="E183" t="e">
        <f>Weighting!$E$15</f>
        <v>#NUM!</v>
      </c>
      <c r="F183" t="e">
        <f>IF(E183=1,'Data Transformation'!$G$3+0.5*'Data Transformation'!$R$25,IF(E184=1,F184-'Data Transformation'!$R$25,FALSE))</f>
        <v>#NUM!</v>
      </c>
      <c r="G183">
        <f t="array" ref="G183">IF(ISLOGICAL(F183),"",FREQUENCY(IF('Data Transformation'!$B$24:$B$404='Bin Analysis and Plots'!$D$171,'Data Transformation'!$G$24:$G$404),'Bin Analysis and Plots'!F183))</f>
        <v>0</v>
      </c>
      <c r="H183">
        <f t="shared" si="27"/>
        <v>0</v>
      </c>
      <c r="I183">
        <f>Weighting!$G$15</f>
        <v>0</v>
      </c>
      <c r="J183" s="7">
        <f t="array" ref="J183">FREQUENCY(IF('Data Transformation'!$B$4:$B$404=D171,'Data Transformation'!$G$4:$G$404),'Bin Analysis and Plots'!$D183)</f>
        <v>0</v>
      </c>
      <c r="K183" s="7">
        <f t="shared" si="28"/>
        <v>0</v>
      </c>
      <c r="L183" s="7">
        <f t="shared" si="29"/>
        <v>0</v>
      </c>
      <c r="M183" s="22">
        <f>L183*Weighting!$V$15</f>
        <v>0</v>
      </c>
    </row>
    <row r="184" spans="1:13" x14ac:dyDescent="0.25">
      <c r="A184" s="45" t="b">
        <f t="array" ref="A184">IF(ISERROR(INDEX('Data Transformation'!$B$4:$G$450,SMALL(IF('Data Transformation'!$B$4:$B$450='Bin Analysis and Plots'!D171,ROW('Data Transformation'!$B$4:$B$450)),ROW($11:$11))-3,3)),"",INDEX('Data Transformation'!$B$4:$G$450,SMALL(IF('Data Transformation'!$B$4:$B$450='Bin Analysis and Plots'!D171,ROW('Data Transformation'!$B$4:$B$450)),ROW($11:$11))-3,6))</f>
        <v>0</v>
      </c>
      <c r="B184" s="45" t="str">
        <f>IFERROR(SMALL(A174:A193,'Data Transformation'!$L$16),"")</f>
        <v/>
      </c>
      <c r="C184" s="61" t="str">
        <f>IF(Weighting!$O$16&gt;0,D184,"")</f>
        <v/>
      </c>
      <c r="D184" t="e">
        <f>Weighting!$C$16</f>
        <v>#DIV/0!</v>
      </c>
      <c r="E184" t="e">
        <f>Weighting!$E$16</f>
        <v>#NUM!</v>
      </c>
      <c r="F184" t="e">
        <f>IF(E184=1,'Data Transformation'!$G$3+0.5*'Data Transformation'!$R$25,IF(E185=1,F185-'Data Transformation'!$R$25,FALSE))</f>
        <v>#NUM!</v>
      </c>
      <c r="G184">
        <f t="array" ref="G184">IF(ISLOGICAL(F184),"",FREQUENCY(IF('Data Transformation'!$B$24:$B$404='Bin Analysis and Plots'!$D$171,'Data Transformation'!$G$24:$G$404),'Bin Analysis and Plots'!F184))</f>
        <v>0</v>
      </c>
      <c r="H184">
        <f t="shared" si="27"/>
        <v>0</v>
      </c>
      <c r="I184">
        <f>Weighting!$G$16</f>
        <v>0</v>
      </c>
      <c r="J184" s="7">
        <f t="array" ref="J184">FREQUENCY(IF('Data Transformation'!$B$4:$B$404=D171,'Data Transformation'!$G$4:$G$404),'Bin Analysis and Plots'!$D184)</f>
        <v>0</v>
      </c>
      <c r="K184" s="7">
        <f t="shared" si="28"/>
        <v>0</v>
      </c>
      <c r="L184" s="7">
        <f t="shared" si="29"/>
        <v>0</v>
      </c>
      <c r="M184" s="22">
        <f>L184*Weighting!$V$16</f>
        <v>0</v>
      </c>
    </row>
    <row r="185" spans="1:13" x14ac:dyDescent="0.25">
      <c r="A185" s="45" t="b">
        <f t="array" ref="A185">IF(ISERROR(INDEX('Data Transformation'!$B$4:$G$450,SMALL(IF('Data Transformation'!$B$4:$B$450='Bin Analysis and Plots'!D171,ROW('Data Transformation'!$B$4:$B$450)),ROW($12:$12))-3,3)),"",INDEX('Data Transformation'!$B$4:$G$450,SMALL(IF('Data Transformation'!$B$4:$B$450='Bin Analysis and Plots'!D171,ROW('Data Transformation'!$B$4:$B$450)),ROW($12:$12))-3,6))</f>
        <v>0</v>
      </c>
      <c r="B185" s="45" t="str">
        <f>IFERROR(SMALL(A174:A193,'Data Transformation'!$L$17),"")</f>
        <v/>
      </c>
      <c r="C185" s="61" t="str">
        <f>IF(Weighting!$O$17&gt;0,D185,"")</f>
        <v/>
      </c>
      <c r="D185" t="e">
        <f>Weighting!$C$17</f>
        <v>#DIV/0!</v>
      </c>
      <c r="E185" t="e">
        <f>Weighting!$E$17</f>
        <v>#NUM!</v>
      </c>
      <c r="F185" t="e">
        <f>IF(E185=1,'Data Transformation'!$G$3+0.5*'Data Transformation'!$R$25,IF(E186=1,F186-'Data Transformation'!$R$25,FALSE))</f>
        <v>#NUM!</v>
      </c>
      <c r="G185">
        <f t="array" ref="G185">IF(ISLOGICAL(F185),"",FREQUENCY(IF('Data Transformation'!$B$24:$B$404='Bin Analysis and Plots'!$D$171,'Data Transformation'!$G$24:$G$404),'Bin Analysis and Plots'!F185))</f>
        <v>0</v>
      </c>
      <c r="H185">
        <f t="shared" si="27"/>
        <v>0</v>
      </c>
      <c r="I185">
        <f>Weighting!$G$17</f>
        <v>0</v>
      </c>
      <c r="J185" s="7">
        <f t="array" ref="J185">FREQUENCY(IF('Data Transformation'!$B$4:$B$404=D171,'Data Transformation'!$G$4:$G$404),'Bin Analysis and Plots'!$D185)</f>
        <v>0</v>
      </c>
      <c r="K185" s="7">
        <f t="shared" si="28"/>
        <v>0</v>
      </c>
      <c r="L185" s="7">
        <f t="shared" si="29"/>
        <v>0</v>
      </c>
      <c r="M185" s="22">
        <f>L185*Weighting!$V$17</f>
        <v>0</v>
      </c>
    </row>
    <row r="186" spans="1:13" x14ac:dyDescent="0.25">
      <c r="A186" s="45" t="b">
        <f t="array" ref="A186">IF(ISERROR(INDEX('Data Transformation'!$B$4:$G$450,SMALL(IF('Data Transformation'!$B$4:$B$450='Bin Analysis and Plots'!D171,ROW('Data Transformation'!$B$4:$B$450)),ROW($13:$13))-3,3)),"",INDEX('Data Transformation'!$B$4:$G$450,SMALL(IF('Data Transformation'!$B$4:$B$450='Bin Analysis and Plots'!D171,ROW('Data Transformation'!$B$4:$B$450)),ROW($13:$13))-3,6))</f>
        <v>0</v>
      </c>
      <c r="B186" s="45" t="str">
        <f>IFERROR(SMALL(A174:A193,'Data Transformation'!$L$18),"")</f>
        <v/>
      </c>
      <c r="C186" s="61" t="str">
        <f>IF(Weighting!$O$18&gt;0,D186,"")</f>
        <v/>
      </c>
      <c r="D186" t="e">
        <f>Weighting!$C$18</f>
        <v>#DIV/0!</v>
      </c>
      <c r="E186" t="e">
        <f>Weighting!$E$18</f>
        <v>#NUM!</v>
      </c>
      <c r="F186" t="e">
        <f>IF(E186=1,'Data Transformation'!$G$3+0.5*'Data Transformation'!$R$25,IF(E187=1,F187-'Data Transformation'!$R$25,FALSE))</f>
        <v>#NUM!</v>
      </c>
      <c r="G186">
        <f t="array" ref="G186">IF(ISLOGICAL(F186),"",FREQUENCY(IF('Data Transformation'!$B$24:$B$404='Bin Analysis and Plots'!$D$171,'Data Transformation'!$G$24:$G$404),'Bin Analysis and Plots'!F186))</f>
        <v>0</v>
      </c>
      <c r="H186">
        <f t="shared" si="27"/>
        <v>0</v>
      </c>
      <c r="I186">
        <f>Weighting!$G$18</f>
        <v>0</v>
      </c>
      <c r="J186" s="7">
        <f t="array" ref="J186">FREQUENCY(IF('Data Transformation'!$B$4:$B$404=D171,'Data Transformation'!$G$4:$G$404),'Bin Analysis and Plots'!$D186)</f>
        <v>0</v>
      </c>
      <c r="K186" s="7">
        <f t="shared" si="28"/>
        <v>0</v>
      </c>
      <c r="L186" s="7">
        <f t="shared" si="29"/>
        <v>0</v>
      </c>
      <c r="M186" s="22">
        <f>L186*Weighting!$V$18</f>
        <v>0</v>
      </c>
    </row>
    <row r="187" spans="1:13" x14ac:dyDescent="0.25">
      <c r="A187" s="45" t="b">
        <f t="array" ref="A187">IF(ISERROR(INDEX('Data Transformation'!$B$4:$G$450,SMALL(IF('Data Transformation'!$B$4:$B$450='Bin Analysis and Plots'!D171,ROW('Data Transformation'!$B$4:$B$450)),ROW($14:$14))-3,3)),"",INDEX('Data Transformation'!$B$4:$G$450,SMALL(IF('Data Transformation'!$B$4:$B$450='Bin Analysis and Plots'!D171,ROW('Data Transformation'!$B$4:$B$450)),ROW($14:$14))-3,6))</f>
        <v>0</v>
      </c>
      <c r="B187" s="45" t="str">
        <f>IFERROR(SMALL(A174:A193,'Data Transformation'!$L$19),"")</f>
        <v/>
      </c>
      <c r="C187" s="61" t="str">
        <f>IF(Weighting!$O$19&gt;0,D187,"")</f>
        <v/>
      </c>
      <c r="D187" t="e">
        <f>Weighting!$C$19</f>
        <v>#DIV/0!</v>
      </c>
      <c r="E187" t="e">
        <f>Weighting!$E$19</f>
        <v>#NUM!</v>
      </c>
      <c r="F187" t="e">
        <f>IF(E187=1,'Data Transformation'!$G$3+0.5*'Data Transformation'!$R$25,IF(E188=1,F188-'Data Transformation'!$R$25,FALSE))</f>
        <v>#NUM!</v>
      </c>
      <c r="G187">
        <f t="array" ref="G187">IF(ISLOGICAL(F187),"",FREQUENCY(IF('Data Transformation'!$B$24:$B$404='Bin Analysis and Plots'!$D$171,'Data Transformation'!$G$24:$G$404),'Bin Analysis and Plots'!F187))</f>
        <v>0</v>
      </c>
      <c r="H187">
        <f t="shared" si="27"/>
        <v>0</v>
      </c>
      <c r="I187">
        <f>Weighting!$G$19</f>
        <v>0</v>
      </c>
      <c r="J187" s="7">
        <f t="array" ref="J187">FREQUENCY(IF('Data Transformation'!$B$4:$B$404=D171,'Data Transformation'!$G$4:$G$404),'Bin Analysis and Plots'!$D187)</f>
        <v>0</v>
      </c>
      <c r="K187" s="7">
        <f t="shared" si="28"/>
        <v>0</v>
      </c>
      <c r="L187" s="7">
        <f t="shared" si="29"/>
        <v>0</v>
      </c>
      <c r="M187" s="22">
        <f>L187*Weighting!$V$19</f>
        <v>0</v>
      </c>
    </row>
    <row r="188" spans="1:13" x14ac:dyDescent="0.25">
      <c r="A188" s="45" t="b">
        <f t="array" ref="A188">IF(ISERROR(INDEX('Data Transformation'!$B$4:$G$450,SMALL(IF('Data Transformation'!$B$4:$B$450='Bin Analysis and Plots'!D171,ROW('Data Transformation'!$B$4:$B$450)),ROW($15:$15))-3,3)),"",INDEX('Data Transformation'!$B$4:$G$450,SMALL(IF('Data Transformation'!$B$4:$B$450='Bin Analysis and Plots'!D171,ROW('Data Transformation'!$B$4:$B$450)),ROW($15:$15))-3,6))</f>
        <v>0</v>
      </c>
      <c r="B188" s="45" t="str">
        <f>IFERROR(SMALL(A174:A193,'Data Transformation'!$L$20),"")</f>
        <v/>
      </c>
      <c r="C188" s="61" t="str">
        <f>IF(Weighting!$O$20&gt;0,D188,"")</f>
        <v/>
      </c>
      <c r="D188" t="e">
        <f>Weighting!$C$20</f>
        <v>#DIV/0!</v>
      </c>
      <c r="E188" t="e">
        <f>Weighting!$E$20</f>
        <v>#NUM!</v>
      </c>
      <c r="F188" t="e">
        <f>IF(E188=1,'Data Transformation'!$G$3+0.5*'Data Transformation'!$R$25,IF(E189=1,F189-'Data Transformation'!$R$25,FALSE))</f>
        <v>#NUM!</v>
      </c>
      <c r="G188">
        <f t="array" ref="G188">IF(ISLOGICAL(F188),"",FREQUENCY(IF('Data Transformation'!$B$24:$B$404='Bin Analysis and Plots'!$D$171,'Data Transformation'!$G$24:$G$404),'Bin Analysis and Plots'!F188))</f>
        <v>0</v>
      </c>
      <c r="H188">
        <f t="shared" si="27"/>
        <v>0</v>
      </c>
      <c r="I188">
        <f>Weighting!$G$20</f>
        <v>0</v>
      </c>
      <c r="J188" s="7">
        <f t="array" ref="J188">FREQUENCY(IF('Data Transformation'!$B$4:$B$404=D171,'Data Transformation'!$G$4:$G$404),'Bin Analysis and Plots'!$D188)</f>
        <v>0</v>
      </c>
      <c r="K188" s="7">
        <f t="shared" si="28"/>
        <v>0</v>
      </c>
      <c r="L188" s="7">
        <f t="shared" si="29"/>
        <v>0</v>
      </c>
      <c r="M188" s="22">
        <f>L188*Weighting!$V$20</f>
        <v>0</v>
      </c>
    </row>
    <row r="189" spans="1:13" x14ac:dyDescent="0.25">
      <c r="A189" s="45" t="b">
        <f t="array" ref="A189">IF(ISERROR(INDEX('Data Transformation'!$B$4:$G$450,SMALL(IF('Data Transformation'!$B$4:$B$450='Bin Analysis and Plots'!D171,ROW('Data Transformation'!$B$4:$B$450)),ROW($16:$16))-3,3)),"",INDEX('Data Transformation'!$B$4:$G$450,SMALL(IF('Data Transformation'!$B$4:$B$450='Bin Analysis and Plots'!D171,ROW('Data Transformation'!$B$4:$B$450)),ROW($16:$16))-3,6))</f>
        <v>0</v>
      </c>
      <c r="B189" s="45" t="str">
        <f>IFERROR(SMALL(A174:A193,'Data Transformation'!$L$21),"")</f>
        <v/>
      </c>
      <c r="C189" s="61" t="str">
        <f>IF(Weighting!$O$21&gt;0,D189,"")</f>
        <v/>
      </c>
      <c r="D189" t="e">
        <f>Weighting!$C$21</f>
        <v>#DIV/0!</v>
      </c>
      <c r="E189" t="e">
        <f>Weighting!$E$21</f>
        <v>#NUM!</v>
      </c>
      <c r="F189" t="e">
        <f>IF(E189=1,'Data Transformation'!$G$3+0.5*'Data Transformation'!$R$25,IF(E190=1,F190-'Data Transformation'!$R$25,FALSE))</f>
        <v>#NUM!</v>
      </c>
      <c r="G189">
        <f t="array" ref="G189">IF(ISLOGICAL(F189),"",FREQUENCY(IF('Data Transformation'!$B$24:$B$404='Bin Analysis and Plots'!$D$171,'Data Transformation'!$G$24:$G$404),'Bin Analysis and Plots'!F189))</f>
        <v>0</v>
      </c>
      <c r="H189">
        <f t="shared" si="27"/>
        <v>0</v>
      </c>
      <c r="I189">
        <f>Weighting!$G$21</f>
        <v>0</v>
      </c>
      <c r="J189" s="7">
        <f t="array" ref="J189">FREQUENCY(IF('Data Transformation'!$B$4:$B$404=D171,'Data Transformation'!$G$4:$G$404),'Bin Analysis and Plots'!$D189)</f>
        <v>0</v>
      </c>
      <c r="K189" s="7">
        <f t="shared" si="28"/>
        <v>0</v>
      </c>
      <c r="L189" s="7">
        <f t="shared" si="29"/>
        <v>0</v>
      </c>
      <c r="M189" s="22">
        <f>L189*Weighting!$V$21</f>
        <v>0</v>
      </c>
    </row>
    <row r="190" spans="1:13" x14ac:dyDescent="0.25">
      <c r="A190" s="45" t="b">
        <f t="array" ref="A190">IF(ISERROR(INDEX('Data Transformation'!$B$4:$G$450,SMALL(IF('Data Transformation'!$B$4:$B$450='Bin Analysis and Plots'!D171,ROW('Data Transformation'!$B$4:$B$450)),ROW($17:$17))-3,3)),"",INDEX('Data Transformation'!$B$4:$G$450,SMALL(IF('Data Transformation'!$B$4:$B$450='Bin Analysis and Plots'!D171,ROW('Data Transformation'!$B$4:$B$450)),ROW($17:$17))-3,6))</f>
        <v>0</v>
      </c>
      <c r="B190" s="45" t="str">
        <f>IFERROR(SMALL(A174:A193,'Data Transformation'!$L$22),"")</f>
        <v/>
      </c>
      <c r="C190" s="61" t="str">
        <f>IF(Weighting!$O$22&gt;0,D190,"")</f>
        <v/>
      </c>
      <c r="D190" t="e">
        <f>Weighting!$C$22</f>
        <v>#DIV/0!</v>
      </c>
      <c r="E190" t="e">
        <f>Weighting!$E$22</f>
        <v>#NUM!</v>
      </c>
      <c r="F190" t="e">
        <f>IF(E190=1,'Data Transformation'!$G$3+0.5*'Data Transformation'!$R$25,IF(E191=1,F191-'Data Transformation'!$R$25,FALSE))</f>
        <v>#NUM!</v>
      </c>
      <c r="G190">
        <f t="array" ref="G190">IF(ISLOGICAL(F190),"",FREQUENCY(IF('Data Transformation'!$B$24:$B$404='Bin Analysis and Plots'!$D$171,'Data Transformation'!$G$24:$G$404),'Bin Analysis and Plots'!F190))</f>
        <v>0</v>
      </c>
      <c r="H190">
        <f t="shared" si="27"/>
        <v>0</v>
      </c>
      <c r="I190">
        <f>Weighting!$G$22</f>
        <v>0</v>
      </c>
      <c r="J190" s="7">
        <f t="array" ref="J190">FREQUENCY(IF('Data Transformation'!$B$4:$B$404=D171,'Data Transformation'!$G$4:$G$404),'Bin Analysis and Plots'!$D190)</f>
        <v>0</v>
      </c>
      <c r="K190" s="7">
        <f t="shared" si="28"/>
        <v>0</v>
      </c>
      <c r="L190" s="7">
        <f t="shared" si="29"/>
        <v>0</v>
      </c>
      <c r="M190" s="22">
        <f>L190*Weighting!$V$22</f>
        <v>0</v>
      </c>
    </row>
    <row r="191" spans="1:13" x14ac:dyDescent="0.25">
      <c r="A191" s="45" t="b">
        <f t="array" ref="A191">IF(ISERROR(INDEX('Data Transformation'!$B$4:$G$450,SMALL(IF('Data Transformation'!$B$4:$B$450='Bin Analysis and Plots'!D171,ROW('Data Transformation'!$B$4:$B$450)),ROW($18:$18))-3,3)),"",INDEX('Data Transformation'!$B$4:$G$450,SMALL(IF('Data Transformation'!$B$4:$B$450='Bin Analysis and Plots'!D171,ROW('Data Transformation'!$B$4:$B$450)),ROW($18:$18))-3,6))</f>
        <v>0</v>
      </c>
      <c r="B191" s="45" t="str">
        <f>IFERROR(SMALL(A174:A193,'Data Transformation'!$L$23),"")</f>
        <v/>
      </c>
      <c r="C191" s="61" t="str">
        <f>IF(Weighting!$O$23&gt;0,D191,"")</f>
        <v/>
      </c>
      <c r="D191" t="e">
        <f>Weighting!$C$23</f>
        <v>#DIV/0!</v>
      </c>
      <c r="E191" t="e">
        <f>Weighting!$E$23</f>
        <v>#NUM!</v>
      </c>
      <c r="F191" t="e">
        <f>IF(E191=1,'Data Transformation'!$G$3+0.5*'Data Transformation'!$R$25,IF(E192=1,F192-'Data Transformation'!$R$25,FALSE))</f>
        <v>#NUM!</v>
      </c>
      <c r="G191">
        <f t="array" ref="G191">IF(ISLOGICAL(F191),"",FREQUENCY(IF('Data Transformation'!$B$24:$B$404='Bin Analysis and Plots'!$D$171,'Data Transformation'!$G$24:$G$404),'Bin Analysis and Plots'!F191))</f>
        <v>0</v>
      </c>
      <c r="H191">
        <f t="shared" si="27"/>
        <v>0</v>
      </c>
      <c r="I191">
        <f>Weighting!$G$23</f>
        <v>0</v>
      </c>
      <c r="J191" s="7">
        <f t="array" ref="J191">FREQUENCY(IF('Data Transformation'!$B$4:$B$404=D171,'Data Transformation'!$G$4:$G$404),'Bin Analysis and Plots'!$D191)</f>
        <v>0</v>
      </c>
      <c r="K191" s="7">
        <f t="shared" si="28"/>
        <v>0</v>
      </c>
      <c r="L191" s="7">
        <f t="shared" si="29"/>
        <v>0</v>
      </c>
      <c r="M191" s="22">
        <f>L191*Weighting!$V$23</f>
        <v>0</v>
      </c>
    </row>
    <row r="192" spans="1:13" x14ac:dyDescent="0.25">
      <c r="A192" s="45" t="str">
        <f>IF(ISERROR(INDEX('Data Transformation'!$B$4:$G$450,SMALL(IF('Data Transformation'!$B$4:$B$450='Bin Analysis and Plots'!D171,ROW('Data Transformation'!$B$4:$B$450)),ROW($19:$19))-3,3)),"",INDEX('Data Transformation'!$B$4:$G$450,SMALL(IF('Data Transformation'!$B$4:$B$450='Bin Analysis and Plots'!D171,ROW('Data Transformation'!$B$4:$B$450)),ROW($19:$19))-3,6))</f>
        <v/>
      </c>
      <c r="B192" s="45" t="str">
        <f>IFERROR(SMALL(A174:A193,'Data Transformation'!$L$24),"")</f>
        <v/>
      </c>
      <c r="C192" s="61" t="str">
        <f>IF(Weighting!$O$24&gt;0,D192,"")</f>
        <v/>
      </c>
      <c r="D192" t="e">
        <f>Weighting!$C$24</f>
        <v>#DIV/0!</v>
      </c>
      <c r="E192" t="e">
        <f>Weighting!$E$24</f>
        <v>#NUM!</v>
      </c>
      <c r="F192" t="e">
        <f>IF(E192=1,'Data Transformation'!$G$3+0.5*'Data Transformation'!$R$25,IF(E193=1,F193-'Data Transformation'!$R$25,FALSE))</f>
        <v>#NUM!</v>
      </c>
      <c r="G192">
        <f t="array" ref="G192">IF(ISLOGICAL(F192),"",FREQUENCY(IF('Data Transformation'!$B$24:$B$404='Bin Analysis and Plots'!$D$171,'Data Transformation'!$G$24:$G$404),'Bin Analysis and Plots'!F192))</f>
        <v>0</v>
      </c>
      <c r="H192">
        <f t="shared" si="27"/>
        <v>0</v>
      </c>
      <c r="I192">
        <f>Weighting!$G$24</f>
        <v>0</v>
      </c>
      <c r="J192" s="7">
        <f t="array" ref="J192">FREQUENCY(IF('Data Transformation'!$B$4:$B$404=D171,'Data Transformation'!$G$4:$G$404),'Bin Analysis and Plots'!$D192)</f>
        <v>0</v>
      </c>
      <c r="K192" s="7">
        <f t="shared" si="28"/>
        <v>0</v>
      </c>
      <c r="L192" s="7">
        <f t="shared" si="29"/>
        <v>0</v>
      </c>
      <c r="M192" s="22">
        <f>L192*Weighting!$V$24</f>
        <v>0</v>
      </c>
    </row>
    <row r="193" spans="1:20" x14ac:dyDescent="0.25">
      <c r="A193" s="45" t="b">
        <f t="array" ref="A193">IF(ISERROR(INDEX('Data Transformation'!$B$4:$G$450,SMALL(IF('Data Transformation'!$B$4:$B$450='Bin Analysis and Plots'!D171,ROW('Data Transformation'!$B$4:$B$450)),ROW($20:$20))-3,3)),"",INDEX('Data Transformation'!$B$4:$G$450,SMALL(IF('Data Transformation'!$B$4:$B$450='Bin Analysis and Plots'!D171,ROW('Data Transformation'!$B$4:$B$450)),ROW($20:$20))-3,6))</f>
        <v>0</v>
      </c>
      <c r="B193" s="45" t="str">
        <f>IFERROR(SMALL(A174:A193,'Data Transformation'!$L$25),"")</f>
        <v/>
      </c>
      <c r="C193" s="61" t="str">
        <f>IF(Weighting!$O$25&gt;0,D193,"")</f>
        <v/>
      </c>
      <c r="D193" t="e">
        <f>Weighting!$C$25</f>
        <v>#DIV/0!</v>
      </c>
      <c r="E193" t="e">
        <f>Weighting!$E$25</f>
        <v>#NUM!</v>
      </c>
      <c r="F193" t="e">
        <f>IF(E193=1,'Data Transformation'!$G$3+0.5*'Data Transformation'!$R$25,IF(E194=1,F194-'Data Transformation'!$R$25,FALSE))</f>
        <v>#NUM!</v>
      </c>
      <c r="G193">
        <f t="array" ref="G193">IF(ISLOGICAL(F193),"",FREQUENCY(IF('Data Transformation'!$B$24:$B$404='Bin Analysis and Plots'!$D$171,'Data Transformation'!$G$24:$G$404),'Bin Analysis and Plots'!F193))</f>
        <v>0</v>
      </c>
      <c r="H193">
        <f t="shared" si="27"/>
        <v>0</v>
      </c>
      <c r="I193">
        <f>Weighting!$G$25</f>
        <v>0</v>
      </c>
      <c r="J193" s="7">
        <f t="array" ref="J193">FREQUENCY(IF('Data Transformation'!$B$4:$B$404=D171,'Data Transformation'!$G$4:$G$404),'Bin Analysis and Plots'!$D193)</f>
        <v>0</v>
      </c>
      <c r="K193" s="7">
        <f t="shared" si="28"/>
        <v>0</v>
      </c>
      <c r="L193" s="7">
        <f t="shared" si="29"/>
        <v>0</v>
      </c>
      <c r="M193" s="22">
        <f>L193*Weighting!$V$25</f>
        <v>0</v>
      </c>
    </row>
    <row r="194" spans="1:20" x14ac:dyDescent="0.25">
      <c r="C194" s="60" t="str">
        <f t="shared" si="26"/>
        <v/>
      </c>
    </row>
    <row r="195" spans="1:20" ht="23.25" x14ac:dyDescent="0.35">
      <c r="C195" s="46" t="s">
        <v>0</v>
      </c>
      <c r="D195" s="46" t="str">
        <f>'Input and Summary Results'!G15</f>
        <v xml:space="preserve"> </v>
      </c>
      <c r="E195" s="46"/>
      <c r="F195" s="46"/>
      <c r="G195" s="46"/>
      <c r="H195" s="46"/>
      <c r="I195" s="46"/>
      <c r="J195" s="47"/>
      <c r="K195" s="47"/>
      <c r="L195" s="47"/>
      <c r="M195" s="46"/>
      <c r="N195" s="46"/>
      <c r="O195" s="57" t="e">
        <f>INDEX('Data Transformation'!$O$4:$O$25,MATCH($D195,'Data Transformation'!$M$4:$M$25,0),MATCH($O$2,'Data Transformation'!$O$3,0))</f>
        <v>#N/A</v>
      </c>
      <c r="P195" s="52" t="e">
        <f>IF(O195=FALSE,NA(),(VLOOKUP(1,E198:M217,4,FALSE))/(O195-1))</f>
        <v>#N/A</v>
      </c>
      <c r="Q195" s="52" t="e">
        <f>IF(O195=FALSE,NA(),SUM(L198:L217)/Weighting!$R$5)</f>
        <v>#N/A</v>
      </c>
      <c r="R195" s="52" t="e">
        <f>IF(O195=FALSE,NA(),SUM(M198:M217)/Weighting!$R$6)</f>
        <v>#N/A</v>
      </c>
      <c r="S195" s="52" t="e">
        <f>IF(O195=FALSE,NA(),(VLOOKUP(1,I198:M217,3,FALSE))/(O195-1))</f>
        <v>#N/A</v>
      </c>
      <c r="T195" s="57" t="e">
        <f>IF(O195=FALSE,NA(),IF(SUM(L198:L217)=2,"yes","no"))</f>
        <v>#N/A</v>
      </c>
    </row>
    <row r="196" spans="1:20" x14ac:dyDescent="0.25">
      <c r="A196" s="96" t="s">
        <v>64</v>
      </c>
      <c r="B196" s="96"/>
      <c r="C196" s="58" t="s">
        <v>72</v>
      </c>
      <c r="D196" t="s">
        <v>50</v>
      </c>
      <c r="E196" t="s">
        <v>5</v>
      </c>
      <c r="I196" t="s">
        <v>75</v>
      </c>
      <c r="J196" s="7" t="s">
        <v>34</v>
      </c>
      <c r="K196" s="7" t="s">
        <v>35</v>
      </c>
      <c r="L196" s="7" t="s">
        <v>49</v>
      </c>
      <c r="M196" s="21" t="s">
        <v>48</v>
      </c>
    </row>
    <row r="197" spans="1:20" x14ac:dyDescent="0.25">
      <c r="C197" s="60" t="str">
        <f t="shared" ref="C197:C218" si="30">IF(B197="","",D197)</f>
        <v/>
      </c>
      <c r="F197" t="e">
        <f>IF(E197=1,'Data Transformation'!$G$3+0.5*'Data Transformation'!$R$25,IF(E198=1,F198-'Data Transformation'!$R$25,FALSE))</f>
        <v>#NUM!</v>
      </c>
      <c r="G197">
        <f t="array" ref="G197">IF(ISLOGICAL(F197),"",FREQUENCY(IF('Data Transformation'!$B$24:$B$404='Bin Analysis and Plots'!$D$195,'Data Transformation'!$G$24:$G$404),'Bin Analysis and Plots'!F197))</f>
        <v>0</v>
      </c>
      <c r="H197">
        <f>IF(ISLOGICAL(F197),"",G197-G196)</f>
        <v>0</v>
      </c>
    </row>
    <row r="198" spans="1:20" x14ac:dyDescent="0.25">
      <c r="A198" s="45" t="b">
        <f t="array" ref="A198">IF(ISERROR(INDEX('Data Transformation'!$B$4:$G$450,SMALL(IF('Data Transformation'!$B$4:$B$450='Bin Analysis and Plots'!D195,ROW('Data Transformation'!$B$4:$B$450)),ROW($1:$1))-3,3)),"",INDEX('Data Transformation'!$B$4:$G$450,SMALL(IF('Data Transformation'!$B$4:$B$450='Bin Analysis and Plots'!D195,ROW('Data Transformation'!$B$4:$B$450)),ROW($1:$1))-3,6))</f>
        <v>0</v>
      </c>
      <c r="B198" s="45" t="str">
        <f>IFERROR(SMALL(A198:A217,'Data Transformation'!$L$6),"")</f>
        <v/>
      </c>
      <c r="C198" s="61" t="e">
        <f>IF(Weighting!$O$6&gt;0,D198,"")</f>
        <v>#NUM!</v>
      </c>
      <c r="D198" t="e">
        <f>Weighting!$C$6</f>
        <v>#DIV/0!</v>
      </c>
      <c r="E198" t="e">
        <f>Weighting!$E$6</f>
        <v>#NUM!</v>
      </c>
      <c r="F198" t="e">
        <f>IF(E198=1,'Data Transformation'!$G$3+0.5*'Data Transformation'!$R$25,IF(E199=1,F199-'Data Transformation'!$R$25,FALSE))</f>
        <v>#NUM!</v>
      </c>
      <c r="G198">
        <f t="array" ref="G198">IF(ISLOGICAL(F198),"",FREQUENCY(IF('Data Transformation'!$B$24:$B$404='Bin Analysis and Plots'!$D$195,'Data Transformation'!$G$24:$G$404),'Bin Analysis and Plots'!F198))</f>
        <v>0</v>
      </c>
      <c r="H198">
        <f>IF(ISLOGICAL(F198),"",G198-G197)</f>
        <v>0</v>
      </c>
      <c r="I198">
        <f>Weighting!$G$6</f>
        <v>1</v>
      </c>
      <c r="J198" s="7">
        <f t="array" ref="J198">FREQUENCY(IF('Data Transformation'!$B$4:$B$404=D195,'Data Transformation'!$G$4:$G$404),'Bin Analysis and Plots'!$D198)</f>
        <v>0</v>
      </c>
      <c r="K198" s="7">
        <f>J198-J197</f>
        <v>0</v>
      </c>
      <c r="L198" s="7">
        <f>IF(K198=0,0,1)</f>
        <v>0</v>
      </c>
      <c r="M198" s="22" t="e">
        <f>L198*Weighting!$V$6</f>
        <v>#NUM!</v>
      </c>
    </row>
    <row r="199" spans="1:20" x14ac:dyDescent="0.25">
      <c r="A199" s="45" t="b">
        <f t="array" ref="A199">IF(ISERROR(INDEX('Data Transformation'!$B$4:$G$450,SMALL(IF('Data Transformation'!$B$4:$B$450='Bin Analysis and Plots'!D195,ROW('Data Transformation'!$B$4:$B$450)),ROW($2:$2))-3,3)),"",INDEX('Data Transformation'!$B$4:$G$450,SMALL(IF('Data Transformation'!$B$4:$B$450='Bin Analysis and Plots'!D195,ROW('Data Transformation'!$B$4:$B$450)),ROW($2:$2))-3,6))</f>
        <v>0</v>
      </c>
      <c r="B199" s="45" t="str">
        <f>IFERROR(SMALL(A198:A217,'Data Transformation'!$L$7),"")</f>
        <v/>
      </c>
      <c r="C199" s="61" t="str">
        <f>IF(Weighting!$O$7&gt;0,D199,"")</f>
        <v/>
      </c>
      <c r="D199" t="e">
        <f>Weighting!$C$7</f>
        <v>#DIV/0!</v>
      </c>
      <c r="E199" t="e">
        <f>Weighting!$E$7</f>
        <v>#NUM!</v>
      </c>
      <c r="F199" t="e">
        <f>IF(E199=1,'Data Transformation'!$G$3+0.5*'Data Transformation'!$R$25,IF(E200=1,F200-'Data Transformation'!$R$25,FALSE))</f>
        <v>#NUM!</v>
      </c>
      <c r="G199">
        <f t="array" ref="G199">IF(ISLOGICAL(F199),"",FREQUENCY(IF('Data Transformation'!$B$24:$B$404='Bin Analysis and Plots'!$D$195,'Data Transformation'!$G$24:$G$404),'Bin Analysis and Plots'!F199))</f>
        <v>0</v>
      </c>
      <c r="H199">
        <f t="shared" ref="H199:H217" si="31">IF(ISLOGICAL(F199),"",G199-G198)</f>
        <v>0</v>
      </c>
      <c r="I199">
        <f>Weighting!$G$7</f>
        <v>0</v>
      </c>
      <c r="J199" s="7">
        <f t="array" ref="J199">FREQUENCY(IF('Data Transformation'!$B$4:$B$404=D195,'Data Transformation'!$G$4:$G$404),'Bin Analysis and Plots'!$D199)</f>
        <v>0</v>
      </c>
      <c r="K199" s="7">
        <f t="shared" ref="K199:K217" si="32">J199-J198</f>
        <v>0</v>
      </c>
      <c r="L199" s="7">
        <f>IF(K199=0,0,1)</f>
        <v>0</v>
      </c>
      <c r="M199" s="22">
        <f>L199*Weighting!$V$7</f>
        <v>0</v>
      </c>
    </row>
    <row r="200" spans="1:20" x14ac:dyDescent="0.25">
      <c r="A200" s="45" t="b">
        <f t="array" ref="A200">IF(ISERROR(INDEX('Data Transformation'!$B$4:$G$450,SMALL(IF('Data Transformation'!$B$4:$B$450='Bin Analysis and Plots'!D195,ROW('Data Transformation'!$B$4:$B$450)),ROW($3:$3))-3,3)),"",INDEX('Data Transformation'!$B$4:$G$450,SMALL(IF('Data Transformation'!$B$4:$B$450='Bin Analysis and Plots'!D195,ROW('Data Transformation'!$B$4:$B$450)),ROW($3:$3))-3,6))</f>
        <v>0</v>
      </c>
      <c r="B200" s="45" t="str">
        <f>IFERROR(SMALL(A198:A217,'Data Transformation'!$L$8),"")</f>
        <v/>
      </c>
      <c r="C200" s="61" t="str">
        <f>IF(Weighting!$O$8&gt;0,D200,"")</f>
        <v/>
      </c>
      <c r="D200" t="e">
        <f>Weighting!$C$8</f>
        <v>#DIV/0!</v>
      </c>
      <c r="E200" t="e">
        <f>Weighting!$E$8</f>
        <v>#NUM!</v>
      </c>
      <c r="F200" t="e">
        <f>IF(E200=1,'Data Transformation'!$G$3+0.5*'Data Transformation'!$R$25,IF(E201=1,F201-'Data Transformation'!$R$25,FALSE))</f>
        <v>#NUM!</v>
      </c>
      <c r="G200">
        <f t="array" ref="G200">IF(ISLOGICAL(F200),"",FREQUENCY(IF('Data Transformation'!$B$24:$B$404='Bin Analysis and Plots'!$D$195,'Data Transformation'!$G$24:$G$404),'Bin Analysis and Plots'!F200))</f>
        <v>0</v>
      </c>
      <c r="H200">
        <f t="shared" si="31"/>
        <v>0</v>
      </c>
      <c r="I200">
        <f>Weighting!$G$8</f>
        <v>0</v>
      </c>
      <c r="J200" s="7">
        <f t="array" ref="J200">FREQUENCY(IF('Data Transformation'!$B$4:$B$404=D195,'Data Transformation'!$G$4:$G$404),'Bin Analysis and Plots'!$D200)</f>
        <v>0</v>
      </c>
      <c r="K200" s="7">
        <f t="shared" si="32"/>
        <v>0</v>
      </c>
      <c r="L200" s="7">
        <f t="shared" ref="L200:L217" si="33">IF(K200=0,0,1)</f>
        <v>0</v>
      </c>
      <c r="M200" s="22">
        <f>L200*Weighting!$V$8</f>
        <v>0</v>
      </c>
    </row>
    <row r="201" spans="1:20" x14ac:dyDescent="0.25">
      <c r="A201" s="45" t="b">
        <f t="array" ref="A201">IF(ISERROR(INDEX('Data Transformation'!$B$4:$G$450,SMALL(IF('Data Transformation'!$B$4:$B$450='Bin Analysis and Plots'!D195,ROW('Data Transformation'!$B$4:$B$450)),ROW($4:$4))-3,3)),"",INDEX('Data Transformation'!$B$4:$G$450,SMALL(IF('Data Transformation'!$B$4:$B$450='Bin Analysis and Plots'!D195,ROW('Data Transformation'!$B$4:$B$450)),ROW($4:$4))-3,6))</f>
        <v>0</v>
      </c>
      <c r="B201" s="45" t="str">
        <f>IFERROR(SMALL(A198:A217,'Data Transformation'!$L$9),"")</f>
        <v/>
      </c>
      <c r="C201" s="61" t="str">
        <f>IF(Weighting!$O$9&gt;0,D201,"")</f>
        <v/>
      </c>
      <c r="D201" t="e">
        <f>Weighting!$B$9</f>
        <v>#DIV/0!</v>
      </c>
      <c r="E201" t="e">
        <f>Weighting!$E$9</f>
        <v>#NUM!</v>
      </c>
      <c r="F201" t="e">
        <f>IF(E201=1,'Data Transformation'!$G$3+0.5*'Data Transformation'!$R$25,IF(E202=1,F202-'Data Transformation'!$R$25,FALSE))</f>
        <v>#NUM!</v>
      </c>
      <c r="G201">
        <f t="array" ref="G201">IF(ISLOGICAL(F201),"",FREQUENCY(IF('Data Transformation'!$B$24:$B$404='Bin Analysis and Plots'!$D$195,'Data Transformation'!$G$24:$G$404),'Bin Analysis and Plots'!F201))</f>
        <v>0</v>
      </c>
      <c r="H201">
        <f t="shared" si="31"/>
        <v>0</v>
      </c>
      <c r="I201">
        <f>Weighting!$G$9</f>
        <v>0</v>
      </c>
      <c r="J201" s="7">
        <f t="array" ref="J201">FREQUENCY(IF('Data Transformation'!$B$4:$B$404=D195,'Data Transformation'!$G$4:$G$404),'Bin Analysis and Plots'!$D201)</f>
        <v>0</v>
      </c>
      <c r="K201" s="7">
        <f t="shared" si="32"/>
        <v>0</v>
      </c>
      <c r="L201" s="7">
        <f t="shared" si="33"/>
        <v>0</v>
      </c>
      <c r="M201" s="22">
        <f>L201*Weighting!$V$9</f>
        <v>0</v>
      </c>
    </row>
    <row r="202" spans="1:20" x14ac:dyDescent="0.25">
      <c r="A202" s="45" t="b">
        <f t="array" ref="A202">IF(ISERROR(INDEX('Data Transformation'!$B$4:$G$450,SMALL(IF('Data Transformation'!$B$4:$B$450='Bin Analysis and Plots'!D195,ROW('Data Transformation'!$B$4:$B$450)),ROW($5:$5))-3,3)),"",INDEX('Data Transformation'!$B$4:$G$450,SMALL(IF('Data Transformation'!$B$4:$B$450='Bin Analysis and Plots'!D195,ROW('Data Transformation'!$B$4:$B$450)),ROW($5:$5))-3,6))</f>
        <v>0</v>
      </c>
      <c r="B202" s="45" t="str">
        <f>IFERROR(SMALL(A198:A217,'Data Transformation'!$L$10),"")</f>
        <v/>
      </c>
      <c r="C202" s="61" t="str">
        <f>IF(Weighting!$O$10&gt;0,D202,"")</f>
        <v/>
      </c>
      <c r="D202" t="e">
        <f>Weighting!$C$10</f>
        <v>#DIV/0!</v>
      </c>
      <c r="E202" t="e">
        <f>Weighting!$E$10</f>
        <v>#NUM!</v>
      </c>
      <c r="F202" t="e">
        <f>IF(E202=1,'Data Transformation'!$G$3+0.5*'Data Transformation'!$R$25,IF(E203=1,F203-'Data Transformation'!$R$25,FALSE))</f>
        <v>#NUM!</v>
      </c>
      <c r="G202">
        <f t="array" ref="G202">IF(ISLOGICAL(F202),"",FREQUENCY(IF('Data Transformation'!$B$24:$B$404='Bin Analysis and Plots'!$D$195,'Data Transformation'!$G$24:$G$404),'Bin Analysis and Plots'!F202))</f>
        <v>0</v>
      </c>
      <c r="H202">
        <f t="shared" si="31"/>
        <v>0</v>
      </c>
      <c r="I202">
        <f>Weighting!$G$10</f>
        <v>0</v>
      </c>
      <c r="J202" s="7">
        <f t="array" ref="J202">FREQUENCY(IF('Data Transformation'!$B$4:$B$404=D195,'Data Transformation'!$G$4:$G$404),'Bin Analysis and Plots'!$D202)</f>
        <v>0</v>
      </c>
      <c r="K202" s="7">
        <f t="shared" si="32"/>
        <v>0</v>
      </c>
      <c r="L202" s="7">
        <f t="shared" si="33"/>
        <v>0</v>
      </c>
      <c r="M202" s="22">
        <f>L202*Weighting!$V$10</f>
        <v>0</v>
      </c>
    </row>
    <row r="203" spans="1:20" x14ac:dyDescent="0.25">
      <c r="A203" s="45" t="b">
        <f t="array" ref="A203">IF(ISERROR(INDEX('Data Transformation'!$B$4:$G$450,SMALL(IF('Data Transformation'!$B$4:$B$450='Bin Analysis and Plots'!D195,ROW('Data Transformation'!$B$4:$B$450)),ROW($6:$6))-3,3)),"",INDEX('Data Transformation'!$B$4:$G$450,SMALL(IF('Data Transformation'!$B$4:$B$450='Bin Analysis and Plots'!D195,ROW('Data Transformation'!$B$4:$B$450)),ROW($6:$6))-3,6))</f>
        <v>0</v>
      </c>
      <c r="B203" s="45" t="str">
        <f>IFERROR(SMALL(A198:A217,'Data Transformation'!$L$11),"")</f>
        <v/>
      </c>
      <c r="C203" s="61" t="str">
        <f>IF(Weighting!$O$11&gt;0,D203,"")</f>
        <v/>
      </c>
      <c r="D203" t="e">
        <f>Weighting!$C$11</f>
        <v>#DIV/0!</v>
      </c>
      <c r="E203" t="e">
        <f>Weighting!$E$11</f>
        <v>#NUM!</v>
      </c>
      <c r="F203" t="e">
        <f>IF(E203=1,'Data Transformation'!$G$3+0.5*'Data Transformation'!$R$25,IF(E204=1,F204-'Data Transformation'!$R$25,FALSE))</f>
        <v>#NUM!</v>
      </c>
      <c r="G203">
        <f t="array" ref="G203">IF(ISLOGICAL(F203),"",FREQUENCY(IF('Data Transformation'!$B$24:$B$404='Bin Analysis and Plots'!$D$195,'Data Transformation'!$G$24:$G$404),'Bin Analysis and Plots'!F203))</f>
        <v>0</v>
      </c>
      <c r="H203">
        <f t="shared" si="31"/>
        <v>0</v>
      </c>
      <c r="I203">
        <f>Weighting!$G$11</f>
        <v>0</v>
      </c>
      <c r="J203" s="7">
        <f t="array" ref="J203">FREQUENCY(IF('Data Transformation'!$B$4:$B$404=D195,'Data Transformation'!$G$4:$G$404),'Bin Analysis and Plots'!$D203)</f>
        <v>0</v>
      </c>
      <c r="K203" s="7">
        <f t="shared" si="32"/>
        <v>0</v>
      </c>
      <c r="L203" s="7">
        <f t="shared" si="33"/>
        <v>0</v>
      </c>
      <c r="M203" s="22">
        <f>L203*Weighting!$V$11</f>
        <v>0</v>
      </c>
    </row>
    <row r="204" spans="1:20" x14ac:dyDescent="0.25">
      <c r="A204" s="45" t="b">
        <f t="array" ref="A204">IF(ISERROR(INDEX('Data Transformation'!$B$4:$G$450,SMALL(IF('Data Transformation'!$B$4:$B$450='Bin Analysis and Plots'!D195,ROW('Data Transformation'!$B$4:$B$450)),ROW($7:$7))-3,3)),"",INDEX('Data Transformation'!$B$4:$G$450,SMALL(IF('Data Transformation'!$B$4:$B$450='Bin Analysis and Plots'!D195,ROW('Data Transformation'!$B$4:$B$450)),ROW($7:$7))-3,6))</f>
        <v>0</v>
      </c>
      <c r="B204" s="45" t="str">
        <f>IFERROR(SMALL(A198:A217,'Data Transformation'!$L$12),"")</f>
        <v/>
      </c>
      <c r="C204" s="61" t="str">
        <f>IF(Weighting!$O$12&gt;0,D204,"")</f>
        <v/>
      </c>
      <c r="D204" t="e">
        <f>Weighting!$C$12</f>
        <v>#DIV/0!</v>
      </c>
      <c r="E204" t="e">
        <f>Weighting!$E$12</f>
        <v>#NUM!</v>
      </c>
      <c r="F204" t="e">
        <f>IF(E204=1,'Data Transformation'!$G$3+0.5*'Data Transformation'!$R$25,IF(E205=1,F205-'Data Transformation'!$R$25,FALSE))</f>
        <v>#NUM!</v>
      </c>
      <c r="G204">
        <f t="array" ref="G204">IF(ISLOGICAL(F204),"",FREQUENCY(IF('Data Transformation'!$B$24:$B$404='Bin Analysis and Plots'!$D$195,'Data Transformation'!$G$24:$G$404),'Bin Analysis and Plots'!F204))</f>
        <v>0</v>
      </c>
      <c r="H204">
        <f t="shared" si="31"/>
        <v>0</v>
      </c>
      <c r="I204">
        <f>Weighting!$G$12</f>
        <v>0</v>
      </c>
      <c r="J204" s="7">
        <f t="array" ref="J204">FREQUENCY(IF('Data Transformation'!$B$4:$B$404=D195,'Data Transformation'!$G$4:$G$404),'Bin Analysis and Plots'!$D204)</f>
        <v>0</v>
      </c>
      <c r="K204" s="7">
        <f t="shared" si="32"/>
        <v>0</v>
      </c>
      <c r="L204" s="7">
        <f t="shared" si="33"/>
        <v>0</v>
      </c>
      <c r="M204" s="22">
        <f>L204*Weighting!$V$12</f>
        <v>0</v>
      </c>
    </row>
    <row r="205" spans="1:20" x14ac:dyDescent="0.25">
      <c r="A205" s="45" t="b">
        <f t="array" ref="A205">IF(ISERROR(INDEX('Data Transformation'!$B$4:$G$450,SMALL(IF('Data Transformation'!$B$4:$B$450='Bin Analysis and Plots'!D195,ROW('Data Transformation'!$B$4:$B$450)),ROW($8:$8))-3,3)),"",INDEX('Data Transformation'!$B$4:$G$450,SMALL(IF('Data Transformation'!$B$4:$B$450='Bin Analysis and Plots'!D195,ROW('Data Transformation'!$B$4:$B$450)),ROW($8:$8))-3,6))</f>
        <v>0</v>
      </c>
      <c r="B205" s="45" t="str">
        <f>IFERROR(SMALL(A198:A217,'Data Transformation'!$L$13),"")</f>
        <v/>
      </c>
      <c r="C205" s="61" t="str">
        <f>IF(Weighting!$O$13&gt;0,D205,"")</f>
        <v/>
      </c>
      <c r="D205" t="e">
        <f>Weighting!$C$13</f>
        <v>#DIV/0!</v>
      </c>
      <c r="E205" t="e">
        <f>Weighting!$E$13</f>
        <v>#NUM!</v>
      </c>
      <c r="F205" t="e">
        <f>IF(E205=1,'Data Transformation'!$G$3+0.5*'Data Transformation'!$R$25,IF(E206=1,F206-'Data Transformation'!$R$25,FALSE))</f>
        <v>#NUM!</v>
      </c>
      <c r="G205">
        <f t="array" ref="G205">IF(ISLOGICAL(F205),"",FREQUENCY(IF('Data Transformation'!$B$24:$B$404='Bin Analysis and Plots'!$D$195,'Data Transformation'!$G$24:$G$404),'Bin Analysis and Plots'!F205))</f>
        <v>0</v>
      </c>
      <c r="H205">
        <f t="shared" si="31"/>
        <v>0</v>
      </c>
      <c r="I205">
        <f>Weighting!$G$13</f>
        <v>0</v>
      </c>
      <c r="J205" s="7">
        <f t="array" ref="J205">FREQUENCY(IF('Data Transformation'!$B$4:$B$404=D195,'Data Transformation'!$G$4:$G$404),'Bin Analysis and Plots'!$D205)</f>
        <v>0</v>
      </c>
      <c r="K205" s="7">
        <f t="shared" si="32"/>
        <v>0</v>
      </c>
      <c r="L205" s="7">
        <f t="shared" si="33"/>
        <v>0</v>
      </c>
      <c r="M205" s="22">
        <f>L205*Weighting!$V$13</f>
        <v>0</v>
      </c>
    </row>
    <row r="206" spans="1:20" x14ac:dyDescent="0.25">
      <c r="A206" s="45" t="b">
        <f t="array" ref="A206">IF(ISERROR(INDEX('Data Transformation'!$B$4:$G$450,SMALL(IF('Data Transformation'!$B$4:$B$450='Bin Analysis and Plots'!D195,ROW('Data Transformation'!$B$4:$B$450)),ROW($9:$9))-3,3)),"",INDEX('Data Transformation'!$B$4:$G$450,SMALL(IF('Data Transformation'!$B$4:$B$450='Bin Analysis and Plots'!D195,ROW('Data Transformation'!$B$4:$B$450)),ROW($9:$9))-3,6))</f>
        <v>0</v>
      </c>
      <c r="B206" s="45" t="str">
        <f>IFERROR(SMALL(A198:A217,'Data Transformation'!$L$14),"")</f>
        <v/>
      </c>
      <c r="C206" s="61" t="str">
        <f>IF(Weighting!$O$14&gt;0,D206,"")</f>
        <v/>
      </c>
      <c r="D206" t="e">
        <f>Weighting!$C$14</f>
        <v>#DIV/0!</v>
      </c>
      <c r="E206" t="e">
        <f>Weighting!$E$14</f>
        <v>#NUM!</v>
      </c>
      <c r="F206" t="e">
        <f>IF(E206=1,'Data Transformation'!$G$3+0.5*'Data Transformation'!$R$25,IF(E207=1,F207-'Data Transformation'!$R$25,FALSE))</f>
        <v>#NUM!</v>
      </c>
      <c r="G206">
        <f t="array" ref="G206">IF(ISLOGICAL(F206),"",FREQUENCY(IF('Data Transformation'!$B$24:$B$404='Bin Analysis and Plots'!$D$195,'Data Transformation'!$G$24:$G$404),'Bin Analysis and Plots'!F206))</f>
        <v>0</v>
      </c>
      <c r="H206">
        <f t="shared" si="31"/>
        <v>0</v>
      </c>
      <c r="I206">
        <f>Weighting!$G$14</f>
        <v>0</v>
      </c>
      <c r="J206" s="7">
        <f t="array" ref="J206">FREQUENCY(IF('Data Transformation'!$B$4:$B$404=D195,'Data Transformation'!$G$4:$G$404),'Bin Analysis and Plots'!$D206)</f>
        <v>0</v>
      </c>
      <c r="K206" s="7">
        <f t="shared" si="32"/>
        <v>0</v>
      </c>
      <c r="L206" s="7">
        <f t="shared" si="33"/>
        <v>0</v>
      </c>
      <c r="M206" s="22">
        <f>L206*Weighting!$V$14</f>
        <v>0</v>
      </c>
    </row>
    <row r="207" spans="1:20" x14ac:dyDescent="0.25">
      <c r="A207" s="45" t="b">
        <f t="array" ref="A207">IF(ISERROR(INDEX('Data Transformation'!$B$4:$G$450,SMALL(IF('Data Transformation'!$B$4:$B$450='Bin Analysis and Plots'!D195,ROW('Data Transformation'!$B$4:$B$450)),ROW($10:$10))-3,3)),"",INDEX('Data Transformation'!$B$4:$G$450,SMALL(IF('Data Transformation'!$B$4:$B$450='Bin Analysis and Plots'!D195,ROW('Data Transformation'!$B$4:$B$450)),ROW($10:$10))-3,6))</f>
        <v>0</v>
      </c>
      <c r="B207" s="45" t="str">
        <f>IFERROR(SMALL(A198:A217,'Data Transformation'!$L$15),"")</f>
        <v/>
      </c>
      <c r="C207" s="61" t="str">
        <f>IF(Weighting!$O$15&gt;0,D207,"")</f>
        <v/>
      </c>
      <c r="D207" t="e">
        <f>Weighting!$C$15</f>
        <v>#DIV/0!</v>
      </c>
      <c r="E207" t="e">
        <f>Weighting!$E$15</f>
        <v>#NUM!</v>
      </c>
      <c r="F207" t="e">
        <f>IF(E207=1,'Data Transformation'!$G$3+0.5*'Data Transformation'!$R$25,IF(E208=1,F208-'Data Transformation'!$R$25,FALSE))</f>
        <v>#NUM!</v>
      </c>
      <c r="G207">
        <f t="array" ref="G207">IF(ISLOGICAL(F207),"",FREQUENCY(IF('Data Transformation'!$B$24:$B$404='Bin Analysis and Plots'!$D$195,'Data Transformation'!$G$24:$G$404),'Bin Analysis and Plots'!F207))</f>
        <v>0</v>
      </c>
      <c r="H207">
        <f t="shared" si="31"/>
        <v>0</v>
      </c>
      <c r="I207">
        <f>Weighting!$G$15</f>
        <v>0</v>
      </c>
      <c r="J207" s="7">
        <f t="array" ref="J207">FREQUENCY(IF('Data Transformation'!$B$4:$B$404=D195,'Data Transformation'!$G$4:$G$404),'Bin Analysis and Plots'!$D207)</f>
        <v>0</v>
      </c>
      <c r="K207" s="7">
        <f t="shared" si="32"/>
        <v>0</v>
      </c>
      <c r="L207" s="7">
        <f t="shared" si="33"/>
        <v>0</v>
      </c>
      <c r="M207" s="22">
        <f>L207*Weighting!$V$15</f>
        <v>0</v>
      </c>
    </row>
    <row r="208" spans="1:20" x14ac:dyDescent="0.25">
      <c r="A208" s="45" t="b">
        <f t="array" ref="A208">IF(ISERROR(INDEX('Data Transformation'!$B$4:$G$450,SMALL(IF('Data Transformation'!$B$4:$B$450='Bin Analysis and Plots'!D195,ROW('Data Transformation'!$B$4:$B$450)),ROW($11:$11))-3,3)),"",INDEX('Data Transformation'!$B$4:$G$450,SMALL(IF('Data Transformation'!$B$4:$B$450='Bin Analysis and Plots'!D195,ROW('Data Transformation'!$B$4:$B$450)),ROW($11:$11))-3,6))</f>
        <v>0</v>
      </c>
      <c r="B208" s="45" t="str">
        <f>IFERROR(SMALL(A198:A217,'Data Transformation'!$L$16),"")</f>
        <v/>
      </c>
      <c r="C208" s="61" t="str">
        <f>IF(Weighting!$O$16&gt;0,D208,"")</f>
        <v/>
      </c>
      <c r="D208" t="e">
        <f>Weighting!$C$16</f>
        <v>#DIV/0!</v>
      </c>
      <c r="E208" t="e">
        <f>Weighting!$E$16</f>
        <v>#NUM!</v>
      </c>
      <c r="F208" t="e">
        <f>IF(E208=1,'Data Transformation'!$G$3+0.5*'Data Transformation'!$R$25,IF(E209=1,F209-'Data Transformation'!$R$25,FALSE))</f>
        <v>#NUM!</v>
      </c>
      <c r="G208">
        <f t="array" ref="G208">IF(ISLOGICAL(F208),"",FREQUENCY(IF('Data Transformation'!$B$24:$B$404='Bin Analysis and Plots'!$D$195,'Data Transformation'!$G$24:$G$404),'Bin Analysis and Plots'!F208))</f>
        <v>0</v>
      </c>
      <c r="H208">
        <f t="shared" si="31"/>
        <v>0</v>
      </c>
      <c r="I208">
        <f>Weighting!$G$16</f>
        <v>0</v>
      </c>
      <c r="J208" s="7">
        <f t="array" ref="J208">FREQUENCY(IF('Data Transformation'!$B$4:$B$404=D195,'Data Transformation'!$G$4:$G$404),'Bin Analysis and Plots'!$D208)</f>
        <v>0</v>
      </c>
      <c r="K208" s="7">
        <f t="shared" si="32"/>
        <v>0</v>
      </c>
      <c r="L208" s="7">
        <f t="shared" si="33"/>
        <v>0</v>
      </c>
      <c r="M208" s="22">
        <f>L208*Weighting!$V$16</f>
        <v>0</v>
      </c>
    </row>
    <row r="209" spans="1:20" x14ac:dyDescent="0.25">
      <c r="A209" s="45" t="b">
        <f t="array" ref="A209">IF(ISERROR(INDEX('Data Transformation'!$B$4:$G$450,SMALL(IF('Data Transformation'!$B$4:$B$450='Bin Analysis and Plots'!D195,ROW('Data Transformation'!$B$4:$B$450)),ROW($12:$12))-3,3)),"",INDEX('Data Transformation'!$B$4:$G$450,SMALL(IF('Data Transformation'!$B$4:$B$450='Bin Analysis and Plots'!D195,ROW('Data Transformation'!$B$4:$B$450)),ROW($12:$12))-3,6))</f>
        <v>0</v>
      </c>
      <c r="B209" s="45" t="str">
        <f>IFERROR(SMALL(A198:A217,'Data Transformation'!$L$17),"")</f>
        <v/>
      </c>
      <c r="C209" s="61" t="str">
        <f>IF(Weighting!$O$17&gt;0,D209,"")</f>
        <v/>
      </c>
      <c r="D209" t="e">
        <f>Weighting!$C$17</f>
        <v>#DIV/0!</v>
      </c>
      <c r="E209" t="e">
        <f>Weighting!$E$17</f>
        <v>#NUM!</v>
      </c>
      <c r="F209" t="e">
        <f>IF(E209=1,'Data Transformation'!$G$3+0.5*'Data Transformation'!$R$25,IF(E210=1,F210-'Data Transformation'!$R$25,FALSE))</f>
        <v>#NUM!</v>
      </c>
      <c r="G209">
        <f t="array" ref="G209">IF(ISLOGICAL(F209),"",FREQUENCY(IF('Data Transformation'!$B$24:$B$404='Bin Analysis and Plots'!$D$195,'Data Transformation'!$G$24:$G$404),'Bin Analysis and Plots'!F209))</f>
        <v>0</v>
      </c>
      <c r="H209">
        <f t="shared" si="31"/>
        <v>0</v>
      </c>
      <c r="I209">
        <f>Weighting!$G$17</f>
        <v>0</v>
      </c>
      <c r="J209" s="7">
        <f t="array" ref="J209">FREQUENCY(IF('Data Transformation'!$B$4:$B$404=D195,'Data Transformation'!$G$4:$G$404),'Bin Analysis and Plots'!$D209)</f>
        <v>0</v>
      </c>
      <c r="K209" s="7">
        <f t="shared" si="32"/>
        <v>0</v>
      </c>
      <c r="L209" s="7">
        <f t="shared" si="33"/>
        <v>0</v>
      </c>
      <c r="M209" s="22">
        <f>L209*Weighting!$V$17</f>
        <v>0</v>
      </c>
    </row>
    <row r="210" spans="1:20" x14ac:dyDescent="0.25">
      <c r="A210" s="45" t="b">
        <f t="array" ref="A210">IF(ISERROR(INDEX('Data Transformation'!$B$4:$G$450,SMALL(IF('Data Transformation'!$B$4:$B$450='Bin Analysis and Plots'!D195,ROW('Data Transformation'!$B$4:$B$450)),ROW($13:$13))-3,3)),"",INDEX('Data Transformation'!$B$4:$G$450,SMALL(IF('Data Transformation'!$B$4:$B$450='Bin Analysis and Plots'!D195,ROW('Data Transformation'!$B$4:$B$450)),ROW($13:$13))-3,6))</f>
        <v>0</v>
      </c>
      <c r="B210" s="45" t="str">
        <f>IFERROR(SMALL(A198:A217,'Data Transformation'!$L$18),"")</f>
        <v/>
      </c>
      <c r="C210" s="61" t="str">
        <f>IF(Weighting!$O$18&gt;0,D210,"")</f>
        <v/>
      </c>
      <c r="D210" t="e">
        <f>Weighting!$C$18</f>
        <v>#DIV/0!</v>
      </c>
      <c r="E210" t="e">
        <f>Weighting!$E$18</f>
        <v>#NUM!</v>
      </c>
      <c r="F210" t="e">
        <f>IF(E210=1,'Data Transformation'!$G$3+0.5*'Data Transformation'!$R$25,IF(E211=1,F211-'Data Transformation'!$R$25,FALSE))</f>
        <v>#NUM!</v>
      </c>
      <c r="G210">
        <f t="array" ref="G210">IF(ISLOGICAL(F210),"",FREQUENCY(IF('Data Transformation'!$B$24:$B$404='Bin Analysis and Plots'!$D$195,'Data Transformation'!$G$24:$G$404),'Bin Analysis and Plots'!F210))</f>
        <v>0</v>
      </c>
      <c r="H210">
        <f t="shared" si="31"/>
        <v>0</v>
      </c>
      <c r="I210">
        <f>Weighting!$G$18</f>
        <v>0</v>
      </c>
      <c r="J210" s="7">
        <f t="array" ref="J210">FREQUENCY(IF('Data Transformation'!$B$4:$B$404=D195,'Data Transformation'!$G$4:$G$404),'Bin Analysis and Plots'!$D210)</f>
        <v>0</v>
      </c>
      <c r="K210" s="7">
        <f t="shared" si="32"/>
        <v>0</v>
      </c>
      <c r="L210" s="7">
        <f t="shared" si="33"/>
        <v>0</v>
      </c>
      <c r="M210" s="22">
        <f>L210*Weighting!$V$18</f>
        <v>0</v>
      </c>
    </row>
    <row r="211" spans="1:20" x14ac:dyDescent="0.25">
      <c r="A211" s="45" t="b">
        <f t="array" ref="A211">IF(ISERROR(INDEX('Data Transformation'!$B$4:$G$450,SMALL(IF('Data Transformation'!$B$4:$B$450='Bin Analysis and Plots'!D195,ROW('Data Transformation'!$B$4:$B$450)),ROW($14:$14))-3,3)),"",INDEX('Data Transformation'!$B$4:$G$450,SMALL(IF('Data Transformation'!$B$4:$B$450='Bin Analysis and Plots'!D195,ROW('Data Transformation'!$B$4:$B$450)),ROW($14:$14))-3,6))</f>
        <v>0</v>
      </c>
      <c r="B211" s="45" t="str">
        <f>IFERROR(SMALL(A198:A217,'Data Transformation'!$L$19),"")</f>
        <v/>
      </c>
      <c r="C211" s="61" t="str">
        <f>IF(Weighting!$O$19&gt;0,D211,"")</f>
        <v/>
      </c>
      <c r="D211" t="e">
        <f>Weighting!$C$19</f>
        <v>#DIV/0!</v>
      </c>
      <c r="E211" t="e">
        <f>Weighting!$E$19</f>
        <v>#NUM!</v>
      </c>
      <c r="F211" t="e">
        <f>IF(E211=1,'Data Transformation'!$G$3+0.5*'Data Transformation'!$R$25,IF(E212=1,F212-'Data Transformation'!$R$25,FALSE))</f>
        <v>#NUM!</v>
      </c>
      <c r="G211">
        <f t="array" ref="G211">IF(ISLOGICAL(F211),"",FREQUENCY(IF('Data Transformation'!$B$24:$B$404='Bin Analysis and Plots'!$D$195,'Data Transformation'!$G$24:$G$404),'Bin Analysis and Plots'!F211))</f>
        <v>0</v>
      </c>
      <c r="H211">
        <f t="shared" si="31"/>
        <v>0</v>
      </c>
      <c r="I211">
        <f>Weighting!$G$19</f>
        <v>0</v>
      </c>
      <c r="J211" s="7">
        <f t="array" ref="J211">FREQUENCY(IF('Data Transformation'!$B$4:$B$404=D195,'Data Transformation'!$G$4:$G$404),'Bin Analysis and Plots'!$D211)</f>
        <v>0</v>
      </c>
      <c r="K211" s="7">
        <f t="shared" si="32"/>
        <v>0</v>
      </c>
      <c r="L211" s="7">
        <f t="shared" si="33"/>
        <v>0</v>
      </c>
      <c r="M211" s="22">
        <f>L211*Weighting!$V$19</f>
        <v>0</v>
      </c>
    </row>
    <row r="212" spans="1:20" x14ac:dyDescent="0.25">
      <c r="A212" s="45" t="b">
        <f t="array" ref="A212">IF(ISERROR(INDEX('Data Transformation'!$B$4:$G$450,SMALL(IF('Data Transformation'!$B$4:$B$450='Bin Analysis and Plots'!D195,ROW('Data Transformation'!$B$4:$B$450)),ROW($15:$15))-3,3)),"",INDEX('Data Transformation'!$B$4:$G$450,SMALL(IF('Data Transformation'!$B$4:$B$450='Bin Analysis and Plots'!D195,ROW('Data Transformation'!$B$4:$B$450)),ROW($15:$15))-3,6))</f>
        <v>0</v>
      </c>
      <c r="B212" s="45" t="str">
        <f>IFERROR(SMALL(A198:A217,'Data Transformation'!$L$20),"")</f>
        <v/>
      </c>
      <c r="C212" s="61" t="str">
        <f>IF(Weighting!$O$20&gt;0,D212,"")</f>
        <v/>
      </c>
      <c r="D212" t="e">
        <f>Weighting!$C$20</f>
        <v>#DIV/0!</v>
      </c>
      <c r="E212" t="e">
        <f>Weighting!$E$20</f>
        <v>#NUM!</v>
      </c>
      <c r="F212" t="e">
        <f>IF(E212=1,'Data Transformation'!$G$3+0.5*'Data Transformation'!$R$25,IF(E213=1,F213-'Data Transformation'!$R$25,FALSE))</f>
        <v>#NUM!</v>
      </c>
      <c r="G212">
        <f t="array" ref="G212">IF(ISLOGICAL(F212),"",FREQUENCY(IF('Data Transformation'!$B$24:$B$404='Bin Analysis and Plots'!$D$195,'Data Transformation'!$G$24:$G$404),'Bin Analysis and Plots'!F212))</f>
        <v>0</v>
      </c>
      <c r="H212">
        <f t="shared" si="31"/>
        <v>0</v>
      </c>
      <c r="I212">
        <f>Weighting!$G$20</f>
        <v>0</v>
      </c>
      <c r="J212" s="7">
        <f t="array" ref="J212">FREQUENCY(IF('Data Transformation'!$B$4:$B$404=D195,'Data Transformation'!$G$4:$G$404),'Bin Analysis and Plots'!$D212)</f>
        <v>0</v>
      </c>
      <c r="K212" s="7">
        <f t="shared" si="32"/>
        <v>0</v>
      </c>
      <c r="L212" s="7">
        <f t="shared" si="33"/>
        <v>0</v>
      </c>
      <c r="M212" s="22">
        <f>L212*Weighting!$V$20</f>
        <v>0</v>
      </c>
    </row>
    <row r="213" spans="1:20" x14ac:dyDescent="0.25">
      <c r="A213" s="45" t="b">
        <f t="array" ref="A213">IF(ISERROR(INDEX('Data Transformation'!$B$4:$G$450,SMALL(IF('Data Transformation'!$B$4:$B$450='Bin Analysis and Plots'!D195,ROW('Data Transformation'!$B$4:$B$450)),ROW($16:$16))-3,3)),"",INDEX('Data Transformation'!$B$4:$G$450,SMALL(IF('Data Transformation'!$B$4:$B$450='Bin Analysis and Plots'!D195,ROW('Data Transformation'!$B$4:$B$450)),ROW($16:$16))-3,6))</f>
        <v>0</v>
      </c>
      <c r="B213" s="45" t="str">
        <f>IFERROR(SMALL(A198:A217,'Data Transformation'!$L$21),"")</f>
        <v/>
      </c>
      <c r="C213" s="61" t="str">
        <f>IF(Weighting!$O$21&gt;0,D213,"")</f>
        <v/>
      </c>
      <c r="D213" t="e">
        <f>Weighting!$C$21</f>
        <v>#DIV/0!</v>
      </c>
      <c r="E213" t="e">
        <f>Weighting!$E$21</f>
        <v>#NUM!</v>
      </c>
      <c r="F213" t="e">
        <f>IF(E213=1,'Data Transformation'!$G$3+0.5*'Data Transformation'!$R$25,IF(E214=1,F214-'Data Transformation'!$R$25,FALSE))</f>
        <v>#NUM!</v>
      </c>
      <c r="G213">
        <f t="array" ref="G213">IF(ISLOGICAL(F213),"",FREQUENCY(IF('Data Transformation'!$B$24:$B$404='Bin Analysis and Plots'!$D$195,'Data Transformation'!$G$24:$G$404),'Bin Analysis and Plots'!F213))</f>
        <v>0</v>
      </c>
      <c r="H213">
        <f t="shared" si="31"/>
        <v>0</v>
      </c>
      <c r="I213">
        <f>Weighting!$G$21</f>
        <v>0</v>
      </c>
      <c r="J213" s="7">
        <f t="array" ref="J213">FREQUENCY(IF('Data Transformation'!$B$4:$B$404=D195,'Data Transformation'!$G$4:$G$404),'Bin Analysis and Plots'!$D213)</f>
        <v>0</v>
      </c>
      <c r="K213" s="7">
        <f t="shared" si="32"/>
        <v>0</v>
      </c>
      <c r="L213" s="7">
        <f t="shared" si="33"/>
        <v>0</v>
      </c>
      <c r="M213" s="22">
        <f>L213*Weighting!$V$21</f>
        <v>0</v>
      </c>
    </row>
    <row r="214" spans="1:20" x14ac:dyDescent="0.25">
      <c r="A214" s="45" t="b">
        <f t="array" ref="A214">IF(ISERROR(INDEX('Data Transformation'!$B$4:$G$450,SMALL(IF('Data Transformation'!$B$4:$B$450='Bin Analysis and Plots'!D195,ROW('Data Transformation'!$B$4:$B$450)),ROW($17:$17))-3,3)),"",INDEX('Data Transformation'!$B$4:$G$450,SMALL(IF('Data Transformation'!$B$4:$B$450='Bin Analysis and Plots'!D195,ROW('Data Transformation'!$B$4:$B$450)),ROW($17:$17))-3,6))</f>
        <v>0</v>
      </c>
      <c r="B214" s="45" t="str">
        <f>IFERROR(SMALL(A198:A217,'Data Transformation'!$L$22),"")</f>
        <v/>
      </c>
      <c r="C214" s="61" t="str">
        <f>IF(Weighting!$O$22&gt;0,D214,"")</f>
        <v/>
      </c>
      <c r="D214" t="e">
        <f>Weighting!$C$22</f>
        <v>#DIV/0!</v>
      </c>
      <c r="E214" t="e">
        <f>Weighting!$E$22</f>
        <v>#NUM!</v>
      </c>
      <c r="F214" t="e">
        <f>IF(E214=1,'Data Transformation'!$G$3+0.5*'Data Transformation'!$R$25,IF(E215=1,F215-'Data Transformation'!$R$25,FALSE))</f>
        <v>#NUM!</v>
      </c>
      <c r="G214">
        <f t="array" ref="G214">IF(ISLOGICAL(F214),"",FREQUENCY(IF('Data Transformation'!$B$24:$B$404='Bin Analysis and Plots'!$D$195,'Data Transformation'!$G$24:$G$404),'Bin Analysis and Plots'!F214))</f>
        <v>0</v>
      </c>
      <c r="H214">
        <f t="shared" si="31"/>
        <v>0</v>
      </c>
      <c r="I214">
        <f>Weighting!$G$22</f>
        <v>0</v>
      </c>
      <c r="J214" s="7">
        <f t="array" ref="J214">FREQUENCY(IF('Data Transformation'!$B$4:$B$404=D195,'Data Transformation'!$G$4:$G$404),'Bin Analysis and Plots'!$D214)</f>
        <v>0</v>
      </c>
      <c r="K214" s="7">
        <f t="shared" si="32"/>
        <v>0</v>
      </c>
      <c r="L214" s="7">
        <f t="shared" si="33"/>
        <v>0</v>
      </c>
      <c r="M214" s="22">
        <f>L214*Weighting!$V$22</f>
        <v>0</v>
      </c>
    </row>
    <row r="215" spans="1:20" x14ac:dyDescent="0.25">
      <c r="A215" s="45" t="b">
        <f t="array" ref="A215">IF(ISERROR(INDEX('Data Transformation'!$B$4:$G$450,SMALL(IF('Data Transformation'!$B$4:$B$450='Bin Analysis and Plots'!D195,ROW('Data Transformation'!$B$4:$B$450)),ROW($18:$18))-3,3)),"",INDEX('Data Transformation'!$B$4:$G$450,SMALL(IF('Data Transformation'!$B$4:$B$450='Bin Analysis and Plots'!D195,ROW('Data Transformation'!$B$4:$B$450)),ROW($18:$18))-3,6))</f>
        <v>0</v>
      </c>
      <c r="B215" s="45" t="str">
        <f>IFERROR(SMALL(A198:A217,'Data Transformation'!$L$23),"")</f>
        <v/>
      </c>
      <c r="C215" s="61" t="str">
        <f>IF(Weighting!$O$23&gt;0,D215,"")</f>
        <v/>
      </c>
      <c r="D215" t="e">
        <f>Weighting!$C$23</f>
        <v>#DIV/0!</v>
      </c>
      <c r="E215" t="e">
        <f>Weighting!$E$23</f>
        <v>#NUM!</v>
      </c>
      <c r="F215" t="e">
        <f>IF(E215=1,'Data Transformation'!$G$3+0.5*'Data Transformation'!$R$25,IF(E216=1,F216-'Data Transformation'!$R$25,FALSE))</f>
        <v>#NUM!</v>
      </c>
      <c r="G215">
        <f t="array" ref="G215">IF(ISLOGICAL(F215),"",FREQUENCY(IF('Data Transformation'!$B$24:$B$404='Bin Analysis and Plots'!$D$195,'Data Transformation'!$G$24:$G$404),'Bin Analysis and Plots'!F215))</f>
        <v>0</v>
      </c>
      <c r="H215">
        <f t="shared" si="31"/>
        <v>0</v>
      </c>
      <c r="I215">
        <f>Weighting!$G$23</f>
        <v>0</v>
      </c>
      <c r="J215" s="7">
        <f t="array" ref="J215">FREQUENCY(IF('Data Transformation'!$B$4:$B$404=D195,'Data Transformation'!$G$4:$G$404),'Bin Analysis and Plots'!$D215)</f>
        <v>0</v>
      </c>
      <c r="K215" s="7">
        <f t="shared" si="32"/>
        <v>0</v>
      </c>
      <c r="L215" s="7">
        <f t="shared" si="33"/>
        <v>0</v>
      </c>
      <c r="M215" s="22">
        <f>L215*Weighting!$V$23</f>
        <v>0</v>
      </c>
    </row>
    <row r="216" spans="1:20" x14ac:dyDescent="0.25">
      <c r="A216" s="45" t="str">
        <f>IF(ISERROR(INDEX('Data Transformation'!$B$4:$G$450,SMALL(IF('Data Transformation'!$B$4:$B$450='Bin Analysis and Plots'!D195,ROW('Data Transformation'!$B$4:$B$450)),ROW($19:$19))-3,3)),"",INDEX('Data Transformation'!$B$4:$G$450,SMALL(IF('Data Transformation'!$B$4:$B$450='Bin Analysis and Plots'!D195,ROW('Data Transformation'!$B$4:$B$450)),ROW($19:$19))-3,6))</f>
        <v/>
      </c>
      <c r="B216" s="45" t="str">
        <f>IFERROR(SMALL(A198:A217,'Data Transformation'!$L$24),"")</f>
        <v/>
      </c>
      <c r="C216" s="61" t="str">
        <f>IF(Weighting!$O$24&gt;0,D216,"")</f>
        <v/>
      </c>
      <c r="D216" t="e">
        <f>Weighting!$C$24</f>
        <v>#DIV/0!</v>
      </c>
      <c r="E216" t="e">
        <f>Weighting!$E$24</f>
        <v>#NUM!</v>
      </c>
      <c r="F216" t="e">
        <f>IF(E216=1,'Data Transformation'!$G$3+0.5*'Data Transformation'!$R$25,IF(E217=1,F217-'Data Transformation'!$R$25,FALSE))</f>
        <v>#NUM!</v>
      </c>
      <c r="G216">
        <f t="array" ref="G216">IF(ISLOGICAL(F216),"",FREQUENCY(IF('Data Transformation'!$B$24:$B$404='Bin Analysis and Plots'!$D$195,'Data Transformation'!$G$24:$G$404),'Bin Analysis and Plots'!F216))</f>
        <v>0</v>
      </c>
      <c r="H216">
        <f t="shared" si="31"/>
        <v>0</v>
      </c>
      <c r="I216">
        <f>Weighting!$G$24</f>
        <v>0</v>
      </c>
      <c r="J216" s="7">
        <f t="array" ref="J216">FREQUENCY(IF('Data Transformation'!$B$4:$B$404=D195,'Data Transformation'!$G$4:$G$404),'Bin Analysis and Plots'!$D216)</f>
        <v>0</v>
      </c>
      <c r="K216" s="7">
        <f t="shared" si="32"/>
        <v>0</v>
      </c>
      <c r="L216" s="7">
        <f t="shared" si="33"/>
        <v>0</v>
      </c>
      <c r="M216" s="22">
        <f>L216*Weighting!$V$24</f>
        <v>0</v>
      </c>
    </row>
    <row r="217" spans="1:20" x14ac:dyDescent="0.25">
      <c r="A217" s="45" t="b">
        <f t="array" ref="A217">IF(ISERROR(INDEX('Data Transformation'!$B$4:$G$450,SMALL(IF('Data Transformation'!$B$4:$B$450='Bin Analysis and Plots'!D195,ROW('Data Transformation'!$B$4:$B$450)),ROW($20:$20))-3,3)),"",INDEX('Data Transformation'!$B$4:$G$450,SMALL(IF('Data Transformation'!$B$4:$B$450='Bin Analysis and Plots'!D195,ROW('Data Transformation'!$B$4:$B$450)),ROW($20:$20))-3,6))</f>
        <v>0</v>
      </c>
      <c r="B217" s="45" t="str">
        <f>IFERROR(SMALL(A198:A217,'Data Transformation'!$L$25),"")</f>
        <v/>
      </c>
      <c r="C217" s="61" t="str">
        <f>IF(Weighting!$O$25&gt;0,D217,"")</f>
        <v/>
      </c>
      <c r="D217" t="e">
        <f>Weighting!$C$25</f>
        <v>#DIV/0!</v>
      </c>
      <c r="E217" t="e">
        <f>Weighting!$E$25</f>
        <v>#NUM!</v>
      </c>
      <c r="F217" t="e">
        <f>IF(E217=1,'Data Transformation'!$G$3+0.5*'Data Transformation'!$R$25,IF(E218=1,F218-'Data Transformation'!$R$25,FALSE))</f>
        <v>#NUM!</v>
      </c>
      <c r="G217">
        <f t="array" ref="G217">IF(ISLOGICAL(F217),"",FREQUENCY(IF('Data Transformation'!$B$24:$B$404='Bin Analysis and Plots'!$D$195,'Data Transformation'!$G$24:$G$404),'Bin Analysis and Plots'!F217))</f>
        <v>0</v>
      </c>
      <c r="H217">
        <f t="shared" si="31"/>
        <v>0</v>
      </c>
      <c r="I217">
        <f>Weighting!$G$25</f>
        <v>0</v>
      </c>
      <c r="J217" s="7">
        <f t="array" ref="J217">FREQUENCY(IF('Data Transformation'!$B$4:$B$404=D195,'Data Transformation'!$G$4:$G$404),'Bin Analysis and Plots'!$D217)</f>
        <v>0</v>
      </c>
      <c r="K217" s="7">
        <f t="shared" si="32"/>
        <v>0</v>
      </c>
      <c r="L217" s="7">
        <f t="shared" si="33"/>
        <v>0</v>
      </c>
      <c r="M217" s="22">
        <f>L217*Weighting!$V$25</f>
        <v>0</v>
      </c>
    </row>
    <row r="218" spans="1:20" x14ac:dyDescent="0.25">
      <c r="C218" s="60" t="str">
        <f t="shared" si="30"/>
        <v/>
      </c>
    </row>
    <row r="219" spans="1:20" ht="23.25" x14ac:dyDescent="0.35">
      <c r="C219" s="46" t="s">
        <v>0</v>
      </c>
      <c r="D219" s="46" t="str">
        <f>'Input and Summary Results'!G16</f>
        <v xml:space="preserve"> </v>
      </c>
      <c r="E219" s="46"/>
      <c r="F219" s="46"/>
      <c r="G219" s="46"/>
      <c r="H219" s="46"/>
      <c r="I219" s="46"/>
      <c r="J219" s="47"/>
      <c r="K219" s="47"/>
      <c r="L219" s="47"/>
      <c r="M219" s="46"/>
      <c r="N219" s="46"/>
      <c r="O219" s="57" t="e">
        <f>INDEX('Data Transformation'!$O$4:$O$25,MATCH($D219,'Data Transformation'!$M$4:$M$25,0),MATCH($O$2,'Data Transformation'!$O$3,0))</f>
        <v>#N/A</v>
      </c>
      <c r="P219" s="52" t="e">
        <f>IF(O219=FALSE,NA(),(VLOOKUP(1,E222:M241,4,FALSE))/(O219-1))</f>
        <v>#N/A</v>
      </c>
      <c r="Q219" s="52" t="e">
        <f>IF(O219=FALSE,NA(),SUM(L222:L241)/Weighting!$R$5)</f>
        <v>#N/A</v>
      </c>
      <c r="R219" s="52" t="e">
        <f>IF(O219=FALSE,NA(),SUM(M222:M241)/Weighting!$R$6)</f>
        <v>#N/A</v>
      </c>
      <c r="S219" s="52" t="e">
        <f>IF(O219=FALSE,NA(),(VLOOKUP(1,I222:M241,3,FALSE))/(O219-1))</f>
        <v>#N/A</v>
      </c>
      <c r="T219" s="57" t="e">
        <f>IF(O219=FALSE,NA(),IF(SUM(L222:L241)=2,"yes","no"))</f>
        <v>#N/A</v>
      </c>
    </row>
    <row r="220" spans="1:20" x14ac:dyDescent="0.25">
      <c r="A220" s="96" t="s">
        <v>64</v>
      </c>
      <c r="B220" s="96"/>
      <c r="C220" s="58" t="s">
        <v>72</v>
      </c>
      <c r="D220" t="s">
        <v>50</v>
      </c>
      <c r="E220" t="s">
        <v>5</v>
      </c>
      <c r="I220" t="s">
        <v>75</v>
      </c>
      <c r="J220" s="7" t="s">
        <v>34</v>
      </c>
      <c r="K220" s="7" t="s">
        <v>35</v>
      </c>
      <c r="L220" s="7" t="s">
        <v>49</v>
      </c>
      <c r="M220" s="21" t="s">
        <v>48</v>
      </c>
    </row>
    <row r="221" spans="1:20" x14ac:dyDescent="0.25">
      <c r="C221" s="60" t="str">
        <f t="shared" ref="C221:C242" si="34">IF(B221="","",D221)</f>
        <v/>
      </c>
      <c r="F221" t="e">
        <f>IF(E221=1,'Data Transformation'!$G$3+0.5*'Data Transformation'!$R$25,IF(E222=1,F222-'Data Transformation'!$R$25,FALSE))</f>
        <v>#NUM!</v>
      </c>
      <c r="G221">
        <f t="array" ref="G221">IF(ISLOGICAL(F221),"",FREQUENCY(IF('Data Transformation'!$B$24:$B$404='Bin Analysis and Plots'!$D$219,'Data Transformation'!$G$24:$G$404),'Bin Analysis and Plots'!F221))</f>
        <v>0</v>
      </c>
      <c r="H221">
        <f>IF(ISLOGICAL(F221),"",G221-G220)</f>
        <v>0</v>
      </c>
    </row>
    <row r="222" spans="1:20" x14ac:dyDescent="0.25">
      <c r="A222" s="45" t="b">
        <f t="array" ref="A222">IF(ISERROR(INDEX('Data Transformation'!$B$4:$G$450,SMALL(IF('Data Transformation'!$B$4:$B$450='Bin Analysis and Plots'!D219,ROW('Data Transformation'!$B$4:$B$450)),ROW($1:$1))-3,3)),"",INDEX('Data Transformation'!$B$4:$G$450,SMALL(IF('Data Transformation'!$B$4:$B$450='Bin Analysis and Plots'!D219,ROW('Data Transformation'!$B$4:$B$450)),ROW($1:$1))-3,6))</f>
        <v>0</v>
      </c>
      <c r="B222" s="45" t="str">
        <f>IFERROR(SMALL(A222:A241,'Data Transformation'!$L$6),"")</f>
        <v/>
      </c>
      <c r="C222" s="61" t="e">
        <f>IF(Weighting!$O$6&gt;0,D222,"")</f>
        <v>#NUM!</v>
      </c>
      <c r="D222" t="e">
        <f>Weighting!$C$6</f>
        <v>#DIV/0!</v>
      </c>
      <c r="E222" t="e">
        <f>Weighting!$E$6</f>
        <v>#NUM!</v>
      </c>
      <c r="F222" t="e">
        <f>IF(E222=1,'Data Transformation'!$G$3+0.5*'Data Transformation'!$R$25,IF(E223=1,F223-'Data Transformation'!$R$25,FALSE))</f>
        <v>#NUM!</v>
      </c>
      <c r="G222">
        <f t="array" ref="G222">IF(ISLOGICAL(F222),"",FREQUENCY(IF('Data Transformation'!$B$24:$B$404='Bin Analysis and Plots'!$D$219,'Data Transformation'!$G$24:$G$404),'Bin Analysis and Plots'!F222))</f>
        <v>0</v>
      </c>
      <c r="H222">
        <f>IF(ISLOGICAL(F222),"",G222-G221)</f>
        <v>0</v>
      </c>
      <c r="I222">
        <f>Weighting!$G$6</f>
        <v>1</v>
      </c>
      <c r="J222" s="7">
        <f t="array" ref="J222">FREQUENCY(IF('Data Transformation'!$B$4:$B$404=D219,'Data Transformation'!$G$4:$G$404),'Bin Analysis and Plots'!$D222)</f>
        <v>0</v>
      </c>
      <c r="K222" s="7">
        <f>J222-J221</f>
        <v>0</v>
      </c>
      <c r="L222" s="7">
        <f>IF(K222=0,0,1)</f>
        <v>0</v>
      </c>
      <c r="M222" s="22" t="e">
        <f>L222*Weighting!$V$6</f>
        <v>#NUM!</v>
      </c>
    </row>
    <row r="223" spans="1:20" x14ac:dyDescent="0.25">
      <c r="A223" s="45" t="b">
        <f t="array" ref="A223">IF(ISERROR(INDEX('Data Transformation'!$B$4:$G$450,SMALL(IF('Data Transformation'!$B$4:$B$450='Bin Analysis and Plots'!D219,ROW('Data Transformation'!$B$4:$B$450)),ROW($2:$2))-3,3)),"",INDEX('Data Transformation'!$B$4:$G$450,SMALL(IF('Data Transformation'!$B$4:$B$450='Bin Analysis and Plots'!D219,ROW('Data Transformation'!$B$4:$B$450)),ROW($2:$2))-3,6))</f>
        <v>0</v>
      </c>
      <c r="B223" s="45" t="str">
        <f>IFERROR(SMALL(A222:A241,'Data Transformation'!$L$7),"")</f>
        <v/>
      </c>
      <c r="C223" s="61" t="str">
        <f>IF(Weighting!$O$7&gt;0,D223,"")</f>
        <v/>
      </c>
      <c r="D223" t="e">
        <f>Weighting!$C$7</f>
        <v>#DIV/0!</v>
      </c>
      <c r="E223" t="e">
        <f>Weighting!$E$7</f>
        <v>#NUM!</v>
      </c>
      <c r="F223" t="e">
        <f>IF(E223=1,'Data Transformation'!$G$3+0.5*'Data Transformation'!$R$25,IF(E224=1,F224-'Data Transformation'!$R$25,FALSE))</f>
        <v>#NUM!</v>
      </c>
      <c r="G223">
        <f t="array" ref="G223">IF(ISLOGICAL(F223),"",FREQUENCY(IF('Data Transformation'!$B$24:$B$404='Bin Analysis and Plots'!$D$219,'Data Transformation'!$G$24:$G$404),'Bin Analysis and Plots'!F223))</f>
        <v>0</v>
      </c>
      <c r="H223">
        <f t="shared" ref="H223:H241" si="35">IF(ISLOGICAL(F223),"",G223-G222)</f>
        <v>0</v>
      </c>
      <c r="I223">
        <f>Weighting!$G$7</f>
        <v>0</v>
      </c>
      <c r="J223" s="7">
        <f t="array" ref="J223">FREQUENCY(IF('Data Transformation'!$B$4:$B$404=D219,'Data Transformation'!$G$4:$G$404),'Bin Analysis and Plots'!$D223)</f>
        <v>0</v>
      </c>
      <c r="K223" s="7">
        <f t="shared" ref="K223:K241" si="36">J223-J222</f>
        <v>0</v>
      </c>
      <c r="L223" s="7">
        <f>IF(K223=0,0,1)</f>
        <v>0</v>
      </c>
      <c r="M223" s="22">
        <f>L223*Weighting!$V$7</f>
        <v>0</v>
      </c>
    </row>
    <row r="224" spans="1:20" x14ac:dyDescent="0.25">
      <c r="A224" s="45" t="b">
        <f t="array" ref="A224">IF(ISERROR(INDEX('Data Transformation'!$B$4:$G$450,SMALL(IF('Data Transformation'!$B$4:$B$450='Bin Analysis and Plots'!D219,ROW('Data Transformation'!$B$4:$B$450)),ROW($3:$3))-3,3)),"",INDEX('Data Transformation'!$B$4:$G$450,SMALL(IF('Data Transformation'!$B$4:$B$450='Bin Analysis and Plots'!D219,ROW('Data Transformation'!$B$4:$B$450)),ROW($3:$3))-3,6))</f>
        <v>0</v>
      </c>
      <c r="B224" s="45" t="str">
        <f>IFERROR(SMALL(A222:A241,'Data Transformation'!$L$8),"")</f>
        <v/>
      </c>
      <c r="C224" s="61" t="str">
        <f>IF(Weighting!$O$8&gt;0,D224,"")</f>
        <v/>
      </c>
      <c r="D224" t="e">
        <f>Weighting!$C$8</f>
        <v>#DIV/0!</v>
      </c>
      <c r="E224" t="e">
        <f>Weighting!$E$8</f>
        <v>#NUM!</v>
      </c>
      <c r="F224" t="e">
        <f>IF(E224=1,'Data Transformation'!$G$3+0.5*'Data Transformation'!$R$25,IF(E225=1,F225-'Data Transformation'!$R$25,FALSE))</f>
        <v>#NUM!</v>
      </c>
      <c r="G224">
        <f t="array" ref="G224">IF(ISLOGICAL(F224),"",FREQUENCY(IF('Data Transformation'!$B$24:$B$404='Bin Analysis and Plots'!$D$219,'Data Transformation'!$G$24:$G$404),'Bin Analysis and Plots'!F224))</f>
        <v>0</v>
      </c>
      <c r="H224">
        <f t="shared" si="35"/>
        <v>0</v>
      </c>
      <c r="I224">
        <f>Weighting!$G$8</f>
        <v>0</v>
      </c>
      <c r="J224" s="7">
        <f t="array" ref="J224">FREQUENCY(IF('Data Transformation'!$B$4:$B$404=D219,'Data Transformation'!$G$4:$G$404),'Bin Analysis and Plots'!$D224)</f>
        <v>0</v>
      </c>
      <c r="K224" s="7">
        <f t="shared" si="36"/>
        <v>0</v>
      </c>
      <c r="L224" s="7">
        <f t="shared" ref="L224:L241" si="37">IF(K224=0,0,1)</f>
        <v>0</v>
      </c>
      <c r="M224" s="22">
        <f>L224*Weighting!$V$8</f>
        <v>0</v>
      </c>
    </row>
    <row r="225" spans="1:13" x14ac:dyDescent="0.25">
      <c r="A225" s="45" t="b">
        <f t="array" ref="A225">IF(ISERROR(INDEX('Data Transformation'!$B$4:$G$450,SMALL(IF('Data Transformation'!$B$4:$B$450='Bin Analysis and Plots'!D219,ROW('Data Transformation'!$B$4:$B$450)),ROW($4:$4))-3,3)),"",INDEX('Data Transformation'!$B$4:$G$450,SMALL(IF('Data Transformation'!$B$4:$B$450='Bin Analysis and Plots'!D219,ROW('Data Transformation'!$B$4:$B$450)),ROW($4:$4))-3,6))</f>
        <v>0</v>
      </c>
      <c r="B225" s="45" t="str">
        <f>IFERROR(SMALL(A222:A241,'Data Transformation'!$L$9),"")</f>
        <v/>
      </c>
      <c r="C225" s="61" t="str">
        <f>IF(Weighting!$O$9&gt;0,D225,"")</f>
        <v/>
      </c>
      <c r="D225" t="e">
        <f>Weighting!$B$9</f>
        <v>#DIV/0!</v>
      </c>
      <c r="E225" t="e">
        <f>Weighting!$E$9</f>
        <v>#NUM!</v>
      </c>
      <c r="F225" t="e">
        <f>IF(E225=1,'Data Transformation'!$G$3+0.5*'Data Transformation'!$R$25,IF(E226=1,F226-'Data Transformation'!$R$25,FALSE))</f>
        <v>#NUM!</v>
      </c>
      <c r="G225">
        <f t="array" ref="G225">IF(ISLOGICAL(F225),"",FREQUENCY(IF('Data Transformation'!$B$24:$B$404='Bin Analysis and Plots'!$D$219,'Data Transformation'!$G$24:$G$404),'Bin Analysis and Plots'!F225))</f>
        <v>0</v>
      </c>
      <c r="H225">
        <f t="shared" si="35"/>
        <v>0</v>
      </c>
      <c r="I225">
        <f>Weighting!$G$9</f>
        <v>0</v>
      </c>
      <c r="J225" s="7">
        <f t="array" ref="J225">FREQUENCY(IF('Data Transformation'!$B$4:$B$404=D219,'Data Transformation'!$G$4:$G$404),'Bin Analysis and Plots'!$D225)</f>
        <v>0</v>
      </c>
      <c r="K225" s="7">
        <f t="shared" si="36"/>
        <v>0</v>
      </c>
      <c r="L225" s="7">
        <f t="shared" si="37"/>
        <v>0</v>
      </c>
      <c r="M225" s="22">
        <f>L225*Weighting!$V$9</f>
        <v>0</v>
      </c>
    </row>
    <row r="226" spans="1:13" x14ac:dyDescent="0.25">
      <c r="A226" s="45" t="b">
        <f t="array" ref="A226">IF(ISERROR(INDEX('Data Transformation'!$B$4:$G$450,SMALL(IF('Data Transformation'!$B$4:$B$450='Bin Analysis and Plots'!D219,ROW('Data Transformation'!$B$4:$B$450)),ROW($5:$5))-3,3)),"",INDEX('Data Transformation'!$B$4:$G$450,SMALL(IF('Data Transformation'!$B$4:$B$450='Bin Analysis and Plots'!D219,ROW('Data Transformation'!$B$4:$B$450)),ROW($5:$5))-3,6))</f>
        <v>0</v>
      </c>
      <c r="B226" s="45" t="str">
        <f>IFERROR(SMALL(A222:A241,'Data Transformation'!$L$10),"")</f>
        <v/>
      </c>
      <c r="C226" s="61" t="str">
        <f>IF(Weighting!$O$10&gt;0,D226,"")</f>
        <v/>
      </c>
      <c r="D226" t="e">
        <f>Weighting!$C$10</f>
        <v>#DIV/0!</v>
      </c>
      <c r="E226" t="e">
        <f>Weighting!$E$10</f>
        <v>#NUM!</v>
      </c>
      <c r="F226" t="e">
        <f>IF(E226=1,'Data Transformation'!$G$3+0.5*'Data Transformation'!$R$25,IF(E227=1,F227-'Data Transformation'!$R$25,FALSE))</f>
        <v>#NUM!</v>
      </c>
      <c r="G226">
        <f t="array" ref="G226">IF(ISLOGICAL(F226),"",FREQUENCY(IF('Data Transformation'!$B$24:$B$404='Bin Analysis and Plots'!$D$219,'Data Transformation'!$G$24:$G$404),'Bin Analysis and Plots'!F226))</f>
        <v>0</v>
      </c>
      <c r="H226">
        <f t="shared" si="35"/>
        <v>0</v>
      </c>
      <c r="I226">
        <f>Weighting!$G$10</f>
        <v>0</v>
      </c>
      <c r="J226" s="7">
        <f t="array" ref="J226">FREQUENCY(IF('Data Transformation'!$B$4:$B$404=D219,'Data Transformation'!$G$4:$G$404),'Bin Analysis and Plots'!$D226)</f>
        <v>0</v>
      </c>
      <c r="K226" s="7">
        <f t="shared" si="36"/>
        <v>0</v>
      </c>
      <c r="L226" s="7">
        <f t="shared" si="37"/>
        <v>0</v>
      </c>
      <c r="M226" s="22">
        <f>L226*Weighting!$V$10</f>
        <v>0</v>
      </c>
    </row>
    <row r="227" spans="1:13" x14ac:dyDescent="0.25">
      <c r="A227" s="45" t="b">
        <f t="array" ref="A227">IF(ISERROR(INDEX('Data Transformation'!$B$4:$G$450,SMALL(IF('Data Transformation'!$B$4:$B$450='Bin Analysis and Plots'!D219,ROW('Data Transformation'!$B$4:$B$450)),ROW($6:$6))-3,3)),"",INDEX('Data Transformation'!$B$4:$G$450,SMALL(IF('Data Transformation'!$B$4:$B$450='Bin Analysis and Plots'!D219,ROW('Data Transformation'!$B$4:$B$450)),ROW($6:$6))-3,6))</f>
        <v>0</v>
      </c>
      <c r="B227" s="45" t="str">
        <f>IFERROR(SMALL(A222:A241,'Data Transformation'!$L$11),"")</f>
        <v/>
      </c>
      <c r="C227" s="61" t="str">
        <f>IF(Weighting!$O$11&gt;0,D227,"")</f>
        <v/>
      </c>
      <c r="D227" t="e">
        <f>Weighting!$C$11</f>
        <v>#DIV/0!</v>
      </c>
      <c r="E227" t="e">
        <f>Weighting!$E$11</f>
        <v>#NUM!</v>
      </c>
      <c r="F227" t="e">
        <f>IF(E227=1,'Data Transformation'!$G$3+0.5*'Data Transformation'!$R$25,IF(E228=1,F228-'Data Transformation'!$R$25,FALSE))</f>
        <v>#NUM!</v>
      </c>
      <c r="G227">
        <f t="array" ref="G227">IF(ISLOGICAL(F227),"",FREQUENCY(IF('Data Transformation'!$B$24:$B$404='Bin Analysis and Plots'!$D$219,'Data Transformation'!$G$24:$G$404),'Bin Analysis and Plots'!F227))</f>
        <v>0</v>
      </c>
      <c r="H227">
        <f t="shared" si="35"/>
        <v>0</v>
      </c>
      <c r="I227">
        <f>Weighting!$G$11</f>
        <v>0</v>
      </c>
      <c r="J227" s="7">
        <f t="array" ref="J227">FREQUENCY(IF('Data Transformation'!$B$4:$B$404=D219,'Data Transformation'!$G$4:$G$404),'Bin Analysis and Plots'!$D227)</f>
        <v>0</v>
      </c>
      <c r="K227" s="7">
        <f t="shared" si="36"/>
        <v>0</v>
      </c>
      <c r="L227" s="7">
        <f t="shared" si="37"/>
        <v>0</v>
      </c>
      <c r="M227" s="22">
        <f>L227*Weighting!$V$11</f>
        <v>0</v>
      </c>
    </row>
    <row r="228" spans="1:13" x14ac:dyDescent="0.25">
      <c r="A228" s="45" t="b">
        <f t="array" ref="A228">IF(ISERROR(INDEX('Data Transformation'!$B$4:$G$450,SMALL(IF('Data Transformation'!$B$4:$B$450='Bin Analysis and Plots'!D219,ROW('Data Transformation'!$B$4:$B$450)),ROW($7:$7))-3,3)),"",INDEX('Data Transformation'!$B$4:$G$450,SMALL(IF('Data Transformation'!$B$4:$B$450='Bin Analysis and Plots'!D219,ROW('Data Transformation'!$B$4:$B$450)),ROW($7:$7))-3,6))</f>
        <v>0</v>
      </c>
      <c r="B228" s="45" t="str">
        <f>IFERROR(SMALL(A222:A241,'Data Transformation'!$L$12),"")</f>
        <v/>
      </c>
      <c r="C228" s="61" t="str">
        <f>IF(Weighting!$O$12&gt;0,D228,"")</f>
        <v/>
      </c>
      <c r="D228" t="e">
        <f>Weighting!$C$12</f>
        <v>#DIV/0!</v>
      </c>
      <c r="E228" t="e">
        <f>Weighting!$E$12</f>
        <v>#NUM!</v>
      </c>
      <c r="F228" t="e">
        <f>IF(E228=1,'Data Transformation'!$G$3+0.5*'Data Transformation'!$R$25,IF(E229=1,F229-'Data Transformation'!$R$25,FALSE))</f>
        <v>#NUM!</v>
      </c>
      <c r="G228">
        <f t="array" ref="G228">IF(ISLOGICAL(F228),"",FREQUENCY(IF('Data Transformation'!$B$24:$B$404='Bin Analysis and Plots'!$D$219,'Data Transformation'!$G$24:$G$404),'Bin Analysis and Plots'!F228))</f>
        <v>0</v>
      </c>
      <c r="H228">
        <f t="shared" si="35"/>
        <v>0</v>
      </c>
      <c r="I228">
        <f>Weighting!$G$12</f>
        <v>0</v>
      </c>
      <c r="J228" s="7">
        <f t="array" ref="J228">FREQUENCY(IF('Data Transformation'!$B$4:$B$404=D219,'Data Transformation'!$G$4:$G$404),'Bin Analysis and Plots'!$D228)</f>
        <v>0</v>
      </c>
      <c r="K228" s="7">
        <f t="shared" si="36"/>
        <v>0</v>
      </c>
      <c r="L228" s="7">
        <f t="shared" si="37"/>
        <v>0</v>
      </c>
      <c r="M228" s="22">
        <f>L228*Weighting!$V$12</f>
        <v>0</v>
      </c>
    </row>
    <row r="229" spans="1:13" x14ac:dyDescent="0.25">
      <c r="A229" s="45" t="b">
        <f t="array" ref="A229">IF(ISERROR(INDEX('Data Transformation'!$B$4:$G$450,SMALL(IF('Data Transformation'!$B$4:$B$450='Bin Analysis and Plots'!D219,ROW('Data Transformation'!$B$4:$B$450)),ROW($8:$8))-3,3)),"",INDEX('Data Transformation'!$B$4:$G$450,SMALL(IF('Data Transformation'!$B$4:$B$450='Bin Analysis and Plots'!D219,ROW('Data Transformation'!$B$4:$B$450)),ROW($8:$8))-3,6))</f>
        <v>0</v>
      </c>
      <c r="B229" s="45" t="str">
        <f>IFERROR(SMALL(A222:A241,'Data Transformation'!$L$13),"")</f>
        <v/>
      </c>
      <c r="C229" s="61" t="str">
        <f>IF(Weighting!$O$13&gt;0,D229,"")</f>
        <v/>
      </c>
      <c r="D229" t="e">
        <f>Weighting!$C$13</f>
        <v>#DIV/0!</v>
      </c>
      <c r="E229" t="e">
        <f>Weighting!$E$13</f>
        <v>#NUM!</v>
      </c>
      <c r="F229" t="e">
        <f>IF(E229=1,'Data Transformation'!$G$3+0.5*'Data Transformation'!$R$25,IF(E230=1,F230-'Data Transformation'!$R$25,FALSE))</f>
        <v>#NUM!</v>
      </c>
      <c r="G229">
        <f t="array" ref="G229">IF(ISLOGICAL(F229),"",FREQUENCY(IF('Data Transformation'!$B$24:$B$404='Bin Analysis and Plots'!$D$219,'Data Transformation'!$G$24:$G$404),'Bin Analysis and Plots'!F229))</f>
        <v>0</v>
      </c>
      <c r="H229">
        <f t="shared" si="35"/>
        <v>0</v>
      </c>
      <c r="I229">
        <f>Weighting!$G$13</f>
        <v>0</v>
      </c>
      <c r="J229" s="7">
        <f t="array" ref="J229">FREQUENCY(IF('Data Transformation'!$B$4:$B$404=D219,'Data Transformation'!$G$4:$G$404),'Bin Analysis and Plots'!$D229)</f>
        <v>0</v>
      </c>
      <c r="K229" s="7">
        <f t="shared" si="36"/>
        <v>0</v>
      </c>
      <c r="L229" s="7">
        <f t="shared" si="37"/>
        <v>0</v>
      </c>
      <c r="M229" s="22">
        <f>L229*Weighting!$V$13</f>
        <v>0</v>
      </c>
    </row>
    <row r="230" spans="1:13" x14ac:dyDescent="0.25">
      <c r="A230" s="45" t="b">
        <f t="array" ref="A230">IF(ISERROR(INDEX('Data Transformation'!$B$4:$G$450,SMALL(IF('Data Transformation'!$B$4:$B$450='Bin Analysis and Plots'!D219,ROW('Data Transformation'!$B$4:$B$450)),ROW($9:$9))-3,3)),"",INDEX('Data Transformation'!$B$4:$G$450,SMALL(IF('Data Transformation'!$B$4:$B$450='Bin Analysis and Plots'!D219,ROW('Data Transformation'!$B$4:$B$450)),ROW($9:$9))-3,6))</f>
        <v>0</v>
      </c>
      <c r="B230" s="45" t="str">
        <f>IFERROR(SMALL(A222:A241,'Data Transformation'!$L$14),"")</f>
        <v/>
      </c>
      <c r="C230" s="61" t="str">
        <f>IF(Weighting!$O$14&gt;0,D230,"")</f>
        <v/>
      </c>
      <c r="D230" t="e">
        <f>Weighting!$C$14</f>
        <v>#DIV/0!</v>
      </c>
      <c r="E230" t="e">
        <f>Weighting!$E$14</f>
        <v>#NUM!</v>
      </c>
      <c r="F230" t="e">
        <f>IF(E230=1,'Data Transformation'!$G$3+0.5*'Data Transformation'!$R$25,IF(E231=1,F231-'Data Transformation'!$R$25,FALSE))</f>
        <v>#NUM!</v>
      </c>
      <c r="G230">
        <f t="array" ref="G230">IF(ISLOGICAL(F230),"",FREQUENCY(IF('Data Transformation'!$B$24:$B$404='Bin Analysis and Plots'!$D$219,'Data Transformation'!$G$24:$G$404),'Bin Analysis and Plots'!F230))</f>
        <v>0</v>
      </c>
      <c r="H230">
        <f t="shared" si="35"/>
        <v>0</v>
      </c>
      <c r="I230">
        <f>Weighting!$G$14</f>
        <v>0</v>
      </c>
      <c r="J230" s="7">
        <f t="array" ref="J230">FREQUENCY(IF('Data Transformation'!$B$4:$B$404=D219,'Data Transformation'!$G$4:$G$404),'Bin Analysis and Plots'!$D230)</f>
        <v>0</v>
      </c>
      <c r="K230" s="7">
        <f t="shared" si="36"/>
        <v>0</v>
      </c>
      <c r="L230" s="7">
        <f t="shared" si="37"/>
        <v>0</v>
      </c>
      <c r="M230" s="22">
        <f>L230*Weighting!$V$14</f>
        <v>0</v>
      </c>
    </row>
    <row r="231" spans="1:13" x14ac:dyDescent="0.25">
      <c r="A231" s="45" t="b">
        <f t="array" ref="A231">IF(ISERROR(INDEX('Data Transformation'!$B$4:$G$450,SMALL(IF('Data Transformation'!$B$4:$B$450='Bin Analysis and Plots'!D219,ROW('Data Transformation'!$B$4:$B$450)),ROW($10:$10))-3,3)),"",INDEX('Data Transformation'!$B$4:$G$450,SMALL(IF('Data Transformation'!$B$4:$B$450='Bin Analysis and Plots'!D219,ROW('Data Transformation'!$B$4:$B$450)),ROW($10:$10))-3,6))</f>
        <v>0</v>
      </c>
      <c r="B231" s="45" t="str">
        <f>IFERROR(SMALL(A222:A241,'Data Transformation'!$L$15),"")</f>
        <v/>
      </c>
      <c r="C231" s="61" t="str">
        <f>IF(Weighting!$O$15&gt;0,D231,"")</f>
        <v/>
      </c>
      <c r="D231" t="e">
        <f>Weighting!$C$15</f>
        <v>#DIV/0!</v>
      </c>
      <c r="E231" t="e">
        <f>Weighting!$E$15</f>
        <v>#NUM!</v>
      </c>
      <c r="F231" t="e">
        <f>IF(E231=1,'Data Transformation'!$G$3+0.5*'Data Transformation'!$R$25,IF(E232=1,F232-'Data Transformation'!$R$25,FALSE))</f>
        <v>#NUM!</v>
      </c>
      <c r="G231">
        <f t="array" ref="G231">IF(ISLOGICAL(F231),"",FREQUENCY(IF('Data Transformation'!$B$24:$B$404='Bin Analysis and Plots'!$D$219,'Data Transformation'!$G$24:$G$404),'Bin Analysis and Plots'!F231))</f>
        <v>0</v>
      </c>
      <c r="H231">
        <f t="shared" si="35"/>
        <v>0</v>
      </c>
      <c r="I231">
        <f>Weighting!$G$15</f>
        <v>0</v>
      </c>
      <c r="J231" s="7">
        <f t="array" ref="J231">FREQUENCY(IF('Data Transformation'!$B$4:$B$404=D219,'Data Transformation'!$G$4:$G$404),'Bin Analysis and Plots'!$D231)</f>
        <v>0</v>
      </c>
      <c r="K231" s="7">
        <f t="shared" si="36"/>
        <v>0</v>
      </c>
      <c r="L231" s="7">
        <f t="shared" si="37"/>
        <v>0</v>
      </c>
      <c r="M231" s="22">
        <f>L231*Weighting!$V$15</f>
        <v>0</v>
      </c>
    </row>
    <row r="232" spans="1:13" x14ac:dyDescent="0.25">
      <c r="A232" s="45" t="b">
        <f t="array" ref="A232">IF(ISERROR(INDEX('Data Transformation'!$B$4:$G$450,SMALL(IF('Data Transformation'!$B$4:$B$450='Bin Analysis and Plots'!D219,ROW('Data Transformation'!$B$4:$B$450)),ROW($11:$11))-3,3)),"",INDEX('Data Transformation'!$B$4:$G$450,SMALL(IF('Data Transformation'!$B$4:$B$450='Bin Analysis and Plots'!D219,ROW('Data Transformation'!$B$4:$B$450)),ROW($11:$11))-3,6))</f>
        <v>0</v>
      </c>
      <c r="B232" s="45" t="str">
        <f>IFERROR(SMALL(A222:A241,'Data Transformation'!$L$16),"")</f>
        <v/>
      </c>
      <c r="C232" s="61" t="str">
        <f>IF(Weighting!$O$16&gt;0,D232,"")</f>
        <v/>
      </c>
      <c r="D232" t="e">
        <f>Weighting!$C$16</f>
        <v>#DIV/0!</v>
      </c>
      <c r="E232" t="e">
        <f>Weighting!$E$16</f>
        <v>#NUM!</v>
      </c>
      <c r="F232" t="e">
        <f>IF(E232=1,'Data Transformation'!$G$3+0.5*'Data Transformation'!$R$25,IF(E233=1,F233-'Data Transformation'!$R$25,FALSE))</f>
        <v>#NUM!</v>
      </c>
      <c r="G232">
        <f t="array" ref="G232">IF(ISLOGICAL(F232),"",FREQUENCY(IF('Data Transformation'!$B$24:$B$404='Bin Analysis and Plots'!$D$219,'Data Transformation'!$G$24:$G$404),'Bin Analysis and Plots'!F232))</f>
        <v>0</v>
      </c>
      <c r="H232">
        <f t="shared" si="35"/>
        <v>0</v>
      </c>
      <c r="I232">
        <f>Weighting!$G$16</f>
        <v>0</v>
      </c>
      <c r="J232" s="7">
        <f t="array" ref="J232">FREQUENCY(IF('Data Transformation'!$B$4:$B$404=D219,'Data Transformation'!$G$4:$G$404),'Bin Analysis and Plots'!$D232)</f>
        <v>0</v>
      </c>
      <c r="K232" s="7">
        <f t="shared" si="36"/>
        <v>0</v>
      </c>
      <c r="L232" s="7">
        <f t="shared" si="37"/>
        <v>0</v>
      </c>
      <c r="M232" s="22">
        <f>L232*Weighting!$V$16</f>
        <v>0</v>
      </c>
    </row>
    <row r="233" spans="1:13" x14ac:dyDescent="0.25">
      <c r="A233" s="45" t="b">
        <f t="array" ref="A233">IF(ISERROR(INDEX('Data Transformation'!$B$4:$G$450,SMALL(IF('Data Transformation'!$B$4:$B$450='Bin Analysis and Plots'!D219,ROW('Data Transformation'!$B$4:$B$450)),ROW($12:$12))-3,3)),"",INDEX('Data Transformation'!$B$4:$G$450,SMALL(IF('Data Transformation'!$B$4:$B$450='Bin Analysis and Plots'!D219,ROW('Data Transformation'!$B$4:$B$450)),ROW($12:$12))-3,6))</f>
        <v>0</v>
      </c>
      <c r="B233" s="45" t="str">
        <f>IFERROR(SMALL(A222:A241,'Data Transformation'!$L$17),"")</f>
        <v/>
      </c>
      <c r="C233" s="61" t="str">
        <f>IF(Weighting!$O$17&gt;0,D233,"")</f>
        <v/>
      </c>
      <c r="D233" t="e">
        <f>Weighting!$C$17</f>
        <v>#DIV/0!</v>
      </c>
      <c r="E233" t="e">
        <f>Weighting!$E$17</f>
        <v>#NUM!</v>
      </c>
      <c r="F233" t="e">
        <f>IF(E233=1,'Data Transformation'!$G$3+0.5*'Data Transformation'!$R$25,IF(E234=1,F234-'Data Transformation'!$R$25,FALSE))</f>
        <v>#NUM!</v>
      </c>
      <c r="G233">
        <f t="array" ref="G233">IF(ISLOGICAL(F233),"",FREQUENCY(IF('Data Transformation'!$B$24:$B$404='Bin Analysis and Plots'!$D$219,'Data Transformation'!$G$24:$G$404),'Bin Analysis and Plots'!F233))</f>
        <v>0</v>
      </c>
      <c r="H233">
        <f t="shared" si="35"/>
        <v>0</v>
      </c>
      <c r="I233">
        <f>Weighting!$G$17</f>
        <v>0</v>
      </c>
      <c r="J233" s="7">
        <f t="array" ref="J233">FREQUENCY(IF('Data Transformation'!$B$4:$B$404=D219,'Data Transformation'!$G$4:$G$404),'Bin Analysis and Plots'!$D233)</f>
        <v>0</v>
      </c>
      <c r="K233" s="7">
        <f t="shared" si="36"/>
        <v>0</v>
      </c>
      <c r="L233" s="7">
        <f t="shared" si="37"/>
        <v>0</v>
      </c>
      <c r="M233" s="22">
        <f>L233*Weighting!$V$17</f>
        <v>0</v>
      </c>
    </row>
    <row r="234" spans="1:13" x14ac:dyDescent="0.25">
      <c r="A234" s="45" t="b">
        <f t="array" ref="A234">IF(ISERROR(INDEX('Data Transformation'!$B$4:$G$450,SMALL(IF('Data Transformation'!$B$4:$B$450='Bin Analysis and Plots'!D219,ROW('Data Transformation'!$B$4:$B$450)),ROW($13:$13))-3,3)),"",INDEX('Data Transformation'!$B$4:$G$450,SMALL(IF('Data Transformation'!$B$4:$B$450='Bin Analysis and Plots'!D219,ROW('Data Transformation'!$B$4:$B$450)),ROW($13:$13))-3,6))</f>
        <v>0</v>
      </c>
      <c r="B234" s="45" t="str">
        <f>IFERROR(SMALL(A222:A241,'Data Transformation'!$L$18),"")</f>
        <v/>
      </c>
      <c r="C234" s="61" t="str">
        <f>IF(Weighting!$O$18&gt;0,D234,"")</f>
        <v/>
      </c>
      <c r="D234" t="e">
        <f>Weighting!$C$18</f>
        <v>#DIV/0!</v>
      </c>
      <c r="E234" t="e">
        <f>Weighting!$E$18</f>
        <v>#NUM!</v>
      </c>
      <c r="F234" t="e">
        <f>IF(E234=1,'Data Transformation'!$G$3+0.5*'Data Transformation'!$R$25,IF(E235=1,F235-'Data Transformation'!$R$25,FALSE))</f>
        <v>#NUM!</v>
      </c>
      <c r="G234">
        <f t="array" ref="G234">IF(ISLOGICAL(F234),"",FREQUENCY(IF('Data Transformation'!$B$24:$B$404='Bin Analysis and Plots'!$D$219,'Data Transformation'!$G$24:$G$404),'Bin Analysis and Plots'!F234))</f>
        <v>0</v>
      </c>
      <c r="H234">
        <f t="shared" si="35"/>
        <v>0</v>
      </c>
      <c r="I234">
        <f>Weighting!$G$18</f>
        <v>0</v>
      </c>
      <c r="J234" s="7">
        <f t="array" ref="J234">FREQUENCY(IF('Data Transformation'!$B$4:$B$404=D219,'Data Transformation'!$G$4:$G$404),'Bin Analysis and Plots'!$D234)</f>
        <v>0</v>
      </c>
      <c r="K234" s="7">
        <f t="shared" si="36"/>
        <v>0</v>
      </c>
      <c r="L234" s="7">
        <f t="shared" si="37"/>
        <v>0</v>
      </c>
      <c r="M234" s="22">
        <f>L234*Weighting!$V$18</f>
        <v>0</v>
      </c>
    </row>
    <row r="235" spans="1:13" x14ac:dyDescent="0.25">
      <c r="A235" s="45" t="b">
        <f t="array" ref="A235">IF(ISERROR(INDEX('Data Transformation'!$B$4:$G$450,SMALL(IF('Data Transformation'!$B$4:$B$450='Bin Analysis and Plots'!D219,ROW('Data Transformation'!$B$4:$B$450)),ROW($14:$14))-3,3)),"",INDEX('Data Transformation'!$B$4:$G$450,SMALL(IF('Data Transformation'!$B$4:$B$450='Bin Analysis and Plots'!D219,ROW('Data Transformation'!$B$4:$B$450)),ROW($14:$14))-3,6))</f>
        <v>0</v>
      </c>
      <c r="B235" s="45" t="str">
        <f>IFERROR(SMALL(A222:A241,'Data Transformation'!$L$19),"")</f>
        <v/>
      </c>
      <c r="C235" s="61" t="str">
        <f>IF(Weighting!$O$19&gt;0,D235,"")</f>
        <v/>
      </c>
      <c r="D235" t="e">
        <f>Weighting!$C$19</f>
        <v>#DIV/0!</v>
      </c>
      <c r="E235" t="e">
        <f>Weighting!$E$19</f>
        <v>#NUM!</v>
      </c>
      <c r="F235" t="e">
        <f>IF(E235=1,'Data Transformation'!$G$3+0.5*'Data Transformation'!$R$25,IF(E236=1,F236-'Data Transformation'!$R$25,FALSE))</f>
        <v>#NUM!</v>
      </c>
      <c r="G235">
        <f t="array" ref="G235">IF(ISLOGICAL(F235),"",FREQUENCY(IF('Data Transformation'!$B$24:$B$404='Bin Analysis and Plots'!$D$219,'Data Transformation'!$G$24:$G$404),'Bin Analysis and Plots'!F235))</f>
        <v>0</v>
      </c>
      <c r="H235">
        <f t="shared" si="35"/>
        <v>0</v>
      </c>
      <c r="I235">
        <f>Weighting!$G$19</f>
        <v>0</v>
      </c>
      <c r="J235" s="7">
        <f t="array" ref="J235">FREQUENCY(IF('Data Transformation'!$B$4:$B$404=D219,'Data Transformation'!$G$4:$G$404),'Bin Analysis and Plots'!$D235)</f>
        <v>0</v>
      </c>
      <c r="K235" s="7">
        <f t="shared" si="36"/>
        <v>0</v>
      </c>
      <c r="L235" s="7">
        <f t="shared" si="37"/>
        <v>0</v>
      </c>
      <c r="M235" s="22">
        <f>L235*Weighting!$V$19</f>
        <v>0</v>
      </c>
    </row>
    <row r="236" spans="1:13" x14ac:dyDescent="0.25">
      <c r="A236" s="45" t="b">
        <f t="array" ref="A236">IF(ISERROR(INDEX('Data Transformation'!$B$4:$G$450,SMALL(IF('Data Transformation'!$B$4:$B$450='Bin Analysis and Plots'!D219,ROW('Data Transformation'!$B$4:$B$450)),ROW($15:$15))-3,3)),"",INDEX('Data Transformation'!$B$4:$G$450,SMALL(IF('Data Transformation'!$B$4:$B$450='Bin Analysis and Plots'!D219,ROW('Data Transformation'!$B$4:$B$450)),ROW($15:$15))-3,6))</f>
        <v>0</v>
      </c>
      <c r="B236" s="45" t="str">
        <f>IFERROR(SMALL(A222:A241,'Data Transformation'!$L$20),"")</f>
        <v/>
      </c>
      <c r="C236" s="61" t="str">
        <f>IF(Weighting!$O$20&gt;0,D236,"")</f>
        <v/>
      </c>
      <c r="D236" t="e">
        <f>Weighting!$C$20</f>
        <v>#DIV/0!</v>
      </c>
      <c r="E236" t="e">
        <f>Weighting!$E$20</f>
        <v>#NUM!</v>
      </c>
      <c r="F236" t="e">
        <f>IF(E236=1,'Data Transformation'!$G$3+0.5*'Data Transformation'!$R$25,IF(E237=1,F237-'Data Transformation'!$R$25,FALSE))</f>
        <v>#NUM!</v>
      </c>
      <c r="G236">
        <f t="array" ref="G236">IF(ISLOGICAL(F236),"",FREQUENCY(IF('Data Transformation'!$B$24:$B$404='Bin Analysis and Plots'!$D$219,'Data Transformation'!$G$24:$G$404),'Bin Analysis and Plots'!F236))</f>
        <v>0</v>
      </c>
      <c r="H236">
        <f t="shared" si="35"/>
        <v>0</v>
      </c>
      <c r="I236">
        <f>Weighting!$G$20</f>
        <v>0</v>
      </c>
      <c r="J236" s="7">
        <f t="array" ref="J236">FREQUENCY(IF('Data Transformation'!$B$4:$B$404=D219,'Data Transformation'!$G$4:$G$404),'Bin Analysis and Plots'!$D236)</f>
        <v>0</v>
      </c>
      <c r="K236" s="7">
        <f t="shared" si="36"/>
        <v>0</v>
      </c>
      <c r="L236" s="7">
        <f t="shared" si="37"/>
        <v>0</v>
      </c>
      <c r="M236" s="22">
        <f>L236*Weighting!$V$20</f>
        <v>0</v>
      </c>
    </row>
    <row r="237" spans="1:13" x14ac:dyDescent="0.25">
      <c r="A237" s="45" t="b">
        <f t="array" ref="A237">IF(ISERROR(INDEX('Data Transformation'!$B$4:$G$450,SMALL(IF('Data Transformation'!$B$4:$B$450='Bin Analysis and Plots'!D219,ROW('Data Transformation'!$B$4:$B$450)),ROW($16:$16))-3,3)),"",INDEX('Data Transformation'!$B$4:$G$450,SMALL(IF('Data Transformation'!$B$4:$B$450='Bin Analysis and Plots'!D219,ROW('Data Transformation'!$B$4:$B$450)),ROW($16:$16))-3,6))</f>
        <v>0</v>
      </c>
      <c r="B237" s="45" t="str">
        <f>IFERROR(SMALL(A222:A241,'Data Transformation'!$L$21),"")</f>
        <v/>
      </c>
      <c r="C237" s="61" t="str">
        <f>IF(Weighting!$O$21&gt;0,D237,"")</f>
        <v/>
      </c>
      <c r="D237" t="e">
        <f>Weighting!$C$21</f>
        <v>#DIV/0!</v>
      </c>
      <c r="E237" t="e">
        <f>Weighting!$E$21</f>
        <v>#NUM!</v>
      </c>
      <c r="F237" t="e">
        <f>IF(E237=1,'Data Transformation'!$G$3+0.5*'Data Transformation'!$R$25,IF(E238=1,F238-'Data Transformation'!$R$25,FALSE))</f>
        <v>#NUM!</v>
      </c>
      <c r="G237">
        <f t="array" ref="G237">IF(ISLOGICAL(F237),"",FREQUENCY(IF('Data Transformation'!$B$24:$B$404='Bin Analysis and Plots'!$D$219,'Data Transformation'!$G$24:$G$404),'Bin Analysis and Plots'!F237))</f>
        <v>0</v>
      </c>
      <c r="H237">
        <f t="shared" si="35"/>
        <v>0</v>
      </c>
      <c r="I237">
        <f>Weighting!$G$21</f>
        <v>0</v>
      </c>
      <c r="J237" s="7">
        <f t="array" ref="J237">FREQUENCY(IF('Data Transformation'!$B$4:$B$404=D219,'Data Transformation'!$G$4:$G$404),'Bin Analysis and Plots'!$D237)</f>
        <v>0</v>
      </c>
      <c r="K237" s="7">
        <f t="shared" si="36"/>
        <v>0</v>
      </c>
      <c r="L237" s="7">
        <f t="shared" si="37"/>
        <v>0</v>
      </c>
      <c r="M237" s="22">
        <f>L237*Weighting!$V$21</f>
        <v>0</v>
      </c>
    </row>
    <row r="238" spans="1:13" x14ac:dyDescent="0.25">
      <c r="A238" s="45" t="b">
        <f t="array" ref="A238">IF(ISERROR(INDEX('Data Transformation'!$B$4:$G$450,SMALL(IF('Data Transformation'!$B$4:$B$450='Bin Analysis and Plots'!D219,ROW('Data Transformation'!$B$4:$B$450)),ROW($17:$17))-3,3)),"",INDEX('Data Transformation'!$B$4:$G$450,SMALL(IF('Data Transformation'!$B$4:$B$450='Bin Analysis and Plots'!D219,ROW('Data Transformation'!$B$4:$B$450)),ROW($17:$17))-3,6))</f>
        <v>0</v>
      </c>
      <c r="B238" s="45" t="str">
        <f>IFERROR(SMALL(A222:A241,'Data Transformation'!$L$22),"")</f>
        <v/>
      </c>
      <c r="C238" s="61" t="str">
        <f>IF(Weighting!$O$22&gt;0,D238,"")</f>
        <v/>
      </c>
      <c r="D238" t="e">
        <f>Weighting!$C$22</f>
        <v>#DIV/0!</v>
      </c>
      <c r="E238" t="e">
        <f>Weighting!$E$22</f>
        <v>#NUM!</v>
      </c>
      <c r="F238" t="e">
        <f>IF(E238=1,'Data Transformation'!$G$3+0.5*'Data Transformation'!$R$25,IF(E239=1,F239-'Data Transformation'!$R$25,FALSE))</f>
        <v>#NUM!</v>
      </c>
      <c r="G238">
        <f t="array" ref="G238">IF(ISLOGICAL(F238),"",FREQUENCY(IF('Data Transformation'!$B$24:$B$404='Bin Analysis and Plots'!$D$219,'Data Transformation'!$G$24:$G$404),'Bin Analysis and Plots'!F238))</f>
        <v>0</v>
      </c>
      <c r="H238">
        <f t="shared" si="35"/>
        <v>0</v>
      </c>
      <c r="I238">
        <f>Weighting!$G$22</f>
        <v>0</v>
      </c>
      <c r="J238" s="7">
        <f t="array" ref="J238">FREQUENCY(IF('Data Transformation'!$B$4:$B$404=D219,'Data Transformation'!$G$4:$G$404),'Bin Analysis and Plots'!$D238)</f>
        <v>0</v>
      </c>
      <c r="K238" s="7">
        <f t="shared" si="36"/>
        <v>0</v>
      </c>
      <c r="L238" s="7">
        <f t="shared" si="37"/>
        <v>0</v>
      </c>
      <c r="M238" s="22">
        <f>L238*Weighting!$V$22</f>
        <v>0</v>
      </c>
    </row>
    <row r="239" spans="1:13" x14ac:dyDescent="0.25">
      <c r="A239" s="45" t="b">
        <f t="array" ref="A239">IF(ISERROR(INDEX('Data Transformation'!$B$4:$G$450,SMALL(IF('Data Transformation'!$B$4:$B$450='Bin Analysis and Plots'!D219,ROW('Data Transformation'!$B$4:$B$450)),ROW($18:$18))-3,3)),"",INDEX('Data Transformation'!$B$4:$G$450,SMALL(IF('Data Transformation'!$B$4:$B$450='Bin Analysis and Plots'!D219,ROW('Data Transformation'!$B$4:$B$450)),ROW($18:$18))-3,6))</f>
        <v>0</v>
      </c>
      <c r="B239" s="45" t="str">
        <f>IFERROR(SMALL(A222:A241,'Data Transformation'!$L$23),"")</f>
        <v/>
      </c>
      <c r="C239" s="61" t="str">
        <f>IF(Weighting!$O$23&gt;0,D239,"")</f>
        <v/>
      </c>
      <c r="D239" t="e">
        <f>Weighting!$C$23</f>
        <v>#DIV/0!</v>
      </c>
      <c r="E239" t="e">
        <f>Weighting!$E$23</f>
        <v>#NUM!</v>
      </c>
      <c r="F239" t="e">
        <f>IF(E239=1,'Data Transformation'!$G$3+0.5*'Data Transformation'!$R$25,IF(E240=1,F240-'Data Transformation'!$R$25,FALSE))</f>
        <v>#NUM!</v>
      </c>
      <c r="G239">
        <f t="array" ref="G239">IF(ISLOGICAL(F239),"",FREQUENCY(IF('Data Transformation'!$B$24:$B$404='Bin Analysis and Plots'!$D$219,'Data Transformation'!$G$24:$G$404),'Bin Analysis and Plots'!F239))</f>
        <v>0</v>
      </c>
      <c r="H239">
        <f t="shared" si="35"/>
        <v>0</v>
      </c>
      <c r="I239">
        <f>Weighting!$G$23</f>
        <v>0</v>
      </c>
      <c r="J239" s="7">
        <f t="array" ref="J239">FREQUENCY(IF('Data Transformation'!$B$4:$B$404=D219,'Data Transformation'!$G$4:$G$404),'Bin Analysis and Plots'!$D239)</f>
        <v>0</v>
      </c>
      <c r="K239" s="7">
        <f t="shared" si="36"/>
        <v>0</v>
      </c>
      <c r="L239" s="7">
        <f t="shared" si="37"/>
        <v>0</v>
      </c>
      <c r="M239" s="22">
        <f>L239*Weighting!$V$23</f>
        <v>0</v>
      </c>
    </row>
    <row r="240" spans="1:13" x14ac:dyDescent="0.25">
      <c r="A240" s="45" t="str">
        <f>IF(ISERROR(INDEX('Data Transformation'!$B$4:$G$450,SMALL(IF('Data Transformation'!$B$4:$B$450='Bin Analysis and Plots'!D219,ROW('Data Transformation'!$B$4:$B$450)),ROW($19:$19))-3,3)),"",INDEX('Data Transformation'!$B$4:$G$450,SMALL(IF('Data Transformation'!$B$4:$B$450='Bin Analysis and Plots'!D219,ROW('Data Transformation'!$B$4:$B$450)),ROW($19:$19))-3,6))</f>
        <v/>
      </c>
      <c r="B240" s="45" t="str">
        <f>IFERROR(SMALL(A222:A241,'Data Transformation'!$L$24),"")</f>
        <v/>
      </c>
      <c r="C240" s="61" t="str">
        <f>IF(Weighting!$O$24&gt;0,D240,"")</f>
        <v/>
      </c>
      <c r="D240" t="e">
        <f>Weighting!$C$24</f>
        <v>#DIV/0!</v>
      </c>
      <c r="E240" t="e">
        <f>Weighting!$E$24</f>
        <v>#NUM!</v>
      </c>
      <c r="F240" t="e">
        <f>IF(E240=1,'Data Transformation'!$G$3+0.5*'Data Transformation'!$R$25,IF(E241=1,F241-'Data Transformation'!$R$25,FALSE))</f>
        <v>#NUM!</v>
      </c>
      <c r="G240">
        <f t="array" ref="G240">IF(ISLOGICAL(F240),"",FREQUENCY(IF('Data Transformation'!$B$24:$B$404='Bin Analysis and Plots'!$D$219,'Data Transformation'!$G$24:$G$404),'Bin Analysis and Plots'!F240))</f>
        <v>0</v>
      </c>
      <c r="H240">
        <f t="shared" si="35"/>
        <v>0</v>
      </c>
      <c r="I240">
        <f>Weighting!$G$24</f>
        <v>0</v>
      </c>
      <c r="J240" s="7">
        <f t="array" ref="J240">FREQUENCY(IF('Data Transformation'!$B$4:$B$404=D219,'Data Transformation'!$G$4:$G$404),'Bin Analysis and Plots'!$D240)</f>
        <v>0</v>
      </c>
      <c r="K240" s="7">
        <f t="shared" si="36"/>
        <v>0</v>
      </c>
      <c r="L240" s="7">
        <f t="shared" si="37"/>
        <v>0</v>
      </c>
      <c r="M240" s="22">
        <f>L240*Weighting!$V$24</f>
        <v>0</v>
      </c>
    </row>
    <row r="241" spans="1:20" x14ac:dyDescent="0.25">
      <c r="A241" s="45" t="b">
        <f t="array" ref="A241">IF(ISERROR(INDEX('Data Transformation'!$B$4:$G$450,SMALL(IF('Data Transformation'!$B$4:$B$450='Bin Analysis and Plots'!D219,ROW('Data Transformation'!$B$4:$B$450)),ROW($20:$20))-3,3)),"",INDEX('Data Transformation'!$B$4:$G$450,SMALL(IF('Data Transformation'!$B$4:$B$450='Bin Analysis and Plots'!D219,ROW('Data Transformation'!$B$4:$B$450)),ROW($20:$20))-3,6))</f>
        <v>0</v>
      </c>
      <c r="B241" s="45" t="str">
        <f>IFERROR(SMALL(A222:A241,'Data Transformation'!$L$25),"")</f>
        <v/>
      </c>
      <c r="C241" s="61" t="str">
        <f>IF(Weighting!$O$25&gt;0,D241,"")</f>
        <v/>
      </c>
      <c r="D241" t="e">
        <f>Weighting!$C$25</f>
        <v>#DIV/0!</v>
      </c>
      <c r="E241" t="e">
        <f>Weighting!$E$25</f>
        <v>#NUM!</v>
      </c>
      <c r="F241" t="e">
        <f>IF(E241=1,'Data Transformation'!$G$3+0.5*'Data Transformation'!$R$25,IF(E242=1,F242-'Data Transformation'!$R$25,FALSE))</f>
        <v>#NUM!</v>
      </c>
      <c r="G241">
        <f t="array" ref="G241">IF(ISLOGICAL(F241),"",FREQUENCY(IF('Data Transformation'!$B$24:$B$404='Bin Analysis and Plots'!$D$219,'Data Transformation'!$G$24:$G$404),'Bin Analysis and Plots'!F241))</f>
        <v>0</v>
      </c>
      <c r="H241">
        <f t="shared" si="35"/>
        <v>0</v>
      </c>
      <c r="I241">
        <f>Weighting!$G$25</f>
        <v>0</v>
      </c>
      <c r="J241" s="7">
        <f t="array" ref="J241">FREQUENCY(IF('Data Transformation'!$B$4:$B$404=D219,'Data Transformation'!$G$4:$G$404),'Bin Analysis and Plots'!$D241)</f>
        <v>0</v>
      </c>
      <c r="K241" s="7">
        <f t="shared" si="36"/>
        <v>0</v>
      </c>
      <c r="L241" s="7">
        <f t="shared" si="37"/>
        <v>0</v>
      </c>
      <c r="M241" s="22">
        <f>L241*Weighting!$V$25</f>
        <v>0</v>
      </c>
    </row>
    <row r="242" spans="1:20" x14ac:dyDescent="0.25">
      <c r="C242" s="60" t="str">
        <f t="shared" si="34"/>
        <v/>
      </c>
    </row>
    <row r="243" spans="1:20" ht="23.25" x14ac:dyDescent="0.35">
      <c r="C243" s="46" t="s">
        <v>0</v>
      </c>
      <c r="D243" s="46" t="str">
        <f>'Input and Summary Results'!G17</f>
        <v xml:space="preserve"> </v>
      </c>
      <c r="E243" s="46"/>
      <c r="F243" s="46"/>
      <c r="G243" s="46"/>
      <c r="H243" s="46"/>
      <c r="I243" s="46"/>
      <c r="J243" s="47"/>
      <c r="K243" s="47"/>
      <c r="L243" s="47"/>
      <c r="M243" s="46"/>
      <c r="N243" s="46"/>
      <c r="O243" s="57" t="e">
        <f>INDEX('Data Transformation'!$O$4:$O$25,MATCH($D243,'Data Transformation'!$M$4:$M$25,0),MATCH($O$2,'Data Transformation'!$O$3,0))</f>
        <v>#N/A</v>
      </c>
      <c r="P243" s="52" t="e">
        <f>IF(O243=FALSE,NA(),(VLOOKUP(1,E246:M265,4,FALSE))/(O243-1))</f>
        <v>#N/A</v>
      </c>
      <c r="Q243" s="52" t="e">
        <f>IF(O243=FALSE,NA(),SUM(L246:L265)/Weighting!$R$5)</f>
        <v>#N/A</v>
      </c>
      <c r="R243" s="52" t="e">
        <f>IF(O243=FALSE,NA(),SUM(M246:M265)/Weighting!$R$6)</f>
        <v>#N/A</v>
      </c>
      <c r="S243" s="52" t="e">
        <f>IF(O243=FALSE,NA(),(VLOOKUP(1,I246:M265,3,FALSE))/(O243-1))</f>
        <v>#N/A</v>
      </c>
      <c r="T243" s="57" t="e">
        <f>IF(O243=FALSE,NA(),IF(SUM(L246:L265)=2,"yes","no"))</f>
        <v>#N/A</v>
      </c>
    </row>
    <row r="244" spans="1:20" x14ac:dyDescent="0.25">
      <c r="A244" s="96" t="s">
        <v>64</v>
      </c>
      <c r="B244" s="96"/>
      <c r="C244" s="58" t="s">
        <v>72</v>
      </c>
      <c r="D244" t="s">
        <v>50</v>
      </c>
      <c r="E244" t="s">
        <v>5</v>
      </c>
      <c r="I244" t="s">
        <v>75</v>
      </c>
      <c r="J244" s="7" t="s">
        <v>34</v>
      </c>
      <c r="K244" s="7" t="s">
        <v>35</v>
      </c>
      <c r="L244" s="7" t="s">
        <v>49</v>
      </c>
      <c r="M244" s="21" t="s">
        <v>48</v>
      </c>
    </row>
    <row r="245" spans="1:20" x14ac:dyDescent="0.25">
      <c r="C245" s="60" t="str">
        <f t="shared" ref="C245:C266" si="38">IF(B245="","",D245)</f>
        <v/>
      </c>
      <c r="F245" t="e">
        <f>IF(E245=1,'Data Transformation'!$G$3+0.5*'Data Transformation'!$R$25,IF(E246=1,F246-'Data Transformation'!$R$25,FALSE))</f>
        <v>#NUM!</v>
      </c>
      <c r="G245">
        <f t="array" ref="G245">IF(ISLOGICAL(F245),"",FREQUENCY(IF('Data Transformation'!$B$24:$B$404='Bin Analysis and Plots'!$D$243,'Data Transformation'!$G$24:$G$404),'Bin Analysis and Plots'!F245))</f>
        <v>0</v>
      </c>
      <c r="H245">
        <f>IF(ISLOGICAL(F245),"",G245-G244)</f>
        <v>0</v>
      </c>
    </row>
    <row r="246" spans="1:20" x14ac:dyDescent="0.25">
      <c r="A246" s="45" t="b">
        <f t="array" ref="A246">IF(ISERROR(INDEX('Data Transformation'!$B$4:$G$450,SMALL(IF('Data Transformation'!$B$4:$B$450='Bin Analysis and Plots'!D243,ROW('Data Transformation'!$B$4:$B$450)),ROW($1:$1))-3,3)),"",INDEX('Data Transformation'!$B$4:$G$450,SMALL(IF('Data Transformation'!$B$4:$B$450='Bin Analysis and Plots'!D243,ROW('Data Transformation'!$B$4:$B$450)),ROW($1:$1))-3,6))</f>
        <v>0</v>
      </c>
      <c r="B246" s="45" t="str">
        <f>IFERROR(SMALL(A246:A265,'Data Transformation'!$L$6),"")</f>
        <v/>
      </c>
      <c r="C246" s="61" t="e">
        <f>IF(Weighting!$O$6&gt;0,D246,"")</f>
        <v>#NUM!</v>
      </c>
      <c r="D246" t="e">
        <f>Weighting!$C$6</f>
        <v>#DIV/0!</v>
      </c>
      <c r="E246" t="e">
        <f>Weighting!$E$6</f>
        <v>#NUM!</v>
      </c>
      <c r="F246" t="e">
        <f>IF(E246=1,'Data Transformation'!$G$3+0.5*'Data Transformation'!$R$25,IF(E247=1,F247-'Data Transformation'!$R$25,FALSE))</f>
        <v>#NUM!</v>
      </c>
      <c r="G246">
        <f t="array" ref="G246">IF(ISLOGICAL(F246),"",FREQUENCY(IF('Data Transformation'!$B$24:$B$404='Bin Analysis and Plots'!$D$243,'Data Transformation'!$G$24:$G$404),'Bin Analysis and Plots'!F246))</f>
        <v>0</v>
      </c>
      <c r="H246">
        <f>IF(ISLOGICAL(F246),"",G246-G245)</f>
        <v>0</v>
      </c>
      <c r="I246">
        <f>Weighting!$G$6</f>
        <v>1</v>
      </c>
      <c r="J246" s="7">
        <f t="array" ref="J246">FREQUENCY(IF('Data Transformation'!$B$4:$B$404=D243,'Data Transformation'!$G$4:$G$404),'Bin Analysis and Plots'!$D246)</f>
        <v>0</v>
      </c>
      <c r="K246" s="7">
        <f>J246-J245</f>
        <v>0</v>
      </c>
      <c r="L246" s="7">
        <f>IF(K246=0,0,1)</f>
        <v>0</v>
      </c>
      <c r="M246" s="22" t="e">
        <f>L246*Weighting!$V$6</f>
        <v>#NUM!</v>
      </c>
    </row>
    <row r="247" spans="1:20" x14ac:dyDescent="0.25">
      <c r="A247" s="45" t="b">
        <f t="array" ref="A247">IF(ISERROR(INDEX('Data Transformation'!$B$4:$G$450,SMALL(IF('Data Transformation'!$B$4:$B$450='Bin Analysis and Plots'!D243,ROW('Data Transformation'!$B$4:$B$450)),ROW($2:$2))-3,3)),"",INDEX('Data Transformation'!$B$4:$G$450,SMALL(IF('Data Transformation'!$B$4:$B$450='Bin Analysis and Plots'!D243,ROW('Data Transformation'!$B$4:$B$450)),ROW($2:$2))-3,6))</f>
        <v>0</v>
      </c>
      <c r="B247" s="45" t="str">
        <f>IFERROR(SMALL(A246:A265,'Data Transformation'!$L$7),"")</f>
        <v/>
      </c>
      <c r="C247" s="61" t="str">
        <f>IF(Weighting!$O$7&gt;0,D247,"")</f>
        <v/>
      </c>
      <c r="D247" t="e">
        <f>Weighting!$C$7</f>
        <v>#DIV/0!</v>
      </c>
      <c r="E247" t="e">
        <f>Weighting!$E$7</f>
        <v>#NUM!</v>
      </c>
      <c r="F247" t="e">
        <f>IF(E247=1,'Data Transformation'!$G$3+0.5*'Data Transformation'!$R$25,IF(E248=1,F248-'Data Transformation'!$R$25,FALSE))</f>
        <v>#NUM!</v>
      </c>
      <c r="G247">
        <f t="array" ref="G247">IF(ISLOGICAL(F247),"",FREQUENCY(IF('Data Transformation'!$B$24:$B$404='Bin Analysis and Plots'!$D$243,'Data Transformation'!$G$24:$G$404),'Bin Analysis and Plots'!F247))</f>
        <v>0</v>
      </c>
      <c r="H247">
        <f t="shared" ref="H247:H265" si="39">IF(ISLOGICAL(F247),"",G247-G246)</f>
        <v>0</v>
      </c>
      <c r="I247">
        <f>Weighting!$G$7</f>
        <v>0</v>
      </c>
      <c r="J247" s="7">
        <f t="array" ref="J247">FREQUENCY(IF('Data Transformation'!$B$4:$B$404=D243,'Data Transformation'!$G$4:$G$404),'Bin Analysis and Plots'!$D247)</f>
        <v>0</v>
      </c>
      <c r="K247" s="7">
        <f t="shared" ref="K247:K265" si="40">J247-J246</f>
        <v>0</v>
      </c>
      <c r="L247" s="7">
        <f>IF(K247=0,0,1)</f>
        <v>0</v>
      </c>
      <c r="M247" s="22">
        <f>L247*Weighting!$V$7</f>
        <v>0</v>
      </c>
    </row>
    <row r="248" spans="1:20" x14ac:dyDescent="0.25">
      <c r="A248" s="45" t="b">
        <f t="array" ref="A248">IF(ISERROR(INDEX('Data Transformation'!$B$4:$G$450,SMALL(IF('Data Transformation'!$B$4:$B$450='Bin Analysis and Plots'!D243,ROW('Data Transformation'!$B$4:$B$450)),ROW($3:$3))-3,3)),"",INDEX('Data Transformation'!$B$4:$G$450,SMALL(IF('Data Transformation'!$B$4:$B$450='Bin Analysis and Plots'!D243,ROW('Data Transformation'!$B$4:$B$450)),ROW($3:$3))-3,6))</f>
        <v>0</v>
      </c>
      <c r="B248" s="45" t="str">
        <f>IFERROR(SMALL(A246:A265,'Data Transformation'!$L$8),"")</f>
        <v/>
      </c>
      <c r="C248" s="61" t="str">
        <f>IF(Weighting!$O$8&gt;0,D248,"")</f>
        <v/>
      </c>
      <c r="D248" t="e">
        <f>Weighting!$C$8</f>
        <v>#DIV/0!</v>
      </c>
      <c r="E248" t="e">
        <f>Weighting!$E$8</f>
        <v>#NUM!</v>
      </c>
      <c r="F248" t="e">
        <f>IF(E248=1,'Data Transformation'!$G$3+0.5*'Data Transformation'!$R$25,IF(E249=1,F249-'Data Transformation'!$R$25,FALSE))</f>
        <v>#NUM!</v>
      </c>
      <c r="G248">
        <f t="array" ref="G248">IF(ISLOGICAL(F248),"",FREQUENCY(IF('Data Transformation'!$B$24:$B$404='Bin Analysis and Plots'!$D$243,'Data Transformation'!$G$24:$G$404),'Bin Analysis and Plots'!F248))</f>
        <v>0</v>
      </c>
      <c r="H248">
        <f t="shared" si="39"/>
        <v>0</v>
      </c>
      <c r="I248">
        <f>Weighting!$G$8</f>
        <v>0</v>
      </c>
      <c r="J248" s="7">
        <f t="array" ref="J248">FREQUENCY(IF('Data Transformation'!$B$4:$B$404=D243,'Data Transformation'!$G$4:$G$404),'Bin Analysis and Plots'!$D248)</f>
        <v>0</v>
      </c>
      <c r="K248" s="7">
        <f t="shared" si="40"/>
        <v>0</v>
      </c>
      <c r="L248" s="7">
        <f t="shared" ref="L248:L265" si="41">IF(K248=0,0,1)</f>
        <v>0</v>
      </c>
      <c r="M248" s="22">
        <f>L248*Weighting!$V$8</f>
        <v>0</v>
      </c>
    </row>
    <row r="249" spans="1:20" x14ac:dyDescent="0.25">
      <c r="A249" s="45" t="b">
        <f t="array" ref="A249">IF(ISERROR(INDEX('Data Transformation'!$B$4:$G$450,SMALL(IF('Data Transformation'!$B$4:$B$450='Bin Analysis and Plots'!D243,ROW('Data Transformation'!$B$4:$B$450)),ROW($4:$4))-3,3)),"",INDEX('Data Transformation'!$B$4:$G$450,SMALL(IF('Data Transformation'!$B$4:$B$450='Bin Analysis and Plots'!D243,ROW('Data Transformation'!$B$4:$B$450)),ROW($4:$4))-3,6))</f>
        <v>0</v>
      </c>
      <c r="B249" s="45" t="str">
        <f>IFERROR(SMALL(A246:A265,'Data Transformation'!$L$9),"")</f>
        <v/>
      </c>
      <c r="C249" s="61" t="str">
        <f>IF(Weighting!$O$9&gt;0,D249,"")</f>
        <v/>
      </c>
      <c r="D249" t="e">
        <f>Weighting!$B$9</f>
        <v>#DIV/0!</v>
      </c>
      <c r="E249" t="e">
        <f>Weighting!$E$9</f>
        <v>#NUM!</v>
      </c>
      <c r="F249" t="e">
        <f>IF(E249=1,'Data Transformation'!$G$3+0.5*'Data Transformation'!$R$25,IF(E250=1,F250-'Data Transformation'!$R$25,FALSE))</f>
        <v>#NUM!</v>
      </c>
      <c r="G249">
        <f t="array" ref="G249">IF(ISLOGICAL(F249),"",FREQUENCY(IF('Data Transformation'!$B$24:$B$404='Bin Analysis and Plots'!$D$243,'Data Transformation'!$G$24:$G$404),'Bin Analysis and Plots'!F249))</f>
        <v>0</v>
      </c>
      <c r="H249">
        <f t="shared" si="39"/>
        <v>0</v>
      </c>
      <c r="I249">
        <f>Weighting!$G$9</f>
        <v>0</v>
      </c>
      <c r="J249" s="7">
        <f t="array" ref="J249">FREQUENCY(IF('Data Transformation'!$B$4:$B$404=D243,'Data Transformation'!$G$4:$G$404),'Bin Analysis and Plots'!$D249)</f>
        <v>0</v>
      </c>
      <c r="K249" s="7">
        <f t="shared" si="40"/>
        <v>0</v>
      </c>
      <c r="L249" s="7">
        <f t="shared" si="41"/>
        <v>0</v>
      </c>
      <c r="M249" s="22">
        <f>L249*Weighting!$V$9</f>
        <v>0</v>
      </c>
    </row>
    <row r="250" spans="1:20" x14ac:dyDescent="0.25">
      <c r="A250" s="45" t="b">
        <f t="array" ref="A250">IF(ISERROR(INDEX('Data Transformation'!$B$4:$G$450,SMALL(IF('Data Transformation'!$B$4:$B$450='Bin Analysis and Plots'!D243,ROW('Data Transformation'!$B$4:$B$450)),ROW($5:$5))-3,3)),"",INDEX('Data Transformation'!$B$4:$G$450,SMALL(IF('Data Transformation'!$B$4:$B$450='Bin Analysis and Plots'!D243,ROW('Data Transformation'!$B$4:$B$450)),ROW($5:$5))-3,6))</f>
        <v>0</v>
      </c>
      <c r="B250" s="45" t="str">
        <f>IFERROR(SMALL(A246:A265,'Data Transformation'!$L$10),"")</f>
        <v/>
      </c>
      <c r="C250" s="61" t="str">
        <f>IF(Weighting!$O$10&gt;0,D250,"")</f>
        <v/>
      </c>
      <c r="D250" t="e">
        <f>Weighting!$C$10</f>
        <v>#DIV/0!</v>
      </c>
      <c r="E250" t="e">
        <f>Weighting!$E$10</f>
        <v>#NUM!</v>
      </c>
      <c r="F250" t="e">
        <f>IF(E250=1,'Data Transformation'!$G$3+0.5*'Data Transformation'!$R$25,IF(E251=1,F251-'Data Transformation'!$R$25,FALSE))</f>
        <v>#NUM!</v>
      </c>
      <c r="G250">
        <f t="array" ref="G250">IF(ISLOGICAL(F250),"",FREQUENCY(IF('Data Transformation'!$B$24:$B$404='Bin Analysis and Plots'!$D$243,'Data Transformation'!$G$24:$G$404),'Bin Analysis and Plots'!F250))</f>
        <v>0</v>
      </c>
      <c r="H250">
        <f t="shared" si="39"/>
        <v>0</v>
      </c>
      <c r="I250">
        <f>Weighting!$G$10</f>
        <v>0</v>
      </c>
      <c r="J250" s="7">
        <f t="array" ref="J250">FREQUENCY(IF('Data Transformation'!$B$4:$B$404=D243,'Data Transformation'!$G$4:$G$404),'Bin Analysis and Plots'!$D250)</f>
        <v>0</v>
      </c>
      <c r="K250" s="7">
        <f t="shared" si="40"/>
        <v>0</v>
      </c>
      <c r="L250" s="7">
        <f t="shared" si="41"/>
        <v>0</v>
      </c>
      <c r="M250" s="22">
        <f>L250*Weighting!$V$10</f>
        <v>0</v>
      </c>
    </row>
    <row r="251" spans="1:20" x14ac:dyDescent="0.25">
      <c r="A251" s="45" t="b">
        <f t="array" ref="A251">IF(ISERROR(INDEX('Data Transformation'!$B$4:$G$450,SMALL(IF('Data Transformation'!$B$4:$B$450='Bin Analysis and Plots'!D243,ROW('Data Transformation'!$B$4:$B$450)),ROW($6:$6))-3,3)),"",INDEX('Data Transformation'!$B$4:$G$450,SMALL(IF('Data Transformation'!$B$4:$B$450='Bin Analysis and Plots'!D243,ROW('Data Transformation'!$B$4:$B$450)),ROW($6:$6))-3,6))</f>
        <v>0</v>
      </c>
      <c r="B251" s="45" t="str">
        <f>IFERROR(SMALL(A246:A265,'Data Transformation'!$L$11),"")</f>
        <v/>
      </c>
      <c r="C251" s="61" t="str">
        <f>IF(Weighting!$O$11&gt;0,D251,"")</f>
        <v/>
      </c>
      <c r="D251" t="e">
        <f>Weighting!$C$11</f>
        <v>#DIV/0!</v>
      </c>
      <c r="E251" t="e">
        <f>Weighting!$E$11</f>
        <v>#NUM!</v>
      </c>
      <c r="F251" t="e">
        <f>IF(E251=1,'Data Transformation'!$G$3+0.5*'Data Transformation'!$R$25,IF(E252=1,F252-'Data Transformation'!$R$25,FALSE))</f>
        <v>#NUM!</v>
      </c>
      <c r="G251">
        <f t="array" ref="G251">IF(ISLOGICAL(F251),"",FREQUENCY(IF('Data Transformation'!$B$24:$B$404='Bin Analysis and Plots'!$D$243,'Data Transformation'!$G$24:$G$404),'Bin Analysis and Plots'!F251))</f>
        <v>0</v>
      </c>
      <c r="H251">
        <f t="shared" si="39"/>
        <v>0</v>
      </c>
      <c r="I251">
        <f>Weighting!$G$11</f>
        <v>0</v>
      </c>
      <c r="J251" s="7">
        <f t="array" ref="J251">FREQUENCY(IF('Data Transformation'!$B$4:$B$404=D243,'Data Transformation'!$G$4:$G$404),'Bin Analysis and Plots'!$D251)</f>
        <v>0</v>
      </c>
      <c r="K251" s="7">
        <f t="shared" si="40"/>
        <v>0</v>
      </c>
      <c r="L251" s="7">
        <f t="shared" si="41"/>
        <v>0</v>
      </c>
      <c r="M251" s="22">
        <f>L251*Weighting!$V$11</f>
        <v>0</v>
      </c>
    </row>
    <row r="252" spans="1:20" x14ac:dyDescent="0.25">
      <c r="A252" s="45" t="b">
        <f t="array" ref="A252">IF(ISERROR(INDEX('Data Transformation'!$B$4:$G$450,SMALL(IF('Data Transformation'!$B$4:$B$450='Bin Analysis and Plots'!D243,ROW('Data Transformation'!$B$4:$B$450)),ROW($7:$7))-3,3)),"",INDEX('Data Transformation'!$B$4:$G$450,SMALL(IF('Data Transformation'!$B$4:$B$450='Bin Analysis and Plots'!D243,ROW('Data Transformation'!$B$4:$B$450)),ROW($7:$7))-3,6))</f>
        <v>0</v>
      </c>
      <c r="B252" s="45" t="str">
        <f>IFERROR(SMALL(A246:A265,'Data Transformation'!$L$12),"")</f>
        <v/>
      </c>
      <c r="C252" s="61" t="str">
        <f>IF(Weighting!$O$12&gt;0,D252,"")</f>
        <v/>
      </c>
      <c r="D252" t="e">
        <f>Weighting!$C$12</f>
        <v>#DIV/0!</v>
      </c>
      <c r="E252" t="e">
        <f>Weighting!$E$12</f>
        <v>#NUM!</v>
      </c>
      <c r="F252" t="e">
        <f>IF(E252=1,'Data Transformation'!$G$3+0.5*'Data Transformation'!$R$25,IF(E253=1,F253-'Data Transformation'!$R$25,FALSE))</f>
        <v>#NUM!</v>
      </c>
      <c r="G252">
        <f t="array" ref="G252">IF(ISLOGICAL(F252),"",FREQUENCY(IF('Data Transformation'!$B$24:$B$404='Bin Analysis and Plots'!$D$243,'Data Transformation'!$G$24:$G$404),'Bin Analysis and Plots'!F252))</f>
        <v>0</v>
      </c>
      <c r="H252">
        <f t="shared" si="39"/>
        <v>0</v>
      </c>
      <c r="I252">
        <f>Weighting!$G$12</f>
        <v>0</v>
      </c>
      <c r="J252" s="7">
        <f t="array" ref="J252">FREQUENCY(IF('Data Transformation'!$B$4:$B$404=D243,'Data Transformation'!$G$4:$G$404),'Bin Analysis and Plots'!$D252)</f>
        <v>0</v>
      </c>
      <c r="K252" s="7">
        <f t="shared" si="40"/>
        <v>0</v>
      </c>
      <c r="L252" s="7">
        <f t="shared" si="41"/>
        <v>0</v>
      </c>
      <c r="M252" s="22">
        <f>L252*Weighting!$V$12</f>
        <v>0</v>
      </c>
    </row>
    <row r="253" spans="1:20" x14ac:dyDescent="0.25">
      <c r="A253" s="45" t="b">
        <f t="array" ref="A253">IF(ISERROR(INDEX('Data Transformation'!$B$4:$G$450,SMALL(IF('Data Transformation'!$B$4:$B$450='Bin Analysis and Plots'!D243,ROW('Data Transformation'!$B$4:$B$450)),ROW($8:$8))-3,3)),"",INDEX('Data Transformation'!$B$4:$G$450,SMALL(IF('Data Transformation'!$B$4:$B$450='Bin Analysis and Plots'!D243,ROW('Data Transformation'!$B$4:$B$450)),ROW($8:$8))-3,6))</f>
        <v>0</v>
      </c>
      <c r="B253" s="45" t="str">
        <f>IFERROR(SMALL(A246:A265,'Data Transformation'!$L$13),"")</f>
        <v/>
      </c>
      <c r="C253" s="61" t="str">
        <f>IF(Weighting!$O$13&gt;0,D253,"")</f>
        <v/>
      </c>
      <c r="D253" t="e">
        <f>Weighting!$C$13</f>
        <v>#DIV/0!</v>
      </c>
      <c r="E253" t="e">
        <f>Weighting!$E$13</f>
        <v>#NUM!</v>
      </c>
      <c r="F253" t="e">
        <f>IF(E253=1,'Data Transformation'!$G$3+0.5*'Data Transformation'!$R$25,IF(E254=1,F254-'Data Transformation'!$R$25,FALSE))</f>
        <v>#NUM!</v>
      </c>
      <c r="G253">
        <f t="array" ref="G253">IF(ISLOGICAL(F253),"",FREQUENCY(IF('Data Transformation'!$B$24:$B$404='Bin Analysis and Plots'!$D$243,'Data Transformation'!$G$24:$G$404),'Bin Analysis and Plots'!F253))</f>
        <v>0</v>
      </c>
      <c r="H253">
        <f t="shared" si="39"/>
        <v>0</v>
      </c>
      <c r="I253">
        <f>Weighting!$G$13</f>
        <v>0</v>
      </c>
      <c r="J253" s="7">
        <f t="array" ref="J253">FREQUENCY(IF('Data Transformation'!$B$4:$B$404=D243,'Data Transformation'!$G$4:$G$404),'Bin Analysis and Plots'!$D253)</f>
        <v>0</v>
      </c>
      <c r="K253" s="7">
        <f t="shared" si="40"/>
        <v>0</v>
      </c>
      <c r="L253" s="7">
        <f t="shared" si="41"/>
        <v>0</v>
      </c>
      <c r="M253" s="22">
        <f>L253*Weighting!$V$13</f>
        <v>0</v>
      </c>
    </row>
    <row r="254" spans="1:20" x14ac:dyDescent="0.25">
      <c r="A254" s="45" t="b">
        <f t="array" ref="A254">IF(ISERROR(INDEX('Data Transformation'!$B$4:$G$450,SMALL(IF('Data Transformation'!$B$4:$B$450='Bin Analysis and Plots'!D243,ROW('Data Transformation'!$B$4:$B$450)),ROW($9:$9))-3,3)),"",INDEX('Data Transformation'!$B$4:$G$450,SMALL(IF('Data Transformation'!$B$4:$B$450='Bin Analysis and Plots'!D243,ROW('Data Transformation'!$B$4:$B$450)),ROW($9:$9))-3,6))</f>
        <v>0</v>
      </c>
      <c r="B254" s="45" t="str">
        <f>IFERROR(SMALL(A246:A265,'Data Transformation'!$L$14),"")</f>
        <v/>
      </c>
      <c r="C254" s="61" t="str">
        <f>IF(Weighting!$O$14&gt;0,D254,"")</f>
        <v/>
      </c>
      <c r="D254" t="e">
        <f>Weighting!$C$14</f>
        <v>#DIV/0!</v>
      </c>
      <c r="E254" t="e">
        <f>Weighting!$E$14</f>
        <v>#NUM!</v>
      </c>
      <c r="F254" t="e">
        <f>IF(E254=1,'Data Transformation'!$G$3+0.5*'Data Transformation'!$R$25,IF(E255=1,F255-'Data Transformation'!$R$25,FALSE))</f>
        <v>#NUM!</v>
      </c>
      <c r="G254">
        <f t="array" ref="G254">IF(ISLOGICAL(F254),"",FREQUENCY(IF('Data Transformation'!$B$24:$B$404='Bin Analysis and Plots'!$D$243,'Data Transformation'!$G$24:$G$404),'Bin Analysis and Plots'!F254))</f>
        <v>0</v>
      </c>
      <c r="H254">
        <f t="shared" si="39"/>
        <v>0</v>
      </c>
      <c r="I254">
        <f>Weighting!$G$14</f>
        <v>0</v>
      </c>
      <c r="J254" s="7">
        <f t="array" ref="J254">FREQUENCY(IF('Data Transformation'!$B$4:$B$404=D243,'Data Transformation'!$G$4:$G$404),'Bin Analysis and Plots'!$D254)</f>
        <v>0</v>
      </c>
      <c r="K254" s="7">
        <f t="shared" si="40"/>
        <v>0</v>
      </c>
      <c r="L254" s="7">
        <f t="shared" si="41"/>
        <v>0</v>
      </c>
      <c r="M254" s="22">
        <f>L254*Weighting!$V$14</f>
        <v>0</v>
      </c>
    </row>
    <row r="255" spans="1:20" x14ac:dyDescent="0.25">
      <c r="A255" s="45" t="b">
        <f t="array" ref="A255">IF(ISERROR(INDEX('Data Transformation'!$B$4:$G$450,SMALL(IF('Data Transformation'!$B$4:$B$450='Bin Analysis and Plots'!D243,ROW('Data Transformation'!$B$4:$B$450)),ROW($10:$10))-3,3)),"",INDEX('Data Transformation'!$B$4:$G$450,SMALL(IF('Data Transformation'!$B$4:$B$450='Bin Analysis and Plots'!D243,ROW('Data Transformation'!$B$4:$B$450)),ROW($10:$10))-3,6))</f>
        <v>0</v>
      </c>
      <c r="B255" s="45" t="str">
        <f>IFERROR(SMALL(A246:A265,'Data Transformation'!$L$15),"")</f>
        <v/>
      </c>
      <c r="C255" s="61" t="str">
        <f>IF(Weighting!$O$15&gt;0,D255,"")</f>
        <v/>
      </c>
      <c r="D255" t="e">
        <f>Weighting!$C$15</f>
        <v>#DIV/0!</v>
      </c>
      <c r="E255" t="e">
        <f>Weighting!$E$15</f>
        <v>#NUM!</v>
      </c>
      <c r="F255" t="e">
        <f>IF(E255=1,'Data Transformation'!$G$3+0.5*'Data Transformation'!$R$25,IF(E256=1,F256-'Data Transformation'!$R$25,FALSE))</f>
        <v>#NUM!</v>
      </c>
      <c r="G255">
        <f t="array" ref="G255">IF(ISLOGICAL(F255),"",FREQUENCY(IF('Data Transformation'!$B$24:$B$404='Bin Analysis and Plots'!$D$243,'Data Transformation'!$G$24:$G$404),'Bin Analysis and Plots'!F255))</f>
        <v>0</v>
      </c>
      <c r="H255">
        <f t="shared" si="39"/>
        <v>0</v>
      </c>
      <c r="I255">
        <f>Weighting!$G$15</f>
        <v>0</v>
      </c>
      <c r="J255" s="7">
        <f t="array" ref="J255">FREQUENCY(IF('Data Transformation'!$B$4:$B$404=D243,'Data Transformation'!$G$4:$G$404),'Bin Analysis and Plots'!$D255)</f>
        <v>0</v>
      </c>
      <c r="K255" s="7">
        <f t="shared" si="40"/>
        <v>0</v>
      </c>
      <c r="L255" s="7">
        <f t="shared" si="41"/>
        <v>0</v>
      </c>
      <c r="M255" s="22">
        <f>L255*Weighting!$V$15</f>
        <v>0</v>
      </c>
    </row>
    <row r="256" spans="1:20" x14ac:dyDescent="0.25">
      <c r="A256" s="45" t="b">
        <f t="array" ref="A256">IF(ISERROR(INDEX('Data Transformation'!$B$4:$G$450,SMALL(IF('Data Transformation'!$B$4:$B$450='Bin Analysis and Plots'!D243,ROW('Data Transformation'!$B$4:$B$450)),ROW($11:$11))-3,3)),"",INDEX('Data Transformation'!$B$4:$G$450,SMALL(IF('Data Transformation'!$B$4:$B$450='Bin Analysis and Plots'!D243,ROW('Data Transformation'!$B$4:$B$450)),ROW($11:$11))-3,6))</f>
        <v>0</v>
      </c>
      <c r="B256" s="45" t="str">
        <f>IFERROR(SMALL(A246:A265,'Data Transformation'!$L$16),"")</f>
        <v/>
      </c>
      <c r="C256" s="61" t="str">
        <f>IF(Weighting!$O$16&gt;0,D256,"")</f>
        <v/>
      </c>
      <c r="D256" t="e">
        <f>Weighting!$C$16</f>
        <v>#DIV/0!</v>
      </c>
      <c r="E256" t="e">
        <f>Weighting!$E$16</f>
        <v>#NUM!</v>
      </c>
      <c r="F256" t="e">
        <f>IF(E256=1,'Data Transformation'!$G$3+0.5*'Data Transformation'!$R$25,IF(E257=1,F257-'Data Transformation'!$R$25,FALSE))</f>
        <v>#NUM!</v>
      </c>
      <c r="G256">
        <f t="array" ref="G256">IF(ISLOGICAL(F256),"",FREQUENCY(IF('Data Transformation'!$B$24:$B$404='Bin Analysis and Plots'!$D$243,'Data Transformation'!$G$24:$G$404),'Bin Analysis and Plots'!F256))</f>
        <v>0</v>
      </c>
      <c r="H256">
        <f t="shared" si="39"/>
        <v>0</v>
      </c>
      <c r="I256">
        <f>Weighting!$G$16</f>
        <v>0</v>
      </c>
      <c r="J256" s="7">
        <f t="array" ref="J256">FREQUENCY(IF('Data Transformation'!$B$4:$B$404=D243,'Data Transformation'!$G$4:$G$404),'Bin Analysis and Plots'!$D256)</f>
        <v>0</v>
      </c>
      <c r="K256" s="7">
        <f t="shared" si="40"/>
        <v>0</v>
      </c>
      <c r="L256" s="7">
        <f t="shared" si="41"/>
        <v>0</v>
      </c>
      <c r="M256" s="22">
        <f>L256*Weighting!$V$16</f>
        <v>0</v>
      </c>
    </row>
    <row r="257" spans="1:20" x14ac:dyDescent="0.25">
      <c r="A257" s="45" t="b">
        <f t="array" ref="A257">IF(ISERROR(INDEX('Data Transformation'!$B$4:$G$450,SMALL(IF('Data Transformation'!$B$4:$B$450='Bin Analysis and Plots'!D243,ROW('Data Transformation'!$B$4:$B$450)),ROW($12:$12))-3,3)),"",INDEX('Data Transformation'!$B$4:$G$450,SMALL(IF('Data Transformation'!$B$4:$B$450='Bin Analysis and Plots'!D243,ROW('Data Transformation'!$B$4:$B$450)),ROW($12:$12))-3,6))</f>
        <v>0</v>
      </c>
      <c r="B257" s="45" t="str">
        <f>IFERROR(SMALL(A246:A265,'Data Transformation'!$L$17),"")</f>
        <v/>
      </c>
      <c r="C257" s="61" t="str">
        <f>IF(Weighting!$O$17&gt;0,D257,"")</f>
        <v/>
      </c>
      <c r="D257" t="e">
        <f>Weighting!$C$17</f>
        <v>#DIV/0!</v>
      </c>
      <c r="E257" t="e">
        <f>Weighting!$E$17</f>
        <v>#NUM!</v>
      </c>
      <c r="F257" t="e">
        <f>IF(E257=1,'Data Transformation'!$G$3+0.5*'Data Transformation'!$R$25,IF(E258=1,F258-'Data Transformation'!$R$25,FALSE))</f>
        <v>#NUM!</v>
      </c>
      <c r="G257">
        <f t="array" ref="G257">IF(ISLOGICAL(F257),"",FREQUENCY(IF('Data Transformation'!$B$24:$B$404='Bin Analysis and Plots'!$D$243,'Data Transformation'!$G$24:$G$404),'Bin Analysis and Plots'!F257))</f>
        <v>0</v>
      </c>
      <c r="H257">
        <f t="shared" si="39"/>
        <v>0</v>
      </c>
      <c r="I257">
        <f>Weighting!$G$17</f>
        <v>0</v>
      </c>
      <c r="J257" s="7">
        <f t="array" ref="J257">FREQUENCY(IF('Data Transformation'!$B$4:$B$404=D243,'Data Transformation'!$G$4:$G$404),'Bin Analysis and Plots'!$D257)</f>
        <v>0</v>
      </c>
      <c r="K257" s="7">
        <f t="shared" si="40"/>
        <v>0</v>
      </c>
      <c r="L257" s="7">
        <f t="shared" si="41"/>
        <v>0</v>
      </c>
      <c r="M257" s="22">
        <f>L257*Weighting!$V$17</f>
        <v>0</v>
      </c>
    </row>
    <row r="258" spans="1:20" x14ac:dyDescent="0.25">
      <c r="A258" s="45" t="b">
        <f t="array" ref="A258">IF(ISERROR(INDEX('Data Transformation'!$B$4:$G$450,SMALL(IF('Data Transformation'!$B$4:$B$450='Bin Analysis and Plots'!D243,ROW('Data Transformation'!$B$4:$B$450)),ROW($13:$13))-3,3)),"",INDEX('Data Transformation'!$B$4:$G$450,SMALL(IF('Data Transformation'!$B$4:$B$450='Bin Analysis and Plots'!D243,ROW('Data Transformation'!$B$4:$B$450)),ROW($13:$13))-3,6))</f>
        <v>0</v>
      </c>
      <c r="B258" s="45" t="str">
        <f>IFERROR(SMALL(A246:A265,'Data Transformation'!$L$18),"")</f>
        <v/>
      </c>
      <c r="C258" s="61" t="str">
        <f>IF(Weighting!$O$18&gt;0,D258,"")</f>
        <v/>
      </c>
      <c r="D258" t="e">
        <f>Weighting!$C$18</f>
        <v>#DIV/0!</v>
      </c>
      <c r="E258" t="e">
        <f>Weighting!$E$18</f>
        <v>#NUM!</v>
      </c>
      <c r="F258" t="e">
        <f>IF(E258=1,'Data Transformation'!$G$3+0.5*'Data Transformation'!$R$25,IF(E259=1,F259-'Data Transformation'!$R$25,FALSE))</f>
        <v>#NUM!</v>
      </c>
      <c r="G258">
        <f t="array" ref="G258">IF(ISLOGICAL(F258),"",FREQUENCY(IF('Data Transformation'!$B$24:$B$404='Bin Analysis and Plots'!$D$243,'Data Transformation'!$G$24:$G$404),'Bin Analysis and Plots'!F258))</f>
        <v>0</v>
      </c>
      <c r="H258">
        <f t="shared" si="39"/>
        <v>0</v>
      </c>
      <c r="I258">
        <f>Weighting!$G$18</f>
        <v>0</v>
      </c>
      <c r="J258" s="7">
        <f t="array" ref="J258">FREQUENCY(IF('Data Transformation'!$B$4:$B$404=D243,'Data Transformation'!$G$4:$G$404),'Bin Analysis and Plots'!$D258)</f>
        <v>0</v>
      </c>
      <c r="K258" s="7">
        <f t="shared" si="40"/>
        <v>0</v>
      </c>
      <c r="L258" s="7">
        <f t="shared" si="41"/>
        <v>0</v>
      </c>
      <c r="M258" s="22">
        <f>L258*Weighting!$V$18</f>
        <v>0</v>
      </c>
    </row>
    <row r="259" spans="1:20" x14ac:dyDescent="0.25">
      <c r="A259" s="45" t="b">
        <f t="array" ref="A259">IF(ISERROR(INDEX('Data Transformation'!$B$4:$G$450,SMALL(IF('Data Transformation'!$B$4:$B$450='Bin Analysis and Plots'!D243,ROW('Data Transformation'!$B$4:$B$450)),ROW($14:$14))-3,3)),"",INDEX('Data Transformation'!$B$4:$G$450,SMALL(IF('Data Transformation'!$B$4:$B$450='Bin Analysis and Plots'!D243,ROW('Data Transformation'!$B$4:$B$450)),ROW($14:$14))-3,6))</f>
        <v>0</v>
      </c>
      <c r="B259" s="45" t="str">
        <f>IFERROR(SMALL(A246:A265,'Data Transformation'!$L$19),"")</f>
        <v/>
      </c>
      <c r="C259" s="61" t="str">
        <f>IF(Weighting!$O$19&gt;0,D259,"")</f>
        <v/>
      </c>
      <c r="D259" t="e">
        <f>Weighting!$C$19</f>
        <v>#DIV/0!</v>
      </c>
      <c r="E259" t="e">
        <f>Weighting!$E$19</f>
        <v>#NUM!</v>
      </c>
      <c r="F259" t="e">
        <f>IF(E259=1,'Data Transformation'!$G$3+0.5*'Data Transformation'!$R$25,IF(E260=1,F260-'Data Transformation'!$R$25,FALSE))</f>
        <v>#NUM!</v>
      </c>
      <c r="G259">
        <f t="array" ref="G259">IF(ISLOGICAL(F259),"",FREQUENCY(IF('Data Transformation'!$B$24:$B$404='Bin Analysis and Plots'!$D$243,'Data Transformation'!$G$24:$G$404),'Bin Analysis and Plots'!F259))</f>
        <v>0</v>
      </c>
      <c r="H259">
        <f t="shared" si="39"/>
        <v>0</v>
      </c>
      <c r="I259">
        <f>Weighting!$G$19</f>
        <v>0</v>
      </c>
      <c r="J259" s="7">
        <f t="array" ref="J259">FREQUENCY(IF('Data Transformation'!$B$4:$B$404=D243,'Data Transformation'!$G$4:$G$404),'Bin Analysis and Plots'!$D259)</f>
        <v>0</v>
      </c>
      <c r="K259" s="7">
        <f t="shared" si="40"/>
        <v>0</v>
      </c>
      <c r="L259" s="7">
        <f t="shared" si="41"/>
        <v>0</v>
      </c>
      <c r="M259" s="22">
        <f>L259*Weighting!$V$19</f>
        <v>0</v>
      </c>
    </row>
    <row r="260" spans="1:20" x14ac:dyDescent="0.25">
      <c r="A260" s="45" t="b">
        <f t="array" ref="A260">IF(ISERROR(INDEX('Data Transformation'!$B$4:$G$450,SMALL(IF('Data Transformation'!$B$4:$B$450='Bin Analysis and Plots'!D243,ROW('Data Transformation'!$B$4:$B$450)),ROW($15:$15))-3,3)),"",INDEX('Data Transformation'!$B$4:$G$450,SMALL(IF('Data Transformation'!$B$4:$B$450='Bin Analysis and Plots'!D243,ROW('Data Transformation'!$B$4:$B$450)),ROW($15:$15))-3,6))</f>
        <v>0</v>
      </c>
      <c r="B260" s="45" t="str">
        <f>IFERROR(SMALL(A246:A265,'Data Transformation'!$L$20),"")</f>
        <v/>
      </c>
      <c r="C260" s="61" t="str">
        <f>IF(Weighting!$O$20&gt;0,D260,"")</f>
        <v/>
      </c>
      <c r="D260" t="e">
        <f>Weighting!$C$20</f>
        <v>#DIV/0!</v>
      </c>
      <c r="E260" t="e">
        <f>Weighting!$E$20</f>
        <v>#NUM!</v>
      </c>
      <c r="F260" t="e">
        <f>IF(E260=1,'Data Transformation'!$G$3+0.5*'Data Transformation'!$R$25,IF(E261=1,F261-'Data Transformation'!$R$25,FALSE))</f>
        <v>#NUM!</v>
      </c>
      <c r="G260">
        <f t="array" ref="G260">IF(ISLOGICAL(F260),"",FREQUENCY(IF('Data Transformation'!$B$24:$B$404='Bin Analysis and Plots'!$D$243,'Data Transformation'!$G$24:$G$404),'Bin Analysis and Plots'!F260))</f>
        <v>0</v>
      </c>
      <c r="H260">
        <f t="shared" si="39"/>
        <v>0</v>
      </c>
      <c r="I260">
        <f>Weighting!$G$20</f>
        <v>0</v>
      </c>
      <c r="J260" s="7">
        <f t="array" ref="J260">FREQUENCY(IF('Data Transformation'!$B$4:$B$404=D243,'Data Transformation'!$G$4:$G$404),'Bin Analysis and Plots'!$D260)</f>
        <v>0</v>
      </c>
      <c r="K260" s="7">
        <f t="shared" si="40"/>
        <v>0</v>
      </c>
      <c r="L260" s="7">
        <f t="shared" si="41"/>
        <v>0</v>
      </c>
      <c r="M260" s="22">
        <f>L260*Weighting!$V$20</f>
        <v>0</v>
      </c>
    </row>
    <row r="261" spans="1:20" x14ac:dyDescent="0.25">
      <c r="A261" s="45" t="b">
        <f t="array" ref="A261">IF(ISERROR(INDEX('Data Transformation'!$B$4:$G$450,SMALL(IF('Data Transformation'!$B$4:$B$450='Bin Analysis and Plots'!D243,ROW('Data Transformation'!$B$4:$B$450)),ROW($16:$16))-3,3)),"",INDEX('Data Transformation'!$B$4:$G$450,SMALL(IF('Data Transformation'!$B$4:$B$450='Bin Analysis and Plots'!D243,ROW('Data Transformation'!$B$4:$B$450)),ROW($16:$16))-3,6))</f>
        <v>0</v>
      </c>
      <c r="B261" s="45" t="str">
        <f>IFERROR(SMALL(A246:A265,'Data Transformation'!$L$21),"")</f>
        <v/>
      </c>
      <c r="C261" s="61" t="str">
        <f>IF(Weighting!$O$21&gt;0,D261,"")</f>
        <v/>
      </c>
      <c r="D261" t="e">
        <f>Weighting!$C$21</f>
        <v>#DIV/0!</v>
      </c>
      <c r="E261" t="e">
        <f>Weighting!$E$21</f>
        <v>#NUM!</v>
      </c>
      <c r="F261" t="e">
        <f>IF(E261=1,'Data Transformation'!$G$3+0.5*'Data Transformation'!$R$25,IF(E262=1,F262-'Data Transformation'!$R$25,FALSE))</f>
        <v>#NUM!</v>
      </c>
      <c r="G261">
        <f t="array" ref="G261">IF(ISLOGICAL(F261),"",FREQUENCY(IF('Data Transformation'!$B$24:$B$404='Bin Analysis and Plots'!$D$243,'Data Transformation'!$G$24:$G$404),'Bin Analysis and Plots'!F261))</f>
        <v>0</v>
      </c>
      <c r="H261">
        <f t="shared" si="39"/>
        <v>0</v>
      </c>
      <c r="I261">
        <f>Weighting!$G$21</f>
        <v>0</v>
      </c>
      <c r="J261" s="7">
        <f t="array" ref="J261">FREQUENCY(IF('Data Transformation'!$B$4:$B$404=D243,'Data Transformation'!$G$4:$G$404),'Bin Analysis and Plots'!$D261)</f>
        <v>0</v>
      </c>
      <c r="K261" s="7">
        <f t="shared" si="40"/>
        <v>0</v>
      </c>
      <c r="L261" s="7">
        <f t="shared" si="41"/>
        <v>0</v>
      </c>
      <c r="M261" s="22">
        <f>L261*Weighting!$V$21</f>
        <v>0</v>
      </c>
    </row>
    <row r="262" spans="1:20" x14ac:dyDescent="0.25">
      <c r="A262" s="45" t="b">
        <f t="array" ref="A262">IF(ISERROR(INDEX('Data Transformation'!$B$4:$G$450,SMALL(IF('Data Transformation'!$B$4:$B$450='Bin Analysis and Plots'!D243,ROW('Data Transformation'!$B$4:$B$450)),ROW($17:$17))-3,3)),"",INDEX('Data Transformation'!$B$4:$G$450,SMALL(IF('Data Transformation'!$B$4:$B$450='Bin Analysis and Plots'!D243,ROW('Data Transformation'!$B$4:$B$450)),ROW($17:$17))-3,6))</f>
        <v>0</v>
      </c>
      <c r="B262" s="45" t="str">
        <f>IFERROR(SMALL(A246:A265,'Data Transformation'!$L$22),"")</f>
        <v/>
      </c>
      <c r="C262" s="61" t="str">
        <f>IF(Weighting!$O$22&gt;0,D262,"")</f>
        <v/>
      </c>
      <c r="D262" t="e">
        <f>Weighting!$C$22</f>
        <v>#DIV/0!</v>
      </c>
      <c r="E262" t="e">
        <f>Weighting!$E$22</f>
        <v>#NUM!</v>
      </c>
      <c r="F262" t="e">
        <f>IF(E262=1,'Data Transformation'!$G$3+0.5*'Data Transformation'!$R$25,IF(E263=1,F263-'Data Transformation'!$R$25,FALSE))</f>
        <v>#NUM!</v>
      </c>
      <c r="G262">
        <f t="array" ref="G262">IF(ISLOGICAL(F262),"",FREQUENCY(IF('Data Transformation'!$B$24:$B$404='Bin Analysis and Plots'!$D$243,'Data Transformation'!$G$24:$G$404),'Bin Analysis and Plots'!F262))</f>
        <v>0</v>
      </c>
      <c r="H262">
        <f t="shared" si="39"/>
        <v>0</v>
      </c>
      <c r="I262">
        <f>Weighting!$G$22</f>
        <v>0</v>
      </c>
      <c r="J262" s="7">
        <f t="array" ref="J262">FREQUENCY(IF('Data Transformation'!$B$4:$B$404=D243,'Data Transformation'!$G$4:$G$404),'Bin Analysis and Plots'!$D262)</f>
        <v>0</v>
      </c>
      <c r="K262" s="7">
        <f t="shared" si="40"/>
        <v>0</v>
      </c>
      <c r="L262" s="7">
        <f t="shared" si="41"/>
        <v>0</v>
      </c>
      <c r="M262" s="22">
        <f>L262*Weighting!$V$22</f>
        <v>0</v>
      </c>
    </row>
    <row r="263" spans="1:20" x14ac:dyDescent="0.25">
      <c r="A263" s="45" t="b">
        <f t="array" ref="A263">IF(ISERROR(INDEX('Data Transformation'!$B$4:$G$450,SMALL(IF('Data Transformation'!$B$4:$B$450='Bin Analysis and Plots'!D243,ROW('Data Transformation'!$B$4:$B$450)),ROW($18:$18))-3,3)),"",INDEX('Data Transformation'!$B$4:$G$450,SMALL(IF('Data Transformation'!$B$4:$B$450='Bin Analysis and Plots'!D243,ROW('Data Transformation'!$B$4:$B$450)),ROW($18:$18))-3,6))</f>
        <v>0</v>
      </c>
      <c r="B263" s="45" t="str">
        <f>IFERROR(SMALL(A246:A265,'Data Transformation'!$L$23),"")</f>
        <v/>
      </c>
      <c r="C263" s="61" t="str">
        <f>IF(Weighting!$O$23&gt;0,D263,"")</f>
        <v/>
      </c>
      <c r="D263" t="e">
        <f>Weighting!$C$23</f>
        <v>#DIV/0!</v>
      </c>
      <c r="E263" t="e">
        <f>Weighting!$E$23</f>
        <v>#NUM!</v>
      </c>
      <c r="F263" t="e">
        <f>IF(E263=1,'Data Transformation'!$G$3+0.5*'Data Transformation'!$R$25,IF(E264=1,F264-'Data Transformation'!$R$25,FALSE))</f>
        <v>#NUM!</v>
      </c>
      <c r="G263">
        <f t="array" ref="G263">IF(ISLOGICAL(F263),"",FREQUENCY(IF('Data Transformation'!$B$24:$B$404='Bin Analysis and Plots'!$D$243,'Data Transformation'!$G$24:$G$404),'Bin Analysis and Plots'!F263))</f>
        <v>0</v>
      </c>
      <c r="H263">
        <f t="shared" si="39"/>
        <v>0</v>
      </c>
      <c r="I263">
        <f>Weighting!$G$23</f>
        <v>0</v>
      </c>
      <c r="J263" s="7">
        <f t="array" ref="J263">FREQUENCY(IF('Data Transformation'!$B$4:$B$404=D243,'Data Transformation'!$G$4:$G$404),'Bin Analysis and Plots'!$D263)</f>
        <v>0</v>
      </c>
      <c r="K263" s="7">
        <f t="shared" si="40"/>
        <v>0</v>
      </c>
      <c r="L263" s="7">
        <f t="shared" si="41"/>
        <v>0</v>
      </c>
      <c r="M263" s="22">
        <f>L263*Weighting!$V$23</f>
        <v>0</v>
      </c>
    </row>
    <row r="264" spans="1:20" x14ac:dyDescent="0.25">
      <c r="A264" s="45" t="str">
        <f>IF(ISERROR(INDEX('Data Transformation'!$B$4:$G$450,SMALL(IF('Data Transformation'!$B$4:$B$450='Bin Analysis and Plots'!D243,ROW('Data Transformation'!$B$4:$B$450)),ROW($19:$19))-3,3)),"",INDEX('Data Transformation'!$B$4:$G$450,SMALL(IF('Data Transformation'!$B$4:$B$450='Bin Analysis and Plots'!D243,ROW('Data Transformation'!$B$4:$B$450)),ROW($19:$19))-3,6))</f>
        <v/>
      </c>
      <c r="B264" s="45" t="str">
        <f>IFERROR(SMALL(A246:A265,'Data Transformation'!$L$24),"")</f>
        <v/>
      </c>
      <c r="C264" s="61" t="str">
        <f>IF(Weighting!$O$24&gt;0,D264,"")</f>
        <v/>
      </c>
      <c r="D264" t="e">
        <f>Weighting!$C$24</f>
        <v>#DIV/0!</v>
      </c>
      <c r="E264" t="e">
        <f>Weighting!$E$24</f>
        <v>#NUM!</v>
      </c>
      <c r="F264" t="e">
        <f>IF(E264=1,'Data Transformation'!$G$3+0.5*'Data Transformation'!$R$25,IF(E265=1,F265-'Data Transformation'!$R$25,FALSE))</f>
        <v>#NUM!</v>
      </c>
      <c r="G264">
        <f t="array" ref="G264">IF(ISLOGICAL(F264),"",FREQUENCY(IF('Data Transformation'!$B$24:$B$404='Bin Analysis and Plots'!$D$243,'Data Transformation'!$G$24:$G$404),'Bin Analysis and Plots'!F264))</f>
        <v>0</v>
      </c>
      <c r="H264">
        <f t="shared" si="39"/>
        <v>0</v>
      </c>
      <c r="I264">
        <f>Weighting!$G$24</f>
        <v>0</v>
      </c>
      <c r="J264" s="7">
        <f t="array" ref="J264">FREQUENCY(IF('Data Transformation'!$B$4:$B$404=D243,'Data Transformation'!$G$4:$G$404),'Bin Analysis and Plots'!$D264)</f>
        <v>0</v>
      </c>
      <c r="K264" s="7">
        <f t="shared" si="40"/>
        <v>0</v>
      </c>
      <c r="L264" s="7">
        <f t="shared" si="41"/>
        <v>0</v>
      </c>
      <c r="M264" s="22">
        <f>L264*Weighting!$V$24</f>
        <v>0</v>
      </c>
    </row>
    <row r="265" spans="1:20" x14ac:dyDescent="0.25">
      <c r="A265" s="45" t="b">
        <f t="array" ref="A265">IF(ISERROR(INDEX('Data Transformation'!$B$4:$G$450,SMALL(IF('Data Transformation'!$B$4:$B$450='Bin Analysis and Plots'!D243,ROW('Data Transformation'!$B$4:$B$450)),ROW($20:$20))-3,3)),"",INDEX('Data Transformation'!$B$4:$G$450,SMALL(IF('Data Transformation'!$B$4:$B$450='Bin Analysis and Plots'!D243,ROW('Data Transformation'!$B$4:$B$450)),ROW($20:$20))-3,6))</f>
        <v>0</v>
      </c>
      <c r="B265" s="45" t="str">
        <f>IFERROR(SMALL(A246:A265,'Data Transformation'!$L$25),"")</f>
        <v/>
      </c>
      <c r="C265" s="61" t="str">
        <f>IF(Weighting!$O$25&gt;0,D265,"")</f>
        <v/>
      </c>
      <c r="D265" t="e">
        <f>Weighting!$C$25</f>
        <v>#DIV/0!</v>
      </c>
      <c r="E265" t="e">
        <f>Weighting!$E$25</f>
        <v>#NUM!</v>
      </c>
      <c r="F265" t="e">
        <f>IF(E265=1,'Data Transformation'!$G$3+0.5*'Data Transformation'!$R$25,IF(E266=1,F266-'Data Transformation'!$R$25,FALSE))</f>
        <v>#NUM!</v>
      </c>
      <c r="G265">
        <f t="array" ref="G265">IF(ISLOGICAL(F265),"",FREQUENCY(IF('Data Transformation'!$B$24:$B$404='Bin Analysis and Plots'!$D$243,'Data Transformation'!$G$24:$G$404),'Bin Analysis and Plots'!F265))</f>
        <v>0</v>
      </c>
      <c r="H265">
        <f t="shared" si="39"/>
        <v>0</v>
      </c>
      <c r="I265">
        <f>Weighting!$G$25</f>
        <v>0</v>
      </c>
      <c r="J265" s="7">
        <f t="array" ref="J265">FREQUENCY(IF('Data Transformation'!$B$4:$B$404=D243,'Data Transformation'!$G$4:$G$404),'Bin Analysis and Plots'!$D265)</f>
        <v>0</v>
      </c>
      <c r="K265" s="7">
        <f t="shared" si="40"/>
        <v>0</v>
      </c>
      <c r="L265" s="7">
        <f t="shared" si="41"/>
        <v>0</v>
      </c>
      <c r="M265" s="22">
        <f>L265*Weighting!$V$25</f>
        <v>0</v>
      </c>
    </row>
    <row r="266" spans="1:20" x14ac:dyDescent="0.25">
      <c r="C266" s="60" t="str">
        <f t="shared" si="38"/>
        <v/>
      </c>
    </row>
    <row r="267" spans="1:20" ht="23.25" x14ac:dyDescent="0.35">
      <c r="C267" s="46" t="s">
        <v>0</v>
      </c>
      <c r="D267" s="46" t="str">
        <f>'Input and Summary Results'!G18</f>
        <v xml:space="preserve"> </v>
      </c>
      <c r="E267" s="46"/>
      <c r="F267" s="46"/>
      <c r="G267" s="46"/>
      <c r="H267" s="46"/>
      <c r="I267" s="46"/>
      <c r="J267" s="47"/>
      <c r="K267" s="47"/>
      <c r="L267" s="47"/>
      <c r="M267" s="46"/>
      <c r="N267" s="46"/>
      <c r="O267" s="57" t="e">
        <f>INDEX('Data Transformation'!$O$4:$O$25,MATCH($D267,'Data Transformation'!$M$4:$M$25,0),MATCH($O$2,'Data Transformation'!$O$3,0))</f>
        <v>#N/A</v>
      </c>
      <c r="P267" s="52" t="e">
        <f>IF(O267=FALSE,NA(),(VLOOKUP(1,E270:M289,4,FALSE))/(O267-1))</f>
        <v>#N/A</v>
      </c>
      <c r="Q267" s="52" t="e">
        <f>IF(O267=FALSE,NA(),SUM(L270:L289)/Weighting!$R$5)</f>
        <v>#N/A</v>
      </c>
      <c r="R267" s="52" t="e">
        <f>IF(O267=FALSE,NA(),SUM(M270:M289)/Weighting!$R$6)</f>
        <v>#N/A</v>
      </c>
      <c r="S267" s="52" t="e">
        <f>IF(O267=FALSE,NA(),(VLOOKUP(1,I270:M289,3,FALSE))/(O267-1))</f>
        <v>#N/A</v>
      </c>
      <c r="T267" s="57" t="e">
        <f>IF(O267=FALSE,NA(),IF(SUM(L270:L289)=2,"yes","no"))</f>
        <v>#N/A</v>
      </c>
    </row>
    <row r="268" spans="1:20" x14ac:dyDescent="0.25">
      <c r="A268" s="96" t="s">
        <v>64</v>
      </c>
      <c r="B268" s="96"/>
      <c r="C268" s="58" t="s">
        <v>72</v>
      </c>
      <c r="D268" t="s">
        <v>50</v>
      </c>
      <c r="E268" t="s">
        <v>5</v>
      </c>
      <c r="I268" t="s">
        <v>75</v>
      </c>
      <c r="J268" s="7" t="s">
        <v>34</v>
      </c>
      <c r="K268" s="7" t="s">
        <v>35</v>
      </c>
      <c r="L268" s="7" t="s">
        <v>49</v>
      </c>
      <c r="M268" s="21" t="s">
        <v>48</v>
      </c>
    </row>
    <row r="269" spans="1:20" x14ac:dyDescent="0.25">
      <c r="C269" s="60" t="str">
        <f t="shared" ref="C269:C290" si="42">IF(B269="","",D269)</f>
        <v/>
      </c>
      <c r="F269" t="e">
        <f>IF(E269=1,'Data Transformation'!$G$3+0.5*'Data Transformation'!$R$25,IF(E270=1,F270-'Data Transformation'!$R$25,FALSE))</f>
        <v>#NUM!</v>
      </c>
      <c r="G269">
        <f t="array" ref="G269">IF(ISLOGICAL(F269),"",FREQUENCY(IF('Data Transformation'!$B$24:$B$404='Bin Analysis and Plots'!$D$267,'Data Transformation'!$G$24:$G$404),'Bin Analysis and Plots'!F269))</f>
        <v>0</v>
      </c>
      <c r="H269">
        <f>IF(ISLOGICAL(F269),"",G269-G268)</f>
        <v>0</v>
      </c>
    </row>
    <row r="270" spans="1:20" x14ac:dyDescent="0.25">
      <c r="A270" s="45" t="b">
        <f t="array" ref="A270">IF(ISERROR(INDEX('Data Transformation'!$B$4:$G$450,SMALL(IF('Data Transformation'!$B$4:$B$450='Bin Analysis and Plots'!D267,ROW('Data Transformation'!$B$4:$B$450)),ROW($1:$1))-3,3)),"",INDEX('Data Transformation'!$B$4:$G$450,SMALL(IF('Data Transformation'!$B$4:$B$450='Bin Analysis and Plots'!D267,ROW('Data Transformation'!$B$4:$B$450)),ROW($1:$1))-3,6))</f>
        <v>0</v>
      </c>
      <c r="B270" s="45" t="str">
        <f>IFERROR(SMALL(A270:A289,'Data Transformation'!$L$6),"")</f>
        <v/>
      </c>
      <c r="C270" s="61" t="e">
        <f>IF(Weighting!$O$6&gt;0,D270,"")</f>
        <v>#NUM!</v>
      </c>
      <c r="D270" t="e">
        <f>Weighting!$C$6</f>
        <v>#DIV/0!</v>
      </c>
      <c r="E270" t="e">
        <f>Weighting!$E$6</f>
        <v>#NUM!</v>
      </c>
      <c r="F270" t="e">
        <f>IF(E270=1,'Data Transformation'!$G$3+0.5*'Data Transformation'!$R$25,IF(E271=1,F271-'Data Transformation'!$R$25,FALSE))</f>
        <v>#NUM!</v>
      </c>
      <c r="G270">
        <f t="array" ref="G270">IF(ISLOGICAL(F270),"",FREQUENCY(IF('Data Transformation'!$B$24:$B$404='Bin Analysis and Plots'!$D$267,'Data Transformation'!$G$24:$G$404),'Bin Analysis and Plots'!F270))</f>
        <v>0</v>
      </c>
      <c r="H270">
        <f>IF(ISLOGICAL(F270),"",G270-G269)</f>
        <v>0</v>
      </c>
      <c r="I270">
        <f>Weighting!$G$6</f>
        <v>1</v>
      </c>
      <c r="J270" s="7">
        <f t="array" ref="J270">FREQUENCY(IF('Data Transformation'!$B$4:$B$404=D267,'Data Transformation'!$G$4:$G$404),'Bin Analysis and Plots'!$D270)</f>
        <v>0</v>
      </c>
      <c r="K270" s="7">
        <f>J270-J269</f>
        <v>0</v>
      </c>
      <c r="L270" s="7">
        <f>IF(K270=0,0,1)</f>
        <v>0</v>
      </c>
      <c r="M270" s="22" t="e">
        <f>L270*Weighting!$V$6</f>
        <v>#NUM!</v>
      </c>
    </row>
    <row r="271" spans="1:20" x14ac:dyDescent="0.25">
      <c r="A271" s="45" t="b">
        <f t="array" ref="A271">IF(ISERROR(INDEX('Data Transformation'!$B$4:$G$450,SMALL(IF('Data Transformation'!$B$4:$B$450='Bin Analysis and Plots'!D267,ROW('Data Transformation'!$B$4:$B$450)),ROW($2:$2))-3,3)),"",INDEX('Data Transformation'!$B$4:$G$450,SMALL(IF('Data Transformation'!$B$4:$B$450='Bin Analysis and Plots'!D267,ROW('Data Transformation'!$B$4:$B$450)),ROW($2:$2))-3,6))</f>
        <v>0</v>
      </c>
      <c r="B271" s="45" t="str">
        <f>IFERROR(SMALL(A270:A289,'Data Transformation'!$L$7),"")</f>
        <v/>
      </c>
      <c r="C271" s="61" t="str">
        <f>IF(Weighting!$O$7&gt;0,D271,"")</f>
        <v/>
      </c>
      <c r="D271" t="e">
        <f>Weighting!$C$7</f>
        <v>#DIV/0!</v>
      </c>
      <c r="E271" t="e">
        <f>Weighting!$E$7</f>
        <v>#NUM!</v>
      </c>
      <c r="F271" t="e">
        <f>IF(E271=1,'Data Transformation'!$G$3+0.5*'Data Transformation'!$R$25,IF(E272=1,F272-'Data Transformation'!$R$25,FALSE))</f>
        <v>#NUM!</v>
      </c>
      <c r="G271">
        <f t="array" ref="G271">IF(ISLOGICAL(F271),"",FREQUENCY(IF('Data Transformation'!$B$24:$B$404='Bin Analysis and Plots'!$D$267,'Data Transformation'!$G$24:$G$404),'Bin Analysis and Plots'!F271))</f>
        <v>0</v>
      </c>
      <c r="H271">
        <f t="shared" ref="H271:H289" si="43">IF(ISLOGICAL(F271),"",G271-G270)</f>
        <v>0</v>
      </c>
      <c r="I271">
        <f>Weighting!$G$7</f>
        <v>0</v>
      </c>
      <c r="J271" s="7">
        <f t="array" ref="J271">FREQUENCY(IF('Data Transformation'!$B$4:$B$404=D267,'Data Transformation'!$G$4:$G$404),'Bin Analysis and Plots'!$D271)</f>
        <v>0</v>
      </c>
      <c r="K271" s="7">
        <f t="shared" ref="K271:K289" si="44">J271-J270</f>
        <v>0</v>
      </c>
      <c r="L271" s="7">
        <f>IF(K271=0,0,1)</f>
        <v>0</v>
      </c>
      <c r="M271" s="22">
        <f>L271*Weighting!$V$7</f>
        <v>0</v>
      </c>
    </row>
    <row r="272" spans="1:20" x14ac:dyDescent="0.25">
      <c r="A272" s="45" t="b">
        <f t="array" ref="A272">IF(ISERROR(INDEX('Data Transformation'!$B$4:$G$450,SMALL(IF('Data Transformation'!$B$4:$B$450='Bin Analysis and Plots'!D267,ROW('Data Transformation'!$B$4:$B$450)),ROW($3:$3))-3,3)),"",INDEX('Data Transformation'!$B$4:$G$450,SMALL(IF('Data Transformation'!$B$4:$B$450='Bin Analysis and Plots'!D267,ROW('Data Transformation'!$B$4:$B$450)),ROW($3:$3))-3,6))</f>
        <v>0</v>
      </c>
      <c r="B272" s="45" t="str">
        <f>IFERROR(SMALL(A270:A289,'Data Transformation'!$L$8),"")</f>
        <v/>
      </c>
      <c r="C272" s="61" t="str">
        <f>IF(Weighting!$O$8&gt;0,D272,"")</f>
        <v/>
      </c>
      <c r="D272" t="e">
        <f>Weighting!$C$8</f>
        <v>#DIV/0!</v>
      </c>
      <c r="E272" t="e">
        <f>Weighting!$E$8</f>
        <v>#NUM!</v>
      </c>
      <c r="F272" t="e">
        <f>IF(E272=1,'Data Transformation'!$G$3+0.5*'Data Transformation'!$R$25,IF(E273=1,F273-'Data Transformation'!$R$25,FALSE))</f>
        <v>#NUM!</v>
      </c>
      <c r="G272">
        <f t="array" ref="G272">IF(ISLOGICAL(F272),"",FREQUENCY(IF('Data Transformation'!$B$24:$B$404='Bin Analysis and Plots'!$D$267,'Data Transformation'!$G$24:$G$404),'Bin Analysis and Plots'!F272))</f>
        <v>0</v>
      </c>
      <c r="H272">
        <f t="shared" si="43"/>
        <v>0</v>
      </c>
      <c r="I272">
        <f>Weighting!$G$8</f>
        <v>0</v>
      </c>
      <c r="J272" s="7">
        <f t="array" ref="J272">FREQUENCY(IF('Data Transformation'!$B$4:$B$404=D267,'Data Transformation'!$G$4:$G$404),'Bin Analysis and Plots'!$D272)</f>
        <v>0</v>
      </c>
      <c r="K272" s="7">
        <f t="shared" si="44"/>
        <v>0</v>
      </c>
      <c r="L272" s="7">
        <f t="shared" ref="L272:L289" si="45">IF(K272=0,0,1)</f>
        <v>0</v>
      </c>
      <c r="M272" s="22">
        <f>L272*Weighting!$V$8</f>
        <v>0</v>
      </c>
    </row>
    <row r="273" spans="1:13" x14ac:dyDescent="0.25">
      <c r="A273" s="45" t="b">
        <f t="array" ref="A273">IF(ISERROR(INDEX('Data Transformation'!$B$4:$G$450,SMALL(IF('Data Transformation'!$B$4:$B$450='Bin Analysis and Plots'!D267,ROW('Data Transformation'!$B$4:$B$450)),ROW($4:$4))-3,3)),"",INDEX('Data Transformation'!$B$4:$G$450,SMALL(IF('Data Transformation'!$B$4:$B$450='Bin Analysis and Plots'!D267,ROW('Data Transformation'!$B$4:$B$450)),ROW($4:$4))-3,6))</f>
        <v>0</v>
      </c>
      <c r="B273" s="45" t="str">
        <f>IFERROR(SMALL(A270:A289,'Data Transformation'!$L$9),"")</f>
        <v/>
      </c>
      <c r="C273" s="61" t="str">
        <f>IF(Weighting!$O$9&gt;0,D273,"")</f>
        <v/>
      </c>
      <c r="D273" t="e">
        <f>Weighting!$B$9</f>
        <v>#DIV/0!</v>
      </c>
      <c r="E273" t="e">
        <f>Weighting!$E$9</f>
        <v>#NUM!</v>
      </c>
      <c r="F273" t="e">
        <f>IF(E273=1,'Data Transformation'!$G$3+0.5*'Data Transformation'!$R$25,IF(E274=1,F274-'Data Transformation'!$R$25,FALSE))</f>
        <v>#NUM!</v>
      </c>
      <c r="G273">
        <f t="array" ref="G273">IF(ISLOGICAL(F273),"",FREQUENCY(IF('Data Transformation'!$B$24:$B$404='Bin Analysis and Plots'!$D$267,'Data Transformation'!$G$24:$G$404),'Bin Analysis and Plots'!F273))</f>
        <v>0</v>
      </c>
      <c r="H273">
        <f t="shared" si="43"/>
        <v>0</v>
      </c>
      <c r="I273">
        <f>Weighting!$G$9</f>
        <v>0</v>
      </c>
      <c r="J273" s="7">
        <f t="array" ref="J273">FREQUENCY(IF('Data Transformation'!$B$4:$B$404=D267,'Data Transformation'!$G$4:$G$404),'Bin Analysis and Plots'!$D273)</f>
        <v>0</v>
      </c>
      <c r="K273" s="7">
        <f t="shared" si="44"/>
        <v>0</v>
      </c>
      <c r="L273" s="7">
        <f t="shared" si="45"/>
        <v>0</v>
      </c>
      <c r="M273" s="22">
        <f>L273*Weighting!$V$9</f>
        <v>0</v>
      </c>
    </row>
    <row r="274" spans="1:13" x14ac:dyDescent="0.25">
      <c r="A274" s="45" t="b">
        <f t="array" ref="A274">IF(ISERROR(INDEX('Data Transformation'!$B$4:$G$450,SMALL(IF('Data Transformation'!$B$4:$B$450='Bin Analysis and Plots'!D267,ROW('Data Transformation'!$B$4:$B$450)),ROW($5:$5))-3,3)),"",INDEX('Data Transformation'!$B$4:$G$450,SMALL(IF('Data Transformation'!$B$4:$B$450='Bin Analysis and Plots'!D267,ROW('Data Transformation'!$B$4:$B$450)),ROW($5:$5))-3,6))</f>
        <v>0</v>
      </c>
      <c r="B274" s="45" t="str">
        <f>IFERROR(SMALL(A270:A289,'Data Transformation'!$L$10),"")</f>
        <v/>
      </c>
      <c r="C274" s="61" t="str">
        <f>IF(Weighting!$O$10&gt;0,D274,"")</f>
        <v/>
      </c>
      <c r="D274" t="e">
        <f>Weighting!$C$10</f>
        <v>#DIV/0!</v>
      </c>
      <c r="E274" t="e">
        <f>Weighting!$E$10</f>
        <v>#NUM!</v>
      </c>
      <c r="F274" t="e">
        <f>IF(E274=1,'Data Transformation'!$G$3+0.5*'Data Transformation'!$R$25,IF(E275=1,F275-'Data Transformation'!$R$25,FALSE))</f>
        <v>#NUM!</v>
      </c>
      <c r="G274">
        <f t="array" ref="G274">IF(ISLOGICAL(F274),"",FREQUENCY(IF('Data Transformation'!$B$24:$B$404='Bin Analysis and Plots'!$D$267,'Data Transformation'!$G$24:$G$404),'Bin Analysis and Plots'!F274))</f>
        <v>0</v>
      </c>
      <c r="H274">
        <f t="shared" si="43"/>
        <v>0</v>
      </c>
      <c r="I274">
        <f>Weighting!$G$10</f>
        <v>0</v>
      </c>
      <c r="J274" s="7">
        <f t="array" ref="J274">FREQUENCY(IF('Data Transformation'!$B$4:$B$404=D267,'Data Transformation'!$G$4:$G$404),'Bin Analysis and Plots'!$D274)</f>
        <v>0</v>
      </c>
      <c r="K274" s="7">
        <f t="shared" si="44"/>
        <v>0</v>
      </c>
      <c r="L274" s="7">
        <f t="shared" si="45"/>
        <v>0</v>
      </c>
      <c r="M274" s="22">
        <f>L274*Weighting!$V$10</f>
        <v>0</v>
      </c>
    </row>
    <row r="275" spans="1:13" x14ac:dyDescent="0.25">
      <c r="A275" s="45" t="b">
        <f t="array" ref="A275">IF(ISERROR(INDEX('Data Transformation'!$B$4:$G$450,SMALL(IF('Data Transformation'!$B$4:$B$450='Bin Analysis and Plots'!D267,ROW('Data Transformation'!$B$4:$B$450)),ROW($6:$6))-3,3)),"",INDEX('Data Transformation'!$B$4:$G$450,SMALL(IF('Data Transformation'!$B$4:$B$450='Bin Analysis and Plots'!D267,ROW('Data Transformation'!$B$4:$B$450)),ROW($6:$6))-3,6))</f>
        <v>0</v>
      </c>
      <c r="B275" s="45" t="str">
        <f>IFERROR(SMALL(A270:A289,'Data Transformation'!$L$11),"")</f>
        <v/>
      </c>
      <c r="C275" s="61" t="str">
        <f>IF(Weighting!$O$11&gt;0,D275,"")</f>
        <v/>
      </c>
      <c r="D275" t="e">
        <f>Weighting!$C$11</f>
        <v>#DIV/0!</v>
      </c>
      <c r="E275" t="e">
        <f>Weighting!$E$11</f>
        <v>#NUM!</v>
      </c>
      <c r="F275" t="e">
        <f>IF(E275=1,'Data Transformation'!$G$3+0.5*'Data Transformation'!$R$25,IF(E276=1,F276-'Data Transformation'!$R$25,FALSE))</f>
        <v>#NUM!</v>
      </c>
      <c r="G275">
        <f t="array" ref="G275">IF(ISLOGICAL(F275),"",FREQUENCY(IF('Data Transformation'!$B$24:$B$404='Bin Analysis and Plots'!$D$267,'Data Transformation'!$G$24:$G$404),'Bin Analysis and Plots'!F275))</f>
        <v>0</v>
      </c>
      <c r="H275">
        <f t="shared" si="43"/>
        <v>0</v>
      </c>
      <c r="I275">
        <f>Weighting!$G$11</f>
        <v>0</v>
      </c>
      <c r="J275" s="7">
        <f t="array" ref="J275">FREQUENCY(IF('Data Transformation'!$B$4:$B$404=D267,'Data Transformation'!$G$4:$G$404),'Bin Analysis and Plots'!$D275)</f>
        <v>0</v>
      </c>
      <c r="K275" s="7">
        <f t="shared" si="44"/>
        <v>0</v>
      </c>
      <c r="L275" s="7">
        <f t="shared" si="45"/>
        <v>0</v>
      </c>
      <c r="M275" s="22">
        <f>L275*Weighting!$V$11</f>
        <v>0</v>
      </c>
    </row>
    <row r="276" spans="1:13" x14ac:dyDescent="0.25">
      <c r="A276" s="45" t="b">
        <f t="array" ref="A276">IF(ISERROR(INDEX('Data Transformation'!$B$4:$G$450,SMALL(IF('Data Transformation'!$B$4:$B$450='Bin Analysis and Plots'!D267,ROW('Data Transformation'!$B$4:$B$450)),ROW($7:$7))-3,3)),"",INDEX('Data Transformation'!$B$4:$G$450,SMALL(IF('Data Transformation'!$B$4:$B$450='Bin Analysis and Plots'!D267,ROW('Data Transformation'!$B$4:$B$450)),ROW($7:$7))-3,6))</f>
        <v>0</v>
      </c>
      <c r="B276" s="45" t="str">
        <f>IFERROR(SMALL(A270:A289,'Data Transformation'!$L$12),"")</f>
        <v/>
      </c>
      <c r="C276" s="61" t="str">
        <f>IF(Weighting!$O$12&gt;0,D276,"")</f>
        <v/>
      </c>
      <c r="D276" t="e">
        <f>Weighting!$C$12</f>
        <v>#DIV/0!</v>
      </c>
      <c r="E276" t="e">
        <f>Weighting!$E$12</f>
        <v>#NUM!</v>
      </c>
      <c r="F276" t="e">
        <f>IF(E276=1,'Data Transformation'!$G$3+0.5*'Data Transformation'!$R$25,IF(E277=1,F277-'Data Transformation'!$R$25,FALSE))</f>
        <v>#NUM!</v>
      </c>
      <c r="G276">
        <f t="array" ref="G276">IF(ISLOGICAL(F276),"",FREQUENCY(IF('Data Transformation'!$B$24:$B$404='Bin Analysis and Plots'!$D$267,'Data Transformation'!$G$24:$G$404),'Bin Analysis and Plots'!F276))</f>
        <v>0</v>
      </c>
      <c r="H276">
        <f t="shared" si="43"/>
        <v>0</v>
      </c>
      <c r="I276">
        <f>Weighting!$G$12</f>
        <v>0</v>
      </c>
      <c r="J276" s="7">
        <f t="array" ref="J276">FREQUENCY(IF('Data Transformation'!$B$4:$B$404=D267,'Data Transformation'!$G$4:$G$404),'Bin Analysis and Plots'!$D276)</f>
        <v>0</v>
      </c>
      <c r="K276" s="7">
        <f t="shared" si="44"/>
        <v>0</v>
      </c>
      <c r="L276" s="7">
        <f t="shared" si="45"/>
        <v>0</v>
      </c>
      <c r="M276" s="22">
        <f>L276*Weighting!$V$12</f>
        <v>0</v>
      </c>
    </row>
    <row r="277" spans="1:13" x14ac:dyDescent="0.25">
      <c r="A277" s="45" t="b">
        <f t="array" ref="A277">IF(ISERROR(INDEX('Data Transformation'!$B$4:$G$450,SMALL(IF('Data Transformation'!$B$4:$B$450='Bin Analysis and Plots'!D267,ROW('Data Transformation'!$B$4:$B$450)),ROW($8:$8))-3,3)),"",INDEX('Data Transformation'!$B$4:$G$450,SMALL(IF('Data Transformation'!$B$4:$B$450='Bin Analysis and Plots'!D267,ROW('Data Transformation'!$B$4:$B$450)),ROW($8:$8))-3,6))</f>
        <v>0</v>
      </c>
      <c r="B277" s="45" t="str">
        <f>IFERROR(SMALL(A270:A289,'Data Transformation'!$L$13),"")</f>
        <v/>
      </c>
      <c r="C277" s="61" t="str">
        <f>IF(Weighting!$O$13&gt;0,D277,"")</f>
        <v/>
      </c>
      <c r="D277" t="e">
        <f>Weighting!$C$13</f>
        <v>#DIV/0!</v>
      </c>
      <c r="E277" t="e">
        <f>Weighting!$E$13</f>
        <v>#NUM!</v>
      </c>
      <c r="F277" t="e">
        <f>IF(E277=1,'Data Transformation'!$G$3+0.5*'Data Transformation'!$R$25,IF(E278=1,F278-'Data Transformation'!$R$25,FALSE))</f>
        <v>#NUM!</v>
      </c>
      <c r="G277">
        <f t="array" ref="G277">IF(ISLOGICAL(F277),"",FREQUENCY(IF('Data Transformation'!$B$24:$B$404='Bin Analysis and Plots'!$D$267,'Data Transformation'!$G$24:$G$404),'Bin Analysis and Plots'!F277))</f>
        <v>0</v>
      </c>
      <c r="H277">
        <f t="shared" si="43"/>
        <v>0</v>
      </c>
      <c r="I277">
        <f>Weighting!$G$13</f>
        <v>0</v>
      </c>
      <c r="J277" s="7">
        <f t="array" ref="J277">FREQUENCY(IF('Data Transformation'!$B$4:$B$404=D267,'Data Transformation'!$G$4:$G$404),'Bin Analysis and Plots'!$D277)</f>
        <v>0</v>
      </c>
      <c r="K277" s="7">
        <f t="shared" si="44"/>
        <v>0</v>
      </c>
      <c r="L277" s="7">
        <f t="shared" si="45"/>
        <v>0</v>
      </c>
      <c r="M277" s="22">
        <f>L277*Weighting!$V$13</f>
        <v>0</v>
      </c>
    </row>
    <row r="278" spans="1:13" x14ac:dyDescent="0.25">
      <c r="A278" s="45" t="b">
        <f t="array" ref="A278">IF(ISERROR(INDEX('Data Transformation'!$B$4:$G$450,SMALL(IF('Data Transformation'!$B$4:$B$450='Bin Analysis and Plots'!D267,ROW('Data Transformation'!$B$4:$B$450)),ROW($9:$9))-3,3)),"",INDEX('Data Transformation'!$B$4:$G$450,SMALL(IF('Data Transformation'!$B$4:$B$450='Bin Analysis and Plots'!D267,ROW('Data Transformation'!$B$4:$B$450)),ROW($9:$9))-3,6))</f>
        <v>0</v>
      </c>
      <c r="B278" s="45" t="str">
        <f>IFERROR(SMALL(A270:A289,'Data Transformation'!$L$14),"")</f>
        <v/>
      </c>
      <c r="C278" s="61" t="str">
        <f>IF(Weighting!$O$14&gt;0,D278,"")</f>
        <v/>
      </c>
      <c r="D278" t="e">
        <f>Weighting!$C$14</f>
        <v>#DIV/0!</v>
      </c>
      <c r="E278" t="e">
        <f>Weighting!$E$14</f>
        <v>#NUM!</v>
      </c>
      <c r="F278" t="e">
        <f>IF(E278=1,'Data Transformation'!$G$3+0.5*'Data Transformation'!$R$25,IF(E279=1,F279-'Data Transformation'!$R$25,FALSE))</f>
        <v>#NUM!</v>
      </c>
      <c r="G278">
        <f t="array" ref="G278">IF(ISLOGICAL(F278),"",FREQUENCY(IF('Data Transformation'!$B$24:$B$404='Bin Analysis and Plots'!$D$267,'Data Transformation'!$G$24:$G$404),'Bin Analysis and Plots'!F278))</f>
        <v>0</v>
      </c>
      <c r="H278">
        <f t="shared" si="43"/>
        <v>0</v>
      </c>
      <c r="I278">
        <f>Weighting!$G$14</f>
        <v>0</v>
      </c>
      <c r="J278" s="7">
        <f t="array" ref="J278">FREQUENCY(IF('Data Transformation'!$B$4:$B$404=D267,'Data Transformation'!$G$4:$G$404),'Bin Analysis and Plots'!$D278)</f>
        <v>0</v>
      </c>
      <c r="K278" s="7">
        <f t="shared" si="44"/>
        <v>0</v>
      </c>
      <c r="L278" s="7">
        <f t="shared" si="45"/>
        <v>0</v>
      </c>
      <c r="M278" s="22">
        <f>L278*Weighting!$V$14</f>
        <v>0</v>
      </c>
    </row>
    <row r="279" spans="1:13" x14ac:dyDescent="0.25">
      <c r="A279" s="45" t="b">
        <f t="array" ref="A279">IF(ISERROR(INDEX('Data Transformation'!$B$4:$G$450,SMALL(IF('Data Transformation'!$B$4:$B$450='Bin Analysis and Plots'!D267,ROW('Data Transformation'!$B$4:$B$450)),ROW($10:$10))-3,3)),"",INDEX('Data Transformation'!$B$4:$G$450,SMALL(IF('Data Transformation'!$B$4:$B$450='Bin Analysis and Plots'!D267,ROW('Data Transformation'!$B$4:$B$450)),ROW($10:$10))-3,6))</f>
        <v>0</v>
      </c>
      <c r="B279" s="45" t="str">
        <f>IFERROR(SMALL(A270:A289,'Data Transformation'!$L$15),"")</f>
        <v/>
      </c>
      <c r="C279" s="61" t="str">
        <f>IF(Weighting!$O$15&gt;0,D279,"")</f>
        <v/>
      </c>
      <c r="D279" t="e">
        <f>Weighting!$C$15</f>
        <v>#DIV/0!</v>
      </c>
      <c r="E279" t="e">
        <f>Weighting!$E$15</f>
        <v>#NUM!</v>
      </c>
      <c r="F279" t="e">
        <f>IF(E279=1,'Data Transformation'!$G$3+0.5*'Data Transformation'!$R$25,IF(E280=1,F280-'Data Transformation'!$R$25,FALSE))</f>
        <v>#NUM!</v>
      </c>
      <c r="G279">
        <f t="array" ref="G279">IF(ISLOGICAL(F279),"",FREQUENCY(IF('Data Transformation'!$B$24:$B$404='Bin Analysis and Plots'!$D$267,'Data Transformation'!$G$24:$G$404),'Bin Analysis and Plots'!F279))</f>
        <v>0</v>
      </c>
      <c r="H279">
        <f t="shared" si="43"/>
        <v>0</v>
      </c>
      <c r="I279">
        <f>Weighting!$G$15</f>
        <v>0</v>
      </c>
      <c r="J279" s="7">
        <f t="array" ref="J279">FREQUENCY(IF('Data Transformation'!$B$4:$B$404=D267,'Data Transformation'!$G$4:$G$404),'Bin Analysis and Plots'!$D279)</f>
        <v>0</v>
      </c>
      <c r="K279" s="7">
        <f t="shared" si="44"/>
        <v>0</v>
      </c>
      <c r="L279" s="7">
        <f t="shared" si="45"/>
        <v>0</v>
      </c>
      <c r="M279" s="22">
        <f>L279*Weighting!$V$15</f>
        <v>0</v>
      </c>
    </row>
    <row r="280" spans="1:13" x14ac:dyDescent="0.25">
      <c r="A280" s="45" t="b">
        <f t="array" ref="A280">IF(ISERROR(INDEX('Data Transformation'!$B$4:$G$450,SMALL(IF('Data Transformation'!$B$4:$B$450='Bin Analysis and Plots'!D267,ROW('Data Transformation'!$B$4:$B$450)),ROW($11:$11))-3,3)),"",INDEX('Data Transformation'!$B$4:$G$450,SMALL(IF('Data Transformation'!$B$4:$B$450='Bin Analysis and Plots'!D267,ROW('Data Transformation'!$B$4:$B$450)),ROW($11:$11))-3,6))</f>
        <v>0</v>
      </c>
      <c r="B280" s="45" t="str">
        <f>IFERROR(SMALL(A270:A289,'Data Transformation'!$L$16),"")</f>
        <v/>
      </c>
      <c r="C280" s="61" t="str">
        <f>IF(Weighting!$O$16&gt;0,D280,"")</f>
        <v/>
      </c>
      <c r="D280" t="e">
        <f>Weighting!$C$16</f>
        <v>#DIV/0!</v>
      </c>
      <c r="E280" t="e">
        <f>Weighting!$E$16</f>
        <v>#NUM!</v>
      </c>
      <c r="F280" t="e">
        <f>IF(E280=1,'Data Transformation'!$G$3+0.5*'Data Transformation'!$R$25,IF(E281=1,F281-'Data Transformation'!$R$25,FALSE))</f>
        <v>#NUM!</v>
      </c>
      <c r="G280">
        <f t="array" ref="G280">IF(ISLOGICAL(F280),"",FREQUENCY(IF('Data Transformation'!$B$24:$B$404='Bin Analysis and Plots'!$D$267,'Data Transformation'!$G$24:$G$404),'Bin Analysis and Plots'!F280))</f>
        <v>0</v>
      </c>
      <c r="H280">
        <f t="shared" si="43"/>
        <v>0</v>
      </c>
      <c r="I280">
        <f>Weighting!$G$16</f>
        <v>0</v>
      </c>
      <c r="J280" s="7">
        <f t="array" ref="J280">FREQUENCY(IF('Data Transformation'!$B$4:$B$404=D267,'Data Transformation'!$G$4:$G$404),'Bin Analysis and Plots'!$D280)</f>
        <v>0</v>
      </c>
      <c r="K280" s="7">
        <f t="shared" si="44"/>
        <v>0</v>
      </c>
      <c r="L280" s="7">
        <f t="shared" si="45"/>
        <v>0</v>
      </c>
      <c r="M280" s="22">
        <f>L280*Weighting!$V$16</f>
        <v>0</v>
      </c>
    </row>
    <row r="281" spans="1:13" x14ac:dyDescent="0.25">
      <c r="A281" s="45" t="b">
        <f t="array" ref="A281">IF(ISERROR(INDEX('Data Transformation'!$B$4:$G$450,SMALL(IF('Data Transformation'!$B$4:$B$450='Bin Analysis and Plots'!D267,ROW('Data Transformation'!$B$4:$B$450)),ROW($12:$12))-3,3)),"",INDEX('Data Transformation'!$B$4:$G$450,SMALL(IF('Data Transformation'!$B$4:$B$450='Bin Analysis and Plots'!D267,ROW('Data Transformation'!$B$4:$B$450)),ROW($12:$12))-3,6))</f>
        <v>0</v>
      </c>
      <c r="B281" s="45" t="str">
        <f>IFERROR(SMALL(A270:A289,'Data Transformation'!$L$17),"")</f>
        <v/>
      </c>
      <c r="C281" s="61" t="str">
        <f>IF(Weighting!$O$17&gt;0,D281,"")</f>
        <v/>
      </c>
      <c r="D281" t="e">
        <f>Weighting!$C$17</f>
        <v>#DIV/0!</v>
      </c>
      <c r="E281" t="e">
        <f>Weighting!$E$17</f>
        <v>#NUM!</v>
      </c>
      <c r="F281" t="e">
        <f>IF(E281=1,'Data Transformation'!$G$3+0.5*'Data Transformation'!$R$25,IF(E282=1,F282-'Data Transformation'!$R$25,FALSE))</f>
        <v>#NUM!</v>
      </c>
      <c r="G281">
        <f t="array" ref="G281">IF(ISLOGICAL(F281),"",FREQUENCY(IF('Data Transformation'!$B$24:$B$404='Bin Analysis and Plots'!$D$267,'Data Transformation'!$G$24:$G$404),'Bin Analysis and Plots'!F281))</f>
        <v>0</v>
      </c>
      <c r="H281">
        <f t="shared" si="43"/>
        <v>0</v>
      </c>
      <c r="I281">
        <f>Weighting!$G$17</f>
        <v>0</v>
      </c>
      <c r="J281" s="7">
        <f t="array" ref="J281">FREQUENCY(IF('Data Transformation'!$B$4:$B$404=D267,'Data Transformation'!$G$4:$G$404),'Bin Analysis and Plots'!$D281)</f>
        <v>0</v>
      </c>
      <c r="K281" s="7">
        <f t="shared" si="44"/>
        <v>0</v>
      </c>
      <c r="L281" s="7">
        <f t="shared" si="45"/>
        <v>0</v>
      </c>
      <c r="M281" s="22">
        <f>L281*Weighting!$V$17</f>
        <v>0</v>
      </c>
    </row>
    <row r="282" spans="1:13" x14ac:dyDescent="0.25">
      <c r="A282" s="45" t="b">
        <f t="array" ref="A282">IF(ISERROR(INDEX('Data Transformation'!$B$4:$G$450,SMALL(IF('Data Transformation'!$B$4:$B$450='Bin Analysis and Plots'!D267,ROW('Data Transformation'!$B$4:$B$450)),ROW($13:$13))-3,3)),"",INDEX('Data Transformation'!$B$4:$G$450,SMALL(IF('Data Transformation'!$B$4:$B$450='Bin Analysis and Plots'!D267,ROW('Data Transformation'!$B$4:$B$450)),ROW($13:$13))-3,6))</f>
        <v>0</v>
      </c>
      <c r="B282" s="45" t="str">
        <f>IFERROR(SMALL(A270:A289,'Data Transformation'!$L$18),"")</f>
        <v/>
      </c>
      <c r="C282" s="61" t="str">
        <f>IF(Weighting!$O$18&gt;0,D282,"")</f>
        <v/>
      </c>
      <c r="D282" t="e">
        <f>Weighting!$C$18</f>
        <v>#DIV/0!</v>
      </c>
      <c r="E282" t="e">
        <f>Weighting!$E$18</f>
        <v>#NUM!</v>
      </c>
      <c r="F282" t="e">
        <f>IF(E282=1,'Data Transformation'!$G$3+0.5*'Data Transformation'!$R$25,IF(E283=1,F283-'Data Transformation'!$R$25,FALSE))</f>
        <v>#NUM!</v>
      </c>
      <c r="G282">
        <f t="array" ref="G282">IF(ISLOGICAL(F282),"",FREQUENCY(IF('Data Transformation'!$B$24:$B$404='Bin Analysis and Plots'!$D$267,'Data Transformation'!$G$24:$G$404),'Bin Analysis and Plots'!F282))</f>
        <v>0</v>
      </c>
      <c r="H282">
        <f t="shared" si="43"/>
        <v>0</v>
      </c>
      <c r="I282">
        <f>Weighting!$G$18</f>
        <v>0</v>
      </c>
      <c r="J282" s="7">
        <f t="array" ref="J282">FREQUENCY(IF('Data Transformation'!$B$4:$B$404=D267,'Data Transformation'!$G$4:$G$404),'Bin Analysis and Plots'!$D282)</f>
        <v>0</v>
      </c>
      <c r="K282" s="7">
        <f t="shared" si="44"/>
        <v>0</v>
      </c>
      <c r="L282" s="7">
        <f t="shared" si="45"/>
        <v>0</v>
      </c>
      <c r="M282" s="22">
        <f>L282*Weighting!$V$18</f>
        <v>0</v>
      </c>
    </row>
    <row r="283" spans="1:13" x14ac:dyDescent="0.25">
      <c r="A283" s="45" t="b">
        <f t="array" ref="A283">IF(ISERROR(INDEX('Data Transformation'!$B$4:$G$450,SMALL(IF('Data Transformation'!$B$4:$B$450='Bin Analysis and Plots'!D267,ROW('Data Transformation'!$B$4:$B$450)),ROW($14:$14))-3,3)),"",INDEX('Data Transformation'!$B$4:$G$450,SMALL(IF('Data Transformation'!$B$4:$B$450='Bin Analysis and Plots'!D267,ROW('Data Transformation'!$B$4:$B$450)),ROW($14:$14))-3,6))</f>
        <v>0</v>
      </c>
      <c r="B283" s="45" t="str">
        <f>IFERROR(SMALL(A270:A289,'Data Transformation'!$L$19),"")</f>
        <v/>
      </c>
      <c r="C283" s="61" t="str">
        <f>IF(Weighting!$O$19&gt;0,D283,"")</f>
        <v/>
      </c>
      <c r="D283" t="e">
        <f>Weighting!$C$19</f>
        <v>#DIV/0!</v>
      </c>
      <c r="E283" t="e">
        <f>Weighting!$E$19</f>
        <v>#NUM!</v>
      </c>
      <c r="F283" t="e">
        <f>IF(E283=1,'Data Transformation'!$G$3+0.5*'Data Transformation'!$R$25,IF(E284=1,F284-'Data Transformation'!$R$25,FALSE))</f>
        <v>#NUM!</v>
      </c>
      <c r="G283">
        <f t="array" ref="G283">IF(ISLOGICAL(F283),"",FREQUENCY(IF('Data Transformation'!$B$24:$B$404='Bin Analysis and Plots'!$D$267,'Data Transformation'!$G$24:$G$404),'Bin Analysis and Plots'!F283))</f>
        <v>0</v>
      </c>
      <c r="H283">
        <f t="shared" si="43"/>
        <v>0</v>
      </c>
      <c r="I283">
        <f>Weighting!$G$19</f>
        <v>0</v>
      </c>
      <c r="J283" s="7">
        <f t="array" ref="J283">FREQUENCY(IF('Data Transformation'!$B$4:$B$404=D267,'Data Transformation'!$G$4:$G$404),'Bin Analysis and Plots'!$D283)</f>
        <v>0</v>
      </c>
      <c r="K283" s="7">
        <f t="shared" si="44"/>
        <v>0</v>
      </c>
      <c r="L283" s="7">
        <f t="shared" si="45"/>
        <v>0</v>
      </c>
      <c r="M283" s="22">
        <f>L283*Weighting!$V$19</f>
        <v>0</v>
      </c>
    </row>
    <row r="284" spans="1:13" x14ac:dyDescent="0.25">
      <c r="A284" s="45" t="b">
        <f t="array" ref="A284">IF(ISERROR(INDEX('Data Transformation'!$B$4:$G$450,SMALL(IF('Data Transformation'!$B$4:$B$450='Bin Analysis and Plots'!D267,ROW('Data Transformation'!$B$4:$B$450)),ROW($15:$15))-3,3)),"",INDEX('Data Transformation'!$B$4:$G$450,SMALL(IF('Data Transformation'!$B$4:$B$450='Bin Analysis and Plots'!D267,ROW('Data Transformation'!$B$4:$B$450)),ROW($15:$15))-3,6))</f>
        <v>0</v>
      </c>
      <c r="B284" s="45" t="str">
        <f>IFERROR(SMALL(A270:A289,'Data Transformation'!$L$20),"")</f>
        <v/>
      </c>
      <c r="C284" s="61" t="str">
        <f>IF(Weighting!$O$20&gt;0,D284,"")</f>
        <v/>
      </c>
      <c r="D284" t="e">
        <f>Weighting!$C$20</f>
        <v>#DIV/0!</v>
      </c>
      <c r="E284" t="e">
        <f>Weighting!$E$20</f>
        <v>#NUM!</v>
      </c>
      <c r="F284" t="e">
        <f>IF(E284=1,'Data Transformation'!$G$3+0.5*'Data Transformation'!$R$25,IF(E285=1,F285-'Data Transformation'!$R$25,FALSE))</f>
        <v>#NUM!</v>
      </c>
      <c r="G284">
        <f t="array" ref="G284">IF(ISLOGICAL(F284),"",FREQUENCY(IF('Data Transformation'!$B$24:$B$404='Bin Analysis and Plots'!$D$267,'Data Transformation'!$G$24:$G$404),'Bin Analysis and Plots'!F284))</f>
        <v>0</v>
      </c>
      <c r="H284">
        <f t="shared" si="43"/>
        <v>0</v>
      </c>
      <c r="I284">
        <f>Weighting!$G$20</f>
        <v>0</v>
      </c>
      <c r="J284" s="7">
        <f t="array" ref="J284">FREQUENCY(IF('Data Transformation'!$B$4:$B$404=D267,'Data Transformation'!$G$4:$G$404),'Bin Analysis and Plots'!$D284)</f>
        <v>0</v>
      </c>
      <c r="K284" s="7">
        <f t="shared" si="44"/>
        <v>0</v>
      </c>
      <c r="L284" s="7">
        <f t="shared" si="45"/>
        <v>0</v>
      </c>
      <c r="M284" s="22">
        <f>L284*Weighting!$V$20</f>
        <v>0</v>
      </c>
    </row>
    <row r="285" spans="1:13" x14ac:dyDescent="0.25">
      <c r="A285" s="45" t="b">
        <f t="array" ref="A285">IF(ISERROR(INDEX('Data Transformation'!$B$4:$G$450,SMALL(IF('Data Transformation'!$B$4:$B$450='Bin Analysis and Plots'!D267,ROW('Data Transformation'!$B$4:$B$450)),ROW($16:$16))-3,3)),"",INDEX('Data Transformation'!$B$4:$G$450,SMALL(IF('Data Transformation'!$B$4:$B$450='Bin Analysis and Plots'!D267,ROW('Data Transformation'!$B$4:$B$450)),ROW($16:$16))-3,6))</f>
        <v>0</v>
      </c>
      <c r="B285" s="45" t="str">
        <f>IFERROR(SMALL(A270:A289,'Data Transformation'!$L$21),"")</f>
        <v/>
      </c>
      <c r="C285" s="61" t="str">
        <f>IF(Weighting!$O$21&gt;0,D285,"")</f>
        <v/>
      </c>
      <c r="D285" t="e">
        <f>Weighting!$C$21</f>
        <v>#DIV/0!</v>
      </c>
      <c r="E285" t="e">
        <f>Weighting!$E$21</f>
        <v>#NUM!</v>
      </c>
      <c r="F285" t="e">
        <f>IF(E285=1,'Data Transformation'!$G$3+0.5*'Data Transformation'!$R$25,IF(E286=1,F286-'Data Transformation'!$R$25,FALSE))</f>
        <v>#NUM!</v>
      </c>
      <c r="G285">
        <f t="array" ref="G285">IF(ISLOGICAL(F285),"",FREQUENCY(IF('Data Transformation'!$B$24:$B$404='Bin Analysis and Plots'!$D$267,'Data Transformation'!$G$24:$G$404),'Bin Analysis and Plots'!F285))</f>
        <v>0</v>
      </c>
      <c r="H285">
        <f t="shared" si="43"/>
        <v>0</v>
      </c>
      <c r="I285">
        <f>Weighting!$G$21</f>
        <v>0</v>
      </c>
      <c r="J285" s="7">
        <f t="array" ref="J285">FREQUENCY(IF('Data Transformation'!$B$4:$B$404=D267,'Data Transformation'!$G$4:$G$404),'Bin Analysis and Plots'!$D285)</f>
        <v>0</v>
      </c>
      <c r="K285" s="7">
        <f t="shared" si="44"/>
        <v>0</v>
      </c>
      <c r="L285" s="7">
        <f t="shared" si="45"/>
        <v>0</v>
      </c>
      <c r="M285" s="22">
        <f>L285*Weighting!$V$21</f>
        <v>0</v>
      </c>
    </row>
    <row r="286" spans="1:13" x14ac:dyDescent="0.25">
      <c r="A286" s="45" t="b">
        <f t="array" ref="A286">IF(ISERROR(INDEX('Data Transformation'!$B$4:$G$450,SMALL(IF('Data Transformation'!$B$4:$B$450='Bin Analysis and Plots'!D267,ROW('Data Transformation'!$B$4:$B$450)),ROW($17:$17))-3,3)),"",INDEX('Data Transformation'!$B$4:$G$450,SMALL(IF('Data Transformation'!$B$4:$B$450='Bin Analysis and Plots'!D267,ROW('Data Transformation'!$B$4:$B$450)),ROW($17:$17))-3,6))</f>
        <v>0</v>
      </c>
      <c r="B286" s="45" t="str">
        <f>IFERROR(SMALL(A270:A289,'Data Transformation'!$L$22),"")</f>
        <v/>
      </c>
      <c r="C286" s="61" t="str">
        <f>IF(Weighting!$O$22&gt;0,D286,"")</f>
        <v/>
      </c>
      <c r="D286" t="e">
        <f>Weighting!$C$22</f>
        <v>#DIV/0!</v>
      </c>
      <c r="E286" t="e">
        <f>Weighting!$E$22</f>
        <v>#NUM!</v>
      </c>
      <c r="F286" t="e">
        <f>IF(E286=1,'Data Transformation'!$G$3+0.5*'Data Transformation'!$R$25,IF(E287=1,F287-'Data Transformation'!$R$25,FALSE))</f>
        <v>#NUM!</v>
      </c>
      <c r="G286">
        <f t="array" ref="G286">IF(ISLOGICAL(F286),"",FREQUENCY(IF('Data Transformation'!$B$24:$B$404='Bin Analysis and Plots'!$D$267,'Data Transformation'!$G$24:$G$404),'Bin Analysis and Plots'!F286))</f>
        <v>0</v>
      </c>
      <c r="H286">
        <f t="shared" si="43"/>
        <v>0</v>
      </c>
      <c r="I286">
        <f>Weighting!$G$22</f>
        <v>0</v>
      </c>
      <c r="J286" s="7">
        <f t="array" ref="J286">FREQUENCY(IF('Data Transformation'!$B$4:$B$404=D267,'Data Transformation'!$G$4:$G$404),'Bin Analysis and Plots'!$D286)</f>
        <v>0</v>
      </c>
      <c r="K286" s="7">
        <f t="shared" si="44"/>
        <v>0</v>
      </c>
      <c r="L286" s="7">
        <f t="shared" si="45"/>
        <v>0</v>
      </c>
      <c r="M286" s="22">
        <f>L286*Weighting!$V$22</f>
        <v>0</v>
      </c>
    </row>
    <row r="287" spans="1:13" x14ac:dyDescent="0.25">
      <c r="A287" s="45" t="b">
        <f t="array" ref="A287">IF(ISERROR(INDEX('Data Transformation'!$B$4:$G$450,SMALL(IF('Data Transformation'!$B$4:$B$450='Bin Analysis and Plots'!D267,ROW('Data Transformation'!$B$4:$B$450)),ROW($18:$18))-3,3)),"",INDEX('Data Transformation'!$B$4:$G$450,SMALL(IF('Data Transformation'!$B$4:$B$450='Bin Analysis and Plots'!D267,ROW('Data Transformation'!$B$4:$B$450)),ROW($18:$18))-3,6))</f>
        <v>0</v>
      </c>
      <c r="B287" s="45" t="str">
        <f>IFERROR(SMALL(A270:A289,'Data Transformation'!$L$23),"")</f>
        <v/>
      </c>
      <c r="C287" s="61" t="str">
        <f>IF(Weighting!$O$23&gt;0,D287,"")</f>
        <v/>
      </c>
      <c r="D287" t="e">
        <f>Weighting!$C$23</f>
        <v>#DIV/0!</v>
      </c>
      <c r="E287" t="e">
        <f>Weighting!$E$23</f>
        <v>#NUM!</v>
      </c>
      <c r="F287" t="e">
        <f>IF(E287=1,'Data Transformation'!$G$3+0.5*'Data Transformation'!$R$25,IF(E288=1,F288-'Data Transformation'!$R$25,FALSE))</f>
        <v>#NUM!</v>
      </c>
      <c r="G287">
        <f t="array" ref="G287">IF(ISLOGICAL(F287),"",FREQUENCY(IF('Data Transformation'!$B$24:$B$404='Bin Analysis and Plots'!$D$267,'Data Transformation'!$G$24:$G$404),'Bin Analysis and Plots'!F287))</f>
        <v>0</v>
      </c>
      <c r="H287">
        <f t="shared" si="43"/>
        <v>0</v>
      </c>
      <c r="I287">
        <f>Weighting!$G$23</f>
        <v>0</v>
      </c>
      <c r="J287" s="7">
        <f t="array" ref="J287">FREQUENCY(IF('Data Transformation'!$B$4:$B$404=D267,'Data Transformation'!$G$4:$G$404),'Bin Analysis and Plots'!$D287)</f>
        <v>0</v>
      </c>
      <c r="K287" s="7">
        <f t="shared" si="44"/>
        <v>0</v>
      </c>
      <c r="L287" s="7">
        <f t="shared" si="45"/>
        <v>0</v>
      </c>
      <c r="M287" s="22">
        <f>L287*Weighting!$V$23</f>
        <v>0</v>
      </c>
    </row>
    <row r="288" spans="1:13" x14ac:dyDescent="0.25">
      <c r="A288" s="45" t="str">
        <f>IF(ISERROR(INDEX('Data Transformation'!$B$4:$G$450,SMALL(IF('Data Transformation'!$B$4:$B$450='Bin Analysis and Plots'!D267,ROW('Data Transformation'!$B$4:$B$450)),ROW($19:$19))-3,3)),"",INDEX('Data Transformation'!$B$4:$G$450,SMALL(IF('Data Transformation'!$B$4:$B$450='Bin Analysis and Plots'!D267,ROW('Data Transformation'!$B$4:$B$450)),ROW($19:$19))-3,6))</f>
        <v/>
      </c>
      <c r="B288" s="45" t="str">
        <f>IFERROR(SMALL(A270:A289,'Data Transformation'!$L$24),"")</f>
        <v/>
      </c>
      <c r="C288" s="61" t="str">
        <f>IF(Weighting!$O$24&gt;0,D288,"")</f>
        <v/>
      </c>
      <c r="D288" t="e">
        <f>Weighting!$C$24</f>
        <v>#DIV/0!</v>
      </c>
      <c r="E288" t="e">
        <f>Weighting!$E$24</f>
        <v>#NUM!</v>
      </c>
      <c r="F288" t="e">
        <f>IF(E288=1,'Data Transformation'!$G$3+0.5*'Data Transformation'!$R$25,IF(E289=1,F289-'Data Transformation'!$R$25,FALSE))</f>
        <v>#NUM!</v>
      </c>
      <c r="G288">
        <f t="array" ref="G288">IF(ISLOGICAL(F288),"",FREQUENCY(IF('Data Transformation'!$B$24:$B$404='Bin Analysis and Plots'!$D$267,'Data Transformation'!$G$24:$G$404),'Bin Analysis and Plots'!F288))</f>
        <v>0</v>
      </c>
      <c r="H288">
        <f t="shared" si="43"/>
        <v>0</v>
      </c>
      <c r="I288">
        <f>Weighting!$G$24</f>
        <v>0</v>
      </c>
      <c r="J288" s="7">
        <f t="array" ref="J288">FREQUENCY(IF('Data Transformation'!$B$4:$B$404=D267,'Data Transformation'!$G$4:$G$404),'Bin Analysis and Plots'!$D288)</f>
        <v>0</v>
      </c>
      <c r="K288" s="7">
        <f t="shared" si="44"/>
        <v>0</v>
      </c>
      <c r="L288" s="7">
        <f t="shared" si="45"/>
        <v>0</v>
      </c>
      <c r="M288" s="22">
        <f>L288*Weighting!$V$24</f>
        <v>0</v>
      </c>
    </row>
    <row r="289" spans="1:20" x14ac:dyDescent="0.25">
      <c r="A289" s="45" t="b">
        <f t="array" ref="A289">IF(ISERROR(INDEX('Data Transformation'!$B$4:$G$450,SMALL(IF('Data Transformation'!$B$4:$B$450='Bin Analysis and Plots'!D267,ROW('Data Transformation'!$B$4:$B$450)),ROW($20:$20))-3,3)),"",INDEX('Data Transformation'!$B$4:$G$450,SMALL(IF('Data Transformation'!$B$4:$B$450='Bin Analysis and Plots'!D267,ROW('Data Transformation'!$B$4:$B$450)),ROW($20:$20))-3,6))</f>
        <v>0</v>
      </c>
      <c r="B289" s="45" t="str">
        <f>IFERROR(SMALL(A270:A289,'Data Transformation'!$L$25),"")</f>
        <v/>
      </c>
      <c r="C289" s="61" t="str">
        <f>IF(Weighting!$O$25&gt;0,D289,"")</f>
        <v/>
      </c>
      <c r="D289" t="e">
        <f>Weighting!$C$25</f>
        <v>#DIV/0!</v>
      </c>
      <c r="E289" t="e">
        <f>Weighting!$E$25</f>
        <v>#NUM!</v>
      </c>
      <c r="F289" t="e">
        <f>IF(E289=1,'Data Transformation'!$G$3+0.5*'Data Transformation'!$R$25,IF(E290=1,F290-'Data Transformation'!$R$25,FALSE))</f>
        <v>#NUM!</v>
      </c>
      <c r="G289">
        <f t="array" ref="G289">IF(ISLOGICAL(F289),"",FREQUENCY(IF('Data Transformation'!$B$24:$B$404='Bin Analysis and Plots'!$D$267,'Data Transformation'!$G$24:$G$404),'Bin Analysis and Plots'!F289))</f>
        <v>0</v>
      </c>
      <c r="H289">
        <f t="shared" si="43"/>
        <v>0</v>
      </c>
      <c r="I289">
        <f>Weighting!$G$25</f>
        <v>0</v>
      </c>
      <c r="J289" s="7">
        <f t="array" ref="J289">FREQUENCY(IF('Data Transformation'!$B$4:$B$404=D267,'Data Transformation'!$G$4:$G$404),'Bin Analysis and Plots'!$D289)</f>
        <v>0</v>
      </c>
      <c r="K289" s="7">
        <f t="shared" si="44"/>
        <v>0</v>
      </c>
      <c r="L289" s="7">
        <f t="shared" si="45"/>
        <v>0</v>
      </c>
      <c r="M289" s="22">
        <f>L289*Weighting!$V$25</f>
        <v>0</v>
      </c>
    </row>
    <row r="290" spans="1:20" x14ac:dyDescent="0.25">
      <c r="C290" s="60" t="str">
        <f t="shared" si="42"/>
        <v/>
      </c>
    </row>
    <row r="291" spans="1:20" ht="23.25" x14ac:dyDescent="0.35">
      <c r="C291" s="46" t="s">
        <v>0</v>
      </c>
      <c r="D291" s="46" t="str">
        <f>'Input and Summary Results'!G19</f>
        <v xml:space="preserve"> </v>
      </c>
      <c r="E291" s="46"/>
      <c r="F291" s="46"/>
      <c r="G291" s="46"/>
      <c r="H291" s="46"/>
      <c r="I291" s="46"/>
      <c r="J291" s="47"/>
      <c r="K291" s="47"/>
      <c r="L291" s="47"/>
      <c r="M291" s="46"/>
      <c r="N291" s="46"/>
      <c r="O291" s="57" t="e">
        <f>INDEX('Data Transformation'!$O$4:$O$25,MATCH($D291,'Data Transformation'!$M$4:$M$25,0),MATCH($O$2,'Data Transformation'!$O$3,0))</f>
        <v>#N/A</v>
      </c>
      <c r="P291" s="52" t="e">
        <f>IF(O291=FALSE,NA(),(VLOOKUP(1,E294:M313,4,FALSE))/(O291-1))</f>
        <v>#N/A</v>
      </c>
      <c r="Q291" s="52" t="e">
        <f>IF(O291=FALSE,NA(),SUM(L294:L313)/Weighting!$R$5)</f>
        <v>#N/A</v>
      </c>
      <c r="R291" s="52" t="e">
        <f>IF(O291=FALSE,NA(),SUM(M294:M313)/Weighting!$R$6)</f>
        <v>#N/A</v>
      </c>
      <c r="S291" s="52" t="e">
        <f>IF(O291=FALSE,NA(),(VLOOKUP(1,I294:M313,3,FALSE))/(O291-1))</f>
        <v>#N/A</v>
      </c>
      <c r="T291" s="57" t="e">
        <f>IF(O291=FALSE,NA(),IF(SUM(L294:L313)=2,"yes","no"))</f>
        <v>#N/A</v>
      </c>
    </row>
    <row r="292" spans="1:20" x14ac:dyDescent="0.25">
      <c r="A292" s="96" t="s">
        <v>64</v>
      </c>
      <c r="B292" s="96"/>
      <c r="C292" s="58" t="s">
        <v>72</v>
      </c>
      <c r="D292" t="s">
        <v>50</v>
      </c>
      <c r="E292" t="s">
        <v>5</v>
      </c>
      <c r="I292" t="s">
        <v>75</v>
      </c>
      <c r="J292" s="7" t="s">
        <v>34</v>
      </c>
      <c r="K292" s="7" t="s">
        <v>35</v>
      </c>
      <c r="L292" s="7" t="s">
        <v>49</v>
      </c>
      <c r="M292" s="21" t="s">
        <v>48</v>
      </c>
    </row>
    <row r="293" spans="1:20" x14ac:dyDescent="0.25">
      <c r="C293" s="60" t="str">
        <f t="shared" ref="C293:C314" si="46">IF(B293="","",D293)</f>
        <v/>
      </c>
      <c r="F293" t="e">
        <f>IF(E293=1,'Data Transformation'!$G$3+0.5*'Data Transformation'!$R$25,IF(E294=1,F294-'Data Transformation'!$R$25,FALSE))</f>
        <v>#NUM!</v>
      </c>
      <c r="G293">
        <f t="array" ref="G293">IF(ISLOGICAL(F293),"",FREQUENCY(IF('Data Transformation'!$B$24:$B$404='Bin Analysis and Plots'!$D$291,'Data Transformation'!$G$24:$G$404),'Bin Analysis and Plots'!F293))</f>
        <v>0</v>
      </c>
      <c r="H293">
        <f>IF(ISLOGICAL(F293),"",G293-G292)</f>
        <v>0</v>
      </c>
    </row>
    <row r="294" spans="1:20" x14ac:dyDescent="0.25">
      <c r="A294" s="45" t="b">
        <f t="array" ref="A294">IF(ISERROR(INDEX('Data Transformation'!$B$4:$G$450,SMALL(IF('Data Transformation'!$B$4:$B$450='Bin Analysis and Plots'!D291,ROW('Data Transformation'!$B$4:$B$450)),ROW($1:$1))-3,3)),"",INDEX('Data Transformation'!$B$4:$G$450,SMALL(IF('Data Transformation'!$B$4:$B$450='Bin Analysis and Plots'!D291,ROW('Data Transformation'!$B$4:$B$450)),ROW($1:$1))-3,6))</f>
        <v>0</v>
      </c>
      <c r="B294" s="45" t="str">
        <f>IFERROR(SMALL(A294:A313,'Data Transformation'!$L$6),"")</f>
        <v/>
      </c>
      <c r="C294" s="61" t="e">
        <f>IF(Weighting!$O$6&gt;0,D294,"")</f>
        <v>#NUM!</v>
      </c>
      <c r="D294" t="e">
        <f>Weighting!$C$6</f>
        <v>#DIV/0!</v>
      </c>
      <c r="E294" t="e">
        <f>Weighting!$E$6</f>
        <v>#NUM!</v>
      </c>
      <c r="F294" t="e">
        <f>IF(E294=1,'Data Transformation'!$G$3+0.5*'Data Transformation'!$R$25,IF(E295=1,F295-'Data Transformation'!$R$25,FALSE))</f>
        <v>#NUM!</v>
      </c>
      <c r="G294">
        <f t="array" ref="G294">IF(ISLOGICAL(F294),"",FREQUENCY(IF('Data Transformation'!$B$24:$B$404='Bin Analysis and Plots'!$D$291,'Data Transformation'!$G$24:$G$404),'Bin Analysis and Plots'!F294))</f>
        <v>0</v>
      </c>
      <c r="H294">
        <f>IF(ISLOGICAL(F294),"",G294-G293)</f>
        <v>0</v>
      </c>
      <c r="I294">
        <f>Weighting!$G$6</f>
        <v>1</v>
      </c>
      <c r="J294" s="7">
        <f t="array" ref="J294">FREQUENCY(IF('Data Transformation'!$B$4:$B$404=D291,'Data Transformation'!$G$4:$G$404),'Bin Analysis and Plots'!$D294)</f>
        <v>0</v>
      </c>
      <c r="K294" s="7">
        <f>J294-J293</f>
        <v>0</v>
      </c>
      <c r="L294" s="7">
        <f>IF(K294=0,0,1)</f>
        <v>0</v>
      </c>
      <c r="M294" s="22" t="e">
        <f>L294*Weighting!$V$6</f>
        <v>#NUM!</v>
      </c>
    </row>
    <row r="295" spans="1:20" x14ac:dyDescent="0.25">
      <c r="A295" s="45" t="b">
        <f t="array" ref="A295">IF(ISERROR(INDEX('Data Transformation'!$B$4:$G$450,SMALL(IF('Data Transformation'!$B$4:$B$450='Bin Analysis and Plots'!D291,ROW('Data Transformation'!$B$4:$B$450)),ROW($2:$2))-3,3)),"",INDEX('Data Transformation'!$B$4:$G$450,SMALL(IF('Data Transformation'!$B$4:$B$450='Bin Analysis and Plots'!D291,ROW('Data Transformation'!$B$4:$B$450)),ROW($2:$2))-3,6))</f>
        <v>0</v>
      </c>
      <c r="B295" s="45" t="str">
        <f>IFERROR(SMALL(A294:A313,'Data Transformation'!$L$7),"")</f>
        <v/>
      </c>
      <c r="C295" s="61" t="str">
        <f>IF(Weighting!$O$7&gt;0,D295,"")</f>
        <v/>
      </c>
      <c r="D295" t="e">
        <f>Weighting!$C$7</f>
        <v>#DIV/0!</v>
      </c>
      <c r="E295" t="e">
        <f>Weighting!$E$7</f>
        <v>#NUM!</v>
      </c>
      <c r="F295" t="e">
        <f>IF(E295=1,'Data Transformation'!$G$3+0.5*'Data Transformation'!$R$25,IF(E296=1,F296-'Data Transformation'!$R$25,FALSE))</f>
        <v>#NUM!</v>
      </c>
      <c r="G295">
        <f t="array" ref="G295">IF(ISLOGICAL(F295),"",FREQUENCY(IF('Data Transformation'!$B$24:$B$404='Bin Analysis and Plots'!$D$291,'Data Transformation'!$G$24:$G$404),'Bin Analysis and Plots'!F295))</f>
        <v>0</v>
      </c>
      <c r="H295">
        <f t="shared" ref="H295:H313" si="47">IF(ISLOGICAL(F295),"",G295-G294)</f>
        <v>0</v>
      </c>
      <c r="I295">
        <f>Weighting!$G$7</f>
        <v>0</v>
      </c>
      <c r="J295" s="7">
        <f t="array" ref="J295">FREQUENCY(IF('Data Transformation'!$B$4:$B$404=D291,'Data Transformation'!$G$4:$G$404),'Bin Analysis and Plots'!$D295)</f>
        <v>0</v>
      </c>
      <c r="K295" s="7">
        <f t="shared" ref="K295:K313" si="48">J295-J294</f>
        <v>0</v>
      </c>
      <c r="L295" s="7">
        <f>IF(K295=0,0,1)</f>
        <v>0</v>
      </c>
      <c r="M295" s="22">
        <f>L295*Weighting!$V$7</f>
        <v>0</v>
      </c>
    </row>
    <row r="296" spans="1:20" x14ac:dyDescent="0.25">
      <c r="A296" s="45" t="b">
        <f t="array" ref="A296">IF(ISERROR(INDEX('Data Transformation'!$B$4:$G$450,SMALL(IF('Data Transformation'!$B$4:$B$450='Bin Analysis and Plots'!D291,ROW('Data Transformation'!$B$4:$B$450)),ROW($3:$3))-3,3)),"",INDEX('Data Transformation'!$B$4:$G$450,SMALL(IF('Data Transformation'!$B$4:$B$450='Bin Analysis and Plots'!D291,ROW('Data Transformation'!$B$4:$B$450)),ROW($3:$3))-3,6))</f>
        <v>0</v>
      </c>
      <c r="B296" s="45" t="str">
        <f>IFERROR(SMALL(A294:A313,'Data Transformation'!$L$8),"")</f>
        <v/>
      </c>
      <c r="C296" s="61" t="str">
        <f>IF(Weighting!$O$8&gt;0,D296,"")</f>
        <v/>
      </c>
      <c r="D296" t="e">
        <f>Weighting!$C$8</f>
        <v>#DIV/0!</v>
      </c>
      <c r="E296" t="e">
        <f>Weighting!$E$8</f>
        <v>#NUM!</v>
      </c>
      <c r="F296" t="e">
        <f>IF(E296=1,'Data Transformation'!$G$3+0.5*'Data Transformation'!$R$25,IF(E297=1,F297-'Data Transformation'!$R$25,FALSE))</f>
        <v>#NUM!</v>
      </c>
      <c r="G296">
        <f t="array" ref="G296">IF(ISLOGICAL(F296),"",FREQUENCY(IF('Data Transformation'!$B$24:$B$404='Bin Analysis and Plots'!$D$291,'Data Transformation'!$G$24:$G$404),'Bin Analysis and Plots'!F296))</f>
        <v>0</v>
      </c>
      <c r="H296">
        <f t="shared" si="47"/>
        <v>0</v>
      </c>
      <c r="I296">
        <f>Weighting!$G$8</f>
        <v>0</v>
      </c>
      <c r="J296" s="7">
        <f t="array" ref="J296">FREQUENCY(IF('Data Transformation'!$B$4:$B$404=D291,'Data Transformation'!$G$4:$G$404),'Bin Analysis and Plots'!$D296)</f>
        <v>0</v>
      </c>
      <c r="K296" s="7">
        <f t="shared" si="48"/>
        <v>0</v>
      </c>
      <c r="L296" s="7">
        <f t="shared" ref="L296:L313" si="49">IF(K296=0,0,1)</f>
        <v>0</v>
      </c>
      <c r="M296" s="22">
        <f>L296*Weighting!$V$8</f>
        <v>0</v>
      </c>
    </row>
    <row r="297" spans="1:20" x14ac:dyDescent="0.25">
      <c r="A297" s="45" t="b">
        <f t="array" ref="A297">IF(ISERROR(INDEX('Data Transformation'!$B$4:$G$450,SMALL(IF('Data Transformation'!$B$4:$B$450='Bin Analysis and Plots'!D291,ROW('Data Transformation'!$B$4:$B$450)),ROW($4:$4))-3,3)),"",INDEX('Data Transformation'!$B$4:$G$450,SMALL(IF('Data Transformation'!$B$4:$B$450='Bin Analysis and Plots'!D291,ROW('Data Transformation'!$B$4:$B$450)),ROW($4:$4))-3,6))</f>
        <v>0</v>
      </c>
      <c r="B297" s="45" t="str">
        <f>IFERROR(SMALL(A294:A313,'Data Transformation'!$L$9),"")</f>
        <v/>
      </c>
      <c r="C297" s="61" t="str">
        <f>IF(Weighting!$O$9&gt;0,D297,"")</f>
        <v/>
      </c>
      <c r="D297" t="e">
        <f>Weighting!$B$9</f>
        <v>#DIV/0!</v>
      </c>
      <c r="E297" t="e">
        <f>Weighting!$E$9</f>
        <v>#NUM!</v>
      </c>
      <c r="F297" t="e">
        <f>IF(E297=1,'Data Transformation'!$G$3+0.5*'Data Transformation'!$R$25,IF(E298=1,F298-'Data Transformation'!$R$25,FALSE))</f>
        <v>#NUM!</v>
      </c>
      <c r="G297">
        <f t="array" ref="G297">IF(ISLOGICAL(F297),"",FREQUENCY(IF('Data Transformation'!$B$24:$B$404='Bin Analysis and Plots'!$D$291,'Data Transformation'!$G$24:$G$404),'Bin Analysis and Plots'!F297))</f>
        <v>0</v>
      </c>
      <c r="H297">
        <f t="shared" si="47"/>
        <v>0</v>
      </c>
      <c r="I297">
        <f>Weighting!$G$9</f>
        <v>0</v>
      </c>
      <c r="J297" s="7">
        <f t="array" ref="J297">FREQUENCY(IF('Data Transformation'!$B$4:$B$404=D291,'Data Transformation'!$G$4:$G$404),'Bin Analysis and Plots'!$D297)</f>
        <v>0</v>
      </c>
      <c r="K297" s="7">
        <f t="shared" si="48"/>
        <v>0</v>
      </c>
      <c r="L297" s="7">
        <f t="shared" si="49"/>
        <v>0</v>
      </c>
      <c r="M297" s="22">
        <f>L297*Weighting!$V$9</f>
        <v>0</v>
      </c>
    </row>
    <row r="298" spans="1:20" x14ac:dyDescent="0.25">
      <c r="A298" s="45" t="b">
        <f t="array" ref="A298">IF(ISERROR(INDEX('Data Transformation'!$B$4:$G$450,SMALL(IF('Data Transformation'!$B$4:$B$450='Bin Analysis and Plots'!D291,ROW('Data Transformation'!$B$4:$B$450)),ROW($5:$5))-3,3)),"",INDEX('Data Transformation'!$B$4:$G$450,SMALL(IF('Data Transformation'!$B$4:$B$450='Bin Analysis and Plots'!D291,ROW('Data Transformation'!$B$4:$B$450)),ROW($5:$5))-3,6))</f>
        <v>0</v>
      </c>
      <c r="B298" s="45" t="str">
        <f>IFERROR(SMALL(A294:A313,'Data Transformation'!$L$10),"")</f>
        <v/>
      </c>
      <c r="C298" s="61" t="str">
        <f>IF(Weighting!$O$10&gt;0,D298,"")</f>
        <v/>
      </c>
      <c r="D298" t="e">
        <f>Weighting!$C$10</f>
        <v>#DIV/0!</v>
      </c>
      <c r="E298" t="e">
        <f>Weighting!$E$10</f>
        <v>#NUM!</v>
      </c>
      <c r="F298" t="e">
        <f>IF(E298=1,'Data Transformation'!$G$3+0.5*'Data Transformation'!$R$25,IF(E299=1,F299-'Data Transformation'!$R$25,FALSE))</f>
        <v>#NUM!</v>
      </c>
      <c r="G298">
        <f t="array" ref="G298">IF(ISLOGICAL(F298),"",FREQUENCY(IF('Data Transformation'!$B$24:$B$404='Bin Analysis and Plots'!$D$291,'Data Transformation'!$G$24:$G$404),'Bin Analysis and Plots'!F298))</f>
        <v>0</v>
      </c>
      <c r="H298">
        <f t="shared" si="47"/>
        <v>0</v>
      </c>
      <c r="I298">
        <f>Weighting!$G$10</f>
        <v>0</v>
      </c>
      <c r="J298" s="7">
        <f t="array" ref="J298">FREQUENCY(IF('Data Transformation'!$B$4:$B$404=D291,'Data Transformation'!$G$4:$G$404),'Bin Analysis and Plots'!$D298)</f>
        <v>0</v>
      </c>
      <c r="K298" s="7">
        <f t="shared" si="48"/>
        <v>0</v>
      </c>
      <c r="L298" s="7">
        <f t="shared" si="49"/>
        <v>0</v>
      </c>
      <c r="M298" s="22">
        <f>L298*Weighting!$V$10</f>
        <v>0</v>
      </c>
    </row>
    <row r="299" spans="1:20" x14ac:dyDescent="0.25">
      <c r="A299" s="45" t="b">
        <f t="array" ref="A299">IF(ISERROR(INDEX('Data Transformation'!$B$4:$G$450,SMALL(IF('Data Transformation'!$B$4:$B$450='Bin Analysis and Plots'!D291,ROW('Data Transformation'!$B$4:$B$450)),ROW($6:$6))-3,3)),"",INDEX('Data Transformation'!$B$4:$G$450,SMALL(IF('Data Transformation'!$B$4:$B$450='Bin Analysis and Plots'!D291,ROW('Data Transformation'!$B$4:$B$450)),ROW($6:$6))-3,6))</f>
        <v>0</v>
      </c>
      <c r="B299" s="45" t="str">
        <f>IFERROR(SMALL(A294:A313,'Data Transformation'!$L$11),"")</f>
        <v/>
      </c>
      <c r="C299" s="61" t="str">
        <f>IF(Weighting!$O$11&gt;0,D299,"")</f>
        <v/>
      </c>
      <c r="D299" t="e">
        <f>Weighting!$C$11</f>
        <v>#DIV/0!</v>
      </c>
      <c r="E299" t="e">
        <f>Weighting!$E$11</f>
        <v>#NUM!</v>
      </c>
      <c r="F299" t="e">
        <f>IF(E299=1,'Data Transformation'!$G$3+0.5*'Data Transformation'!$R$25,IF(E300=1,F300-'Data Transformation'!$R$25,FALSE))</f>
        <v>#NUM!</v>
      </c>
      <c r="G299">
        <f t="array" ref="G299">IF(ISLOGICAL(F299),"",FREQUENCY(IF('Data Transformation'!$B$24:$B$404='Bin Analysis and Plots'!$D$291,'Data Transformation'!$G$24:$G$404),'Bin Analysis and Plots'!F299))</f>
        <v>0</v>
      </c>
      <c r="H299">
        <f t="shared" si="47"/>
        <v>0</v>
      </c>
      <c r="I299">
        <f>Weighting!$G$11</f>
        <v>0</v>
      </c>
      <c r="J299" s="7">
        <f t="array" ref="J299">FREQUENCY(IF('Data Transformation'!$B$4:$B$404=D291,'Data Transformation'!$G$4:$G$404),'Bin Analysis and Plots'!$D299)</f>
        <v>0</v>
      </c>
      <c r="K299" s="7">
        <f t="shared" si="48"/>
        <v>0</v>
      </c>
      <c r="L299" s="7">
        <f t="shared" si="49"/>
        <v>0</v>
      </c>
      <c r="M299" s="22">
        <f>L299*Weighting!$V$11</f>
        <v>0</v>
      </c>
    </row>
    <row r="300" spans="1:20" x14ac:dyDescent="0.25">
      <c r="A300" s="45" t="b">
        <f t="array" ref="A300">IF(ISERROR(INDEX('Data Transformation'!$B$4:$G$450,SMALL(IF('Data Transformation'!$B$4:$B$450='Bin Analysis and Plots'!D291,ROW('Data Transformation'!$B$4:$B$450)),ROW($7:$7))-3,3)),"",INDEX('Data Transformation'!$B$4:$G$450,SMALL(IF('Data Transformation'!$B$4:$B$450='Bin Analysis and Plots'!D291,ROW('Data Transformation'!$B$4:$B$450)),ROW($7:$7))-3,6))</f>
        <v>0</v>
      </c>
      <c r="B300" s="45" t="str">
        <f>IFERROR(SMALL(A294:A313,'Data Transformation'!$L$12),"")</f>
        <v/>
      </c>
      <c r="C300" s="61" t="str">
        <f>IF(Weighting!$O$12&gt;0,D300,"")</f>
        <v/>
      </c>
      <c r="D300" t="e">
        <f>Weighting!$C$12</f>
        <v>#DIV/0!</v>
      </c>
      <c r="E300" t="e">
        <f>Weighting!$E$12</f>
        <v>#NUM!</v>
      </c>
      <c r="F300" t="e">
        <f>IF(E300=1,'Data Transformation'!$G$3+0.5*'Data Transformation'!$R$25,IF(E301=1,F301-'Data Transformation'!$R$25,FALSE))</f>
        <v>#NUM!</v>
      </c>
      <c r="G300">
        <f t="array" ref="G300">IF(ISLOGICAL(F300),"",FREQUENCY(IF('Data Transformation'!$B$24:$B$404='Bin Analysis and Plots'!$D$291,'Data Transformation'!$G$24:$G$404),'Bin Analysis and Plots'!F300))</f>
        <v>0</v>
      </c>
      <c r="H300">
        <f t="shared" si="47"/>
        <v>0</v>
      </c>
      <c r="I300">
        <f>Weighting!$G$12</f>
        <v>0</v>
      </c>
      <c r="J300" s="7">
        <f t="array" ref="J300">FREQUENCY(IF('Data Transformation'!$B$4:$B$404=D291,'Data Transformation'!$G$4:$G$404),'Bin Analysis and Plots'!$D300)</f>
        <v>0</v>
      </c>
      <c r="K300" s="7">
        <f t="shared" si="48"/>
        <v>0</v>
      </c>
      <c r="L300" s="7">
        <f t="shared" si="49"/>
        <v>0</v>
      </c>
      <c r="M300" s="22">
        <f>L300*Weighting!$V$12</f>
        <v>0</v>
      </c>
    </row>
    <row r="301" spans="1:20" x14ac:dyDescent="0.25">
      <c r="A301" s="45" t="b">
        <f t="array" ref="A301">IF(ISERROR(INDEX('Data Transformation'!$B$4:$G$450,SMALL(IF('Data Transformation'!$B$4:$B$450='Bin Analysis and Plots'!D291,ROW('Data Transformation'!$B$4:$B$450)),ROW($8:$8))-3,3)),"",INDEX('Data Transformation'!$B$4:$G$450,SMALL(IF('Data Transformation'!$B$4:$B$450='Bin Analysis and Plots'!D291,ROW('Data Transformation'!$B$4:$B$450)),ROW($8:$8))-3,6))</f>
        <v>0</v>
      </c>
      <c r="B301" s="45" t="str">
        <f>IFERROR(SMALL(A294:A313,'Data Transformation'!$L$13),"")</f>
        <v/>
      </c>
      <c r="C301" s="61" t="str">
        <f>IF(Weighting!$O$13&gt;0,D301,"")</f>
        <v/>
      </c>
      <c r="D301" t="e">
        <f>Weighting!$C$13</f>
        <v>#DIV/0!</v>
      </c>
      <c r="E301" t="e">
        <f>Weighting!$E$13</f>
        <v>#NUM!</v>
      </c>
      <c r="F301" t="e">
        <f>IF(E301=1,'Data Transformation'!$G$3+0.5*'Data Transformation'!$R$25,IF(E302=1,F302-'Data Transformation'!$R$25,FALSE))</f>
        <v>#NUM!</v>
      </c>
      <c r="G301">
        <f t="array" ref="G301">IF(ISLOGICAL(F301),"",FREQUENCY(IF('Data Transformation'!$B$24:$B$404='Bin Analysis and Plots'!$D$291,'Data Transformation'!$G$24:$G$404),'Bin Analysis and Plots'!F301))</f>
        <v>0</v>
      </c>
      <c r="H301">
        <f t="shared" si="47"/>
        <v>0</v>
      </c>
      <c r="I301">
        <f>Weighting!$G$13</f>
        <v>0</v>
      </c>
      <c r="J301" s="7">
        <f t="array" ref="J301">FREQUENCY(IF('Data Transformation'!$B$4:$B$404=D291,'Data Transformation'!$G$4:$G$404),'Bin Analysis and Plots'!$D301)</f>
        <v>0</v>
      </c>
      <c r="K301" s="7">
        <f t="shared" si="48"/>
        <v>0</v>
      </c>
      <c r="L301" s="7">
        <f t="shared" si="49"/>
        <v>0</v>
      </c>
      <c r="M301" s="22">
        <f>L301*Weighting!$V$13</f>
        <v>0</v>
      </c>
    </row>
    <row r="302" spans="1:20" x14ac:dyDescent="0.25">
      <c r="A302" s="45" t="b">
        <f t="array" ref="A302">IF(ISERROR(INDEX('Data Transformation'!$B$4:$G$450,SMALL(IF('Data Transformation'!$B$4:$B$450='Bin Analysis and Plots'!D291,ROW('Data Transformation'!$B$4:$B$450)),ROW($9:$9))-3,3)),"",INDEX('Data Transformation'!$B$4:$G$450,SMALL(IF('Data Transformation'!$B$4:$B$450='Bin Analysis and Plots'!D291,ROW('Data Transformation'!$B$4:$B$450)),ROW($9:$9))-3,6))</f>
        <v>0</v>
      </c>
      <c r="B302" s="45" t="str">
        <f>IFERROR(SMALL(A294:A313,'Data Transformation'!$L$14),"")</f>
        <v/>
      </c>
      <c r="C302" s="61" t="str">
        <f>IF(Weighting!$O$14&gt;0,D302,"")</f>
        <v/>
      </c>
      <c r="D302" t="e">
        <f>Weighting!$C$14</f>
        <v>#DIV/0!</v>
      </c>
      <c r="E302" t="e">
        <f>Weighting!$E$14</f>
        <v>#NUM!</v>
      </c>
      <c r="F302" t="e">
        <f>IF(E302=1,'Data Transformation'!$G$3+0.5*'Data Transformation'!$R$25,IF(E303=1,F303-'Data Transformation'!$R$25,FALSE))</f>
        <v>#NUM!</v>
      </c>
      <c r="G302">
        <f t="array" ref="G302">IF(ISLOGICAL(F302),"",FREQUENCY(IF('Data Transformation'!$B$24:$B$404='Bin Analysis and Plots'!$D$291,'Data Transformation'!$G$24:$G$404),'Bin Analysis and Plots'!F302))</f>
        <v>0</v>
      </c>
      <c r="H302">
        <f t="shared" si="47"/>
        <v>0</v>
      </c>
      <c r="I302">
        <f>Weighting!$G$14</f>
        <v>0</v>
      </c>
      <c r="J302" s="7">
        <f t="array" ref="J302">FREQUENCY(IF('Data Transformation'!$B$4:$B$404=D291,'Data Transformation'!$G$4:$G$404),'Bin Analysis and Plots'!$D302)</f>
        <v>0</v>
      </c>
      <c r="K302" s="7">
        <f t="shared" si="48"/>
        <v>0</v>
      </c>
      <c r="L302" s="7">
        <f t="shared" si="49"/>
        <v>0</v>
      </c>
      <c r="M302" s="22">
        <f>L302*Weighting!$V$14</f>
        <v>0</v>
      </c>
    </row>
    <row r="303" spans="1:20" x14ac:dyDescent="0.25">
      <c r="A303" s="45" t="b">
        <f t="array" ref="A303">IF(ISERROR(INDEX('Data Transformation'!$B$4:$G$450,SMALL(IF('Data Transformation'!$B$4:$B$450='Bin Analysis and Plots'!D291,ROW('Data Transformation'!$B$4:$B$450)),ROW($10:$10))-3,3)),"",INDEX('Data Transformation'!$B$4:$G$450,SMALL(IF('Data Transformation'!$B$4:$B$450='Bin Analysis and Plots'!D291,ROW('Data Transformation'!$B$4:$B$450)),ROW($10:$10))-3,6))</f>
        <v>0</v>
      </c>
      <c r="B303" s="45" t="str">
        <f>IFERROR(SMALL(A294:A313,'Data Transformation'!$L$15),"")</f>
        <v/>
      </c>
      <c r="C303" s="61" t="str">
        <f>IF(Weighting!$O$15&gt;0,D303,"")</f>
        <v/>
      </c>
      <c r="D303" t="e">
        <f>Weighting!$C$15</f>
        <v>#DIV/0!</v>
      </c>
      <c r="E303" t="e">
        <f>Weighting!$E$15</f>
        <v>#NUM!</v>
      </c>
      <c r="F303" t="e">
        <f>IF(E303=1,'Data Transformation'!$G$3+0.5*'Data Transformation'!$R$25,IF(E304=1,F304-'Data Transformation'!$R$25,FALSE))</f>
        <v>#NUM!</v>
      </c>
      <c r="G303">
        <f t="array" ref="G303">IF(ISLOGICAL(F303),"",FREQUENCY(IF('Data Transformation'!$B$24:$B$404='Bin Analysis and Plots'!$D$291,'Data Transformation'!$G$24:$G$404),'Bin Analysis and Plots'!F303))</f>
        <v>0</v>
      </c>
      <c r="H303">
        <f t="shared" si="47"/>
        <v>0</v>
      </c>
      <c r="I303">
        <f>Weighting!$G$15</f>
        <v>0</v>
      </c>
      <c r="J303" s="7">
        <f t="array" ref="J303">FREQUENCY(IF('Data Transformation'!$B$4:$B$404=D291,'Data Transformation'!$G$4:$G$404),'Bin Analysis and Plots'!$D303)</f>
        <v>0</v>
      </c>
      <c r="K303" s="7">
        <f t="shared" si="48"/>
        <v>0</v>
      </c>
      <c r="L303" s="7">
        <f t="shared" si="49"/>
        <v>0</v>
      </c>
      <c r="M303" s="22">
        <f>L303*Weighting!$V$15</f>
        <v>0</v>
      </c>
    </row>
    <row r="304" spans="1:20" x14ac:dyDescent="0.25">
      <c r="A304" s="45" t="b">
        <f t="array" ref="A304">IF(ISERROR(INDEX('Data Transformation'!$B$4:$G$450,SMALL(IF('Data Transformation'!$B$4:$B$450='Bin Analysis and Plots'!D291,ROW('Data Transformation'!$B$4:$B$450)),ROW($11:$11))-3,3)),"",INDEX('Data Transformation'!$B$4:$G$450,SMALL(IF('Data Transformation'!$B$4:$B$450='Bin Analysis and Plots'!D291,ROW('Data Transformation'!$B$4:$B$450)),ROW($11:$11))-3,6))</f>
        <v>0</v>
      </c>
      <c r="B304" s="45" t="str">
        <f>IFERROR(SMALL(A294:A313,'Data Transformation'!$L$16),"")</f>
        <v/>
      </c>
      <c r="C304" s="61" t="str">
        <f>IF(Weighting!$O$16&gt;0,D304,"")</f>
        <v/>
      </c>
      <c r="D304" t="e">
        <f>Weighting!$C$16</f>
        <v>#DIV/0!</v>
      </c>
      <c r="E304" t="e">
        <f>Weighting!$E$16</f>
        <v>#NUM!</v>
      </c>
      <c r="F304" t="e">
        <f>IF(E304=1,'Data Transformation'!$G$3+0.5*'Data Transformation'!$R$25,IF(E305=1,F305-'Data Transformation'!$R$25,FALSE))</f>
        <v>#NUM!</v>
      </c>
      <c r="G304">
        <f t="array" ref="G304">IF(ISLOGICAL(F304),"",FREQUENCY(IF('Data Transformation'!$B$24:$B$404='Bin Analysis and Plots'!$D$291,'Data Transformation'!$G$24:$G$404),'Bin Analysis and Plots'!F304))</f>
        <v>0</v>
      </c>
      <c r="H304">
        <f t="shared" si="47"/>
        <v>0</v>
      </c>
      <c r="I304">
        <f>Weighting!$G$16</f>
        <v>0</v>
      </c>
      <c r="J304" s="7">
        <f t="array" ref="J304">FREQUENCY(IF('Data Transformation'!$B$4:$B$404=D291,'Data Transformation'!$G$4:$G$404),'Bin Analysis and Plots'!$D304)</f>
        <v>0</v>
      </c>
      <c r="K304" s="7">
        <f t="shared" si="48"/>
        <v>0</v>
      </c>
      <c r="L304" s="7">
        <f t="shared" si="49"/>
        <v>0</v>
      </c>
      <c r="M304" s="22">
        <f>L304*Weighting!$V$16</f>
        <v>0</v>
      </c>
    </row>
    <row r="305" spans="1:20" x14ac:dyDescent="0.25">
      <c r="A305" s="45" t="b">
        <f t="array" ref="A305">IF(ISERROR(INDEX('Data Transformation'!$B$4:$G$450,SMALL(IF('Data Transformation'!$B$4:$B$450='Bin Analysis and Plots'!D291,ROW('Data Transformation'!$B$4:$B$450)),ROW($12:$12))-3,3)),"",INDEX('Data Transformation'!$B$4:$G$450,SMALL(IF('Data Transformation'!$B$4:$B$450='Bin Analysis and Plots'!D291,ROW('Data Transformation'!$B$4:$B$450)),ROW($12:$12))-3,6))</f>
        <v>0</v>
      </c>
      <c r="B305" s="45" t="str">
        <f>IFERROR(SMALL(A294:A313,'Data Transformation'!$L$17),"")</f>
        <v/>
      </c>
      <c r="C305" s="61" t="str">
        <f>IF(Weighting!$O$17&gt;0,D305,"")</f>
        <v/>
      </c>
      <c r="D305" t="e">
        <f>Weighting!$C$17</f>
        <v>#DIV/0!</v>
      </c>
      <c r="E305" t="e">
        <f>Weighting!$E$17</f>
        <v>#NUM!</v>
      </c>
      <c r="F305" t="e">
        <f>IF(E305=1,'Data Transformation'!$G$3+0.5*'Data Transformation'!$R$25,IF(E306=1,F306-'Data Transformation'!$R$25,FALSE))</f>
        <v>#NUM!</v>
      </c>
      <c r="G305">
        <f t="array" ref="G305">IF(ISLOGICAL(F305),"",FREQUENCY(IF('Data Transformation'!$B$24:$B$404='Bin Analysis and Plots'!$D$291,'Data Transformation'!$G$24:$G$404),'Bin Analysis and Plots'!F305))</f>
        <v>0</v>
      </c>
      <c r="H305">
        <f t="shared" si="47"/>
        <v>0</v>
      </c>
      <c r="I305">
        <f>Weighting!$G$17</f>
        <v>0</v>
      </c>
      <c r="J305" s="7">
        <f t="array" ref="J305">FREQUENCY(IF('Data Transformation'!$B$4:$B$404=D291,'Data Transformation'!$G$4:$G$404),'Bin Analysis and Plots'!$D305)</f>
        <v>0</v>
      </c>
      <c r="K305" s="7">
        <f t="shared" si="48"/>
        <v>0</v>
      </c>
      <c r="L305" s="7">
        <f t="shared" si="49"/>
        <v>0</v>
      </c>
      <c r="M305" s="22">
        <f>L305*Weighting!$V$17</f>
        <v>0</v>
      </c>
    </row>
    <row r="306" spans="1:20" x14ac:dyDescent="0.25">
      <c r="A306" s="45" t="b">
        <f t="array" ref="A306">IF(ISERROR(INDEX('Data Transformation'!$B$4:$G$450,SMALL(IF('Data Transformation'!$B$4:$B$450='Bin Analysis and Plots'!D291,ROW('Data Transformation'!$B$4:$B$450)),ROW($13:$13))-3,3)),"",INDEX('Data Transformation'!$B$4:$G$450,SMALL(IF('Data Transformation'!$B$4:$B$450='Bin Analysis and Plots'!D291,ROW('Data Transformation'!$B$4:$B$450)),ROW($13:$13))-3,6))</f>
        <v>0</v>
      </c>
      <c r="B306" s="45" t="str">
        <f>IFERROR(SMALL(A294:A313,'Data Transformation'!$L$18),"")</f>
        <v/>
      </c>
      <c r="C306" s="61" t="str">
        <f>IF(Weighting!$O$18&gt;0,D306,"")</f>
        <v/>
      </c>
      <c r="D306" t="e">
        <f>Weighting!$C$18</f>
        <v>#DIV/0!</v>
      </c>
      <c r="E306" t="e">
        <f>Weighting!$E$18</f>
        <v>#NUM!</v>
      </c>
      <c r="F306" t="e">
        <f>IF(E306=1,'Data Transformation'!$G$3+0.5*'Data Transformation'!$R$25,IF(E307=1,F307-'Data Transformation'!$R$25,FALSE))</f>
        <v>#NUM!</v>
      </c>
      <c r="G306">
        <f t="array" ref="G306">IF(ISLOGICAL(F306),"",FREQUENCY(IF('Data Transformation'!$B$24:$B$404='Bin Analysis and Plots'!$D$291,'Data Transformation'!$G$24:$G$404),'Bin Analysis and Plots'!F306))</f>
        <v>0</v>
      </c>
      <c r="H306">
        <f t="shared" si="47"/>
        <v>0</v>
      </c>
      <c r="I306">
        <f>Weighting!$G$18</f>
        <v>0</v>
      </c>
      <c r="J306" s="7">
        <f t="array" ref="J306">FREQUENCY(IF('Data Transformation'!$B$4:$B$404=D291,'Data Transformation'!$G$4:$G$404),'Bin Analysis and Plots'!$D306)</f>
        <v>0</v>
      </c>
      <c r="K306" s="7">
        <f t="shared" si="48"/>
        <v>0</v>
      </c>
      <c r="L306" s="7">
        <f t="shared" si="49"/>
        <v>0</v>
      </c>
      <c r="M306" s="22">
        <f>L306*Weighting!$V$18</f>
        <v>0</v>
      </c>
    </row>
    <row r="307" spans="1:20" x14ac:dyDescent="0.25">
      <c r="A307" s="45" t="b">
        <f t="array" ref="A307">IF(ISERROR(INDEX('Data Transformation'!$B$4:$G$450,SMALL(IF('Data Transformation'!$B$4:$B$450='Bin Analysis and Plots'!D291,ROW('Data Transformation'!$B$4:$B$450)),ROW($14:$14))-3,3)),"",INDEX('Data Transformation'!$B$4:$G$450,SMALL(IF('Data Transformation'!$B$4:$B$450='Bin Analysis and Plots'!D291,ROW('Data Transformation'!$B$4:$B$450)),ROW($14:$14))-3,6))</f>
        <v>0</v>
      </c>
      <c r="B307" s="45" t="str">
        <f>IFERROR(SMALL(A294:A313,'Data Transformation'!$L$19),"")</f>
        <v/>
      </c>
      <c r="C307" s="61" t="str">
        <f>IF(Weighting!$O$19&gt;0,D307,"")</f>
        <v/>
      </c>
      <c r="D307" t="e">
        <f>Weighting!$C$19</f>
        <v>#DIV/0!</v>
      </c>
      <c r="E307" t="e">
        <f>Weighting!$E$19</f>
        <v>#NUM!</v>
      </c>
      <c r="F307" t="e">
        <f>IF(E307=1,'Data Transformation'!$G$3+0.5*'Data Transformation'!$R$25,IF(E308=1,F308-'Data Transformation'!$R$25,FALSE))</f>
        <v>#NUM!</v>
      </c>
      <c r="G307">
        <f t="array" ref="G307">IF(ISLOGICAL(F307),"",FREQUENCY(IF('Data Transformation'!$B$24:$B$404='Bin Analysis and Plots'!$D$291,'Data Transformation'!$G$24:$G$404),'Bin Analysis and Plots'!F307))</f>
        <v>0</v>
      </c>
      <c r="H307">
        <f t="shared" si="47"/>
        <v>0</v>
      </c>
      <c r="I307">
        <f>Weighting!$G$19</f>
        <v>0</v>
      </c>
      <c r="J307" s="7">
        <f t="array" ref="J307">FREQUENCY(IF('Data Transformation'!$B$4:$B$404=D291,'Data Transformation'!$G$4:$G$404),'Bin Analysis and Plots'!$D307)</f>
        <v>0</v>
      </c>
      <c r="K307" s="7">
        <f t="shared" si="48"/>
        <v>0</v>
      </c>
      <c r="L307" s="7">
        <f t="shared" si="49"/>
        <v>0</v>
      </c>
      <c r="M307" s="22">
        <f>L307*Weighting!$V$19</f>
        <v>0</v>
      </c>
    </row>
    <row r="308" spans="1:20" x14ac:dyDescent="0.25">
      <c r="A308" s="45" t="b">
        <f t="array" ref="A308">IF(ISERROR(INDEX('Data Transformation'!$B$4:$G$450,SMALL(IF('Data Transformation'!$B$4:$B$450='Bin Analysis and Plots'!D291,ROW('Data Transformation'!$B$4:$B$450)),ROW($15:$15))-3,3)),"",INDEX('Data Transformation'!$B$4:$G$450,SMALL(IF('Data Transformation'!$B$4:$B$450='Bin Analysis and Plots'!D291,ROW('Data Transformation'!$B$4:$B$450)),ROW($15:$15))-3,6))</f>
        <v>0</v>
      </c>
      <c r="B308" s="45" t="str">
        <f>IFERROR(SMALL(A294:A313,'Data Transformation'!$L$20),"")</f>
        <v/>
      </c>
      <c r="C308" s="61" t="str">
        <f>IF(Weighting!$O$20&gt;0,D308,"")</f>
        <v/>
      </c>
      <c r="D308" t="e">
        <f>Weighting!$C$20</f>
        <v>#DIV/0!</v>
      </c>
      <c r="E308" t="e">
        <f>Weighting!$E$20</f>
        <v>#NUM!</v>
      </c>
      <c r="F308" t="e">
        <f>IF(E308=1,'Data Transformation'!$G$3+0.5*'Data Transformation'!$R$25,IF(E309=1,F309-'Data Transformation'!$R$25,FALSE))</f>
        <v>#NUM!</v>
      </c>
      <c r="G308">
        <f t="array" ref="G308">IF(ISLOGICAL(F308),"",FREQUENCY(IF('Data Transformation'!$B$24:$B$404='Bin Analysis and Plots'!$D$291,'Data Transformation'!$G$24:$G$404),'Bin Analysis and Plots'!F308))</f>
        <v>0</v>
      </c>
      <c r="H308">
        <f t="shared" si="47"/>
        <v>0</v>
      </c>
      <c r="I308">
        <f>Weighting!$G$20</f>
        <v>0</v>
      </c>
      <c r="J308" s="7">
        <f t="array" ref="J308">FREQUENCY(IF('Data Transformation'!$B$4:$B$404=D291,'Data Transformation'!$G$4:$G$404),'Bin Analysis and Plots'!$D308)</f>
        <v>0</v>
      </c>
      <c r="K308" s="7">
        <f t="shared" si="48"/>
        <v>0</v>
      </c>
      <c r="L308" s="7">
        <f t="shared" si="49"/>
        <v>0</v>
      </c>
      <c r="M308" s="22">
        <f>L308*Weighting!$V$20</f>
        <v>0</v>
      </c>
    </row>
    <row r="309" spans="1:20" x14ac:dyDescent="0.25">
      <c r="A309" s="45" t="b">
        <f t="array" ref="A309">IF(ISERROR(INDEX('Data Transformation'!$B$4:$G$450,SMALL(IF('Data Transformation'!$B$4:$B$450='Bin Analysis and Plots'!D291,ROW('Data Transformation'!$B$4:$B$450)),ROW($16:$16))-3,3)),"",INDEX('Data Transformation'!$B$4:$G$450,SMALL(IF('Data Transformation'!$B$4:$B$450='Bin Analysis and Plots'!D291,ROW('Data Transformation'!$B$4:$B$450)),ROW($16:$16))-3,6))</f>
        <v>0</v>
      </c>
      <c r="B309" s="45" t="str">
        <f>IFERROR(SMALL(A294:A313,'Data Transformation'!$L$21),"")</f>
        <v/>
      </c>
      <c r="C309" s="61" t="str">
        <f>IF(Weighting!$O$21&gt;0,D309,"")</f>
        <v/>
      </c>
      <c r="D309" t="e">
        <f>Weighting!$C$21</f>
        <v>#DIV/0!</v>
      </c>
      <c r="E309" t="e">
        <f>Weighting!$E$21</f>
        <v>#NUM!</v>
      </c>
      <c r="F309" t="e">
        <f>IF(E309=1,'Data Transformation'!$G$3+0.5*'Data Transformation'!$R$25,IF(E310=1,F310-'Data Transformation'!$R$25,FALSE))</f>
        <v>#NUM!</v>
      </c>
      <c r="G309">
        <f t="array" ref="G309">IF(ISLOGICAL(F309),"",FREQUENCY(IF('Data Transformation'!$B$24:$B$404='Bin Analysis and Plots'!$D$291,'Data Transformation'!$G$24:$G$404),'Bin Analysis and Plots'!F309))</f>
        <v>0</v>
      </c>
      <c r="H309">
        <f t="shared" si="47"/>
        <v>0</v>
      </c>
      <c r="I309">
        <f>Weighting!$G$21</f>
        <v>0</v>
      </c>
      <c r="J309" s="7">
        <f t="array" ref="J309">FREQUENCY(IF('Data Transformation'!$B$4:$B$404=D291,'Data Transformation'!$G$4:$G$404),'Bin Analysis and Plots'!$D309)</f>
        <v>0</v>
      </c>
      <c r="K309" s="7">
        <f t="shared" si="48"/>
        <v>0</v>
      </c>
      <c r="L309" s="7">
        <f t="shared" si="49"/>
        <v>0</v>
      </c>
      <c r="M309" s="22">
        <f>L309*Weighting!$V$21</f>
        <v>0</v>
      </c>
    </row>
    <row r="310" spans="1:20" x14ac:dyDescent="0.25">
      <c r="A310" s="45" t="b">
        <f t="array" ref="A310">IF(ISERROR(INDEX('Data Transformation'!$B$4:$G$450,SMALL(IF('Data Transformation'!$B$4:$B$450='Bin Analysis and Plots'!D291,ROW('Data Transformation'!$B$4:$B$450)),ROW($17:$17))-3,3)),"",INDEX('Data Transformation'!$B$4:$G$450,SMALL(IF('Data Transformation'!$B$4:$B$450='Bin Analysis and Plots'!D291,ROW('Data Transformation'!$B$4:$B$450)),ROW($17:$17))-3,6))</f>
        <v>0</v>
      </c>
      <c r="B310" s="45" t="str">
        <f>IFERROR(SMALL(A294:A313,'Data Transformation'!$L$22),"")</f>
        <v/>
      </c>
      <c r="C310" s="61" t="str">
        <f>IF(Weighting!$O$22&gt;0,D310,"")</f>
        <v/>
      </c>
      <c r="D310" t="e">
        <f>Weighting!$C$22</f>
        <v>#DIV/0!</v>
      </c>
      <c r="E310" t="e">
        <f>Weighting!$E$22</f>
        <v>#NUM!</v>
      </c>
      <c r="F310" t="e">
        <f>IF(E310=1,'Data Transformation'!$G$3+0.5*'Data Transformation'!$R$25,IF(E311=1,F311-'Data Transformation'!$R$25,FALSE))</f>
        <v>#NUM!</v>
      </c>
      <c r="G310">
        <f t="array" ref="G310">IF(ISLOGICAL(F310),"",FREQUENCY(IF('Data Transformation'!$B$24:$B$404='Bin Analysis and Plots'!$D$291,'Data Transformation'!$G$24:$G$404),'Bin Analysis and Plots'!F310))</f>
        <v>0</v>
      </c>
      <c r="H310">
        <f t="shared" si="47"/>
        <v>0</v>
      </c>
      <c r="I310">
        <f>Weighting!$G$22</f>
        <v>0</v>
      </c>
      <c r="J310" s="7">
        <f t="array" ref="J310">FREQUENCY(IF('Data Transformation'!$B$4:$B$404=D291,'Data Transformation'!$G$4:$G$404),'Bin Analysis and Plots'!$D310)</f>
        <v>0</v>
      </c>
      <c r="K310" s="7">
        <f t="shared" si="48"/>
        <v>0</v>
      </c>
      <c r="L310" s="7">
        <f t="shared" si="49"/>
        <v>0</v>
      </c>
      <c r="M310" s="22">
        <f>L310*Weighting!$V$22</f>
        <v>0</v>
      </c>
    </row>
    <row r="311" spans="1:20" x14ac:dyDescent="0.25">
      <c r="A311" s="45" t="b">
        <f t="array" ref="A311">IF(ISERROR(INDEX('Data Transformation'!$B$4:$G$450,SMALL(IF('Data Transformation'!$B$4:$B$450='Bin Analysis and Plots'!D291,ROW('Data Transformation'!$B$4:$B$450)),ROW($18:$18))-3,3)),"",INDEX('Data Transformation'!$B$4:$G$450,SMALL(IF('Data Transformation'!$B$4:$B$450='Bin Analysis and Plots'!D291,ROW('Data Transformation'!$B$4:$B$450)),ROW($18:$18))-3,6))</f>
        <v>0</v>
      </c>
      <c r="B311" s="45" t="str">
        <f>IFERROR(SMALL(A294:A313,'Data Transformation'!$L$23),"")</f>
        <v/>
      </c>
      <c r="C311" s="61" t="str">
        <f>IF(Weighting!$O$23&gt;0,D311,"")</f>
        <v/>
      </c>
      <c r="D311" t="e">
        <f>Weighting!$C$23</f>
        <v>#DIV/0!</v>
      </c>
      <c r="E311" t="e">
        <f>Weighting!$E$23</f>
        <v>#NUM!</v>
      </c>
      <c r="F311" t="e">
        <f>IF(E311=1,'Data Transformation'!$G$3+0.5*'Data Transformation'!$R$25,IF(E312=1,F312-'Data Transformation'!$R$25,FALSE))</f>
        <v>#NUM!</v>
      </c>
      <c r="G311">
        <f t="array" ref="G311">IF(ISLOGICAL(F311),"",FREQUENCY(IF('Data Transformation'!$B$24:$B$404='Bin Analysis and Plots'!$D$291,'Data Transformation'!$G$24:$G$404),'Bin Analysis and Plots'!F311))</f>
        <v>0</v>
      </c>
      <c r="H311">
        <f t="shared" si="47"/>
        <v>0</v>
      </c>
      <c r="I311">
        <f>Weighting!$G$23</f>
        <v>0</v>
      </c>
      <c r="J311" s="7">
        <f t="array" ref="J311">FREQUENCY(IF('Data Transformation'!$B$4:$B$404=D291,'Data Transformation'!$G$4:$G$404),'Bin Analysis and Plots'!$D311)</f>
        <v>0</v>
      </c>
      <c r="K311" s="7">
        <f t="shared" si="48"/>
        <v>0</v>
      </c>
      <c r="L311" s="7">
        <f t="shared" si="49"/>
        <v>0</v>
      </c>
      <c r="M311" s="22">
        <f>L311*Weighting!$V$23</f>
        <v>0</v>
      </c>
    </row>
    <row r="312" spans="1:20" x14ac:dyDescent="0.25">
      <c r="A312" s="45" t="str">
        <f>IF(ISERROR(INDEX('Data Transformation'!$B$4:$G$450,SMALL(IF('Data Transformation'!$B$4:$B$450='Bin Analysis and Plots'!D291,ROW('Data Transformation'!$B$4:$B$450)),ROW($19:$19))-3,3)),"",INDEX('Data Transformation'!$B$4:$G$450,SMALL(IF('Data Transformation'!$B$4:$B$450='Bin Analysis and Plots'!D291,ROW('Data Transformation'!$B$4:$B$450)),ROW($19:$19))-3,6))</f>
        <v/>
      </c>
      <c r="B312" s="45" t="str">
        <f>IFERROR(SMALL(A294:A313,'Data Transformation'!$L$24),"")</f>
        <v/>
      </c>
      <c r="C312" s="61" t="str">
        <f>IF(Weighting!$O$24&gt;0,D312,"")</f>
        <v/>
      </c>
      <c r="D312" t="e">
        <f>Weighting!$C$24</f>
        <v>#DIV/0!</v>
      </c>
      <c r="E312" t="e">
        <f>Weighting!$E$24</f>
        <v>#NUM!</v>
      </c>
      <c r="F312" t="e">
        <f>IF(E312=1,'Data Transformation'!$G$3+0.5*'Data Transformation'!$R$25,IF(E313=1,F313-'Data Transformation'!$R$25,FALSE))</f>
        <v>#NUM!</v>
      </c>
      <c r="G312">
        <f t="array" ref="G312">IF(ISLOGICAL(F312),"",FREQUENCY(IF('Data Transformation'!$B$24:$B$404='Bin Analysis and Plots'!$D$291,'Data Transformation'!$G$24:$G$404),'Bin Analysis and Plots'!F312))</f>
        <v>0</v>
      </c>
      <c r="H312">
        <f t="shared" si="47"/>
        <v>0</v>
      </c>
      <c r="I312">
        <f>Weighting!$G$24</f>
        <v>0</v>
      </c>
      <c r="J312" s="7">
        <f t="array" ref="J312">FREQUENCY(IF('Data Transformation'!$B$4:$B$404=D291,'Data Transformation'!$G$4:$G$404),'Bin Analysis and Plots'!$D312)</f>
        <v>0</v>
      </c>
      <c r="K312" s="7">
        <f t="shared" si="48"/>
        <v>0</v>
      </c>
      <c r="L312" s="7">
        <f t="shared" si="49"/>
        <v>0</v>
      </c>
      <c r="M312" s="22">
        <f>L312*Weighting!$V$24</f>
        <v>0</v>
      </c>
    </row>
    <row r="313" spans="1:20" x14ac:dyDescent="0.25">
      <c r="A313" s="45" t="b">
        <f t="array" ref="A313">IF(ISERROR(INDEX('Data Transformation'!$B$4:$G$450,SMALL(IF('Data Transformation'!$B$4:$B$450='Bin Analysis and Plots'!D291,ROW('Data Transformation'!$B$4:$B$450)),ROW($20:$20))-3,3)),"",INDEX('Data Transformation'!$B$4:$G$450,SMALL(IF('Data Transformation'!$B$4:$B$450='Bin Analysis and Plots'!D291,ROW('Data Transformation'!$B$4:$B$450)),ROW($20:$20))-3,6))</f>
        <v>0</v>
      </c>
      <c r="B313" s="45" t="str">
        <f>IFERROR(SMALL(A294:A313,'Data Transformation'!$L$25),"")</f>
        <v/>
      </c>
      <c r="C313" s="61" t="str">
        <f>IF(Weighting!$O$25&gt;0,D313,"")</f>
        <v/>
      </c>
      <c r="D313" t="e">
        <f>Weighting!$C$25</f>
        <v>#DIV/0!</v>
      </c>
      <c r="E313" t="e">
        <f>Weighting!$E$25</f>
        <v>#NUM!</v>
      </c>
      <c r="F313" t="e">
        <f>IF(E313=1,'Data Transformation'!$G$3+0.5*'Data Transformation'!$R$25,IF(E314=1,F314-'Data Transformation'!$R$25,FALSE))</f>
        <v>#NUM!</v>
      </c>
      <c r="G313">
        <f t="array" ref="G313">IF(ISLOGICAL(F313),"",FREQUENCY(IF('Data Transformation'!$B$24:$B$404='Bin Analysis and Plots'!$D$291,'Data Transformation'!$G$24:$G$404),'Bin Analysis and Plots'!F313))</f>
        <v>0</v>
      </c>
      <c r="H313">
        <f t="shared" si="47"/>
        <v>0</v>
      </c>
      <c r="I313">
        <f>Weighting!$G$25</f>
        <v>0</v>
      </c>
      <c r="J313" s="7">
        <f t="array" ref="J313">FREQUENCY(IF('Data Transformation'!$B$4:$B$404=D291,'Data Transformation'!$G$4:$G$404),'Bin Analysis and Plots'!$D313)</f>
        <v>0</v>
      </c>
      <c r="K313" s="7">
        <f t="shared" si="48"/>
        <v>0</v>
      </c>
      <c r="L313" s="7">
        <f t="shared" si="49"/>
        <v>0</v>
      </c>
      <c r="M313" s="22">
        <f>L313*Weighting!$V$25</f>
        <v>0</v>
      </c>
    </row>
    <row r="314" spans="1:20" x14ac:dyDescent="0.25">
      <c r="C314" s="60" t="str">
        <f t="shared" si="46"/>
        <v/>
      </c>
    </row>
    <row r="315" spans="1:20" ht="23.25" x14ac:dyDescent="0.35">
      <c r="C315" s="46" t="s">
        <v>0</v>
      </c>
      <c r="D315" s="46" t="str">
        <f>'Input and Summary Results'!G20</f>
        <v xml:space="preserve"> </v>
      </c>
      <c r="E315" s="46"/>
      <c r="F315" s="46"/>
      <c r="G315" s="46"/>
      <c r="H315" s="46"/>
      <c r="I315" s="46"/>
      <c r="J315" s="47"/>
      <c r="K315" s="47"/>
      <c r="L315" s="47"/>
      <c r="M315" s="46"/>
      <c r="N315" s="46"/>
      <c r="O315" s="57" t="e">
        <f>INDEX('Data Transformation'!$O$4:$O$25,MATCH($D315,'Data Transformation'!$M$4:$M$25,0),MATCH($O$2,'Data Transformation'!$O$3,0))</f>
        <v>#N/A</v>
      </c>
      <c r="P315" s="52" t="e">
        <f>IF(O315=FALSE,NA(),(VLOOKUP(1,E318:M337,4,FALSE))/(O315-1))</f>
        <v>#N/A</v>
      </c>
      <c r="Q315" s="52" t="e">
        <f>IF(O315=FALSE,NA(),SUM(L318:L337)/Weighting!$R$5)</f>
        <v>#N/A</v>
      </c>
      <c r="R315" s="52" t="e">
        <f>IF(O315=FALSE,NA(),SUM(M318:M337)/Weighting!$R$6)</f>
        <v>#N/A</v>
      </c>
      <c r="S315" s="52" t="e">
        <f>IF(O315=FALSE,NA(),(VLOOKUP(1,I318:M337,3,FALSE))/(O315-1))</f>
        <v>#N/A</v>
      </c>
      <c r="T315" s="57" t="e">
        <f>IF(O315=FALSE,NA(),IF(SUM(L318:L337)=2,"yes","no"))</f>
        <v>#N/A</v>
      </c>
    </row>
    <row r="316" spans="1:20" x14ac:dyDescent="0.25">
      <c r="A316" s="96" t="s">
        <v>64</v>
      </c>
      <c r="B316" s="96"/>
      <c r="C316" s="58" t="s">
        <v>72</v>
      </c>
      <c r="D316" t="s">
        <v>50</v>
      </c>
      <c r="E316" t="s">
        <v>5</v>
      </c>
      <c r="I316" t="s">
        <v>75</v>
      </c>
      <c r="J316" s="7" t="s">
        <v>34</v>
      </c>
      <c r="K316" s="7" t="s">
        <v>35</v>
      </c>
      <c r="L316" s="7" t="s">
        <v>49</v>
      </c>
      <c r="M316" s="21" t="s">
        <v>48</v>
      </c>
    </row>
    <row r="317" spans="1:20" x14ac:dyDescent="0.25">
      <c r="C317" s="60" t="str">
        <f t="shared" ref="C317:C338" si="50">IF(B317="","",D317)</f>
        <v/>
      </c>
      <c r="F317" t="e">
        <f>IF(E317=1,'Data Transformation'!$G$3+0.5*'Data Transformation'!$R$25,IF(E318=1,F318-'Data Transformation'!$R$25,FALSE))</f>
        <v>#NUM!</v>
      </c>
      <c r="G317">
        <f t="array" ref="G317">IF(ISLOGICAL(F317),"",FREQUENCY(IF('Data Transformation'!$B$24:$B$404='Bin Analysis and Plots'!$D$315,'Data Transformation'!$G$24:$G$404),'Bin Analysis and Plots'!F317))</f>
        <v>0</v>
      </c>
      <c r="H317">
        <f>IF(ISLOGICAL(F317),"",G317-G316)</f>
        <v>0</v>
      </c>
    </row>
    <row r="318" spans="1:20" x14ac:dyDescent="0.25">
      <c r="A318" s="45" t="b">
        <f t="array" ref="A318">IF(ISERROR(INDEX('Data Transformation'!$B$4:$G$450,SMALL(IF('Data Transformation'!$B$4:$B$450='Bin Analysis and Plots'!D315,ROW('Data Transformation'!$B$4:$B$450)),ROW($1:$1))-3,3)),"",INDEX('Data Transformation'!$B$4:$G$450,SMALL(IF('Data Transformation'!$B$4:$B$450='Bin Analysis and Plots'!D315,ROW('Data Transformation'!$B$4:$B$450)),ROW($1:$1))-3,6))</f>
        <v>0</v>
      </c>
      <c r="B318" s="45" t="str">
        <f>IFERROR(SMALL(A318:A337,'Data Transformation'!$L$6),"")</f>
        <v/>
      </c>
      <c r="C318" s="61" t="e">
        <f>IF(Weighting!$O$6&gt;0,D318,"")</f>
        <v>#NUM!</v>
      </c>
      <c r="D318" t="e">
        <f>Weighting!$C$6</f>
        <v>#DIV/0!</v>
      </c>
      <c r="E318" t="e">
        <f>Weighting!$E$6</f>
        <v>#NUM!</v>
      </c>
      <c r="F318" t="e">
        <f>IF(E318=1,'Data Transformation'!$G$3+0.5*'Data Transformation'!$R$25,IF(E319=1,F319-'Data Transformation'!$R$25,FALSE))</f>
        <v>#NUM!</v>
      </c>
      <c r="G318">
        <f t="array" ref="G318">IF(ISLOGICAL(F318),"",FREQUENCY(IF('Data Transformation'!$B$24:$B$404='Bin Analysis and Plots'!$D$315,'Data Transformation'!$G$24:$G$404),'Bin Analysis and Plots'!F318))</f>
        <v>0</v>
      </c>
      <c r="H318">
        <f>IF(ISLOGICAL(F318),"",G318-G317)</f>
        <v>0</v>
      </c>
      <c r="I318">
        <f>Weighting!$G$6</f>
        <v>1</v>
      </c>
      <c r="J318" s="7">
        <f t="array" ref="J318">FREQUENCY(IF('Data Transformation'!$B$4:$B$404=D315,'Data Transformation'!$G$4:$G$404),'Bin Analysis and Plots'!$D318)</f>
        <v>0</v>
      </c>
      <c r="K318" s="7">
        <f>J318-J317</f>
        <v>0</v>
      </c>
      <c r="L318" s="7">
        <f>IF(K318=0,0,1)</f>
        <v>0</v>
      </c>
      <c r="M318" s="22" t="e">
        <f>L318*Weighting!$V$6</f>
        <v>#NUM!</v>
      </c>
    </row>
    <row r="319" spans="1:20" x14ac:dyDescent="0.25">
      <c r="A319" s="45" t="b">
        <f t="array" ref="A319">IF(ISERROR(INDEX('Data Transformation'!$B$4:$G$450,SMALL(IF('Data Transformation'!$B$4:$B$450='Bin Analysis and Plots'!D315,ROW('Data Transformation'!$B$4:$B$450)),ROW($2:$2))-3,3)),"",INDEX('Data Transformation'!$B$4:$G$450,SMALL(IF('Data Transformation'!$B$4:$B$450='Bin Analysis and Plots'!D315,ROW('Data Transformation'!$B$4:$B$450)),ROW($2:$2))-3,6))</f>
        <v>0</v>
      </c>
      <c r="B319" s="45" t="str">
        <f>IFERROR(SMALL(A318:A337,'Data Transformation'!$L$7),"")</f>
        <v/>
      </c>
      <c r="C319" s="61" t="str">
        <f>IF(Weighting!$O$7&gt;0,D319,"")</f>
        <v/>
      </c>
      <c r="D319" t="e">
        <f>Weighting!$C$7</f>
        <v>#DIV/0!</v>
      </c>
      <c r="E319" t="e">
        <f>Weighting!$E$7</f>
        <v>#NUM!</v>
      </c>
      <c r="F319" t="e">
        <f>IF(E319=1,'Data Transformation'!$G$3+0.5*'Data Transformation'!$R$25,IF(E320=1,F320-'Data Transformation'!$R$25,FALSE))</f>
        <v>#NUM!</v>
      </c>
      <c r="G319">
        <f t="array" ref="G319">IF(ISLOGICAL(F319),"",FREQUENCY(IF('Data Transformation'!$B$24:$B$404='Bin Analysis and Plots'!$D$315,'Data Transformation'!$G$24:$G$404),'Bin Analysis and Plots'!F319))</f>
        <v>0</v>
      </c>
      <c r="H319">
        <f t="shared" ref="H319:H337" si="51">IF(ISLOGICAL(F319),"",G319-G318)</f>
        <v>0</v>
      </c>
      <c r="I319">
        <f>Weighting!$G$7</f>
        <v>0</v>
      </c>
      <c r="J319" s="7">
        <f t="array" ref="J319">FREQUENCY(IF('Data Transformation'!$B$4:$B$404=D315,'Data Transformation'!$G$4:$G$404),'Bin Analysis and Plots'!$D319)</f>
        <v>0</v>
      </c>
      <c r="K319" s="7">
        <f t="shared" ref="K319:K337" si="52">J319-J318</f>
        <v>0</v>
      </c>
      <c r="L319" s="7">
        <f>IF(K319=0,0,1)</f>
        <v>0</v>
      </c>
      <c r="M319" s="22">
        <f>L319*Weighting!$V$7</f>
        <v>0</v>
      </c>
    </row>
    <row r="320" spans="1:20" x14ac:dyDescent="0.25">
      <c r="A320" s="45" t="b">
        <f t="array" ref="A320">IF(ISERROR(INDEX('Data Transformation'!$B$4:$G$450,SMALL(IF('Data Transformation'!$B$4:$B$450='Bin Analysis and Plots'!D315,ROW('Data Transformation'!$B$4:$B$450)),ROW($3:$3))-3,3)),"",INDEX('Data Transformation'!$B$4:$G$450,SMALL(IF('Data Transformation'!$B$4:$B$450='Bin Analysis and Plots'!D315,ROW('Data Transformation'!$B$4:$B$450)),ROW($3:$3))-3,6))</f>
        <v>0</v>
      </c>
      <c r="B320" s="45" t="str">
        <f>IFERROR(SMALL(A318:A337,'Data Transformation'!$L$8),"")</f>
        <v/>
      </c>
      <c r="C320" s="61" t="str">
        <f>IF(Weighting!$O$8&gt;0,D320,"")</f>
        <v/>
      </c>
      <c r="D320" t="e">
        <f>Weighting!$C$8</f>
        <v>#DIV/0!</v>
      </c>
      <c r="E320" t="e">
        <f>Weighting!$E$8</f>
        <v>#NUM!</v>
      </c>
      <c r="F320" t="e">
        <f>IF(E320=1,'Data Transformation'!$G$3+0.5*'Data Transformation'!$R$25,IF(E321=1,F321-'Data Transformation'!$R$25,FALSE))</f>
        <v>#NUM!</v>
      </c>
      <c r="G320">
        <f t="array" ref="G320">IF(ISLOGICAL(F320),"",FREQUENCY(IF('Data Transformation'!$B$24:$B$404='Bin Analysis and Plots'!$D$315,'Data Transformation'!$G$24:$G$404),'Bin Analysis and Plots'!F320))</f>
        <v>0</v>
      </c>
      <c r="H320">
        <f t="shared" si="51"/>
        <v>0</v>
      </c>
      <c r="I320">
        <f>Weighting!$G$8</f>
        <v>0</v>
      </c>
      <c r="J320" s="7">
        <f t="array" ref="J320">FREQUENCY(IF('Data Transformation'!$B$4:$B$404=D315,'Data Transformation'!$G$4:$G$404),'Bin Analysis and Plots'!$D320)</f>
        <v>0</v>
      </c>
      <c r="K320" s="7">
        <f t="shared" si="52"/>
        <v>0</v>
      </c>
      <c r="L320" s="7">
        <f t="shared" ref="L320:L337" si="53">IF(K320=0,0,1)</f>
        <v>0</v>
      </c>
      <c r="M320" s="22">
        <f>L320*Weighting!$V$8</f>
        <v>0</v>
      </c>
    </row>
    <row r="321" spans="1:13" x14ac:dyDescent="0.25">
      <c r="A321" s="45" t="b">
        <f t="array" ref="A321">IF(ISERROR(INDEX('Data Transformation'!$B$4:$G$450,SMALL(IF('Data Transformation'!$B$4:$B$450='Bin Analysis and Plots'!D315,ROW('Data Transformation'!$B$4:$B$450)),ROW($4:$4))-3,3)),"",INDEX('Data Transformation'!$B$4:$G$450,SMALL(IF('Data Transformation'!$B$4:$B$450='Bin Analysis and Plots'!D315,ROW('Data Transformation'!$B$4:$B$450)),ROW($4:$4))-3,6))</f>
        <v>0</v>
      </c>
      <c r="B321" s="45" t="str">
        <f>IFERROR(SMALL(A318:A337,'Data Transformation'!$L$9),"")</f>
        <v/>
      </c>
      <c r="C321" s="61" t="str">
        <f>IF(Weighting!$O$9&gt;0,D321,"")</f>
        <v/>
      </c>
      <c r="D321" t="e">
        <f>Weighting!$B$9</f>
        <v>#DIV/0!</v>
      </c>
      <c r="E321" t="e">
        <f>Weighting!$E$9</f>
        <v>#NUM!</v>
      </c>
      <c r="F321" t="e">
        <f>IF(E321=1,'Data Transformation'!$G$3+0.5*'Data Transformation'!$R$25,IF(E322=1,F322-'Data Transformation'!$R$25,FALSE))</f>
        <v>#NUM!</v>
      </c>
      <c r="G321">
        <f t="array" ref="G321">IF(ISLOGICAL(F321),"",FREQUENCY(IF('Data Transformation'!$B$24:$B$404='Bin Analysis and Plots'!$D$315,'Data Transformation'!$G$24:$G$404),'Bin Analysis and Plots'!F321))</f>
        <v>0</v>
      </c>
      <c r="H321">
        <f t="shared" si="51"/>
        <v>0</v>
      </c>
      <c r="I321">
        <f>Weighting!$G$9</f>
        <v>0</v>
      </c>
      <c r="J321" s="7">
        <f t="array" ref="J321">FREQUENCY(IF('Data Transformation'!$B$4:$B$404=D315,'Data Transformation'!$G$4:$G$404),'Bin Analysis and Plots'!$D321)</f>
        <v>0</v>
      </c>
      <c r="K321" s="7">
        <f t="shared" si="52"/>
        <v>0</v>
      </c>
      <c r="L321" s="7">
        <f t="shared" si="53"/>
        <v>0</v>
      </c>
      <c r="M321" s="22">
        <f>L321*Weighting!$V$9</f>
        <v>0</v>
      </c>
    </row>
    <row r="322" spans="1:13" x14ac:dyDescent="0.25">
      <c r="A322" s="45" t="b">
        <f t="array" ref="A322">IF(ISERROR(INDEX('Data Transformation'!$B$4:$G$450,SMALL(IF('Data Transformation'!$B$4:$B$450='Bin Analysis and Plots'!D315,ROW('Data Transformation'!$B$4:$B$450)),ROW($5:$5))-3,3)),"",INDEX('Data Transformation'!$B$4:$G$450,SMALL(IF('Data Transformation'!$B$4:$B$450='Bin Analysis and Plots'!D315,ROW('Data Transformation'!$B$4:$B$450)),ROW($5:$5))-3,6))</f>
        <v>0</v>
      </c>
      <c r="B322" s="45" t="str">
        <f>IFERROR(SMALL(A318:A337,'Data Transformation'!$L$10),"")</f>
        <v/>
      </c>
      <c r="C322" s="61" t="str">
        <f>IF(Weighting!$O$10&gt;0,D322,"")</f>
        <v/>
      </c>
      <c r="D322" t="e">
        <f>Weighting!$C$10</f>
        <v>#DIV/0!</v>
      </c>
      <c r="E322" t="e">
        <f>Weighting!$E$10</f>
        <v>#NUM!</v>
      </c>
      <c r="F322" t="e">
        <f>IF(E322=1,'Data Transformation'!$G$3+0.5*'Data Transformation'!$R$25,IF(E323=1,F323-'Data Transformation'!$R$25,FALSE))</f>
        <v>#NUM!</v>
      </c>
      <c r="G322">
        <f t="array" ref="G322">IF(ISLOGICAL(F322),"",FREQUENCY(IF('Data Transformation'!$B$24:$B$404='Bin Analysis and Plots'!$D$315,'Data Transformation'!$G$24:$G$404),'Bin Analysis and Plots'!F322))</f>
        <v>0</v>
      </c>
      <c r="H322">
        <f t="shared" si="51"/>
        <v>0</v>
      </c>
      <c r="I322">
        <f>Weighting!$G$10</f>
        <v>0</v>
      </c>
      <c r="J322" s="7">
        <f t="array" ref="J322">FREQUENCY(IF('Data Transformation'!$B$4:$B$404=D315,'Data Transformation'!$G$4:$G$404),'Bin Analysis and Plots'!$D322)</f>
        <v>0</v>
      </c>
      <c r="K322" s="7">
        <f t="shared" si="52"/>
        <v>0</v>
      </c>
      <c r="L322" s="7">
        <f t="shared" si="53"/>
        <v>0</v>
      </c>
      <c r="M322" s="22">
        <f>L322*Weighting!$V$10</f>
        <v>0</v>
      </c>
    </row>
    <row r="323" spans="1:13" x14ac:dyDescent="0.25">
      <c r="A323" s="45" t="b">
        <f t="array" ref="A323">IF(ISERROR(INDEX('Data Transformation'!$B$4:$G$450,SMALL(IF('Data Transformation'!$B$4:$B$450='Bin Analysis and Plots'!D315,ROW('Data Transformation'!$B$4:$B$450)),ROW($6:$6))-3,3)),"",INDEX('Data Transformation'!$B$4:$G$450,SMALL(IF('Data Transformation'!$B$4:$B$450='Bin Analysis and Plots'!D315,ROW('Data Transformation'!$B$4:$B$450)),ROW($6:$6))-3,6))</f>
        <v>0</v>
      </c>
      <c r="B323" s="45" t="str">
        <f>IFERROR(SMALL(A318:A337,'Data Transformation'!$L$11),"")</f>
        <v/>
      </c>
      <c r="C323" s="61" t="str">
        <f>IF(Weighting!$O$11&gt;0,D323,"")</f>
        <v/>
      </c>
      <c r="D323" t="e">
        <f>Weighting!$C$11</f>
        <v>#DIV/0!</v>
      </c>
      <c r="E323" t="e">
        <f>Weighting!$E$11</f>
        <v>#NUM!</v>
      </c>
      <c r="F323" t="e">
        <f>IF(E323=1,'Data Transformation'!$G$3+0.5*'Data Transformation'!$R$25,IF(E324=1,F324-'Data Transformation'!$R$25,FALSE))</f>
        <v>#NUM!</v>
      </c>
      <c r="G323">
        <f t="array" ref="G323">IF(ISLOGICAL(F323),"",FREQUENCY(IF('Data Transformation'!$B$24:$B$404='Bin Analysis and Plots'!$D$315,'Data Transformation'!$G$24:$G$404),'Bin Analysis and Plots'!F323))</f>
        <v>0</v>
      </c>
      <c r="H323">
        <f t="shared" si="51"/>
        <v>0</v>
      </c>
      <c r="I323">
        <f>Weighting!$G$11</f>
        <v>0</v>
      </c>
      <c r="J323" s="7">
        <f t="array" ref="J323">FREQUENCY(IF('Data Transformation'!$B$4:$B$404=D315,'Data Transformation'!$G$4:$G$404),'Bin Analysis and Plots'!$D323)</f>
        <v>0</v>
      </c>
      <c r="K323" s="7">
        <f t="shared" si="52"/>
        <v>0</v>
      </c>
      <c r="L323" s="7">
        <f t="shared" si="53"/>
        <v>0</v>
      </c>
      <c r="M323" s="22">
        <f>L323*Weighting!$V$11</f>
        <v>0</v>
      </c>
    </row>
    <row r="324" spans="1:13" x14ac:dyDescent="0.25">
      <c r="A324" s="45" t="b">
        <f t="array" ref="A324">IF(ISERROR(INDEX('Data Transformation'!$B$4:$G$450,SMALL(IF('Data Transformation'!$B$4:$B$450='Bin Analysis and Plots'!D315,ROW('Data Transformation'!$B$4:$B$450)),ROW($7:$7))-3,3)),"",INDEX('Data Transformation'!$B$4:$G$450,SMALL(IF('Data Transformation'!$B$4:$B$450='Bin Analysis and Plots'!D315,ROW('Data Transformation'!$B$4:$B$450)),ROW($7:$7))-3,6))</f>
        <v>0</v>
      </c>
      <c r="B324" s="45" t="str">
        <f>IFERROR(SMALL(A318:A337,'Data Transformation'!$L$12),"")</f>
        <v/>
      </c>
      <c r="C324" s="61" t="str">
        <f>IF(Weighting!$O$12&gt;0,D324,"")</f>
        <v/>
      </c>
      <c r="D324" t="e">
        <f>Weighting!$C$12</f>
        <v>#DIV/0!</v>
      </c>
      <c r="E324" t="e">
        <f>Weighting!$E$12</f>
        <v>#NUM!</v>
      </c>
      <c r="F324" t="e">
        <f>IF(E324=1,'Data Transformation'!$G$3+0.5*'Data Transformation'!$R$25,IF(E325=1,F325-'Data Transformation'!$R$25,FALSE))</f>
        <v>#NUM!</v>
      </c>
      <c r="G324">
        <f t="array" ref="G324">IF(ISLOGICAL(F324),"",FREQUENCY(IF('Data Transformation'!$B$24:$B$404='Bin Analysis and Plots'!$D$315,'Data Transformation'!$G$24:$G$404),'Bin Analysis and Plots'!F324))</f>
        <v>0</v>
      </c>
      <c r="H324">
        <f t="shared" si="51"/>
        <v>0</v>
      </c>
      <c r="I324">
        <f>Weighting!$G$12</f>
        <v>0</v>
      </c>
      <c r="J324" s="7">
        <f t="array" ref="J324">FREQUENCY(IF('Data Transformation'!$B$4:$B$404=D315,'Data Transformation'!$G$4:$G$404),'Bin Analysis and Plots'!$D324)</f>
        <v>0</v>
      </c>
      <c r="K324" s="7">
        <f t="shared" si="52"/>
        <v>0</v>
      </c>
      <c r="L324" s="7">
        <f t="shared" si="53"/>
        <v>0</v>
      </c>
      <c r="M324" s="22">
        <f>L324*Weighting!$V$12</f>
        <v>0</v>
      </c>
    </row>
    <row r="325" spans="1:13" x14ac:dyDescent="0.25">
      <c r="A325" s="45" t="b">
        <f t="array" ref="A325">IF(ISERROR(INDEX('Data Transformation'!$B$4:$G$450,SMALL(IF('Data Transformation'!$B$4:$B$450='Bin Analysis and Plots'!D315,ROW('Data Transformation'!$B$4:$B$450)),ROW($8:$8))-3,3)),"",INDEX('Data Transformation'!$B$4:$G$450,SMALL(IF('Data Transformation'!$B$4:$B$450='Bin Analysis and Plots'!D315,ROW('Data Transformation'!$B$4:$B$450)),ROW($8:$8))-3,6))</f>
        <v>0</v>
      </c>
      <c r="B325" s="45" t="str">
        <f>IFERROR(SMALL(A318:A337,'Data Transformation'!$L$13),"")</f>
        <v/>
      </c>
      <c r="C325" s="61" t="str">
        <f>IF(Weighting!$O$13&gt;0,D325,"")</f>
        <v/>
      </c>
      <c r="D325" t="e">
        <f>Weighting!$C$13</f>
        <v>#DIV/0!</v>
      </c>
      <c r="E325" t="e">
        <f>Weighting!$E$13</f>
        <v>#NUM!</v>
      </c>
      <c r="F325" t="e">
        <f>IF(E325=1,'Data Transformation'!$G$3+0.5*'Data Transformation'!$R$25,IF(E326=1,F326-'Data Transformation'!$R$25,FALSE))</f>
        <v>#NUM!</v>
      </c>
      <c r="G325">
        <f t="array" ref="G325">IF(ISLOGICAL(F325),"",FREQUENCY(IF('Data Transformation'!$B$24:$B$404='Bin Analysis and Plots'!$D$315,'Data Transformation'!$G$24:$G$404),'Bin Analysis and Plots'!F325))</f>
        <v>0</v>
      </c>
      <c r="H325">
        <f t="shared" si="51"/>
        <v>0</v>
      </c>
      <c r="I325">
        <f>Weighting!$G$13</f>
        <v>0</v>
      </c>
      <c r="J325" s="7">
        <f t="array" ref="J325">FREQUENCY(IF('Data Transformation'!$B$4:$B$404=D315,'Data Transformation'!$G$4:$G$404),'Bin Analysis and Plots'!$D325)</f>
        <v>0</v>
      </c>
      <c r="K325" s="7">
        <f t="shared" si="52"/>
        <v>0</v>
      </c>
      <c r="L325" s="7">
        <f t="shared" si="53"/>
        <v>0</v>
      </c>
      <c r="M325" s="22">
        <f>L325*Weighting!$V$13</f>
        <v>0</v>
      </c>
    </row>
    <row r="326" spans="1:13" x14ac:dyDescent="0.25">
      <c r="A326" s="45" t="b">
        <f t="array" ref="A326">IF(ISERROR(INDEX('Data Transformation'!$B$4:$G$450,SMALL(IF('Data Transformation'!$B$4:$B$450='Bin Analysis and Plots'!D315,ROW('Data Transformation'!$B$4:$B$450)),ROW($9:$9))-3,3)),"",INDEX('Data Transformation'!$B$4:$G$450,SMALL(IF('Data Transformation'!$B$4:$B$450='Bin Analysis and Plots'!D315,ROW('Data Transformation'!$B$4:$B$450)),ROW($9:$9))-3,6))</f>
        <v>0</v>
      </c>
      <c r="B326" s="45" t="str">
        <f>IFERROR(SMALL(A318:A337,'Data Transformation'!$L$14),"")</f>
        <v/>
      </c>
      <c r="C326" s="61" t="str">
        <f>IF(Weighting!$O$14&gt;0,D326,"")</f>
        <v/>
      </c>
      <c r="D326" t="e">
        <f>Weighting!$C$14</f>
        <v>#DIV/0!</v>
      </c>
      <c r="E326" t="e">
        <f>Weighting!$E$14</f>
        <v>#NUM!</v>
      </c>
      <c r="F326" t="e">
        <f>IF(E326=1,'Data Transformation'!$G$3+0.5*'Data Transformation'!$R$25,IF(E327=1,F327-'Data Transformation'!$R$25,FALSE))</f>
        <v>#NUM!</v>
      </c>
      <c r="G326">
        <f t="array" ref="G326">IF(ISLOGICAL(F326),"",FREQUENCY(IF('Data Transformation'!$B$24:$B$404='Bin Analysis and Plots'!$D$315,'Data Transformation'!$G$24:$G$404),'Bin Analysis and Plots'!F326))</f>
        <v>0</v>
      </c>
      <c r="H326">
        <f t="shared" si="51"/>
        <v>0</v>
      </c>
      <c r="I326">
        <f>Weighting!$G$14</f>
        <v>0</v>
      </c>
      <c r="J326" s="7">
        <f t="array" ref="J326">FREQUENCY(IF('Data Transformation'!$B$4:$B$404=D315,'Data Transformation'!$G$4:$G$404),'Bin Analysis and Plots'!$D326)</f>
        <v>0</v>
      </c>
      <c r="K326" s="7">
        <f t="shared" si="52"/>
        <v>0</v>
      </c>
      <c r="L326" s="7">
        <f t="shared" si="53"/>
        <v>0</v>
      </c>
      <c r="M326" s="22">
        <f>L326*Weighting!$V$14</f>
        <v>0</v>
      </c>
    </row>
    <row r="327" spans="1:13" x14ac:dyDescent="0.25">
      <c r="A327" s="45" t="b">
        <f t="array" ref="A327">IF(ISERROR(INDEX('Data Transformation'!$B$4:$G$450,SMALL(IF('Data Transformation'!$B$4:$B$450='Bin Analysis and Plots'!D315,ROW('Data Transformation'!$B$4:$B$450)),ROW($10:$10))-3,3)),"",INDEX('Data Transformation'!$B$4:$G$450,SMALL(IF('Data Transformation'!$B$4:$B$450='Bin Analysis and Plots'!D315,ROW('Data Transformation'!$B$4:$B$450)),ROW($10:$10))-3,6))</f>
        <v>0</v>
      </c>
      <c r="B327" s="45" t="str">
        <f>IFERROR(SMALL(A318:A337,'Data Transformation'!$L$15),"")</f>
        <v/>
      </c>
      <c r="C327" s="61" t="str">
        <f>IF(Weighting!$O$15&gt;0,D327,"")</f>
        <v/>
      </c>
      <c r="D327" t="e">
        <f>Weighting!$C$15</f>
        <v>#DIV/0!</v>
      </c>
      <c r="E327" t="e">
        <f>Weighting!$E$15</f>
        <v>#NUM!</v>
      </c>
      <c r="F327" t="e">
        <f>IF(E327=1,'Data Transformation'!$G$3+0.5*'Data Transformation'!$R$25,IF(E328=1,F328-'Data Transformation'!$R$25,FALSE))</f>
        <v>#NUM!</v>
      </c>
      <c r="G327">
        <f t="array" ref="G327">IF(ISLOGICAL(F327),"",FREQUENCY(IF('Data Transformation'!$B$24:$B$404='Bin Analysis and Plots'!$D$315,'Data Transformation'!$G$24:$G$404),'Bin Analysis and Plots'!F327))</f>
        <v>0</v>
      </c>
      <c r="H327">
        <f t="shared" si="51"/>
        <v>0</v>
      </c>
      <c r="I327">
        <f>Weighting!$G$15</f>
        <v>0</v>
      </c>
      <c r="J327" s="7">
        <f t="array" ref="J327">FREQUENCY(IF('Data Transformation'!$B$4:$B$404=D315,'Data Transformation'!$G$4:$G$404),'Bin Analysis and Plots'!$D327)</f>
        <v>0</v>
      </c>
      <c r="K327" s="7">
        <f t="shared" si="52"/>
        <v>0</v>
      </c>
      <c r="L327" s="7">
        <f t="shared" si="53"/>
        <v>0</v>
      </c>
      <c r="M327" s="22">
        <f>L327*Weighting!$V$15</f>
        <v>0</v>
      </c>
    </row>
    <row r="328" spans="1:13" x14ac:dyDescent="0.25">
      <c r="A328" s="45" t="b">
        <f t="array" ref="A328">IF(ISERROR(INDEX('Data Transformation'!$B$4:$G$450,SMALL(IF('Data Transformation'!$B$4:$B$450='Bin Analysis and Plots'!D315,ROW('Data Transformation'!$B$4:$B$450)),ROW($11:$11))-3,3)),"",INDEX('Data Transformation'!$B$4:$G$450,SMALL(IF('Data Transformation'!$B$4:$B$450='Bin Analysis and Plots'!D315,ROW('Data Transformation'!$B$4:$B$450)),ROW($11:$11))-3,6))</f>
        <v>0</v>
      </c>
      <c r="B328" s="45" t="str">
        <f>IFERROR(SMALL(A318:A337,'Data Transformation'!$L$16),"")</f>
        <v/>
      </c>
      <c r="C328" s="61" t="str">
        <f>IF(Weighting!$O$16&gt;0,D328,"")</f>
        <v/>
      </c>
      <c r="D328" t="e">
        <f>Weighting!$C$16</f>
        <v>#DIV/0!</v>
      </c>
      <c r="E328" t="e">
        <f>Weighting!$E$16</f>
        <v>#NUM!</v>
      </c>
      <c r="F328" t="e">
        <f>IF(E328=1,'Data Transformation'!$G$3+0.5*'Data Transformation'!$R$25,IF(E329=1,F329-'Data Transformation'!$R$25,FALSE))</f>
        <v>#NUM!</v>
      </c>
      <c r="G328">
        <f t="array" ref="G328">IF(ISLOGICAL(F328),"",FREQUENCY(IF('Data Transformation'!$B$24:$B$404='Bin Analysis and Plots'!$D$315,'Data Transformation'!$G$24:$G$404),'Bin Analysis and Plots'!F328))</f>
        <v>0</v>
      </c>
      <c r="H328">
        <f t="shared" si="51"/>
        <v>0</v>
      </c>
      <c r="I328">
        <f>Weighting!$G$16</f>
        <v>0</v>
      </c>
      <c r="J328" s="7">
        <f t="array" ref="J328">FREQUENCY(IF('Data Transformation'!$B$4:$B$404=D315,'Data Transformation'!$G$4:$G$404),'Bin Analysis and Plots'!$D328)</f>
        <v>0</v>
      </c>
      <c r="K328" s="7">
        <f t="shared" si="52"/>
        <v>0</v>
      </c>
      <c r="L328" s="7">
        <f t="shared" si="53"/>
        <v>0</v>
      </c>
      <c r="M328" s="22">
        <f>L328*Weighting!$V$16</f>
        <v>0</v>
      </c>
    </row>
    <row r="329" spans="1:13" x14ac:dyDescent="0.25">
      <c r="A329" s="45" t="b">
        <f t="array" ref="A329">IF(ISERROR(INDEX('Data Transformation'!$B$4:$G$450,SMALL(IF('Data Transformation'!$B$4:$B$450='Bin Analysis and Plots'!D315,ROW('Data Transformation'!$B$4:$B$450)),ROW($12:$12))-3,3)),"",INDEX('Data Transformation'!$B$4:$G$450,SMALL(IF('Data Transformation'!$B$4:$B$450='Bin Analysis and Plots'!D315,ROW('Data Transformation'!$B$4:$B$450)),ROW($12:$12))-3,6))</f>
        <v>0</v>
      </c>
      <c r="B329" s="45" t="str">
        <f>IFERROR(SMALL(A318:A337,'Data Transformation'!$L$17),"")</f>
        <v/>
      </c>
      <c r="C329" s="61" t="str">
        <f>IF(Weighting!$O$17&gt;0,D329,"")</f>
        <v/>
      </c>
      <c r="D329" t="e">
        <f>Weighting!$C$17</f>
        <v>#DIV/0!</v>
      </c>
      <c r="E329" t="e">
        <f>Weighting!$E$17</f>
        <v>#NUM!</v>
      </c>
      <c r="F329" t="e">
        <f>IF(E329=1,'Data Transformation'!$G$3+0.5*'Data Transformation'!$R$25,IF(E330=1,F330-'Data Transformation'!$R$25,FALSE))</f>
        <v>#NUM!</v>
      </c>
      <c r="G329">
        <f t="array" ref="G329">IF(ISLOGICAL(F329),"",FREQUENCY(IF('Data Transformation'!$B$24:$B$404='Bin Analysis and Plots'!$D$315,'Data Transformation'!$G$24:$G$404),'Bin Analysis and Plots'!F329))</f>
        <v>0</v>
      </c>
      <c r="H329">
        <f t="shared" si="51"/>
        <v>0</v>
      </c>
      <c r="I329">
        <f>Weighting!$G$17</f>
        <v>0</v>
      </c>
      <c r="J329" s="7">
        <f t="array" ref="J329">FREQUENCY(IF('Data Transformation'!$B$4:$B$404=D315,'Data Transformation'!$G$4:$G$404),'Bin Analysis and Plots'!$D329)</f>
        <v>0</v>
      </c>
      <c r="K329" s="7">
        <f t="shared" si="52"/>
        <v>0</v>
      </c>
      <c r="L329" s="7">
        <f t="shared" si="53"/>
        <v>0</v>
      </c>
      <c r="M329" s="22">
        <f>L329*Weighting!$V$17</f>
        <v>0</v>
      </c>
    </row>
    <row r="330" spans="1:13" x14ac:dyDescent="0.25">
      <c r="A330" s="45" t="b">
        <f t="array" ref="A330">IF(ISERROR(INDEX('Data Transformation'!$B$4:$G$450,SMALL(IF('Data Transformation'!$B$4:$B$450='Bin Analysis and Plots'!D315,ROW('Data Transformation'!$B$4:$B$450)),ROW($13:$13))-3,3)),"",INDEX('Data Transformation'!$B$4:$G$450,SMALL(IF('Data Transformation'!$B$4:$B$450='Bin Analysis and Plots'!D315,ROW('Data Transformation'!$B$4:$B$450)),ROW($13:$13))-3,6))</f>
        <v>0</v>
      </c>
      <c r="B330" s="45" t="str">
        <f>IFERROR(SMALL(A318:A337,'Data Transformation'!$L$18),"")</f>
        <v/>
      </c>
      <c r="C330" s="61" t="str">
        <f>IF(Weighting!$O$18&gt;0,D330,"")</f>
        <v/>
      </c>
      <c r="D330" t="e">
        <f>Weighting!$C$18</f>
        <v>#DIV/0!</v>
      </c>
      <c r="E330" t="e">
        <f>Weighting!$E$18</f>
        <v>#NUM!</v>
      </c>
      <c r="F330" t="e">
        <f>IF(E330=1,'Data Transformation'!$G$3+0.5*'Data Transformation'!$R$25,IF(E331=1,F331-'Data Transformation'!$R$25,FALSE))</f>
        <v>#NUM!</v>
      </c>
      <c r="G330">
        <f t="array" ref="G330">IF(ISLOGICAL(F330),"",FREQUENCY(IF('Data Transformation'!$B$24:$B$404='Bin Analysis and Plots'!$D$315,'Data Transformation'!$G$24:$G$404),'Bin Analysis and Plots'!F330))</f>
        <v>0</v>
      </c>
      <c r="H330">
        <f t="shared" si="51"/>
        <v>0</v>
      </c>
      <c r="I330">
        <f>Weighting!$G$18</f>
        <v>0</v>
      </c>
      <c r="J330" s="7">
        <f t="array" ref="J330">FREQUENCY(IF('Data Transformation'!$B$4:$B$404=D315,'Data Transformation'!$G$4:$G$404),'Bin Analysis and Plots'!$D330)</f>
        <v>0</v>
      </c>
      <c r="K330" s="7">
        <f t="shared" si="52"/>
        <v>0</v>
      </c>
      <c r="L330" s="7">
        <f t="shared" si="53"/>
        <v>0</v>
      </c>
      <c r="M330" s="22">
        <f>L330*Weighting!$V$18</f>
        <v>0</v>
      </c>
    </row>
    <row r="331" spans="1:13" x14ac:dyDescent="0.25">
      <c r="A331" s="45" t="b">
        <f t="array" ref="A331">IF(ISERROR(INDEX('Data Transformation'!$B$4:$G$450,SMALL(IF('Data Transformation'!$B$4:$B$450='Bin Analysis and Plots'!D315,ROW('Data Transformation'!$B$4:$B$450)),ROW($14:$14))-3,3)),"",INDEX('Data Transformation'!$B$4:$G$450,SMALL(IF('Data Transformation'!$B$4:$B$450='Bin Analysis and Plots'!D315,ROW('Data Transformation'!$B$4:$B$450)),ROW($14:$14))-3,6))</f>
        <v>0</v>
      </c>
      <c r="B331" s="45" t="str">
        <f>IFERROR(SMALL(A318:A337,'Data Transformation'!$L$19),"")</f>
        <v/>
      </c>
      <c r="C331" s="61" t="str">
        <f>IF(Weighting!$O$19&gt;0,D331,"")</f>
        <v/>
      </c>
      <c r="D331" t="e">
        <f>Weighting!$C$19</f>
        <v>#DIV/0!</v>
      </c>
      <c r="E331" t="e">
        <f>Weighting!$E$19</f>
        <v>#NUM!</v>
      </c>
      <c r="F331" t="e">
        <f>IF(E331=1,'Data Transformation'!$G$3+0.5*'Data Transformation'!$R$25,IF(E332=1,F332-'Data Transformation'!$R$25,FALSE))</f>
        <v>#NUM!</v>
      </c>
      <c r="G331">
        <f t="array" ref="G331">IF(ISLOGICAL(F331),"",FREQUENCY(IF('Data Transformation'!$B$24:$B$404='Bin Analysis and Plots'!$D$315,'Data Transformation'!$G$24:$G$404),'Bin Analysis and Plots'!F331))</f>
        <v>0</v>
      </c>
      <c r="H331">
        <f t="shared" si="51"/>
        <v>0</v>
      </c>
      <c r="I331">
        <f>Weighting!$G$19</f>
        <v>0</v>
      </c>
      <c r="J331" s="7">
        <f t="array" ref="J331">FREQUENCY(IF('Data Transformation'!$B$4:$B$404=D315,'Data Transformation'!$G$4:$G$404),'Bin Analysis and Plots'!$D331)</f>
        <v>0</v>
      </c>
      <c r="K331" s="7">
        <f t="shared" si="52"/>
        <v>0</v>
      </c>
      <c r="L331" s="7">
        <f t="shared" si="53"/>
        <v>0</v>
      </c>
      <c r="M331" s="22">
        <f>L331*Weighting!$V$19</f>
        <v>0</v>
      </c>
    </row>
    <row r="332" spans="1:13" x14ac:dyDescent="0.25">
      <c r="A332" s="45" t="b">
        <f t="array" ref="A332">IF(ISERROR(INDEX('Data Transformation'!$B$4:$G$450,SMALL(IF('Data Transformation'!$B$4:$B$450='Bin Analysis and Plots'!D315,ROW('Data Transformation'!$B$4:$B$450)),ROW($15:$15))-3,3)),"",INDEX('Data Transformation'!$B$4:$G$450,SMALL(IF('Data Transformation'!$B$4:$B$450='Bin Analysis and Plots'!D315,ROW('Data Transformation'!$B$4:$B$450)),ROW($15:$15))-3,6))</f>
        <v>0</v>
      </c>
      <c r="B332" s="45" t="str">
        <f>IFERROR(SMALL(A318:A337,'Data Transformation'!$L$20),"")</f>
        <v/>
      </c>
      <c r="C332" s="61" t="str">
        <f>IF(Weighting!$O$20&gt;0,D332,"")</f>
        <v/>
      </c>
      <c r="D332" t="e">
        <f>Weighting!$C$20</f>
        <v>#DIV/0!</v>
      </c>
      <c r="E332" t="e">
        <f>Weighting!$E$20</f>
        <v>#NUM!</v>
      </c>
      <c r="F332" t="e">
        <f>IF(E332=1,'Data Transformation'!$G$3+0.5*'Data Transformation'!$R$25,IF(E333=1,F333-'Data Transformation'!$R$25,FALSE))</f>
        <v>#NUM!</v>
      </c>
      <c r="G332">
        <f t="array" ref="G332">IF(ISLOGICAL(F332),"",FREQUENCY(IF('Data Transformation'!$B$24:$B$404='Bin Analysis and Plots'!$D$315,'Data Transformation'!$G$24:$G$404),'Bin Analysis and Plots'!F332))</f>
        <v>0</v>
      </c>
      <c r="H332">
        <f t="shared" si="51"/>
        <v>0</v>
      </c>
      <c r="I332">
        <f>Weighting!$G$20</f>
        <v>0</v>
      </c>
      <c r="J332" s="7">
        <f t="array" ref="J332">FREQUENCY(IF('Data Transformation'!$B$4:$B$404=D315,'Data Transformation'!$G$4:$G$404),'Bin Analysis and Plots'!$D332)</f>
        <v>0</v>
      </c>
      <c r="K332" s="7">
        <f t="shared" si="52"/>
        <v>0</v>
      </c>
      <c r="L332" s="7">
        <f t="shared" si="53"/>
        <v>0</v>
      </c>
      <c r="M332" s="22">
        <f>L332*Weighting!$V$20</f>
        <v>0</v>
      </c>
    </row>
    <row r="333" spans="1:13" x14ac:dyDescent="0.25">
      <c r="A333" s="45" t="b">
        <f t="array" ref="A333">IF(ISERROR(INDEX('Data Transformation'!$B$4:$G$450,SMALL(IF('Data Transformation'!$B$4:$B$450='Bin Analysis and Plots'!D315,ROW('Data Transformation'!$B$4:$B$450)),ROW($16:$16))-3,3)),"",INDEX('Data Transformation'!$B$4:$G$450,SMALL(IF('Data Transformation'!$B$4:$B$450='Bin Analysis and Plots'!D315,ROW('Data Transformation'!$B$4:$B$450)),ROW($16:$16))-3,6))</f>
        <v>0</v>
      </c>
      <c r="B333" s="45" t="str">
        <f>IFERROR(SMALL(A318:A337,'Data Transformation'!$L$21),"")</f>
        <v/>
      </c>
      <c r="C333" s="61" t="str">
        <f>IF(Weighting!$O$21&gt;0,D333,"")</f>
        <v/>
      </c>
      <c r="D333" t="e">
        <f>Weighting!$C$21</f>
        <v>#DIV/0!</v>
      </c>
      <c r="E333" t="e">
        <f>Weighting!$E$21</f>
        <v>#NUM!</v>
      </c>
      <c r="F333" t="e">
        <f>IF(E333=1,'Data Transformation'!$G$3+0.5*'Data Transformation'!$R$25,IF(E334=1,F334-'Data Transformation'!$R$25,FALSE))</f>
        <v>#NUM!</v>
      </c>
      <c r="G333">
        <f t="array" ref="G333">IF(ISLOGICAL(F333),"",FREQUENCY(IF('Data Transformation'!$B$24:$B$404='Bin Analysis and Plots'!$D$315,'Data Transformation'!$G$24:$G$404),'Bin Analysis and Plots'!F333))</f>
        <v>0</v>
      </c>
      <c r="H333">
        <f t="shared" si="51"/>
        <v>0</v>
      </c>
      <c r="I333">
        <f>Weighting!$G$21</f>
        <v>0</v>
      </c>
      <c r="J333" s="7">
        <f t="array" ref="J333">FREQUENCY(IF('Data Transformation'!$B$4:$B$404=D315,'Data Transformation'!$G$4:$G$404),'Bin Analysis and Plots'!$D333)</f>
        <v>0</v>
      </c>
      <c r="K333" s="7">
        <f t="shared" si="52"/>
        <v>0</v>
      </c>
      <c r="L333" s="7">
        <f t="shared" si="53"/>
        <v>0</v>
      </c>
      <c r="M333" s="22">
        <f>L333*Weighting!$V$21</f>
        <v>0</v>
      </c>
    </row>
    <row r="334" spans="1:13" x14ac:dyDescent="0.25">
      <c r="A334" s="45" t="b">
        <f t="array" ref="A334">IF(ISERROR(INDEX('Data Transformation'!$B$4:$G$450,SMALL(IF('Data Transformation'!$B$4:$B$450='Bin Analysis and Plots'!D315,ROW('Data Transformation'!$B$4:$B$450)),ROW($17:$17))-3,3)),"",INDEX('Data Transformation'!$B$4:$G$450,SMALL(IF('Data Transformation'!$B$4:$B$450='Bin Analysis and Plots'!D315,ROW('Data Transformation'!$B$4:$B$450)),ROW($17:$17))-3,6))</f>
        <v>0</v>
      </c>
      <c r="B334" s="45" t="str">
        <f>IFERROR(SMALL(A318:A337,'Data Transformation'!$L$22),"")</f>
        <v/>
      </c>
      <c r="C334" s="61" t="str">
        <f>IF(Weighting!$O$22&gt;0,D334,"")</f>
        <v/>
      </c>
      <c r="D334" t="e">
        <f>Weighting!$C$22</f>
        <v>#DIV/0!</v>
      </c>
      <c r="E334" t="e">
        <f>Weighting!$E$22</f>
        <v>#NUM!</v>
      </c>
      <c r="F334" t="e">
        <f>IF(E334=1,'Data Transformation'!$G$3+0.5*'Data Transformation'!$R$25,IF(E335=1,F335-'Data Transformation'!$R$25,FALSE))</f>
        <v>#NUM!</v>
      </c>
      <c r="G334">
        <f t="array" ref="G334">IF(ISLOGICAL(F334),"",FREQUENCY(IF('Data Transformation'!$B$24:$B$404='Bin Analysis and Plots'!$D$315,'Data Transformation'!$G$24:$G$404),'Bin Analysis and Plots'!F334))</f>
        <v>0</v>
      </c>
      <c r="H334">
        <f t="shared" si="51"/>
        <v>0</v>
      </c>
      <c r="I334">
        <f>Weighting!$G$22</f>
        <v>0</v>
      </c>
      <c r="J334" s="7">
        <f t="array" ref="J334">FREQUENCY(IF('Data Transformation'!$B$4:$B$404=D315,'Data Transformation'!$G$4:$G$404),'Bin Analysis and Plots'!$D334)</f>
        <v>0</v>
      </c>
      <c r="K334" s="7">
        <f t="shared" si="52"/>
        <v>0</v>
      </c>
      <c r="L334" s="7">
        <f t="shared" si="53"/>
        <v>0</v>
      </c>
      <c r="M334" s="22">
        <f>L334*Weighting!$V$22</f>
        <v>0</v>
      </c>
    </row>
    <row r="335" spans="1:13" x14ac:dyDescent="0.25">
      <c r="A335" s="45" t="b">
        <f t="array" ref="A335">IF(ISERROR(INDEX('Data Transformation'!$B$4:$G$450,SMALL(IF('Data Transformation'!$B$4:$B$450='Bin Analysis and Plots'!D315,ROW('Data Transformation'!$B$4:$B$450)),ROW($18:$18))-3,3)),"",INDEX('Data Transformation'!$B$4:$G$450,SMALL(IF('Data Transformation'!$B$4:$B$450='Bin Analysis and Plots'!D315,ROW('Data Transformation'!$B$4:$B$450)),ROW($18:$18))-3,6))</f>
        <v>0</v>
      </c>
      <c r="B335" s="45" t="str">
        <f>IFERROR(SMALL(A318:A337,'Data Transformation'!$L$23),"")</f>
        <v/>
      </c>
      <c r="C335" s="61" t="str">
        <f>IF(Weighting!$O$23&gt;0,D335,"")</f>
        <v/>
      </c>
      <c r="D335" t="e">
        <f>Weighting!$C$23</f>
        <v>#DIV/0!</v>
      </c>
      <c r="E335" t="e">
        <f>Weighting!$E$23</f>
        <v>#NUM!</v>
      </c>
      <c r="F335" t="e">
        <f>IF(E335=1,'Data Transformation'!$G$3+0.5*'Data Transformation'!$R$25,IF(E336=1,F336-'Data Transformation'!$R$25,FALSE))</f>
        <v>#NUM!</v>
      </c>
      <c r="G335">
        <f t="array" ref="G335">IF(ISLOGICAL(F335),"",FREQUENCY(IF('Data Transformation'!$B$24:$B$404='Bin Analysis and Plots'!$D$315,'Data Transformation'!$G$24:$G$404),'Bin Analysis and Plots'!F335))</f>
        <v>0</v>
      </c>
      <c r="H335">
        <f t="shared" si="51"/>
        <v>0</v>
      </c>
      <c r="I335">
        <f>Weighting!$G$23</f>
        <v>0</v>
      </c>
      <c r="J335" s="7">
        <f t="array" ref="J335">FREQUENCY(IF('Data Transformation'!$B$4:$B$404=D315,'Data Transformation'!$G$4:$G$404),'Bin Analysis and Plots'!$D335)</f>
        <v>0</v>
      </c>
      <c r="K335" s="7">
        <f t="shared" si="52"/>
        <v>0</v>
      </c>
      <c r="L335" s="7">
        <f t="shared" si="53"/>
        <v>0</v>
      </c>
      <c r="M335" s="22">
        <f>L335*Weighting!$V$23</f>
        <v>0</v>
      </c>
    </row>
    <row r="336" spans="1:13" x14ac:dyDescent="0.25">
      <c r="A336" s="45" t="str">
        <f>IF(ISERROR(INDEX('Data Transformation'!$B$4:$G$450,SMALL(IF('Data Transformation'!$B$4:$B$450='Bin Analysis and Plots'!D315,ROW('Data Transformation'!$B$4:$B$450)),ROW($19:$19))-3,3)),"",INDEX('Data Transformation'!$B$4:$G$450,SMALL(IF('Data Transformation'!$B$4:$B$450='Bin Analysis and Plots'!D315,ROW('Data Transformation'!$B$4:$B$450)),ROW($19:$19))-3,6))</f>
        <v/>
      </c>
      <c r="B336" s="45" t="str">
        <f>IFERROR(SMALL(A318:A337,'Data Transformation'!$L$24),"")</f>
        <v/>
      </c>
      <c r="C336" s="61" t="str">
        <f>IF(Weighting!$O$24&gt;0,D336,"")</f>
        <v/>
      </c>
      <c r="D336" t="e">
        <f>Weighting!$C$24</f>
        <v>#DIV/0!</v>
      </c>
      <c r="E336" t="e">
        <f>Weighting!$E$24</f>
        <v>#NUM!</v>
      </c>
      <c r="F336" t="e">
        <f>IF(E336=1,'Data Transformation'!$G$3+0.5*'Data Transformation'!$R$25,IF(E337=1,F337-'Data Transformation'!$R$25,FALSE))</f>
        <v>#NUM!</v>
      </c>
      <c r="G336">
        <f t="array" ref="G336">IF(ISLOGICAL(F336),"",FREQUENCY(IF('Data Transformation'!$B$24:$B$404='Bin Analysis and Plots'!$D$315,'Data Transformation'!$G$24:$G$404),'Bin Analysis and Plots'!F336))</f>
        <v>0</v>
      </c>
      <c r="H336">
        <f t="shared" si="51"/>
        <v>0</v>
      </c>
      <c r="I336">
        <f>Weighting!$G$24</f>
        <v>0</v>
      </c>
      <c r="J336" s="7">
        <f t="array" ref="J336">FREQUENCY(IF('Data Transformation'!$B$4:$B$404=D315,'Data Transformation'!$G$4:$G$404),'Bin Analysis and Plots'!$D336)</f>
        <v>0</v>
      </c>
      <c r="K336" s="7">
        <f t="shared" si="52"/>
        <v>0</v>
      </c>
      <c r="L336" s="7">
        <f t="shared" si="53"/>
        <v>0</v>
      </c>
      <c r="M336" s="22">
        <f>L336*Weighting!$V$24</f>
        <v>0</v>
      </c>
    </row>
    <row r="337" spans="1:20" x14ac:dyDescent="0.25">
      <c r="A337" s="45" t="b">
        <f t="array" ref="A337">IF(ISERROR(INDEX('Data Transformation'!$B$4:$G$450,SMALL(IF('Data Transformation'!$B$4:$B$450='Bin Analysis and Plots'!D315,ROW('Data Transformation'!$B$4:$B$450)),ROW($20:$20))-3,3)),"",INDEX('Data Transformation'!$B$4:$G$450,SMALL(IF('Data Transformation'!$B$4:$B$450='Bin Analysis and Plots'!D315,ROW('Data Transformation'!$B$4:$B$450)),ROW($20:$20))-3,6))</f>
        <v>0</v>
      </c>
      <c r="B337" s="45" t="str">
        <f>IFERROR(SMALL(A318:A337,'Data Transformation'!$L$25),"")</f>
        <v/>
      </c>
      <c r="C337" s="61" t="str">
        <f>IF(Weighting!$O$25&gt;0,D337,"")</f>
        <v/>
      </c>
      <c r="D337" t="e">
        <f>Weighting!$C$25</f>
        <v>#DIV/0!</v>
      </c>
      <c r="E337" t="e">
        <f>Weighting!$E$25</f>
        <v>#NUM!</v>
      </c>
      <c r="F337" t="e">
        <f>IF(E337=1,'Data Transformation'!$G$3+0.5*'Data Transformation'!$R$25,IF(E338=1,F338-'Data Transformation'!$R$25,FALSE))</f>
        <v>#NUM!</v>
      </c>
      <c r="G337">
        <f t="array" ref="G337">IF(ISLOGICAL(F337),"",FREQUENCY(IF('Data Transformation'!$B$24:$B$404='Bin Analysis and Plots'!$D$315,'Data Transformation'!$G$24:$G$404),'Bin Analysis and Plots'!F337))</f>
        <v>0</v>
      </c>
      <c r="H337">
        <f t="shared" si="51"/>
        <v>0</v>
      </c>
      <c r="I337">
        <f>Weighting!$G$25</f>
        <v>0</v>
      </c>
      <c r="J337" s="7">
        <f t="array" ref="J337">FREQUENCY(IF('Data Transformation'!$B$4:$B$404=D315,'Data Transformation'!$G$4:$G$404),'Bin Analysis and Plots'!$D337)</f>
        <v>0</v>
      </c>
      <c r="K337" s="7">
        <f t="shared" si="52"/>
        <v>0</v>
      </c>
      <c r="L337" s="7">
        <f t="shared" si="53"/>
        <v>0</v>
      </c>
      <c r="M337" s="22">
        <f>L337*Weighting!$V$25</f>
        <v>0</v>
      </c>
    </row>
    <row r="338" spans="1:20" x14ac:dyDescent="0.25">
      <c r="C338" s="60" t="str">
        <f t="shared" si="50"/>
        <v/>
      </c>
    </row>
    <row r="339" spans="1:20" ht="23.25" x14ac:dyDescent="0.35">
      <c r="C339" s="46" t="s">
        <v>0</v>
      </c>
      <c r="D339" s="46" t="str">
        <f>'Input and Summary Results'!G21</f>
        <v xml:space="preserve"> </v>
      </c>
      <c r="E339" s="46"/>
      <c r="F339" s="46"/>
      <c r="G339" s="46"/>
      <c r="H339" s="46"/>
      <c r="I339" s="46"/>
      <c r="J339" s="47"/>
      <c r="K339" s="47"/>
      <c r="L339" s="47"/>
      <c r="M339" s="46"/>
      <c r="N339" s="46"/>
      <c r="O339" s="57" t="e">
        <f>INDEX('Data Transformation'!$O$4:$O$25,MATCH($D339,'Data Transformation'!$M$4:$M$25,0),MATCH($O$2,'Data Transformation'!$O$3,0))</f>
        <v>#N/A</v>
      </c>
      <c r="P339" s="52" t="e">
        <f>IF(O339=FALSE,NA(),(VLOOKUP(1,E342:M361,4,FALSE))/(O339-1))</f>
        <v>#N/A</v>
      </c>
      <c r="Q339" s="52" t="e">
        <f>IF(O339=FALSE,NA(),SUM(L342:L361)/Weighting!$R$5)</f>
        <v>#N/A</v>
      </c>
      <c r="R339" s="52" t="e">
        <f>IF(O339=FALSE,NA(),SUM(M342:M361)/Weighting!$R$6)</f>
        <v>#N/A</v>
      </c>
      <c r="S339" s="52" t="e">
        <f>IF(O339=FALSE,NA(),(VLOOKUP(1,I342:M361,3,FALSE))/(O339-1))</f>
        <v>#N/A</v>
      </c>
      <c r="T339" s="57" t="e">
        <f>IF(O339=FALSE,NA(),IF(SUM(L342:L361)=2,"yes","no"))</f>
        <v>#N/A</v>
      </c>
    </row>
    <row r="340" spans="1:20" x14ac:dyDescent="0.25">
      <c r="A340" s="96" t="s">
        <v>64</v>
      </c>
      <c r="B340" s="96"/>
      <c r="C340" s="58" t="s">
        <v>72</v>
      </c>
      <c r="D340" t="s">
        <v>50</v>
      </c>
      <c r="E340" t="s">
        <v>5</v>
      </c>
      <c r="I340" t="s">
        <v>75</v>
      </c>
      <c r="J340" s="7" t="s">
        <v>34</v>
      </c>
      <c r="K340" s="7" t="s">
        <v>35</v>
      </c>
      <c r="L340" s="7" t="s">
        <v>49</v>
      </c>
      <c r="M340" s="21" t="s">
        <v>48</v>
      </c>
    </row>
    <row r="341" spans="1:20" x14ac:dyDescent="0.25">
      <c r="C341" s="60" t="str">
        <f t="shared" ref="C341:C362" si="54">IF(B341="","",D341)</f>
        <v/>
      </c>
      <c r="F341" t="e">
        <f>IF(E341=1,'Data Transformation'!$G$3+0.5*'Data Transformation'!$R$25,IF(E342=1,F342-'Data Transformation'!$R$25,FALSE))</f>
        <v>#NUM!</v>
      </c>
      <c r="G341">
        <f t="array" ref="G341">IF(ISLOGICAL(F341),"",FREQUENCY(IF('Data Transformation'!$B$24:$B$404='Bin Analysis and Plots'!$D$339,'Data Transformation'!$G$24:$G$404),'Bin Analysis and Plots'!F341))</f>
        <v>0</v>
      </c>
      <c r="H341">
        <f>IF(ISLOGICAL(F341),"",G341-G340)</f>
        <v>0</v>
      </c>
    </row>
    <row r="342" spans="1:20" x14ac:dyDescent="0.25">
      <c r="A342" s="45" t="b">
        <f t="array" ref="A342">IF(ISERROR(INDEX('Data Transformation'!$B$4:$G$450,SMALL(IF('Data Transformation'!$B$4:$B$450='Bin Analysis and Plots'!D339,ROW('Data Transformation'!$B$4:$B$450)),ROW($1:$1))-3,3)),"",INDEX('Data Transformation'!$B$4:$G$450,SMALL(IF('Data Transformation'!$B$4:$B$450='Bin Analysis and Plots'!D339,ROW('Data Transformation'!$B$4:$B$450)),ROW($1:$1))-3,6))</f>
        <v>0</v>
      </c>
      <c r="B342" s="45" t="str">
        <f>IFERROR(SMALL(A342:A361,'Data Transformation'!$L$6),"")</f>
        <v/>
      </c>
      <c r="C342" s="61" t="e">
        <f>IF(Weighting!$O$6&gt;0,D342,"")</f>
        <v>#NUM!</v>
      </c>
      <c r="D342" t="e">
        <f>Weighting!$C$6</f>
        <v>#DIV/0!</v>
      </c>
      <c r="E342" t="e">
        <f>Weighting!$E$6</f>
        <v>#NUM!</v>
      </c>
      <c r="F342" t="e">
        <f>IF(E342=1,'Data Transformation'!$G$3+0.5*'Data Transformation'!$R$25,IF(E343=1,F343-'Data Transformation'!$R$25,FALSE))</f>
        <v>#NUM!</v>
      </c>
      <c r="G342">
        <f t="array" ref="G342">IF(ISLOGICAL(F342),"",FREQUENCY(IF('Data Transformation'!$B$24:$B$404='Bin Analysis and Plots'!$D$339,'Data Transformation'!$G$24:$G$404),'Bin Analysis and Plots'!F342))</f>
        <v>0</v>
      </c>
      <c r="H342">
        <f>IF(ISLOGICAL(F342),"",G342-G341)</f>
        <v>0</v>
      </c>
      <c r="I342">
        <f>Weighting!$G$6</f>
        <v>1</v>
      </c>
      <c r="J342" s="7">
        <f t="array" ref="J342">FREQUENCY(IF('Data Transformation'!$B$4:$B$404=D339,'Data Transformation'!$G$4:$G$404),'Bin Analysis and Plots'!$D342)</f>
        <v>0</v>
      </c>
      <c r="K342" s="7">
        <f>J342-J341</f>
        <v>0</v>
      </c>
      <c r="L342" s="7">
        <f>IF(K342=0,0,1)</f>
        <v>0</v>
      </c>
      <c r="M342" s="22" t="e">
        <f>L342*Weighting!$V$6</f>
        <v>#NUM!</v>
      </c>
    </row>
    <row r="343" spans="1:20" x14ac:dyDescent="0.25">
      <c r="A343" s="45" t="b">
        <f t="array" ref="A343">IF(ISERROR(INDEX('Data Transformation'!$B$4:$G$450,SMALL(IF('Data Transformation'!$B$4:$B$450='Bin Analysis and Plots'!D339,ROW('Data Transformation'!$B$4:$B$450)),ROW($2:$2))-3,3)),"",INDEX('Data Transformation'!$B$4:$G$450,SMALL(IF('Data Transformation'!$B$4:$B$450='Bin Analysis and Plots'!D339,ROW('Data Transformation'!$B$4:$B$450)),ROW($2:$2))-3,6))</f>
        <v>0</v>
      </c>
      <c r="B343" s="45" t="str">
        <f>IFERROR(SMALL(A342:A361,'Data Transformation'!$L$7),"")</f>
        <v/>
      </c>
      <c r="C343" s="61" t="str">
        <f>IF(Weighting!$O$7&gt;0,D343,"")</f>
        <v/>
      </c>
      <c r="D343" t="e">
        <f>Weighting!$C$7</f>
        <v>#DIV/0!</v>
      </c>
      <c r="E343" t="e">
        <f>Weighting!$E$7</f>
        <v>#NUM!</v>
      </c>
      <c r="F343" t="e">
        <f>IF(E343=1,'Data Transformation'!$G$3+0.5*'Data Transformation'!$R$25,IF(E344=1,F344-'Data Transformation'!$R$25,FALSE))</f>
        <v>#NUM!</v>
      </c>
      <c r="G343">
        <f t="array" ref="G343">IF(ISLOGICAL(F343),"",FREQUENCY(IF('Data Transformation'!$B$24:$B$404='Bin Analysis and Plots'!$D$339,'Data Transformation'!$G$24:$G$404),'Bin Analysis and Plots'!F343))</f>
        <v>0</v>
      </c>
      <c r="H343">
        <f t="shared" ref="H343:H361" si="55">IF(ISLOGICAL(F343),"",G343-G342)</f>
        <v>0</v>
      </c>
      <c r="I343">
        <f>Weighting!$G$7</f>
        <v>0</v>
      </c>
      <c r="J343" s="7">
        <f t="array" ref="J343">FREQUENCY(IF('Data Transformation'!$B$4:$B$404=D339,'Data Transformation'!$G$4:$G$404),'Bin Analysis and Plots'!$D343)</f>
        <v>0</v>
      </c>
      <c r="K343" s="7">
        <f t="shared" ref="K343:K361" si="56">J343-J342</f>
        <v>0</v>
      </c>
      <c r="L343" s="7">
        <f>IF(K343=0,0,1)</f>
        <v>0</v>
      </c>
      <c r="M343" s="22">
        <f>L343*Weighting!$V$7</f>
        <v>0</v>
      </c>
    </row>
    <row r="344" spans="1:20" x14ac:dyDescent="0.25">
      <c r="A344" s="45" t="b">
        <f t="array" ref="A344">IF(ISERROR(INDEX('Data Transformation'!$B$4:$G$450,SMALL(IF('Data Transformation'!$B$4:$B$450='Bin Analysis and Plots'!D339,ROW('Data Transformation'!$B$4:$B$450)),ROW($3:$3))-3,3)),"",INDEX('Data Transformation'!$B$4:$G$450,SMALL(IF('Data Transformation'!$B$4:$B$450='Bin Analysis and Plots'!D339,ROW('Data Transformation'!$B$4:$B$450)),ROW($3:$3))-3,6))</f>
        <v>0</v>
      </c>
      <c r="B344" s="45" t="str">
        <f>IFERROR(SMALL(A342:A361,'Data Transformation'!$L$8),"")</f>
        <v/>
      </c>
      <c r="C344" s="61" t="str">
        <f>IF(Weighting!$O$8&gt;0,D344,"")</f>
        <v/>
      </c>
      <c r="D344" t="e">
        <f>Weighting!$C$8</f>
        <v>#DIV/0!</v>
      </c>
      <c r="E344" t="e">
        <f>Weighting!$E$8</f>
        <v>#NUM!</v>
      </c>
      <c r="F344" t="e">
        <f>IF(E344=1,'Data Transformation'!$G$3+0.5*'Data Transformation'!$R$25,IF(E345=1,F345-'Data Transformation'!$R$25,FALSE))</f>
        <v>#NUM!</v>
      </c>
      <c r="G344">
        <f t="array" ref="G344">IF(ISLOGICAL(F344),"",FREQUENCY(IF('Data Transformation'!$B$24:$B$404='Bin Analysis and Plots'!$D$339,'Data Transformation'!$G$24:$G$404),'Bin Analysis and Plots'!F344))</f>
        <v>0</v>
      </c>
      <c r="H344">
        <f t="shared" si="55"/>
        <v>0</v>
      </c>
      <c r="I344">
        <f>Weighting!$G$8</f>
        <v>0</v>
      </c>
      <c r="J344" s="7">
        <f t="array" ref="J344">FREQUENCY(IF('Data Transformation'!$B$4:$B$404=D339,'Data Transformation'!$G$4:$G$404),'Bin Analysis and Plots'!$D344)</f>
        <v>0</v>
      </c>
      <c r="K344" s="7">
        <f t="shared" si="56"/>
        <v>0</v>
      </c>
      <c r="L344" s="7">
        <f t="shared" ref="L344:L361" si="57">IF(K344=0,0,1)</f>
        <v>0</v>
      </c>
      <c r="M344" s="22">
        <f>L344*Weighting!$V$8</f>
        <v>0</v>
      </c>
    </row>
    <row r="345" spans="1:20" x14ac:dyDescent="0.25">
      <c r="A345" s="45" t="b">
        <f t="array" ref="A345">IF(ISERROR(INDEX('Data Transformation'!$B$4:$G$450,SMALL(IF('Data Transformation'!$B$4:$B$450='Bin Analysis and Plots'!D339,ROW('Data Transformation'!$B$4:$B$450)),ROW($4:$4))-3,3)),"",INDEX('Data Transformation'!$B$4:$G$450,SMALL(IF('Data Transformation'!$B$4:$B$450='Bin Analysis and Plots'!D339,ROW('Data Transformation'!$B$4:$B$450)),ROW($4:$4))-3,6))</f>
        <v>0</v>
      </c>
      <c r="B345" s="45" t="str">
        <f>IFERROR(SMALL(A342:A361,'Data Transformation'!$L$9),"")</f>
        <v/>
      </c>
      <c r="C345" s="61" t="str">
        <f>IF(Weighting!$O$9&gt;0,D345,"")</f>
        <v/>
      </c>
      <c r="D345" t="e">
        <f>Weighting!$B$9</f>
        <v>#DIV/0!</v>
      </c>
      <c r="E345" t="e">
        <f>Weighting!$E$9</f>
        <v>#NUM!</v>
      </c>
      <c r="F345" t="e">
        <f>IF(E345=1,'Data Transformation'!$G$3+0.5*'Data Transformation'!$R$25,IF(E346=1,F346-'Data Transformation'!$R$25,FALSE))</f>
        <v>#NUM!</v>
      </c>
      <c r="G345">
        <f t="array" ref="G345">IF(ISLOGICAL(F345),"",FREQUENCY(IF('Data Transformation'!$B$24:$B$404='Bin Analysis and Plots'!$D$339,'Data Transformation'!$G$24:$G$404),'Bin Analysis and Plots'!F345))</f>
        <v>0</v>
      </c>
      <c r="H345">
        <f t="shared" si="55"/>
        <v>0</v>
      </c>
      <c r="I345">
        <f>Weighting!$G$9</f>
        <v>0</v>
      </c>
      <c r="J345" s="7">
        <f t="array" ref="J345">FREQUENCY(IF('Data Transformation'!$B$4:$B$404=D339,'Data Transformation'!$G$4:$G$404),'Bin Analysis and Plots'!$D345)</f>
        <v>0</v>
      </c>
      <c r="K345" s="7">
        <f t="shared" si="56"/>
        <v>0</v>
      </c>
      <c r="L345" s="7">
        <f t="shared" si="57"/>
        <v>0</v>
      </c>
      <c r="M345" s="22">
        <f>L345*Weighting!$V$9</f>
        <v>0</v>
      </c>
    </row>
    <row r="346" spans="1:20" x14ac:dyDescent="0.25">
      <c r="A346" s="45" t="b">
        <f t="array" ref="A346">IF(ISERROR(INDEX('Data Transformation'!$B$4:$G$450,SMALL(IF('Data Transformation'!$B$4:$B$450='Bin Analysis and Plots'!D339,ROW('Data Transformation'!$B$4:$B$450)),ROW($5:$5))-3,3)),"",INDEX('Data Transformation'!$B$4:$G$450,SMALL(IF('Data Transformation'!$B$4:$B$450='Bin Analysis and Plots'!D339,ROW('Data Transformation'!$B$4:$B$450)),ROW($5:$5))-3,6))</f>
        <v>0</v>
      </c>
      <c r="B346" s="45" t="str">
        <f>IFERROR(SMALL(A342:A361,'Data Transformation'!$L$10),"")</f>
        <v/>
      </c>
      <c r="C346" s="61" t="str">
        <f>IF(Weighting!$O$10&gt;0,D346,"")</f>
        <v/>
      </c>
      <c r="D346" t="e">
        <f>Weighting!$C$10</f>
        <v>#DIV/0!</v>
      </c>
      <c r="E346" t="e">
        <f>Weighting!$E$10</f>
        <v>#NUM!</v>
      </c>
      <c r="F346" t="e">
        <f>IF(E346=1,'Data Transformation'!$G$3+0.5*'Data Transformation'!$R$25,IF(E347=1,F347-'Data Transformation'!$R$25,FALSE))</f>
        <v>#NUM!</v>
      </c>
      <c r="G346">
        <f t="array" ref="G346">IF(ISLOGICAL(F346),"",FREQUENCY(IF('Data Transformation'!$B$24:$B$404='Bin Analysis and Plots'!$D$339,'Data Transformation'!$G$24:$G$404),'Bin Analysis and Plots'!F346))</f>
        <v>0</v>
      </c>
      <c r="H346">
        <f t="shared" si="55"/>
        <v>0</v>
      </c>
      <c r="I346">
        <f>Weighting!$G$10</f>
        <v>0</v>
      </c>
      <c r="J346" s="7">
        <f t="array" ref="J346">FREQUENCY(IF('Data Transformation'!$B$4:$B$404=D339,'Data Transformation'!$G$4:$G$404),'Bin Analysis and Plots'!$D346)</f>
        <v>0</v>
      </c>
      <c r="K346" s="7">
        <f t="shared" si="56"/>
        <v>0</v>
      </c>
      <c r="L346" s="7">
        <f t="shared" si="57"/>
        <v>0</v>
      </c>
      <c r="M346" s="22">
        <f>L346*Weighting!$V$10</f>
        <v>0</v>
      </c>
    </row>
    <row r="347" spans="1:20" x14ac:dyDescent="0.25">
      <c r="A347" s="45" t="b">
        <f t="array" ref="A347">IF(ISERROR(INDEX('Data Transformation'!$B$4:$G$450,SMALL(IF('Data Transformation'!$B$4:$B$450='Bin Analysis and Plots'!D339,ROW('Data Transformation'!$B$4:$B$450)),ROW($6:$6))-3,3)),"",INDEX('Data Transformation'!$B$4:$G$450,SMALL(IF('Data Transformation'!$B$4:$B$450='Bin Analysis and Plots'!D339,ROW('Data Transformation'!$B$4:$B$450)),ROW($6:$6))-3,6))</f>
        <v>0</v>
      </c>
      <c r="B347" s="45" t="str">
        <f>IFERROR(SMALL(A342:A361,'Data Transformation'!$L$11),"")</f>
        <v/>
      </c>
      <c r="C347" s="61" t="str">
        <f>IF(Weighting!$O$11&gt;0,D347,"")</f>
        <v/>
      </c>
      <c r="D347" t="e">
        <f>Weighting!$C$11</f>
        <v>#DIV/0!</v>
      </c>
      <c r="E347" t="e">
        <f>Weighting!$E$11</f>
        <v>#NUM!</v>
      </c>
      <c r="F347" t="e">
        <f>IF(E347=1,'Data Transformation'!$G$3+0.5*'Data Transformation'!$R$25,IF(E348=1,F348-'Data Transformation'!$R$25,FALSE))</f>
        <v>#NUM!</v>
      </c>
      <c r="G347">
        <f t="array" ref="G347">IF(ISLOGICAL(F347),"",FREQUENCY(IF('Data Transformation'!$B$24:$B$404='Bin Analysis and Plots'!$D$339,'Data Transformation'!$G$24:$G$404),'Bin Analysis and Plots'!F347))</f>
        <v>0</v>
      </c>
      <c r="H347">
        <f t="shared" si="55"/>
        <v>0</v>
      </c>
      <c r="I347">
        <f>Weighting!$G$11</f>
        <v>0</v>
      </c>
      <c r="J347" s="7">
        <f t="array" ref="J347">FREQUENCY(IF('Data Transformation'!$B$4:$B$404=D339,'Data Transformation'!$G$4:$G$404),'Bin Analysis and Plots'!$D347)</f>
        <v>0</v>
      </c>
      <c r="K347" s="7">
        <f t="shared" si="56"/>
        <v>0</v>
      </c>
      <c r="L347" s="7">
        <f t="shared" si="57"/>
        <v>0</v>
      </c>
      <c r="M347" s="22">
        <f>L347*Weighting!$V$11</f>
        <v>0</v>
      </c>
    </row>
    <row r="348" spans="1:20" x14ac:dyDescent="0.25">
      <c r="A348" s="45" t="b">
        <f t="array" ref="A348">IF(ISERROR(INDEX('Data Transformation'!$B$4:$G$450,SMALL(IF('Data Transformation'!$B$4:$B$450='Bin Analysis and Plots'!D339,ROW('Data Transformation'!$B$4:$B$450)),ROW($7:$7))-3,3)),"",INDEX('Data Transformation'!$B$4:$G$450,SMALL(IF('Data Transformation'!$B$4:$B$450='Bin Analysis and Plots'!D339,ROW('Data Transformation'!$B$4:$B$450)),ROW($7:$7))-3,6))</f>
        <v>0</v>
      </c>
      <c r="B348" s="45" t="str">
        <f>IFERROR(SMALL(A342:A361,'Data Transformation'!$L$12),"")</f>
        <v/>
      </c>
      <c r="C348" s="61" t="str">
        <f>IF(Weighting!$O$12&gt;0,D348,"")</f>
        <v/>
      </c>
      <c r="D348" t="e">
        <f>Weighting!$C$12</f>
        <v>#DIV/0!</v>
      </c>
      <c r="E348" t="e">
        <f>Weighting!$E$12</f>
        <v>#NUM!</v>
      </c>
      <c r="F348" t="e">
        <f>IF(E348=1,'Data Transformation'!$G$3+0.5*'Data Transformation'!$R$25,IF(E349=1,F349-'Data Transformation'!$R$25,FALSE))</f>
        <v>#NUM!</v>
      </c>
      <c r="G348">
        <f t="array" ref="G348">IF(ISLOGICAL(F348),"",FREQUENCY(IF('Data Transformation'!$B$24:$B$404='Bin Analysis and Plots'!$D$339,'Data Transformation'!$G$24:$G$404),'Bin Analysis and Plots'!F348))</f>
        <v>0</v>
      </c>
      <c r="H348">
        <f t="shared" si="55"/>
        <v>0</v>
      </c>
      <c r="I348">
        <f>Weighting!$G$12</f>
        <v>0</v>
      </c>
      <c r="J348" s="7">
        <f t="array" ref="J348">FREQUENCY(IF('Data Transformation'!$B$4:$B$404=D339,'Data Transformation'!$G$4:$G$404),'Bin Analysis and Plots'!$D348)</f>
        <v>0</v>
      </c>
      <c r="K348" s="7">
        <f t="shared" si="56"/>
        <v>0</v>
      </c>
      <c r="L348" s="7">
        <f t="shared" si="57"/>
        <v>0</v>
      </c>
      <c r="M348" s="22">
        <f>L348*Weighting!$V$12</f>
        <v>0</v>
      </c>
    </row>
    <row r="349" spans="1:20" x14ac:dyDescent="0.25">
      <c r="A349" s="45" t="b">
        <f t="array" ref="A349">IF(ISERROR(INDEX('Data Transformation'!$B$4:$G$450,SMALL(IF('Data Transformation'!$B$4:$B$450='Bin Analysis and Plots'!D339,ROW('Data Transformation'!$B$4:$B$450)),ROW($8:$8))-3,3)),"",INDEX('Data Transformation'!$B$4:$G$450,SMALL(IF('Data Transformation'!$B$4:$B$450='Bin Analysis and Plots'!D339,ROW('Data Transformation'!$B$4:$B$450)),ROW($8:$8))-3,6))</f>
        <v>0</v>
      </c>
      <c r="B349" s="45" t="str">
        <f>IFERROR(SMALL(A342:A361,'Data Transformation'!$L$13),"")</f>
        <v/>
      </c>
      <c r="C349" s="61" t="str">
        <f>IF(Weighting!$O$13&gt;0,D349,"")</f>
        <v/>
      </c>
      <c r="D349" t="e">
        <f>Weighting!$C$13</f>
        <v>#DIV/0!</v>
      </c>
      <c r="E349" t="e">
        <f>Weighting!$E$13</f>
        <v>#NUM!</v>
      </c>
      <c r="F349" t="e">
        <f>IF(E349=1,'Data Transformation'!$G$3+0.5*'Data Transformation'!$R$25,IF(E350=1,F350-'Data Transformation'!$R$25,FALSE))</f>
        <v>#NUM!</v>
      </c>
      <c r="G349">
        <f t="array" ref="G349">IF(ISLOGICAL(F349),"",FREQUENCY(IF('Data Transformation'!$B$24:$B$404='Bin Analysis and Plots'!$D$339,'Data Transformation'!$G$24:$G$404),'Bin Analysis and Plots'!F349))</f>
        <v>0</v>
      </c>
      <c r="H349">
        <f t="shared" si="55"/>
        <v>0</v>
      </c>
      <c r="I349">
        <f>Weighting!$G$13</f>
        <v>0</v>
      </c>
      <c r="J349" s="7">
        <f t="array" ref="J349">FREQUENCY(IF('Data Transformation'!$B$4:$B$404=D339,'Data Transformation'!$G$4:$G$404),'Bin Analysis and Plots'!$D349)</f>
        <v>0</v>
      </c>
      <c r="K349" s="7">
        <f t="shared" si="56"/>
        <v>0</v>
      </c>
      <c r="L349" s="7">
        <f t="shared" si="57"/>
        <v>0</v>
      </c>
      <c r="M349" s="22">
        <f>L349*Weighting!$V$13</f>
        <v>0</v>
      </c>
    </row>
    <row r="350" spans="1:20" x14ac:dyDescent="0.25">
      <c r="A350" s="45" t="b">
        <f t="array" ref="A350">IF(ISERROR(INDEX('Data Transformation'!$B$4:$G$450,SMALL(IF('Data Transformation'!$B$4:$B$450='Bin Analysis and Plots'!D339,ROW('Data Transformation'!$B$4:$B$450)),ROW($9:$9))-3,3)),"",INDEX('Data Transformation'!$B$4:$G$450,SMALL(IF('Data Transformation'!$B$4:$B$450='Bin Analysis and Plots'!D339,ROW('Data Transformation'!$B$4:$B$450)),ROW($9:$9))-3,6))</f>
        <v>0</v>
      </c>
      <c r="B350" s="45" t="str">
        <f>IFERROR(SMALL(A342:A361,'Data Transformation'!$L$14),"")</f>
        <v/>
      </c>
      <c r="C350" s="61" t="str">
        <f>IF(Weighting!$O$14&gt;0,D350,"")</f>
        <v/>
      </c>
      <c r="D350" t="e">
        <f>Weighting!$C$14</f>
        <v>#DIV/0!</v>
      </c>
      <c r="E350" t="e">
        <f>Weighting!$E$14</f>
        <v>#NUM!</v>
      </c>
      <c r="F350" t="e">
        <f>IF(E350=1,'Data Transformation'!$G$3+0.5*'Data Transformation'!$R$25,IF(E351=1,F351-'Data Transformation'!$R$25,FALSE))</f>
        <v>#NUM!</v>
      </c>
      <c r="G350">
        <f t="array" ref="G350">IF(ISLOGICAL(F350),"",FREQUENCY(IF('Data Transformation'!$B$24:$B$404='Bin Analysis and Plots'!$D$339,'Data Transformation'!$G$24:$G$404),'Bin Analysis and Plots'!F350))</f>
        <v>0</v>
      </c>
      <c r="H350">
        <f t="shared" si="55"/>
        <v>0</v>
      </c>
      <c r="I350">
        <f>Weighting!$G$14</f>
        <v>0</v>
      </c>
      <c r="J350" s="7">
        <f t="array" ref="J350">FREQUENCY(IF('Data Transformation'!$B$4:$B$404=D339,'Data Transformation'!$G$4:$G$404),'Bin Analysis and Plots'!$D350)</f>
        <v>0</v>
      </c>
      <c r="K350" s="7">
        <f t="shared" si="56"/>
        <v>0</v>
      </c>
      <c r="L350" s="7">
        <f t="shared" si="57"/>
        <v>0</v>
      </c>
      <c r="M350" s="22">
        <f>L350*Weighting!$V$14</f>
        <v>0</v>
      </c>
    </row>
    <row r="351" spans="1:20" x14ac:dyDescent="0.25">
      <c r="A351" s="45" t="b">
        <f t="array" ref="A351">IF(ISERROR(INDEX('Data Transformation'!$B$4:$G$450,SMALL(IF('Data Transformation'!$B$4:$B$450='Bin Analysis and Plots'!D339,ROW('Data Transformation'!$B$4:$B$450)),ROW($10:$10))-3,3)),"",INDEX('Data Transformation'!$B$4:$G$450,SMALL(IF('Data Transformation'!$B$4:$B$450='Bin Analysis and Plots'!D339,ROW('Data Transformation'!$B$4:$B$450)),ROW($10:$10))-3,6))</f>
        <v>0</v>
      </c>
      <c r="B351" s="45" t="str">
        <f>IFERROR(SMALL(A342:A361,'Data Transformation'!$L$15),"")</f>
        <v/>
      </c>
      <c r="C351" s="61" t="str">
        <f>IF(Weighting!$O$15&gt;0,D351,"")</f>
        <v/>
      </c>
      <c r="D351" t="e">
        <f>Weighting!$C$15</f>
        <v>#DIV/0!</v>
      </c>
      <c r="E351" t="e">
        <f>Weighting!$E$15</f>
        <v>#NUM!</v>
      </c>
      <c r="F351" t="e">
        <f>IF(E351=1,'Data Transformation'!$G$3+0.5*'Data Transformation'!$R$25,IF(E352=1,F352-'Data Transformation'!$R$25,FALSE))</f>
        <v>#NUM!</v>
      </c>
      <c r="G351">
        <f t="array" ref="G351">IF(ISLOGICAL(F351),"",FREQUENCY(IF('Data Transformation'!$B$24:$B$404='Bin Analysis and Plots'!$D$339,'Data Transformation'!$G$24:$G$404),'Bin Analysis and Plots'!F351))</f>
        <v>0</v>
      </c>
      <c r="H351">
        <f t="shared" si="55"/>
        <v>0</v>
      </c>
      <c r="I351">
        <f>Weighting!$G$15</f>
        <v>0</v>
      </c>
      <c r="J351" s="7">
        <f t="array" ref="J351">FREQUENCY(IF('Data Transformation'!$B$4:$B$404=D339,'Data Transformation'!$G$4:$G$404),'Bin Analysis and Plots'!$D351)</f>
        <v>0</v>
      </c>
      <c r="K351" s="7">
        <f t="shared" si="56"/>
        <v>0</v>
      </c>
      <c r="L351" s="7">
        <f t="shared" si="57"/>
        <v>0</v>
      </c>
      <c r="M351" s="22">
        <f>L351*Weighting!$V$15</f>
        <v>0</v>
      </c>
    </row>
    <row r="352" spans="1:20" x14ac:dyDescent="0.25">
      <c r="A352" s="45" t="b">
        <f t="array" ref="A352">IF(ISERROR(INDEX('Data Transformation'!$B$4:$G$450,SMALL(IF('Data Transformation'!$B$4:$B$450='Bin Analysis and Plots'!D339,ROW('Data Transformation'!$B$4:$B$450)),ROW($11:$11))-3,3)),"",INDEX('Data Transformation'!$B$4:$G$450,SMALL(IF('Data Transformation'!$B$4:$B$450='Bin Analysis and Plots'!D339,ROW('Data Transformation'!$B$4:$B$450)),ROW($11:$11))-3,6))</f>
        <v>0</v>
      </c>
      <c r="B352" s="45" t="str">
        <f>IFERROR(SMALL(A342:A361,'Data Transformation'!$L$16),"")</f>
        <v/>
      </c>
      <c r="C352" s="61" t="str">
        <f>IF(Weighting!$O$16&gt;0,D352,"")</f>
        <v/>
      </c>
      <c r="D352" t="e">
        <f>Weighting!$C$16</f>
        <v>#DIV/0!</v>
      </c>
      <c r="E352" t="e">
        <f>Weighting!$E$16</f>
        <v>#NUM!</v>
      </c>
      <c r="F352" t="e">
        <f>IF(E352=1,'Data Transformation'!$G$3+0.5*'Data Transformation'!$R$25,IF(E353=1,F353-'Data Transformation'!$R$25,FALSE))</f>
        <v>#NUM!</v>
      </c>
      <c r="G352">
        <f t="array" ref="G352">IF(ISLOGICAL(F352),"",FREQUENCY(IF('Data Transformation'!$B$24:$B$404='Bin Analysis and Plots'!$D$339,'Data Transformation'!$G$24:$G$404),'Bin Analysis and Plots'!F352))</f>
        <v>0</v>
      </c>
      <c r="H352">
        <f t="shared" si="55"/>
        <v>0</v>
      </c>
      <c r="I352">
        <f>Weighting!$G$16</f>
        <v>0</v>
      </c>
      <c r="J352" s="7">
        <f t="array" ref="J352">FREQUENCY(IF('Data Transformation'!$B$4:$B$404=D339,'Data Transformation'!$G$4:$G$404),'Bin Analysis and Plots'!$D352)</f>
        <v>0</v>
      </c>
      <c r="K352" s="7">
        <f t="shared" si="56"/>
        <v>0</v>
      </c>
      <c r="L352" s="7">
        <f t="shared" si="57"/>
        <v>0</v>
      </c>
      <c r="M352" s="22">
        <f>L352*Weighting!$V$16</f>
        <v>0</v>
      </c>
    </row>
    <row r="353" spans="1:20" x14ac:dyDescent="0.25">
      <c r="A353" s="45" t="b">
        <f t="array" ref="A353">IF(ISERROR(INDEX('Data Transformation'!$B$4:$G$450,SMALL(IF('Data Transformation'!$B$4:$B$450='Bin Analysis and Plots'!D339,ROW('Data Transformation'!$B$4:$B$450)),ROW($12:$12))-3,3)),"",INDEX('Data Transformation'!$B$4:$G$450,SMALL(IF('Data Transformation'!$B$4:$B$450='Bin Analysis and Plots'!D339,ROW('Data Transformation'!$B$4:$B$450)),ROW($12:$12))-3,6))</f>
        <v>0</v>
      </c>
      <c r="B353" s="45" t="str">
        <f>IFERROR(SMALL(A342:A361,'Data Transformation'!$L$17),"")</f>
        <v/>
      </c>
      <c r="C353" s="61" t="str">
        <f>IF(Weighting!$O$17&gt;0,D353,"")</f>
        <v/>
      </c>
      <c r="D353" t="e">
        <f>Weighting!$C$17</f>
        <v>#DIV/0!</v>
      </c>
      <c r="E353" t="e">
        <f>Weighting!$E$17</f>
        <v>#NUM!</v>
      </c>
      <c r="F353" t="e">
        <f>IF(E353=1,'Data Transformation'!$G$3+0.5*'Data Transformation'!$R$25,IF(E354=1,F354-'Data Transformation'!$R$25,FALSE))</f>
        <v>#NUM!</v>
      </c>
      <c r="G353">
        <f t="array" ref="G353">IF(ISLOGICAL(F353),"",FREQUENCY(IF('Data Transformation'!$B$24:$B$404='Bin Analysis and Plots'!$D$339,'Data Transformation'!$G$24:$G$404),'Bin Analysis and Plots'!F353))</f>
        <v>0</v>
      </c>
      <c r="H353">
        <f t="shared" si="55"/>
        <v>0</v>
      </c>
      <c r="I353">
        <f>Weighting!$G$17</f>
        <v>0</v>
      </c>
      <c r="J353" s="7">
        <f t="array" ref="J353">FREQUENCY(IF('Data Transformation'!$B$4:$B$404=D339,'Data Transformation'!$G$4:$G$404),'Bin Analysis and Plots'!$D353)</f>
        <v>0</v>
      </c>
      <c r="K353" s="7">
        <f t="shared" si="56"/>
        <v>0</v>
      </c>
      <c r="L353" s="7">
        <f t="shared" si="57"/>
        <v>0</v>
      </c>
      <c r="M353" s="22">
        <f>L353*Weighting!$V$17</f>
        <v>0</v>
      </c>
    </row>
    <row r="354" spans="1:20" x14ac:dyDescent="0.25">
      <c r="A354" s="45" t="b">
        <f t="array" ref="A354">IF(ISERROR(INDEX('Data Transformation'!$B$4:$G$450,SMALL(IF('Data Transformation'!$B$4:$B$450='Bin Analysis and Plots'!D339,ROW('Data Transformation'!$B$4:$B$450)),ROW($13:$13))-3,3)),"",INDEX('Data Transformation'!$B$4:$G$450,SMALL(IF('Data Transformation'!$B$4:$B$450='Bin Analysis and Plots'!D339,ROW('Data Transformation'!$B$4:$B$450)),ROW($13:$13))-3,6))</f>
        <v>0</v>
      </c>
      <c r="B354" s="45" t="str">
        <f>IFERROR(SMALL(A342:A361,'Data Transformation'!$L$18),"")</f>
        <v/>
      </c>
      <c r="C354" s="61" t="str">
        <f>IF(Weighting!$O$18&gt;0,D354,"")</f>
        <v/>
      </c>
      <c r="D354" t="e">
        <f>Weighting!$C$18</f>
        <v>#DIV/0!</v>
      </c>
      <c r="E354" t="e">
        <f>Weighting!$E$18</f>
        <v>#NUM!</v>
      </c>
      <c r="F354" t="e">
        <f>IF(E354=1,'Data Transformation'!$G$3+0.5*'Data Transformation'!$R$25,IF(E355=1,F355-'Data Transformation'!$R$25,FALSE))</f>
        <v>#NUM!</v>
      </c>
      <c r="G354">
        <f t="array" ref="G354">IF(ISLOGICAL(F354),"",FREQUENCY(IF('Data Transformation'!$B$24:$B$404='Bin Analysis and Plots'!$D$339,'Data Transformation'!$G$24:$G$404),'Bin Analysis and Plots'!F354))</f>
        <v>0</v>
      </c>
      <c r="H354">
        <f t="shared" si="55"/>
        <v>0</v>
      </c>
      <c r="I354">
        <f>Weighting!$G$18</f>
        <v>0</v>
      </c>
      <c r="J354" s="7">
        <f t="array" ref="J354">FREQUENCY(IF('Data Transformation'!$B$4:$B$404=D339,'Data Transformation'!$G$4:$G$404),'Bin Analysis and Plots'!$D354)</f>
        <v>0</v>
      </c>
      <c r="K354" s="7">
        <f t="shared" si="56"/>
        <v>0</v>
      </c>
      <c r="L354" s="7">
        <f t="shared" si="57"/>
        <v>0</v>
      </c>
      <c r="M354" s="22">
        <f>L354*Weighting!$V$18</f>
        <v>0</v>
      </c>
    </row>
    <row r="355" spans="1:20" x14ac:dyDescent="0.25">
      <c r="A355" s="45" t="b">
        <f t="array" ref="A355">IF(ISERROR(INDEX('Data Transformation'!$B$4:$G$450,SMALL(IF('Data Transformation'!$B$4:$B$450='Bin Analysis and Plots'!D339,ROW('Data Transformation'!$B$4:$B$450)),ROW($14:$14))-3,3)),"",INDEX('Data Transformation'!$B$4:$G$450,SMALL(IF('Data Transformation'!$B$4:$B$450='Bin Analysis and Plots'!D339,ROW('Data Transformation'!$B$4:$B$450)),ROW($14:$14))-3,6))</f>
        <v>0</v>
      </c>
      <c r="B355" s="45" t="str">
        <f>IFERROR(SMALL(A342:A361,'Data Transformation'!$L$19),"")</f>
        <v/>
      </c>
      <c r="C355" s="61" t="str">
        <f>IF(Weighting!$O$19&gt;0,D355,"")</f>
        <v/>
      </c>
      <c r="D355" t="e">
        <f>Weighting!$C$19</f>
        <v>#DIV/0!</v>
      </c>
      <c r="E355" t="e">
        <f>Weighting!$E$19</f>
        <v>#NUM!</v>
      </c>
      <c r="F355" t="e">
        <f>IF(E355=1,'Data Transformation'!$G$3+0.5*'Data Transformation'!$R$25,IF(E356=1,F356-'Data Transformation'!$R$25,FALSE))</f>
        <v>#NUM!</v>
      </c>
      <c r="G355">
        <f t="array" ref="G355">IF(ISLOGICAL(F355),"",FREQUENCY(IF('Data Transformation'!$B$24:$B$404='Bin Analysis and Plots'!$D$339,'Data Transformation'!$G$24:$G$404),'Bin Analysis and Plots'!F355))</f>
        <v>0</v>
      </c>
      <c r="H355">
        <f t="shared" si="55"/>
        <v>0</v>
      </c>
      <c r="I355">
        <f>Weighting!$G$19</f>
        <v>0</v>
      </c>
      <c r="J355" s="7">
        <f t="array" ref="J355">FREQUENCY(IF('Data Transformation'!$B$4:$B$404=D339,'Data Transformation'!$G$4:$G$404),'Bin Analysis and Plots'!$D355)</f>
        <v>0</v>
      </c>
      <c r="K355" s="7">
        <f t="shared" si="56"/>
        <v>0</v>
      </c>
      <c r="L355" s="7">
        <f t="shared" si="57"/>
        <v>0</v>
      </c>
      <c r="M355" s="22">
        <f>L355*Weighting!$V$19</f>
        <v>0</v>
      </c>
    </row>
    <row r="356" spans="1:20" x14ac:dyDescent="0.25">
      <c r="A356" s="45" t="b">
        <f t="array" ref="A356">IF(ISERROR(INDEX('Data Transformation'!$B$4:$G$450,SMALL(IF('Data Transformation'!$B$4:$B$450='Bin Analysis and Plots'!D339,ROW('Data Transformation'!$B$4:$B$450)),ROW($15:$15))-3,3)),"",INDEX('Data Transformation'!$B$4:$G$450,SMALL(IF('Data Transformation'!$B$4:$B$450='Bin Analysis and Plots'!D339,ROW('Data Transformation'!$B$4:$B$450)),ROW($15:$15))-3,6))</f>
        <v>0</v>
      </c>
      <c r="B356" s="45" t="str">
        <f>IFERROR(SMALL(A342:A361,'Data Transformation'!$L$20),"")</f>
        <v/>
      </c>
      <c r="C356" s="61" t="str">
        <f>IF(Weighting!$O$20&gt;0,D356,"")</f>
        <v/>
      </c>
      <c r="D356" t="e">
        <f>Weighting!$C$20</f>
        <v>#DIV/0!</v>
      </c>
      <c r="E356" t="e">
        <f>Weighting!$E$20</f>
        <v>#NUM!</v>
      </c>
      <c r="F356" t="e">
        <f>IF(E356=1,'Data Transformation'!$G$3+0.5*'Data Transformation'!$R$25,IF(E357=1,F357-'Data Transformation'!$R$25,FALSE))</f>
        <v>#NUM!</v>
      </c>
      <c r="G356">
        <f t="array" ref="G356">IF(ISLOGICAL(F356),"",FREQUENCY(IF('Data Transformation'!$B$24:$B$404='Bin Analysis and Plots'!$D$339,'Data Transformation'!$G$24:$G$404),'Bin Analysis and Plots'!F356))</f>
        <v>0</v>
      </c>
      <c r="H356">
        <f t="shared" si="55"/>
        <v>0</v>
      </c>
      <c r="I356">
        <f>Weighting!$G$20</f>
        <v>0</v>
      </c>
      <c r="J356" s="7">
        <f t="array" ref="J356">FREQUENCY(IF('Data Transformation'!$B$4:$B$404=D339,'Data Transformation'!$G$4:$G$404),'Bin Analysis and Plots'!$D356)</f>
        <v>0</v>
      </c>
      <c r="K356" s="7">
        <f t="shared" si="56"/>
        <v>0</v>
      </c>
      <c r="L356" s="7">
        <f t="shared" si="57"/>
        <v>0</v>
      </c>
      <c r="M356" s="22">
        <f>L356*Weighting!$V$20</f>
        <v>0</v>
      </c>
    </row>
    <row r="357" spans="1:20" x14ac:dyDescent="0.25">
      <c r="A357" s="45" t="b">
        <f t="array" ref="A357">IF(ISERROR(INDEX('Data Transformation'!$B$4:$G$450,SMALL(IF('Data Transformation'!$B$4:$B$450='Bin Analysis and Plots'!D339,ROW('Data Transformation'!$B$4:$B$450)),ROW($16:$16))-3,3)),"",INDEX('Data Transformation'!$B$4:$G$450,SMALL(IF('Data Transformation'!$B$4:$B$450='Bin Analysis and Plots'!D339,ROW('Data Transformation'!$B$4:$B$450)),ROW($16:$16))-3,6))</f>
        <v>0</v>
      </c>
      <c r="B357" s="45" t="str">
        <f>IFERROR(SMALL(A342:A361,'Data Transformation'!$L$21),"")</f>
        <v/>
      </c>
      <c r="C357" s="61" t="str">
        <f>IF(Weighting!$O$21&gt;0,D357,"")</f>
        <v/>
      </c>
      <c r="D357" t="e">
        <f>Weighting!$C$21</f>
        <v>#DIV/0!</v>
      </c>
      <c r="E357" t="e">
        <f>Weighting!$E$21</f>
        <v>#NUM!</v>
      </c>
      <c r="F357" t="e">
        <f>IF(E357=1,'Data Transformation'!$G$3+0.5*'Data Transformation'!$R$25,IF(E358=1,F358-'Data Transformation'!$R$25,FALSE))</f>
        <v>#NUM!</v>
      </c>
      <c r="G357">
        <f t="array" ref="G357">IF(ISLOGICAL(F357),"",FREQUENCY(IF('Data Transformation'!$B$24:$B$404='Bin Analysis and Plots'!$D$339,'Data Transformation'!$G$24:$G$404),'Bin Analysis and Plots'!F357))</f>
        <v>0</v>
      </c>
      <c r="H357">
        <f t="shared" si="55"/>
        <v>0</v>
      </c>
      <c r="I357">
        <f>Weighting!$G$21</f>
        <v>0</v>
      </c>
      <c r="J357" s="7">
        <f t="array" ref="J357">FREQUENCY(IF('Data Transformation'!$B$4:$B$404=D339,'Data Transformation'!$G$4:$G$404),'Bin Analysis and Plots'!$D357)</f>
        <v>0</v>
      </c>
      <c r="K357" s="7">
        <f t="shared" si="56"/>
        <v>0</v>
      </c>
      <c r="L357" s="7">
        <f t="shared" si="57"/>
        <v>0</v>
      </c>
      <c r="M357" s="22">
        <f>L357*Weighting!$V$21</f>
        <v>0</v>
      </c>
    </row>
    <row r="358" spans="1:20" x14ac:dyDescent="0.25">
      <c r="A358" s="45" t="b">
        <f t="array" ref="A358">IF(ISERROR(INDEX('Data Transformation'!$B$4:$G$450,SMALL(IF('Data Transformation'!$B$4:$B$450='Bin Analysis and Plots'!D339,ROW('Data Transformation'!$B$4:$B$450)),ROW($17:$17))-3,3)),"",INDEX('Data Transformation'!$B$4:$G$450,SMALL(IF('Data Transformation'!$B$4:$B$450='Bin Analysis and Plots'!D339,ROW('Data Transformation'!$B$4:$B$450)),ROW($17:$17))-3,6))</f>
        <v>0</v>
      </c>
      <c r="B358" s="45" t="str">
        <f>IFERROR(SMALL(A342:A361,'Data Transformation'!$L$22),"")</f>
        <v/>
      </c>
      <c r="C358" s="61" t="str">
        <f>IF(Weighting!$O$22&gt;0,D358,"")</f>
        <v/>
      </c>
      <c r="D358" t="e">
        <f>Weighting!$C$22</f>
        <v>#DIV/0!</v>
      </c>
      <c r="E358" t="e">
        <f>Weighting!$E$22</f>
        <v>#NUM!</v>
      </c>
      <c r="F358" t="e">
        <f>IF(E358=1,'Data Transformation'!$G$3+0.5*'Data Transformation'!$R$25,IF(E359=1,F359-'Data Transformation'!$R$25,FALSE))</f>
        <v>#NUM!</v>
      </c>
      <c r="G358">
        <f t="array" ref="G358">IF(ISLOGICAL(F358),"",FREQUENCY(IF('Data Transformation'!$B$24:$B$404='Bin Analysis and Plots'!$D$339,'Data Transformation'!$G$24:$G$404),'Bin Analysis and Plots'!F358))</f>
        <v>0</v>
      </c>
      <c r="H358">
        <f t="shared" si="55"/>
        <v>0</v>
      </c>
      <c r="I358">
        <f>Weighting!$G$22</f>
        <v>0</v>
      </c>
      <c r="J358" s="7">
        <f t="array" ref="J358">FREQUENCY(IF('Data Transformation'!$B$4:$B$404=D339,'Data Transformation'!$G$4:$G$404),'Bin Analysis and Plots'!$D358)</f>
        <v>0</v>
      </c>
      <c r="K358" s="7">
        <f t="shared" si="56"/>
        <v>0</v>
      </c>
      <c r="L358" s="7">
        <f t="shared" si="57"/>
        <v>0</v>
      </c>
      <c r="M358" s="22">
        <f>L358*Weighting!$V$22</f>
        <v>0</v>
      </c>
    </row>
    <row r="359" spans="1:20" x14ac:dyDescent="0.25">
      <c r="A359" s="45" t="b">
        <f t="array" ref="A359">IF(ISERROR(INDEX('Data Transformation'!$B$4:$G$450,SMALL(IF('Data Transformation'!$B$4:$B$450='Bin Analysis and Plots'!D339,ROW('Data Transformation'!$B$4:$B$450)),ROW($18:$18))-3,3)),"",INDEX('Data Transformation'!$B$4:$G$450,SMALL(IF('Data Transformation'!$B$4:$B$450='Bin Analysis and Plots'!D339,ROW('Data Transformation'!$B$4:$B$450)),ROW($18:$18))-3,6))</f>
        <v>0</v>
      </c>
      <c r="B359" s="45" t="str">
        <f>IFERROR(SMALL(A342:A361,'Data Transformation'!$L$23),"")</f>
        <v/>
      </c>
      <c r="C359" s="61" t="str">
        <f>IF(Weighting!$O$23&gt;0,D359,"")</f>
        <v/>
      </c>
      <c r="D359" t="e">
        <f>Weighting!$C$23</f>
        <v>#DIV/0!</v>
      </c>
      <c r="E359" t="e">
        <f>Weighting!$E$23</f>
        <v>#NUM!</v>
      </c>
      <c r="F359" t="e">
        <f>IF(E359=1,'Data Transformation'!$G$3+0.5*'Data Transformation'!$R$25,IF(E360=1,F360-'Data Transformation'!$R$25,FALSE))</f>
        <v>#NUM!</v>
      </c>
      <c r="G359">
        <f t="array" ref="G359">IF(ISLOGICAL(F359),"",FREQUENCY(IF('Data Transformation'!$B$24:$B$404='Bin Analysis and Plots'!$D$339,'Data Transformation'!$G$24:$G$404),'Bin Analysis and Plots'!F359))</f>
        <v>0</v>
      </c>
      <c r="H359">
        <f t="shared" si="55"/>
        <v>0</v>
      </c>
      <c r="I359">
        <f>Weighting!$G$23</f>
        <v>0</v>
      </c>
      <c r="J359" s="7">
        <f t="array" ref="J359">FREQUENCY(IF('Data Transformation'!$B$4:$B$404=D339,'Data Transformation'!$G$4:$G$404),'Bin Analysis and Plots'!$D359)</f>
        <v>0</v>
      </c>
      <c r="K359" s="7">
        <f t="shared" si="56"/>
        <v>0</v>
      </c>
      <c r="L359" s="7">
        <f t="shared" si="57"/>
        <v>0</v>
      </c>
      <c r="M359" s="22">
        <f>L359*Weighting!$V$23</f>
        <v>0</v>
      </c>
    </row>
    <row r="360" spans="1:20" x14ac:dyDescent="0.25">
      <c r="A360" s="45" t="str">
        <f>IF(ISERROR(INDEX('Data Transformation'!$B$4:$G$450,SMALL(IF('Data Transformation'!$B$4:$B$450='Bin Analysis and Plots'!D339,ROW('Data Transformation'!$B$4:$B$450)),ROW($19:$19))-3,3)),"",INDEX('Data Transformation'!$B$4:$G$450,SMALL(IF('Data Transformation'!$B$4:$B$450='Bin Analysis and Plots'!D339,ROW('Data Transformation'!$B$4:$B$450)),ROW($19:$19))-3,6))</f>
        <v/>
      </c>
      <c r="B360" s="45" t="str">
        <f>IFERROR(SMALL(A342:A361,'Data Transformation'!$L$24),"")</f>
        <v/>
      </c>
      <c r="C360" s="61" t="str">
        <f>IF(Weighting!$O$24&gt;0,D360,"")</f>
        <v/>
      </c>
      <c r="D360" t="e">
        <f>Weighting!$C$24</f>
        <v>#DIV/0!</v>
      </c>
      <c r="E360" t="e">
        <f>Weighting!$E$24</f>
        <v>#NUM!</v>
      </c>
      <c r="F360" t="e">
        <f>IF(E360=1,'Data Transformation'!$G$3+0.5*'Data Transformation'!$R$25,IF(E361=1,F361-'Data Transformation'!$R$25,FALSE))</f>
        <v>#NUM!</v>
      </c>
      <c r="G360">
        <f t="array" ref="G360">IF(ISLOGICAL(F360),"",FREQUENCY(IF('Data Transformation'!$B$24:$B$404='Bin Analysis and Plots'!$D$339,'Data Transformation'!$G$24:$G$404),'Bin Analysis and Plots'!F360))</f>
        <v>0</v>
      </c>
      <c r="H360">
        <f t="shared" si="55"/>
        <v>0</v>
      </c>
      <c r="I360">
        <f>Weighting!$G$24</f>
        <v>0</v>
      </c>
      <c r="J360" s="7">
        <f t="array" ref="J360">FREQUENCY(IF('Data Transformation'!$B$4:$B$404=D339,'Data Transformation'!$G$4:$G$404),'Bin Analysis and Plots'!$D360)</f>
        <v>0</v>
      </c>
      <c r="K360" s="7">
        <f t="shared" si="56"/>
        <v>0</v>
      </c>
      <c r="L360" s="7">
        <f t="shared" si="57"/>
        <v>0</v>
      </c>
      <c r="M360" s="22">
        <f>L360*Weighting!$V$24</f>
        <v>0</v>
      </c>
    </row>
    <row r="361" spans="1:20" x14ac:dyDescent="0.25">
      <c r="A361" s="45" t="b">
        <f t="array" ref="A361">IF(ISERROR(INDEX('Data Transformation'!$B$4:$G$450,SMALL(IF('Data Transformation'!$B$4:$B$450='Bin Analysis and Plots'!D339,ROW('Data Transformation'!$B$4:$B$450)),ROW($20:$20))-3,3)),"",INDEX('Data Transformation'!$B$4:$G$450,SMALL(IF('Data Transformation'!$B$4:$B$450='Bin Analysis and Plots'!D339,ROW('Data Transformation'!$B$4:$B$450)),ROW($20:$20))-3,6))</f>
        <v>0</v>
      </c>
      <c r="B361" s="45" t="str">
        <f>IFERROR(SMALL(A342:A361,'Data Transformation'!$L$25),"")</f>
        <v/>
      </c>
      <c r="C361" s="61" t="str">
        <f>IF(Weighting!$O$25&gt;0,D361,"")</f>
        <v/>
      </c>
      <c r="D361" t="e">
        <f>Weighting!$C$25</f>
        <v>#DIV/0!</v>
      </c>
      <c r="E361" t="e">
        <f>Weighting!$E$25</f>
        <v>#NUM!</v>
      </c>
      <c r="F361" t="e">
        <f>IF(E361=1,'Data Transformation'!$G$3+0.5*'Data Transformation'!$R$25,IF(E362=1,F362-'Data Transformation'!$R$25,FALSE))</f>
        <v>#NUM!</v>
      </c>
      <c r="G361">
        <f t="array" ref="G361">IF(ISLOGICAL(F361),"",FREQUENCY(IF('Data Transformation'!$B$24:$B$404='Bin Analysis and Plots'!$D$339,'Data Transformation'!$G$24:$G$404),'Bin Analysis and Plots'!F361))</f>
        <v>0</v>
      </c>
      <c r="H361">
        <f t="shared" si="55"/>
        <v>0</v>
      </c>
      <c r="I361">
        <f>Weighting!$G$25</f>
        <v>0</v>
      </c>
      <c r="J361" s="7">
        <f t="array" ref="J361">FREQUENCY(IF('Data Transformation'!$B$4:$B$404=D339,'Data Transformation'!$G$4:$G$404),'Bin Analysis and Plots'!$D361)</f>
        <v>0</v>
      </c>
      <c r="K361" s="7">
        <f t="shared" si="56"/>
        <v>0</v>
      </c>
      <c r="L361" s="7">
        <f t="shared" si="57"/>
        <v>0</v>
      </c>
      <c r="M361" s="22">
        <f>L361*Weighting!$V$25</f>
        <v>0</v>
      </c>
    </row>
    <row r="362" spans="1:20" x14ac:dyDescent="0.25">
      <c r="C362" s="60" t="str">
        <f t="shared" si="54"/>
        <v/>
      </c>
    </row>
    <row r="363" spans="1:20" ht="23.25" x14ac:dyDescent="0.35">
      <c r="C363" s="46" t="s">
        <v>0</v>
      </c>
      <c r="D363" s="46" t="str">
        <f>'Input and Summary Results'!G22</f>
        <v xml:space="preserve"> </v>
      </c>
      <c r="E363" s="46"/>
      <c r="F363" s="46"/>
      <c r="G363" s="46"/>
      <c r="H363" s="46"/>
      <c r="I363" s="46"/>
      <c r="J363" s="47"/>
      <c r="K363" s="47"/>
      <c r="L363" s="47"/>
      <c r="M363" s="46"/>
      <c r="N363" s="46"/>
      <c r="O363" s="57" t="e">
        <f>INDEX('Data Transformation'!$O$4:$O$25,MATCH($D363,'Data Transformation'!$M$4:$M$25,0),MATCH($O$2,'Data Transformation'!$O$3,0))</f>
        <v>#N/A</v>
      </c>
      <c r="P363" s="52" t="e">
        <f>IF(O363=FALSE,NA(),(VLOOKUP(1,E366:M385,4,FALSE))/(O363-1))</f>
        <v>#N/A</v>
      </c>
      <c r="Q363" s="52" t="e">
        <f>IF(O363=FALSE,NA(),SUM(L366:L385)/Weighting!$R$5)</f>
        <v>#N/A</v>
      </c>
      <c r="R363" s="52" t="e">
        <f>IF(O363=FALSE,NA(),SUM(M366:M385)/Weighting!$R$6)</f>
        <v>#N/A</v>
      </c>
      <c r="S363" s="52" t="e">
        <f>IF(O363=FALSE,NA(),(VLOOKUP(1,I366:M385,3,FALSE))/(O363-1))</f>
        <v>#N/A</v>
      </c>
      <c r="T363" s="57" t="e">
        <f>IF(O363=FALSE,NA(),IF(SUM(L366:L385)=2,"yes","no"))</f>
        <v>#N/A</v>
      </c>
    </row>
    <row r="364" spans="1:20" x14ac:dyDescent="0.25">
      <c r="A364" s="96" t="s">
        <v>64</v>
      </c>
      <c r="B364" s="96"/>
      <c r="C364" s="58" t="s">
        <v>72</v>
      </c>
      <c r="D364" t="s">
        <v>50</v>
      </c>
      <c r="E364" t="s">
        <v>5</v>
      </c>
      <c r="I364" t="s">
        <v>75</v>
      </c>
      <c r="J364" s="7" t="s">
        <v>34</v>
      </c>
      <c r="K364" s="7" t="s">
        <v>35</v>
      </c>
      <c r="L364" s="7" t="s">
        <v>49</v>
      </c>
      <c r="M364" s="21" t="s">
        <v>48</v>
      </c>
    </row>
    <row r="365" spans="1:20" x14ac:dyDescent="0.25">
      <c r="C365" s="60" t="str">
        <f t="shared" ref="C365:C386" si="58">IF(B365="","",D365)</f>
        <v/>
      </c>
      <c r="F365" t="e">
        <f>IF(E365=1,'Data Transformation'!$G$3+0.5*'Data Transformation'!$R$25,IF(E366=1,F366-'Data Transformation'!$R$25,FALSE))</f>
        <v>#NUM!</v>
      </c>
      <c r="G365">
        <f t="array" ref="G365">IF(ISLOGICAL(F365),"",FREQUENCY(IF('Data Transformation'!$B$24:$B$404='Bin Analysis and Plots'!$D$363,'Data Transformation'!$G$24:$G$404),'Bin Analysis and Plots'!F365))</f>
        <v>0</v>
      </c>
      <c r="H365">
        <f>IF(ISLOGICAL(F365),"",G365-G364)</f>
        <v>0</v>
      </c>
    </row>
    <row r="366" spans="1:20" x14ac:dyDescent="0.25">
      <c r="A366" s="45" t="b">
        <f t="array" ref="A366">IF(ISERROR(INDEX('Data Transformation'!$B$4:$G$450,SMALL(IF('Data Transformation'!$B$4:$B$450='Bin Analysis and Plots'!D363,ROW('Data Transformation'!$B$4:$B$450)),ROW($1:$1))-3,3)),"",INDEX('Data Transformation'!$B$4:$G$450,SMALL(IF('Data Transformation'!$B$4:$B$450='Bin Analysis and Plots'!D363,ROW('Data Transformation'!$B$4:$B$450)),ROW($1:$1))-3,6))</f>
        <v>0</v>
      </c>
      <c r="B366" s="45" t="str">
        <f>IFERROR(SMALL(A366:A385,'Data Transformation'!$L$6),"")</f>
        <v/>
      </c>
      <c r="C366" s="61" t="e">
        <f>IF(Weighting!$O$6&gt;0,D366,"")</f>
        <v>#NUM!</v>
      </c>
      <c r="D366" t="e">
        <f>Weighting!$C$6</f>
        <v>#DIV/0!</v>
      </c>
      <c r="E366" t="e">
        <f>Weighting!$E$6</f>
        <v>#NUM!</v>
      </c>
      <c r="F366" t="e">
        <f>IF(E366=1,'Data Transformation'!$G$3+0.5*'Data Transformation'!$R$25,IF(E367=1,F367-'Data Transformation'!$R$25,FALSE))</f>
        <v>#NUM!</v>
      </c>
      <c r="G366">
        <f t="array" ref="G366">IF(ISLOGICAL(F366),"",FREQUENCY(IF('Data Transformation'!$B$24:$B$404='Bin Analysis and Plots'!$D$363,'Data Transformation'!$G$24:$G$404),'Bin Analysis and Plots'!F366))</f>
        <v>0</v>
      </c>
      <c r="H366">
        <f>IF(ISLOGICAL(F366),"",G366-G365)</f>
        <v>0</v>
      </c>
      <c r="I366">
        <f>Weighting!$G$6</f>
        <v>1</v>
      </c>
      <c r="J366" s="7">
        <f t="array" ref="J366">FREQUENCY(IF('Data Transformation'!$B$4:$B$404=D363,'Data Transformation'!$G$4:$G$404),'Bin Analysis and Plots'!$D366)</f>
        <v>0</v>
      </c>
      <c r="K366" s="7">
        <f>J366-J365</f>
        <v>0</v>
      </c>
      <c r="L366" s="7">
        <f>IF(K366=0,0,1)</f>
        <v>0</v>
      </c>
      <c r="M366" s="22" t="e">
        <f>L366*Weighting!$V$6</f>
        <v>#NUM!</v>
      </c>
    </row>
    <row r="367" spans="1:20" x14ac:dyDescent="0.25">
      <c r="A367" s="45" t="b">
        <f t="array" ref="A367">IF(ISERROR(INDEX('Data Transformation'!$B$4:$G$450,SMALL(IF('Data Transformation'!$B$4:$B$450='Bin Analysis and Plots'!D363,ROW('Data Transformation'!$B$4:$B$450)),ROW($2:$2))-3,3)),"",INDEX('Data Transformation'!$B$4:$G$450,SMALL(IF('Data Transformation'!$B$4:$B$450='Bin Analysis and Plots'!D363,ROW('Data Transformation'!$B$4:$B$450)),ROW($2:$2))-3,6))</f>
        <v>0</v>
      </c>
      <c r="B367" s="45" t="str">
        <f>IFERROR(SMALL(A366:A385,'Data Transformation'!$L$7),"")</f>
        <v/>
      </c>
      <c r="C367" s="61" t="str">
        <f>IF(Weighting!$O$7&gt;0,D367,"")</f>
        <v/>
      </c>
      <c r="D367" t="e">
        <f>Weighting!$C$7</f>
        <v>#DIV/0!</v>
      </c>
      <c r="E367" t="e">
        <f>Weighting!$E$7</f>
        <v>#NUM!</v>
      </c>
      <c r="F367" t="e">
        <f>IF(E367=1,'Data Transformation'!$G$3+0.5*'Data Transformation'!$R$25,IF(E368=1,F368-'Data Transformation'!$R$25,FALSE))</f>
        <v>#NUM!</v>
      </c>
      <c r="G367">
        <f t="array" ref="G367">IF(ISLOGICAL(F367),"",FREQUENCY(IF('Data Transformation'!$B$24:$B$404='Bin Analysis and Plots'!$D$363,'Data Transformation'!$G$24:$G$404),'Bin Analysis and Plots'!F367))</f>
        <v>0</v>
      </c>
      <c r="H367">
        <f t="shared" ref="H367:H385" si="59">IF(ISLOGICAL(F367),"",G367-G366)</f>
        <v>0</v>
      </c>
      <c r="I367">
        <f>Weighting!$G$7</f>
        <v>0</v>
      </c>
      <c r="J367" s="7">
        <f t="array" ref="J367">FREQUENCY(IF('Data Transformation'!$B$4:$B$404=D363,'Data Transformation'!$G$4:$G$404),'Bin Analysis and Plots'!$D367)</f>
        <v>0</v>
      </c>
      <c r="K367" s="7">
        <f t="shared" ref="K367:K385" si="60">J367-J366</f>
        <v>0</v>
      </c>
      <c r="L367" s="7">
        <f>IF(K367=0,0,1)</f>
        <v>0</v>
      </c>
      <c r="M367" s="22">
        <f>L367*Weighting!$V$7</f>
        <v>0</v>
      </c>
    </row>
    <row r="368" spans="1:20" x14ac:dyDescent="0.25">
      <c r="A368" s="45" t="b">
        <f t="array" ref="A368">IF(ISERROR(INDEX('Data Transformation'!$B$4:$G$450,SMALL(IF('Data Transformation'!$B$4:$B$450='Bin Analysis and Plots'!D363,ROW('Data Transformation'!$B$4:$B$450)),ROW($3:$3))-3,3)),"",INDEX('Data Transformation'!$B$4:$G$450,SMALL(IF('Data Transformation'!$B$4:$B$450='Bin Analysis and Plots'!D363,ROW('Data Transformation'!$B$4:$B$450)),ROW($3:$3))-3,6))</f>
        <v>0</v>
      </c>
      <c r="B368" s="45" t="str">
        <f>IFERROR(SMALL(A366:A385,'Data Transformation'!$L$8),"")</f>
        <v/>
      </c>
      <c r="C368" s="61" t="str">
        <f>IF(Weighting!$O$8&gt;0,D368,"")</f>
        <v/>
      </c>
      <c r="D368" t="e">
        <f>Weighting!$C$8</f>
        <v>#DIV/0!</v>
      </c>
      <c r="E368" t="e">
        <f>Weighting!$E$8</f>
        <v>#NUM!</v>
      </c>
      <c r="F368" t="e">
        <f>IF(E368=1,'Data Transformation'!$G$3+0.5*'Data Transformation'!$R$25,IF(E369=1,F369-'Data Transformation'!$R$25,FALSE))</f>
        <v>#NUM!</v>
      </c>
      <c r="G368">
        <f t="array" ref="G368">IF(ISLOGICAL(F368),"",FREQUENCY(IF('Data Transformation'!$B$24:$B$404='Bin Analysis and Plots'!$D$363,'Data Transformation'!$G$24:$G$404),'Bin Analysis and Plots'!F368))</f>
        <v>0</v>
      </c>
      <c r="H368">
        <f t="shared" si="59"/>
        <v>0</v>
      </c>
      <c r="I368">
        <f>Weighting!$G$8</f>
        <v>0</v>
      </c>
      <c r="J368" s="7">
        <f t="array" ref="J368">FREQUENCY(IF('Data Transformation'!$B$4:$B$404=D363,'Data Transformation'!$G$4:$G$404),'Bin Analysis and Plots'!$D368)</f>
        <v>0</v>
      </c>
      <c r="K368" s="7">
        <f t="shared" si="60"/>
        <v>0</v>
      </c>
      <c r="L368" s="7">
        <f t="shared" ref="L368:L385" si="61">IF(K368=0,0,1)</f>
        <v>0</v>
      </c>
      <c r="M368" s="22">
        <f>L368*Weighting!$V$8</f>
        <v>0</v>
      </c>
    </row>
    <row r="369" spans="1:13" x14ac:dyDescent="0.25">
      <c r="A369" s="45" t="b">
        <f t="array" ref="A369">IF(ISERROR(INDEX('Data Transformation'!$B$4:$G$450,SMALL(IF('Data Transformation'!$B$4:$B$450='Bin Analysis and Plots'!D363,ROW('Data Transformation'!$B$4:$B$450)),ROW($4:$4))-3,3)),"",INDEX('Data Transformation'!$B$4:$G$450,SMALL(IF('Data Transformation'!$B$4:$B$450='Bin Analysis and Plots'!D363,ROW('Data Transformation'!$B$4:$B$450)),ROW($4:$4))-3,6))</f>
        <v>0</v>
      </c>
      <c r="B369" s="45" t="str">
        <f>IFERROR(SMALL(A366:A385,'Data Transformation'!$L$9),"")</f>
        <v/>
      </c>
      <c r="C369" s="61" t="str">
        <f>IF(Weighting!$O$9&gt;0,D369,"")</f>
        <v/>
      </c>
      <c r="D369" t="e">
        <f>Weighting!$B$9</f>
        <v>#DIV/0!</v>
      </c>
      <c r="E369" t="e">
        <f>Weighting!$E$9</f>
        <v>#NUM!</v>
      </c>
      <c r="F369" t="e">
        <f>IF(E369=1,'Data Transformation'!$G$3+0.5*'Data Transformation'!$R$25,IF(E370=1,F370-'Data Transformation'!$R$25,FALSE))</f>
        <v>#NUM!</v>
      </c>
      <c r="G369">
        <f t="array" ref="G369">IF(ISLOGICAL(F369),"",FREQUENCY(IF('Data Transformation'!$B$24:$B$404='Bin Analysis and Plots'!$D$363,'Data Transformation'!$G$24:$G$404),'Bin Analysis and Plots'!F369))</f>
        <v>0</v>
      </c>
      <c r="H369">
        <f t="shared" si="59"/>
        <v>0</v>
      </c>
      <c r="I369">
        <f>Weighting!$G$9</f>
        <v>0</v>
      </c>
      <c r="J369" s="7">
        <f t="array" ref="J369">FREQUENCY(IF('Data Transformation'!$B$4:$B$404=D363,'Data Transformation'!$G$4:$G$404),'Bin Analysis and Plots'!$D369)</f>
        <v>0</v>
      </c>
      <c r="K369" s="7">
        <f t="shared" si="60"/>
        <v>0</v>
      </c>
      <c r="L369" s="7">
        <f t="shared" si="61"/>
        <v>0</v>
      </c>
      <c r="M369" s="22">
        <f>L369*Weighting!$V$9</f>
        <v>0</v>
      </c>
    </row>
    <row r="370" spans="1:13" x14ac:dyDescent="0.25">
      <c r="A370" s="45" t="b">
        <f t="array" ref="A370">IF(ISERROR(INDEX('Data Transformation'!$B$4:$G$450,SMALL(IF('Data Transformation'!$B$4:$B$450='Bin Analysis and Plots'!D363,ROW('Data Transformation'!$B$4:$B$450)),ROW($5:$5))-3,3)),"",INDEX('Data Transformation'!$B$4:$G$450,SMALL(IF('Data Transformation'!$B$4:$B$450='Bin Analysis and Plots'!D363,ROW('Data Transformation'!$B$4:$B$450)),ROW($5:$5))-3,6))</f>
        <v>0</v>
      </c>
      <c r="B370" s="45" t="str">
        <f>IFERROR(SMALL(A366:A385,'Data Transformation'!$L$10),"")</f>
        <v/>
      </c>
      <c r="C370" s="61" t="str">
        <f>IF(Weighting!$O$10&gt;0,D370,"")</f>
        <v/>
      </c>
      <c r="D370" t="e">
        <f>Weighting!$C$10</f>
        <v>#DIV/0!</v>
      </c>
      <c r="E370" t="e">
        <f>Weighting!$E$10</f>
        <v>#NUM!</v>
      </c>
      <c r="F370" t="e">
        <f>IF(E370=1,'Data Transformation'!$G$3+0.5*'Data Transformation'!$R$25,IF(E371=1,F371-'Data Transformation'!$R$25,FALSE))</f>
        <v>#NUM!</v>
      </c>
      <c r="G370">
        <f t="array" ref="G370">IF(ISLOGICAL(F370),"",FREQUENCY(IF('Data Transformation'!$B$24:$B$404='Bin Analysis and Plots'!$D$363,'Data Transformation'!$G$24:$G$404),'Bin Analysis and Plots'!F370))</f>
        <v>0</v>
      </c>
      <c r="H370">
        <f t="shared" si="59"/>
        <v>0</v>
      </c>
      <c r="I370">
        <f>Weighting!$G$10</f>
        <v>0</v>
      </c>
      <c r="J370" s="7">
        <f t="array" ref="J370">FREQUENCY(IF('Data Transformation'!$B$4:$B$404=D363,'Data Transformation'!$G$4:$G$404),'Bin Analysis and Plots'!$D370)</f>
        <v>0</v>
      </c>
      <c r="K370" s="7">
        <f t="shared" si="60"/>
        <v>0</v>
      </c>
      <c r="L370" s="7">
        <f t="shared" si="61"/>
        <v>0</v>
      </c>
      <c r="M370" s="22">
        <f>L370*Weighting!$V$10</f>
        <v>0</v>
      </c>
    </row>
    <row r="371" spans="1:13" x14ac:dyDescent="0.25">
      <c r="A371" s="45" t="b">
        <f t="array" ref="A371">IF(ISERROR(INDEX('Data Transformation'!$B$4:$G$450,SMALL(IF('Data Transformation'!$B$4:$B$450='Bin Analysis and Plots'!D363,ROW('Data Transformation'!$B$4:$B$450)),ROW($6:$6))-3,3)),"",INDEX('Data Transformation'!$B$4:$G$450,SMALL(IF('Data Transformation'!$B$4:$B$450='Bin Analysis and Plots'!D363,ROW('Data Transformation'!$B$4:$B$450)),ROW($6:$6))-3,6))</f>
        <v>0</v>
      </c>
      <c r="B371" s="45" t="str">
        <f>IFERROR(SMALL(A366:A385,'Data Transformation'!$L$11),"")</f>
        <v/>
      </c>
      <c r="C371" s="61" t="str">
        <f>IF(Weighting!$O$11&gt;0,D371,"")</f>
        <v/>
      </c>
      <c r="D371" t="e">
        <f>Weighting!$C$11</f>
        <v>#DIV/0!</v>
      </c>
      <c r="E371" t="e">
        <f>Weighting!$E$11</f>
        <v>#NUM!</v>
      </c>
      <c r="F371" t="e">
        <f>IF(E371=1,'Data Transformation'!$G$3+0.5*'Data Transformation'!$R$25,IF(E372=1,F372-'Data Transformation'!$R$25,FALSE))</f>
        <v>#NUM!</v>
      </c>
      <c r="G371">
        <f t="array" ref="G371">IF(ISLOGICAL(F371),"",FREQUENCY(IF('Data Transformation'!$B$24:$B$404='Bin Analysis and Plots'!$D$363,'Data Transformation'!$G$24:$G$404),'Bin Analysis and Plots'!F371))</f>
        <v>0</v>
      </c>
      <c r="H371">
        <f t="shared" si="59"/>
        <v>0</v>
      </c>
      <c r="I371">
        <f>Weighting!$G$11</f>
        <v>0</v>
      </c>
      <c r="J371" s="7">
        <f t="array" ref="J371">FREQUENCY(IF('Data Transformation'!$B$4:$B$404=D363,'Data Transformation'!$G$4:$G$404),'Bin Analysis and Plots'!$D371)</f>
        <v>0</v>
      </c>
      <c r="K371" s="7">
        <f t="shared" si="60"/>
        <v>0</v>
      </c>
      <c r="L371" s="7">
        <f t="shared" si="61"/>
        <v>0</v>
      </c>
      <c r="M371" s="22">
        <f>L371*Weighting!$V$11</f>
        <v>0</v>
      </c>
    </row>
    <row r="372" spans="1:13" x14ac:dyDescent="0.25">
      <c r="A372" s="45" t="b">
        <f t="array" ref="A372">IF(ISERROR(INDEX('Data Transformation'!$B$4:$G$450,SMALL(IF('Data Transformation'!$B$4:$B$450='Bin Analysis and Plots'!D363,ROW('Data Transformation'!$B$4:$B$450)),ROW($7:$7))-3,3)),"",INDEX('Data Transformation'!$B$4:$G$450,SMALL(IF('Data Transformation'!$B$4:$B$450='Bin Analysis and Plots'!D363,ROW('Data Transformation'!$B$4:$B$450)),ROW($7:$7))-3,6))</f>
        <v>0</v>
      </c>
      <c r="B372" s="45" t="str">
        <f>IFERROR(SMALL(A366:A385,'Data Transformation'!$L$12),"")</f>
        <v/>
      </c>
      <c r="C372" s="61" t="str">
        <f>IF(Weighting!$O$12&gt;0,D372,"")</f>
        <v/>
      </c>
      <c r="D372" t="e">
        <f>Weighting!$C$12</f>
        <v>#DIV/0!</v>
      </c>
      <c r="E372" t="e">
        <f>Weighting!$E$12</f>
        <v>#NUM!</v>
      </c>
      <c r="F372" t="e">
        <f>IF(E372=1,'Data Transformation'!$G$3+0.5*'Data Transformation'!$R$25,IF(E373=1,F373-'Data Transformation'!$R$25,FALSE))</f>
        <v>#NUM!</v>
      </c>
      <c r="G372">
        <f t="array" ref="G372">IF(ISLOGICAL(F372),"",FREQUENCY(IF('Data Transformation'!$B$24:$B$404='Bin Analysis and Plots'!$D$363,'Data Transformation'!$G$24:$G$404),'Bin Analysis and Plots'!F372))</f>
        <v>0</v>
      </c>
      <c r="H372">
        <f t="shared" si="59"/>
        <v>0</v>
      </c>
      <c r="I372">
        <f>Weighting!$G$12</f>
        <v>0</v>
      </c>
      <c r="J372" s="7">
        <f t="array" ref="J372">FREQUENCY(IF('Data Transformation'!$B$4:$B$404=D363,'Data Transformation'!$G$4:$G$404),'Bin Analysis and Plots'!$D372)</f>
        <v>0</v>
      </c>
      <c r="K372" s="7">
        <f t="shared" si="60"/>
        <v>0</v>
      </c>
      <c r="L372" s="7">
        <f t="shared" si="61"/>
        <v>0</v>
      </c>
      <c r="M372" s="22">
        <f>L372*Weighting!$V$12</f>
        <v>0</v>
      </c>
    </row>
    <row r="373" spans="1:13" x14ac:dyDescent="0.25">
      <c r="A373" s="45" t="b">
        <f t="array" ref="A373">IF(ISERROR(INDEX('Data Transformation'!$B$4:$G$450,SMALL(IF('Data Transformation'!$B$4:$B$450='Bin Analysis and Plots'!D363,ROW('Data Transformation'!$B$4:$B$450)),ROW($8:$8))-3,3)),"",INDEX('Data Transformation'!$B$4:$G$450,SMALL(IF('Data Transformation'!$B$4:$B$450='Bin Analysis and Plots'!D363,ROW('Data Transformation'!$B$4:$B$450)),ROW($8:$8))-3,6))</f>
        <v>0</v>
      </c>
      <c r="B373" s="45" t="str">
        <f>IFERROR(SMALL(A366:A385,'Data Transformation'!$L$13),"")</f>
        <v/>
      </c>
      <c r="C373" s="61" t="str">
        <f>IF(Weighting!$O$13&gt;0,D373,"")</f>
        <v/>
      </c>
      <c r="D373" t="e">
        <f>Weighting!$C$13</f>
        <v>#DIV/0!</v>
      </c>
      <c r="E373" t="e">
        <f>Weighting!$E$13</f>
        <v>#NUM!</v>
      </c>
      <c r="F373" t="e">
        <f>IF(E373=1,'Data Transformation'!$G$3+0.5*'Data Transformation'!$R$25,IF(E374=1,F374-'Data Transformation'!$R$25,FALSE))</f>
        <v>#NUM!</v>
      </c>
      <c r="G373">
        <f t="array" ref="G373">IF(ISLOGICAL(F373),"",FREQUENCY(IF('Data Transformation'!$B$24:$B$404='Bin Analysis and Plots'!$D$363,'Data Transformation'!$G$24:$G$404),'Bin Analysis and Plots'!F373))</f>
        <v>0</v>
      </c>
      <c r="H373">
        <f t="shared" si="59"/>
        <v>0</v>
      </c>
      <c r="I373">
        <f>Weighting!$G$13</f>
        <v>0</v>
      </c>
      <c r="J373" s="7">
        <f t="array" ref="J373">FREQUENCY(IF('Data Transformation'!$B$4:$B$404=D363,'Data Transformation'!$G$4:$G$404),'Bin Analysis and Plots'!$D373)</f>
        <v>0</v>
      </c>
      <c r="K373" s="7">
        <f t="shared" si="60"/>
        <v>0</v>
      </c>
      <c r="L373" s="7">
        <f t="shared" si="61"/>
        <v>0</v>
      </c>
      <c r="M373" s="22">
        <f>L373*Weighting!$V$13</f>
        <v>0</v>
      </c>
    </row>
    <row r="374" spans="1:13" x14ac:dyDescent="0.25">
      <c r="A374" s="45" t="b">
        <f t="array" ref="A374">IF(ISERROR(INDEX('Data Transformation'!$B$4:$G$450,SMALL(IF('Data Transformation'!$B$4:$B$450='Bin Analysis and Plots'!D363,ROW('Data Transformation'!$B$4:$B$450)),ROW($9:$9))-3,3)),"",INDEX('Data Transformation'!$B$4:$G$450,SMALL(IF('Data Transformation'!$B$4:$B$450='Bin Analysis and Plots'!D363,ROW('Data Transformation'!$B$4:$B$450)),ROW($9:$9))-3,6))</f>
        <v>0</v>
      </c>
      <c r="B374" s="45" t="str">
        <f>IFERROR(SMALL(A366:A385,'Data Transformation'!$L$14),"")</f>
        <v/>
      </c>
      <c r="C374" s="61" t="str">
        <f>IF(Weighting!$O$14&gt;0,D374,"")</f>
        <v/>
      </c>
      <c r="D374" t="e">
        <f>Weighting!$C$14</f>
        <v>#DIV/0!</v>
      </c>
      <c r="E374" t="e">
        <f>Weighting!$E$14</f>
        <v>#NUM!</v>
      </c>
      <c r="F374" t="e">
        <f>IF(E374=1,'Data Transformation'!$G$3+0.5*'Data Transformation'!$R$25,IF(E375=1,F375-'Data Transformation'!$R$25,FALSE))</f>
        <v>#NUM!</v>
      </c>
      <c r="G374">
        <f t="array" ref="G374">IF(ISLOGICAL(F374),"",FREQUENCY(IF('Data Transformation'!$B$24:$B$404='Bin Analysis and Plots'!$D$363,'Data Transformation'!$G$24:$G$404),'Bin Analysis and Plots'!F374))</f>
        <v>0</v>
      </c>
      <c r="H374">
        <f t="shared" si="59"/>
        <v>0</v>
      </c>
      <c r="I374">
        <f>Weighting!$G$14</f>
        <v>0</v>
      </c>
      <c r="J374" s="7">
        <f t="array" ref="J374">FREQUENCY(IF('Data Transformation'!$B$4:$B$404=D363,'Data Transformation'!$G$4:$G$404),'Bin Analysis and Plots'!$D374)</f>
        <v>0</v>
      </c>
      <c r="K374" s="7">
        <f t="shared" si="60"/>
        <v>0</v>
      </c>
      <c r="L374" s="7">
        <f t="shared" si="61"/>
        <v>0</v>
      </c>
      <c r="M374" s="22">
        <f>L374*Weighting!$V$14</f>
        <v>0</v>
      </c>
    </row>
    <row r="375" spans="1:13" x14ac:dyDescent="0.25">
      <c r="A375" s="45" t="b">
        <f t="array" ref="A375">IF(ISERROR(INDEX('Data Transformation'!$B$4:$G$450,SMALL(IF('Data Transformation'!$B$4:$B$450='Bin Analysis and Plots'!D363,ROW('Data Transformation'!$B$4:$B$450)),ROW($10:$10))-3,3)),"",INDEX('Data Transformation'!$B$4:$G$450,SMALL(IF('Data Transformation'!$B$4:$B$450='Bin Analysis and Plots'!D363,ROW('Data Transformation'!$B$4:$B$450)),ROW($10:$10))-3,6))</f>
        <v>0</v>
      </c>
      <c r="B375" s="45" t="str">
        <f>IFERROR(SMALL(A366:A385,'Data Transformation'!$L$15),"")</f>
        <v/>
      </c>
      <c r="C375" s="61" t="str">
        <f>IF(Weighting!$O$15&gt;0,D375,"")</f>
        <v/>
      </c>
      <c r="D375" t="e">
        <f>Weighting!$C$15</f>
        <v>#DIV/0!</v>
      </c>
      <c r="E375" t="e">
        <f>Weighting!$E$15</f>
        <v>#NUM!</v>
      </c>
      <c r="F375" t="e">
        <f>IF(E375=1,'Data Transformation'!$G$3+0.5*'Data Transformation'!$R$25,IF(E376=1,F376-'Data Transformation'!$R$25,FALSE))</f>
        <v>#NUM!</v>
      </c>
      <c r="G375">
        <f t="array" ref="G375">IF(ISLOGICAL(F375),"",FREQUENCY(IF('Data Transformation'!$B$24:$B$404='Bin Analysis and Plots'!$D$363,'Data Transformation'!$G$24:$G$404),'Bin Analysis and Plots'!F375))</f>
        <v>0</v>
      </c>
      <c r="H375">
        <f t="shared" si="59"/>
        <v>0</v>
      </c>
      <c r="I375">
        <f>Weighting!$G$15</f>
        <v>0</v>
      </c>
      <c r="J375" s="7">
        <f t="array" ref="J375">FREQUENCY(IF('Data Transformation'!$B$4:$B$404=D363,'Data Transformation'!$G$4:$G$404),'Bin Analysis and Plots'!$D375)</f>
        <v>0</v>
      </c>
      <c r="K375" s="7">
        <f t="shared" si="60"/>
        <v>0</v>
      </c>
      <c r="L375" s="7">
        <f t="shared" si="61"/>
        <v>0</v>
      </c>
      <c r="M375" s="22">
        <f>L375*Weighting!$V$15</f>
        <v>0</v>
      </c>
    </row>
    <row r="376" spans="1:13" x14ac:dyDescent="0.25">
      <c r="A376" s="45" t="b">
        <f t="array" ref="A376">IF(ISERROR(INDEX('Data Transformation'!$B$4:$G$450,SMALL(IF('Data Transformation'!$B$4:$B$450='Bin Analysis and Plots'!D363,ROW('Data Transformation'!$B$4:$B$450)),ROW($11:$11))-3,3)),"",INDEX('Data Transformation'!$B$4:$G$450,SMALL(IF('Data Transformation'!$B$4:$B$450='Bin Analysis and Plots'!D363,ROW('Data Transformation'!$B$4:$B$450)),ROW($11:$11))-3,6))</f>
        <v>0</v>
      </c>
      <c r="B376" s="45" t="str">
        <f>IFERROR(SMALL(A366:A385,'Data Transformation'!$L$16),"")</f>
        <v/>
      </c>
      <c r="C376" s="61" t="str">
        <f>IF(Weighting!$O$16&gt;0,D376,"")</f>
        <v/>
      </c>
      <c r="D376" t="e">
        <f>Weighting!$C$16</f>
        <v>#DIV/0!</v>
      </c>
      <c r="E376" t="e">
        <f>Weighting!$E$16</f>
        <v>#NUM!</v>
      </c>
      <c r="F376" t="e">
        <f>IF(E376=1,'Data Transformation'!$G$3+0.5*'Data Transformation'!$R$25,IF(E377=1,F377-'Data Transformation'!$R$25,FALSE))</f>
        <v>#NUM!</v>
      </c>
      <c r="G376">
        <f t="array" ref="G376">IF(ISLOGICAL(F376),"",FREQUENCY(IF('Data Transformation'!$B$24:$B$404='Bin Analysis and Plots'!$D$363,'Data Transformation'!$G$24:$G$404),'Bin Analysis and Plots'!F376))</f>
        <v>0</v>
      </c>
      <c r="H376">
        <f t="shared" si="59"/>
        <v>0</v>
      </c>
      <c r="I376">
        <f>Weighting!$G$16</f>
        <v>0</v>
      </c>
      <c r="J376" s="7">
        <f t="array" ref="J376">FREQUENCY(IF('Data Transformation'!$B$4:$B$404=D363,'Data Transformation'!$G$4:$G$404),'Bin Analysis and Plots'!$D376)</f>
        <v>0</v>
      </c>
      <c r="K376" s="7">
        <f t="shared" si="60"/>
        <v>0</v>
      </c>
      <c r="L376" s="7">
        <f t="shared" si="61"/>
        <v>0</v>
      </c>
      <c r="M376" s="22">
        <f>L376*Weighting!$V$16</f>
        <v>0</v>
      </c>
    </row>
    <row r="377" spans="1:13" x14ac:dyDescent="0.25">
      <c r="A377" s="45" t="b">
        <f t="array" ref="A377">IF(ISERROR(INDEX('Data Transformation'!$B$4:$G$450,SMALL(IF('Data Transformation'!$B$4:$B$450='Bin Analysis and Plots'!D363,ROW('Data Transformation'!$B$4:$B$450)),ROW($12:$12))-3,3)),"",INDEX('Data Transformation'!$B$4:$G$450,SMALL(IF('Data Transformation'!$B$4:$B$450='Bin Analysis and Plots'!D363,ROW('Data Transformation'!$B$4:$B$450)),ROW($12:$12))-3,6))</f>
        <v>0</v>
      </c>
      <c r="B377" s="45" t="str">
        <f>IFERROR(SMALL(A366:A385,'Data Transformation'!$L$17),"")</f>
        <v/>
      </c>
      <c r="C377" s="61" t="str">
        <f>IF(Weighting!$O$17&gt;0,D377,"")</f>
        <v/>
      </c>
      <c r="D377" t="e">
        <f>Weighting!$C$17</f>
        <v>#DIV/0!</v>
      </c>
      <c r="E377" t="e">
        <f>Weighting!$E$17</f>
        <v>#NUM!</v>
      </c>
      <c r="F377" t="e">
        <f>IF(E377=1,'Data Transformation'!$G$3+0.5*'Data Transformation'!$R$25,IF(E378=1,F378-'Data Transformation'!$R$25,FALSE))</f>
        <v>#NUM!</v>
      </c>
      <c r="G377">
        <f t="array" ref="G377">IF(ISLOGICAL(F377),"",FREQUENCY(IF('Data Transformation'!$B$24:$B$404='Bin Analysis and Plots'!$D$363,'Data Transformation'!$G$24:$G$404),'Bin Analysis and Plots'!F377))</f>
        <v>0</v>
      </c>
      <c r="H377">
        <f t="shared" si="59"/>
        <v>0</v>
      </c>
      <c r="I377">
        <f>Weighting!$G$17</f>
        <v>0</v>
      </c>
      <c r="J377" s="7">
        <f t="array" ref="J377">FREQUENCY(IF('Data Transformation'!$B$4:$B$404=D363,'Data Transformation'!$G$4:$G$404),'Bin Analysis and Plots'!$D377)</f>
        <v>0</v>
      </c>
      <c r="K377" s="7">
        <f t="shared" si="60"/>
        <v>0</v>
      </c>
      <c r="L377" s="7">
        <f t="shared" si="61"/>
        <v>0</v>
      </c>
      <c r="M377" s="22">
        <f>L377*Weighting!$V$17</f>
        <v>0</v>
      </c>
    </row>
    <row r="378" spans="1:13" x14ac:dyDescent="0.25">
      <c r="A378" s="45" t="b">
        <f t="array" ref="A378">IF(ISERROR(INDEX('Data Transformation'!$B$4:$G$450,SMALL(IF('Data Transformation'!$B$4:$B$450='Bin Analysis and Plots'!D363,ROW('Data Transformation'!$B$4:$B$450)),ROW($13:$13))-3,3)),"",INDEX('Data Transformation'!$B$4:$G$450,SMALL(IF('Data Transformation'!$B$4:$B$450='Bin Analysis and Plots'!D363,ROW('Data Transformation'!$B$4:$B$450)),ROW($13:$13))-3,6))</f>
        <v>0</v>
      </c>
      <c r="B378" s="45" t="str">
        <f>IFERROR(SMALL(A366:A385,'Data Transformation'!$L$18),"")</f>
        <v/>
      </c>
      <c r="C378" s="61" t="str">
        <f>IF(Weighting!$O$18&gt;0,D378,"")</f>
        <v/>
      </c>
      <c r="D378" t="e">
        <f>Weighting!$C$18</f>
        <v>#DIV/0!</v>
      </c>
      <c r="E378" t="e">
        <f>Weighting!$E$18</f>
        <v>#NUM!</v>
      </c>
      <c r="F378" t="e">
        <f>IF(E378=1,'Data Transformation'!$G$3+0.5*'Data Transformation'!$R$25,IF(E379=1,F379-'Data Transformation'!$R$25,FALSE))</f>
        <v>#NUM!</v>
      </c>
      <c r="G378">
        <f t="array" ref="G378">IF(ISLOGICAL(F378),"",FREQUENCY(IF('Data Transformation'!$B$24:$B$404='Bin Analysis and Plots'!$D$363,'Data Transformation'!$G$24:$G$404),'Bin Analysis and Plots'!F378))</f>
        <v>0</v>
      </c>
      <c r="H378">
        <f t="shared" si="59"/>
        <v>0</v>
      </c>
      <c r="I378">
        <f>Weighting!$G$18</f>
        <v>0</v>
      </c>
      <c r="J378" s="7">
        <f t="array" ref="J378">FREQUENCY(IF('Data Transformation'!$B$4:$B$404=D363,'Data Transformation'!$G$4:$G$404),'Bin Analysis and Plots'!$D378)</f>
        <v>0</v>
      </c>
      <c r="K378" s="7">
        <f t="shared" si="60"/>
        <v>0</v>
      </c>
      <c r="L378" s="7">
        <f t="shared" si="61"/>
        <v>0</v>
      </c>
      <c r="M378" s="22">
        <f>L378*Weighting!$V$18</f>
        <v>0</v>
      </c>
    </row>
    <row r="379" spans="1:13" x14ac:dyDescent="0.25">
      <c r="A379" s="45" t="b">
        <f t="array" ref="A379">IF(ISERROR(INDEX('Data Transformation'!$B$4:$G$450,SMALL(IF('Data Transformation'!$B$4:$B$450='Bin Analysis and Plots'!D363,ROW('Data Transformation'!$B$4:$B$450)),ROW($14:$14))-3,3)),"",INDEX('Data Transformation'!$B$4:$G$450,SMALL(IF('Data Transformation'!$B$4:$B$450='Bin Analysis and Plots'!D363,ROW('Data Transformation'!$B$4:$B$450)),ROW($14:$14))-3,6))</f>
        <v>0</v>
      </c>
      <c r="B379" s="45" t="str">
        <f>IFERROR(SMALL(A366:A385,'Data Transformation'!$L$19),"")</f>
        <v/>
      </c>
      <c r="C379" s="61" t="str">
        <f>IF(Weighting!$O$19&gt;0,D379,"")</f>
        <v/>
      </c>
      <c r="D379" t="e">
        <f>Weighting!$C$19</f>
        <v>#DIV/0!</v>
      </c>
      <c r="E379" t="e">
        <f>Weighting!$E$19</f>
        <v>#NUM!</v>
      </c>
      <c r="F379" t="e">
        <f>IF(E379=1,'Data Transformation'!$G$3+0.5*'Data Transformation'!$R$25,IF(E380=1,F380-'Data Transformation'!$R$25,FALSE))</f>
        <v>#NUM!</v>
      </c>
      <c r="G379">
        <f t="array" ref="G379">IF(ISLOGICAL(F379),"",FREQUENCY(IF('Data Transformation'!$B$24:$B$404='Bin Analysis and Plots'!$D$363,'Data Transformation'!$G$24:$G$404),'Bin Analysis and Plots'!F379))</f>
        <v>0</v>
      </c>
      <c r="H379">
        <f t="shared" si="59"/>
        <v>0</v>
      </c>
      <c r="I379">
        <f>Weighting!$G$19</f>
        <v>0</v>
      </c>
      <c r="J379" s="7">
        <f t="array" ref="J379">FREQUENCY(IF('Data Transformation'!$B$4:$B$404=D363,'Data Transformation'!$G$4:$G$404),'Bin Analysis and Plots'!$D379)</f>
        <v>0</v>
      </c>
      <c r="K379" s="7">
        <f t="shared" si="60"/>
        <v>0</v>
      </c>
      <c r="L379" s="7">
        <f t="shared" si="61"/>
        <v>0</v>
      </c>
      <c r="M379" s="22">
        <f>L379*Weighting!$V$19</f>
        <v>0</v>
      </c>
    </row>
    <row r="380" spans="1:13" x14ac:dyDescent="0.25">
      <c r="A380" s="45" t="b">
        <f t="array" ref="A380">IF(ISERROR(INDEX('Data Transformation'!$B$4:$G$450,SMALL(IF('Data Transformation'!$B$4:$B$450='Bin Analysis and Plots'!D363,ROW('Data Transformation'!$B$4:$B$450)),ROW($15:$15))-3,3)),"",INDEX('Data Transformation'!$B$4:$G$450,SMALL(IF('Data Transformation'!$B$4:$B$450='Bin Analysis and Plots'!D363,ROW('Data Transformation'!$B$4:$B$450)),ROW($15:$15))-3,6))</f>
        <v>0</v>
      </c>
      <c r="B380" s="45" t="str">
        <f>IFERROR(SMALL(A366:A385,'Data Transformation'!$L$20),"")</f>
        <v/>
      </c>
      <c r="C380" s="61" t="str">
        <f>IF(Weighting!$O$20&gt;0,D380,"")</f>
        <v/>
      </c>
      <c r="D380" t="e">
        <f>Weighting!$C$20</f>
        <v>#DIV/0!</v>
      </c>
      <c r="E380" t="e">
        <f>Weighting!$E$20</f>
        <v>#NUM!</v>
      </c>
      <c r="F380" t="e">
        <f>IF(E380=1,'Data Transformation'!$G$3+0.5*'Data Transformation'!$R$25,IF(E381=1,F381-'Data Transformation'!$R$25,FALSE))</f>
        <v>#NUM!</v>
      </c>
      <c r="G380">
        <f t="array" ref="G380">IF(ISLOGICAL(F380),"",FREQUENCY(IF('Data Transformation'!$B$24:$B$404='Bin Analysis and Plots'!$D$363,'Data Transformation'!$G$24:$G$404),'Bin Analysis and Plots'!F380))</f>
        <v>0</v>
      </c>
      <c r="H380">
        <f t="shared" si="59"/>
        <v>0</v>
      </c>
      <c r="I380">
        <f>Weighting!$G$20</f>
        <v>0</v>
      </c>
      <c r="J380" s="7">
        <f t="array" ref="J380">FREQUENCY(IF('Data Transformation'!$B$4:$B$404=D363,'Data Transformation'!$G$4:$G$404),'Bin Analysis and Plots'!$D380)</f>
        <v>0</v>
      </c>
      <c r="K380" s="7">
        <f t="shared" si="60"/>
        <v>0</v>
      </c>
      <c r="L380" s="7">
        <f t="shared" si="61"/>
        <v>0</v>
      </c>
      <c r="M380" s="22">
        <f>L380*Weighting!$V$20</f>
        <v>0</v>
      </c>
    </row>
    <row r="381" spans="1:13" x14ac:dyDescent="0.25">
      <c r="A381" s="45" t="b">
        <f t="array" ref="A381">IF(ISERROR(INDEX('Data Transformation'!$B$4:$G$450,SMALL(IF('Data Transformation'!$B$4:$B$450='Bin Analysis and Plots'!D363,ROW('Data Transformation'!$B$4:$B$450)),ROW($16:$16))-3,3)),"",INDEX('Data Transformation'!$B$4:$G$450,SMALL(IF('Data Transformation'!$B$4:$B$450='Bin Analysis and Plots'!D363,ROW('Data Transformation'!$B$4:$B$450)),ROW($16:$16))-3,6))</f>
        <v>0</v>
      </c>
      <c r="B381" s="45" t="str">
        <f>IFERROR(SMALL(A366:A385,'Data Transformation'!$L$21),"")</f>
        <v/>
      </c>
      <c r="C381" s="61" t="str">
        <f>IF(Weighting!$O$21&gt;0,D381,"")</f>
        <v/>
      </c>
      <c r="D381" t="e">
        <f>Weighting!$C$21</f>
        <v>#DIV/0!</v>
      </c>
      <c r="E381" t="e">
        <f>Weighting!$E$21</f>
        <v>#NUM!</v>
      </c>
      <c r="F381" t="e">
        <f>IF(E381=1,'Data Transformation'!$G$3+0.5*'Data Transformation'!$R$25,IF(E382=1,F382-'Data Transformation'!$R$25,FALSE))</f>
        <v>#NUM!</v>
      </c>
      <c r="G381">
        <f t="array" ref="G381">IF(ISLOGICAL(F381),"",FREQUENCY(IF('Data Transformation'!$B$24:$B$404='Bin Analysis and Plots'!$D$363,'Data Transformation'!$G$24:$G$404),'Bin Analysis and Plots'!F381))</f>
        <v>0</v>
      </c>
      <c r="H381">
        <f t="shared" si="59"/>
        <v>0</v>
      </c>
      <c r="I381">
        <f>Weighting!$G$21</f>
        <v>0</v>
      </c>
      <c r="J381" s="7">
        <f t="array" ref="J381">FREQUENCY(IF('Data Transformation'!$B$4:$B$404=D363,'Data Transformation'!$G$4:$G$404),'Bin Analysis and Plots'!$D381)</f>
        <v>0</v>
      </c>
      <c r="K381" s="7">
        <f t="shared" si="60"/>
        <v>0</v>
      </c>
      <c r="L381" s="7">
        <f t="shared" si="61"/>
        <v>0</v>
      </c>
      <c r="M381" s="22">
        <f>L381*Weighting!$V$21</f>
        <v>0</v>
      </c>
    </row>
    <row r="382" spans="1:13" x14ac:dyDescent="0.25">
      <c r="A382" s="45" t="b">
        <f t="array" ref="A382">IF(ISERROR(INDEX('Data Transformation'!$B$4:$G$450,SMALL(IF('Data Transformation'!$B$4:$B$450='Bin Analysis and Plots'!D363,ROW('Data Transformation'!$B$4:$B$450)),ROW($17:$17))-3,3)),"",INDEX('Data Transformation'!$B$4:$G$450,SMALL(IF('Data Transformation'!$B$4:$B$450='Bin Analysis and Plots'!D363,ROW('Data Transformation'!$B$4:$B$450)),ROW($17:$17))-3,6))</f>
        <v>0</v>
      </c>
      <c r="B382" s="45" t="str">
        <f>IFERROR(SMALL(A366:A385,'Data Transformation'!$L$22),"")</f>
        <v/>
      </c>
      <c r="C382" s="61" t="str">
        <f>IF(Weighting!$O$22&gt;0,D382,"")</f>
        <v/>
      </c>
      <c r="D382" t="e">
        <f>Weighting!$C$22</f>
        <v>#DIV/0!</v>
      </c>
      <c r="E382" t="e">
        <f>Weighting!$E$22</f>
        <v>#NUM!</v>
      </c>
      <c r="F382" t="e">
        <f>IF(E382=1,'Data Transformation'!$G$3+0.5*'Data Transformation'!$R$25,IF(E383=1,F383-'Data Transformation'!$R$25,FALSE))</f>
        <v>#NUM!</v>
      </c>
      <c r="G382">
        <f t="array" ref="G382">IF(ISLOGICAL(F382),"",FREQUENCY(IF('Data Transformation'!$B$24:$B$404='Bin Analysis and Plots'!$D$363,'Data Transformation'!$G$24:$G$404),'Bin Analysis and Plots'!F382))</f>
        <v>0</v>
      </c>
      <c r="H382">
        <f t="shared" si="59"/>
        <v>0</v>
      </c>
      <c r="I382">
        <f>Weighting!$G$22</f>
        <v>0</v>
      </c>
      <c r="J382" s="7">
        <f t="array" ref="J382">FREQUENCY(IF('Data Transformation'!$B$4:$B$404=D363,'Data Transformation'!$G$4:$G$404),'Bin Analysis and Plots'!$D382)</f>
        <v>0</v>
      </c>
      <c r="K382" s="7">
        <f t="shared" si="60"/>
        <v>0</v>
      </c>
      <c r="L382" s="7">
        <f t="shared" si="61"/>
        <v>0</v>
      </c>
      <c r="M382" s="22">
        <f>L382*Weighting!$V$22</f>
        <v>0</v>
      </c>
    </row>
    <row r="383" spans="1:13" x14ac:dyDescent="0.25">
      <c r="A383" s="45" t="b">
        <f t="array" ref="A383">IF(ISERROR(INDEX('Data Transformation'!$B$4:$G$450,SMALL(IF('Data Transformation'!$B$4:$B$450='Bin Analysis and Plots'!D363,ROW('Data Transformation'!$B$4:$B$450)),ROW($18:$18))-3,3)),"",INDEX('Data Transformation'!$B$4:$G$450,SMALL(IF('Data Transformation'!$B$4:$B$450='Bin Analysis and Plots'!D363,ROW('Data Transformation'!$B$4:$B$450)),ROW($18:$18))-3,6))</f>
        <v>0</v>
      </c>
      <c r="B383" s="45" t="str">
        <f>IFERROR(SMALL(A366:A385,'Data Transformation'!$L$23),"")</f>
        <v/>
      </c>
      <c r="C383" s="61" t="str">
        <f>IF(Weighting!$O$23&gt;0,D383,"")</f>
        <v/>
      </c>
      <c r="D383" t="e">
        <f>Weighting!$C$23</f>
        <v>#DIV/0!</v>
      </c>
      <c r="E383" t="e">
        <f>Weighting!$E$23</f>
        <v>#NUM!</v>
      </c>
      <c r="F383" t="e">
        <f>IF(E383=1,'Data Transformation'!$G$3+0.5*'Data Transformation'!$R$25,IF(E384=1,F384-'Data Transformation'!$R$25,FALSE))</f>
        <v>#NUM!</v>
      </c>
      <c r="G383">
        <f t="array" ref="G383">IF(ISLOGICAL(F383),"",FREQUENCY(IF('Data Transformation'!$B$24:$B$404='Bin Analysis and Plots'!$D$363,'Data Transformation'!$G$24:$G$404),'Bin Analysis and Plots'!F383))</f>
        <v>0</v>
      </c>
      <c r="H383">
        <f t="shared" si="59"/>
        <v>0</v>
      </c>
      <c r="I383">
        <f>Weighting!$G$23</f>
        <v>0</v>
      </c>
      <c r="J383" s="7">
        <f t="array" ref="J383">FREQUENCY(IF('Data Transformation'!$B$4:$B$404=D363,'Data Transformation'!$G$4:$G$404),'Bin Analysis and Plots'!$D383)</f>
        <v>0</v>
      </c>
      <c r="K383" s="7">
        <f t="shared" si="60"/>
        <v>0</v>
      </c>
      <c r="L383" s="7">
        <f t="shared" si="61"/>
        <v>0</v>
      </c>
      <c r="M383" s="22">
        <f>L383*Weighting!$V$23</f>
        <v>0</v>
      </c>
    </row>
    <row r="384" spans="1:13" x14ac:dyDescent="0.25">
      <c r="A384" s="45" t="str">
        <f>IF(ISERROR(INDEX('Data Transformation'!$B$4:$G$450,SMALL(IF('Data Transformation'!$B$4:$B$450='Bin Analysis and Plots'!D363,ROW('Data Transformation'!$B$4:$B$450)),ROW($19:$19))-3,3)),"",INDEX('Data Transformation'!$B$4:$G$450,SMALL(IF('Data Transformation'!$B$4:$B$450='Bin Analysis and Plots'!D363,ROW('Data Transformation'!$B$4:$B$450)),ROW($19:$19))-3,6))</f>
        <v/>
      </c>
      <c r="B384" s="45" t="str">
        <f>IFERROR(SMALL(A366:A385,'Data Transformation'!$L$24),"")</f>
        <v/>
      </c>
      <c r="C384" s="61" t="str">
        <f>IF(Weighting!$O$24&gt;0,D384,"")</f>
        <v/>
      </c>
      <c r="D384" t="e">
        <f>Weighting!$C$24</f>
        <v>#DIV/0!</v>
      </c>
      <c r="E384" t="e">
        <f>Weighting!$E$24</f>
        <v>#NUM!</v>
      </c>
      <c r="F384" t="e">
        <f>IF(E384=1,'Data Transformation'!$G$3+0.5*'Data Transformation'!$R$25,IF(E385=1,F385-'Data Transformation'!$R$25,FALSE))</f>
        <v>#NUM!</v>
      </c>
      <c r="G384">
        <f t="array" ref="G384">IF(ISLOGICAL(F384),"",FREQUENCY(IF('Data Transformation'!$B$24:$B$404='Bin Analysis and Plots'!$D$363,'Data Transformation'!$G$24:$G$404),'Bin Analysis and Plots'!F384))</f>
        <v>0</v>
      </c>
      <c r="H384">
        <f t="shared" si="59"/>
        <v>0</v>
      </c>
      <c r="I384">
        <f>Weighting!$G$24</f>
        <v>0</v>
      </c>
      <c r="J384" s="7">
        <f t="array" ref="J384">FREQUENCY(IF('Data Transformation'!$B$4:$B$404=D363,'Data Transformation'!$G$4:$G$404),'Bin Analysis and Plots'!$D384)</f>
        <v>0</v>
      </c>
      <c r="K384" s="7">
        <f t="shared" si="60"/>
        <v>0</v>
      </c>
      <c r="L384" s="7">
        <f t="shared" si="61"/>
        <v>0</v>
      </c>
      <c r="M384" s="22">
        <f>L384*Weighting!$V$24</f>
        <v>0</v>
      </c>
    </row>
    <row r="385" spans="1:20" x14ac:dyDescent="0.25">
      <c r="A385" s="45" t="b">
        <f t="array" ref="A385">IF(ISERROR(INDEX('Data Transformation'!$B$4:$G$450,SMALL(IF('Data Transformation'!$B$4:$B$450='Bin Analysis and Plots'!D363,ROW('Data Transformation'!$B$4:$B$450)),ROW($20:$20))-3,3)),"",INDEX('Data Transformation'!$B$4:$G$450,SMALL(IF('Data Transformation'!$B$4:$B$450='Bin Analysis and Plots'!D363,ROW('Data Transformation'!$B$4:$B$450)),ROW($20:$20))-3,6))</f>
        <v>0</v>
      </c>
      <c r="B385" s="45" t="str">
        <f>IFERROR(SMALL(A366:A385,'Data Transformation'!$L$25),"")</f>
        <v/>
      </c>
      <c r="C385" s="61" t="str">
        <f>IF(Weighting!$O$25&gt;0,D385,"")</f>
        <v/>
      </c>
      <c r="D385" t="e">
        <f>Weighting!$C$25</f>
        <v>#DIV/0!</v>
      </c>
      <c r="E385" t="e">
        <f>Weighting!$E$25</f>
        <v>#NUM!</v>
      </c>
      <c r="F385" t="e">
        <f>IF(E385=1,'Data Transformation'!$G$3+0.5*'Data Transformation'!$R$25,IF(E386=1,F386-'Data Transformation'!$R$25,FALSE))</f>
        <v>#NUM!</v>
      </c>
      <c r="G385">
        <f t="array" ref="G385">IF(ISLOGICAL(F385),"",FREQUENCY(IF('Data Transformation'!$B$24:$B$404='Bin Analysis and Plots'!$D$363,'Data Transformation'!$G$24:$G$404),'Bin Analysis and Plots'!F385))</f>
        <v>0</v>
      </c>
      <c r="H385">
        <f t="shared" si="59"/>
        <v>0</v>
      </c>
      <c r="I385">
        <f>Weighting!$G$25</f>
        <v>0</v>
      </c>
      <c r="J385" s="7">
        <f t="array" ref="J385">FREQUENCY(IF('Data Transformation'!$B$4:$B$404=D363,'Data Transformation'!$G$4:$G$404),'Bin Analysis and Plots'!$D385)</f>
        <v>0</v>
      </c>
      <c r="K385" s="7">
        <f t="shared" si="60"/>
        <v>0</v>
      </c>
      <c r="L385" s="7">
        <f t="shared" si="61"/>
        <v>0</v>
      </c>
      <c r="M385" s="22">
        <f>L385*Weighting!$V$25</f>
        <v>0</v>
      </c>
    </row>
    <row r="386" spans="1:20" x14ac:dyDescent="0.25">
      <c r="C386" s="60" t="str">
        <f t="shared" si="58"/>
        <v/>
      </c>
    </row>
    <row r="387" spans="1:20" ht="23.25" x14ac:dyDescent="0.35">
      <c r="C387" s="46" t="s">
        <v>0</v>
      </c>
      <c r="D387" s="46" t="str">
        <f>'Input and Summary Results'!G23</f>
        <v xml:space="preserve"> </v>
      </c>
      <c r="E387" s="46"/>
      <c r="F387" s="46"/>
      <c r="G387" s="46"/>
      <c r="H387" s="46"/>
      <c r="I387" s="46"/>
      <c r="J387" s="47"/>
      <c r="K387" s="47"/>
      <c r="L387" s="47"/>
      <c r="M387" s="46"/>
      <c r="N387" s="46"/>
      <c r="O387" s="57" t="e">
        <f>INDEX('Data Transformation'!$O$4:$O$25,MATCH($D387,'Data Transformation'!$M$4:$M$25,0),MATCH($O$2,'Data Transformation'!$O$3,0))</f>
        <v>#N/A</v>
      </c>
      <c r="P387" s="52" t="e">
        <f>IF(O387=FALSE,NA(),(VLOOKUP(1,E390:M409,4,FALSE))/(O387-1))</f>
        <v>#N/A</v>
      </c>
      <c r="Q387" s="52" t="e">
        <f>IF(O387=FALSE,NA(),SUM(L390:L409)/Weighting!$R$5)</f>
        <v>#N/A</v>
      </c>
      <c r="R387" s="52" t="e">
        <f>IF(O387=FALSE,NA(),SUM(M390:M409)/Weighting!$R$6)</f>
        <v>#N/A</v>
      </c>
      <c r="S387" s="52" t="e">
        <f>IF(O387=FALSE,NA(),(VLOOKUP(1,I390:M409,3,FALSE))/(O387-1))</f>
        <v>#N/A</v>
      </c>
      <c r="T387" s="57" t="e">
        <f>IF(O387=FALSE,NA(),IF(SUM(L390:L409)=2,"yes","no"))</f>
        <v>#N/A</v>
      </c>
    </row>
    <row r="388" spans="1:20" x14ac:dyDescent="0.25">
      <c r="A388" s="96" t="s">
        <v>64</v>
      </c>
      <c r="B388" s="96"/>
      <c r="C388" s="58" t="s">
        <v>72</v>
      </c>
      <c r="D388" t="s">
        <v>50</v>
      </c>
      <c r="E388" t="s">
        <v>5</v>
      </c>
      <c r="I388" t="s">
        <v>75</v>
      </c>
      <c r="J388" s="7" t="s">
        <v>34</v>
      </c>
      <c r="K388" s="7" t="s">
        <v>35</v>
      </c>
      <c r="L388" s="7" t="s">
        <v>49</v>
      </c>
      <c r="M388" s="21" t="s">
        <v>48</v>
      </c>
    </row>
    <row r="389" spans="1:20" x14ac:dyDescent="0.25">
      <c r="C389" s="60" t="str">
        <f t="shared" ref="C389:C410" si="62">IF(B389="","",D389)</f>
        <v/>
      </c>
      <c r="F389" t="e">
        <f>IF(E389=1,'Data Transformation'!$G$3+0.5*'Data Transformation'!$R$25,IF(E390=1,F390-'Data Transformation'!$R$25,FALSE))</f>
        <v>#NUM!</v>
      </c>
      <c r="G389">
        <f t="array" ref="G389">IF(ISLOGICAL(F389),"",FREQUENCY(IF('Data Transformation'!$B$24:$B$404='Bin Analysis and Plots'!$D$387,'Data Transformation'!$G$24:$G$404),'Bin Analysis and Plots'!F389))</f>
        <v>0</v>
      </c>
      <c r="H389">
        <f>IF(ISLOGICAL(F389),"",G389-G388)</f>
        <v>0</v>
      </c>
    </row>
    <row r="390" spans="1:20" x14ac:dyDescent="0.25">
      <c r="A390" s="45" t="b">
        <f t="array" ref="A390">IF(ISERROR(INDEX('Data Transformation'!$B$4:$G$450,SMALL(IF('Data Transformation'!$B$4:$B$450='Bin Analysis and Plots'!D387,ROW('Data Transformation'!$B$4:$B$450)),ROW($1:$1))-3,3)),"",INDEX('Data Transformation'!$B$4:$G$450,SMALL(IF('Data Transformation'!$B$4:$B$450='Bin Analysis and Plots'!D387,ROW('Data Transformation'!$B$4:$B$450)),ROW($1:$1))-3,6))</f>
        <v>0</v>
      </c>
      <c r="B390" s="45" t="str">
        <f>IFERROR(SMALL(A390:A409,'Data Transformation'!$L$6),"")</f>
        <v/>
      </c>
      <c r="C390" s="61" t="e">
        <f>IF(Weighting!$O$6&gt;0,D390,"")</f>
        <v>#NUM!</v>
      </c>
      <c r="D390" t="e">
        <f>Weighting!$C$6</f>
        <v>#DIV/0!</v>
      </c>
      <c r="E390" t="e">
        <f>Weighting!$E$6</f>
        <v>#NUM!</v>
      </c>
      <c r="F390" t="e">
        <f>IF(E390=1,'Data Transformation'!$G$3+0.5*'Data Transformation'!$R$25,IF(E391=1,F391-'Data Transformation'!$R$25,FALSE))</f>
        <v>#NUM!</v>
      </c>
      <c r="G390">
        <f t="array" ref="G390">IF(ISLOGICAL(F390),"",FREQUENCY(IF('Data Transformation'!$B$24:$B$404='Bin Analysis and Plots'!$D$387,'Data Transformation'!$G$24:$G$404),'Bin Analysis and Plots'!F390))</f>
        <v>0</v>
      </c>
      <c r="H390">
        <f>IF(ISLOGICAL(F390),"",G390-G389)</f>
        <v>0</v>
      </c>
      <c r="I390">
        <f>Weighting!$G$6</f>
        <v>1</v>
      </c>
      <c r="J390" s="7">
        <f t="array" ref="J390">FREQUENCY(IF('Data Transformation'!$B$4:$B$404=D387,'Data Transformation'!$G$4:$G$404),'Bin Analysis and Plots'!$D390)</f>
        <v>0</v>
      </c>
      <c r="K390" s="7">
        <f>J390-J389</f>
        <v>0</v>
      </c>
      <c r="L390" s="7">
        <f>IF(K390=0,0,1)</f>
        <v>0</v>
      </c>
      <c r="M390" s="22" t="e">
        <f>L390*Weighting!$V$6</f>
        <v>#NUM!</v>
      </c>
    </row>
    <row r="391" spans="1:20" x14ac:dyDescent="0.25">
      <c r="A391" s="45" t="b">
        <f t="array" ref="A391">IF(ISERROR(INDEX('Data Transformation'!$B$4:$G$450,SMALL(IF('Data Transformation'!$B$4:$B$450='Bin Analysis and Plots'!D387,ROW('Data Transformation'!$B$4:$B$450)),ROW($2:$2))-3,3)),"",INDEX('Data Transformation'!$B$4:$G$450,SMALL(IF('Data Transformation'!$B$4:$B$450='Bin Analysis and Plots'!D387,ROW('Data Transformation'!$B$4:$B$450)),ROW($2:$2))-3,6))</f>
        <v>0</v>
      </c>
      <c r="B391" s="45" t="str">
        <f>IFERROR(SMALL(A390:A409,'Data Transformation'!$L$7),"")</f>
        <v/>
      </c>
      <c r="C391" s="61" t="str">
        <f>IF(Weighting!$O$7&gt;0,D391,"")</f>
        <v/>
      </c>
      <c r="D391" t="e">
        <f>Weighting!$C$7</f>
        <v>#DIV/0!</v>
      </c>
      <c r="E391" t="e">
        <f>Weighting!$E$7</f>
        <v>#NUM!</v>
      </c>
      <c r="F391" t="e">
        <f>IF(E391=1,'Data Transformation'!$G$3+0.5*'Data Transformation'!$R$25,IF(E392=1,F392-'Data Transformation'!$R$25,FALSE))</f>
        <v>#NUM!</v>
      </c>
      <c r="G391">
        <f t="array" ref="G391">IF(ISLOGICAL(F391),"",FREQUENCY(IF('Data Transformation'!$B$24:$B$404='Bin Analysis and Plots'!$D$387,'Data Transformation'!$G$24:$G$404),'Bin Analysis and Plots'!F391))</f>
        <v>0</v>
      </c>
      <c r="H391">
        <f t="shared" ref="H391:H409" si="63">IF(ISLOGICAL(F391),"",G391-G390)</f>
        <v>0</v>
      </c>
      <c r="I391">
        <f>Weighting!$G$7</f>
        <v>0</v>
      </c>
      <c r="J391" s="7">
        <f t="array" ref="J391">FREQUENCY(IF('Data Transformation'!$B$4:$B$404=D387,'Data Transformation'!$G$4:$G$404),'Bin Analysis and Plots'!$D391)</f>
        <v>0</v>
      </c>
      <c r="K391" s="7">
        <f t="shared" ref="K391:K409" si="64">J391-J390</f>
        <v>0</v>
      </c>
      <c r="L391" s="7">
        <f>IF(K391=0,0,1)</f>
        <v>0</v>
      </c>
      <c r="M391" s="22">
        <f>L391*Weighting!$V$7</f>
        <v>0</v>
      </c>
    </row>
    <row r="392" spans="1:20" x14ac:dyDescent="0.25">
      <c r="A392" s="45" t="b">
        <f t="array" ref="A392">IF(ISERROR(INDEX('Data Transformation'!$B$4:$G$450,SMALL(IF('Data Transformation'!$B$4:$B$450='Bin Analysis and Plots'!D387,ROW('Data Transformation'!$B$4:$B$450)),ROW($3:$3))-3,3)),"",INDEX('Data Transformation'!$B$4:$G$450,SMALL(IF('Data Transformation'!$B$4:$B$450='Bin Analysis and Plots'!D387,ROW('Data Transformation'!$B$4:$B$450)),ROW($3:$3))-3,6))</f>
        <v>0</v>
      </c>
      <c r="B392" s="45" t="str">
        <f>IFERROR(SMALL(A390:A409,'Data Transformation'!$L$8),"")</f>
        <v/>
      </c>
      <c r="C392" s="61" t="str">
        <f>IF(Weighting!$O$8&gt;0,D392,"")</f>
        <v/>
      </c>
      <c r="D392" t="e">
        <f>Weighting!$C$8</f>
        <v>#DIV/0!</v>
      </c>
      <c r="E392" t="e">
        <f>Weighting!$E$8</f>
        <v>#NUM!</v>
      </c>
      <c r="F392" t="e">
        <f>IF(E392=1,'Data Transformation'!$G$3+0.5*'Data Transformation'!$R$25,IF(E393=1,F393-'Data Transformation'!$R$25,FALSE))</f>
        <v>#NUM!</v>
      </c>
      <c r="G392">
        <f t="array" ref="G392">IF(ISLOGICAL(F392),"",FREQUENCY(IF('Data Transformation'!$B$24:$B$404='Bin Analysis and Plots'!$D$387,'Data Transformation'!$G$24:$G$404),'Bin Analysis and Plots'!F392))</f>
        <v>0</v>
      </c>
      <c r="H392">
        <f t="shared" si="63"/>
        <v>0</v>
      </c>
      <c r="I392">
        <f>Weighting!$G$8</f>
        <v>0</v>
      </c>
      <c r="J392" s="7">
        <f t="array" ref="J392">FREQUENCY(IF('Data Transformation'!$B$4:$B$404=D387,'Data Transformation'!$G$4:$G$404),'Bin Analysis and Plots'!$D392)</f>
        <v>0</v>
      </c>
      <c r="K392" s="7">
        <f t="shared" si="64"/>
        <v>0</v>
      </c>
      <c r="L392" s="7">
        <f t="shared" ref="L392:L409" si="65">IF(K392=0,0,1)</f>
        <v>0</v>
      </c>
      <c r="M392" s="22">
        <f>L392*Weighting!$V$8</f>
        <v>0</v>
      </c>
    </row>
    <row r="393" spans="1:20" x14ac:dyDescent="0.25">
      <c r="A393" s="45" t="b">
        <f t="array" ref="A393">IF(ISERROR(INDEX('Data Transformation'!$B$4:$G$450,SMALL(IF('Data Transformation'!$B$4:$B$450='Bin Analysis and Plots'!D387,ROW('Data Transformation'!$B$4:$B$450)),ROW($4:$4))-3,3)),"",INDEX('Data Transformation'!$B$4:$G$450,SMALL(IF('Data Transformation'!$B$4:$B$450='Bin Analysis and Plots'!D387,ROW('Data Transformation'!$B$4:$B$450)),ROW($4:$4))-3,6))</f>
        <v>0</v>
      </c>
      <c r="B393" s="45" t="str">
        <f>IFERROR(SMALL(A390:A409,'Data Transformation'!$L$9),"")</f>
        <v/>
      </c>
      <c r="C393" s="61" t="str">
        <f>IF(Weighting!$O$9&gt;0,D393,"")</f>
        <v/>
      </c>
      <c r="D393" t="e">
        <f>Weighting!$B$9</f>
        <v>#DIV/0!</v>
      </c>
      <c r="E393" t="e">
        <f>Weighting!$E$9</f>
        <v>#NUM!</v>
      </c>
      <c r="F393" t="e">
        <f>IF(E393=1,'Data Transformation'!$G$3+0.5*'Data Transformation'!$R$25,IF(E394=1,F394-'Data Transformation'!$R$25,FALSE))</f>
        <v>#NUM!</v>
      </c>
      <c r="G393">
        <f t="array" ref="G393">IF(ISLOGICAL(F393),"",FREQUENCY(IF('Data Transformation'!$B$24:$B$404='Bin Analysis and Plots'!$D$387,'Data Transformation'!$G$24:$G$404),'Bin Analysis and Plots'!F393))</f>
        <v>0</v>
      </c>
      <c r="H393">
        <f t="shared" si="63"/>
        <v>0</v>
      </c>
      <c r="I393">
        <f>Weighting!$G$9</f>
        <v>0</v>
      </c>
      <c r="J393" s="7">
        <f t="array" ref="J393">FREQUENCY(IF('Data Transformation'!$B$4:$B$404=D387,'Data Transformation'!$G$4:$G$404),'Bin Analysis and Plots'!$D393)</f>
        <v>0</v>
      </c>
      <c r="K393" s="7">
        <f t="shared" si="64"/>
        <v>0</v>
      </c>
      <c r="L393" s="7">
        <f t="shared" si="65"/>
        <v>0</v>
      </c>
      <c r="M393" s="22">
        <f>L393*Weighting!$V$9</f>
        <v>0</v>
      </c>
    </row>
    <row r="394" spans="1:20" x14ac:dyDescent="0.25">
      <c r="A394" s="45" t="b">
        <f t="array" ref="A394">IF(ISERROR(INDEX('Data Transformation'!$B$4:$G$450,SMALL(IF('Data Transformation'!$B$4:$B$450='Bin Analysis and Plots'!D387,ROW('Data Transformation'!$B$4:$B$450)),ROW($5:$5))-3,3)),"",INDEX('Data Transformation'!$B$4:$G$450,SMALL(IF('Data Transformation'!$B$4:$B$450='Bin Analysis and Plots'!D387,ROW('Data Transformation'!$B$4:$B$450)),ROW($5:$5))-3,6))</f>
        <v>0</v>
      </c>
      <c r="B394" s="45" t="str">
        <f>IFERROR(SMALL(A390:A409,'Data Transformation'!$L$10),"")</f>
        <v/>
      </c>
      <c r="C394" s="61" t="str">
        <f>IF(Weighting!$O$10&gt;0,D394,"")</f>
        <v/>
      </c>
      <c r="D394" t="e">
        <f>Weighting!$C$10</f>
        <v>#DIV/0!</v>
      </c>
      <c r="E394" t="e">
        <f>Weighting!$E$10</f>
        <v>#NUM!</v>
      </c>
      <c r="F394" t="e">
        <f>IF(E394=1,'Data Transformation'!$G$3+0.5*'Data Transformation'!$R$25,IF(E395=1,F395-'Data Transformation'!$R$25,FALSE))</f>
        <v>#NUM!</v>
      </c>
      <c r="G394">
        <f t="array" ref="G394">IF(ISLOGICAL(F394),"",FREQUENCY(IF('Data Transformation'!$B$24:$B$404='Bin Analysis and Plots'!$D$387,'Data Transformation'!$G$24:$G$404),'Bin Analysis and Plots'!F394))</f>
        <v>0</v>
      </c>
      <c r="H394">
        <f t="shared" si="63"/>
        <v>0</v>
      </c>
      <c r="I394">
        <f>Weighting!$G$10</f>
        <v>0</v>
      </c>
      <c r="J394" s="7">
        <f t="array" ref="J394">FREQUENCY(IF('Data Transformation'!$B$4:$B$404=D387,'Data Transformation'!$G$4:$G$404),'Bin Analysis and Plots'!$D394)</f>
        <v>0</v>
      </c>
      <c r="K394" s="7">
        <f t="shared" si="64"/>
        <v>0</v>
      </c>
      <c r="L394" s="7">
        <f t="shared" si="65"/>
        <v>0</v>
      </c>
      <c r="M394" s="22">
        <f>L394*Weighting!$V$10</f>
        <v>0</v>
      </c>
    </row>
    <row r="395" spans="1:20" x14ac:dyDescent="0.25">
      <c r="A395" s="45" t="b">
        <f t="array" ref="A395">IF(ISERROR(INDEX('Data Transformation'!$B$4:$G$450,SMALL(IF('Data Transformation'!$B$4:$B$450='Bin Analysis and Plots'!D387,ROW('Data Transformation'!$B$4:$B$450)),ROW($6:$6))-3,3)),"",INDEX('Data Transformation'!$B$4:$G$450,SMALL(IF('Data Transformation'!$B$4:$B$450='Bin Analysis and Plots'!D387,ROW('Data Transformation'!$B$4:$B$450)),ROW($6:$6))-3,6))</f>
        <v>0</v>
      </c>
      <c r="B395" s="45" t="str">
        <f>IFERROR(SMALL(A390:A409,'Data Transformation'!$L$11),"")</f>
        <v/>
      </c>
      <c r="C395" s="61" t="str">
        <f>IF(Weighting!$O$11&gt;0,D395,"")</f>
        <v/>
      </c>
      <c r="D395" t="e">
        <f>Weighting!$C$11</f>
        <v>#DIV/0!</v>
      </c>
      <c r="E395" t="e">
        <f>Weighting!$E$11</f>
        <v>#NUM!</v>
      </c>
      <c r="F395" t="e">
        <f>IF(E395=1,'Data Transformation'!$G$3+0.5*'Data Transformation'!$R$25,IF(E396=1,F396-'Data Transformation'!$R$25,FALSE))</f>
        <v>#NUM!</v>
      </c>
      <c r="G395">
        <f t="array" ref="G395">IF(ISLOGICAL(F395),"",FREQUENCY(IF('Data Transformation'!$B$24:$B$404='Bin Analysis and Plots'!$D$387,'Data Transformation'!$G$24:$G$404),'Bin Analysis and Plots'!F395))</f>
        <v>0</v>
      </c>
      <c r="H395">
        <f t="shared" si="63"/>
        <v>0</v>
      </c>
      <c r="I395">
        <f>Weighting!$G$11</f>
        <v>0</v>
      </c>
      <c r="J395" s="7">
        <f t="array" ref="J395">FREQUENCY(IF('Data Transformation'!$B$4:$B$404=D387,'Data Transformation'!$G$4:$G$404),'Bin Analysis and Plots'!$D395)</f>
        <v>0</v>
      </c>
      <c r="K395" s="7">
        <f t="shared" si="64"/>
        <v>0</v>
      </c>
      <c r="L395" s="7">
        <f t="shared" si="65"/>
        <v>0</v>
      </c>
      <c r="M395" s="22">
        <f>L395*Weighting!$V$11</f>
        <v>0</v>
      </c>
    </row>
    <row r="396" spans="1:20" x14ac:dyDescent="0.25">
      <c r="A396" s="45" t="b">
        <f t="array" ref="A396">IF(ISERROR(INDEX('Data Transformation'!$B$4:$G$450,SMALL(IF('Data Transformation'!$B$4:$B$450='Bin Analysis and Plots'!D387,ROW('Data Transformation'!$B$4:$B$450)),ROW($7:$7))-3,3)),"",INDEX('Data Transformation'!$B$4:$G$450,SMALL(IF('Data Transformation'!$B$4:$B$450='Bin Analysis and Plots'!D387,ROW('Data Transformation'!$B$4:$B$450)),ROW($7:$7))-3,6))</f>
        <v>0</v>
      </c>
      <c r="B396" s="45" t="str">
        <f>IFERROR(SMALL(A390:A409,'Data Transformation'!$L$12),"")</f>
        <v/>
      </c>
      <c r="C396" s="61" t="str">
        <f>IF(Weighting!$O$12&gt;0,D396,"")</f>
        <v/>
      </c>
      <c r="D396" t="e">
        <f>Weighting!$C$12</f>
        <v>#DIV/0!</v>
      </c>
      <c r="E396" t="e">
        <f>Weighting!$E$12</f>
        <v>#NUM!</v>
      </c>
      <c r="F396" t="e">
        <f>IF(E396=1,'Data Transformation'!$G$3+0.5*'Data Transformation'!$R$25,IF(E397=1,F397-'Data Transformation'!$R$25,FALSE))</f>
        <v>#NUM!</v>
      </c>
      <c r="G396">
        <f t="array" ref="G396">IF(ISLOGICAL(F396),"",FREQUENCY(IF('Data Transformation'!$B$24:$B$404='Bin Analysis and Plots'!$D$387,'Data Transformation'!$G$24:$G$404),'Bin Analysis and Plots'!F396))</f>
        <v>0</v>
      </c>
      <c r="H396">
        <f t="shared" si="63"/>
        <v>0</v>
      </c>
      <c r="I396">
        <f>Weighting!$G$12</f>
        <v>0</v>
      </c>
      <c r="J396" s="7">
        <f t="array" ref="J396">FREQUENCY(IF('Data Transformation'!$B$4:$B$404=D387,'Data Transformation'!$G$4:$G$404),'Bin Analysis and Plots'!$D396)</f>
        <v>0</v>
      </c>
      <c r="K396" s="7">
        <f t="shared" si="64"/>
        <v>0</v>
      </c>
      <c r="L396" s="7">
        <f t="shared" si="65"/>
        <v>0</v>
      </c>
      <c r="M396" s="22">
        <f>L396*Weighting!$V$12</f>
        <v>0</v>
      </c>
    </row>
    <row r="397" spans="1:20" x14ac:dyDescent="0.25">
      <c r="A397" s="45" t="b">
        <f t="array" ref="A397">IF(ISERROR(INDEX('Data Transformation'!$B$4:$G$450,SMALL(IF('Data Transformation'!$B$4:$B$450='Bin Analysis and Plots'!D387,ROW('Data Transformation'!$B$4:$B$450)),ROW($8:$8))-3,3)),"",INDEX('Data Transformation'!$B$4:$G$450,SMALL(IF('Data Transformation'!$B$4:$B$450='Bin Analysis and Plots'!D387,ROW('Data Transformation'!$B$4:$B$450)),ROW($8:$8))-3,6))</f>
        <v>0</v>
      </c>
      <c r="B397" s="45" t="str">
        <f>IFERROR(SMALL(A390:A409,'Data Transformation'!$L$13),"")</f>
        <v/>
      </c>
      <c r="C397" s="61" t="str">
        <f>IF(Weighting!$O$13&gt;0,D397,"")</f>
        <v/>
      </c>
      <c r="D397" t="e">
        <f>Weighting!$C$13</f>
        <v>#DIV/0!</v>
      </c>
      <c r="E397" t="e">
        <f>Weighting!$E$13</f>
        <v>#NUM!</v>
      </c>
      <c r="F397" t="e">
        <f>IF(E397=1,'Data Transformation'!$G$3+0.5*'Data Transformation'!$R$25,IF(E398=1,F398-'Data Transformation'!$R$25,FALSE))</f>
        <v>#NUM!</v>
      </c>
      <c r="G397">
        <f t="array" ref="G397">IF(ISLOGICAL(F397),"",FREQUENCY(IF('Data Transformation'!$B$24:$B$404='Bin Analysis and Plots'!$D$387,'Data Transformation'!$G$24:$G$404),'Bin Analysis and Plots'!F397))</f>
        <v>0</v>
      </c>
      <c r="H397">
        <f t="shared" si="63"/>
        <v>0</v>
      </c>
      <c r="I397">
        <f>Weighting!$G$13</f>
        <v>0</v>
      </c>
      <c r="J397" s="7">
        <f t="array" ref="J397">FREQUENCY(IF('Data Transformation'!$B$4:$B$404=D387,'Data Transformation'!$G$4:$G$404),'Bin Analysis and Plots'!$D397)</f>
        <v>0</v>
      </c>
      <c r="K397" s="7">
        <f t="shared" si="64"/>
        <v>0</v>
      </c>
      <c r="L397" s="7">
        <f t="shared" si="65"/>
        <v>0</v>
      </c>
      <c r="M397" s="22">
        <f>L397*Weighting!$V$13</f>
        <v>0</v>
      </c>
    </row>
    <row r="398" spans="1:20" x14ac:dyDescent="0.25">
      <c r="A398" s="45" t="b">
        <f t="array" ref="A398">IF(ISERROR(INDEX('Data Transformation'!$B$4:$G$450,SMALL(IF('Data Transformation'!$B$4:$B$450='Bin Analysis and Plots'!D387,ROW('Data Transformation'!$B$4:$B$450)),ROW($9:$9))-3,3)),"",INDEX('Data Transformation'!$B$4:$G$450,SMALL(IF('Data Transformation'!$B$4:$B$450='Bin Analysis and Plots'!D387,ROW('Data Transformation'!$B$4:$B$450)),ROW($9:$9))-3,6))</f>
        <v>0</v>
      </c>
      <c r="B398" s="45" t="str">
        <f>IFERROR(SMALL(A390:A409,'Data Transformation'!$L$14),"")</f>
        <v/>
      </c>
      <c r="C398" s="61" t="str">
        <f>IF(Weighting!$O$14&gt;0,D398,"")</f>
        <v/>
      </c>
      <c r="D398" t="e">
        <f>Weighting!$C$14</f>
        <v>#DIV/0!</v>
      </c>
      <c r="E398" t="e">
        <f>Weighting!$E$14</f>
        <v>#NUM!</v>
      </c>
      <c r="F398" t="e">
        <f>IF(E398=1,'Data Transformation'!$G$3+0.5*'Data Transformation'!$R$25,IF(E399=1,F399-'Data Transformation'!$R$25,FALSE))</f>
        <v>#NUM!</v>
      </c>
      <c r="G398">
        <f t="array" ref="G398">IF(ISLOGICAL(F398),"",FREQUENCY(IF('Data Transformation'!$B$24:$B$404='Bin Analysis and Plots'!$D$387,'Data Transformation'!$G$24:$G$404),'Bin Analysis and Plots'!F398))</f>
        <v>0</v>
      </c>
      <c r="H398">
        <f t="shared" si="63"/>
        <v>0</v>
      </c>
      <c r="I398">
        <f>Weighting!$G$14</f>
        <v>0</v>
      </c>
      <c r="J398" s="7">
        <f t="array" ref="J398">FREQUENCY(IF('Data Transformation'!$B$4:$B$404=D387,'Data Transformation'!$G$4:$G$404),'Bin Analysis and Plots'!$D398)</f>
        <v>0</v>
      </c>
      <c r="K398" s="7">
        <f t="shared" si="64"/>
        <v>0</v>
      </c>
      <c r="L398" s="7">
        <f t="shared" si="65"/>
        <v>0</v>
      </c>
      <c r="M398" s="22">
        <f>L398*Weighting!$V$14</f>
        <v>0</v>
      </c>
    </row>
    <row r="399" spans="1:20" x14ac:dyDescent="0.25">
      <c r="A399" s="45" t="b">
        <f t="array" ref="A399">IF(ISERROR(INDEX('Data Transformation'!$B$4:$G$450,SMALL(IF('Data Transformation'!$B$4:$B$450='Bin Analysis and Plots'!D387,ROW('Data Transformation'!$B$4:$B$450)),ROW($10:$10))-3,3)),"",INDEX('Data Transformation'!$B$4:$G$450,SMALL(IF('Data Transformation'!$B$4:$B$450='Bin Analysis and Plots'!D387,ROW('Data Transformation'!$B$4:$B$450)),ROW($10:$10))-3,6))</f>
        <v>0</v>
      </c>
      <c r="B399" s="45" t="str">
        <f>IFERROR(SMALL(A390:A409,'Data Transformation'!$L$15),"")</f>
        <v/>
      </c>
      <c r="C399" s="61" t="str">
        <f>IF(Weighting!$O$15&gt;0,D399,"")</f>
        <v/>
      </c>
      <c r="D399" t="e">
        <f>Weighting!$C$15</f>
        <v>#DIV/0!</v>
      </c>
      <c r="E399" t="e">
        <f>Weighting!$E$15</f>
        <v>#NUM!</v>
      </c>
      <c r="F399" t="e">
        <f>IF(E399=1,'Data Transformation'!$G$3+0.5*'Data Transformation'!$R$25,IF(E400=1,F400-'Data Transformation'!$R$25,FALSE))</f>
        <v>#NUM!</v>
      </c>
      <c r="G399">
        <f t="array" ref="G399">IF(ISLOGICAL(F399),"",FREQUENCY(IF('Data Transformation'!$B$24:$B$404='Bin Analysis and Plots'!$D$387,'Data Transformation'!$G$24:$G$404),'Bin Analysis and Plots'!F399))</f>
        <v>0</v>
      </c>
      <c r="H399">
        <f t="shared" si="63"/>
        <v>0</v>
      </c>
      <c r="I399">
        <f>Weighting!$G$15</f>
        <v>0</v>
      </c>
      <c r="J399" s="7">
        <f t="array" ref="J399">FREQUENCY(IF('Data Transformation'!$B$4:$B$404=D387,'Data Transformation'!$G$4:$G$404),'Bin Analysis and Plots'!$D399)</f>
        <v>0</v>
      </c>
      <c r="K399" s="7">
        <f t="shared" si="64"/>
        <v>0</v>
      </c>
      <c r="L399" s="7">
        <f t="shared" si="65"/>
        <v>0</v>
      </c>
      <c r="M399" s="22">
        <f>L399*Weighting!$V$15</f>
        <v>0</v>
      </c>
    </row>
    <row r="400" spans="1:20" x14ac:dyDescent="0.25">
      <c r="A400" s="45" t="b">
        <f t="array" ref="A400">IF(ISERROR(INDEX('Data Transformation'!$B$4:$G$450,SMALL(IF('Data Transformation'!$B$4:$B$450='Bin Analysis and Plots'!D387,ROW('Data Transformation'!$B$4:$B$450)),ROW($11:$11))-3,3)),"",INDEX('Data Transformation'!$B$4:$G$450,SMALL(IF('Data Transformation'!$B$4:$B$450='Bin Analysis and Plots'!D387,ROW('Data Transformation'!$B$4:$B$450)),ROW($11:$11))-3,6))</f>
        <v>0</v>
      </c>
      <c r="B400" s="45" t="str">
        <f>IFERROR(SMALL(A390:A409,'Data Transformation'!$L$16),"")</f>
        <v/>
      </c>
      <c r="C400" s="61" t="str">
        <f>IF(Weighting!$O$16&gt;0,D400,"")</f>
        <v/>
      </c>
      <c r="D400" t="e">
        <f>Weighting!$C$16</f>
        <v>#DIV/0!</v>
      </c>
      <c r="E400" t="e">
        <f>Weighting!$E$16</f>
        <v>#NUM!</v>
      </c>
      <c r="F400" t="e">
        <f>IF(E400=1,'Data Transformation'!$G$3+0.5*'Data Transformation'!$R$25,IF(E401=1,F401-'Data Transformation'!$R$25,FALSE))</f>
        <v>#NUM!</v>
      </c>
      <c r="G400">
        <f t="array" ref="G400">IF(ISLOGICAL(F400),"",FREQUENCY(IF('Data Transformation'!$B$24:$B$404='Bin Analysis and Plots'!$D$387,'Data Transformation'!$G$24:$G$404),'Bin Analysis and Plots'!F400))</f>
        <v>0</v>
      </c>
      <c r="H400">
        <f t="shared" si="63"/>
        <v>0</v>
      </c>
      <c r="I400">
        <f>Weighting!$G$16</f>
        <v>0</v>
      </c>
      <c r="J400" s="7">
        <f t="array" ref="J400">FREQUENCY(IF('Data Transformation'!$B$4:$B$404=D387,'Data Transformation'!$G$4:$G$404),'Bin Analysis and Plots'!$D400)</f>
        <v>0</v>
      </c>
      <c r="K400" s="7">
        <f t="shared" si="64"/>
        <v>0</v>
      </c>
      <c r="L400" s="7">
        <f t="shared" si="65"/>
        <v>0</v>
      </c>
      <c r="M400" s="22">
        <f>L400*Weighting!$V$16</f>
        <v>0</v>
      </c>
    </row>
    <row r="401" spans="1:20" x14ac:dyDescent="0.25">
      <c r="A401" s="45" t="b">
        <f t="array" ref="A401">IF(ISERROR(INDEX('Data Transformation'!$B$4:$G$450,SMALL(IF('Data Transformation'!$B$4:$B$450='Bin Analysis and Plots'!D387,ROW('Data Transformation'!$B$4:$B$450)),ROW($12:$12))-3,3)),"",INDEX('Data Transformation'!$B$4:$G$450,SMALL(IF('Data Transformation'!$B$4:$B$450='Bin Analysis and Plots'!D387,ROW('Data Transformation'!$B$4:$B$450)),ROW($12:$12))-3,6))</f>
        <v>0</v>
      </c>
      <c r="B401" s="45" t="str">
        <f>IFERROR(SMALL(A390:A409,'Data Transformation'!$L$17),"")</f>
        <v/>
      </c>
      <c r="C401" s="61" t="str">
        <f>IF(Weighting!$O$17&gt;0,D401,"")</f>
        <v/>
      </c>
      <c r="D401" t="e">
        <f>Weighting!$C$17</f>
        <v>#DIV/0!</v>
      </c>
      <c r="E401" t="e">
        <f>Weighting!$E$17</f>
        <v>#NUM!</v>
      </c>
      <c r="F401" t="e">
        <f>IF(E401=1,'Data Transformation'!$G$3+0.5*'Data Transformation'!$R$25,IF(E402=1,F402-'Data Transformation'!$R$25,FALSE))</f>
        <v>#NUM!</v>
      </c>
      <c r="G401">
        <f t="array" ref="G401">IF(ISLOGICAL(F401),"",FREQUENCY(IF('Data Transformation'!$B$24:$B$404='Bin Analysis and Plots'!$D$387,'Data Transformation'!$G$24:$G$404),'Bin Analysis and Plots'!F401))</f>
        <v>0</v>
      </c>
      <c r="H401">
        <f t="shared" si="63"/>
        <v>0</v>
      </c>
      <c r="I401">
        <f>Weighting!$G$17</f>
        <v>0</v>
      </c>
      <c r="J401" s="7">
        <f t="array" ref="J401">FREQUENCY(IF('Data Transformation'!$B$4:$B$404=D387,'Data Transformation'!$G$4:$G$404),'Bin Analysis and Plots'!$D401)</f>
        <v>0</v>
      </c>
      <c r="K401" s="7">
        <f t="shared" si="64"/>
        <v>0</v>
      </c>
      <c r="L401" s="7">
        <f t="shared" si="65"/>
        <v>0</v>
      </c>
      <c r="M401" s="22">
        <f>L401*Weighting!$V$17</f>
        <v>0</v>
      </c>
    </row>
    <row r="402" spans="1:20" x14ac:dyDescent="0.25">
      <c r="A402" s="45" t="b">
        <f t="array" ref="A402">IF(ISERROR(INDEX('Data Transformation'!$B$4:$G$450,SMALL(IF('Data Transformation'!$B$4:$B$450='Bin Analysis and Plots'!D387,ROW('Data Transformation'!$B$4:$B$450)),ROW($13:$13))-3,3)),"",INDEX('Data Transformation'!$B$4:$G$450,SMALL(IF('Data Transformation'!$B$4:$B$450='Bin Analysis and Plots'!D387,ROW('Data Transformation'!$B$4:$B$450)),ROW($13:$13))-3,6))</f>
        <v>0</v>
      </c>
      <c r="B402" s="45" t="str">
        <f>IFERROR(SMALL(A390:A409,'Data Transformation'!$L$18),"")</f>
        <v/>
      </c>
      <c r="C402" s="61" t="str">
        <f>IF(Weighting!$O$18&gt;0,D402,"")</f>
        <v/>
      </c>
      <c r="D402" t="e">
        <f>Weighting!$C$18</f>
        <v>#DIV/0!</v>
      </c>
      <c r="E402" t="e">
        <f>Weighting!$E$18</f>
        <v>#NUM!</v>
      </c>
      <c r="F402" t="e">
        <f>IF(E402=1,'Data Transformation'!$G$3+0.5*'Data Transformation'!$R$25,IF(E403=1,F403-'Data Transformation'!$R$25,FALSE))</f>
        <v>#NUM!</v>
      </c>
      <c r="G402">
        <f t="array" ref="G402">IF(ISLOGICAL(F402),"",FREQUENCY(IF('Data Transformation'!$B$24:$B$404='Bin Analysis and Plots'!$D$387,'Data Transformation'!$G$24:$G$404),'Bin Analysis and Plots'!F402))</f>
        <v>0</v>
      </c>
      <c r="H402">
        <f t="shared" si="63"/>
        <v>0</v>
      </c>
      <c r="I402">
        <f>Weighting!$G$18</f>
        <v>0</v>
      </c>
      <c r="J402" s="7">
        <f t="array" ref="J402">FREQUENCY(IF('Data Transformation'!$B$4:$B$404=D387,'Data Transformation'!$G$4:$G$404),'Bin Analysis and Plots'!$D402)</f>
        <v>0</v>
      </c>
      <c r="K402" s="7">
        <f t="shared" si="64"/>
        <v>0</v>
      </c>
      <c r="L402" s="7">
        <f t="shared" si="65"/>
        <v>0</v>
      </c>
      <c r="M402" s="22">
        <f>L402*Weighting!$V$18</f>
        <v>0</v>
      </c>
    </row>
    <row r="403" spans="1:20" x14ac:dyDescent="0.25">
      <c r="A403" s="45" t="b">
        <f t="array" ref="A403">IF(ISERROR(INDEX('Data Transformation'!$B$4:$G$450,SMALL(IF('Data Transformation'!$B$4:$B$450='Bin Analysis and Plots'!D387,ROW('Data Transformation'!$B$4:$B$450)),ROW($14:$14))-3,3)),"",INDEX('Data Transformation'!$B$4:$G$450,SMALL(IF('Data Transformation'!$B$4:$B$450='Bin Analysis and Plots'!D387,ROW('Data Transformation'!$B$4:$B$450)),ROW($14:$14))-3,6))</f>
        <v>0</v>
      </c>
      <c r="B403" s="45" t="str">
        <f>IFERROR(SMALL(A390:A409,'Data Transformation'!$L$19),"")</f>
        <v/>
      </c>
      <c r="C403" s="61" t="str">
        <f>IF(Weighting!$O$19&gt;0,D403,"")</f>
        <v/>
      </c>
      <c r="D403" t="e">
        <f>Weighting!$C$19</f>
        <v>#DIV/0!</v>
      </c>
      <c r="E403" t="e">
        <f>Weighting!$E$19</f>
        <v>#NUM!</v>
      </c>
      <c r="F403" t="e">
        <f>IF(E403=1,'Data Transformation'!$G$3+0.5*'Data Transformation'!$R$25,IF(E404=1,F404-'Data Transformation'!$R$25,FALSE))</f>
        <v>#NUM!</v>
      </c>
      <c r="G403">
        <f t="array" ref="G403">IF(ISLOGICAL(F403),"",FREQUENCY(IF('Data Transformation'!$B$24:$B$404='Bin Analysis and Plots'!$D$387,'Data Transformation'!$G$24:$G$404),'Bin Analysis and Plots'!F403))</f>
        <v>0</v>
      </c>
      <c r="H403">
        <f t="shared" si="63"/>
        <v>0</v>
      </c>
      <c r="I403">
        <f>Weighting!$G$19</f>
        <v>0</v>
      </c>
      <c r="J403" s="7">
        <f t="array" ref="J403">FREQUENCY(IF('Data Transformation'!$B$4:$B$404=D387,'Data Transformation'!$G$4:$G$404),'Bin Analysis and Plots'!$D403)</f>
        <v>0</v>
      </c>
      <c r="K403" s="7">
        <f t="shared" si="64"/>
        <v>0</v>
      </c>
      <c r="L403" s="7">
        <f t="shared" si="65"/>
        <v>0</v>
      </c>
      <c r="M403" s="22">
        <f>L403*Weighting!$V$19</f>
        <v>0</v>
      </c>
    </row>
    <row r="404" spans="1:20" x14ac:dyDescent="0.25">
      <c r="A404" s="45" t="b">
        <f t="array" ref="A404">IF(ISERROR(INDEX('Data Transformation'!$B$4:$G$450,SMALL(IF('Data Transformation'!$B$4:$B$450='Bin Analysis and Plots'!D387,ROW('Data Transformation'!$B$4:$B$450)),ROW($15:$15))-3,3)),"",INDEX('Data Transformation'!$B$4:$G$450,SMALL(IF('Data Transformation'!$B$4:$B$450='Bin Analysis and Plots'!D387,ROW('Data Transformation'!$B$4:$B$450)),ROW($15:$15))-3,6))</f>
        <v>0</v>
      </c>
      <c r="B404" s="45" t="str">
        <f>IFERROR(SMALL(A390:A409,'Data Transformation'!$L$20),"")</f>
        <v/>
      </c>
      <c r="C404" s="61" t="str">
        <f>IF(Weighting!$O$20&gt;0,D404,"")</f>
        <v/>
      </c>
      <c r="D404" t="e">
        <f>Weighting!$C$20</f>
        <v>#DIV/0!</v>
      </c>
      <c r="E404" t="e">
        <f>Weighting!$E$20</f>
        <v>#NUM!</v>
      </c>
      <c r="F404" t="e">
        <f>IF(E404=1,'Data Transformation'!$G$3+0.5*'Data Transformation'!$R$25,IF(E405=1,F405-'Data Transformation'!$R$25,FALSE))</f>
        <v>#NUM!</v>
      </c>
      <c r="G404">
        <f t="array" ref="G404">IF(ISLOGICAL(F404),"",FREQUENCY(IF('Data Transformation'!$B$24:$B$404='Bin Analysis and Plots'!$D$387,'Data Transformation'!$G$24:$G$404),'Bin Analysis and Plots'!F404))</f>
        <v>0</v>
      </c>
      <c r="H404">
        <f t="shared" si="63"/>
        <v>0</v>
      </c>
      <c r="I404">
        <f>Weighting!$G$20</f>
        <v>0</v>
      </c>
      <c r="J404" s="7">
        <f t="array" ref="J404">FREQUENCY(IF('Data Transformation'!$B$4:$B$404=D387,'Data Transformation'!$G$4:$G$404),'Bin Analysis and Plots'!$D404)</f>
        <v>0</v>
      </c>
      <c r="K404" s="7">
        <f t="shared" si="64"/>
        <v>0</v>
      </c>
      <c r="L404" s="7">
        <f t="shared" si="65"/>
        <v>0</v>
      </c>
      <c r="M404" s="22">
        <f>L404*Weighting!$V$20</f>
        <v>0</v>
      </c>
    </row>
    <row r="405" spans="1:20" x14ac:dyDescent="0.25">
      <c r="A405" s="45" t="b">
        <f t="array" ref="A405">IF(ISERROR(INDEX('Data Transformation'!$B$4:$G$450,SMALL(IF('Data Transformation'!$B$4:$B$450='Bin Analysis and Plots'!D387,ROW('Data Transformation'!$B$4:$B$450)),ROW($16:$16))-3,3)),"",INDEX('Data Transformation'!$B$4:$G$450,SMALL(IF('Data Transformation'!$B$4:$B$450='Bin Analysis and Plots'!D387,ROW('Data Transformation'!$B$4:$B$450)),ROW($16:$16))-3,6))</f>
        <v>0</v>
      </c>
      <c r="B405" s="45" t="str">
        <f>IFERROR(SMALL(A390:A409,'Data Transformation'!$L$21),"")</f>
        <v/>
      </c>
      <c r="C405" s="61" t="str">
        <f>IF(Weighting!$O$21&gt;0,D405,"")</f>
        <v/>
      </c>
      <c r="D405" t="e">
        <f>Weighting!$C$21</f>
        <v>#DIV/0!</v>
      </c>
      <c r="E405" t="e">
        <f>Weighting!$E$21</f>
        <v>#NUM!</v>
      </c>
      <c r="F405" t="e">
        <f>IF(E405=1,'Data Transformation'!$G$3+0.5*'Data Transformation'!$R$25,IF(E406=1,F406-'Data Transformation'!$R$25,FALSE))</f>
        <v>#NUM!</v>
      </c>
      <c r="G405">
        <f t="array" ref="G405">IF(ISLOGICAL(F405),"",FREQUENCY(IF('Data Transformation'!$B$24:$B$404='Bin Analysis and Plots'!$D$387,'Data Transformation'!$G$24:$G$404),'Bin Analysis and Plots'!F405))</f>
        <v>0</v>
      </c>
      <c r="H405">
        <f t="shared" si="63"/>
        <v>0</v>
      </c>
      <c r="I405">
        <f>Weighting!$G$21</f>
        <v>0</v>
      </c>
      <c r="J405" s="7">
        <f t="array" ref="J405">FREQUENCY(IF('Data Transformation'!$B$4:$B$404=D387,'Data Transformation'!$G$4:$G$404),'Bin Analysis and Plots'!$D405)</f>
        <v>0</v>
      </c>
      <c r="K405" s="7">
        <f t="shared" si="64"/>
        <v>0</v>
      </c>
      <c r="L405" s="7">
        <f t="shared" si="65"/>
        <v>0</v>
      </c>
      <c r="M405" s="22">
        <f>L405*Weighting!$V$21</f>
        <v>0</v>
      </c>
    </row>
    <row r="406" spans="1:20" x14ac:dyDescent="0.25">
      <c r="A406" s="45" t="b">
        <f t="array" ref="A406">IF(ISERROR(INDEX('Data Transformation'!$B$4:$G$450,SMALL(IF('Data Transformation'!$B$4:$B$450='Bin Analysis and Plots'!D387,ROW('Data Transformation'!$B$4:$B$450)),ROW($17:$17))-3,3)),"",INDEX('Data Transformation'!$B$4:$G$450,SMALL(IF('Data Transformation'!$B$4:$B$450='Bin Analysis and Plots'!D387,ROW('Data Transformation'!$B$4:$B$450)),ROW($17:$17))-3,6))</f>
        <v>0</v>
      </c>
      <c r="B406" s="45" t="str">
        <f>IFERROR(SMALL(A390:A409,'Data Transformation'!$L$22),"")</f>
        <v/>
      </c>
      <c r="C406" s="61" t="str">
        <f>IF(Weighting!$O$22&gt;0,D406,"")</f>
        <v/>
      </c>
      <c r="D406" t="e">
        <f>Weighting!$C$22</f>
        <v>#DIV/0!</v>
      </c>
      <c r="E406" t="e">
        <f>Weighting!$E$22</f>
        <v>#NUM!</v>
      </c>
      <c r="F406" t="e">
        <f>IF(E406=1,'Data Transformation'!$G$3+0.5*'Data Transformation'!$R$25,IF(E407=1,F407-'Data Transformation'!$R$25,FALSE))</f>
        <v>#NUM!</v>
      </c>
      <c r="G406">
        <f t="array" ref="G406">IF(ISLOGICAL(F406),"",FREQUENCY(IF('Data Transformation'!$B$24:$B$404='Bin Analysis and Plots'!$D$387,'Data Transformation'!$G$24:$G$404),'Bin Analysis and Plots'!F406))</f>
        <v>0</v>
      </c>
      <c r="H406">
        <f t="shared" si="63"/>
        <v>0</v>
      </c>
      <c r="I406">
        <f>Weighting!$G$22</f>
        <v>0</v>
      </c>
      <c r="J406" s="7">
        <f t="array" ref="J406">FREQUENCY(IF('Data Transformation'!$B$4:$B$404=D387,'Data Transformation'!$G$4:$G$404),'Bin Analysis and Plots'!$D406)</f>
        <v>0</v>
      </c>
      <c r="K406" s="7">
        <f t="shared" si="64"/>
        <v>0</v>
      </c>
      <c r="L406" s="7">
        <f t="shared" si="65"/>
        <v>0</v>
      </c>
      <c r="M406" s="22">
        <f>L406*Weighting!$V$22</f>
        <v>0</v>
      </c>
    </row>
    <row r="407" spans="1:20" x14ac:dyDescent="0.25">
      <c r="A407" s="45" t="b">
        <f t="array" ref="A407">IF(ISERROR(INDEX('Data Transformation'!$B$4:$G$450,SMALL(IF('Data Transformation'!$B$4:$B$450='Bin Analysis and Plots'!D387,ROW('Data Transformation'!$B$4:$B$450)),ROW($18:$18))-3,3)),"",INDEX('Data Transformation'!$B$4:$G$450,SMALL(IF('Data Transformation'!$B$4:$B$450='Bin Analysis and Plots'!D387,ROW('Data Transformation'!$B$4:$B$450)),ROW($18:$18))-3,6))</f>
        <v>0</v>
      </c>
      <c r="B407" s="45" t="str">
        <f>IFERROR(SMALL(A390:A409,'Data Transformation'!$L$23),"")</f>
        <v/>
      </c>
      <c r="C407" s="61" t="str">
        <f>IF(Weighting!$O$23&gt;0,D407,"")</f>
        <v/>
      </c>
      <c r="D407" t="e">
        <f>Weighting!$C$23</f>
        <v>#DIV/0!</v>
      </c>
      <c r="E407" t="e">
        <f>Weighting!$E$23</f>
        <v>#NUM!</v>
      </c>
      <c r="F407" t="e">
        <f>IF(E407=1,'Data Transformation'!$G$3+0.5*'Data Transformation'!$R$25,IF(E408=1,F408-'Data Transformation'!$R$25,FALSE))</f>
        <v>#NUM!</v>
      </c>
      <c r="G407">
        <f t="array" ref="G407">IF(ISLOGICAL(F407),"",FREQUENCY(IF('Data Transformation'!$B$24:$B$404='Bin Analysis and Plots'!$D$387,'Data Transformation'!$G$24:$G$404),'Bin Analysis and Plots'!F407))</f>
        <v>0</v>
      </c>
      <c r="H407">
        <f t="shared" si="63"/>
        <v>0</v>
      </c>
      <c r="I407">
        <f>Weighting!$G$23</f>
        <v>0</v>
      </c>
      <c r="J407" s="7">
        <f t="array" ref="J407">FREQUENCY(IF('Data Transformation'!$B$4:$B$404=D387,'Data Transformation'!$G$4:$G$404),'Bin Analysis and Plots'!$D407)</f>
        <v>0</v>
      </c>
      <c r="K407" s="7">
        <f t="shared" si="64"/>
        <v>0</v>
      </c>
      <c r="L407" s="7">
        <f t="shared" si="65"/>
        <v>0</v>
      </c>
      <c r="M407" s="22">
        <f>L407*Weighting!$V$23</f>
        <v>0</v>
      </c>
    </row>
    <row r="408" spans="1:20" x14ac:dyDescent="0.25">
      <c r="A408" s="45" t="str">
        <f>IF(ISERROR(INDEX('Data Transformation'!$B$4:$G$450,SMALL(IF('Data Transformation'!$B$4:$B$450='Bin Analysis and Plots'!D387,ROW('Data Transformation'!$B$4:$B$450)),ROW($19:$19))-3,3)),"",INDEX('Data Transformation'!$B$4:$G$450,SMALL(IF('Data Transformation'!$B$4:$B$450='Bin Analysis and Plots'!D387,ROW('Data Transformation'!$B$4:$B$450)),ROW($19:$19))-3,6))</f>
        <v/>
      </c>
      <c r="B408" s="45" t="str">
        <f>IFERROR(SMALL(A390:A409,'Data Transformation'!$L$24),"")</f>
        <v/>
      </c>
      <c r="C408" s="61" t="str">
        <f>IF(Weighting!$O$24&gt;0,D408,"")</f>
        <v/>
      </c>
      <c r="D408" t="e">
        <f>Weighting!$C$24</f>
        <v>#DIV/0!</v>
      </c>
      <c r="E408" t="e">
        <f>Weighting!$E$24</f>
        <v>#NUM!</v>
      </c>
      <c r="F408" t="e">
        <f>IF(E408=1,'Data Transformation'!$G$3+0.5*'Data Transformation'!$R$25,IF(E409=1,F409-'Data Transformation'!$R$25,FALSE))</f>
        <v>#NUM!</v>
      </c>
      <c r="G408">
        <f t="array" ref="G408">IF(ISLOGICAL(F408),"",FREQUENCY(IF('Data Transformation'!$B$24:$B$404='Bin Analysis and Plots'!$D$387,'Data Transformation'!$G$24:$G$404),'Bin Analysis and Plots'!F408))</f>
        <v>0</v>
      </c>
      <c r="H408">
        <f t="shared" si="63"/>
        <v>0</v>
      </c>
      <c r="I408">
        <f>Weighting!$G$24</f>
        <v>0</v>
      </c>
      <c r="J408" s="7">
        <f t="array" ref="J408">FREQUENCY(IF('Data Transformation'!$B$4:$B$404=D387,'Data Transformation'!$G$4:$G$404),'Bin Analysis and Plots'!$D408)</f>
        <v>0</v>
      </c>
      <c r="K408" s="7">
        <f t="shared" si="64"/>
        <v>0</v>
      </c>
      <c r="L408" s="7">
        <f t="shared" si="65"/>
        <v>0</v>
      </c>
      <c r="M408" s="22">
        <f>L408*Weighting!$V$24</f>
        <v>0</v>
      </c>
    </row>
    <row r="409" spans="1:20" x14ac:dyDescent="0.25">
      <c r="A409" s="45" t="b">
        <f t="array" ref="A409">IF(ISERROR(INDEX('Data Transformation'!$B$4:$G$450,SMALL(IF('Data Transformation'!$B$4:$B$450='Bin Analysis and Plots'!D387,ROW('Data Transformation'!$B$4:$B$450)),ROW($20:$20))-3,3)),"",INDEX('Data Transformation'!$B$4:$G$450,SMALL(IF('Data Transformation'!$B$4:$B$450='Bin Analysis and Plots'!D387,ROW('Data Transformation'!$B$4:$B$450)),ROW($20:$20))-3,6))</f>
        <v>0</v>
      </c>
      <c r="B409" s="45" t="str">
        <f>IFERROR(SMALL(A390:A409,'Data Transformation'!$L$25),"")</f>
        <v/>
      </c>
      <c r="C409" s="61" t="str">
        <f>IF(Weighting!$O$25&gt;0,D409,"")</f>
        <v/>
      </c>
      <c r="D409" t="e">
        <f>Weighting!$C$25</f>
        <v>#DIV/0!</v>
      </c>
      <c r="E409" t="e">
        <f>Weighting!$E$25</f>
        <v>#NUM!</v>
      </c>
      <c r="F409" t="e">
        <f>IF(E409=1,'Data Transformation'!$G$3+0.5*'Data Transformation'!$R$25,IF(E410=1,F410-'Data Transformation'!$R$25,FALSE))</f>
        <v>#NUM!</v>
      </c>
      <c r="G409">
        <f t="array" ref="G409">IF(ISLOGICAL(F409),"",FREQUENCY(IF('Data Transformation'!$B$24:$B$404='Bin Analysis and Plots'!$D$387,'Data Transformation'!$G$24:$G$404),'Bin Analysis and Plots'!F409))</f>
        <v>0</v>
      </c>
      <c r="H409">
        <f t="shared" si="63"/>
        <v>0</v>
      </c>
      <c r="I409">
        <f>Weighting!$G$25</f>
        <v>0</v>
      </c>
      <c r="J409" s="7">
        <f t="array" ref="J409">FREQUENCY(IF('Data Transformation'!$B$4:$B$404=D387,'Data Transformation'!$G$4:$G$404),'Bin Analysis and Plots'!$D409)</f>
        <v>0</v>
      </c>
      <c r="K409" s="7">
        <f t="shared" si="64"/>
        <v>0</v>
      </c>
      <c r="L409" s="7">
        <f t="shared" si="65"/>
        <v>0</v>
      </c>
      <c r="M409" s="22">
        <f>L409*Weighting!$V$25</f>
        <v>0</v>
      </c>
    </row>
    <row r="410" spans="1:20" x14ac:dyDescent="0.25">
      <c r="C410" s="60" t="str">
        <f t="shared" si="62"/>
        <v/>
      </c>
    </row>
    <row r="411" spans="1:20" ht="23.25" x14ac:dyDescent="0.35">
      <c r="C411" s="46" t="s">
        <v>0</v>
      </c>
      <c r="D411" s="46" t="str">
        <f>'Input and Summary Results'!G24</f>
        <v xml:space="preserve"> </v>
      </c>
      <c r="E411" s="46"/>
      <c r="F411" s="46"/>
      <c r="G411" s="46"/>
      <c r="H411" s="46"/>
      <c r="I411" s="46"/>
      <c r="J411" s="47"/>
      <c r="K411" s="47"/>
      <c r="L411" s="47"/>
      <c r="M411" s="46"/>
      <c r="N411" s="46"/>
      <c r="O411" s="57" t="e">
        <f>INDEX('Data Transformation'!$O$4:$O$25,MATCH($D411,'Data Transformation'!$M$4:$M$25,0),MATCH($O$2,'Data Transformation'!$O$3,0))</f>
        <v>#N/A</v>
      </c>
      <c r="P411" s="52" t="e">
        <f>IF(O411=FALSE,NA(),(VLOOKUP(1,E414:M433,4,FALSE))/(O411-1))</f>
        <v>#N/A</v>
      </c>
      <c r="Q411" s="52" t="e">
        <f>IF(O411=FALSE,NA(),SUM(L414:L433)/Weighting!$R$5)</f>
        <v>#N/A</v>
      </c>
      <c r="R411" s="52" t="e">
        <f>IF(O411=FALSE,NA(),SUM(M414:M433)/Weighting!$R$6)</f>
        <v>#N/A</v>
      </c>
      <c r="S411" s="52" t="e">
        <f>IF(O411=FALSE,NA(),(VLOOKUP(1,I414:M433,3,FALSE))/(O411-1))</f>
        <v>#N/A</v>
      </c>
      <c r="T411" s="57" t="e">
        <f>IF(O411=FALSE,NA(),IF(SUM(L414:L433)=2,"yes","no"))</f>
        <v>#N/A</v>
      </c>
    </row>
    <row r="412" spans="1:20" x14ac:dyDescent="0.25">
      <c r="A412" s="96" t="s">
        <v>64</v>
      </c>
      <c r="B412" s="96"/>
      <c r="C412" s="58" t="s">
        <v>72</v>
      </c>
      <c r="D412" t="s">
        <v>50</v>
      </c>
      <c r="E412" t="s">
        <v>5</v>
      </c>
      <c r="I412" t="s">
        <v>75</v>
      </c>
      <c r="J412" s="7" t="s">
        <v>34</v>
      </c>
      <c r="K412" s="7" t="s">
        <v>35</v>
      </c>
      <c r="L412" s="7" t="s">
        <v>49</v>
      </c>
      <c r="M412" s="21" t="s">
        <v>48</v>
      </c>
    </row>
    <row r="413" spans="1:20" x14ac:dyDescent="0.25">
      <c r="C413" s="60" t="str">
        <f t="shared" ref="C413:C434" si="66">IF(B413="","",D413)</f>
        <v/>
      </c>
      <c r="F413" t="e">
        <f>IF(E413=1,'Data Transformation'!$G$3+0.5*'Data Transformation'!$R$25,IF(E414=1,F414-'Data Transformation'!$R$25,FALSE))</f>
        <v>#NUM!</v>
      </c>
      <c r="G413">
        <f t="array" ref="G413">IF(ISLOGICAL(F413),"",FREQUENCY(IF('Data Transformation'!$B$24:$B$404='Bin Analysis and Plots'!$D$411,'Data Transformation'!$G$24:$G$404),'Bin Analysis and Plots'!F413))</f>
        <v>0</v>
      </c>
      <c r="H413">
        <f>IF(ISLOGICAL(F413),"",G413-G412)</f>
        <v>0</v>
      </c>
    </row>
    <row r="414" spans="1:20" x14ac:dyDescent="0.25">
      <c r="A414" s="45" t="b">
        <f t="array" ref="A414">IF(ISERROR(INDEX('Data Transformation'!$B$4:$G$450,SMALL(IF('Data Transformation'!$B$4:$B$450='Bin Analysis and Plots'!D411,ROW('Data Transformation'!$B$4:$B$450)),ROW($1:$1))-3,3)),"",INDEX('Data Transformation'!$B$4:$G$450,SMALL(IF('Data Transformation'!$B$4:$B$450='Bin Analysis and Plots'!D411,ROW('Data Transformation'!$B$4:$B$450)),ROW($1:$1))-3,6))</f>
        <v>0</v>
      </c>
      <c r="B414" s="45" t="str">
        <f>IFERROR(SMALL(A414:A433,'Data Transformation'!$L$6),"")</f>
        <v/>
      </c>
      <c r="C414" s="61" t="e">
        <f>IF(Weighting!$O$6&gt;0,D414,"")</f>
        <v>#NUM!</v>
      </c>
      <c r="D414" t="e">
        <f>Weighting!$C$6</f>
        <v>#DIV/0!</v>
      </c>
      <c r="E414" t="e">
        <f>Weighting!$E$6</f>
        <v>#NUM!</v>
      </c>
      <c r="F414" t="e">
        <f>IF(E414=1,'Data Transformation'!$G$3+0.5*'Data Transformation'!$R$25,IF(E415=1,F415-'Data Transformation'!$R$25,FALSE))</f>
        <v>#NUM!</v>
      </c>
      <c r="G414">
        <f t="array" ref="G414">IF(ISLOGICAL(F414),"",FREQUENCY(IF('Data Transformation'!$B$24:$B$404='Bin Analysis and Plots'!$D$411,'Data Transformation'!$G$24:$G$404),'Bin Analysis and Plots'!F414))</f>
        <v>0</v>
      </c>
      <c r="H414">
        <f>IF(ISLOGICAL(F414),"",G414-G413)</f>
        <v>0</v>
      </c>
      <c r="I414">
        <f>Weighting!$G$6</f>
        <v>1</v>
      </c>
      <c r="J414" s="7">
        <f t="array" ref="J414">FREQUENCY(IF('Data Transformation'!$B$4:$B$404=D411,'Data Transformation'!$G$4:$G$404),'Bin Analysis and Plots'!$D414)</f>
        <v>0</v>
      </c>
      <c r="K414" s="7">
        <f>J414-J413</f>
        <v>0</v>
      </c>
      <c r="L414" s="7">
        <f>IF(K414=0,0,1)</f>
        <v>0</v>
      </c>
      <c r="M414" s="22" t="e">
        <f>L414*Weighting!$V$6</f>
        <v>#NUM!</v>
      </c>
    </row>
    <row r="415" spans="1:20" x14ac:dyDescent="0.25">
      <c r="A415" s="45" t="b">
        <f t="array" ref="A415">IF(ISERROR(INDEX('Data Transformation'!$B$4:$G$450,SMALL(IF('Data Transformation'!$B$4:$B$450='Bin Analysis and Plots'!D411,ROW('Data Transformation'!$B$4:$B$450)),ROW($2:$2))-3,3)),"",INDEX('Data Transformation'!$B$4:$G$450,SMALL(IF('Data Transformation'!$B$4:$B$450='Bin Analysis and Plots'!D411,ROW('Data Transformation'!$B$4:$B$450)),ROW($2:$2))-3,6))</f>
        <v>0</v>
      </c>
      <c r="B415" s="45" t="str">
        <f>IFERROR(SMALL(A414:A433,'Data Transformation'!$L$7),"")</f>
        <v/>
      </c>
      <c r="C415" s="61" t="str">
        <f>IF(Weighting!$O$7&gt;0,D415,"")</f>
        <v/>
      </c>
      <c r="D415" t="e">
        <f>Weighting!$C$7</f>
        <v>#DIV/0!</v>
      </c>
      <c r="E415" t="e">
        <f>Weighting!$E$7</f>
        <v>#NUM!</v>
      </c>
      <c r="F415" t="e">
        <f>IF(E415=1,'Data Transformation'!$G$3+0.5*'Data Transformation'!$R$25,IF(E416=1,F416-'Data Transformation'!$R$25,FALSE))</f>
        <v>#NUM!</v>
      </c>
      <c r="G415">
        <f t="array" ref="G415">IF(ISLOGICAL(F415),"",FREQUENCY(IF('Data Transformation'!$B$24:$B$404='Bin Analysis and Plots'!$D$411,'Data Transformation'!$G$24:$G$404),'Bin Analysis and Plots'!F415))</f>
        <v>0</v>
      </c>
      <c r="H415">
        <f t="shared" ref="H415:H433" si="67">IF(ISLOGICAL(F415),"",G415-G414)</f>
        <v>0</v>
      </c>
      <c r="I415">
        <f>Weighting!$G$7</f>
        <v>0</v>
      </c>
      <c r="J415" s="7">
        <f t="array" ref="J415">FREQUENCY(IF('Data Transformation'!$B$4:$B$404=D411,'Data Transformation'!$G$4:$G$404),'Bin Analysis and Plots'!$D415)</f>
        <v>0</v>
      </c>
      <c r="K415" s="7">
        <f t="shared" ref="K415:K433" si="68">J415-J414</f>
        <v>0</v>
      </c>
      <c r="L415" s="7">
        <f>IF(K415=0,0,1)</f>
        <v>0</v>
      </c>
      <c r="M415" s="22">
        <f>L415*Weighting!$V$7</f>
        <v>0</v>
      </c>
    </row>
    <row r="416" spans="1:20" x14ac:dyDescent="0.25">
      <c r="A416" s="45" t="b">
        <f t="array" ref="A416">IF(ISERROR(INDEX('Data Transformation'!$B$4:$G$450,SMALL(IF('Data Transformation'!$B$4:$B$450='Bin Analysis and Plots'!D411,ROW('Data Transformation'!$B$4:$B$450)),ROW($3:$3))-3,3)),"",INDEX('Data Transformation'!$B$4:$G$450,SMALL(IF('Data Transformation'!$B$4:$B$450='Bin Analysis and Plots'!D411,ROW('Data Transformation'!$B$4:$B$450)),ROW($3:$3))-3,6))</f>
        <v>0</v>
      </c>
      <c r="B416" s="45" t="str">
        <f>IFERROR(SMALL(A414:A433,'Data Transformation'!$L$8),"")</f>
        <v/>
      </c>
      <c r="C416" s="61" t="str">
        <f>IF(Weighting!$O$8&gt;0,D416,"")</f>
        <v/>
      </c>
      <c r="D416" t="e">
        <f>Weighting!$C$8</f>
        <v>#DIV/0!</v>
      </c>
      <c r="E416" t="e">
        <f>Weighting!$E$8</f>
        <v>#NUM!</v>
      </c>
      <c r="F416" t="e">
        <f>IF(E416=1,'Data Transformation'!$G$3+0.5*'Data Transformation'!$R$25,IF(E417=1,F417-'Data Transformation'!$R$25,FALSE))</f>
        <v>#NUM!</v>
      </c>
      <c r="G416">
        <f t="array" ref="G416">IF(ISLOGICAL(F416),"",FREQUENCY(IF('Data Transformation'!$B$24:$B$404='Bin Analysis and Plots'!$D$411,'Data Transformation'!$G$24:$G$404),'Bin Analysis and Plots'!F416))</f>
        <v>0</v>
      </c>
      <c r="H416">
        <f t="shared" si="67"/>
        <v>0</v>
      </c>
      <c r="I416">
        <f>Weighting!$G$8</f>
        <v>0</v>
      </c>
      <c r="J416" s="7">
        <f t="array" ref="J416">FREQUENCY(IF('Data Transformation'!$B$4:$B$404=D411,'Data Transformation'!$G$4:$G$404),'Bin Analysis and Plots'!$D416)</f>
        <v>0</v>
      </c>
      <c r="K416" s="7">
        <f t="shared" si="68"/>
        <v>0</v>
      </c>
      <c r="L416" s="7">
        <f t="shared" ref="L416:L433" si="69">IF(K416=0,0,1)</f>
        <v>0</v>
      </c>
      <c r="M416" s="22">
        <f>L416*Weighting!$V$8</f>
        <v>0</v>
      </c>
    </row>
    <row r="417" spans="1:13" x14ac:dyDescent="0.25">
      <c r="A417" s="45" t="b">
        <f t="array" ref="A417">IF(ISERROR(INDEX('Data Transformation'!$B$4:$G$450,SMALL(IF('Data Transformation'!$B$4:$B$450='Bin Analysis and Plots'!D411,ROW('Data Transformation'!$B$4:$B$450)),ROW($4:$4))-3,3)),"",INDEX('Data Transformation'!$B$4:$G$450,SMALL(IF('Data Transformation'!$B$4:$B$450='Bin Analysis and Plots'!D411,ROW('Data Transformation'!$B$4:$B$450)),ROW($4:$4))-3,6))</f>
        <v>0</v>
      </c>
      <c r="B417" s="45" t="str">
        <f>IFERROR(SMALL(A414:A433,'Data Transformation'!$L$9),"")</f>
        <v/>
      </c>
      <c r="C417" s="61" t="str">
        <f>IF(Weighting!$O$9&gt;0,D417,"")</f>
        <v/>
      </c>
      <c r="D417" t="e">
        <f>Weighting!$B$9</f>
        <v>#DIV/0!</v>
      </c>
      <c r="E417" t="e">
        <f>Weighting!$E$9</f>
        <v>#NUM!</v>
      </c>
      <c r="F417" t="e">
        <f>IF(E417=1,'Data Transformation'!$G$3+0.5*'Data Transformation'!$R$25,IF(E418=1,F418-'Data Transformation'!$R$25,FALSE))</f>
        <v>#NUM!</v>
      </c>
      <c r="G417">
        <f t="array" ref="G417">IF(ISLOGICAL(F417),"",FREQUENCY(IF('Data Transformation'!$B$24:$B$404='Bin Analysis and Plots'!$D$411,'Data Transformation'!$G$24:$G$404),'Bin Analysis and Plots'!F417))</f>
        <v>0</v>
      </c>
      <c r="H417">
        <f t="shared" si="67"/>
        <v>0</v>
      </c>
      <c r="I417">
        <f>Weighting!$G$9</f>
        <v>0</v>
      </c>
      <c r="J417" s="7">
        <f t="array" ref="J417">FREQUENCY(IF('Data Transformation'!$B$4:$B$404=D411,'Data Transformation'!$G$4:$G$404),'Bin Analysis and Plots'!$D417)</f>
        <v>0</v>
      </c>
      <c r="K417" s="7">
        <f t="shared" si="68"/>
        <v>0</v>
      </c>
      <c r="L417" s="7">
        <f t="shared" si="69"/>
        <v>0</v>
      </c>
      <c r="M417" s="22">
        <f>L417*Weighting!$V$9</f>
        <v>0</v>
      </c>
    </row>
    <row r="418" spans="1:13" x14ac:dyDescent="0.25">
      <c r="A418" s="45" t="b">
        <f t="array" ref="A418">IF(ISERROR(INDEX('Data Transformation'!$B$4:$G$450,SMALL(IF('Data Transformation'!$B$4:$B$450='Bin Analysis and Plots'!D411,ROW('Data Transformation'!$B$4:$B$450)),ROW($5:$5))-3,3)),"",INDEX('Data Transformation'!$B$4:$G$450,SMALL(IF('Data Transformation'!$B$4:$B$450='Bin Analysis and Plots'!D411,ROW('Data Transformation'!$B$4:$B$450)),ROW($5:$5))-3,6))</f>
        <v>0</v>
      </c>
      <c r="B418" s="45" t="str">
        <f>IFERROR(SMALL(A414:A433,'Data Transformation'!$L$10),"")</f>
        <v/>
      </c>
      <c r="C418" s="61" t="str">
        <f>IF(Weighting!$O$10&gt;0,D418,"")</f>
        <v/>
      </c>
      <c r="D418" t="e">
        <f>Weighting!$C$10</f>
        <v>#DIV/0!</v>
      </c>
      <c r="E418" t="e">
        <f>Weighting!$E$10</f>
        <v>#NUM!</v>
      </c>
      <c r="F418" t="e">
        <f>IF(E418=1,'Data Transformation'!$G$3+0.5*'Data Transformation'!$R$25,IF(E419=1,F419-'Data Transformation'!$R$25,FALSE))</f>
        <v>#NUM!</v>
      </c>
      <c r="G418">
        <f t="array" ref="G418">IF(ISLOGICAL(F418),"",FREQUENCY(IF('Data Transformation'!$B$24:$B$404='Bin Analysis and Plots'!$D$411,'Data Transformation'!$G$24:$G$404),'Bin Analysis and Plots'!F418))</f>
        <v>0</v>
      </c>
      <c r="H418">
        <f t="shared" si="67"/>
        <v>0</v>
      </c>
      <c r="I418">
        <f>Weighting!$G$10</f>
        <v>0</v>
      </c>
      <c r="J418" s="7">
        <f t="array" ref="J418">FREQUENCY(IF('Data Transformation'!$B$4:$B$404=D411,'Data Transformation'!$G$4:$G$404),'Bin Analysis and Plots'!$D418)</f>
        <v>0</v>
      </c>
      <c r="K418" s="7">
        <f t="shared" si="68"/>
        <v>0</v>
      </c>
      <c r="L418" s="7">
        <f t="shared" si="69"/>
        <v>0</v>
      </c>
      <c r="M418" s="22">
        <f>L418*Weighting!$V$10</f>
        <v>0</v>
      </c>
    </row>
    <row r="419" spans="1:13" x14ac:dyDescent="0.25">
      <c r="A419" s="45" t="b">
        <f t="array" ref="A419">IF(ISERROR(INDEX('Data Transformation'!$B$4:$G$450,SMALL(IF('Data Transformation'!$B$4:$B$450='Bin Analysis and Plots'!D411,ROW('Data Transformation'!$B$4:$B$450)),ROW($6:$6))-3,3)),"",INDEX('Data Transformation'!$B$4:$G$450,SMALL(IF('Data Transformation'!$B$4:$B$450='Bin Analysis and Plots'!D411,ROW('Data Transformation'!$B$4:$B$450)),ROW($6:$6))-3,6))</f>
        <v>0</v>
      </c>
      <c r="B419" s="45" t="str">
        <f>IFERROR(SMALL(A414:A433,'Data Transformation'!$L$11),"")</f>
        <v/>
      </c>
      <c r="C419" s="61" t="str">
        <f>IF(Weighting!$O$11&gt;0,D419,"")</f>
        <v/>
      </c>
      <c r="D419" t="e">
        <f>Weighting!$C$11</f>
        <v>#DIV/0!</v>
      </c>
      <c r="E419" t="e">
        <f>Weighting!$E$11</f>
        <v>#NUM!</v>
      </c>
      <c r="F419" t="e">
        <f>IF(E419=1,'Data Transformation'!$G$3+0.5*'Data Transformation'!$R$25,IF(E420=1,F420-'Data Transformation'!$R$25,FALSE))</f>
        <v>#NUM!</v>
      </c>
      <c r="G419">
        <f t="array" ref="G419">IF(ISLOGICAL(F419),"",FREQUENCY(IF('Data Transformation'!$B$24:$B$404='Bin Analysis and Plots'!$D$411,'Data Transformation'!$G$24:$G$404),'Bin Analysis and Plots'!F419))</f>
        <v>0</v>
      </c>
      <c r="H419">
        <f t="shared" si="67"/>
        <v>0</v>
      </c>
      <c r="I419">
        <f>Weighting!$G$11</f>
        <v>0</v>
      </c>
      <c r="J419" s="7">
        <f t="array" ref="J419">FREQUENCY(IF('Data Transformation'!$B$4:$B$404=D411,'Data Transformation'!$G$4:$G$404),'Bin Analysis and Plots'!$D419)</f>
        <v>0</v>
      </c>
      <c r="K419" s="7">
        <f t="shared" si="68"/>
        <v>0</v>
      </c>
      <c r="L419" s="7">
        <f t="shared" si="69"/>
        <v>0</v>
      </c>
      <c r="M419" s="22">
        <f>L419*Weighting!$V$11</f>
        <v>0</v>
      </c>
    </row>
    <row r="420" spans="1:13" x14ac:dyDescent="0.25">
      <c r="A420" s="45" t="b">
        <f t="array" ref="A420">IF(ISERROR(INDEX('Data Transformation'!$B$4:$G$450,SMALL(IF('Data Transformation'!$B$4:$B$450='Bin Analysis and Plots'!D411,ROW('Data Transformation'!$B$4:$B$450)),ROW($7:$7))-3,3)),"",INDEX('Data Transformation'!$B$4:$G$450,SMALL(IF('Data Transformation'!$B$4:$B$450='Bin Analysis and Plots'!D411,ROW('Data Transformation'!$B$4:$B$450)),ROW($7:$7))-3,6))</f>
        <v>0</v>
      </c>
      <c r="B420" s="45" t="str">
        <f>IFERROR(SMALL(A414:A433,'Data Transformation'!$L$12),"")</f>
        <v/>
      </c>
      <c r="C420" s="61" t="str">
        <f>IF(Weighting!$O$12&gt;0,D420,"")</f>
        <v/>
      </c>
      <c r="D420" t="e">
        <f>Weighting!$C$12</f>
        <v>#DIV/0!</v>
      </c>
      <c r="E420" t="e">
        <f>Weighting!$E$12</f>
        <v>#NUM!</v>
      </c>
      <c r="F420" t="e">
        <f>IF(E420=1,'Data Transformation'!$G$3+0.5*'Data Transformation'!$R$25,IF(E421=1,F421-'Data Transformation'!$R$25,FALSE))</f>
        <v>#NUM!</v>
      </c>
      <c r="G420">
        <f t="array" ref="G420">IF(ISLOGICAL(F420),"",FREQUENCY(IF('Data Transformation'!$B$24:$B$404='Bin Analysis and Plots'!$D$411,'Data Transformation'!$G$24:$G$404),'Bin Analysis and Plots'!F420))</f>
        <v>0</v>
      </c>
      <c r="H420">
        <f t="shared" si="67"/>
        <v>0</v>
      </c>
      <c r="I420">
        <f>Weighting!$G$12</f>
        <v>0</v>
      </c>
      <c r="J420" s="7">
        <f t="array" ref="J420">FREQUENCY(IF('Data Transformation'!$B$4:$B$404=D411,'Data Transformation'!$G$4:$G$404),'Bin Analysis and Plots'!$D420)</f>
        <v>0</v>
      </c>
      <c r="K420" s="7">
        <f t="shared" si="68"/>
        <v>0</v>
      </c>
      <c r="L420" s="7">
        <f t="shared" si="69"/>
        <v>0</v>
      </c>
      <c r="M420" s="22">
        <f>L420*Weighting!$V$12</f>
        <v>0</v>
      </c>
    </row>
    <row r="421" spans="1:13" x14ac:dyDescent="0.25">
      <c r="A421" s="45" t="b">
        <f t="array" ref="A421">IF(ISERROR(INDEX('Data Transformation'!$B$4:$G$450,SMALL(IF('Data Transformation'!$B$4:$B$450='Bin Analysis and Plots'!D411,ROW('Data Transformation'!$B$4:$B$450)),ROW($8:$8))-3,3)),"",INDEX('Data Transformation'!$B$4:$G$450,SMALL(IF('Data Transformation'!$B$4:$B$450='Bin Analysis and Plots'!D411,ROW('Data Transformation'!$B$4:$B$450)),ROW($8:$8))-3,6))</f>
        <v>0</v>
      </c>
      <c r="B421" s="45" t="str">
        <f>IFERROR(SMALL(A414:A433,'Data Transformation'!$L$13),"")</f>
        <v/>
      </c>
      <c r="C421" s="61" t="str">
        <f>IF(Weighting!$O$13&gt;0,D421,"")</f>
        <v/>
      </c>
      <c r="D421" t="e">
        <f>Weighting!$C$13</f>
        <v>#DIV/0!</v>
      </c>
      <c r="E421" t="e">
        <f>Weighting!$E$13</f>
        <v>#NUM!</v>
      </c>
      <c r="F421" t="e">
        <f>IF(E421=1,'Data Transformation'!$G$3+0.5*'Data Transformation'!$R$25,IF(E422=1,F422-'Data Transformation'!$R$25,FALSE))</f>
        <v>#NUM!</v>
      </c>
      <c r="G421">
        <f t="array" ref="G421">IF(ISLOGICAL(F421),"",FREQUENCY(IF('Data Transformation'!$B$24:$B$404='Bin Analysis and Plots'!$D$411,'Data Transformation'!$G$24:$G$404),'Bin Analysis and Plots'!F421))</f>
        <v>0</v>
      </c>
      <c r="H421">
        <f t="shared" si="67"/>
        <v>0</v>
      </c>
      <c r="I421">
        <f>Weighting!$G$13</f>
        <v>0</v>
      </c>
      <c r="J421" s="7">
        <f t="array" ref="J421">FREQUENCY(IF('Data Transformation'!$B$4:$B$404=D411,'Data Transformation'!$G$4:$G$404),'Bin Analysis and Plots'!$D421)</f>
        <v>0</v>
      </c>
      <c r="K421" s="7">
        <f t="shared" si="68"/>
        <v>0</v>
      </c>
      <c r="L421" s="7">
        <f t="shared" si="69"/>
        <v>0</v>
      </c>
      <c r="M421" s="22">
        <f>L421*Weighting!$V$13</f>
        <v>0</v>
      </c>
    </row>
    <row r="422" spans="1:13" x14ac:dyDescent="0.25">
      <c r="A422" s="45" t="b">
        <f t="array" ref="A422">IF(ISERROR(INDEX('Data Transformation'!$B$4:$G$450,SMALL(IF('Data Transformation'!$B$4:$B$450='Bin Analysis and Plots'!D411,ROW('Data Transformation'!$B$4:$B$450)),ROW($9:$9))-3,3)),"",INDEX('Data Transformation'!$B$4:$G$450,SMALL(IF('Data Transformation'!$B$4:$B$450='Bin Analysis and Plots'!D411,ROW('Data Transformation'!$B$4:$B$450)),ROW($9:$9))-3,6))</f>
        <v>0</v>
      </c>
      <c r="B422" s="45" t="str">
        <f>IFERROR(SMALL(A414:A433,'Data Transformation'!$L$14),"")</f>
        <v/>
      </c>
      <c r="C422" s="61" t="str">
        <f>IF(Weighting!$O$14&gt;0,D422,"")</f>
        <v/>
      </c>
      <c r="D422" t="e">
        <f>Weighting!$C$14</f>
        <v>#DIV/0!</v>
      </c>
      <c r="E422" t="e">
        <f>Weighting!$E$14</f>
        <v>#NUM!</v>
      </c>
      <c r="F422" t="e">
        <f>IF(E422=1,'Data Transformation'!$G$3+0.5*'Data Transformation'!$R$25,IF(E423=1,F423-'Data Transformation'!$R$25,FALSE))</f>
        <v>#NUM!</v>
      </c>
      <c r="G422">
        <f t="array" ref="G422">IF(ISLOGICAL(F422),"",FREQUENCY(IF('Data Transformation'!$B$24:$B$404='Bin Analysis and Plots'!$D$411,'Data Transformation'!$G$24:$G$404),'Bin Analysis and Plots'!F422))</f>
        <v>0</v>
      </c>
      <c r="H422">
        <f t="shared" si="67"/>
        <v>0</v>
      </c>
      <c r="I422">
        <f>Weighting!$G$14</f>
        <v>0</v>
      </c>
      <c r="J422" s="7">
        <f t="array" ref="J422">FREQUENCY(IF('Data Transformation'!$B$4:$B$404=D411,'Data Transformation'!$G$4:$G$404),'Bin Analysis and Plots'!$D422)</f>
        <v>0</v>
      </c>
      <c r="K422" s="7">
        <f t="shared" si="68"/>
        <v>0</v>
      </c>
      <c r="L422" s="7">
        <f t="shared" si="69"/>
        <v>0</v>
      </c>
      <c r="M422" s="22">
        <f>L422*Weighting!$V$14</f>
        <v>0</v>
      </c>
    </row>
    <row r="423" spans="1:13" x14ac:dyDescent="0.25">
      <c r="A423" s="45" t="b">
        <f t="array" ref="A423">IF(ISERROR(INDEX('Data Transformation'!$B$4:$G$450,SMALL(IF('Data Transformation'!$B$4:$B$450='Bin Analysis and Plots'!D411,ROW('Data Transformation'!$B$4:$B$450)),ROW($10:$10))-3,3)),"",INDEX('Data Transformation'!$B$4:$G$450,SMALL(IF('Data Transformation'!$B$4:$B$450='Bin Analysis and Plots'!D411,ROW('Data Transformation'!$B$4:$B$450)),ROW($10:$10))-3,6))</f>
        <v>0</v>
      </c>
      <c r="B423" s="45" t="str">
        <f>IFERROR(SMALL(A414:A433,'Data Transformation'!$L$15),"")</f>
        <v/>
      </c>
      <c r="C423" s="61" t="str">
        <f>IF(Weighting!$O$15&gt;0,D423,"")</f>
        <v/>
      </c>
      <c r="D423" t="e">
        <f>Weighting!$C$15</f>
        <v>#DIV/0!</v>
      </c>
      <c r="E423" t="e">
        <f>Weighting!$E$15</f>
        <v>#NUM!</v>
      </c>
      <c r="F423" t="e">
        <f>IF(E423=1,'Data Transformation'!$G$3+0.5*'Data Transformation'!$R$25,IF(E424=1,F424-'Data Transformation'!$R$25,FALSE))</f>
        <v>#NUM!</v>
      </c>
      <c r="G423">
        <f t="array" ref="G423">IF(ISLOGICAL(F423),"",FREQUENCY(IF('Data Transformation'!$B$24:$B$404='Bin Analysis and Plots'!$D$411,'Data Transformation'!$G$24:$G$404),'Bin Analysis and Plots'!F423))</f>
        <v>0</v>
      </c>
      <c r="H423">
        <f t="shared" si="67"/>
        <v>0</v>
      </c>
      <c r="I423">
        <f>Weighting!$G$15</f>
        <v>0</v>
      </c>
      <c r="J423" s="7">
        <f t="array" ref="J423">FREQUENCY(IF('Data Transformation'!$B$4:$B$404=D411,'Data Transformation'!$G$4:$G$404),'Bin Analysis and Plots'!$D423)</f>
        <v>0</v>
      </c>
      <c r="K423" s="7">
        <f t="shared" si="68"/>
        <v>0</v>
      </c>
      <c r="L423" s="7">
        <f t="shared" si="69"/>
        <v>0</v>
      </c>
      <c r="M423" s="22">
        <f>L423*Weighting!$V$15</f>
        <v>0</v>
      </c>
    </row>
    <row r="424" spans="1:13" x14ac:dyDescent="0.25">
      <c r="A424" s="45" t="b">
        <f t="array" ref="A424">IF(ISERROR(INDEX('Data Transformation'!$B$4:$G$450,SMALL(IF('Data Transformation'!$B$4:$B$450='Bin Analysis and Plots'!D411,ROW('Data Transformation'!$B$4:$B$450)),ROW($11:$11))-3,3)),"",INDEX('Data Transformation'!$B$4:$G$450,SMALL(IF('Data Transformation'!$B$4:$B$450='Bin Analysis and Plots'!D411,ROW('Data Transformation'!$B$4:$B$450)),ROW($11:$11))-3,6))</f>
        <v>0</v>
      </c>
      <c r="B424" s="45" t="str">
        <f>IFERROR(SMALL(A414:A433,'Data Transformation'!$L$16),"")</f>
        <v/>
      </c>
      <c r="C424" s="61" t="str">
        <f>IF(Weighting!$O$16&gt;0,D424,"")</f>
        <v/>
      </c>
      <c r="D424" t="e">
        <f>Weighting!$C$16</f>
        <v>#DIV/0!</v>
      </c>
      <c r="E424" t="e">
        <f>Weighting!$E$16</f>
        <v>#NUM!</v>
      </c>
      <c r="F424" t="e">
        <f>IF(E424=1,'Data Transformation'!$G$3+0.5*'Data Transformation'!$R$25,IF(E425=1,F425-'Data Transformation'!$R$25,FALSE))</f>
        <v>#NUM!</v>
      </c>
      <c r="G424">
        <f t="array" ref="G424">IF(ISLOGICAL(F424),"",FREQUENCY(IF('Data Transformation'!$B$24:$B$404='Bin Analysis and Plots'!$D$411,'Data Transformation'!$G$24:$G$404),'Bin Analysis and Plots'!F424))</f>
        <v>0</v>
      </c>
      <c r="H424">
        <f t="shared" si="67"/>
        <v>0</v>
      </c>
      <c r="I424">
        <f>Weighting!$G$16</f>
        <v>0</v>
      </c>
      <c r="J424" s="7">
        <f t="array" ref="J424">FREQUENCY(IF('Data Transformation'!$B$4:$B$404=D411,'Data Transformation'!$G$4:$G$404),'Bin Analysis and Plots'!$D424)</f>
        <v>0</v>
      </c>
      <c r="K424" s="7">
        <f t="shared" si="68"/>
        <v>0</v>
      </c>
      <c r="L424" s="7">
        <f t="shared" si="69"/>
        <v>0</v>
      </c>
      <c r="M424" s="22">
        <f>L424*Weighting!$V$16</f>
        <v>0</v>
      </c>
    </row>
    <row r="425" spans="1:13" x14ac:dyDescent="0.25">
      <c r="A425" s="45" t="b">
        <f t="array" ref="A425">IF(ISERROR(INDEX('Data Transformation'!$B$4:$G$450,SMALL(IF('Data Transformation'!$B$4:$B$450='Bin Analysis and Plots'!D411,ROW('Data Transformation'!$B$4:$B$450)),ROW($12:$12))-3,3)),"",INDEX('Data Transformation'!$B$4:$G$450,SMALL(IF('Data Transformation'!$B$4:$B$450='Bin Analysis and Plots'!D411,ROW('Data Transformation'!$B$4:$B$450)),ROW($12:$12))-3,6))</f>
        <v>0</v>
      </c>
      <c r="B425" s="45" t="str">
        <f>IFERROR(SMALL(A414:A433,'Data Transformation'!$L$17),"")</f>
        <v/>
      </c>
      <c r="C425" s="61" t="str">
        <f>IF(Weighting!$O$17&gt;0,D425,"")</f>
        <v/>
      </c>
      <c r="D425" t="e">
        <f>Weighting!$C$17</f>
        <v>#DIV/0!</v>
      </c>
      <c r="E425" t="e">
        <f>Weighting!$E$17</f>
        <v>#NUM!</v>
      </c>
      <c r="F425" t="e">
        <f>IF(E425=1,'Data Transformation'!$G$3+0.5*'Data Transformation'!$R$25,IF(E426=1,F426-'Data Transformation'!$R$25,FALSE))</f>
        <v>#NUM!</v>
      </c>
      <c r="G425">
        <f t="array" ref="G425">IF(ISLOGICAL(F425),"",FREQUENCY(IF('Data Transformation'!$B$24:$B$404='Bin Analysis and Plots'!$D$411,'Data Transformation'!$G$24:$G$404),'Bin Analysis and Plots'!F425))</f>
        <v>0</v>
      </c>
      <c r="H425">
        <f t="shared" si="67"/>
        <v>0</v>
      </c>
      <c r="I425">
        <f>Weighting!$G$17</f>
        <v>0</v>
      </c>
      <c r="J425" s="7">
        <f t="array" ref="J425">FREQUENCY(IF('Data Transformation'!$B$4:$B$404=D411,'Data Transformation'!$G$4:$G$404),'Bin Analysis and Plots'!$D425)</f>
        <v>0</v>
      </c>
      <c r="K425" s="7">
        <f t="shared" si="68"/>
        <v>0</v>
      </c>
      <c r="L425" s="7">
        <f t="shared" si="69"/>
        <v>0</v>
      </c>
      <c r="M425" s="22">
        <f>L425*Weighting!$V$17</f>
        <v>0</v>
      </c>
    </row>
    <row r="426" spans="1:13" x14ac:dyDescent="0.25">
      <c r="A426" s="45" t="b">
        <f t="array" ref="A426">IF(ISERROR(INDEX('Data Transformation'!$B$4:$G$450,SMALL(IF('Data Transformation'!$B$4:$B$450='Bin Analysis and Plots'!D411,ROW('Data Transformation'!$B$4:$B$450)),ROW($13:$13))-3,3)),"",INDEX('Data Transformation'!$B$4:$G$450,SMALL(IF('Data Transformation'!$B$4:$B$450='Bin Analysis and Plots'!D411,ROW('Data Transformation'!$B$4:$B$450)),ROW($13:$13))-3,6))</f>
        <v>0</v>
      </c>
      <c r="B426" s="45" t="str">
        <f>IFERROR(SMALL(A414:A433,'Data Transformation'!$L$18),"")</f>
        <v/>
      </c>
      <c r="C426" s="61" t="str">
        <f>IF(Weighting!$O$18&gt;0,D426,"")</f>
        <v/>
      </c>
      <c r="D426" t="e">
        <f>Weighting!$C$18</f>
        <v>#DIV/0!</v>
      </c>
      <c r="E426" t="e">
        <f>Weighting!$E$18</f>
        <v>#NUM!</v>
      </c>
      <c r="F426" t="e">
        <f>IF(E426=1,'Data Transformation'!$G$3+0.5*'Data Transformation'!$R$25,IF(E427=1,F427-'Data Transformation'!$R$25,FALSE))</f>
        <v>#NUM!</v>
      </c>
      <c r="G426">
        <f t="array" ref="G426">IF(ISLOGICAL(F426),"",FREQUENCY(IF('Data Transformation'!$B$24:$B$404='Bin Analysis and Plots'!$D$411,'Data Transformation'!$G$24:$G$404),'Bin Analysis and Plots'!F426))</f>
        <v>0</v>
      </c>
      <c r="H426">
        <f t="shared" si="67"/>
        <v>0</v>
      </c>
      <c r="I426">
        <f>Weighting!$G$18</f>
        <v>0</v>
      </c>
      <c r="J426" s="7">
        <f t="array" ref="J426">FREQUENCY(IF('Data Transformation'!$B$4:$B$404=D411,'Data Transformation'!$G$4:$G$404),'Bin Analysis and Plots'!$D426)</f>
        <v>0</v>
      </c>
      <c r="K426" s="7">
        <f t="shared" si="68"/>
        <v>0</v>
      </c>
      <c r="L426" s="7">
        <f t="shared" si="69"/>
        <v>0</v>
      </c>
      <c r="M426" s="22">
        <f>L426*Weighting!$V$18</f>
        <v>0</v>
      </c>
    </row>
    <row r="427" spans="1:13" x14ac:dyDescent="0.25">
      <c r="A427" s="45" t="b">
        <f t="array" ref="A427">IF(ISERROR(INDEX('Data Transformation'!$B$4:$G$450,SMALL(IF('Data Transformation'!$B$4:$B$450='Bin Analysis and Plots'!D411,ROW('Data Transformation'!$B$4:$B$450)),ROW($14:$14))-3,3)),"",INDEX('Data Transformation'!$B$4:$G$450,SMALL(IF('Data Transformation'!$B$4:$B$450='Bin Analysis and Plots'!D411,ROW('Data Transformation'!$B$4:$B$450)),ROW($14:$14))-3,6))</f>
        <v>0</v>
      </c>
      <c r="B427" s="45" t="str">
        <f>IFERROR(SMALL(A414:A433,'Data Transformation'!$L$19),"")</f>
        <v/>
      </c>
      <c r="C427" s="61" t="str">
        <f>IF(Weighting!$O$19&gt;0,D427,"")</f>
        <v/>
      </c>
      <c r="D427" t="e">
        <f>Weighting!$C$19</f>
        <v>#DIV/0!</v>
      </c>
      <c r="E427" t="e">
        <f>Weighting!$E$19</f>
        <v>#NUM!</v>
      </c>
      <c r="F427" t="e">
        <f>IF(E427=1,'Data Transformation'!$G$3+0.5*'Data Transformation'!$R$25,IF(E428=1,F428-'Data Transformation'!$R$25,FALSE))</f>
        <v>#NUM!</v>
      </c>
      <c r="G427">
        <f t="array" ref="G427">IF(ISLOGICAL(F427),"",FREQUENCY(IF('Data Transformation'!$B$24:$B$404='Bin Analysis and Plots'!$D$411,'Data Transformation'!$G$24:$G$404),'Bin Analysis and Plots'!F427))</f>
        <v>0</v>
      </c>
      <c r="H427">
        <f t="shared" si="67"/>
        <v>0</v>
      </c>
      <c r="I427">
        <f>Weighting!$G$19</f>
        <v>0</v>
      </c>
      <c r="J427" s="7">
        <f t="array" ref="J427">FREQUENCY(IF('Data Transformation'!$B$4:$B$404=D411,'Data Transformation'!$G$4:$G$404),'Bin Analysis and Plots'!$D427)</f>
        <v>0</v>
      </c>
      <c r="K427" s="7">
        <f t="shared" si="68"/>
        <v>0</v>
      </c>
      <c r="L427" s="7">
        <f t="shared" si="69"/>
        <v>0</v>
      </c>
      <c r="M427" s="22">
        <f>L427*Weighting!$V$19</f>
        <v>0</v>
      </c>
    </row>
    <row r="428" spans="1:13" x14ac:dyDescent="0.25">
      <c r="A428" s="45" t="b">
        <f t="array" ref="A428">IF(ISERROR(INDEX('Data Transformation'!$B$4:$G$450,SMALL(IF('Data Transformation'!$B$4:$B$450='Bin Analysis and Plots'!D411,ROW('Data Transformation'!$B$4:$B$450)),ROW($15:$15))-3,3)),"",INDEX('Data Transformation'!$B$4:$G$450,SMALL(IF('Data Transformation'!$B$4:$B$450='Bin Analysis and Plots'!D411,ROW('Data Transformation'!$B$4:$B$450)),ROW($15:$15))-3,6))</f>
        <v>0</v>
      </c>
      <c r="B428" s="45" t="str">
        <f>IFERROR(SMALL(A414:A433,'Data Transformation'!$L$20),"")</f>
        <v/>
      </c>
      <c r="C428" s="61" t="str">
        <f>IF(Weighting!$O$20&gt;0,D428,"")</f>
        <v/>
      </c>
      <c r="D428" t="e">
        <f>Weighting!$C$20</f>
        <v>#DIV/0!</v>
      </c>
      <c r="E428" t="e">
        <f>Weighting!$E$20</f>
        <v>#NUM!</v>
      </c>
      <c r="F428" t="e">
        <f>IF(E428=1,'Data Transformation'!$G$3+0.5*'Data Transformation'!$R$25,IF(E429=1,F429-'Data Transformation'!$R$25,FALSE))</f>
        <v>#NUM!</v>
      </c>
      <c r="G428">
        <f t="array" ref="G428">IF(ISLOGICAL(F428),"",FREQUENCY(IF('Data Transformation'!$B$24:$B$404='Bin Analysis and Plots'!$D$411,'Data Transformation'!$G$24:$G$404),'Bin Analysis and Plots'!F428))</f>
        <v>0</v>
      </c>
      <c r="H428">
        <f t="shared" si="67"/>
        <v>0</v>
      </c>
      <c r="I428">
        <f>Weighting!$G$20</f>
        <v>0</v>
      </c>
      <c r="J428" s="7">
        <f t="array" ref="J428">FREQUENCY(IF('Data Transformation'!$B$4:$B$404=D411,'Data Transformation'!$G$4:$G$404),'Bin Analysis and Plots'!$D428)</f>
        <v>0</v>
      </c>
      <c r="K428" s="7">
        <f t="shared" si="68"/>
        <v>0</v>
      </c>
      <c r="L428" s="7">
        <f t="shared" si="69"/>
        <v>0</v>
      </c>
      <c r="M428" s="22">
        <f>L428*Weighting!$V$20</f>
        <v>0</v>
      </c>
    </row>
    <row r="429" spans="1:13" x14ac:dyDescent="0.25">
      <c r="A429" s="45" t="b">
        <f t="array" ref="A429">IF(ISERROR(INDEX('Data Transformation'!$B$4:$G$450,SMALL(IF('Data Transformation'!$B$4:$B$450='Bin Analysis and Plots'!D411,ROW('Data Transformation'!$B$4:$B$450)),ROW($16:$16))-3,3)),"",INDEX('Data Transformation'!$B$4:$G$450,SMALL(IF('Data Transformation'!$B$4:$B$450='Bin Analysis and Plots'!D411,ROW('Data Transformation'!$B$4:$B$450)),ROW($16:$16))-3,6))</f>
        <v>0</v>
      </c>
      <c r="B429" s="45" t="str">
        <f>IFERROR(SMALL(A414:A433,'Data Transformation'!$L$21),"")</f>
        <v/>
      </c>
      <c r="C429" s="61" t="str">
        <f>IF(Weighting!$O$21&gt;0,D429,"")</f>
        <v/>
      </c>
      <c r="D429" t="e">
        <f>Weighting!$C$21</f>
        <v>#DIV/0!</v>
      </c>
      <c r="E429" t="e">
        <f>Weighting!$E$21</f>
        <v>#NUM!</v>
      </c>
      <c r="F429" t="e">
        <f>IF(E429=1,'Data Transformation'!$G$3+0.5*'Data Transformation'!$R$25,IF(E430=1,F430-'Data Transformation'!$R$25,FALSE))</f>
        <v>#NUM!</v>
      </c>
      <c r="G429">
        <f t="array" ref="G429">IF(ISLOGICAL(F429),"",FREQUENCY(IF('Data Transformation'!$B$24:$B$404='Bin Analysis and Plots'!$D$411,'Data Transformation'!$G$24:$G$404),'Bin Analysis and Plots'!F429))</f>
        <v>0</v>
      </c>
      <c r="H429">
        <f t="shared" si="67"/>
        <v>0</v>
      </c>
      <c r="I429">
        <f>Weighting!$G$21</f>
        <v>0</v>
      </c>
      <c r="J429" s="7">
        <f t="array" ref="J429">FREQUENCY(IF('Data Transformation'!$B$4:$B$404=D411,'Data Transformation'!$G$4:$G$404),'Bin Analysis and Plots'!$D429)</f>
        <v>0</v>
      </c>
      <c r="K429" s="7">
        <f t="shared" si="68"/>
        <v>0</v>
      </c>
      <c r="L429" s="7">
        <f t="shared" si="69"/>
        <v>0</v>
      </c>
      <c r="M429" s="22">
        <f>L429*Weighting!$V$21</f>
        <v>0</v>
      </c>
    </row>
    <row r="430" spans="1:13" x14ac:dyDescent="0.25">
      <c r="A430" s="45" t="b">
        <f t="array" ref="A430">IF(ISERROR(INDEX('Data Transformation'!$B$4:$G$450,SMALL(IF('Data Transformation'!$B$4:$B$450='Bin Analysis and Plots'!D411,ROW('Data Transformation'!$B$4:$B$450)),ROW($17:$17))-3,3)),"",INDEX('Data Transformation'!$B$4:$G$450,SMALL(IF('Data Transformation'!$B$4:$B$450='Bin Analysis and Plots'!D411,ROW('Data Transformation'!$B$4:$B$450)),ROW($17:$17))-3,6))</f>
        <v>0</v>
      </c>
      <c r="B430" s="45" t="str">
        <f>IFERROR(SMALL(A414:A433,'Data Transformation'!$L$22),"")</f>
        <v/>
      </c>
      <c r="C430" s="61" t="str">
        <f>IF(Weighting!$O$22&gt;0,D430,"")</f>
        <v/>
      </c>
      <c r="D430" t="e">
        <f>Weighting!$C$22</f>
        <v>#DIV/0!</v>
      </c>
      <c r="E430" t="e">
        <f>Weighting!$E$22</f>
        <v>#NUM!</v>
      </c>
      <c r="F430" t="e">
        <f>IF(E430=1,'Data Transformation'!$G$3+0.5*'Data Transformation'!$R$25,IF(E431=1,F431-'Data Transformation'!$R$25,FALSE))</f>
        <v>#NUM!</v>
      </c>
      <c r="G430">
        <f t="array" ref="G430">IF(ISLOGICAL(F430),"",FREQUENCY(IF('Data Transformation'!$B$24:$B$404='Bin Analysis and Plots'!$D$411,'Data Transformation'!$G$24:$G$404),'Bin Analysis and Plots'!F430))</f>
        <v>0</v>
      </c>
      <c r="H430">
        <f t="shared" si="67"/>
        <v>0</v>
      </c>
      <c r="I430">
        <f>Weighting!$G$22</f>
        <v>0</v>
      </c>
      <c r="J430" s="7">
        <f t="array" ref="J430">FREQUENCY(IF('Data Transformation'!$B$4:$B$404=D411,'Data Transformation'!$G$4:$G$404),'Bin Analysis and Plots'!$D430)</f>
        <v>0</v>
      </c>
      <c r="K430" s="7">
        <f t="shared" si="68"/>
        <v>0</v>
      </c>
      <c r="L430" s="7">
        <f t="shared" si="69"/>
        <v>0</v>
      </c>
      <c r="M430" s="22">
        <f>L430*Weighting!$V$22</f>
        <v>0</v>
      </c>
    </row>
    <row r="431" spans="1:13" x14ac:dyDescent="0.25">
      <c r="A431" s="45" t="b">
        <f t="array" ref="A431">IF(ISERROR(INDEX('Data Transformation'!$B$4:$G$450,SMALL(IF('Data Transformation'!$B$4:$B$450='Bin Analysis and Plots'!D411,ROW('Data Transformation'!$B$4:$B$450)),ROW($18:$18))-3,3)),"",INDEX('Data Transformation'!$B$4:$G$450,SMALL(IF('Data Transformation'!$B$4:$B$450='Bin Analysis and Plots'!D411,ROW('Data Transformation'!$B$4:$B$450)),ROW($18:$18))-3,6))</f>
        <v>0</v>
      </c>
      <c r="B431" s="45" t="str">
        <f>IFERROR(SMALL(A414:A433,'Data Transformation'!$L$23),"")</f>
        <v/>
      </c>
      <c r="C431" s="61" t="str">
        <f>IF(Weighting!$O$23&gt;0,D431,"")</f>
        <v/>
      </c>
      <c r="D431" t="e">
        <f>Weighting!$C$23</f>
        <v>#DIV/0!</v>
      </c>
      <c r="E431" t="e">
        <f>Weighting!$E$23</f>
        <v>#NUM!</v>
      </c>
      <c r="F431" t="e">
        <f>IF(E431=1,'Data Transformation'!$G$3+0.5*'Data Transformation'!$R$25,IF(E432=1,F432-'Data Transformation'!$R$25,FALSE))</f>
        <v>#NUM!</v>
      </c>
      <c r="G431">
        <f t="array" ref="G431">IF(ISLOGICAL(F431),"",FREQUENCY(IF('Data Transformation'!$B$24:$B$404='Bin Analysis and Plots'!$D$411,'Data Transformation'!$G$24:$G$404),'Bin Analysis and Plots'!F431))</f>
        <v>0</v>
      </c>
      <c r="H431">
        <f t="shared" si="67"/>
        <v>0</v>
      </c>
      <c r="I431">
        <f>Weighting!$G$23</f>
        <v>0</v>
      </c>
      <c r="J431" s="7">
        <f t="array" ref="J431">FREQUENCY(IF('Data Transformation'!$B$4:$B$404=D411,'Data Transformation'!$G$4:$G$404),'Bin Analysis and Plots'!$D431)</f>
        <v>0</v>
      </c>
      <c r="K431" s="7">
        <f t="shared" si="68"/>
        <v>0</v>
      </c>
      <c r="L431" s="7">
        <f t="shared" si="69"/>
        <v>0</v>
      </c>
      <c r="M431" s="22">
        <f>L431*Weighting!$V$23</f>
        <v>0</v>
      </c>
    </row>
    <row r="432" spans="1:13" x14ac:dyDescent="0.25">
      <c r="A432" s="45" t="str">
        <f>IF(ISERROR(INDEX('Data Transformation'!$B$4:$G$450,SMALL(IF('Data Transformation'!$B$4:$B$450='Bin Analysis and Plots'!D411,ROW('Data Transformation'!$B$4:$B$450)),ROW($19:$19))-3,3)),"",INDEX('Data Transformation'!$B$4:$G$450,SMALL(IF('Data Transformation'!$B$4:$B$450='Bin Analysis and Plots'!D411,ROW('Data Transformation'!$B$4:$B$450)),ROW($19:$19))-3,6))</f>
        <v/>
      </c>
      <c r="B432" s="45" t="str">
        <f>IFERROR(SMALL(A414:A433,'Data Transformation'!$L$24),"")</f>
        <v/>
      </c>
      <c r="C432" s="61" t="str">
        <f>IF(Weighting!$O$24&gt;0,D432,"")</f>
        <v/>
      </c>
      <c r="D432" t="e">
        <f>Weighting!$C$24</f>
        <v>#DIV/0!</v>
      </c>
      <c r="E432" t="e">
        <f>Weighting!$E$24</f>
        <v>#NUM!</v>
      </c>
      <c r="F432" t="e">
        <f>IF(E432=1,'Data Transformation'!$G$3+0.5*'Data Transformation'!$R$25,IF(E433=1,F433-'Data Transformation'!$R$25,FALSE))</f>
        <v>#NUM!</v>
      </c>
      <c r="G432">
        <f t="array" ref="G432">IF(ISLOGICAL(F432),"",FREQUENCY(IF('Data Transformation'!$B$24:$B$404='Bin Analysis and Plots'!$D$411,'Data Transformation'!$G$24:$G$404),'Bin Analysis and Plots'!F432))</f>
        <v>0</v>
      </c>
      <c r="H432">
        <f t="shared" si="67"/>
        <v>0</v>
      </c>
      <c r="I432">
        <f>Weighting!$G$24</f>
        <v>0</v>
      </c>
      <c r="J432" s="7">
        <f t="array" ref="J432">FREQUENCY(IF('Data Transformation'!$B$4:$B$404=D411,'Data Transformation'!$G$4:$G$404),'Bin Analysis and Plots'!$D432)</f>
        <v>0</v>
      </c>
      <c r="K432" s="7">
        <f t="shared" si="68"/>
        <v>0</v>
      </c>
      <c r="L432" s="7">
        <f t="shared" si="69"/>
        <v>0</v>
      </c>
      <c r="M432" s="22">
        <f>L432*Weighting!$V$24</f>
        <v>0</v>
      </c>
    </row>
    <row r="433" spans="1:20" x14ac:dyDescent="0.25">
      <c r="A433" s="45" t="b">
        <f t="array" ref="A433">IF(ISERROR(INDEX('Data Transformation'!$B$4:$G$450,SMALL(IF('Data Transformation'!$B$4:$B$450='Bin Analysis and Plots'!D411,ROW('Data Transformation'!$B$4:$B$450)),ROW($20:$20))-3,3)),"",INDEX('Data Transformation'!$B$4:$G$450,SMALL(IF('Data Transformation'!$B$4:$B$450='Bin Analysis and Plots'!D411,ROW('Data Transformation'!$B$4:$B$450)),ROW($20:$20))-3,6))</f>
        <v>0</v>
      </c>
      <c r="B433" s="45" t="str">
        <f>IFERROR(SMALL(A414:A433,'Data Transformation'!$L$25),"")</f>
        <v/>
      </c>
      <c r="C433" s="61" t="str">
        <f>IF(Weighting!$O$25&gt;0,D433,"")</f>
        <v/>
      </c>
      <c r="D433" t="e">
        <f>Weighting!$C$25</f>
        <v>#DIV/0!</v>
      </c>
      <c r="E433" t="e">
        <f>Weighting!$E$25</f>
        <v>#NUM!</v>
      </c>
      <c r="F433" t="e">
        <f>IF(E433=1,'Data Transformation'!$G$3+0.5*'Data Transformation'!$R$25,IF(E434=1,F434-'Data Transformation'!$R$25,FALSE))</f>
        <v>#NUM!</v>
      </c>
      <c r="G433">
        <f t="array" ref="G433">IF(ISLOGICAL(F433),"",FREQUENCY(IF('Data Transformation'!$B$24:$B$404='Bin Analysis and Plots'!$D$411,'Data Transformation'!$G$24:$G$404),'Bin Analysis and Plots'!F433))</f>
        <v>0</v>
      </c>
      <c r="H433">
        <f t="shared" si="67"/>
        <v>0</v>
      </c>
      <c r="I433">
        <f>Weighting!$G$25</f>
        <v>0</v>
      </c>
      <c r="J433" s="7">
        <f t="array" ref="J433">FREQUENCY(IF('Data Transformation'!$B$4:$B$404=D411,'Data Transformation'!$G$4:$G$404),'Bin Analysis and Plots'!$D433)</f>
        <v>0</v>
      </c>
      <c r="K433" s="7">
        <f t="shared" si="68"/>
        <v>0</v>
      </c>
      <c r="L433" s="7">
        <f t="shared" si="69"/>
        <v>0</v>
      </c>
      <c r="M433" s="22">
        <f>L433*Weighting!$V$25</f>
        <v>0</v>
      </c>
    </row>
    <row r="434" spans="1:20" x14ac:dyDescent="0.25">
      <c r="C434" s="60" t="str">
        <f t="shared" si="66"/>
        <v/>
      </c>
    </row>
    <row r="435" spans="1:20" ht="23.25" x14ac:dyDescent="0.35">
      <c r="C435" s="46" t="s">
        <v>0</v>
      </c>
      <c r="D435" s="46" t="str">
        <f>'Input and Summary Results'!G25</f>
        <v xml:space="preserve"> </v>
      </c>
      <c r="E435" s="46"/>
      <c r="F435" s="46"/>
      <c r="G435" s="46"/>
      <c r="H435" s="46"/>
      <c r="I435" s="46"/>
      <c r="J435" s="47"/>
      <c r="K435" s="47"/>
      <c r="L435" s="47"/>
      <c r="M435" s="46"/>
      <c r="N435" s="46"/>
      <c r="O435" s="57" t="e">
        <f>INDEX('Data Transformation'!$O$4:$O$25,MATCH($D435,'Data Transformation'!$M$4:$M$25,0),MATCH($O$2,'Data Transformation'!$O$3,0))</f>
        <v>#N/A</v>
      </c>
      <c r="P435" s="52" t="e">
        <f>IF(O435=FALSE,NA(),(VLOOKUP(1,E438:M457,4,FALSE))/(O435-1))</f>
        <v>#N/A</v>
      </c>
      <c r="Q435" s="52" t="e">
        <f>IF(O435=FALSE,NA(),SUM(L438:L457)/Weighting!$R$5)</f>
        <v>#N/A</v>
      </c>
      <c r="R435" s="52" t="e">
        <f>IF(O435=FALSE,NA(),SUM(M438:M457)/Weighting!$R$6)</f>
        <v>#N/A</v>
      </c>
      <c r="S435" s="52" t="e">
        <f>IF(O435=FALSE,NA(),(VLOOKUP(1,I438:M457,3,FALSE))/(O435-1))</f>
        <v>#N/A</v>
      </c>
      <c r="T435" s="57" t="e">
        <f>IF(O435=FALSE,NA(),IF(SUM(L438:L457)=2,"yes","no"))</f>
        <v>#N/A</v>
      </c>
    </row>
    <row r="436" spans="1:20" x14ac:dyDescent="0.25">
      <c r="A436" s="96" t="s">
        <v>64</v>
      </c>
      <c r="B436" s="96"/>
      <c r="C436" s="58" t="s">
        <v>72</v>
      </c>
      <c r="D436" t="s">
        <v>50</v>
      </c>
      <c r="E436" t="s">
        <v>5</v>
      </c>
      <c r="I436" t="s">
        <v>75</v>
      </c>
      <c r="J436" s="7" t="s">
        <v>34</v>
      </c>
      <c r="K436" s="7" t="s">
        <v>35</v>
      </c>
      <c r="L436" s="7" t="s">
        <v>49</v>
      </c>
      <c r="M436" s="21" t="s">
        <v>48</v>
      </c>
    </row>
    <row r="437" spans="1:20" x14ac:dyDescent="0.25">
      <c r="C437" s="60" t="str">
        <f t="shared" ref="C437:C458" si="70">IF(B437="","",D437)</f>
        <v/>
      </c>
      <c r="F437" t="e">
        <f>IF(E437=1,'Data Transformation'!$G$3+0.5*'Data Transformation'!$R$25,IF(E438=1,F438-'Data Transformation'!$R$25,FALSE))</f>
        <v>#NUM!</v>
      </c>
      <c r="G437">
        <f t="array" ref="G437">IF(ISLOGICAL(F437),"",FREQUENCY(IF('Data Transformation'!$B$24:$B$404='Bin Analysis and Plots'!$D$435,'Data Transformation'!$G$24:$G$404),'Bin Analysis and Plots'!F437))</f>
        <v>0</v>
      </c>
      <c r="H437">
        <f>IF(ISLOGICAL(F437),"",G437-G436)</f>
        <v>0</v>
      </c>
    </row>
    <row r="438" spans="1:20" x14ac:dyDescent="0.25">
      <c r="A438" s="45" t="b">
        <f t="array" ref="A438">IF(ISERROR(INDEX('Data Transformation'!$B$4:$G$450,SMALL(IF('Data Transformation'!$B$4:$B$450='Bin Analysis and Plots'!D435,ROW('Data Transformation'!$B$4:$B$450)),ROW($1:$1))-3,3)),"",INDEX('Data Transformation'!$B$4:$G$450,SMALL(IF('Data Transformation'!$B$4:$B$450='Bin Analysis and Plots'!D435,ROW('Data Transformation'!$B$4:$B$450)),ROW($1:$1))-3,6))</f>
        <v>0</v>
      </c>
      <c r="B438" s="45" t="str">
        <f>IFERROR(SMALL(A438:A457,'Data Transformation'!$L$6),"")</f>
        <v/>
      </c>
      <c r="C438" s="61" t="e">
        <f>IF(Weighting!$O$6&gt;0,D438,"")</f>
        <v>#NUM!</v>
      </c>
      <c r="D438" t="e">
        <f>Weighting!$C$6</f>
        <v>#DIV/0!</v>
      </c>
      <c r="E438" t="e">
        <f>Weighting!$E$6</f>
        <v>#NUM!</v>
      </c>
      <c r="F438" t="e">
        <f>IF(E438=1,'Data Transformation'!$G$3+0.5*'Data Transformation'!$R$25,IF(E439=1,F439-'Data Transformation'!$R$25,FALSE))</f>
        <v>#NUM!</v>
      </c>
      <c r="G438">
        <f t="array" ref="G438">IF(ISLOGICAL(F438),"",FREQUENCY(IF('Data Transformation'!$B$24:$B$404='Bin Analysis and Plots'!$D$435,'Data Transformation'!$G$24:$G$404),'Bin Analysis and Plots'!F438))</f>
        <v>0</v>
      </c>
      <c r="H438">
        <f>IF(ISLOGICAL(F438),"",G438-G437)</f>
        <v>0</v>
      </c>
      <c r="I438">
        <f>Weighting!$G$6</f>
        <v>1</v>
      </c>
      <c r="J438" s="7">
        <f t="array" ref="J438">FREQUENCY(IF('Data Transformation'!$B$4:$B$404=D435,'Data Transformation'!$G$4:$G$404),'Bin Analysis and Plots'!$D438)</f>
        <v>0</v>
      </c>
      <c r="K438" s="7">
        <f>J438-J437</f>
        <v>0</v>
      </c>
      <c r="L438" s="7">
        <f>IF(K438=0,0,1)</f>
        <v>0</v>
      </c>
      <c r="M438" s="22" t="e">
        <f>L438*Weighting!$V$6</f>
        <v>#NUM!</v>
      </c>
    </row>
    <row r="439" spans="1:20" x14ac:dyDescent="0.25">
      <c r="A439" s="45" t="b">
        <f t="array" ref="A439">IF(ISERROR(INDEX('Data Transformation'!$B$4:$G$450,SMALL(IF('Data Transformation'!$B$4:$B$450='Bin Analysis and Plots'!D435,ROW('Data Transformation'!$B$4:$B$450)),ROW($2:$2))-3,3)),"",INDEX('Data Transformation'!$B$4:$G$450,SMALL(IF('Data Transformation'!$B$4:$B$450='Bin Analysis and Plots'!D435,ROW('Data Transformation'!$B$4:$B$450)),ROW($2:$2))-3,6))</f>
        <v>0</v>
      </c>
      <c r="B439" s="45" t="str">
        <f>IFERROR(SMALL(A438:A457,'Data Transformation'!$L$7),"")</f>
        <v/>
      </c>
      <c r="C439" s="61" t="str">
        <f>IF(Weighting!$O$7&gt;0,D439,"")</f>
        <v/>
      </c>
      <c r="D439" t="e">
        <f>Weighting!$C$7</f>
        <v>#DIV/0!</v>
      </c>
      <c r="E439" t="e">
        <f>Weighting!$E$7</f>
        <v>#NUM!</v>
      </c>
      <c r="F439" t="e">
        <f>IF(E439=1,'Data Transformation'!$G$3+0.5*'Data Transformation'!$R$25,IF(E440=1,F440-'Data Transformation'!$R$25,FALSE))</f>
        <v>#NUM!</v>
      </c>
      <c r="G439">
        <f t="array" ref="G439">IF(ISLOGICAL(F439),"",FREQUENCY(IF('Data Transformation'!$B$24:$B$404='Bin Analysis and Plots'!$D$435,'Data Transformation'!$G$24:$G$404),'Bin Analysis and Plots'!F439))</f>
        <v>0</v>
      </c>
      <c r="H439">
        <f t="shared" ref="H439:H457" si="71">IF(ISLOGICAL(F439),"",G439-G438)</f>
        <v>0</v>
      </c>
      <c r="I439">
        <f>Weighting!$G$7</f>
        <v>0</v>
      </c>
      <c r="J439" s="7">
        <f t="array" ref="J439">FREQUENCY(IF('Data Transformation'!$B$4:$B$404=D435,'Data Transformation'!$G$4:$G$404),'Bin Analysis and Plots'!$D439)</f>
        <v>0</v>
      </c>
      <c r="K439" s="7">
        <f t="shared" ref="K439:K457" si="72">J439-J438</f>
        <v>0</v>
      </c>
      <c r="L439" s="7">
        <f>IF(K439=0,0,1)</f>
        <v>0</v>
      </c>
      <c r="M439" s="22">
        <f>L439*Weighting!$V$7</f>
        <v>0</v>
      </c>
    </row>
    <row r="440" spans="1:20" x14ac:dyDescent="0.25">
      <c r="A440" s="45" t="b">
        <f t="array" ref="A440">IF(ISERROR(INDEX('Data Transformation'!$B$4:$G$450,SMALL(IF('Data Transformation'!$B$4:$B$450='Bin Analysis and Plots'!D435,ROW('Data Transformation'!$B$4:$B$450)),ROW($3:$3))-3,3)),"",INDEX('Data Transformation'!$B$4:$G$450,SMALL(IF('Data Transformation'!$B$4:$B$450='Bin Analysis and Plots'!D435,ROW('Data Transformation'!$B$4:$B$450)),ROW($3:$3))-3,6))</f>
        <v>0</v>
      </c>
      <c r="B440" s="45" t="str">
        <f>IFERROR(SMALL(A438:A457,'Data Transformation'!$L$8),"")</f>
        <v/>
      </c>
      <c r="C440" s="61" t="str">
        <f>IF(Weighting!$O$8&gt;0,D440,"")</f>
        <v/>
      </c>
      <c r="D440" t="e">
        <f>Weighting!$C$8</f>
        <v>#DIV/0!</v>
      </c>
      <c r="E440" t="e">
        <f>Weighting!$E$8</f>
        <v>#NUM!</v>
      </c>
      <c r="F440" t="e">
        <f>IF(E440=1,'Data Transformation'!$G$3+0.5*'Data Transformation'!$R$25,IF(E441=1,F441-'Data Transformation'!$R$25,FALSE))</f>
        <v>#NUM!</v>
      </c>
      <c r="G440">
        <f t="array" ref="G440">IF(ISLOGICAL(F440),"",FREQUENCY(IF('Data Transformation'!$B$24:$B$404='Bin Analysis and Plots'!$D$435,'Data Transformation'!$G$24:$G$404),'Bin Analysis and Plots'!F440))</f>
        <v>0</v>
      </c>
      <c r="H440">
        <f t="shared" si="71"/>
        <v>0</v>
      </c>
      <c r="I440">
        <f>Weighting!$G$8</f>
        <v>0</v>
      </c>
      <c r="J440" s="7">
        <f t="array" ref="J440">FREQUENCY(IF('Data Transformation'!$B$4:$B$404=D435,'Data Transformation'!$G$4:$G$404),'Bin Analysis and Plots'!$D440)</f>
        <v>0</v>
      </c>
      <c r="K440" s="7">
        <f t="shared" si="72"/>
        <v>0</v>
      </c>
      <c r="L440" s="7">
        <f t="shared" ref="L440:L457" si="73">IF(K440=0,0,1)</f>
        <v>0</v>
      </c>
      <c r="M440" s="22">
        <f>L440*Weighting!$V$8</f>
        <v>0</v>
      </c>
    </row>
    <row r="441" spans="1:20" x14ac:dyDescent="0.25">
      <c r="A441" s="45" t="b">
        <f t="array" ref="A441">IF(ISERROR(INDEX('Data Transformation'!$B$4:$G$450,SMALL(IF('Data Transformation'!$B$4:$B$450='Bin Analysis and Plots'!D435,ROW('Data Transformation'!$B$4:$B$450)),ROW($4:$4))-3,3)),"",INDEX('Data Transformation'!$B$4:$G$450,SMALL(IF('Data Transformation'!$B$4:$B$450='Bin Analysis and Plots'!D435,ROW('Data Transformation'!$B$4:$B$450)),ROW($4:$4))-3,6))</f>
        <v>0</v>
      </c>
      <c r="B441" s="45" t="str">
        <f>IFERROR(SMALL(A438:A457,'Data Transformation'!$L$9),"")</f>
        <v/>
      </c>
      <c r="C441" s="61" t="str">
        <f>IF(Weighting!$O$9&gt;0,D441,"")</f>
        <v/>
      </c>
      <c r="D441" t="e">
        <f>Weighting!$B$9</f>
        <v>#DIV/0!</v>
      </c>
      <c r="E441" t="e">
        <f>Weighting!$E$9</f>
        <v>#NUM!</v>
      </c>
      <c r="F441" t="e">
        <f>IF(E441=1,'Data Transformation'!$G$3+0.5*'Data Transformation'!$R$25,IF(E442=1,F442-'Data Transformation'!$R$25,FALSE))</f>
        <v>#NUM!</v>
      </c>
      <c r="G441">
        <f t="array" ref="G441">IF(ISLOGICAL(F441),"",FREQUENCY(IF('Data Transformation'!$B$24:$B$404='Bin Analysis and Plots'!$D$435,'Data Transformation'!$G$24:$G$404),'Bin Analysis and Plots'!F441))</f>
        <v>0</v>
      </c>
      <c r="H441">
        <f t="shared" si="71"/>
        <v>0</v>
      </c>
      <c r="I441">
        <f>Weighting!$G$9</f>
        <v>0</v>
      </c>
      <c r="J441" s="7">
        <f t="array" ref="J441">FREQUENCY(IF('Data Transformation'!$B$4:$B$404=D435,'Data Transformation'!$G$4:$G$404),'Bin Analysis and Plots'!$D441)</f>
        <v>0</v>
      </c>
      <c r="K441" s="7">
        <f t="shared" si="72"/>
        <v>0</v>
      </c>
      <c r="L441" s="7">
        <f t="shared" si="73"/>
        <v>0</v>
      </c>
      <c r="M441" s="22">
        <f>L441*Weighting!$V$9</f>
        <v>0</v>
      </c>
    </row>
    <row r="442" spans="1:20" x14ac:dyDescent="0.25">
      <c r="A442" s="45" t="b">
        <f t="array" ref="A442">IF(ISERROR(INDEX('Data Transformation'!$B$4:$G$450,SMALL(IF('Data Transformation'!$B$4:$B$450='Bin Analysis and Plots'!D435,ROW('Data Transformation'!$B$4:$B$450)),ROW($5:$5))-3,3)),"",INDEX('Data Transformation'!$B$4:$G$450,SMALL(IF('Data Transformation'!$B$4:$B$450='Bin Analysis and Plots'!D435,ROW('Data Transformation'!$B$4:$B$450)),ROW($5:$5))-3,6))</f>
        <v>0</v>
      </c>
      <c r="B442" s="45" t="str">
        <f>IFERROR(SMALL(A438:A457,'Data Transformation'!$L$10),"")</f>
        <v/>
      </c>
      <c r="C442" s="61" t="str">
        <f>IF(Weighting!$O$10&gt;0,D442,"")</f>
        <v/>
      </c>
      <c r="D442" t="e">
        <f>Weighting!$C$10</f>
        <v>#DIV/0!</v>
      </c>
      <c r="E442" t="e">
        <f>Weighting!$E$10</f>
        <v>#NUM!</v>
      </c>
      <c r="F442" t="e">
        <f>IF(E442=1,'Data Transformation'!$G$3+0.5*'Data Transformation'!$R$25,IF(E443=1,F443-'Data Transformation'!$R$25,FALSE))</f>
        <v>#NUM!</v>
      </c>
      <c r="G442">
        <f t="array" ref="G442">IF(ISLOGICAL(F442),"",FREQUENCY(IF('Data Transformation'!$B$24:$B$404='Bin Analysis and Plots'!$D$435,'Data Transformation'!$G$24:$G$404),'Bin Analysis and Plots'!F442))</f>
        <v>0</v>
      </c>
      <c r="H442">
        <f t="shared" si="71"/>
        <v>0</v>
      </c>
      <c r="I442">
        <f>Weighting!$G$10</f>
        <v>0</v>
      </c>
      <c r="J442" s="7">
        <f t="array" ref="J442">FREQUENCY(IF('Data Transformation'!$B$4:$B$404=D435,'Data Transformation'!$G$4:$G$404),'Bin Analysis and Plots'!$D442)</f>
        <v>0</v>
      </c>
      <c r="K442" s="7">
        <f t="shared" si="72"/>
        <v>0</v>
      </c>
      <c r="L442" s="7">
        <f t="shared" si="73"/>
        <v>0</v>
      </c>
      <c r="M442" s="22">
        <f>L442*Weighting!$V$10</f>
        <v>0</v>
      </c>
    </row>
    <row r="443" spans="1:20" x14ac:dyDescent="0.25">
      <c r="A443" s="45" t="b">
        <f t="array" ref="A443">IF(ISERROR(INDEX('Data Transformation'!$B$4:$G$450,SMALL(IF('Data Transformation'!$B$4:$B$450='Bin Analysis and Plots'!D435,ROW('Data Transformation'!$B$4:$B$450)),ROW($6:$6))-3,3)),"",INDEX('Data Transformation'!$B$4:$G$450,SMALL(IF('Data Transformation'!$B$4:$B$450='Bin Analysis and Plots'!D435,ROW('Data Transformation'!$B$4:$B$450)),ROW($6:$6))-3,6))</f>
        <v>0</v>
      </c>
      <c r="B443" s="45" t="str">
        <f>IFERROR(SMALL(A438:A457,'Data Transformation'!$L$11),"")</f>
        <v/>
      </c>
      <c r="C443" s="61" t="str">
        <f>IF(Weighting!$O$11&gt;0,D443,"")</f>
        <v/>
      </c>
      <c r="D443" t="e">
        <f>Weighting!$C$11</f>
        <v>#DIV/0!</v>
      </c>
      <c r="E443" t="e">
        <f>Weighting!$E$11</f>
        <v>#NUM!</v>
      </c>
      <c r="F443" t="e">
        <f>IF(E443=1,'Data Transformation'!$G$3+0.5*'Data Transformation'!$R$25,IF(E444=1,F444-'Data Transformation'!$R$25,FALSE))</f>
        <v>#NUM!</v>
      </c>
      <c r="G443">
        <f t="array" ref="G443">IF(ISLOGICAL(F443),"",FREQUENCY(IF('Data Transformation'!$B$24:$B$404='Bin Analysis and Plots'!$D$435,'Data Transformation'!$G$24:$G$404),'Bin Analysis and Plots'!F443))</f>
        <v>0</v>
      </c>
      <c r="H443">
        <f t="shared" si="71"/>
        <v>0</v>
      </c>
      <c r="I443">
        <f>Weighting!$G$11</f>
        <v>0</v>
      </c>
      <c r="J443" s="7">
        <f t="array" ref="J443">FREQUENCY(IF('Data Transformation'!$B$4:$B$404=D435,'Data Transformation'!$G$4:$G$404),'Bin Analysis and Plots'!$D443)</f>
        <v>0</v>
      </c>
      <c r="K443" s="7">
        <f t="shared" si="72"/>
        <v>0</v>
      </c>
      <c r="L443" s="7">
        <f t="shared" si="73"/>
        <v>0</v>
      </c>
      <c r="M443" s="22">
        <f>L443*Weighting!$V$11</f>
        <v>0</v>
      </c>
    </row>
    <row r="444" spans="1:20" x14ac:dyDescent="0.25">
      <c r="A444" s="45" t="b">
        <f t="array" ref="A444">IF(ISERROR(INDEX('Data Transformation'!$B$4:$G$450,SMALL(IF('Data Transformation'!$B$4:$B$450='Bin Analysis and Plots'!D435,ROW('Data Transformation'!$B$4:$B$450)),ROW($7:$7))-3,3)),"",INDEX('Data Transformation'!$B$4:$G$450,SMALL(IF('Data Transformation'!$B$4:$B$450='Bin Analysis and Plots'!D435,ROW('Data Transformation'!$B$4:$B$450)),ROW($7:$7))-3,6))</f>
        <v>0</v>
      </c>
      <c r="B444" s="45" t="str">
        <f>IFERROR(SMALL(A438:A457,'Data Transformation'!$L$12),"")</f>
        <v/>
      </c>
      <c r="C444" s="61" t="str">
        <f>IF(Weighting!$O$12&gt;0,D444,"")</f>
        <v/>
      </c>
      <c r="D444" t="e">
        <f>Weighting!$C$12</f>
        <v>#DIV/0!</v>
      </c>
      <c r="E444" t="e">
        <f>Weighting!$E$12</f>
        <v>#NUM!</v>
      </c>
      <c r="F444" t="e">
        <f>IF(E444=1,'Data Transformation'!$G$3+0.5*'Data Transformation'!$R$25,IF(E445=1,F445-'Data Transformation'!$R$25,FALSE))</f>
        <v>#NUM!</v>
      </c>
      <c r="G444">
        <f t="array" ref="G444">IF(ISLOGICAL(F444),"",FREQUENCY(IF('Data Transformation'!$B$24:$B$404='Bin Analysis and Plots'!$D$435,'Data Transformation'!$G$24:$G$404),'Bin Analysis and Plots'!F444))</f>
        <v>0</v>
      </c>
      <c r="H444">
        <f t="shared" si="71"/>
        <v>0</v>
      </c>
      <c r="I444">
        <f>Weighting!$G$12</f>
        <v>0</v>
      </c>
      <c r="J444" s="7">
        <f t="array" ref="J444">FREQUENCY(IF('Data Transformation'!$B$4:$B$404=D435,'Data Transformation'!$G$4:$G$404),'Bin Analysis and Plots'!$D444)</f>
        <v>0</v>
      </c>
      <c r="K444" s="7">
        <f t="shared" si="72"/>
        <v>0</v>
      </c>
      <c r="L444" s="7">
        <f t="shared" si="73"/>
        <v>0</v>
      </c>
      <c r="M444" s="22">
        <f>L444*Weighting!$V$12</f>
        <v>0</v>
      </c>
    </row>
    <row r="445" spans="1:20" x14ac:dyDescent="0.25">
      <c r="A445" s="45" t="b">
        <f t="array" ref="A445">IF(ISERROR(INDEX('Data Transformation'!$B$4:$G$450,SMALL(IF('Data Transformation'!$B$4:$B$450='Bin Analysis and Plots'!D435,ROW('Data Transformation'!$B$4:$B$450)),ROW($8:$8))-3,3)),"",INDEX('Data Transformation'!$B$4:$G$450,SMALL(IF('Data Transformation'!$B$4:$B$450='Bin Analysis and Plots'!D435,ROW('Data Transformation'!$B$4:$B$450)),ROW($8:$8))-3,6))</f>
        <v>0</v>
      </c>
      <c r="B445" s="45" t="str">
        <f>IFERROR(SMALL(A438:A457,'Data Transformation'!$L$13),"")</f>
        <v/>
      </c>
      <c r="C445" s="61" t="str">
        <f>IF(Weighting!$O$13&gt;0,D445,"")</f>
        <v/>
      </c>
      <c r="D445" t="e">
        <f>Weighting!$C$13</f>
        <v>#DIV/0!</v>
      </c>
      <c r="E445" t="e">
        <f>Weighting!$E$13</f>
        <v>#NUM!</v>
      </c>
      <c r="F445" t="e">
        <f>IF(E445=1,'Data Transformation'!$G$3+0.5*'Data Transformation'!$R$25,IF(E446=1,F446-'Data Transformation'!$R$25,FALSE))</f>
        <v>#NUM!</v>
      </c>
      <c r="G445">
        <f t="array" ref="G445">IF(ISLOGICAL(F445),"",FREQUENCY(IF('Data Transformation'!$B$24:$B$404='Bin Analysis and Plots'!$D$435,'Data Transformation'!$G$24:$G$404),'Bin Analysis and Plots'!F445))</f>
        <v>0</v>
      </c>
      <c r="H445">
        <f t="shared" si="71"/>
        <v>0</v>
      </c>
      <c r="I445">
        <f>Weighting!$G$13</f>
        <v>0</v>
      </c>
      <c r="J445" s="7">
        <f t="array" ref="J445">FREQUENCY(IF('Data Transformation'!$B$4:$B$404=D435,'Data Transformation'!$G$4:$G$404),'Bin Analysis and Plots'!$D445)</f>
        <v>0</v>
      </c>
      <c r="K445" s="7">
        <f t="shared" si="72"/>
        <v>0</v>
      </c>
      <c r="L445" s="7">
        <f t="shared" si="73"/>
        <v>0</v>
      </c>
      <c r="M445" s="22">
        <f>L445*Weighting!$V$13</f>
        <v>0</v>
      </c>
    </row>
    <row r="446" spans="1:20" x14ac:dyDescent="0.25">
      <c r="A446" s="45" t="b">
        <f t="array" ref="A446">IF(ISERROR(INDEX('Data Transformation'!$B$4:$G$450,SMALL(IF('Data Transformation'!$B$4:$B$450='Bin Analysis and Plots'!D435,ROW('Data Transformation'!$B$4:$B$450)),ROW($9:$9))-3,3)),"",INDEX('Data Transformation'!$B$4:$G$450,SMALL(IF('Data Transformation'!$B$4:$B$450='Bin Analysis and Plots'!D435,ROW('Data Transformation'!$B$4:$B$450)),ROW($9:$9))-3,6))</f>
        <v>0</v>
      </c>
      <c r="B446" s="45" t="str">
        <f>IFERROR(SMALL(A438:A457,'Data Transformation'!$L$14),"")</f>
        <v/>
      </c>
      <c r="C446" s="61" t="str">
        <f>IF(Weighting!$O$14&gt;0,D446,"")</f>
        <v/>
      </c>
      <c r="D446" t="e">
        <f>Weighting!$C$14</f>
        <v>#DIV/0!</v>
      </c>
      <c r="E446" t="e">
        <f>Weighting!$E$14</f>
        <v>#NUM!</v>
      </c>
      <c r="F446" t="e">
        <f>IF(E446=1,'Data Transformation'!$G$3+0.5*'Data Transformation'!$R$25,IF(E447=1,F447-'Data Transformation'!$R$25,FALSE))</f>
        <v>#NUM!</v>
      </c>
      <c r="G446">
        <f t="array" ref="G446">IF(ISLOGICAL(F446),"",FREQUENCY(IF('Data Transformation'!$B$24:$B$404='Bin Analysis and Plots'!$D$435,'Data Transformation'!$G$24:$G$404),'Bin Analysis and Plots'!F446))</f>
        <v>0</v>
      </c>
      <c r="H446">
        <f t="shared" si="71"/>
        <v>0</v>
      </c>
      <c r="I446">
        <f>Weighting!$G$14</f>
        <v>0</v>
      </c>
      <c r="J446" s="7">
        <f t="array" ref="J446">FREQUENCY(IF('Data Transformation'!$B$4:$B$404=D435,'Data Transformation'!$G$4:$G$404),'Bin Analysis and Plots'!$D446)</f>
        <v>0</v>
      </c>
      <c r="K446" s="7">
        <f t="shared" si="72"/>
        <v>0</v>
      </c>
      <c r="L446" s="7">
        <f t="shared" si="73"/>
        <v>0</v>
      </c>
      <c r="M446" s="22">
        <f>L446*Weighting!$V$14</f>
        <v>0</v>
      </c>
    </row>
    <row r="447" spans="1:20" x14ac:dyDescent="0.25">
      <c r="A447" s="45" t="b">
        <f t="array" ref="A447">IF(ISERROR(INDEX('Data Transformation'!$B$4:$G$450,SMALL(IF('Data Transformation'!$B$4:$B$450='Bin Analysis and Plots'!D435,ROW('Data Transformation'!$B$4:$B$450)),ROW($10:$10))-3,3)),"",INDEX('Data Transformation'!$B$4:$G$450,SMALL(IF('Data Transformation'!$B$4:$B$450='Bin Analysis and Plots'!D435,ROW('Data Transformation'!$B$4:$B$450)),ROW($10:$10))-3,6))</f>
        <v>0</v>
      </c>
      <c r="B447" s="45" t="str">
        <f>IFERROR(SMALL(A438:A457,'Data Transformation'!$L$15),"")</f>
        <v/>
      </c>
      <c r="C447" s="61" t="str">
        <f>IF(Weighting!$O$15&gt;0,D447,"")</f>
        <v/>
      </c>
      <c r="D447" t="e">
        <f>Weighting!$C$15</f>
        <v>#DIV/0!</v>
      </c>
      <c r="E447" t="e">
        <f>Weighting!$E$15</f>
        <v>#NUM!</v>
      </c>
      <c r="F447" t="e">
        <f>IF(E447=1,'Data Transformation'!$G$3+0.5*'Data Transformation'!$R$25,IF(E448=1,F448-'Data Transformation'!$R$25,FALSE))</f>
        <v>#NUM!</v>
      </c>
      <c r="G447">
        <f t="array" ref="G447">IF(ISLOGICAL(F447),"",FREQUENCY(IF('Data Transformation'!$B$24:$B$404='Bin Analysis and Plots'!$D$435,'Data Transformation'!$G$24:$G$404),'Bin Analysis and Plots'!F447))</f>
        <v>0</v>
      </c>
      <c r="H447">
        <f t="shared" si="71"/>
        <v>0</v>
      </c>
      <c r="I447">
        <f>Weighting!$G$15</f>
        <v>0</v>
      </c>
      <c r="J447" s="7">
        <f t="array" ref="J447">FREQUENCY(IF('Data Transformation'!$B$4:$B$404=D435,'Data Transformation'!$G$4:$G$404),'Bin Analysis and Plots'!$D447)</f>
        <v>0</v>
      </c>
      <c r="K447" s="7">
        <f t="shared" si="72"/>
        <v>0</v>
      </c>
      <c r="L447" s="7">
        <f t="shared" si="73"/>
        <v>0</v>
      </c>
      <c r="M447" s="22">
        <f>L447*Weighting!$V$15</f>
        <v>0</v>
      </c>
    </row>
    <row r="448" spans="1:20" x14ac:dyDescent="0.25">
      <c r="A448" s="45" t="b">
        <f t="array" ref="A448">IF(ISERROR(INDEX('Data Transformation'!$B$4:$G$450,SMALL(IF('Data Transformation'!$B$4:$B$450='Bin Analysis and Plots'!D435,ROW('Data Transformation'!$B$4:$B$450)),ROW($11:$11))-3,3)),"",INDEX('Data Transformation'!$B$4:$G$450,SMALL(IF('Data Transformation'!$B$4:$B$450='Bin Analysis and Plots'!D435,ROW('Data Transformation'!$B$4:$B$450)),ROW($11:$11))-3,6))</f>
        <v>0</v>
      </c>
      <c r="B448" s="45" t="str">
        <f>IFERROR(SMALL(A438:A457,'Data Transformation'!$L$16),"")</f>
        <v/>
      </c>
      <c r="C448" s="61" t="str">
        <f>IF(Weighting!$O$16&gt;0,D448,"")</f>
        <v/>
      </c>
      <c r="D448" t="e">
        <f>Weighting!$C$16</f>
        <v>#DIV/0!</v>
      </c>
      <c r="E448" t="e">
        <f>Weighting!$E$16</f>
        <v>#NUM!</v>
      </c>
      <c r="F448" t="e">
        <f>IF(E448=1,'Data Transformation'!$G$3+0.5*'Data Transformation'!$R$25,IF(E449=1,F449-'Data Transformation'!$R$25,FALSE))</f>
        <v>#NUM!</v>
      </c>
      <c r="G448">
        <f t="array" ref="G448">IF(ISLOGICAL(F448),"",FREQUENCY(IF('Data Transformation'!$B$24:$B$404='Bin Analysis and Plots'!$D$435,'Data Transformation'!$G$24:$G$404),'Bin Analysis and Plots'!F448))</f>
        <v>0</v>
      </c>
      <c r="H448">
        <f t="shared" si="71"/>
        <v>0</v>
      </c>
      <c r="I448">
        <f>Weighting!$G$16</f>
        <v>0</v>
      </c>
      <c r="J448" s="7">
        <f t="array" ref="J448">FREQUENCY(IF('Data Transformation'!$B$4:$B$404=D435,'Data Transformation'!$G$4:$G$404),'Bin Analysis and Plots'!$D448)</f>
        <v>0</v>
      </c>
      <c r="K448" s="7">
        <f t="shared" si="72"/>
        <v>0</v>
      </c>
      <c r="L448" s="7">
        <f t="shared" si="73"/>
        <v>0</v>
      </c>
      <c r="M448" s="22">
        <f>L448*Weighting!$V$16</f>
        <v>0</v>
      </c>
    </row>
    <row r="449" spans="1:20" x14ac:dyDescent="0.25">
      <c r="A449" s="45" t="b">
        <f t="array" ref="A449">IF(ISERROR(INDEX('Data Transformation'!$B$4:$G$450,SMALL(IF('Data Transformation'!$B$4:$B$450='Bin Analysis and Plots'!D435,ROW('Data Transformation'!$B$4:$B$450)),ROW($12:$12))-3,3)),"",INDEX('Data Transformation'!$B$4:$G$450,SMALL(IF('Data Transformation'!$B$4:$B$450='Bin Analysis and Plots'!D435,ROW('Data Transformation'!$B$4:$B$450)),ROW($12:$12))-3,6))</f>
        <v>0</v>
      </c>
      <c r="B449" s="45" t="str">
        <f>IFERROR(SMALL(A438:A457,'Data Transformation'!$L$17),"")</f>
        <v/>
      </c>
      <c r="C449" s="61" t="str">
        <f>IF(Weighting!$O$17&gt;0,D449,"")</f>
        <v/>
      </c>
      <c r="D449" t="e">
        <f>Weighting!$C$17</f>
        <v>#DIV/0!</v>
      </c>
      <c r="E449" t="e">
        <f>Weighting!$E$17</f>
        <v>#NUM!</v>
      </c>
      <c r="F449" t="e">
        <f>IF(E449=1,'Data Transformation'!$G$3+0.5*'Data Transformation'!$R$25,IF(E450=1,F450-'Data Transformation'!$R$25,FALSE))</f>
        <v>#NUM!</v>
      </c>
      <c r="G449">
        <f t="array" ref="G449">IF(ISLOGICAL(F449),"",FREQUENCY(IF('Data Transformation'!$B$24:$B$404='Bin Analysis and Plots'!$D$435,'Data Transformation'!$G$24:$G$404),'Bin Analysis and Plots'!F449))</f>
        <v>0</v>
      </c>
      <c r="H449">
        <f t="shared" si="71"/>
        <v>0</v>
      </c>
      <c r="I449">
        <f>Weighting!$G$17</f>
        <v>0</v>
      </c>
      <c r="J449" s="7">
        <f t="array" ref="J449">FREQUENCY(IF('Data Transformation'!$B$4:$B$404=D435,'Data Transformation'!$G$4:$G$404),'Bin Analysis and Plots'!$D449)</f>
        <v>0</v>
      </c>
      <c r="K449" s="7">
        <f t="shared" si="72"/>
        <v>0</v>
      </c>
      <c r="L449" s="7">
        <f t="shared" si="73"/>
        <v>0</v>
      </c>
      <c r="M449" s="22">
        <f>L449*Weighting!$V$17</f>
        <v>0</v>
      </c>
    </row>
    <row r="450" spans="1:20" x14ac:dyDescent="0.25">
      <c r="A450" s="45" t="b">
        <f t="array" ref="A450">IF(ISERROR(INDEX('Data Transformation'!$B$4:$G$450,SMALL(IF('Data Transformation'!$B$4:$B$450='Bin Analysis and Plots'!D435,ROW('Data Transformation'!$B$4:$B$450)),ROW($13:$13))-3,3)),"",INDEX('Data Transformation'!$B$4:$G$450,SMALL(IF('Data Transformation'!$B$4:$B$450='Bin Analysis and Plots'!D435,ROW('Data Transformation'!$B$4:$B$450)),ROW($13:$13))-3,6))</f>
        <v>0</v>
      </c>
      <c r="B450" s="45" t="str">
        <f>IFERROR(SMALL(A438:A457,'Data Transformation'!$L$18),"")</f>
        <v/>
      </c>
      <c r="C450" s="61" t="str">
        <f>IF(Weighting!$O$18&gt;0,D450,"")</f>
        <v/>
      </c>
      <c r="D450" t="e">
        <f>Weighting!$C$18</f>
        <v>#DIV/0!</v>
      </c>
      <c r="E450" t="e">
        <f>Weighting!$E$18</f>
        <v>#NUM!</v>
      </c>
      <c r="F450" t="e">
        <f>IF(E450=1,'Data Transformation'!$G$3+0.5*'Data Transformation'!$R$25,IF(E451=1,F451-'Data Transformation'!$R$25,FALSE))</f>
        <v>#NUM!</v>
      </c>
      <c r="G450">
        <f t="array" ref="G450">IF(ISLOGICAL(F450),"",FREQUENCY(IF('Data Transformation'!$B$24:$B$404='Bin Analysis and Plots'!$D$435,'Data Transformation'!$G$24:$G$404),'Bin Analysis and Plots'!F450))</f>
        <v>0</v>
      </c>
      <c r="H450">
        <f t="shared" si="71"/>
        <v>0</v>
      </c>
      <c r="I450">
        <f>Weighting!$G$18</f>
        <v>0</v>
      </c>
      <c r="J450" s="7">
        <f t="array" ref="J450">FREQUENCY(IF('Data Transformation'!$B$4:$B$404=D435,'Data Transformation'!$G$4:$G$404),'Bin Analysis and Plots'!$D404)</f>
        <v>0</v>
      </c>
      <c r="K450" s="7">
        <f t="shared" si="72"/>
        <v>0</v>
      </c>
      <c r="L450" s="7">
        <f t="shared" si="73"/>
        <v>0</v>
      </c>
      <c r="M450" s="22">
        <f>L450*Weighting!$V$18</f>
        <v>0</v>
      </c>
    </row>
    <row r="451" spans="1:20" x14ac:dyDescent="0.25">
      <c r="A451" s="45" t="b">
        <f t="array" ref="A451">IF(ISERROR(INDEX('Data Transformation'!$B$4:$G$450,SMALL(IF('Data Transformation'!$B$4:$B$450='Bin Analysis and Plots'!D435,ROW('Data Transformation'!$B$4:$B$450)),ROW($14:$14))-3,3)),"",INDEX('Data Transformation'!$B$4:$G$450,SMALL(IF('Data Transformation'!$B$4:$B$450='Bin Analysis and Plots'!D435,ROW('Data Transformation'!$B$4:$B$450)),ROW($14:$14))-3,6))</f>
        <v>0</v>
      </c>
      <c r="B451" s="45" t="str">
        <f>IFERROR(SMALL(A438:A457,'Data Transformation'!$L$19),"")</f>
        <v/>
      </c>
      <c r="C451" s="61" t="str">
        <f>IF(Weighting!$O$19&gt;0,D451,"")</f>
        <v/>
      </c>
      <c r="D451" t="e">
        <f>Weighting!$C$19</f>
        <v>#DIV/0!</v>
      </c>
      <c r="E451" t="e">
        <f>Weighting!$E$19</f>
        <v>#NUM!</v>
      </c>
      <c r="F451" t="e">
        <f>IF(E451=1,'Data Transformation'!$G$3+0.5*'Data Transformation'!$R$25,IF(E452=1,F452-'Data Transformation'!$R$25,FALSE))</f>
        <v>#NUM!</v>
      </c>
      <c r="G451">
        <f t="array" ref="G451">IF(ISLOGICAL(F451),"",FREQUENCY(IF('Data Transformation'!$B$24:$B$404='Bin Analysis and Plots'!$D$435,'Data Transformation'!$G$24:$G$404),'Bin Analysis and Plots'!F451))</f>
        <v>0</v>
      </c>
      <c r="H451">
        <f t="shared" si="71"/>
        <v>0</v>
      </c>
      <c r="I451">
        <f>Weighting!$G$19</f>
        <v>0</v>
      </c>
      <c r="J451" s="7">
        <f t="array" ref="J451">FREQUENCY(IF('Data Transformation'!$B$4:$B$404=D435,'Data Transformation'!$G$4:$G$404),'Bin Analysis and Plots'!$D451)</f>
        <v>0</v>
      </c>
      <c r="K451" s="7">
        <f t="shared" si="72"/>
        <v>0</v>
      </c>
      <c r="L451" s="7">
        <f t="shared" si="73"/>
        <v>0</v>
      </c>
      <c r="M451" s="22">
        <f>L451*Weighting!$V$19</f>
        <v>0</v>
      </c>
    </row>
    <row r="452" spans="1:20" x14ac:dyDescent="0.25">
      <c r="A452" s="45" t="b">
        <f t="array" ref="A452">IF(ISERROR(INDEX('Data Transformation'!$B$4:$G$450,SMALL(IF('Data Transformation'!$B$4:$B$450='Bin Analysis and Plots'!D435,ROW('Data Transformation'!$B$4:$B$450)),ROW($15:$15))-3,3)),"",INDEX('Data Transformation'!$B$4:$G$450,SMALL(IF('Data Transformation'!$B$4:$B$450='Bin Analysis and Plots'!D435,ROW('Data Transformation'!$B$4:$B$450)),ROW($15:$15))-3,6))</f>
        <v>0</v>
      </c>
      <c r="B452" s="45" t="str">
        <f>IFERROR(SMALL(A438:A457,'Data Transformation'!$L$20),"")</f>
        <v/>
      </c>
      <c r="C452" s="61" t="str">
        <f>IF(Weighting!$O$20&gt;0,D452,"")</f>
        <v/>
      </c>
      <c r="D452" t="e">
        <f>Weighting!$C$20</f>
        <v>#DIV/0!</v>
      </c>
      <c r="E452" t="e">
        <f>Weighting!$E$20</f>
        <v>#NUM!</v>
      </c>
      <c r="F452" t="e">
        <f>IF(E452=1,'Data Transformation'!$G$3+0.5*'Data Transformation'!$R$25,IF(E453=1,F453-'Data Transformation'!$R$25,FALSE))</f>
        <v>#NUM!</v>
      </c>
      <c r="G452">
        <f t="array" ref="G452">IF(ISLOGICAL(F452),"",FREQUENCY(IF('Data Transformation'!$B$24:$B$404='Bin Analysis and Plots'!$D$435,'Data Transformation'!$G$24:$G$404),'Bin Analysis and Plots'!F452))</f>
        <v>0</v>
      </c>
      <c r="H452">
        <f t="shared" si="71"/>
        <v>0</v>
      </c>
      <c r="I452">
        <f>Weighting!$G$20</f>
        <v>0</v>
      </c>
      <c r="J452" s="7">
        <f t="array" ref="J452">FREQUENCY(IF('Data Transformation'!$B$4:$B$404=D435,'Data Transformation'!$G$4:$G$404),'Bin Analysis and Plots'!$D452)</f>
        <v>0</v>
      </c>
      <c r="K452" s="7">
        <f t="shared" si="72"/>
        <v>0</v>
      </c>
      <c r="L452" s="7">
        <f t="shared" si="73"/>
        <v>0</v>
      </c>
      <c r="M452" s="22">
        <f>L452*Weighting!$V$20</f>
        <v>0</v>
      </c>
    </row>
    <row r="453" spans="1:20" x14ac:dyDescent="0.25">
      <c r="A453" s="45" t="b">
        <f t="array" ref="A453">IF(ISERROR(INDEX('Data Transformation'!$B$4:$G$450,SMALL(IF('Data Transformation'!$B$4:$B$450='Bin Analysis and Plots'!D435,ROW('Data Transformation'!$B$4:$B$450)),ROW($16:$16))-3,3)),"",INDEX('Data Transformation'!$B$4:$G$450,SMALL(IF('Data Transformation'!$B$4:$B$450='Bin Analysis and Plots'!D435,ROW('Data Transformation'!$B$4:$B$450)),ROW($16:$16))-3,6))</f>
        <v>0</v>
      </c>
      <c r="B453" s="45" t="str">
        <f>IFERROR(SMALL(A438:A457,'Data Transformation'!$L$21),"")</f>
        <v/>
      </c>
      <c r="C453" s="61" t="str">
        <f>IF(Weighting!$O$21&gt;0,D453,"")</f>
        <v/>
      </c>
      <c r="D453" t="e">
        <f>Weighting!$C$21</f>
        <v>#DIV/0!</v>
      </c>
      <c r="E453" t="e">
        <f>Weighting!$E$21</f>
        <v>#NUM!</v>
      </c>
      <c r="F453" t="e">
        <f>IF(E453=1,'Data Transformation'!$G$3+0.5*'Data Transformation'!$R$25,IF(E454=1,F454-'Data Transformation'!$R$25,FALSE))</f>
        <v>#NUM!</v>
      </c>
      <c r="G453">
        <f t="array" ref="G453">IF(ISLOGICAL(F453),"",FREQUENCY(IF('Data Transformation'!$B$24:$B$404='Bin Analysis and Plots'!$D$435,'Data Transformation'!$G$24:$G$404),'Bin Analysis and Plots'!F453))</f>
        <v>0</v>
      </c>
      <c r="H453">
        <f t="shared" si="71"/>
        <v>0</v>
      </c>
      <c r="I453">
        <f>Weighting!$G$21</f>
        <v>0</v>
      </c>
      <c r="J453" s="7">
        <f t="array" ref="J453">FREQUENCY(IF('Data Transformation'!$B$4:$B$404=D435,'Data Transformation'!$G$4:$G$404),'Bin Analysis and Plots'!$D453)</f>
        <v>0</v>
      </c>
      <c r="K453" s="7">
        <f t="shared" si="72"/>
        <v>0</v>
      </c>
      <c r="L453" s="7">
        <f t="shared" si="73"/>
        <v>0</v>
      </c>
      <c r="M453" s="22">
        <f>L453*Weighting!$V$21</f>
        <v>0</v>
      </c>
    </row>
    <row r="454" spans="1:20" x14ac:dyDescent="0.25">
      <c r="A454" s="45" t="b">
        <f t="array" ref="A454">IF(ISERROR(INDEX('Data Transformation'!$B$4:$G$450,SMALL(IF('Data Transformation'!$B$4:$B$450='Bin Analysis and Plots'!D435,ROW('Data Transformation'!$B$4:$B$450)),ROW($17:$17))-3,3)),"",INDEX('Data Transformation'!$B$4:$G$450,SMALL(IF('Data Transformation'!$B$4:$B$450='Bin Analysis and Plots'!D435,ROW('Data Transformation'!$B$4:$B$450)),ROW($17:$17))-3,6))</f>
        <v>0</v>
      </c>
      <c r="B454" s="45" t="str">
        <f>IFERROR(SMALL(A438:A457,'Data Transformation'!$L$22),"")</f>
        <v/>
      </c>
      <c r="C454" s="61" t="str">
        <f>IF(Weighting!$O$22&gt;0,D454,"")</f>
        <v/>
      </c>
      <c r="D454" t="e">
        <f>Weighting!$C$22</f>
        <v>#DIV/0!</v>
      </c>
      <c r="E454" t="e">
        <f>Weighting!$E$22</f>
        <v>#NUM!</v>
      </c>
      <c r="F454" t="e">
        <f>IF(E454=1,'Data Transformation'!$G$3+0.5*'Data Transformation'!$R$25,IF(E455=1,F455-'Data Transformation'!$R$25,FALSE))</f>
        <v>#NUM!</v>
      </c>
      <c r="G454">
        <f t="array" ref="G454">IF(ISLOGICAL(F454),"",FREQUENCY(IF('Data Transformation'!$B$24:$B$404='Bin Analysis and Plots'!$D$435,'Data Transformation'!$G$24:$G$404),'Bin Analysis and Plots'!F454))</f>
        <v>0</v>
      </c>
      <c r="H454">
        <f t="shared" si="71"/>
        <v>0</v>
      </c>
      <c r="I454">
        <f>Weighting!$G$22</f>
        <v>0</v>
      </c>
      <c r="J454" s="7">
        <f t="array" ref="J454">FREQUENCY(IF('Data Transformation'!$B$4:$B$404=D435,'Data Transformation'!$G$4:$G$404),'Bin Analysis and Plots'!$D454)</f>
        <v>0</v>
      </c>
      <c r="K454" s="7">
        <f t="shared" si="72"/>
        <v>0</v>
      </c>
      <c r="L454" s="7">
        <f t="shared" si="73"/>
        <v>0</v>
      </c>
      <c r="M454" s="22">
        <f>L454*Weighting!$V$22</f>
        <v>0</v>
      </c>
    </row>
    <row r="455" spans="1:20" x14ac:dyDescent="0.25">
      <c r="A455" s="45" t="b">
        <f t="array" ref="A455">IF(ISERROR(INDEX('Data Transformation'!$B$4:$G$450,SMALL(IF('Data Transformation'!$B$4:$B$450='Bin Analysis and Plots'!D435,ROW('Data Transformation'!$B$4:$B$450)),ROW($18:$18))-3,3)),"",INDEX('Data Transformation'!$B$4:$G$450,SMALL(IF('Data Transformation'!$B$4:$B$450='Bin Analysis and Plots'!D435,ROW('Data Transformation'!$B$4:$B$450)),ROW($18:$18))-3,6))</f>
        <v>0</v>
      </c>
      <c r="B455" s="45" t="str">
        <f>IFERROR(SMALL(A438:A457,'Data Transformation'!$L$23),"")</f>
        <v/>
      </c>
      <c r="C455" s="61" t="str">
        <f>IF(Weighting!$O$23&gt;0,D455,"")</f>
        <v/>
      </c>
      <c r="D455" t="e">
        <f>Weighting!$C$23</f>
        <v>#DIV/0!</v>
      </c>
      <c r="E455" t="e">
        <f>Weighting!$E$23</f>
        <v>#NUM!</v>
      </c>
      <c r="F455" t="e">
        <f>IF(E455=1,'Data Transformation'!$G$3+0.5*'Data Transformation'!$R$25,IF(E456=1,F456-'Data Transformation'!$R$25,FALSE))</f>
        <v>#NUM!</v>
      </c>
      <c r="G455">
        <f t="array" ref="G455">IF(ISLOGICAL(F455),"",FREQUENCY(IF('Data Transformation'!$B$24:$B$404='Bin Analysis and Plots'!$D$435,'Data Transformation'!$G$24:$G$404),'Bin Analysis and Plots'!F455))</f>
        <v>0</v>
      </c>
      <c r="H455">
        <f t="shared" si="71"/>
        <v>0</v>
      </c>
      <c r="I455">
        <f>Weighting!$G$23</f>
        <v>0</v>
      </c>
      <c r="J455" s="7">
        <f t="array" ref="J455">FREQUENCY(IF('Data Transformation'!$B$4:$B$404=D435,'Data Transformation'!$G$4:$G$404),'Bin Analysis and Plots'!$D455)</f>
        <v>0</v>
      </c>
      <c r="K455" s="7">
        <f t="shared" si="72"/>
        <v>0</v>
      </c>
      <c r="L455" s="7">
        <f t="shared" si="73"/>
        <v>0</v>
      </c>
      <c r="M455" s="22">
        <f>L455*Weighting!$V$23</f>
        <v>0</v>
      </c>
    </row>
    <row r="456" spans="1:20" x14ac:dyDescent="0.25">
      <c r="A456" s="45" t="str">
        <f>IF(ISERROR(INDEX('Data Transformation'!$B$4:$G$450,SMALL(IF('Data Transformation'!$B$4:$B$450='Bin Analysis and Plots'!D435,ROW('Data Transformation'!$B$4:$B$450)),ROW($19:$19))-3,3)),"",INDEX('Data Transformation'!$B$4:$G$450,SMALL(IF('Data Transformation'!$B$4:$B$450='Bin Analysis and Plots'!D435,ROW('Data Transformation'!$B$4:$B$450)),ROW($19:$19))-3,6))</f>
        <v/>
      </c>
      <c r="B456" s="45" t="str">
        <f>IFERROR(SMALL(A438:A457,'Data Transformation'!$L$24),"")</f>
        <v/>
      </c>
      <c r="C456" s="61" t="str">
        <f>IF(Weighting!$O$24&gt;0,D456,"")</f>
        <v/>
      </c>
      <c r="D456" t="e">
        <f>Weighting!$C$24</f>
        <v>#DIV/0!</v>
      </c>
      <c r="E456" t="e">
        <f>Weighting!$E$24</f>
        <v>#NUM!</v>
      </c>
      <c r="F456" t="e">
        <f>IF(E456=1,'Data Transformation'!$G$3+0.5*'Data Transformation'!$R$25,IF(E457=1,F457-'Data Transformation'!$R$25,FALSE))</f>
        <v>#NUM!</v>
      </c>
      <c r="G456">
        <f t="array" ref="G456">IF(ISLOGICAL(F456),"",FREQUENCY(IF('Data Transformation'!$B$24:$B$404='Bin Analysis and Plots'!$D$435,'Data Transformation'!$G$24:$G$404),'Bin Analysis and Plots'!F456))</f>
        <v>0</v>
      </c>
      <c r="H456">
        <f t="shared" si="71"/>
        <v>0</v>
      </c>
      <c r="I456">
        <f>Weighting!$G$24</f>
        <v>0</v>
      </c>
      <c r="J456" s="7">
        <f t="array" ref="J456">FREQUENCY(IF('Data Transformation'!$B$4:$B$404=D435,'Data Transformation'!$G$4:$G$404),'Bin Analysis and Plots'!$D456)</f>
        <v>0</v>
      </c>
      <c r="K456" s="7">
        <f t="shared" si="72"/>
        <v>0</v>
      </c>
      <c r="L456" s="7">
        <f t="shared" si="73"/>
        <v>0</v>
      </c>
      <c r="M456" s="22">
        <f>L456*Weighting!$V$24</f>
        <v>0</v>
      </c>
    </row>
    <row r="457" spans="1:20" x14ac:dyDescent="0.25">
      <c r="A457" s="45" t="b">
        <f t="array" ref="A457">IF(ISERROR(INDEX('Data Transformation'!$B$4:$G$450,SMALL(IF('Data Transformation'!$B$4:$B$450='Bin Analysis and Plots'!D435,ROW('Data Transformation'!$B$4:$B$450)),ROW($20:$20))-3,3)),"",INDEX('Data Transformation'!$B$4:$G$450,SMALL(IF('Data Transformation'!$B$4:$B$450='Bin Analysis and Plots'!D435,ROW('Data Transformation'!$B$4:$B$450)),ROW($20:$20))-3,6))</f>
        <v>0</v>
      </c>
      <c r="B457" s="45" t="str">
        <f>IFERROR(SMALL(A438:A457,'Data Transformation'!$L$25),"")</f>
        <v/>
      </c>
      <c r="C457" s="61" t="str">
        <f>IF(Weighting!$O$25&gt;0,D457,"")</f>
        <v/>
      </c>
      <c r="D457" t="e">
        <f>Weighting!$C$25</f>
        <v>#DIV/0!</v>
      </c>
      <c r="E457" t="e">
        <f>Weighting!$E$25</f>
        <v>#NUM!</v>
      </c>
      <c r="F457" t="e">
        <f>IF(E457=1,'Data Transformation'!$G$3+0.5*'Data Transformation'!$R$25,IF(E458=1,F458-'Data Transformation'!$R$25,FALSE))</f>
        <v>#NUM!</v>
      </c>
      <c r="G457">
        <f t="array" ref="G457">IF(ISLOGICAL(F457),"",FREQUENCY(IF('Data Transformation'!$B$24:$B$404='Bin Analysis and Plots'!$D$435,'Data Transformation'!$G$24:$G$404),'Bin Analysis and Plots'!F457))</f>
        <v>0</v>
      </c>
      <c r="H457">
        <f t="shared" si="71"/>
        <v>0</v>
      </c>
      <c r="I457">
        <f>Weighting!$G$25</f>
        <v>0</v>
      </c>
      <c r="J457" s="7">
        <f t="array" ref="J457">FREQUENCY(IF('Data Transformation'!$B$4:$B$404=D435,'Data Transformation'!$G$4:$G$404),'Bin Analysis and Plots'!$D457)</f>
        <v>0</v>
      </c>
      <c r="K457" s="7">
        <f t="shared" si="72"/>
        <v>0</v>
      </c>
      <c r="L457" s="7">
        <f t="shared" si="73"/>
        <v>0</v>
      </c>
      <c r="M457" s="22">
        <f>L457*Weighting!$V$25</f>
        <v>0</v>
      </c>
    </row>
    <row r="458" spans="1:20" x14ac:dyDescent="0.25">
      <c r="C458" s="60" t="str">
        <f t="shared" si="70"/>
        <v/>
      </c>
    </row>
    <row r="459" spans="1:20" ht="23.25" x14ac:dyDescent="0.35">
      <c r="C459" s="46" t="s">
        <v>0</v>
      </c>
      <c r="D459" s="46" t="str">
        <f>'Input and Summary Results'!G26</f>
        <v xml:space="preserve"> </v>
      </c>
      <c r="E459" s="46"/>
      <c r="F459" s="46"/>
      <c r="G459" s="46"/>
      <c r="H459" s="46"/>
      <c r="I459" s="46"/>
      <c r="J459" s="47"/>
      <c r="K459" s="47"/>
      <c r="L459" s="47"/>
      <c r="M459" s="46"/>
      <c r="N459" s="46"/>
      <c r="O459" s="57" t="e">
        <f>INDEX('Data Transformation'!$O$4:$O$25,MATCH($D459,'Data Transformation'!$M$4:$M$25,0),MATCH($O$2,'Data Transformation'!$O$3,0))</f>
        <v>#N/A</v>
      </c>
      <c r="P459" s="52" t="e">
        <f>IF(O459=FALSE,NA(),(VLOOKUP(1,E462:M481,4,FALSE))/(O459-1))</f>
        <v>#N/A</v>
      </c>
      <c r="Q459" s="52" t="e">
        <f>IF(O459=FALSE,NA(),SUM(L462:L481)/Weighting!$R$5)</f>
        <v>#N/A</v>
      </c>
      <c r="R459" s="52" t="e">
        <f>IF(O459=FALSE,NA(),SUM(M462:M481)/Weighting!$R$6)</f>
        <v>#N/A</v>
      </c>
      <c r="S459" s="52" t="e">
        <f>IF(O459=FALSE,NA(),(VLOOKUP(1,I462:M481,3,FALSE))/(O459-1))</f>
        <v>#N/A</v>
      </c>
      <c r="T459" s="57" t="e">
        <f>IF(O459=FALSE,NA(),IF(SUM(L462:L481)=2,"yes","no"))</f>
        <v>#N/A</v>
      </c>
    </row>
    <row r="460" spans="1:20" x14ac:dyDescent="0.25">
      <c r="A460" s="96" t="s">
        <v>64</v>
      </c>
      <c r="B460" s="96"/>
      <c r="C460" s="58" t="s">
        <v>72</v>
      </c>
      <c r="D460" t="s">
        <v>50</v>
      </c>
      <c r="E460" t="s">
        <v>5</v>
      </c>
      <c r="I460" t="s">
        <v>75</v>
      </c>
      <c r="J460" s="7" t="s">
        <v>34</v>
      </c>
      <c r="K460" s="7" t="s">
        <v>35</v>
      </c>
      <c r="L460" s="7" t="s">
        <v>49</v>
      </c>
      <c r="M460" s="21" t="s">
        <v>48</v>
      </c>
    </row>
    <row r="461" spans="1:20" x14ac:dyDescent="0.25">
      <c r="C461" s="60" t="str">
        <f t="shared" ref="C461:C482" si="74">IF(B461="","",D461)</f>
        <v/>
      </c>
      <c r="F461" t="e">
        <f>IF(E461=1,'Data Transformation'!$G$3+0.5*'Data Transformation'!$R$25,IF(E462=1,F462-'Data Transformation'!$R$25,FALSE))</f>
        <v>#NUM!</v>
      </c>
      <c r="G461">
        <f t="array" ref="G461">IF(ISLOGICAL(F461),"",FREQUENCY(IF('Data Transformation'!$B$24:$B$404='Bin Analysis and Plots'!$D$459,'Data Transformation'!$G$24:$G$404),'Bin Analysis and Plots'!F461))</f>
        <v>0</v>
      </c>
      <c r="H461">
        <f>IF(ISLOGICAL(F461),"",G461-G460)</f>
        <v>0</v>
      </c>
    </row>
    <row r="462" spans="1:20" x14ac:dyDescent="0.25">
      <c r="A462" s="45" t="b">
        <f t="array" ref="A462">IF(ISERROR(INDEX('Data Transformation'!$B$4:$G$450,SMALL(IF('Data Transformation'!$B$4:$B$450='Bin Analysis and Plots'!D459,ROW('Data Transformation'!$B$4:$B$450)),ROW($1:$1))-3,3)),"",INDEX('Data Transformation'!$B$4:$G$450,SMALL(IF('Data Transformation'!$B$4:$B$450='Bin Analysis and Plots'!D459,ROW('Data Transformation'!$B$4:$B$450)),ROW($1:$1))-3,6))</f>
        <v>0</v>
      </c>
      <c r="B462" s="45" t="str">
        <f>IFERROR(SMALL(A462:A481,'Data Transformation'!$L$6),"")</f>
        <v/>
      </c>
      <c r="C462" s="61" t="e">
        <f>IF(Weighting!$O$6&gt;0,D462,"")</f>
        <v>#NUM!</v>
      </c>
      <c r="D462" t="e">
        <f>Weighting!$C$6</f>
        <v>#DIV/0!</v>
      </c>
      <c r="E462" t="e">
        <f>Weighting!$E$6</f>
        <v>#NUM!</v>
      </c>
      <c r="F462" t="e">
        <f>IF(E462=1,'Data Transformation'!$G$3+0.5*'Data Transformation'!$R$25,IF(E463=1,F463-'Data Transformation'!$R$25,FALSE))</f>
        <v>#NUM!</v>
      </c>
      <c r="G462">
        <f t="array" ref="G462">IF(ISLOGICAL(F462),"",FREQUENCY(IF('Data Transformation'!$B$24:$B$404='Bin Analysis and Plots'!$D$459,'Data Transformation'!$G$24:$G$404),'Bin Analysis and Plots'!F462))</f>
        <v>0</v>
      </c>
      <c r="H462">
        <f>IF(ISLOGICAL(F462),"",G462-G461)</f>
        <v>0</v>
      </c>
      <c r="I462">
        <f>Weighting!$G$6</f>
        <v>1</v>
      </c>
      <c r="J462" s="7">
        <f t="array" ref="J462">FREQUENCY(IF('Data Transformation'!$B$4:$B$404=D459,'Data Transformation'!$G$4:$G$404),'Bin Analysis and Plots'!$D462)</f>
        <v>0</v>
      </c>
      <c r="K462" s="7">
        <f>J462-J461</f>
        <v>0</v>
      </c>
      <c r="L462" s="7">
        <f>IF(K462=0,0,1)</f>
        <v>0</v>
      </c>
      <c r="M462" s="22" t="e">
        <f>L462*Weighting!$V$6</f>
        <v>#NUM!</v>
      </c>
    </row>
    <row r="463" spans="1:20" x14ac:dyDescent="0.25">
      <c r="A463" s="45" t="b">
        <f t="array" ref="A463">IF(ISERROR(INDEX('Data Transformation'!$B$4:$G$450,SMALL(IF('Data Transformation'!$B$4:$B$450='Bin Analysis and Plots'!D459,ROW('Data Transformation'!$B$4:$B$450)),ROW($2:$2))-3,3)),"",INDEX('Data Transformation'!$B$4:$G$450,SMALL(IF('Data Transformation'!$B$4:$B$450='Bin Analysis and Plots'!D459,ROW('Data Transformation'!$B$4:$B$450)),ROW($2:$2))-3,6))</f>
        <v>0</v>
      </c>
      <c r="B463" s="45" t="str">
        <f>IFERROR(SMALL(A462:A481,'Data Transformation'!$L$7),"")</f>
        <v/>
      </c>
      <c r="C463" s="61" t="str">
        <f>IF(Weighting!$O$7&gt;0,D463,"")</f>
        <v/>
      </c>
      <c r="D463" t="e">
        <f>Weighting!$C$7</f>
        <v>#DIV/0!</v>
      </c>
      <c r="E463" t="e">
        <f>Weighting!$E$7</f>
        <v>#NUM!</v>
      </c>
      <c r="F463" t="e">
        <f>IF(E463=1,'Data Transformation'!$G$3+0.5*'Data Transformation'!$R$25,IF(E464=1,F464-'Data Transformation'!$R$25,FALSE))</f>
        <v>#NUM!</v>
      </c>
      <c r="G463">
        <f t="array" ref="G463">IF(ISLOGICAL(F463),"",FREQUENCY(IF('Data Transformation'!$B$24:$B$404='Bin Analysis and Plots'!$D$459,'Data Transformation'!$G$24:$G$404),'Bin Analysis and Plots'!F463))</f>
        <v>0</v>
      </c>
      <c r="H463">
        <f t="shared" ref="H463:H481" si="75">IF(ISLOGICAL(F463),"",G463-G462)</f>
        <v>0</v>
      </c>
      <c r="I463">
        <f>Weighting!$G$7</f>
        <v>0</v>
      </c>
      <c r="J463" s="7">
        <f t="array" ref="J463">FREQUENCY(IF('Data Transformation'!$B$4:$B$404=D459,'Data Transformation'!$G$4:$G$404),'Bin Analysis and Plots'!$D463)</f>
        <v>0</v>
      </c>
      <c r="K463" s="7">
        <f t="shared" ref="K463:K481" si="76">J463-J462</f>
        <v>0</v>
      </c>
      <c r="L463" s="7">
        <f>IF(K463=0,0,1)</f>
        <v>0</v>
      </c>
      <c r="M463" s="22">
        <f>L463*Weighting!$V$7</f>
        <v>0</v>
      </c>
    </row>
    <row r="464" spans="1:20" x14ac:dyDescent="0.25">
      <c r="A464" s="45" t="b">
        <f t="array" ref="A464">IF(ISERROR(INDEX('Data Transformation'!$B$4:$G$450,SMALL(IF('Data Transformation'!$B$4:$B$450='Bin Analysis and Plots'!D459,ROW('Data Transformation'!$B$4:$B$450)),ROW($3:$3))-3,3)),"",INDEX('Data Transformation'!$B$4:$G$450,SMALL(IF('Data Transformation'!$B$4:$B$450='Bin Analysis and Plots'!D459,ROW('Data Transformation'!$B$4:$B$450)),ROW($3:$3))-3,6))</f>
        <v>0</v>
      </c>
      <c r="B464" s="45" t="str">
        <f>IFERROR(SMALL(A462:A481,'Data Transformation'!$L$8),"")</f>
        <v/>
      </c>
      <c r="C464" s="61" t="str">
        <f>IF(Weighting!$O$8&gt;0,D464,"")</f>
        <v/>
      </c>
      <c r="D464" t="e">
        <f>Weighting!$C$8</f>
        <v>#DIV/0!</v>
      </c>
      <c r="E464" t="e">
        <f>Weighting!$E$8</f>
        <v>#NUM!</v>
      </c>
      <c r="F464" t="e">
        <f>IF(E464=1,'Data Transformation'!$G$3+0.5*'Data Transformation'!$R$25,IF(E465=1,F465-'Data Transformation'!$R$25,FALSE))</f>
        <v>#NUM!</v>
      </c>
      <c r="G464">
        <f t="array" ref="G464">IF(ISLOGICAL(F464),"",FREQUENCY(IF('Data Transformation'!$B$24:$B$404='Bin Analysis and Plots'!$D$459,'Data Transformation'!$G$24:$G$404),'Bin Analysis and Plots'!F464))</f>
        <v>0</v>
      </c>
      <c r="H464">
        <f t="shared" si="75"/>
        <v>0</v>
      </c>
      <c r="I464">
        <f>Weighting!$G$8</f>
        <v>0</v>
      </c>
      <c r="J464" s="7">
        <f t="array" ref="J464">FREQUENCY(IF('Data Transformation'!$B$4:$B$404=D459,'Data Transformation'!$G$4:$G$404),'Bin Analysis and Plots'!$D464)</f>
        <v>0</v>
      </c>
      <c r="K464" s="7">
        <f t="shared" si="76"/>
        <v>0</v>
      </c>
      <c r="L464" s="7">
        <f t="shared" ref="L464:L481" si="77">IF(K464=0,0,1)</f>
        <v>0</v>
      </c>
      <c r="M464" s="22">
        <f>L464*Weighting!$V$8</f>
        <v>0</v>
      </c>
    </row>
    <row r="465" spans="1:13" x14ac:dyDescent="0.25">
      <c r="A465" s="45" t="b">
        <f t="array" ref="A465">IF(ISERROR(INDEX('Data Transformation'!$B$4:$G$450,SMALL(IF('Data Transformation'!$B$4:$B$450='Bin Analysis and Plots'!D459,ROW('Data Transformation'!$B$4:$B$450)),ROW($4:$4))-3,3)),"",INDEX('Data Transformation'!$B$4:$G$450,SMALL(IF('Data Transformation'!$B$4:$B$450='Bin Analysis and Plots'!D459,ROW('Data Transformation'!$B$4:$B$450)),ROW($4:$4))-3,6))</f>
        <v>0</v>
      </c>
      <c r="B465" s="45" t="str">
        <f>IFERROR(SMALL(A462:A481,'Data Transformation'!$L$9),"")</f>
        <v/>
      </c>
      <c r="C465" s="61" t="str">
        <f>IF(Weighting!$O$9&gt;0,D465,"")</f>
        <v/>
      </c>
      <c r="D465" t="e">
        <f>Weighting!$B$9</f>
        <v>#DIV/0!</v>
      </c>
      <c r="E465" t="e">
        <f>Weighting!$E$9</f>
        <v>#NUM!</v>
      </c>
      <c r="F465" t="e">
        <f>IF(E465=1,'Data Transformation'!$G$3+0.5*'Data Transformation'!$R$25,IF(E466=1,F466-'Data Transformation'!$R$25,FALSE))</f>
        <v>#NUM!</v>
      </c>
      <c r="G465">
        <f t="array" ref="G465">IF(ISLOGICAL(F465),"",FREQUENCY(IF('Data Transformation'!$B$24:$B$404='Bin Analysis and Plots'!$D$459,'Data Transformation'!$G$24:$G$404),'Bin Analysis and Plots'!F465))</f>
        <v>0</v>
      </c>
      <c r="H465">
        <f t="shared" si="75"/>
        <v>0</v>
      </c>
      <c r="I465">
        <f>Weighting!$G$9</f>
        <v>0</v>
      </c>
      <c r="J465" s="7">
        <f t="array" ref="J465">FREQUENCY(IF('Data Transformation'!$B$4:$B$404=D459,'Data Transformation'!$G$4:$G$404),'Bin Analysis and Plots'!$D465)</f>
        <v>0</v>
      </c>
      <c r="K465" s="7">
        <f t="shared" si="76"/>
        <v>0</v>
      </c>
      <c r="L465" s="7">
        <f t="shared" si="77"/>
        <v>0</v>
      </c>
      <c r="M465" s="22">
        <f>L465*Weighting!$V$9</f>
        <v>0</v>
      </c>
    </row>
    <row r="466" spans="1:13" x14ac:dyDescent="0.25">
      <c r="A466" s="45" t="b">
        <f t="array" ref="A466">IF(ISERROR(INDEX('Data Transformation'!$B$4:$G$450,SMALL(IF('Data Transformation'!$B$4:$B$450='Bin Analysis and Plots'!D459,ROW('Data Transformation'!$B$4:$B$450)),ROW($5:$5))-3,3)),"",INDEX('Data Transformation'!$B$4:$G$450,SMALL(IF('Data Transformation'!$B$4:$B$450='Bin Analysis and Plots'!D459,ROW('Data Transformation'!$B$4:$B$450)),ROW($5:$5))-3,6))</f>
        <v>0</v>
      </c>
      <c r="B466" s="45" t="str">
        <f>IFERROR(SMALL(A462:A481,'Data Transformation'!$L$10),"")</f>
        <v/>
      </c>
      <c r="C466" s="61" t="str">
        <f>IF(Weighting!$O$10&gt;0,D466,"")</f>
        <v/>
      </c>
      <c r="D466" t="e">
        <f>Weighting!$C$10</f>
        <v>#DIV/0!</v>
      </c>
      <c r="E466" t="e">
        <f>Weighting!$E$10</f>
        <v>#NUM!</v>
      </c>
      <c r="F466" t="e">
        <f>IF(E466=1,'Data Transformation'!$G$3+0.5*'Data Transformation'!$R$25,IF(E467=1,F467-'Data Transformation'!$R$25,FALSE))</f>
        <v>#NUM!</v>
      </c>
      <c r="G466">
        <f t="array" ref="G466">IF(ISLOGICAL(F466),"",FREQUENCY(IF('Data Transformation'!$B$24:$B$404='Bin Analysis and Plots'!$D$459,'Data Transformation'!$G$24:$G$404),'Bin Analysis and Plots'!F466))</f>
        <v>0</v>
      </c>
      <c r="H466">
        <f t="shared" si="75"/>
        <v>0</v>
      </c>
      <c r="I466">
        <f>Weighting!$G$10</f>
        <v>0</v>
      </c>
      <c r="J466" s="7">
        <f t="array" ref="J466">FREQUENCY(IF('Data Transformation'!$B$4:$B$404=D459,'Data Transformation'!$G$4:$G$404),'Bin Analysis and Plots'!$D466)</f>
        <v>0</v>
      </c>
      <c r="K466" s="7">
        <f t="shared" si="76"/>
        <v>0</v>
      </c>
      <c r="L466" s="7">
        <f t="shared" si="77"/>
        <v>0</v>
      </c>
      <c r="M466" s="22">
        <f>L466*Weighting!$V$10</f>
        <v>0</v>
      </c>
    </row>
    <row r="467" spans="1:13" x14ac:dyDescent="0.25">
      <c r="A467" s="45" t="b">
        <f t="array" ref="A467">IF(ISERROR(INDEX('Data Transformation'!$B$4:$G$450,SMALL(IF('Data Transformation'!$B$4:$B$450='Bin Analysis and Plots'!D459,ROW('Data Transformation'!$B$4:$B$450)),ROW($6:$6))-3,3)),"",INDEX('Data Transformation'!$B$4:$G$450,SMALL(IF('Data Transformation'!$B$4:$B$450='Bin Analysis and Plots'!D459,ROW('Data Transformation'!$B$4:$B$450)),ROW($6:$6))-3,6))</f>
        <v>0</v>
      </c>
      <c r="B467" s="45" t="str">
        <f>IFERROR(SMALL(A462:A481,'Data Transformation'!$L$11),"")</f>
        <v/>
      </c>
      <c r="C467" s="61" t="str">
        <f>IF(Weighting!$O$11&gt;0,D467,"")</f>
        <v/>
      </c>
      <c r="D467" t="e">
        <f>Weighting!$C$11</f>
        <v>#DIV/0!</v>
      </c>
      <c r="E467" t="e">
        <f>Weighting!$E$11</f>
        <v>#NUM!</v>
      </c>
      <c r="F467" t="e">
        <f>IF(E467=1,'Data Transformation'!$G$3+0.5*'Data Transformation'!$R$25,IF(E468=1,F468-'Data Transformation'!$R$25,FALSE))</f>
        <v>#NUM!</v>
      </c>
      <c r="G467">
        <f t="array" ref="G467">IF(ISLOGICAL(F467),"",FREQUENCY(IF('Data Transformation'!$B$24:$B$404='Bin Analysis and Plots'!$D$459,'Data Transformation'!$G$24:$G$404),'Bin Analysis and Plots'!F467))</f>
        <v>0</v>
      </c>
      <c r="H467">
        <f t="shared" si="75"/>
        <v>0</v>
      </c>
      <c r="I467">
        <f>Weighting!$G$11</f>
        <v>0</v>
      </c>
      <c r="J467" s="7">
        <f t="array" ref="J467">FREQUENCY(IF('Data Transformation'!$B$4:$B$404=D459,'Data Transformation'!$G$4:$G$404),'Bin Analysis and Plots'!$D467)</f>
        <v>0</v>
      </c>
      <c r="K467" s="7">
        <f t="shared" si="76"/>
        <v>0</v>
      </c>
      <c r="L467" s="7">
        <f t="shared" si="77"/>
        <v>0</v>
      </c>
      <c r="M467" s="22">
        <f>L467*Weighting!$V$11</f>
        <v>0</v>
      </c>
    </row>
    <row r="468" spans="1:13" x14ac:dyDescent="0.25">
      <c r="A468" s="45" t="b">
        <f t="array" ref="A468">IF(ISERROR(INDEX('Data Transformation'!$B$4:$G$450,SMALL(IF('Data Transformation'!$B$4:$B$450='Bin Analysis and Plots'!D459,ROW('Data Transformation'!$B$4:$B$450)),ROW($7:$7))-3,3)),"",INDEX('Data Transformation'!$B$4:$G$450,SMALL(IF('Data Transformation'!$B$4:$B$450='Bin Analysis and Plots'!D459,ROW('Data Transformation'!$B$4:$B$450)),ROW($7:$7))-3,6))</f>
        <v>0</v>
      </c>
      <c r="B468" s="45" t="str">
        <f>IFERROR(SMALL(A462:A481,'Data Transformation'!$L$12),"")</f>
        <v/>
      </c>
      <c r="C468" s="61" t="str">
        <f>IF(Weighting!$O$12&gt;0,D468,"")</f>
        <v/>
      </c>
      <c r="D468" t="e">
        <f>Weighting!$C$12</f>
        <v>#DIV/0!</v>
      </c>
      <c r="E468" t="e">
        <f>Weighting!$E$12</f>
        <v>#NUM!</v>
      </c>
      <c r="F468" t="e">
        <f>IF(E468=1,'Data Transformation'!$G$3+0.5*'Data Transformation'!$R$25,IF(E469=1,F469-'Data Transformation'!$R$25,FALSE))</f>
        <v>#NUM!</v>
      </c>
      <c r="G468">
        <f t="array" ref="G468">IF(ISLOGICAL(F468),"",FREQUENCY(IF('Data Transformation'!$B$24:$B$404='Bin Analysis and Plots'!$D$459,'Data Transformation'!$G$24:$G$404),'Bin Analysis and Plots'!F468))</f>
        <v>0</v>
      </c>
      <c r="H468">
        <f t="shared" si="75"/>
        <v>0</v>
      </c>
      <c r="I468">
        <f>Weighting!$G$12</f>
        <v>0</v>
      </c>
      <c r="J468" s="7">
        <f t="array" ref="J468">FREQUENCY(IF('Data Transformation'!$B$4:$B$404=D459,'Data Transformation'!$G$4:$G$404),'Bin Analysis and Plots'!$D468)</f>
        <v>0</v>
      </c>
      <c r="K468" s="7">
        <f t="shared" si="76"/>
        <v>0</v>
      </c>
      <c r="L468" s="7">
        <f t="shared" si="77"/>
        <v>0</v>
      </c>
      <c r="M468" s="22">
        <f>L468*Weighting!$V$12</f>
        <v>0</v>
      </c>
    </row>
    <row r="469" spans="1:13" x14ac:dyDescent="0.25">
      <c r="A469" s="45" t="b">
        <f t="array" ref="A469">IF(ISERROR(INDEX('Data Transformation'!$B$4:$G$450,SMALL(IF('Data Transformation'!$B$4:$B$450='Bin Analysis and Plots'!D459,ROW('Data Transformation'!$B$4:$B$450)),ROW($8:$8))-3,3)),"",INDEX('Data Transformation'!$B$4:$G$450,SMALL(IF('Data Transformation'!$B$4:$B$450='Bin Analysis and Plots'!D459,ROW('Data Transformation'!$B$4:$B$450)),ROW($8:$8))-3,6))</f>
        <v>0</v>
      </c>
      <c r="B469" s="45" t="str">
        <f>IFERROR(SMALL(A462:A481,'Data Transformation'!$L$13),"")</f>
        <v/>
      </c>
      <c r="C469" s="61" t="str">
        <f>IF(Weighting!$O$13&gt;0,D469,"")</f>
        <v/>
      </c>
      <c r="D469" t="e">
        <f>Weighting!$C$13</f>
        <v>#DIV/0!</v>
      </c>
      <c r="E469" t="e">
        <f>Weighting!$E$13</f>
        <v>#NUM!</v>
      </c>
      <c r="F469" t="e">
        <f>IF(E469=1,'Data Transformation'!$G$3+0.5*'Data Transformation'!$R$25,IF(E470=1,F470-'Data Transformation'!$R$25,FALSE))</f>
        <v>#NUM!</v>
      </c>
      <c r="G469">
        <f t="array" ref="G469">IF(ISLOGICAL(F469),"",FREQUENCY(IF('Data Transformation'!$B$24:$B$404='Bin Analysis and Plots'!$D$459,'Data Transformation'!$G$24:$G$404),'Bin Analysis and Plots'!F469))</f>
        <v>0</v>
      </c>
      <c r="H469">
        <f t="shared" si="75"/>
        <v>0</v>
      </c>
      <c r="I469">
        <f>Weighting!$G$13</f>
        <v>0</v>
      </c>
      <c r="J469" s="7">
        <f t="array" ref="J469">FREQUENCY(IF('Data Transformation'!$B$4:$B$404=D459,'Data Transformation'!$G$4:$G$404),'Bin Analysis and Plots'!$D469)</f>
        <v>0</v>
      </c>
      <c r="K469" s="7">
        <f t="shared" si="76"/>
        <v>0</v>
      </c>
      <c r="L469" s="7">
        <f t="shared" si="77"/>
        <v>0</v>
      </c>
      <c r="M469" s="22">
        <f>L469*Weighting!$V$13</f>
        <v>0</v>
      </c>
    </row>
    <row r="470" spans="1:13" x14ac:dyDescent="0.25">
      <c r="A470" s="45" t="b">
        <f t="array" ref="A470">IF(ISERROR(INDEX('Data Transformation'!$B$4:$G$450,SMALL(IF('Data Transformation'!$B$4:$B$450='Bin Analysis and Plots'!D459,ROW('Data Transformation'!$B$4:$B$450)),ROW($9:$9))-3,3)),"",INDEX('Data Transformation'!$B$4:$G$450,SMALL(IF('Data Transformation'!$B$4:$B$450='Bin Analysis and Plots'!D459,ROW('Data Transformation'!$B$4:$B$450)),ROW($9:$9))-3,6))</f>
        <v>0</v>
      </c>
      <c r="B470" s="45" t="str">
        <f>IFERROR(SMALL(A462:A481,'Data Transformation'!$L$14),"")</f>
        <v/>
      </c>
      <c r="C470" s="61" t="str">
        <f>IF(Weighting!$O$14&gt;0,D470,"")</f>
        <v/>
      </c>
      <c r="D470" t="e">
        <f>Weighting!$C$14</f>
        <v>#DIV/0!</v>
      </c>
      <c r="E470" t="e">
        <f>Weighting!$E$14</f>
        <v>#NUM!</v>
      </c>
      <c r="F470" t="e">
        <f>IF(E470=1,'Data Transformation'!$G$3+0.5*'Data Transformation'!$R$25,IF(E471=1,F471-'Data Transformation'!$R$25,FALSE))</f>
        <v>#NUM!</v>
      </c>
      <c r="G470">
        <f t="array" ref="G470">IF(ISLOGICAL(F470),"",FREQUENCY(IF('Data Transformation'!$B$24:$B$404='Bin Analysis and Plots'!$D$459,'Data Transformation'!$G$24:$G$404),'Bin Analysis and Plots'!F470))</f>
        <v>0</v>
      </c>
      <c r="H470">
        <f t="shared" si="75"/>
        <v>0</v>
      </c>
      <c r="I470">
        <f>Weighting!$G$14</f>
        <v>0</v>
      </c>
      <c r="J470" s="7">
        <f t="array" ref="J470">FREQUENCY(IF('Data Transformation'!$B$4:$B$404=D459,'Data Transformation'!$G$4:$G$404),'Bin Analysis and Plots'!$D470)</f>
        <v>0</v>
      </c>
      <c r="K470" s="7">
        <f t="shared" si="76"/>
        <v>0</v>
      </c>
      <c r="L470" s="7">
        <f t="shared" si="77"/>
        <v>0</v>
      </c>
      <c r="M470" s="22">
        <f>L470*Weighting!$V$14</f>
        <v>0</v>
      </c>
    </row>
    <row r="471" spans="1:13" x14ac:dyDescent="0.25">
      <c r="A471" s="45" t="b">
        <f t="array" ref="A471">IF(ISERROR(INDEX('Data Transformation'!$B$4:$G$450,SMALL(IF('Data Transformation'!$B$4:$B$450='Bin Analysis and Plots'!D459,ROW('Data Transformation'!$B$4:$B$450)),ROW($10:$10))-3,3)),"",INDEX('Data Transformation'!$B$4:$G$450,SMALL(IF('Data Transformation'!$B$4:$B$450='Bin Analysis and Plots'!D459,ROW('Data Transformation'!$B$4:$B$450)),ROW($10:$10))-3,6))</f>
        <v>0</v>
      </c>
      <c r="B471" s="45" t="str">
        <f>IFERROR(SMALL(A462:A481,'Data Transformation'!$L$15),"")</f>
        <v/>
      </c>
      <c r="C471" s="61" t="str">
        <f>IF(Weighting!$O$15&gt;0,D471,"")</f>
        <v/>
      </c>
      <c r="D471" t="e">
        <f>Weighting!$C$15</f>
        <v>#DIV/0!</v>
      </c>
      <c r="E471" t="e">
        <f>Weighting!$E$15</f>
        <v>#NUM!</v>
      </c>
      <c r="F471" t="e">
        <f>IF(E471=1,'Data Transformation'!$G$3+0.5*'Data Transformation'!$R$25,IF(E472=1,F472-'Data Transformation'!$R$25,FALSE))</f>
        <v>#NUM!</v>
      </c>
      <c r="G471">
        <f t="array" ref="G471">IF(ISLOGICAL(F471),"",FREQUENCY(IF('Data Transformation'!$B$24:$B$404='Bin Analysis and Plots'!$D$459,'Data Transformation'!$G$24:$G$404),'Bin Analysis and Plots'!F471))</f>
        <v>0</v>
      </c>
      <c r="H471">
        <f t="shared" si="75"/>
        <v>0</v>
      </c>
      <c r="I471">
        <f>Weighting!$G$15</f>
        <v>0</v>
      </c>
      <c r="J471" s="7">
        <f t="array" ref="J471">FREQUENCY(IF('Data Transformation'!$B$4:$B$404=D459,'Data Transformation'!$G$4:$G$404),'Bin Analysis and Plots'!$D471)</f>
        <v>0</v>
      </c>
      <c r="K471" s="7">
        <f t="shared" si="76"/>
        <v>0</v>
      </c>
      <c r="L471" s="7">
        <f t="shared" si="77"/>
        <v>0</v>
      </c>
      <c r="M471" s="22">
        <f>L471*Weighting!$V$15</f>
        <v>0</v>
      </c>
    </row>
    <row r="472" spans="1:13" x14ac:dyDescent="0.25">
      <c r="A472" s="45" t="b">
        <f t="array" ref="A472">IF(ISERROR(INDEX('Data Transformation'!$B$4:$G$450,SMALL(IF('Data Transformation'!$B$4:$B$450='Bin Analysis and Plots'!D459,ROW('Data Transformation'!$B$4:$B$450)),ROW($11:$11))-3,3)),"",INDEX('Data Transformation'!$B$4:$G$450,SMALL(IF('Data Transformation'!$B$4:$B$450='Bin Analysis and Plots'!D459,ROW('Data Transformation'!$B$4:$B$450)),ROW($11:$11))-3,6))</f>
        <v>0</v>
      </c>
      <c r="B472" s="45" t="str">
        <f>IFERROR(SMALL(A462:A481,'Data Transformation'!$L$16),"")</f>
        <v/>
      </c>
      <c r="C472" s="61" t="str">
        <f>IF(Weighting!$O$16&gt;0,D472,"")</f>
        <v/>
      </c>
      <c r="D472" t="e">
        <f>Weighting!$C$16</f>
        <v>#DIV/0!</v>
      </c>
      <c r="E472" t="e">
        <f>Weighting!$E$16</f>
        <v>#NUM!</v>
      </c>
      <c r="F472" t="e">
        <f>IF(E472=1,'Data Transformation'!$G$3+0.5*'Data Transformation'!$R$25,IF(E473=1,F473-'Data Transformation'!$R$25,FALSE))</f>
        <v>#NUM!</v>
      </c>
      <c r="G472">
        <f t="array" ref="G472">IF(ISLOGICAL(F472),"",FREQUENCY(IF('Data Transformation'!$B$24:$B$404='Bin Analysis and Plots'!$D$459,'Data Transformation'!$G$24:$G$404),'Bin Analysis and Plots'!F472))</f>
        <v>0</v>
      </c>
      <c r="H472">
        <f t="shared" si="75"/>
        <v>0</v>
      </c>
      <c r="I472">
        <f>Weighting!$G$16</f>
        <v>0</v>
      </c>
      <c r="J472" s="7">
        <f t="array" ref="J472">FREQUENCY(IF('Data Transformation'!$B$4:$B$404=D459,'Data Transformation'!$G$4:$G$404),'Bin Analysis and Plots'!$D472)</f>
        <v>0</v>
      </c>
      <c r="K472" s="7">
        <f t="shared" si="76"/>
        <v>0</v>
      </c>
      <c r="L472" s="7">
        <f t="shared" si="77"/>
        <v>0</v>
      </c>
      <c r="M472" s="22">
        <f>L472*Weighting!$V$16</f>
        <v>0</v>
      </c>
    </row>
    <row r="473" spans="1:13" x14ac:dyDescent="0.25">
      <c r="A473" s="45" t="b">
        <f t="array" ref="A473">IF(ISERROR(INDEX('Data Transformation'!$B$4:$G$450,SMALL(IF('Data Transformation'!$B$4:$B$450='Bin Analysis and Plots'!D459,ROW('Data Transformation'!$B$4:$B$450)),ROW($12:$12))-3,3)),"",INDEX('Data Transformation'!$B$4:$G$450,SMALL(IF('Data Transformation'!$B$4:$B$450='Bin Analysis and Plots'!D459,ROW('Data Transformation'!$B$4:$B$450)),ROW($12:$12))-3,6))</f>
        <v>0</v>
      </c>
      <c r="B473" s="45" t="str">
        <f>IFERROR(SMALL(A462:A481,'Data Transformation'!$L$17),"")</f>
        <v/>
      </c>
      <c r="C473" s="61" t="str">
        <f>IF(Weighting!$O$17&gt;0,D473,"")</f>
        <v/>
      </c>
      <c r="D473" t="e">
        <f>Weighting!$C$17</f>
        <v>#DIV/0!</v>
      </c>
      <c r="E473" t="e">
        <f>Weighting!$E$17</f>
        <v>#NUM!</v>
      </c>
      <c r="F473" t="e">
        <f>IF(E473=1,'Data Transformation'!$G$3+0.5*'Data Transformation'!$R$25,IF(E474=1,F474-'Data Transformation'!$R$25,FALSE))</f>
        <v>#NUM!</v>
      </c>
      <c r="G473">
        <f t="array" ref="G473">IF(ISLOGICAL(F473),"",FREQUENCY(IF('Data Transformation'!$B$24:$B$404='Bin Analysis and Plots'!$D$459,'Data Transformation'!$G$24:$G$404),'Bin Analysis and Plots'!F473))</f>
        <v>0</v>
      </c>
      <c r="H473">
        <f t="shared" si="75"/>
        <v>0</v>
      </c>
      <c r="I473">
        <f>Weighting!$G$17</f>
        <v>0</v>
      </c>
      <c r="J473" s="7">
        <f t="array" ref="J473">FREQUENCY(IF('Data Transformation'!$B$4:$B$404=D459,'Data Transformation'!$G$4:$G$404),'Bin Analysis and Plots'!$D473)</f>
        <v>0</v>
      </c>
      <c r="K473" s="7">
        <f t="shared" si="76"/>
        <v>0</v>
      </c>
      <c r="L473" s="7">
        <f t="shared" si="77"/>
        <v>0</v>
      </c>
      <c r="M473" s="22">
        <f>L473*Weighting!$V$17</f>
        <v>0</v>
      </c>
    </row>
    <row r="474" spans="1:13" x14ac:dyDescent="0.25">
      <c r="A474" s="45" t="b">
        <f t="array" ref="A474">IF(ISERROR(INDEX('Data Transformation'!$B$4:$G$450,SMALL(IF('Data Transformation'!$B$4:$B$450='Bin Analysis and Plots'!D459,ROW('Data Transformation'!$B$4:$B$450)),ROW($13:$13))-3,3)),"",INDEX('Data Transformation'!$B$4:$G$450,SMALL(IF('Data Transformation'!$B$4:$B$450='Bin Analysis and Plots'!D459,ROW('Data Transformation'!$B$4:$B$450)),ROW($13:$13))-3,6))</f>
        <v>0</v>
      </c>
      <c r="B474" s="45" t="str">
        <f>IFERROR(SMALL(A462:A481,'Data Transformation'!$L$18),"")</f>
        <v/>
      </c>
      <c r="C474" s="61" t="str">
        <f>IF(Weighting!$O$18&gt;0,D474,"")</f>
        <v/>
      </c>
      <c r="D474" t="e">
        <f>Weighting!$C$18</f>
        <v>#DIV/0!</v>
      </c>
      <c r="E474" t="e">
        <f>Weighting!$E$18</f>
        <v>#NUM!</v>
      </c>
      <c r="F474" t="e">
        <f>IF(E474=1,'Data Transformation'!$G$3+0.5*'Data Transformation'!$R$25,IF(E475=1,F475-'Data Transformation'!$R$25,FALSE))</f>
        <v>#NUM!</v>
      </c>
      <c r="G474">
        <f t="array" ref="G474">IF(ISLOGICAL(F474),"",FREQUENCY(IF('Data Transformation'!$B$24:$B$404='Bin Analysis and Plots'!$D$459,'Data Transformation'!$G$24:$G$404),'Bin Analysis and Plots'!F474))</f>
        <v>0</v>
      </c>
      <c r="H474">
        <f t="shared" si="75"/>
        <v>0</v>
      </c>
      <c r="I474">
        <f>Weighting!$G$18</f>
        <v>0</v>
      </c>
      <c r="J474" s="7">
        <f t="array" ref="J474">FREQUENCY(IF('Data Transformation'!$B$4:$B$404=D459,'Data Transformation'!$G$4:$G$404),'Bin Analysis and Plots'!$D474)</f>
        <v>0</v>
      </c>
      <c r="K474" s="7">
        <f t="shared" si="76"/>
        <v>0</v>
      </c>
      <c r="L474" s="7">
        <f t="shared" si="77"/>
        <v>0</v>
      </c>
      <c r="M474" s="22">
        <f>L474*Weighting!$V$18</f>
        <v>0</v>
      </c>
    </row>
    <row r="475" spans="1:13" x14ac:dyDescent="0.25">
      <c r="A475" s="45" t="b">
        <f t="array" ref="A475">IF(ISERROR(INDEX('Data Transformation'!$B$4:$G$450,SMALL(IF('Data Transformation'!$B$4:$B$450='Bin Analysis and Plots'!D459,ROW('Data Transformation'!$B$4:$B$450)),ROW($14:$14))-3,3)),"",INDEX('Data Transformation'!$B$4:$G$450,SMALL(IF('Data Transformation'!$B$4:$B$450='Bin Analysis and Plots'!D459,ROW('Data Transformation'!$B$4:$B$450)),ROW($14:$14))-3,6))</f>
        <v>0</v>
      </c>
      <c r="B475" s="45" t="str">
        <f>IFERROR(SMALL(A462:A481,'Data Transformation'!$L$19),"")</f>
        <v/>
      </c>
      <c r="C475" s="61" t="str">
        <f>IF(Weighting!$O$19&gt;0,D475,"")</f>
        <v/>
      </c>
      <c r="D475" t="e">
        <f>Weighting!$C$19</f>
        <v>#DIV/0!</v>
      </c>
      <c r="E475" t="e">
        <f>Weighting!$E$19</f>
        <v>#NUM!</v>
      </c>
      <c r="F475" t="e">
        <f>IF(E475=1,'Data Transformation'!$G$3+0.5*'Data Transformation'!$R$25,IF(E476=1,F476-'Data Transformation'!$R$25,FALSE))</f>
        <v>#NUM!</v>
      </c>
      <c r="G475">
        <f t="array" ref="G475">IF(ISLOGICAL(F475),"",FREQUENCY(IF('Data Transformation'!$B$24:$B$404='Bin Analysis and Plots'!$D$459,'Data Transformation'!$G$24:$G$404),'Bin Analysis and Plots'!F475))</f>
        <v>0</v>
      </c>
      <c r="H475">
        <f t="shared" si="75"/>
        <v>0</v>
      </c>
      <c r="I475">
        <f>Weighting!$G$19</f>
        <v>0</v>
      </c>
      <c r="J475" s="7">
        <f t="array" ref="J475">FREQUENCY(IF('Data Transformation'!$B$4:$B$404=D459,'Data Transformation'!$G$4:$G$404),'Bin Analysis and Plots'!$D475)</f>
        <v>0</v>
      </c>
      <c r="K475" s="7">
        <f t="shared" si="76"/>
        <v>0</v>
      </c>
      <c r="L475" s="7">
        <f t="shared" si="77"/>
        <v>0</v>
      </c>
      <c r="M475" s="22">
        <f>L475*Weighting!$V$19</f>
        <v>0</v>
      </c>
    </row>
    <row r="476" spans="1:13" x14ac:dyDescent="0.25">
      <c r="A476" s="45" t="b">
        <f t="array" ref="A476">IF(ISERROR(INDEX('Data Transformation'!$B$4:$G$450,SMALL(IF('Data Transformation'!$B$4:$B$450='Bin Analysis and Plots'!D459,ROW('Data Transformation'!$B$4:$B$450)),ROW($15:$15))-3,3)),"",INDEX('Data Transformation'!$B$4:$G$450,SMALL(IF('Data Transformation'!$B$4:$B$450='Bin Analysis and Plots'!D459,ROW('Data Transformation'!$B$4:$B$450)),ROW($15:$15))-3,6))</f>
        <v>0</v>
      </c>
      <c r="B476" s="45" t="str">
        <f>IFERROR(SMALL(A462:A481,'Data Transformation'!$L$20),"")</f>
        <v/>
      </c>
      <c r="C476" s="61" t="str">
        <f>IF(Weighting!$O$20&gt;0,D476,"")</f>
        <v/>
      </c>
      <c r="D476" t="e">
        <f>Weighting!$C$20</f>
        <v>#DIV/0!</v>
      </c>
      <c r="E476" t="e">
        <f>Weighting!$E$20</f>
        <v>#NUM!</v>
      </c>
      <c r="F476" t="e">
        <f>IF(E476=1,'Data Transformation'!$G$3+0.5*'Data Transformation'!$R$25,IF(E477=1,F477-'Data Transformation'!$R$25,FALSE))</f>
        <v>#NUM!</v>
      </c>
      <c r="G476">
        <f t="array" ref="G476">IF(ISLOGICAL(F476),"",FREQUENCY(IF('Data Transformation'!$B$24:$B$404='Bin Analysis and Plots'!$D$459,'Data Transformation'!$G$24:$G$404),'Bin Analysis and Plots'!F476))</f>
        <v>0</v>
      </c>
      <c r="H476">
        <f t="shared" si="75"/>
        <v>0</v>
      </c>
      <c r="I476">
        <f>Weighting!$G$20</f>
        <v>0</v>
      </c>
      <c r="J476" s="7">
        <f t="array" ref="J476">FREQUENCY(IF('Data Transformation'!$B$4:$B$404=D459,'Data Transformation'!$G$4:$G$404),'Bin Analysis and Plots'!$D476)</f>
        <v>0</v>
      </c>
      <c r="K476" s="7">
        <f t="shared" si="76"/>
        <v>0</v>
      </c>
      <c r="L476" s="7">
        <f t="shared" si="77"/>
        <v>0</v>
      </c>
      <c r="M476" s="22">
        <f>L476*Weighting!$V$20</f>
        <v>0</v>
      </c>
    </row>
    <row r="477" spans="1:13" x14ac:dyDescent="0.25">
      <c r="A477" s="45" t="b">
        <f t="array" ref="A477">IF(ISERROR(INDEX('Data Transformation'!$B$4:$G$450,SMALL(IF('Data Transformation'!$B$4:$B$450='Bin Analysis and Plots'!D459,ROW('Data Transformation'!$B$4:$B$450)),ROW($16:$16))-3,3)),"",INDEX('Data Transformation'!$B$4:$G$450,SMALL(IF('Data Transformation'!$B$4:$B$450='Bin Analysis and Plots'!D459,ROW('Data Transformation'!$B$4:$B$450)),ROW($16:$16))-3,6))</f>
        <v>0</v>
      </c>
      <c r="B477" s="45" t="str">
        <f>IFERROR(SMALL(A462:A481,'Data Transformation'!$L$21),"")</f>
        <v/>
      </c>
      <c r="C477" s="61" t="str">
        <f>IF(Weighting!$O$21&gt;0,D477,"")</f>
        <v/>
      </c>
      <c r="D477" t="e">
        <f>Weighting!$C$21</f>
        <v>#DIV/0!</v>
      </c>
      <c r="E477" t="e">
        <f>Weighting!$E$21</f>
        <v>#NUM!</v>
      </c>
      <c r="F477" t="e">
        <f>IF(E477=1,'Data Transformation'!$G$3+0.5*'Data Transformation'!$R$25,IF(E478=1,F478-'Data Transformation'!$R$25,FALSE))</f>
        <v>#NUM!</v>
      </c>
      <c r="G477">
        <f t="array" ref="G477">IF(ISLOGICAL(F477),"",FREQUENCY(IF('Data Transformation'!$B$24:$B$404='Bin Analysis and Plots'!$D$459,'Data Transformation'!$G$24:$G$404),'Bin Analysis and Plots'!F477))</f>
        <v>0</v>
      </c>
      <c r="H477">
        <f t="shared" si="75"/>
        <v>0</v>
      </c>
      <c r="I477">
        <f>Weighting!$G$21</f>
        <v>0</v>
      </c>
      <c r="J477" s="7">
        <f t="array" ref="J477">FREQUENCY(IF('Data Transformation'!$B$4:$B$404=D459,'Data Transformation'!$G$4:$G$404),'Bin Analysis and Plots'!$D477)</f>
        <v>0</v>
      </c>
      <c r="K477" s="7">
        <f t="shared" si="76"/>
        <v>0</v>
      </c>
      <c r="L477" s="7">
        <f t="shared" si="77"/>
        <v>0</v>
      </c>
      <c r="M477" s="22">
        <f>L477*Weighting!$V$21</f>
        <v>0</v>
      </c>
    </row>
    <row r="478" spans="1:13" x14ac:dyDescent="0.25">
      <c r="A478" s="45" t="b">
        <f t="array" ref="A478">IF(ISERROR(INDEX('Data Transformation'!$B$4:$G$450,SMALL(IF('Data Transformation'!$B$4:$B$450='Bin Analysis and Plots'!D459,ROW('Data Transformation'!$B$4:$B$450)),ROW($17:$17))-3,3)),"",INDEX('Data Transformation'!$B$4:$G$450,SMALL(IF('Data Transformation'!$B$4:$B$450='Bin Analysis and Plots'!D459,ROW('Data Transformation'!$B$4:$B$450)),ROW($17:$17))-3,6))</f>
        <v>0</v>
      </c>
      <c r="B478" s="45" t="str">
        <f>IFERROR(SMALL(A462:A481,'Data Transformation'!$L$22),"")</f>
        <v/>
      </c>
      <c r="C478" s="61" t="str">
        <f>IF(Weighting!$O$22&gt;0,D478,"")</f>
        <v/>
      </c>
      <c r="D478" t="e">
        <f>Weighting!$C$22</f>
        <v>#DIV/0!</v>
      </c>
      <c r="E478" t="e">
        <f>Weighting!$E$22</f>
        <v>#NUM!</v>
      </c>
      <c r="F478" t="e">
        <f>IF(E478=1,'Data Transformation'!$G$3+0.5*'Data Transformation'!$R$25,IF(E479=1,F479-'Data Transformation'!$R$25,FALSE))</f>
        <v>#NUM!</v>
      </c>
      <c r="G478">
        <f t="array" ref="G478">IF(ISLOGICAL(F478),"",FREQUENCY(IF('Data Transformation'!$B$24:$B$404='Bin Analysis and Plots'!$D$459,'Data Transformation'!$G$24:$G$404),'Bin Analysis and Plots'!F478))</f>
        <v>0</v>
      </c>
      <c r="H478">
        <f t="shared" si="75"/>
        <v>0</v>
      </c>
      <c r="I478">
        <f>Weighting!$G$22</f>
        <v>0</v>
      </c>
      <c r="J478" s="7">
        <f t="array" ref="J478">FREQUENCY(IF('Data Transformation'!$B$4:$B$404=D459,'Data Transformation'!$G$4:$G$404),'Bin Analysis and Plots'!$D478)</f>
        <v>0</v>
      </c>
      <c r="K478" s="7">
        <f t="shared" si="76"/>
        <v>0</v>
      </c>
      <c r="L478" s="7">
        <f t="shared" si="77"/>
        <v>0</v>
      </c>
      <c r="M478" s="22">
        <f>L478*Weighting!$V$22</f>
        <v>0</v>
      </c>
    </row>
    <row r="479" spans="1:13" x14ac:dyDescent="0.25">
      <c r="A479" s="45" t="b">
        <f t="array" ref="A479">IF(ISERROR(INDEX('Data Transformation'!$B$4:$G$450,SMALL(IF('Data Transformation'!$B$4:$B$450='Bin Analysis and Plots'!D459,ROW('Data Transformation'!$B$4:$B$450)),ROW($18:$18))-3,3)),"",INDEX('Data Transformation'!$B$4:$G$450,SMALL(IF('Data Transformation'!$B$4:$B$450='Bin Analysis and Plots'!D459,ROW('Data Transformation'!$B$4:$B$450)),ROW($18:$18))-3,6))</f>
        <v>0</v>
      </c>
      <c r="B479" s="45" t="str">
        <f>IFERROR(SMALL(A462:A481,'Data Transformation'!$L$23),"")</f>
        <v/>
      </c>
      <c r="C479" s="61" t="str">
        <f>IF(Weighting!$O$23&gt;0,D479,"")</f>
        <v/>
      </c>
      <c r="D479" t="e">
        <f>Weighting!$C$23</f>
        <v>#DIV/0!</v>
      </c>
      <c r="E479" t="e">
        <f>Weighting!$E$23</f>
        <v>#NUM!</v>
      </c>
      <c r="F479" t="e">
        <f>IF(E479=1,'Data Transformation'!$G$3+0.5*'Data Transformation'!$R$25,IF(E480=1,F480-'Data Transformation'!$R$25,FALSE))</f>
        <v>#NUM!</v>
      </c>
      <c r="G479">
        <f t="array" ref="G479">IF(ISLOGICAL(F479),"",FREQUENCY(IF('Data Transformation'!$B$24:$B$404='Bin Analysis and Plots'!$D$459,'Data Transformation'!$G$24:$G$404),'Bin Analysis and Plots'!F479))</f>
        <v>0</v>
      </c>
      <c r="H479">
        <f t="shared" si="75"/>
        <v>0</v>
      </c>
      <c r="I479">
        <f>Weighting!$G$23</f>
        <v>0</v>
      </c>
      <c r="J479" s="7">
        <f t="array" ref="J479">FREQUENCY(IF('Data Transformation'!$B$4:$B$404=D459,'Data Transformation'!$G$4:$G$404),'Bin Analysis and Plots'!$D479)</f>
        <v>0</v>
      </c>
      <c r="K479" s="7">
        <f t="shared" si="76"/>
        <v>0</v>
      </c>
      <c r="L479" s="7">
        <f t="shared" si="77"/>
        <v>0</v>
      </c>
      <c r="M479" s="22">
        <f>L479*Weighting!$V$23</f>
        <v>0</v>
      </c>
    </row>
    <row r="480" spans="1:13" x14ac:dyDescent="0.25">
      <c r="A480" s="45" t="str">
        <f>IF(ISERROR(INDEX('Data Transformation'!$B$4:$G$450,SMALL(IF('Data Transformation'!$B$4:$B$450='Bin Analysis and Plots'!D459,ROW('Data Transformation'!$B$4:$B$450)),ROW($19:$19))-3,3)),"",INDEX('Data Transformation'!$B$4:$G$450,SMALL(IF('Data Transformation'!$B$4:$B$450='Bin Analysis and Plots'!D459,ROW('Data Transformation'!$B$4:$B$450)),ROW($19:$19))-3,6))</f>
        <v/>
      </c>
      <c r="B480" s="45" t="str">
        <f>IFERROR(SMALL(A462:A481,'Data Transformation'!$L$24),"")</f>
        <v/>
      </c>
      <c r="C480" s="61" t="str">
        <f>IF(Weighting!$O$24&gt;0,D480,"")</f>
        <v/>
      </c>
      <c r="D480" t="e">
        <f>Weighting!$C$24</f>
        <v>#DIV/0!</v>
      </c>
      <c r="E480" t="e">
        <f>Weighting!$E$24</f>
        <v>#NUM!</v>
      </c>
      <c r="F480" t="e">
        <f>IF(E480=1,'Data Transformation'!$G$3+0.5*'Data Transformation'!$R$25,IF(E481=1,F481-'Data Transformation'!$R$25,FALSE))</f>
        <v>#NUM!</v>
      </c>
      <c r="G480">
        <f t="array" ref="G480">IF(ISLOGICAL(F480),"",FREQUENCY(IF('Data Transformation'!$B$24:$B$404='Bin Analysis and Plots'!$D$459,'Data Transformation'!$G$24:$G$404),'Bin Analysis and Plots'!F480))</f>
        <v>0</v>
      </c>
      <c r="H480">
        <f t="shared" si="75"/>
        <v>0</v>
      </c>
      <c r="I480">
        <f>Weighting!$G$24</f>
        <v>0</v>
      </c>
      <c r="J480" s="7">
        <f t="array" ref="J480">FREQUENCY(IF('Data Transformation'!$B$4:$B$404=D459,'Data Transformation'!$G$4:$G$404),'Bin Analysis and Plots'!$D480)</f>
        <v>0</v>
      </c>
      <c r="K480" s="7">
        <f t="shared" si="76"/>
        <v>0</v>
      </c>
      <c r="L480" s="7">
        <f t="shared" si="77"/>
        <v>0</v>
      </c>
      <c r="M480" s="22">
        <f>L480*Weighting!$V$24</f>
        <v>0</v>
      </c>
    </row>
    <row r="481" spans="1:20" x14ac:dyDescent="0.25">
      <c r="A481" s="45" t="b">
        <f t="array" ref="A481">IF(ISERROR(INDEX('Data Transformation'!$B$4:$G$450,SMALL(IF('Data Transformation'!$B$4:$B$450='Bin Analysis and Plots'!D459,ROW('Data Transformation'!$B$4:$B$450)),ROW($20:$20))-3,3)),"",INDEX('Data Transformation'!$B$4:$G$450,SMALL(IF('Data Transformation'!$B$4:$B$450='Bin Analysis and Plots'!D459,ROW('Data Transformation'!$B$4:$B$450)),ROW($20:$20))-3,6))</f>
        <v>0</v>
      </c>
      <c r="B481" s="45" t="str">
        <f>IFERROR(SMALL(A462:A481,'Data Transformation'!$L$25),"")</f>
        <v/>
      </c>
      <c r="C481" s="61" t="str">
        <f>IF(Weighting!$O$25&gt;0,D481,"")</f>
        <v/>
      </c>
      <c r="D481" t="e">
        <f>Weighting!$C$25</f>
        <v>#DIV/0!</v>
      </c>
      <c r="E481" t="e">
        <f>Weighting!$E$25</f>
        <v>#NUM!</v>
      </c>
      <c r="F481" t="e">
        <f>IF(E481=1,'Data Transformation'!$G$3+0.5*'Data Transformation'!$R$25,IF(E482=1,F482-'Data Transformation'!$R$25,FALSE))</f>
        <v>#NUM!</v>
      </c>
      <c r="G481">
        <f t="array" ref="G481">IF(ISLOGICAL(F481),"",FREQUENCY(IF('Data Transformation'!$B$24:$B$404='Bin Analysis and Plots'!$D$459,'Data Transformation'!$G$24:$G$404),'Bin Analysis and Plots'!F481))</f>
        <v>0</v>
      </c>
      <c r="H481">
        <f t="shared" si="75"/>
        <v>0</v>
      </c>
      <c r="I481">
        <f>Weighting!$G$25</f>
        <v>0</v>
      </c>
      <c r="J481" s="7">
        <f t="array" ref="J481">FREQUENCY(IF('Data Transformation'!$B$4:$B$404=D459,'Data Transformation'!$G$4:$G$404),'Bin Analysis and Plots'!$D481)</f>
        <v>0</v>
      </c>
      <c r="K481" s="7">
        <f t="shared" si="76"/>
        <v>0</v>
      </c>
      <c r="L481" s="7">
        <f t="shared" si="77"/>
        <v>0</v>
      </c>
      <c r="M481" s="22">
        <f>L481*Weighting!$V$25</f>
        <v>0</v>
      </c>
    </row>
    <row r="482" spans="1:20" x14ac:dyDescent="0.25">
      <c r="C482" s="60" t="str">
        <f t="shared" si="74"/>
        <v/>
      </c>
    </row>
    <row r="483" spans="1:20" ht="23.25" x14ac:dyDescent="0.35">
      <c r="C483" s="46" t="s">
        <v>0</v>
      </c>
      <c r="D483" s="46" t="str">
        <f>'Input and Summary Results'!G27</f>
        <v xml:space="preserve"> </v>
      </c>
      <c r="E483" s="46"/>
      <c r="F483" s="46"/>
      <c r="G483" s="46"/>
      <c r="H483" s="46"/>
      <c r="I483" s="46"/>
      <c r="J483" s="47"/>
      <c r="K483" s="47"/>
      <c r="L483" s="47"/>
      <c r="M483" s="46"/>
      <c r="N483" s="46"/>
      <c r="O483" s="57" t="e">
        <f>INDEX('Data Transformation'!$O$4:$O$25,MATCH($D483,'Data Transformation'!$M$4:$M$25,0),MATCH($O$2,'Data Transformation'!$O$3,0))</f>
        <v>#N/A</v>
      </c>
      <c r="P483" s="52" t="e">
        <f>IF(O483=FALSE,NA(),(VLOOKUP(1,E486:M505,4,FALSE))/(O483-1))</f>
        <v>#N/A</v>
      </c>
      <c r="Q483" s="52" t="e">
        <f>IF(O483=FALSE,NA(),SUM(L486:L505)/Weighting!$R$5)</f>
        <v>#N/A</v>
      </c>
      <c r="R483" s="52" t="e">
        <f>IF(O483=FALSE,NA(),SUM(M486:M505)/Weighting!$R$6)</f>
        <v>#N/A</v>
      </c>
      <c r="S483" s="52" t="e">
        <f>IF(O483=FALSE,NA(),(VLOOKUP(1,I486:M505,3,FALSE))/(O483-1))</f>
        <v>#N/A</v>
      </c>
      <c r="T483" s="57" t="e">
        <f>IF(O483=FALSE,NA(),IF(SUM(L486:L505)=2,"yes","no"))</f>
        <v>#N/A</v>
      </c>
    </row>
    <row r="484" spans="1:20" x14ac:dyDescent="0.25">
      <c r="A484" s="96" t="s">
        <v>64</v>
      </c>
      <c r="B484" s="96"/>
      <c r="C484" s="58" t="s">
        <v>72</v>
      </c>
      <c r="D484" t="s">
        <v>50</v>
      </c>
      <c r="E484" t="s">
        <v>5</v>
      </c>
      <c r="I484" t="s">
        <v>75</v>
      </c>
      <c r="J484" s="7" t="s">
        <v>34</v>
      </c>
      <c r="K484" s="7" t="s">
        <v>35</v>
      </c>
      <c r="L484" s="7" t="s">
        <v>49</v>
      </c>
      <c r="M484" s="21" t="s">
        <v>48</v>
      </c>
    </row>
    <row r="485" spans="1:20" x14ac:dyDescent="0.25">
      <c r="C485" s="60" t="str">
        <f t="shared" ref="C485" si="78">IF(B485="","",D485)</f>
        <v/>
      </c>
      <c r="F485" t="e">
        <f>IF(E485=1,'Data Transformation'!$G$3+0.5*'Data Transformation'!$R$25,IF(E486=1,F486-'Data Transformation'!$R$25,FALSE))</f>
        <v>#NUM!</v>
      </c>
      <c r="G485">
        <f t="array" ref="G485">IF(ISLOGICAL(F485),"",FREQUENCY(IF('Data Transformation'!$B$24:$B$404='Bin Analysis and Plots'!$D$483,'Data Transformation'!$G$24:$G$404),'Bin Analysis and Plots'!F485))</f>
        <v>0</v>
      </c>
      <c r="H485">
        <f>IF(ISLOGICAL(F485),"",G485-G484)</f>
        <v>0</v>
      </c>
    </row>
    <row r="486" spans="1:20" x14ac:dyDescent="0.25">
      <c r="A486" s="45" t="b">
        <f t="array" ref="A486">IF(ISERROR(INDEX('Data Transformation'!$B$4:$G$450,SMALL(IF('Data Transformation'!$B$4:$B$450='Bin Analysis and Plots'!D483,ROW('Data Transformation'!$B$4:$B$450)),ROW($1:$1))-3,3)),"",INDEX('Data Transformation'!$B$4:$G$450,SMALL(IF('Data Transformation'!$B$4:$B$450='Bin Analysis and Plots'!D483,ROW('Data Transformation'!$B$4:$B$450)),ROW($1:$1))-3,6))</f>
        <v>0</v>
      </c>
      <c r="B486" s="45" t="str">
        <f>IFERROR(SMALL(A486:A505,'Data Transformation'!$L$6),"")</f>
        <v/>
      </c>
      <c r="C486" s="61" t="e">
        <f>IF(Weighting!$O$6&gt;0,D486,"")</f>
        <v>#NUM!</v>
      </c>
      <c r="D486" t="e">
        <f>Weighting!$C$6</f>
        <v>#DIV/0!</v>
      </c>
      <c r="E486" t="e">
        <f>Weighting!$E$6</f>
        <v>#NUM!</v>
      </c>
      <c r="F486" t="e">
        <f>IF(E486=1,'Data Transformation'!$G$3+0.5*'Data Transformation'!$R$25,IF(E487=1,F487-'Data Transformation'!$R$25,FALSE))</f>
        <v>#NUM!</v>
      </c>
      <c r="G486">
        <f t="array" ref="G486">IF(ISLOGICAL(F486),"",FREQUENCY(IF('Data Transformation'!$B$24:$B$404='Bin Analysis and Plots'!$D$483,'Data Transformation'!$G$24:$G$404),'Bin Analysis and Plots'!F486))</f>
        <v>0</v>
      </c>
      <c r="H486">
        <f>IF(ISLOGICAL(F486),"",G486-G485)</f>
        <v>0</v>
      </c>
      <c r="I486">
        <f>Weighting!$G$6</f>
        <v>1</v>
      </c>
      <c r="J486" s="7">
        <f t="array" ref="J486">FREQUENCY(IF('Data Transformation'!$B$4:$B$404=D483,'Data Transformation'!$G$4:$G$404),'Bin Analysis and Plots'!$D486)</f>
        <v>0</v>
      </c>
      <c r="K486" s="7">
        <f>J486-J485</f>
        <v>0</v>
      </c>
      <c r="L486" s="7">
        <f>IF(K486=0,0,1)</f>
        <v>0</v>
      </c>
      <c r="M486" s="22" t="e">
        <f>L486*Weighting!$V$6</f>
        <v>#NUM!</v>
      </c>
    </row>
    <row r="487" spans="1:20" x14ac:dyDescent="0.25">
      <c r="A487" s="45" t="b">
        <f t="array" ref="A487">IF(ISERROR(INDEX('Data Transformation'!$B$4:$G$450,SMALL(IF('Data Transformation'!$B$4:$B$450='Bin Analysis and Plots'!D483,ROW('Data Transformation'!$B$4:$B$450)),ROW($2:$2))-3,3)),"",INDEX('Data Transformation'!$B$4:$G$450,SMALL(IF('Data Transformation'!$B$4:$B$450='Bin Analysis and Plots'!D483,ROW('Data Transformation'!$B$4:$B$450)),ROW($2:$2))-3,6))</f>
        <v>0</v>
      </c>
      <c r="B487" s="45" t="str">
        <f>IFERROR(SMALL(A486:A505,'Data Transformation'!$L$7),"")</f>
        <v/>
      </c>
      <c r="C487" s="61" t="str">
        <f>IF(Weighting!$O$7&gt;0,D487,"")</f>
        <v/>
      </c>
      <c r="D487" t="e">
        <f>Weighting!$C$7</f>
        <v>#DIV/0!</v>
      </c>
      <c r="E487" t="e">
        <f>Weighting!$E$7</f>
        <v>#NUM!</v>
      </c>
      <c r="F487" t="e">
        <f>IF(E487=1,'Data Transformation'!$G$3+0.5*'Data Transformation'!$R$25,IF(E488=1,F488-'Data Transformation'!$R$25,FALSE))</f>
        <v>#NUM!</v>
      </c>
      <c r="G487">
        <f t="array" ref="G487">IF(ISLOGICAL(F487),"",FREQUENCY(IF('Data Transformation'!$B$24:$B$404='Bin Analysis and Plots'!$D$483,'Data Transformation'!$G$24:$G$404),'Bin Analysis and Plots'!F487))</f>
        <v>0</v>
      </c>
      <c r="H487">
        <f t="shared" ref="H487:H505" si="79">IF(ISLOGICAL(F487),"",G487-G486)</f>
        <v>0</v>
      </c>
      <c r="I487">
        <f>Weighting!$G$7</f>
        <v>0</v>
      </c>
      <c r="J487" s="7">
        <f t="array" ref="J487">FREQUENCY(IF('Data Transformation'!$B$4:$B$404=D483,'Data Transformation'!$G$4:$G$404),'Bin Analysis and Plots'!$D487)</f>
        <v>0</v>
      </c>
      <c r="K487" s="7">
        <f t="shared" ref="K487:K505" si="80">J487-J486</f>
        <v>0</v>
      </c>
      <c r="L487" s="7">
        <f>IF(K487=0,0,1)</f>
        <v>0</v>
      </c>
      <c r="M487" s="22">
        <f>L487*Weighting!$V$7</f>
        <v>0</v>
      </c>
    </row>
    <row r="488" spans="1:20" x14ac:dyDescent="0.25">
      <c r="A488" s="45" t="b">
        <f t="array" ref="A488">IF(ISERROR(INDEX('Data Transformation'!$B$4:$G$450,SMALL(IF('Data Transformation'!$B$4:$B$450='Bin Analysis and Plots'!D483,ROW('Data Transformation'!$B$4:$B$450)),ROW($3:$3))-3,3)),"",INDEX('Data Transformation'!$B$4:$G$450,SMALL(IF('Data Transformation'!$B$4:$B$450='Bin Analysis and Plots'!D483,ROW('Data Transformation'!$B$4:$B$450)),ROW($3:$3))-3,6))</f>
        <v>0</v>
      </c>
      <c r="B488" s="45" t="str">
        <f>IFERROR(SMALL(A486:A505,'Data Transformation'!$L$8),"")</f>
        <v/>
      </c>
      <c r="C488" s="61" t="str">
        <f>IF(Weighting!$O$8&gt;0,D488,"")</f>
        <v/>
      </c>
      <c r="D488" t="e">
        <f>Weighting!$C$8</f>
        <v>#DIV/0!</v>
      </c>
      <c r="E488" t="e">
        <f>Weighting!$E$8</f>
        <v>#NUM!</v>
      </c>
      <c r="F488" t="e">
        <f>IF(E488=1,'Data Transformation'!$G$3+0.5*'Data Transformation'!$R$25,IF(E489=1,F489-'Data Transformation'!$R$25,FALSE))</f>
        <v>#NUM!</v>
      </c>
      <c r="G488">
        <f t="array" ref="G488">IF(ISLOGICAL(F488),"",FREQUENCY(IF('Data Transformation'!$B$24:$B$404='Bin Analysis and Plots'!$D$483,'Data Transformation'!$G$24:$G$404),'Bin Analysis and Plots'!F488))</f>
        <v>0</v>
      </c>
      <c r="H488">
        <f t="shared" si="79"/>
        <v>0</v>
      </c>
      <c r="I488">
        <f>Weighting!$G$8</f>
        <v>0</v>
      </c>
      <c r="J488" s="7">
        <f t="array" ref="J488">FREQUENCY(IF('Data Transformation'!$B$4:$B$404=D483,'Data Transformation'!$G$4:$G$404),'Bin Analysis and Plots'!$D488)</f>
        <v>0</v>
      </c>
      <c r="K488" s="7">
        <f t="shared" si="80"/>
        <v>0</v>
      </c>
      <c r="L488" s="7">
        <f t="shared" ref="L488:L505" si="81">IF(K488=0,0,1)</f>
        <v>0</v>
      </c>
      <c r="M488" s="22">
        <f>L488*Weighting!$V$8</f>
        <v>0</v>
      </c>
    </row>
    <row r="489" spans="1:20" x14ac:dyDescent="0.25">
      <c r="A489" s="45" t="b">
        <f t="array" ref="A489">IF(ISERROR(INDEX('Data Transformation'!$B$4:$G$450,SMALL(IF('Data Transformation'!$B$4:$B$450='Bin Analysis and Plots'!D483,ROW('Data Transformation'!$B$4:$B$450)),ROW($4:$4))-3,3)),"",INDEX('Data Transformation'!$B$4:$G$450,SMALL(IF('Data Transformation'!$B$4:$B$450='Bin Analysis and Plots'!D483,ROW('Data Transformation'!$B$4:$B$450)),ROW($4:$4))-3,6))</f>
        <v>0</v>
      </c>
      <c r="B489" s="45" t="str">
        <f>IFERROR(SMALL(A486:A505,'Data Transformation'!$L$9),"")</f>
        <v/>
      </c>
      <c r="C489" s="61" t="str">
        <f>IF(Weighting!$O$9&gt;0,D489,"")</f>
        <v/>
      </c>
      <c r="D489" t="e">
        <f>Weighting!$B$9</f>
        <v>#DIV/0!</v>
      </c>
      <c r="E489" t="e">
        <f>Weighting!$E$9</f>
        <v>#NUM!</v>
      </c>
      <c r="F489" t="e">
        <f>IF(E489=1,'Data Transformation'!$G$3+0.5*'Data Transformation'!$R$25,IF(E490=1,F490-'Data Transformation'!$R$25,FALSE))</f>
        <v>#NUM!</v>
      </c>
      <c r="G489">
        <f t="array" ref="G489">IF(ISLOGICAL(F489),"",FREQUENCY(IF('Data Transformation'!$B$24:$B$404='Bin Analysis and Plots'!$D$483,'Data Transformation'!$G$24:$G$404),'Bin Analysis and Plots'!F489))</f>
        <v>0</v>
      </c>
      <c r="H489">
        <f t="shared" si="79"/>
        <v>0</v>
      </c>
      <c r="I489">
        <f>Weighting!$G$9</f>
        <v>0</v>
      </c>
      <c r="J489" s="7">
        <f t="array" ref="J489">FREQUENCY(IF('Data Transformation'!$B$4:$B$404=D483,'Data Transformation'!$G$4:$G$404),'Bin Analysis and Plots'!$D489)</f>
        <v>0</v>
      </c>
      <c r="K489" s="7">
        <f t="shared" si="80"/>
        <v>0</v>
      </c>
      <c r="L489" s="7">
        <f t="shared" si="81"/>
        <v>0</v>
      </c>
      <c r="M489" s="22">
        <f>L489*Weighting!$V$9</f>
        <v>0</v>
      </c>
    </row>
    <row r="490" spans="1:20" x14ac:dyDescent="0.25">
      <c r="A490" s="45" t="b">
        <f t="array" ref="A490">IF(ISERROR(INDEX('Data Transformation'!$B$4:$G$450,SMALL(IF('Data Transformation'!$B$4:$B$450='Bin Analysis and Plots'!D483,ROW('Data Transformation'!$B$4:$B$450)),ROW($5:$5))-3,3)),"",INDEX('Data Transformation'!$B$4:$G$450,SMALL(IF('Data Transformation'!$B$4:$B$450='Bin Analysis and Plots'!D483,ROW('Data Transformation'!$B$4:$B$450)),ROW($5:$5))-3,6))</f>
        <v>0</v>
      </c>
      <c r="B490" s="45" t="str">
        <f>IFERROR(SMALL(A486:A505,'Data Transformation'!$L$10),"")</f>
        <v/>
      </c>
      <c r="C490" s="61" t="str">
        <f>IF(Weighting!$O$10&gt;0,D490,"")</f>
        <v/>
      </c>
      <c r="D490" t="e">
        <f>Weighting!$C$10</f>
        <v>#DIV/0!</v>
      </c>
      <c r="E490" t="e">
        <f>Weighting!$E$10</f>
        <v>#NUM!</v>
      </c>
      <c r="F490" t="e">
        <f>IF(E490=1,'Data Transformation'!$G$3+0.5*'Data Transformation'!$R$25,IF(E491=1,F491-'Data Transformation'!$R$25,FALSE))</f>
        <v>#NUM!</v>
      </c>
      <c r="G490">
        <f t="array" ref="G490">IF(ISLOGICAL(F490),"",FREQUENCY(IF('Data Transformation'!$B$24:$B$404='Bin Analysis and Plots'!$D$483,'Data Transformation'!$G$24:$G$404),'Bin Analysis and Plots'!F490))</f>
        <v>0</v>
      </c>
      <c r="H490">
        <f t="shared" si="79"/>
        <v>0</v>
      </c>
      <c r="I490">
        <f>Weighting!$G$10</f>
        <v>0</v>
      </c>
      <c r="J490" s="7">
        <f t="array" ref="J490">FREQUENCY(IF('Data Transformation'!$B$4:$B$404=D483,'Data Transformation'!$G$4:$G$404),'Bin Analysis and Plots'!$D490)</f>
        <v>0</v>
      </c>
      <c r="K490" s="7">
        <f t="shared" si="80"/>
        <v>0</v>
      </c>
      <c r="L490" s="7">
        <f t="shared" si="81"/>
        <v>0</v>
      </c>
      <c r="M490" s="22">
        <f>L490*Weighting!$V$10</f>
        <v>0</v>
      </c>
    </row>
    <row r="491" spans="1:20" x14ac:dyDescent="0.25">
      <c r="A491" s="45" t="b">
        <f t="array" ref="A491">IF(ISERROR(INDEX('Data Transformation'!$B$4:$G$450,SMALL(IF('Data Transformation'!$B$4:$B$450='Bin Analysis and Plots'!D483,ROW('Data Transformation'!$B$4:$B$450)),ROW($6:$6))-3,3)),"",INDEX('Data Transformation'!$B$4:$G$450,SMALL(IF('Data Transformation'!$B$4:$B$450='Bin Analysis and Plots'!D483,ROW('Data Transformation'!$B$4:$B$450)),ROW($6:$6))-3,6))</f>
        <v>0</v>
      </c>
      <c r="B491" s="45" t="str">
        <f>IFERROR(SMALL(A486:A505,'Data Transformation'!$L$11),"")</f>
        <v/>
      </c>
      <c r="C491" s="61" t="str">
        <f>IF(Weighting!$O$11&gt;0,D491,"")</f>
        <v/>
      </c>
      <c r="D491" t="e">
        <f>Weighting!$C$11</f>
        <v>#DIV/0!</v>
      </c>
      <c r="E491" t="e">
        <f>Weighting!$E$11</f>
        <v>#NUM!</v>
      </c>
      <c r="F491" t="e">
        <f>IF(E491=1,'Data Transformation'!$G$3+0.5*'Data Transformation'!$R$25,IF(E492=1,F492-'Data Transformation'!$R$25,FALSE))</f>
        <v>#NUM!</v>
      </c>
      <c r="G491">
        <f t="array" ref="G491">IF(ISLOGICAL(F491),"",FREQUENCY(IF('Data Transformation'!$B$24:$B$404='Bin Analysis and Plots'!$D$483,'Data Transformation'!$G$24:$G$404),'Bin Analysis and Plots'!F491))</f>
        <v>0</v>
      </c>
      <c r="H491">
        <f t="shared" si="79"/>
        <v>0</v>
      </c>
      <c r="I491">
        <f>Weighting!$G$11</f>
        <v>0</v>
      </c>
      <c r="J491" s="7">
        <f t="array" ref="J491">FREQUENCY(IF('Data Transformation'!$B$4:$B$404=D483,'Data Transformation'!$G$4:$G$404),'Bin Analysis and Plots'!$D491)</f>
        <v>0</v>
      </c>
      <c r="K491" s="7">
        <f t="shared" si="80"/>
        <v>0</v>
      </c>
      <c r="L491" s="7">
        <f t="shared" si="81"/>
        <v>0</v>
      </c>
      <c r="M491" s="22">
        <f>L491*Weighting!$V$11</f>
        <v>0</v>
      </c>
    </row>
    <row r="492" spans="1:20" x14ac:dyDescent="0.25">
      <c r="A492" s="45" t="b">
        <f t="array" ref="A492">IF(ISERROR(INDEX('Data Transformation'!$B$4:$G$450,SMALL(IF('Data Transformation'!$B$4:$B$450='Bin Analysis and Plots'!D483,ROW('Data Transformation'!$B$4:$B$450)),ROW($7:$7))-3,3)),"",INDEX('Data Transformation'!$B$4:$G$450,SMALL(IF('Data Transformation'!$B$4:$B$450='Bin Analysis and Plots'!D483,ROW('Data Transformation'!$B$4:$B$450)),ROW($7:$7))-3,6))</f>
        <v>0</v>
      </c>
      <c r="B492" s="45" t="str">
        <f>IFERROR(SMALL(A486:A505,'Data Transformation'!$L$12),"")</f>
        <v/>
      </c>
      <c r="C492" s="61" t="str">
        <f>IF(Weighting!$O$12&gt;0,D492,"")</f>
        <v/>
      </c>
      <c r="D492" t="e">
        <f>Weighting!$C$12</f>
        <v>#DIV/0!</v>
      </c>
      <c r="E492" t="e">
        <f>Weighting!$E$12</f>
        <v>#NUM!</v>
      </c>
      <c r="F492" t="e">
        <f>IF(E492=1,'Data Transformation'!$G$3+0.5*'Data Transformation'!$R$25,IF(E493=1,F493-'Data Transformation'!$R$25,FALSE))</f>
        <v>#NUM!</v>
      </c>
      <c r="G492">
        <f t="array" ref="G492">IF(ISLOGICAL(F492),"",FREQUENCY(IF('Data Transformation'!$B$24:$B$404='Bin Analysis and Plots'!$D$483,'Data Transformation'!$G$24:$G$404),'Bin Analysis and Plots'!F492))</f>
        <v>0</v>
      </c>
      <c r="H492">
        <f t="shared" si="79"/>
        <v>0</v>
      </c>
      <c r="I492">
        <f>Weighting!$G$12</f>
        <v>0</v>
      </c>
      <c r="J492" s="7">
        <f t="array" ref="J492">FREQUENCY(IF('Data Transformation'!$B$4:$B$404=D483,'Data Transformation'!$G$4:$G$404),'Bin Analysis and Plots'!$D492)</f>
        <v>0</v>
      </c>
      <c r="K492" s="7">
        <f t="shared" si="80"/>
        <v>0</v>
      </c>
      <c r="L492" s="7">
        <f t="shared" si="81"/>
        <v>0</v>
      </c>
      <c r="M492" s="22">
        <f>L492*Weighting!$V$12</f>
        <v>0</v>
      </c>
    </row>
    <row r="493" spans="1:20" x14ac:dyDescent="0.25">
      <c r="A493" s="45" t="b">
        <f t="array" ref="A493">IF(ISERROR(INDEX('Data Transformation'!$B$4:$G$450,SMALL(IF('Data Transformation'!$B$4:$B$450='Bin Analysis and Plots'!D483,ROW('Data Transformation'!$B$4:$B$450)),ROW($8:$8))-3,3)),"",INDEX('Data Transformation'!$B$4:$G$450,SMALL(IF('Data Transformation'!$B$4:$B$450='Bin Analysis and Plots'!D483,ROW('Data Transformation'!$B$4:$B$450)),ROW($8:$8))-3,6))</f>
        <v>0</v>
      </c>
      <c r="B493" s="45" t="str">
        <f>IFERROR(SMALL(A486:A505,'Data Transformation'!$L$13),"")</f>
        <v/>
      </c>
      <c r="C493" s="61" t="str">
        <f>IF(Weighting!$O$13&gt;0,D493,"")</f>
        <v/>
      </c>
      <c r="D493" t="e">
        <f>Weighting!$C$13</f>
        <v>#DIV/0!</v>
      </c>
      <c r="E493" t="e">
        <f>Weighting!$E$13</f>
        <v>#NUM!</v>
      </c>
      <c r="F493" t="e">
        <f>IF(E493=1,'Data Transformation'!$G$3+0.5*'Data Transformation'!$R$25,IF(E494=1,F494-'Data Transformation'!$R$25,FALSE))</f>
        <v>#NUM!</v>
      </c>
      <c r="G493">
        <f t="array" ref="G493">IF(ISLOGICAL(F493),"",FREQUENCY(IF('Data Transformation'!$B$24:$B$404='Bin Analysis and Plots'!$D$483,'Data Transformation'!$G$24:$G$404),'Bin Analysis and Plots'!F493))</f>
        <v>0</v>
      </c>
      <c r="H493">
        <f t="shared" si="79"/>
        <v>0</v>
      </c>
      <c r="I493">
        <f>Weighting!$G$13</f>
        <v>0</v>
      </c>
      <c r="J493" s="7">
        <f t="array" ref="J493">FREQUENCY(IF('Data Transformation'!$B$4:$B$404=D483,'Data Transformation'!$G$4:$G$404),'Bin Analysis and Plots'!$D493)</f>
        <v>0</v>
      </c>
      <c r="K493" s="7">
        <f t="shared" si="80"/>
        <v>0</v>
      </c>
      <c r="L493" s="7">
        <f t="shared" si="81"/>
        <v>0</v>
      </c>
      <c r="M493" s="22">
        <f>L493*Weighting!$V$13</f>
        <v>0</v>
      </c>
    </row>
    <row r="494" spans="1:20" x14ac:dyDescent="0.25">
      <c r="A494" s="45" t="b">
        <f t="array" ref="A494">IF(ISERROR(INDEX('Data Transformation'!$B$4:$G$450,SMALL(IF('Data Transformation'!$B$4:$B$450='Bin Analysis and Plots'!D483,ROW('Data Transformation'!$B$4:$B$450)),ROW($9:$9))-3,3)),"",INDEX('Data Transformation'!$B$4:$G$450,SMALL(IF('Data Transformation'!$B$4:$B$450='Bin Analysis and Plots'!D483,ROW('Data Transformation'!$B$4:$B$450)),ROW($9:$9))-3,6))</f>
        <v>0</v>
      </c>
      <c r="B494" s="45" t="str">
        <f>IFERROR(SMALL(A486:A505,'Data Transformation'!$L$14),"")</f>
        <v/>
      </c>
      <c r="C494" s="61" t="str">
        <f>IF(Weighting!$O$14&gt;0,D494,"")</f>
        <v/>
      </c>
      <c r="D494" t="e">
        <f>Weighting!$C$14</f>
        <v>#DIV/0!</v>
      </c>
      <c r="E494" t="e">
        <f>Weighting!$E$14</f>
        <v>#NUM!</v>
      </c>
      <c r="F494" t="e">
        <f>IF(E494=1,'Data Transformation'!$G$3+0.5*'Data Transformation'!$R$25,IF(E495=1,F495-'Data Transformation'!$R$25,FALSE))</f>
        <v>#NUM!</v>
      </c>
      <c r="G494">
        <f t="array" ref="G494">IF(ISLOGICAL(F494),"",FREQUENCY(IF('Data Transformation'!$B$24:$B$404='Bin Analysis and Plots'!$D$483,'Data Transformation'!$G$24:$G$404),'Bin Analysis and Plots'!F494))</f>
        <v>0</v>
      </c>
      <c r="H494">
        <f t="shared" si="79"/>
        <v>0</v>
      </c>
      <c r="I494">
        <f>Weighting!$G$14</f>
        <v>0</v>
      </c>
      <c r="J494" s="7">
        <f t="array" ref="J494">FREQUENCY(IF('Data Transformation'!$B$4:$B$404=D483,'Data Transformation'!$G$4:$G$404),'Bin Analysis and Plots'!$D494)</f>
        <v>0</v>
      </c>
      <c r="K494" s="7">
        <f t="shared" si="80"/>
        <v>0</v>
      </c>
      <c r="L494" s="7">
        <f t="shared" si="81"/>
        <v>0</v>
      </c>
      <c r="M494" s="22">
        <f>L494*Weighting!$V$14</f>
        <v>0</v>
      </c>
    </row>
    <row r="495" spans="1:20" x14ac:dyDescent="0.25">
      <c r="A495" s="45" t="b">
        <f t="array" ref="A495">IF(ISERROR(INDEX('Data Transformation'!$B$4:$G$450,SMALL(IF('Data Transformation'!$B$4:$B$450='Bin Analysis and Plots'!D483,ROW('Data Transformation'!$B$4:$B$450)),ROW($10:$10))-3,3)),"",INDEX('Data Transformation'!$B$4:$G$450,SMALL(IF('Data Transformation'!$B$4:$B$450='Bin Analysis and Plots'!D483,ROW('Data Transformation'!$B$4:$B$450)),ROW($10:$10))-3,6))</f>
        <v>0</v>
      </c>
      <c r="B495" s="45" t="str">
        <f>IFERROR(SMALL(A486:A505,'Data Transformation'!$L$15),"")</f>
        <v/>
      </c>
      <c r="C495" s="61" t="str">
        <f>IF(Weighting!$O$15&gt;0,D495,"")</f>
        <v/>
      </c>
      <c r="D495" t="e">
        <f>Weighting!$C$15</f>
        <v>#DIV/0!</v>
      </c>
      <c r="E495" t="e">
        <f>Weighting!$E$15</f>
        <v>#NUM!</v>
      </c>
      <c r="F495" t="e">
        <f>IF(E495=1,'Data Transformation'!$G$3+0.5*'Data Transformation'!$R$25,IF(E496=1,F496-'Data Transformation'!$R$25,FALSE))</f>
        <v>#NUM!</v>
      </c>
      <c r="G495">
        <f t="array" ref="G495">IF(ISLOGICAL(F495),"",FREQUENCY(IF('Data Transformation'!$B$24:$B$404='Bin Analysis and Plots'!$D$483,'Data Transformation'!$G$24:$G$404),'Bin Analysis and Plots'!F495))</f>
        <v>0</v>
      </c>
      <c r="H495">
        <f t="shared" si="79"/>
        <v>0</v>
      </c>
      <c r="I495">
        <f>Weighting!$G$15</f>
        <v>0</v>
      </c>
      <c r="J495" s="7">
        <f t="array" ref="J495">FREQUENCY(IF('Data Transformation'!$B$4:$B$404=D483,'Data Transformation'!$G$4:$G$404),'Bin Analysis and Plots'!$D495)</f>
        <v>0</v>
      </c>
      <c r="K495" s="7">
        <f t="shared" si="80"/>
        <v>0</v>
      </c>
      <c r="L495" s="7">
        <f t="shared" si="81"/>
        <v>0</v>
      </c>
      <c r="M495" s="22">
        <f>L495*Weighting!$V$15</f>
        <v>0</v>
      </c>
    </row>
    <row r="496" spans="1:20" x14ac:dyDescent="0.25">
      <c r="A496" s="45" t="b">
        <f t="array" ref="A496">IF(ISERROR(INDEX('Data Transformation'!$B$4:$G$450,SMALL(IF('Data Transformation'!$B$4:$B$450='Bin Analysis and Plots'!D483,ROW('Data Transformation'!$B$4:$B$450)),ROW($11:$11))-3,3)),"",INDEX('Data Transformation'!$B$4:$G$450,SMALL(IF('Data Transformation'!$B$4:$B$450='Bin Analysis and Plots'!D483,ROW('Data Transformation'!$B$4:$B$450)),ROW($11:$11))-3,6))</f>
        <v>0</v>
      </c>
      <c r="B496" s="45" t="str">
        <f>IFERROR(SMALL(A486:A505,'Data Transformation'!$L$16),"")</f>
        <v/>
      </c>
      <c r="C496" s="61" t="str">
        <f>IF(Weighting!$O$16&gt;0,D496,"")</f>
        <v/>
      </c>
      <c r="D496" t="e">
        <f>Weighting!$C$16</f>
        <v>#DIV/0!</v>
      </c>
      <c r="E496" t="e">
        <f>Weighting!$E$16</f>
        <v>#NUM!</v>
      </c>
      <c r="F496" t="e">
        <f>IF(E496=1,'Data Transformation'!$G$3+0.5*'Data Transformation'!$R$25,IF(E497=1,F497-'Data Transformation'!$R$25,FALSE))</f>
        <v>#NUM!</v>
      </c>
      <c r="G496">
        <f t="array" ref="G496">IF(ISLOGICAL(F496),"",FREQUENCY(IF('Data Transformation'!$B$24:$B$404='Bin Analysis and Plots'!$D$483,'Data Transformation'!$G$24:$G$404),'Bin Analysis and Plots'!F496))</f>
        <v>0</v>
      </c>
      <c r="H496">
        <f t="shared" si="79"/>
        <v>0</v>
      </c>
      <c r="I496">
        <f>Weighting!$G$16</f>
        <v>0</v>
      </c>
      <c r="J496" s="7">
        <f t="array" ref="J496">FREQUENCY(IF('Data Transformation'!$B$4:$B$404=D483,'Data Transformation'!$G$4:$G$404),'Bin Analysis and Plots'!$D496)</f>
        <v>0</v>
      </c>
      <c r="K496" s="7">
        <f t="shared" si="80"/>
        <v>0</v>
      </c>
      <c r="L496" s="7">
        <f t="shared" si="81"/>
        <v>0</v>
      </c>
      <c r="M496" s="22">
        <f>L496*Weighting!$V$16</f>
        <v>0</v>
      </c>
    </row>
    <row r="497" spans="1:13" x14ac:dyDescent="0.25">
      <c r="A497" s="45" t="b">
        <f t="array" ref="A497">IF(ISERROR(INDEX('Data Transformation'!$B$4:$G$450,SMALL(IF('Data Transformation'!$B$4:$B$450='Bin Analysis and Plots'!D483,ROW('Data Transformation'!$B$4:$B$450)),ROW($12:$12))-3,3)),"",INDEX('Data Transformation'!$B$4:$G$450,SMALL(IF('Data Transformation'!$B$4:$B$450='Bin Analysis and Plots'!D483,ROW('Data Transformation'!$B$4:$B$450)),ROW($12:$12))-3,6))</f>
        <v>0</v>
      </c>
      <c r="B497" s="45" t="str">
        <f>IFERROR(SMALL(A486:A505,'Data Transformation'!$L$17),"")</f>
        <v/>
      </c>
      <c r="C497" s="61" t="str">
        <f>IF(Weighting!$O$17&gt;0,D497,"")</f>
        <v/>
      </c>
      <c r="D497" t="e">
        <f>Weighting!$C$17</f>
        <v>#DIV/0!</v>
      </c>
      <c r="E497" t="e">
        <f>Weighting!$E$17</f>
        <v>#NUM!</v>
      </c>
      <c r="F497" t="e">
        <f>IF(E497=1,'Data Transformation'!$G$3+0.5*'Data Transformation'!$R$25,IF(E498=1,F498-'Data Transformation'!$R$25,FALSE))</f>
        <v>#NUM!</v>
      </c>
      <c r="G497">
        <f t="array" ref="G497">IF(ISLOGICAL(F497),"",FREQUENCY(IF('Data Transformation'!$B$24:$B$404='Bin Analysis and Plots'!$D$483,'Data Transformation'!$G$24:$G$404),'Bin Analysis and Plots'!F497))</f>
        <v>0</v>
      </c>
      <c r="H497">
        <f t="shared" si="79"/>
        <v>0</v>
      </c>
      <c r="I497">
        <f>Weighting!$G$17</f>
        <v>0</v>
      </c>
      <c r="J497" s="7">
        <f t="array" ref="J497">FREQUENCY(IF('Data Transformation'!$B$4:$B$404=D483,'Data Transformation'!$G$4:$G$404),'Bin Analysis and Plots'!$D497)</f>
        <v>0</v>
      </c>
      <c r="K497" s="7">
        <f t="shared" si="80"/>
        <v>0</v>
      </c>
      <c r="L497" s="7">
        <f t="shared" si="81"/>
        <v>0</v>
      </c>
      <c r="M497" s="22">
        <f>L497*Weighting!$V$17</f>
        <v>0</v>
      </c>
    </row>
    <row r="498" spans="1:13" x14ac:dyDescent="0.25">
      <c r="A498" s="45" t="b">
        <f t="array" ref="A498">IF(ISERROR(INDEX('Data Transformation'!$B$4:$G$450,SMALL(IF('Data Transformation'!$B$4:$B$450='Bin Analysis and Plots'!D483,ROW('Data Transformation'!$B$4:$B$450)),ROW($13:$13))-3,3)),"",INDEX('Data Transformation'!$B$4:$G$450,SMALL(IF('Data Transformation'!$B$4:$B$450='Bin Analysis and Plots'!D483,ROW('Data Transformation'!$B$4:$B$450)),ROW($13:$13))-3,6))</f>
        <v>0</v>
      </c>
      <c r="B498" s="45" t="str">
        <f>IFERROR(SMALL(A486:A505,'Data Transformation'!$L$18),"")</f>
        <v/>
      </c>
      <c r="C498" s="61" t="str">
        <f>IF(Weighting!$O$18&gt;0,D498,"")</f>
        <v/>
      </c>
      <c r="D498" t="e">
        <f>Weighting!$C$18</f>
        <v>#DIV/0!</v>
      </c>
      <c r="E498" t="e">
        <f>Weighting!$E$18</f>
        <v>#NUM!</v>
      </c>
      <c r="F498" t="e">
        <f>IF(E498=1,'Data Transformation'!$G$3+0.5*'Data Transformation'!$R$25,IF(E499=1,F499-'Data Transformation'!$R$25,FALSE))</f>
        <v>#NUM!</v>
      </c>
      <c r="G498">
        <f t="array" ref="G498">IF(ISLOGICAL(F498),"",FREQUENCY(IF('Data Transformation'!$B$24:$B$404='Bin Analysis and Plots'!$D$483,'Data Transformation'!$G$24:$G$404),'Bin Analysis and Plots'!F498))</f>
        <v>0</v>
      </c>
      <c r="H498">
        <f t="shared" si="79"/>
        <v>0</v>
      </c>
      <c r="I498">
        <f>Weighting!$G$18</f>
        <v>0</v>
      </c>
      <c r="J498" s="7">
        <f t="array" ref="J498">FREQUENCY(IF('Data Transformation'!$B$4:$B$404=D483,'Data Transformation'!$G$4:$G$404),'Bin Analysis and Plots'!$D498)</f>
        <v>0</v>
      </c>
      <c r="K498" s="7">
        <f t="shared" si="80"/>
        <v>0</v>
      </c>
      <c r="L498" s="7">
        <f t="shared" si="81"/>
        <v>0</v>
      </c>
      <c r="M498" s="22">
        <f>L498*Weighting!$V$18</f>
        <v>0</v>
      </c>
    </row>
    <row r="499" spans="1:13" x14ac:dyDescent="0.25">
      <c r="A499" s="45" t="b">
        <f t="array" ref="A499">IF(ISERROR(INDEX('Data Transformation'!$B$4:$G$450,SMALL(IF('Data Transformation'!$B$4:$B$450='Bin Analysis and Plots'!D483,ROW('Data Transformation'!$B$4:$B$450)),ROW($14:$14))-3,3)),"",INDEX('Data Transformation'!$B$4:$G$450,SMALL(IF('Data Transformation'!$B$4:$B$450='Bin Analysis and Plots'!D483,ROW('Data Transformation'!$B$4:$B$450)),ROW($14:$14))-3,6))</f>
        <v>0</v>
      </c>
      <c r="B499" s="45" t="str">
        <f>IFERROR(SMALL(A486:A505,'Data Transformation'!$L$19),"")</f>
        <v/>
      </c>
      <c r="C499" s="61" t="str">
        <f>IF(Weighting!$O$19&gt;0,D499,"")</f>
        <v/>
      </c>
      <c r="D499" t="e">
        <f>Weighting!$C$19</f>
        <v>#DIV/0!</v>
      </c>
      <c r="E499" t="e">
        <f>Weighting!$E$19</f>
        <v>#NUM!</v>
      </c>
      <c r="F499" t="e">
        <f>IF(E499=1,'Data Transformation'!$G$3+0.5*'Data Transformation'!$R$25,IF(E500=1,F500-'Data Transformation'!$R$25,FALSE))</f>
        <v>#NUM!</v>
      </c>
      <c r="G499">
        <f t="array" ref="G499">IF(ISLOGICAL(F499),"",FREQUENCY(IF('Data Transformation'!$B$24:$B$404='Bin Analysis and Plots'!$D$483,'Data Transformation'!$G$24:$G$404),'Bin Analysis and Plots'!F499))</f>
        <v>0</v>
      </c>
      <c r="H499">
        <f t="shared" si="79"/>
        <v>0</v>
      </c>
      <c r="I499">
        <f>Weighting!$G$19</f>
        <v>0</v>
      </c>
      <c r="J499" s="7">
        <f t="array" ref="J499">FREQUENCY(IF('Data Transformation'!$B$4:$B$404=D483,'Data Transformation'!$G$4:$G$404),'Bin Analysis and Plots'!$D499)</f>
        <v>0</v>
      </c>
      <c r="K499" s="7">
        <f t="shared" si="80"/>
        <v>0</v>
      </c>
      <c r="L499" s="7">
        <f t="shared" si="81"/>
        <v>0</v>
      </c>
      <c r="M499" s="22">
        <f>L499*Weighting!$V$19</f>
        <v>0</v>
      </c>
    </row>
    <row r="500" spans="1:13" x14ac:dyDescent="0.25">
      <c r="A500" s="45" t="b">
        <f t="array" ref="A500">IF(ISERROR(INDEX('Data Transformation'!$B$4:$G$450,SMALL(IF('Data Transformation'!$B$4:$B$450='Bin Analysis and Plots'!D483,ROW('Data Transformation'!$B$4:$B$450)),ROW($15:$15))-3,3)),"",INDEX('Data Transformation'!$B$4:$G$450,SMALL(IF('Data Transformation'!$B$4:$B$450='Bin Analysis and Plots'!D483,ROW('Data Transformation'!$B$4:$B$450)),ROW($15:$15))-3,6))</f>
        <v>0</v>
      </c>
      <c r="B500" s="45" t="str">
        <f>IFERROR(SMALL(A486:A505,'Data Transformation'!$L$20),"")</f>
        <v/>
      </c>
      <c r="C500" s="61" t="str">
        <f>IF(Weighting!$O$20&gt;0,D500,"")</f>
        <v/>
      </c>
      <c r="D500" t="e">
        <f>Weighting!$C$20</f>
        <v>#DIV/0!</v>
      </c>
      <c r="E500" t="e">
        <f>Weighting!$E$20</f>
        <v>#NUM!</v>
      </c>
      <c r="F500" t="e">
        <f>IF(E500=1,'Data Transformation'!$G$3+0.5*'Data Transformation'!$R$25,IF(E501=1,F501-'Data Transformation'!$R$25,FALSE))</f>
        <v>#NUM!</v>
      </c>
      <c r="G500">
        <f t="array" ref="G500">IF(ISLOGICAL(F500),"",FREQUENCY(IF('Data Transformation'!$B$24:$B$404='Bin Analysis and Plots'!$D$483,'Data Transformation'!$G$24:$G$404),'Bin Analysis and Plots'!F500))</f>
        <v>0</v>
      </c>
      <c r="H500">
        <f t="shared" si="79"/>
        <v>0</v>
      </c>
      <c r="I500">
        <f>Weighting!$G$20</f>
        <v>0</v>
      </c>
      <c r="J500" s="7">
        <f t="array" ref="J500">FREQUENCY(IF('Data Transformation'!$B$4:$B$404=D483,'Data Transformation'!$G$4:$G$404),'Bin Analysis and Plots'!$D500)</f>
        <v>0</v>
      </c>
      <c r="K500" s="7">
        <f t="shared" si="80"/>
        <v>0</v>
      </c>
      <c r="L500" s="7">
        <f t="shared" si="81"/>
        <v>0</v>
      </c>
      <c r="M500" s="22">
        <f>L500*Weighting!$V$20</f>
        <v>0</v>
      </c>
    </row>
    <row r="501" spans="1:13" x14ac:dyDescent="0.25">
      <c r="A501" s="45" t="b">
        <f t="array" ref="A501">IF(ISERROR(INDEX('Data Transformation'!$B$4:$G$450,SMALL(IF('Data Transformation'!$B$4:$B$450='Bin Analysis and Plots'!D483,ROW('Data Transformation'!$B$4:$B$450)),ROW($16:$16))-3,3)),"",INDEX('Data Transformation'!$B$4:$G$450,SMALL(IF('Data Transformation'!$B$4:$B$450='Bin Analysis and Plots'!D483,ROW('Data Transformation'!$B$4:$B$450)),ROW($16:$16))-3,6))</f>
        <v>0</v>
      </c>
      <c r="B501" s="45" t="str">
        <f>IFERROR(SMALL(A486:A505,'Data Transformation'!$L$21),"")</f>
        <v/>
      </c>
      <c r="C501" s="61" t="str">
        <f>IF(Weighting!$O$21&gt;0,D501,"")</f>
        <v/>
      </c>
      <c r="D501" t="e">
        <f>Weighting!$C$21</f>
        <v>#DIV/0!</v>
      </c>
      <c r="E501" t="e">
        <f>Weighting!$E$21</f>
        <v>#NUM!</v>
      </c>
      <c r="F501" t="e">
        <f>IF(E501=1,'Data Transformation'!$G$3+0.5*'Data Transformation'!$R$25,IF(E502=1,F502-'Data Transformation'!$R$25,FALSE))</f>
        <v>#NUM!</v>
      </c>
      <c r="G501">
        <f t="array" ref="G501">IF(ISLOGICAL(F501),"",FREQUENCY(IF('Data Transformation'!$B$24:$B$404='Bin Analysis and Plots'!$D$483,'Data Transformation'!$G$24:$G$404),'Bin Analysis and Plots'!F501))</f>
        <v>0</v>
      </c>
      <c r="H501">
        <f t="shared" si="79"/>
        <v>0</v>
      </c>
      <c r="I501">
        <f>Weighting!$G$21</f>
        <v>0</v>
      </c>
      <c r="J501" s="7">
        <f t="array" ref="J501">FREQUENCY(IF('Data Transformation'!$B$4:$B$404=D483,'Data Transformation'!$G$4:$G$404),'Bin Analysis and Plots'!$D501)</f>
        <v>0</v>
      </c>
      <c r="K501" s="7">
        <f t="shared" si="80"/>
        <v>0</v>
      </c>
      <c r="L501" s="7">
        <f t="shared" si="81"/>
        <v>0</v>
      </c>
      <c r="M501" s="22">
        <f>L501*Weighting!$V$21</f>
        <v>0</v>
      </c>
    </row>
    <row r="502" spans="1:13" x14ac:dyDescent="0.25">
      <c r="A502" s="45" t="b">
        <f t="array" ref="A502">IF(ISERROR(INDEX('Data Transformation'!$B$4:$G$450,SMALL(IF('Data Transformation'!$B$4:$B$450='Bin Analysis and Plots'!D483,ROW('Data Transformation'!$B$4:$B$450)),ROW($17:$17))-3,3)),"",INDEX('Data Transformation'!$B$4:$G$450,SMALL(IF('Data Transformation'!$B$4:$B$450='Bin Analysis and Plots'!D483,ROW('Data Transformation'!$B$4:$B$450)),ROW($17:$17))-3,6))</f>
        <v>0</v>
      </c>
      <c r="B502" s="45" t="str">
        <f>IFERROR(SMALL(A486:A505,'Data Transformation'!$L$22),"")</f>
        <v/>
      </c>
      <c r="C502" s="61" t="str">
        <f>IF(Weighting!$O$22&gt;0,D502,"")</f>
        <v/>
      </c>
      <c r="D502" t="e">
        <f>Weighting!$C$22</f>
        <v>#DIV/0!</v>
      </c>
      <c r="E502" t="e">
        <f>Weighting!$E$22</f>
        <v>#NUM!</v>
      </c>
      <c r="F502" t="e">
        <f>IF(E502=1,'Data Transformation'!$G$3+0.5*'Data Transformation'!$R$25,IF(E503=1,F503-'Data Transformation'!$R$25,FALSE))</f>
        <v>#NUM!</v>
      </c>
      <c r="G502">
        <f t="array" ref="G502">IF(ISLOGICAL(F502),"",FREQUENCY(IF('Data Transformation'!$B$24:$B$404='Bin Analysis and Plots'!$D$483,'Data Transformation'!$G$24:$G$404),'Bin Analysis and Plots'!F502))</f>
        <v>0</v>
      </c>
      <c r="H502">
        <f t="shared" si="79"/>
        <v>0</v>
      </c>
      <c r="I502">
        <f>Weighting!$G$22</f>
        <v>0</v>
      </c>
      <c r="J502" s="7">
        <f t="array" ref="J502">FREQUENCY(IF('Data Transformation'!$B$4:$B$404=D483,'Data Transformation'!$G$4:$G$404),'Bin Analysis and Plots'!$D502)</f>
        <v>0</v>
      </c>
      <c r="K502" s="7">
        <f t="shared" si="80"/>
        <v>0</v>
      </c>
      <c r="L502" s="7">
        <f t="shared" si="81"/>
        <v>0</v>
      </c>
      <c r="M502" s="22">
        <f>L502*Weighting!$V$22</f>
        <v>0</v>
      </c>
    </row>
    <row r="503" spans="1:13" x14ac:dyDescent="0.25">
      <c r="A503" s="45" t="b">
        <f t="array" ref="A503">IF(ISERROR(INDEX('Data Transformation'!$B$4:$G$450,SMALL(IF('Data Transformation'!$B$4:$B$450='Bin Analysis and Plots'!D483,ROW('Data Transformation'!$B$4:$B$450)),ROW($18:$18))-3,3)),"",INDEX('Data Transformation'!$B$4:$G$450,SMALL(IF('Data Transformation'!$B$4:$B$450='Bin Analysis and Plots'!D483,ROW('Data Transformation'!$B$4:$B$450)),ROW($18:$18))-3,6))</f>
        <v>0</v>
      </c>
      <c r="B503" s="45" t="str">
        <f>IFERROR(SMALL(A486:A505,'Data Transformation'!$L$23),"")</f>
        <v/>
      </c>
      <c r="C503" s="61" t="str">
        <f>IF(Weighting!$O$23&gt;0,D503,"")</f>
        <v/>
      </c>
      <c r="D503" t="e">
        <f>Weighting!$C$23</f>
        <v>#DIV/0!</v>
      </c>
      <c r="E503" t="e">
        <f>Weighting!$E$23</f>
        <v>#NUM!</v>
      </c>
      <c r="F503" t="e">
        <f>IF(E503=1,'Data Transformation'!$G$3+0.5*'Data Transformation'!$R$25,IF(E504=1,F504-'Data Transformation'!$R$25,FALSE))</f>
        <v>#NUM!</v>
      </c>
      <c r="G503">
        <f t="array" ref="G503">IF(ISLOGICAL(F503),"",FREQUENCY(IF('Data Transformation'!$B$24:$B$404='Bin Analysis and Plots'!$D$483,'Data Transformation'!$G$24:$G$404),'Bin Analysis and Plots'!F503))</f>
        <v>0</v>
      </c>
      <c r="H503">
        <f t="shared" si="79"/>
        <v>0</v>
      </c>
      <c r="I503">
        <f>Weighting!$G$23</f>
        <v>0</v>
      </c>
      <c r="J503" s="7">
        <f t="array" ref="J503">FREQUENCY(IF('Data Transformation'!$B$4:$B$404=D483,'Data Transformation'!$G$4:$G$404),'Bin Analysis and Plots'!$D503)</f>
        <v>0</v>
      </c>
      <c r="K503" s="7">
        <f t="shared" si="80"/>
        <v>0</v>
      </c>
      <c r="L503" s="7">
        <f t="shared" si="81"/>
        <v>0</v>
      </c>
      <c r="M503" s="22">
        <f>L503*Weighting!$V$23</f>
        <v>0</v>
      </c>
    </row>
    <row r="504" spans="1:13" x14ac:dyDescent="0.25">
      <c r="A504" s="45" t="str">
        <f>IF(ISERROR(INDEX('Data Transformation'!$B$4:$G$450,SMALL(IF('Data Transformation'!$B$4:$B$450='Bin Analysis and Plots'!D483,ROW('Data Transformation'!$B$4:$B$450)),ROW($19:$19))-3,3)),"",INDEX('Data Transformation'!$B$4:$G$450,SMALL(IF('Data Transformation'!$B$4:$B$450='Bin Analysis and Plots'!D483,ROW('Data Transformation'!$B$4:$B$450)),ROW($19:$19))-3,6))</f>
        <v/>
      </c>
      <c r="B504" s="45" t="str">
        <f>IFERROR(SMALL(A486:A505,'Data Transformation'!$L$24),"")</f>
        <v/>
      </c>
      <c r="C504" s="61" t="str">
        <f>IF(Weighting!$O$24&gt;0,D504,"")</f>
        <v/>
      </c>
      <c r="D504" t="e">
        <f>Weighting!$C$24</f>
        <v>#DIV/0!</v>
      </c>
      <c r="E504" t="e">
        <f>Weighting!$E$24</f>
        <v>#NUM!</v>
      </c>
      <c r="F504" t="e">
        <f>IF(E504=1,'Data Transformation'!$G$3+0.5*'Data Transformation'!$R$25,IF(E505=1,F505-'Data Transformation'!$R$25,FALSE))</f>
        <v>#NUM!</v>
      </c>
      <c r="G504">
        <f t="array" ref="G504">IF(ISLOGICAL(F504),"",FREQUENCY(IF('Data Transformation'!$B$24:$B$404='Bin Analysis and Plots'!$D$483,'Data Transformation'!$G$24:$G$404),'Bin Analysis and Plots'!F504))</f>
        <v>0</v>
      </c>
      <c r="H504">
        <f t="shared" si="79"/>
        <v>0</v>
      </c>
      <c r="I504">
        <f>Weighting!$G$24</f>
        <v>0</v>
      </c>
      <c r="J504" s="7">
        <f t="array" ref="J504">FREQUENCY(IF('Data Transformation'!$B$4:$B$404=D483,'Data Transformation'!$G$4:$G$404),'Bin Analysis and Plots'!$D504)</f>
        <v>0</v>
      </c>
      <c r="K504" s="7">
        <f t="shared" si="80"/>
        <v>0</v>
      </c>
      <c r="L504" s="7">
        <f t="shared" si="81"/>
        <v>0</v>
      </c>
      <c r="M504" s="22">
        <f>L504*Weighting!$V$24</f>
        <v>0</v>
      </c>
    </row>
    <row r="505" spans="1:13" x14ac:dyDescent="0.25">
      <c r="A505" s="45" t="b">
        <f t="array" ref="A505">IF(ISERROR(INDEX('Data Transformation'!$B$4:$G$450,SMALL(IF('Data Transformation'!$B$4:$B$450='Bin Analysis and Plots'!D483,ROW('Data Transformation'!$B$4:$B$450)),ROW($20:$20))-3,3)),"",INDEX('Data Transformation'!$B$4:$G$450,SMALL(IF('Data Transformation'!$B$4:$B$450='Bin Analysis and Plots'!D483,ROW('Data Transformation'!$B$4:$B$450)),ROW($20:$20))-3,6))</f>
        <v>0</v>
      </c>
      <c r="B505" s="45" t="str">
        <f>IFERROR(SMALL(A486:A505,'Data Transformation'!$L$25),"")</f>
        <v/>
      </c>
      <c r="C505" s="61" t="str">
        <f>IF(Weighting!$O$25&gt;0,D505,"")</f>
        <v/>
      </c>
      <c r="D505" t="e">
        <f>Weighting!$C$25</f>
        <v>#DIV/0!</v>
      </c>
      <c r="E505" t="e">
        <f>Weighting!$E$25</f>
        <v>#NUM!</v>
      </c>
      <c r="F505" t="e">
        <f>IF(E505=1,'Data Transformation'!$G$3+0.5*'Data Transformation'!$R$25,IF(E506=1,F506-'Data Transformation'!$R$25,FALSE))</f>
        <v>#NUM!</v>
      </c>
      <c r="G505">
        <f t="array" ref="G505">IF(ISLOGICAL(F505),"",FREQUENCY(IF('Data Transformation'!$B$24:$B$404='Bin Analysis and Plots'!$D$483,'Data Transformation'!$G$24:$G$404),'Bin Analysis and Plots'!F505))</f>
        <v>0</v>
      </c>
      <c r="H505">
        <f t="shared" si="79"/>
        <v>0</v>
      </c>
      <c r="I505">
        <f>Weighting!$G$25</f>
        <v>0</v>
      </c>
      <c r="J505" s="7">
        <f t="array" ref="J505">FREQUENCY(IF('Data Transformation'!$B$4:$B$404=D483,'Data Transformation'!$G$4:$G$404),'Bin Analysis and Plots'!$D505)</f>
        <v>0</v>
      </c>
      <c r="K505" s="7">
        <f t="shared" si="80"/>
        <v>0</v>
      </c>
      <c r="L505" s="7">
        <f t="shared" si="81"/>
        <v>0</v>
      </c>
      <c r="M505" s="22">
        <f>L505*Weighting!$V$25</f>
        <v>0</v>
      </c>
    </row>
  </sheetData>
  <mergeCells count="21">
    <mergeCell ref="A436:B436"/>
    <mergeCell ref="A460:B460"/>
    <mergeCell ref="A484:B484"/>
    <mergeCell ref="A316:B316"/>
    <mergeCell ref="A340:B340"/>
    <mergeCell ref="A364:B364"/>
    <mergeCell ref="A388:B388"/>
    <mergeCell ref="A412:B412"/>
    <mergeCell ref="A196:B196"/>
    <mergeCell ref="A220:B220"/>
    <mergeCell ref="A244:B244"/>
    <mergeCell ref="A268:B268"/>
    <mergeCell ref="A292:B292"/>
    <mergeCell ref="A100:B100"/>
    <mergeCell ref="A124:B124"/>
    <mergeCell ref="A148:B148"/>
    <mergeCell ref="A172:B172"/>
    <mergeCell ref="P1:S1"/>
    <mergeCell ref="A52:B52"/>
    <mergeCell ref="A28:B28"/>
    <mergeCell ref="A76:B76"/>
  </mergeCells>
  <pageMargins left="0.75" right="0.75" top="1" bottom="1" header="0.5" footer="0.5"/>
  <pageSetup orientation="portrait" horizontalDpi="4294967292" verticalDpi="4294967292"/>
  <drawing r:id="rId1"/>
  <extLst>
    <ext xmlns:x14="http://schemas.microsoft.com/office/spreadsheetml/2009/9/main" uri="{78C0D931-6437-407d-A8EE-F0AAD7539E65}">
      <x14:conditionalFormattings>
        <x14:conditionalFormatting xmlns:xm="http://schemas.microsoft.com/office/excel/2006/main">
          <x14:cfRule type="cellIs" priority="9" operator="lessThan" id="{93D38DC2-E2A5-D94F-AAC5-A3032AD523C5}">
            <xm:f>'Data Transformation'!$R$24</xm:f>
            <x14:dxf>
              <font>
                <color rgb="FF9C0006"/>
              </font>
              <fill>
                <patternFill>
                  <bgColor rgb="FFFFC7CE"/>
                </patternFill>
              </fill>
            </x14:dxf>
          </x14:cfRule>
          <xm:sqref>O3 O27 O51 O75 O99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6</vt:i4>
      </vt:variant>
    </vt:vector>
  </HeadingPairs>
  <TitlesOfParts>
    <vt:vector size="12" baseType="lpstr">
      <vt:lpstr>How to use this calculator</vt:lpstr>
      <vt:lpstr>Input and Summary Results</vt:lpstr>
      <vt:lpstr>Larger Data Sets</vt:lpstr>
      <vt:lpstr>Data Transformation</vt:lpstr>
      <vt:lpstr>Weighting</vt:lpstr>
      <vt:lpstr>Bin Analysis and Plots</vt:lpstr>
      <vt:lpstr>Summary Charts</vt:lpstr>
      <vt:lpstr>Plots Positions 1-4</vt:lpstr>
      <vt:lpstr>Plot Positions 5-8</vt:lpstr>
      <vt:lpstr>Plot Positions 9-12</vt:lpstr>
      <vt:lpstr>Plot Positions 13-16</vt:lpstr>
      <vt:lpstr>Plot Positions 17-20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Abby Hodges</dc:creator>
  <cp:lastModifiedBy>Windows User</cp:lastModifiedBy>
  <dcterms:created xsi:type="dcterms:W3CDTF">2017-09-12T15:29:51Z</dcterms:created>
  <dcterms:modified xsi:type="dcterms:W3CDTF">2018-07-30T21:13:49Z</dcterms:modified>
</cp:coreProperties>
</file>