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A89332E0-02A5-4F09-A2AF-78A6AA350107}" xr6:coauthVersionLast="47" xr6:coauthVersionMax="47" xr10:uidLastSave="{00000000-0000-0000-0000-000000000000}"/>
  <bookViews>
    <workbookView xWindow="-28920" yWindow="-120" windowWidth="29040" windowHeight="15720" tabRatio="695" xr2:uid="{00000000-000D-0000-FFFF-FFFF00000000}"/>
  </bookViews>
  <sheets>
    <sheet name="How to use this calculator" sheetId="14" r:id="rId1"/>
    <sheet name="Input and Summary Results" sheetId="1" r:id="rId2"/>
    <sheet name="Analysis working notes" sheetId="18" r:id="rId3"/>
    <sheet name="Summary Charts" sheetId="6" r:id="rId4"/>
    <sheet name="Larger Data Sets" sheetId="7" r:id="rId5"/>
    <sheet name="Data Transformation" sheetId="2" r:id="rId6"/>
    <sheet name="Weighting" sheetId="3" r:id="rId7"/>
    <sheet name="Bin Analysis and Plots" sheetId="4" r:id="rId8"/>
    <sheet name="Assignments" sheetId="17" r:id="rId9"/>
    <sheet name="Plots Positions 1-4" sheetId="9" r:id="rId10"/>
    <sheet name="Plot Positions 5-8" sheetId="11" r:id="rId11"/>
    <sheet name="Plot Positions 9-12" sheetId="13" r:id="rId12"/>
    <sheet name="Plot Positions 13-16" sheetId="15" r:id="rId13"/>
    <sheet name="Plot Positions 17-20"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 i="17" l="1"/>
  <c r="AE8" i="17"/>
  <c r="AE9" i="17"/>
  <c r="AE10" i="17"/>
  <c r="AE11" i="17"/>
  <c r="AE12" i="17"/>
  <c r="AE13" i="17"/>
  <c r="AE14" i="17"/>
  <c r="AE15" i="17"/>
  <c r="AE16" i="17"/>
  <c r="AE17" i="17"/>
  <c r="AE18" i="17"/>
  <c r="AE19" i="17"/>
  <c r="AE20" i="17"/>
  <c r="AE21" i="17"/>
  <c r="AE22" i="17"/>
  <c r="AE23" i="17"/>
  <c r="AE24" i="17"/>
  <c r="AE25" i="17"/>
  <c r="AE6" i="17"/>
  <c r="I20" i="1" l="1"/>
  <c r="V7" i="17" l="1" a="1"/>
  <c r="V7" i="17" s="1"/>
  <c r="V8" i="17" a="1"/>
  <c r="V8" i="17"/>
  <c r="V9" i="17" a="1"/>
  <c r="V9" i="17" s="1"/>
  <c r="V10" i="17" a="1"/>
  <c r="V10" i="17"/>
  <c r="V11" i="17" a="1"/>
  <c r="V11" i="17" s="1"/>
  <c r="V12" i="17" a="1"/>
  <c r="V12" i="17"/>
  <c r="V13" i="17" a="1"/>
  <c r="V13" i="17" s="1"/>
  <c r="V14" i="17" a="1"/>
  <c r="V14" i="17"/>
  <c r="V15" i="17" a="1"/>
  <c r="V15" i="17" s="1"/>
  <c r="V16" i="17" a="1"/>
  <c r="V16" i="17"/>
  <c r="V17" i="17" a="1"/>
  <c r="V17" i="17" s="1"/>
  <c r="V18" i="17" a="1"/>
  <c r="V18" i="17"/>
  <c r="V19" i="17" a="1"/>
  <c r="V19" i="17" s="1"/>
  <c r="V20" i="17" a="1"/>
  <c r="V20" i="17"/>
  <c r="V21" i="17" a="1"/>
  <c r="V21" i="17" s="1"/>
  <c r="V22" i="17" a="1"/>
  <c r="V22" i="17" s="1"/>
  <c r="V23" i="17" a="1"/>
  <c r="V23" i="17" s="1"/>
  <c r="V24" i="17" a="1"/>
  <c r="V24" i="17" s="1"/>
  <c r="V25" i="17" a="1"/>
  <c r="V25" i="17" s="1"/>
  <c r="V6" i="17" a="1"/>
  <c r="V6" i="17" s="1"/>
  <c r="W25" i="2" l="1"/>
  <c r="U25" i="2"/>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F36" i="2"/>
  <c r="H36"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E260" i="2" l="1"/>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G66" i="2" s="1"/>
  <c r="J9" i="2"/>
  <c r="K9" i="2" s="1"/>
  <c r="G77" i="2" l="1"/>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424" i="4" s="1" a="1"/>
  <c r="A424" i="4" s="1"/>
  <c r="M24" i="1"/>
  <c r="M20" i="1"/>
  <c r="M16" i="1"/>
  <c r="M25" i="1"/>
  <c r="M26" i="1"/>
  <c r="M17" i="1"/>
  <c r="A68" i="4" a="1"/>
  <c r="A68" i="4" s="1"/>
  <c r="G14" i="2"/>
  <c r="A64" i="4" s="1" a="1"/>
  <c r="A64" i="4" s="1"/>
  <c r="G13" i="2"/>
  <c r="A63" i="4" s="1" a="1"/>
  <c r="A63" i="4" s="1"/>
  <c r="G15" i="2"/>
  <c r="A45" i="4" a="1"/>
  <c r="A45" i="4" s="1"/>
  <c r="A238" i="4" a="1"/>
  <c r="A238" i="4" s="1"/>
  <c r="A211" i="4" a="1"/>
  <c r="A211" i="4" s="1"/>
  <c r="A404" i="4" a="1"/>
  <c r="A404" i="4" s="1"/>
  <c r="A69" i="4" a="1"/>
  <c r="A69" i="4" s="1"/>
  <c r="A334" i="4" a="1"/>
  <c r="A334" i="4" s="1"/>
  <c r="A406" i="4" a="1"/>
  <c r="A406" i="4" s="1"/>
  <c r="A70" i="4" a="1"/>
  <c r="A70" i="4" s="1"/>
  <c r="A90" i="4" a="1"/>
  <c r="A90" i="4" s="1"/>
  <c r="A502" i="4" a="1"/>
  <c r="A502" i="4" s="1"/>
  <c r="A500" i="4" a="1"/>
  <c r="A500" i="4" s="1"/>
  <c r="A430" i="4" a="1"/>
  <c r="A430" i="4" s="1"/>
  <c r="A382" i="4" a="1"/>
  <c r="A382" i="4" s="1"/>
  <c r="A190" i="4" a="1"/>
  <c r="A190" i="4" s="1"/>
  <c r="A164" i="4" a="1"/>
  <c r="A164" i="4" s="1"/>
  <c r="A166" i="4" a="1"/>
  <c r="A166" i="4" s="1"/>
  <c r="A212" i="4" a="1"/>
  <c r="A212" i="4" s="1"/>
  <c r="A428" i="4" a="1"/>
  <c r="A428" i="4" s="1"/>
  <c r="A142" i="4" a="1"/>
  <c r="A142" i="4" s="1"/>
  <c r="A188" i="4" a="1"/>
  <c r="A188" i="4" s="1"/>
  <c r="A476" i="4" a="1"/>
  <c r="A476" i="4" s="1"/>
  <c r="A118" i="4" a="1"/>
  <c r="A118" i="4" s="1"/>
  <c r="A284" i="4" a="1"/>
  <c r="A284" i="4" s="1"/>
  <c r="A214" i="4" a="1"/>
  <c r="A214" i="4" s="1"/>
  <c r="A478" i="4" a="1"/>
  <c r="A478"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286" i="4" a="1"/>
  <c r="A286" i="4" s="1"/>
  <c r="A454" i="4" a="1"/>
  <c r="A454" i="4" s="1"/>
  <c r="A358" i="4" a="1"/>
  <c r="A358"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262" i="4" a="1"/>
  <c r="A262" i="4" s="1"/>
  <c r="A307" i="4" a="1"/>
  <c r="A307" i="4" s="1"/>
  <c r="A116" i="4" a="1"/>
  <c r="A116" i="4" s="1"/>
  <c r="A308" i="4" a="1"/>
  <c r="A308" i="4" s="1"/>
  <c r="A451" i="4" a="1"/>
  <c r="A451" i="4" s="1"/>
  <c r="A475" i="4" a="1"/>
  <c r="A475" i="4" s="1"/>
  <c r="A139" i="4" a="1"/>
  <c r="A139" i="4" s="1"/>
  <c r="A71" i="4" a="1"/>
  <c r="A71" i="4" s="1"/>
  <c r="A43" i="4" a="1"/>
  <c r="A43" i="4" s="1"/>
  <c r="A283" i="4" a="1"/>
  <c r="A283" i="4" s="1"/>
  <c r="A310" i="4" a="1"/>
  <c r="A310" i="4" s="1"/>
  <c r="A331" i="4" a="1"/>
  <c r="A331" i="4" s="1"/>
  <c r="M15" i="1"/>
  <c r="G12" i="2"/>
  <c r="M14" i="1"/>
  <c r="G5" i="2"/>
  <c r="F10" i="2"/>
  <c r="H10" i="2" s="1"/>
  <c r="G6" i="2"/>
  <c r="G10" i="2"/>
  <c r="F7" i="2"/>
  <c r="H7" i="2" s="1"/>
  <c r="G11" i="2"/>
  <c r="G7" i="2"/>
  <c r="F21" i="2"/>
  <c r="H21" i="2" s="1"/>
  <c r="G4" i="2"/>
  <c r="F6" i="2"/>
  <c r="H6" i="2" s="1"/>
  <c r="F12" i="2"/>
  <c r="H12" i="2" s="1"/>
  <c r="A401" i="4" a="1"/>
  <c r="A401" i="4" s="1"/>
  <c r="F11" i="2"/>
  <c r="H11" i="2" s="1"/>
  <c r="F22" i="2"/>
  <c r="H22" i="2" s="1"/>
  <c r="F8" i="2"/>
  <c r="H8" i="2" s="1"/>
  <c r="F3" i="2"/>
  <c r="H3"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A329" i="4" a="1"/>
  <c r="A329" i="4" s="1"/>
  <c r="A327" i="4" a="1"/>
  <c r="A327" i="4" s="1"/>
  <c r="F19" i="2"/>
  <c r="H19" i="2" s="1"/>
  <c r="M13" i="1"/>
  <c r="F18" i="2"/>
  <c r="H18" i="2" s="1"/>
  <c r="A241" i="4" l="1"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J28" i="1" s="1"/>
  <c r="R26" i="2"/>
  <c r="B6" i="3"/>
  <c r="C5" i="3" l="1"/>
  <c r="B31" i="3" s="1"/>
  <c r="B7" i="3"/>
  <c r="U11" i="2"/>
  <c r="Z387" i="4" l="1" a="1"/>
  <c r="Z243" i="4" a="1"/>
  <c r="Z435" i="4" a="1"/>
  <c r="Z267" i="4" a="1"/>
  <c r="Z291" i="4" a="1"/>
  <c r="Z51" i="4" a="1"/>
  <c r="Z147" i="4" a="1"/>
  <c r="Z339" i="4" a="1"/>
  <c r="U12" i="2"/>
  <c r="Z99" i="4" a="1"/>
  <c r="Z75" i="4" a="1"/>
  <c r="Z3" i="4" a="1"/>
  <c r="Z219" i="4" a="1"/>
  <c r="Z411" i="4" a="1"/>
  <c r="Z27" i="4" a="1"/>
  <c r="Z123" i="4" a="1"/>
  <c r="Z459" i="4" a="1"/>
  <c r="Z315" i="4" a="1"/>
  <c r="Z363" i="4" a="1"/>
  <c r="Z195" i="4" a="1"/>
  <c r="Z483" i="4" a="1"/>
  <c r="Z171" i="4" a="1"/>
  <c r="C6" i="3"/>
  <c r="B8" i="3"/>
  <c r="B9" i="3" l="1"/>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K35" i="4" s="1"/>
  <c r="L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K34" i="4"/>
  <c r="L34"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24" i="4" l="1"/>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9" i="4"/>
  <c r="G9" i="4" s="1"/>
  <c r="F297" i="4"/>
  <c r="G297" i="4" s="1" a="1"/>
  <c r="G297"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H297" i="4" s="1"/>
  <c r="N40" i="3"/>
  <c r="N15" i="3"/>
  <c r="F298" i="4"/>
  <c r="G298" i="4" s="1" a="1"/>
  <c r="G298" i="4" s="1"/>
  <c r="H298" i="4" s="1"/>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H14" i="3" l="1"/>
  <c r="F371" i="4"/>
  <c r="F491" i="4"/>
  <c r="F347" i="4"/>
  <c r="G347" i="4" s="1" a="1"/>
  <c r="G347" i="4" s="1"/>
  <c r="F275" i="4"/>
  <c r="G275" i="4" s="1" a="1"/>
  <c r="G275" i="4" s="1"/>
  <c r="H56" i="4"/>
  <c r="H40" i="3"/>
  <c r="H9" i="4"/>
  <c r="H296" i="4"/>
  <c r="N41" i="3"/>
  <c r="G294" i="4" a="1"/>
  <c r="G294" i="4" s="1"/>
  <c r="H295" i="4" s="1"/>
  <c r="F293" i="4"/>
  <c r="N16" i="3"/>
  <c r="F441" i="4"/>
  <c r="G442" i="4" a="1"/>
  <c r="G442" i="4" s="1"/>
  <c r="F177" i="4"/>
  <c r="G178" i="4" a="1"/>
  <c r="G178" i="4" s="1"/>
  <c r="F10" i="4"/>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G371" i="4" a="1"/>
  <c r="G371" i="4" s="1"/>
  <c r="F490" i="4"/>
  <c r="G491" i="4" a="1"/>
  <c r="G491" i="4" s="1"/>
  <c r="F393" i="4"/>
  <c r="G394" i="4" a="1"/>
  <c r="G394" i="4" s="1"/>
  <c r="F274" i="4"/>
  <c r="G15" i="3"/>
  <c r="F225" i="4"/>
  <c r="G226" i="4" a="1"/>
  <c r="G226" i="4" s="1"/>
  <c r="H15" i="3" l="1"/>
  <c r="F107" i="4"/>
  <c r="G107" i="4" s="1" a="1"/>
  <c r="G107" i="4" s="1"/>
  <c r="F59" i="4"/>
  <c r="G59" i="4" s="1" a="1"/>
  <c r="G59" i="4" s="1"/>
  <c r="H59" i="4" s="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H491"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H275"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7" i="4"/>
  <c r="H10" i="4"/>
  <c r="H347" i="4"/>
  <c r="H371"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H43"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446" i="4"/>
  <c r="F319" i="4"/>
  <c r="G320" i="4" a="1"/>
  <c r="G320" i="4" s="1"/>
  <c r="H321" i="4" s="1"/>
  <c r="F391" i="4"/>
  <c r="G392" i="4" a="1"/>
  <c r="G392" i="4" s="1"/>
  <c r="H393" i="4" s="1"/>
  <c r="M43" i="3"/>
  <c r="F344" i="4"/>
  <c r="G345" i="4" a="1"/>
  <c r="G345" i="4" s="1"/>
  <c r="H346" i="4" s="1"/>
  <c r="F38" i="4"/>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206" i="4" l="1"/>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G278" i="4" a="1"/>
  <c r="G278" i="4" s="1"/>
  <c r="H279" i="4" s="1"/>
  <c r="F277" i="4"/>
  <c r="G230" i="4" a="1"/>
  <c r="G230" i="4" s="1"/>
  <c r="F229" i="4"/>
  <c r="G446" i="4" a="1"/>
  <c r="G446" i="4" s="1"/>
  <c r="F445" i="4"/>
  <c r="G62" i="4" a="1"/>
  <c r="G62" i="4" s="1"/>
  <c r="H63" i="4" s="1"/>
  <c r="F61" i="4"/>
  <c r="F60"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N45" i="3" l="1"/>
  <c r="G469" i="4" a="1"/>
  <c r="G469" i="4" s="1"/>
  <c r="H470" i="4" s="1"/>
  <c r="F468" i="4"/>
  <c r="G277" i="4" a="1"/>
  <c r="G277" i="4" s="1"/>
  <c r="H278" i="4" s="1"/>
  <c r="F276" i="4"/>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G421" i="4" a="1"/>
  <c r="G421" i="4" s="1"/>
  <c r="H422" i="4" s="1"/>
  <c r="F420" i="4"/>
  <c r="G157" i="4" a="1"/>
  <c r="G157" i="4" s="1"/>
  <c r="H158" i="4" s="1"/>
  <c r="F156" i="4"/>
  <c r="G229" i="4" a="1"/>
  <c r="G229" i="4" s="1"/>
  <c r="H230" i="4" s="1"/>
  <c r="F228" i="4"/>
  <c r="G373" i="4" a="1"/>
  <c r="G373" i="4" s="1"/>
  <c r="H374" i="4" s="1"/>
  <c r="F372" i="4"/>
  <c r="G253" i="4" a="1"/>
  <c r="G253" i="4" s="1"/>
  <c r="H254" i="4" s="1"/>
  <c r="F252" i="4"/>
  <c r="H184" i="4"/>
  <c r="H231" i="4"/>
  <c r="H448" i="4"/>
  <c r="H447" i="4"/>
  <c r="G134" i="4" a="1"/>
  <c r="G134" i="4" s="1"/>
  <c r="H135" i="4" s="1"/>
  <c r="F133" i="4"/>
  <c r="F132" i="4" s="1"/>
  <c r="G494" i="4" a="1"/>
  <c r="G494" i="4" s="1"/>
  <c r="H495" i="4" s="1"/>
  <c r="F493" i="4"/>
  <c r="F492"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H109" i="4" l="1"/>
  <c r="H61" i="4"/>
  <c r="H84" i="4"/>
  <c r="F395" i="4"/>
  <c r="G396" i="4" a="1"/>
  <c r="G396" i="4" s="1"/>
  <c r="H397" i="4" s="1"/>
  <c r="F179" i="4"/>
  <c r="G180" i="4" a="1"/>
  <c r="G180" i="4" s="1"/>
  <c r="G372" i="4" a="1"/>
  <c r="G372" i="4" s="1"/>
  <c r="H373" i="4" s="1"/>
  <c r="G348" i="4" a="1"/>
  <c r="G348" i="4" s="1"/>
  <c r="H349" i="4" s="1"/>
  <c r="F131" i="4"/>
  <c r="G132" i="4" a="1"/>
  <c r="G132" i="4" s="1"/>
  <c r="G276" i="4" a="1"/>
  <c r="G276" i="4" s="1"/>
  <c r="H276" i="4" s="1"/>
  <c r="G13" i="4"/>
  <c r="H14" i="4" s="1"/>
  <c r="F12" i="4"/>
  <c r="F299" i="4"/>
  <c r="G299" i="4" s="1" a="1"/>
  <c r="G299" i="4" s="1"/>
  <c r="H299" i="4" s="1"/>
  <c r="G300" i="4" a="1"/>
  <c r="G300" i="4" s="1"/>
  <c r="G492" i="4" a="1"/>
  <c r="G492" i="4" s="1"/>
  <c r="H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H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N23" i="3" s="1"/>
  <c r="G65" i="4" a="1"/>
  <c r="G65" i="4" s="1"/>
  <c r="H65" i="4" s="1"/>
  <c r="G497" i="4" a="1"/>
  <c r="G497" i="4" s="1"/>
  <c r="H497" i="4" s="1"/>
  <c r="G209" i="4" a="1"/>
  <c r="G209" i="4" s="1"/>
  <c r="H209" i="4" s="1"/>
  <c r="G46" i="3"/>
  <c r="G498" i="4" a="1"/>
  <c r="G498" i="4" s="1"/>
  <c r="H450" i="4" l="1"/>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I15" i="3"/>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I17" i="3"/>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K24" i="3" s="1"/>
  <c r="O24" i="3" s="1"/>
  <c r="C96" i="4"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I18" i="3"/>
  <c r="G358" i="4" a="1"/>
  <c r="G358" i="4" s="1"/>
  <c r="H358" i="4" s="1"/>
  <c r="G95" i="4" a="1"/>
  <c r="G95" i="4" s="1"/>
  <c r="H95" i="4" s="1"/>
  <c r="G334" i="4" a="1"/>
  <c r="G334" i="4" s="1"/>
  <c r="H334" i="4" s="1"/>
  <c r="G190" i="4" a="1"/>
  <c r="G190" i="4" s="1"/>
  <c r="H190" i="4" s="1"/>
  <c r="F167" i="4"/>
  <c r="G166" i="4" a="1"/>
  <c r="G166" i="4" s="1"/>
  <c r="H166" i="4" s="1"/>
  <c r="F71" i="4"/>
  <c r="F479" i="4"/>
  <c r="F359" i="4"/>
  <c r="F335" i="4"/>
  <c r="H25" i="3" l="1"/>
  <c r="I25" i="3" s="1"/>
  <c r="K25" i="3" s="1"/>
  <c r="O25" i="3" s="1"/>
  <c r="H51" i="3"/>
  <c r="C312" i="4"/>
  <c r="H239" i="4"/>
  <c r="H47" i="4"/>
  <c r="C456" i="4"/>
  <c r="C480" i="4"/>
  <c r="H119" i="4"/>
  <c r="C240" i="4"/>
  <c r="C360" i="4"/>
  <c r="C432" i="4"/>
  <c r="C264" i="4"/>
  <c r="C408" i="4"/>
  <c r="C48" i="4"/>
  <c r="C120" i="4"/>
  <c r="J21" i="3"/>
  <c r="K21" i="3" s="1"/>
  <c r="O21" i="3" s="1"/>
  <c r="C504" i="4"/>
  <c r="F72" i="4"/>
  <c r="G72" i="4" s="1" a="1"/>
  <c r="G72" i="4" s="1"/>
  <c r="C144" i="4"/>
  <c r="C216" i="4"/>
  <c r="C168" i="4"/>
  <c r="C72" i="4"/>
  <c r="C336" i="4"/>
  <c r="C384" i="4"/>
  <c r="C192" i="4"/>
  <c r="C24" i="4"/>
  <c r="C288"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C409" i="4"/>
  <c r="C145" i="4"/>
  <c r="C289" i="4"/>
  <c r="C193" i="4"/>
  <c r="C313" i="4"/>
  <c r="C121" i="4"/>
  <c r="C481" i="4"/>
  <c r="C361" i="4"/>
  <c r="C97" i="4"/>
  <c r="C505" i="4"/>
  <c r="C337" i="4"/>
  <c r="C73" i="4"/>
  <c r="C433" i="4"/>
  <c r="C265" i="4"/>
  <c r="C49" i="4"/>
  <c r="C457" i="4"/>
  <c r="C385" i="4"/>
  <c r="C217" i="4"/>
  <c r="C241" i="4"/>
  <c r="C25" i="4"/>
  <c r="C169"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H72" i="4" l="1"/>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K20" i="3" l="1"/>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AC20" i="17"/>
  <c r="AC10" i="17"/>
  <c r="AC7" i="17"/>
  <c r="O23" i="17"/>
  <c r="AC23" i="17"/>
  <c r="AC22" i="17"/>
  <c r="AC13" i="17"/>
  <c r="AC15" i="17"/>
  <c r="AC6" i="17"/>
  <c r="AC9" i="17"/>
  <c r="AC14" i="17"/>
  <c r="AC16" i="17"/>
  <c r="AC8" i="17"/>
  <c r="AC18" i="17"/>
  <c r="AC19" i="17"/>
  <c r="AC24" i="17"/>
  <c r="AC21" i="17"/>
  <c r="O15" i="17"/>
  <c r="Q23" i="17"/>
  <c r="O8" i="17"/>
  <c r="Q6" i="17"/>
  <c r="W6" i="17" s="1"/>
  <c r="O19" i="17"/>
  <c r="Q13" i="17"/>
  <c r="W13" i="17" s="1"/>
  <c r="Q20" i="17"/>
  <c r="O9" i="17"/>
  <c r="O12" i="17"/>
  <c r="Q16" i="17"/>
  <c r="Q10" i="17"/>
  <c r="O21" i="17"/>
  <c r="Q7" i="17"/>
  <c r="W7" i="17" s="1"/>
  <c r="Q14" i="17"/>
  <c r="Q22" i="17"/>
  <c r="O18" i="17"/>
  <c r="O11" i="17"/>
  <c r="O17" i="17"/>
  <c r="O24" i="17"/>
  <c r="Q17" i="17"/>
  <c r="W15" i="17" l="1"/>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B9CF38D2-4B2B-4FDF-9766-3FFEAE5D5311}">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22D31498-D724-4A5E-B7D9-39598F56400C}">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9"/>
            <color indexed="81"/>
            <rFont val="Tahoma"/>
            <family val="2"/>
          </rPr>
          <t xml:space="preserve">
</t>
        </r>
      </text>
    </comment>
    <comment ref="I33" authorId="0" shapeId="0" xr:uid="{1A6E594E-9200-4E10-A6E6-F1EEF58CA75C}">
      <text>
        <r>
          <rPr>
            <b/>
            <sz val="11"/>
            <color indexed="81"/>
            <rFont val="Segoe UI"/>
            <family val="2"/>
          </rPr>
          <t xml:space="preserve">Neutral Score override
</t>
        </r>
        <r>
          <rPr>
            <sz val="11"/>
            <color indexed="81"/>
            <rFont val="Segoe UI"/>
            <family val="2"/>
          </rPr>
          <t>Changing the number to a value between 0 and 1 will adjust the calculator's sensitivity to assigning neutral positions.</t>
        </r>
      </text>
    </comment>
    <comment ref="I36" authorId="0" shapeId="0" xr:uid="{9D02DF95-5AF8-4E19-BBF2-506F02803ABE}">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text>
    </comment>
    <comment ref="I39" authorId="0" shapeId="0" xr:uid="{895B9582-B69B-4E7A-BB4F-4B01BBEE3CC0}">
      <text>
        <r>
          <rPr>
            <b/>
            <sz val="11"/>
            <color indexed="81"/>
            <rFont val="Segoe UI"/>
            <family val="2"/>
          </rPr>
          <t xml:space="preserve">Toggle Score override
</t>
        </r>
        <r>
          <rPr>
            <sz val="11"/>
            <color indexed="81"/>
            <rFont val="Segoe UI"/>
            <family val="2"/>
          </rPr>
          <t>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<sst xmlns="http://schemas.openxmlformats.org/spreadsheetml/2006/main" count="454" uniqueCount="148">
  <si>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</si>
  <si>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</si>
  <si>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</si>
  <si>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</si>
  <si>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</si>
  <si>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</si>
  <si>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</si>
  <si>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</si>
  <si>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</si>
  <si>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</si>
  <si>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</si>
  <si>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</si>
  <si>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</si>
  <si>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</si>
  <si>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</si>
  <si>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</si>
  <si>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</si>
  <si>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</si>
  <si>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</si>
  <si>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</si>
  <si>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</si>
  <si>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</si>
  <si>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</si>
  <si>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</si>
  <si>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</si>
  <si>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</si>
  <si>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</si>
  <si>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</si>
  <si>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</si>
  <si>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</si>
  <si>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</si>
  <si>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</si>
  <si>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</si>
  <si>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</si>
  <si>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</si>
  <si>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</si>
  <si>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</si>
  <si>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</si>
  <si>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</si>
  <si>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</si>
  <si>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</si>
  <si>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</si>
  <si>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</si>
  <si>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</si>
  <si>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</si>
  <si>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</si>
  <si>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</si>
  <si>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</si>
  <si>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</si>
  <si>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</si>
  <si>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</si>
  <si>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</si>
  <si>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</si>
  <si>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</si>
  <si>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</si>
  <si>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</si>
  <si>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</si>
  <si>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</si>
  <si>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</si>
  <si>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</si>
  <si>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</si>
  <si>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</si>
  <si>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</si>
  <si>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</si>
  <si>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</si>
  <si>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</si>
  <si>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</si>
  <si>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</si>
  <si>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</si>
  <si>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</si>
  <si>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</si>
  <si>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</si>
  <si>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</si>
  <si>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</si>
  <si>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</si>
  <si>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</si>
  <si>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</si>
  <si>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</si>
  <si>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</si>
  <si>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</si>
  <si>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</si>
  <si>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</si>
  <si>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</si>
  <si>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</si>
  <si>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</si>
  <si>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</si>
  <si>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</si>
  <si>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</si>
  <si>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</si>
  <si>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</si>
  <si>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</si>
  <si>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</si>
  <si>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</si>
  <si>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</si>
  <si>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</si>
  <si>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</si>
  <si>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</si>
  <si>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</si>
  <si>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</si>
  <si>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</si>
  <si>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</si>
  <si>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</si>
  <si>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</si>
  <si>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</si>
  <si>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</si>
  <si>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</si>
  <si>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</si>
  <si>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</si>
  <si>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</si>
  <si>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</si>
  <si>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</si>
  <si>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</si>
  <si>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</si>
  <si>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</si>
  <si>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</si>
  <si>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</si>
  <si>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</si>
  <si>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</si>
  <si>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Rheostate/toggle bin width</t>
  </si>
  <si>
    <t>Toggle Score assignment</t>
  </si>
  <si>
    <t>Rheostat Score assignment</t>
  </si>
  <si>
    <t>Enhancing Score assignment</t>
  </si>
  <si>
    <t>Default Enhancing Score assignment</t>
  </si>
  <si>
    <t>Default Toggle Score assignment</t>
  </si>
  <si>
    <t>Default Neutral Score assignment</t>
  </si>
  <si>
    <t>Default Rheostate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</si>
  <si>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</si>
  <si>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</si>
  <si>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</si>
  <si>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</si>
  <si>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</si>
  <si>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</si>
  <si>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</si>
  <si>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</si>
  <si>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</si>
  <si>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</si>
  <si>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</si>
  <si>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</si>
  <si>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</si>
  <si>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Neutral Score assignment</t>
  </si>
  <si>
    <t>This worksheet is a good place to keep track of why and how the values were chosen for WT and "dead", as well as any other analysis parameters.</t>
  </si>
  <si>
    <t>the WT aa</t>
  </si>
  <si>
    <t>for each</t>
  </si>
  <si>
    <t>subsitution</t>
  </si>
  <si>
    <t xml:space="preserve">could go in </t>
  </si>
  <si>
    <t>column A</t>
  </si>
  <si>
    <t>Measured Value</t>
  </si>
  <si>
    <t>Background signal ("Dead"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</si>
</sst>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5">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
      <sz val="9"/>
      <color indexed="81"/>
      <name val="Tahoma"/>
      <family val="2"/>
    </font>
    <font>
      <b/>
      <sz val="11"/>
      <color indexed="81"/>
      <name val="Segoe UI"/>
      <family val="2"/>
    </font>
    <font>
      <sz val="11"/>
      <color indexed="81"/>
      <name val="Segoe U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4">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6" fillId="0" borderId="4" xfId="0" applyFont="1" applyBorder="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13" fillId="0" borderId="2" xfId="0" applyFont="1" applyBorder="1"/>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5" Type="http://schemas.openxmlformats.org/officeDocument/2006/relationships/worksheet" Target="worksheets/sheet4.xml"/><Relationship Id="rId15" Type="http://schemas.openxmlformats.org/officeDocument/2006/relationships/theme" Target="theme/theme1.xml"/><Relationship Id="rId10" Type="http://schemas.openxmlformats.org/officeDocument/2006/relationships/chartsheet" Target="chartsheets/sheet2.xml"/><Relationship Id="rId19"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chartsheet" Target="chart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1"/>
                <c:pt idx="0">
                  <c:v>#NUM!</c:v>
                </c:pt>
              </c:strCache>
            </c:strRef>
          </c:cat>
          <c:val>
            <c:numRef>
              <c:f>'Bin Analysis and Plots'!$K$6:$K$25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1"/>
                <c:pt idx="0">
                  <c:v>#NUM!</c:v>
                </c:pt>
              </c:strCache>
            </c:strRef>
          </c:cat>
          <c:val>
            <c:numRef>
              <c:f>'Bin Analysis and Plots'!$E$6:$E$25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1"/>
                <c:pt idx="0">
                  <c:v>#NUM!</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strRef>
              <c:f>'Bin Analysis and Plots'!$C$54:$C$73</c:f>
              <c:strCache>
                <c:ptCount val="1"/>
                <c:pt idx="0">
                  <c:v>#NUM!</c:v>
                </c:pt>
              </c:strCache>
            </c:str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numRef>
              <c:f>'Bin Analysis and Plots'!$D$54:$D$73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8"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131</xdr:row>
      <xdr:rowOff>108857</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72900" cy="26151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2026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("dead") protein values as well as the adjacent bins.  Using the weighted scores allows those positions with strong and consistent rheostat behavior to be more easily identified compared to those that cluster near wild type or dead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logic used to define position types follows the order Neutral&gt;Toggle/Enhancing&gt;Rheostat&gt;WT-Inactive_split/Moderate/Adverse</a:t>
          </a:r>
          <a:r>
            <a:rPr kumimoji="0" lang="en-US" sz="1200" b="0" i="0" u="none" strike="noStrike" kern="0" cap="none" spc="0" normalizeH="0" baseline="0" noProof="0">
              <a:ln>
                <a:noFill/>
              </a:ln>
              <a:solidFill>
                <a:srgbClr val="FF00FF"/>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Reference:</a:t>
          </a:r>
          <a:r>
            <a:rPr lang="en-US" sz="1200" baseline="0">
              <a:solidFill>
                <a:schemeClr val="dk1"/>
              </a:solidFill>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a:t>
          </a:r>
          <a:r>
            <a:rPr kumimoji="0" lang="en-US" sz="1200" b="0" i="0" u="none" strike="noStrike" kern="0" cap="none" spc="0" normalizeH="0" baseline="0" noProof="0">
              <a:ln>
                <a:noFill/>
              </a:ln>
              <a:solidFill>
                <a:srgbClr val="FF0000"/>
              </a:solidFill>
              <a:effectLst/>
              <a:uLnTx/>
              <a:uFillTx/>
              <a:latin typeface="+mn-lt"/>
              <a:ea typeface="+mn-ea"/>
              <a:cs typeface="+mn-cs"/>
            </a:rPr>
            <a:t>inspection of the histogram in the "Bin Analysis" worksheet </a:t>
          </a:r>
          <a:r>
            <a:rPr lang="en-US" sz="1200" baseline="0">
              <a:solidFill>
                <a:srgbClr val="FF0000"/>
              </a:solidFill>
              <a:effectLst/>
              <a:latin typeface="+mn-lt"/>
              <a:ea typeface="+mn-ea"/>
              <a:cs typeface="+mn-cs"/>
            </a:rPr>
            <a:t>is needed to determine the best position class.</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2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inspection of the histogram in the "Bin Analysis" worksheet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Sreenivasan, S., Fontes, J. D., and Swint-Kruse, L</a:t>
          </a:r>
          <a:r>
            <a:rPr lang="en-US" sz="1200" b="0">
              <a:solidFill>
                <a:schemeClr val="dk1"/>
              </a:solidFill>
              <a:latin typeface="+mn-lt"/>
              <a:ea typeface="+mn-ea"/>
              <a:cs typeface="+mn-cs"/>
            </a:rPr>
            <a:t>. 2025. 'Dissecting the effects of single amino acid substitutions in SARS-CoV-2 Mpro', </a:t>
          </a:r>
          <a:r>
            <a:rPr lang="en-US" sz="12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particluarly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5882" cy="628774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98806" cy="8114217"/>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3333" cy="6286667"/>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61027"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54815" cy="6282804"/>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tabSelected="1" zoomScaleNormal="100" workbookViewId="0"/>
  </sheetViews>
  <sheetFormatPr defaultColWidth="11" defaultRowHeight="15.75"/>
  <sheetData>
    <row r="5" spans="16:16">
      <c r="P5" s="11"/>
    </row>
    <row r="43" spans="13:14">
      <c r="M43" t="s">
        <v>94</v>
      </c>
    </row>
    <row r="46" spans="13:14">
      <c r="N46" t="s">
        <v>94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zoomScale="69" zoomScaleNormal="70" workbookViewId="0">
      <selection activeCell="I10" sqref="I10"/>
    </sheetView>
  </sheetViews>
  <sheetFormatPr defaultColWidth="11" defaultRowHeight="15.75"/>
  <cols>
    <col min="1" max="1" width="13.375" customWidth="1"/>
    <col min="4" max="4" width="14.625" customWidth="1"/>
    <col min="9" max="9" width="37.625" customWidth="1"/>
    <col min="10" max="10" width="9.375" customWidth="1"/>
    <col min="11" max="11" width="11.875" bestFit="1" customWidth="1"/>
    <col min="12" max="12" width="7.5" bestFit="1" customWidth="1"/>
    <col min="13" max="13" width="11.875" bestFit="1" customWidth="1"/>
    <col min="14" max="14" width="8.125" bestFit="1" customWidth="1"/>
    <col min="15" max="15" width="18.875" bestFit="1" customWidth="1"/>
    <col min="16" max="16" width="16.875" bestFit="1" customWidth="1"/>
    <col min="17" max="17" width="16.875" customWidth="1"/>
    <col min="21" max="21" width="17" bestFit="1" customWidth="1"/>
    <col min="22" max="22" width="16.375" bestFit="1" customWidth="1"/>
    <col min="23" max="23" width="14" bestFit="1" customWidth="1"/>
  </cols>
  <sheetData>
    <row r="1" spans="1:23" ht="16.5" thickBot="1"/>
    <row r="2" spans="1:23" ht="16.5" thickBot="1">
      <c r="A2" s="49" t="s">
        <v>73</v>
      </c>
      <c r="B2" s="83"/>
      <c r="C2" s="84"/>
      <c r="D2" s="84"/>
      <c r="E2" s="84"/>
      <c r="F2" s="85"/>
    </row>
    <row r="3" spans="1:23" ht="16.5" thickBot="1"/>
    <row r="4" spans="1:23" ht="21.75" thickBot="1">
      <c r="B4" s="49" t="s">
        <v>0</v>
      </c>
      <c r="C4" s="49" t="s">
        <v>1</v>
      </c>
      <c r="D4" s="49" t="s">
        <v>146</v>
      </c>
      <c r="E4" s="49" t="s">
        <v>3</v>
      </c>
      <c r="G4" s="49" t="s">
        <v>4</v>
      </c>
      <c r="I4" s="50" t="s">
        <v>66</v>
      </c>
      <c r="J4" s="1" t="s">
        <v>61</v>
      </c>
      <c r="L4" s="86" t="s">
        <v>52</v>
      </c>
      <c r="M4" s="87"/>
      <c r="N4" s="87"/>
      <c r="O4" s="87"/>
      <c r="P4" s="87"/>
      <c r="Q4" s="87"/>
      <c r="R4" s="87"/>
      <c r="S4" s="87"/>
      <c r="T4" s="87"/>
      <c r="U4" s="87"/>
      <c r="V4" s="88"/>
    </row>
    <row r="5" spans="1:23" ht="16.5" thickBot="1">
      <c r="A5" s="11" t="s">
        <v>5</v>
      </c>
      <c r="B5" s="11" t="s">
        <v>6</v>
      </c>
      <c r="C5" s="11" t="s">
        <v>6</v>
      </c>
      <c r="D5" s="48"/>
      <c r="E5" s="51"/>
      <c r="L5" s="74" t="s">
        <v>0</v>
      </c>
      <c r="M5" s="75" t="s">
        <v>65</v>
      </c>
      <c r="N5" s="75" t="s">
        <v>103</v>
      </c>
      <c r="O5" s="75" t="s">
        <v>53</v>
      </c>
      <c r="P5" s="75" t="s">
        <v>54</v>
      </c>
      <c r="Q5" s="75" t="s">
        <v>55</v>
      </c>
      <c r="R5" s="75" t="s">
        <v>56</v>
      </c>
      <c r="S5" s="75" t="s">
        <v>80</v>
      </c>
      <c r="T5" s="76" t="s">
        <v>104</v>
      </c>
      <c r="U5" s="76" t="s">
        <v>105</v>
      </c>
      <c r="V5" s="77" t="s">
        <v>108</v>
      </c>
      <c r="W5" s="79"/>
    </row>
    <row r="6" spans="1:23" ht="16.5" thickBot="1">
      <c r="A6" s="40" t="s">
        <v>71</v>
      </c>
      <c r="B6" s="17">
        <v>45</v>
      </c>
      <c r="C6" s="17" t="s">
        <v>9</v>
      </c>
      <c r="D6" s="17">
        <v>0.56299999999999994</v>
      </c>
      <c r="E6" s="17">
        <v>3.3999999999999998E-3</v>
      </c>
      <c r="I6" s="49" t="s">
        <v>29</v>
      </c>
      <c r="L6" s="71" t="s">
        <v>28</v>
      </c>
      <c r="M6" s="72" t="b">
        <f>INDEX('Bin Analysis and Plots'!$E$3:$U$505,MATCH($L6,'Bin Analysis and Plots'!$N$3:$N$505,0),MATCH(M$5,'Bin Analysis and Plots'!$E$2:$U$2,0))</f>
        <v>0</v>
      </c>
      <c r="N6" s="70">
        <f>INDEX('Bin Analysis and Plots'!$E$3:$U$505,MATCH($L6,'Bin Analysis and Plots'!$N$3:$N$505,0),MATCH(N$5,'Bin Analysis and Plots'!$E$2:$U$2,0))</f>
        <v>0</v>
      </c>
      <c r="O6" s="70" t="e">
        <f>INDEX('Bin Analysis and Plots'!$E$3:$U$505,MATCH($L6,'Bin Analysis and Plots'!$N$3:$N$505,0),MATCH(O$5,'Bin Analysis and Plots'!$E$2:$U$2,0))</f>
        <v>#N/A</v>
      </c>
      <c r="P6" s="70" t="e">
        <f>INDEX('Bin Analysis and Plots'!$E$3:$U$505,MATCH($L6,'Bin Analysis and Plots'!$N$3:$N$505,0),MATCH(P$5,'Bin Analysis and Plots'!$E$2:$U$2,0))</f>
        <v>#N/A</v>
      </c>
      <c r="Q6" s="70" t="e">
        <f>INDEX('Bin Analysis and Plots'!$E$3:$U$505,MATCH($L6,'Bin Analysis and Plots'!$N$3:$N$505,0),MATCH(Q$5,'Bin Analysis and Plots'!$E$2:$U$2,0))</f>
        <v>#N/A</v>
      </c>
      <c r="R6" s="70" t="e">
        <f>INDEX('Bin Analysis and Plots'!$E$3:$U$505,MATCH($L6,'Bin Analysis and Plots'!$N$3:$N$505,0),MATCH(R$5,'Bin Analysis and Plots'!$E$2:$U$2,0))</f>
        <v>#N/A</v>
      </c>
      <c r="S6" s="70" t="e">
        <f>INDEX('Bin Analysis and Plots'!$E$3:$U$505,MATCH($L6,'Bin Analysis and Plots'!$N$3:$N$505,0),MATCH(S$5,'Bin Analysis and Plots'!$E$2:$U$2,0))</f>
        <v>#N/A</v>
      </c>
      <c r="T6" s="70" t="str" cm="1">
        <f t="array" ref="T6:T26">Assignments!K5:K25</f>
        <v/>
      </c>
      <c r="U6" s="70" t="str" cm="1">
        <f t="array" ref="U6:U26">Assignments!L5:L25</f>
        <v/>
      </c>
      <c r="V6" s="73"/>
    </row>
    <row r="7" spans="1:23">
      <c r="A7" t="s">
        <v>141</v>
      </c>
      <c r="B7" s="82"/>
      <c r="C7" s="4"/>
      <c r="D7" s="4"/>
      <c r="E7" s="53"/>
      <c r="I7" t="s">
        <v>14</v>
      </c>
      <c r="J7">
        <f>IF($J$4="yes",10^('Data Transformation'!R3),'Data Transformation'!R3)</f>
        <v>1</v>
      </c>
      <c r="L7" s="20" t="str">
        <f t="shared" ref="L7:L26" si="0">$G8</f>
        <v xml:space="preserve"> </v>
      </c>
      <c r="M7" s="21" t="str">
        <f>IF(L7=" "," ",(IF($L7&gt;0,INDEX('Bin Analysis and Plots'!$E$3:$U$505,MATCH($L7,'Bin Analysis and Plots'!$N$3:$N$505,0),MATCH(M$5,'Bin Analysis and Plots'!$E$2:$U$2,0))," ")))</f>
        <v xml:space="preserve"> </v>
      </c>
      <c r="N7" s="22" t="str">
        <f>IF($L7=" "," ",(IF($M7=FALSE," ",(IF($M7&gt;0,INDEX('Bin Analysis and Plots'!$E$3:$U$505,MATCH($L7,'Bin Analysis and Plots'!$N$3:$N$505,0),MATCH(N$5,'Bin Analysis and Plots'!$E$2:$U$2,0))," ")))))</f>
        <v xml:space="preserve"> </v>
      </c>
      <c r="O7" s="22" t="str">
        <f>IF($L7=" "," ",(IF($M7=FALSE," ",(IF($M7&gt;0,INDEX('Bin Analysis and Plots'!$E$3:$U$505,MATCH($L7,'Bin Analysis and Plots'!$N$3:$N$505,0),MATCH(O$5,'Bin Analysis and Plots'!$E$2:$U$2,0))," ")))))</f>
        <v xml:space="preserve"> </v>
      </c>
      <c r="P7" s="22" t="str">
        <f>IF($L7=" "," ",(IF($M7=FALSE," ",(IF($M7&gt;0,INDEX('Bin Analysis and Plots'!$E$3:$U$505,MATCH($L7,'Bin Analysis and Plots'!$N$3:$N$505,0),MATCH(P$5,'Bin Analysis and Plots'!$E$2:$U$2,0))," ")))))</f>
        <v xml:space="preserve"> </v>
      </c>
      <c r="Q7" s="22" t="str">
        <f>IF($L7=" "," ",(IF($M7=FALSE," ",(IF($M7&gt;0,INDEX('Bin Analysis and Plots'!$E$3:$U$505,MATCH($L7,'Bin Analysis and Plots'!$N$3:$N$505,0),MATCH(Q$5,'Bin Analysis and Plots'!$E$2:$U$2,0))," ")))))</f>
        <v xml:space="preserve"> </v>
      </c>
      <c r="R7" s="22" t="str">
        <f>IF($L7=" "," ",(IF($M7=FALSE," ",(IF($M7&gt;0,INDEX('Bin Analysis and Plots'!$E$3:$U$505,MATCH($L7,'Bin Analysis and Plots'!$N$3:$N$505,0),MATCH(R$5,'Bin Analysis and Plots'!$E$2:$U$2,0))," ")))))</f>
        <v xml:space="preserve"> </v>
      </c>
      <c r="S7" s="22" t="str">
        <f>IF($L7=" "," ",(IF($M7=FALSE," ",(IF($M7&gt;0,INDEX('Bin Analysis and Plots'!$E$3:$U$505,MATCH($L7,'Bin Analysis and Plots'!$N$3:$N$505,0),MATCH(S$5,'Bin Analysis and Plots'!$E$2:$U$2,0))," ")))))</f>
        <v xml:space="preserve"> </v>
      </c>
      <c r="T7" s="22" t="str">
        <v/>
      </c>
      <c r="U7" s="22" t="str">
        <v/>
      </c>
      <c r="V7" s="63" t="str" cm="1">
        <f t="array" ref="V7:V26">Assignments!V6:V25</f>
        <v/>
      </c>
    </row>
    <row r="8" spans="1:23">
      <c r="A8" t="s">
        <v>142</v>
      </c>
      <c r="B8" s="42"/>
      <c r="E8" s="56"/>
      <c r="G8" s="26" t="str">
        <f>IFERROR('Data Transformation'!M6," ")</f>
        <v xml:space="preserve"> </v>
      </c>
      <c r="I8" t="s">
        <v>15</v>
      </c>
      <c r="J8">
        <f>IF($J$4="yes",10^('Data Transformation'!R4),'Data Transformation'!R4)</f>
        <v>1</v>
      </c>
      <c r="L8" s="20" t="str">
        <f t="shared" si="0"/>
        <v xml:space="preserve"> </v>
      </c>
      <c r="M8" s="21" t="str">
        <f>IF(L8=" "," ",(IF($L8&gt;0,INDEX('Bin Analysis and Plots'!$E$3:$U$505,MATCH($L8,'Bin Analysis and Plots'!$N$3:$N$505,0),MATCH(M$5,'Bin Analysis and Plots'!$E$2:$U$2,0))," ")))</f>
        <v xml:space="preserve"> </v>
      </c>
      <c r="N8" s="22" t="str">
        <f>IF($L8=" "," ",(IF($M8=FALSE," ",(IF($M8&gt;0,INDEX('Bin Analysis and Plots'!$E$3:$U$505,MATCH($L8,'Bin Analysis and Plots'!$N$3:$N$505,0),MATCH(N$5,'Bin Analysis and Plots'!$E$2:$U$2,0))," ")))))</f>
        <v xml:space="preserve"> </v>
      </c>
      <c r="O8" s="22" t="str">
        <f>IF($L8=" "," ",(IF($M8=FALSE," ",(IF($M8&gt;0,INDEX('Bin Analysis and Plots'!$E$3:$U$505,MATCH($L8,'Bin Analysis and Plots'!$N$3:$N$505,0),MATCH(O$5,'Bin Analysis and Plots'!$E$2:$U$2,0))," ")))))</f>
        <v xml:space="preserve"> </v>
      </c>
      <c r="P8" s="22" t="str">
        <f>IF($L8=" "," ",(IF($M8=FALSE," ",(IF($M8&gt;0,INDEX('Bin Analysis and Plots'!$E$3:$U$505,MATCH($L8,'Bin Analysis and Plots'!$N$3:$N$505,0),MATCH(P$5,'Bin Analysis and Plots'!$E$2:$U$2,0))," ")))))</f>
        <v xml:space="preserve"> </v>
      </c>
      <c r="Q8" s="22" t="str">
        <f>IF($L8=" "," ",(IF($M8=FALSE," ",(IF($M8&gt;0,INDEX('Bin Analysis and Plots'!$E$3:$U$505,MATCH($L8,'Bin Analysis and Plots'!$N$3:$N$505,0),MATCH(Q$5,'Bin Analysis and Plots'!$E$2:$U$2,0))," ")))))</f>
        <v xml:space="preserve"> </v>
      </c>
      <c r="R8" s="22" t="str">
        <f>IF($L8=" "," ",(IF($M8=FALSE," ",(IF($M8&gt;0,INDEX('Bin Analysis and Plots'!$E$3:$U$505,MATCH($L8,'Bin Analysis and Plots'!$N$3:$N$505,0),MATCH(R$5,'Bin Analysis and Plots'!$E$2:$U$2,0))," ")))))</f>
        <v xml:space="preserve"> </v>
      </c>
      <c r="S8" s="22" t="str">
        <f>IF($L8=" "," ",(IF($M8=FALSE," ",(IF($M8&gt;0,INDEX('Bin Analysis and Plots'!$E$3:$U$505,MATCH($L8,'Bin Analysis and Plots'!$N$3:$N$505,0),MATCH(S$5,'Bin Analysis and Plots'!$E$2:$U$2,0))," ")))))</f>
        <v xml:space="preserve"> </v>
      </c>
      <c r="T8" s="22" t="str">
        <v/>
      </c>
      <c r="U8" s="22" t="str">
        <v/>
      </c>
      <c r="V8" s="63" t="str">
        <v/>
      </c>
    </row>
    <row r="9" spans="1:23">
      <c r="A9" t="s">
        <v>143</v>
      </c>
      <c r="B9" s="42"/>
      <c r="E9" s="56"/>
      <c r="G9" s="27" t="str">
        <f>IFERROR('Data Transformation'!M7," ")</f>
        <v xml:space="preserve"> </v>
      </c>
      <c r="L9" s="20" t="str">
        <f t="shared" si="0"/>
        <v xml:space="preserve"> </v>
      </c>
      <c r="M9" s="21" t="str">
        <f>IF(L9=" "," ",(IF($L9&gt;0,INDEX('Bin Analysis and Plots'!$E$3:$U$505,MATCH($L9,'Bin Analysis and Plots'!$N$3:$N$505,0),MATCH(M$5,'Bin Analysis and Plots'!$E$2:$U$2,0))," ")))</f>
        <v xml:space="preserve"> </v>
      </c>
      <c r="N9" s="22" t="str">
        <f>IF($L9=" "," ",(IF($M9=FALSE," ",(IF($M9&gt;0,INDEX('Bin Analysis and Plots'!$E$3:$U$505,MATCH($L9,'Bin Analysis and Plots'!$N$3:$N$505,0),MATCH(N$5,'Bin Analysis and Plots'!$E$2:$U$2,0))," ")))))</f>
        <v xml:space="preserve"> </v>
      </c>
      <c r="O9" s="22" t="str">
        <f>IF($L9=" "," ",(IF($M9=FALSE," ",(IF($M9&gt;0,INDEX('Bin Analysis and Plots'!$E$3:$U$505,MATCH($L9,'Bin Analysis and Plots'!$N$3:$N$505,0),MATCH(O$5,'Bin Analysis and Plots'!$E$2:$U$2,0))," ")))))</f>
        <v xml:space="preserve"> </v>
      </c>
      <c r="P9" s="22" t="str">
        <f>IF($L9=" "," ",(IF($M9=FALSE," ",(IF($M9&gt;0,INDEX('Bin Analysis and Plots'!$E$3:$U$505,MATCH($L9,'Bin Analysis and Plots'!$N$3:$N$505,0),MATCH(P$5,'Bin Analysis and Plots'!$E$2:$U$2,0))," ")))))</f>
        <v xml:space="preserve"> </v>
      </c>
      <c r="Q9" s="22" t="str">
        <f>IF($L9=" "," ",(IF($M9=FALSE," ",(IF($M9&gt;0,INDEX('Bin Analysis and Plots'!$E$3:$U$505,MATCH($L9,'Bin Analysis and Plots'!$N$3:$N$505,0),MATCH(Q$5,'Bin Analysis and Plots'!$E$2:$U$2,0))," ")))))</f>
        <v xml:space="preserve"> </v>
      </c>
      <c r="R9" s="22" t="str">
        <f>IF($L9=" "," ",(IF($M9=FALSE," ",(IF($M9&gt;0,INDEX('Bin Analysis and Plots'!$E$3:$U$505,MATCH($L9,'Bin Analysis and Plots'!$N$3:$N$505,0),MATCH(R$5,'Bin Analysis and Plots'!$E$2:$U$2,0))," ")))))</f>
        <v xml:space="preserve"> </v>
      </c>
      <c r="S9" s="22" t="str">
        <f>IF($L9=" "," ",(IF($M9=FALSE," ",(IF($M9&gt;0,INDEX('Bin Analysis and Plots'!$E$3:$U$505,MATCH($L9,'Bin Analysis and Plots'!$N$3:$N$505,0),MATCH(S$5,'Bin Analysis and Plots'!$E$2:$U$2,0))," ")))))</f>
        <v xml:space="preserve"> </v>
      </c>
      <c r="T9" s="22" t="str">
        <v/>
      </c>
      <c r="U9" s="22" t="str">
        <v/>
      </c>
      <c r="V9" s="63" t="str">
        <v/>
      </c>
    </row>
    <row r="10" spans="1:23" ht="16.5" thickBot="1">
      <c r="A10" t="s">
        <v>144</v>
      </c>
      <c r="B10" s="42"/>
      <c r="E10" s="56"/>
      <c r="G10" s="27" t="str">
        <f>IFERROR('Data Transformation'!M8," ")</f>
        <v xml:space="preserve"> </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3" t="str">
        <v/>
      </c>
    </row>
    <row r="11" spans="1:23" ht="16.5" thickBot="1">
      <c r="A11" t="s">
        <v>145</v>
      </c>
      <c r="B11" s="42"/>
      <c r="E11" s="56"/>
      <c r="G11" s="27" t="str">
        <f>IFERROR('Data Transformation'!M9," ")</f>
        <v xml:space="preserve"> </v>
      </c>
      <c r="I11" t="s">
        <v>14</v>
      </c>
      <c r="J11" s="1"/>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3" t="str">
        <v/>
      </c>
    </row>
    <row r="12" spans="1:23" ht="16.5" thickBot="1">
      <c r="B12" s="42"/>
      <c r="E12" s="56"/>
      <c r="G12" s="27" t="str">
        <f>IFERROR('Data Transformation'!M10," ")</f>
        <v xml:space="preserve"> </v>
      </c>
      <c r="I12" t="s">
        <v>15</v>
      </c>
      <c r="J12" s="1"/>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3" t="str">
        <v/>
      </c>
    </row>
    <row r="13" spans="1:23">
      <c r="B13" s="42"/>
      <c r="E13" s="56"/>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3" t="str">
        <v/>
      </c>
    </row>
    <row r="14" spans="1:23">
      <c r="B14" s="42"/>
      <c r="E14" s="56"/>
      <c r="G14" s="27" t="str">
        <f>IFERROR('Data Transformation'!M12," ")</f>
        <v xml:space="preserve"> </v>
      </c>
      <c r="I14" t="s">
        <v>95</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3" t="str">
        <v/>
      </c>
    </row>
    <row r="15" spans="1:23" ht="16.5" thickBot="1">
      <c r="B15" s="42"/>
      <c r="E15" s="56"/>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3" t="str">
        <v/>
      </c>
    </row>
    <row r="16" spans="1:23" ht="16.5" thickBot="1">
      <c r="B16" s="42"/>
      <c r="E16" s="56"/>
      <c r="G16" s="27" t="str">
        <f>IFERROR('Data Transformation'!M14," ")</f>
        <v xml:space="preserve"> </v>
      </c>
      <c r="I16" s="50" t="s">
        <v>147</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3" t="str">
        <v/>
      </c>
    </row>
    <row r="17" spans="2:22">
      <c r="B17" s="42"/>
      <c r="E17" s="56"/>
      <c r="G17" s="27" t="str">
        <f>IFERROR('Data Transformation'!M15," ")</f>
        <v xml:space="preserve"> </v>
      </c>
      <c r="J17">
        <f>IF(J16="maximum",'Data Transformation'!U9,'Data Transformation'!U8)</f>
        <v>1</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3" t="str">
        <v/>
      </c>
    </row>
    <row r="18" spans="2:22" ht="16.5" thickBot="1">
      <c r="B18" s="42"/>
      <c r="E18" s="56"/>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3" t="str">
        <v/>
      </c>
    </row>
    <row r="19" spans="2:22" ht="16.5" thickBot="1">
      <c r="B19" s="42"/>
      <c r="E19" s="56"/>
      <c r="G19" s="27" t="str">
        <f>IFERROR('Data Transformation'!M17," ")</f>
        <v xml:space="preserve"> </v>
      </c>
      <c r="I19" s="49" t="s">
        <v>91</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3" t="str">
        <v/>
      </c>
    </row>
    <row r="20" spans="2:22">
      <c r="B20" s="42"/>
      <c r="E20" s="56"/>
      <c r="G20" s="27"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3" t="str">
        <v/>
      </c>
    </row>
    <row r="21" spans="2:22">
      <c r="B21" s="42"/>
      <c r="E21" s="56"/>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3" t="str">
        <v/>
      </c>
    </row>
    <row r="22" spans="2:22" ht="16.5" thickBot="1">
      <c r="B22" s="42"/>
      <c r="E22" s="56"/>
      <c r="G22" s="27" t="str">
        <f>IFERROR('Data Transformation'!M20," ")</f>
        <v xml:space="preserve"> </v>
      </c>
      <c r="I22" s="50" t="s">
        <v>7</v>
      </c>
      <c r="J22" s="12" t="e">
        <f>'Data Transformation'!R23</f>
        <v>#DIV/0!</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3" t="str">
        <v/>
      </c>
    </row>
    <row r="23" spans="2:22" ht="16.5" thickBot="1">
      <c r="B23" s="42"/>
      <c r="E23" s="56"/>
      <c r="G23" s="27" t="str">
        <f>IFERROR('Data Transformation'!M21," ")</f>
        <v xml:space="preserve"> </v>
      </c>
      <c r="I23" s="37" t="s">
        <v>31</v>
      </c>
      <c r="J23" s="1"/>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3" t="str">
        <v/>
      </c>
    </row>
    <row r="24" spans="2:22">
      <c r="B24" s="42"/>
      <c r="E24" s="56"/>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3" t="str">
        <v/>
      </c>
    </row>
    <row r="25" spans="2:22">
      <c r="B25" s="42"/>
      <c r="E25" s="56"/>
      <c r="G25" s="27" t="str">
        <f>IFERROR('Data Transformation'!M23," ")</f>
        <v xml:space="preserve"> </v>
      </c>
      <c r="I25" t="s">
        <v>118</v>
      </c>
      <c r="J25" t="e">
        <f>'Data Transformation'!R25</f>
        <v>#DIV/0!</v>
      </c>
      <c r="K25" s="7"/>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3" t="str">
        <v/>
      </c>
    </row>
    <row r="26" spans="2:22" ht="16.5" thickBot="1">
      <c r="B26" s="42"/>
      <c r="E26" s="56"/>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6" t="str">
        <v/>
      </c>
    </row>
    <row r="27" spans="2:22" ht="16.5" thickBot="1">
      <c r="B27" s="42"/>
      <c r="E27" s="56"/>
      <c r="G27" s="28" t="str">
        <f>IFERROR('Data Transformation'!M25," ")</f>
        <v xml:space="preserve"> </v>
      </c>
      <c r="I27" s="49" t="s">
        <v>113</v>
      </c>
      <c r="J27" s="1"/>
    </row>
    <row r="28" spans="2:22">
      <c r="B28" s="42"/>
      <c r="E28" s="56"/>
      <c r="I28" t="s">
        <v>117</v>
      </c>
      <c r="J28" t="e">
        <f>'Data Transformation'!U25</f>
        <v>#DIV/0!</v>
      </c>
    </row>
    <row r="29" spans="2:22" ht="16.5" thickBot="1">
      <c r="B29" s="42"/>
      <c r="E29" s="56"/>
    </row>
    <row r="30" spans="2:22" ht="16.5" thickBot="1">
      <c r="B30" s="42"/>
      <c r="E30" s="56"/>
      <c r="I30" s="49" t="s">
        <v>121</v>
      </c>
      <c r="J30" s="1"/>
    </row>
    <row r="31" spans="2:22">
      <c r="B31" s="42"/>
      <c r="E31" s="56"/>
      <c r="I31" t="s">
        <v>122</v>
      </c>
      <c r="J31">
        <v>0.8</v>
      </c>
    </row>
    <row r="32" spans="2:22" ht="16.5" thickBot="1">
      <c r="B32" s="42"/>
      <c r="E32" s="56"/>
    </row>
    <row r="33" spans="2:21" ht="16.5" thickBot="1">
      <c r="B33" s="42"/>
      <c r="E33" s="56"/>
      <c r="I33" s="49" t="s">
        <v>139</v>
      </c>
      <c r="J33" s="1"/>
      <c r="U33" t="s">
        <v>90</v>
      </c>
    </row>
    <row r="34" spans="2:21">
      <c r="B34" s="42"/>
      <c r="E34" s="56"/>
      <c r="I34" t="s">
        <v>124</v>
      </c>
      <c r="J34">
        <v>0.7</v>
      </c>
    </row>
    <row r="35" spans="2:21" ht="16.5" thickBot="1">
      <c r="B35" s="42"/>
      <c r="E35" s="56"/>
    </row>
    <row r="36" spans="2:21" ht="16.5" thickBot="1">
      <c r="B36" s="42"/>
      <c r="E36" s="56"/>
      <c r="I36" s="49" t="s">
        <v>120</v>
      </c>
      <c r="J36" s="1"/>
    </row>
    <row r="37" spans="2:21">
      <c r="B37" s="42"/>
      <c r="E37" s="56"/>
      <c r="I37" t="s">
        <v>125</v>
      </c>
      <c r="J37">
        <v>0.5</v>
      </c>
    </row>
    <row r="38" spans="2:21" ht="16.5" thickBot="1">
      <c r="B38" s="42"/>
      <c r="E38" s="56"/>
    </row>
    <row r="39" spans="2:21" ht="16.5" thickBot="1">
      <c r="B39" s="42"/>
      <c r="E39" s="56"/>
      <c r="I39" s="49" t="s">
        <v>119</v>
      </c>
      <c r="J39" s="1"/>
    </row>
    <row r="40" spans="2:21">
      <c r="B40" s="42"/>
      <c r="E40" s="56"/>
      <c r="I40" t="s">
        <v>123</v>
      </c>
      <c r="J40">
        <v>0.64</v>
      </c>
    </row>
    <row r="41" spans="2:21">
      <c r="B41" s="42"/>
      <c r="E41" s="56"/>
    </row>
    <row r="42" spans="2:21">
      <c r="B42" s="42"/>
      <c r="E42" s="56"/>
    </row>
    <row r="43" spans="2:21">
      <c r="B43" s="54"/>
      <c r="C43" s="55"/>
      <c r="D43" s="55"/>
      <c r="E43" s="56"/>
    </row>
    <row r="44" spans="2:21">
      <c r="B44" s="54"/>
      <c r="C44" s="55"/>
      <c r="D44" s="55"/>
      <c r="E44" s="56"/>
    </row>
    <row r="45" spans="2:21">
      <c r="B45" s="54"/>
      <c r="C45" s="55"/>
      <c r="D45" s="55"/>
      <c r="E45" s="56"/>
    </row>
    <row r="46" spans="2:21">
      <c r="B46" s="54"/>
      <c r="C46" s="55"/>
      <c r="D46" s="55"/>
      <c r="E46" s="56"/>
    </row>
    <row r="47" spans="2:21">
      <c r="B47" s="54"/>
      <c r="C47" s="55"/>
      <c r="D47" s="55"/>
      <c r="E47" s="56"/>
    </row>
    <row r="48" spans="2:21">
      <c r="B48" s="54"/>
      <c r="C48" s="55"/>
      <c r="D48" s="55"/>
      <c r="E48" s="56"/>
    </row>
    <row r="49" spans="2:5">
      <c r="B49" s="54"/>
      <c r="C49" s="55"/>
      <c r="D49" s="55"/>
      <c r="E49" s="56"/>
    </row>
    <row r="50" spans="2:5">
      <c r="B50" s="42"/>
      <c r="E50" s="56"/>
    </row>
    <row r="51" spans="2:5">
      <c r="B51" s="54"/>
      <c r="C51" s="55"/>
      <c r="D51" s="55"/>
      <c r="E51" s="56"/>
    </row>
    <row r="52" spans="2:5">
      <c r="B52" s="54"/>
      <c r="C52" s="55"/>
      <c r="D52" s="55"/>
      <c r="E52" s="56"/>
    </row>
    <row r="53" spans="2:5">
      <c r="B53" s="42"/>
      <c r="E53" s="56"/>
    </row>
    <row r="54" spans="2:5">
      <c r="B54" s="42"/>
      <c r="E54" s="7"/>
    </row>
    <row r="55" spans="2:5">
      <c r="B55" s="54"/>
      <c r="C55" s="55"/>
      <c r="D55" s="55"/>
      <c r="E55" s="7"/>
    </row>
    <row r="56" spans="2:5">
      <c r="B56" s="42"/>
      <c r="E56" s="7"/>
    </row>
    <row r="57" spans="2:5">
      <c r="B57" s="42"/>
      <c r="E57" s="7"/>
    </row>
    <row r="58" spans="2:5">
      <c r="B58" s="54"/>
      <c r="C58" s="55"/>
      <c r="D58" s="55"/>
      <c r="E58" s="7"/>
    </row>
    <row r="59" spans="2:5">
      <c r="B59" s="42"/>
      <c r="E59" s="7"/>
    </row>
    <row r="60" spans="2:5">
      <c r="B60" s="42"/>
      <c r="E60" s="7"/>
    </row>
    <row r="61" spans="2:5">
      <c r="B61" s="42"/>
      <c r="E61" s="7"/>
    </row>
    <row r="62" spans="2:5">
      <c r="B62" s="42"/>
      <c r="E62" s="7"/>
    </row>
    <row r="63" spans="2:5">
      <c r="B63" s="42"/>
      <c r="E63" s="7"/>
    </row>
    <row r="64" spans="2:5">
      <c r="B64" s="42"/>
      <c r="E64" s="7"/>
    </row>
    <row r="65" spans="2:5">
      <c r="B65" s="42"/>
      <c r="E65" s="7"/>
    </row>
    <row r="66" spans="2:5">
      <c r="B66" s="42"/>
      <c r="E66" s="7"/>
    </row>
    <row r="67" spans="2:5">
      <c r="B67" s="42"/>
      <c r="E67" s="7"/>
    </row>
    <row r="68" spans="2:5">
      <c r="B68" s="42"/>
      <c r="E68" s="7"/>
    </row>
    <row r="69" spans="2:5">
      <c r="B69" s="42"/>
      <c r="E69" s="7"/>
    </row>
    <row r="70" spans="2:5">
      <c r="B70" s="42"/>
      <c r="E70" s="7"/>
    </row>
    <row r="71" spans="2:5">
      <c r="B71" s="42"/>
      <c r="E71" s="7"/>
    </row>
    <row r="72" spans="2:5">
      <c r="B72" s="42"/>
      <c r="E72" s="7"/>
    </row>
    <row r="73" spans="2:5">
      <c r="B73" s="42"/>
      <c r="E73" s="7"/>
    </row>
    <row r="74" spans="2:5">
      <c r="B74" s="42"/>
      <c r="E74" s="7"/>
    </row>
    <row r="75" spans="2:5">
      <c r="B75" s="42"/>
      <c r="E75" s="7"/>
    </row>
    <row r="76" spans="2:5">
      <c r="B76" s="42"/>
      <c r="E76" s="7"/>
    </row>
    <row r="77" spans="2:5">
      <c r="B77" s="42"/>
      <c r="E77" s="7"/>
    </row>
    <row r="78" spans="2:5">
      <c r="B78" s="42"/>
      <c r="E78" s="7"/>
    </row>
    <row r="79" spans="2:5">
      <c r="B79" s="42"/>
      <c r="E79" s="7"/>
    </row>
    <row r="80" spans="2:5">
      <c r="B80" s="42"/>
      <c r="E80" s="7"/>
    </row>
    <row r="81" spans="2:5">
      <c r="B81" s="42"/>
      <c r="E81" s="7"/>
    </row>
    <row r="82" spans="2:5">
      <c r="B82" s="42"/>
      <c r="E82" s="7"/>
    </row>
    <row r="83" spans="2:5">
      <c r="B83" s="42"/>
      <c r="E83" s="7"/>
    </row>
    <row r="84" spans="2:5">
      <c r="B84" s="42"/>
      <c r="E84" s="7"/>
    </row>
    <row r="85" spans="2:5">
      <c r="B85" s="42"/>
      <c r="E85" s="7"/>
    </row>
    <row r="86" spans="2:5">
      <c r="B86" s="42"/>
      <c r="E86" s="7"/>
    </row>
    <row r="87" spans="2:5">
      <c r="B87" s="42"/>
      <c r="E87" s="7"/>
    </row>
    <row r="88" spans="2:5">
      <c r="B88" s="42"/>
      <c r="E88" s="7"/>
    </row>
    <row r="89" spans="2:5">
      <c r="B89" s="42"/>
      <c r="E89" s="7"/>
    </row>
    <row r="90" spans="2:5">
      <c r="B90" s="42"/>
      <c r="E90" s="7"/>
    </row>
    <row r="91" spans="2:5">
      <c r="B91" s="42"/>
      <c r="E91" s="7"/>
    </row>
    <row r="92" spans="2:5">
      <c r="B92" s="42"/>
      <c r="E92" s="7"/>
    </row>
    <row r="93" spans="2:5">
      <c r="B93" s="42"/>
      <c r="E93" s="7"/>
    </row>
    <row r="94" spans="2:5">
      <c r="B94" s="42"/>
      <c r="E94" s="7"/>
    </row>
    <row r="95" spans="2:5">
      <c r="B95" s="42"/>
      <c r="E95" s="7"/>
    </row>
    <row r="96" spans="2:5">
      <c r="B96" s="42"/>
      <c r="E96" s="7"/>
    </row>
    <row r="97" spans="2:5">
      <c r="B97" s="42"/>
      <c r="E97" s="7"/>
    </row>
    <row r="98" spans="2:5">
      <c r="B98" s="42"/>
      <c r="E98" s="7"/>
    </row>
    <row r="99" spans="2:5">
      <c r="B99" s="42"/>
      <c r="E99" s="7"/>
    </row>
    <row r="100" spans="2:5">
      <c r="B100" s="42"/>
      <c r="E100" s="7"/>
    </row>
    <row r="101" spans="2:5">
      <c r="B101" s="42"/>
      <c r="E101" s="7"/>
    </row>
    <row r="102" spans="2:5">
      <c r="B102" s="42"/>
      <c r="E102" s="7"/>
    </row>
    <row r="103" spans="2:5">
      <c r="B103" s="42"/>
      <c r="E103" s="7"/>
    </row>
    <row r="104" spans="2:5">
      <c r="B104" s="42"/>
      <c r="E104" s="7"/>
    </row>
    <row r="105" spans="2:5">
      <c r="B105" s="42"/>
      <c r="E105" s="7"/>
    </row>
    <row r="106" spans="2:5">
      <c r="B106" s="42"/>
      <c r="E106" s="7"/>
    </row>
    <row r="107" spans="2:5">
      <c r="B107" s="42"/>
      <c r="E107" s="7"/>
    </row>
    <row r="108" spans="2:5">
      <c r="B108" s="42"/>
      <c r="E108" s="7"/>
    </row>
    <row r="109" spans="2:5">
      <c r="B109" s="42"/>
      <c r="E109" s="7"/>
    </row>
    <row r="110" spans="2:5">
      <c r="B110" s="42"/>
      <c r="E110" s="7"/>
    </row>
    <row r="111" spans="2:5">
      <c r="B111" s="42"/>
      <c r="E111" s="7"/>
    </row>
    <row r="112" spans="2:5">
      <c r="B112" s="42"/>
      <c r="E112" s="7"/>
    </row>
    <row r="113" spans="2:5">
      <c r="B113" s="42"/>
      <c r="E113" s="7"/>
    </row>
    <row r="114" spans="2:5">
      <c r="B114" s="42"/>
      <c r="E114" s="7"/>
    </row>
    <row r="115" spans="2:5">
      <c r="B115" s="42"/>
      <c r="E115" s="7"/>
    </row>
    <row r="116" spans="2:5">
      <c r="B116" s="42"/>
      <c r="E116" s="7"/>
    </row>
    <row r="117" spans="2:5">
      <c r="B117" s="42"/>
      <c r="E117" s="7"/>
    </row>
    <row r="118" spans="2:5">
      <c r="B118" s="42"/>
      <c r="E118" s="7"/>
    </row>
    <row r="119" spans="2:5">
      <c r="B119" s="42"/>
      <c r="E119" s="7"/>
    </row>
    <row r="120" spans="2:5">
      <c r="B120" s="42"/>
      <c r="E120" s="7"/>
    </row>
    <row r="121" spans="2:5">
      <c r="B121" s="42"/>
      <c r="E121" s="7"/>
    </row>
    <row r="122" spans="2:5">
      <c r="B122" s="42"/>
      <c r="E122" s="7"/>
    </row>
    <row r="123" spans="2:5">
      <c r="B123" s="42"/>
      <c r="E123" s="7"/>
    </row>
    <row r="124" spans="2:5">
      <c r="B124" s="42"/>
      <c r="E124" s="7"/>
    </row>
    <row r="125" spans="2:5">
      <c r="B125" s="42"/>
      <c r="E125" s="7"/>
    </row>
    <row r="126" spans="2:5">
      <c r="B126" s="42"/>
      <c r="E126" s="7"/>
    </row>
    <row r="127" spans="2:5">
      <c r="B127" s="42"/>
      <c r="E127" s="7"/>
    </row>
    <row r="128" spans="2:5">
      <c r="B128" s="42"/>
      <c r="E128" s="7"/>
    </row>
    <row r="129" spans="2:5">
      <c r="B129" s="42"/>
      <c r="E129" s="7"/>
    </row>
    <row r="130" spans="2:5">
      <c r="B130" s="42"/>
      <c r="E130" s="7"/>
    </row>
    <row r="131" spans="2:5">
      <c r="B131" s="42"/>
      <c r="E131" s="7"/>
    </row>
    <row r="132" spans="2:5">
      <c r="B132" s="42"/>
      <c r="E132" s="7"/>
    </row>
    <row r="133" spans="2:5">
      <c r="B133" s="42"/>
      <c r="E133" s="7"/>
    </row>
    <row r="134" spans="2:5">
      <c r="B134" s="42"/>
      <c r="E134" s="7"/>
    </row>
    <row r="135" spans="2:5">
      <c r="B135" s="42"/>
      <c r="E135" s="7"/>
    </row>
    <row r="136" spans="2:5">
      <c r="B136" s="42"/>
      <c r="E136" s="7"/>
    </row>
    <row r="137" spans="2:5">
      <c r="B137" s="42"/>
      <c r="E137" s="7"/>
    </row>
    <row r="138" spans="2:5">
      <c r="B138" s="42"/>
      <c r="E138" s="7"/>
    </row>
    <row r="139" spans="2:5">
      <c r="B139" s="42"/>
      <c r="E139" s="7"/>
    </row>
    <row r="140" spans="2:5">
      <c r="B140" s="42"/>
      <c r="E140" s="7"/>
    </row>
    <row r="141" spans="2:5">
      <c r="B141" s="42"/>
      <c r="E141" s="7"/>
    </row>
    <row r="142" spans="2:5">
      <c r="B142" s="42"/>
      <c r="E142" s="7"/>
    </row>
    <row r="143" spans="2:5">
      <c r="B143" s="42"/>
      <c r="E143" s="7"/>
    </row>
    <row r="144" spans="2:5">
      <c r="B144" s="42"/>
      <c r="E144" s="7"/>
    </row>
    <row r="145" spans="2:5">
      <c r="B145" s="42"/>
      <c r="E145" s="7"/>
    </row>
    <row r="146" spans="2:5">
      <c r="B146" s="42"/>
      <c r="E146" s="7"/>
    </row>
    <row r="147" spans="2:5">
      <c r="B147" s="42"/>
      <c r="E147" s="7"/>
    </row>
    <row r="148" spans="2:5">
      <c r="B148" s="42"/>
      <c r="E148" s="7"/>
    </row>
    <row r="149" spans="2:5">
      <c r="B149" s="42"/>
      <c r="E149" s="7"/>
    </row>
    <row r="150" spans="2:5">
      <c r="B150" s="42"/>
      <c r="E150" s="7"/>
    </row>
    <row r="151" spans="2:5">
      <c r="B151" s="42"/>
      <c r="E151" s="7"/>
    </row>
    <row r="152" spans="2:5">
      <c r="B152" s="42"/>
      <c r="E152" s="7"/>
    </row>
    <row r="153" spans="2:5">
      <c r="B153" s="42"/>
      <c r="E153" s="7"/>
    </row>
    <row r="154" spans="2:5">
      <c r="B154" s="42"/>
      <c r="E154" s="7"/>
    </row>
    <row r="155" spans="2:5">
      <c r="B155" s="42"/>
      <c r="E155" s="7"/>
    </row>
    <row r="156" spans="2:5">
      <c r="B156" s="42"/>
      <c r="E156" s="7"/>
    </row>
    <row r="157" spans="2:5">
      <c r="B157" s="42"/>
      <c r="E157" s="7"/>
    </row>
    <row r="158" spans="2:5">
      <c r="B158" s="42"/>
      <c r="E158" s="7"/>
    </row>
    <row r="159" spans="2:5">
      <c r="B159" s="42"/>
      <c r="E159" s="7"/>
    </row>
    <row r="160" spans="2:5">
      <c r="B160" s="42"/>
      <c r="E160" s="7"/>
    </row>
    <row r="161" spans="2:5">
      <c r="B161" s="42"/>
      <c r="E161" s="7">
        <v>0.23465</v>
      </c>
    </row>
    <row r="162" spans="2:5">
      <c r="B162" s="42"/>
      <c r="E162" s="7"/>
    </row>
    <row r="163" spans="2:5">
      <c r="B163" s="42"/>
      <c r="E163" s="7"/>
    </row>
    <row r="164" spans="2:5">
      <c r="B164" s="42"/>
      <c r="E164" s="7"/>
    </row>
    <row r="165" spans="2:5">
      <c r="B165" s="42"/>
      <c r="E165" s="7"/>
    </row>
    <row r="166" spans="2:5">
      <c r="B166" s="42"/>
      <c r="E166" s="7"/>
    </row>
    <row r="167" spans="2:5">
      <c r="B167" s="42"/>
      <c r="E167" s="7"/>
    </row>
    <row r="168" spans="2:5">
      <c r="B168" s="42"/>
      <c r="E168" s="7"/>
    </row>
    <row r="169" spans="2:5">
      <c r="B169" s="42"/>
      <c r="E169" s="7"/>
    </row>
    <row r="170" spans="2:5">
      <c r="B170" s="42"/>
      <c r="E170" s="7"/>
    </row>
    <row r="171" spans="2:5">
      <c r="B171" s="42"/>
      <c r="E171" s="7"/>
    </row>
    <row r="172" spans="2:5">
      <c r="B172" s="42"/>
      <c r="E172" s="7"/>
    </row>
    <row r="173" spans="2:5">
      <c r="B173" s="42"/>
      <c r="E173" s="7"/>
    </row>
    <row r="174" spans="2:5">
      <c r="B174" s="42"/>
      <c r="E174" s="7"/>
    </row>
    <row r="175" spans="2:5">
      <c r="B175" s="42"/>
      <c r="E175" s="7"/>
    </row>
    <row r="176" spans="2:5">
      <c r="B176" s="42"/>
      <c r="E176" s="7"/>
    </row>
    <row r="177" spans="2:5">
      <c r="B177" s="42"/>
      <c r="E177" s="7"/>
    </row>
    <row r="178" spans="2:5">
      <c r="B178" s="42"/>
      <c r="E178" s="7"/>
    </row>
    <row r="179" spans="2:5">
      <c r="B179" s="42"/>
      <c r="E179" s="7"/>
    </row>
    <row r="180" spans="2:5">
      <c r="B180" s="42"/>
      <c r="E180" s="7"/>
    </row>
    <row r="181" spans="2:5">
      <c r="B181" s="42"/>
      <c r="E181" s="7"/>
    </row>
    <row r="182" spans="2:5">
      <c r="B182" s="42"/>
      <c r="E182" s="7"/>
    </row>
    <row r="183" spans="2:5">
      <c r="B183" s="42"/>
      <c r="E183" s="7"/>
    </row>
    <row r="184" spans="2:5">
      <c r="B184" s="42"/>
      <c r="E184" s="7"/>
    </row>
    <row r="185" spans="2:5">
      <c r="B185" s="42"/>
      <c r="E185" s="7"/>
    </row>
    <row r="186" spans="2:5">
      <c r="B186" s="42"/>
      <c r="E186" s="7"/>
    </row>
    <row r="187" spans="2:5">
      <c r="B187" s="42"/>
      <c r="E187" s="7"/>
    </row>
    <row r="188" spans="2:5">
      <c r="B188" s="42"/>
      <c r="E188" s="7"/>
    </row>
    <row r="189" spans="2:5">
      <c r="B189" s="42"/>
      <c r="E189" s="7"/>
    </row>
    <row r="190" spans="2:5">
      <c r="B190" s="42"/>
      <c r="E190" s="7"/>
    </row>
    <row r="191" spans="2:5">
      <c r="B191" s="42"/>
      <c r="E191" s="7"/>
    </row>
    <row r="192" spans="2:5">
      <c r="B192" s="42"/>
      <c r="E192" s="7"/>
    </row>
    <row r="193" spans="2:5">
      <c r="B193" s="42"/>
      <c r="E193" s="7"/>
    </row>
    <row r="194" spans="2:5">
      <c r="B194" s="42"/>
      <c r="E194" s="7"/>
    </row>
    <row r="195" spans="2:5">
      <c r="B195" s="42"/>
      <c r="E195" s="7"/>
    </row>
    <row r="196" spans="2:5">
      <c r="B196" s="42"/>
      <c r="E196" s="7"/>
    </row>
    <row r="197" spans="2:5">
      <c r="B197" s="42"/>
      <c r="E197" s="7"/>
    </row>
    <row r="198" spans="2:5">
      <c r="B198" s="42"/>
      <c r="E198" s="7"/>
    </row>
    <row r="199" spans="2:5">
      <c r="B199" s="42"/>
      <c r="E199" s="7"/>
    </row>
    <row r="200" spans="2:5">
      <c r="B200" s="42"/>
      <c r="E200" s="7"/>
    </row>
    <row r="201" spans="2:5">
      <c r="B201" s="42"/>
      <c r="E201" s="7"/>
    </row>
    <row r="202" spans="2:5">
      <c r="B202" s="42"/>
      <c r="E202" s="7"/>
    </row>
    <row r="203" spans="2:5">
      <c r="B203" s="42"/>
      <c r="E203" s="7"/>
    </row>
    <row r="204" spans="2:5">
      <c r="B204" s="42"/>
      <c r="E204" s="7"/>
    </row>
    <row r="205" spans="2:5">
      <c r="B205" s="42"/>
      <c r="E205" s="7"/>
    </row>
    <row r="206" spans="2:5">
      <c r="B206" s="42"/>
      <c r="E206" s="7"/>
    </row>
    <row r="207" spans="2:5">
      <c r="B207" s="42"/>
      <c r="E207" s="7"/>
    </row>
    <row r="208" spans="2:5">
      <c r="B208" s="42"/>
      <c r="E208" s="7"/>
    </row>
    <row r="209" spans="2:5">
      <c r="B209" s="42"/>
      <c r="E209" s="7"/>
    </row>
    <row r="210" spans="2:5">
      <c r="B210" s="42"/>
      <c r="E210" s="7"/>
    </row>
    <row r="211" spans="2:5">
      <c r="B211" s="42"/>
      <c r="E211" s="7"/>
    </row>
    <row r="212" spans="2:5">
      <c r="B212" s="42"/>
      <c r="E212" s="7"/>
    </row>
    <row r="213" spans="2:5">
      <c r="B213" s="42"/>
      <c r="E213" s="7"/>
    </row>
    <row r="214" spans="2:5">
      <c r="B214" s="42"/>
      <c r="E214" s="7"/>
    </row>
    <row r="215" spans="2:5">
      <c r="B215" s="6"/>
      <c r="E215" s="7"/>
    </row>
    <row r="216" spans="2:5">
      <c r="B216" s="6"/>
      <c r="E216" s="7"/>
    </row>
    <row r="217" spans="2:5">
      <c r="B217" s="6"/>
      <c r="E217" s="7"/>
    </row>
    <row r="218" spans="2:5">
      <c r="B218" s="6"/>
      <c r="E218" s="7"/>
    </row>
    <row r="219" spans="2:5">
      <c r="B219" s="6"/>
      <c r="E219" s="7"/>
    </row>
    <row r="220" spans="2:5">
      <c r="B220" s="6"/>
      <c r="E220" s="7"/>
    </row>
    <row r="221" spans="2:5">
      <c r="B221" s="6"/>
      <c r="E221" s="7"/>
    </row>
    <row r="222" spans="2:5">
      <c r="B222" s="6"/>
      <c r="E222" s="7"/>
    </row>
    <row r="223" spans="2:5">
      <c r="B223" s="6"/>
      <c r="E223" s="7"/>
    </row>
    <row r="224" spans="2:5">
      <c r="B224" s="6"/>
      <c r="E224" s="7"/>
    </row>
    <row r="225" spans="2:5">
      <c r="B225" s="6"/>
      <c r="E225" s="7"/>
    </row>
    <row r="226" spans="2:5">
      <c r="B226" s="6"/>
      <c r="E226" s="7"/>
    </row>
    <row r="227" spans="2:5">
      <c r="B227" s="6"/>
      <c r="E227" s="7"/>
    </row>
    <row r="228" spans="2:5">
      <c r="B228" s="6"/>
      <c r="E228" s="7"/>
    </row>
    <row r="229" spans="2:5">
      <c r="B229" s="6"/>
      <c r="E229" s="7"/>
    </row>
    <row r="230" spans="2:5">
      <c r="B230" s="6"/>
      <c r="E230" s="7"/>
    </row>
    <row r="231" spans="2:5">
      <c r="B231" s="6"/>
      <c r="E231" s="7"/>
    </row>
    <row r="232" spans="2:5">
      <c r="B232" s="6"/>
      <c r="E232" s="7"/>
    </row>
    <row r="233" spans="2:5">
      <c r="B233" s="6"/>
      <c r="E233" s="7"/>
    </row>
    <row r="234" spans="2:5">
      <c r="B234" s="6"/>
      <c r="E234" s="7"/>
    </row>
    <row r="235" spans="2:5">
      <c r="B235" s="6"/>
      <c r="E235" s="7"/>
    </row>
    <row r="236" spans="2:5">
      <c r="B236" s="6"/>
      <c r="E236" s="7"/>
    </row>
    <row r="237" spans="2:5">
      <c r="B237" s="6"/>
      <c r="E237" s="7"/>
    </row>
    <row r="238" spans="2:5">
      <c r="B238" s="6"/>
      <c r="E238" s="7"/>
    </row>
    <row r="239" spans="2:5">
      <c r="B239" s="6"/>
      <c r="E239" s="7"/>
    </row>
    <row r="240" spans="2:5">
      <c r="B240" s="6"/>
      <c r="E240" s="7"/>
    </row>
    <row r="241" spans="2:5">
      <c r="B241" s="6"/>
      <c r="E241" s="7"/>
    </row>
    <row r="242" spans="2:5">
      <c r="B242" s="6"/>
      <c r="E242" s="7"/>
    </row>
    <row r="243" spans="2:5">
      <c r="B243" s="6"/>
      <c r="E243" s="7"/>
    </row>
    <row r="244" spans="2:5">
      <c r="B244" s="6"/>
      <c r="E244" s="7"/>
    </row>
    <row r="245" spans="2:5">
      <c r="B245" s="6"/>
      <c r="E245" s="7"/>
    </row>
    <row r="246" spans="2:5">
      <c r="B246" s="6"/>
      <c r="E246" s="7"/>
    </row>
    <row r="247" spans="2:5">
      <c r="B247" s="6"/>
      <c r="E247" s="7"/>
    </row>
    <row r="248" spans="2:5">
      <c r="B248" s="6"/>
      <c r="E248" s="7"/>
    </row>
    <row r="249" spans="2:5">
      <c r="B249" s="6"/>
      <c r="E249" s="7"/>
    </row>
    <row r="250" spans="2:5">
      <c r="B250" s="6"/>
      <c r="E250" s="7"/>
    </row>
    <row r="251" spans="2:5">
      <c r="B251" s="6"/>
      <c r="E251" s="7"/>
    </row>
    <row r="252" spans="2:5">
      <c r="B252" s="6"/>
      <c r="E252" s="7"/>
    </row>
    <row r="253" spans="2:5">
      <c r="B253" s="6"/>
      <c r="E253" s="7"/>
    </row>
    <row r="254" spans="2:5">
      <c r="B254" s="6"/>
      <c r="E254" s="7"/>
    </row>
    <row r="255" spans="2:5">
      <c r="B255" s="6"/>
      <c r="E255" s="7"/>
    </row>
    <row r="256" spans="2:5">
      <c r="B256" s="6"/>
      <c r="E256" s="7"/>
    </row>
    <row r="257" spans="2:5">
      <c r="B257" s="6"/>
      <c r="E257" s="7"/>
    </row>
    <row r="258" spans="2:5">
      <c r="B258" s="6"/>
      <c r="E258" s="7"/>
    </row>
    <row r="259" spans="2:5">
      <c r="B259" s="6"/>
      <c r="E259" s="7"/>
    </row>
    <row r="260" spans="2:5">
      <c r="B260" s="6"/>
      <c r="E260" s="7"/>
    </row>
    <row r="261" spans="2:5">
      <c r="B261" s="6"/>
      <c r="E261" s="7"/>
    </row>
    <row r="262" spans="2:5">
      <c r="B262" s="6"/>
      <c r="E262" s="7"/>
    </row>
    <row r="263" spans="2:5">
      <c r="B263" s="6"/>
      <c r="E263" s="7"/>
    </row>
    <row r="264" spans="2:5">
      <c r="B264" s="6"/>
      <c r="E264" s="7"/>
    </row>
    <row r="265" spans="2:5">
      <c r="B265" s="6"/>
      <c r="E265" s="7"/>
    </row>
    <row r="266" spans="2:5">
      <c r="B266" s="6"/>
      <c r="E266" s="7"/>
    </row>
    <row r="267" spans="2:5">
      <c r="B267" s="6"/>
      <c r="E267" s="7"/>
    </row>
    <row r="268" spans="2:5">
      <c r="B268" s="6"/>
      <c r="E268" s="7"/>
    </row>
    <row r="269" spans="2:5">
      <c r="B269" s="6"/>
      <c r="E269" s="7"/>
    </row>
    <row r="270" spans="2:5">
      <c r="B270" s="6"/>
      <c r="E270" s="7"/>
    </row>
    <row r="271" spans="2:5">
      <c r="B271" s="6"/>
      <c r="E271" s="7"/>
    </row>
    <row r="272" spans="2:5">
      <c r="B272" s="6"/>
      <c r="E272" s="7"/>
    </row>
    <row r="273" spans="2:5">
      <c r="B273" s="6"/>
      <c r="E273" s="7"/>
    </row>
    <row r="274" spans="2:5">
      <c r="B274" s="6"/>
      <c r="E274" s="7"/>
    </row>
    <row r="275" spans="2:5">
      <c r="B275" s="6"/>
      <c r="E275" s="7"/>
    </row>
    <row r="276" spans="2:5">
      <c r="B276" s="6"/>
      <c r="E276" s="7"/>
    </row>
    <row r="277" spans="2:5">
      <c r="B277" s="6"/>
      <c r="E277" s="7"/>
    </row>
    <row r="278" spans="2:5">
      <c r="B278" s="6"/>
      <c r="E278" s="7"/>
    </row>
    <row r="279" spans="2:5">
      <c r="B279" s="6"/>
      <c r="E279" s="7"/>
    </row>
    <row r="280" spans="2:5">
      <c r="B280" s="6"/>
      <c r="E280" s="7"/>
    </row>
    <row r="281" spans="2:5">
      <c r="B281" s="6"/>
      <c r="E281" s="7"/>
    </row>
    <row r="282" spans="2:5">
      <c r="B282" s="6"/>
      <c r="E282" s="7"/>
    </row>
    <row r="283" spans="2:5">
      <c r="B283" s="6"/>
      <c r="E283" s="7"/>
    </row>
    <row r="284" spans="2:5">
      <c r="B284" s="6"/>
      <c r="E284" s="7"/>
    </row>
    <row r="285" spans="2:5">
      <c r="B285" s="6"/>
      <c r="E285" s="7"/>
    </row>
    <row r="286" spans="2:5">
      <c r="B286" s="6"/>
      <c r="E286" s="7"/>
    </row>
    <row r="287" spans="2:5">
      <c r="B287" s="6"/>
      <c r="E287" s="7"/>
    </row>
    <row r="288" spans="2:5">
      <c r="B288" s="6"/>
      <c r="E288" s="7"/>
    </row>
    <row r="289" spans="2:5">
      <c r="B289" s="6"/>
      <c r="E289" s="7"/>
    </row>
    <row r="290" spans="2:5">
      <c r="B290" s="6"/>
      <c r="E290" s="7"/>
    </row>
    <row r="291" spans="2:5">
      <c r="B291" s="6"/>
      <c r="E291" s="7"/>
    </row>
    <row r="292" spans="2:5">
      <c r="B292" s="6"/>
      <c r="E292" s="7"/>
    </row>
    <row r="293" spans="2:5">
      <c r="B293" s="6"/>
      <c r="E293" s="7"/>
    </row>
    <row r="294" spans="2:5">
      <c r="B294" s="6"/>
      <c r="E294" s="7"/>
    </row>
    <row r="295" spans="2:5">
      <c r="B295" s="6"/>
      <c r="E295" s="7"/>
    </row>
    <row r="296" spans="2:5">
      <c r="B296" s="6"/>
      <c r="E296" s="7"/>
    </row>
    <row r="297" spans="2:5">
      <c r="B297" s="6"/>
      <c r="E297" s="7"/>
    </row>
    <row r="298" spans="2:5">
      <c r="B298" s="6"/>
      <c r="E298" s="7"/>
    </row>
    <row r="299" spans="2:5">
      <c r="B299" s="6"/>
      <c r="E299" s="7"/>
    </row>
    <row r="300" spans="2:5">
      <c r="B300" s="6"/>
      <c r="E300" s="7"/>
    </row>
    <row r="301" spans="2:5">
      <c r="B301" s="6"/>
      <c r="E301" s="7"/>
    </row>
    <row r="302" spans="2:5">
      <c r="B302" s="6"/>
      <c r="E302" s="7"/>
    </row>
    <row r="303" spans="2:5">
      <c r="B303" s="6"/>
      <c r="E303" s="7"/>
    </row>
    <row r="304" spans="2:5">
      <c r="B304" s="6"/>
      <c r="E304" s="7"/>
    </row>
    <row r="305" spans="2:5">
      <c r="B305" s="6"/>
      <c r="E305" s="7"/>
    </row>
    <row r="306" spans="2:5">
      <c r="B306" s="6"/>
      <c r="E306" s="7"/>
    </row>
    <row r="307" spans="2:5">
      <c r="B307" s="6"/>
      <c r="E307" s="7"/>
    </row>
    <row r="308" spans="2:5">
      <c r="B308" s="6"/>
      <c r="E308" s="7"/>
    </row>
    <row r="309" spans="2:5">
      <c r="B309" s="6"/>
      <c r="E309" s="7"/>
    </row>
    <row r="310" spans="2:5">
      <c r="B310" s="6"/>
      <c r="E310" s="7"/>
    </row>
    <row r="311" spans="2:5">
      <c r="B311" s="6"/>
      <c r="E311" s="7"/>
    </row>
    <row r="312" spans="2:5">
      <c r="B312" s="6"/>
      <c r="E312" s="7"/>
    </row>
    <row r="313" spans="2:5">
      <c r="B313" s="6"/>
      <c r="E313" s="7"/>
    </row>
    <row r="314" spans="2:5">
      <c r="B314" s="6"/>
      <c r="E314" s="7"/>
    </row>
    <row r="315" spans="2:5">
      <c r="B315" s="6"/>
      <c r="E315" s="7"/>
    </row>
    <row r="316" spans="2:5">
      <c r="B316" s="6"/>
      <c r="E316" s="7"/>
    </row>
    <row r="317" spans="2:5">
      <c r="B317" s="6"/>
      <c r="E317" s="7"/>
    </row>
    <row r="318" spans="2:5">
      <c r="B318" s="6"/>
      <c r="E318" s="7"/>
    </row>
    <row r="319" spans="2:5">
      <c r="B319" s="6"/>
      <c r="E319" s="7"/>
    </row>
    <row r="320" spans="2:5">
      <c r="B320" s="6"/>
      <c r="E320" s="7"/>
    </row>
    <row r="321" spans="2:5">
      <c r="B321" s="6"/>
      <c r="E321" s="7"/>
    </row>
    <row r="322" spans="2:5">
      <c r="B322" s="6"/>
      <c r="E322" s="7"/>
    </row>
    <row r="323" spans="2:5">
      <c r="B323" s="6"/>
      <c r="E323" s="7"/>
    </row>
    <row r="324" spans="2:5">
      <c r="B324" s="6"/>
      <c r="E324" s="7"/>
    </row>
    <row r="325" spans="2:5">
      <c r="B325" s="6"/>
      <c r="E325" s="7"/>
    </row>
    <row r="326" spans="2:5">
      <c r="B326" s="6"/>
      <c r="E326" s="7"/>
    </row>
    <row r="327" spans="2:5">
      <c r="B327" s="6"/>
      <c r="E327" s="7"/>
    </row>
    <row r="328" spans="2:5">
      <c r="B328" s="6"/>
      <c r="E328" s="7"/>
    </row>
    <row r="329" spans="2:5">
      <c r="B329" s="6"/>
      <c r="E329" s="7"/>
    </row>
    <row r="330" spans="2:5">
      <c r="B330" s="6"/>
      <c r="E330" s="7"/>
    </row>
    <row r="331" spans="2:5">
      <c r="B331" s="6"/>
      <c r="E331" s="7"/>
    </row>
    <row r="332" spans="2:5">
      <c r="B332" s="6"/>
      <c r="E332" s="7"/>
    </row>
    <row r="333" spans="2:5">
      <c r="B333" s="6"/>
      <c r="E333" s="7"/>
    </row>
    <row r="334" spans="2:5">
      <c r="B334" s="6"/>
      <c r="E334" s="7"/>
    </row>
    <row r="335" spans="2:5">
      <c r="B335" s="6"/>
      <c r="E335" s="7"/>
    </row>
    <row r="336" spans="2:5">
      <c r="B336" s="6"/>
      <c r="E336" s="7"/>
    </row>
    <row r="337" spans="2:5">
      <c r="B337" s="6"/>
      <c r="E337" s="7"/>
    </row>
    <row r="338" spans="2:5">
      <c r="B338" s="6"/>
      <c r="E338" s="7"/>
    </row>
    <row r="339" spans="2:5">
      <c r="B339" s="6"/>
      <c r="E339" s="7"/>
    </row>
    <row r="340" spans="2:5">
      <c r="B340" s="6"/>
      <c r="E340" s="7"/>
    </row>
    <row r="341" spans="2:5">
      <c r="B341" s="6"/>
      <c r="E341" s="7"/>
    </row>
    <row r="342" spans="2:5">
      <c r="B342" s="6"/>
      <c r="E342" s="7"/>
    </row>
    <row r="343" spans="2:5">
      <c r="B343" s="6"/>
      <c r="E343" s="7"/>
    </row>
    <row r="344" spans="2:5">
      <c r="B344" s="6"/>
      <c r="E344" s="7"/>
    </row>
    <row r="345" spans="2:5">
      <c r="B345" s="6"/>
      <c r="E345" s="7"/>
    </row>
    <row r="346" spans="2:5">
      <c r="B346" s="6"/>
      <c r="E346" s="7"/>
    </row>
    <row r="347" spans="2:5">
      <c r="B347" s="6"/>
      <c r="E347" s="7"/>
    </row>
    <row r="348" spans="2:5">
      <c r="B348" s="6"/>
      <c r="E348" s="7"/>
    </row>
    <row r="349" spans="2:5">
      <c r="B349" s="6"/>
      <c r="E349" s="7"/>
    </row>
    <row r="350" spans="2:5">
      <c r="B350" s="6"/>
      <c r="E350" s="7"/>
    </row>
    <row r="351" spans="2:5">
      <c r="B351" s="6"/>
      <c r="E351" s="7"/>
    </row>
    <row r="352" spans="2:5">
      <c r="B352" s="6"/>
      <c r="E352" s="7"/>
    </row>
    <row r="353" spans="2:5">
      <c r="B353" s="6"/>
      <c r="E353" s="7"/>
    </row>
    <row r="354" spans="2:5">
      <c r="B354" s="6"/>
      <c r="E354" s="7"/>
    </row>
    <row r="355" spans="2:5">
      <c r="B355" s="6"/>
      <c r="E355" s="7"/>
    </row>
    <row r="356" spans="2:5">
      <c r="B356" s="6"/>
      <c r="E356" s="7"/>
    </row>
    <row r="357" spans="2:5">
      <c r="B357" s="6"/>
      <c r="E357" s="7"/>
    </row>
    <row r="358" spans="2:5">
      <c r="B358" s="6"/>
      <c r="E358" s="7"/>
    </row>
    <row r="359" spans="2:5">
      <c r="B359" s="6"/>
      <c r="E359" s="7"/>
    </row>
    <row r="360" spans="2:5">
      <c r="B360" s="6"/>
      <c r="E360" s="7"/>
    </row>
    <row r="361" spans="2:5">
      <c r="B361" s="6"/>
      <c r="E361" s="7"/>
    </row>
    <row r="362" spans="2:5">
      <c r="B362" s="6"/>
      <c r="E362" s="7"/>
    </row>
    <row r="363" spans="2:5">
      <c r="B363" s="6"/>
      <c r="E363" s="7"/>
    </row>
    <row r="364" spans="2:5">
      <c r="B364" s="6"/>
      <c r="E364" s="7"/>
    </row>
    <row r="365" spans="2:5">
      <c r="B365" s="6"/>
      <c r="E365" s="7"/>
    </row>
    <row r="366" spans="2:5">
      <c r="B366" s="6"/>
      <c r="E366" s="7"/>
    </row>
    <row r="367" spans="2:5">
      <c r="B367" s="6"/>
      <c r="E367" s="7"/>
    </row>
    <row r="368" spans="2:5">
      <c r="B368" s="6"/>
      <c r="E368" s="7"/>
    </row>
    <row r="369" spans="2:5">
      <c r="B369" s="6"/>
      <c r="E369" s="7"/>
    </row>
    <row r="370" spans="2:5">
      <c r="B370" s="6"/>
      <c r="E370" s="7"/>
    </row>
    <row r="371" spans="2:5">
      <c r="B371" s="6"/>
      <c r="E371" s="7"/>
    </row>
    <row r="372" spans="2:5">
      <c r="B372" s="6"/>
      <c r="E372" s="7"/>
    </row>
    <row r="373" spans="2:5">
      <c r="B373" s="6"/>
      <c r="E373" s="7"/>
    </row>
    <row r="374" spans="2:5">
      <c r="B374" s="6"/>
      <c r="E374" s="7"/>
    </row>
    <row r="375" spans="2:5">
      <c r="B375" s="6"/>
      <c r="E375" s="7"/>
    </row>
    <row r="376" spans="2:5">
      <c r="B376" s="6"/>
      <c r="E376" s="7"/>
    </row>
    <row r="377" spans="2:5">
      <c r="B377" s="6"/>
      <c r="E377" s="7"/>
    </row>
    <row r="378" spans="2:5">
      <c r="B378" s="6"/>
      <c r="E378" s="7"/>
    </row>
    <row r="379" spans="2:5">
      <c r="B379" s="6"/>
      <c r="E379" s="7"/>
    </row>
    <row r="380" spans="2:5">
      <c r="B380" s="6"/>
      <c r="E380" s="7"/>
    </row>
    <row r="381" spans="2:5">
      <c r="B381" s="6"/>
      <c r="E381" s="7"/>
    </row>
    <row r="382" spans="2:5">
      <c r="B382" s="6"/>
      <c r="E382" s="7"/>
    </row>
    <row r="383" spans="2:5">
      <c r="B383" s="6"/>
      <c r="E383" s="7"/>
    </row>
    <row r="384" spans="2:5">
      <c r="B384" s="6"/>
      <c r="E384" s="7"/>
    </row>
    <row r="385" spans="2:5">
      <c r="B385" s="6"/>
      <c r="E385" s="7"/>
    </row>
    <row r="386" spans="2:5" ht="16.5" thickBot="1">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Background Signal (Dead Value) " prompt="This cell requires the researcher to determine if the background signal (dead) value for this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measured value and error for wild type should be entered in the boxes to the right." sqref="A5" xr:uid="{00000000-0002-0000-0100-000007000000}"/>
    <dataValidation allowBlank="1" showInputMessage="1" showErrorMessage="1" promptTitle="Data for wild type" prompt="Enter the measured value for the wild type protein here." sqref="D5" xr:uid="{00000000-0002-0000-0100-000008000000}"/>
    <dataValidation allowBlank="1" showInputMessage="1" showErrorMessage="1" promptTitle="Error for wild type" prompt="Enter the error for the wild type measured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measured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measured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685-1A60-49A9-9083-FE507C27285E}">
  <dimension ref="A1"/>
  <sheetViews>
    <sheetView workbookViewId="0">
      <selection activeCell="G26" sqref="G26"/>
    </sheetView>
  </sheetViews>
  <sheetFormatPr defaultRowHeight="15.75"/>
  <sheetData>
    <row r="1" spans="1:1">
      <c r="A1" t="s">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heetViews>
  <sheetFormatPr defaultColWidth="11" defaultRowHeight="15.75"/>
  <sheetData>
    <row r="1" spans="1:16">
      <c r="A1" t="s">
        <v>79</v>
      </c>
      <c r="J1" s="2" t="s">
        <v>12</v>
      </c>
      <c r="K1" s="2"/>
      <c r="O1" s="2" t="s">
        <v>78</v>
      </c>
    </row>
    <row r="2" spans="1:16" ht="16.5" thickBot="1">
      <c r="B2" t="s">
        <v>0</v>
      </c>
      <c r="C2" t="s">
        <v>1</v>
      </c>
      <c r="D2" t="s">
        <v>2</v>
      </c>
      <c r="E2" t="s">
        <v>3</v>
      </c>
      <c r="F2" t="s">
        <v>75</v>
      </c>
      <c r="G2" t="s">
        <v>76</v>
      </c>
      <c r="M2" t="s">
        <v>58</v>
      </c>
    </row>
    <row r="3" spans="1:16">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c r="B506" s="6"/>
      <c r="E506" s="7"/>
      <c r="F506" t="str">
        <f t="shared" si="36"/>
        <v/>
      </c>
      <c r="G506" t="str">
        <f t="shared" si="37"/>
        <v/>
      </c>
      <c r="M506" t="b">
        <f t="shared" si="39"/>
        <v>0</v>
      </c>
    </row>
    <row r="507" spans="2:13">
      <c r="B507" s="6"/>
      <c r="E507" s="7"/>
      <c r="F507" t="str">
        <f t="shared" si="36"/>
        <v/>
      </c>
      <c r="G507" t="str">
        <f t="shared" si="37"/>
        <v/>
      </c>
    </row>
    <row r="508" spans="2:13">
      <c r="B508" s="6"/>
      <c r="E508" s="7"/>
      <c r="F508" t="str">
        <f t="shared" si="36"/>
        <v/>
      </c>
      <c r="G508" t="str">
        <f t="shared" si="37"/>
        <v/>
      </c>
    </row>
    <row r="509" spans="2:13">
      <c r="B509" s="6"/>
      <c r="E509" s="7"/>
      <c r="F509" t="str">
        <f t="shared" si="36"/>
        <v/>
      </c>
      <c r="G509" t="str">
        <f t="shared" si="37"/>
        <v/>
      </c>
    </row>
    <row r="510" spans="2:13">
      <c r="B510" s="6"/>
      <c r="E510" s="7"/>
      <c r="F510" t="str">
        <f t="shared" si="36"/>
        <v/>
      </c>
      <c r="G510" t="str">
        <f t="shared" si="37"/>
        <v/>
      </c>
    </row>
    <row r="511" spans="2:13">
      <c r="B511" s="6"/>
      <c r="E511" s="7"/>
      <c r="F511" t="str">
        <f t="shared" si="36"/>
        <v/>
      </c>
      <c r="G511" t="str">
        <f t="shared" si="37"/>
        <v/>
      </c>
    </row>
    <row r="512" spans="2:13">
      <c r="B512" s="6"/>
      <c r="E512" s="7"/>
      <c r="F512" t="str">
        <f t="shared" si="36"/>
        <v/>
      </c>
      <c r="G512" t="str">
        <f t="shared" si="37"/>
        <v/>
      </c>
    </row>
    <row r="513" spans="2:7">
      <c r="B513" s="6"/>
      <c r="E513" s="7"/>
      <c r="F513" t="str">
        <f t="shared" si="36"/>
        <v/>
      </c>
      <c r="G513" t="str">
        <f t="shared" si="37"/>
        <v/>
      </c>
    </row>
    <row r="514" spans="2:7">
      <c r="B514" s="6"/>
      <c r="E514" s="7"/>
      <c r="F514" t="str">
        <f t="shared" si="36"/>
        <v/>
      </c>
      <c r="G514" t="str">
        <f t="shared" si="37"/>
        <v/>
      </c>
    </row>
    <row r="515" spans="2:7">
      <c r="B515" s="6"/>
      <c r="E515" s="7"/>
      <c r="F515" t="str">
        <f t="shared" si="36"/>
        <v/>
      </c>
      <c r="G515" t="str">
        <f t="shared" si="37"/>
        <v/>
      </c>
    </row>
    <row r="516" spans="2:7">
      <c r="B516" s="6"/>
      <c r="E516" s="7"/>
      <c r="F516" t="str">
        <f t="shared" ref="F516:F579" si="41">IF(B516="","",LOG10(D516))</f>
        <v/>
      </c>
      <c r="G516" t="str">
        <f t="shared" ref="G516:G579" si="42">IF(E516="", "",0.434*E516/D516)</f>
        <v/>
      </c>
    </row>
    <row r="517" spans="2:7">
      <c r="B517" s="6"/>
      <c r="E517" s="7"/>
      <c r="F517" t="str">
        <f t="shared" si="41"/>
        <v/>
      </c>
      <c r="G517" t="str">
        <f t="shared" si="42"/>
        <v/>
      </c>
    </row>
    <row r="518" spans="2:7">
      <c r="B518" s="6"/>
      <c r="E518" s="7"/>
      <c r="F518" t="str">
        <f t="shared" si="41"/>
        <v/>
      </c>
      <c r="G518" t="str">
        <f t="shared" si="42"/>
        <v/>
      </c>
    </row>
    <row r="519" spans="2:7">
      <c r="B519" s="6"/>
      <c r="E519" s="7"/>
      <c r="F519" t="str">
        <f t="shared" si="41"/>
        <v/>
      </c>
      <c r="G519" t="str">
        <f t="shared" si="42"/>
        <v/>
      </c>
    </row>
    <row r="520" spans="2:7">
      <c r="B520" s="6"/>
      <c r="E520" s="7"/>
      <c r="F520" t="str">
        <f t="shared" si="41"/>
        <v/>
      </c>
      <c r="G520" t="str">
        <f t="shared" si="42"/>
        <v/>
      </c>
    </row>
    <row r="521" spans="2:7">
      <c r="B521" s="6"/>
      <c r="E521" s="7"/>
      <c r="F521" t="str">
        <f t="shared" si="41"/>
        <v/>
      </c>
      <c r="G521" t="str">
        <f t="shared" si="42"/>
        <v/>
      </c>
    </row>
    <row r="522" spans="2:7">
      <c r="B522" s="6"/>
      <c r="E522" s="7"/>
      <c r="F522" t="str">
        <f t="shared" si="41"/>
        <v/>
      </c>
      <c r="G522" t="str">
        <f t="shared" si="42"/>
        <v/>
      </c>
    </row>
    <row r="523" spans="2:7">
      <c r="B523" s="6"/>
      <c r="E523" s="7"/>
      <c r="F523" t="str">
        <f t="shared" si="41"/>
        <v/>
      </c>
      <c r="G523" t="str">
        <f t="shared" si="42"/>
        <v/>
      </c>
    </row>
    <row r="524" spans="2:7">
      <c r="B524" s="6"/>
      <c r="E524" s="7"/>
      <c r="F524" t="str">
        <f t="shared" si="41"/>
        <v/>
      </c>
      <c r="G524" t="str">
        <f t="shared" si="42"/>
        <v/>
      </c>
    </row>
    <row r="525" spans="2:7">
      <c r="B525" s="6"/>
      <c r="E525" s="7"/>
      <c r="F525" t="str">
        <f t="shared" si="41"/>
        <v/>
      </c>
      <c r="G525" t="str">
        <f t="shared" si="42"/>
        <v/>
      </c>
    </row>
    <row r="526" spans="2:7">
      <c r="B526" s="6"/>
      <c r="E526" s="7"/>
      <c r="F526" t="str">
        <f t="shared" si="41"/>
        <v/>
      </c>
      <c r="G526" t="str">
        <f t="shared" si="42"/>
        <v/>
      </c>
    </row>
    <row r="527" spans="2:7">
      <c r="B527" s="6"/>
      <c r="E527" s="7"/>
      <c r="F527" t="str">
        <f t="shared" si="41"/>
        <v/>
      </c>
      <c r="G527" t="str">
        <f t="shared" si="42"/>
        <v/>
      </c>
    </row>
    <row r="528" spans="2:7">
      <c r="B528" s="6"/>
      <c r="E528" s="7"/>
      <c r="F528" t="str">
        <f t="shared" si="41"/>
        <v/>
      </c>
      <c r="G528" t="str">
        <f t="shared" si="42"/>
        <v/>
      </c>
    </row>
    <row r="529" spans="2:7">
      <c r="B529" s="6"/>
      <c r="E529" s="7"/>
      <c r="F529" t="str">
        <f t="shared" si="41"/>
        <v/>
      </c>
      <c r="G529" t="str">
        <f t="shared" si="42"/>
        <v/>
      </c>
    </row>
    <row r="530" spans="2:7">
      <c r="B530" s="6"/>
      <c r="E530" s="7"/>
      <c r="F530" t="str">
        <f t="shared" si="41"/>
        <v/>
      </c>
      <c r="G530" t="str">
        <f t="shared" si="42"/>
        <v/>
      </c>
    </row>
    <row r="531" spans="2:7">
      <c r="B531" s="6"/>
      <c r="E531" s="7"/>
      <c r="F531" t="str">
        <f t="shared" si="41"/>
        <v/>
      </c>
      <c r="G531" t="str">
        <f t="shared" si="42"/>
        <v/>
      </c>
    </row>
    <row r="532" spans="2:7">
      <c r="B532" s="6"/>
      <c r="E532" s="7"/>
      <c r="F532" t="str">
        <f t="shared" si="41"/>
        <v/>
      </c>
      <c r="G532" t="str">
        <f t="shared" si="42"/>
        <v/>
      </c>
    </row>
    <row r="533" spans="2:7">
      <c r="B533" s="6"/>
      <c r="E533" s="7"/>
      <c r="F533" t="str">
        <f t="shared" si="41"/>
        <v/>
      </c>
      <c r="G533" t="str">
        <f t="shared" si="42"/>
        <v/>
      </c>
    </row>
    <row r="534" spans="2:7">
      <c r="B534" s="6"/>
      <c r="E534" s="7"/>
      <c r="F534" t="str">
        <f t="shared" si="41"/>
        <v/>
      </c>
      <c r="G534" t="str">
        <f t="shared" si="42"/>
        <v/>
      </c>
    </row>
    <row r="535" spans="2:7">
      <c r="B535" s="6"/>
      <c r="E535" s="7"/>
      <c r="F535" t="str">
        <f t="shared" si="41"/>
        <v/>
      </c>
      <c r="G535" t="str">
        <f t="shared" si="42"/>
        <v/>
      </c>
    </row>
    <row r="536" spans="2:7">
      <c r="B536" s="6"/>
      <c r="E536" s="7"/>
      <c r="F536" t="str">
        <f t="shared" si="41"/>
        <v/>
      </c>
      <c r="G536" t="str">
        <f t="shared" si="42"/>
        <v/>
      </c>
    </row>
    <row r="537" spans="2:7">
      <c r="B537" s="6"/>
      <c r="E537" s="7"/>
      <c r="F537" t="str">
        <f t="shared" si="41"/>
        <v/>
      </c>
      <c r="G537" t="str">
        <f t="shared" si="42"/>
        <v/>
      </c>
    </row>
    <row r="538" spans="2:7">
      <c r="B538" s="6"/>
      <c r="E538" s="7"/>
      <c r="F538" t="str">
        <f t="shared" si="41"/>
        <v/>
      </c>
      <c r="G538" t="str">
        <f t="shared" si="42"/>
        <v/>
      </c>
    </row>
    <row r="539" spans="2:7">
      <c r="B539" s="6"/>
      <c r="E539" s="7"/>
      <c r="F539" t="str">
        <f t="shared" si="41"/>
        <v/>
      </c>
      <c r="G539" t="str">
        <f t="shared" si="42"/>
        <v/>
      </c>
    </row>
    <row r="540" spans="2:7">
      <c r="B540" s="6"/>
      <c r="E540" s="7"/>
      <c r="F540" t="str">
        <f t="shared" si="41"/>
        <v/>
      </c>
      <c r="G540" t="str">
        <f t="shared" si="42"/>
        <v/>
      </c>
    </row>
    <row r="541" spans="2:7">
      <c r="B541" s="6"/>
      <c r="E541" s="7"/>
      <c r="F541" t="str">
        <f t="shared" si="41"/>
        <v/>
      </c>
      <c r="G541" t="str">
        <f t="shared" si="42"/>
        <v/>
      </c>
    </row>
    <row r="542" spans="2:7">
      <c r="B542" s="6"/>
      <c r="E542" s="7"/>
      <c r="F542" t="str">
        <f t="shared" si="41"/>
        <v/>
      </c>
      <c r="G542" t="str">
        <f t="shared" si="42"/>
        <v/>
      </c>
    </row>
    <row r="543" spans="2:7">
      <c r="B543" s="6"/>
      <c r="E543" s="7"/>
      <c r="F543" t="str">
        <f t="shared" si="41"/>
        <v/>
      </c>
      <c r="G543" t="str">
        <f t="shared" si="42"/>
        <v/>
      </c>
    </row>
    <row r="544" spans="2:7">
      <c r="B544" s="6"/>
      <c r="E544" s="7"/>
      <c r="F544" t="str">
        <f t="shared" si="41"/>
        <v/>
      </c>
      <c r="G544" t="str">
        <f t="shared" si="42"/>
        <v/>
      </c>
    </row>
    <row r="545" spans="2:7">
      <c r="B545" s="6"/>
      <c r="E545" s="7"/>
      <c r="F545" t="str">
        <f t="shared" si="41"/>
        <v/>
      </c>
      <c r="G545" t="str">
        <f t="shared" si="42"/>
        <v/>
      </c>
    </row>
    <row r="546" spans="2:7">
      <c r="B546" s="6"/>
      <c r="E546" s="7"/>
      <c r="F546" t="str">
        <f t="shared" si="41"/>
        <v/>
      </c>
      <c r="G546" t="str">
        <f t="shared" si="42"/>
        <v/>
      </c>
    </row>
    <row r="547" spans="2:7">
      <c r="B547" s="6"/>
      <c r="E547" s="7"/>
      <c r="F547" t="str">
        <f t="shared" si="41"/>
        <v/>
      </c>
      <c r="G547" t="str">
        <f t="shared" si="42"/>
        <v/>
      </c>
    </row>
    <row r="548" spans="2:7">
      <c r="B548" s="6"/>
      <c r="E548" s="7"/>
      <c r="F548" t="str">
        <f t="shared" si="41"/>
        <v/>
      </c>
      <c r="G548" t="str">
        <f t="shared" si="42"/>
        <v/>
      </c>
    </row>
    <row r="549" spans="2:7">
      <c r="B549" s="6"/>
      <c r="E549" s="7"/>
      <c r="F549" t="str">
        <f t="shared" si="41"/>
        <v/>
      </c>
      <c r="G549" t="str">
        <f t="shared" si="42"/>
        <v/>
      </c>
    </row>
    <row r="550" spans="2:7">
      <c r="B550" s="6"/>
      <c r="E550" s="7"/>
      <c r="F550" t="str">
        <f t="shared" si="41"/>
        <v/>
      </c>
      <c r="G550" t="str">
        <f t="shared" si="42"/>
        <v/>
      </c>
    </row>
    <row r="551" spans="2:7">
      <c r="B551" s="6"/>
      <c r="E551" s="7"/>
      <c r="F551" t="str">
        <f t="shared" si="41"/>
        <v/>
      </c>
      <c r="G551" t="str">
        <f t="shared" si="42"/>
        <v/>
      </c>
    </row>
    <row r="552" spans="2:7">
      <c r="B552" s="6"/>
      <c r="E552" s="7"/>
      <c r="F552" t="str">
        <f t="shared" si="41"/>
        <v/>
      </c>
      <c r="G552" t="str">
        <f t="shared" si="42"/>
        <v/>
      </c>
    </row>
    <row r="553" spans="2:7">
      <c r="B553" s="6"/>
      <c r="E553" s="7"/>
      <c r="F553" t="str">
        <f t="shared" si="41"/>
        <v/>
      </c>
      <c r="G553" t="str">
        <f t="shared" si="42"/>
        <v/>
      </c>
    </row>
    <row r="554" spans="2:7">
      <c r="B554" s="6"/>
      <c r="E554" s="7"/>
      <c r="F554" t="str">
        <f t="shared" si="41"/>
        <v/>
      </c>
      <c r="G554" t="str">
        <f t="shared" si="42"/>
        <v/>
      </c>
    </row>
    <row r="555" spans="2:7">
      <c r="B555" s="6"/>
      <c r="E555" s="7"/>
      <c r="F555" t="str">
        <f t="shared" si="41"/>
        <v/>
      </c>
      <c r="G555" t="str">
        <f t="shared" si="42"/>
        <v/>
      </c>
    </row>
    <row r="556" spans="2:7">
      <c r="B556" s="6"/>
      <c r="E556" s="7"/>
      <c r="F556" t="str">
        <f t="shared" si="41"/>
        <v/>
      </c>
      <c r="G556" t="str">
        <f t="shared" si="42"/>
        <v/>
      </c>
    </row>
    <row r="557" spans="2:7">
      <c r="B557" s="6"/>
      <c r="E557" s="7"/>
      <c r="F557" t="str">
        <f t="shared" si="41"/>
        <v/>
      </c>
      <c r="G557" t="str">
        <f t="shared" si="42"/>
        <v/>
      </c>
    </row>
    <row r="558" spans="2:7">
      <c r="B558" s="6"/>
      <c r="E558" s="7"/>
      <c r="F558" t="str">
        <f t="shared" si="41"/>
        <v/>
      </c>
      <c r="G558" t="str">
        <f t="shared" si="42"/>
        <v/>
      </c>
    </row>
    <row r="559" spans="2:7">
      <c r="B559" s="6"/>
      <c r="E559" s="7"/>
      <c r="F559" t="str">
        <f t="shared" si="41"/>
        <v/>
      </c>
      <c r="G559" t="str">
        <f t="shared" si="42"/>
        <v/>
      </c>
    </row>
    <row r="560" spans="2:7">
      <c r="B560" s="6"/>
      <c r="E560" s="7"/>
      <c r="F560" t="str">
        <f t="shared" si="41"/>
        <v/>
      </c>
      <c r="G560" t="str">
        <f t="shared" si="42"/>
        <v/>
      </c>
    </row>
    <row r="561" spans="2:7">
      <c r="B561" s="6"/>
      <c r="E561" s="7"/>
      <c r="F561" t="str">
        <f t="shared" si="41"/>
        <v/>
      </c>
      <c r="G561" t="str">
        <f t="shared" si="42"/>
        <v/>
      </c>
    </row>
    <row r="562" spans="2:7">
      <c r="B562" s="6"/>
      <c r="E562" s="7"/>
      <c r="F562" t="str">
        <f t="shared" si="41"/>
        <v/>
      </c>
      <c r="G562" t="str">
        <f t="shared" si="42"/>
        <v/>
      </c>
    </row>
    <row r="563" spans="2:7">
      <c r="B563" s="6"/>
      <c r="E563" s="7"/>
      <c r="F563" t="str">
        <f t="shared" si="41"/>
        <v/>
      </c>
      <c r="G563" t="str">
        <f t="shared" si="42"/>
        <v/>
      </c>
    </row>
    <row r="564" spans="2:7">
      <c r="B564" s="6"/>
      <c r="E564" s="7"/>
      <c r="F564" t="str">
        <f t="shared" si="41"/>
        <v/>
      </c>
      <c r="G564" t="str">
        <f t="shared" si="42"/>
        <v/>
      </c>
    </row>
    <row r="565" spans="2:7">
      <c r="B565" s="6"/>
      <c r="E565" s="7"/>
      <c r="F565" t="str">
        <f t="shared" si="41"/>
        <v/>
      </c>
      <c r="G565" t="str">
        <f t="shared" si="42"/>
        <v/>
      </c>
    </row>
    <row r="566" spans="2:7">
      <c r="B566" s="6"/>
      <c r="E566" s="7"/>
      <c r="F566" t="str">
        <f t="shared" si="41"/>
        <v/>
      </c>
      <c r="G566" t="str">
        <f t="shared" si="42"/>
        <v/>
      </c>
    </row>
    <row r="567" spans="2:7">
      <c r="B567" s="6"/>
      <c r="E567" s="7"/>
      <c r="F567" t="str">
        <f t="shared" si="41"/>
        <v/>
      </c>
      <c r="G567" t="str">
        <f t="shared" si="42"/>
        <v/>
      </c>
    </row>
    <row r="568" spans="2:7">
      <c r="B568" s="6"/>
      <c r="E568" s="7"/>
      <c r="F568" t="str">
        <f t="shared" si="41"/>
        <v/>
      </c>
      <c r="G568" t="str">
        <f t="shared" si="42"/>
        <v/>
      </c>
    </row>
    <row r="569" spans="2:7">
      <c r="B569" s="6"/>
      <c r="E569" s="7"/>
      <c r="F569" t="str">
        <f t="shared" si="41"/>
        <v/>
      </c>
      <c r="G569" t="str">
        <f t="shared" si="42"/>
        <v/>
      </c>
    </row>
    <row r="570" spans="2:7">
      <c r="B570" s="6"/>
      <c r="E570" s="7"/>
      <c r="F570" t="str">
        <f t="shared" si="41"/>
        <v/>
      </c>
      <c r="G570" t="str">
        <f t="shared" si="42"/>
        <v/>
      </c>
    </row>
    <row r="571" spans="2:7">
      <c r="B571" s="6"/>
      <c r="E571" s="7"/>
      <c r="F571" t="str">
        <f t="shared" si="41"/>
        <v/>
      </c>
      <c r="G571" t="str">
        <f t="shared" si="42"/>
        <v/>
      </c>
    </row>
    <row r="572" spans="2:7">
      <c r="B572" s="6"/>
      <c r="E572" s="7"/>
      <c r="F572" t="str">
        <f t="shared" si="41"/>
        <v/>
      </c>
      <c r="G572" t="str">
        <f t="shared" si="42"/>
        <v/>
      </c>
    </row>
    <row r="573" spans="2:7">
      <c r="B573" s="6"/>
      <c r="E573" s="7"/>
      <c r="F573" t="str">
        <f t="shared" si="41"/>
        <v/>
      </c>
      <c r="G573" t="str">
        <f t="shared" si="42"/>
        <v/>
      </c>
    </row>
    <row r="574" spans="2:7">
      <c r="B574" s="6"/>
      <c r="E574" s="7"/>
      <c r="F574" t="str">
        <f t="shared" si="41"/>
        <v/>
      </c>
      <c r="G574" t="str">
        <f t="shared" si="42"/>
        <v/>
      </c>
    </row>
    <row r="575" spans="2:7">
      <c r="B575" s="6"/>
      <c r="E575" s="7"/>
      <c r="F575" t="str">
        <f t="shared" si="41"/>
        <v/>
      </c>
      <c r="G575" t="str">
        <f t="shared" si="42"/>
        <v/>
      </c>
    </row>
    <row r="576" spans="2:7">
      <c r="B576" s="6"/>
      <c r="E576" s="7"/>
      <c r="F576" t="str">
        <f t="shared" si="41"/>
        <v/>
      </c>
      <c r="G576" t="str">
        <f t="shared" si="42"/>
        <v/>
      </c>
    </row>
    <row r="577" spans="2:7">
      <c r="B577" s="6"/>
      <c r="E577" s="7"/>
      <c r="F577" t="str">
        <f t="shared" si="41"/>
        <v/>
      </c>
      <c r="G577" t="str">
        <f t="shared" si="42"/>
        <v/>
      </c>
    </row>
    <row r="578" spans="2:7">
      <c r="B578" s="6"/>
      <c r="E578" s="7"/>
      <c r="F578" t="str">
        <f t="shared" si="41"/>
        <v/>
      </c>
      <c r="G578" t="str">
        <f t="shared" si="42"/>
        <v/>
      </c>
    </row>
    <row r="579" spans="2:7">
      <c r="B579" s="6"/>
      <c r="E579" s="7"/>
      <c r="F579" t="str">
        <f t="shared" si="41"/>
        <v/>
      </c>
      <c r="G579" t="str">
        <f t="shared" si="42"/>
        <v/>
      </c>
    </row>
    <row r="580" spans="2:7">
      <c r="B580" s="6"/>
      <c r="E580" s="7"/>
      <c r="F580" t="str">
        <f t="shared" ref="F580:F643" si="43">IF(B580="","",LOG10(D580))</f>
        <v/>
      </c>
      <c r="G580" t="str">
        <f t="shared" ref="G580:G643" si="44">IF(E580="", "",0.434*E580/D580)</f>
        <v/>
      </c>
    </row>
    <row r="581" spans="2:7">
      <c r="B581" s="6"/>
      <c r="E581" s="7"/>
      <c r="F581" t="str">
        <f t="shared" si="43"/>
        <v/>
      </c>
      <c r="G581" t="str">
        <f t="shared" si="44"/>
        <v/>
      </c>
    </row>
    <row r="582" spans="2:7">
      <c r="B582" s="6"/>
      <c r="E582" s="7"/>
      <c r="F582" t="str">
        <f t="shared" si="43"/>
        <v/>
      </c>
      <c r="G582" t="str">
        <f t="shared" si="44"/>
        <v/>
      </c>
    </row>
    <row r="583" spans="2:7">
      <c r="B583" s="6"/>
      <c r="E583" s="7"/>
      <c r="F583" t="str">
        <f t="shared" si="43"/>
        <v/>
      </c>
      <c r="G583" t="str">
        <f t="shared" si="44"/>
        <v/>
      </c>
    </row>
    <row r="584" spans="2:7">
      <c r="B584" s="6"/>
      <c r="E584" s="7"/>
      <c r="F584" t="str">
        <f t="shared" si="43"/>
        <v/>
      </c>
      <c r="G584" t="str">
        <f t="shared" si="44"/>
        <v/>
      </c>
    </row>
    <row r="585" spans="2:7">
      <c r="B585" s="6"/>
      <c r="E585" s="7"/>
      <c r="F585" t="str">
        <f t="shared" si="43"/>
        <v/>
      </c>
      <c r="G585" t="str">
        <f t="shared" si="44"/>
        <v/>
      </c>
    </row>
    <row r="586" spans="2:7">
      <c r="B586" s="6"/>
      <c r="E586" s="7"/>
      <c r="F586" t="str">
        <f t="shared" si="43"/>
        <v/>
      </c>
      <c r="G586" t="str">
        <f t="shared" si="44"/>
        <v/>
      </c>
    </row>
    <row r="587" spans="2:7">
      <c r="B587" s="6"/>
      <c r="E587" s="7"/>
      <c r="F587" t="str">
        <f t="shared" si="43"/>
        <v/>
      </c>
      <c r="G587" t="str">
        <f t="shared" si="44"/>
        <v/>
      </c>
    </row>
    <row r="588" spans="2:7">
      <c r="B588" s="6"/>
      <c r="E588" s="7"/>
      <c r="F588" t="str">
        <f t="shared" si="43"/>
        <v/>
      </c>
      <c r="G588" t="str">
        <f t="shared" si="44"/>
        <v/>
      </c>
    </row>
    <row r="589" spans="2:7">
      <c r="B589" s="6"/>
      <c r="E589" s="7"/>
      <c r="F589" t="str">
        <f t="shared" si="43"/>
        <v/>
      </c>
      <c r="G589" t="str">
        <f t="shared" si="44"/>
        <v/>
      </c>
    </row>
    <row r="590" spans="2:7">
      <c r="B590" s="6"/>
      <c r="E590" s="7"/>
      <c r="F590" t="str">
        <f t="shared" si="43"/>
        <v/>
      </c>
      <c r="G590" t="str">
        <f t="shared" si="44"/>
        <v/>
      </c>
    </row>
    <row r="591" spans="2:7">
      <c r="B591" s="6"/>
      <c r="E591" s="7"/>
      <c r="F591" t="str">
        <f t="shared" si="43"/>
        <v/>
      </c>
      <c r="G591" t="str">
        <f t="shared" si="44"/>
        <v/>
      </c>
    </row>
    <row r="592" spans="2:7">
      <c r="B592" s="6"/>
      <c r="E592" s="7"/>
      <c r="F592" t="str">
        <f t="shared" si="43"/>
        <v/>
      </c>
      <c r="G592" t="str">
        <f t="shared" si="44"/>
        <v/>
      </c>
    </row>
    <row r="593" spans="2:7">
      <c r="B593" s="6"/>
      <c r="E593" s="7"/>
      <c r="F593" t="str">
        <f t="shared" si="43"/>
        <v/>
      </c>
      <c r="G593" t="str">
        <f t="shared" si="44"/>
        <v/>
      </c>
    </row>
    <row r="594" spans="2:7">
      <c r="B594" s="6"/>
      <c r="E594" s="7"/>
      <c r="F594" t="str">
        <f t="shared" si="43"/>
        <v/>
      </c>
      <c r="G594" t="str">
        <f t="shared" si="44"/>
        <v/>
      </c>
    </row>
    <row r="595" spans="2:7">
      <c r="B595" s="6"/>
      <c r="E595" s="7"/>
      <c r="F595" t="str">
        <f t="shared" si="43"/>
        <v/>
      </c>
      <c r="G595" t="str">
        <f t="shared" si="44"/>
        <v/>
      </c>
    </row>
    <row r="596" spans="2:7">
      <c r="B596" s="6"/>
      <c r="E596" s="7"/>
      <c r="F596" t="str">
        <f t="shared" si="43"/>
        <v/>
      </c>
      <c r="G596" t="str">
        <f t="shared" si="44"/>
        <v/>
      </c>
    </row>
    <row r="597" spans="2:7">
      <c r="B597" s="6"/>
      <c r="E597" s="7"/>
      <c r="F597" t="str">
        <f t="shared" si="43"/>
        <v/>
      </c>
      <c r="G597" t="str">
        <f t="shared" si="44"/>
        <v/>
      </c>
    </row>
    <row r="598" spans="2:7">
      <c r="B598" s="6"/>
      <c r="E598" s="7"/>
      <c r="F598" t="str">
        <f t="shared" si="43"/>
        <v/>
      </c>
      <c r="G598" t="str">
        <f t="shared" si="44"/>
        <v/>
      </c>
    </row>
    <row r="599" spans="2:7">
      <c r="B599" s="6"/>
      <c r="E599" s="7"/>
      <c r="F599" t="str">
        <f t="shared" si="43"/>
        <v/>
      </c>
      <c r="G599" t="str">
        <f t="shared" si="44"/>
        <v/>
      </c>
    </row>
    <row r="600" spans="2:7">
      <c r="B600" s="6"/>
      <c r="E600" s="7"/>
      <c r="F600" t="str">
        <f t="shared" si="43"/>
        <v/>
      </c>
      <c r="G600" t="str">
        <f t="shared" si="44"/>
        <v/>
      </c>
    </row>
    <row r="601" spans="2:7">
      <c r="B601" s="6"/>
      <c r="E601" s="7"/>
      <c r="F601" t="str">
        <f t="shared" si="43"/>
        <v/>
      </c>
      <c r="G601" t="str">
        <f t="shared" si="44"/>
        <v/>
      </c>
    </row>
    <row r="602" spans="2:7">
      <c r="B602" s="6"/>
      <c r="E602" s="7"/>
      <c r="F602" t="str">
        <f t="shared" si="43"/>
        <v/>
      </c>
      <c r="G602" t="str">
        <f t="shared" si="44"/>
        <v/>
      </c>
    </row>
    <row r="603" spans="2:7">
      <c r="B603" s="6"/>
      <c r="E603" s="7"/>
      <c r="F603" t="str">
        <f t="shared" si="43"/>
        <v/>
      </c>
      <c r="G603" t="str">
        <f t="shared" si="44"/>
        <v/>
      </c>
    </row>
    <row r="604" spans="2:7">
      <c r="B604" s="6"/>
      <c r="E604" s="7"/>
      <c r="F604" t="str">
        <f t="shared" si="43"/>
        <v/>
      </c>
      <c r="G604" t="str">
        <f t="shared" si="44"/>
        <v/>
      </c>
    </row>
    <row r="605" spans="2:7">
      <c r="B605" s="6"/>
      <c r="E605" s="7"/>
      <c r="F605" t="str">
        <f t="shared" si="43"/>
        <v/>
      </c>
      <c r="G605" t="str">
        <f t="shared" si="44"/>
        <v/>
      </c>
    </row>
    <row r="606" spans="2:7">
      <c r="B606" s="6"/>
      <c r="E606" s="7"/>
      <c r="F606" t="str">
        <f t="shared" si="43"/>
        <v/>
      </c>
      <c r="G606" t="str">
        <f t="shared" si="44"/>
        <v/>
      </c>
    </row>
    <row r="607" spans="2:7">
      <c r="B607" s="6"/>
      <c r="E607" s="7"/>
      <c r="F607" t="str">
        <f t="shared" si="43"/>
        <v/>
      </c>
      <c r="G607" t="str">
        <f t="shared" si="44"/>
        <v/>
      </c>
    </row>
    <row r="608" spans="2:7">
      <c r="B608" s="6"/>
      <c r="E608" s="7"/>
      <c r="F608" t="str">
        <f t="shared" si="43"/>
        <v/>
      </c>
      <c r="G608" t="str">
        <f t="shared" si="44"/>
        <v/>
      </c>
    </row>
    <row r="609" spans="2:7">
      <c r="B609" s="6"/>
      <c r="E609" s="7"/>
      <c r="F609" t="str">
        <f t="shared" si="43"/>
        <v/>
      </c>
      <c r="G609" t="str">
        <f t="shared" si="44"/>
        <v/>
      </c>
    </row>
    <row r="610" spans="2:7">
      <c r="B610" s="6"/>
      <c r="E610" s="7"/>
      <c r="F610" t="str">
        <f t="shared" si="43"/>
        <v/>
      </c>
      <c r="G610" t="str">
        <f t="shared" si="44"/>
        <v/>
      </c>
    </row>
    <row r="611" spans="2:7">
      <c r="B611" s="6"/>
      <c r="E611" s="7"/>
      <c r="F611" t="str">
        <f t="shared" si="43"/>
        <v/>
      </c>
      <c r="G611" t="str">
        <f t="shared" si="44"/>
        <v/>
      </c>
    </row>
    <row r="612" spans="2:7">
      <c r="B612" s="6"/>
      <c r="E612" s="7"/>
      <c r="F612" t="str">
        <f t="shared" si="43"/>
        <v/>
      </c>
      <c r="G612" t="str">
        <f t="shared" si="44"/>
        <v/>
      </c>
    </row>
    <row r="613" spans="2:7">
      <c r="B613" s="6"/>
      <c r="E613" s="7"/>
      <c r="F613" t="str">
        <f t="shared" si="43"/>
        <v/>
      </c>
      <c r="G613" t="str">
        <f t="shared" si="44"/>
        <v/>
      </c>
    </row>
    <row r="614" spans="2:7">
      <c r="B614" s="6"/>
      <c r="E614" s="7"/>
      <c r="F614" t="str">
        <f t="shared" si="43"/>
        <v/>
      </c>
      <c r="G614" t="str">
        <f t="shared" si="44"/>
        <v/>
      </c>
    </row>
    <row r="615" spans="2:7">
      <c r="B615" s="6"/>
      <c r="E615" s="7"/>
      <c r="F615" t="str">
        <f t="shared" si="43"/>
        <v/>
      </c>
      <c r="G615" t="str">
        <f t="shared" si="44"/>
        <v/>
      </c>
    </row>
    <row r="616" spans="2:7">
      <c r="B616" s="6"/>
      <c r="E616" s="7"/>
      <c r="F616" t="str">
        <f t="shared" si="43"/>
        <v/>
      </c>
      <c r="G616" t="str">
        <f t="shared" si="44"/>
        <v/>
      </c>
    </row>
    <row r="617" spans="2:7">
      <c r="B617" s="6"/>
      <c r="E617" s="7"/>
      <c r="F617" t="str">
        <f t="shared" si="43"/>
        <v/>
      </c>
      <c r="G617" t="str">
        <f t="shared" si="44"/>
        <v/>
      </c>
    </row>
    <row r="618" spans="2:7">
      <c r="B618" s="6"/>
      <c r="E618" s="7"/>
      <c r="F618" t="str">
        <f t="shared" si="43"/>
        <v/>
      </c>
      <c r="G618" t="str">
        <f t="shared" si="44"/>
        <v/>
      </c>
    </row>
    <row r="619" spans="2:7">
      <c r="B619" s="6"/>
      <c r="E619" s="7"/>
      <c r="F619" t="str">
        <f t="shared" si="43"/>
        <v/>
      </c>
      <c r="G619" t="str">
        <f t="shared" si="44"/>
        <v/>
      </c>
    </row>
    <row r="620" spans="2:7">
      <c r="B620" s="6"/>
      <c r="E620" s="7"/>
      <c r="F620" t="str">
        <f t="shared" si="43"/>
        <v/>
      </c>
      <c r="G620" t="str">
        <f t="shared" si="44"/>
        <v/>
      </c>
    </row>
    <row r="621" spans="2:7">
      <c r="B621" s="6"/>
      <c r="E621" s="7"/>
      <c r="F621" t="str">
        <f t="shared" si="43"/>
        <v/>
      </c>
      <c r="G621" t="str">
        <f t="shared" si="44"/>
        <v/>
      </c>
    </row>
    <row r="622" spans="2:7">
      <c r="B622" s="6"/>
      <c r="E622" s="7"/>
      <c r="F622" t="str">
        <f t="shared" si="43"/>
        <v/>
      </c>
      <c r="G622" t="str">
        <f t="shared" si="44"/>
        <v/>
      </c>
    </row>
    <row r="623" spans="2:7">
      <c r="B623" s="6"/>
      <c r="E623" s="7"/>
      <c r="F623" t="str">
        <f t="shared" si="43"/>
        <v/>
      </c>
      <c r="G623" t="str">
        <f t="shared" si="44"/>
        <v/>
      </c>
    </row>
    <row r="624" spans="2:7">
      <c r="B624" s="6"/>
      <c r="E624" s="7"/>
      <c r="F624" t="str">
        <f t="shared" si="43"/>
        <v/>
      </c>
      <c r="G624" t="str">
        <f t="shared" si="44"/>
        <v/>
      </c>
    </row>
    <row r="625" spans="2:7">
      <c r="B625" s="6"/>
      <c r="E625" s="7"/>
      <c r="F625" t="str">
        <f t="shared" si="43"/>
        <v/>
      </c>
      <c r="G625" t="str">
        <f t="shared" si="44"/>
        <v/>
      </c>
    </row>
    <row r="626" spans="2:7">
      <c r="B626" s="6"/>
      <c r="E626" s="7"/>
      <c r="F626" t="str">
        <f t="shared" si="43"/>
        <v/>
      </c>
      <c r="G626" t="str">
        <f t="shared" si="44"/>
        <v/>
      </c>
    </row>
    <row r="627" spans="2:7">
      <c r="B627" s="6"/>
      <c r="E627" s="7"/>
      <c r="F627" t="str">
        <f t="shared" si="43"/>
        <v/>
      </c>
      <c r="G627" t="str">
        <f t="shared" si="44"/>
        <v/>
      </c>
    </row>
    <row r="628" spans="2:7">
      <c r="B628" s="6"/>
      <c r="E628" s="7"/>
      <c r="F628" t="str">
        <f t="shared" si="43"/>
        <v/>
      </c>
      <c r="G628" t="str">
        <f t="shared" si="44"/>
        <v/>
      </c>
    </row>
    <row r="629" spans="2:7">
      <c r="B629" s="6"/>
      <c r="E629" s="7"/>
      <c r="F629" t="str">
        <f t="shared" si="43"/>
        <v/>
      </c>
      <c r="G629" t="str">
        <f t="shared" si="44"/>
        <v/>
      </c>
    </row>
    <row r="630" spans="2:7">
      <c r="B630" s="6"/>
      <c r="E630" s="7"/>
      <c r="F630" t="str">
        <f t="shared" si="43"/>
        <v/>
      </c>
      <c r="G630" t="str">
        <f t="shared" si="44"/>
        <v/>
      </c>
    </row>
    <row r="631" spans="2:7">
      <c r="B631" s="6"/>
      <c r="E631" s="7"/>
      <c r="F631" t="str">
        <f t="shared" si="43"/>
        <v/>
      </c>
      <c r="G631" t="str">
        <f t="shared" si="44"/>
        <v/>
      </c>
    </row>
    <row r="632" spans="2:7">
      <c r="B632" s="6"/>
      <c r="E632" s="7"/>
      <c r="F632" t="str">
        <f t="shared" si="43"/>
        <v/>
      </c>
      <c r="G632" t="str">
        <f t="shared" si="44"/>
        <v/>
      </c>
    </row>
    <row r="633" spans="2:7">
      <c r="B633" s="6"/>
      <c r="E633" s="7"/>
      <c r="F633" t="str">
        <f t="shared" si="43"/>
        <v/>
      </c>
      <c r="G633" t="str">
        <f t="shared" si="44"/>
        <v/>
      </c>
    </row>
    <row r="634" spans="2:7">
      <c r="B634" s="6"/>
      <c r="E634" s="7"/>
      <c r="F634" t="str">
        <f t="shared" si="43"/>
        <v/>
      </c>
      <c r="G634" t="str">
        <f t="shared" si="44"/>
        <v/>
      </c>
    </row>
    <row r="635" spans="2:7">
      <c r="B635" s="6"/>
      <c r="E635" s="7"/>
      <c r="F635" t="str">
        <f t="shared" si="43"/>
        <v/>
      </c>
      <c r="G635" t="str">
        <f t="shared" si="44"/>
        <v/>
      </c>
    </row>
    <row r="636" spans="2:7">
      <c r="B636" s="6"/>
      <c r="E636" s="7"/>
      <c r="F636" t="str">
        <f t="shared" si="43"/>
        <v/>
      </c>
      <c r="G636" t="str">
        <f t="shared" si="44"/>
        <v/>
      </c>
    </row>
    <row r="637" spans="2:7">
      <c r="B637" s="6"/>
      <c r="E637" s="7"/>
      <c r="F637" t="str">
        <f t="shared" si="43"/>
        <v/>
      </c>
      <c r="G637" t="str">
        <f t="shared" si="44"/>
        <v/>
      </c>
    </row>
    <row r="638" spans="2:7">
      <c r="B638" s="6"/>
      <c r="E638" s="7"/>
      <c r="F638" t="str">
        <f t="shared" si="43"/>
        <v/>
      </c>
      <c r="G638" t="str">
        <f t="shared" si="44"/>
        <v/>
      </c>
    </row>
    <row r="639" spans="2:7">
      <c r="B639" s="6"/>
      <c r="E639" s="7"/>
      <c r="F639" t="str">
        <f t="shared" si="43"/>
        <v/>
      </c>
      <c r="G639" t="str">
        <f t="shared" si="44"/>
        <v/>
      </c>
    </row>
    <row r="640" spans="2:7">
      <c r="B640" s="6"/>
      <c r="E640" s="7"/>
      <c r="F640" t="str">
        <f t="shared" si="43"/>
        <v/>
      </c>
      <c r="G640" t="str">
        <f t="shared" si="44"/>
        <v/>
      </c>
    </row>
    <row r="641" spans="2:7">
      <c r="B641" s="6"/>
      <c r="E641" s="7"/>
      <c r="F641" t="str">
        <f t="shared" si="43"/>
        <v/>
      </c>
      <c r="G641" t="str">
        <f t="shared" si="44"/>
        <v/>
      </c>
    </row>
    <row r="642" spans="2:7">
      <c r="B642" s="6"/>
      <c r="E642" s="7"/>
      <c r="F642" t="str">
        <f t="shared" si="43"/>
        <v/>
      </c>
      <c r="G642" t="str">
        <f t="shared" si="44"/>
        <v/>
      </c>
    </row>
    <row r="643" spans="2:7">
      <c r="B643" s="6"/>
      <c r="E643" s="7"/>
      <c r="F643" t="str">
        <f t="shared" si="43"/>
        <v/>
      </c>
      <c r="G643" t="str">
        <f t="shared" si="44"/>
        <v/>
      </c>
    </row>
    <row r="644" spans="2:7">
      <c r="B644" s="6"/>
      <c r="E644" s="7"/>
      <c r="F644" t="str">
        <f t="shared" ref="F644:F707" si="45">IF(B644="","",LOG10(D644))</f>
        <v/>
      </c>
      <c r="G644" t="str">
        <f t="shared" ref="G644:G707" si="46">IF(E644="", "",0.434*E644/D644)</f>
        <v/>
      </c>
    </row>
    <row r="645" spans="2:7">
      <c r="B645" s="6"/>
      <c r="E645" s="7"/>
      <c r="F645" t="str">
        <f t="shared" si="45"/>
        <v/>
      </c>
      <c r="G645" t="str">
        <f t="shared" si="46"/>
        <v/>
      </c>
    </row>
    <row r="646" spans="2:7">
      <c r="B646" s="6"/>
      <c r="E646" s="7"/>
      <c r="F646" t="str">
        <f t="shared" si="45"/>
        <v/>
      </c>
      <c r="G646" t="str">
        <f t="shared" si="46"/>
        <v/>
      </c>
    </row>
    <row r="647" spans="2:7">
      <c r="B647" s="6"/>
      <c r="E647" s="7"/>
      <c r="F647" t="str">
        <f t="shared" si="45"/>
        <v/>
      </c>
      <c r="G647" t="str">
        <f t="shared" si="46"/>
        <v/>
      </c>
    </row>
    <row r="648" spans="2:7">
      <c r="B648" s="6"/>
      <c r="E648" s="7"/>
      <c r="F648" t="str">
        <f t="shared" si="45"/>
        <v/>
      </c>
      <c r="G648" t="str">
        <f t="shared" si="46"/>
        <v/>
      </c>
    </row>
    <row r="649" spans="2:7">
      <c r="B649" s="6"/>
      <c r="E649" s="7"/>
      <c r="F649" t="str">
        <f t="shared" si="45"/>
        <v/>
      </c>
      <c r="G649" t="str">
        <f t="shared" si="46"/>
        <v/>
      </c>
    </row>
    <row r="650" spans="2:7">
      <c r="B650" s="6"/>
      <c r="E650" s="7"/>
      <c r="F650" t="str">
        <f t="shared" si="45"/>
        <v/>
      </c>
      <c r="G650" t="str">
        <f t="shared" si="46"/>
        <v/>
      </c>
    </row>
    <row r="651" spans="2:7">
      <c r="B651" s="6"/>
      <c r="E651" s="7"/>
      <c r="F651" t="str">
        <f t="shared" si="45"/>
        <v/>
      </c>
      <c r="G651" t="str">
        <f t="shared" si="46"/>
        <v/>
      </c>
    </row>
    <row r="652" spans="2:7">
      <c r="B652" s="6"/>
      <c r="E652" s="7"/>
      <c r="F652" t="str">
        <f t="shared" si="45"/>
        <v/>
      </c>
      <c r="G652" t="str">
        <f t="shared" si="46"/>
        <v/>
      </c>
    </row>
    <row r="653" spans="2:7">
      <c r="B653" s="6"/>
      <c r="E653" s="7"/>
      <c r="F653" t="str">
        <f t="shared" si="45"/>
        <v/>
      </c>
      <c r="G653" t="str">
        <f t="shared" si="46"/>
        <v/>
      </c>
    </row>
    <row r="654" spans="2:7">
      <c r="B654" s="6"/>
      <c r="E654" s="7"/>
      <c r="F654" t="str">
        <f t="shared" si="45"/>
        <v/>
      </c>
      <c r="G654" t="str">
        <f t="shared" si="46"/>
        <v/>
      </c>
    </row>
    <row r="655" spans="2:7">
      <c r="B655" s="6"/>
      <c r="E655" s="7"/>
      <c r="F655" t="str">
        <f t="shared" si="45"/>
        <v/>
      </c>
      <c r="G655" t="str">
        <f t="shared" si="46"/>
        <v/>
      </c>
    </row>
    <row r="656" spans="2:7">
      <c r="B656" s="6"/>
      <c r="E656" s="7"/>
      <c r="F656" t="str">
        <f t="shared" si="45"/>
        <v/>
      </c>
      <c r="G656" t="str">
        <f t="shared" si="46"/>
        <v/>
      </c>
    </row>
    <row r="657" spans="2:7">
      <c r="B657" s="6"/>
      <c r="E657" s="7"/>
      <c r="F657" t="str">
        <f t="shared" si="45"/>
        <v/>
      </c>
      <c r="G657" t="str">
        <f t="shared" si="46"/>
        <v/>
      </c>
    </row>
    <row r="658" spans="2:7">
      <c r="B658" s="6"/>
      <c r="E658" s="7"/>
      <c r="F658" t="str">
        <f t="shared" si="45"/>
        <v/>
      </c>
      <c r="G658" t="str">
        <f t="shared" si="46"/>
        <v/>
      </c>
    </row>
    <row r="659" spans="2:7">
      <c r="B659" s="6"/>
      <c r="E659" s="7"/>
      <c r="F659" t="str">
        <f t="shared" si="45"/>
        <v/>
      </c>
      <c r="G659" t="str">
        <f t="shared" si="46"/>
        <v/>
      </c>
    </row>
    <row r="660" spans="2:7">
      <c r="B660" s="6"/>
      <c r="E660" s="7"/>
      <c r="F660" t="str">
        <f t="shared" si="45"/>
        <v/>
      </c>
      <c r="G660" t="str">
        <f t="shared" si="46"/>
        <v/>
      </c>
    </row>
    <row r="661" spans="2:7">
      <c r="B661" s="6"/>
      <c r="E661" s="7"/>
      <c r="F661" t="str">
        <f t="shared" si="45"/>
        <v/>
      </c>
      <c r="G661" t="str">
        <f t="shared" si="46"/>
        <v/>
      </c>
    </row>
    <row r="662" spans="2:7">
      <c r="B662" s="6"/>
      <c r="E662" s="7"/>
      <c r="F662" t="str">
        <f t="shared" si="45"/>
        <v/>
      </c>
      <c r="G662" t="str">
        <f t="shared" si="46"/>
        <v/>
      </c>
    </row>
    <row r="663" spans="2:7">
      <c r="B663" s="6"/>
      <c r="E663" s="7"/>
      <c r="F663" t="str">
        <f t="shared" si="45"/>
        <v/>
      </c>
      <c r="G663" t="str">
        <f t="shared" si="46"/>
        <v/>
      </c>
    </row>
    <row r="664" spans="2:7">
      <c r="B664" s="6"/>
      <c r="E664" s="7"/>
      <c r="F664" t="str">
        <f t="shared" si="45"/>
        <v/>
      </c>
      <c r="G664" t="str">
        <f t="shared" si="46"/>
        <v/>
      </c>
    </row>
    <row r="665" spans="2:7">
      <c r="B665" s="6"/>
      <c r="E665" s="7"/>
      <c r="F665" t="str">
        <f t="shared" si="45"/>
        <v/>
      </c>
      <c r="G665" t="str">
        <f t="shared" si="46"/>
        <v/>
      </c>
    </row>
    <row r="666" spans="2:7">
      <c r="B666" s="6"/>
      <c r="E666" s="7"/>
      <c r="F666" t="str">
        <f t="shared" si="45"/>
        <v/>
      </c>
      <c r="G666" t="str">
        <f t="shared" si="46"/>
        <v/>
      </c>
    </row>
    <row r="667" spans="2:7">
      <c r="B667" s="6"/>
      <c r="E667" s="7"/>
      <c r="F667" t="str">
        <f t="shared" si="45"/>
        <v/>
      </c>
      <c r="G667" t="str">
        <f t="shared" si="46"/>
        <v/>
      </c>
    </row>
    <row r="668" spans="2:7">
      <c r="B668" s="6"/>
      <c r="E668" s="7"/>
      <c r="F668" t="str">
        <f t="shared" si="45"/>
        <v/>
      </c>
      <c r="G668" t="str">
        <f t="shared" si="46"/>
        <v/>
      </c>
    </row>
    <row r="669" spans="2:7">
      <c r="B669" s="6"/>
      <c r="E669" s="7"/>
      <c r="F669" t="str">
        <f t="shared" si="45"/>
        <v/>
      </c>
      <c r="G669" t="str">
        <f t="shared" si="46"/>
        <v/>
      </c>
    </row>
    <row r="670" spans="2:7">
      <c r="B670" s="6"/>
      <c r="E670" s="7"/>
      <c r="F670" t="str">
        <f t="shared" si="45"/>
        <v/>
      </c>
      <c r="G670" t="str">
        <f t="shared" si="46"/>
        <v/>
      </c>
    </row>
    <row r="671" spans="2:7">
      <c r="B671" s="6"/>
      <c r="E671" s="7"/>
      <c r="F671" t="str">
        <f t="shared" si="45"/>
        <v/>
      </c>
      <c r="G671" t="str">
        <f t="shared" si="46"/>
        <v/>
      </c>
    </row>
    <row r="672" spans="2:7">
      <c r="B672" s="6"/>
      <c r="E672" s="7"/>
      <c r="F672" t="str">
        <f t="shared" si="45"/>
        <v/>
      </c>
      <c r="G672" t="str">
        <f t="shared" si="46"/>
        <v/>
      </c>
    </row>
    <row r="673" spans="2:7">
      <c r="B673" s="6"/>
      <c r="E673" s="7"/>
      <c r="F673" t="str">
        <f t="shared" si="45"/>
        <v/>
      </c>
      <c r="G673" t="str">
        <f t="shared" si="46"/>
        <v/>
      </c>
    </row>
    <row r="674" spans="2:7">
      <c r="B674" s="6"/>
      <c r="E674" s="7"/>
      <c r="F674" t="str">
        <f t="shared" si="45"/>
        <v/>
      </c>
      <c r="G674" t="str">
        <f t="shared" si="46"/>
        <v/>
      </c>
    </row>
    <row r="675" spans="2:7">
      <c r="B675" s="6"/>
      <c r="E675" s="7"/>
      <c r="F675" t="str">
        <f t="shared" si="45"/>
        <v/>
      </c>
      <c r="G675" t="str">
        <f t="shared" si="46"/>
        <v/>
      </c>
    </row>
    <row r="676" spans="2:7">
      <c r="B676" s="6"/>
      <c r="E676" s="7"/>
      <c r="F676" t="str">
        <f t="shared" si="45"/>
        <v/>
      </c>
      <c r="G676" t="str">
        <f t="shared" si="46"/>
        <v/>
      </c>
    </row>
    <row r="677" spans="2:7">
      <c r="B677" s="6"/>
      <c r="E677" s="7"/>
      <c r="F677" t="str">
        <f t="shared" si="45"/>
        <v/>
      </c>
      <c r="G677" t="str">
        <f t="shared" si="46"/>
        <v/>
      </c>
    </row>
    <row r="678" spans="2:7">
      <c r="B678" s="6"/>
      <c r="E678" s="7"/>
      <c r="F678" t="str">
        <f t="shared" si="45"/>
        <v/>
      </c>
      <c r="G678" t="str">
        <f t="shared" si="46"/>
        <v/>
      </c>
    </row>
    <row r="679" spans="2:7">
      <c r="B679" s="6"/>
      <c r="E679" s="7"/>
      <c r="F679" t="str">
        <f t="shared" si="45"/>
        <v/>
      </c>
      <c r="G679" t="str">
        <f t="shared" si="46"/>
        <v/>
      </c>
    </row>
    <row r="680" spans="2:7">
      <c r="B680" s="6"/>
      <c r="E680" s="7"/>
      <c r="F680" t="str">
        <f t="shared" si="45"/>
        <v/>
      </c>
      <c r="G680" t="str">
        <f t="shared" si="46"/>
        <v/>
      </c>
    </row>
    <row r="681" spans="2:7">
      <c r="B681" s="6"/>
      <c r="E681" s="7"/>
      <c r="F681" t="str">
        <f t="shared" si="45"/>
        <v/>
      </c>
      <c r="G681" t="str">
        <f t="shared" si="46"/>
        <v/>
      </c>
    </row>
    <row r="682" spans="2:7">
      <c r="B682" s="6"/>
      <c r="E682" s="7"/>
      <c r="F682" t="str">
        <f t="shared" si="45"/>
        <v/>
      </c>
      <c r="G682" t="str">
        <f t="shared" si="46"/>
        <v/>
      </c>
    </row>
    <row r="683" spans="2:7">
      <c r="B683" s="6"/>
      <c r="E683" s="7"/>
      <c r="F683" t="str">
        <f t="shared" si="45"/>
        <v/>
      </c>
      <c r="G683" t="str">
        <f t="shared" si="46"/>
        <v/>
      </c>
    </row>
    <row r="684" spans="2:7">
      <c r="B684" s="6"/>
      <c r="E684" s="7"/>
      <c r="F684" t="str">
        <f t="shared" si="45"/>
        <v/>
      </c>
      <c r="G684" t="str">
        <f t="shared" si="46"/>
        <v/>
      </c>
    </row>
    <row r="685" spans="2:7">
      <c r="B685" s="6"/>
      <c r="E685" s="7"/>
      <c r="F685" t="str">
        <f t="shared" si="45"/>
        <v/>
      </c>
      <c r="G685" t="str">
        <f t="shared" si="46"/>
        <v/>
      </c>
    </row>
    <row r="686" spans="2:7">
      <c r="B686" s="6"/>
      <c r="E686" s="7"/>
      <c r="F686" t="str">
        <f t="shared" si="45"/>
        <v/>
      </c>
      <c r="G686" t="str">
        <f t="shared" si="46"/>
        <v/>
      </c>
    </row>
    <row r="687" spans="2:7">
      <c r="B687" s="6"/>
      <c r="E687" s="7"/>
      <c r="F687" t="str">
        <f t="shared" si="45"/>
        <v/>
      </c>
      <c r="G687" t="str">
        <f t="shared" si="46"/>
        <v/>
      </c>
    </row>
    <row r="688" spans="2:7">
      <c r="B688" s="6"/>
      <c r="E688" s="7"/>
      <c r="F688" t="str">
        <f t="shared" si="45"/>
        <v/>
      </c>
      <c r="G688" t="str">
        <f t="shared" si="46"/>
        <v/>
      </c>
    </row>
    <row r="689" spans="2:7">
      <c r="B689" s="6"/>
      <c r="E689" s="7"/>
      <c r="F689" t="str">
        <f t="shared" si="45"/>
        <v/>
      </c>
      <c r="G689" t="str">
        <f t="shared" si="46"/>
        <v/>
      </c>
    </row>
    <row r="690" spans="2:7">
      <c r="B690" s="6"/>
      <c r="E690" s="7"/>
      <c r="F690" t="str">
        <f t="shared" si="45"/>
        <v/>
      </c>
      <c r="G690" t="str">
        <f t="shared" si="46"/>
        <v/>
      </c>
    </row>
    <row r="691" spans="2:7">
      <c r="B691" s="6"/>
      <c r="E691" s="7"/>
      <c r="F691" t="str">
        <f t="shared" si="45"/>
        <v/>
      </c>
      <c r="G691" t="str">
        <f t="shared" si="46"/>
        <v/>
      </c>
    </row>
    <row r="692" spans="2:7">
      <c r="B692" s="6"/>
      <c r="E692" s="7"/>
      <c r="F692" t="str">
        <f t="shared" si="45"/>
        <v/>
      </c>
      <c r="G692" t="str">
        <f t="shared" si="46"/>
        <v/>
      </c>
    </row>
    <row r="693" spans="2:7">
      <c r="B693" s="6"/>
      <c r="E693" s="7"/>
      <c r="F693" t="str">
        <f t="shared" si="45"/>
        <v/>
      </c>
      <c r="G693" t="str">
        <f t="shared" si="46"/>
        <v/>
      </c>
    </row>
    <row r="694" spans="2:7">
      <c r="B694" s="6"/>
      <c r="E694" s="7"/>
      <c r="F694" t="str">
        <f t="shared" si="45"/>
        <v/>
      </c>
      <c r="G694" t="str">
        <f t="shared" si="46"/>
        <v/>
      </c>
    </row>
    <row r="695" spans="2:7">
      <c r="B695" s="6"/>
      <c r="E695" s="7"/>
      <c r="F695" t="str">
        <f t="shared" si="45"/>
        <v/>
      </c>
      <c r="G695" t="str">
        <f t="shared" si="46"/>
        <v/>
      </c>
    </row>
    <row r="696" spans="2:7">
      <c r="B696" s="6"/>
      <c r="E696" s="7"/>
      <c r="F696" t="str">
        <f t="shared" si="45"/>
        <v/>
      </c>
      <c r="G696" t="str">
        <f t="shared" si="46"/>
        <v/>
      </c>
    </row>
    <row r="697" spans="2:7">
      <c r="B697" s="6"/>
      <c r="E697" s="7"/>
      <c r="F697" t="str">
        <f t="shared" si="45"/>
        <v/>
      </c>
      <c r="G697" t="str">
        <f t="shared" si="46"/>
        <v/>
      </c>
    </row>
    <row r="698" spans="2:7">
      <c r="B698" s="6"/>
      <c r="E698" s="7"/>
      <c r="F698" t="str">
        <f t="shared" si="45"/>
        <v/>
      </c>
      <c r="G698" t="str">
        <f t="shared" si="46"/>
        <v/>
      </c>
    </row>
    <row r="699" spans="2:7">
      <c r="B699" s="6"/>
      <c r="E699" s="7"/>
      <c r="F699" t="str">
        <f t="shared" si="45"/>
        <v/>
      </c>
      <c r="G699" t="str">
        <f t="shared" si="46"/>
        <v/>
      </c>
    </row>
    <row r="700" spans="2:7">
      <c r="B700" s="6"/>
      <c r="E700" s="7"/>
      <c r="F700" t="str">
        <f t="shared" si="45"/>
        <v/>
      </c>
      <c r="G700" t="str">
        <f t="shared" si="46"/>
        <v/>
      </c>
    </row>
    <row r="701" spans="2:7">
      <c r="B701" s="6"/>
      <c r="E701" s="7"/>
      <c r="F701" t="str">
        <f t="shared" si="45"/>
        <v/>
      </c>
      <c r="G701" t="str">
        <f t="shared" si="46"/>
        <v/>
      </c>
    </row>
    <row r="702" spans="2:7">
      <c r="B702" s="6"/>
      <c r="E702" s="7"/>
      <c r="F702" t="str">
        <f t="shared" si="45"/>
        <v/>
      </c>
      <c r="G702" t="str">
        <f t="shared" si="46"/>
        <v/>
      </c>
    </row>
    <row r="703" spans="2:7">
      <c r="B703" s="6"/>
      <c r="E703" s="7"/>
      <c r="F703" t="str">
        <f t="shared" si="45"/>
        <v/>
      </c>
      <c r="G703" t="str">
        <f t="shared" si="46"/>
        <v/>
      </c>
    </row>
    <row r="704" spans="2:7">
      <c r="B704" s="6"/>
      <c r="E704" s="7"/>
      <c r="F704" t="str">
        <f t="shared" si="45"/>
        <v/>
      </c>
      <c r="G704" t="str">
        <f t="shared" si="46"/>
        <v/>
      </c>
    </row>
    <row r="705" spans="2:7">
      <c r="B705" s="6"/>
      <c r="E705" s="7"/>
      <c r="F705" t="str">
        <f t="shared" si="45"/>
        <v/>
      </c>
      <c r="G705" t="str">
        <f t="shared" si="46"/>
        <v/>
      </c>
    </row>
    <row r="706" spans="2:7">
      <c r="B706" s="6"/>
      <c r="E706" s="7"/>
      <c r="F706" t="str">
        <f t="shared" si="45"/>
        <v/>
      </c>
      <c r="G706" t="str">
        <f t="shared" si="46"/>
        <v/>
      </c>
    </row>
    <row r="707" spans="2:7">
      <c r="B707" s="6"/>
      <c r="E707" s="7"/>
      <c r="F707" t="str">
        <f t="shared" si="45"/>
        <v/>
      </c>
      <c r="G707" t="str">
        <f t="shared" si="46"/>
        <v/>
      </c>
    </row>
    <row r="708" spans="2:7">
      <c r="B708" s="6"/>
      <c r="E708" s="7"/>
      <c r="F708" t="str">
        <f t="shared" ref="F708:F771" si="47">IF(B708="","",LOG10(D708))</f>
        <v/>
      </c>
      <c r="G708" t="str">
        <f t="shared" ref="G708:G771" si="48">IF(E708="", "",0.434*E708/D708)</f>
        <v/>
      </c>
    </row>
    <row r="709" spans="2:7">
      <c r="B709" s="6"/>
      <c r="E709" s="7"/>
      <c r="F709" t="str">
        <f t="shared" si="47"/>
        <v/>
      </c>
      <c r="G709" t="str">
        <f t="shared" si="48"/>
        <v/>
      </c>
    </row>
    <row r="710" spans="2:7">
      <c r="B710" s="6"/>
      <c r="E710" s="7"/>
      <c r="F710" t="str">
        <f t="shared" si="47"/>
        <v/>
      </c>
      <c r="G710" t="str">
        <f t="shared" si="48"/>
        <v/>
      </c>
    </row>
    <row r="711" spans="2:7">
      <c r="B711" s="6"/>
      <c r="E711" s="7"/>
      <c r="F711" t="str">
        <f t="shared" si="47"/>
        <v/>
      </c>
      <c r="G711" t="str">
        <f t="shared" si="48"/>
        <v/>
      </c>
    </row>
    <row r="712" spans="2:7">
      <c r="B712" s="6"/>
      <c r="E712" s="7"/>
      <c r="F712" t="str">
        <f t="shared" si="47"/>
        <v/>
      </c>
      <c r="G712" t="str">
        <f t="shared" si="48"/>
        <v/>
      </c>
    </row>
    <row r="713" spans="2:7">
      <c r="B713" s="6"/>
      <c r="E713" s="7"/>
      <c r="F713" t="str">
        <f t="shared" si="47"/>
        <v/>
      </c>
      <c r="G713" t="str">
        <f t="shared" si="48"/>
        <v/>
      </c>
    </row>
    <row r="714" spans="2:7">
      <c r="B714" s="6"/>
      <c r="E714" s="7"/>
      <c r="F714" t="str">
        <f t="shared" si="47"/>
        <v/>
      </c>
      <c r="G714" t="str">
        <f t="shared" si="48"/>
        <v/>
      </c>
    </row>
    <row r="715" spans="2:7">
      <c r="B715" s="6"/>
      <c r="E715" s="7"/>
      <c r="F715" t="str">
        <f t="shared" si="47"/>
        <v/>
      </c>
      <c r="G715" t="str">
        <f t="shared" si="48"/>
        <v/>
      </c>
    </row>
    <row r="716" spans="2:7">
      <c r="B716" s="6"/>
      <c r="E716" s="7"/>
      <c r="F716" t="str">
        <f t="shared" si="47"/>
        <v/>
      </c>
      <c r="G716" t="str">
        <f t="shared" si="48"/>
        <v/>
      </c>
    </row>
    <row r="717" spans="2:7">
      <c r="B717" s="6"/>
      <c r="E717" s="7"/>
      <c r="F717" t="str">
        <f t="shared" si="47"/>
        <v/>
      </c>
      <c r="G717" t="str">
        <f t="shared" si="48"/>
        <v/>
      </c>
    </row>
    <row r="718" spans="2:7">
      <c r="B718" s="6"/>
      <c r="E718" s="7"/>
      <c r="F718" t="str">
        <f t="shared" si="47"/>
        <v/>
      </c>
      <c r="G718" t="str">
        <f t="shared" si="48"/>
        <v/>
      </c>
    </row>
    <row r="719" spans="2:7">
      <c r="B719" s="6"/>
      <c r="E719" s="7"/>
      <c r="F719" t="str">
        <f t="shared" si="47"/>
        <v/>
      </c>
      <c r="G719" t="str">
        <f t="shared" si="48"/>
        <v/>
      </c>
    </row>
    <row r="720" spans="2:7">
      <c r="B720" s="6"/>
      <c r="E720" s="7"/>
      <c r="F720" t="str">
        <f t="shared" si="47"/>
        <v/>
      </c>
      <c r="G720" t="str">
        <f t="shared" si="48"/>
        <v/>
      </c>
    </row>
    <row r="721" spans="2:7">
      <c r="B721" s="6"/>
      <c r="E721" s="7"/>
      <c r="F721" t="str">
        <f t="shared" si="47"/>
        <v/>
      </c>
      <c r="G721" t="str">
        <f t="shared" si="48"/>
        <v/>
      </c>
    </row>
    <row r="722" spans="2:7">
      <c r="B722" s="6"/>
      <c r="E722" s="7"/>
      <c r="F722" t="str">
        <f t="shared" si="47"/>
        <v/>
      </c>
      <c r="G722" t="str">
        <f t="shared" si="48"/>
        <v/>
      </c>
    </row>
    <row r="723" spans="2:7">
      <c r="B723" s="6"/>
      <c r="E723" s="7"/>
      <c r="F723" t="str">
        <f t="shared" si="47"/>
        <v/>
      </c>
      <c r="G723" t="str">
        <f t="shared" si="48"/>
        <v/>
      </c>
    </row>
    <row r="724" spans="2:7">
      <c r="B724" s="6"/>
      <c r="E724" s="7"/>
      <c r="F724" t="str">
        <f t="shared" si="47"/>
        <v/>
      </c>
      <c r="G724" t="str">
        <f t="shared" si="48"/>
        <v/>
      </c>
    </row>
    <row r="725" spans="2:7">
      <c r="B725" s="6"/>
      <c r="E725" s="7"/>
      <c r="F725" t="str">
        <f t="shared" si="47"/>
        <v/>
      </c>
      <c r="G725" t="str">
        <f t="shared" si="48"/>
        <v/>
      </c>
    </row>
    <row r="726" spans="2:7">
      <c r="B726" s="6"/>
      <c r="E726" s="7"/>
      <c r="F726" t="str">
        <f t="shared" si="47"/>
        <v/>
      </c>
      <c r="G726" t="str">
        <f t="shared" si="48"/>
        <v/>
      </c>
    </row>
    <row r="727" spans="2:7">
      <c r="B727" s="6"/>
      <c r="E727" s="7"/>
      <c r="F727" t="str">
        <f t="shared" si="47"/>
        <v/>
      </c>
      <c r="G727" t="str">
        <f t="shared" si="48"/>
        <v/>
      </c>
    </row>
    <row r="728" spans="2:7">
      <c r="B728" s="6"/>
      <c r="E728" s="7"/>
      <c r="F728" t="str">
        <f t="shared" si="47"/>
        <v/>
      </c>
      <c r="G728" t="str">
        <f t="shared" si="48"/>
        <v/>
      </c>
    </row>
    <row r="729" spans="2:7">
      <c r="B729" s="6"/>
      <c r="E729" s="7"/>
      <c r="F729" t="str">
        <f t="shared" si="47"/>
        <v/>
      </c>
      <c r="G729" t="str">
        <f t="shared" si="48"/>
        <v/>
      </c>
    </row>
    <row r="730" spans="2:7">
      <c r="B730" s="6"/>
      <c r="E730" s="7"/>
      <c r="F730" t="str">
        <f t="shared" si="47"/>
        <v/>
      </c>
      <c r="G730" t="str">
        <f t="shared" si="48"/>
        <v/>
      </c>
    </row>
    <row r="731" spans="2:7">
      <c r="B731" s="6"/>
      <c r="E731" s="7"/>
      <c r="F731" t="str">
        <f t="shared" si="47"/>
        <v/>
      </c>
      <c r="G731" t="str">
        <f t="shared" si="48"/>
        <v/>
      </c>
    </row>
    <row r="732" spans="2:7">
      <c r="B732" s="6"/>
      <c r="E732" s="7"/>
      <c r="F732" t="str">
        <f t="shared" si="47"/>
        <v/>
      </c>
      <c r="G732" t="str">
        <f t="shared" si="48"/>
        <v/>
      </c>
    </row>
    <row r="733" spans="2:7">
      <c r="B733" s="6"/>
      <c r="E733" s="7"/>
      <c r="F733" t="str">
        <f t="shared" si="47"/>
        <v/>
      </c>
      <c r="G733" t="str">
        <f t="shared" si="48"/>
        <v/>
      </c>
    </row>
    <row r="734" spans="2:7">
      <c r="B734" s="6"/>
      <c r="E734" s="7"/>
      <c r="F734" t="str">
        <f t="shared" si="47"/>
        <v/>
      </c>
      <c r="G734" t="str">
        <f t="shared" si="48"/>
        <v/>
      </c>
    </row>
    <row r="735" spans="2:7">
      <c r="B735" s="6"/>
      <c r="E735" s="7"/>
      <c r="F735" t="str">
        <f t="shared" si="47"/>
        <v/>
      </c>
      <c r="G735" t="str">
        <f t="shared" si="48"/>
        <v/>
      </c>
    </row>
    <row r="736" spans="2:7">
      <c r="B736" s="6"/>
      <c r="E736" s="7"/>
      <c r="F736" t="str">
        <f t="shared" si="47"/>
        <v/>
      </c>
      <c r="G736" t="str">
        <f t="shared" si="48"/>
        <v/>
      </c>
    </row>
    <row r="737" spans="2:7">
      <c r="B737" s="6"/>
      <c r="E737" s="7"/>
      <c r="F737" t="str">
        <f t="shared" si="47"/>
        <v/>
      </c>
      <c r="G737" t="str">
        <f t="shared" si="48"/>
        <v/>
      </c>
    </row>
    <row r="738" spans="2:7">
      <c r="B738" s="6"/>
      <c r="E738" s="7"/>
      <c r="F738" t="str">
        <f t="shared" si="47"/>
        <v/>
      </c>
      <c r="G738" t="str">
        <f t="shared" si="48"/>
        <v/>
      </c>
    </row>
    <row r="739" spans="2:7">
      <c r="B739" s="6"/>
      <c r="E739" s="7"/>
      <c r="F739" t="str">
        <f t="shared" si="47"/>
        <v/>
      </c>
      <c r="G739" t="str">
        <f t="shared" si="48"/>
        <v/>
      </c>
    </row>
    <row r="740" spans="2:7">
      <c r="B740" s="6"/>
      <c r="E740" s="7"/>
      <c r="F740" t="str">
        <f t="shared" si="47"/>
        <v/>
      </c>
      <c r="G740" t="str">
        <f t="shared" si="48"/>
        <v/>
      </c>
    </row>
    <row r="741" spans="2:7">
      <c r="B741" s="6"/>
      <c r="E741" s="7"/>
      <c r="F741" t="str">
        <f t="shared" si="47"/>
        <v/>
      </c>
      <c r="G741" t="str">
        <f t="shared" si="48"/>
        <v/>
      </c>
    </row>
    <row r="742" spans="2:7">
      <c r="B742" s="6"/>
      <c r="E742" s="7"/>
      <c r="F742" t="str">
        <f t="shared" si="47"/>
        <v/>
      </c>
      <c r="G742" t="str">
        <f t="shared" si="48"/>
        <v/>
      </c>
    </row>
    <row r="743" spans="2:7">
      <c r="B743" s="6"/>
      <c r="E743" s="7"/>
      <c r="F743" t="str">
        <f t="shared" si="47"/>
        <v/>
      </c>
      <c r="G743" t="str">
        <f t="shared" si="48"/>
        <v/>
      </c>
    </row>
    <row r="744" spans="2:7">
      <c r="B744" s="6"/>
      <c r="E744" s="7"/>
      <c r="F744" t="str">
        <f t="shared" si="47"/>
        <v/>
      </c>
      <c r="G744" t="str">
        <f t="shared" si="48"/>
        <v/>
      </c>
    </row>
    <row r="745" spans="2:7">
      <c r="B745" s="6"/>
      <c r="E745" s="7"/>
      <c r="F745" t="str">
        <f t="shared" si="47"/>
        <v/>
      </c>
      <c r="G745" t="str">
        <f t="shared" si="48"/>
        <v/>
      </c>
    </row>
    <row r="746" spans="2:7">
      <c r="B746" s="6"/>
      <c r="E746" s="7"/>
      <c r="F746" t="str">
        <f t="shared" si="47"/>
        <v/>
      </c>
      <c r="G746" t="str">
        <f t="shared" si="48"/>
        <v/>
      </c>
    </row>
    <row r="747" spans="2:7">
      <c r="B747" s="6"/>
      <c r="E747" s="7"/>
      <c r="F747" t="str">
        <f t="shared" si="47"/>
        <v/>
      </c>
      <c r="G747" t="str">
        <f t="shared" si="48"/>
        <v/>
      </c>
    </row>
    <row r="748" spans="2:7">
      <c r="B748" s="6"/>
      <c r="E748" s="7"/>
      <c r="F748" t="str">
        <f t="shared" si="47"/>
        <v/>
      </c>
      <c r="G748" t="str">
        <f t="shared" si="48"/>
        <v/>
      </c>
    </row>
    <row r="749" spans="2:7">
      <c r="B749" s="6"/>
      <c r="E749" s="7"/>
      <c r="F749" t="str">
        <f t="shared" si="47"/>
        <v/>
      </c>
      <c r="G749" t="str">
        <f t="shared" si="48"/>
        <v/>
      </c>
    </row>
    <row r="750" spans="2:7">
      <c r="B750" s="6"/>
      <c r="E750" s="7"/>
      <c r="F750" t="str">
        <f t="shared" si="47"/>
        <v/>
      </c>
      <c r="G750" t="str">
        <f t="shared" si="48"/>
        <v/>
      </c>
    </row>
    <row r="751" spans="2:7">
      <c r="B751" s="6"/>
      <c r="E751" s="7"/>
      <c r="F751" t="str">
        <f t="shared" si="47"/>
        <v/>
      </c>
      <c r="G751" t="str">
        <f t="shared" si="48"/>
        <v/>
      </c>
    </row>
    <row r="752" spans="2:7">
      <c r="B752" s="6"/>
      <c r="E752" s="7"/>
      <c r="F752" t="str">
        <f t="shared" si="47"/>
        <v/>
      </c>
      <c r="G752" t="str">
        <f t="shared" si="48"/>
        <v/>
      </c>
    </row>
    <row r="753" spans="2:7">
      <c r="B753" s="6"/>
      <c r="E753" s="7"/>
      <c r="F753" t="str">
        <f t="shared" si="47"/>
        <v/>
      </c>
      <c r="G753" t="str">
        <f t="shared" si="48"/>
        <v/>
      </c>
    </row>
    <row r="754" spans="2:7">
      <c r="B754" s="6"/>
      <c r="E754" s="7"/>
      <c r="F754" t="str">
        <f t="shared" si="47"/>
        <v/>
      </c>
      <c r="G754" t="str">
        <f t="shared" si="48"/>
        <v/>
      </c>
    </row>
    <row r="755" spans="2:7">
      <c r="B755" s="6"/>
      <c r="E755" s="7"/>
      <c r="F755" t="str">
        <f t="shared" si="47"/>
        <v/>
      </c>
      <c r="G755" t="str">
        <f t="shared" si="48"/>
        <v/>
      </c>
    </row>
    <row r="756" spans="2:7">
      <c r="B756" s="6"/>
      <c r="E756" s="7"/>
      <c r="F756" t="str">
        <f t="shared" si="47"/>
        <v/>
      </c>
      <c r="G756" t="str">
        <f t="shared" si="48"/>
        <v/>
      </c>
    </row>
    <row r="757" spans="2:7">
      <c r="B757" s="6"/>
      <c r="E757" s="7"/>
      <c r="F757" t="str">
        <f t="shared" si="47"/>
        <v/>
      </c>
      <c r="G757" t="str">
        <f t="shared" si="48"/>
        <v/>
      </c>
    </row>
    <row r="758" spans="2:7">
      <c r="B758" s="6"/>
      <c r="E758" s="7"/>
      <c r="F758" t="str">
        <f t="shared" si="47"/>
        <v/>
      </c>
      <c r="G758" t="str">
        <f t="shared" si="48"/>
        <v/>
      </c>
    </row>
    <row r="759" spans="2:7">
      <c r="B759" s="6"/>
      <c r="E759" s="7"/>
      <c r="F759" t="str">
        <f t="shared" si="47"/>
        <v/>
      </c>
      <c r="G759" t="str">
        <f t="shared" si="48"/>
        <v/>
      </c>
    </row>
    <row r="760" spans="2:7">
      <c r="B760" s="6"/>
      <c r="E760" s="7"/>
      <c r="F760" t="str">
        <f t="shared" si="47"/>
        <v/>
      </c>
      <c r="G760" t="str">
        <f t="shared" si="48"/>
        <v/>
      </c>
    </row>
    <row r="761" spans="2:7">
      <c r="B761" s="6"/>
      <c r="E761" s="7"/>
      <c r="F761" t="str">
        <f t="shared" si="47"/>
        <v/>
      </c>
      <c r="G761" t="str">
        <f t="shared" si="48"/>
        <v/>
      </c>
    </row>
    <row r="762" spans="2:7">
      <c r="B762" s="6"/>
      <c r="E762" s="7"/>
      <c r="F762" t="str">
        <f t="shared" si="47"/>
        <v/>
      </c>
      <c r="G762" t="str">
        <f t="shared" si="48"/>
        <v/>
      </c>
    </row>
    <row r="763" spans="2:7">
      <c r="B763" s="6"/>
      <c r="E763" s="7"/>
      <c r="F763" t="str">
        <f t="shared" si="47"/>
        <v/>
      </c>
      <c r="G763" t="str">
        <f t="shared" si="48"/>
        <v/>
      </c>
    </row>
    <row r="764" spans="2:7">
      <c r="B764" s="6"/>
      <c r="E764" s="7"/>
      <c r="F764" t="str">
        <f t="shared" si="47"/>
        <v/>
      </c>
      <c r="G764" t="str">
        <f t="shared" si="48"/>
        <v/>
      </c>
    </row>
    <row r="765" spans="2:7">
      <c r="B765" s="6"/>
      <c r="E765" s="7"/>
      <c r="F765" t="str">
        <f t="shared" si="47"/>
        <v/>
      </c>
      <c r="G765" t="str">
        <f t="shared" si="48"/>
        <v/>
      </c>
    </row>
    <row r="766" spans="2:7">
      <c r="B766" s="6"/>
      <c r="E766" s="7"/>
      <c r="F766" t="str">
        <f t="shared" si="47"/>
        <v/>
      </c>
      <c r="G766" t="str">
        <f t="shared" si="48"/>
        <v/>
      </c>
    </row>
    <row r="767" spans="2:7">
      <c r="B767" s="6"/>
      <c r="E767" s="7"/>
      <c r="F767" t="str">
        <f t="shared" si="47"/>
        <v/>
      </c>
      <c r="G767" t="str">
        <f t="shared" si="48"/>
        <v/>
      </c>
    </row>
    <row r="768" spans="2:7">
      <c r="B768" s="6"/>
      <c r="E768" s="7"/>
      <c r="F768" t="str">
        <f t="shared" si="47"/>
        <v/>
      </c>
      <c r="G768" t="str">
        <f t="shared" si="48"/>
        <v/>
      </c>
    </row>
    <row r="769" spans="2:7">
      <c r="B769" s="6"/>
      <c r="E769" s="7"/>
      <c r="F769" t="str">
        <f t="shared" si="47"/>
        <v/>
      </c>
      <c r="G769" t="str">
        <f t="shared" si="48"/>
        <v/>
      </c>
    </row>
    <row r="770" spans="2:7">
      <c r="B770" s="6"/>
      <c r="E770" s="7"/>
      <c r="F770" t="str">
        <f t="shared" si="47"/>
        <v/>
      </c>
      <c r="G770" t="str">
        <f t="shared" si="48"/>
        <v/>
      </c>
    </row>
    <row r="771" spans="2:7">
      <c r="B771" s="6"/>
      <c r="E771" s="7"/>
      <c r="F771" t="str">
        <f t="shared" si="47"/>
        <v/>
      </c>
      <c r="G771" t="str">
        <f t="shared" si="48"/>
        <v/>
      </c>
    </row>
    <row r="772" spans="2:7">
      <c r="B772" s="6"/>
      <c r="E772" s="7"/>
      <c r="F772" t="str">
        <f t="shared" ref="F772:F835" si="49">IF(B772="","",LOG10(D772))</f>
        <v/>
      </c>
      <c r="G772" t="str">
        <f t="shared" ref="G772:G835" si="50">IF(E772="", "",0.434*E772/D772)</f>
        <v/>
      </c>
    </row>
    <row r="773" spans="2:7">
      <c r="B773" s="6"/>
      <c r="E773" s="7"/>
      <c r="F773" t="str">
        <f t="shared" si="49"/>
        <v/>
      </c>
      <c r="G773" t="str">
        <f t="shared" si="50"/>
        <v/>
      </c>
    </row>
    <row r="774" spans="2:7">
      <c r="B774" s="6"/>
      <c r="E774" s="7"/>
      <c r="F774" t="str">
        <f t="shared" si="49"/>
        <v/>
      </c>
      <c r="G774" t="str">
        <f t="shared" si="50"/>
        <v/>
      </c>
    </row>
    <row r="775" spans="2:7">
      <c r="B775" s="6"/>
      <c r="E775" s="7"/>
      <c r="F775" t="str">
        <f t="shared" si="49"/>
        <v/>
      </c>
      <c r="G775" t="str">
        <f t="shared" si="50"/>
        <v/>
      </c>
    </row>
    <row r="776" spans="2:7">
      <c r="B776" s="6"/>
      <c r="E776" s="7"/>
      <c r="F776" t="str">
        <f t="shared" si="49"/>
        <v/>
      </c>
      <c r="G776" t="str">
        <f t="shared" si="50"/>
        <v/>
      </c>
    </row>
    <row r="777" spans="2:7">
      <c r="B777" s="6"/>
      <c r="E777" s="7"/>
      <c r="F777" t="str">
        <f t="shared" si="49"/>
        <v/>
      </c>
      <c r="G777" t="str">
        <f t="shared" si="50"/>
        <v/>
      </c>
    </row>
    <row r="778" spans="2:7">
      <c r="B778" s="6"/>
      <c r="E778" s="7"/>
      <c r="F778" t="str">
        <f t="shared" si="49"/>
        <v/>
      </c>
      <c r="G778" t="str">
        <f t="shared" si="50"/>
        <v/>
      </c>
    </row>
    <row r="779" spans="2:7">
      <c r="B779" s="6"/>
      <c r="E779" s="7"/>
      <c r="F779" t="str">
        <f t="shared" si="49"/>
        <v/>
      </c>
      <c r="G779" t="str">
        <f t="shared" si="50"/>
        <v/>
      </c>
    </row>
    <row r="780" spans="2:7">
      <c r="B780" s="6"/>
      <c r="E780" s="7"/>
      <c r="F780" t="str">
        <f t="shared" si="49"/>
        <v/>
      </c>
      <c r="G780" t="str">
        <f t="shared" si="50"/>
        <v/>
      </c>
    </row>
    <row r="781" spans="2:7">
      <c r="B781" s="6"/>
      <c r="E781" s="7"/>
      <c r="F781" t="str">
        <f t="shared" si="49"/>
        <v/>
      </c>
      <c r="G781" t="str">
        <f t="shared" si="50"/>
        <v/>
      </c>
    </row>
    <row r="782" spans="2:7">
      <c r="B782" s="6"/>
      <c r="E782" s="7"/>
      <c r="F782" t="str">
        <f t="shared" si="49"/>
        <v/>
      </c>
      <c r="G782" t="str">
        <f t="shared" si="50"/>
        <v/>
      </c>
    </row>
    <row r="783" spans="2:7">
      <c r="B783" s="6"/>
      <c r="E783" s="7"/>
      <c r="F783" t="str">
        <f t="shared" si="49"/>
        <v/>
      </c>
      <c r="G783" t="str">
        <f t="shared" si="50"/>
        <v/>
      </c>
    </row>
    <row r="784" spans="2:7">
      <c r="B784" s="6"/>
      <c r="E784" s="7"/>
      <c r="F784" t="str">
        <f t="shared" si="49"/>
        <v/>
      </c>
      <c r="G784" t="str">
        <f t="shared" si="50"/>
        <v/>
      </c>
    </row>
    <row r="785" spans="2:7">
      <c r="B785" s="6"/>
      <c r="E785" s="7"/>
      <c r="F785" t="str">
        <f t="shared" si="49"/>
        <v/>
      </c>
      <c r="G785" t="str">
        <f t="shared" si="50"/>
        <v/>
      </c>
    </row>
    <row r="786" spans="2:7">
      <c r="B786" s="6"/>
      <c r="E786" s="7"/>
      <c r="F786" t="str">
        <f t="shared" si="49"/>
        <v/>
      </c>
      <c r="G786" t="str">
        <f t="shared" si="50"/>
        <v/>
      </c>
    </row>
    <row r="787" spans="2:7">
      <c r="B787" s="6"/>
      <c r="E787" s="7"/>
      <c r="F787" t="str">
        <f t="shared" si="49"/>
        <v/>
      </c>
      <c r="G787" t="str">
        <f t="shared" si="50"/>
        <v/>
      </c>
    </row>
    <row r="788" spans="2:7">
      <c r="B788" s="6"/>
      <c r="E788" s="7"/>
      <c r="F788" t="str">
        <f t="shared" si="49"/>
        <v/>
      </c>
      <c r="G788" t="str">
        <f t="shared" si="50"/>
        <v/>
      </c>
    </row>
    <row r="789" spans="2:7">
      <c r="B789" s="6"/>
      <c r="E789" s="7"/>
      <c r="F789" t="str">
        <f t="shared" si="49"/>
        <v/>
      </c>
      <c r="G789" t="str">
        <f t="shared" si="50"/>
        <v/>
      </c>
    </row>
    <row r="790" spans="2:7">
      <c r="B790" s="6"/>
      <c r="E790" s="7"/>
      <c r="F790" t="str">
        <f t="shared" si="49"/>
        <v/>
      </c>
      <c r="G790" t="str">
        <f t="shared" si="50"/>
        <v/>
      </c>
    </row>
    <row r="791" spans="2:7">
      <c r="B791" s="6"/>
      <c r="E791" s="7"/>
      <c r="F791" t="str">
        <f t="shared" si="49"/>
        <v/>
      </c>
      <c r="G791" t="str">
        <f t="shared" si="50"/>
        <v/>
      </c>
    </row>
    <row r="792" spans="2:7">
      <c r="B792" s="6"/>
      <c r="E792" s="7"/>
      <c r="F792" t="str">
        <f t="shared" si="49"/>
        <v/>
      </c>
      <c r="G792" t="str">
        <f t="shared" si="50"/>
        <v/>
      </c>
    </row>
    <row r="793" spans="2:7">
      <c r="B793" s="6"/>
      <c r="E793" s="7"/>
      <c r="F793" t="str">
        <f t="shared" si="49"/>
        <v/>
      </c>
      <c r="G793" t="str">
        <f t="shared" si="50"/>
        <v/>
      </c>
    </row>
    <row r="794" spans="2:7">
      <c r="B794" s="6"/>
      <c r="E794" s="7"/>
      <c r="F794" t="str">
        <f t="shared" si="49"/>
        <v/>
      </c>
      <c r="G794" t="str">
        <f t="shared" si="50"/>
        <v/>
      </c>
    </row>
    <row r="795" spans="2:7">
      <c r="B795" s="6"/>
      <c r="E795" s="7"/>
      <c r="F795" t="str">
        <f t="shared" si="49"/>
        <v/>
      </c>
      <c r="G795" t="str">
        <f t="shared" si="50"/>
        <v/>
      </c>
    </row>
    <row r="796" spans="2:7">
      <c r="B796" s="6"/>
      <c r="E796" s="7"/>
      <c r="F796" t="str">
        <f t="shared" si="49"/>
        <v/>
      </c>
      <c r="G796" t="str">
        <f t="shared" si="50"/>
        <v/>
      </c>
    </row>
    <row r="797" spans="2:7">
      <c r="B797" s="6"/>
      <c r="E797" s="7"/>
      <c r="F797" t="str">
        <f t="shared" si="49"/>
        <v/>
      </c>
      <c r="G797" t="str">
        <f t="shared" si="50"/>
        <v/>
      </c>
    </row>
    <row r="798" spans="2:7">
      <c r="B798" s="6"/>
      <c r="E798" s="7"/>
      <c r="F798" t="str">
        <f t="shared" si="49"/>
        <v/>
      </c>
      <c r="G798" t="str">
        <f t="shared" si="50"/>
        <v/>
      </c>
    </row>
    <row r="799" spans="2:7">
      <c r="B799" s="6"/>
      <c r="E799" s="7"/>
      <c r="F799" t="str">
        <f t="shared" si="49"/>
        <v/>
      </c>
      <c r="G799" t="str">
        <f t="shared" si="50"/>
        <v/>
      </c>
    </row>
    <row r="800" spans="2:7">
      <c r="B800" s="6"/>
      <c r="E800" s="7"/>
      <c r="F800" t="str">
        <f t="shared" si="49"/>
        <v/>
      </c>
      <c r="G800" t="str">
        <f t="shared" si="50"/>
        <v/>
      </c>
    </row>
    <row r="801" spans="2:7">
      <c r="B801" s="6"/>
      <c r="E801" s="7"/>
      <c r="F801" t="str">
        <f t="shared" si="49"/>
        <v/>
      </c>
      <c r="G801" t="str">
        <f t="shared" si="50"/>
        <v/>
      </c>
    </row>
    <row r="802" spans="2:7">
      <c r="B802" s="6"/>
      <c r="E802" s="7"/>
      <c r="F802" t="str">
        <f t="shared" si="49"/>
        <v/>
      </c>
      <c r="G802" t="str">
        <f t="shared" si="50"/>
        <v/>
      </c>
    </row>
    <row r="803" spans="2:7">
      <c r="B803" s="6"/>
      <c r="E803" s="7"/>
      <c r="F803" t="str">
        <f t="shared" si="49"/>
        <v/>
      </c>
      <c r="G803" t="str">
        <f t="shared" si="50"/>
        <v/>
      </c>
    </row>
    <row r="804" spans="2:7">
      <c r="B804" s="6"/>
      <c r="E804" s="7"/>
      <c r="F804" t="str">
        <f t="shared" si="49"/>
        <v/>
      </c>
      <c r="G804" t="str">
        <f t="shared" si="50"/>
        <v/>
      </c>
    </row>
    <row r="805" spans="2:7">
      <c r="B805" s="6"/>
      <c r="E805" s="7"/>
      <c r="F805" t="str">
        <f t="shared" si="49"/>
        <v/>
      </c>
      <c r="G805" t="str">
        <f t="shared" si="50"/>
        <v/>
      </c>
    </row>
    <row r="806" spans="2:7">
      <c r="B806" s="6"/>
      <c r="E806" s="7"/>
      <c r="F806" t="str">
        <f t="shared" si="49"/>
        <v/>
      </c>
      <c r="G806" t="str">
        <f t="shared" si="50"/>
        <v/>
      </c>
    </row>
    <row r="807" spans="2:7">
      <c r="B807" s="6"/>
      <c r="E807" s="7"/>
      <c r="F807" t="str">
        <f t="shared" si="49"/>
        <v/>
      </c>
      <c r="G807" t="str">
        <f t="shared" si="50"/>
        <v/>
      </c>
    </row>
    <row r="808" spans="2:7">
      <c r="B808" s="6"/>
      <c r="E808" s="7"/>
      <c r="F808" t="str">
        <f t="shared" si="49"/>
        <v/>
      </c>
      <c r="G808" t="str">
        <f t="shared" si="50"/>
        <v/>
      </c>
    </row>
    <row r="809" spans="2:7">
      <c r="B809" s="6"/>
      <c r="E809" s="7"/>
      <c r="F809" t="str">
        <f t="shared" si="49"/>
        <v/>
      </c>
      <c r="G809" t="str">
        <f t="shared" si="50"/>
        <v/>
      </c>
    </row>
    <row r="810" spans="2:7">
      <c r="B810" s="6"/>
      <c r="E810" s="7"/>
      <c r="F810" t="str">
        <f t="shared" si="49"/>
        <v/>
      </c>
      <c r="G810" t="str">
        <f t="shared" si="50"/>
        <v/>
      </c>
    </row>
    <row r="811" spans="2:7">
      <c r="B811" s="6"/>
      <c r="E811" s="7"/>
      <c r="F811" t="str">
        <f t="shared" si="49"/>
        <v/>
      </c>
      <c r="G811" t="str">
        <f t="shared" si="50"/>
        <v/>
      </c>
    </row>
    <row r="812" spans="2:7">
      <c r="B812" s="6"/>
      <c r="E812" s="7"/>
      <c r="F812" t="str">
        <f t="shared" si="49"/>
        <v/>
      </c>
      <c r="G812" t="str">
        <f t="shared" si="50"/>
        <v/>
      </c>
    </row>
    <row r="813" spans="2:7">
      <c r="B813" s="6"/>
      <c r="E813" s="7"/>
      <c r="F813" t="str">
        <f t="shared" si="49"/>
        <v/>
      </c>
      <c r="G813" t="str">
        <f t="shared" si="50"/>
        <v/>
      </c>
    </row>
    <row r="814" spans="2:7">
      <c r="B814" s="6"/>
      <c r="E814" s="7"/>
      <c r="F814" t="str">
        <f t="shared" si="49"/>
        <v/>
      </c>
      <c r="G814" t="str">
        <f t="shared" si="50"/>
        <v/>
      </c>
    </row>
    <row r="815" spans="2:7">
      <c r="B815" s="6"/>
      <c r="E815" s="7"/>
      <c r="F815" t="str">
        <f t="shared" si="49"/>
        <v/>
      </c>
      <c r="G815" t="str">
        <f t="shared" si="50"/>
        <v/>
      </c>
    </row>
    <row r="816" spans="2:7">
      <c r="B816" s="6"/>
      <c r="E816" s="7"/>
      <c r="F816" t="str">
        <f t="shared" si="49"/>
        <v/>
      </c>
      <c r="G816" t="str">
        <f t="shared" si="50"/>
        <v/>
      </c>
    </row>
    <row r="817" spans="2:7">
      <c r="B817" s="6"/>
      <c r="E817" s="7"/>
      <c r="F817" t="str">
        <f t="shared" si="49"/>
        <v/>
      </c>
      <c r="G817" t="str">
        <f t="shared" si="50"/>
        <v/>
      </c>
    </row>
    <row r="818" spans="2:7">
      <c r="B818" s="6"/>
      <c r="E818" s="7"/>
      <c r="F818" t="str">
        <f t="shared" si="49"/>
        <v/>
      </c>
      <c r="G818" t="str">
        <f t="shared" si="50"/>
        <v/>
      </c>
    </row>
    <row r="819" spans="2:7">
      <c r="B819" s="6"/>
      <c r="E819" s="7"/>
      <c r="F819" t="str">
        <f t="shared" si="49"/>
        <v/>
      </c>
      <c r="G819" t="str">
        <f t="shared" si="50"/>
        <v/>
      </c>
    </row>
    <row r="820" spans="2:7">
      <c r="B820" s="6"/>
      <c r="E820" s="7"/>
      <c r="F820" t="str">
        <f t="shared" si="49"/>
        <v/>
      </c>
      <c r="G820" t="str">
        <f t="shared" si="50"/>
        <v/>
      </c>
    </row>
    <row r="821" spans="2:7">
      <c r="B821" s="6"/>
      <c r="E821" s="7"/>
      <c r="F821" t="str">
        <f t="shared" si="49"/>
        <v/>
      </c>
      <c r="G821" t="str">
        <f t="shared" si="50"/>
        <v/>
      </c>
    </row>
    <row r="822" spans="2:7">
      <c r="B822" s="6"/>
      <c r="E822" s="7"/>
      <c r="F822" t="str">
        <f t="shared" si="49"/>
        <v/>
      </c>
      <c r="G822" t="str">
        <f t="shared" si="50"/>
        <v/>
      </c>
    </row>
    <row r="823" spans="2:7">
      <c r="B823" s="6"/>
      <c r="E823" s="7"/>
      <c r="F823" t="str">
        <f t="shared" si="49"/>
        <v/>
      </c>
      <c r="G823" t="str">
        <f t="shared" si="50"/>
        <v/>
      </c>
    </row>
    <row r="824" spans="2:7">
      <c r="B824" s="6"/>
      <c r="E824" s="7"/>
      <c r="F824" t="str">
        <f t="shared" si="49"/>
        <v/>
      </c>
      <c r="G824" t="str">
        <f t="shared" si="50"/>
        <v/>
      </c>
    </row>
    <row r="825" spans="2:7">
      <c r="B825" s="6"/>
      <c r="E825" s="7"/>
      <c r="F825" t="str">
        <f t="shared" si="49"/>
        <v/>
      </c>
      <c r="G825" t="str">
        <f t="shared" si="50"/>
        <v/>
      </c>
    </row>
    <row r="826" spans="2:7">
      <c r="B826" s="6"/>
      <c r="E826" s="7"/>
      <c r="F826" t="str">
        <f t="shared" si="49"/>
        <v/>
      </c>
      <c r="G826" t="str">
        <f t="shared" si="50"/>
        <v/>
      </c>
    </row>
    <row r="827" spans="2:7">
      <c r="B827" s="6"/>
      <c r="E827" s="7"/>
      <c r="F827" t="str">
        <f t="shared" si="49"/>
        <v/>
      </c>
      <c r="G827" t="str">
        <f t="shared" si="50"/>
        <v/>
      </c>
    </row>
    <row r="828" spans="2:7">
      <c r="B828" s="6"/>
      <c r="E828" s="7"/>
      <c r="F828" t="str">
        <f t="shared" si="49"/>
        <v/>
      </c>
      <c r="G828" t="str">
        <f t="shared" si="50"/>
        <v/>
      </c>
    </row>
    <row r="829" spans="2:7">
      <c r="B829" s="6"/>
      <c r="E829" s="7"/>
      <c r="F829" t="str">
        <f t="shared" si="49"/>
        <v/>
      </c>
      <c r="G829" t="str">
        <f t="shared" si="50"/>
        <v/>
      </c>
    </row>
    <row r="830" spans="2:7">
      <c r="B830" s="6"/>
      <c r="E830" s="7"/>
      <c r="F830" t="str">
        <f t="shared" si="49"/>
        <v/>
      </c>
      <c r="G830" t="str">
        <f t="shared" si="50"/>
        <v/>
      </c>
    </row>
    <row r="831" spans="2:7">
      <c r="B831" s="6"/>
      <c r="E831" s="7"/>
      <c r="F831" t="str">
        <f t="shared" si="49"/>
        <v/>
      </c>
      <c r="G831" t="str">
        <f t="shared" si="50"/>
        <v/>
      </c>
    </row>
    <row r="832" spans="2:7">
      <c r="B832" s="6"/>
      <c r="E832" s="7"/>
      <c r="F832" t="str">
        <f t="shared" si="49"/>
        <v/>
      </c>
      <c r="G832" t="str">
        <f t="shared" si="50"/>
        <v/>
      </c>
    </row>
    <row r="833" spans="2:7">
      <c r="B833" s="6"/>
      <c r="E833" s="7"/>
      <c r="F833" t="str">
        <f t="shared" si="49"/>
        <v/>
      </c>
      <c r="G833" t="str">
        <f t="shared" si="50"/>
        <v/>
      </c>
    </row>
    <row r="834" spans="2:7">
      <c r="B834" s="6"/>
      <c r="E834" s="7"/>
      <c r="F834" t="str">
        <f t="shared" si="49"/>
        <v/>
      </c>
      <c r="G834" t="str">
        <f t="shared" si="50"/>
        <v/>
      </c>
    </row>
    <row r="835" spans="2:7">
      <c r="B835" s="6"/>
      <c r="E835" s="7"/>
      <c r="F835" t="str">
        <f t="shared" si="49"/>
        <v/>
      </c>
      <c r="G835" t="str">
        <f t="shared" si="50"/>
        <v/>
      </c>
    </row>
    <row r="836" spans="2:7">
      <c r="B836" s="6"/>
      <c r="E836" s="7"/>
      <c r="F836" t="str">
        <f t="shared" ref="F836:F899" si="51">IF(B836="","",LOG10(D836))</f>
        <v/>
      </c>
      <c r="G836" t="str">
        <f t="shared" ref="G836:G899" si="52">IF(E836="", "",0.434*E836/D836)</f>
        <v/>
      </c>
    </row>
    <row r="837" spans="2:7">
      <c r="B837" s="6"/>
      <c r="E837" s="7"/>
      <c r="F837" t="str">
        <f t="shared" si="51"/>
        <v/>
      </c>
      <c r="G837" t="str">
        <f t="shared" si="52"/>
        <v/>
      </c>
    </row>
    <row r="838" spans="2:7">
      <c r="B838" s="6"/>
      <c r="E838" s="7"/>
      <c r="F838" t="str">
        <f t="shared" si="51"/>
        <v/>
      </c>
      <c r="G838" t="str">
        <f t="shared" si="52"/>
        <v/>
      </c>
    </row>
    <row r="839" spans="2:7">
      <c r="B839" s="6"/>
      <c r="E839" s="7"/>
      <c r="F839" t="str">
        <f t="shared" si="51"/>
        <v/>
      </c>
      <c r="G839" t="str">
        <f t="shared" si="52"/>
        <v/>
      </c>
    </row>
    <row r="840" spans="2:7">
      <c r="B840" s="6"/>
      <c r="E840" s="7"/>
      <c r="F840" t="str">
        <f t="shared" si="51"/>
        <v/>
      </c>
      <c r="G840" t="str">
        <f t="shared" si="52"/>
        <v/>
      </c>
    </row>
    <row r="841" spans="2:7">
      <c r="B841" s="6"/>
      <c r="E841" s="7"/>
      <c r="F841" t="str">
        <f t="shared" si="51"/>
        <v/>
      </c>
      <c r="G841" t="str">
        <f t="shared" si="52"/>
        <v/>
      </c>
    </row>
    <row r="842" spans="2:7">
      <c r="B842" s="6"/>
      <c r="E842" s="7"/>
      <c r="F842" t="str">
        <f t="shared" si="51"/>
        <v/>
      </c>
      <c r="G842" t="str">
        <f t="shared" si="52"/>
        <v/>
      </c>
    </row>
    <row r="843" spans="2:7">
      <c r="B843" s="6"/>
      <c r="E843" s="7"/>
      <c r="F843" t="str">
        <f t="shared" si="51"/>
        <v/>
      </c>
      <c r="G843" t="str">
        <f t="shared" si="52"/>
        <v/>
      </c>
    </row>
    <row r="844" spans="2:7">
      <c r="B844" s="6"/>
      <c r="E844" s="7"/>
      <c r="F844" t="str">
        <f t="shared" si="51"/>
        <v/>
      </c>
      <c r="G844" t="str">
        <f t="shared" si="52"/>
        <v/>
      </c>
    </row>
    <row r="845" spans="2:7">
      <c r="B845" s="6"/>
      <c r="E845" s="7"/>
      <c r="F845" t="str">
        <f t="shared" si="51"/>
        <v/>
      </c>
      <c r="G845" t="str">
        <f t="shared" si="52"/>
        <v/>
      </c>
    </row>
    <row r="846" spans="2:7">
      <c r="B846" s="6"/>
      <c r="E846" s="7"/>
      <c r="F846" t="str">
        <f t="shared" si="51"/>
        <v/>
      </c>
      <c r="G846" t="str">
        <f t="shared" si="52"/>
        <v/>
      </c>
    </row>
    <row r="847" spans="2:7">
      <c r="B847" s="6"/>
      <c r="E847" s="7"/>
      <c r="F847" t="str">
        <f t="shared" si="51"/>
        <v/>
      </c>
      <c r="G847" t="str">
        <f t="shared" si="52"/>
        <v/>
      </c>
    </row>
    <row r="848" spans="2:7">
      <c r="B848" s="6"/>
      <c r="E848" s="7"/>
      <c r="F848" t="str">
        <f t="shared" si="51"/>
        <v/>
      </c>
      <c r="G848" t="str">
        <f t="shared" si="52"/>
        <v/>
      </c>
    </row>
    <row r="849" spans="2:7">
      <c r="B849" s="6"/>
      <c r="E849" s="7"/>
      <c r="F849" t="str">
        <f t="shared" si="51"/>
        <v/>
      </c>
      <c r="G849" t="str">
        <f t="shared" si="52"/>
        <v/>
      </c>
    </row>
    <row r="850" spans="2:7">
      <c r="B850" s="6"/>
      <c r="E850" s="7"/>
      <c r="F850" t="str">
        <f t="shared" si="51"/>
        <v/>
      </c>
      <c r="G850" t="str">
        <f t="shared" si="52"/>
        <v/>
      </c>
    </row>
    <row r="851" spans="2:7">
      <c r="B851" s="6"/>
      <c r="E851" s="7"/>
      <c r="F851" t="str">
        <f t="shared" si="51"/>
        <v/>
      </c>
      <c r="G851" t="str">
        <f t="shared" si="52"/>
        <v/>
      </c>
    </row>
    <row r="852" spans="2:7">
      <c r="B852" s="6"/>
      <c r="E852" s="7"/>
      <c r="F852" t="str">
        <f t="shared" si="51"/>
        <v/>
      </c>
      <c r="G852" t="str">
        <f t="shared" si="52"/>
        <v/>
      </c>
    </row>
    <row r="853" spans="2:7">
      <c r="B853" s="6"/>
      <c r="E853" s="7"/>
      <c r="F853" t="str">
        <f t="shared" si="51"/>
        <v/>
      </c>
      <c r="G853" t="str">
        <f t="shared" si="52"/>
        <v/>
      </c>
    </row>
    <row r="854" spans="2:7">
      <c r="B854" s="6"/>
      <c r="E854" s="7"/>
      <c r="F854" t="str">
        <f t="shared" si="51"/>
        <v/>
      </c>
      <c r="G854" t="str">
        <f t="shared" si="52"/>
        <v/>
      </c>
    </row>
    <row r="855" spans="2:7">
      <c r="B855" s="6"/>
      <c r="E855" s="7"/>
      <c r="F855" t="str">
        <f t="shared" si="51"/>
        <v/>
      </c>
      <c r="G855" t="str">
        <f t="shared" si="52"/>
        <v/>
      </c>
    </row>
    <row r="856" spans="2:7">
      <c r="B856" s="6"/>
      <c r="E856" s="7"/>
      <c r="F856" t="str">
        <f t="shared" si="51"/>
        <v/>
      </c>
      <c r="G856" t="str">
        <f t="shared" si="52"/>
        <v/>
      </c>
    </row>
    <row r="857" spans="2:7">
      <c r="B857" s="6"/>
      <c r="E857" s="7"/>
      <c r="F857" t="str">
        <f t="shared" si="51"/>
        <v/>
      </c>
      <c r="G857" t="str">
        <f t="shared" si="52"/>
        <v/>
      </c>
    </row>
    <row r="858" spans="2:7">
      <c r="B858" s="6"/>
      <c r="E858" s="7"/>
      <c r="F858" t="str">
        <f t="shared" si="51"/>
        <v/>
      </c>
      <c r="G858" t="str">
        <f t="shared" si="52"/>
        <v/>
      </c>
    </row>
    <row r="859" spans="2:7">
      <c r="B859" s="6"/>
      <c r="E859" s="7"/>
      <c r="F859" t="str">
        <f t="shared" si="51"/>
        <v/>
      </c>
      <c r="G859" t="str">
        <f t="shared" si="52"/>
        <v/>
      </c>
    </row>
    <row r="860" spans="2:7">
      <c r="B860" s="6"/>
      <c r="E860" s="7"/>
      <c r="F860" t="str">
        <f t="shared" si="51"/>
        <v/>
      </c>
      <c r="G860" t="str">
        <f t="shared" si="52"/>
        <v/>
      </c>
    </row>
    <row r="861" spans="2:7">
      <c r="B861" s="6"/>
      <c r="E861" s="7"/>
      <c r="F861" t="str">
        <f t="shared" si="51"/>
        <v/>
      </c>
      <c r="G861" t="str">
        <f t="shared" si="52"/>
        <v/>
      </c>
    </row>
    <row r="862" spans="2:7">
      <c r="B862" s="6"/>
      <c r="E862" s="7"/>
      <c r="F862" t="str">
        <f t="shared" si="51"/>
        <v/>
      </c>
      <c r="G862" t="str">
        <f t="shared" si="52"/>
        <v/>
      </c>
    </row>
    <row r="863" spans="2:7">
      <c r="B863" s="6"/>
      <c r="E863" s="7"/>
      <c r="F863" t="str">
        <f t="shared" si="51"/>
        <v/>
      </c>
      <c r="G863" t="str">
        <f t="shared" si="52"/>
        <v/>
      </c>
    </row>
    <row r="864" spans="2:7">
      <c r="B864" s="6"/>
      <c r="E864" s="7"/>
      <c r="F864" t="str">
        <f t="shared" si="51"/>
        <v/>
      </c>
      <c r="G864" t="str">
        <f t="shared" si="52"/>
        <v/>
      </c>
    </row>
    <row r="865" spans="2:7">
      <c r="B865" s="6"/>
      <c r="E865" s="7"/>
      <c r="F865" t="str">
        <f t="shared" si="51"/>
        <v/>
      </c>
      <c r="G865" t="str">
        <f t="shared" si="52"/>
        <v/>
      </c>
    </row>
    <row r="866" spans="2:7">
      <c r="B866" s="6"/>
      <c r="E866" s="7"/>
      <c r="F866" t="str">
        <f t="shared" si="51"/>
        <v/>
      </c>
      <c r="G866" t="str">
        <f t="shared" si="52"/>
        <v/>
      </c>
    </row>
    <row r="867" spans="2:7">
      <c r="B867" s="6"/>
      <c r="E867" s="7"/>
      <c r="F867" t="str">
        <f t="shared" si="51"/>
        <v/>
      </c>
      <c r="G867" t="str">
        <f t="shared" si="52"/>
        <v/>
      </c>
    </row>
    <row r="868" spans="2:7">
      <c r="B868" s="6"/>
      <c r="E868" s="7"/>
      <c r="F868" t="str">
        <f t="shared" si="51"/>
        <v/>
      </c>
      <c r="G868" t="str">
        <f t="shared" si="52"/>
        <v/>
      </c>
    </row>
    <row r="869" spans="2:7">
      <c r="B869" s="6"/>
      <c r="E869" s="7"/>
      <c r="F869" t="str">
        <f t="shared" si="51"/>
        <v/>
      </c>
      <c r="G869" t="str">
        <f t="shared" si="52"/>
        <v/>
      </c>
    </row>
    <row r="870" spans="2:7">
      <c r="B870" s="6"/>
      <c r="E870" s="7"/>
      <c r="F870" t="str">
        <f t="shared" si="51"/>
        <v/>
      </c>
      <c r="G870" t="str">
        <f t="shared" si="52"/>
        <v/>
      </c>
    </row>
    <row r="871" spans="2:7">
      <c r="B871" s="6"/>
      <c r="E871" s="7"/>
      <c r="F871" t="str">
        <f t="shared" si="51"/>
        <v/>
      </c>
      <c r="G871" t="str">
        <f t="shared" si="52"/>
        <v/>
      </c>
    </row>
    <row r="872" spans="2:7">
      <c r="B872" s="6"/>
      <c r="E872" s="7"/>
      <c r="F872" t="str">
        <f t="shared" si="51"/>
        <v/>
      </c>
      <c r="G872" t="str">
        <f t="shared" si="52"/>
        <v/>
      </c>
    </row>
    <row r="873" spans="2:7">
      <c r="B873" s="6"/>
      <c r="E873" s="7"/>
      <c r="F873" t="str">
        <f t="shared" si="51"/>
        <v/>
      </c>
      <c r="G873" t="str">
        <f t="shared" si="52"/>
        <v/>
      </c>
    </row>
    <row r="874" spans="2:7">
      <c r="B874" s="6"/>
      <c r="E874" s="7"/>
      <c r="F874" t="str">
        <f t="shared" si="51"/>
        <v/>
      </c>
      <c r="G874" t="str">
        <f t="shared" si="52"/>
        <v/>
      </c>
    </row>
    <row r="875" spans="2:7">
      <c r="B875" s="6"/>
      <c r="E875" s="7"/>
      <c r="F875" t="str">
        <f t="shared" si="51"/>
        <v/>
      </c>
      <c r="G875" t="str">
        <f t="shared" si="52"/>
        <v/>
      </c>
    </row>
    <row r="876" spans="2:7">
      <c r="B876" s="6"/>
      <c r="E876" s="7"/>
      <c r="F876" t="str">
        <f t="shared" si="51"/>
        <v/>
      </c>
      <c r="G876" t="str">
        <f t="shared" si="52"/>
        <v/>
      </c>
    </row>
    <row r="877" spans="2:7">
      <c r="B877" s="6"/>
      <c r="E877" s="7"/>
      <c r="F877" t="str">
        <f t="shared" si="51"/>
        <v/>
      </c>
      <c r="G877" t="str">
        <f t="shared" si="52"/>
        <v/>
      </c>
    </row>
    <row r="878" spans="2:7">
      <c r="B878" s="6"/>
      <c r="E878" s="7"/>
      <c r="F878" t="str">
        <f t="shared" si="51"/>
        <v/>
      </c>
      <c r="G878" t="str">
        <f t="shared" si="52"/>
        <v/>
      </c>
    </row>
    <row r="879" spans="2:7">
      <c r="B879" s="6"/>
      <c r="E879" s="7"/>
      <c r="F879" t="str">
        <f t="shared" si="51"/>
        <v/>
      </c>
      <c r="G879" t="str">
        <f t="shared" si="52"/>
        <v/>
      </c>
    </row>
    <row r="880" spans="2:7">
      <c r="B880" s="6"/>
      <c r="E880" s="7"/>
      <c r="F880" t="str">
        <f t="shared" si="51"/>
        <v/>
      </c>
      <c r="G880" t="str">
        <f t="shared" si="52"/>
        <v/>
      </c>
    </row>
    <row r="881" spans="2:7">
      <c r="B881" s="6"/>
      <c r="E881" s="7"/>
      <c r="F881" t="str">
        <f t="shared" si="51"/>
        <v/>
      </c>
      <c r="G881" t="str">
        <f t="shared" si="52"/>
        <v/>
      </c>
    </row>
    <row r="882" spans="2:7">
      <c r="B882" s="6"/>
      <c r="E882" s="7"/>
      <c r="F882" t="str">
        <f t="shared" si="51"/>
        <v/>
      </c>
      <c r="G882" t="str">
        <f t="shared" si="52"/>
        <v/>
      </c>
    </row>
    <row r="883" spans="2:7">
      <c r="B883" s="6"/>
      <c r="E883" s="7"/>
      <c r="F883" t="str">
        <f t="shared" si="51"/>
        <v/>
      </c>
      <c r="G883" t="str">
        <f t="shared" si="52"/>
        <v/>
      </c>
    </row>
    <row r="884" spans="2:7">
      <c r="B884" s="6"/>
      <c r="E884" s="7"/>
      <c r="F884" t="str">
        <f t="shared" si="51"/>
        <v/>
      </c>
      <c r="G884" t="str">
        <f t="shared" si="52"/>
        <v/>
      </c>
    </row>
    <row r="885" spans="2:7">
      <c r="B885" s="6"/>
      <c r="E885" s="7"/>
      <c r="F885" t="str">
        <f t="shared" si="51"/>
        <v/>
      </c>
      <c r="G885" t="str">
        <f t="shared" si="52"/>
        <v/>
      </c>
    </row>
    <row r="886" spans="2:7">
      <c r="B886" s="6"/>
      <c r="E886" s="7"/>
      <c r="F886" t="str">
        <f t="shared" si="51"/>
        <v/>
      </c>
      <c r="G886" t="str">
        <f t="shared" si="52"/>
        <v/>
      </c>
    </row>
    <row r="887" spans="2:7">
      <c r="B887" s="6"/>
      <c r="E887" s="7"/>
      <c r="F887" t="str">
        <f t="shared" si="51"/>
        <v/>
      </c>
      <c r="G887" t="str">
        <f t="shared" si="52"/>
        <v/>
      </c>
    </row>
    <row r="888" spans="2:7">
      <c r="B888" s="6"/>
      <c r="E888" s="7"/>
      <c r="F888" t="str">
        <f t="shared" si="51"/>
        <v/>
      </c>
      <c r="G888" t="str">
        <f t="shared" si="52"/>
        <v/>
      </c>
    </row>
    <row r="889" spans="2:7">
      <c r="B889" s="6"/>
      <c r="E889" s="7"/>
      <c r="F889" t="str">
        <f t="shared" si="51"/>
        <v/>
      </c>
      <c r="G889" t="str">
        <f t="shared" si="52"/>
        <v/>
      </c>
    </row>
    <row r="890" spans="2:7">
      <c r="B890" s="6"/>
      <c r="E890" s="7"/>
      <c r="F890" t="str">
        <f t="shared" si="51"/>
        <v/>
      </c>
      <c r="G890" t="str">
        <f t="shared" si="52"/>
        <v/>
      </c>
    </row>
    <row r="891" spans="2:7">
      <c r="B891" s="6"/>
      <c r="E891" s="7"/>
      <c r="F891" t="str">
        <f t="shared" si="51"/>
        <v/>
      </c>
      <c r="G891" t="str">
        <f t="shared" si="52"/>
        <v/>
      </c>
    </row>
    <row r="892" spans="2:7">
      <c r="B892" s="6"/>
      <c r="E892" s="7"/>
      <c r="F892" t="str">
        <f t="shared" si="51"/>
        <v/>
      </c>
      <c r="G892" t="str">
        <f t="shared" si="52"/>
        <v/>
      </c>
    </row>
    <row r="893" spans="2:7">
      <c r="B893" s="6"/>
      <c r="E893" s="7"/>
      <c r="F893" t="str">
        <f t="shared" si="51"/>
        <v/>
      </c>
      <c r="G893" t="str">
        <f t="shared" si="52"/>
        <v/>
      </c>
    </row>
    <row r="894" spans="2:7">
      <c r="B894" s="6"/>
      <c r="E894" s="7"/>
      <c r="F894" t="str">
        <f t="shared" si="51"/>
        <v/>
      </c>
      <c r="G894" t="str">
        <f t="shared" si="52"/>
        <v/>
      </c>
    </row>
    <row r="895" spans="2:7">
      <c r="B895" s="6"/>
      <c r="E895" s="7"/>
      <c r="F895" t="str">
        <f t="shared" si="51"/>
        <v/>
      </c>
      <c r="G895" t="str">
        <f t="shared" si="52"/>
        <v/>
      </c>
    </row>
    <row r="896" spans="2:7">
      <c r="B896" s="6"/>
      <c r="E896" s="7"/>
      <c r="F896" t="str">
        <f t="shared" si="51"/>
        <v/>
      </c>
      <c r="G896" t="str">
        <f t="shared" si="52"/>
        <v/>
      </c>
    </row>
    <row r="897" spans="2:7">
      <c r="B897" s="6"/>
      <c r="E897" s="7"/>
      <c r="F897" t="str">
        <f t="shared" si="51"/>
        <v/>
      </c>
      <c r="G897" t="str">
        <f t="shared" si="52"/>
        <v/>
      </c>
    </row>
    <row r="898" spans="2:7">
      <c r="B898" s="6"/>
      <c r="E898" s="7"/>
      <c r="F898" t="str">
        <f t="shared" si="51"/>
        <v/>
      </c>
      <c r="G898" t="str">
        <f t="shared" si="52"/>
        <v/>
      </c>
    </row>
    <row r="899" spans="2:7">
      <c r="B899" s="6"/>
      <c r="E899" s="7"/>
      <c r="F899" t="str">
        <f t="shared" si="51"/>
        <v/>
      </c>
      <c r="G899" t="str">
        <f t="shared" si="52"/>
        <v/>
      </c>
    </row>
    <row r="900" spans="2:7">
      <c r="B900" s="6"/>
      <c r="E900" s="7"/>
      <c r="F900" t="str">
        <f t="shared" ref="F900:F963" si="53">IF(B900="","",LOG10(D900))</f>
        <v/>
      </c>
      <c r="G900" t="str">
        <f t="shared" ref="G900:G963" si="54">IF(E900="", "",0.434*E900/D900)</f>
        <v/>
      </c>
    </row>
    <row r="901" spans="2:7">
      <c r="B901" s="6"/>
      <c r="E901" s="7"/>
      <c r="F901" t="str">
        <f t="shared" si="53"/>
        <v/>
      </c>
      <c r="G901" t="str">
        <f t="shared" si="54"/>
        <v/>
      </c>
    </row>
    <row r="902" spans="2:7">
      <c r="B902" s="6"/>
      <c r="E902" s="7"/>
      <c r="F902" t="str">
        <f t="shared" si="53"/>
        <v/>
      </c>
      <c r="G902" t="str">
        <f t="shared" si="54"/>
        <v/>
      </c>
    </row>
    <row r="903" spans="2:7">
      <c r="B903" s="6"/>
      <c r="E903" s="7"/>
      <c r="F903" t="str">
        <f t="shared" si="53"/>
        <v/>
      </c>
      <c r="G903" t="str">
        <f t="shared" si="54"/>
        <v/>
      </c>
    </row>
    <row r="904" spans="2:7">
      <c r="B904" s="6"/>
      <c r="E904" s="7"/>
      <c r="F904" t="str">
        <f t="shared" si="53"/>
        <v/>
      </c>
      <c r="G904" t="str">
        <f t="shared" si="54"/>
        <v/>
      </c>
    </row>
    <row r="905" spans="2:7">
      <c r="B905" s="6"/>
      <c r="E905" s="7"/>
      <c r="F905" t="str">
        <f t="shared" si="53"/>
        <v/>
      </c>
      <c r="G905" t="str">
        <f t="shared" si="54"/>
        <v/>
      </c>
    </row>
    <row r="906" spans="2:7">
      <c r="B906" s="6"/>
      <c r="E906" s="7"/>
      <c r="F906" t="str">
        <f t="shared" si="53"/>
        <v/>
      </c>
      <c r="G906" t="str">
        <f t="shared" si="54"/>
        <v/>
      </c>
    </row>
    <row r="907" spans="2:7">
      <c r="B907" s="6"/>
      <c r="E907" s="7"/>
      <c r="F907" t="str">
        <f t="shared" si="53"/>
        <v/>
      </c>
      <c r="G907" t="str">
        <f t="shared" si="54"/>
        <v/>
      </c>
    </row>
    <row r="908" spans="2:7">
      <c r="B908" s="6"/>
      <c r="E908" s="7"/>
      <c r="F908" t="str">
        <f t="shared" si="53"/>
        <v/>
      </c>
      <c r="G908" t="str">
        <f t="shared" si="54"/>
        <v/>
      </c>
    </row>
    <row r="909" spans="2:7">
      <c r="B909" s="6"/>
      <c r="E909" s="7"/>
      <c r="F909" t="str">
        <f t="shared" si="53"/>
        <v/>
      </c>
      <c r="G909" t="str">
        <f t="shared" si="54"/>
        <v/>
      </c>
    </row>
    <row r="910" spans="2:7">
      <c r="B910" s="6"/>
      <c r="E910" s="7"/>
      <c r="F910" t="str">
        <f t="shared" si="53"/>
        <v/>
      </c>
      <c r="G910" t="str">
        <f t="shared" si="54"/>
        <v/>
      </c>
    </row>
    <row r="911" spans="2:7">
      <c r="B911" s="6"/>
      <c r="E911" s="7"/>
      <c r="F911" t="str">
        <f t="shared" si="53"/>
        <v/>
      </c>
      <c r="G911" t="str">
        <f t="shared" si="54"/>
        <v/>
      </c>
    </row>
    <row r="912" spans="2:7">
      <c r="B912" s="6"/>
      <c r="E912" s="7"/>
      <c r="F912" t="str">
        <f t="shared" si="53"/>
        <v/>
      </c>
      <c r="G912" t="str">
        <f t="shared" si="54"/>
        <v/>
      </c>
    </row>
    <row r="913" spans="2:7">
      <c r="B913" s="6"/>
      <c r="E913" s="7"/>
      <c r="F913" t="str">
        <f t="shared" si="53"/>
        <v/>
      </c>
      <c r="G913" t="str">
        <f t="shared" si="54"/>
        <v/>
      </c>
    </row>
    <row r="914" spans="2:7">
      <c r="B914" s="6"/>
      <c r="E914" s="7"/>
      <c r="F914" t="str">
        <f t="shared" si="53"/>
        <v/>
      </c>
      <c r="G914" t="str">
        <f t="shared" si="54"/>
        <v/>
      </c>
    </row>
    <row r="915" spans="2:7">
      <c r="B915" s="6"/>
      <c r="E915" s="7"/>
      <c r="F915" t="str">
        <f t="shared" si="53"/>
        <v/>
      </c>
      <c r="G915" t="str">
        <f t="shared" si="54"/>
        <v/>
      </c>
    </row>
    <row r="916" spans="2:7">
      <c r="B916" s="6"/>
      <c r="E916" s="7"/>
      <c r="F916" t="str">
        <f t="shared" si="53"/>
        <v/>
      </c>
      <c r="G916" t="str">
        <f t="shared" si="54"/>
        <v/>
      </c>
    </row>
    <row r="917" spans="2:7">
      <c r="B917" s="6"/>
      <c r="E917" s="7"/>
      <c r="F917" t="str">
        <f t="shared" si="53"/>
        <v/>
      </c>
      <c r="G917" t="str">
        <f t="shared" si="54"/>
        <v/>
      </c>
    </row>
    <row r="918" spans="2:7">
      <c r="B918" s="6"/>
      <c r="E918" s="7"/>
      <c r="F918" t="str">
        <f t="shared" si="53"/>
        <v/>
      </c>
      <c r="G918" t="str">
        <f t="shared" si="54"/>
        <v/>
      </c>
    </row>
    <row r="919" spans="2:7">
      <c r="B919" s="6"/>
      <c r="E919" s="7"/>
      <c r="F919" t="str">
        <f t="shared" si="53"/>
        <v/>
      </c>
      <c r="G919" t="str">
        <f t="shared" si="54"/>
        <v/>
      </c>
    </row>
    <row r="920" spans="2:7">
      <c r="B920" s="6"/>
      <c r="E920" s="7"/>
      <c r="F920" t="str">
        <f t="shared" si="53"/>
        <v/>
      </c>
      <c r="G920" t="str">
        <f t="shared" si="54"/>
        <v/>
      </c>
    </row>
    <row r="921" spans="2:7">
      <c r="B921" s="6"/>
      <c r="E921" s="7"/>
      <c r="F921" t="str">
        <f t="shared" si="53"/>
        <v/>
      </c>
      <c r="G921" t="str">
        <f t="shared" si="54"/>
        <v/>
      </c>
    </row>
    <row r="922" spans="2:7">
      <c r="B922" s="6"/>
      <c r="E922" s="7"/>
      <c r="F922" t="str">
        <f t="shared" si="53"/>
        <v/>
      </c>
      <c r="G922" t="str">
        <f t="shared" si="54"/>
        <v/>
      </c>
    </row>
    <row r="923" spans="2:7">
      <c r="B923" s="6"/>
      <c r="E923" s="7"/>
      <c r="F923" t="str">
        <f t="shared" si="53"/>
        <v/>
      </c>
      <c r="G923" t="str">
        <f t="shared" si="54"/>
        <v/>
      </c>
    </row>
    <row r="924" spans="2:7">
      <c r="B924" s="6"/>
      <c r="E924" s="7"/>
      <c r="F924" t="str">
        <f t="shared" si="53"/>
        <v/>
      </c>
      <c r="G924" t="str">
        <f t="shared" si="54"/>
        <v/>
      </c>
    </row>
    <row r="925" spans="2:7">
      <c r="B925" s="6"/>
      <c r="E925" s="7"/>
      <c r="F925" t="str">
        <f t="shared" si="53"/>
        <v/>
      </c>
      <c r="G925" t="str">
        <f t="shared" si="54"/>
        <v/>
      </c>
    </row>
    <row r="926" spans="2:7">
      <c r="B926" s="6"/>
      <c r="E926" s="7"/>
      <c r="F926" t="str">
        <f t="shared" si="53"/>
        <v/>
      </c>
      <c r="G926" t="str">
        <f t="shared" si="54"/>
        <v/>
      </c>
    </row>
    <row r="927" spans="2:7">
      <c r="B927" s="6"/>
      <c r="E927" s="7"/>
      <c r="F927" t="str">
        <f t="shared" si="53"/>
        <v/>
      </c>
      <c r="G927" t="str">
        <f t="shared" si="54"/>
        <v/>
      </c>
    </row>
    <row r="928" spans="2:7">
      <c r="B928" s="6"/>
      <c r="E928" s="7"/>
      <c r="F928" t="str">
        <f t="shared" si="53"/>
        <v/>
      </c>
      <c r="G928" t="str">
        <f t="shared" si="54"/>
        <v/>
      </c>
    </row>
    <row r="929" spans="2:7">
      <c r="B929" s="6"/>
      <c r="E929" s="7"/>
      <c r="F929" t="str">
        <f t="shared" si="53"/>
        <v/>
      </c>
      <c r="G929" t="str">
        <f t="shared" si="54"/>
        <v/>
      </c>
    </row>
    <row r="930" spans="2:7">
      <c r="B930" s="6"/>
      <c r="E930" s="7"/>
      <c r="F930" t="str">
        <f t="shared" si="53"/>
        <v/>
      </c>
      <c r="G930" t="str">
        <f t="shared" si="54"/>
        <v/>
      </c>
    </row>
    <row r="931" spans="2:7">
      <c r="B931" s="6"/>
      <c r="E931" s="7"/>
      <c r="F931" t="str">
        <f t="shared" si="53"/>
        <v/>
      </c>
      <c r="G931" t="str">
        <f t="shared" si="54"/>
        <v/>
      </c>
    </row>
    <row r="932" spans="2:7">
      <c r="B932" s="6"/>
      <c r="E932" s="7"/>
      <c r="F932" t="str">
        <f t="shared" si="53"/>
        <v/>
      </c>
      <c r="G932" t="str">
        <f t="shared" si="54"/>
        <v/>
      </c>
    </row>
    <row r="933" spans="2:7">
      <c r="B933" s="6"/>
      <c r="E933" s="7"/>
      <c r="F933" t="str">
        <f t="shared" si="53"/>
        <v/>
      </c>
      <c r="G933" t="str">
        <f t="shared" si="54"/>
        <v/>
      </c>
    </row>
    <row r="934" spans="2:7">
      <c r="B934" s="6"/>
      <c r="E934" s="7"/>
      <c r="F934" t="str">
        <f t="shared" si="53"/>
        <v/>
      </c>
      <c r="G934" t="str">
        <f t="shared" si="54"/>
        <v/>
      </c>
    </row>
    <row r="935" spans="2:7">
      <c r="B935" s="6"/>
      <c r="E935" s="7"/>
      <c r="F935" t="str">
        <f t="shared" si="53"/>
        <v/>
      </c>
      <c r="G935" t="str">
        <f t="shared" si="54"/>
        <v/>
      </c>
    </row>
    <row r="936" spans="2:7">
      <c r="B936" s="6"/>
      <c r="E936" s="7"/>
      <c r="F936" t="str">
        <f t="shared" si="53"/>
        <v/>
      </c>
      <c r="G936" t="str">
        <f t="shared" si="54"/>
        <v/>
      </c>
    </row>
    <row r="937" spans="2:7">
      <c r="B937" s="6"/>
      <c r="E937" s="7"/>
      <c r="F937" t="str">
        <f t="shared" si="53"/>
        <v/>
      </c>
      <c r="G937" t="str">
        <f t="shared" si="54"/>
        <v/>
      </c>
    </row>
    <row r="938" spans="2:7">
      <c r="B938" s="6"/>
      <c r="E938" s="7"/>
      <c r="F938" t="str">
        <f t="shared" si="53"/>
        <v/>
      </c>
      <c r="G938" t="str">
        <f t="shared" si="54"/>
        <v/>
      </c>
    </row>
    <row r="939" spans="2:7">
      <c r="B939" s="6"/>
      <c r="E939" s="7"/>
      <c r="F939" t="str">
        <f t="shared" si="53"/>
        <v/>
      </c>
      <c r="G939" t="str">
        <f t="shared" si="54"/>
        <v/>
      </c>
    </row>
    <row r="940" spans="2:7">
      <c r="B940" s="6"/>
      <c r="E940" s="7"/>
      <c r="F940" t="str">
        <f t="shared" si="53"/>
        <v/>
      </c>
      <c r="G940" t="str">
        <f t="shared" si="54"/>
        <v/>
      </c>
    </row>
    <row r="941" spans="2:7">
      <c r="B941" s="6"/>
      <c r="E941" s="7"/>
      <c r="F941" t="str">
        <f t="shared" si="53"/>
        <v/>
      </c>
      <c r="G941" t="str">
        <f t="shared" si="54"/>
        <v/>
      </c>
    </row>
    <row r="942" spans="2:7">
      <c r="B942" s="6"/>
      <c r="E942" s="7"/>
      <c r="F942" t="str">
        <f t="shared" si="53"/>
        <v/>
      </c>
      <c r="G942" t="str">
        <f t="shared" si="54"/>
        <v/>
      </c>
    </row>
    <row r="943" spans="2:7">
      <c r="B943" s="6"/>
      <c r="E943" s="7"/>
      <c r="F943" t="str">
        <f t="shared" si="53"/>
        <v/>
      </c>
      <c r="G943" t="str">
        <f t="shared" si="54"/>
        <v/>
      </c>
    </row>
    <row r="944" spans="2:7">
      <c r="B944" s="6"/>
      <c r="E944" s="7"/>
      <c r="F944" t="str">
        <f t="shared" si="53"/>
        <v/>
      </c>
      <c r="G944" t="str">
        <f t="shared" si="54"/>
        <v/>
      </c>
    </row>
    <row r="945" spans="2:7">
      <c r="B945" s="6"/>
      <c r="E945" s="7"/>
      <c r="F945" t="str">
        <f t="shared" si="53"/>
        <v/>
      </c>
      <c r="G945" t="str">
        <f t="shared" si="54"/>
        <v/>
      </c>
    </row>
    <row r="946" spans="2:7">
      <c r="B946" s="6"/>
      <c r="E946" s="7"/>
      <c r="F946" t="str">
        <f t="shared" si="53"/>
        <v/>
      </c>
      <c r="G946" t="str">
        <f t="shared" si="54"/>
        <v/>
      </c>
    </row>
    <row r="947" spans="2:7">
      <c r="B947" s="6"/>
      <c r="E947" s="7"/>
      <c r="F947" t="str">
        <f t="shared" si="53"/>
        <v/>
      </c>
      <c r="G947" t="str">
        <f t="shared" si="54"/>
        <v/>
      </c>
    </row>
    <row r="948" spans="2:7">
      <c r="B948" s="6"/>
      <c r="E948" s="7"/>
      <c r="F948" t="str">
        <f t="shared" si="53"/>
        <v/>
      </c>
      <c r="G948" t="str">
        <f t="shared" si="54"/>
        <v/>
      </c>
    </row>
    <row r="949" spans="2:7">
      <c r="B949" s="6"/>
      <c r="E949" s="7"/>
      <c r="F949" t="str">
        <f t="shared" si="53"/>
        <v/>
      </c>
      <c r="G949" t="str">
        <f t="shared" si="54"/>
        <v/>
      </c>
    </row>
    <row r="950" spans="2:7">
      <c r="B950" s="6"/>
      <c r="E950" s="7"/>
      <c r="F950" t="str">
        <f t="shared" si="53"/>
        <v/>
      </c>
      <c r="G950" t="str">
        <f t="shared" si="54"/>
        <v/>
      </c>
    </row>
    <row r="951" spans="2:7">
      <c r="B951" s="6"/>
      <c r="E951" s="7"/>
      <c r="F951" t="str">
        <f t="shared" si="53"/>
        <v/>
      </c>
      <c r="G951" t="str">
        <f t="shared" si="54"/>
        <v/>
      </c>
    </row>
    <row r="952" spans="2:7">
      <c r="B952" s="6"/>
      <c r="E952" s="7"/>
      <c r="F952" t="str">
        <f t="shared" si="53"/>
        <v/>
      </c>
      <c r="G952" t="str">
        <f t="shared" si="54"/>
        <v/>
      </c>
    </row>
    <row r="953" spans="2:7">
      <c r="B953" s="6"/>
      <c r="E953" s="7"/>
      <c r="F953" t="str">
        <f t="shared" si="53"/>
        <v/>
      </c>
      <c r="G953" t="str">
        <f t="shared" si="54"/>
        <v/>
      </c>
    </row>
    <row r="954" spans="2:7">
      <c r="B954" s="6"/>
      <c r="E954" s="7"/>
      <c r="F954" t="str">
        <f t="shared" si="53"/>
        <v/>
      </c>
      <c r="G954" t="str">
        <f t="shared" si="54"/>
        <v/>
      </c>
    </row>
    <row r="955" spans="2:7">
      <c r="B955" s="6"/>
      <c r="E955" s="7"/>
      <c r="F955" t="str">
        <f t="shared" si="53"/>
        <v/>
      </c>
      <c r="G955" t="str">
        <f t="shared" si="54"/>
        <v/>
      </c>
    </row>
    <row r="956" spans="2:7">
      <c r="B956" s="6"/>
      <c r="E956" s="7"/>
      <c r="F956" t="str">
        <f t="shared" si="53"/>
        <v/>
      </c>
      <c r="G956" t="str">
        <f t="shared" si="54"/>
        <v/>
      </c>
    </row>
    <row r="957" spans="2:7">
      <c r="B957" s="6"/>
      <c r="E957" s="7"/>
      <c r="F957" t="str">
        <f t="shared" si="53"/>
        <v/>
      </c>
      <c r="G957" t="str">
        <f t="shared" si="54"/>
        <v/>
      </c>
    </row>
    <row r="958" spans="2:7">
      <c r="B958" s="6"/>
      <c r="E958" s="7"/>
      <c r="F958" t="str">
        <f t="shared" si="53"/>
        <v/>
      </c>
      <c r="G958" t="str">
        <f t="shared" si="54"/>
        <v/>
      </c>
    </row>
    <row r="959" spans="2:7">
      <c r="B959" s="6"/>
      <c r="E959" s="7"/>
      <c r="F959" t="str">
        <f t="shared" si="53"/>
        <v/>
      </c>
      <c r="G959" t="str">
        <f t="shared" si="54"/>
        <v/>
      </c>
    </row>
    <row r="960" spans="2:7">
      <c r="B960" s="6"/>
      <c r="E960" s="7"/>
      <c r="F960" t="str">
        <f t="shared" si="53"/>
        <v/>
      </c>
      <c r="G960" t="str">
        <f t="shared" si="54"/>
        <v/>
      </c>
    </row>
    <row r="961" spans="2:7">
      <c r="B961" s="6"/>
      <c r="E961" s="7"/>
      <c r="F961" t="str">
        <f t="shared" si="53"/>
        <v/>
      </c>
      <c r="G961" t="str">
        <f t="shared" si="54"/>
        <v/>
      </c>
    </row>
    <row r="962" spans="2:7">
      <c r="B962" s="6"/>
      <c r="E962" s="7"/>
      <c r="F962" t="str">
        <f t="shared" si="53"/>
        <v/>
      </c>
      <c r="G962" t="str">
        <f t="shared" si="54"/>
        <v/>
      </c>
    </row>
    <row r="963" spans="2:7">
      <c r="B963" s="6"/>
      <c r="E963" s="7"/>
      <c r="F963" t="str">
        <f t="shared" si="53"/>
        <v/>
      </c>
      <c r="G963" t="str">
        <f t="shared" si="54"/>
        <v/>
      </c>
    </row>
    <row r="964" spans="2:7">
      <c r="B964" s="6"/>
      <c r="E964" s="7"/>
      <c r="F964" t="str">
        <f t="shared" ref="F964:F1027" si="55">IF(B964="","",LOG10(D964))</f>
        <v/>
      </c>
      <c r="G964" t="str">
        <f t="shared" ref="G964:G1027" si="56">IF(E964="", "",0.434*E964/D964)</f>
        <v/>
      </c>
    </row>
    <row r="965" spans="2:7">
      <c r="B965" s="6"/>
      <c r="E965" s="7"/>
      <c r="F965" t="str">
        <f t="shared" si="55"/>
        <v/>
      </c>
      <c r="G965" t="str">
        <f t="shared" si="56"/>
        <v/>
      </c>
    </row>
    <row r="966" spans="2:7">
      <c r="B966" s="6"/>
      <c r="E966" s="7"/>
      <c r="F966" t="str">
        <f t="shared" si="55"/>
        <v/>
      </c>
      <c r="G966" t="str">
        <f t="shared" si="56"/>
        <v/>
      </c>
    </row>
    <row r="967" spans="2:7">
      <c r="B967" s="6"/>
      <c r="E967" s="7"/>
      <c r="F967" t="str">
        <f t="shared" si="55"/>
        <v/>
      </c>
      <c r="G967" t="str">
        <f t="shared" si="56"/>
        <v/>
      </c>
    </row>
    <row r="968" spans="2:7">
      <c r="B968" s="6"/>
      <c r="E968" s="7"/>
      <c r="F968" t="str">
        <f t="shared" si="55"/>
        <v/>
      </c>
      <c r="G968" t="str">
        <f t="shared" si="56"/>
        <v/>
      </c>
    </row>
    <row r="969" spans="2:7">
      <c r="B969" s="6"/>
      <c r="E969" s="7"/>
      <c r="F969" t="str">
        <f t="shared" si="55"/>
        <v/>
      </c>
      <c r="G969" t="str">
        <f t="shared" si="56"/>
        <v/>
      </c>
    </row>
    <row r="970" spans="2:7">
      <c r="B970" s="6"/>
      <c r="E970" s="7"/>
      <c r="F970" t="str">
        <f t="shared" si="55"/>
        <v/>
      </c>
      <c r="G970" t="str">
        <f t="shared" si="56"/>
        <v/>
      </c>
    </row>
    <row r="971" spans="2:7">
      <c r="B971" s="6"/>
      <c r="E971" s="7"/>
      <c r="F971" t="str">
        <f t="shared" si="55"/>
        <v/>
      </c>
      <c r="G971" t="str">
        <f t="shared" si="56"/>
        <v/>
      </c>
    </row>
    <row r="972" spans="2:7">
      <c r="B972" s="6"/>
      <c r="E972" s="7"/>
      <c r="F972" t="str">
        <f t="shared" si="55"/>
        <v/>
      </c>
      <c r="G972" t="str">
        <f t="shared" si="56"/>
        <v/>
      </c>
    </row>
    <row r="973" spans="2:7">
      <c r="B973" s="6"/>
      <c r="E973" s="7"/>
      <c r="F973" t="str">
        <f t="shared" si="55"/>
        <v/>
      </c>
      <c r="G973" t="str">
        <f t="shared" si="56"/>
        <v/>
      </c>
    </row>
    <row r="974" spans="2:7">
      <c r="B974" s="6"/>
      <c r="E974" s="7"/>
      <c r="F974" t="str">
        <f t="shared" si="55"/>
        <v/>
      </c>
      <c r="G974" t="str">
        <f t="shared" si="56"/>
        <v/>
      </c>
    </row>
    <row r="975" spans="2:7">
      <c r="B975" s="6"/>
      <c r="E975" s="7"/>
      <c r="F975" t="str">
        <f t="shared" si="55"/>
        <v/>
      </c>
      <c r="G975" t="str">
        <f t="shared" si="56"/>
        <v/>
      </c>
    </row>
    <row r="976" spans="2:7">
      <c r="B976" s="6"/>
      <c r="E976" s="7"/>
      <c r="F976" t="str">
        <f t="shared" si="55"/>
        <v/>
      </c>
      <c r="G976" t="str">
        <f t="shared" si="56"/>
        <v/>
      </c>
    </row>
    <row r="977" spans="2:7">
      <c r="B977" s="6"/>
      <c r="E977" s="7"/>
      <c r="F977" t="str">
        <f t="shared" si="55"/>
        <v/>
      </c>
      <c r="G977" t="str">
        <f t="shared" si="56"/>
        <v/>
      </c>
    </row>
    <row r="978" spans="2:7">
      <c r="B978" s="6"/>
      <c r="E978" s="7"/>
      <c r="F978" t="str">
        <f t="shared" si="55"/>
        <v/>
      </c>
      <c r="G978" t="str">
        <f t="shared" si="56"/>
        <v/>
      </c>
    </row>
    <row r="979" spans="2:7">
      <c r="B979" s="6"/>
      <c r="E979" s="7"/>
      <c r="F979" t="str">
        <f t="shared" si="55"/>
        <v/>
      </c>
      <c r="G979" t="str">
        <f t="shared" si="56"/>
        <v/>
      </c>
    </row>
    <row r="980" spans="2:7">
      <c r="B980" s="6"/>
      <c r="E980" s="7"/>
      <c r="F980" t="str">
        <f t="shared" si="55"/>
        <v/>
      </c>
      <c r="G980" t="str">
        <f t="shared" si="56"/>
        <v/>
      </c>
    </row>
    <row r="981" spans="2:7">
      <c r="B981" s="6"/>
      <c r="E981" s="7"/>
      <c r="F981" t="str">
        <f t="shared" si="55"/>
        <v/>
      </c>
      <c r="G981" t="str">
        <f t="shared" si="56"/>
        <v/>
      </c>
    </row>
    <row r="982" spans="2:7">
      <c r="B982" s="6"/>
      <c r="E982" s="7"/>
      <c r="F982" t="str">
        <f t="shared" si="55"/>
        <v/>
      </c>
      <c r="G982" t="str">
        <f t="shared" si="56"/>
        <v/>
      </c>
    </row>
    <row r="983" spans="2:7">
      <c r="B983" s="6"/>
      <c r="E983" s="7"/>
      <c r="F983" t="str">
        <f t="shared" si="55"/>
        <v/>
      </c>
      <c r="G983" t="str">
        <f t="shared" si="56"/>
        <v/>
      </c>
    </row>
    <row r="984" spans="2:7">
      <c r="B984" s="6"/>
      <c r="E984" s="7"/>
      <c r="F984" t="str">
        <f t="shared" si="55"/>
        <v/>
      </c>
      <c r="G984" t="str">
        <f t="shared" si="56"/>
        <v/>
      </c>
    </row>
    <row r="985" spans="2:7">
      <c r="B985" s="6"/>
      <c r="E985" s="7"/>
      <c r="F985" t="str">
        <f t="shared" si="55"/>
        <v/>
      </c>
      <c r="G985" t="str">
        <f t="shared" si="56"/>
        <v/>
      </c>
    </row>
    <row r="986" spans="2:7">
      <c r="B986" s="6"/>
      <c r="E986" s="7"/>
      <c r="F986" t="str">
        <f t="shared" si="55"/>
        <v/>
      </c>
      <c r="G986" t="str">
        <f t="shared" si="56"/>
        <v/>
      </c>
    </row>
    <row r="987" spans="2:7">
      <c r="B987" s="6"/>
      <c r="E987" s="7"/>
      <c r="F987" t="str">
        <f t="shared" si="55"/>
        <v/>
      </c>
      <c r="G987" t="str">
        <f t="shared" si="56"/>
        <v/>
      </c>
    </row>
    <row r="988" spans="2:7">
      <c r="B988" s="6"/>
      <c r="E988" s="7"/>
      <c r="F988" t="str">
        <f t="shared" si="55"/>
        <v/>
      </c>
      <c r="G988" t="str">
        <f t="shared" si="56"/>
        <v/>
      </c>
    </row>
    <row r="989" spans="2:7">
      <c r="B989" s="6"/>
      <c r="E989" s="7"/>
      <c r="F989" t="str">
        <f t="shared" si="55"/>
        <v/>
      </c>
      <c r="G989" t="str">
        <f t="shared" si="56"/>
        <v/>
      </c>
    </row>
    <row r="990" spans="2:7">
      <c r="B990" s="6"/>
      <c r="E990" s="7"/>
      <c r="F990" t="str">
        <f t="shared" si="55"/>
        <v/>
      </c>
      <c r="G990" t="str">
        <f t="shared" si="56"/>
        <v/>
      </c>
    </row>
    <row r="991" spans="2:7">
      <c r="B991" s="6"/>
      <c r="E991" s="7"/>
      <c r="F991" t="str">
        <f t="shared" si="55"/>
        <v/>
      </c>
      <c r="G991" t="str">
        <f t="shared" si="56"/>
        <v/>
      </c>
    </row>
    <row r="992" spans="2:7">
      <c r="B992" s="6"/>
      <c r="E992" s="7"/>
      <c r="F992" t="str">
        <f t="shared" si="55"/>
        <v/>
      </c>
      <c r="G992" t="str">
        <f t="shared" si="56"/>
        <v/>
      </c>
    </row>
    <row r="993" spans="2:7">
      <c r="B993" s="6"/>
      <c r="E993" s="7"/>
      <c r="F993" t="str">
        <f t="shared" si="55"/>
        <v/>
      </c>
      <c r="G993" t="str">
        <f t="shared" si="56"/>
        <v/>
      </c>
    </row>
    <row r="994" spans="2:7">
      <c r="B994" s="6"/>
      <c r="E994" s="7"/>
      <c r="F994" t="str">
        <f t="shared" si="55"/>
        <v/>
      </c>
      <c r="G994" t="str">
        <f t="shared" si="56"/>
        <v/>
      </c>
    </row>
    <row r="995" spans="2:7">
      <c r="B995" s="6"/>
      <c r="E995" s="7"/>
      <c r="F995" t="str">
        <f t="shared" si="55"/>
        <v/>
      </c>
      <c r="G995" t="str">
        <f t="shared" si="56"/>
        <v/>
      </c>
    </row>
    <row r="996" spans="2:7">
      <c r="B996" s="6"/>
      <c r="E996" s="7"/>
      <c r="F996" t="str">
        <f t="shared" si="55"/>
        <v/>
      </c>
      <c r="G996" t="str">
        <f t="shared" si="56"/>
        <v/>
      </c>
    </row>
    <row r="997" spans="2:7">
      <c r="B997" s="6"/>
      <c r="E997" s="7"/>
      <c r="F997" t="str">
        <f t="shared" si="55"/>
        <v/>
      </c>
      <c r="G997" t="str">
        <f t="shared" si="56"/>
        <v/>
      </c>
    </row>
    <row r="998" spans="2:7">
      <c r="B998" s="6"/>
      <c r="E998" s="7"/>
      <c r="F998" t="str">
        <f t="shared" si="55"/>
        <v/>
      </c>
      <c r="G998" t="str">
        <f t="shared" si="56"/>
        <v/>
      </c>
    </row>
    <row r="999" spans="2:7">
      <c r="B999" s="6"/>
      <c r="E999" s="7"/>
      <c r="F999" t="str">
        <f t="shared" si="55"/>
        <v/>
      </c>
      <c r="G999" t="str">
        <f t="shared" si="56"/>
        <v/>
      </c>
    </row>
    <row r="1000" spans="2:7">
      <c r="B1000" s="6"/>
      <c r="E1000" s="7"/>
      <c r="F1000" t="str">
        <f t="shared" si="55"/>
        <v/>
      </c>
      <c r="G1000" t="str">
        <f t="shared" si="56"/>
        <v/>
      </c>
    </row>
    <row r="1001" spans="2:7">
      <c r="B1001" s="6"/>
      <c r="E1001" s="7"/>
      <c r="F1001" t="str">
        <f t="shared" si="55"/>
        <v/>
      </c>
      <c r="G1001" t="str">
        <f t="shared" si="56"/>
        <v/>
      </c>
    </row>
    <row r="1002" spans="2:7">
      <c r="B1002" s="6"/>
      <c r="E1002" s="7"/>
      <c r="F1002" t="str">
        <f t="shared" si="55"/>
        <v/>
      </c>
      <c r="G1002" t="str">
        <f t="shared" si="56"/>
        <v/>
      </c>
    </row>
    <row r="1003" spans="2:7">
      <c r="B1003" s="6"/>
      <c r="E1003" s="7"/>
      <c r="F1003" t="str">
        <f t="shared" si="55"/>
        <v/>
      </c>
      <c r="G1003" t="str">
        <f t="shared" si="56"/>
        <v/>
      </c>
    </row>
    <row r="1004" spans="2:7">
      <c r="B1004" s="6"/>
      <c r="E1004" s="7"/>
      <c r="F1004" t="str">
        <f t="shared" si="55"/>
        <v/>
      </c>
      <c r="G1004" t="str">
        <f t="shared" si="56"/>
        <v/>
      </c>
    </row>
    <row r="1005" spans="2:7">
      <c r="B1005" s="6"/>
      <c r="E1005" s="7"/>
      <c r="F1005" t="str">
        <f t="shared" si="55"/>
        <v/>
      </c>
      <c r="G1005" t="str">
        <f t="shared" si="56"/>
        <v/>
      </c>
    </row>
    <row r="1006" spans="2:7">
      <c r="B1006" s="6"/>
      <c r="E1006" s="7"/>
      <c r="F1006" t="str">
        <f t="shared" si="55"/>
        <v/>
      </c>
      <c r="G1006" t="str">
        <f t="shared" si="56"/>
        <v/>
      </c>
    </row>
    <row r="1007" spans="2:7">
      <c r="B1007" s="6"/>
      <c r="E1007" s="7"/>
      <c r="F1007" t="str">
        <f t="shared" si="55"/>
        <v/>
      </c>
      <c r="G1007" t="str">
        <f t="shared" si="56"/>
        <v/>
      </c>
    </row>
    <row r="1008" spans="2:7">
      <c r="B1008" s="6"/>
      <c r="E1008" s="7"/>
      <c r="F1008" t="str">
        <f t="shared" si="55"/>
        <v/>
      </c>
      <c r="G1008" t="str">
        <f t="shared" si="56"/>
        <v/>
      </c>
    </row>
    <row r="1009" spans="2:7">
      <c r="B1009" s="6"/>
      <c r="E1009" s="7"/>
      <c r="F1009" t="str">
        <f t="shared" si="55"/>
        <v/>
      </c>
      <c r="G1009" t="str">
        <f t="shared" si="56"/>
        <v/>
      </c>
    </row>
    <row r="1010" spans="2:7">
      <c r="B1010" s="6"/>
      <c r="E1010" s="7"/>
      <c r="F1010" t="str">
        <f t="shared" si="55"/>
        <v/>
      </c>
      <c r="G1010" t="str">
        <f t="shared" si="56"/>
        <v/>
      </c>
    </row>
    <row r="1011" spans="2:7">
      <c r="B1011" s="6"/>
      <c r="E1011" s="7"/>
      <c r="F1011" t="str">
        <f t="shared" si="55"/>
        <v/>
      </c>
      <c r="G1011" t="str">
        <f t="shared" si="56"/>
        <v/>
      </c>
    </row>
    <row r="1012" spans="2:7">
      <c r="B1012" s="6"/>
      <c r="E1012" s="7"/>
      <c r="F1012" t="str">
        <f t="shared" si="55"/>
        <v/>
      </c>
      <c r="G1012" t="str">
        <f t="shared" si="56"/>
        <v/>
      </c>
    </row>
    <row r="1013" spans="2:7">
      <c r="B1013" s="6"/>
      <c r="E1013" s="7"/>
      <c r="F1013" t="str">
        <f t="shared" si="55"/>
        <v/>
      </c>
      <c r="G1013" t="str">
        <f t="shared" si="56"/>
        <v/>
      </c>
    </row>
    <row r="1014" spans="2:7">
      <c r="B1014" s="6"/>
      <c r="E1014" s="7"/>
      <c r="F1014" t="str">
        <f t="shared" si="55"/>
        <v/>
      </c>
      <c r="G1014" t="str">
        <f t="shared" si="56"/>
        <v/>
      </c>
    </row>
    <row r="1015" spans="2:7">
      <c r="B1015" s="6"/>
      <c r="E1015" s="7"/>
      <c r="F1015" t="str">
        <f t="shared" si="55"/>
        <v/>
      </c>
      <c r="G1015" t="str">
        <f t="shared" si="56"/>
        <v/>
      </c>
    </row>
    <row r="1016" spans="2:7">
      <c r="B1016" s="6"/>
      <c r="E1016" s="7"/>
      <c r="F1016" t="str">
        <f t="shared" si="55"/>
        <v/>
      </c>
      <c r="G1016" t="str">
        <f t="shared" si="56"/>
        <v/>
      </c>
    </row>
    <row r="1017" spans="2:7">
      <c r="B1017" s="6"/>
      <c r="E1017" s="7"/>
      <c r="F1017" t="str">
        <f t="shared" si="55"/>
        <v/>
      </c>
      <c r="G1017" t="str">
        <f t="shared" si="56"/>
        <v/>
      </c>
    </row>
    <row r="1018" spans="2:7">
      <c r="B1018" s="6"/>
      <c r="E1018" s="7"/>
      <c r="F1018" t="str">
        <f t="shared" si="55"/>
        <v/>
      </c>
      <c r="G1018" t="str">
        <f t="shared" si="56"/>
        <v/>
      </c>
    </row>
    <row r="1019" spans="2:7">
      <c r="B1019" s="6"/>
      <c r="E1019" s="7"/>
      <c r="F1019" t="str">
        <f t="shared" si="55"/>
        <v/>
      </c>
      <c r="G1019" t="str">
        <f t="shared" si="56"/>
        <v/>
      </c>
    </row>
    <row r="1020" spans="2:7">
      <c r="B1020" s="6"/>
      <c r="E1020" s="7"/>
      <c r="F1020" t="str">
        <f t="shared" si="55"/>
        <v/>
      </c>
      <c r="G1020" t="str">
        <f t="shared" si="56"/>
        <v/>
      </c>
    </row>
    <row r="1021" spans="2:7">
      <c r="B1021" s="6"/>
      <c r="E1021" s="7"/>
      <c r="F1021" t="str">
        <f t="shared" si="55"/>
        <v/>
      </c>
      <c r="G1021" t="str">
        <f t="shared" si="56"/>
        <v/>
      </c>
    </row>
    <row r="1022" spans="2:7">
      <c r="B1022" s="6"/>
      <c r="E1022" s="7"/>
      <c r="F1022" t="str">
        <f t="shared" si="55"/>
        <v/>
      </c>
      <c r="G1022" t="str">
        <f t="shared" si="56"/>
        <v/>
      </c>
    </row>
    <row r="1023" spans="2:7">
      <c r="B1023" s="6"/>
      <c r="E1023" s="7"/>
      <c r="F1023" t="str">
        <f t="shared" si="55"/>
        <v/>
      </c>
      <c r="G1023" t="str">
        <f t="shared" si="56"/>
        <v/>
      </c>
    </row>
    <row r="1024" spans="2:7">
      <c r="B1024" s="6"/>
      <c r="E1024" s="7"/>
      <c r="F1024" t="str">
        <f t="shared" si="55"/>
        <v/>
      </c>
      <c r="G1024" t="str">
        <f t="shared" si="56"/>
        <v/>
      </c>
    </row>
    <row r="1025" spans="2:7">
      <c r="B1025" s="6"/>
      <c r="E1025" s="7"/>
      <c r="F1025" t="str">
        <f t="shared" si="55"/>
        <v/>
      </c>
      <c r="G1025" t="str">
        <f t="shared" si="56"/>
        <v/>
      </c>
    </row>
    <row r="1026" spans="2:7">
      <c r="B1026" s="6"/>
      <c r="E1026" s="7"/>
      <c r="F1026" t="str">
        <f t="shared" si="55"/>
        <v/>
      </c>
      <c r="G1026" t="str">
        <f t="shared" si="56"/>
        <v/>
      </c>
    </row>
    <row r="1027" spans="2:7">
      <c r="B1027" s="6"/>
      <c r="E1027" s="7"/>
      <c r="F1027" t="str">
        <f t="shared" si="55"/>
        <v/>
      </c>
      <c r="G1027" t="str">
        <f t="shared" si="56"/>
        <v/>
      </c>
    </row>
    <row r="1028" spans="2:7">
      <c r="B1028" s="6"/>
      <c r="E1028" s="7"/>
      <c r="F1028" t="str">
        <f t="shared" ref="F1028:F1091" si="57">IF(B1028="","",LOG10(D1028))</f>
        <v/>
      </c>
      <c r="G1028" t="str">
        <f t="shared" ref="G1028:G1091" si="58">IF(E1028="", "",0.434*E1028/D1028)</f>
        <v/>
      </c>
    </row>
    <row r="1029" spans="2:7">
      <c r="B1029" s="6"/>
      <c r="E1029" s="7"/>
      <c r="F1029" t="str">
        <f t="shared" si="57"/>
        <v/>
      </c>
      <c r="G1029" t="str">
        <f t="shared" si="58"/>
        <v/>
      </c>
    </row>
    <row r="1030" spans="2:7">
      <c r="B1030" s="6"/>
      <c r="E1030" s="7"/>
      <c r="F1030" t="str">
        <f t="shared" si="57"/>
        <v/>
      </c>
      <c r="G1030" t="str">
        <f t="shared" si="58"/>
        <v/>
      </c>
    </row>
    <row r="1031" spans="2:7">
      <c r="B1031" s="6"/>
      <c r="E1031" s="7"/>
      <c r="F1031" t="str">
        <f t="shared" si="57"/>
        <v/>
      </c>
      <c r="G1031" t="str">
        <f t="shared" si="58"/>
        <v/>
      </c>
    </row>
    <row r="1032" spans="2:7">
      <c r="B1032" s="6"/>
      <c r="E1032" s="7"/>
      <c r="F1032" t="str">
        <f t="shared" si="57"/>
        <v/>
      </c>
      <c r="G1032" t="str">
        <f t="shared" si="58"/>
        <v/>
      </c>
    </row>
    <row r="1033" spans="2:7">
      <c r="B1033" s="6"/>
      <c r="E1033" s="7"/>
      <c r="F1033" t="str">
        <f t="shared" si="57"/>
        <v/>
      </c>
      <c r="G1033" t="str">
        <f t="shared" si="58"/>
        <v/>
      </c>
    </row>
    <row r="1034" spans="2:7">
      <c r="B1034" s="6"/>
      <c r="E1034" s="7"/>
      <c r="F1034" t="str">
        <f t="shared" si="57"/>
        <v/>
      </c>
      <c r="G1034" t="str">
        <f t="shared" si="58"/>
        <v/>
      </c>
    </row>
    <row r="1035" spans="2:7">
      <c r="B1035" s="6"/>
      <c r="E1035" s="7"/>
      <c r="F1035" t="str">
        <f t="shared" si="57"/>
        <v/>
      </c>
      <c r="G1035" t="str">
        <f t="shared" si="58"/>
        <v/>
      </c>
    </row>
    <row r="1036" spans="2:7">
      <c r="B1036" s="6"/>
      <c r="E1036" s="7"/>
      <c r="F1036" t="str">
        <f t="shared" si="57"/>
        <v/>
      </c>
      <c r="G1036" t="str">
        <f t="shared" si="58"/>
        <v/>
      </c>
    </row>
    <row r="1037" spans="2:7">
      <c r="B1037" s="6"/>
      <c r="E1037" s="7"/>
      <c r="F1037" t="str">
        <f t="shared" si="57"/>
        <v/>
      </c>
      <c r="G1037" t="str">
        <f t="shared" si="58"/>
        <v/>
      </c>
    </row>
    <row r="1038" spans="2:7">
      <c r="B1038" s="6"/>
      <c r="E1038" s="7"/>
      <c r="F1038" t="str">
        <f t="shared" si="57"/>
        <v/>
      </c>
      <c r="G1038" t="str">
        <f t="shared" si="58"/>
        <v/>
      </c>
    </row>
    <row r="1039" spans="2:7">
      <c r="B1039" s="6"/>
      <c r="E1039" s="7"/>
      <c r="F1039" t="str">
        <f t="shared" si="57"/>
        <v/>
      </c>
      <c r="G1039" t="str">
        <f t="shared" si="58"/>
        <v/>
      </c>
    </row>
    <row r="1040" spans="2:7">
      <c r="B1040" s="6"/>
      <c r="E1040" s="7"/>
      <c r="F1040" t="str">
        <f t="shared" si="57"/>
        <v/>
      </c>
      <c r="G1040" t="str">
        <f t="shared" si="58"/>
        <v/>
      </c>
    </row>
    <row r="1041" spans="2:7">
      <c r="B1041" s="6"/>
      <c r="E1041" s="7"/>
      <c r="F1041" t="str">
        <f t="shared" si="57"/>
        <v/>
      </c>
      <c r="G1041" t="str">
        <f t="shared" si="58"/>
        <v/>
      </c>
    </row>
    <row r="1042" spans="2:7">
      <c r="B1042" s="6"/>
      <c r="E1042" s="7"/>
      <c r="F1042" t="str">
        <f t="shared" si="57"/>
        <v/>
      </c>
      <c r="G1042" t="str">
        <f t="shared" si="58"/>
        <v/>
      </c>
    </row>
    <row r="1043" spans="2:7">
      <c r="B1043" s="6"/>
      <c r="E1043" s="7"/>
      <c r="F1043" t="str">
        <f t="shared" si="57"/>
        <v/>
      </c>
      <c r="G1043" t="str">
        <f t="shared" si="58"/>
        <v/>
      </c>
    </row>
    <row r="1044" spans="2:7">
      <c r="B1044" s="6"/>
      <c r="E1044" s="7"/>
      <c r="F1044" t="str">
        <f t="shared" si="57"/>
        <v/>
      </c>
      <c r="G1044" t="str">
        <f t="shared" si="58"/>
        <v/>
      </c>
    </row>
    <row r="1045" spans="2:7">
      <c r="B1045" s="6"/>
      <c r="E1045" s="7"/>
      <c r="F1045" t="str">
        <f t="shared" si="57"/>
        <v/>
      </c>
      <c r="G1045" t="str">
        <f t="shared" si="58"/>
        <v/>
      </c>
    </row>
    <row r="1046" spans="2:7">
      <c r="B1046" s="6"/>
      <c r="E1046" s="7"/>
      <c r="F1046" t="str">
        <f t="shared" si="57"/>
        <v/>
      </c>
      <c r="G1046" t="str">
        <f t="shared" si="58"/>
        <v/>
      </c>
    </row>
    <row r="1047" spans="2:7">
      <c r="B1047" s="6"/>
      <c r="E1047" s="7"/>
      <c r="F1047" t="str">
        <f t="shared" si="57"/>
        <v/>
      </c>
      <c r="G1047" t="str">
        <f t="shared" si="58"/>
        <v/>
      </c>
    </row>
    <row r="1048" spans="2:7">
      <c r="B1048" s="6"/>
      <c r="E1048" s="7"/>
      <c r="F1048" t="str">
        <f t="shared" si="57"/>
        <v/>
      </c>
      <c r="G1048" t="str">
        <f t="shared" si="58"/>
        <v/>
      </c>
    </row>
    <row r="1049" spans="2:7">
      <c r="B1049" s="6"/>
      <c r="E1049" s="7"/>
      <c r="F1049" t="str">
        <f t="shared" si="57"/>
        <v/>
      </c>
      <c r="G1049" t="str">
        <f t="shared" si="58"/>
        <v/>
      </c>
    </row>
    <row r="1050" spans="2:7">
      <c r="B1050" s="6"/>
      <c r="E1050" s="7"/>
      <c r="F1050" t="str">
        <f t="shared" si="57"/>
        <v/>
      </c>
      <c r="G1050" t="str">
        <f t="shared" si="58"/>
        <v/>
      </c>
    </row>
    <row r="1051" spans="2:7">
      <c r="B1051" s="6"/>
      <c r="E1051" s="7"/>
      <c r="F1051" t="str">
        <f t="shared" si="57"/>
        <v/>
      </c>
      <c r="G1051" t="str">
        <f t="shared" si="58"/>
        <v/>
      </c>
    </row>
    <row r="1052" spans="2:7">
      <c r="B1052" s="6"/>
      <c r="E1052" s="7"/>
      <c r="F1052" t="str">
        <f t="shared" si="57"/>
        <v/>
      </c>
      <c r="G1052" t="str">
        <f t="shared" si="58"/>
        <v/>
      </c>
    </row>
    <row r="1053" spans="2:7">
      <c r="B1053" s="6"/>
      <c r="E1053" s="7"/>
      <c r="F1053" t="str">
        <f t="shared" si="57"/>
        <v/>
      </c>
      <c r="G1053" t="str">
        <f t="shared" si="58"/>
        <v/>
      </c>
    </row>
    <row r="1054" spans="2:7">
      <c r="B1054" s="6"/>
      <c r="E1054" s="7"/>
      <c r="F1054" t="str">
        <f t="shared" si="57"/>
        <v/>
      </c>
      <c r="G1054" t="str">
        <f t="shared" si="58"/>
        <v/>
      </c>
    </row>
    <row r="1055" spans="2:7">
      <c r="B1055" s="6"/>
      <c r="E1055" s="7"/>
      <c r="F1055" t="str">
        <f t="shared" si="57"/>
        <v/>
      </c>
      <c r="G1055" t="str">
        <f t="shared" si="58"/>
        <v/>
      </c>
    </row>
    <row r="1056" spans="2:7">
      <c r="B1056" s="6"/>
      <c r="E1056" s="7"/>
      <c r="F1056" t="str">
        <f t="shared" si="57"/>
        <v/>
      </c>
      <c r="G1056" t="str">
        <f t="shared" si="58"/>
        <v/>
      </c>
    </row>
    <row r="1057" spans="2:7">
      <c r="B1057" s="6"/>
      <c r="E1057" s="7"/>
      <c r="F1057" t="str">
        <f t="shared" si="57"/>
        <v/>
      </c>
      <c r="G1057" t="str">
        <f t="shared" si="58"/>
        <v/>
      </c>
    </row>
    <row r="1058" spans="2:7">
      <c r="B1058" s="6"/>
      <c r="E1058" s="7"/>
      <c r="F1058" t="str">
        <f t="shared" si="57"/>
        <v/>
      </c>
      <c r="G1058" t="str">
        <f t="shared" si="58"/>
        <v/>
      </c>
    </row>
    <row r="1059" spans="2:7">
      <c r="B1059" s="6"/>
      <c r="E1059" s="7"/>
      <c r="F1059" t="str">
        <f t="shared" si="57"/>
        <v/>
      </c>
      <c r="G1059" t="str">
        <f t="shared" si="58"/>
        <v/>
      </c>
    </row>
    <row r="1060" spans="2:7">
      <c r="B1060" s="6"/>
      <c r="E1060" s="7"/>
      <c r="F1060" t="str">
        <f t="shared" si="57"/>
        <v/>
      </c>
      <c r="G1060" t="str">
        <f t="shared" si="58"/>
        <v/>
      </c>
    </row>
    <row r="1061" spans="2:7">
      <c r="B1061" s="6"/>
      <c r="E1061" s="7"/>
      <c r="F1061" t="str">
        <f t="shared" si="57"/>
        <v/>
      </c>
      <c r="G1061" t="str">
        <f t="shared" si="58"/>
        <v/>
      </c>
    </row>
    <row r="1062" spans="2:7">
      <c r="B1062" s="6"/>
      <c r="E1062" s="7"/>
      <c r="F1062" t="str">
        <f t="shared" si="57"/>
        <v/>
      </c>
      <c r="G1062" t="str">
        <f t="shared" si="58"/>
        <v/>
      </c>
    </row>
    <row r="1063" spans="2:7">
      <c r="B1063" s="6"/>
      <c r="E1063" s="7"/>
      <c r="F1063" t="str">
        <f t="shared" si="57"/>
        <v/>
      </c>
      <c r="G1063" t="str">
        <f t="shared" si="58"/>
        <v/>
      </c>
    </row>
    <row r="1064" spans="2:7">
      <c r="B1064" s="6"/>
      <c r="E1064" s="7"/>
      <c r="F1064" t="str">
        <f t="shared" si="57"/>
        <v/>
      </c>
      <c r="G1064" t="str">
        <f t="shared" si="58"/>
        <v/>
      </c>
    </row>
    <row r="1065" spans="2:7">
      <c r="B1065" s="6"/>
      <c r="E1065" s="7"/>
      <c r="F1065" t="str">
        <f t="shared" si="57"/>
        <v/>
      </c>
      <c r="G1065" t="str">
        <f t="shared" si="58"/>
        <v/>
      </c>
    </row>
    <row r="1066" spans="2:7">
      <c r="B1066" s="6"/>
      <c r="E1066" s="7"/>
      <c r="F1066" t="str">
        <f t="shared" si="57"/>
        <v/>
      </c>
      <c r="G1066" t="str">
        <f t="shared" si="58"/>
        <v/>
      </c>
    </row>
    <row r="1067" spans="2:7">
      <c r="B1067" s="6"/>
      <c r="E1067" s="7"/>
      <c r="F1067" t="str">
        <f t="shared" si="57"/>
        <v/>
      </c>
      <c r="G1067" t="str">
        <f t="shared" si="58"/>
        <v/>
      </c>
    </row>
    <row r="1068" spans="2:7">
      <c r="B1068" s="6"/>
      <c r="E1068" s="7"/>
      <c r="F1068" t="str">
        <f t="shared" si="57"/>
        <v/>
      </c>
      <c r="G1068" t="str">
        <f t="shared" si="58"/>
        <v/>
      </c>
    </row>
    <row r="1069" spans="2:7">
      <c r="B1069" s="6"/>
      <c r="E1069" s="7"/>
      <c r="F1069" t="str">
        <f t="shared" si="57"/>
        <v/>
      </c>
      <c r="G1069" t="str">
        <f t="shared" si="58"/>
        <v/>
      </c>
    </row>
    <row r="1070" spans="2:7">
      <c r="B1070" s="6"/>
      <c r="E1070" s="7"/>
      <c r="F1070" t="str">
        <f t="shared" si="57"/>
        <v/>
      </c>
      <c r="G1070" t="str">
        <f t="shared" si="58"/>
        <v/>
      </c>
    </row>
    <row r="1071" spans="2:7">
      <c r="B1071" s="6"/>
      <c r="E1071" s="7"/>
      <c r="F1071" t="str">
        <f t="shared" si="57"/>
        <v/>
      </c>
      <c r="G1071" t="str">
        <f t="shared" si="58"/>
        <v/>
      </c>
    </row>
    <row r="1072" spans="2:7">
      <c r="B1072" s="6"/>
      <c r="E1072" s="7"/>
      <c r="F1072" t="str">
        <f t="shared" si="57"/>
        <v/>
      </c>
      <c r="G1072" t="str">
        <f t="shared" si="58"/>
        <v/>
      </c>
    </row>
    <row r="1073" spans="2:7">
      <c r="B1073" s="6"/>
      <c r="E1073" s="7"/>
      <c r="F1073" t="str">
        <f t="shared" si="57"/>
        <v/>
      </c>
      <c r="G1073" t="str">
        <f t="shared" si="58"/>
        <v/>
      </c>
    </row>
    <row r="1074" spans="2:7">
      <c r="B1074" s="6"/>
      <c r="E1074" s="7"/>
      <c r="F1074" t="str">
        <f t="shared" si="57"/>
        <v/>
      </c>
      <c r="G1074" t="str">
        <f t="shared" si="58"/>
        <v/>
      </c>
    </row>
    <row r="1075" spans="2:7">
      <c r="B1075" s="6"/>
      <c r="E1075" s="7"/>
      <c r="F1075" t="str">
        <f t="shared" si="57"/>
        <v/>
      </c>
      <c r="G1075" t="str">
        <f t="shared" si="58"/>
        <v/>
      </c>
    </row>
    <row r="1076" spans="2:7">
      <c r="B1076" s="6"/>
      <c r="E1076" s="7"/>
      <c r="F1076" t="str">
        <f t="shared" si="57"/>
        <v/>
      </c>
      <c r="G1076" t="str">
        <f t="shared" si="58"/>
        <v/>
      </c>
    </row>
    <row r="1077" spans="2:7">
      <c r="B1077" s="6"/>
      <c r="E1077" s="7"/>
      <c r="F1077" t="str">
        <f t="shared" si="57"/>
        <v/>
      </c>
      <c r="G1077" t="str">
        <f t="shared" si="58"/>
        <v/>
      </c>
    </row>
    <row r="1078" spans="2:7">
      <c r="B1078" s="6"/>
      <c r="E1078" s="7"/>
      <c r="F1078" t="str">
        <f t="shared" si="57"/>
        <v/>
      </c>
      <c r="G1078" t="str">
        <f t="shared" si="58"/>
        <v/>
      </c>
    </row>
    <row r="1079" spans="2:7">
      <c r="B1079" s="6"/>
      <c r="E1079" s="7"/>
      <c r="F1079" t="str">
        <f t="shared" si="57"/>
        <v/>
      </c>
      <c r="G1079" t="str">
        <f t="shared" si="58"/>
        <v/>
      </c>
    </row>
    <row r="1080" spans="2:7">
      <c r="B1080" s="6"/>
      <c r="E1080" s="7"/>
      <c r="F1080" t="str">
        <f t="shared" si="57"/>
        <v/>
      </c>
      <c r="G1080" t="str">
        <f t="shared" si="58"/>
        <v/>
      </c>
    </row>
    <row r="1081" spans="2:7">
      <c r="B1081" s="6"/>
      <c r="E1081" s="7"/>
      <c r="F1081" t="str">
        <f t="shared" si="57"/>
        <v/>
      </c>
      <c r="G1081" t="str">
        <f t="shared" si="58"/>
        <v/>
      </c>
    </row>
    <row r="1082" spans="2:7">
      <c r="B1082" s="6"/>
      <c r="E1082" s="7"/>
      <c r="F1082" t="str">
        <f t="shared" si="57"/>
        <v/>
      </c>
      <c r="G1082" t="str">
        <f t="shared" si="58"/>
        <v/>
      </c>
    </row>
    <row r="1083" spans="2:7">
      <c r="B1083" s="6"/>
      <c r="E1083" s="7"/>
      <c r="F1083" t="str">
        <f t="shared" si="57"/>
        <v/>
      </c>
      <c r="G1083" t="str">
        <f t="shared" si="58"/>
        <v/>
      </c>
    </row>
    <row r="1084" spans="2:7">
      <c r="B1084" s="6"/>
      <c r="E1084" s="7"/>
      <c r="F1084" t="str">
        <f t="shared" si="57"/>
        <v/>
      </c>
      <c r="G1084" t="str">
        <f t="shared" si="58"/>
        <v/>
      </c>
    </row>
    <row r="1085" spans="2:7">
      <c r="B1085" s="6"/>
      <c r="E1085" s="7"/>
      <c r="F1085" t="str">
        <f t="shared" si="57"/>
        <v/>
      </c>
      <c r="G1085" t="str">
        <f t="shared" si="58"/>
        <v/>
      </c>
    </row>
    <row r="1086" spans="2:7">
      <c r="B1086" s="6"/>
      <c r="E1086" s="7"/>
      <c r="F1086" t="str">
        <f t="shared" si="57"/>
        <v/>
      </c>
      <c r="G1086" t="str">
        <f t="shared" si="58"/>
        <v/>
      </c>
    </row>
    <row r="1087" spans="2:7">
      <c r="B1087" s="6"/>
      <c r="E1087" s="7"/>
      <c r="F1087" t="str">
        <f t="shared" si="57"/>
        <v/>
      </c>
      <c r="G1087" t="str">
        <f t="shared" si="58"/>
        <v/>
      </c>
    </row>
    <row r="1088" spans="2:7">
      <c r="B1088" s="6"/>
      <c r="E1088" s="7"/>
      <c r="F1088" t="str">
        <f t="shared" si="57"/>
        <v/>
      </c>
      <c r="G1088" t="str">
        <f t="shared" si="58"/>
        <v/>
      </c>
    </row>
    <row r="1089" spans="2:7">
      <c r="B1089" s="6"/>
      <c r="E1089" s="7"/>
      <c r="F1089" t="str">
        <f t="shared" si="57"/>
        <v/>
      </c>
      <c r="G1089" t="str">
        <f t="shared" si="58"/>
        <v/>
      </c>
    </row>
    <row r="1090" spans="2:7">
      <c r="B1090" s="6"/>
      <c r="E1090" s="7"/>
      <c r="F1090" t="str">
        <f t="shared" si="57"/>
        <v/>
      </c>
      <c r="G1090" t="str">
        <f t="shared" si="58"/>
        <v/>
      </c>
    </row>
    <row r="1091" spans="2:7">
      <c r="B1091" s="6"/>
      <c r="E1091" s="7"/>
      <c r="F1091" t="str">
        <f t="shared" si="57"/>
        <v/>
      </c>
      <c r="G1091" t="str">
        <f t="shared" si="58"/>
        <v/>
      </c>
    </row>
    <row r="1092" spans="2:7">
      <c r="B1092" s="6"/>
      <c r="E1092" s="7"/>
      <c r="F1092" t="str">
        <f t="shared" ref="F1092:F1155" si="59">IF(B1092="","",LOG10(D1092))</f>
        <v/>
      </c>
      <c r="G1092" t="str">
        <f t="shared" ref="G1092:G1155" si="60">IF(E1092="", "",0.434*E1092/D1092)</f>
        <v/>
      </c>
    </row>
    <row r="1093" spans="2:7">
      <c r="B1093" s="6"/>
      <c r="E1093" s="7"/>
      <c r="F1093" t="str">
        <f t="shared" si="59"/>
        <v/>
      </c>
      <c r="G1093" t="str">
        <f t="shared" si="60"/>
        <v/>
      </c>
    </row>
    <row r="1094" spans="2:7">
      <c r="B1094" s="6"/>
      <c r="E1094" s="7"/>
      <c r="F1094" t="str">
        <f t="shared" si="59"/>
        <v/>
      </c>
      <c r="G1094" t="str">
        <f t="shared" si="60"/>
        <v/>
      </c>
    </row>
    <row r="1095" spans="2:7">
      <c r="B1095" s="6"/>
      <c r="E1095" s="7"/>
      <c r="F1095" t="str">
        <f t="shared" si="59"/>
        <v/>
      </c>
      <c r="G1095" t="str">
        <f t="shared" si="60"/>
        <v/>
      </c>
    </row>
    <row r="1096" spans="2:7">
      <c r="B1096" s="6"/>
      <c r="E1096" s="7"/>
      <c r="F1096" t="str">
        <f t="shared" si="59"/>
        <v/>
      </c>
      <c r="G1096" t="str">
        <f t="shared" si="60"/>
        <v/>
      </c>
    </row>
    <row r="1097" spans="2:7">
      <c r="B1097" s="6"/>
      <c r="E1097" s="7"/>
      <c r="F1097" t="str">
        <f t="shared" si="59"/>
        <v/>
      </c>
      <c r="G1097" t="str">
        <f t="shared" si="60"/>
        <v/>
      </c>
    </row>
    <row r="1098" spans="2:7">
      <c r="B1098" s="6"/>
      <c r="E1098" s="7"/>
      <c r="F1098" t="str">
        <f t="shared" si="59"/>
        <v/>
      </c>
      <c r="G1098" t="str">
        <f t="shared" si="60"/>
        <v/>
      </c>
    </row>
    <row r="1099" spans="2:7">
      <c r="B1099" s="6"/>
      <c r="E1099" s="7"/>
      <c r="F1099" t="str">
        <f t="shared" si="59"/>
        <v/>
      </c>
      <c r="G1099" t="str">
        <f t="shared" si="60"/>
        <v/>
      </c>
    </row>
    <row r="1100" spans="2:7">
      <c r="B1100" s="6"/>
      <c r="E1100" s="7"/>
      <c r="F1100" t="str">
        <f t="shared" si="59"/>
        <v/>
      </c>
      <c r="G1100" t="str">
        <f t="shared" si="60"/>
        <v/>
      </c>
    </row>
    <row r="1101" spans="2:7">
      <c r="B1101" s="6"/>
      <c r="E1101" s="7"/>
      <c r="F1101" t="str">
        <f t="shared" si="59"/>
        <v/>
      </c>
      <c r="G1101" t="str">
        <f t="shared" si="60"/>
        <v/>
      </c>
    </row>
    <row r="1102" spans="2:7">
      <c r="B1102" s="6"/>
      <c r="E1102" s="7"/>
      <c r="F1102" t="str">
        <f t="shared" si="59"/>
        <v/>
      </c>
      <c r="G1102" t="str">
        <f t="shared" si="60"/>
        <v/>
      </c>
    </row>
    <row r="1103" spans="2:7">
      <c r="B1103" s="6"/>
      <c r="E1103" s="7"/>
      <c r="F1103" t="str">
        <f t="shared" si="59"/>
        <v/>
      </c>
      <c r="G1103" t="str">
        <f t="shared" si="60"/>
        <v/>
      </c>
    </row>
    <row r="1104" spans="2:7">
      <c r="B1104" s="6"/>
      <c r="E1104" s="7"/>
      <c r="F1104" t="str">
        <f t="shared" si="59"/>
        <v/>
      </c>
      <c r="G1104" t="str">
        <f t="shared" si="60"/>
        <v/>
      </c>
    </row>
    <row r="1105" spans="2:7">
      <c r="B1105" s="6"/>
      <c r="E1105" s="7"/>
      <c r="F1105" t="str">
        <f t="shared" si="59"/>
        <v/>
      </c>
      <c r="G1105" t="str">
        <f t="shared" si="60"/>
        <v/>
      </c>
    </row>
    <row r="1106" spans="2:7">
      <c r="B1106" s="6"/>
      <c r="E1106" s="7"/>
      <c r="F1106" t="str">
        <f t="shared" si="59"/>
        <v/>
      </c>
      <c r="G1106" t="str">
        <f t="shared" si="60"/>
        <v/>
      </c>
    </row>
    <row r="1107" spans="2:7">
      <c r="B1107" s="6"/>
      <c r="E1107" s="7"/>
      <c r="F1107" t="str">
        <f t="shared" si="59"/>
        <v/>
      </c>
      <c r="G1107" t="str">
        <f t="shared" si="60"/>
        <v/>
      </c>
    </row>
    <row r="1108" spans="2:7">
      <c r="B1108" s="6"/>
      <c r="E1108" s="7"/>
      <c r="F1108" t="str">
        <f t="shared" si="59"/>
        <v/>
      </c>
      <c r="G1108" t="str">
        <f t="shared" si="60"/>
        <v/>
      </c>
    </row>
    <row r="1109" spans="2:7">
      <c r="B1109" s="6"/>
      <c r="E1109" s="7"/>
      <c r="F1109" t="str">
        <f t="shared" si="59"/>
        <v/>
      </c>
      <c r="G1109" t="str">
        <f t="shared" si="60"/>
        <v/>
      </c>
    </row>
    <row r="1110" spans="2:7">
      <c r="B1110" s="6"/>
      <c r="E1110" s="7"/>
      <c r="F1110" t="str">
        <f t="shared" si="59"/>
        <v/>
      </c>
      <c r="G1110" t="str">
        <f t="shared" si="60"/>
        <v/>
      </c>
    </row>
    <row r="1111" spans="2:7">
      <c r="B1111" s="6"/>
      <c r="E1111" s="7"/>
      <c r="F1111" t="str">
        <f t="shared" si="59"/>
        <v/>
      </c>
      <c r="G1111" t="str">
        <f t="shared" si="60"/>
        <v/>
      </c>
    </row>
    <row r="1112" spans="2:7">
      <c r="B1112" s="6"/>
      <c r="E1112" s="7"/>
      <c r="F1112" t="str">
        <f t="shared" si="59"/>
        <v/>
      </c>
      <c r="G1112" t="str">
        <f t="shared" si="60"/>
        <v/>
      </c>
    </row>
    <row r="1113" spans="2:7">
      <c r="B1113" s="6"/>
      <c r="E1113" s="7"/>
      <c r="F1113" t="str">
        <f t="shared" si="59"/>
        <v/>
      </c>
      <c r="G1113" t="str">
        <f t="shared" si="60"/>
        <v/>
      </c>
    </row>
    <row r="1114" spans="2:7">
      <c r="B1114" s="6"/>
      <c r="E1114" s="7"/>
      <c r="F1114" t="str">
        <f t="shared" si="59"/>
        <v/>
      </c>
      <c r="G1114" t="str">
        <f t="shared" si="60"/>
        <v/>
      </c>
    </row>
    <row r="1115" spans="2:7">
      <c r="B1115" s="6"/>
      <c r="E1115" s="7"/>
      <c r="F1115" t="str">
        <f t="shared" si="59"/>
        <v/>
      </c>
      <c r="G1115" t="str">
        <f t="shared" si="60"/>
        <v/>
      </c>
    </row>
    <row r="1116" spans="2:7">
      <c r="B1116" s="6"/>
      <c r="E1116" s="7"/>
      <c r="F1116" t="str">
        <f t="shared" si="59"/>
        <v/>
      </c>
      <c r="G1116" t="str">
        <f t="shared" si="60"/>
        <v/>
      </c>
    </row>
    <row r="1117" spans="2:7">
      <c r="B1117" s="6"/>
      <c r="E1117" s="7"/>
      <c r="F1117" t="str">
        <f t="shared" si="59"/>
        <v/>
      </c>
      <c r="G1117" t="str">
        <f t="shared" si="60"/>
        <v/>
      </c>
    </row>
    <row r="1118" spans="2:7">
      <c r="B1118" s="6"/>
      <c r="E1118" s="7"/>
      <c r="F1118" t="str">
        <f t="shared" si="59"/>
        <v/>
      </c>
      <c r="G1118" t="str">
        <f t="shared" si="60"/>
        <v/>
      </c>
    </row>
    <row r="1119" spans="2:7">
      <c r="B1119" s="6"/>
      <c r="E1119" s="7"/>
      <c r="F1119" t="str">
        <f t="shared" si="59"/>
        <v/>
      </c>
      <c r="G1119" t="str">
        <f t="shared" si="60"/>
        <v/>
      </c>
    </row>
    <row r="1120" spans="2:7">
      <c r="B1120" s="6"/>
      <c r="E1120" s="7"/>
      <c r="F1120" t="str">
        <f t="shared" si="59"/>
        <v/>
      </c>
      <c r="G1120" t="str">
        <f t="shared" si="60"/>
        <v/>
      </c>
    </row>
    <row r="1121" spans="2:7">
      <c r="B1121" s="6"/>
      <c r="E1121" s="7"/>
      <c r="F1121" t="str">
        <f t="shared" si="59"/>
        <v/>
      </c>
      <c r="G1121" t="str">
        <f t="shared" si="60"/>
        <v/>
      </c>
    </row>
    <row r="1122" spans="2:7">
      <c r="B1122" s="6"/>
      <c r="E1122" s="7"/>
      <c r="F1122" t="str">
        <f t="shared" si="59"/>
        <v/>
      </c>
      <c r="G1122" t="str">
        <f t="shared" si="60"/>
        <v/>
      </c>
    </row>
    <row r="1123" spans="2:7">
      <c r="B1123" s="6"/>
      <c r="E1123" s="7"/>
      <c r="F1123" t="str">
        <f t="shared" si="59"/>
        <v/>
      </c>
      <c r="G1123" t="str">
        <f t="shared" si="60"/>
        <v/>
      </c>
    </row>
    <row r="1124" spans="2:7">
      <c r="B1124" s="6"/>
      <c r="E1124" s="7"/>
      <c r="F1124" t="str">
        <f t="shared" si="59"/>
        <v/>
      </c>
      <c r="G1124" t="str">
        <f t="shared" si="60"/>
        <v/>
      </c>
    </row>
    <row r="1125" spans="2:7">
      <c r="B1125" s="6"/>
      <c r="E1125" s="7"/>
      <c r="F1125" t="str">
        <f t="shared" si="59"/>
        <v/>
      </c>
      <c r="G1125" t="str">
        <f t="shared" si="60"/>
        <v/>
      </c>
    </row>
    <row r="1126" spans="2:7">
      <c r="B1126" s="6"/>
      <c r="E1126" s="7"/>
      <c r="F1126" t="str">
        <f t="shared" si="59"/>
        <v/>
      </c>
      <c r="G1126" t="str">
        <f t="shared" si="60"/>
        <v/>
      </c>
    </row>
    <row r="1127" spans="2:7">
      <c r="B1127" s="6"/>
      <c r="E1127" s="7"/>
      <c r="F1127" t="str">
        <f t="shared" si="59"/>
        <v/>
      </c>
      <c r="G1127" t="str">
        <f t="shared" si="60"/>
        <v/>
      </c>
    </row>
    <row r="1128" spans="2:7">
      <c r="B1128" s="6"/>
      <c r="E1128" s="7"/>
      <c r="F1128" t="str">
        <f t="shared" si="59"/>
        <v/>
      </c>
      <c r="G1128" t="str">
        <f t="shared" si="60"/>
        <v/>
      </c>
    </row>
    <row r="1129" spans="2:7">
      <c r="B1129" s="6"/>
      <c r="E1129" s="7"/>
      <c r="F1129" t="str">
        <f t="shared" si="59"/>
        <v/>
      </c>
      <c r="G1129" t="str">
        <f t="shared" si="60"/>
        <v/>
      </c>
    </row>
    <row r="1130" spans="2:7">
      <c r="B1130" s="6"/>
      <c r="E1130" s="7"/>
      <c r="F1130" t="str">
        <f t="shared" si="59"/>
        <v/>
      </c>
      <c r="G1130" t="str">
        <f t="shared" si="60"/>
        <v/>
      </c>
    </row>
    <row r="1131" spans="2:7">
      <c r="B1131" s="6"/>
      <c r="E1131" s="7"/>
      <c r="F1131" t="str">
        <f t="shared" si="59"/>
        <v/>
      </c>
      <c r="G1131" t="str">
        <f t="shared" si="60"/>
        <v/>
      </c>
    </row>
    <row r="1132" spans="2:7">
      <c r="B1132" s="6"/>
      <c r="E1132" s="7"/>
      <c r="F1132" t="str">
        <f t="shared" si="59"/>
        <v/>
      </c>
      <c r="G1132" t="str">
        <f t="shared" si="60"/>
        <v/>
      </c>
    </row>
    <row r="1133" spans="2:7">
      <c r="B1133" s="6"/>
      <c r="E1133" s="7"/>
      <c r="F1133" t="str">
        <f t="shared" si="59"/>
        <v/>
      </c>
      <c r="G1133" t="str">
        <f t="shared" si="60"/>
        <v/>
      </c>
    </row>
    <row r="1134" spans="2:7">
      <c r="B1134" s="6"/>
      <c r="E1134" s="7"/>
      <c r="F1134" t="str">
        <f t="shared" si="59"/>
        <v/>
      </c>
      <c r="G1134" t="str">
        <f t="shared" si="60"/>
        <v/>
      </c>
    </row>
    <row r="1135" spans="2:7">
      <c r="B1135" s="6"/>
      <c r="E1135" s="7"/>
      <c r="F1135" t="str">
        <f t="shared" si="59"/>
        <v/>
      </c>
      <c r="G1135" t="str">
        <f t="shared" si="60"/>
        <v/>
      </c>
    </row>
    <row r="1136" spans="2:7">
      <c r="B1136" s="6"/>
      <c r="E1136" s="7"/>
      <c r="F1136" t="str">
        <f t="shared" si="59"/>
        <v/>
      </c>
      <c r="G1136" t="str">
        <f t="shared" si="60"/>
        <v/>
      </c>
    </row>
    <row r="1137" spans="2:7">
      <c r="B1137" s="6"/>
      <c r="E1137" s="7"/>
      <c r="F1137" t="str">
        <f t="shared" si="59"/>
        <v/>
      </c>
      <c r="G1137" t="str">
        <f t="shared" si="60"/>
        <v/>
      </c>
    </row>
    <row r="1138" spans="2:7">
      <c r="B1138" s="6"/>
      <c r="E1138" s="7"/>
      <c r="F1138" t="str">
        <f t="shared" si="59"/>
        <v/>
      </c>
      <c r="G1138" t="str">
        <f t="shared" si="60"/>
        <v/>
      </c>
    </row>
    <row r="1139" spans="2:7">
      <c r="B1139" s="6"/>
      <c r="E1139" s="7"/>
      <c r="F1139" t="str">
        <f t="shared" si="59"/>
        <v/>
      </c>
      <c r="G1139" t="str">
        <f t="shared" si="60"/>
        <v/>
      </c>
    </row>
    <row r="1140" spans="2:7">
      <c r="B1140" s="6"/>
      <c r="E1140" s="7"/>
      <c r="F1140" t="str">
        <f t="shared" si="59"/>
        <v/>
      </c>
      <c r="G1140" t="str">
        <f t="shared" si="60"/>
        <v/>
      </c>
    </row>
    <row r="1141" spans="2:7">
      <c r="B1141" s="6"/>
      <c r="E1141" s="7"/>
      <c r="F1141" t="str">
        <f t="shared" si="59"/>
        <v/>
      </c>
      <c r="G1141" t="str">
        <f t="shared" si="60"/>
        <v/>
      </c>
    </row>
    <row r="1142" spans="2:7">
      <c r="B1142" s="6"/>
      <c r="E1142" s="7"/>
      <c r="F1142" t="str">
        <f t="shared" si="59"/>
        <v/>
      </c>
      <c r="G1142" t="str">
        <f t="shared" si="60"/>
        <v/>
      </c>
    </row>
    <row r="1143" spans="2:7">
      <c r="B1143" s="6"/>
      <c r="E1143" s="7"/>
      <c r="F1143" t="str">
        <f t="shared" si="59"/>
        <v/>
      </c>
      <c r="G1143" t="str">
        <f t="shared" si="60"/>
        <v/>
      </c>
    </row>
    <row r="1144" spans="2:7">
      <c r="B1144" s="6"/>
      <c r="E1144" s="7"/>
      <c r="F1144" t="str">
        <f t="shared" si="59"/>
        <v/>
      </c>
      <c r="G1144" t="str">
        <f t="shared" si="60"/>
        <v/>
      </c>
    </row>
    <row r="1145" spans="2:7">
      <c r="B1145" s="6"/>
      <c r="E1145" s="7"/>
      <c r="F1145" t="str">
        <f t="shared" si="59"/>
        <v/>
      </c>
      <c r="G1145" t="str">
        <f t="shared" si="60"/>
        <v/>
      </c>
    </row>
    <row r="1146" spans="2:7">
      <c r="B1146" s="6"/>
      <c r="E1146" s="7"/>
      <c r="F1146" t="str">
        <f t="shared" si="59"/>
        <v/>
      </c>
      <c r="G1146" t="str">
        <f t="shared" si="60"/>
        <v/>
      </c>
    </row>
    <row r="1147" spans="2:7">
      <c r="B1147" s="6"/>
      <c r="E1147" s="7"/>
      <c r="F1147" t="str">
        <f t="shared" si="59"/>
        <v/>
      </c>
      <c r="G1147" t="str">
        <f t="shared" si="60"/>
        <v/>
      </c>
    </row>
    <row r="1148" spans="2:7">
      <c r="B1148" s="6"/>
      <c r="E1148" s="7"/>
      <c r="F1148" t="str">
        <f t="shared" si="59"/>
        <v/>
      </c>
      <c r="G1148" t="str">
        <f t="shared" si="60"/>
        <v/>
      </c>
    </row>
    <row r="1149" spans="2:7">
      <c r="B1149" s="6"/>
      <c r="E1149" s="7"/>
      <c r="F1149" t="str">
        <f t="shared" si="59"/>
        <v/>
      </c>
      <c r="G1149" t="str">
        <f t="shared" si="60"/>
        <v/>
      </c>
    </row>
    <row r="1150" spans="2:7">
      <c r="B1150" s="6"/>
      <c r="E1150" s="7"/>
      <c r="F1150" t="str">
        <f t="shared" si="59"/>
        <v/>
      </c>
      <c r="G1150" t="str">
        <f t="shared" si="60"/>
        <v/>
      </c>
    </row>
    <row r="1151" spans="2:7">
      <c r="B1151" s="6"/>
      <c r="E1151" s="7"/>
      <c r="F1151" t="str">
        <f t="shared" si="59"/>
        <v/>
      </c>
      <c r="G1151" t="str">
        <f t="shared" si="60"/>
        <v/>
      </c>
    </row>
    <row r="1152" spans="2:7">
      <c r="B1152" s="6"/>
      <c r="E1152" s="7"/>
      <c r="F1152" t="str">
        <f t="shared" si="59"/>
        <v/>
      </c>
      <c r="G1152" t="str">
        <f t="shared" si="60"/>
        <v/>
      </c>
    </row>
    <row r="1153" spans="2:7">
      <c r="B1153" s="6"/>
      <c r="E1153" s="7"/>
      <c r="F1153" t="str">
        <f t="shared" si="59"/>
        <v/>
      </c>
      <c r="G1153" t="str">
        <f t="shared" si="60"/>
        <v/>
      </c>
    </row>
    <row r="1154" spans="2:7">
      <c r="B1154" s="6"/>
      <c r="E1154" s="7"/>
      <c r="F1154" t="str">
        <f t="shared" si="59"/>
        <v/>
      </c>
      <c r="G1154" t="str">
        <f t="shared" si="60"/>
        <v/>
      </c>
    </row>
    <row r="1155" spans="2:7">
      <c r="B1155" s="6"/>
      <c r="E1155" s="7"/>
      <c r="F1155" t="str">
        <f t="shared" si="59"/>
        <v/>
      </c>
      <c r="G1155" t="str">
        <f t="shared" si="60"/>
        <v/>
      </c>
    </row>
    <row r="1156" spans="2:7">
      <c r="B1156" s="6"/>
      <c r="E1156" s="7"/>
      <c r="F1156" t="str">
        <f t="shared" ref="F1156:F1219" si="61">IF(B1156="","",LOG10(D1156))</f>
        <v/>
      </c>
      <c r="G1156" t="str">
        <f t="shared" ref="G1156:G1219" si="62">IF(E1156="", "",0.434*E1156/D1156)</f>
        <v/>
      </c>
    </row>
    <row r="1157" spans="2:7">
      <c r="B1157" s="6"/>
      <c r="E1157" s="7"/>
      <c r="F1157" t="str">
        <f t="shared" si="61"/>
        <v/>
      </c>
      <c r="G1157" t="str">
        <f t="shared" si="62"/>
        <v/>
      </c>
    </row>
    <row r="1158" spans="2:7">
      <c r="B1158" s="6"/>
      <c r="E1158" s="7"/>
      <c r="F1158" t="str">
        <f t="shared" si="61"/>
        <v/>
      </c>
      <c r="G1158" t="str">
        <f t="shared" si="62"/>
        <v/>
      </c>
    </row>
    <row r="1159" spans="2:7">
      <c r="B1159" s="6"/>
      <c r="E1159" s="7"/>
      <c r="F1159" t="str">
        <f t="shared" si="61"/>
        <v/>
      </c>
      <c r="G1159" t="str">
        <f t="shared" si="62"/>
        <v/>
      </c>
    </row>
    <row r="1160" spans="2:7">
      <c r="B1160" s="6"/>
      <c r="E1160" s="7"/>
      <c r="F1160" t="str">
        <f t="shared" si="61"/>
        <v/>
      </c>
      <c r="G1160" t="str">
        <f t="shared" si="62"/>
        <v/>
      </c>
    </row>
    <row r="1161" spans="2:7">
      <c r="B1161" s="6"/>
      <c r="E1161" s="7"/>
      <c r="F1161" t="str">
        <f t="shared" si="61"/>
        <v/>
      </c>
      <c r="G1161" t="str">
        <f t="shared" si="62"/>
        <v/>
      </c>
    </row>
    <row r="1162" spans="2:7">
      <c r="B1162" s="6"/>
      <c r="E1162" s="7"/>
      <c r="F1162" t="str">
        <f t="shared" si="61"/>
        <v/>
      </c>
      <c r="G1162" t="str">
        <f t="shared" si="62"/>
        <v/>
      </c>
    </row>
    <row r="1163" spans="2:7">
      <c r="B1163" s="6"/>
      <c r="E1163" s="7"/>
      <c r="F1163" t="str">
        <f t="shared" si="61"/>
        <v/>
      </c>
      <c r="G1163" t="str">
        <f t="shared" si="62"/>
        <v/>
      </c>
    </row>
    <row r="1164" spans="2:7">
      <c r="B1164" s="6"/>
      <c r="E1164" s="7"/>
      <c r="F1164" t="str">
        <f t="shared" si="61"/>
        <v/>
      </c>
      <c r="G1164" t="str">
        <f t="shared" si="62"/>
        <v/>
      </c>
    </row>
    <row r="1165" spans="2:7">
      <c r="B1165" s="6"/>
      <c r="E1165" s="7"/>
      <c r="F1165" t="str">
        <f t="shared" si="61"/>
        <v/>
      </c>
      <c r="G1165" t="str">
        <f t="shared" si="62"/>
        <v/>
      </c>
    </row>
    <row r="1166" spans="2:7">
      <c r="B1166" s="6"/>
      <c r="E1166" s="7"/>
      <c r="F1166" t="str">
        <f t="shared" si="61"/>
        <v/>
      </c>
      <c r="G1166" t="str">
        <f t="shared" si="62"/>
        <v/>
      </c>
    </row>
    <row r="1167" spans="2:7">
      <c r="B1167" s="6"/>
      <c r="E1167" s="7"/>
      <c r="F1167" t="str">
        <f t="shared" si="61"/>
        <v/>
      </c>
      <c r="G1167" t="str">
        <f t="shared" si="62"/>
        <v/>
      </c>
    </row>
    <row r="1168" spans="2:7">
      <c r="B1168" s="6"/>
      <c r="E1168" s="7"/>
      <c r="F1168" t="str">
        <f t="shared" si="61"/>
        <v/>
      </c>
      <c r="G1168" t="str">
        <f t="shared" si="62"/>
        <v/>
      </c>
    </row>
    <row r="1169" spans="2:7">
      <c r="B1169" s="6"/>
      <c r="E1169" s="7"/>
      <c r="F1169" t="str">
        <f t="shared" si="61"/>
        <v/>
      </c>
      <c r="G1169" t="str">
        <f t="shared" si="62"/>
        <v/>
      </c>
    </row>
    <row r="1170" spans="2:7">
      <c r="B1170" s="6"/>
      <c r="E1170" s="7"/>
      <c r="F1170" t="str">
        <f t="shared" si="61"/>
        <v/>
      </c>
      <c r="G1170" t="str">
        <f t="shared" si="62"/>
        <v/>
      </c>
    </row>
    <row r="1171" spans="2:7">
      <c r="B1171" s="6"/>
      <c r="E1171" s="7"/>
      <c r="F1171" t="str">
        <f t="shared" si="61"/>
        <v/>
      </c>
      <c r="G1171" t="str">
        <f t="shared" si="62"/>
        <v/>
      </c>
    </row>
    <row r="1172" spans="2:7">
      <c r="B1172" s="6"/>
      <c r="E1172" s="7"/>
      <c r="F1172" t="str">
        <f t="shared" si="61"/>
        <v/>
      </c>
      <c r="G1172" t="str">
        <f t="shared" si="62"/>
        <v/>
      </c>
    </row>
    <row r="1173" spans="2:7">
      <c r="B1173" s="6"/>
      <c r="E1173" s="7"/>
      <c r="F1173" t="str">
        <f t="shared" si="61"/>
        <v/>
      </c>
      <c r="G1173" t="str">
        <f t="shared" si="62"/>
        <v/>
      </c>
    </row>
    <row r="1174" spans="2:7">
      <c r="B1174" s="6"/>
      <c r="E1174" s="7"/>
      <c r="F1174" t="str">
        <f t="shared" si="61"/>
        <v/>
      </c>
      <c r="G1174" t="str">
        <f t="shared" si="62"/>
        <v/>
      </c>
    </row>
    <row r="1175" spans="2:7">
      <c r="B1175" s="6"/>
      <c r="E1175" s="7"/>
      <c r="F1175" t="str">
        <f t="shared" si="61"/>
        <v/>
      </c>
      <c r="G1175" t="str">
        <f t="shared" si="62"/>
        <v/>
      </c>
    </row>
    <row r="1176" spans="2:7">
      <c r="B1176" s="6"/>
      <c r="E1176" s="7"/>
      <c r="F1176" t="str">
        <f t="shared" si="61"/>
        <v/>
      </c>
      <c r="G1176" t="str">
        <f t="shared" si="62"/>
        <v/>
      </c>
    </row>
    <row r="1177" spans="2:7">
      <c r="B1177" s="6"/>
      <c r="E1177" s="7"/>
      <c r="F1177" t="str">
        <f t="shared" si="61"/>
        <v/>
      </c>
      <c r="G1177" t="str">
        <f t="shared" si="62"/>
        <v/>
      </c>
    </row>
    <row r="1178" spans="2:7">
      <c r="B1178" s="6"/>
      <c r="E1178" s="7"/>
      <c r="F1178" t="str">
        <f t="shared" si="61"/>
        <v/>
      </c>
      <c r="G1178" t="str">
        <f t="shared" si="62"/>
        <v/>
      </c>
    </row>
    <row r="1179" spans="2:7">
      <c r="B1179" s="6"/>
      <c r="E1179" s="7"/>
      <c r="F1179" t="str">
        <f t="shared" si="61"/>
        <v/>
      </c>
      <c r="G1179" t="str">
        <f t="shared" si="62"/>
        <v/>
      </c>
    </row>
    <row r="1180" spans="2:7">
      <c r="B1180" s="6"/>
      <c r="E1180" s="7"/>
      <c r="F1180" t="str">
        <f t="shared" si="61"/>
        <v/>
      </c>
      <c r="G1180" t="str">
        <f t="shared" si="62"/>
        <v/>
      </c>
    </row>
    <row r="1181" spans="2:7">
      <c r="B1181" s="6"/>
      <c r="E1181" s="7"/>
      <c r="F1181" t="str">
        <f t="shared" si="61"/>
        <v/>
      </c>
      <c r="G1181" t="str">
        <f t="shared" si="62"/>
        <v/>
      </c>
    </row>
    <row r="1182" spans="2:7">
      <c r="B1182" s="6"/>
      <c r="E1182" s="7"/>
      <c r="F1182" t="str">
        <f t="shared" si="61"/>
        <v/>
      </c>
      <c r="G1182" t="str">
        <f t="shared" si="62"/>
        <v/>
      </c>
    </row>
    <row r="1183" spans="2:7">
      <c r="B1183" s="6"/>
      <c r="E1183" s="7"/>
      <c r="F1183" t="str">
        <f t="shared" si="61"/>
        <v/>
      </c>
      <c r="G1183" t="str">
        <f t="shared" si="62"/>
        <v/>
      </c>
    </row>
    <row r="1184" spans="2:7">
      <c r="B1184" s="6"/>
      <c r="E1184" s="7"/>
      <c r="F1184" t="str">
        <f t="shared" si="61"/>
        <v/>
      </c>
      <c r="G1184" t="str">
        <f t="shared" si="62"/>
        <v/>
      </c>
    </row>
    <row r="1185" spans="2:7">
      <c r="B1185" s="6"/>
      <c r="E1185" s="7"/>
      <c r="F1185" t="str">
        <f t="shared" si="61"/>
        <v/>
      </c>
      <c r="G1185" t="str">
        <f t="shared" si="62"/>
        <v/>
      </c>
    </row>
    <row r="1186" spans="2:7">
      <c r="B1186" s="6"/>
      <c r="E1186" s="7"/>
      <c r="F1186" t="str">
        <f t="shared" si="61"/>
        <v/>
      </c>
      <c r="G1186" t="str">
        <f t="shared" si="62"/>
        <v/>
      </c>
    </row>
    <row r="1187" spans="2:7">
      <c r="B1187" s="6"/>
      <c r="E1187" s="7"/>
      <c r="F1187" t="str">
        <f t="shared" si="61"/>
        <v/>
      </c>
      <c r="G1187" t="str">
        <f t="shared" si="62"/>
        <v/>
      </c>
    </row>
    <row r="1188" spans="2:7">
      <c r="B1188" s="6"/>
      <c r="E1188" s="7"/>
      <c r="F1188" t="str">
        <f t="shared" si="61"/>
        <v/>
      </c>
      <c r="G1188" t="str">
        <f t="shared" si="62"/>
        <v/>
      </c>
    </row>
    <row r="1189" spans="2:7">
      <c r="B1189" s="6"/>
      <c r="E1189" s="7"/>
      <c r="F1189" t="str">
        <f t="shared" si="61"/>
        <v/>
      </c>
      <c r="G1189" t="str">
        <f t="shared" si="62"/>
        <v/>
      </c>
    </row>
    <row r="1190" spans="2:7">
      <c r="B1190" s="6"/>
      <c r="E1190" s="7"/>
      <c r="F1190" t="str">
        <f t="shared" si="61"/>
        <v/>
      </c>
      <c r="G1190" t="str">
        <f t="shared" si="62"/>
        <v/>
      </c>
    </row>
    <row r="1191" spans="2:7">
      <c r="B1191" s="6"/>
      <c r="E1191" s="7"/>
      <c r="F1191" t="str">
        <f t="shared" si="61"/>
        <v/>
      </c>
      <c r="G1191" t="str">
        <f t="shared" si="62"/>
        <v/>
      </c>
    </row>
    <row r="1192" spans="2:7">
      <c r="B1192" s="6"/>
      <c r="E1192" s="7"/>
      <c r="F1192" t="str">
        <f t="shared" si="61"/>
        <v/>
      </c>
      <c r="G1192" t="str">
        <f t="shared" si="62"/>
        <v/>
      </c>
    </row>
    <row r="1193" spans="2:7">
      <c r="B1193" s="6"/>
      <c r="E1193" s="7"/>
      <c r="F1193" t="str">
        <f t="shared" si="61"/>
        <v/>
      </c>
      <c r="G1193" t="str">
        <f t="shared" si="62"/>
        <v/>
      </c>
    </row>
    <row r="1194" spans="2:7">
      <c r="B1194" s="6"/>
      <c r="E1194" s="7"/>
      <c r="F1194" t="str">
        <f t="shared" si="61"/>
        <v/>
      </c>
      <c r="G1194" t="str">
        <f t="shared" si="62"/>
        <v/>
      </c>
    </row>
    <row r="1195" spans="2:7">
      <c r="B1195" s="6"/>
      <c r="E1195" s="7"/>
      <c r="F1195" t="str">
        <f t="shared" si="61"/>
        <v/>
      </c>
      <c r="G1195" t="str">
        <f t="shared" si="62"/>
        <v/>
      </c>
    </row>
    <row r="1196" spans="2:7">
      <c r="B1196" s="6"/>
      <c r="E1196" s="7"/>
      <c r="F1196" t="str">
        <f t="shared" si="61"/>
        <v/>
      </c>
      <c r="G1196" t="str">
        <f t="shared" si="62"/>
        <v/>
      </c>
    </row>
    <row r="1197" spans="2:7">
      <c r="B1197" s="6"/>
      <c r="E1197" s="7"/>
      <c r="F1197" t="str">
        <f t="shared" si="61"/>
        <v/>
      </c>
      <c r="G1197" t="str">
        <f t="shared" si="62"/>
        <v/>
      </c>
    </row>
    <row r="1198" spans="2:7">
      <c r="B1198" s="6"/>
      <c r="E1198" s="7"/>
      <c r="F1198" t="str">
        <f t="shared" si="61"/>
        <v/>
      </c>
      <c r="G1198" t="str">
        <f t="shared" si="62"/>
        <v/>
      </c>
    </row>
    <row r="1199" spans="2:7">
      <c r="B1199" s="6"/>
      <c r="E1199" s="7"/>
      <c r="F1199" t="str">
        <f t="shared" si="61"/>
        <v/>
      </c>
      <c r="G1199" t="str">
        <f t="shared" si="62"/>
        <v/>
      </c>
    </row>
    <row r="1200" spans="2:7">
      <c r="B1200" s="6"/>
      <c r="E1200" s="7"/>
      <c r="F1200" t="str">
        <f t="shared" si="61"/>
        <v/>
      </c>
      <c r="G1200" t="str">
        <f t="shared" si="62"/>
        <v/>
      </c>
    </row>
    <row r="1201" spans="2:7">
      <c r="B1201" s="6"/>
      <c r="E1201" s="7"/>
      <c r="F1201" t="str">
        <f t="shared" si="61"/>
        <v/>
      </c>
      <c r="G1201" t="str">
        <f t="shared" si="62"/>
        <v/>
      </c>
    </row>
    <row r="1202" spans="2:7">
      <c r="B1202" s="6"/>
      <c r="E1202" s="7"/>
      <c r="F1202" t="str">
        <f t="shared" si="61"/>
        <v/>
      </c>
      <c r="G1202" t="str">
        <f t="shared" si="62"/>
        <v/>
      </c>
    </row>
    <row r="1203" spans="2:7">
      <c r="B1203" s="6"/>
      <c r="E1203" s="7"/>
      <c r="F1203" t="str">
        <f t="shared" si="61"/>
        <v/>
      </c>
      <c r="G1203" t="str">
        <f t="shared" si="62"/>
        <v/>
      </c>
    </row>
    <row r="1204" spans="2:7">
      <c r="B1204" s="6"/>
      <c r="E1204" s="7"/>
      <c r="F1204" t="str">
        <f t="shared" si="61"/>
        <v/>
      </c>
      <c r="G1204" t="str">
        <f t="shared" si="62"/>
        <v/>
      </c>
    </row>
    <row r="1205" spans="2:7">
      <c r="B1205" s="6"/>
      <c r="E1205" s="7"/>
      <c r="F1205" t="str">
        <f t="shared" si="61"/>
        <v/>
      </c>
      <c r="G1205" t="str">
        <f t="shared" si="62"/>
        <v/>
      </c>
    </row>
    <row r="1206" spans="2:7">
      <c r="B1206" s="6"/>
      <c r="E1206" s="7"/>
      <c r="F1206" t="str">
        <f t="shared" si="61"/>
        <v/>
      </c>
      <c r="G1206" t="str">
        <f t="shared" si="62"/>
        <v/>
      </c>
    </row>
    <row r="1207" spans="2:7">
      <c r="B1207" s="6"/>
      <c r="E1207" s="7"/>
      <c r="F1207" t="str">
        <f t="shared" si="61"/>
        <v/>
      </c>
      <c r="G1207" t="str">
        <f t="shared" si="62"/>
        <v/>
      </c>
    </row>
    <row r="1208" spans="2:7">
      <c r="B1208" s="6"/>
      <c r="E1208" s="7"/>
      <c r="F1208" t="str">
        <f t="shared" si="61"/>
        <v/>
      </c>
      <c r="G1208" t="str">
        <f t="shared" si="62"/>
        <v/>
      </c>
    </row>
    <row r="1209" spans="2:7">
      <c r="B1209" s="6"/>
      <c r="E1209" s="7"/>
      <c r="F1209" t="str">
        <f t="shared" si="61"/>
        <v/>
      </c>
      <c r="G1209" t="str">
        <f t="shared" si="62"/>
        <v/>
      </c>
    </row>
    <row r="1210" spans="2:7">
      <c r="B1210" s="6"/>
      <c r="E1210" s="7"/>
      <c r="F1210" t="str">
        <f t="shared" si="61"/>
        <v/>
      </c>
      <c r="G1210" t="str">
        <f t="shared" si="62"/>
        <v/>
      </c>
    </row>
    <row r="1211" spans="2:7">
      <c r="B1211" s="6"/>
      <c r="E1211" s="7"/>
      <c r="F1211" t="str">
        <f t="shared" si="61"/>
        <v/>
      </c>
      <c r="G1211" t="str">
        <f t="shared" si="62"/>
        <v/>
      </c>
    </row>
    <row r="1212" spans="2:7">
      <c r="B1212" s="6"/>
      <c r="E1212" s="7"/>
      <c r="F1212" t="str">
        <f t="shared" si="61"/>
        <v/>
      </c>
      <c r="G1212" t="str">
        <f t="shared" si="62"/>
        <v/>
      </c>
    </row>
    <row r="1213" spans="2:7">
      <c r="B1213" s="6"/>
      <c r="E1213" s="7"/>
      <c r="F1213" t="str">
        <f t="shared" si="61"/>
        <v/>
      </c>
      <c r="G1213" t="str">
        <f t="shared" si="62"/>
        <v/>
      </c>
    </row>
    <row r="1214" spans="2:7">
      <c r="B1214" s="6"/>
      <c r="E1214" s="7"/>
      <c r="F1214" t="str">
        <f t="shared" si="61"/>
        <v/>
      </c>
      <c r="G1214" t="str">
        <f t="shared" si="62"/>
        <v/>
      </c>
    </row>
    <row r="1215" spans="2:7">
      <c r="B1215" s="6"/>
      <c r="E1215" s="7"/>
      <c r="F1215" t="str">
        <f t="shared" si="61"/>
        <v/>
      </c>
      <c r="G1215" t="str">
        <f t="shared" si="62"/>
        <v/>
      </c>
    </row>
    <row r="1216" spans="2:7">
      <c r="B1216" s="6"/>
      <c r="E1216" s="7"/>
      <c r="F1216" t="str">
        <f t="shared" si="61"/>
        <v/>
      </c>
      <c r="G1216" t="str">
        <f t="shared" si="62"/>
        <v/>
      </c>
    </row>
    <row r="1217" spans="2:7">
      <c r="B1217" s="6"/>
      <c r="E1217" s="7"/>
      <c r="F1217" t="str">
        <f t="shared" si="61"/>
        <v/>
      </c>
      <c r="G1217" t="str">
        <f t="shared" si="62"/>
        <v/>
      </c>
    </row>
    <row r="1218" spans="2:7">
      <c r="B1218" s="6"/>
      <c r="E1218" s="7"/>
      <c r="F1218" t="str">
        <f t="shared" si="61"/>
        <v/>
      </c>
      <c r="G1218" t="str">
        <f t="shared" si="62"/>
        <v/>
      </c>
    </row>
    <row r="1219" spans="2:7">
      <c r="B1219" s="6"/>
      <c r="E1219" s="7"/>
      <c r="F1219" t="str">
        <f t="shared" si="61"/>
        <v/>
      </c>
      <c r="G1219" t="str">
        <f t="shared" si="62"/>
        <v/>
      </c>
    </row>
    <row r="1220" spans="2:7">
      <c r="B1220" s="6"/>
      <c r="E1220" s="7"/>
      <c r="F1220" t="str">
        <f t="shared" ref="F1220:F1283" si="63">IF(B1220="","",LOG10(D1220))</f>
        <v/>
      </c>
      <c r="G1220" t="str">
        <f t="shared" ref="G1220:G1283" si="64">IF(E1220="", "",0.434*E1220/D1220)</f>
        <v/>
      </c>
    </row>
    <row r="1221" spans="2:7">
      <c r="B1221" s="6"/>
      <c r="E1221" s="7"/>
      <c r="F1221" t="str">
        <f t="shared" si="63"/>
        <v/>
      </c>
      <c r="G1221" t="str">
        <f t="shared" si="64"/>
        <v/>
      </c>
    </row>
    <row r="1222" spans="2:7">
      <c r="B1222" s="6"/>
      <c r="E1222" s="7"/>
      <c r="F1222" t="str">
        <f t="shared" si="63"/>
        <v/>
      </c>
      <c r="G1222" t="str">
        <f t="shared" si="64"/>
        <v/>
      </c>
    </row>
    <row r="1223" spans="2:7">
      <c r="B1223" s="6"/>
      <c r="E1223" s="7"/>
      <c r="F1223" t="str">
        <f t="shared" si="63"/>
        <v/>
      </c>
      <c r="G1223" t="str">
        <f t="shared" si="64"/>
        <v/>
      </c>
    </row>
    <row r="1224" spans="2:7">
      <c r="B1224" s="6"/>
      <c r="E1224" s="7"/>
      <c r="F1224" t="str">
        <f t="shared" si="63"/>
        <v/>
      </c>
      <c r="G1224" t="str">
        <f t="shared" si="64"/>
        <v/>
      </c>
    </row>
    <row r="1225" spans="2:7">
      <c r="B1225" s="6"/>
      <c r="E1225" s="7"/>
      <c r="F1225" t="str">
        <f t="shared" si="63"/>
        <v/>
      </c>
      <c r="G1225" t="str">
        <f t="shared" si="64"/>
        <v/>
      </c>
    </row>
    <row r="1226" spans="2:7">
      <c r="B1226" s="6"/>
      <c r="E1226" s="7"/>
      <c r="F1226" t="str">
        <f t="shared" si="63"/>
        <v/>
      </c>
      <c r="G1226" t="str">
        <f t="shared" si="64"/>
        <v/>
      </c>
    </row>
    <row r="1227" spans="2:7">
      <c r="B1227" s="6"/>
      <c r="E1227" s="7"/>
      <c r="F1227" t="str">
        <f t="shared" si="63"/>
        <v/>
      </c>
      <c r="G1227" t="str">
        <f t="shared" si="64"/>
        <v/>
      </c>
    </row>
    <row r="1228" spans="2:7">
      <c r="B1228" s="6"/>
      <c r="E1228" s="7"/>
      <c r="F1228" t="str">
        <f t="shared" si="63"/>
        <v/>
      </c>
      <c r="G1228" t="str">
        <f t="shared" si="64"/>
        <v/>
      </c>
    </row>
    <row r="1229" spans="2:7">
      <c r="B1229" s="6"/>
      <c r="E1229" s="7"/>
      <c r="F1229" t="str">
        <f t="shared" si="63"/>
        <v/>
      </c>
      <c r="G1229" t="str">
        <f t="shared" si="64"/>
        <v/>
      </c>
    </row>
    <row r="1230" spans="2:7">
      <c r="B1230" s="6"/>
      <c r="E1230" s="7"/>
      <c r="F1230" t="str">
        <f t="shared" si="63"/>
        <v/>
      </c>
      <c r="G1230" t="str">
        <f t="shared" si="64"/>
        <v/>
      </c>
    </row>
    <row r="1231" spans="2:7">
      <c r="B1231" s="6"/>
      <c r="E1231" s="7"/>
      <c r="F1231" t="str">
        <f t="shared" si="63"/>
        <v/>
      </c>
      <c r="G1231" t="str">
        <f t="shared" si="64"/>
        <v/>
      </c>
    </row>
    <row r="1232" spans="2:7">
      <c r="B1232" s="6"/>
      <c r="E1232" s="7"/>
      <c r="F1232" t="str">
        <f t="shared" si="63"/>
        <v/>
      </c>
      <c r="G1232" t="str">
        <f t="shared" si="64"/>
        <v/>
      </c>
    </row>
    <row r="1233" spans="2:7">
      <c r="B1233" s="6"/>
      <c r="E1233" s="7"/>
      <c r="F1233" t="str">
        <f t="shared" si="63"/>
        <v/>
      </c>
      <c r="G1233" t="str">
        <f t="shared" si="64"/>
        <v/>
      </c>
    </row>
    <row r="1234" spans="2:7">
      <c r="B1234" s="6"/>
      <c r="E1234" s="7"/>
      <c r="F1234" t="str">
        <f t="shared" si="63"/>
        <v/>
      </c>
      <c r="G1234" t="str">
        <f t="shared" si="64"/>
        <v/>
      </c>
    </row>
    <row r="1235" spans="2:7">
      <c r="B1235" s="6"/>
      <c r="E1235" s="7"/>
      <c r="F1235" t="str">
        <f t="shared" si="63"/>
        <v/>
      </c>
      <c r="G1235" t="str">
        <f t="shared" si="64"/>
        <v/>
      </c>
    </row>
    <row r="1236" spans="2:7">
      <c r="B1236" s="6"/>
      <c r="E1236" s="7"/>
      <c r="F1236" t="str">
        <f t="shared" si="63"/>
        <v/>
      </c>
      <c r="G1236" t="str">
        <f t="shared" si="64"/>
        <v/>
      </c>
    </row>
    <row r="1237" spans="2:7">
      <c r="B1237" s="6"/>
      <c r="E1237" s="7"/>
      <c r="F1237" t="str">
        <f t="shared" si="63"/>
        <v/>
      </c>
      <c r="G1237" t="str">
        <f t="shared" si="64"/>
        <v/>
      </c>
    </row>
    <row r="1238" spans="2:7">
      <c r="B1238" s="6"/>
      <c r="E1238" s="7"/>
      <c r="F1238" t="str">
        <f t="shared" si="63"/>
        <v/>
      </c>
      <c r="G1238" t="str">
        <f t="shared" si="64"/>
        <v/>
      </c>
    </row>
    <row r="1239" spans="2:7">
      <c r="B1239" s="6"/>
      <c r="E1239" s="7"/>
      <c r="F1239" t="str">
        <f t="shared" si="63"/>
        <v/>
      </c>
      <c r="G1239" t="str">
        <f t="shared" si="64"/>
        <v/>
      </c>
    </row>
    <row r="1240" spans="2:7">
      <c r="B1240" s="6"/>
      <c r="E1240" s="7"/>
      <c r="F1240" t="str">
        <f t="shared" si="63"/>
        <v/>
      </c>
      <c r="G1240" t="str">
        <f t="shared" si="64"/>
        <v/>
      </c>
    </row>
    <row r="1241" spans="2:7">
      <c r="B1241" s="6"/>
      <c r="E1241" s="7"/>
      <c r="F1241" t="str">
        <f t="shared" si="63"/>
        <v/>
      </c>
      <c r="G1241" t="str">
        <f t="shared" si="64"/>
        <v/>
      </c>
    </row>
    <row r="1242" spans="2:7">
      <c r="B1242" s="6"/>
      <c r="E1242" s="7"/>
      <c r="F1242" t="str">
        <f t="shared" si="63"/>
        <v/>
      </c>
      <c r="G1242" t="str">
        <f t="shared" si="64"/>
        <v/>
      </c>
    </row>
    <row r="1243" spans="2:7">
      <c r="B1243" s="6"/>
      <c r="E1243" s="7"/>
      <c r="F1243" t="str">
        <f t="shared" si="63"/>
        <v/>
      </c>
      <c r="G1243" t="str">
        <f t="shared" si="64"/>
        <v/>
      </c>
    </row>
    <row r="1244" spans="2:7">
      <c r="B1244" s="6"/>
      <c r="E1244" s="7"/>
      <c r="F1244" t="str">
        <f t="shared" si="63"/>
        <v/>
      </c>
      <c r="G1244" t="str">
        <f t="shared" si="64"/>
        <v/>
      </c>
    </row>
    <row r="1245" spans="2:7">
      <c r="B1245" s="6"/>
      <c r="E1245" s="7"/>
      <c r="F1245" t="str">
        <f t="shared" si="63"/>
        <v/>
      </c>
      <c r="G1245" t="str">
        <f t="shared" si="64"/>
        <v/>
      </c>
    </row>
    <row r="1246" spans="2:7">
      <c r="B1246" s="6"/>
      <c r="E1246" s="7"/>
      <c r="F1246" t="str">
        <f t="shared" si="63"/>
        <v/>
      </c>
      <c r="G1246" t="str">
        <f t="shared" si="64"/>
        <v/>
      </c>
    </row>
    <row r="1247" spans="2:7">
      <c r="B1247" s="6"/>
      <c r="E1247" s="7"/>
      <c r="F1247" t="str">
        <f t="shared" si="63"/>
        <v/>
      </c>
      <c r="G1247" t="str">
        <f t="shared" si="64"/>
        <v/>
      </c>
    </row>
    <row r="1248" spans="2:7">
      <c r="B1248" s="6"/>
      <c r="E1248" s="7"/>
      <c r="F1248" t="str">
        <f t="shared" si="63"/>
        <v/>
      </c>
      <c r="G1248" t="str">
        <f t="shared" si="64"/>
        <v/>
      </c>
    </row>
    <row r="1249" spans="2:7">
      <c r="B1249" s="6"/>
      <c r="E1249" s="7"/>
      <c r="F1249" t="str">
        <f t="shared" si="63"/>
        <v/>
      </c>
      <c r="G1249" t="str">
        <f t="shared" si="64"/>
        <v/>
      </c>
    </row>
    <row r="1250" spans="2:7">
      <c r="B1250" s="6"/>
      <c r="E1250" s="7"/>
      <c r="F1250" t="str">
        <f t="shared" si="63"/>
        <v/>
      </c>
      <c r="G1250" t="str">
        <f t="shared" si="64"/>
        <v/>
      </c>
    </row>
    <row r="1251" spans="2:7">
      <c r="B1251" s="6"/>
      <c r="E1251" s="7"/>
      <c r="F1251" t="str">
        <f t="shared" si="63"/>
        <v/>
      </c>
      <c r="G1251" t="str">
        <f t="shared" si="64"/>
        <v/>
      </c>
    </row>
    <row r="1252" spans="2:7">
      <c r="B1252" s="6"/>
      <c r="E1252" s="7"/>
      <c r="F1252" t="str">
        <f t="shared" si="63"/>
        <v/>
      </c>
      <c r="G1252" t="str">
        <f t="shared" si="64"/>
        <v/>
      </c>
    </row>
    <row r="1253" spans="2:7">
      <c r="B1253" s="6"/>
      <c r="E1253" s="7"/>
      <c r="F1253" t="str">
        <f t="shared" si="63"/>
        <v/>
      </c>
      <c r="G1253" t="str">
        <f t="shared" si="64"/>
        <v/>
      </c>
    </row>
    <row r="1254" spans="2:7">
      <c r="B1254" s="6"/>
      <c r="E1254" s="7"/>
      <c r="F1254" t="str">
        <f t="shared" si="63"/>
        <v/>
      </c>
      <c r="G1254" t="str">
        <f t="shared" si="64"/>
        <v/>
      </c>
    </row>
    <row r="1255" spans="2:7">
      <c r="B1255" s="6"/>
      <c r="E1255" s="7"/>
      <c r="F1255" t="str">
        <f t="shared" si="63"/>
        <v/>
      </c>
      <c r="G1255" t="str">
        <f t="shared" si="64"/>
        <v/>
      </c>
    </row>
    <row r="1256" spans="2:7">
      <c r="B1256" s="6"/>
      <c r="E1256" s="7"/>
      <c r="F1256" t="str">
        <f t="shared" si="63"/>
        <v/>
      </c>
      <c r="G1256" t="str">
        <f t="shared" si="64"/>
        <v/>
      </c>
    </row>
    <row r="1257" spans="2:7">
      <c r="B1257" s="6"/>
      <c r="E1257" s="7"/>
      <c r="F1257" t="str">
        <f t="shared" si="63"/>
        <v/>
      </c>
      <c r="G1257" t="str">
        <f t="shared" si="64"/>
        <v/>
      </c>
    </row>
    <row r="1258" spans="2:7">
      <c r="B1258" s="6"/>
      <c r="E1258" s="7"/>
      <c r="F1258" t="str">
        <f t="shared" si="63"/>
        <v/>
      </c>
      <c r="G1258" t="str">
        <f t="shared" si="64"/>
        <v/>
      </c>
    </row>
    <row r="1259" spans="2:7">
      <c r="B1259" s="6"/>
      <c r="E1259" s="7"/>
      <c r="F1259" t="str">
        <f t="shared" si="63"/>
        <v/>
      </c>
      <c r="G1259" t="str">
        <f t="shared" si="64"/>
        <v/>
      </c>
    </row>
    <row r="1260" spans="2:7">
      <c r="B1260" s="6"/>
      <c r="E1260" s="7"/>
      <c r="F1260" t="str">
        <f t="shared" si="63"/>
        <v/>
      </c>
      <c r="G1260" t="str">
        <f t="shared" si="64"/>
        <v/>
      </c>
    </row>
    <row r="1261" spans="2:7">
      <c r="B1261" s="6"/>
      <c r="E1261" s="7"/>
      <c r="F1261" t="str">
        <f t="shared" si="63"/>
        <v/>
      </c>
      <c r="G1261" t="str">
        <f t="shared" si="64"/>
        <v/>
      </c>
    </row>
    <row r="1262" spans="2:7">
      <c r="B1262" s="6"/>
      <c r="E1262" s="7"/>
      <c r="F1262" t="str">
        <f t="shared" si="63"/>
        <v/>
      </c>
      <c r="G1262" t="str">
        <f t="shared" si="64"/>
        <v/>
      </c>
    </row>
    <row r="1263" spans="2:7">
      <c r="B1263" s="6"/>
      <c r="E1263" s="7"/>
      <c r="F1263" t="str">
        <f t="shared" si="63"/>
        <v/>
      </c>
      <c r="G1263" t="str">
        <f t="shared" si="64"/>
        <v/>
      </c>
    </row>
    <row r="1264" spans="2:7">
      <c r="B1264" s="6"/>
      <c r="E1264" s="7"/>
      <c r="F1264" t="str">
        <f t="shared" si="63"/>
        <v/>
      </c>
      <c r="G1264" t="str">
        <f t="shared" si="64"/>
        <v/>
      </c>
    </row>
    <row r="1265" spans="2:7">
      <c r="B1265" s="6"/>
      <c r="E1265" s="7"/>
      <c r="F1265" t="str">
        <f t="shared" si="63"/>
        <v/>
      </c>
      <c r="G1265" t="str">
        <f t="shared" si="64"/>
        <v/>
      </c>
    </row>
    <row r="1266" spans="2:7">
      <c r="B1266" s="6"/>
      <c r="E1266" s="7"/>
      <c r="F1266" t="str">
        <f t="shared" si="63"/>
        <v/>
      </c>
      <c r="G1266" t="str">
        <f t="shared" si="64"/>
        <v/>
      </c>
    </row>
    <row r="1267" spans="2:7">
      <c r="B1267" s="6"/>
      <c r="E1267" s="7"/>
      <c r="F1267" t="str">
        <f t="shared" si="63"/>
        <v/>
      </c>
      <c r="G1267" t="str">
        <f t="shared" si="64"/>
        <v/>
      </c>
    </row>
    <row r="1268" spans="2:7">
      <c r="B1268" s="6"/>
      <c r="E1268" s="7"/>
      <c r="F1268" t="str">
        <f t="shared" si="63"/>
        <v/>
      </c>
      <c r="G1268" t="str">
        <f t="shared" si="64"/>
        <v/>
      </c>
    </row>
    <row r="1269" spans="2:7">
      <c r="B1269" s="6"/>
      <c r="E1269" s="7"/>
      <c r="F1269" t="str">
        <f t="shared" si="63"/>
        <v/>
      </c>
      <c r="G1269" t="str">
        <f t="shared" si="64"/>
        <v/>
      </c>
    </row>
    <row r="1270" spans="2:7">
      <c r="B1270" s="6"/>
      <c r="E1270" s="7"/>
      <c r="F1270" t="str">
        <f t="shared" si="63"/>
        <v/>
      </c>
      <c r="G1270" t="str">
        <f t="shared" si="64"/>
        <v/>
      </c>
    </row>
    <row r="1271" spans="2:7">
      <c r="B1271" s="6"/>
      <c r="E1271" s="7"/>
      <c r="F1271" t="str">
        <f t="shared" si="63"/>
        <v/>
      </c>
      <c r="G1271" t="str">
        <f t="shared" si="64"/>
        <v/>
      </c>
    </row>
    <row r="1272" spans="2:7">
      <c r="B1272" s="6"/>
      <c r="E1272" s="7"/>
      <c r="F1272" t="str">
        <f t="shared" si="63"/>
        <v/>
      </c>
      <c r="G1272" t="str">
        <f t="shared" si="64"/>
        <v/>
      </c>
    </row>
    <row r="1273" spans="2:7">
      <c r="B1273" s="6"/>
      <c r="E1273" s="7"/>
      <c r="F1273" t="str">
        <f t="shared" si="63"/>
        <v/>
      </c>
      <c r="G1273" t="str">
        <f t="shared" si="64"/>
        <v/>
      </c>
    </row>
    <row r="1274" spans="2:7">
      <c r="B1274" s="6"/>
      <c r="E1274" s="7"/>
      <c r="F1274" t="str">
        <f t="shared" si="63"/>
        <v/>
      </c>
      <c r="G1274" t="str">
        <f t="shared" si="64"/>
        <v/>
      </c>
    </row>
    <row r="1275" spans="2:7">
      <c r="B1275" s="6"/>
      <c r="E1275" s="7"/>
      <c r="F1275" t="str">
        <f t="shared" si="63"/>
        <v/>
      </c>
      <c r="G1275" t="str">
        <f t="shared" si="64"/>
        <v/>
      </c>
    </row>
    <row r="1276" spans="2:7">
      <c r="B1276" s="6"/>
      <c r="E1276" s="7"/>
      <c r="F1276" t="str">
        <f t="shared" si="63"/>
        <v/>
      </c>
      <c r="G1276" t="str">
        <f t="shared" si="64"/>
        <v/>
      </c>
    </row>
    <row r="1277" spans="2:7">
      <c r="B1277" s="6"/>
      <c r="E1277" s="7"/>
      <c r="F1277" t="str">
        <f t="shared" si="63"/>
        <v/>
      </c>
      <c r="G1277" t="str">
        <f t="shared" si="64"/>
        <v/>
      </c>
    </row>
    <row r="1278" spans="2:7">
      <c r="B1278" s="6"/>
      <c r="E1278" s="7"/>
      <c r="F1278" t="str">
        <f t="shared" si="63"/>
        <v/>
      </c>
      <c r="G1278" t="str">
        <f t="shared" si="64"/>
        <v/>
      </c>
    </row>
    <row r="1279" spans="2:7">
      <c r="B1279" s="6"/>
      <c r="E1279" s="7"/>
      <c r="F1279" t="str">
        <f t="shared" si="63"/>
        <v/>
      </c>
      <c r="G1279" t="str">
        <f t="shared" si="64"/>
        <v/>
      </c>
    </row>
    <row r="1280" spans="2:7">
      <c r="B1280" s="6"/>
      <c r="E1280" s="7"/>
      <c r="F1280" t="str">
        <f t="shared" si="63"/>
        <v/>
      </c>
      <c r="G1280" t="str">
        <f t="shared" si="64"/>
        <v/>
      </c>
    </row>
    <row r="1281" spans="2:7">
      <c r="B1281" s="6"/>
      <c r="E1281" s="7"/>
      <c r="F1281" t="str">
        <f t="shared" si="63"/>
        <v/>
      </c>
      <c r="G1281" t="str">
        <f t="shared" si="64"/>
        <v/>
      </c>
    </row>
    <row r="1282" spans="2:7">
      <c r="B1282" s="6"/>
      <c r="E1282" s="7"/>
      <c r="F1282" t="str">
        <f t="shared" si="63"/>
        <v/>
      </c>
      <c r="G1282" t="str">
        <f t="shared" si="64"/>
        <v/>
      </c>
    </row>
    <row r="1283" spans="2:7">
      <c r="B1283" s="6"/>
      <c r="E1283" s="7"/>
      <c r="F1283" t="str">
        <f t="shared" si="63"/>
        <v/>
      </c>
      <c r="G1283" t="str">
        <f t="shared" si="64"/>
        <v/>
      </c>
    </row>
    <row r="1284" spans="2:7">
      <c r="B1284" s="6"/>
      <c r="E1284" s="7"/>
      <c r="F1284" t="str">
        <f t="shared" ref="F1284:F1347" si="65">IF(B1284="","",LOG10(D1284))</f>
        <v/>
      </c>
      <c r="G1284" t="str">
        <f t="shared" ref="G1284:G1347" si="66">IF(E1284="", "",0.434*E1284/D1284)</f>
        <v/>
      </c>
    </row>
    <row r="1285" spans="2:7">
      <c r="B1285" s="6"/>
      <c r="E1285" s="7"/>
      <c r="F1285" t="str">
        <f t="shared" si="65"/>
        <v/>
      </c>
      <c r="G1285" t="str">
        <f t="shared" si="66"/>
        <v/>
      </c>
    </row>
    <row r="1286" spans="2:7">
      <c r="B1286" s="6"/>
      <c r="E1286" s="7"/>
      <c r="F1286" t="str">
        <f t="shared" si="65"/>
        <v/>
      </c>
      <c r="G1286" t="str">
        <f t="shared" si="66"/>
        <v/>
      </c>
    </row>
    <row r="1287" spans="2:7">
      <c r="B1287" s="6"/>
      <c r="E1287" s="7"/>
      <c r="F1287" t="str">
        <f t="shared" si="65"/>
        <v/>
      </c>
      <c r="G1287" t="str">
        <f t="shared" si="66"/>
        <v/>
      </c>
    </row>
    <row r="1288" spans="2:7">
      <c r="B1288" s="6"/>
      <c r="E1288" s="7"/>
      <c r="F1288" t="str">
        <f t="shared" si="65"/>
        <v/>
      </c>
      <c r="G1288" t="str">
        <f t="shared" si="66"/>
        <v/>
      </c>
    </row>
    <row r="1289" spans="2:7">
      <c r="B1289" s="6"/>
      <c r="E1289" s="7"/>
      <c r="F1289" t="str">
        <f t="shared" si="65"/>
        <v/>
      </c>
      <c r="G1289" t="str">
        <f t="shared" si="66"/>
        <v/>
      </c>
    </row>
    <row r="1290" spans="2:7">
      <c r="B1290" s="6"/>
      <c r="E1290" s="7"/>
      <c r="F1290" t="str">
        <f t="shared" si="65"/>
        <v/>
      </c>
      <c r="G1290" t="str">
        <f t="shared" si="66"/>
        <v/>
      </c>
    </row>
    <row r="1291" spans="2:7">
      <c r="B1291" s="6"/>
      <c r="E1291" s="7"/>
      <c r="F1291" t="str">
        <f t="shared" si="65"/>
        <v/>
      </c>
      <c r="G1291" t="str">
        <f t="shared" si="66"/>
        <v/>
      </c>
    </row>
    <row r="1292" spans="2:7">
      <c r="B1292" s="6"/>
      <c r="E1292" s="7"/>
      <c r="F1292" t="str">
        <f t="shared" si="65"/>
        <v/>
      </c>
      <c r="G1292" t="str">
        <f t="shared" si="66"/>
        <v/>
      </c>
    </row>
    <row r="1293" spans="2:7">
      <c r="B1293" s="6"/>
      <c r="E1293" s="7"/>
      <c r="F1293" t="str">
        <f t="shared" si="65"/>
        <v/>
      </c>
      <c r="G1293" t="str">
        <f t="shared" si="66"/>
        <v/>
      </c>
    </row>
    <row r="1294" spans="2:7">
      <c r="B1294" s="6"/>
      <c r="E1294" s="7"/>
      <c r="F1294" t="str">
        <f t="shared" si="65"/>
        <v/>
      </c>
      <c r="G1294" t="str">
        <f t="shared" si="66"/>
        <v/>
      </c>
    </row>
    <row r="1295" spans="2:7">
      <c r="B1295" s="6"/>
      <c r="E1295" s="7"/>
      <c r="F1295" t="str">
        <f t="shared" si="65"/>
        <v/>
      </c>
      <c r="G1295" t="str">
        <f t="shared" si="66"/>
        <v/>
      </c>
    </row>
    <row r="1296" spans="2:7">
      <c r="B1296" s="6"/>
      <c r="E1296" s="7"/>
      <c r="F1296" t="str">
        <f t="shared" si="65"/>
        <v/>
      </c>
      <c r="G1296" t="str">
        <f t="shared" si="66"/>
        <v/>
      </c>
    </row>
    <row r="1297" spans="2:7">
      <c r="B1297" s="6"/>
      <c r="E1297" s="7"/>
      <c r="F1297" t="str">
        <f t="shared" si="65"/>
        <v/>
      </c>
      <c r="G1297" t="str">
        <f t="shared" si="66"/>
        <v/>
      </c>
    </row>
    <row r="1298" spans="2:7">
      <c r="B1298" s="6"/>
      <c r="E1298" s="7"/>
      <c r="F1298" t="str">
        <f t="shared" si="65"/>
        <v/>
      </c>
      <c r="G1298" t="str">
        <f t="shared" si="66"/>
        <v/>
      </c>
    </row>
    <row r="1299" spans="2:7">
      <c r="B1299" s="6"/>
      <c r="E1299" s="7"/>
      <c r="F1299" t="str">
        <f t="shared" si="65"/>
        <v/>
      </c>
      <c r="G1299" t="str">
        <f t="shared" si="66"/>
        <v/>
      </c>
    </row>
    <row r="1300" spans="2:7">
      <c r="B1300" s="6"/>
      <c r="E1300" s="7"/>
      <c r="F1300" t="str">
        <f t="shared" si="65"/>
        <v/>
      </c>
      <c r="G1300" t="str">
        <f t="shared" si="66"/>
        <v/>
      </c>
    </row>
    <row r="1301" spans="2:7">
      <c r="B1301" s="6"/>
      <c r="E1301" s="7"/>
      <c r="F1301" t="str">
        <f t="shared" si="65"/>
        <v/>
      </c>
      <c r="G1301" t="str">
        <f t="shared" si="66"/>
        <v/>
      </c>
    </row>
    <row r="1302" spans="2:7">
      <c r="B1302" s="6"/>
      <c r="E1302" s="7"/>
      <c r="F1302" t="str">
        <f t="shared" si="65"/>
        <v/>
      </c>
      <c r="G1302" t="str">
        <f t="shared" si="66"/>
        <v/>
      </c>
    </row>
    <row r="1303" spans="2:7">
      <c r="B1303" s="6"/>
      <c r="E1303" s="7"/>
      <c r="F1303" t="str">
        <f t="shared" si="65"/>
        <v/>
      </c>
      <c r="G1303" t="str">
        <f t="shared" si="66"/>
        <v/>
      </c>
    </row>
    <row r="1304" spans="2:7">
      <c r="B1304" s="6"/>
      <c r="E1304" s="7"/>
      <c r="F1304" t="str">
        <f t="shared" si="65"/>
        <v/>
      </c>
      <c r="G1304" t="str">
        <f t="shared" si="66"/>
        <v/>
      </c>
    </row>
    <row r="1305" spans="2:7">
      <c r="B1305" s="6"/>
      <c r="E1305" s="7"/>
      <c r="F1305" t="str">
        <f t="shared" si="65"/>
        <v/>
      </c>
      <c r="G1305" t="str">
        <f t="shared" si="66"/>
        <v/>
      </c>
    </row>
    <row r="1306" spans="2:7">
      <c r="B1306" s="6"/>
      <c r="E1306" s="7"/>
      <c r="F1306" t="str">
        <f t="shared" si="65"/>
        <v/>
      </c>
      <c r="G1306" t="str">
        <f t="shared" si="66"/>
        <v/>
      </c>
    </row>
    <row r="1307" spans="2:7">
      <c r="B1307" s="6"/>
      <c r="E1307" s="7"/>
      <c r="F1307" t="str">
        <f t="shared" si="65"/>
        <v/>
      </c>
      <c r="G1307" t="str">
        <f t="shared" si="66"/>
        <v/>
      </c>
    </row>
    <row r="1308" spans="2:7">
      <c r="B1308" s="6"/>
      <c r="E1308" s="7"/>
      <c r="F1308" t="str">
        <f t="shared" si="65"/>
        <v/>
      </c>
      <c r="G1308" t="str">
        <f t="shared" si="66"/>
        <v/>
      </c>
    </row>
    <row r="1309" spans="2:7">
      <c r="B1309" s="6"/>
      <c r="E1309" s="7"/>
      <c r="F1309" t="str">
        <f t="shared" si="65"/>
        <v/>
      </c>
      <c r="G1309" t="str">
        <f t="shared" si="66"/>
        <v/>
      </c>
    </row>
    <row r="1310" spans="2:7">
      <c r="B1310" s="6"/>
      <c r="E1310" s="7"/>
      <c r="F1310" t="str">
        <f t="shared" si="65"/>
        <v/>
      </c>
      <c r="G1310" t="str">
        <f t="shared" si="66"/>
        <v/>
      </c>
    </row>
    <row r="1311" spans="2:7">
      <c r="B1311" s="6"/>
      <c r="E1311" s="7"/>
      <c r="F1311" t="str">
        <f t="shared" si="65"/>
        <v/>
      </c>
      <c r="G1311" t="str">
        <f t="shared" si="66"/>
        <v/>
      </c>
    </row>
    <row r="1312" spans="2:7">
      <c r="B1312" s="6"/>
      <c r="E1312" s="7"/>
      <c r="F1312" t="str">
        <f t="shared" si="65"/>
        <v/>
      </c>
      <c r="G1312" t="str">
        <f t="shared" si="66"/>
        <v/>
      </c>
    </row>
    <row r="1313" spans="2:7">
      <c r="B1313" s="6"/>
      <c r="E1313" s="7"/>
      <c r="F1313" t="str">
        <f t="shared" si="65"/>
        <v/>
      </c>
      <c r="G1313" t="str">
        <f t="shared" si="66"/>
        <v/>
      </c>
    </row>
    <row r="1314" spans="2:7">
      <c r="B1314" s="6"/>
      <c r="E1314" s="7"/>
      <c r="F1314" t="str">
        <f t="shared" si="65"/>
        <v/>
      </c>
      <c r="G1314" t="str">
        <f t="shared" si="66"/>
        <v/>
      </c>
    </row>
    <row r="1315" spans="2:7">
      <c r="B1315" s="6"/>
      <c r="E1315" s="7"/>
      <c r="F1315" t="str">
        <f t="shared" si="65"/>
        <v/>
      </c>
      <c r="G1315" t="str">
        <f t="shared" si="66"/>
        <v/>
      </c>
    </row>
    <row r="1316" spans="2:7">
      <c r="B1316" s="6"/>
      <c r="E1316" s="7"/>
      <c r="F1316" t="str">
        <f t="shared" si="65"/>
        <v/>
      </c>
      <c r="G1316" t="str">
        <f t="shared" si="66"/>
        <v/>
      </c>
    </row>
    <row r="1317" spans="2:7">
      <c r="B1317" s="6"/>
      <c r="E1317" s="7"/>
      <c r="F1317" t="str">
        <f t="shared" si="65"/>
        <v/>
      </c>
      <c r="G1317" t="str">
        <f t="shared" si="66"/>
        <v/>
      </c>
    </row>
    <row r="1318" spans="2:7">
      <c r="B1318" s="6"/>
      <c r="E1318" s="7"/>
      <c r="F1318" t="str">
        <f t="shared" si="65"/>
        <v/>
      </c>
      <c r="G1318" t="str">
        <f t="shared" si="66"/>
        <v/>
      </c>
    </row>
    <row r="1319" spans="2:7">
      <c r="B1319" s="6"/>
      <c r="E1319" s="7"/>
      <c r="F1319" t="str">
        <f t="shared" si="65"/>
        <v/>
      </c>
      <c r="G1319" t="str">
        <f t="shared" si="66"/>
        <v/>
      </c>
    </row>
    <row r="1320" spans="2:7">
      <c r="B1320" s="6"/>
      <c r="E1320" s="7"/>
      <c r="F1320" t="str">
        <f t="shared" si="65"/>
        <v/>
      </c>
      <c r="G1320" t="str">
        <f t="shared" si="66"/>
        <v/>
      </c>
    </row>
    <row r="1321" spans="2:7">
      <c r="B1321" s="6"/>
      <c r="E1321" s="7"/>
      <c r="F1321" t="str">
        <f t="shared" si="65"/>
        <v/>
      </c>
      <c r="G1321" t="str">
        <f t="shared" si="66"/>
        <v/>
      </c>
    </row>
    <row r="1322" spans="2:7">
      <c r="B1322" s="6"/>
      <c r="E1322" s="7"/>
      <c r="F1322" t="str">
        <f t="shared" si="65"/>
        <v/>
      </c>
      <c r="G1322" t="str">
        <f t="shared" si="66"/>
        <v/>
      </c>
    </row>
    <row r="1323" spans="2:7">
      <c r="B1323" s="6"/>
      <c r="E1323" s="7"/>
      <c r="F1323" t="str">
        <f t="shared" si="65"/>
        <v/>
      </c>
      <c r="G1323" t="str">
        <f t="shared" si="66"/>
        <v/>
      </c>
    </row>
    <row r="1324" spans="2:7">
      <c r="B1324" s="6"/>
      <c r="E1324" s="7"/>
      <c r="F1324" t="str">
        <f t="shared" si="65"/>
        <v/>
      </c>
      <c r="G1324" t="str">
        <f t="shared" si="66"/>
        <v/>
      </c>
    </row>
    <row r="1325" spans="2:7">
      <c r="B1325" s="6"/>
      <c r="E1325" s="7"/>
      <c r="F1325" t="str">
        <f t="shared" si="65"/>
        <v/>
      </c>
      <c r="G1325" t="str">
        <f t="shared" si="66"/>
        <v/>
      </c>
    </row>
    <row r="1326" spans="2:7">
      <c r="B1326" s="6"/>
      <c r="E1326" s="7"/>
      <c r="F1326" t="str">
        <f t="shared" si="65"/>
        <v/>
      </c>
      <c r="G1326" t="str">
        <f t="shared" si="66"/>
        <v/>
      </c>
    </row>
    <row r="1327" spans="2:7">
      <c r="B1327" s="6"/>
      <c r="E1327" s="7"/>
      <c r="F1327" t="str">
        <f t="shared" si="65"/>
        <v/>
      </c>
      <c r="G1327" t="str">
        <f t="shared" si="66"/>
        <v/>
      </c>
    </row>
    <row r="1328" spans="2:7">
      <c r="B1328" s="6"/>
      <c r="E1328" s="7"/>
      <c r="F1328" t="str">
        <f t="shared" si="65"/>
        <v/>
      </c>
      <c r="G1328" t="str">
        <f t="shared" si="66"/>
        <v/>
      </c>
    </row>
    <row r="1329" spans="2:7">
      <c r="B1329" s="6"/>
      <c r="E1329" s="7"/>
      <c r="F1329" t="str">
        <f t="shared" si="65"/>
        <v/>
      </c>
      <c r="G1329" t="str">
        <f t="shared" si="66"/>
        <v/>
      </c>
    </row>
    <row r="1330" spans="2:7">
      <c r="B1330" s="6"/>
      <c r="E1330" s="7"/>
      <c r="F1330" t="str">
        <f t="shared" si="65"/>
        <v/>
      </c>
      <c r="G1330" t="str">
        <f t="shared" si="66"/>
        <v/>
      </c>
    </row>
    <row r="1331" spans="2:7">
      <c r="B1331" s="6"/>
      <c r="E1331" s="7"/>
      <c r="F1331" t="str">
        <f t="shared" si="65"/>
        <v/>
      </c>
      <c r="G1331" t="str">
        <f t="shared" si="66"/>
        <v/>
      </c>
    </row>
    <row r="1332" spans="2:7">
      <c r="B1332" s="6"/>
      <c r="E1332" s="7"/>
      <c r="F1332" t="str">
        <f t="shared" si="65"/>
        <v/>
      </c>
      <c r="G1332" t="str">
        <f t="shared" si="66"/>
        <v/>
      </c>
    </row>
    <row r="1333" spans="2:7">
      <c r="B1333" s="6"/>
      <c r="E1333" s="7"/>
      <c r="F1333" t="str">
        <f t="shared" si="65"/>
        <v/>
      </c>
      <c r="G1333" t="str">
        <f t="shared" si="66"/>
        <v/>
      </c>
    </row>
    <row r="1334" spans="2:7">
      <c r="B1334" s="6"/>
      <c r="E1334" s="7"/>
      <c r="F1334" t="str">
        <f t="shared" si="65"/>
        <v/>
      </c>
      <c r="G1334" t="str">
        <f t="shared" si="66"/>
        <v/>
      </c>
    </row>
    <row r="1335" spans="2:7">
      <c r="B1335" s="6"/>
      <c r="E1335" s="7"/>
      <c r="F1335" t="str">
        <f t="shared" si="65"/>
        <v/>
      </c>
      <c r="G1335" t="str">
        <f t="shared" si="66"/>
        <v/>
      </c>
    </row>
    <row r="1336" spans="2:7">
      <c r="B1336" s="6"/>
      <c r="E1336" s="7"/>
      <c r="F1336" t="str">
        <f t="shared" si="65"/>
        <v/>
      </c>
      <c r="G1336" t="str">
        <f t="shared" si="66"/>
        <v/>
      </c>
    </row>
    <row r="1337" spans="2:7">
      <c r="B1337" s="6"/>
      <c r="E1337" s="7"/>
      <c r="F1337" t="str">
        <f t="shared" si="65"/>
        <v/>
      </c>
      <c r="G1337" t="str">
        <f t="shared" si="66"/>
        <v/>
      </c>
    </row>
    <row r="1338" spans="2:7">
      <c r="B1338" s="6"/>
      <c r="E1338" s="7"/>
      <c r="F1338" t="str">
        <f t="shared" si="65"/>
        <v/>
      </c>
      <c r="G1338" t="str">
        <f t="shared" si="66"/>
        <v/>
      </c>
    </row>
    <row r="1339" spans="2:7">
      <c r="B1339" s="6"/>
      <c r="E1339" s="7"/>
      <c r="F1339" t="str">
        <f t="shared" si="65"/>
        <v/>
      </c>
      <c r="G1339" t="str">
        <f t="shared" si="66"/>
        <v/>
      </c>
    </row>
    <row r="1340" spans="2:7">
      <c r="B1340" s="6"/>
      <c r="E1340" s="7"/>
      <c r="F1340" t="str">
        <f t="shared" si="65"/>
        <v/>
      </c>
      <c r="G1340" t="str">
        <f t="shared" si="66"/>
        <v/>
      </c>
    </row>
    <row r="1341" spans="2:7">
      <c r="B1341" s="6"/>
      <c r="E1341" s="7"/>
      <c r="F1341" t="str">
        <f t="shared" si="65"/>
        <v/>
      </c>
      <c r="G1341" t="str">
        <f t="shared" si="66"/>
        <v/>
      </c>
    </row>
    <row r="1342" spans="2:7">
      <c r="B1342" s="6"/>
      <c r="E1342" s="7"/>
      <c r="F1342" t="str">
        <f t="shared" si="65"/>
        <v/>
      </c>
      <c r="G1342" t="str">
        <f t="shared" si="66"/>
        <v/>
      </c>
    </row>
    <row r="1343" spans="2:7">
      <c r="B1343" s="6"/>
      <c r="E1343" s="7"/>
      <c r="F1343" t="str">
        <f t="shared" si="65"/>
        <v/>
      </c>
      <c r="G1343" t="str">
        <f t="shared" si="66"/>
        <v/>
      </c>
    </row>
    <row r="1344" spans="2:7">
      <c r="B1344" s="6"/>
      <c r="E1344" s="7"/>
      <c r="F1344" t="str">
        <f t="shared" si="65"/>
        <v/>
      </c>
      <c r="G1344" t="str">
        <f t="shared" si="66"/>
        <v/>
      </c>
    </row>
    <row r="1345" spans="2:7">
      <c r="B1345" s="6"/>
      <c r="E1345" s="7"/>
      <c r="F1345" t="str">
        <f t="shared" si="65"/>
        <v/>
      </c>
      <c r="G1345" t="str">
        <f t="shared" si="66"/>
        <v/>
      </c>
    </row>
    <row r="1346" spans="2:7">
      <c r="B1346" s="6"/>
      <c r="E1346" s="7"/>
      <c r="F1346" t="str">
        <f t="shared" si="65"/>
        <v/>
      </c>
      <c r="G1346" t="str">
        <f t="shared" si="66"/>
        <v/>
      </c>
    </row>
    <row r="1347" spans="2:7">
      <c r="B1347" s="6"/>
      <c r="E1347" s="7"/>
      <c r="F1347" t="str">
        <f t="shared" si="65"/>
        <v/>
      </c>
      <c r="G1347" t="str">
        <f t="shared" si="66"/>
        <v/>
      </c>
    </row>
    <row r="1348" spans="2:7">
      <c r="B1348" s="6"/>
      <c r="E1348" s="7"/>
      <c r="F1348" t="str">
        <f t="shared" ref="F1348:F1411" si="67">IF(B1348="","",LOG10(D1348))</f>
        <v/>
      </c>
      <c r="G1348" t="str">
        <f t="shared" ref="G1348:G1411" si="68">IF(E1348="", "",0.434*E1348/D1348)</f>
        <v/>
      </c>
    </row>
    <row r="1349" spans="2:7">
      <c r="B1349" s="6"/>
      <c r="E1349" s="7"/>
      <c r="F1349" t="str">
        <f t="shared" si="67"/>
        <v/>
      </c>
      <c r="G1349" t="str">
        <f t="shared" si="68"/>
        <v/>
      </c>
    </row>
    <row r="1350" spans="2:7">
      <c r="B1350" s="6"/>
      <c r="E1350" s="7"/>
      <c r="F1350" t="str">
        <f t="shared" si="67"/>
        <v/>
      </c>
      <c r="G1350" t="str">
        <f t="shared" si="68"/>
        <v/>
      </c>
    </row>
    <row r="1351" spans="2:7">
      <c r="B1351" s="6"/>
      <c r="E1351" s="7"/>
      <c r="F1351" t="str">
        <f t="shared" si="67"/>
        <v/>
      </c>
      <c r="G1351" t="str">
        <f t="shared" si="68"/>
        <v/>
      </c>
    </row>
    <row r="1352" spans="2:7">
      <c r="B1352" s="6"/>
      <c r="E1352" s="7"/>
      <c r="F1352" t="str">
        <f t="shared" si="67"/>
        <v/>
      </c>
      <c r="G1352" t="str">
        <f t="shared" si="68"/>
        <v/>
      </c>
    </row>
    <row r="1353" spans="2:7">
      <c r="B1353" s="6"/>
      <c r="E1353" s="7"/>
      <c r="F1353" t="str">
        <f t="shared" si="67"/>
        <v/>
      </c>
      <c r="G1353" t="str">
        <f t="shared" si="68"/>
        <v/>
      </c>
    </row>
    <row r="1354" spans="2:7">
      <c r="B1354" s="6"/>
      <c r="E1354" s="7"/>
      <c r="F1354" t="str">
        <f t="shared" si="67"/>
        <v/>
      </c>
      <c r="G1354" t="str">
        <f t="shared" si="68"/>
        <v/>
      </c>
    </row>
    <row r="1355" spans="2:7">
      <c r="B1355" s="6"/>
      <c r="E1355" s="7"/>
      <c r="F1355" t="str">
        <f t="shared" si="67"/>
        <v/>
      </c>
      <c r="G1355" t="str">
        <f t="shared" si="68"/>
        <v/>
      </c>
    </row>
    <row r="1356" spans="2:7">
      <c r="B1356" s="6"/>
      <c r="E1356" s="7"/>
      <c r="F1356" t="str">
        <f t="shared" si="67"/>
        <v/>
      </c>
      <c r="G1356" t="str">
        <f t="shared" si="68"/>
        <v/>
      </c>
    </row>
    <row r="1357" spans="2:7">
      <c r="B1357" s="6"/>
      <c r="E1357" s="7"/>
      <c r="F1357" t="str">
        <f t="shared" si="67"/>
        <v/>
      </c>
      <c r="G1357" t="str">
        <f t="shared" si="68"/>
        <v/>
      </c>
    </row>
    <row r="1358" spans="2:7">
      <c r="B1358" s="6"/>
      <c r="E1358" s="7"/>
      <c r="F1358" t="str">
        <f t="shared" si="67"/>
        <v/>
      </c>
      <c r="G1358" t="str">
        <f t="shared" si="68"/>
        <v/>
      </c>
    </row>
    <row r="1359" spans="2:7">
      <c r="B1359" s="6"/>
      <c r="E1359" s="7"/>
      <c r="F1359" t="str">
        <f t="shared" si="67"/>
        <v/>
      </c>
      <c r="G1359" t="str">
        <f t="shared" si="68"/>
        <v/>
      </c>
    </row>
    <row r="1360" spans="2:7">
      <c r="B1360" s="6"/>
      <c r="E1360" s="7"/>
      <c r="F1360" t="str">
        <f t="shared" si="67"/>
        <v/>
      </c>
      <c r="G1360" t="str">
        <f t="shared" si="68"/>
        <v/>
      </c>
    </row>
    <row r="1361" spans="2:7">
      <c r="B1361" s="6"/>
      <c r="E1361" s="7"/>
      <c r="F1361" t="str">
        <f t="shared" si="67"/>
        <v/>
      </c>
      <c r="G1361" t="str">
        <f t="shared" si="68"/>
        <v/>
      </c>
    </row>
    <row r="1362" spans="2:7">
      <c r="B1362" s="6"/>
      <c r="E1362" s="7"/>
      <c r="F1362" t="str">
        <f t="shared" si="67"/>
        <v/>
      </c>
      <c r="G1362" t="str">
        <f t="shared" si="68"/>
        <v/>
      </c>
    </row>
    <row r="1363" spans="2:7">
      <c r="B1363" s="6"/>
      <c r="E1363" s="7"/>
      <c r="F1363" t="str">
        <f t="shared" si="67"/>
        <v/>
      </c>
      <c r="G1363" t="str">
        <f t="shared" si="68"/>
        <v/>
      </c>
    </row>
    <row r="1364" spans="2:7">
      <c r="B1364" s="6"/>
      <c r="E1364" s="7"/>
      <c r="F1364" t="str">
        <f t="shared" si="67"/>
        <v/>
      </c>
      <c r="G1364" t="str">
        <f t="shared" si="68"/>
        <v/>
      </c>
    </row>
    <row r="1365" spans="2:7">
      <c r="B1365" s="6"/>
      <c r="E1365" s="7"/>
      <c r="F1365" t="str">
        <f t="shared" si="67"/>
        <v/>
      </c>
      <c r="G1365" t="str">
        <f t="shared" si="68"/>
        <v/>
      </c>
    </row>
    <row r="1366" spans="2:7">
      <c r="B1366" s="6"/>
      <c r="E1366" s="7"/>
      <c r="F1366" t="str">
        <f t="shared" si="67"/>
        <v/>
      </c>
      <c r="G1366" t="str">
        <f t="shared" si="68"/>
        <v/>
      </c>
    </row>
    <row r="1367" spans="2:7">
      <c r="B1367" s="6"/>
      <c r="E1367" s="7"/>
      <c r="F1367" t="str">
        <f t="shared" si="67"/>
        <v/>
      </c>
      <c r="G1367" t="str">
        <f t="shared" si="68"/>
        <v/>
      </c>
    </row>
    <row r="1368" spans="2:7">
      <c r="B1368" s="6"/>
      <c r="E1368" s="7"/>
      <c r="F1368" t="str">
        <f t="shared" si="67"/>
        <v/>
      </c>
      <c r="G1368" t="str">
        <f t="shared" si="68"/>
        <v/>
      </c>
    </row>
    <row r="1369" spans="2:7">
      <c r="B1369" s="6"/>
      <c r="E1369" s="7"/>
      <c r="F1369" t="str">
        <f t="shared" si="67"/>
        <v/>
      </c>
      <c r="G1369" t="str">
        <f t="shared" si="68"/>
        <v/>
      </c>
    </row>
    <row r="1370" spans="2:7">
      <c r="B1370" s="6"/>
      <c r="E1370" s="7"/>
      <c r="F1370" t="str">
        <f t="shared" si="67"/>
        <v/>
      </c>
      <c r="G1370" t="str">
        <f t="shared" si="68"/>
        <v/>
      </c>
    </row>
    <row r="1371" spans="2:7">
      <c r="B1371" s="6"/>
      <c r="E1371" s="7"/>
      <c r="F1371" t="str">
        <f t="shared" si="67"/>
        <v/>
      </c>
      <c r="G1371" t="str">
        <f t="shared" si="68"/>
        <v/>
      </c>
    </row>
    <row r="1372" spans="2:7">
      <c r="B1372" s="6"/>
      <c r="E1372" s="7"/>
      <c r="F1372" t="str">
        <f t="shared" si="67"/>
        <v/>
      </c>
      <c r="G1372" t="str">
        <f t="shared" si="68"/>
        <v/>
      </c>
    </row>
    <row r="1373" spans="2:7">
      <c r="B1373" s="6"/>
      <c r="E1373" s="7"/>
      <c r="F1373" t="str">
        <f t="shared" si="67"/>
        <v/>
      </c>
      <c r="G1373" t="str">
        <f t="shared" si="68"/>
        <v/>
      </c>
    </row>
    <row r="1374" spans="2:7">
      <c r="B1374" s="6"/>
      <c r="E1374" s="7"/>
      <c r="F1374" t="str">
        <f t="shared" si="67"/>
        <v/>
      </c>
      <c r="G1374" t="str">
        <f t="shared" si="68"/>
        <v/>
      </c>
    </row>
    <row r="1375" spans="2:7">
      <c r="B1375" s="6"/>
      <c r="E1375" s="7"/>
      <c r="F1375" t="str">
        <f t="shared" si="67"/>
        <v/>
      </c>
      <c r="G1375" t="str">
        <f t="shared" si="68"/>
        <v/>
      </c>
    </row>
    <row r="1376" spans="2:7">
      <c r="B1376" s="6"/>
      <c r="E1376" s="7"/>
      <c r="F1376" t="str">
        <f t="shared" si="67"/>
        <v/>
      </c>
      <c r="G1376" t="str">
        <f t="shared" si="68"/>
        <v/>
      </c>
    </row>
    <row r="1377" spans="2:7">
      <c r="B1377" s="6"/>
      <c r="E1377" s="7"/>
      <c r="F1377" t="str">
        <f t="shared" si="67"/>
        <v/>
      </c>
      <c r="G1377" t="str">
        <f t="shared" si="68"/>
        <v/>
      </c>
    </row>
    <row r="1378" spans="2:7">
      <c r="B1378" s="6"/>
      <c r="E1378" s="7"/>
      <c r="F1378" t="str">
        <f t="shared" si="67"/>
        <v/>
      </c>
      <c r="G1378" t="str">
        <f t="shared" si="68"/>
        <v/>
      </c>
    </row>
    <row r="1379" spans="2:7">
      <c r="B1379" s="6"/>
      <c r="E1379" s="7"/>
      <c r="F1379" t="str">
        <f t="shared" si="67"/>
        <v/>
      </c>
      <c r="G1379" t="str">
        <f t="shared" si="68"/>
        <v/>
      </c>
    </row>
    <row r="1380" spans="2:7">
      <c r="B1380" s="6"/>
      <c r="E1380" s="7"/>
      <c r="F1380" t="str">
        <f t="shared" si="67"/>
        <v/>
      </c>
      <c r="G1380" t="str">
        <f t="shared" si="68"/>
        <v/>
      </c>
    </row>
    <row r="1381" spans="2:7">
      <c r="B1381" s="6"/>
      <c r="E1381" s="7"/>
      <c r="F1381" t="str">
        <f t="shared" si="67"/>
        <v/>
      </c>
      <c r="G1381" t="str">
        <f t="shared" si="68"/>
        <v/>
      </c>
    </row>
    <row r="1382" spans="2:7">
      <c r="B1382" s="6"/>
      <c r="E1382" s="7"/>
      <c r="F1382" t="str">
        <f t="shared" si="67"/>
        <v/>
      </c>
      <c r="G1382" t="str">
        <f t="shared" si="68"/>
        <v/>
      </c>
    </row>
    <row r="1383" spans="2:7">
      <c r="B1383" s="6"/>
      <c r="E1383" s="7"/>
      <c r="F1383" t="str">
        <f t="shared" si="67"/>
        <v/>
      </c>
      <c r="G1383" t="str">
        <f t="shared" si="68"/>
        <v/>
      </c>
    </row>
    <row r="1384" spans="2:7">
      <c r="B1384" s="6"/>
      <c r="E1384" s="7"/>
      <c r="F1384" t="str">
        <f t="shared" si="67"/>
        <v/>
      </c>
      <c r="G1384" t="str">
        <f t="shared" si="68"/>
        <v/>
      </c>
    </row>
    <row r="1385" spans="2:7">
      <c r="B1385" s="6"/>
      <c r="E1385" s="7"/>
      <c r="F1385" t="str">
        <f t="shared" si="67"/>
        <v/>
      </c>
      <c r="G1385" t="str">
        <f t="shared" si="68"/>
        <v/>
      </c>
    </row>
    <row r="1386" spans="2:7">
      <c r="B1386" s="6"/>
      <c r="E1386" s="7"/>
      <c r="F1386" t="str">
        <f t="shared" si="67"/>
        <v/>
      </c>
      <c r="G1386" t="str">
        <f t="shared" si="68"/>
        <v/>
      </c>
    </row>
    <row r="1387" spans="2:7">
      <c r="B1387" s="6"/>
      <c r="E1387" s="7"/>
      <c r="F1387" t="str">
        <f t="shared" si="67"/>
        <v/>
      </c>
      <c r="G1387" t="str">
        <f t="shared" si="68"/>
        <v/>
      </c>
    </row>
    <row r="1388" spans="2:7">
      <c r="B1388" s="6"/>
      <c r="E1388" s="7"/>
      <c r="F1388" t="str">
        <f t="shared" si="67"/>
        <v/>
      </c>
      <c r="G1388" t="str">
        <f t="shared" si="68"/>
        <v/>
      </c>
    </row>
    <row r="1389" spans="2:7">
      <c r="B1389" s="6"/>
      <c r="E1389" s="7"/>
      <c r="F1389" t="str">
        <f t="shared" si="67"/>
        <v/>
      </c>
      <c r="G1389" t="str">
        <f t="shared" si="68"/>
        <v/>
      </c>
    </row>
    <row r="1390" spans="2:7">
      <c r="B1390" s="6"/>
      <c r="E1390" s="7"/>
      <c r="F1390" t="str">
        <f t="shared" si="67"/>
        <v/>
      </c>
      <c r="G1390" t="str">
        <f t="shared" si="68"/>
        <v/>
      </c>
    </row>
    <row r="1391" spans="2:7">
      <c r="B1391" s="6"/>
      <c r="E1391" s="7"/>
      <c r="F1391" t="str">
        <f t="shared" si="67"/>
        <v/>
      </c>
      <c r="G1391" t="str">
        <f t="shared" si="68"/>
        <v/>
      </c>
    </row>
    <row r="1392" spans="2:7">
      <c r="B1392" s="6"/>
      <c r="E1392" s="7"/>
      <c r="F1392" t="str">
        <f t="shared" si="67"/>
        <v/>
      </c>
      <c r="G1392" t="str">
        <f t="shared" si="68"/>
        <v/>
      </c>
    </row>
    <row r="1393" spans="2:7">
      <c r="B1393" s="6"/>
      <c r="E1393" s="7"/>
      <c r="F1393" t="str">
        <f t="shared" si="67"/>
        <v/>
      </c>
      <c r="G1393" t="str">
        <f t="shared" si="68"/>
        <v/>
      </c>
    </row>
    <row r="1394" spans="2:7">
      <c r="B1394" s="6"/>
      <c r="E1394" s="7"/>
      <c r="F1394" t="str">
        <f t="shared" si="67"/>
        <v/>
      </c>
      <c r="G1394" t="str">
        <f t="shared" si="68"/>
        <v/>
      </c>
    </row>
    <row r="1395" spans="2:7">
      <c r="B1395" s="6"/>
      <c r="E1395" s="7"/>
      <c r="F1395" t="str">
        <f t="shared" si="67"/>
        <v/>
      </c>
      <c r="G1395" t="str">
        <f t="shared" si="68"/>
        <v/>
      </c>
    </row>
    <row r="1396" spans="2:7">
      <c r="B1396" s="6"/>
      <c r="E1396" s="7"/>
      <c r="F1396" t="str">
        <f t="shared" si="67"/>
        <v/>
      </c>
      <c r="G1396" t="str">
        <f t="shared" si="68"/>
        <v/>
      </c>
    </row>
    <row r="1397" spans="2:7">
      <c r="B1397" s="6"/>
      <c r="E1397" s="7"/>
      <c r="F1397" t="str">
        <f t="shared" si="67"/>
        <v/>
      </c>
      <c r="G1397" t="str">
        <f t="shared" si="68"/>
        <v/>
      </c>
    </row>
    <row r="1398" spans="2:7">
      <c r="B1398" s="6"/>
      <c r="E1398" s="7"/>
      <c r="F1398" t="str">
        <f t="shared" si="67"/>
        <v/>
      </c>
      <c r="G1398" t="str">
        <f t="shared" si="68"/>
        <v/>
      </c>
    </row>
    <row r="1399" spans="2:7">
      <c r="B1399" s="6"/>
      <c r="E1399" s="7"/>
      <c r="F1399" t="str">
        <f t="shared" si="67"/>
        <v/>
      </c>
      <c r="G1399" t="str">
        <f t="shared" si="68"/>
        <v/>
      </c>
    </row>
    <row r="1400" spans="2:7">
      <c r="B1400" s="6"/>
      <c r="E1400" s="7"/>
      <c r="F1400" t="str">
        <f t="shared" si="67"/>
        <v/>
      </c>
      <c r="G1400" t="str">
        <f t="shared" si="68"/>
        <v/>
      </c>
    </row>
    <row r="1401" spans="2:7">
      <c r="B1401" s="6"/>
      <c r="E1401" s="7"/>
      <c r="F1401" t="str">
        <f t="shared" si="67"/>
        <v/>
      </c>
      <c r="G1401" t="str">
        <f t="shared" si="68"/>
        <v/>
      </c>
    </row>
    <row r="1402" spans="2:7">
      <c r="B1402" s="6"/>
      <c r="E1402" s="7"/>
      <c r="F1402" t="str">
        <f t="shared" si="67"/>
        <v/>
      </c>
      <c r="G1402" t="str">
        <f t="shared" si="68"/>
        <v/>
      </c>
    </row>
    <row r="1403" spans="2:7">
      <c r="B1403" s="6"/>
      <c r="E1403" s="7"/>
      <c r="F1403" t="str">
        <f t="shared" si="67"/>
        <v/>
      </c>
      <c r="G1403" t="str">
        <f t="shared" si="68"/>
        <v/>
      </c>
    </row>
    <row r="1404" spans="2:7">
      <c r="B1404" s="6"/>
      <c r="E1404" s="7"/>
      <c r="F1404" t="str">
        <f t="shared" si="67"/>
        <v/>
      </c>
      <c r="G1404" t="str">
        <f t="shared" si="68"/>
        <v/>
      </c>
    </row>
    <row r="1405" spans="2:7">
      <c r="B1405" s="6"/>
      <c r="E1405" s="7"/>
      <c r="F1405" t="str">
        <f t="shared" si="67"/>
        <v/>
      </c>
      <c r="G1405" t="str">
        <f t="shared" si="68"/>
        <v/>
      </c>
    </row>
    <row r="1406" spans="2:7">
      <c r="B1406" s="6"/>
      <c r="E1406" s="7"/>
      <c r="F1406" t="str">
        <f t="shared" si="67"/>
        <v/>
      </c>
      <c r="G1406" t="str">
        <f t="shared" si="68"/>
        <v/>
      </c>
    </row>
    <row r="1407" spans="2:7">
      <c r="B1407" s="6"/>
      <c r="E1407" s="7"/>
      <c r="F1407" t="str">
        <f t="shared" si="67"/>
        <v/>
      </c>
      <c r="G1407" t="str">
        <f t="shared" si="68"/>
        <v/>
      </c>
    </row>
    <row r="1408" spans="2:7">
      <c r="B1408" s="6"/>
      <c r="E1408" s="7"/>
      <c r="F1408" t="str">
        <f t="shared" si="67"/>
        <v/>
      </c>
      <c r="G1408" t="str">
        <f t="shared" si="68"/>
        <v/>
      </c>
    </row>
    <row r="1409" spans="2:7">
      <c r="B1409" s="6"/>
      <c r="E1409" s="7"/>
      <c r="F1409" t="str">
        <f t="shared" si="67"/>
        <v/>
      </c>
      <c r="G1409" t="str">
        <f t="shared" si="68"/>
        <v/>
      </c>
    </row>
    <row r="1410" spans="2:7">
      <c r="B1410" s="6"/>
      <c r="E1410" s="7"/>
      <c r="F1410" t="str">
        <f t="shared" si="67"/>
        <v/>
      </c>
      <c r="G1410" t="str">
        <f t="shared" si="68"/>
        <v/>
      </c>
    </row>
    <row r="1411" spans="2:7">
      <c r="B1411" s="6"/>
      <c r="E1411" s="7"/>
      <c r="F1411" t="str">
        <f t="shared" si="67"/>
        <v/>
      </c>
      <c r="G1411" t="str">
        <f t="shared" si="68"/>
        <v/>
      </c>
    </row>
    <row r="1412" spans="2:7">
      <c r="B1412" s="6"/>
      <c r="E1412" s="7"/>
      <c r="F1412" t="str">
        <f t="shared" ref="F1412:F1475" si="69">IF(B1412="","",LOG10(D1412))</f>
        <v/>
      </c>
      <c r="G1412" t="str">
        <f t="shared" ref="G1412:G1475" si="70">IF(E1412="", "",0.434*E1412/D1412)</f>
        <v/>
      </c>
    </row>
    <row r="1413" spans="2:7">
      <c r="B1413" s="6"/>
      <c r="E1413" s="7"/>
      <c r="F1413" t="str">
        <f t="shared" si="69"/>
        <v/>
      </c>
      <c r="G1413" t="str">
        <f t="shared" si="70"/>
        <v/>
      </c>
    </row>
    <row r="1414" spans="2:7">
      <c r="B1414" s="6"/>
      <c r="E1414" s="7"/>
      <c r="F1414" t="str">
        <f t="shared" si="69"/>
        <v/>
      </c>
      <c r="G1414" t="str">
        <f t="shared" si="70"/>
        <v/>
      </c>
    </row>
    <row r="1415" spans="2:7">
      <c r="B1415" s="6"/>
      <c r="E1415" s="7"/>
      <c r="F1415" t="str">
        <f t="shared" si="69"/>
        <v/>
      </c>
      <c r="G1415" t="str">
        <f t="shared" si="70"/>
        <v/>
      </c>
    </row>
    <row r="1416" spans="2:7">
      <c r="B1416" s="6"/>
      <c r="E1416" s="7"/>
      <c r="F1416" t="str">
        <f t="shared" si="69"/>
        <v/>
      </c>
      <c r="G1416" t="str">
        <f t="shared" si="70"/>
        <v/>
      </c>
    </row>
    <row r="1417" spans="2:7">
      <c r="B1417" s="6"/>
      <c r="E1417" s="7"/>
      <c r="F1417" t="str">
        <f t="shared" si="69"/>
        <v/>
      </c>
      <c r="G1417" t="str">
        <f t="shared" si="70"/>
        <v/>
      </c>
    </row>
    <row r="1418" spans="2:7">
      <c r="B1418" s="6"/>
      <c r="E1418" s="7"/>
      <c r="F1418" t="str">
        <f t="shared" si="69"/>
        <v/>
      </c>
      <c r="G1418" t="str">
        <f t="shared" si="70"/>
        <v/>
      </c>
    </row>
    <row r="1419" spans="2:7">
      <c r="B1419" s="6"/>
      <c r="E1419" s="7"/>
      <c r="F1419" t="str">
        <f t="shared" si="69"/>
        <v/>
      </c>
      <c r="G1419" t="str">
        <f t="shared" si="70"/>
        <v/>
      </c>
    </row>
    <row r="1420" spans="2:7">
      <c r="B1420" s="6"/>
      <c r="E1420" s="7"/>
      <c r="F1420" t="str">
        <f t="shared" si="69"/>
        <v/>
      </c>
      <c r="G1420" t="str">
        <f t="shared" si="70"/>
        <v/>
      </c>
    </row>
    <row r="1421" spans="2:7">
      <c r="B1421" s="6"/>
      <c r="E1421" s="7"/>
      <c r="F1421" t="str">
        <f t="shared" si="69"/>
        <v/>
      </c>
      <c r="G1421" t="str">
        <f t="shared" si="70"/>
        <v/>
      </c>
    </row>
    <row r="1422" spans="2:7">
      <c r="B1422" s="6"/>
      <c r="E1422" s="7"/>
      <c r="F1422" t="str">
        <f t="shared" si="69"/>
        <v/>
      </c>
      <c r="G1422" t="str">
        <f t="shared" si="70"/>
        <v/>
      </c>
    </row>
    <row r="1423" spans="2:7">
      <c r="B1423" s="6"/>
      <c r="E1423" s="7"/>
      <c r="F1423" t="str">
        <f t="shared" si="69"/>
        <v/>
      </c>
      <c r="G1423" t="str">
        <f t="shared" si="70"/>
        <v/>
      </c>
    </row>
    <row r="1424" spans="2:7">
      <c r="B1424" s="6"/>
      <c r="E1424" s="7"/>
      <c r="F1424" t="str">
        <f t="shared" si="69"/>
        <v/>
      </c>
      <c r="G1424" t="str">
        <f t="shared" si="70"/>
        <v/>
      </c>
    </row>
    <row r="1425" spans="2:7">
      <c r="B1425" s="6"/>
      <c r="E1425" s="7"/>
      <c r="F1425" t="str">
        <f t="shared" si="69"/>
        <v/>
      </c>
      <c r="G1425" t="str">
        <f t="shared" si="70"/>
        <v/>
      </c>
    </row>
    <row r="1426" spans="2:7">
      <c r="B1426" s="6"/>
      <c r="E1426" s="7"/>
      <c r="F1426" t="str">
        <f t="shared" si="69"/>
        <v/>
      </c>
      <c r="G1426" t="str">
        <f t="shared" si="70"/>
        <v/>
      </c>
    </row>
    <row r="1427" spans="2:7">
      <c r="B1427" s="6"/>
      <c r="E1427" s="7"/>
      <c r="F1427" t="str">
        <f t="shared" si="69"/>
        <v/>
      </c>
      <c r="G1427" t="str">
        <f t="shared" si="70"/>
        <v/>
      </c>
    </row>
    <row r="1428" spans="2:7">
      <c r="B1428" s="6"/>
      <c r="E1428" s="7"/>
      <c r="F1428" t="str">
        <f t="shared" si="69"/>
        <v/>
      </c>
      <c r="G1428" t="str">
        <f t="shared" si="70"/>
        <v/>
      </c>
    </row>
    <row r="1429" spans="2:7">
      <c r="B1429" s="6"/>
      <c r="E1429" s="7"/>
      <c r="F1429" t="str">
        <f t="shared" si="69"/>
        <v/>
      </c>
      <c r="G1429" t="str">
        <f t="shared" si="70"/>
        <v/>
      </c>
    </row>
    <row r="1430" spans="2:7">
      <c r="B1430" s="6"/>
      <c r="E1430" s="7"/>
      <c r="F1430" t="str">
        <f t="shared" si="69"/>
        <v/>
      </c>
      <c r="G1430" t="str">
        <f t="shared" si="70"/>
        <v/>
      </c>
    </row>
    <row r="1431" spans="2:7">
      <c r="B1431" s="6"/>
      <c r="E1431" s="7"/>
      <c r="F1431" t="str">
        <f t="shared" si="69"/>
        <v/>
      </c>
      <c r="G1431" t="str">
        <f t="shared" si="70"/>
        <v/>
      </c>
    </row>
    <row r="1432" spans="2:7">
      <c r="B1432" s="6"/>
      <c r="E1432" s="7"/>
      <c r="F1432" t="str">
        <f t="shared" si="69"/>
        <v/>
      </c>
      <c r="G1432" t="str">
        <f t="shared" si="70"/>
        <v/>
      </c>
    </row>
    <row r="1433" spans="2:7">
      <c r="B1433" s="6"/>
      <c r="E1433" s="7"/>
      <c r="F1433" t="str">
        <f t="shared" si="69"/>
        <v/>
      </c>
      <c r="G1433" t="str">
        <f t="shared" si="70"/>
        <v/>
      </c>
    </row>
    <row r="1434" spans="2:7">
      <c r="B1434" s="6"/>
      <c r="E1434" s="7"/>
      <c r="F1434" t="str">
        <f t="shared" si="69"/>
        <v/>
      </c>
      <c r="G1434" t="str">
        <f t="shared" si="70"/>
        <v/>
      </c>
    </row>
    <row r="1435" spans="2:7">
      <c r="B1435" s="6"/>
      <c r="E1435" s="7"/>
      <c r="F1435" t="str">
        <f t="shared" si="69"/>
        <v/>
      </c>
      <c r="G1435" t="str">
        <f t="shared" si="70"/>
        <v/>
      </c>
    </row>
    <row r="1436" spans="2:7">
      <c r="B1436" s="6"/>
      <c r="E1436" s="7"/>
      <c r="F1436" t="str">
        <f t="shared" si="69"/>
        <v/>
      </c>
      <c r="G1436" t="str">
        <f t="shared" si="70"/>
        <v/>
      </c>
    </row>
    <row r="1437" spans="2:7">
      <c r="B1437" s="6"/>
      <c r="E1437" s="7"/>
      <c r="F1437" t="str">
        <f t="shared" si="69"/>
        <v/>
      </c>
      <c r="G1437" t="str">
        <f t="shared" si="70"/>
        <v/>
      </c>
    </row>
    <row r="1438" spans="2:7">
      <c r="B1438" s="6"/>
      <c r="E1438" s="7"/>
      <c r="F1438" t="str">
        <f t="shared" si="69"/>
        <v/>
      </c>
      <c r="G1438" t="str">
        <f t="shared" si="70"/>
        <v/>
      </c>
    </row>
    <row r="1439" spans="2:7">
      <c r="B1439" s="6"/>
      <c r="E1439" s="7"/>
      <c r="F1439" t="str">
        <f t="shared" si="69"/>
        <v/>
      </c>
      <c r="G1439" t="str">
        <f t="shared" si="70"/>
        <v/>
      </c>
    </row>
    <row r="1440" spans="2:7">
      <c r="B1440" s="6"/>
      <c r="E1440" s="7"/>
      <c r="F1440" t="str">
        <f t="shared" si="69"/>
        <v/>
      </c>
      <c r="G1440" t="str">
        <f t="shared" si="70"/>
        <v/>
      </c>
    </row>
    <row r="1441" spans="2:7">
      <c r="B1441" s="6"/>
      <c r="E1441" s="7"/>
      <c r="F1441" t="str">
        <f t="shared" si="69"/>
        <v/>
      </c>
      <c r="G1441" t="str">
        <f t="shared" si="70"/>
        <v/>
      </c>
    </row>
    <row r="1442" spans="2:7">
      <c r="B1442" s="6"/>
      <c r="E1442" s="7"/>
      <c r="F1442" t="str">
        <f t="shared" si="69"/>
        <v/>
      </c>
      <c r="G1442" t="str">
        <f t="shared" si="70"/>
        <v/>
      </c>
    </row>
    <row r="1443" spans="2:7">
      <c r="B1443" s="6"/>
      <c r="E1443" s="7"/>
      <c r="F1443" t="str">
        <f t="shared" si="69"/>
        <v/>
      </c>
      <c r="G1443" t="str">
        <f t="shared" si="70"/>
        <v/>
      </c>
    </row>
    <row r="1444" spans="2:7">
      <c r="B1444" s="6"/>
      <c r="E1444" s="7"/>
      <c r="F1444" t="str">
        <f t="shared" si="69"/>
        <v/>
      </c>
      <c r="G1444" t="str">
        <f t="shared" si="70"/>
        <v/>
      </c>
    </row>
    <row r="1445" spans="2:7">
      <c r="B1445" s="6"/>
      <c r="E1445" s="7"/>
      <c r="F1445" t="str">
        <f t="shared" si="69"/>
        <v/>
      </c>
      <c r="G1445" t="str">
        <f t="shared" si="70"/>
        <v/>
      </c>
    </row>
    <row r="1446" spans="2:7">
      <c r="B1446" s="6"/>
      <c r="E1446" s="7"/>
      <c r="F1446" t="str">
        <f t="shared" si="69"/>
        <v/>
      </c>
      <c r="G1446" t="str">
        <f t="shared" si="70"/>
        <v/>
      </c>
    </row>
    <row r="1447" spans="2:7">
      <c r="B1447" s="6"/>
      <c r="E1447" s="7"/>
      <c r="F1447" t="str">
        <f t="shared" si="69"/>
        <v/>
      </c>
      <c r="G1447" t="str">
        <f t="shared" si="70"/>
        <v/>
      </c>
    </row>
    <row r="1448" spans="2:7">
      <c r="B1448" s="6"/>
      <c r="E1448" s="7"/>
      <c r="F1448" t="str">
        <f t="shared" si="69"/>
        <v/>
      </c>
      <c r="G1448" t="str">
        <f t="shared" si="70"/>
        <v/>
      </c>
    </row>
    <row r="1449" spans="2:7">
      <c r="B1449" s="6"/>
      <c r="E1449" s="7"/>
      <c r="F1449" t="str">
        <f t="shared" si="69"/>
        <v/>
      </c>
      <c r="G1449" t="str">
        <f t="shared" si="70"/>
        <v/>
      </c>
    </row>
    <row r="1450" spans="2:7">
      <c r="B1450" s="6"/>
      <c r="E1450" s="7"/>
      <c r="F1450" t="str">
        <f t="shared" si="69"/>
        <v/>
      </c>
      <c r="G1450" t="str">
        <f t="shared" si="70"/>
        <v/>
      </c>
    </row>
    <row r="1451" spans="2:7">
      <c r="B1451" s="6"/>
      <c r="E1451" s="7"/>
      <c r="F1451" t="str">
        <f t="shared" si="69"/>
        <v/>
      </c>
      <c r="G1451" t="str">
        <f t="shared" si="70"/>
        <v/>
      </c>
    </row>
    <row r="1452" spans="2:7">
      <c r="B1452" s="6"/>
      <c r="E1452" s="7"/>
      <c r="F1452" t="str">
        <f t="shared" si="69"/>
        <v/>
      </c>
      <c r="G1452" t="str">
        <f t="shared" si="70"/>
        <v/>
      </c>
    </row>
    <row r="1453" spans="2:7">
      <c r="B1453" s="6"/>
      <c r="E1453" s="7"/>
      <c r="F1453" t="str">
        <f t="shared" si="69"/>
        <v/>
      </c>
      <c r="G1453" t="str">
        <f t="shared" si="70"/>
        <v/>
      </c>
    </row>
    <row r="1454" spans="2:7">
      <c r="B1454" s="6"/>
      <c r="E1454" s="7"/>
      <c r="F1454" t="str">
        <f t="shared" si="69"/>
        <v/>
      </c>
      <c r="G1454" t="str">
        <f t="shared" si="70"/>
        <v/>
      </c>
    </row>
    <row r="1455" spans="2:7">
      <c r="B1455" s="6"/>
      <c r="E1455" s="7"/>
      <c r="F1455" t="str">
        <f t="shared" si="69"/>
        <v/>
      </c>
      <c r="G1455" t="str">
        <f t="shared" si="70"/>
        <v/>
      </c>
    </row>
    <row r="1456" spans="2:7">
      <c r="B1456" s="6"/>
      <c r="E1456" s="7"/>
      <c r="F1456" t="str">
        <f t="shared" si="69"/>
        <v/>
      </c>
      <c r="G1456" t="str">
        <f t="shared" si="70"/>
        <v/>
      </c>
    </row>
    <row r="1457" spans="2:7">
      <c r="B1457" s="6"/>
      <c r="E1457" s="7"/>
      <c r="F1457" t="str">
        <f t="shared" si="69"/>
        <v/>
      </c>
      <c r="G1457" t="str">
        <f t="shared" si="70"/>
        <v/>
      </c>
    </row>
    <row r="1458" spans="2:7">
      <c r="B1458" s="6"/>
      <c r="E1458" s="7"/>
      <c r="F1458" t="str">
        <f t="shared" si="69"/>
        <v/>
      </c>
      <c r="G1458" t="str">
        <f t="shared" si="70"/>
        <v/>
      </c>
    </row>
    <row r="1459" spans="2:7">
      <c r="B1459" s="6"/>
      <c r="E1459" s="7"/>
      <c r="F1459" t="str">
        <f t="shared" si="69"/>
        <v/>
      </c>
      <c r="G1459" t="str">
        <f t="shared" si="70"/>
        <v/>
      </c>
    </row>
    <row r="1460" spans="2:7">
      <c r="B1460" s="6"/>
      <c r="E1460" s="7"/>
      <c r="F1460" t="str">
        <f t="shared" si="69"/>
        <v/>
      </c>
      <c r="G1460" t="str">
        <f t="shared" si="70"/>
        <v/>
      </c>
    </row>
    <row r="1461" spans="2:7">
      <c r="B1461" s="6"/>
      <c r="E1461" s="7"/>
      <c r="F1461" t="str">
        <f t="shared" si="69"/>
        <v/>
      </c>
      <c r="G1461" t="str">
        <f t="shared" si="70"/>
        <v/>
      </c>
    </row>
    <row r="1462" spans="2:7">
      <c r="B1462" s="6"/>
      <c r="E1462" s="7"/>
      <c r="F1462" t="str">
        <f t="shared" si="69"/>
        <v/>
      </c>
      <c r="G1462" t="str">
        <f t="shared" si="70"/>
        <v/>
      </c>
    </row>
    <row r="1463" spans="2:7">
      <c r="B1463" s="6"/>
      <c r="E1463" s="7"/>
      <c r="F1463" t="str">
        <f t="shared" si="69"/>
        <v/>
      </c>
      <c r="G1463" t="str">
        <f t="shared" si="70"/>
        <v/>
      </c>
    </row>
    <row r="1464" spans="2:7">
      <c r="B1464" s="6"/>
      <c r="E1464" s="7"/>
      <c r="F1464" t="str">
        <f t="shared" si="69"/>
        <v/>
      </c>
      <c r="G1464" t="str">
        <f t="shared" si="70"/>
        <v/>
      </c>
    </row>
    <row r="1465" spans="2:7">
      <c r="B1465" s="6"/>
      <c r="E1465" s="7"/>
      <c r="F1465" t="str">
        <f t="shared" si="69"/>
        <v/>
      </c>
      <c r="G1465" t="str">
        <f t="shared" si="70"/>
        <v/>
      </c>
    </row>
    <row r="1466" spans="2:7">
      <c r="B1466" s="6"/>
      <c r="E1466" s="7"/>
      <c r="F1466" t="str">
        <f t="shared" si="69"/>
        <v/>
      </c>
      <c r="G1466" t="str">
        <f t="shared" si="70"/>
        <v/>
      </c>
    </row>
    <row r="1467" spans="2:7">
      <c r="B1467" s="6"/>
      <c r="E1467" s="7"/>
      <c r="F1467" t="str">
        <f t="shared" si="69"/>
        <v/>
      </c>
      <c r="G1467" t="str">
        <f t="shared" si="70"/>
        <v/>
      </c>
    </row>
    <row r="1468" spans="2:7">
      <c r="B1468" s="6"/>
      <c r="E1468" s="7"/>
      <c r="F1468" t="str">
        <f t="shared" si="69"/>
        <v/>
      </c>
      <c r="G1468" t="str">
        <f t="shared" si="70"/>
        <v/>
      </c>
    </row>
    <row r="1469" spans="2:7">
      <c r="B1469" s="6"/>
      <c r="E1469" s="7"/>
      <c r="F1469" t="str">
        <f t="shared" si="69"/>
        <v/>
      </c>
      <c r="G1469" t="str">
        <f t="shared" si="70"/>
        <v/>
      </c>
    </row>
    <row r="1470" spans="2:7">
      <c r="B1470" s="6"/>
      <c r="E1470" s="7"/>
      <c r="F1470" t="str">
        <f t="shared" si="69"/>
        <v/>
      </c>
      <c r="G1470" t="str">
        <f t="shared" si="70"/>
        <v/>
      </c>
    </row>
    <row r="1471" spans="2:7">
      <c r="B1471" s="6"/>
      <c r="E1471" s="7"/>
      <c r="F1471" t="str">
        <f t="shared" si="69"/>
        <v/>
      </c>
      <c r="G1471" t="str">
        <f t="shared" si="70"/>
        <v/>
      </c>
    </row>
    <row r="1472" spans="2:7">
      <c r="B1472" s="6"/>
      <c r="E1472" s="7"/>
      <c r="F1472" t="str">
        <f t="shared" si="69"/>
        <v/>
      </c>
      <c r="G1472" t="str">
        <f t="shared" si="70"/>
        <v/>
      </c>
    </row>
    <row r="1473" spans="2:7">
      <c r="B1473" s="6"/>
      <c r="E1473" s="7"/>
      <c r="F1473" t="str">
        <f t="shared" si="69"/>
        <v/>
      </c>
      <c r="G1473" t="str">
        <f t="shared" si="70"/>
        <v/>
      </c>
    </row>
    <row r="1474" spans="2:7">
      <c r="B1474" s="6"/>
      <c r="E1474" s="7"/>
      <c r="F1474" t="str">
        <f t="shared" si="69"/>
        <v/>
      </c>
      <c r="G1474" t="str">
        <f t="shared" si="70"/>
        <v/>
      </c>
    </row>
    <row r="1475" spans="2:7">
      <c r="B1475" s="6"/>
      <c r="E1475" s="7"/>
      <c r="F1475" t="str">
        <f t="shared" si="69"/>
        <v/>
      </c>
      <c r="G1475" t="str">
        <f t="shared" si="70"/>
        <v/>
      </c>
    </row>
    <row r="1476" spans="2:7">
      <c r="B1476" s="6"/>
      <c r="E1476" s="7"/>
      <c r="F1476" t="str">
        <f t="shared" ref="F1476:F1539" si="71">IF(B1476="","",LOG10(D1476))</f>
        <v/>
      </c>
      <c r="G1476" t="str">
        <f t="shared" ref="G1476:G1539" si="72">IF(E1476="", "",0.434*E1476/D1476)</f>
        <v/>
      </c>
    </row>
    <row r="1477" spans="2:7">
      <c r="B1477" s="6"/>
      <c r="E1477" s="7"/>
      <c r="F1477" t="str">
        <f t="shared" si="71"/>
        <v/>
      </c>
      <c r="G1477" t="str">
        <f t="shared" si="72"/>
        <v/>
      </c>
    </row>
    <row r="1478" spans="2:7">
      <c r="B1478" s="6"/>
      <c r="E1478" s="7"/>
      <c r="F1478" t="str">
        <f t="shared" si="71"/>
        <v/>
      </c>
      <c r="G1478" t="str">
        <f t="shared" si="72"/>
        <v/>
      </c>
    </row>
    <row r="1479" spans="2:7">
      <c r="B1479" s="6"/>
      <c r="E1479" s="7"/>
      <c r="F1479" t="str">
        <f t="shared" si="71"/>
        <v/>
      </c>
      <c r="G1479" t="str">
        <f t="shared" si="72"/>
        <v/>
      </c>
    </row>
    <row r="1480" spans="2:7">
      <c r="B1480" s="6"/>
      <c r="E1480" s="7"/>
      <c r="F1480" t="str">
        <f t="shared" si="71"/>
        <v/>
      </c>
      <c r="G1480" t="str">
        <f t="shared" si="72"/>
        <v/>
      </c>
    </row>
    <row r="1481" spans="2:7">
      <c r="B1481" s="6"/>
      <c r="E1481" s="7"/>
      <c r="F1481" t="str">
        <f t="shared" si="71"/>
        <v/>
      </c>
      <c r="G1481" t="str">
        <f t="shared" si="72"/>
        <v/>
      </c>
    </row>
    <row r="1482" spans="2:7">
      <c r="B1482" s="6"/>
      <c r="E1482" s="7"/>
      <c r="F1482" t="str">
        <f t="shared" si="71"/>
        <v/>
      </c>
      <c r="G1482" t="str">
        <f t="shared" si="72"/>
        <v/>
      </c>
    </row>
    <row r="1483" spans="2:7">
      <c r="B1483" s="6"/>
      <c r="E1483" s="7"/>
      <c r="F1483" t="str">
        <f t="shared" si="71"/>
        <v/>
      </c>
      <c r="G1483" t="str">
        <f t="shared" si="72"/>
        <v/>
      </c>
    </row>
    <row r="1484" spans="2:7">
      <c r="B1484" s="6"/>
      <c r="E1484" s="7"/>
      <c r="F1484" t="str">
        <f t="shared" si="71"/>
        <v/>
      </c>
      <c r="G1484" t="str">
        <f t="shared" si="72"/>
        <v/>
      </c>
    </row>
    <row r="1485" spans="2:7">
      <c r="B1485" s="6"/>
      <c r="E1485" s="7"/>
      <c r="F1485" t="str">
        <f t="shared" si="71"/>
        <v/>
      </c>
      <c r="G1485" t="str">
        <f t="shared" si="72"/>
        <v/>
      </c>
    </row>
    <row r="1486" spans="2:7">
      <c r="B1486" s="6"/>
      <c r="E1486" s="7"/>
      <c r="F1486" t="str">
        <f t="shared" si="71"/>
        <v/>
      </c>
      <c r="G1486" t="str">
        <f t="shared" si="72"/>
        <v/>
      </c>
    </row>
    <row r="1487" spans="2:7">
      <c r="B1487" s="6"/>
      <c r="E1487" s="7"/>
      <c r="F1487" t="str">
        <f t="shared" si="71"/>
        <v/>
      </c>
      <c r="G1487" t="str">
        <f t="shared" si="72"/>
        <v/>
      </c>
    </row>
    <row r="1488" spans="2:7">
      <c r="B1488" s="6"/>
      <c r="E1488" s="7"/>
      <c r="F1488" t="str">
        <f t="shared" si="71"/>
        <v/>
      </c>
      <c r="G1488" t="str">
        <f t="shared" si="72"/>
        <v/>
      </c>
    </row>
    <row r="1489" spans="2:7">
      <c r="B1489" s="6"/>
      <c r="E1489" s="7"/>
      <c r="F1489" t="str">
        <f t="shared" si="71"/>
        <v/>
      </c>
      <c r="G1489" t="str">
        <f t="shared" si="72"/>
        <v/>
      </c>
    </row>
    <row r="1490" spans="2:7">
      <c r="B1490" s="6"/>
      <c r="E1490" s="7"/>
      <c r="F1490" t="str">
        <f t="shared" si="71"/>
        <v/>
      </c>
      <c r="G1490" t="str">
        <f t="shared" si="72"/>
        <v/>
      </c>
    </row>
    <row r="1491" spans="2:7">
      <c r="B1491" s="6"/>
      <c r="E1491" s="7"/>
      <c r="F1491" t="str">
        <f t="shared" si="71"/>
        <v/>
      </c>
      <c r="G1491" t="str">
        <f t="shared" si="72"/>
        <v/>
      </c>
    </row>
    <row r="1492" spans="2:7">
      <c r="B1492" s="6"/>
      <c r="E1492" s="7"/>
      <c r="F1492" t="str">
        <f t="shared" si="71"/>
        <v/>
      </c>
      <c r="G1492" t="str">
        <f t="shared" si="72"/>
        <v/>
      </c>
    </row>
    <row r="1493" spans="2:7">
      <c r="B1493" s="6"/>
      <c r="E1493" s="7"/>
      <c r="F1493" t="str">
        <f t="shared" si="71"/>
        <v/>
      </c>
      <c r="G1493" t="str">
        <f t="shared" si="72"/>
        <v/>
      </c>
    </row>
    <row r="1494" spans="2:7">
      <c r="B1494" s="6"/>
      <c r="E1494" s="7"/>
      <c r="F1494" t="str">
        <f t="shared" si="71"/>
        <v/>
      </c>
      <c r="G1494" t="str">
        <f t="shared" si="72"/>
        <v/>
      </c>
    </row>
    <row r="1495" spans="2:7">
      <c r="B1495" s="6"/>
      <c r="E1495" s="7"/>
      <c r="F1495" t="str">
        <f t="shared" si="71"/>
        <v/>
      </c>
      <c r="G1495" t="str">
        <f t="shared" si="72"/>
        <v/>
      </c>
    </row>
    <row r="1496" spans="2:7">
      <c r="B1496" s="6"/>
      <c r="E1496" s="7"/>
      <c r="F1496" t="str">
        <f t="shared" si="71"/>
        <v/>
      </c>
      <c r="G1496" t="str">
        <f t="shared" si="72"/>
        <v/>
      </c>
    </row>
    <row r="1497" spans="2:7">
      <c r="B1497" s="6"/>
      <c r="E1497" s="7"/>
      <c r="F1497" t="str">
        <f t="shared" si="71"/>
        <v/>
      </c>
      <c r="G1497" t="str">
        <f t="shared" si="72"/>
        <v/>
      </c>
    </row>
    <row r="1498" spans="2:7">
      <c r="B1498" s="6"/>
      <c r="E1498" s="7"/>
      <c r="F1498" t="str">
        <f t="shared" si="71"/>
        <v/>
      </c>
      <c r="G1498" t="str">
        <f t="shared" si="72"/>
        <v/>
      </c>
    </row>
    <row r="1499" spans="2:7">
      <c r="B1499" s="6"/>
      <c r="E1499" s="7"/>
      <c r="F1499" t="str">
        <f t="shared" si="71"/>
        <v/>
      </c>
      <c r="G1499" t="str">
        <f t="shared" si="72"/>
        <v/>
      </c>
    </row>
    <row r="1500" spans="2:7">
      <c r="B1500" s="6"/>
      <c r="E1500" s="7"/>
      <c r="F1500" t="str">
        <f t="shared" si="71"/>
        <v/>
      </c>
      <c r="G1500" t="str">
        <f t="shared" si="72"/>
        <v/>
      </c>
    </row>
    <row r="1501" spans="2:7">
      <c r="B1501" s="6"/>
      <c r="E1501" s="7"/>
      <c r="F1501" t="str">
        <f t="shared" si="71"/>
        <v/>
      </c>
      <c r="G1501" t="str">
        <f t="shared" si="72"/>
        <v/>
      </c>
    </row>
    <row r="1502" spans="2:7">
      <c r="B1502" s="6"/>
      <c r="E1502" s="7"/>
      <c r="F1502" t="str">
        <f t="shared" si="71"/>
        <v/>
      </c>
      <c r="G1502" t="str">
        <f t="shared" si="72"/>
        <v/>
      </c>
    </row>
    <row r="1503" spans="2:7">
      <c r="B1503" s="6"/>
      <c r="E1503" s="7"/>
      <c r="F1503" t="str">
        <f t="shared" si="71"/>
        <v/>
      </c>
      <c r="G1503" t="str">
        <f t="shared" si="72"/>
        <v/>
      </c>
    </row>
    <row r="1504" spans="2:7">
      <c r="B1504" s="6"/>
      <c r="E1504" s="7"/>
      <c r="F1504" t="str">
        <f t="shared" si="71"/>
        <v/>
      </c>
      <c r="G1504" t="str">
        <f t="shared" si="72"/>
        <v/>
      </c>
    </row>
    <row r="1505" spans="2:7">
      <c r="B1505" s="6"/>
      <c r="E1505" s="7"/>
      <c r="F1505" t="str">
        <f t="shared" si="71"/>
        <v/>
      </c>
      <c r="G1505" t="str">
        <f t="shared" si="72"/>
        <v/>
      </c>
    </row>
    <row r="1506" spans="2:7">
      <c r="B1506" s="6"/>
      <c r="E1506" s="7"/>
      <c r="F1506" t="str">
        <f t="shared" si="71"/>
        <v/>
      </c>
      <c r="G1506" t="str">
        <f t="shared" si="72"/>
        <v/>
      </c>
    </row>
    <row r="1507" spans="2:7">
      <c r="B1507" s="6"/>
      <c r="E1507" s="7"/>
      <c r="F1507" t="str">
        <f t="shared" si="71"/>
        <v/>
      </c>
      <c r="G1507" t="str">
        <f t="shared" si="72"/>
        <v/>
      </c>
    </row>
    <row r="1508" spans="2:7">
      <c r="B1508" s="6"/>
      <c r="E1508" s="7"/>
      <c r="F1508" t="str">
        <f t="shared" si="71"/>
        <v/>
      </c>
      <c r="G1508" t="str">
        <f t="shared" si="72"/>
        <v/>
      </c>
    </row>
    <row r="1509" spans="2:7">
      <c r="B1509" s="6"/>
      <c r="E1509" s="7"/>
      <c r="F1509" t="str">
        <f t="shared" si="71"/>
        <v/>
      </c>
      <c r="G1509" t="str">
        <f t="shared" si="72"/>
        <v/>
      </c>
    </row>
    <row r="1510" spans="2:7">
      <c r="B1510" s="6"/>
      <c r="E1510" s="7"/>
      <c r="F1510" t="str">
        <f t="shared" si="71"/>
        <v/>
      </c>
      <c r="G1510" t="str">
        <f t="shared" si="72"/>
        <v/>
      </c>
    </row>
    <row r="1511" spans="2:7">
      <c r="B1511" s="6"/>
      <c r="E1511" s="7"/>
      <c r="F1511" t="str">
        <f t="shared" si="71"/>
        <v/>
      </c>
      <c r="G1511" t="str">
        <f t="shared" si="72"/>
        <v/>
      </c>
    </row>
    <row r="1512" spans="2:7">
      <c r="B1512" s="6"/>
      <c r="E1512" s="7"/>
      <c r="F1512" t="str">
        <f t="shared" si="71"/>
        <v/>
      </c>
      <c r="G1512" t="str">
        <f t="shared" si="72"/>
        <v/>
      </c>
    </row>
    <row r="1513" spans="2:7">
      <c r="B1513" s="6"/>
      <c r="E1513" s="7"/>
      <c r="F1513" t="str">
        <f t="shared" si="71"/>
        <v/>
      </c>
      <c r="G1513" t="str">
        <f t="shared" si="72"/>
        <v/>
      </c>
    </row>
    <row r="1514" spans="2:7">
      <c r="B1514" s="6"/>
      <c r="E1514" s="7"/>
      <c r="F1514" t="str">
        <f t="shared" si="71"/>
        <v/>
      </c>
      <c r="G1514" t="str">
        <f t="shared" si="72"/>
        <v/>
      </c>
    </row>
    <row r="1515" spans="2:7">
      <c r="B1515" s="6"/>
      <c r="E1515" s="7"/>
      <c r="F1515" t="str">
        <f t="shared" si="71"/>
        <v/>
      </c>
      <c r="G1515" t="str">
        <f t="shared" si="72"/>
        <v/>
      </c>
    </row>
    <row r="1516" spans="2:7">
      <c r="B1516" s="6"/>
      <c r="E1516" s="7"/>
      <c r="F1516" t="str">
        <f t="shared" si="71"/>
        <v/>
      </c>
      <c r="G1516" t="str">
        <f t="shared" si="72"/>
        <v/>
      </c>
    </row>
    <row r="1517" spans="2:7">
      <c r="B1517" s="6"/>
      <c r="E1517" s="7"/>
      <c r="F1517" t="str">
        <f t="shared" si="71"/>
        <v/>
      </c>
      <c r="G1517" t="str">
        <f t="shared" si="72"/>
        <v/>
      </c>
    </row>
    <row r="1518" spans="2:7">
      <c r="B1518" s="6"/>
      <c r="E1518" s="7"/>
      <c r="F1518" t="str">
        <f t="shared" si="71"/>
        <v/>
      </c>
      <c r="G1518" t="str">
        <f t="shared" si="72"/>
        <v/>
      </c>
    </row>
    <row r="1519" spans="2:7">
      <c r="B1519" s="6"/>
      <c r="E1519" s="7"/>
      <c r="F1519" t="str">
        <f t="shared" si="71"/>
        <v/>
      </c>
      <c r="G1519" t="str">
        <f t="shared" si="72"/>
        <v/>
      </c>
    </row>
    <row r="1520" spans="2:7">
      <c r="B1520" s="6"/>
      <c r="E1520" s="7"/>
      <c r="F1520" t="str">
        <f t="shared" si="71"/>
        <v/>
      </c>
      <c r="G1520" t="str">
        <f t="shared" si="72"/>
        <v/>
      </c>
    </row>
    <row r="1521" spans="2:7">
      <c r="B1521" s="6"/>
      <c r="E1521" s="7"/>
      <c r="F1521" t="str">
        <f t="shared" si="71"/>
        <v/>
      </c>
      <c r="G1521" t="str">
        <f t="shared" si="72"/>
        <v/>
      </c>
    </row>
    <row r="1522" spans="2:7">
      <c r="B1522" s="6"/>
      <c r="E1522" s="7"/>
      <c r="F1522" t="str">
        <f t="shared" si="71"/>
        <v/>
      </c>
      <c r="G1522" t="str">
        <f t="shared" si="72"/>
        <v/>
      </c>
    </row>
    <row r="1523" spans="2:7">
      <c r="B1523" s="6"/>
      <c r="E1523" s="7"/>
      <c r="F1523" t="str">
        <f t="shared" si="71"/>
        <v/>
      </c>
      <c r="G1523" t="str">
        <f t="shared" si="72"/>
        <v/>
      </c>
    </row>
    <row r="1524" spans="2:7">
      <c r="B1524" s="6"/>
      <c r="E1524" s="7"/>
      <c r="F1524" t="str">
        <f t="shared" si="71"/>
        <v/>
      </c>
      <c r="G1524" t="str">
        <f t="shared" si="72"/>
        <v/>
      </c>
    </row>
    <row r="1525" spans="2:7">
      <c r="B1525" s="6"/>
      <c r="E1525" s="7"/>
      <c r="F1525" t="str">
        <f t="shared" si="71"/>
        <v/>
      </c>
      <c r="G1525" t="str">
        <f t="shared" si="72"/>
        <v/>
      </c>
    </row>
    <row r="1526" spans="2:7">
      <c r="B1526" s="6"/>
      <c r="E1526" s="7"/>
      <c r="F1526" t="str">
        <f t="shared" si="71"/>
        <v/>
      </c>
      <c r="G1526" t="str">
        <f t="shared" si="72"/>
        <v/>
      </c>
    </row>
    <row r="1527" spans="2:7">
      <c r="B1527" s="6"/>
      <c r="E1527" s="7"/>
      <c r="F1527" t="str">
        <f t="shared" si="71"/>
        <v/>
      </c>
      <c r="G1527" t="str">
        <f t="shared" si="72"/>
        <v/>
      </c>
    </row>
    <row r="1528" spans="2:7">
      <c r="B1528" s="6"/>
      <c r="E1528" s="7"/>
      <c r="F1528" t="str">
        <f t="shared" si="71"/>
        <v/>
      </c>
      <c r="G1528" t="str">
        <f t="shared" si="72"/>
        <v/>
      </c>
    </row>
    <row r="1529" spans="2:7">
      <c r="B1529" s="6"/>
      <c r="E1529" s="7"/>
      <c r="F1529" t="str">
        <f t="shared" si="71"/>
        <v/>
      </c>
      <c r="G1529" t="str">
        <f t="shared" si="72"/>
        <v/>
      </c>
    </row>
    <row r="1530" spans="2:7">
      <c r="B1530" s="6"/>
      <c r="E1530" s="7"/>
      <c r="F1530" t="str">
        <f t="shared" si="71"/>
        <v/>
      </c>
      <c r="G1530" t="str">
        <f t="shared" si="72"/>
        <v/>
      </c>
    </row>
    <row r="1531" spans="2:7">
      <c r="B1531" s="6"/>
      <c r="E1531" s="7"/>
      <c r="F1531" t="str">
        <f t="shared" si="71"/>
        <v/>
      </c>
      <c r="G1531" t="str">
        <f t="shared" si="72"/>
        <v/>
      </c>
    </row>
    <row r="1532" spans="2:7">
      <c r="B1532" s="6"/>
      <c r="E1532" s="7"/>
      <c r="F1532" t="str">
        <f t="shared" si="71"/>
        <v/>
      </c>
      <c r="G1532" t="str">
        <f t="shared" si="72"/>
        <v/>
      </c>
    </row>
    <row r="1533" spans="2:7">
      <c r="B1533" s="6"/>
      <c r="E1533" s="7"/>
      <c r="F1533" t="str">
        <f t="shared" si="71"/>
        <v/>
      </c>
      <c r="G1533" t="str">
        <f t="shared" si="72"/>
        <v/>
      </c>
    </row>
    <row r="1534" spans="2:7">
      <c r="B1534" s="6"/>
      <c r="E1534" s="7"/>
      <c r="F1534" t="str">
        <f t="shared" si="71"/>
        <v/>
      </c>
      <c r="G1534" t="str">
        <f t="shared" si="72"/>
        <v/>
      </c>
    </row>
    <row r="1535" spans="2:7">
      <c r="B1535" s="6"/>
      <c r="E1535" s="7"/>
      <c r="F1535" t="str">
        <f t="shared" si="71"/>
        <v/>
      </c>
      <c r="G1535" t="str">
        <f t="shared" si="72"/>
        <v/>
      </c>
    </row>
    <row r="1536" spans="2:7">
      <c r="B1536" s="6"/>
      <c r="E1536" s="7"/>
      <c r="F1536" t="str">
        <f t="shared" si="71"/>
        <v/>
      </c>
      <c r="G1536" t="str">
        <f t="shared" si="72"/>
        <v/>
      </c>
    </row>
    <row r="1537" spans="2:7">
      <c r="B1537" s="6"/>
      <c r="E1537" s="7"/>
      <c r="F1537" t="str">
        <f t="shared" si="71"/>
        <v/>
      </c>
      <c r="G1537" t="str">
        <f t="shared" si="72"/>
        <v/>
      </c>
    </row>
    <row r="1538" spans="2:7">
      <c r="B1538" s="6"/>
      <c r="E1538" s="7"/>
      <c r="F1538" t="str">
        <f t="shared" si="71"/>
        <v/>
      </c>
      <c r="G1538" t="str">
        <f t="shared" si="72"/>
        <v/>
      </c>
    </row>
    <row r="1539" spans="2:7">
      <c r="B1539" s="6"/>
      <c r="E1539" s="7"/>
      <c r="F1539" t="str">
        <f t="shared" si="71"/>
        <v/>
      </c>
      <c r="G1539" t="str">
        <f t="shared" si="72"/>
        <v/>
      </c>
    </row>
    <row r="1540" spans="2:7">
      <c r="B1540" s="6"/>
      <c r="E1540" s="7"/>
      <c r="F1540" t="str">
        <f t="shared" ref="F1540:F1603" si="73">IF(B1540="","",LOG10(D1540))</f>
        <v/>
      </c>
      <c r="G1540" t="str">
        <f t="shared" ref="G1540:G1603" si="74">IF(E1540="", "",0.434*E1540/D1540)</f>
        <v/>
      </c>
    </row>
    <row r="1541" spans="2:7">
      <c r="B1541" s="6"/>
      <c r="E1541" s="7"/>
      <c r="F1541" t="str">
        <f t="shared" si="73"/>
        <v/>
      </c>
      <c r="G1541" t="str">
        <f t="shared" si="74"/>
        <v/>
      </c>
    </row>
    <row r="1542" spans="2:7">
      <c r="B1542" s="6"/>
      <c r="E1542" s="7"/>
      <c r="F1542" t="str">
        <f t="shared" si="73"/>
        <v/>
      </c>
      <c r="G1542" t="str">
        <f t="shared" si="74"/>
        <v/>
      </c>
    </row>
    <row r="1543" spans="2:7">
      <c r="B1543" s="6"/>
      <c r="E1543" s="7"/>
      <c r="F1543" t="str">
        <f t="shared" si="73"/>
        <v/>
      </c>
      <c r="G1543" t="str">
        <f t="shared" si="74"/>
        <v/>
      </c>
    </row>
    <row r="1544" spans="2:7">
      <c r="B1544" s="6"/>
      <c r="E1544" s="7"/>
      <c r="F1544" t="str">
        <f t="shared" si="73"/>
        <v/>
      </c>
      <c r="G1544" t="str">
        <f t="shared" si="74"/>
        <v/>
      </c>
    </row>
    <row r="1545" spans="2:7">
      <c r="B1545" s="6"/>
      <c r="E1545" s="7"/>
      <c r="F1545" t="str">
        <f t="shared" si="73"/>
        <v/>
      </c>
      <c r="G1545" t="str">
        <f t="shared" si="74"/>
        <v/>
      </c>
    </row>
    <row r="1546" spans="2:7">
      <c r="B1546" s="6"/>
      <c r="E1546" s="7"/>
      <c r="F1546" t="str">
        <f t="shared" si="73"/>
        <v/>
      </c>
      <c r="G1546" t="str">
        <f t="shared" si="74"/>
        <v/>
      </c>
    </row>
    <row r="1547" spans="2:7">
      <c r="B1547" s="6"/>
      <c r="E1547" s="7"/>
      <c r="F1547" t="str">
        <f t="shared" si="73"/>
        <v/>
      </c>
      <c r="G1547" t="str">
        <f t="shared" si="74"/>
        <v/>
      </c>
    </row>
    <row r="1548" spans="2:7">
      <c r="B1548" s="6"/>
      <c r="E1548" s="7"/>
      <c r="F1548" t="str">
        <f t="shared" si="73"/>
        <v/>
      </c>
      <c r="G1548" t="str">
        <f t="shared" si="74"/>
        <v/>
      </c>
    </row>
    <row r="1549" spans="2:7">
      <c r="B1549" s="6"/>
      <c r="E1549" s="7"/>
      <c r="F1549" t="str">
        <f t="shared" si="73"/>
        <v/>
      </c>
      <c r="G1549" t="str">
        <f t="shared" si="74"/>
        <v/>
      </c>
    </row>
    <row r="1550" spans="2:7">
      <c r="B1550" s="6"/>
      <c r="E1550" s="7"/>
      <c r="F1550" t="str">
        <f t="shared" si="73"/>
        <v/>
      </c>
      <c r="G1550" t="str">
        <f t="shared" si="74"/>
        <v/>
      </c>
    </row>
    <row r="1551" spans="2:7">
      <c r="B1551" s="6"/>
      <c r="E1551" s="7"/>
      <c r="F1551" t="str">
        <f t="shared" si="73"/>
        <v/>
      </c>
      <c r="G1551" t="str">
        <f t="shared" si="74"/>
        <v/>
      </c>
    </row>
    <row r="1552" spans="2:7">
      <c r="B1552" s="6"/>
      <c r="E1552" s="7"/>
      <c r="F1552" t="str">
        <f t="shared" si="73"/>
        <v/>
      </c>
      <c r="G1552" t="str">
        <f t="shared" si="74"/>
        <v/>
      </c>
    </row>
    <row r="1553" spans="2:7">
      <c r="B1553" s="6"/>
      <c r="E1553" s="7"/>
      <c r="F1553" t="str">
        <f t="shared" si="73"/>
        <v/>
      </c>
      <c r="G1553" t="str">
        <f t="shared" si="74"/>
        <v/>
      </c>
    </row>
    <row r="1554" spans="2:7">
      <c r="B1554" s="6"/>
      <c r="E1554" s="7"/>
      <c r="F1554" t="str">
        <f t="shared" si="73"/>
        <v/>
      </c>
      <c r="G1554" t="str">
        <f t="shared" si="74"/>
        <v/>
      </c>
    </row>
    <row r="1555" spans="2:7">
      <c r="B1555" s="6"/>
      <c r="E1555" s="7"/>
      <c r="F1555" t="str">
        <f t="shared" si="73"/>
        <v/>
      </c>
      <c r="G1555" t="str">
        <f t="shared" si="74"/>
        <v/>
      </c>
    </row>
    <row r="1556" spans="2:7">
      <c r="B1556" s="6"/>
      <c r="E1556" s="7"/>
      <c r="F1556" t="str">
        <f t="shared" si="73"/>
        <v/>
      </c>
      <c r="G1556" t="str">
        <f t="shared" si="74"/>
        <v/>
      </c>
    </row>
    <row r="1557" spans="2:7">
      <c r="B1557" s="6"/>
      <c r="E1557" s="7"/>
      <c r="F1557" t="str">
        <f t="shared" si="73"/>
        <v/>
      </c>
      <c r="G1557" t="str">
        <f t="shared" si="74"/>
        <v/>
      </c>
    </row>
    <row r="1558" spans="2:7">
      <c r="B1558" s="6"/>
      <c r="E1558" s="7"/>
      <c r="F1558" t="str">
        <f t="shared" si="73"/>
        <v/>
      </c>
      <c r="G1558" t="str">
        <f t="shared" si="74"/>
        <v/>
      </c>
    </row>
    <row r="1559" spans="2:7">
      <c r="B1559" s="6"/>
      <c r="E1559" s="7"/>
      <c r="F1559" t="str">
        <f t="shared" si="73"/>
        <v/>
      </c>
      <c r="G1559" t="str">
        <f t="shared" si="74"/>
        <v/>
      </c>
    </row>
    <row r="1560" spans="2:7">
      <c r="B1560" s="6"/>
      <c r="E1560" s="7"/>
      <c r="F1560" t="str">
        <f t="shared" si="73"/>
        <v/>
      </c>
      <c r="G1560" t="str">
        <f t="shared" si="74"/>
        <v/>
      </c>
    </row>
    <row r="1561" spans="2:7">
      <c r="B1561" s="6"/>
      <c r="E1561" s="7"/>
      <c r="F1561" t="str">
        <f t="shared" si="73"/>
        <v/>
      </c>
      <c r="G1561" t="str">
        <f t="shared" si="74"/>
        <v/>
      </c>
    </row>
    <row r="1562" spans="2:7">
      <c r="B1562" s="6"/>
      <c r="E1562" s="7"/>
      <c r="F1562" t="str">
        <f t="shared" si="73"/>
        <v/>
      </c>
      <c r="G1562" t="str">
        <f t="shared" si="74"/>
        <v/>
      </c>
    </row>
    <row r="1563" spans="2:7">
      <c r="B1563" s="6"/>
      <c r="E1563" s="7"/>
      <c r="F1563" t="str">
        <f t="shared" si="73"/>
        <v/>
      </c>
      <c r="G1563" t="str">
        <f t="shared" si="74"/>
        <v/>
      </c>
    </row>
    <row r="1564" spans="2:7">
      <c r="B1564" s="6"/>
      <c r="E1564" s="7"/>
      <c r="F1564" t="str">
        <f t="shared" si="73"/>
        <v/>
      </c>
      <c r="G1564" t="str">
        <f t="shared" si="74"/>
        <v/>
      </c>
    </row>
    <row r="1565" spans="2:7">
      <c r="B1565" s="6"/>
      <c r="E1565" s="7"/>
      <c r="F1565" t="str">
        <f t="shared" si="73"/>
        <v/>
      </c>
      <c r="G1565" t="str">
        <f t="shared" si="74"/>
        <v/>
      </c>
    </row>
    <row r="1566" spans="2:7">
      <c r="B1566" s="6"/>
      <c r="E1566" s="7"/>
      <c r="F1566" t="str">
        <f t="shared" si="73"/>
        <v/>
      </c>
      <c r="G1566" t="str">
        <f t="shared" si="74"/>
        <v/>
      </c>
    </row>
    <row r="1567" spans="2:7">
      <c r="B1567" s="6"/>
      <c r="E1567" s="7"/>
      <c r="F1567" t="str">
        <f t="shared" si="73"/>
        <v/>
      </c>
      <c r="G1567" t="str">
        <f t="shared" si="74"/>
        <v/>
      </c>
    </row>
    <row r="1568" spans="2:7">
      <c r="B1568" s="6"/>
      <c r="E1568" s="7"/>
      <c r="F1568" t="str">
        <f t="shared" si="73"/>
        <v/>
      </c>
      <c r="G1568" t="str">
        <f t="shared" si="74"/>
        <v/>
      </c>
    </row>
    <row r="1569" spans="2:7">
      <c r="B1569" s="6"/>
      <c r="E1569" s="7"/>
      <c r="F1569" t="str">
        <f t="shared" si="73"/>
        <v/>
      </c>
      <c r="G1569" t="str">
        <f t="shared" si="74"/>
        <v/>
      </c>
    </row>
    <row r="1570" spans="2:7">
      <c r="B1570" s="6"/>
      <c r="E1570" s="7"/>
      <c r="F1570" t="str">
        <f t="shared" si="73"/>
        <v/>
      </c>
      <c r="G1570" t="str">
        <f t="shared" si="74"/>
        <v/>
      </c>
    </row>
    <row r="1571" spans="2:7">
      <c r="B1571" s="6"/>
      <c r="E1571" s="7"/>
      <c r="F1571" t="str">
        <f t="shared" si="73"/>
        <v/>
      </c>
      <c r="G1571" t="str">
        <f t="shared" si="74"/>
        <v/>
      </c>
    </row>
    <row r="1572" spans="2:7">
      <c r="B1572" s="6"/>
      <c r="E1572" s="7"/>
      <c r="F1572" t="str">
        <f t="shared" si="73"/>
        <v/>
      </c>
      <c r="G1572" t="str">
        <f t="shared" si="74"/>
        <v/>
      </c>
    </row>
    <row r="1573" spans="2:7">
      <c r="B1573" s="6"/>
      <c r="E1573" s="7"/>
      <c r="F1573" t="str">
        <f t="shared" si="73"/>
        <v/>
      </c>
      <c r="G1573" t="str">
        <f t="shared" si="74"/>
        <v/>
      </c>
    </row>
    <row r="1574" spans="2:7">
      <c r="B1574" s="6"/>
      <c r="E1574" s="7"/>
      <c r="F1574" t="str">
        <f t="shared" si="73"/>
        <v/>
      </c>
      <c r="G1574" t="str">
        <f t="shared" si="74"/>
        <v/>
      </c>
    </row>
    <row r="1575" spans="2:7">
      <c r="B1575" s="6"/>
      <c r="E1575" s="7"/>
      <c r="F1575" t="str">
        <f t="shared" si="73"/>
        <v/>
      </c>
      <c r="G1575" t="str">
        <f t="shared" si="74"/>
        <v/>
      </c>
    </row>
    <row r="1576" spans="2:7">
      <c r="B1576" s="6"/>
      <c r="E1576" s="7"/>
      <c r="F1576" t="str">
        <f t="shared" si="73"/>
        <v/>
      </c>
      <c r="G1576" t="str">
        <f t="shared" si="74"/>
        <v/>
      </c>
    </row>
    <row r="1577" spans="2:7">
      <c r="B1577" s="6"/>
      <c r="E1577" s="7"/>
      <c r="F1577" t="str">
        <f t="shared" si="73"/>
        <v/>
      </c>
      <c r="G1577" t="str">
        <f t="shared" si="74"/>
        <v/>
      </c>
    </row>
    <row r="1578" spans="2:7">
      <c r="B1578" s="6"/>
      <c r="E1578" s="7"/>
      <c r="F1578" t="str">
        <f t="shared" si="73"/>
        <v/>
      </c>
      <c r="G1578" t="str">
        <f t="shared" si="74"/>
        <v/>
      </c>
    </row>
    <row r="1579" spans="2:7">
      <c r="B1579" s="6"/>
      <c r="E1579" s="7"/>
      <c r="F1579" t="str">
        <f t="shared" si="73"/>
        <v/>
      </c>
      <c r="G1579" t="str">
        <f t="shared" si="74"/>
        <v/>
      </c>
    </row>
    <row r="1580" spans="2:7">
      <c r="B1580" s="6"/>
      <c r="E1580" s="7"/>
      <c r="F1580" t="str">
        <f t="shared" si="73"/>
        <v/>
      </c>
      <c r="G1580" t="str">
        <f t="shared" si="74"/>
        <v/>
      </c>
    </row>
    <row r="1581" spans="2:7">
      <c r="B1581" s="6"/>
      <c r="E1581" s="7"/>
      <c r="F1581" t="str">
        <f t="shared" si="73"/>
        <v/>
      </c>
      <c r="G1581" t="str">
        <f t="shared" si="74"/>
        <v/>
      </c>
    </row>
    <row r="1582" spans="2:7">
      <c r="B1582" s="6"/>
      <c r="E1582" s="7"/>
      <c r="F1582" t="str">
        <f t="shared" si="73"/>
        <v/>
      </c>
      <c r="G1582" t="str">
        <f t="shared" si="74"/>
        <v/>
      </c>
    </row>
    <row r="1583" spans="2:7">
      <c r="B1583" s="6"/>
      <c r="E1583" s="7"/>
      <c r="F1583" t="str">
        <f t="shared" si="73"/>
        <v/>
      </c>
      <c r="G1583" t="str">
        <f t="shared" si="74"/>
        <v/>
      </c>
    </row>
    <row r="1584" spans="2:7">
      <c r="B1584" s="6"/>
      <c r="E1584" s="7"/>
      <c r="F1584" t="str">
        <f t="shared" si="73"/>
        <v/>
      </c>
      <c r="G1584" t="str">
        <f t="shared" si="74"/>
        <v/>
      </c>
    </row>
    <row r="1585" spans="2:7">
      <c r="B1585" s="6"/>
      <c r="E1585" s="7"/>
      <c r="F1585" t="str">
        <f t="shared" si="73"/>
        <v/>
      </c>
      <c r="G1585" t="str">
        <f t="shared" si="74"/>
        <v/>
      </c>
    </row>
    <row r="1586" spans="2:7">
      <c r="B1586" s="6"/>
      <c r="E1586" s="7"/>
      <c r="F1586" t="str">
        <f t="shared" si="73"/>
        <v/>
      </c>
      <c r="G1586" t="str">
        <f t="shared" si="74"/>
        <v/>
      </c>
    </row>
    <row r="1587" spans="2:7">
      <c r="B1587" s="6"/>
      <c r="E1587" s="7"/>
      <c r="F1587" t="str">
        <f t="shared" si="73"/>
        <v/>
      </c>
      <c r="G1587" t="str">
        <f t="shared" si="74"/>
        <v/>
      </c>
    </row>
    <row r="1588" spans="2:7">
      <c r="B1588" s="6"/>
      <c r="E1588" s="7"/>
      <c r="F1588" t="str">
        <f t="shared" si="73"/>
        <v/>
      </c>
      <c r="G1588" t="str">
        <f t="shared" si="74"/>
        <v/>
      </c>
    </row>
    <row r="1589" spans="2:7">
      <c r="B1589" s="6"/>
      <c r="E1589" s="7"/>
      <c r="F1589" t="str">
        <f t="shared" si="73"/>
        <v/>
      </c>
      <c r="G1589" t="str">
        <f t="shared" si="74"/>
        <v/>
      </c>
    </row>
    <row r="1590" spans="2:7">
      <c r="B1590" s="6"/>
      <c r="E1590" s="7"/>
      <c r="F1590" t="str">
        <f t="shared" si="73"/>
        <v/>
      </c>
      <c r="G1590" t="str">
        <f t="shared" si="74"/>
        <v/>
      </c>
    </row>
    <row r="1591" spans="2:7">
      <c r="B1591" s="6"/>
      <c r="E1591" s="7"/>
      <c r="F1591" t="str">
        <f t="shared" si="73"/>
        <v/>
      </c>
      <c r="G1591" t="str">
        <f t="shared" si="74"/>
        <v/>
      </c>
    </row>
    <row r="1592" spans="2:7">
      <c r="B1592" s="6"/>
      <c r="E1592" s="7"/>
      <c r="F1592" t="str">
        <f t="shared" si="73"/>
        <v/>
      </c>
      <c r="G1592" t="str">
        <f t="shared" si="74"/>
        <v/>
      </c>
    </row>
    <row r="1593" spans="2:7">
      <c r="B1593" s="6"/>
      <c r="E1593" s="7"/>
      <c r="F1593" t="str">
        <f t="shared" si="73"/>
        <v/>
      </c>
      <c r="G1593" t="str">
        <f t="shared" si="74"/>
        <v/>
      </c>
    </row>
    <row r="1594" spans="2:7">
      <c r="B1594" s="6"/>
      <c r="E1594" s="7"/>
      <c r="F1594" t="str">
        <f t="shared" si="73"/>
        <v/>
      </c>
      <c r="G1594" t="str">
        <f t="shared" si="74"/>
        <v/>
      </c>
    </row>
    <row r="1595" spans="2:7">
      <c r="B1595" s="6"/>
      <c r="E1595" s="7"/>
      <c r="F1595" t="str">
        <f t="shared" si="73"/>
        <v/>
      </c>
      <c r="G1595" t="str">
        <f t="shared" si="74"/>
        <v/>
      </c>
    </row>
    <row r="1596" spans="2:7">
      <c r="B1596" s="6"/>
      <c r="E1596" s="7"/>
      <c r="F1596" t="str">
        <f t="shared" si="73"/>
        <v/>
      </c>
      <c r="G1596" t="str">
        <f t="shared" si="74"/>
        <v/>
      </c>
    </row>
    <row r="1597" spans="2:7">
      <c r="B1597" s="6"/>
      <c r="E1597" s="7"/>
      <c r="F1597" t="str">
        <f t="shared" si="73"/>
        <v/>
      </c>
      <c r="G1597" t="str">
        <f t="shared" si="74"/>
        <v/>
      </c>
    </row>
    <row r="1598" spans="2:7">
      <c r="B1598" s="6"/>
      <c r="E1598" s="7"/>
      <c r="F1598" t="str">
        <f t="shared" si="73"/>
        <v/>
      </c>
      <c r="G1598" t="str">
        <f t="shared" si="74"/>
        <v/>
      </c>
    </row>
    <row r="1599" spans="2:7">
      <c r="B1599" s="6"/>
      <c r="E1599" s="7"/>
      <c r="F1599" t="str">
        <f t="shared" si="73"/>
        <v/>
      </c>
      <c r="G1599" t="str">
        <f t="shared" si="74"/>
        <v/>
      </c>
    </row>
    <row r="1600" spans="2:7">
      <c r="B1600" s="6"/>
      <c r="E1600" s="7"/>
      <c r="F1600" t="str">
        <f t="shared" si="73"/>
        <v/>
      </c>
      <c r="G1600" t="str">
        <f t="shared" si="74"/>
        <v/>
      </c>
    </row>
    <row r="1601" spans="2:7">
      <c r="B1601" s="6"/>
      <c r="E1601" s="7"/>
      <c r="F1601" t="str">
        <f t="shared" si="73"/>
        <v/>
      </c>
      <c r="G1601" t="str">
        <f t="shared" si="74"/>
        <v/>
      </c>
    </row>
    <row r="1602" spans="2:7">
      <c r="B1602" s="6"/>
      <c r="E1602" s="7"/>
      <c r="F1602" t="str">
        <f t="shared" si="73"/>
        <v/>
      </c>
      <c r="G1602" t="str">
        <f t="shared" si="74"/>
        <v/>
      </c>
    </row>
    <row r="1603" spans="2:7">
      <c r="B1603" s="6"/>
      <c r="E1603" s="7"/>
      <c r="F1603" t="str">
        <f t="shared" si="73"/>
        <v/>
      </c>
      <c r="G1603" t="str">
        <f t="shared" si="74"/>
        <v/>
      </c>
    </row>
    <row r="1604" spans="2:7">
      <c r="B1604" s="6"/>
      <c r="E1604" s="7"/>
      <c r="F1604" t="str">
        <f t="shared" ref="F1604:F1667" si="75">IF(B1604="","",LOG10(D1604))</f>
        <v/>
      </c>
      <c r="G1604" t="str">
        <f t="shared" ref="G1604:G1667" si="76">IF(E1604="", "",0.434*E1604/D1604)</f>
        <v/>
      </c>
    </row>
    <row r="1605" spans="2:7">
      <c r="B1605" s="6"/>
      <c r="E1605" s="7"/>
      <c r="F1605" t="str">
        <f t="shared" si="75"/>
        <v/>
      </c>
      <c r="G1605" t="str">
        <f t="shared" si="76"/>
        <v/>
      </c>
    </row>
    <row r="1606" spans="2:7">
      <c r="B1606" s="6"/>
      <c r="E1606" s="7"/>
      <c r="F1606" t="str">
        <f t="shared" si="75"/>
        <v/>
      </c>
      <c r="G1606" t="str">
        <f t="shared" si="76"/>
        <v/>
      </c>
    </row>
    <row r="1607" spans="2:7">
      <c r="B1607" s="6"/>
      <c r="E1607" s="7"/>
      <c r="F1607" t="str">
        <f t="shared" si="75"/>
        <v/>
      </c>
      <c r="G1607" t="str">
        <f t="shared" si="76"/>
        <v/>
      </c>
    </row>
    <row r="1608" spans="2:7">
      <c r="B1608" s="6"/>
      <c r="E1608" s="7"/>
      <c r="F1608" t="str">
        <f t="shared" si="75"/>
        <v/>
      </c>
      <c r="G1608" t="str">
        <f t="shared" si="76"/>
        <v/>
      </c>
    </row>
    <row r="1609" spans="2:7">
      <c r="B1609" s="6"/>
      <c r="E1609" s="7"/>
      <c r="F1609" t="str">
        <f t="shared" si="75"/>
        <v/>
      </c>
      <c r="G1609" t="str">
        <f t="shared" si="76"/>
        <v/>
      </c>
    </row>
    <row r="1610" spans="2:7">
      <c r="B1610" s="6"/>
      <c r="E1610" s="7"/>
      <c r="F1610" t="str">
        <f t="shared" si="75"/>
        <v/>
      </c>
      <c r="G1610" t="str">
        <f t="shared" si="76"/>
        <v/>
      </c>
    </row>
    <row r="1611" spans="2:7">
      <c r="B1611" s="6"/>
      <c r="E1611" s="7"/>
      <c r="F1611" t="str">
        <f t="shared" si="75"/>
        <v/>
      </c>
      <c r="G1611" t="str">
        <f t="shared" si="76"/>
        <v/>
      </c>
    </row>
    <row r="1612" spans="2:7">
      <c r="B1612" s="6"/>
      <c r="E1612" s="7"/>
      <c r="F1612" t="str">
        <f t="shared" si="75"/>
        <v/>
      </c>
      <c r="G1612" t="str">
        <f t="shared" si="76"/>
        <v/>
      </c>
    </row>
    <row r="1613" spans="2:7">
      <c r="B1613" s="6"/>
      <c r="E1613" s="7"/>
      <c r="F1613" t="str">
        <f t="shared" si="75"/>
        <v/>
      </c>
      <c r="G1613" t="str">
        <f t="shared" si="76"/>
        <v/>
      </c>
    </row>
    <row r="1614" spans="2:7">
      <c r="B1614" s="6"/>
      <c r="E1614" s="7"/>
      <c r="F1614" t="str">
        <f t="shared" si="75"/>
        <v/>
      </c>
      <c r="G1614" t="str">
        <f t="shared" si="76"/>
        <v/>
      </c>
    </row>
    <row r="1615" spans="2:7">
      <c r="B1615" s="6"/>
      <c r="E1615" s="7"/>
      <c r="F1615" t="str">
        <f t="shared" si="75"/>
        <v/>
      </c>
      <c r="G1615" t="str">
        <f t="shared" si="76"/>
        <v/>
      </c>
    </row>
    <row r="1616" spans="2:7">
      <c r="B1616" s="6"/>
      <c r="E1616" s="7"/>
      <c r="F1616" t="str">
        <f t="shared" si="75"/>
        <v/>
      </c>
      <c r="G1616" t="str">
        <f t="shared" si="76"/>
        <v/>
      </c>
    </row>
    <row r="1617" spans="2:7">
      <c r="B1617" s="6"/>
      <c r="E1617" s="7"/>
      <c r="F1617" t="str">
        <f t="shared" si="75"/>
        <v/>
      </c>
      <c r="G1617" t="str">
        <f t="shared" si="76"/>
        <v/>
      </c>
    </row>
    <row r="1618" spans="2:7">
      <c r="B1618" s="6"/>
      <c r="E1618" s="7"/>
      <c r="F1618" t="str">
        <f t="shared" si="75"/>
        <v/>
      </c>
      <c r="G1618" t="str">
        <f t="shared" si="76"/>
        <v/>
      </c>
    </row>
    <row r="1619" spans="2:7">
      <c r="B1619" s="6"/>
      <c r="E1619" s="7"/>
      <c r="F1619" t="str">
        <f t="shared" si="75"/>
        <v/>
      </c>
      <c r="G1619" t="str">
        <f t="shared" si="76"/>
        <v/>
      </c>
    </row>
    <row r="1620" spans="2:7">
      <c r="B1620" s="6"/>
      <c r="E1620" s="7"/>
      <c r="F1620" t="str">
        <f t="shared" si="75"/>
        <v/>
      </c>
      <c r="G1620" t="str">
        <f t="shared" si="76"/>
        <v/>
      </c>
    </row>
    <row r="1621" spans="2:7">
      <c r="B1621" s="6"/>
      <c r="E1621" s="7"/>
      <c r="F1621" t="str">
        <f t="shared" si="75"/>
        <v/>
      </c>
      <c r="G1621" t="str">
        <f t="shared" si="76"/>
        <v/>
      </c>
    </row>
    <row r="1622" spans="2:7">
      <c r="B1622" s="6"/>
      <c r="E1622" s="7"/>
      <c r="F1622" t="str">
        <f t="shared" si="75"/>
        <v/>
      </c>
      <c r="G1622" t="str">
        <f t="shared" si="76"/>
        <v/>
      </c>
    </row>
    <row r="1623" spans="2:7">
      <c r="B1623" s="6"/>
      <c r="E1623" s="7"/>
      <c r="F1623" t="str">
        <f t="shared" si="75"/>
        <v/>
      </c>
      <c r="G1623" t="str">
        <f t="shared" si="76"/>
        <v/>
      </c>
    </row>
    <row r="1624" spans="2:7">
      <c r="B1624" s="6"/>
      <c r="E1624" s="7"/>
      <c r="F1624" t="str">
        <f t="shared" si="75"/>
        <v/>
      </c>
      <c r="G1624" t="str">
        <f t="shared" si="76"/>
        <v/>
      </c>
    </row>
    <row r="1625" spans="2:7">
      <c r="B1625" s="6"/>
      <c r="E1625" s="7"/>
      <c r="F1625" t="str">
        <f t="shared" si="75"/>
        <v/>
      </c>
      <c r="G1625" t="str">
        <f t="shared" si="76"/>
        <v/>
      </c>
    </row>
    <row r="1626" spans="2:7">
      <c r="B1626" s="6"/>
      <c r="E1626" s="7"/>
      <c r="F1626" t="str">
        <f t="shared" si="75"/>
        <v/>
      </c>
      <c r="G1626" t="str">
        <f t="shared" si="76"/>
        <v/>
      </c>
    </row>
    <row r="1627" spans="2:7">
      <c r="B1627" s="6"/>
      <c r="E1627" s="7"/>
      <c r="F1627" t="str">
        <f t="shared" si="75"/>
        <v/>
      </c>
      <c r="G1627" t="str">
        <f t="shared" si="76"/>
        <v/>
      </c>
    </row>
    <row r="1628" spans="2:7">
      <c r="B1628" s="6"/>
      <c r="E1628" s="7"/>
      <c r="F1628" t="str">
        <f t="shared" si="75"/>
        <v/>
      </c>
      <c r="G1628" t="str">
        <f t="shared" si="76"/>
        <v/>
      </c>
    </row>
    <row r="1629" spans="2:7">
      <c r="B1629" s="6"/>
      <c r="E1629" s="7"/>
      <c r="F1629" t="str">
        <f t="shared" si="75"/>
        <v/>
      </c>
      <c r="G1629" t="str">
        <f t="shared" si="76"/>
        <v/>
      </c>
    </row>
    <row r="1630" spans="2:7">
      <c r="B1630" s="6"/>
      <c r="E1630" s="7"/>
      <c r="F1630" t="str">
        <f t="shared" si="75"/>
        <v/>
      </c>
      <c r="G1630" t="str">
        <f t="shared" si="76"/>
        <v/>
      </c>
    </row>
    <row r="1631" spans="2:7">
      <c r="B1631" s="6"/>
      <c r="E1631" s="7"/>
      <c r="F1631" t="str">
        <f t="shared" si="75"/>
        <v/>
      </c>
      <c r="G1631" t="str">
        <f t="shared" si="76"/>
        <v/>
      </c>
    </row>
    <row r="1632" spans="2:7">
      <c r="B1632" s="6"/>
      <c r="E1632" s="7"/>
      <c r="F1632" t="str">
        <f t="shared" si="75"/>
        <v/>
      </c>
      <c r="G1632" t="str">
        <f t="shared" si="76"/>
        <v/>
      </c>
    </row>
    <row r="1633" spans="2:7">
      <c r="B1633" s="6"/>
      <c r="E1633" s="7"/>
      <c r="F1633" t="str">
        <f t="shared" si="75"/>
        <v/>
      </c>
      <c r="G1633" t="str">
        <f t="shared" si="76"/>
        <v/>
      </c>
    </row>
    <row r="1634" spans="2:7">
      <c r="B1634" s="6"/>
      <c r="E1634" s="7"/>
      <c r="F1634" t="str">
        <f t="shared" si="75"/>
        <v/>
      </c>
      <c r="G1634" t="str">
        <f t="shared" si="76"/>
        <v/>
      </c>
    </row>
    <row r="1635" spans="2:7">
      <c r="B1635" s="6"/>
      <c r="E1635" s="7"/>
      <c r="F1635" t="str">
        <f t="shared" si="75"/>
        <v/>
      </c>
      <c r="G1635" t="str">
        <f t="shared" si="76"/>
        <v/>
      </c>
    </row>
    <row r="1636" spans="2:7">
      <c r="B1636" s="6"/>
      <c r="E1636" s="7"/>
      <c r="F1636" t="str">
        <f t="shared" si="75"/>
        <v/>
      </c>
      <c r="G1636" t="str">
        <f t="shared" si="76"/>
        <v/>
      </c>
    </row>
    <row r="1637" spans="2:7">
      <c r="B1637" s="6"/>
      <c r="E1637" s="7"/>
      <c r="F1637" t="str">
        <f t="shared" si="75"/>
        <v/>
      </c>
      <c r="G1637" t="str">
        <f t="shared" si="76"/>
        <v/>
      </c>
    </row>
    <row r="1638" spans="2:7">
      <c r="B1638" s="6"/>
      <c r="E1638" s="7"/>
      <c r="F1638" t="str">
        <f t="shared" si="75"/>
        <v/>
      </c>
      <c r="G1638" t="str">
        <f t="shared" si="76"/>
        <v/>
      </c>
    </row>
    <row r="1639" spans="2:7">
      <c r="B1639" s="6"/>
      <c r="E1639" s="7"/>
      <c r="F1639" t="str">
        <f t="shared" si="75"/>
        <v/>
      </c>
      <c r="G1639" t="str">
        <f t="shared" si="76"/>
        <v/>
      </c>
    </row>
    <row r="1640" spans="2:7">
      <c r="B1640" s="6"/>
      <c r="E1640" s="7"/>
      <c r="F1640" t="str">
        <f t="shared" si="75"/>
        <v/>
      </c>
      <c r="G1640" t="str">
        <f t="shared" si="76"/>
        <v/>
      </c>
    </row>
    <row r="1641" spans="2:7">
      <c r="B1641" s="6"/>
      <c r="E1641" s="7"/>
      <c r="F1641" t="str">
        <f t="shared" si="75"/>
        <v/>
      </c>
      <c r="G1641" t="str">
        <f t="shared" si="76"/>
        <v/>
      </c>
    </row>
    <row r="1642" spans="2:7">
      <c r="B1642" s="6"/>
      <c r="E1642" s="7"/>
      <c r="F1642" t="str">
        <f t="shared" si="75"/>
        <v/>
      </c>
      <c r="G1642" t="str">
        <f t="shared" si="76"/>
        <v/>
      </c>
    </row>
    <row r="1643" spans="2:7">
      <c r="B1643" s="6"/>
      <c r="E1643" s="7"/>
      <c r="F1643" t="str">
        <f t="shared" si="75"/>
        <v/>
      </c>
      <c r="G1643" t="str">
        <f t="shared" si="76"/>
        <v/>
      </c>
    </row>
    <row r="1644" spans="2:7">
      <c r="B1644" s="6"/>
      <c r="E1644" s="7"/>
      <c r="F1644" t="str">
        <f t="shared" si="75"/>
        <v/>
      </c>
      <c r="G1644" t="str">
        <f t="shared" si="76"/>
        <v/>
      </c>
    </row>
    <row r="1645" spans="2:7">
      <c r="B1645" s="6"/>
      <c r="E1645" s="7"/>
      <c r="F1645" t="str">
        <f t="shared" si="75"/>
        <v/>
      </c>
      <c r="G1645" t="str">
        <f t="shared" si="76"/>
        <v/>
      </c>
    </row>
    <row r="1646" spans="2:7">
      <c r="B1646" s="6"/>
      <c r="E1646" s="7"/>
      <c r="F1646" t="str">
        <f t="shared" si="75"/>
        <v/>
      </c>
      <c r="G1646" t="str">
        <f t="shared" si="76"/>
        <v/>
      </c>
    </row>
    <row r="1647" spans="2:7">
      <c r="B1647" s="6"/>
      <c r="E1647" s="7"/>
      <c r="F1647" t="str">
        <f t="shared" si="75"/>
        <v/>
      </c>
      <c r="G1647" t="str">
        <f t="shared" si="76"/>
        <v/>
      </c>
    </row>
    <row r="1648" spans="2:7">
      <c r="B1648" s="6"/>
      <c r="E1648" s="7"/>
      <c r="F1648" t="str">
        <f t="shared" si="75"/>
        <v/>
      </c>
      <c r="G1648" t="str">
        <f t="shared" si="76"/>
        <v/>
      </c>
    </row>
    <row r="1649" spans="2:7">
      <c r="B1649" s="6"/>
      <c r="E1649" s="7"/>
      <c r="F1649" t="str">
        <f t="shared" si="75"/>
        <v/>
      </c>
      <c r="G1649" t="str">
        <f t="shared" si="76"/>
        <v/>
      </c>
    </row>
    <row r="1650" spans="2:7">
      <c r="B1650" s="6"/>
      <c r="E1650" s="7"/>
      <c r="F1650" t="str">
        <f t="shared" si="75"/>
        <v/>
      </c>
      <c r="G1650" t="str">
        <f t="shared" si="76"/>
        <v/>
      </c>
    </row>
    <row r="1651" spans="2:7">
      <c r="B1651" s="6"/>
      <c r="E1651" s="7"/>
      <c r="F1651" t="str">
        <f t="shared" si="75"/>
        <v/>
      </c>
      <c r="G1651" t="str">
        <f t="shared" si="76"/>
        <v/>
      </c>
    </row>
    <row r="1652" spans="2:7">
      <c r="B1652" s="6"/>
      <c r="E1652" s="7"/>
      <c r="F1652" t="str">
        <f t="shared" si="75"/>
        <v/>
      </c>
      <c r="G1652" t="str">
        <f t="shared" si="76"/>
        <v/>
      </c>
    </row>
    <row r="1653" spans="2:7">
      <c r="B1653" s="6"/>
      <c r="E1653" s="7"/>
      <c r="F1653" t="str">
        <f t="shared" si="75"/>
        <v/>
      </c>
      <c r="G1653" t="str">
        <f t="shared" si="76"/>
        <v/>
      </c>
    </row>
    <row r="1654" spans="2:7">
      <c r="B1654" s="6"/>
      <c r="E1654" s="7"/>
      <c r="F1654" t="str">
        <f t="shared" si="75"/>
        <v/>
      </c>
      <c r="G1654" t="str">
        <f t="shared" si="76"/>
        <v/>
      </c>
    </row>
    <row r="1655" spans="2:7">
      <c r="B1655" s="6"/>
      <c r="E1655" s="7"/>
      <c r="F1655" t="str">
        <f t="shared" si="75"/>
        <v/>
      </c>
      <c r="G1655" t="str">
        <f t="shared" si="76"/>
        <v/>
      </c>
    </row>
    <row r="1656" spans="2:7">
      <c r="B1656" s="6"/>
      <c r="E1656" s="7"/>
      <c r="F1656" t="str">
        <f t="shared" si="75"/>
        <v/>
      </c>
      <c r="G1656" t="str">
        <f t="shared" si="76"/>
        <v/>
      </c>
    </row>
    <row r="1657" spans="2:7">
      <c r="B1657" s="6"/>
      <c r="E1657" s="7"/>
      <c r="F1657" t="str">
        <f t="shared" si="75"/>
        <v/>
      </c>
      <c r="G1657" t="str">
        <f t="shared" si="76"/>
        <v/>
      </c>
    </row>
    <row r="1658" spans="2:7">
      <c r="B1658" s="6"/>
      <c r="E1658" s="7"/>
      <c r="F1658" t="str">
        <f t="shared" si="75"/>
        <v/>
      </c>
      <c r="G1658" t="str">
        <f t="shared" si="76"/>
        <v/>
      </c>
    </row>
    <row r="1659" spans="2:7">
      <c r="B1659" s="6"/>
      <c r="E1659" s="7"/>
      <c r="F1659" t="str">
        <f t="shared" si="75"/>
        <v/>
      </c>
      <c r="G1659" t="str">
        <f t="shared" si="76"/>
        <v/>
      </c>
    </row>
    <row r="1660" spans="2:7">
      <c r="B1660" s="6"/>
      <c r="E1660" s="7"/>
      <c r="F1660" t="str">
        <f t="shared" si="75"/>
        <v/>
      </c>
      <c r="G1660" t="str">
        <f t="shared" si="76"/>
        <v/>
      </c>
    </row>
    <row r="1661" spans="2:7">
      <c r="B1661" s="6"/>
      <c r="E1661" s="7"/>
      <c r="F1661" t="str">
        <f t="shared" si="75"/>
        <v/>
      </c>
      <c r="G1661" t="str">
        <f t="shared" si="76"/>
        <v/>
      </c>
    </row>
    <row r="1662" spans="2:7">
      <c r="B1662" s="6"/>
      <c r="E1662" s="7"/>
      <c r="F1662" t="str">
        <f t="shared" si="75"/>
        <v/>
      </c>
      <c r="G1662" t="str">
        <f t="shared" si="76"/>
        <v/>
      </c>
    </row>
    <row r="1663" spans="2:7">
      <c r="B1663" s="6"/>
      <c r="E1663" s="7"/>
      <c r="F1663" t="str">
        <f t="shared" si="75"/>
        <v/>
      </c>
      <c r="G1663" t="str">
        <f t="shared" si="76"/>
        <v/>
      </c>
    </row>
    <row r="1664" spans="2:7">
      <c r="B1664" s="6"/>
      <c r="E1664" s="7"/>
      <c r="F1664" t="str">
        <f t="shared" si="75"/>
        <v/>
      </c>
      <c r="G1664" t="str">
        <f t="shared" si="76"/>
        <v/>
      </c>
    </row>
    <row r="1665" spans="2:7">
      <c r="B1665" s="6"/>
      <c r="E1665" s="7"/>
      <c r="F1665" t="str">
        <f t="shared" si="75"/>
        <v/>
      </c>
      <c r="G1665" t="str">
        <f t="shared" si="76"/>
        <v/>
      </c>
    </row>
    <row r="1666" spans="2:7">
      <c r="B1666" s="6"/>
      <c r="E1666" s="7"/>
      <c r="F1666" t="str">
        <f t="shared" si="75"/>
        <v/>
      </c>
      <c r="G1666" t="str">
        <f t="shared" si="76"/>
        <v/>
      </c>
    </row>
    <row r="1667" spans="2:7">
      <c r="B1667" s="6"/>
      <c r="E1667" s="7"/>
      <c r="F1667" t="str">
        <f t="shared" si="75"/>
        <v/>
      </c>
      <c r="G1667" t="str">
        <f t="shared" si="76"/>
        <v/>
      </c>
    </row>
    <row r="1668" spans="2:7">
      <c r="B1668" s="6"/>
      <c r="E1668" s="7"/>
      <c r="F1668" t="str">
        <f t="shared" ref="F1668:F1731" si="77">IF(B1668="","",LOG10(D1668))</f>
        <v/>
      </c>
      <c r="G1668" t="str">
        <f t="shared" ref="G1668:G1731" si="78">IF(E1668="", "",0.434*E1668/D1668)</f>
        <v/>
      </c>
    </row>
    <row r="1669" spans="2:7">
      <c r="B1669" s="6"/>
      <c r="E1669" s="7"/>
      <c r="F1669" t="str">
        <f t="shared" si="77"/>
        <v/>
      </c>
      <c r="G1669" t="str">
        <f t="shared" si="78"/>
        <v/>
      </c>
    </row>
    <row r="1670" spans="2:7">
      <c r="B1670" s="6"/>
      <c r="E1670" s="7"/>
      <c r="F1670" t="str">
        <f t="shared" si="77"/>
        <v/>
      </c>
      <c r="G1670" t="str">
        <f t="shared" si="78"/>
        <v/>
      </c>
    </row>
    <row r="1671" spans="2:7">
      <c r="B1671" s="6"/>
      <c r="E1671" s="7"/>
      <c r="F1671" t="str">
        <f t="shared" si="77"/>
        <v/>
      </c>
      <c r="G1671" t="str">
        <f t="shared" si="78"/>
        <v/>
      </c>
    </row>
    <row r="1672" spans="2:7">
      <c r="B1672" s="6"/>
      <c r="E1672" s="7"/>
      <c r="F1672" t="str">
        <f t="shared" si="77"/>
        <v/>
      </c>
      <c r="G1672" t="str">
        <f t="shared" si="78"/>
        <v/>
      </c>
    </row>
    <row r="1673" spans="2:7">
      <c r="B1673" s="6"/>
      <c r="E1673" s="7"/>
      <c r="F1673" t="str">
        <f t="shared" si="77"/>
        <v/>
      </c>
      <c r="G1673" t="str">
        <f t="shared" si="78"/>
        <v/>
      </c>
    </row>
    <row r="1674" spans="2:7">
      <c r="B1674" s="6"/>
      <c r="E1674" s="7"/>
      <c r="F1674" t="str">
        <f t="shared" si="77"/>
        <v/>
      </c>
      <c r="G1674" t="str">
        <f t="shared" si="78"/>
        <v/>
      </c>
    </row>
    <row r="1675" spans="2:7">
      <c r="B1675" s="6"/>
      <c r="E1675" s="7"/>
      <c r="F1675" t="str">
        <f t="shared" si="77"/>
        <v/>
      </c>
      <c r="G1675" t="str">
        <f t="shared" si="78"/>
        <v/>
      </c>
    </row>
    <row r="1676" spans="2:7">
      <c r="B1676" s="6"/>
      <c r="E1676" s="7"/>
      <c r="F1676" t="str">
        <f t="shared" si="77"/>
        <v/>
      </c>
      <c r="G1676" t="str">
        <f t="shared" si="78"/>
        <v/>
      </c>
    </row>
    <row r="1677" spans="2:7">
      <c r="B1677" s="6"/>
      <c r="E1677" s="7"/>
      <c r="F1677" t="str">
        <f t="shared" si="77"/>
        <v/>
      </c>
      <c r="G1677" t="str">
        <f t="shared" si="78"/>
        <v/>
      </c>
    </row>
    <row r="1678" spans="2:7">
      <c r="B1678" s="6"/>
      <c r="E1678" s="7"/>
      <c r="F1678" t="str">
        <f t="shared" si="77"/>
        <v/>
      </c>
      <c r="G1678" t="str">
        <f t="shared" si="78"/>
        <v/>
      </c>
    </row>
    <row r="1679" spans="2:7">
      <c r="B1679" s="6"/>
      <c r="E1679" s="7"/>
      <c r="F1679" t="str">
        <f t="shared" si="77"/>
        <v/>
      </c>
      <c r="G1679" t="str">
        <f t="shared" si="78"/>
        <v/>
      </c>
    </row>
    <row r="1680" spans="2:7">
      <c r="B1680" s="6"/>
      <c r="E1680" s="7"/>
      <c r="F1680" t="str">
        <f t="shared" si="77"/>
        <v/>
      </c>
      <c r="G1680" t="str">
        <f t="shared" si="78"/>
        <v/>
      </c>
    </row>
    <row r="1681" spans="2:7">
      <c r="B1681" s="6"/>
      <c r="E1681" s="7"/>
      <c r="F1681" t="str">
        <f t="shared" si="77"/>
        <v/>
      </c>
      <c r="G1681" t="str">
        <f t="shared" si="78"/>
        <v/>
      </c>
    </row>
    <row r="1682" spans="2:7">
      <c r="B1682" s="6"/>
      <c r="E1682" s="7"/>
      <c r="F1682" t="str">
        <f t="shared" si="77"/>
        <v/>
      </c>
      <c r="G1682" t="str">
        <f t="shared" si="78"/>
        <v/>
      </c>
    </row>
    <row r="1683" spans="2:7">
      <c r="B1683" s="6"/>
      <c r="E1683" s="7"/>
      <c r="F1683" t="str">
        <f t="shared" si="77"/>
        <v/>
      </c>
      <c r="G1683" t="str">
        <f t="shared" si="78"/>
        <v/>
      </c>
    </row>
    <row r="1684" spans="2:7">
      <c r="B1684" s="6"/>
      <c r="E1684" s="7"/>
      <c r="F1684" t="str">
        <f t="shared" si="77"/>
        <v/>
      </c>
      <c r="G1684" t="str">
        <f t="shared" si="78"/>
        <v/>
      </c>
    </row>
    <row r="1685" spans="2:7">
      <c r="B1685" s="6"/>
      <c r="E1685" s="7"/>
      <c r="F1685" t="str">
        <f t="shared" si="77"/>
        <v/>
      </c>
      <c r="G1685" t="str">
        <f t="shared" si="78"/>
        <v/>
      </c>
    </row>
    <row r="1686" spans="2:7">
      <c r="B1686" s="6"/>
      <c r="E1686" s="7"/>
      <c r="F1686" t="str">
        <f t="shared" si="77"/>
        <v/>
      </c>
      <c r="G1686" t="str">
        <f t="shared" si="78"/>
        <v/>
      </c>
    </row>
    <row r="1687" spans="2:7">
      <c r="B1687" s="6"/>
      <c r="E1687" s="7"/>
      <c r="F1687" t="str">
        <f t="shared" si="77"/>
        <v/>
      </c>
      <c r="G1687" t="str">
        <f t="shared" si="78"/>
        <v/>
      </c>
    </row>
    <row r="1688" spans="2:7">
      <c r="B1688" s="6"/>
      <c r="E1688" s="7"/>
      <c r="F1688" t="str">
        <f t="shared" si="77"/>
        <v/>
      </c>
      <c r="G1688" t="str">
        <f t="shared" si="78"/>
        <v/>
      </c>
    </row>
    <row r="1689" spans="2:7">
      <c r="B1689" s="6"/>
      <c r="E1689" s="7"/>
      <c r="F1689" t="str">
        <f t="shared" si="77"/>
        <v/>
      </c>
      <c r="G1689" t="str">
        <f t="shared" si="78"/>
        <v/>
      </c>
    </row>
    <row r="1690" spans="2:7">
      <c r="B1690" s="6"/>
      <c r="E1690" s="7"/>
      <c r="F1690" t="str">
        <f t="shared" si="77"/>
        <v/>
      </c>
      <c r="G1690" t="str">
        <f t="shared" si="78"/>
        <v/>
      </c>
    </row>
    <row r="1691" spans="2:7">
      <c r="B1691" s="6"/>
      <c r="E1691" s="7"/>
      <c r="F1691" t="str">
        <f t="shared" si="77"/>
        <v/>
      </c>
      <c r="G1691" t="str">
        <f t="shared" si="78"/>
        <v/>
      </c>
    </row>
    <row r="1692" spans="2:7">
      <c r="B1692" s="6"/>
      <c r="E1692" s="7"/>
      <c r="F1692" t="str">
        <f t="shared" si="77"/>
        <v/>
      </c>
      <c r="G1692" t="str">
        <f t="shared" si="78"/>
        <v/>
      </c>
    </row>
    <row r="1693" spans="2:7">
      <c r="B1693" s="6"/>
      <c r="E1693" s="7"/>
      <c r="F1693" t="str">
        <f t="shared" si="77"/>
        <v/>
      </c>
      <c r="G1693" t="str">
        <f t="shared" si="78"/>
        <v/>
      </c>
    </row>
    <row r="1694" spans="2:7">
      <c r="B1694" s="6"/>
      <c r="E1694" s="7"/>
      <c r="F1694" t="str">
        <f t="shared" si="77"/>
        <v/>
      </c>
      <c r="G1694" t="str">
        <f t="shared" si="78"/>
        <v/>
      </c>
    </row>
    <row r="1695" spans="2:7">
      <c r="B1695" s="6"/>
      <c r="E1695" s="7"/>
      <c r="F1695" t="str">
        <f t="shared" si="77"/>
        <v/>
      </c>
      <c r="G1695" t="str">
        <f t="shared" si="78"/>
        <v/>
      </c>
    </row>
    <row r="1696" spans="2:7">
      <c r="B1696" s="6"/>
      <c r="E1696" s="7"/>
      <c r="F1696" t="str">
        <f t="shared" si="77"/>
        <v/>
      </c>
      <c r="G1696" t="str">
        <f t="shared" si="78"/>
        <v/>
      </c>
    </row>
    <row r="1697" spans="2:7">
      <c r="B1697" s="6"/>
      <c r="E1697" s="7"/>
      <c r="F1697" t="str">
        <f t="shared" si="77"/>
        <v/>
      </c>
      <c r="G1697" t="str">
        <f t="shared" si="78"/>
        <v/>
      </c>
    </row>
    <row r="1698" spans="2:7">
      <c r="B1698" s="6"/>
      <c r="E1698" s="7"/>
      <c r="F1698" t="str">
        <f t="shared" si="77"/>
        <v/>
      </c>
      <c r="G1698" t="str">
        <f t="shared" si="78"/>
        <v/>
      </c>
    </row>
    <row r="1699" spans="2:7">
      <c r="B1699" s="6"/>
      <c r="E1699" s="7"/>
      <c r="F1699" t="str">
        <f t="shared" si="77"/>
        <v/>
      </c>
      <c r="G1699" t="str">
        <f t="shared" si="78"/>
        <v/>
      </c>
    </row>
    <row r="1700" spans="2:7">
      <c r="B1700" s="6"/>
      <c r="E1700" s="7"/>
      <c r="F1700" t="str">
        <f t="shared" si="77"/>
        <v/>
      </c>
      <c r="G1700" t="str">
        <f t="shared" si="78"/>
        <v/>
      </c>
    </row>
    <row r="1701" spans="2:7">
      <c r="B1701" s="6"/>
      <c r="E1701" s="7"/>
      <c r="F1701" t="str">
        <f t="shared" si="77"/>
        <v/>
      </c>
      <c r="G1701" t="str">
        <f t="shared" si="78"/>
        <v/>
      </c>
    </row>
    <row r="1702" spans="2:7">
      <c r="B1702" s="6"/>
      <c r="E1702" s="7"/>
      <c r="F1702" t="str">
        <f t="shared" si="77"/>
        <v/>
      </c>
      <c r="G1702" t="str">
        <f t="shared" si="78"/>
        <v/>
      </c>
    </row>
    <row r="1703" spans="2:7">
      <c r="B1703" s="6"/>
      <c r="E1703" s="7"/>
      <c r="F1703" t="str">
        <f t="shared" si="77"/>
        <v/>
      </c>
      <c r="G1703" t="str">
        <f t="shared" si="78"/>
        <v/>
      </c>
    </row>
    <row r="1704" spans="2:7">
      <c r="B1704" s="6"/>
      <c r="E1704" s="7"/>
      <c r="F1704" t="str">
        <f t="shared" si="77"/>
        <v/>
      </c>
      <c r="G1704" t="str">
        <f t="shared" si="78"/>
        <v/>
      </c>
    </row>
    <row r="1705" spans="2:7">
      <c r="B1705" s="6"/>
      <c r="E1705" s="7"/>
      <c r="F1705" t="str">
        <f t="shared" si="77"/>
        <v/>
      </c>
      <c r="G1705" t="str">
        <f t="shared" si="78"/>
        <v/>
      </c>
    </row>
    <row r="1706" spans="2:7">
      <c r="B1706" s="6"/>
      <c r="E1706" s="7"/>
      <c r="F1706" t="str">
        <f t="shared" si="77"/>
        <v/>
      </c>
      <c r="G1706" t="str">
        <f t="shared" si="78"/>
        <v/>
      </c>
    </row>
    <row r="1707" spans="2:7">
      <c r="B1707" s="6"/>
      <c r="E1707" s="7"/>
      <c r="F1707" t="str">
        <f t="shared" si="77"/>
        <v/>
      </c>
      <c r="G1707" t="str">
        <f t="shared" si="78"/>
        <v/>
      </c>
    </row>
    <row r="1708" spans="2:7">
      <c r="B1708" s="6"/>
      <c r="E1708" s="7"/>
      <c r="F1708" t="str">
        <f t="shared" si="77"/>
        <v/>
      </c>
      <c r="G1708" t="str">
        <f t="shared" si="78"/>
        <v/>
      </c>
    </row>
    <row r="1709" spans="2:7">
      <c r="B1709" s="6"/>
      <c r="E1709" s="7"/>
      <c r="F1709" t="str">
        <f t="shared" si="77"/>
        <v/>
      </c>
      <c r="G1709" t="str">
        <f t="shared" si="78"/>
        <v/>
      </c>
    </row>
    <row r="1710" spans="2:7">
      <c r="B1710" s="6"/>
      <c r="E1710" s="7"/>
      <c r="F1710" t="str">
        <f t="shared" si="77"/>
        <v/>
      </c>
      <c r="G1710" t="str">
        <f t="shared" si="78"/>
        <v/>
      </c>
    </row>
    <row r="1711" spans="2:7">
      <c r="B1711" s="6"/>
      <c r="E1711" s="7"/>
      <c r="F1711" t="str">
        <f t="shared" si="77"/>
        <v/>
      </c>
      <c r="G1711" t="str">
        <f t="shared" si="78"/>
        <v/>
      </c>
    </row>
    <row r="1712" spans="2:7">
      <c r="B1712" s="6"/>
      <c r="E1712" s="7"/>
      <c r="F1712" t="str">
        <f t="shared" si="77"/>
        <v/>
      </c>
      <c r="G1712" t="str">
        <f t="shared" si="78"/>
        <v/>
      </c>
    </row>
    <row r="1713" spans="2:7">
      <c r="B1713" s="6"/>
      <c r="E1713" s="7"/>
      <c r="F1713" t="str">
        <f t="shared" si="77"/>
        <v/>
      </c>
      <c r="G1713" t="str">
        <f t="shared" si="78"/>
        <v/>
      </c>
    </row>
    <row r="1714" spans="2:7">
      <c r="B1714" s="6"/>
      <c r="E1714" s="7"/>
      <c r="F1714" t="str">
        <f t="shared" si="77"/>
        <v/>
      </c>
      <c r="G1714" t="str">
        <f t="shared" si="78"/>
        <v/>
      </c>
    </row>
    <row r="1715" spans="2:7">
      <c r="B1715" s="6"/>
      <c r="E1715" s="7"/>
      <c r="F1715" t="str">
        <f t="shared" si="77"/>
        <v/>
      </c>
      <c r="G1715" t="str">
        <f t="shared" si="78"/>
        <v/>
      </c>
    </row>
    <row r="1716" spans="2:7">
      <c r="B1716" s="6"/>
      <c r="E1716" s="7"/>
      <c r="F1716" t="str">
        <f t="shared" si="77"/>
        <v/>
      </c>
      <c r="G1716" t="str">
        <f t="shared" si="78"/>
        <v/>
      </c>
    </row>
    <row r="1717" spans="2:7">
      <c r="B1717" s="6"/>
      <c r="E1717" s="7"/>
      <c r="F1717" t="str">
        <f t="shared" si="77"/>
        <v/>
      </c>
      <c r="G1717" t="str">
        <f t="shared" si="78"/>
        <v/>
      </c>
    </row>
    <row r="1718" spans="2:7">
      <c r="B1718" s="6"/>
      <c r="E1718" s="7"/>
      <c r="F1718" t="str">
        <f t="shared" si="77"/>
        <v/>
      </c>
      <c r="G1718" t="str">
        <f t="shared" si="78"/>
        <v/>
      </c>
    </row>
    <row r="1719" spans="2:7">
      <c r="B1719" s="6"/>
      <c r="E1719" s="7"/>
      <c r="F1719" t="str">
        <f t="shared" si="77"/>
        <v/>
      </c>
      <c r="G1719" t="str">
        <f t="shared" si="78"/>
        <v/>
      </c>
    </row>
    <row r="1720" spans="2:7">
      <c r="B1720" s="6"/>
      <c r="E1720" s="7"/>
      <c r="F1720" t="str">
        <f t="shared" si="77"/>
        <v/>
      </c>
      <c r="G1720" t="str">
        <f t="shared" si="78"/>
        <v/>
      </c>
    </row>
    <row r="1721" spans="2:7">
      <c r="B1721" s="6"/>
      <c r="E1721" s="7"/>
      <c r="F1721" t="str">
        <f t="shared" si="77"/>
        <v/>
      </c>
      <c r="G1721" t="str">
        <f t="shared" si="78"/>
        <v/>
      </c>
    </row>
    <row r="1722" spans="2:7">
      <c r="B1722" s="6"/>
      <c r="E1722" s="7"/>
      <c r="F1722" t="str">
        <f t="shared" si="77"/>
        <v/>
      </c>
      <c r="G1722" t="str">
        <f t="shared" si="78"/>
        <v/>
      </c>
    </row>
    <row r="1723" spans="2:7">
      <c r="B1723" s="6"/>
      <c r="E1723" s="7"/>
      <c r="F1723" t="str">
        <f t="shared" si="77"/>
        <v/>
      </c>
      <c r="G1723" t="str">
        <f t="shared" si="78"/>
        <v/>
      </c>
    </row>
    <row r="1724" spans="2:7">
      <c r="B1724" s="6"/>
      <c r="E1724" s="7"/>
      <c r="F1724" t="str">
        <f t="shared" si="77"/>
        <v/>
      </c>
      <c r="G1724" t="str">
        <f t="shared" si="78"/>
        <v/>
      </c>
    </row>
    <row r="1725" spans="2:7">
      <c r="B1725" s="6"/>
      <c r="E1725" s="7"/>
      <c r="F1725" t="str">
        <f t="shared" si="77"/>
        <v/>
      </c>
      <c r="G1725" t="str">
        <f t="shared" si="78"/>
        <v/>
      </c>
    </row>
    <row r="1726" spans="2:7">
      <c r="B1726" s="6"/>
      <c r="E1726" s="7"/>
      <c r="F1726" t="str">
        <f t="shared" si="77"/>
        <v/>
      </c>
      <c r="G1726" t="str">
        <f t="shared" si="78"/>
        <v/>
      </c>
    </row>
    <row r="1727" spans="2:7">
      <c r="B1727" s="6"/>
      <c r="E1727" s="7"/>
      <c r="F1727" t="str">
        <f t="shared" si="77"/>
        <v/>
      </c>
      <c r="G1727" t="str">
        <f t="shared" si="78"/>
        <v/>
      </c>
    </row>
    <row r="1728" spans="2:7">
      <c r="B1728" s="6"/>
      <c r="E1728" s="7"/>
      <c r="F1728" t="str">
        <f t="shared" si="77"/>
        <v/>
      </c>
      <c r="G1728" t="str">
        <f t="shared" si="78"/>
        <v/>
      </c>
    </row>
    <row r="1729" spans="2:7">
      <c r="B1729" s="6"/>
      <c r="E1729" s="7"/>
      <c r="F1729" t="str">
        <f t="shared" si="77"/>
        <v/>
      </c>
      <c r="G1729" t="str">
        <f t="shared" si="78"/>
        <v/>
      </c>
    </row>
    <row r="1730" spans="2:7">
      <c r="B1730" s="6"/>
      <c r="E1730" s="7"/>
      <c r="F1730" t="str">
        <f t="shared" si="77"/>
        <v/>
      </c>
      <c r="G1730" t="str">
        <f t="shared" si="78"/>
        <v/>
      </c>
    </row>
    <row r="1731" spans="2:7">
      <c r="B1731" s="6"/>
      <c r="E1731" s="7"/>
      <c r="F1731" t="str">
        <f t="shared" si="77"/>
        <v/>
      </c>
      <c r="G1731" t="str">
        <f t="shared" si="78"/>
        <v/>
      </c>
    </row>
    <row r="1732" spans="2:7">
      <c r="B1732" s="6"/>
      <c r="E1732" s="7"/>
      <c r="F1732" t="str">
        <f t="shared" ref="F1732:F1795" si="79">IF(B1732="","",LOG10(D1732))</f>
        <v/>
      </c>
      <c r="G1732" t="str">
        <f t="shared" ref="G1732:G1795" si="80">IF(E1732="", "",0.434*E1732/D1732)</f>
        <v/>
      </c>
    </row>
    <row r="1733" spans="2:7">
      <c r="B1733" s="6"/>
      <c r="E1733" s="7"/>
      <c r="F1733" t="str">
        <f t="shared" si="79"/>
        <v/>
      </c>
      <c r="G1733" t="str">
        <f t="shared" si="80"/>
        <v/>
      </c>
    </row>
    <row r="1734" spans="2:7">
      <c r="B1734" s="6"/>
      <c r="E1734" s="7"/>
      <c r="F1734" t="str">
        <f t="shared" si="79"/>
        <v/>
      </c>
      <c r="G1734" t="str">
        <f t="shared" si="80"/>
        <v/>
      </c>
    </row>
    <row r="1735" spans="2:7">
      <c r="B1735" s="6"/>
      <c r="E1735" s="7"/>
      <c r="F1735" t="str">
        <f t="shared" si="79"/>
        <v/>
      </c>
      <c r="G1735" t="str">
        <f t="shared" si="80"/>
        <v/>
      </c>
    </row>
    <row r="1736" spans="2:7">
      <c r="B1736" s="6"/>
      <c r="E1736" s="7"/>
      <c r="F1736" t="str">
        <f t="shared" si="79"/>
        <v/>
      </c>
      <c r="G1736" t="str">
        <f t="shared" si="80"/>
        <v/>
      </c>
    </row>
    <row r="1737" spans="2:7">
      <c r="B1737" s="6"/>
      <c r="E1737" s="7"/>
      <c r="F1737" t="str">
        <f t="shared" si="79"/>
        <v/>
      </c>
      <c r="G1737" t="str">
        <f t="shared" si="80"/>
        <v/>
      </c>
    </row>
    <row r="1738" spans="2:7">
      <c r="B1738" s="6"/>
      <c r="E1738" s="7"/>
      <c r="F1738" t="str">
        <f t="shared" si="79"/>
        <v/>
      </c>
      <c r="G1738" t="str">
        <f t="shared" si="80"/>
        <v/>
      </c>
    </row>
    <row r="1739" spans="2:7">
      <c r="B1739" s="6"/>
      <c r="E1739" s="7"/>
      <c r="F1739" t="str">
        <f t="shared" si="79"/>
        <v/>
      </c>
      <c r="G1739" t="str">
        <f t="shared" si="80"/>
        <v/>
      </c>
    </row>
    <row r="1740" spans="2:7">
      <c r="B1740" s="6"/>
      <c r="E1740" s="7"/>
      <c r="F1740" t="str">
        <f t="shared" si="79"/>
        <v/>
      </c>
      <c r="G1740" t="str">
        <f t="shared" si="80"/>
        <v/>
      </c>
    </row>
    <row r="1741" spans="2:7">
      <c r="B1741" s="6"/>
      <c r="E1741" s="7"/>
      <c r="F1741" t="str">
        <f t="shared" si="79"/>
        <v/>
      </c>
      <c r="G1741" t="str">
        <f t="shared" si="80"/>
        <v/>
      </c>
    </row>
    <row r="1742" spans="2:7">
      <c r="B1742" s="6"/>
      <c r="E1742" s="7"/>
      <c r="F1742" t="str">
        <f t="shared" si="79"/>
        <v/>
      </c>
      <c r="G1742" t="str">
        <f t="shared" si="80"/>
        <v/>
      </c>
    </row>
    <row r="1743" spans="2:7">
      <c r="B1743" s="6"/>
      <c r="E1743" s="7"/>
      <c r="F1743" t="str">
        <f t="shared" si="79"/>
        <v/>
      </c>
      <c r="G1743" t="str">
        <f t="shared" si="80"/>
        <v/>
      </c>
    </row>
    <row r="1744" spans="2:7">
      <c r="B1744" s="6"/>
      <c r="E1744" s="7"/>
      <c r="F1744" t="str">
        <f t="shared" si="79"/>
        <v/>
      </c>
      <c r="G1744" t="str">
        <f t="shared" si="80"/>
        <v/>
      </c>
    </row>
    <row r="1745" spans="2:7">
      <c r="B1745" s="6"/>
      <c r="E1745" s="7"/>
      <c r="F1745" t="str">
        <f t="shared" si="79"/>
        <v/>
      </c>
      <c r="G1745" t="str">
        <f t="shared" si="80"/>
        <v/>
      </c>
    </row>
    <row r="1746" spans="2:7">
      <c r="B1746" s="6"/>
      <c r="E1746" s="7"/>
      <c r="F1746" t="str">
        <f t="shared" si="79"/>
        <v/>
      </c>
      <c r="G1746" t="str">
        <f t="shared" si="80"/>
        <v/>
      </c>
    </row>
    <row r="1747" spans="2:7">
      <c r="B1747" s="6"/>
      <c r="E1747" s="7"/>
      <c r="F1747" t="str">
        <f t="shared" si="79"/>
        <v/>
      </c>
      <c r="G1747" t="str">
        <f t="shared" si="80"/>
        <v/>
      </c>
    </row>
    <row r="1748" spans="2:7">
      <c r="B1748" s="6"/>
      <c r="E1748" s="7"/>
      <c r="F1748" t="str">
        <f t="shared" si="79"/>
        <v/>
      </c>
      <c r="G1748" t="str">
        <f t="shared" si="80"/>
        <v/>
      </c>
    </row>
    <row r="1749" spans="2:7">
      <c r="B1749" s="6"/>
      <c r="E1749" s="7"/>
      <c r="F1749" t="str">
        <f t="shared" si="79"/>
        <v/>
      </c>
      <c r="G1749" t="str">
        <f t="shared" si="80"/>
        <v/>
      </c>
    </row>
    <row r="1750" spans="2:7">
      <c r="B1750" s="6"/>
      <c r="E1750" s="7"/>
      <c r="F1750" t="str">
        <f t="shared" si="79"/>
        <v/>
      </c>
      <c r="G1750" t="str">
        <f t="shared" si="80"/>
        <v/>
      </c>
    </row>
    <row r="1751" spans="2:7">
      <c r="B1751" s="6"/>
      <c r="E1751" s="7"/>
      <c r="F1751" t="str">
        <f t="shared" si="79"/>
        <v/>
      </c>
      <c r="G1751" t="str">
        <f t="shared" si="80"/>
        <v/>
      </c>
    </row>
    <row r="1752" spans="2:7">
      <c r="B1752" s="6"/>
      <c r="E1752" s="7"/>
      <c r="F1752" t="str">
        <f t="shared" si="79"/>
        <v/>
      </c>
      <c r="G1752" t="str">
        <f t="shared" si="80"/>
        <v/>
      </c>
    </row>
    <row r="1753" spans="2:7">
      <c r="B1753" s="6"/>
      <c r="E1753" s="7"/>
      <c r="F1753" t="str">
        <f t="shared" si="79"/>
        <v/>
      </c>
      <c r="G1753" t="str">
        <f t="shared" si="80"/>
        <v/>
      </c>
    </row>
    <row r="1754" spans="2:7">
      <c r="B1754" s="6"/>
      <c r="E1754" s="7"/>
      <c r="F1754" t="str">
        <f t="shared" si="79"/>
        <v/>
      </c>
      <c r="G1754" t="str">
        <f t="shared" si="80"/>
        <v/>
      </c>
    </row>
    <row r="1755" spans="2:7">
      <c r="B1755" s="6"/>
      <c r="E1755" s="7"/>
      <c r="F1755" t="str">
        <f t="shared" si="79"/>
        <v/>
      </c>
      <c r="G1755" t="str">
        <f t="shared" si="80"/>
        <v/>
      </c>
    </row>
    <row r="1756" spans="2:7">
      <c r="B1756" s="6"/>
      <c r="E1756" s="7"/>
      <c r="F1756" t="str">
        <f t="shared" si="79"/>
        <v/>
      </c>
      <c r="G1756" t="str">
        <f t="shared" si="80"/>
        <v/>
      </c>
    </row>
    <row r="1757" spans="2:7">
      <c r="B1757" s="6"/>
      <c r="E1757" s="7"/>
      <c r="F1757" t="str">
        <f t="shared" si="79"/>
        <v/>
      </c>
      <c r="G1757" t="str">
        <f t="shared" si="80"/>
        <v/>
      </c>
    </row>
    <row r="1758" spans="2:7">
      <c r="B1758" s="6"/>
      <c r="E1758" s="7"/>
      <c r="F1758" t="str">
        <f t="shared" si="79"/>
        <v/>
      </c>
      <c r="G1758" t="str">
        <f t="shared" si="80"/>
        <v/>
      </c>
    </row>
    <row r="1759" spans="2:7">
      <c r="B1759" s="6"/>
      <c r="E1759" s="7"/>
      <c r="F1759" t="str">
        <f t="shared" si="79"/>
        <v/>
      </c>
      <c r="G1759" t="str">
        <f t="shared" si="80"/>
        <v/>
      </c>
    </row>
    <row r="1760" spans="2:7">
      <c r="B1760" s="6"/>
      <c r="E1760" s="7"/>
      <c r="F1760" t="str">
        <f t="shared" si="79"/>
        <v/>
      </c>
      <c r="G1760" t="str">
        <f t="shared" si="80"/>
        <v/>
      </c>
    </row>
    <row r="1761" spans="2:7">
      <c r="B1761" s="6"/>
      <c r="E1761" s="7"/>
      <c r="F1761" t="str">
        <f t="shared" si="79"/>
        <v/>
      </c>
      <c r="G1761" t="str">
        <f t="shared" si="80"/>
        <v/>
      </c>
    </row>
    <row r="1762" spans="2:7">
      <c r="B1762" s="6"/>
      <c r="E1762" s="7"/>
      <c r="F1762" t="str">
        <f t="shared" si="79"/>
        <v/>
      </c>
      <c r="G1762" t="str">
        <f t="shared" si="80"/>
        <v/>
      </c>
    </row>
    <row r="1763" spans="2:7">
      <c r="B1763" s="6"/>
      <c r="E1763" s="7"/>
      <c r="F1763" t="str">
        <f t="shared" si="79"/>
        <v/>
      </c>
      <c r="G1763" t="str">
        <f t="shared" si="80"/>
        <v/>
      </c>
    </row>
    <row r="1764" spans="2:7">
      <c r="B1764" s="6"/>
      <c r="E1764" s="7"/>
      <c r="F1764" t="str">
        <f t="shared" si="79"/>
        <v/>
      </c>
      <c r="G1764" t="str">
        <f t="shared" si="80"/>
        <v/>
      </c>
    </row>
    <row r="1765" spans="2:7">
      <c r="B1765" s="6"/>
      <c r="E1765" s="7"/>
      <c r="F1765" t="str">
        <f t="shared" si="79"/>
        <v/>
      </c>
      <c r="G1765" t="str">
        <f t="shared" si="80"/>
        <v/>
      </c>
    </row>
    <row r="1766" spans="2:7">
      <c r="B1766" s="6"/>
      <c r="E1766" s="7"/>
      <c r="F1766" t="str">
        <f t="shared" si="79"/>
        <v/>
      </c>
      <c r="G1766" t="str">
        <f t="shared" si="80"/>
        <v/>
      </c>
    </row>
    <row r="1767" spans="2:7">
      <c r="B1767" s="6"/>
      <c r="E1767" s="7"/>
      <c r="F1767" t="str">
        <f t="shared" si="79"/>
        <v/>
      </c>
      <c r="G1767" t="str">
        <f t="shared" si="80"/>
        <v/>
      </c>
    </row>
    <row r="1768" spans="2:7">
      <c r="B1768" s="6"/>
      <c r="E1768" s="7"/>
      <c r="F1768" t="str">
        <f t="shared" si="79"/>
        <v/>
      </c>
      <c r="G1768" t="str">
        <f t="shared" si="80"/>
        <v/>
      </c>
    </row>
    <row r="1769" spans="2:7">
      <c r="B1769" s="6"/>
      <c r="E1769" s="7"/>
      <c r="F1769" t="str">
        <f t="shared" si="79"/>
        <v/>
      </c>
      <c r="G1769" t="str">
        <f t="shared" si="80"/>
        <v/>
      </c>
    </row>
    <row r="1770" spans="2:7">
      <c r="B1770" s="6"/>
      <c r="E1770" s="7"/>
      <c r="F1770" t="str">
        <f t="shared" si="79"/>
        <v/>
      </c>
      <c r="G1770" t="str">
        <f t="shared" si="80"/>
        <v/>
      </c>
    </row>
    <row r="1771" spans="2:7">
      <c r="B1771" s="6"/>
      <c r="E1771" s="7"/>
      <c r="F1771" t="str">
        <f t="shared" si="79"/>
        <v/>
      </c>
      <c r="G1771" t="str">
        <f t="shared" si="80"/>
        <v/>
      </c>
    </row>
    <row r="1772" spans="2:7">
      <c r="B1772" s="6"/>
      <c r="E1772" s="7"/>
      <c r="F1772" t="str">
        <f t="shared" si="79"/>
        <v/>
      </c>
      <c r="G1772" t="str">
        <f t="shared" si="80"/>
        <v/>
      </c>
    </row>
    <row r="1773" spans="2:7">
      <c r="B1773" s="6"/>
      <c r="E1773" s="7"/>
      <c r="F1773" t="str">
        <f t="shared" si="79"/>
        <v/>
      </c>
      <c r="G1773" t="str">
        <f t="shared" si="80"/>
        <v/>
      </c>
    </row>
    <row r="1774" spans="2:7">
      <c r="B1774" s="6"/>
      <c r="E1774" s="7"/>
      <c r="F1774" t="str">
        <f t="shared" si="79"/>
        <v/>
      </c>
      <c r="G1774" t="str">
        <f t="shared" si="80"/>
        <v/>
      </c>
    </row>
    <row r="1775" spans="2:7">
      <c r="B1775" s="6"/>
      <c r="E1775" s="7"/>
      <c r="F1775" t="str">
        <f t="shared" si="79"/>
        <v/>
      </c>
      <c r="G1775" t="str">
        <f t="shared" si="80"/>
        <v/>
      </c>
    </row>
    <row r="1776" spans="2:7">
      <c r="B1776" s="6"/>
      <c r="E1776" s="7"/>
      <c r="F1776" t="str">
        <f t="shared" si="79"/>
        <v/>
      </c>
      <c r="G1776" t="str">
        <f t="shared" si="80"/>
        <v/>
      </c>
    </row>
    <row r="1777" spans="2:7">
      <c r="B1777" s="6"/>
      <c r="E1777" s="7"/>
      <c r="F1777" t="str">
        <f t="shared" si="79"/>
        <v/>
      </c>
      <c r="G1777" t="str">
        <f t="shared" si="80"/>
        <v/>
      </c>
    </row>
    <row r="1778" spans="2:7">
      <c r="B1778" s="6"/>
      <c r="E1778" s="7"/>
      <c r="F1778" t="str">
        <f t="shared" si="79"/>
        <v/>
      </c>
      <c r="G1778" t="str">
        <f t="shared" si="80"/>
        <v/>
      </c>
    </row>
    <row r="1779" spans="2:7">
      <c r="B1779" s="6"/>
      <c r="E1779" s="7"/>
      <c r="F1779" t="str">
        <f t="shared" si="79"/>
        <v/>
      </c>
      <c r="G1779" t="str">
        <f t="shared" si="80"/>
        <v/>
      </c>
    </row>
    <row r="1780" spans="2:7">
      <c r="B1780" s="6"/>
      <c r="E1780" s="7"/>
      <c r="F1780" t="str">
        <f t="shared" si="79"/>
        <v/>
      </c>
      <c r="G1780" t="str">
        <f t="shared" si="80"/>
        <v/>
      </c>
    </row>
    <row r="1781" spans="2:7">
      <c r="B1781" s="6"/>
      <c r="E1781" s="7"/>
      <c r="F1781" t="str">
        <f t="shared" si="79"/>
        <v/>
      </c>
      <c r="G1781" t="str">
        <f t="shared" si="80"/>
        <v/>
      </c>
    </row>
    <row r="1782" spans="2:7">
      <c r="B1782" s="6"/>
      <c r="E1782" s="7"/>
      <c r="F1782" t="str">
        <f t="shared" si="79"/>
        <v/>
      </c>
      <c r="G1782" t="str">
        <f t="shared" si="80"/>
        <v/>
      </c>
    </row>
    <row r="1783" spans="2:7">
      <c r="B1783" s="6"/>
      <c r="E1783" s="7"/>
      <c r="F1783" t="str">
        <f t="shared" si="79"/>
        <v/>
      </c>
      <c r="G1783" t="str">
        <f t="shared" si="80"/>
        <v/>
      </c>
    </row>
    <row r="1784" spans="2:7">
      <c r="B1784" s="6"/>
      <c r="E1784" s="7"/>
      <c r="F1784" t="str">
        <f t="shared" si="79"/>
        <v/>
      </c>
      <c r="G1784" t="str">
        <f t="shared" si="80"/>
        <v/>
      </c>
    </row>
    <row r="1785" spans="2:7">
      <c r="B1785" s="6"/>
      <c r="E1785" s="7"/>
      <c r="F1785" t="str">
        <f t="shared" si="79"/>
        <v/>
      </c>
      <c r="G1785" t="str">
        <f t="shared" si="80"/>
        <v/>
      </c>
    </row>
    <row r="1786" spans="2:7">
      <c r="B1786" s="6"/>
      <c r="E1786" s="7"/>
      <c r="F1786" t="str">
        <f t="shared" si="79"/>
        <v/>
      </c>
      <c r="G1786" t="str">
        <f t="shared" si="80"/>
        <v/>
      </c>
    </row>
    <row r="1787" spans="2:7">
      <c r="B1787" s="6"/>
      <c r="E1787" s="7"/>
      <c r="F1787" t="str">
        <f t="shared" si="79"/>
        <v/>
      </c>
      <c r="G1787" t="str">
        <f t="shared" si="80"/>
        <v/>
      </c>
    </row>
    <row r="1788" spans="2:7">
      <c r="B1788" s="6"/>
      <c r="E1788" s="7"/>
      <c r="F1788" t="str">
        <f t="shared" si="79"/>
        <v/>
      </c>
      <c r="G1788" t="str">
        <f t="shared" si="80"/>
        <v/>
      </c>
    </row>
    <row r="1789" spans="2:7">
      <c r="B1789" s="6"/>
      <c r="E1789" s="7"/>
      <c r="F1789" t="str">
        <f t="shared" si="79"/>
        <v/>
      </c>
      <c r="G1789" t="str">
        <f t="shared" si="80"/>
        <v/>
      </c>
    </row>
    <row r="1790" spans="2:7">
      <c r="B1790" s="6"/>
      <c r="E1790" s="7"/>
      <c r="F1790" t="str">
        <f t="shared" si="79"/>
        <v/>
      </c>
      <c r="G1790" t="str">
        <f t="shared" si="80"/>
        <v/>
      </c>
    </row>
    <row r="1791" spans="2:7">
      <c r="B1791" s="6"/>
      <c r="E1791" s="7"/>
      <c r="F1791" t="str">
        <f t="shared" si="79"/>
        <v/>
      </c>
      <c r="G1791" t="str">
        <f t="shared" si="80"/>
        <v/>
      </c>
    </row>
    <row r="1792" spans="2:7">
      <c r="B1792" s="6"/>
      <c r="E1792" s="7"/>
      <c r="F1792" t="str">
        <f t="shared" si="79"/>
        <v/>
      </c>
      <c r="G1792" t="str">
        <f t="shared" si="80"/>
        <v/>
      </c>
    </row>
    <row r="1793" spans="2:7">
      <c r="B1793" s="6"/>
      <c r="E1793" s="7"/>
      <c r="F1793" t="str">
        <f t="shared" si="79"/>
        <v/>
      </c>
      <c r="G1793" t="str">
        <f t="shared" si="80"/>
        <v/>
      </c>
    </row>
    <row r="1794" spans="2:7">
      <c r="B1794" s="6"/>
      <c r="E1794" s="7"/>
      <c r="F1794" t="str">
        <f t="shared" si="79"/>
        <v/>
      </c>
      <c r="G1794" t="str">
        <f t="shared" si="80"/>
        <v/>
      </c>
    </row>
    <row r="1795" spans="2:7">
      <c r="B1795" s="6"/>
      <c r="E1795" s="7"/>
      <c r="F1795" t="str">
        <f t="shared" si="79"/>
        <v/>
      </c>
      <c r="G1795" t="str">
        <f t="shared" si="80"/>
        <v/>
      </c>
    </row>
    <row r="1796" spans="2:7">
      <c r="B1796" s="6"/>
      <c r="E1796" s="7"/>
      <c r="F1796" t="str">
        <f t="shared" ref="F1796:F1859" si="81">IF(B1796="","",LOG10(D1796))</f>
        <v/>
      </c>
      <c r="G1796" t="str">
        <f t="shared" ref="G1796:G1859" si="82">IF(E1796="", "",0.434*E1796/D1796)</f>
        <v/>
      </c>
    </row>
    <row r="1797" spans="2:7">
      <c r="B1797" s="6"/>
      <c r="E1797" s="7"/>
      <c r="F1797" t="str">
        <f t="shared" si="81"/>
        <v/>
      </c>
      <c r="G1797" t="str">
        <f t="shared" si="82"/>
        <v/>
      </c>
    </row>
    <row r="1798" spans="2:7">
      <c r="B1798" s="6"/>
      <c r="E1798" s="7"/>
      <c r="F1798" t="str">
        <f t="shared" si="81"/>
        <v/>
      </c>
      <c r="G1798" t="str">
        <f t="shared" si="82"/>
        <v/>
      </c>
    </row>
    <row r="1799" spans="2:7">
      <c r="B1799" s="6"/>
      <c r="E1799" s="7"/>
      <c r="F1799" t="str">
        <f t="shared" si="81"/>
        <v/>
      </c>
      <c r="G1799" t="str">
        <f t="shared" si="82"/>
        <v/>
      </c>
    </row>
    <row r="1800" spans="2:7">
      <c r="B1800" s="6"/>
      <c r="E1800" s="7"/>
      <c r="F1800" t="str">
        <f t="shared" si="81"/>
        <v/>
      </c>
      <c r="G1800" t="str">
        <f t="shared" si="82"/>
        <v/>
      </c>
    </row>
    <row r="1801" spans="2:7">
      <c r="B1801" s="6"/>
      <c r="E1801" s="7"/>
      <c r="F1801" t="str">
        <f t="shared" si="81"/>
        <v/>
      </c>
      <c r="G1801" t="str">
        <f t="shared" si="82"/>
        <v/>
      </c>
    </row>
    <row r="1802" spans="2:7">
      <c r="B1802" s="6"/>
      <c r="E1802" s="7"/>
      <c r="F1802" t="str">
        <f t="shared" si="81"/>
        <v/>
      </c>
      <c r="G1802" t="str">
        <f t="shared" si="82"/>
        <v/>
      </c>
    </row>
    <row r="1803" spans="2:7">
      <c r="B1803" s="6"/>
      <c r="E1803" s="7"/>
      <c r="F1803" t="str">
        <f t="shared" si="81"/>
        <v/>
      </c>
      <c r="G1803" t="str">
        <f t="shared" si="82"/>
        <v/>
      </c>
    </row>
    <row r="1804" spans="2:7">
      <c r="B1804" s="6"/>
      <c r="E1804" s="7"/>
      <c r="F1804" t="str">
        <f t="shared" si="81"/>
        <v/>
      </c>
      <c r="G1804" t="str">
        <f t="shared" si="82"/>
        <v/>
      </c>
    </row>
    <row r="1805" spans="2:7">
      <c r="B1805" s="6"/>
      <c r="E1805" s="7"/>
      <c r="F1805" t="str">
        <f t="shared" si="81"/>
        <v/>
      </c>
      <c r="G1805" t="str">
        <f t="shared" si="82"/>
        <v/>
      </c>
    </row>
    <row r="1806" spans="2:7">
      <c r="B1806" s="6"/>
      <c r="E1806" s="7"/>
      <c r="F1806" t="str">
        <f t="shared" si="81"/>
        <v/>
      </c>
      <c r="G1806" t="str">
        <f t="shared" si="82"/>
        <v/>
      </c>
    </row>
    <row r="1807" spans="2:7">
      <c r="B1807" s="6"/>
      <c r="E1807" s="7"/>
      <c r="F1807" t="str">
        <f t="shared" si="81"/>
        <v/>
      </c>
      <c r="G1807" t="str">
        <f t="shared" si="82"/>
        <v/>
      </c>
    </row>
    <row r="1808" spans="2:7">
      <c r="B1808" s="6"/>
      <c r="E1808" s="7"/>
      <c r="F1808" t="str">
        <f t="shared" si="81"/>
        <v/>
      </c>
      <c r="G1808" t="str">
        <f t="shared" si="82"/>
        <v/>
      </c>
    </row>
    <row r="1809" spans="2:7">
      <c r="B1809" s="6"/>
      <c r="E1809" s="7"/>
      <c r="F1809" t="str">
        <f t="shared" si="81"/>
        <v/>
      </c>
      <c r="G1809" t="str">
        <f t="shared" si="82"/>
        <v/>
      </c>
    </row>
    <row r="1810" spans="2:7">
      <c r="B1810" s="6"/>
      <c r="E1810" s="7"/>
      <c r="F1810" t="str">
        <f t="shared" si="81"/>
        <v/>
      </c>
      <c r="G1810" t="str">
        <f t="shared" si="82"/>
        <v/>
      </c>
    </row>
    <row r="1811" spans="2:7">
      <c r="B1811" s="6"/>
      <c r="E1811" s="7"/>
      <c r="F1811" t="str">
        <f t="shared" si="81"/>
        <v/>
      </c>
      <c r="G1811" t="str">
        <f t="shared" si="82"/>
        <v/>
      </c>
    </row>
    <row r="1812" spans="2:7">
      <c r="B1812" s="6"/>
      <c r="E1812" s="7"/>
      <c r="F1812" t="str">
        <f t="shared" si="81"/>
        <v/>
      </c>
      <c r="G1812" t="str">
        <f t="shared" si="82"/>
        <v/>
      </c>
    </row>
    <row r="1813" spans="2:7">
      <c r="B1813" s="6"/>
      <c r="E1813" s="7"/>
      <c r="F1813" t="str">
        <f t="shared" si="81"/>
        <v/>
      </c>
      <c r="G1813" t="str">
        <f t="shared" si="82"/>
        <v/>
      </c>
    </row>
    <row r="1814" spans="2:7">
      <c r="B1814" s="6"/>
      <c r="E1814" s="7"/>
      <c r="F1814" t="str">
        <f t="shared" si="81"/>
        <v/>
      </c>
      <c r="G1814" t="str">
        <f t="shared" si="82"/>
        <v/>
      </c>
    </row>
    <row r="1815" spans="2:7">
      <c r="B1815" s="6"/>
      <c r="E1815" s="7"/>
      <c r="F1815" t="str">
        <f t="shared" si="81"/>
        <v/>
      </c>
      <c r="G1815" t="str">
        <f t="shared" si="82"/>
        <v/>
      </c>
    </row>
    <row r="1816" spans="2:7">
      <c r="B1816" s="6"/>
      <c r="E1816" s="7"/>
      <c r="F1816" t="str">
        <f t="shared" si="81"/>
        <v/>
      </c>
      <c r="G1816" t="str">
        <f t="shared" si="82"/>
        <v/>
      </c>
    </row>
    <row r="1817" spans="2:7">
      <c r="B1817" s="6"/>
      <c r="E1817" s="7"/>
      <c r="F1817" t="str">
        <f t="shared" si="81"/>
        <v/>
      </c>
      <c r="G1817" t="str">
        <f t="shared" si="82"/>
        <v/>
      </c>
    </row>
    <row r="1818" spans="2:7">
      <c r="B1818" s="6"/>
      <c r="E1818" s="7"/>
      <c r="F1818" t="str">
        <f t="shared" si="81"/>
        <v/>
      </c>
      <c r="G1818" t="str">
        <f t="shared" si="82"/>
        <v/>
      </c>
    </row>
    <row r="1819" spans="2:7">
      <c r="B1819" s="6"/>
      <c r="E1819" s="7"/>
      <c r="F1819" t="str">
        <f t="shared" si="81"/>
        <v/>
      </c>
      <c r="G1819" t="str">
        <f t="shared" si="82"/>
        <v/>
      </c>
    </row>
    <row r="1820" spans="2:7">
      <c r="B1820" s="6"/>
      <c r="E1820" s="7"/>
      <c r="F1820" t="str">
        <f t="shared" si="81"/>
        <v/>
      </c>
      <c r="G1820" t="str">
        <f t="shared" si="82"/>
        <v/>
      </c>
    </row>
    <row r="1821" spans="2:7">
      <c r="B1821" s="6"/>
      <c r="E1821" s="7"/>
      <c r="F1821" t="str">
        <f t="shared" si="81"/>
        <v/>
      </c>
      <c r="G1821" t="str">
        <f t="shared" si="82"/>
        <v/>
      </c>
    </row>
    <row r="1822" spans="2:7">
      <c r="B1822" s="6"/>
      <c r="E1822" s="7"/>
      <c r="F1822" t="str">
        <f t="shared" si="81"/>
        <v/>
      </c>
      <c r="G1822" t="str">
        <f t="shared" si="82"/>
        <v/>
      </c>
    </row>
    <row r="1823" spans="2:7">
      <c r="B1823" s="6"/>
      <c r="E1823" s="7"/>
      <c r="F1823" t="str">
        <f t="shared" si="81"/>
        <v/>
      </c>
      <c r="G1823" t="str">
        <f t="shared" si="82"/>
        <v/>
      </c>
    </row>
    <row r="1824" spans="2:7">
      <c r="B1824" s="6"/>
      <c r="E1824" s="7"/>
      <c r="F1824" t="str">
        <f t="shared" si="81"/>
        <v/>
      </c>
      <c r="G1824" t="str">
        <f t="shared" si="82"/>
        <v/>
      </c>
    </row>
    <row r="1825" spans="2:7">
      <c r="B1825" s="6"/>
      <c r="E1825" s="7"/>
      <c r="F1825" t="str">
        <f t="shared" si="81"/>
        <v/>
      </c>
      <c r="G1825" t="str">
        <f t="shared" si="82"/>
        <v/>
      </c>
    </row>
    <row r="1826" spans="2:7">
      <c r="B1826" s="6"/>
      <c r="E1826" s="7"/>
      <c r="F1826" t="str">
        <f t="shared" si="81"/>
        <v/>
      </c>
      <c r="G1826" t="str">
        <f t="shared" si="82"/>
        <v/>
      </c>
    </row>
    <row r="1827" spans="2:7">
      <c r="B1827" s="6"/>
      <c r="E1827" s="7"/>
      <c r="F1827" t="str">
        <f t="shared" si="81"/>
        <v/>
      </c>
      <c r="G1827" t="str">
        <f t="shared" si="82"/>
        <v/>
      </c>
    </row>
    <row r="1828" spans="2:7">
      <c r="B1828" s="6"/>
      <c r="E1828" s="7"/>
      <c r="F1828" t="str">
        <f t="shared" si="81"/>
        <v/>
      </c>
      <c r="G1828" t="str">
        <f t="shared" si="82"/>
        <v/>
      </c>
    </row>
    <row r="1829" spans="2:7">
      <c r="B1829" s="6"/>
      <c r="E1829" s="7"/>
      <c r="F1829" t="str">
        <f t="shared" si="81"/>
        <v/>
      </c>
      <c r="G1829" t="str">
        <f t="shared" si="82"/>
        <v/>
      </c>
    </row>
    <row r="1830" spans="2:7">
      <c r="B1830" s="6"/>
      <c r="E1830" s="7"/>
      <c r="F1830" t="str">
        <f t="shared" si="81"/>
        <v/>
      </c>
      <c r="G1830" t="str">
        <f t="shared" si="82"/>
        <v/>
      </c>
    </row>
    <row r="1831" spans="2:7">
      <c r="B1831" s="6"/>
      <c r="E1831" s="7"/>
      <c r="F1831" t="str">
        <f t="shared" si="81"/>
        <v/>
      </c>
      <c r="G1831" t="str">
        <f t="shared" si="82"/>
        <v/>
      </c>
    </row>
    <row r="1832" spans="2:7">
      <c r="B1832" s="6"/>
      <c r="E1832" s="7"/>
      <c r="F1832" t="str">
        <f t="shared" si="81"/>
        <v/>
      </c>
      <c r="G1832" t="str">
        <f t="shared" si="82"/>
        <v/>
      </c>
    </row>
    <row r="1833" spans="2:7">
      <c r="B1833" s="6"/>
      <c r="E1833" s="7"/>
      <c r="F1833" t="str">
        <f t="shared" si="81"/>
        <v/>
      </c>
      <c r="G1833" t="str">
        <f t="shared" si="82"/>
        <v/>
      </c>
    </row>
    <row r="1834" spans="2:7">
      <c r="B1834" s="6"/>
      <c r="E1834" s="7"/>
      <c r="F1834" t="str">
        <f t="shared" si="81"/>
        <v/>
      </c>
      <c r="G1834" t="str">
        <f t="shared" si="82"/>
        <v/>
      </c>
    </row>
    <row r="1835" spans="2:7">
      <c r="B1835" s="6"/>
      <c r="E1835" s="7"/>
      <c r="F1835" t="str">
        <f t="shared" si="81"/>
        <v/>
      </c>
      <c r="G1835" t="str">
        <f t="shared" si="82"/>
        <v/>
      </c>
    </row>
    <row r="1836" spans="2:7">
      <c r="B1836" s="6"/>
      <c r="E1836" s="7"/>
      <c r="F1836" t="str">
        <f t="shared" si="81"/>
        <v/>
      </c>
      <c r="G1836" t="str">
        <f t="shared" si="82"/>
        <v/>
      </c>
    </row>
    <row r="1837" spans="2:7">
      <c r="B1837" s="6"/>
      <c r="E1837" s="7"/>
      <c r="F1837" t="str">
        <f t="shared" si="81"/>
        <v/>
      </c>
      <c r="G1837" t="str">
        <f t="shared" si="82"/>
        <v/>
      </c>
    </row>
    <row r="1838" spans="2:7">
      <c r="B1838" s="6"/>
      <c r="E1838" s="7"/>
      <c r="F1838" t="str">
        <f t="shared" si="81"/>
        <v/>
      </c>
      <c r="G1838" t="str">
        <f t="shared" si="82"/>
        <v/>
      </c>
    </row>
    <row r="1839" spans="2:7">
      <c r="B1839" s="6"/>
      <c r="E1839" s="7"/>
      <c r="F1839" t="str">
        <f t="shared" si="81"/>
        <v/>
      </c>
      <c r="G1839" t="str">
        <f t="shared" si="82"/>
        <v/>
      </c>
    </row>
    <row r="1840" spans="2:7">
      <c r="B1840" s="6"/>
      <c r="E1840" s="7"/>
      <c r="F1840" t="str">
        <f t="shared" si="81"/>
        <v/>
      </c>
      <c r="G1840" t="str">
        <f t="shared" si="82"/>
        <v/>
      </c>
    </row>
    <row r="1841" spans="2:7">
      <c r="B1841" s="6"/>
      <c r="E1841" s="7"/>
      <c r="F1841" t="str">
        <f t="shared" si="81"/>
        <v/>
      </c>
      <c r="G1841" t="str">
        <f t="shared" si="82"/>
        <v/>
      </c>
    </row>
    <row r="1842" spans="2:7">
      <c r="B1842" s="6"/>
      <c r="E1842" s="7"/>
      <c r="F1842" t="str">
        <f t="shared" si="81"/>
        <v/>
      </c>
      <c r="G1842" t="str">
        <f t="shared" si="82"/>
        <v/>
      </c>
    </row>
    <row r="1843" spans="2:7">
      <c r="B1843" s="6"/>
      <c r="E1843" s="7"/>
      <c r="F1843" t="str">
        <f t="shared" si="81"/>
        <v/>
      </c>
      <c r="G1843" t="str">
        <f t="shared" si="82"/>
        <v/>
      </c>
    </row>
    <row r="1844" spans="2:7">
      <c r="B1844" s="6"/>
      <c r="E1844" s="7"/>
      <c r="F1844" t="str">
        <f t="shared" si="81"/>
        <v/>
      </c>
      <c r="G1844" t="str">
        <f t="shared" si="82"/>
        <v/>
      </c>
    </row>
    <row r="1845" spans="2:7">
      <c r="B1845" s="6"/>
      <c r="E1845" s="7"/>
      <c r="F1845" t="str">
        <f t="shared" si="81"/>
        <v/>
      </c>
      <c r="G1845" t="str">
        <f t="shared" si="82"/>
        <v/>
      </c>
    </row>
    <row r="1846" spans="2:7">
      <c r="B1846" s="6"/>
      <c r="E1846" s="7"/>
      <c r="F1846" t="str">
        <f t="shared" si="81"/>
        <v/>
      </c>
      <c r="G1846" t="str">
        <f t="shared" si="82"/>
        <v/>
      </c>
    </row>
    <row r="1847" spans="2:7">
      <c r="B1847" s="6"/>
      <c r="E1847" s="7"/>
      <c r="F1847" t="str">
        <f t="shared" si="81"/>
        <v/>
      </c>
      <c r="G1847" t="str">
        <f t="shared" si="82"/>
        <v/>
      </c>
    </row>
    <row r="1848" spans="2:7">
      <c r="B1848" s="6"/>
      <c r="E1848" s="7"/>
      <c r="F1848" t="str">
        <f t="shared" si="81"/>
        <v/>
      </c>
      <c r="G1848" t="str">
        <f t="shared" si="82"/>
        <v/>
      </c>
    </row>
    <row r="1849" spans="2:7">
      <c r="B1849" s="6"/>
      <c r="E1849" s="7"/>
      <c r="F1849" t="str">
        <f t="shared" si="81"/>
        <v/>
      </c>
      <c r="G1849" t="str">
        <f t="shared" si="82"/>
        <v/>
      </c>
    </row>
    <row r="1850" spans="2:7">
      <c r="B1850" s="6"/>
      <c r="E1850" s="7"/>
      <c r="F1850" t="str">
        <f t="shared" si="81"/>
        <v/>
      </c>
      <c r="G1850" t="str">
        <f t="shared" si="82"/>
        <v/>
      </c>
    </row>
    <row r="1851" spans="2:7">
      <c r="B1851" s="6"/>
      <c r="E1851" s="7"/>
      <c r="F1851" t="str">
        <f t="shared" si="81"/>
        <v/>
      </c>
      <c r="G1851" t="str">
        <f t="shared" si="82"/>
        <v/>
      </c>
    </row>
    <row r="1852" spans="2:7">
      <c r="B1852" s="6"/>
      <c r="E1852" s="7"/>
      <c r="F1852" t="str">
        <f t="shared" si="81"/>
        <v/>
      </c>
      <c r="G1852" t="str">
        <f t="shared" si="82"/>
        <v/>
      </c>
    </row>
    <row r="1853" spans="2:7">
      <c r="B1853" s="6"/>
      <c r="E1853" s="7"/>
      <c r="F1853" t="str">
        <f t="shared" si="81"/>
        <v/>
      </c>
      <c r="G1853" t="str">
        <f t="shared" si="82"/>
        <v/>
      </c>
    </row>
    <row r="1854" spans="2:7">
      <c r="B1854" s="6"/>
      <c r="E1854" s="7"/>
      <c r="F1854" t="str">
        <f t="shared" si="81"/>
        <v/>
      </c>
      <c r="G1854" t="str">
        <f t="shared" si="82"/>
        <v/>
      </c>
    </row>
    <row r="1855" spans="2:7">
      <c r="B1855" s="6"/>
      <c r="E1855" s="7"/>
      <c r="F1855" t="str">
        <f t="shared" si="81"/>
        <v/>
      </c>
      <c r="G1855" t="str">
        <f t="shared" si="82"/>
        <v/>
      </c>
    </row>
    <row r="1856" spans="2:7">
      <c r="B1856" s="6"/>
      <c r="E1856" s="7"/>
      <c r="F1856" t="str">
        <f t="shared" si="81"/>
        <v/>
      </c>
      <c r="G1856" t="str">
        <f t="shared" si="82"/>
        <v/>
      </c>
    </row>
    <row r="1857" spans="2:7">
      <c r="B1857" s="6"/>
      <c r="E1857" s="7"/>
      <c r="F1857" t="str">
        <f t="shared" si="81"/>
        <v/>
      </c>
      <c r="G1857" t="str">
        <f t="shared" si="82"/>
        <v/>
      </c>
    </row>
    <row r="1858" spans="2:7">
      <c r="B1858" s="6"/>
      <c r="E1858" s="7"/>
      <c r="F1858" t="str">
        <f t="shared" si="81"/>
        <v/>
      </c>
      <c r="G1858" t="str">
        <f t="shared" si="82"/>
        <v/>
      </c>
    </row>
    <row r="1859" spans="2:7">
      <c r="B1859" s="6"/>
      <c r="E1859" s="7"/>
      <c r="F1859" t="str">
        <f t="shared" si="81"/>
        <v/>
      </c>
      <c r="G1859" t="str">
        <f t="shared" si="82"/>
        <v/>
      </c>
    </row>
    <row r="1860" spans="2:7">
      <c r="B1860" s="6"/>
      <c r="E1860" s="7"/>
      <c r="F1860" t="str">
        <f t="shared" ref="F1860:F1923" si="83">IF(B1860="","",LOG10(D1860))</f>
        <v/>
      </c>
      <c r="G1860" t="str">
        <f t="shared" ref="G1860:G1923" si="84">IF(E1860="", "",0.434*E1860/D1860)</f>
        <v/>
      </c>
    </row>
    <row r="1861" spans="2:7">
      <c r="B1861" s="6"/>
      <c r="E1861" s="7"/>
      <c r="F1861" t="str">
        <f t="shared" si="83"/>
        <v/>
      </c>
      <c r="G1861" t="str">
        <f t="shared" si="84"/>
        <v/>
      </c>
    </row>
    <row r="1862" spans="2:7">
      <c r="B1862" s="6"/>
      <c r="E1862" s="7"/>
      <c r="F1862" t="str">
        <f t="shared" si="83"/>
        <v/>
      </c>
      <c r="G1862" t="str">
        <f t="shared" si="84"/>
        <v/>
      </c>
    </row>
    <row r="1863" spans="2:7">
      <c r="B1863" s="6"/>
      <c r="E1863" s="7"/>
      <c r="F1863" t="str">
        <f t="shared" si="83"/>
        <v/>
      </c>
      <c r="G1863" t="str">
        <f t="shared" si="84"/>
        <v/>
      </c>
    </row>
    <row r="1864" spans="2:7">
      <c r="B1864" s="6"/>
      <c r="E1864" s="7"/>
      <c r="F1864" t="str">
        <f t="shared" si="83"/>
        <v/>
      </c>
      <c r="G1864" t="str">
        <f t="shared" si="84"/>
        <v/>
      </c>
    </row>
    <row r="1865" spans="2:7">
      <c r="B1865" s="6"/>
      <c r="E1865" s="7"/>
      <c r="F1865" t="str">
        <f t="shared" si="83"/>
        <v/>
      </c>
      <c r="G1865" t="str">
        <f t="shared" si="84"/>
        <v/>
      </c>
    </row>
    <row r="1866" spans="2:7">
      <c r="B1866" s="6"/>
      <c r="E1866" s="7"/>
      <c r="F1866" t="str">
        <f t="shared" si="83"/>
        <v/>
      </c>
      <c r="G1866" t="str">
        <f t="shared" si="84"/>
        <v/>
      </c>
    </row>
    <row r="1867" spans="2:7">
      <c r="B1867" s="6"/>
      <c r="E1867" s="7"/>
      <c r="F1867" t="str">
        <f t="shared" si="83"/>
        <v/>
      </c>
      <c r="G1867" t="str">
        <f t="shared" si="84"/>
        <v/>
      </c>
    </row>
    <row r="1868" spans="2:7">
      <c r="B1868" s="6"/>
      <c r="E1868" s="7"/>
      <c r="F1868" t="str">
        <f t="shared" si="83"/>
        <v/>
      </c>
      <c r="G1868" t="str">
        <f t="shared" si="84"/>
        <v/>
      </c>
    </row>
    <row r="1869" spans="2:7">
      <c r="B1869" s="6"/>
      <c r="E1869" s="7"/>
      <c r="F1869" t="str">
        <f t="shared" si="83"/>
        <v/>
      </c>
      <c r="G1869" t="str">
        <f t="shared" si="84"/>
        <v/>
      </c>
    </row>
    <row r="1870" spans="2:7">
      <c r="B1870" s="6"/>
      <c r="E1870" s="7"/>
      <c r="F1870" t="str">
        <f t="shared" si="83"/>
        <v/>
      </c>
      <c r="G1870" t="str">
        <f t="shared" si="84"/>
        <v/>
      </c>
    </row>
    <row r="1871" spans="2:7">
      <c r="B1871" s="6"/>
      <c r="E1871" s="7"/>
      <c r="F1871" t="str">
        <f t="shared" si="83"/>
        <v/>
      </c>
      <c r="G1871" t="str">
        <f t="shared" si="84"/>
        <v/>
      </c>
    </row>
    <row r="1872" spans="2:7">
      <c r="B1872" s="6"/>
      <c r="E1872" s="7"/>
      <c r="F1872" t="str">
        <f t="shared" si="83"/>
        <v/>
      </c>
      <c r="G1872" t="str">
        <f t="shared" si="84"/>
        <v/>
      </c>
    </row>
    <row r="1873" spans="2:7">
      <c r="B1873" s="6"/>
      <c r="E1873" s="7"/>
      <c r="F1873" t="str">
        <f t="shared" si="83"/>
        <v/>
      </c>
      <c r="G1873" t="str">
        <f t="shared" si="84"/>
        <v/>
      </c>
    </row>
    <row r="1874" spans="2:7">
      <c r="B1874" s="6"/>
      <c r="E1874" s="7"/>
      <c r="F1874" t="str">
        <f t="shared" si="83"/>
        <v/>
      </c>
      <c r="G1874" t="str">
        <f t="shared" si="84"/>
        <v/>
      </c>
    </row>
    <row r="1875" spans="2:7">
      <c r="B1875" s="6"/>
      <c r="E1875" s="7"/>
      <c r="F1875" t="str">
        <f t="shared" si="83"/>
        <v/>
      </c>
      <c r="G1875" t="str">
        <f t="shared" si="84"/>
        <v/>
      </c>
    </row>
    <row r="1876" spans="2:7">
      <c r="B1876" s="6"/>
      <c r="E1876" s="7"/>
      <c r="F1876" t="str">
        <f t="shared" si="83"/>
        <v/>
      </c>
      <c r="G1876" t="str">
        <f t="shared" si="84"/>
        <v/>
      </c>
    </row>
    <row r="1877" spans="2:7">
      <c r="B1877" s="6"/>
      <c r="E1877" s="7"/>
      <c r="F1877" t="str">
        <f t="shared" si="83"/>
        <v/>
      </c>
      <c r="G1877" t="str">
        <f t="shared" si="84"/>
        <v/>
      </c>
    </row>
    <row r="1878" spans="2:7">
      <c r="B1878" s="6"/>
      <c r="E1878" s="7"/>
      <c r="F1878" t="str">
        <f t="shared" si="83"/>
        <v/>
      </c>
      <c r="G1878" t="str">
        <f t="shared" si="84"/>
        <v/>
      </c>
    </row>
    <row r="1879" spans="2:7">
      <c r="B1879" s="6"/>
      <c r="E1879" s="7"/>
      <c r="F1879" t="str">
        <f t="shared" si="83"/>
        <v/>
      </c>
      <c r="G1879" t="str">
        <f t="shared" si="84"/>
        <v/>
      </c>
    </row>
    <row r="1880" spans="2:7">
      <c r="B1880" s="6"/>
      <c r="E1880" s="7"/>
      <c r="F1880" t="str">
        <f t="shared" si="83"/>
        <v/>
      </c>
      <c r="G1880" t="str">
        <f t="shared" si="84"/>
        <v/>
      </c>
    </row>
    <row r="1881" spans="2:7">
      <c r="B1881" s="6"/>
      <c r="E1881" s="7"/>
      <c r="F1881" t="str">
        <f t="shared" si="83"/>
        <v/>
      </c>
      <c r="G1881" t="str">
        <f t="shared" si="84"/>
        <v/>
      </c>
    </row>
    <row r="1882" spans="2:7">
      <c r="B1882" s="6"/>
      <c r="E1882" s="7"/>
      <c r="F1882" t="str">
        <f t="shared" si="83"/>
        <v/>
      </c>
      <c r="G1882" t="str">
        <f t="shared" si="84"/>
        <v/>
      </c>
    </row>
    <row r="1883" spans="2:7">
      <c r="B1883" s="6"/>
      <c r="E1883" s="7"/>
      <c r="F1883" t="str">
        <f t="shared" si="83"/>
        <v/>
      </c>
      <c r="G1883" t="str">
        <f t="shared" si="84"/>
        <v/>
      </c>
    </row>
    <row r="1884" spans="2:7">
      <c r="B1884" s="6"/>
      <c r="E1884" s="7"/>
      <c r="F1884" t="str">
        <f t="shared" si="83"/>
        <v/>
      </c>
      <c r="G1884" t="str">
        <f t="shared" si="84"/>
        <v/>
      </c>
    </row>
    <row r="1885" spans="2:7">
      <c r="B1885" s="6"/>
      <c r="E1885" s="7"/>
      <c r="F1885" t="str">
        <f t="shared" si="83"/>
        <v/>
      </c>
      <c r="G1885" t="str">
        <f t="shared" si="84"/>
        <v/>
      </c>
    </row>
    <row r="1886" spans="2:7">
      <c r="B1886" s="6"/>
      <c r="E1886" s="7"/>
      <c r="F1886" t="str">
        <f t="shared" si="83"/>
        <v/>
      </c>
      <c r="G1886" t="str">
        <f t="shared" si="84"/>
        <v/>
      </c>
    </row>
    <row r="1887" spans="2:7">
      <c r="B1887" s="6"/>
      <c r="E1887" s="7"/>
      <c r="F1887" t="str">
        <f t="shared" si="83"/>
        <v/>
      </c>
      <c r="G1887" t="str">
        <f t="shared" si="84"/>
        <v/>
      </c>
    </row>
    <row r="1888" spans="2:7">
      <c r="B1888" s="6"/>
      <c r="E1888" s="7"/>
      <c r="F1888" t="str">
        <f t="shared" si="83"/>
        <v/>
      </c>
      <c r="G1888" t="str">
        <f t="shared" si="84"/>
        <v/>
      </c>
    </row>
    <row r="1889" spans="2:7">
      <c r="B1889" s="6"/>
      <c r="E1889" s="7"/>
      <c r="F1889" t="str">
        <f t="shared" si="83"/>
        <v/>
      </c>
      <c r="G1889" t="str">
        <f t="shared" si="84"/>
        <v/>
      </c>
    </row>
    <row r="1890" spans="2:7">
      <c r="B1890" s="6"/>
      <c r="E1890" s="7"/>
      <c r="F1890" t="str">
        <f t="shared" si="83"/>
        <v/>
      </c>
      <c r="G1890" t="str">
        <f t="shared" si="84"/>
        <v/>
      </c>
    </row>
    <row r="1891" spans="2:7">
      <c r="B1891" s="6"/>
      <c r="E1891" s="7"/>
      <c r="F1891" t="str">
        <f t="shared" si="83"/>
        <v/>
      </c>
      <c r="G1891" t="str">
        <f t="shared" si="84"/>
        <v/>
      </c>
    </row>
    <row r="1892" spans="2:7">
      <c r="B1892" s="6"/>
      <c r="E1892" s="7"/>
      <c r="F1892" t="str">
        <f t="shared" si="83"/>
        <v/>
      </c>
      <c r="G1892" t="str">
        <f t="shared" si="84"/>
        <v/>
      </c>
    </row>
    <row r="1893" spans="2:7">
      <c r="B1893" s="6"/>
      <c r="E1893" s="7"/>
      <c r="F1893" t="str">
        <f t="shared" si="83"/>
        <v/>
      </c>
      <c r="G1893" t="str">
        <f t="shared" si="84"/>
        <v/>
      </c>
    </row>
    <row r="1894" spans="2:7">
      <c r="B1894" s="6"/>
      <c r="E1894" s="7"/>
      <c r="F1894" t="str">
        <f t="shared" si="83"/>
        <v/>
      </c>
      <c r="G1894" t="str">
        <f t="shared" si="84"/>
        <v/>
      </c>
    </row>
    <row r="1895" spans="2:7">
      <c r="B1895" s="6"/>
      <c r="E1895" s="7"/>
      <c r="F1895" t="str">
        <f t="shared" si="83"/>
        <v/>
      </c>
      <c r="G1895" t="str">
        <f t="shared" si="84"/>
        <v/>
      </c>
    </row>
    <row r="1896" spans="2:7">
      <c r="B1896" s="6"/>
      <c r="E1896" s="7"/>
      <c r="F1896" t="str">
        <f t="shared" si="83"/>
        <v/>
      </c>
      <c r="G1896" t="str">
        <f t="shared" si="84"/>
        <v/>
      </c>
    </row>
    <row r="1897" spans="2:7">
      <c r="B1897" s="6"/>
      <c r="E1897" s="7"/>
      <c r="F1897" t="str">
        <f t="shared" si="83"/>
        <v/>
      </c>
      <c r="G1897" t="str">
        <f t="shared" si="84"/>
        <v/>
      </c>
    </row>
    <row r="1898" spans="2:7">
      <c r="B1898" s="6"/>
      <c r="E1898" s="7"/>
      <c r="F1898" t="str">
        <f t="shared" si="83"/>
        <v/>
      </c>
      <c r="G1898" t="str">
        <f t="shared" si="84"/>
        <v/>
      </c>
    </row>
    <row r="1899" spans="2:7">
      <c r="B1899" s="6"/>
      <c r="E1899" s="7"/>
      <c r="F1899" t="str">
        <f t="shared" si="83"/>
        <v/>
      </c>
      <c r="G1899" t="str">
        <f t="shared" si="84"/>
        <v/>
      </c>
    </row>
    <row r="1900" spans="2:7">
      <c r="B1900" s="6"/>
      <c r="E1900" s="7"/>
      <c r="F1900" t="str">
        <f t="shared" si="83"/>
        <v/>
      </c>
      <c r="G1900" t="str">
        <f t="shared" si="84"/>
        <v/>
      </c>
    </row>
    <row r="1901" spans="2:7">
      <c r="B1901" s="6"/>
      <c r="E1901" s="7"/>
      <c r="F1901" t="str">
        <f t="shared" si="83"/>
        <v/>
      </c>
      <c r="G1901" t="str">
        <f t="shared" si="84"/>
        <v/>
      </c>
    </row>
    <row r="1902" spans="2:7">
      <c r="B1902" s="6"/>
      <c r="E1902" s="7"/>
      <c r="F1902" t="str">
        <f t="shared" si="83"/>
        <v/>
      </c>
      <c r="G1902" t="str">
        <f t="shared" si="84"/>
        <v/>
      </c>
    </row>
    <row r="1903" spans="2:7">
      <c r="B1903" s="6"/>
      <c r="E1903" s="7"/>
      <c r="F1903" t="str">
        <f t="shared" si="83"/>
        <v/>
      </c>
      <c r="G1903" t="str">
        <f t="shared" si="84"/>
        <v/>
      </c>
    </row>
    <row r="1904" spans="2:7">
      <c r="B1904" s="6"/>
      <c r="E1904" s="7"/>
      <c r="F1904" t="str">
        <f t="shared" si="83"/>
        <v/>
      </c>
      <c r="G1904" t="str">
        <f t="shared" si="84"/>
        <v/>
      </c>
    </row>
    <row r="1905" spans="2:7">
      <c r="B1905" s="6"/>
      <c r="E1905" s="7"/>
      <c r="F1905" t="str">
        <f t="shared" si="83"/>
        <v/>
      </c>
      <c r="G1905" t="str">
        <f t="shared" si="84"/>
        <v/>
      </c>
    </row>
    <row r="1906" spans="2:7">
      <c r="B1906" s="6"/>
      <c r="E1906" s="7"/>
      <c r="F1906" t="str">
        <f t="shared" si="83"/>
        <v/>
      </c>
      <c r="G1906" t="str">
        <f t="shared" si="84"/>
        <v/>
      </c>
    </row>
    <row r="1907" spans="2:7">
      <c r="B1907" s="6"/>
      <c r="E1907" s="7"/>
      <c r="F1907" t="str">
        <f t="shared" si="83"/>
        <v/>
      </c>
      <c r="G1907" t="str">
        <f t="shared" si="84"/>
        <v/>
      </c>
    </row>
    <row r="1908" spans="2:7">
      <c r="B1908" s="6"/>
      <c r="E1908" s="7"/>
      <c r="F1908" t="str">
        <f t="shared" si="83"/>
        <v/>
      </c>
      <c r="G1908" t="str">
        <f t="shared" si="84"/>
        <v/>
      </c>
    </row>
    <row r="1909" spans="2:7">
      <c r="B1909" s="6"/>
      <c r="E1909" s="7"/>
      <c r="F1909" t="str">
        <f t="shared" si="83"/>
        <v/>
      </c>
      <c r="G1909" t="str">
        <f t="shared" si="84"/>
        <v/>
      </c>
    </row>
    <row r="1910" spans="2:7">
      <c r="B1910" s="6"/>
      <c r="E1910" s="7"/>
      <c r="F1910" t="str">
        <f t="shared" si="83"/>
        <v/>
      </c>
      <c r="G1910" t="str">
        <f t="shared" si="84"/>
        <v/>
      </c>
    </row>
    <row r="1911" spans="2:7">
      <c r="B1911" s="6"/>
      <c r="E1911" s="7"/>
      <c r="F1911" t="str">
        <f t="shared" si="83"/>
        <v/>
      </c>
      <c r="G1911" t="str">
        <f t="shared" si="84"/>
        <v/>
      </c>
    </row>
    <row r="1912" spans="2:7">
      <c r="B1912" s="6"/>
      <c r="E1912" s="7"/>
      <c r="F1912" t="str">
        <f t="shared" si="83"/>
        <v/>
      </c>
      <c r="G1912" t="str">
        <f t="shared" si="84"/>
        <v/>
      </c>
    </row>
    <row r="1913" spans="2:7">
      <c r="B1913" s="6"/>
      <c r="E1913" s="7"/>
      <c r="F1913" t="str">
        <f t="shared" si="83"/>
        <v/>
      </c>
      <c r="G1913" t="str">
        <f t="shared" si="84"/>
        <v/>
      </c>
    </row>
    <row r="1914" spans="2:7">
      <c r="B1914" s="6"/>
      <c r="E1914" s="7"/>
      <c r="F1914" t="str">
        <f t="shared" si="83"/>
        <v/>
      </c>
      <c r="G1914" t="str">
        <f t="shared" si="84"/>
        <v/>
      </c>
    </row>
    <row r="1915" spans="2:7">
      <c r="B1915" s="6"/>
      <c r="E1915" s="7"/>
      <c r="F1915" t="str">
        <f t="shared" si="83"/>
        <v/>
      </c>
      <c r="G1915" t="str">
        <f t="shared" si="84"/>
        <v/>
      </c>
    </row>
    <row r="1916" spans="2:7">
      <c r="B1916" s="6"/>
      <c r="E1916" s="7"/>
      <c r="F1916" t="str">
        <f t="shared" si="83"/>
        <v/>
      </c>
      <c r="G1916" t="str">
        <f t="shared" si="84"/>
        <v/>
      </c>
    </row>
    <row r="1917" spans="2:7">
      <c r="B1917" s="6"/>
      <c r="E1917" s="7"/>
      <c r="F1917" t="str">
        <f t="shared" si="83"/>
        <v/>
      </c>
      <c r="G1917" t="str">
        <f t="shared" si="84"/>
        <v/>
      </c>
    </row>
    <row r="1918" spans="2:7">
      <c r="B1918" s="6"/>
      <c r="E1918" s="7"/>
      <c r="F1918" t="str">
        <f t="shared" si="83"/>
        <v/>
      </c>
      <c r="G1918" t="str">
        <f t="shared" si="84"/>
        <v/>
      </c>
    </row>
    <row r="1919" spans="2:7">
      <c r="B1919" s="6"/>
      <c r="E1919" s="7"/>
      <c r="F1919" t="str">
        <f t="shared" si="83"/>
        <v/>
      </c>
      <c r="G1919" t="str">
        <f t="shared" si="84"/>
        <v/>
      </c>
    </row>
    <row r="1920" spans="2:7">
      <c r="B1920" s="6"/>
      <c r="E1920" s="7"/>
      <c r="F1920" t="str">
        <f t="shared" si="83"/>
        <v/>
      </c>
      <c r="G1920" t="str">
        <f t="shared" si="84"/>
        <v/>
      </c>
    </row>
    <row r="1921" spans="2:7">
      <c r="B1921" s="6"/>
      <c r="E1921" s="7"/>
      <c r="F1921" t="str">
        <f t="shared" si="83"/>
        <v/>
      </c>
      <c r="G1921" t="str">
        <f t="shared" si="84"/>
        <v/>
      </c>
    </row>
    <row r="1922" spans="2:7">
      <c r="B1922" s="6"/>
      <c r="E1922" s="7"/>
      <c r="F1922" t="str">
        <f t="shared" si="83"/>
        <v/>
      </c>
      <c r="G1922" t="str">
        <f t="shared" si="84"/>
        <v/>
      </c>
    </row>
    <row r="1923" spans="2:7">
      <c r="B1923" s="6"/>
      <c r="E1923" s="7"/>
      <c r="F1923" t="str">
        <f t="shared" si="83"/>
        <v/>
      </c>
      <c r="G1923" t="str">
        <f t="shared" si="84"/>
        <v/>
      </c>
    </row>
    <row r="1924" spans="2:7">
      <c r="B1924" s="6"/>
      <c r="E1924" s="7"/>
      <c r="F1924" t="str">
        <f t="shared" ref="F1924:F1987" si="85">IF(B1924="","",LOG10(D1924))</f>
        <v/>
      </c>
      <c r="G1924" t="str">
        <f t="shared" ref="G1924:G1987" si="86">IF(E1924="", "",0.434*E1924/D1924)</f>
        <v/>
      </c>
    </row>
    <row r="1925" spans="2:7">
      <c r="B1925" s="6"/>
      <c r="E1925" s="7"/>
      <c r="F1925" t="str">
        <f t="shared" si="85"/>
        <v/>
      </c>
      <c r="G1925" t="str">
        <f t="shared" si="86"/>
        <v/>
      </c>
    </row>
    <row r="1926" spans="2:7">
      <c r="B1926" s="6"/>
      <c r="E1926" s="7"/>
      <c r="F1926" t="str">
        <f t="shared" si="85"/>
        <v/>
      </c>
      <c r="G1926" t="str">
        <f t="shared" si="86"/>
        <v/>
      </c>
    </row>
    <row r="1927" spans="2:7">
      <c r="B1927" s="6"/>
      <c r="E1927" s="7"/>
      <c r="F1927" t="str">
        <f t="shared" si="85"/>
        <v/>
      </c>
      <c r="G1927" t="str">
        <f t="shared" si="86"/>
        <v/>
      </c>
    </row>
    <row r="1928" spans="2:7">
      <c r="B1928" s="6"/>
      <c r="E1928" s="7"/>
      <c r="F1928" t="str">
        <f t="shared" si="85"/>
        <v/>
      </c>
      <c r="G1928" t="str">
        <f t="shared" si="86"/>
        <v/>
      </c>
    </row>
    <row r="1929" spans="2:7">
      <c r="B1929" s="6"/>
      <c r="E1929" s="7"/>
      <c r="F1929" t="str">
        <f t="shared" si="85"/>
        <v/>
      </c>
      <c r="G1929" t="str">
        <f t="shared" si="86"/>
        <v/>
      </c>
    </row>
    <row r="1930" spans="2:7">
      <c r="B1930" s="6"/>
      <c r="E1930" s="7"/>
      <c r="F1930" t="str">
        <f t="shared" si="85"/>
        <v/>
      </c>
      <c r="G1930" t="str">
        <f t="shared" si="86"/>
        <v/>
      </c>
    </row>
    <row r="1931" spans="2:7">
      <c r="B1931" s="6"/>
      <c r="E1931" s="7"/>
      <c r="F1931" t="str">
        <f t="shared" si="85"/>
        <v/>
      </c>
      <c r="G1931" t="str">
        <f t="shared" si="86"/>
        <v/>
      </c>
    </row>
    <row r="1932" spans="2:7">
      <c r="B1932" s="6"/>
      <c r="E1932" s="7"/>
      <c r="F1932" t="str">
        <f t="shared" si="85"/>
        <v/>
      </c>
      <c r="G1932" t="str">
        <f t="shared" si="86"/>
        <v/>
      </c>
    </row>
    <row r="1933" spans="2:7">
      <c r="B1933" s="6"/>
      <c r="E1933" s="7"/>
      <c r="F1933" t="str">
        <f t="shared" si="85"/>
        <v/>
      </c>
      <c r="G1933" t="str">
        <f t="shared" si="86"/>
        <v/>
      </c>
    </row>
    <row r="1934" spans="2:7">
      <c r="B1934" s="6"/>
      <c r="E1934" s="7"/>
      <c r="F1934" t="str">
        <f t="shared" si="85"/>
        <v/>
      </c>
      <c r="G1934" t="str">
        <f t="shared" si="86"/>
        <v/>
      </c>
    </row>
    <row r="1935" spans="2:7">
      <c r="B1935" s="6"/>
      <c r="E1935" s="7"/>
      <c r="F1935" t="str">
        <f t="shared" si="85"/>
        <v/>
      </c>
      <c r="G1935" t="str">
        <f t="shared" si="86"/>
        <v/>
      </c>
    </row>
    <row r="1936" spans="2:7">
      <c r="B1936" s="6"/>
      <c r="E1936" s="7"/>
      <c r="F1936" t="str">
        <f t="shared" si="85"/>
        <v/>
      </c>
      <c r="G1936" t="str">
        <f t="shared" si="86"/>
        <v/>
      </c>
    </row>
    <row r="1937" spans="2:7">
      <c r="B1937" s="6"/>
      <c r="E1937" s="7"/>
      <c r="F1937" t="str">
        <f t="shared" si="85"/>
        <v/>
      </c>
      <c r="G1937" t="str">
        <f t="shared" si="86"/>
        <v/>
      </c>
    </row>
    <row r="1938" spans="2:7">
      <c r="B1938" s="6"/>
      <c r="E1938" s="7"/>
      <c r="F1938" t="str">
        <f t="shared" si="85"/>
        <v/>
      </c>
      <c r="G1938" t="str">
        <f t="shared" si="86"/>
        <v/>
      </c>
    </row>
    <row r="1939" spans="2:7">
      <c r="B1939" s="6"/>
      <c r="E1939" s="7"/>
      <c r="F1939" t="str">
        <f t="shared" si="85"/>
        <v/>
      </c>
      <c r="G1939" t="str">
        <f t="shared" si="86"/>
        <v/>
      </c>
    </row>
    <row r="1940" spans="2:7">
      <c r="B1940" s="6"/>
      <c r="E1940" s="7"/>
      <c r="F1940" t="str">
        <f t="shared" si="85"/>
        <v/>
      </c>
      <c r="G1940" t="str">
        <f t="shared" si="86"/>
        <v/>
      </c>
    </row>
    <row r="1941" spans="2:7">
      <c r="B1941" s="6"/>
      <c r="E1941" s="7"/>
      <c r="F1941" t="str">
        <f t="shared" si="85"/>
        <v/>
      </c>
      <c r="G1941" t="str">
        <f t="shared" si="86"/>
        <v/>
      </c>
    </row>
    <row r="1942" spans="2:7">
      <c r="B1942" s="6"/>
      <c r="E1942" s="7"/>
      <c r="F1942" t="str">
        <f t="shared" si="85"/>
        <v/>
      </c>
      <c r="G1942" t="str">
        <f t="shared" si="86"/>
        <v/>
      </c>
    </row>
    <row r="1943" spans="2:7">
      <c r="B1943" s="6"/>
      <c r="E1943" s="7"/>
      <c r="F1943" t="str">
        <f t="shared" si="85"/>
        <v/>
      </c>
      <c r="G1943" t="str">
        <f t="shared" si="86"/>
        <v/>
      </c>
    </row>
    <row r="1944" spans="2:7">
      <c r="B1944" s="6"/>
      <c r="E1944" s="7"/>
      <c r="F1944" t="str">
        <f t="shared" si="85"/>
        <v/>
      </c>
      <c r="G1944" t="str">
        <f t="shared" si="86"/>
        <v/>
      </c>
    </row>
    <row r="1945" spans="2:7">
      <c r="B1945" s="6"/>
      <c r="E1945" s="7"/>
      <c r="F1945" t="str">
        <f t="shared" si="85"/>
        <v/>
      </c>
      <c r="G1945" t="str">
        <f t="shared" si="86"/>
        <v/>
      </c>
    </row>
    <row r="1946" spans="2:7">
      <c r="B1946" s="6"/>
      <c r="E1946" s="7"/>
      <c r="F1946" t="str">
        <f t="shared" si="85"/>
        <v/>
      </c>
      <c r="G1946" t="str">
        <f t="shared" si="86"/>
        <v/>
      </c>
    </row>
    <row r="1947" spans="2:7">
      <c r="B1947" s="6"/>
      <c r="E1947" s="7"/>
      <c r="F1947" t="str">
        <f t="shared" si="85"/>
        <v/>
      </c>
      <c r="G1947" t="str">
        <f t="shared" si="86"/>
        <v/>
      </c>
    </row>
    <row r="1948" spans="2:7">
      <c r="B1948" s="6"/>
      <c r="E1948" s="7"/>
      <c r="F1948" t="str">
        <f t="shared" si="85"/>
        <v/>
      </c>
      <c r="G1948" t="str">
        <f t="shared" si="86"/>
        <v/>
      </c>
    </row>
    <row r="1949" spans="2:7">
      <c r="B1949" s="6"/>
      <c r="E1949" s="7"/>
      <c r="F1949" t="str">
        <f t="shared" si="85"/>
        <v/>
      </c>
      <c r="G1949" t="str">
        <f t="shared" si="86"/>
        <v/>
      </c>
    </row>
    <row r="1950" spans="2:7">
      <c r="B1950" s="6"/>
      <c r="E1950" s="7"/>
      <c r="F1950" t="str">
        <f t="shared" si="85"/>
        <v/>
      </c>
      <c r="G1950" t="str">
        <f t="shared" si="86"/>
        <v/>
      </c>
    </row>
    <row r="1951" spans="2:7">
      <c r="B1951" s="6"/>
      <c r="E1951" s="7"/>
      <c r="F1951" t="str">
        <f t="shared" si="85"/>
        <v/>
      </c>
      <c r="G1951" t="str">
        <f t="shared" si="86"/>
        <v/>
      </c>
    </row>
    <row r="1952" spans="2:7">
      <c r="B1952" s="6"/>
      <c r="E1952" s="7"/>
      <c r="F1952" t="str">
        <f t="shared" si="85"/>
        <v/>
      </c>
      <c r="G1952" t="str">
        <f t="shared" si="86"/>
        <v/>
      </c>
    </row>
    <row r="1953" spans="2:7">
      <c r="B1953" s="6"/>
      <c r="E1953" s="7"/>
      <c r="F1953" t="str">
        <f t="shared" si="85"/>
        <v/>
      </c>
      <c r="G1953" t="str">
        <f t="shared" si="86"/>
        <v/>
      </c>
    </row>
    <row r="1954" spans="2:7">
      <c r="B1954" s="6"/>
      <c r="E1954" s="7"/>
      <c r="F1954" t="str">
        <f t="shared" si="85"/>
        <v/>
      </c>
      <c r="G1954" t="str">
        <f t="shared" si="86"/>
        <v/>
      </c>
    </row>
    <row r="1955" spans="2:7">
      <c r="B1955" s="6"/>
      <c r="E1955" s="7"/>
      <c r="F1955" t="str">
        <f t="shared" si="85"/>
        <v/>
      </c>
      <c r="G1955" t="str">
        <f t="shared" si="86"/>
        <v/>
      </c>
    </row>
    <row r="1956" spans="2:7">
      <c r="B1956" s="6"/>
      <c r="E1956" s="7"/>
      <c r="F1956" t="str">
        <f t="shared" si="85"/>
        <v/>
      </c>
      <c r="G1956" t="str">
        <f t="shared" si="86"/>
        <v/>
      </c>
    </row>
    <row r="1957" spans="2:7">
      <c r="B1957" s="6"/>
      <c r="E1957" s="7"/>
      <c r="F1957" t="str">
        <f t="shared" si="85"/>
        <v/>
      </c>
      <c r="G1957" t="str">
        <f t="shared" si="86"/>
        <v/>
      </c>
    </row>
    <row r="1958" spans="2:7">
      <c r="B1958" s="6"/>
      <c r="E1958" s="7"/>
      <c r="F1958" t="str">
        <f t="shared" si="85"/>
        <v/>
      </c>
      <c r="G1958" t="str">
        <f t="shared" si="86"/>
        <v/>
      </c>
    </row>
    <row r="1959" spans="2:7">
      <c r="B1959" s="6"/>
      <c r="E1959" s="7"/>
      <c r="F1959" t="str">
        <f t="shared" si="85"/>
        <v/>
      </c>
      <c r="G1959" t="str">
        <f t="shared" si="86"/>
        <v/>
      </c>
    </row>
    <row r="1960" spans="2:7">
      <c r="B1960" s="6"/>
      <c r="E1960" s="7"/>
      <c r="F1960" t="str">
        <f t="shared" si="85"/>
        <v/>
      </c>
      <c r="G1960" t="str">
        <f t="shared" si="86"/>
        <v/>
      </c>
    </row>
    <row r="1961" spans="2:7">
      <c r="B1961" s="6"/>
      <c r="E1961" s="7"/>
      <c r="F1961" t="str">
        <f t="shared" si="85"/>
        <v/>
      </c>
      <c r="G1961" t="str">
        <f t="shared" si="86"/>
        <v/>
      </c>
    </row>
    <row r="1962" spans="2:7">
      <c r="B1962" s="6"/>
      <c r="E1962" s="7"/>
      <c r="F1962" t="str">
        <f t="shared" si="85"/>
        <v/>
      </c>
      <c r="G1962" t="str">
        <f t="shared" si="86"/>
        <v/>
      </c>
    </row>
    <row r="1963" spans="2:7">
      <c r="B1963" s="6"/>
      <c r="E1963" s="7"/>
      <c r="F1963" t="str">
        <f t="shared" si="85"/>
        <v/>
      </c>
      <c r="G1963" t="str">
        <f t="shared" si="86"/>
        <v/>
      </c>
    </row>
    <row r="1964" spans="2:7">
      <c r="B1964" s="6"/>
      <c r="E1964" s="7"/>
      <c r="F1964" t="str">
        <f t="shared" si="85"/>
        <v/>
      </c>
      <c r="G1964" t="str">
        <f t="shared" si="86"/>
        <v/>
      </c>
    </row>
    <row r="1965" spans="2:7">
      <c r="B1965" s="6"/>
      <c r="E1965" s="7"/>
      <c r="F1965" t="str">
        <f t="shared" si="85"/>
        <v/>
      </c>
      <c r="G1965" t="str">
        <f t="shared" si="86"/>
        <v/>
      </c>
    </row>
    <row r="1966" spans="2:7">
      <c r="B1966" s="6"/>
      <c r="E1966" s="7"/>
      <c r="F1966" t="str">
        <f t="shared" si="85"/>
        <v/>
      </c>
      <c r="G1966" t="str">
        <f t="shared" si="86"/>
        <v/>
      </c>
    </row>
    <row r="1967" spans="2:7">
      <c r="B1967" s="6"/>
      <c r="E1967" s="7"/>
      <c r="F1967" t="str">
        <f t="shared" si="85"/>
        <v/>
      </c>
      <c r="G1967" t="str">
        <f t="shared" si="86"/>
        <v/>
      </c>
    </row>
    <row r="1968" spans="2:7">
      <c r="B1968" s="6"/>
      <c r="E1968" s="7"/>
      <c r="F1968" t="str">
        <f t="shared" si="85"/>
        <v/>
      </c>
      <c r="G1968" t="str">
        <f t="shared" si="86"/>
        <v/>
      </c>
    </row>
    <row r="1969" spans="2:7">
      <c r="B1969" s="6"/>
      <c r="E1969" s="7"/>
      <c r="F1969" t="str">
        <f t="shared" si="85"/>
        <v/>
      </c>
      <c r="G1969" t="str">
        <f t="shared" si="86"/>
        <v/>
      </c>
    </row>
    <row r="1970" spans="2:7">
      <c r="B1970" s="6"/>
      <c r="E1970" s="7"/>
      <c r="F1970" t="str">
        <f t="shared" si="85"/>
        <v/>
      </c>
      <c r="G1970" t="str">
        <f t="shared" si="86"/>
        <v/>
      </c>
    </row>
    <row r="1971" spans="2:7">
      <c r="B1971" s="6"/>
      <c r="E1971" s="7"/>
      <c r="F1971" t="str">
        <f t="shared" si="85"/>
        <v/>
      </c>
      <c r="G1971" t="str">
        <f t="shared" si="86"/>
        <v/>
      </c>
    </row>
    <row r="1972" spans="2:7">
      <c r="B1972" s="6"/>
      <c r="E1972" s="7"/>
      <c r="F1972" t="str">
        <f t="shared" si="85"/>
        <v/>
      </c>
      <c r="G1972" t="str">
        <f t="shared" si="86"/>
        <v/>
      </c>
    </row>
    <row r="1973" spans="2:7">
      <c r="B1973" s="6"/>
      <c r="E1973" s="7"/>
      <c r="F1973" t="str">
        <f t="shared" si="85"/>
        <v/>
      </c>
      <c r="G1973" t="str">
        <f t="shared" si="86"/>
        <v/>
      </c>
    </row>
    <row r="1974" spans="2:7">
      <c r="B1974" s="6"/>
      <c r="E1974" s="7"/>
      <c r="F1974" t="str">
        <f t="shared" si="85"/>
        <v/>
      </c>
      <c r="G1974" t="str">
        <f t="shared" si="86"/>
        <v/>
      </c>
    </row>
    <row r="1975" spans="2:7">
      <c r="B1975" s="6"/>
      <c r="E1975" s="7"/>
      <c r="F1975" t="str">
        <f t="shared" si="85"/>
        <v/>
      </c>
      <c r="G1975" t="str">
        <f t="shared" si="86"/>
        <v/>
      </c>
    </row>
    <row r="1976" spans="2:7">
      <c r="B1976" s="6"/>
      <c r="E1976" s="7"/>
      <c r="F1976" t="str">
        <f t="shared" si="85"/>
        <v/>
      </c>
      <c r="G1976" t="str">
        <f t="shared" si="86"/>
        <v/>
      </c>
    </row>
    <row r="1977" spans="2:7">
      <c r="B1977" s="6"/>
      <c r="E1977" s="7"/>
      <c r="F1977" t="str">
        <f t="shared" si="85"/>
        <v/>
      </c>
      <c r="G1977" t="str">
        <f t="shared" si="86"/>
        <v/>
      </c>
    </row>
    <row r="1978" spans="2:7">
      <c r="B1978" s="6"/>
      <c r="E1978" s="7"/>
      <c r="F1978" t="str">
        <f t="shared" si="85"/>
        <v/>
      </c>
      <c r="G1978" t="str">
        <f t="shared" si="86"/>
        <v/>
      </c>
    </row>
    <row r="1979" spans="2:7">
      <c r="B1979" s="6"/>
      <c r="E1979" s="7"/>
      <c r="F1979" t="str">
        <f t="shared" si="85"/>
        <v/>
      </c>
      <c r="G1979" t="str">
        <f t="shared" si="86"/>
        <v/>
      </c>
    </row>
    <row r="1980" spans="2:7">
      <c r="B1980" s="6"/>
      <c r="E1980" s="7"/>
      <c r="F1980" t="str">
        <f t="shared" si="85"/>
        <v/>
      </c>
      <c r="G1980" t="str">
        <f t="shared" si="86"/>
        <v/>
      </c>
    </row>
    <row r="1981" spans="2:7">
      <c r="B1981" s="6"/>
      <c r="E1981" s="7"/>
      <c r="F1981" t="str">
        <f t="shared" si="85"/>
        <v/>
      </c>
      <c r="G1981" t="str">
        <f t="shared" si="86"/>
        <v/>
      </c>
    </row>
    <row r="1982" spans="2:7">
      <c r="B1982" s="6"/>
      <c r="E1982" s="7"/>
      <c r="F1982" t="str">
        <f t="shared" si="85"/>
        <v/>
      </c>
      <c r="G1982" t="str">
        <f t="shared" si="86"/>
        <v/>
      </c>
    </row>
    <row r="1983" spans="2:7">
      <c r="B1983" s="6"/>
      <c r="E1983" s="7"/>
      <c r="F1983" t="str">
        <f t="shared" si="85"/>
        <v/>
      </c>
      <c r="G1983" t="str">
        <f t="shared" si="86"/>
        <v/>
      </c>
    </row>
    <row r="1984" spans="2:7">
      <c r="B1984" s="6"/>
      <c r="E1984" s="7"/>
      <c r="F1984" t="str">
        <f t="shared" si="85"/>
        <v/>
      </c>
      <c r="G1984" t="str">
        <f t="shared" si="86"/>
        <v/>
      </c>
    </row>
    <row r="1985" spans="2:7">
      <c r="B1985" s="6"/>
      <c r="E1985" s="7"/>
      <c r="F1985" t="str">
        <f t="shared" si="85"/>
        <v/>
      </c>
      <c r="G1985" t="str">
        <f t="shared" si="86"/>
        <v/>
      </c>
    </row>
    <row r="1986" spans="2:7">
      <c r="B1986" s="6"/>
      <c r="E1986" s="7"/>
      <c r="F1986" t="str">
        <f t="shared" si="85"/>
        <v/>
      </c>
      <c r="G1986" t="str">
        <f t="shared" si="86"/>
        <v/>
      </c>
    </row>
    <row r="1987" spans="2:7">
      <c r="B1987" s="6"/>
      <c r="E1987" s="7"/>
      <c r="F1987" t="str">
        <f t="shared" si="85"/>
        <v/>
      </c>
      <c r="G1987" t="str">
        <f t="shared" si="86"/>
        <v/>
      </c>
    </row>
    <row r="1988" spans="2:7">
      <c r="B1988" s="6"/>
      <c r="E1988" s="7"/>
      <c r="F1988" t="str">
        <f t="shared" ref="F1988:F2051" si="87">IF(B1988="","",LOG10(D1988))</f>
        <v/>
      </c>
      <c r="G1988" t="str">
        <f t="shared" ref="G1988:G2051" si="88">IF(E1988="", "",0.434*E1988/D1988)</f>
        <v/>
      </c>
    </row>
    <row r="1989" spans="2:7">
      <c r="B1989" s="6"/>
      <c r="E1989" s="7"/>
      <c r="F1989" t="str">
        <f t="shared" si="87"/>
        <v/>
      </c>
      <c r="G1989" t="str">
        <f t="shared" si="88"/>
        <v/>
      </c>
    </row>
    <row r="1990" spans="2:7">
      <c r="B1990" s="6"/>
      <c r="E1990" s="7"/>
      <c r="F1990" t="str">
        <f t="shared" si="87"/>
        <v/>
      </c>
      <c r="G1990" t="str">
        <f t="shared" si="88"/>
        <v/>
      </c>
    </row>
    <row r="1991" spans="2:7">
      <c r="B1991" s="6"/>
      <c r="E1991" s="7"/>
      <c r="F1991" t="str">
        <f t="shared" si="87"/>
        <v/>
      </c>
      <c r="G1991" t="str">
        <f t="shared" si="88"/>
        <v/>
      </c>
    </row>
    <row r="1992" spans="2:7">
      <c r="B1992" s="6"/>
      <c r="E1992" s="7"/>
      <c r="F1992" t="str">
        <f t="shared" si="87"/>
        <v/>
      </c>
      <c r="G1992" t="str">
        <f t="shared" si="88"/>
        <v/>
      </c>
    </row>
    <row r="1993" spans="2:7">
      <c r="B1993" s="6"/>
      <c r="E1993" s="7"/>
      <c r="F1993" t="str">
        <f t="shared" si="87"/>
        <v/>
      </c>
      <c r="G1993" t="str">
        <f t="shared" si="88"/>
        <v/>
      </c>
    </row>
    <row r="1994" spans="2:7">
      <c r="B1994" s="6"/>
      <c r="E1994" s="7"/>
      <c r="F1994" t="str">
        <f t="shared" si="87"/>
        <v/>
      </c>
      <c r="G1994" t="str">
        <f t="shared" si="88"/>
        <v/>
      </c>
    </row>
    <row r="1995" spans="2:7">
      <c r="B1995" s="6"/>
      <c r="E1995" s="7"/>
      <c r="F1995" t="str">
        <f t="shared" si="87"/>
        <v/>
      </c>
      <c r="G1995" t="str">
        <f t="shared" si="88"/>
        <v/>
      </c>
    </row>
    <row r="1996" spans="2:7">
      <c r="B1996" s="6"/>
      <c r="E1996" s="7"/>
      <c r="F1996" t="str">
        <f t="shared" si="87"/>
        <v/>
      </c>
      <c r="G1996" t="str">
        <f t="shared" si="88"/>
        <v/>
      </c>
    </row>
    <row r="1997" spans="2:7">
      <c r="B1997" s="6"/>
      <c r="E1997" s="7"/>
      <c r="F1997" t="str">
        <f t="shared" si="87"/>
        <v/>
      </c>
      <c r="G1997" t="str">
        <f t="shared" si="88"/>
        <v/>
      </c>
    </row>
    <row r="1998" spans="2:7">
      <c r="B1998" s="6"/>
      <c r="E1998" s="7"/>
      <c r="F1998" t="str">
        <f t="shared" si="87"/>
        <v/>
      </c>
      <c r="G1998" t="str">
        <f t="shared" si="88"/>
        <v/>
      </c>
    </row>
    <row r="1999" spans="2:7">
      <c r="B1999" s="6"/>
      <c r="E1999" s="7"/>
      <c r="F1999" t="str">
        <f t="shared" si="87"/>
        <v/>
      </c>
      <c r="G1999" t="str">
        <f t="shared" si="88"/>
        <v/>
      </c>
    </row>
    <row r="2000" spans="2:7">
      <c r="B2000" s="6"/>
      <c r="E2000" s="7"/>
      <c r="F2000" t="str">
        <f t="shared" si="87"/>
        <v/>
      </c>
      <c r="G2000" t="str">
        <f t="shared" si="88"/>
        <v/>
      </c>
    </row>
    <row r="2001" spans="2:7">
      <c r="B2001" s="6"/>
      <c r="E2001" s="7"/>
      <c r="F2001" t="str">
        <f t="shared" si="87"/>
        <v/>
      </c>
      <c r="G2001" t="str">
        <f t="shared" si="88"/>
        <v/>
      </c>
    </row>
    <row r="2002" spans="2:7">
      <c r="B2002" s="6"/>
      <c r="E2002" s="7"/>
      <c r="F2002" t="str">
        <f t="shared" si="87"/>
        <v/>
      </c>
      <c r="G2002" t="str">
        <f t="shared" si="88"/>
        <v/>
      </c>
    </row>
    <row r="2003" spans="2:7">
      <c r="B2003" s="6"/>
      <c r="E2003" s="7"/>
      <c r="F2003" t="str">
        <f t="shared" si="87"/>
        <v/>
      </c>
      <c r="G2003" t="str">
        <f t="shared" si="88"/>
        <v/>
      </c>
    </row>
    <row r="2004" spans="2:7">
      <c r="B2004" s="6"/>
      <c r="E2004" s="7"/>
      <c r="F2004" t="str">
        <f t="shared" si="87"/>
        <v/>
      </c>
      <c r="G2004" t="str">
        <f t="shared" si="88"/>
        <v/>
      </c>
    </row>
    <row r="2005" spans="2:7">
      <c r="B2005" s="6"/>
      <c r="E2005" s="7"/>
      <c r="F2005" t="str">
        <f t="shared" si="87"/>
        <v/>
      </c>
      <c r="G2005" t="str">
        <f t="shared" si="88"/>
        <v/>
      </c>
    </row>
    <row r="2006" spans="2:7">
      <c r="B2006" s="6"/>
      <c r="E2006" s="7"/>
      <c r="F2006" t="str">
        <f t="shared" si="87"/>
        <v/>
      </c>
      <c r="G2006" t="str">
        <f t="shared" si="88"/>
        <v/>
      </c>
    </row>
    <row r="2007" spans="2:7">
      <c r="B2007" s="6"/>
      <c r="E2007" s="7"/>
      <c r="F2007" t="str">
        <f t="shared" si="87"/>
        <v/>
      </c>
      <c r="G2007" t="str">
        <f t="shared" si="88"/>
        <v/>
      </c>
    </row>
    <row r="2008" spans="2:7">
      <c r="B2008" s="6"/>
      <c r="E2008" s="7"/>
      <c r="F2008" t="str">
        <f t="shared" si="87"/>
        <v/>
      </c>
      <c r="G2008" t="str">
        <f t="shared" si="88"/>
        <v/>
      </c>
    </row>
    <row r="2009" spans="2:7">
      <c r="B2009" s="6"/>
      <c r="E2009" s="7"/>
      <c r="F2009" t="str">
        <f t="shared" si="87"/>
        <v/>
      </c>
      <c r="G2009" t="str">
        <f t="shared" si="88"/>
        <v/>
      </c>
    </row>
    <row r="2010" spans="2:7">
      <c r="B2010" s="6"/>
      <c r="E2010" s="7"/>
      <c r="F2010" t="str">
        <f t="shared" si="87"/>
        <v/>
      </c>
      <c r="G2010" t="str">
        <f t="shared" si="88"/>
        <v/>
      </c>
    </row>
    <row r="2011" spans="2:7">
      <c r="B2011" s="6"/>
      <c r="E2011" s="7"/>
      <c r="F2011" t="str">
        <f t="shared" si="87"/>
        <v/>
      </c>
      <c r="G2011" t="str">
        <f t="shared" si="88"/>
        <v/>
      </c>
    </row>
    <row r="2012" spans="2:7">
      <c r="B2012" s="6"/>
      <c r="E2012" s="7"/>
      <c r="F2012" t="str">
        <f t="shared" si="87"/>
        <v/>
      </c>
      <c r="G2012" t="str">
        <f t="shared" si="88"/>
        <v/>
      </c>
    </row>
    <row r="2013" spans="2:7">
      <c r="B2013" s="6"/>
      <c r="E2013" s="7"/>
      <c r="F2013" t="str">
        <f t="shared" si="87"/>
        <v/>
      </c>
      <c r="G2013" t="str">
        <f t="shared" si="88"/>
        <v/>
      </c>
    </row>
    <row r="2014" spans="2:7">
      <c r="B2014" s="6"/>
      <c r="E2014" s="7"/>
      <c r="F2014" t="str">
        <f t="shared" si="87"/>
        <v/>
      </c>
      <c r="G2014" t="str">
        <f t="shared" si="88"/>
        <v/>
      </c>
    </row>
    <row r="2015" spans="2:7">
      <c r="B2015" s="6"/>
      <c r="E2015" s="7"/>
      <c r="F2015" t="str">
        <f t="shared" si="87"/>
        <v/>
      </c>
      <c r="G2015" t="str">
        <f t="shared" si="88"/>
        <v/>
      </c>
    </row>
    <row r="2016" spans="2:7">
      <c r="B2016" s="6"/>
      <c r="E2016" s="7"/>
      <c r="F2016" t="str">
        <f t="shared" si="87"/>
        <v/>
      </c>
      <c r="G2016" t="str">
        <f t="shared" si="88"/>
        <v/>
      </c>
    </row>
    <row r="2017" spans="2:7">
      <c r="B2017" s="6"/>
      <c r="E2017" s="7"/>
      <c r="F2017" t="str">
        <f t="shared" si="87"/>
        <v/>
      </c>
      <c r="G2017" t="str">
        <f t="shared" si="88"/>
        <v/>
      </c>
    </row>
    <row r="2018" spans="2:7">
      <c r="B2018" s="6"/>
      <c r="E2018" s="7"/>
      <c r="F2018" t="str">
        <f t="shared" si="87"/>
        <v/>
      </c>
      <c r="G2018" t="str">
        <f t="shared" si="88"/>
        <v/>
      </c>
    </row>
    <row r="2019" spans="2:7">
      <c r="B2019" s="6"/>
      <c r="E2019" s="7"/>
      <c r="F2019" t="str">
        <f t="shared" si="87"/>
        <v/>
      </c>
      <c r="G2019" t="str">
        <f t="shared" si="88"/>
        <v/>
      </c>
    </row>
    <row r="2020" spans="2:7">
      <c r="B2020" s="6"/>
      <c r="E2020" s="7"/>
      <c r="F2020" t="str">
        <f t="shared" si="87"/>
        <v/>
      </c>
      <c r="G2020" t="str">
        <f t="shared" si="88"/>
        <v/>
      </c>
    </row>
    <row r="2021" spans="2:7">
      <c r="B2021" s="6"/>
      <c r="E2021" s="7"/>
      <c r="F2021" t="str">
        <f t="shared" si="87"/>
        <v/>
      </c>
      <c r="G2021" t="str">
        <f t="shared" si="88"/>
        <v/>
      </c>
    </row>
    <row r="2022" spans="2:7">
      <c r="B2022" s="6"/>
      <c r="E2022" s="7"/>
      <c r="F2022" t="str">
        <f t="shared" si="87"/>
        <v/>
      </c>
      <c r="G2022" t="str">
        <f t="shared" si="88"/>
        <v/>
      </c>
    </row>
    <row r="2023" spans="2:7">
      <c r="B2023" s="6"/>
      <c r="E2023" s="7"/>
      <c r="F2023" t="str">
        <f t="shared" si="87"/>
        <v/>
      </c>
      <c r="G2023" t="str">
        <f t="shared" si="88"/>
        <v/>
      </c>
    </row>
    <row r="2024" spans="2:7">
      <c r="B2024" s="6"/>
      <c r="E2024" s="7"/>
      <c r="F2024" t="str">
        <f t="shared" si="87"/>
        <v/>
      </c>
      <c r="G2024" t="str">
        <f t="shared" si="88"/>
        <v/>
      </c>
    </row>
    <row r="2025" spans="2:7">
      <c r="B2025" s="6"/>
      <c r="E2025" s="7"/>
      <c r="F2025" t="str">
        <f t="shared" si="87"/>
        <v/>
      </c>
      <c r="G2025" t="str">
        <f t="shared" si="88"/>
        <v/>
      </c>
    </row>
    <row r="2026" spans="2:7">
      <c r="B2026" s="6"/>
      <c r="E2026" s="7"/>
      <c r="F2026" t="str">
        <f t="shared" si="87"/>
        <v/>
      </c>
      <c r="G2026" t="str">
        <f t="shared" si="88"/>
        <v/>
      </c>
    </row>
    <row r="2027" spans="2:7">
      <c r="B2027" s="6"/>
      <c r="E2027" s="7"/>
      <c r="F2027" t="str">
        <f t="shared" si="87"/>
        <v/>
      </c>
      <c r="G2027" t="str">
        <f t="shared" si="88"/>
        <v/>
      </c>
    </row>
    <row r="2028" spans="2:7">
      <c r="B2028" s="6"/>
      <c r="E2028" s="7"/>
      <c r="F2028" t="str">
        <f t="shared" si="87"/>
        <v/>
      </c>
      <c r="G2028" t="str">
        <f t="shared" si="88"/>
        <v/>
      </c>
    </row>
    <row r="2029" spans="2:7">
      <c r="B2029" s="6"/>
      <c r="E2029" s="7"/>
      <c r="F2029" t="str">
        <f t="shared" si="87"/>
        <v/>
      </c>
      <c r="G2029" t="str">
        <f t="shared" si="88"/>
        <v/>
      </c>
    </row>
    <row r="2030" spans="2:7">
      <c r="B2030" s="6"/>
      <c r="E2030" s="7"/>
      <c r="F2030" t="str">
        <f t="shared" si="87"/>
        <v/>
      </c>
      <c r="G2030" t="str">
        <f t="shared" si="88"/>
        <v/>
      </c>
    </row>
    <row r="2031" spans="2:7">
      <c r="B2031" s="6"/>
      <c r="E2031" s="7"/>
      <c r="F2031" t="str">
        <f t="shared" si="87"/>
        <v/>
      </c>
      <c r="G2031" t="str">
        <f t="shared" si="88"/>
        <v/>
      </c>
    </row>
    <row r="2032" spans="2:7">
      <c r="B2032" s="6"/>
      <c r="E2032" s="7"/>
      <c r="F2032" t="str">
        <f t="shared" si="87"/>
        <v/>
      </c>
      <c r="G2032" t="str">
        <f t="shared" si="88"/>
        <v/>
      </c>
    </row>
    <row r="2033" spans="2:7">
      <c r="B2033" s="6"/>
      <c r="E2033" s="7"/>
      <c r="F2033" t="str">
        <f t="shared" si="87"/>
        <v/>
      </c>
      <c r="G2033" t="str">
        <f t="shared" si="88"/>
        <v/>
      </c>
    </row>
    <row r="2034" spans="2:7">
      <c r="B2034" s="6"/>
      <c r="E2034" s="7"/>
      <c r="F2034" t="str">
        <f t="shared" si="87"/>
        <v/>
      </c>
      <c r="G2034" t="str">
        <f t="shared" si="88"/>
        <v/>
      </c>
    </row>
    <row r="2035" spans="2:7">
      <c r="B2035" s="6"/>
      <c r="E2035" s="7"/>
      <c r="F2035" t="str">
        <f t="shared" si="87"/>
        <v/>
      </c>
      <c r="G2035" t="str">
        <f t="shared" si="88"/>
        <v/>
      </c>
    </row>
    <row r="2036" spans="2:7">
      <c r="B2036" s="6"/>
      <c r="E2036" s="7"/>
      <c r="F2036" t="str">
        <f t="shared" si="87"/>
        <v/>
      </c>
      <c r="G2036" t="str">
        <f t="shared" si="88"/>
        <v/>
      </c>
    </row>
    <row r="2037" spans="2:7">
      <c r="B2037" s="6"/>
      <c r="E2037" s="7"/>
      <c r="F2037" t="str">
        <f t="shared" si="87"/>
        <v/>
      </c>
      <c r="G2037" t="str">
        <f t="shared" si="88"/>
        <v/>
      </c>
    </row>
    <row r="2038" spans="2:7">
      <c r="B2038" s="6"/>
      <c r="E2038" s="7"/>
      <c r="F2038" t="str">
        <f t="shared" si="87"/>
        <v/>
      </c>
      <c r="G2038" t="str">
        <f t="shared" si="88"/>
        <v/>
      </c>
    </row>
    <row r="2039" spans="2:7">
      <c r="B2039" s="6"/>
      <c r="E2039" s="7"/>
      <c r="F2039" t="str">
        <f t="shared" si="87"/>
        <v/>
      </c>
      <c r="G2039" t="str">
        <f t="shared" si="88"/>
        <v/>
      </c>
    </row>
    <row r="2040" spans="2:7">
      <c r="B2040" s="6"/>
      <c r="E2040" s="7"/>
      <c r="F2040" t="str">
        <f t="shared" si="87"/>
        <v/>
      </c>
      <c r="G2040" t="str">
        <f t="shared" si="88"/>
        <v/>
      </c>
    </row>
    <row r="2041" spans="2:7">
      <c r="B2041" s="6"/>
      <c r="E2041" s="7"/>
      <c r="F2041" t="str">
        <f t="shared" si="87"/>
        <v/>
      </c>
      <c r="G2041" t="str">
        <f t="shared" si="88"/>
        <v/>
      </c>
    </row>
    <row r="2042" spans="2:7">
      <c r="B2042" s="6"/>
      <c r="E2042" s="7"/>
      <c r="F2042" t="str">
        <f t="shared" si="87"/>
        <v/>
      </c>
      <c r="G2042" t="str">
        <f t="shared" si="88"/>
        <v/>
      </c>
    </row>
    <row r="2043" spans="2:7">
      <c r="B2043" s="6"/>
      <c r="E2043" s="7"/>
      <c r="F2043" t="str">
        <f t="shared" si="87"/>
        <v/>
      </c>
      <c r="G2043" t="str">
        <f t="shared" si="88"/>
        <v/>
      </c>
    </row>
    <row r="2044" spans="2:7">
      <c r="B2044" s="6"/>
      <c r="E2044" s="7"/>
      <c r="F2044" t="str">
        <f t="shared" si="87"/>
        <v/>
      </c>
      <c r="G2044" t="str">
        <f t="shared" si="88"/>
        <v/>
      </c>
    </row>
    <row r="2045" spans="2:7">
      <c r="B2045" s="6"/>
      <c r="E2045" s="7"/>
      <c r="F2045" t="str">
        <f t="shared" si="87"/>
        <v/>
      </c>
      <c r="G2045" t="str">
        <f t="shared" si="88"/>
        <v/>
      </c>
    </row>
    <row r="2046" spans="2:7">
      <c r="B2046" s="6"/>
      <c r="E2046" s="7"/>
      <c r="F2046" t="str">
        <f t="shared" si="87"/>
        <v/>
      </c>
      <c r="G2046" t="str">
        <f t="shared" si="88"/>
        <v/>
      </c>
    </row>
    <row r="2047" spans="2:7">
      <c r="B2047" s="6"/>
      <c r="E2047" s="7"/>
      <c r="F2047" t="str">
        <f t="shared" si="87"/>
        <v/>
      </c>
      <c r="G2047" t="str">
        <f t="shared" si="88"/>
        <v/>
      </c>
    </row>
    <row r="2048" spans="2:7">
      <c r="B2048" s="6"/>
      <c r="E2048" s="7"/>
      <c r="F2048" t="str">
        <f t="shared" si="87"/>
        <v/>
      </c>
      <c r="G2048" t="str">
        <f t="shared" si="88"/>
        <v/>
      </c>
    </row>
    <row r="2049" spans="2:7">
      <c r="B2049" s="6"/>
      <c r="E2049" s="7"/>
      <c r="F2049" t="str">
        <f t="shared" si="87"/>
        <v/>
      </c>
      <c r="G2049" t="str">
        <f t="shared" si="88"/>
        <v/>
      </c>
    </row>
    <row r="2050" spans="2:7">
      <c r="B2050" s="6"/>
      <c r="E2050" s="7"/>
      <c r="F2050" t="str">
        <f t="shared" si="87"/>
        <v/>
      </c>
      <c r="G2050" t="str">
        <f t="shared" si="88"/>
        <v/>
      </c>
    </row>
    <row r="2051" spans="2:7">
      <c r="B2051" s="6"/>
      <c r="E2051" s="7"/>
      <c r="F2051" t="str">
        <f t="shared" si="87"/>
        <v/>
      </c>
      <c r="G2051" t="str">
        <f t="shared" si="88"/>
        <v/>
      </c>
    </row>
    <row r="2052" spans="2:7">
      <c r="B2052" s="6"/>
      <c r="E2052" s="7"/>
      <c r="F2052" t="str">
        <f t="shared" ref="F2052:F2115" si="89">IF(B2052="","",LOG10(D2052))</f>
        <v/>
      </c>
      <c r="G2052" t="str">
        <f t="shared" ref="G2052:G2115" si="90">IF(E2052="", "",0.434*E2052/D2052)</f>
        <v/>
      </c>
    </row>
    <row r="2053" spans="2:7">
      <c r="B2053" s="6"/>
      <c r="E2053" s="7"/>
      <c r="F2053" t="str">
        <f t="shared" si="89"/>
        <v/>
      </c>
      <c r="G2053" t="str">
        <f t="shared" si="90"/>
        <v/>
      </c>
    </row>
    <row r="2054" spans="2:7">
      <c r="B2054" s="6"/>
      <c r="E2054" s="7"/>
      <c r="F2054" t="str">
        <f t="shared" si="89"/>
        <v/>
      </c>
      <c r="G2054" t="str">
        <f t="shared" si="90"/>
        <v/>
      </c>
    </row>
    <row r="2055" spans="2:7">
      <c r="B2055" s="6"/>
      <c r="E2055" s="7"/>
      <c r="F2055" t="str">
        <f t="shared" si="89"/>
        <v/>
      </c>
      <c r="G2055" t="str">
        <f t="shared" si="90"/>
        <v/>
      </c>
    </row>
    <row r="2056" spans="2:7">
      <c r="B2056" s="6"/>
      <c r="E2056" s="7"/>
      <c r="F2056" t="str">
        <f t="shared" si="89"/>
        <v/>
      </c>
      <c r="G2056" t="str">
        <f t="shared" si="90"/>
        <v/>
      </c>
    </row>
    <row r="2057" spans="2:7">
      <c r="B2057" s="6"/>
      <c r="E2057" s="7"/>
      <c r="F2057" t="str">
        <f t="shared" si="89"/>
        <v/>
      </c>
      <c r="G2057" t="str">
        <f t="shared" si="90"/>
        <v/>
      </c>
    </row>
    <row r="2058" spans="2:7">
      <c r="B2058" s="6"/>
      <c r="E2058" s="7"/>
      <c r="F2058" t="str">
        <f t="shared" si="89"/>
        <v/>
      </c>
      <c r="G2058" t="str">
        <f t="shared" si="90"/>
        <v/>
      </c>
    </row>
    <row r="2059" spans="2:7">
      <c r="B2059" s="6"/>
      <c r="E2059" s="7"/>
      <c r="F2059" t="str">
        <f t="shared" si="89"/>
        <v/>
      </c>
      <c r="G2059" t="str">
        <f t="shared" si="90"/>
        <v/>
      </c>
    </row>
    <row r="2060" spans="2:7">
      <c r="B2060" s="6"/>
      <c r="E2060" s="7"/>
      <c r="F2060" t="str">
        <f t="shared" si="89"/>
        <v/>
      </c>
      <c r="G2060" t="str">
        <f t="shared" si="90"/>
        <v/>
      </c>
    </row>
    <row r="2061" spans="2:7">
      <c r="B2061" s="6"/>
      <c r="E2061" s="7"/>
      <c r="F2061" t="str">
        <f t="shared" si="89"/>
        <v/>
      </c>
      <c r="G2061" t="str">
        <f t="shared" si="90"/>
        <v/>
      </c>
    </row>
    <row r="2062" spans="2:7">
      <c r="B2062" s="6"/>
      <c r="E2062" s="7"/>
      <c r="F2062" t="str">
        <f t="shared" si="89"/>
        <v/>
      </c>
      <c r="G2062" t="str">
        <f t="shared" si="90"/>
        <v/>
      </c>
    </row>
    <row r="2063" spans="2:7">
      <c r="B2063" s="6"/>
      <c r="E2063" s="7"/>
      <c r="F2063" t="str">
        <f t="shared" si="89"/>
        <v/>
      </c>
      <c r="G2063" t="str">
        <f t="shared" si="90"/>
        <v/>
      </c>
    </row>
    <row r="2064" spans="2:7">
      <c r="B2064" s="6"/>
      <c r="E2064" s="7"/>
      <c r="F2064" t="str">
        <f t="shared" si="89"/>
        <v/>
      </c>
      <c r="G2064" t="str">
        <f t="shared" si="90"/>
        <v/>
      </c>
    </row>
    <row r="2065" spans="2:7">
      <c r="B2065" s="6"/>
      <c r="E2065" s="7"/>
      <c r="F2065" t="str">
        <f t="shared" si="89"/>
        <v/>
      </c>
      <c r="G2065" t="str">
        <f t="shared" si="90"/>
        <v/>
      </c>
    </row>
    <row r="2066" spans="2:7">
      <c r="B2066" s="6"/>
      <c r="E2066" s="7"/>
      <c r="F2066" t="str">
        <f t="shared" si="89"/>
        <v/>
      </c>
      <c r="G2066" t="str">
        <f t="shared" si="90"/>
        <v/>
      </c>
    </row>
    <row r="2067" spans="2:7">
      <c r="B2067" s="6"/>
      <c r="E2067" s="7"/>
      <c r="F2067" t="str">
        <f t="shared" si="89"/>
        <v/>
      </c>
      <c r="G2067" t="str">
        <f t="shared" si="90"/>
        <v/>
      </c>
    </row>
    <row r="2068" spans="2:7">
      <c r="B2068" s="6"/>
      <c r="E2068" s="7"/>
      <c r="F2068" t="str">
        <f t="shared" si="89"/>
        <v/>
      </c>
      <c r="G2068" t="str">
        <f t="shared" si="90"/>
        <v/>
      </c>
    </row>
    <row r="2069" spans="2:7">
      <c r="B2069" s="6"/>
      <c r="E2069" s="7"/>
      <c r="F2069" t="str">
        <f t="shared" si="89"/>
        <v/>
      </c>
      <c r="G2069" t="str">
        <f t="shared" si="90"/>
        <v/>
      </c>
    </row>
    <row r="2070" spans="2:7">
      <c r="B2070" s="6"/>
      <c r="E2070" s="7"/>
      <c r="F2070" t="str">
        <f t="shared" si="89"/>
        <v/>
      </c>
      <c r="G2070" t="str">
        <f t="shared" si="90"/>
        <v/>
      </c>
    </row>
    <row r="2071" spans="2:7">
      <c r="B2071" s="6"/>
      <c r="E2071" s="7"/>
      <c r="F2071" t="str">
        <f t="shared" si="89"/>
        <v/>
      </c>
      <c r="G2071" t="str">
        <f t="shared" si="90"/>
        <v/>
      </c>
    </row>
    <row r="2072" spans="2:7">
      <c r="B2072" s="6"/>
      <c r="E2072" s="7"/>
      <c r="F2072" t="str">
        <f t="shared" si="89"/>
        <v/>
      </c>
      <c r="G2072" t="str">
        <f t="shared" si="90"/>
        <v/>
      </c>
    </row>
    <row r="2073" spans="2:7">
      <c r="B2073" s="6"/>
      <c r="E2073" s="7"/>
      <c r="F2073" t="str">
        <f t="shared" si="89"/>
        <v/>
      </c>
      <c r="G2073" t="str">
        <f t="shared" si="90"/>
        <v/>
      </c>
    </row>
    <row r="2074" spans="2:7">
      <c r="B2074" s="6"/>
      <c r="E2074" s="7"/>
      <c r="F2074" t="str">
        <f t="shared" si="89"/>
        <v/>
      </c>
      <c r="G2074" t="str">
        <f t="shared" si="90"/>
        <v/>
      </c>
    </row>
    <row r="2075" spans="2:7">
      <c r="B2075" s="6"/>
      <c r="E2075" s="7"/>
      <c r="F2075" t="str">
        <f t="shared" si="89"/>
        <v/>
      </c>
      <c r="G2075" t="str">
        <f t="shared" si="90"/>
        <v/>
      </c>
    </row>
    <row r="2076" spans="2:7">
      <c r="B2076" s="6"/>
      <c r="E2076" s="7"/>
      <c r="F2076" t="str">
        <f t="shared" si="89"/>
        <v/>
      </c>
      <c r="G2076" t="str">
        <f t="shared" si="90"/>
        <v/>
      </c>
    </row>
    <row r="2077" spans="2:7">
      <c r="B2077" s="6"/>
      <c r="E2077" s="7"/>
      <c r="F2077" t="str">
        <f t="shared" si="89"/>
        <v/>
      </c>
      <c r="G2077" t="str">
        <f t="shared" si="90"/>
        <v/>
      </c>
    </row>
    <row r="2078" spans="2:7">
      <c r="B2078" s="6"/>
      <c r="E2078" s="7"/>
      <c r="F2078" t="str">
        <f t="shared" si="89"/>
        <v/>
      </c>
      <c r="G2078" t="str">
        <f t="shared" si="90"/>
        <v/>
      </c>
    </row>
    <row r="2079" spans="2:7">
      <c r="B2079" s="6"/>
      <c r="E2079" s="7"/>
      <c r="F2079" t="str">
        <f t="shared" si="89"/>
        <v/>
      </c>
      <c r="G2079" t="str">
        <f t="shared" si="90"/>
        <v/>
      </c>
    </row>
    <row r="2080" spans="2:7">
      <c r="B2080" s="6"/>
      <c r="E2080" s="7"/>
      <c r="F2080" t="str">
        <f t="shared" si="89"/>
        <v/>
      </c>
      <c r="G2080" t="str">
        <f t="shared" si="90"/>
        <v/>
      </c>
    </row>
    <row r="2081" spans="2:7">
      <c r="B2081" s="6"/>
      <c r="E2081" s="7"/>
      <c r="F2081" t="str">
        <f t="shared" si="89"/>
        <v/>
      </c>
      <c r="G2081" t="str">
        <f t="shared" si="90"/>
        <v/>
      </c>
    </row>
    <row r="2082" spans="2:7">
      <c r="B2082" s="6"/>
      <c r="E2082" s="7"/>
      <c r="F2082" t="str">
        <f t="shared" si="89"/>
        <v/>
      </c>
      <c r="G2082" t="str">
        <f t="shared" si="90"/>
        <v/>
      </c>
    </row>
    <row r="2083" spans="2:7">
      <c r="B2083" s="6"/>
      <c r="E2083" s="7"/>
      <c r="F2083" t="str">
        <f t="shared" si="89"/>
        <v/>
      </c>
      <c r="G2083" t="str">
        <f t="shared" si="90"/>
        <v/>
      </c>
    </row>
    <row r="2084" spans="2:7">
      <c r="B2084" s="6"/>
      <c r="E2084" s="7"/>
      <c r="F2084" t="str">
        <f t="shared" si="89"/>
        <v/>
      </c>
      <c r="G2084" t="str">
        <f t="shared" si="90"/>
        <v/>
      </c>
    </row>
    <row r="2085" spans="2:7">
      <c r="B2085" s="6"/>
      <c r="E2085" s="7"/>
      <c r="F2085" t="str">
        <f t="shared" si="89"/>
        <v/>
      </c>
      <c r="G2085" t="str">
        <f t="shared" si="90"/>
        <v/>
      </c>
    </row>
    <row r="2086" spans="2:7">
      <c r="B2086" s="6"/>
      <c r="E2086" s="7"/>
      <c r="F2086" t="str">
        <f t="shared" si="89"/>
        <v/>
      </c>
      <c r="G2086" t="str">
        <f t="shared" si="90"/>
        <v/>
      </c>
    </row>
    <row r="2087" spans="2:7">
      <c r="B2087" s="6"/>
      <c r="E2087" s="7"/>
      <c r="F2087" t="str">
        <f t="shared" si="89"/>
        <v/>
      </c>
      <c r="G2087" t="str">
        <f t="shared" si="90"/>
        <v/>
      </c>
    </row>
    <row r="2088" spans="2:7">
      <c r="B2088" s="6"/>
      <c r="E2088" s="7"/>
      <c r="F2088" t="str">
        <f t="shared" si="89"/>
        <v/>
      </c>
      <c r="G2088" t="str">
        <f t="shared" si="90"/>
        <v/>
      </c>
    </row>
    <row r="2089" spans="2:7">
      <c r="B2089" s="6"/>
      <c r="E2089" s="7"/>
      <c r="F2089" t="str">
        <f t="shared" si="89"/>
        <v/>
      </c>
      <c r="G2089" t="str">
        <f t="shared" si="90"/>
        <v/>
      </c>
    </row>
    <row r="2090" spans="2:7">
      <c r="B2090" s="6"/>
      <c r="E2090" s="7"/>
      <c r="F2090" t="str">
        <f t="shared" si="89"/>
        <v/>
      </c>
      <c r="G2090" t="str">
        <f t="shared" si="90"/>
        <v/>
      </c>
    </row>
    <row r="2091" spans="2:7">
      <c r="B2091" s="6"/>
      <c r="E2091" s="7"/>
      <c r="F2091" t="str">
        <f t="shared" si="89"/>
        <v/>
      </c>
      <c r="G2091" t="str">
        <f t="shared" si="90"/>
        <v/>
      </c>
    </row>
    <row r="2092" spans="2:7">
      <c r="B2092" s="6"/>
      <c r="E2092" s="7"/>
      <c r="F2092" t="str">
        <f t="shared" si="89"/>
        <v/>
      </c>
      <c r="G2092" t="str">
        <f t="shared" si="90"/>
        <v/>
      </c>
    </row>
    <row r="2093" spans="2:7">
      <c r="B2093" s="6"/>
      <c r="E2093" s="7"/>
      <c r="F2093" t="str">
        <f t="shared" si="89"/>
        <v/>
      </c>
      <c r="G2093" t="str">
        <f t="shared" si="90"/>
        <v/>
      </c>
    </row>
    <row r="2094" spans="2:7">
      <c r="B2094" s="6"/>
      <c r="E2094" s="7"/>
      <c r="F2094" t="str">
        <f t="shared" si="89"/>
        <v/>
      </c>
      <c r="G2094" t="str">
        <f t="shared" si="90"/>
        <v/>
      </c>
    </row>
    <row r="2095" spans="2:7">
      <c r="B2095" s="6"/>
      <c r="E2095" s="7"/>
      <c r="F2095" t="str">
        <f t="shared" si="89"/>
        <v/>
      </c>
      <c r="G2095" t="str">
        <f t="shared" si="90"/>
        <v/>
      </c>
    </row>
    <row r="2096" spans="2:7">
      <c r="B2096" s="6"/>
      <c r="E2096" s="7"/>
      <c r="F2096" t="str">
        <f t="shared" si="89"/>
        <v/>
      </c>
      <c r="G2096" t="str">
        <f t="shared" si="90"/>
        <v/>
      </c>
    </row>
    <row r="2097" spans="2:7">
      <c r="B2097" s="6"/>
      <c r="E2097" s="7"/>
      <c r="F2097" t="str">
        <f t="shared" si="89"/>
        <v/>
      </c>
      <c r="G2097" t="str">
        <f t="shared" si="90"/>
        <v/>
      </c>
    </row>
    <row r="2098" spans="2:7">
      <c r="B2098" s="6"/>
      <c r="E2098" s="7"/>
      <c r="F2098" t="str">
        <f t="shared" si="89"/>
        <v/>
      </c>
      <c r="G2098" t="str">
        <f t="shared" si="90"/>
        <v/>
      </c>
    </row>
    <row r="2099" spans="2:7">
      <c r="B2099" s="6"/>
      <c r="E2099" s="7"/>
      <c r="F2099" t="str">
        <f t="shared" si="89"/>
        <v/>
      </c>
      <c r="G2099" t="str">
        <f t="shared" si="90"/>
        <v/>
      </c>
    </row>
    <row r="2100" spans="2:7">
      <c r="B2100" s="6"/>
      <c r="E2100" s="7"/>
      <c r="F2100" t="str">
        <f t="shared" si="89"/>
        <v/>
      </c>
      <c r="G2100" t="str">
        <f t="shared" si="90"/>
        <v/>
      </c>
    </row>
    <row r="2101" spans="2:7">
      <c r="B2101" s="6"/>
      <c r="E2101" s="7"/>
      <c r="F2101" t="str">
        <f t="shared" si="89"/>
        <v/>
      </c>
      <c r="G2101" t="str">
        <f t="shared" si="90"/>
        <v/>
      </c>
    </row>
    <row r="2102" spans="2:7">
      <c r="B2102" s="6"/>
      <c r="E2102" s="7"/>
      <c r="F2102" t="str">
        <f t="shared" si="89"/>
        <v/>
      </c>
      <c r="G2102" t="str">
        <f t="shared" si="90"/>
        <v/>
      </c>
    </row>
    <row r="2103" spans="2:7">
      <c r="B2103" s="6"/>
      <c r="E2103" s="7"/>
      <c r="F2103" t="str">
        <f t="shared" si="89"/>
        <v/>
      </c>
      <c r="G2103" t="str">
        <f t="shared" si="90"/>
        <v/>
      </c>
    </row>
    <row r="2104" spans="2:7">
      <c r="B2104" s="6"/>
      <c r="E2104" s="7"/>
      <c r="F2104" t="str">
        <f t="shared" si="89"/>
        <v/>
      </c>
      <c r="G2104" t="str">
        <f t="shared" si="90"/>
        <v/>
      </c>
    </row>
    <row r="2105" spans="2:7">
      <c r="B2105" s="6"/>
      <c r="E2105" s="7"/>
      <c r="F2105" t="str">
        <f t="shared" si="89"/>
        <v/>
      </c>
      <c r="G2105" t="str">
        <f t="shared" si="90"/>
        <v/>
      </c>
    </row>
    <row r="2106" spans="2:7">
      <c r="B2106" s="6"/>
      <c r="E2106" s="7"/>
      <c r="F2106" t="str">
        <f t="shared" si="89"/>
        <v/>
      </c>
      <c r="G2106" t="str">
        <f t="shared" si="90"/>
        <v/>
      </c>
    </row>
    <row r="2107" spans="2:7">
      <c r="B2107" s="6"/>
      <c r="E2107" s="7"/>
      <c r="F2107" t="str">
        <f t="shared" si="89"/>
        <v/>
      </c>
      <c r="G2107" t="str">
        <f t="shared" si="90"/>
        <v/>
      </c>
    </row>
    <row r="2108" spans="2:7">
      <c r="B2108" s="6"/>
      <c r="E2108" s="7"/>
      <c r="F2108" t="str">
        <f t="shared" si="89"/>
        <v/>
      </c>
      <c r="G2108" t="str">
        <f t="shared" si="90"/>
        <v/>
      </c>
    </row>
    <row r="2109" spans="2:7">
      <c r="B2109" s="6"/>
      <c r="E2109" s="7"/>
      <c r="F2109" t="str">
        <f t="shared" si="89"/>
        <v/>
      </c>
      <c r="G2109" t="str">
        <f t="shared" si="90"/>
        <v/>
      </c>
    </row>
    <row r="2110" spans="2:7">
      <c r="B2110" s="6"/>
      <c r="E2110" s="7"/>
      <c r="F2110" t="str">
        <f t="shared" si="89"/>
        <v/>
      </c>
      <c r="G2110" t="str">
        <f t="shared" si="90"/>
        <v/>
      </c>
    </row>
    <row r="2111" spans="2:7">
      <c r="B2111" s="6"/>
      <c r="E2111" s="7"/>
      <c r="F2111" t="str">
        <f t="shared" si="89"/>
        <v/>
      </c>
      <c r="G2111" t="str">
        <f t="shared" si="90"/>
        <v/>
      </c>
    </row>
    <row r="2112" spans="2:7">
      <c r="B2112" s="6"/>
      <c r="E2112" s="7"/>
      <c r="F2112" t="str">
        <f t="shared" si="89"/>
        <v/>
      </c>
      <c r="G2112" t="str">
        <f t="shared" si="90"/>
        <v/>
      </c>
    </row>
    <row r="2113" spans="2:7">
      <c r="B2113" s="6"/>
      <c r="E2113" s="7"/>
      <c r="F2113" t="str">
        <f t="shared" si="89"/>
        <v/>
      </c>
      <c r="G2113" t="str">
        <f t="shared" si="90"/>
        <v/>
      </c>
    </row>
    <row r="2114" spans="2:7">
      <c r="B2114" s="6"/>
      <c r="E2114" s="7"/>
      <c r="F2114" t="str">
        <f t="shared" si="89"/>
        <v/>
      </c>
      <c r="G2114" t="str">
        <f t="shared" si="90"/>
        <v/>
      </c>
    </row>
    <row r="2115" spans="2:7">
      <c r="B2115" s="6"/>
      <c r="E2115" s="7"/>
      <c r="F2115" t="str">
        <f t="shared" si="89"/>
        <v/>
      </c>
      <c r="G2115" t="str">
        <f t="shared" si="90"/>
        <v/>
      </c>
    </row>
    <row r="2116" spans="2:7">
      <c r="B2116" s="6"/>
      <c r="E2116" s="7"/>
      <c r="F2116" t="str">
        <f t="shared" ref="F2116:F2179" si="91">IF(B2116="","",LOG10(D2116))</f>
        <v/>
      </c>
      <c r="G2116" t="str">
        <f t="shared" ref="G2116:G2179" si="92">IF(E2116="", "",0.434*E2116/D2116)</f>
        <v/>
      </c>
    </row>
    <row r="2117" spans="2:7">
      <c r="B2117" s="6"/>
      <c r="E2117" s="7"/>
      <c r="F2117" t="str">
        <f t="shared" si="91"/>
        <v/>
      </c>
      <c r="G2117" t="str">
        <f t="shared" si="92"/>
        <v/>
      </c>
    </row>
    <row r="2118" spans="2:7">
      <c r="B2118" s="6"/>
      <c r="E2118" s="7"/>
      <c r="F2118" t="str">
        <f t="shared" si="91"/>
        <v/>
      </c>
      <c r="G2118" t="str">
        <f t="shared" si="92"/>
        <v/>
      </c>
    </row>
    <row r="2119" spans="2:7">
      <c r="B2119" s="6"/>
      <c r="E2119" s="7"/>
      <c r="F2119" t="str">
        <f t="shared" si="91"/>
        <v/>
      </c>
      <c r="G2119" t="str">
        <f t="shared" si="92"/>
        <v/>
      </c>
    </row>
    <row r="2120" spans="2:7">
      <c r="B2120" s="6"/>
      <c r="E2120" s="7"/>
      <c r="F2120" t="str">
        <f t="shared" si="91"/>
        <v/>
      </c>
      <c r="G2120" t="str">
        <f t="shared" si="92"/>
        <v/>
      </c>
    </row>
    <row r="2121" spans="2:7">
      <c r="B2121" s="6"/>
      <c r="E2121" s="7"/>
      <c r="F2121" t="str">
        <f t="shared" si="91"/>
        <v/>
      </c>
      <c r="G2121" t="str">
        <f t="shared" si="92"/>
        <v/>
      </c>
    </row>
    <row r="2122" spans="2:7">
      <c r="B2122" s="6"/>
      <c r="E2122" s="7"/>
      <c r="F2122" t="str">
        <f t="shared" si="91"/>
        <v/>
      </c>
      <c r="G2122" t="str">
        <f t="shared" si="92"/>
        <v/>
      </c>
    </row>
    <row r="2123" spans="2:7">
      <c r="B2123" s="6"/>
      <c r="E2123" s="7"/>
      <c r="F2123" t="str">
        <f t="shared" si="91"/>
        <v/>
      </c>
      <c r="G2123" t="str">
        <f t="shared" si="92"/>
        <v/>
      </c>
    </row>
    <row r="2124" spans="2:7">
      <c r="B2124" s="6"/>
      <c r="E2124" s="7"/>
      <c r="F2124" t="str">
        <f t="shared" si="91"/>
        <v/>
      </c>
      <c r="G2124" t="str">
        <f t="shared" si="92"/>
        <v/>
      </c>
    </row>
    <row r="2125" spans="2:7">
      <c r="B2125" s="6"/>
      <c r="E2125" s="7"/>
      <c r="F2125" t="str">
        <f t="shared" si="91"/>
        <v/>
      </c>
      <c r="G2125" t="str">
        <f t="shared" si="92"/>
        <v/>
      </c>
    </row>
    <row r="2126" spans="2:7">
      <c r="B2126" s="6"/>
      <c r="E2126" s="7"/>
      <c r="F2126" t="str">
        <f t="shared" si="91"/>
        <v/>
      </c>
      <c r="G2126" t="str">
        <f t="shared" si="92"/>
        <v/>
      </c>
    </row>
    <row r="2127" spans="2:7">
      <c r="B2127" s="6"/>
      <c r="E2127" s="7"/>
      <c r="F2127" t="str">
        <f t="shared" si="91"/>
        <v/>
      </c>
      <c r="G2127" t="str">
        <f t="shared" si="92"/>
        <v/>
      </c>
    </row>
    <row r="2128" spans="2:7">
      <c r="B2128" s="6"/>
      <c r="E2128" s="7"/>
      <c r="F2128" t="str">
        <f t="shared" si="91"/>
        <v/>
      </c>
      <c r="G2128" t="str">
        <f t="shared" si="92"/>
        <v/>
      </c>
    </row>
    <row r="2129" spans="2:7">
      <c r="B2129" s="6"/>
      <c r="E2129" s="7"/>
      <c r="F2129" t="str">
        <f t="shared" si="91"/>
        <v/>
      </c>
      <c r="G2129" t="str">
        <f t="shared" si="92"/>
        <v/>
      </c>
    </row>
    <row r="2130" spans="2:7">
      <c r="B2130" s="6"/>
      <c r="E2130" s="7"/>
      <c r="F2130" t="str">
        <f t="shared" si="91"/>
        <v/>
      </c>
      <c r="G2130" t="str">
        <f t="shared" si="92"/>
        <v/>
      </c>
    </row>
    <row r="2131" spans="2:7">
      <c r="B2131" s="6"/>
      <c r="E2131" s="7"/>
      <c r="F2131" t="str">
        <f t="shared" si="91"/>
        <v/>
      </c>
      <c r="G2131" t="str">
        <f t="shared" si="92"/>
        <v/>
      </c>
    </row>
    <row r="2132" spans="2:7">
      <c r="B2132" s="6"/>
      <c r="E2132" s="7"/>
      <c r="F2132" t="str">
        <f t="shared" si="91"/>
        <v/>
      </c>
      <c r="G2132" t="str">
        <f t="shared" si="92"/>
        <v/>
      </c>
    </row>
    <row r="2133" spans="2:7">
      <c r="B2133" s="6"/>
      <c r="E2133" s="7"/>
      <c r="F2133" t="str">
        <f t="shared" si="91"/>
        <v/>
      </c>
      <c r="G2133" t="str">
        <f t="shared" si="92"/>
        <v/>
      </c>
    </row>
    <row r="2134" spans="2:7">
      <c r="B2134" s="6"/>
      <c r="E2134" s="7"/>
      <c r="F2134" t="str">
        <f t="shared" si="91"/>
        <v/>
      </c>
      <c r="G2134" t="str">
        <f t="shared" si="92"/>
        <v/>
      </c>
    </row>
    <row r="2135" spans="2:7">
      <c r="B2135" s="6"/>
      <c r="E2135" s="7"/>
      <c r="F2135" t="str">
        <f t="shared" si="91"/>
        <v/>
      </c>
      <c r="G2135" t="str">
        <f t="shared" si="92"/>
        <v/>
      </c>
    </row>
    <row r="2136" spans="2:7">
      <c r="B2136" s="6"/>
      <c r="E2136" s="7"/>
      <c r="F2136" t="str">
        <f t="shared" si="91"/>
        <v/>
      </c>
      <c r="G2136" t="str">
        <f t="shared" si="92"/>
        <v/>
      </c>
    </row>
    <row r="2137" spans="2:7">
      <c r="B2137" s="6"/>
      <c r="E2137" s="7"/>
      <c r="F2137" t="str">
        <f t="shared" si="91"/>
        <v/>
      </c>
      <c r="G2137" t="str">
        <f t="shared" si="92"/>
        <v/>
      </c>
    </row>
    <row r="2138" spans="2:7">
      <c r="B2138" s="6"/>
      <c r="E2138" s="7"/>
      <c r="F2138" t="str">
        <f t="shared" si="91"/>
        <v/>
      </c>
      <c r="G2138" t="str">
        <f t="shared" si="92"/>
        <v/>
      </c>
    </row>
    <row r="2139" spans="2:7">
      <c r="B2139" s="6"/>
      <c r="E2139" s="7"/>
      <c r="F2139" t="str">
        <f t="shared" si="91"/>
        <v/>
      </c>
      <c r="G2139" t="str">
        <f t="shared" si="92"/>
        <v/>
      </c>
    </row>
    <row r="2140" spans="2:7">
      <c r="B2140" s="6"/>
      <c r="E2140" s="7"/>
      <c r="F2140" t="str">
        <f t="shared" si="91"/>
        <v/>
      </c>
      <c r="G2140" t="str">
        <f t="shared" si="92"/>
        <v/>
      </c>
    </row>
    <row r="2141" spans="2:7">
      <c r="B2141" s="6"/>
      <c r="E2141" s="7"/>
      <c r="F2141" t="str">
        <f t="shared" si="91"/>
        <v/>
      </c>
      <c r="G2141" t="str">
        <f t="shared" si="92"/>
        <v/>
      </c>
    </row>
    <row r="2142" spans="2:7">
      <c r="B2142" s="6"/>
      <c r="E2142" s="7"/>
      <c r="F2142" t="str">
        <f t="shared" si="91"/>
        <v/>
      </c>
      <c r="G2142" t="str">
        <f t="shared" si="92"/>
        <v/>
      </c>
    </row>
    <row r="2143" spans="2:7">
      <c r="B2143" s="6"/>
      <c r="E2143" s="7"/>
      <c r="F2143" t="str">
        <f t="shared" si="91"/>
        <v/>
      </c>
      <c r="G2143" t="str">
        <f t="shared" si="92"/>
        <v/>
      </c>
    </row>
    <row r="2144" spans="2:7">
      <c r="B2144" s="6"/>
      <c r="E2144" s="7"/>
      <c r="F2144" t="str">
        <f t="shared" si="91"/>
        <v/>
      </c>
      <c r="G2144" t="str">
        <f t="shared" si="92"/>
        <v/>
      </c>
    </row>
    <row r="2145" spans="2:7">
      <c r="B2145" s="6"/>
      <c r="E2145" s="7"/>
      <c r="F2145" t="str">
        <f t="shared" si="91"/>
        <v/>
      </c>
      <c r="G2145" t="str">
        <f t="shared" si="92"/>
        <v/>
      </c>
    </row>
    <row r="2146" spans="2:7">
      <c r="B2146" s="6"/>
      <c r="E2146" s="7"/>
      <c r="F2146" t="str">
        <f t="shared" si="91"/>
        <v/>
      </c>
      <c r="G2146" t="str">
        <f t="shared" si="92"/>
        <v/>
      </c>
    </row>
    <row r="2147" spans="2:7">
      <c r="B2147" s="6"/>
      <c r="E2147" s="7"/>
      <c r="F2147" t="str">
        <f t="shared" si="91"/>
        <v/>
      </c>
      <c r="G2147" t="str">
        <f t="shared" si="92"/>
        <v/>
      </c>
    </row>
    <row r="2148" spans="2:7">
      <c r="B2148" s="6"/>
      <c r="E2148" s="7"/>
      <c r="F2148" t="str">
        <f t="shared" si="91"/>
        <v/>
      </c>
      <c r="G2148" t="str">
        <f t="shared" si="92"/>
        <v/>
      </c>
    </row>
    <row r="2149" spans="2:7">
      <c r="B2149" s="6"/>
      <c r="E2149" s="7"/>
      <c r="F2149" t="str">
        <f t="shared" si="91"/>
        <v/>
      </c>
      <c r="G2149" t="str">
        <f t="shared" si="92"/>
        <v/>
      </c>
    </row>
    <row r="2150" spans="2:7">
      <c r="B2150" s="6"/>
      <c r="E2150" s="7"/>
      <c r="F2150" t="str">
        <f t="shared" si="91"/>
        <v/>
      </c>
      <c r="G2150" t="str">
        <f t="shared" si="92"/>
        <v/>
      </c>
    </row>
    <row r="2151" spans="2:7">
      <c r="B2151" s="6"/>
      <c r="E2151" s="7"/>
      <c r="F2151" t="str">
        <f t="shared" si="91"/>
        <v/>
      </c>
      <c r="G2151" t="str">
        <f t="shared" si="92"/>
        <v/>
      </c>
    </row>
    <row r="2152" spans="2:7">
      <c r="B2152" s="6"/>
      <c r="E2152" s="7"/>
      <c r="F2152" t="str">
        <f t="shared" si="91"/>
        <v/>
      </c>
      <c r="G2152" t="str">
        <f t="shared" si="92"/>
        <v/>
      </c>
    </row>
    <row r="2153" spans="2:7">
      <c r="B2153" s="6"/>
      <c r="E2153" s="7"/>
      <c r="F2153" t="str">
        <f t="shared" si="91"/>
        <v/>
      </c>
      <c r="G2153" t="str">
        <f t="shared" si="92"/>
        <v/>
      </c>
    </row>
    <row r="2154" spans="2:7">
      <c r="B2154" s="6"/>
      <c r="E2154" s="7"/>
      <c r="F2154" t="str">
        <f t="shared" si="91"/>
        <v/>
      </c>
      <c r="G2154" t="str">
        <f t="shared" si="92"/>
        <v/>
      </c>
    </row>
    <row r="2155" spans="2:7">
      <c r="B2155" s="6"/>
      <c r="E2155" s="7"/>
      <c r="F2155" t="str">
        <f t="shared" si="91"/>
        <v/>
      </c>
      <c r="G2155" t="str">
        <f t="shared" si="92"/>
        <v/>
      </c>
    </row>
    <row r="2156" spans="2:7">
      <c r="B2156" s="6"/>
      <c r="E2156" s="7"/>
      <c r="F2156" t="str">
        <f t="shared" si="91"/>
        <v/>
      </c>
      <c r="G2156" t="str">
        <f t="shared" si="92"/>
        <v/>
      </c>
    </row>
    <row r="2157" spans="2:7">
      <c r="B2157" s="6"/>
      <c r="E2157" s="7"/>
      <c r="F2157" t="str">
        <f t="shared" si="91"/>
        <v/>
      </c>
      <c r="G2157" t="str">
        <f t="shared" si="92"/>
        <v/>
      </c>
    </row>
    <row r="2158" spans="2:7">
      <c r="B2158" s="6"/>
      <c r="E2158" s="7"/>
      <c r="F2158" t="str">
        <f t="shared" si="91"/>
        <v/>
      </c>
      <c r="G2158" t="str">
        <f t="shared" si="92"/>
        <v/>
      </c>
    </row>
    <row r="2159" spans="2:7">
      <c r="B2159" s="6"/>
      <c r="E2159" s="7"/>
      <c r="F2159" t="str">
        <f t="shared" si="91"/>
        <v/>
      </c>
      <c r="G2159" t="str">
        <f t="shared" si="92"/>
        <v/>
      </c>
    </row>
    <row r="2160" spans="2:7">
      <c r="B2160" s="6"/>
      <c r="E2160" s="7"/>
      <c r="F2160" t="str">
        <f t="shared" si="91"/>
        <v/>
      </c>
      <c r="G2160" t="str">
        <f t="shared" si="92"/>
        <v/>
      </c>
    </row>
    <row r="2161" spans="2:7">
      <c r="B2161" s="6"/>
      <c r="E2161" s="7"/>
      <c r="F2161" t="str">
        <f t="shared" si="91"/>
        <v/>
      </c>
      <c r="G2161" t="str">
        <f t="shared" si="92"/>
        <v/>
      </c>
    </row>
    <row r="2162" spans="2:7">
      <c r="B2162" s="6"/>
      <c r="E2162" s="7"/>
      <c r="F2162" t="str">
        <f t="shared" si="91"/>
        <v/>
      </c>
      <c r="G2162" t="str">
        <f t="shared" si="92"/>
        <v/>
      </c>
    </row>
    <row r="2163" spans="2:7">
      <c r="B2163" s="6"/>
      <c r="E2163" s="7"/>
      <c r="F2163" t="str">
        <f t="shared" si="91"/>
        <v/>
      </c>
      <c r="G2163" t="str">
        <f t="shared" si="92"/>
        <v/>
      </c>
    </row>
    <row r="2164" spans="2:7">
      <c r="B2164" s="6"/>
      <c r="E2164" s="7"/>
      <c r="F2164" t="str">
        <f t="shared" si="91"/>
        <v/>
      </c>
      <c r="G2164" t="str">
        <f t="shared" si="92"/>
        <v/>
      </c>
    </row>
    <row r="2165" spans="2:7">
      <c r="B2165" s="6"/>
      <c r="E2165" s="7"/>
      <c r="F2165" t="str">
        <f t="shared" si="91"/>
        <v/>
      </c>
      <c r="G2165" t="str">
        <f t="shared" si="92"/>
        <v/>
      </c>
    </row>
    <row r="2166" spans="2:7">
      <c r="B2166" s="6"/>
      <c r="E2166" s="7"/>
      <c r="F2166" t="str">
        <f t="shared" si="91"/>
        <v/>
      </c>
      <c r="G2166" t="str">
        <f t="shared" si="92"/>
        <v/>
      </c>
    </row>
    <row r="2167" spans="2:7">
      <c r="B2167" s="6"/>
      <c r="E2167" s="7"/>
      <c r="F2167" t="str">
        <f t="shared" si="91"/>
        <v/>
      </c>
      <c r="G2167" t="str">
        <f t="shared" si="92"/>
        <v/>
      </c>
    </row>
    <row r="2168" spans="2:7">
      <c r="B2168" s="6"/>
      <c r="E2168" s="7"/>
      <c r="F2168" t="str">
        <f t="shared" si="91"/>
        <v/>
      </c>
      <c r="G2168" t="str">
        <f t="shared" si="92"/>
        <v/>
      </c>
    </row>
    <row r="2169" spans="2:7">
      <c r="B2169" s="6"/>
      <c r="E2169" s="7"/>
      <c r="F2169" t="str">
        <f t="shared" si="91"/>
        <v/>
      </c>
      <c r="G2169" t="str">
        <f t="shared" si="92"/>
        <v/>
      </c>
    </row>
    <row r="2170" spans="2:7">
      <c r="B2170" s="6"/>
      <c r="E2170" s="7"/>
      <c r="F2170" t="str">
        <f t="shared" si="91"/>
        <v/>
      </c>
      <c r="G2170" t="str">
        <f t="shared" si="92"/>
        <v/>
      </c>
    </row>
    <row r="2171" spans="2:7">
      <c r="B2171" s="6"/>
      <c r="E2171" s="7"/>
      <c r="F2171" t="str">
        <f t="shared" si="91"/>
        <v/>
      </c>
      <c r="G2171" t="str">
        <f t="shared" si="92"/>
        <v/>
      </c>
    </row>
    <row r="2172" spans="2:7">
      <c r="B2172" s="6"/>
      <c r="E2172" s="7"/>
      <c r="F2172" t="str">
        <f t="shared" si="91"/>
        <v/>
      </c>
      <c r="G2172" t="str">
        <f t="shared" si="92"/>
        <v/>
      </c>
    </row>
    <row r="2173" spans="2:7">
      <c r="B2173" s="6"/>
      <c r="E2173" s="7"/>
      <c r="F2173" t="str">
        <f t="shared" si="91"/>
        <v/>
      </c>
      <c r="G2173" t="str">
        <f t="shared" si="92"/>
        <v/>
      </c>
    </row>
    <row r="2174" spans="2:7">
      <c r="B2174" s="6"/>
      <c r="E2174" s="7"/>
      <c r="F2174" t="str">
        <f t="shared" si="91"/>
        <v/>
      </c>
      <c r="G2174" t="str">
        <f t="shared" si="92"/>
        <v/>
      </c>
    </row>
    <row r="2175" spans="2:7">
      <c r="B2175" s="6"/>
      <c r="E2175" s="7"/>
      <c r="F2175" t="str">
        <f t="shared" si="91"/>
        <v/>
      </c>
      <c r="G2175" t="str">
        <f t="shared" si="92"/>
        <v/>
      </c>
    </row>
    <row r="2176" spans="2:7">
      <c r="B2176" s="6"/>
      <c r="E2176" s="7"/>
      <c r="F2176" t="str">
        <f t="shared" si="91"/>
        <v/>
      </c>
      <c r="G2176" t="str">
        <f t="shared" si="92"/>
        <v/>
      </c>
    </row>
    <row r="2177" spans="2:7">
      <c r="B2177" s="6"/>
      <c r="E2177" s="7"/>
      <c r="F2177" t="str">
        <f t="shared" si="91"/>
        <v/>
      </c>
      <c r="G2177" t="str">
        <f t="shared" si="92"/>
        <v/>
      </c>
    </row>
    <row r="2178" spans="2:7">
      <c r="B2178" s="6"/>
      <c r="E2178" s="7"/>
      <c r="F2178" t="str">
        <f t="shared" si="91"/>
        <v/>
      </c>
      <c r="G2178" t="str">
        <f t="shared" si="92"/>
        <v/>
      </c>
    </row>
    <row r="2179" spans="2:7">
      <c r="B2179" s="6"/>
      <c r="E2179" s="7"/>
      <c r="F2179" t="str">
        <f t="shared" si="91"/>
        <v/>
      </c>
      <c r="G2179" t="str">
        <f t="shared" si="92"/>
        <v/>
      </c>
    </row>
    <row r="2180" spans="2:7">
      <c r="B2180" s="6"/>
      <c r="E2180" s="7"/>
      <c r="F2180" t="str">
        <f t="shared" ref="F2180:F2243" si="93">IF(B2180="","",LOG10(D2180))</f>
        <v/>
      </c>
      <c r="G2180" t="str">
        <f t="shared" ref="G2180:G2243" si="94">IF(E2180="", "",0.434*E2180/D2180)</f>
        <v/>
      </c>
    </row>
    <row r="2181" spans="2:7">
      <c r="B2181" s="6"/>
      <c r="E2181" s="7"/>
      <c r="F2181" t="str">
        <f t="shared" si="93"/>
        <v/>
      </c>
      <c r="G2181" t="str">
        <f t="shared" si="94"/>
        <v/>
      </c>
    </row>
    <row r="2182" spans="2:7">
      <c r="B2182" s="6"/>
      <c r="E2182" s="7"/>
      <c r="F2182" t="str">
        <f t="shared" si="93"/>
        <v/>
      </c>
      <c r="G2182" t="str">
        <f t="shared" si="94"/>
        <v/>
      </c>
    </row>
    <row r="2183" spans="2:7">
      <c r="B2183" s="6"/>
      <c r="E2183" s="7"/>
      <c r="F2183" t="str">
        <f t="shared" si="93"/>
        <v/>
      </c>
      <c r="G2183" t="str">
        <f t="shared" si="94"/>
        <v/>
      </c>
    </row>
    <row r="2184" spans="2:7">
      <c r="B2184" s="6"/>
      <c r="E2184" s="7"/>
      <c r="F2184" t="str">
        <f t="shared" si="93"/>
        <v/>
      </c>
      <c r="G2184" t="str">
        <f t="shared" si="94"/>
        <v/>
      </c>
    </row>
    <row r="2185" spans="2:7">
      <c r="B2185" s="6"/>
      <c r="E2185" s="7"/>
      <c r="F2185" t="str">
        <f t="shared" si="93"/>
        <v/>
      </c>
      <c r="G2185" t="str">
        <f t="shared" si="94"/>
        <v/>
      </c>
    </row>
    <row r="2186" spans="2:7">
      <c r="B2186" s="6"/>
      <c r="E2186" s="7"/>
      <c r="F2186" t="str">
        <f t="shared" si="93"/>
        <v/>
      </c>
      <c r="G2186" t="str">
        <f t="shared" si="94"/>
        <v/>
      </c>
    </row>
    <row r="2187" spans="2:7">
      <c r="B2187" s="6"/>
      <c r="E2187" s="7"/>
      <c r="F2187" t="str">
        <f t="shared" si="93"/>
        <v/>
      </c>
      <c r="G2187" t="str">
        <f t="shared" si="94"/>
        <v/>
      </c>
    </row>
    <row r="2188" spans="2:7">
      <c r="B2188" s="6"/>
      <c r="E2188" s="7"/>
      <c r="F2188" t="str">
        <f t="shared" si="93"/>
        <v/>
      </c>
      <c r="G2188" t="str">
        <f t="shared" si="94"/>
        <v/>
      </c>
    </row>
    <row r="2189" spans="2:7">
      <c r="B2189" s="6"/>
      <c r="E2189" s="7"/>
      <c r="F2189" t="str">
        <f t="shared" si="93"/>
        <v/>
      </c>
      <c r="G2189" t="str">
        <f t="shared" si="94"/>
        <v/>
      </c>
    </row>
    <row r="2190" spans="2:7">
      <c r="B2190" s="6"/>
      <c r="E2190" s="7"/>
      <c r="F2190" t="str">
        <f t="shared" si="93"/>
        <v/>
      </c>
      <c r="G2190" t="str">
        <f t="shared" si="94"/>
        <v/>
      </c>
    </row>
    <row r="2191" spans="2:7">
      <c r="B2191" s="6"/>
      <c r="E2191" s="7"/>
      <c r="F2191" t="str">
        <f t="shared" si="93"/>
        <v/>
      </c>
      <c r="G2191" t="str">
        <f t="shared" si="94"/>
        <v/>
      </c>
    </row>
    <row r="2192" spans="2:7">
      <c r="B2192" s="6"/>
      <c r="E2192" s="7"/>
      <c r="F2192" t="str">
        <f t="shared" si="93"/>
        <v/>
      </c>
      <c r="G2192" t="str">
        <f t="shared" si="94"/>
        <v/>
      </c>
    </row>
    <row r="2193" spans="2:7">
      <c r="B2193" s="6"/>
      <c r="E2193" s="7"/>
      <c r="F2193" t="str">
        <f t="shared" si="93"/>
        <v/>
      </c>
      <c r="G2193" t="str">
        <f t="shared" si="94"/>
        <v/>
      </c>
    </row>
    <row r="2194" spans="2:7">
      <c r="B2194" s="6"/>
      <c r="E2194" s="7"/>
      <c r="F2194" t="str">
        <f t="shared" si="93"/>
        <v/>
      </c>
      <c r="G2194" t="str">
        <f t="shared" si="94"/>
        <v/>
      </c>
    </row>
    <row r="2195" spans="2:7">
      <c r="B2195" s="6"/>
      <c r="E2195" s="7"/>
      <c r="F2195" t="str">
        <f t="shared" si="93"/>
        <v/>
      </c>
      <c r="G2195" t="str">
        <f t="shared" si="94"/>
        <v/>
      </c>
    </row>
    <row r="2196" spans="2:7">
      <c r="B2196" s="6"/>
      <c r="E2196" s="7"/>
      <c r="F2196" t="str">
        <f t="shared" si="93"/>
        <v/>
      </c>
      <c r="G2196" t="str">
        <f t="shared" si="94"/>
        <v/>
      </c>
    </row>
    <row r="2197" spans="2:7">
      <c r="B2197" s="6"/>
      <c r="E2197" s="7"/>
      <c r="F2197" t="str">
        <f t="shared" si="93"/>
        <v/>
      </c>
      <c r="G2197" t="str">
        <f t="shared" si="94"/>
        <v/>
      </c>
    </row>
    <row r="2198" spans="2:7">
      <c r="B2198" s="6"/>
      <c r="E2198" s="7"/>
      <c r="F2198" t="str">
        <f t="shared" si="93"/>
        <v/>
      </c>
      <c r="G2198" t="str">
        <f t="shared" si="94"/>
        <v/>
      </c>
    </row>
    <row r="2199" spans="2:7">
      <c r="B2199" s="6"/>
      <c r="E2199" s="7"/>
      <c r="F2199" t="str">
        <f t="shared" si="93"/>
        <v/>
      </c>
      <c r="G2199" t="str">
        <f t="shared" si="94"/>
        <v/>
      </c>
    </row>
    <row r="2200" spans="2:7">
      <c r="B2200" s="6"/>
      <c r="E2200" s="7"/>
      <c r="F2200" t="str">
        <f t="shared" si="93"/>
        <v/>
      </c>
      <c r="G2200" t="str">
        <f t="shared" si="94"/>
        <v/>
      </c>
    </row>
    <row r="2201" spans="2:7">
      <c r="B2201" s="6"/>
      <c r="E2201" s="7"/>
      <c r="F2201" t="str">
        <f t="shared" si="93"/>
        <v/>
      </c>
      <c r="G2201" t="str">
        <f t="shared" si="94"/>
        <v/>
      </c>
    </row>
    <row r="2202" spans="2:7">
      <c r="B2202" s="6"/>
      <c r="E2202" s="7"/>
      <c r="F2202" t="str">
        <f t="shared" si="93"/>
        <v/>
      </c>
      <c r="G2202" t="str">
        <f t="shared" si="94"/>
        <v/>
      </c>
    </row>
    <row r="2203" spans="2:7">
      <c r="B2203" s="6"/>
      <c r="E2203" s="7"/>
      <c r="F2203" t="str">
        <f t="shared" si="93"/>
        <v/>
      </c>
      <c r="G2203" t="str">
        <f t="shared" si="94"/>
        <v/>
      </c>
    </row>
    <row r="2204" spans="2:7">
      <c r="B2204" s="6"/>
      <c r="E2204" s="7"/>
      <c r="F2204" t="str">
        <f t="shared" si="93"/>
        <v/>
      </c>
      <c r="G2204" t="str">
        <f t="shared" si="94"/>
        <v/>
      </c>
    </row>
    <row r="2205" spans="2:7">
      <c r="B2205" s="6"/>
      <c r="E2205" s="7"/>
      <c r="F2205" t="str">
        <f t="shared" si="93"/>
        <v/>
      </c>
      <c r="G2205" t="str">
        <f t="shared" si="94"/>
        <v/>
      </c>
    </row>
    <row r="2206" spans="2:7">
      <c r="B2206" s="6"/>
      <c r="E2206" s="7"/>
      <c r="F2206" t="str">
        <f t="shared" si="93"/>
        <v/>
      </c>
      <c r="G2206" t="str">
        <f t="shared" si="94"/>
        <v/>
      </c>
    </row>
    <row r="2207" spans="2:7">
      <c r="B2207" s="6"/>
      <c r="E2207" s="7"/>
      <c r="F2207" t="str">
        <f t="shared" si="93"/>
        <v/>
      </c>
      <c r="G2207" t="str">
        <f t="shared" si="94"/>
        <v/>
      </c>
    </row>
    <row r="2208" spans="2:7">
      <c r="B2208" s="6"/>
      <c r="E2208" s="7"/>
      <c r="F2208" t="str">
        <f t="shared" si="93"/>
        <v/>
      </c>
      <c r="G2208" t="str">
        <f t="shared" si="94"/>
        <v/>
      </c>
    </row>
    <row r="2209" spans="2:7">
      <c r="B2209" s="6"/>
      <c r="E2209" s="7"/>
      <c r="F2209" t="str">
        <f t="shared" si="93"/>
        <v/>
      </c>
      <c r="G2209" t="str">
        <f t="shared" si="94"/>
        <v/>
      </c>
    </row>
    <row r="2210" spans="2:7">
      <c r="B2210" s="6"/>
      <c r="E2210" s="7"/>
      <c r="F2210" t="str">
        <f t="shared" si="93"/>
        <v/>
      </c>
      <c r="G2210" t="str">
        <f t="shared" si="94"/>
        <v/>
      </c>
    </row>
    <row r="2211" spans="2:7">
      <c r="B2211" s="6"/>
      <c r="E2211" s="7"/>
      <c r="F2211" t="str">
        <f t="shared" si="93"/>
        <v/>
      </c>
      <c r="G2211" t="str">
        <f t="shared" si="94"/>
        <v/>
      </c>
    </row>
    <row r="2212" spans="2:7">
      <c r="B2212" s="6"/>
      <c r="E2212" s="7"/>
      <c r="F2212" t="str">
        <f t="shared" si="93"/>
        <v/>
      </c>
      <c r="G2212" t="str">
        <f t="shared" si="94"/>
        <v/>
      </c>
    </row>
    <row r="2213" spans="2:7">
      <c r="B2213" s="6"/>
      <c r="E2213" s="7"/>
      <c r="F2213" t="str">
        <f t="shared" si="93"/>
        <v/>
      </c>
      <c r="G2213" t="str">
        <f t="shared" si="94"/>
        <v/>
      </c>
    </row>
    <row r="2214" spans="2:7">
      <c r="B2214" s="6"/>
      <c r="E2214" s="7"/>
      <c r="F2214" t="str">
        <f t="shared" si="93"/>
        <v/>
      </c>
      <c r="G2214" t="str">
        <f t="shared" si="94"/>
        <v/>
      </c>
    </row>
    <row r="2215" spans="2:7">
      <c r="B2215" s="6"/>
      <c r="E2215" s="7"/>
      <c r="F2215" t="str">
        <f t="shared" si="93"/>
        <v/>
      </c>
      <c r="G2215" t="str">
        <f t="shared" si="94"/>
        <v/>
      </c>
    </row>
    <row r="2216" spans="2:7">
      <c r="B2216" s="6"/>
      <c r="E2216" s="7"/>
      <c r="F2216" t="str">
        <f t="shared" si="93"/>
        <v/>
      </c>
      <c r="G2216" t="str">
        <f t="shared" si="94"/>
        <v/>
      </c>
    </row>
    <row r="2217" spans="2:7">
      <c r="B2217" s="6"/>
      <c r="E2217" s="7"/>
      <c r="F2217" t="str">
        <f t="shared" si="93"/>
        <v/>
      </c>
      <c r="G2217" t="str">
        <f t="shared" si="94"/>
        <v/>
      </c>
    </row>
    <row r="2218" spans="2:7">
      <c r="B2218" s="6"/>
      <c r="E2218" s="7"/>
      <c r="F2218" t="str">
        <f t="shared" si="93"/>
        <v/>
      </c>
      <c r="G2218" t="str">
        <f t="shared" si="94"/>
        <v/>
      </c>
    </row>
    <row r="2219" spans="2:7">
      <c r="B2219" s="6"/>
      <c r="E2219" s="7"/>
      <c r="F2219" t="str">
        <f t="shared" si="93"/>
        <v/>
      </c>
      <c r="G2219" t="str">
        <f t="shared" si="94"/>
        <v/>
      </c>
    </row>
    <row r="2220" spans="2:7">
      <c r="B2220" s="6"/>
      <c r="E2220" s="7"/>
      <c r="F2220" t="str">
        <f t="shared" si="93"/>
        <v/>
      </c>
      <c r="G2220" t="str">
        <f t="shared" si="94"/>
        <v/>
      </c>
    </row>
    <row r="2221" spans="2:7">
      <c r="B2221" s="6"/>
      <c r="E2221" s="7"/>
      <c r="F2221" t="str">
        <f t="shared" si="93"/>
        <v/>
      </c>
      <c r="G2221" t="str">
        <f t="shared" si="94"/>
        <v/>
      </c>
    </row>
    <row r="2222" spans="2:7">
      <c r="B2222" s="6"/>
      <c r="E2222" s="7"/>
      <c r="F2222" t="str">
        <f t="shared" si="93"/>
        <v/>
      </c>
      <c r="G2222" t="str">
        <f t="shared" si="94"/>
        <v/>
      </c>
    </row>
    <row r="2223" spans="2:7">
      <c r="B2223" s="6"/>
      <c r="E2223" s="7"/>
      <c r="F2223" t="str">
        <f t="shared" si="93"/>
        <v/>
      </c>
      <c r="G2223" t="str">
        <f t="shared" si="94"/>
        <v/>
      </c>
    </row>
    <row r="2224" spans="2:7">
      <c r="B2224" s="6"/>
      <c r="E2224" s="7"/>
      <c r="F2224" t="str">
        <f t="shared" si="93"/>
        <v/>
      </c>
      <c r="G2224" t="str">
        <f t="shared" si="94"/>
        <v/>
      </c>
    </row>
    <row r="2225" spans="2:7">
      <c r="B2225" s="6"/>
      <c r="E2225" s="7"/>
      <c r="F2225" t="str">
        <f t="shared" si="93"/>
        <v/>
      </c>
      <c r="G2225" t="str">
        <f t="shared" si="94"/>
        <v/>
      </c>
    </row>
    <row r="2226" spans="2:7">
      <c r="B2226" s="6"/>
      <c r="E2226" s="7"/>
      <c r="F2226" t="str">
        <f t="shared" si="93"/>
        <v/>
      </c>
      <c r="G2226" t="str">
        <f t="shared" si="94"/>
        <v/>
      </c>
    </row>
    <row r="2227" spans="2:7">
      <c r="B2227" s="6"/>
      <c r="E2227" s="7"/>
      <c r="F2227" t="str">
        <f t="shared" si="93"/>
        <v/>
      </c>
      <c r="G2227" t="str">
        <f t="shared" si="94"/>
        <v/>
      </c>
    </row>
    <row r="2228" spans="2:7">
      <c r="B2228" s="6"/>
      <c r="E2228" s="7"/>
      <c r="F2228" t="str">
        <f t="shared" si="93"/>
        <v/>
      </c>
      <c r="G2228" t="str">
        <f t="shared" si="94"/>
        <v/>
      </c>
    </row>
    <row r="2229" spans="2:7">
      <c r="B2229" s="6"/>
      <c r="E2229" s="7"/>
      <c r="F2229" t="str">
        <f t="shared" si="93"/>
        <v/>
      </c>
      <c r="G2229" t="str">
        <f t="shared" si="94"/>
        <v/>
      </c>
    </row>
    <row r="2230" spans="2:7">
      <c r="B2230" s="6"/>
      <c r="E2230" s="7"/>
      <c r="F2230" t="str">
        <f t="shared" si="93"/>
        <v/>
      </c>
      <c r="G2230" t="str">
        <f t="shared" si="94"/>
        <v/>
      </c>
    </row>
    <row r="2231" spans="2:7">
      <c r="B2231" s="6"/>
      <c r="E2231" s="7"/>
      <c r="F2231" t="str">
        <f t="shared" si="93"/>
        <v/>
      </c>
      <c r="G2231" t="str">
        <f t="shared" si="94"/>
        <v/>
      </c>
    </row>
    <row r="2232" spans="2:7">
      <c r="B2232" s="6"/>
      <c r="E2232" s="7"/>
      <c r="F2232" t="str">
        <f t="shared" si="93"/>
        <v/>
      </c>
      <c r="G2232" t="str">
        <f t="shared" si="94"/>
        <v/>
      </c>
    </row>
    <row r="2233" spans="2:7">
      <c r="B2233" s="6"/>
      <c r="E2233" s="7"/>
      <c r="F2233" t="str">
        <f t="shared" si="93"/>
        <v/>
      </c>
      <c r="G2233" t="str">
        <f t="shared" si="94"/>
        <v/>
      </c>
    </row>
    <row r="2234" spans="2:7">
      <c r="B2234" s="6"/>
      <c r="E2234" s="7"/>
      <c r="F2234" t="str">
        <f t="shared" si="93"/>
        <v/>
      </c>
      <c r="G2234" t="str">
        <f t="shared" si="94"/>
        <v/>
      </c>
    </row>
    <row r="2235" spans="2:7">
      <c r="B2235" s="6"/>
      <c r="E2235" s="7"/>
      <c r="F2235" t="str">
        <f t="shared" si="93"/>
        <v/>
      </c>
      <c r="G2235" t="str">
        <f t="shared" si="94"/>
        <v/>
      </c>
    </row>
    <row r="2236" spans="2:7">
      <c r="B2236" s="6"/>
      <c r="E2236" s="7"/>
      <c r="F2236" t="str">
        <f t="shared" si="93"/>
        <v/>
      </c>
      <c r="G2236" t="str">
        <f t="shared" si="94"/>
        <v/>
      </c>
    </row>
    <row r="2237" spans="2:7">
      <c r="B2237" s="6"/>
      <c r="E2237" s="7"/>
      <c r="F2237" t="str">
        <f t="shared" si="93"/>
        <v/>
      </c>
      <c r="G2237" t="str">
        <f t="shared" si="94"/>
        <v/>
      </c>
    </row>
    <row r="2238" spans="2:7">
      <c r="B2238" s="6"/>
      <c r="E2238" s="7"/>
      <c r="F2238" t="str">
        <f t="shared" si="93"/>
        <v/>
      </c>
      <c r="G2238" t="str">
        <f t="shared" si="94"/>
        <v/>
      </c>
    </row>
    <row r="2239" spans="2:7">
      <c r="B2239" s="6"/>
      <c r="E2239" s="7"/>
      <c r="F2239" t="str">
        <f t="shared" si="93"/>
        <v/>
      </c>
      <c r="G2239" t="str">
        <f t="shared" si="94"/>
        <v/>
      </c>
    </row>
    <row r="2240" spans="2:7">
      <c r="B2240" s="6"/>
      <c r="E2240" s="7"/>
      <c r="F2240" t="str">
        <f t="shared" si="93"/>
        <v/>
      </c>
      <c r="G2240" t="str">
        <f t="shared" si="94"/>
        <v/>
      </c>
    </row>
    <row r="2241" spans="2:7">
      <c r="B2241" s="6"/>
      <c r="E2241" s="7"/>
      <c r="F2241" t="str">
        <f t="shared" si="93"/>
        <v/>
      </c>
      <c r="G2241" t="str">
        <f t="shared" si="94"/>
        <v/>
      </c>
    </row>
    <row r="2242" spans="2:7">
      <c r="B2242" s="6"/>
      <c r="E2242" s="7"/>
      <c r="F2242" t="str">
        <f t="shared" si="93"/>
        <v/>
      </c>
      <c r="G2242" t="str">
        <f t="shared" si="94"/>
        <v/>
      </c>
    </row>
    <row r="2243" spans="2:7">
      <c r="B2243" s="6"/>
      <c r="E2243" s="7"/>
      <c r="F2243" t="str">
        <f t="shared" si="93"/>
        <v/>
      </c>
      <c r="G2243" t="str">
        <f t="shared" si="94"/>
        <v/>
      </c>
    </row>
    <row r="2244" spans="2:7">
      <c r="B2244" s="6"/>
      <c r="E2244" s="7"/>
      <c r="F2244" t="str">
        <f t="shared" ref="F2244:F2307" si="95">IF(B2244="","",LOG10(D2244))</f>
        <v/>
      </c>
      <c r="G2244" t="str">
        <f t="shared" ref="G2244:G2307" si="96">IF(E2244="", "",0.434*E2244/D2244)</f>
        <v/>
      </c>
    </row>
    <row r="2245" spans="2:7">
      <c r="B2245" s="6"/>
      <c r="E2245" s="7"/>
      <c r="F2245" t="str">
        <f t="shared" si="95"/>
        <v/>
      </c>
      <c r="G2245" t="str">
        <f t="shared" si="96"/>
        <v/>
      </c>
    </row>
    <row r="2246" spans="2:7">
      <c r="B2246" s="6"/>
      <c r="E2246" s="7"/>
      <c r="F2246" t="str">
        <f t="shared" si="95"/>
        <v/>
      </c>
      <c r="G2246" t="str">
        <f t="shared" si="96"/>
        <v/>
      </c>
    </row>
    <row r="2247" spans="2:7">
      <c r="B2247" s="6"/>
      <c r="E2247" s="7"/>
      <c r="F2247" t="str">
        <f t="shared" si="95"/>
        <v/>
      </c>
      <c r="G2247" t="str">
        <f t="shared" si="96"/>
        <v/>
      </c>
    </row>
    <row r="2248" spans="2:7">
      <c r="B2248" s="6"/>
      <c r="E2248" s="7"/>
      <c r="F2248" t="str">
        <f t="shared" si="95"/>
        <v/>
      </c>
      <c r="G2248" t="str">
        <f t="shared" si="96"/>
        <v/>
      </c>
    </row>
    <row r="2249" spans="2:7">
      <c r="B2249" s="6"/>
      <c r="E2249" s="7"/>
      <c r="F2249" t="str">
        <f t="shared" si="95"/>
        <v/>
      </c>
      <c r="G2249" t="str">
        <f t="shared" si="96"/>
        <v/>
      </c>
    </row>
    <row r="2250" spans="2:7">
      <c r="B2250" s="6"/>
      <c r="E2250" s="7"/>
      <c r="F2250" t="str">
        <f t="shared" si="95"/>
        <v/>
      </c>
      <c r="G2250" t="str">
        <f t="shared" si="96"/>
        <v/>
      </c>
    </row>
    <row r="2251" spans="2:7">
      <c r="B2251" s="6"/>
      <c r="E2251" s="7"/>
      <c r="F2251" t="str">
        <f t="shared" si="95"/>
        <v/>
      </c>
      <c r="G2251" t="str">
        <f t="shared" si="96"/>
        <v/>
      </c>
    </row>
    <row r="2252" spans="2:7">
      <c r="B2252" s="6"/>
      <c r="E2252" s="7"/>
      <c r="F2252" t="str">
        <f t="shared" si="95"/>
        <v/>
      </c>
      <c r="G2252" t="str">
        <f t="shared" si="96"/>
        <v/>
      </c>
    </row>
    <row r="2253" spans="2:7">
      <c r="B2253" s="6"/>
      <c r="E2253" s="7"/>
      <c r="F2253" t="str">
        <f t="shared" si="95"/>
        <v/>
      </c>
      <c r="G2253" t="str">
        <f t="shared" si="96"/>
        <v/>
      </c>
    </row>
    <row r="2254" spans="2:7">
      <c r="B2254" s="6"/>
      <c r="E2254" s="7"/>
      <c r="F2254" t="str">
        <f t="shared" si="95"/>
        <v/>
      </c>
      <c r="G2254" t="str">
        <f t="shared" si="96"/>
        <v/>
      </c>
    </row>
    <row r="2255" spans="2:7">
      <c r="B2255" s="6"/>
      <c r="E2255" s="7"/>
      <c r="F2255" t="str">
        <f t="shared" si="95"/>
        <v/>
      </c>
      <c r="G2255" t="str">
        <f t="shared" si="96"/>
        <v/>
      </c>
    </row>
    <row r="2256" spans="2:7">
      <c r="B2256" s="6"/>
      <c r="E2256" s="7"/>
      <c r="F2256" t="str">
        <f t="shared" si="95"/>
        <v/>
      </c>
      <c r="G2256" t="str">
        <f t="shared" si="96"/>
        <v/>
      </c>
    </row>
    <row r="2257" spans="2:7">
      <c r="B2257" s="6"/>
      <c r="E2257" s="7"/>
      <c r="F2257" t="str">
        <f t="shared" si="95"/>
        <v/>
      </c>
      <c r="G2257" t="str">
        <f t="shared" si="96"/>
        <v/>
      </c>
    </row>
    <row r="2258" spans="2:7">
      <c r="B2258" s="6"/>
      <c r="E2258" s="7"/>
      <c r="F2258" t="str">
        <f t="shared" si="95"/>
        <v/>
      </c>
      <c r="G2258" t="str">
        <f t="shared" si="96"/>
        <v/>
      </c>
    </row>
    <row r="2259" spans="2:7">
      <c r="B2259" s="6"/>
      <c r="E2259" s="7"/>
      <c r="F2259" t="str">
        <f t="shared" si="95"/>
        <v/>
      </c>
      <c r="G2259" t="str">
        <f t="shared" si="96"/>
        <v/>
      </c>
    </row>
    <row r="2260" spans="2:7">
      <c r="B2260" s="6"/>
      <c r="E2260" s="7"/>
      <c r="F2260" t="str">
        <f t="shared" si="95"/>
        <v/>
      </c>
      <c r="G2260" t="str">
        <f t="shared" si="96"/>
        <v/>
      </c>
    </row>
    <row r="2261" spans="2:7">
      <c r="B2261" s="6"/>
      <c r="E2261" s="7"/>
      <c r="F2261" t="str">
        <f t="shared" si="95"/>
        <v/>
      </c>
      <c r="G2261" t="str">
        <f t="shared" si="96"/>
        <v/>
      </c>
    </row>
    <row r="2262" spans="2:7">
      <c r="B2262" s="6"/>
      <c r="E2262" s="7"/>
      <c r="F2262" t="str">
        <f t="shared" si="95"/>
        <v/>
      </c>
      <c r="G2262" t="str">
        <f t="shared" si="96"/>
        <v/>
      </c>
    </row>
    <row r="2263" spans="2:7">
      <c r="B2263" s="6"/>
      <c r="E2263" s="7"/>
      <c r="F2263" t="str">
        <f t="shared" si="95"/>
        <v/>
      </c>
      <c r="G2263" t="str">
        <f t="shared" si="96"/>
        <v/>
      </c>
    </row>
    <row r="2264" spans="2:7">
      <c r="B2264" s="6"/>
      <c r="E2264" s="7"/>
      <c r="F2264" t="str">
        <f t="shared" si="95"/>
        <v/>
      </c>
      <c r="G2264" t="str">
        <f t="shared" si="96"/>
        <v/>
      </c>
    </row>
    <row r="2265" spans="2:7">
      <c r="B2265" s="6"/>
      <c r="E2265" s="7"/>
      <c r="F2265" t="str">
        <f t="shared" si="95"/>
        <v/>
      </c>
      <c r="G2265" t="str">
        <f t="shared" si="96"/>
        <v/>
      </c>
    </row>
    <row r="2266" spans="2:7">
      <c r="B2266" s="6"/>
      <c r="E2266" s="7"/>
      <c r="F2266" t="str">
        <f t="shared" si="95"/>
        <v/>
      </c>
      <c r="G2266" t="str">
        <f t="shared" si="96"/>
        <v/>
      </c>
    </row>
    <row r="2267" spans="2:7">
      <c r="B2267" s="6"/>
      <c r="E2267" s="7"/>
      <c r="F2267" t="str">
        <f t="shared" si="95"/>
        <v/>
      </c>
      <c r="G2267" t="str">
        <f t="shared" si="96"/>
        <v/>
      </c>
    </row>
    <row r="2268" spans="2:7">
      <c r="B2268" s="6"/>
      <c r="E2268" s="7"/>
      <c r="F2268" t="str">
        <f t="shared" si="95"/>
        <v/>
      </c>
      <c r="G2268" t="str">
        <f t="shared" si="96"/>
        <v/>
      </c>
    </row>
    <row r="2269" spans="2:7">
      <c r="B2269" s="6"/>
      <c r="E2269" s="7"/>
      <c r="F2269" t="str">
        <f t="shared" si="95"/>
        <v/>
      </c>
      <c r="G2269" t="str">
        <f t="shared" si="96"/>
        <v/>
      </c>
    </row>
    <row r="2270" spans="2:7">
      <c r="B2270" s="6"/>
      <c r="E2270" s="7"/>
      <c r="F2270" t="str">
        <f t="shared" si="95"/>
        <v/>
      </c>
      <c r="G2270" t="str">
        <f t="shared" si="96"/>
        <v/>
      </c>
    </row>
    <row r="2271" spans="2:7">
      <c r="B2271" s="6"/>
      <c r="E2271" s="7"/>
      <c r="F2271" t="str">
        <f t="shared" si="95"/>
        <v/>
      </c>
      <c r="G2271" t="str">
        <f t="shared" si="96"/>
        <v/>
      </c>
    </row>
    <row r="2272" spans="2:7">
      <c r="B2272" s="6"/>
      <c r="E2272" s="7"/>
      <c r="F2272" t="str">
        <f t="shared" si="95"/>
        <v/>
      </c>
      <c r="G2272" t="str">
        <f t="shared" si="96"/>
        <v/>
      </c>
    </row>
    <row r="2273" spans="2:7">
      <c r="B2273" s="6"/>
      <c r="E2273" s="7"/>
      <c r="F2273" t="str">
        <f t="shared" si="95"/>
        <v/>
      </c>
      <c r="G2273" t="str">
        <f t="shared" si="96"/>
        <v/>
      </c>
    </row>
    <row r="2274" spans="2:7">
      <c r="B2274" s="6"/>
      <c r="E2274" s="7"/>
      <c r="F2274" t="str">
        <f t="shared" si="95"/>
        <v/>
      </c>
      <c r="G2274" t="str">
        <f t="shared" si="96"/>
        <v/>
      </c>
    </row>
    <row r="2275" spans="2:7">
      <c r="B2275" s="6"/>
      <c r="E2275" s="7"/>
      <c r="F2275" t="str">
        <f t="shared" si="95"/>
        <v/>
      </c>
      <c r="G2275" t="str">
        <f t="shared" si="96"/>
        <v/>
      </c>
    </row>
    <row r="2276" spans="2:7">
      <c r="B2276" s="6"/>
      <c r="E2276" s="7"/>
      <c r="F2276" t="str">
        <f t="shared" si="95"/>
        <v/>
      </c>
      <c r="G2276" t="str">
        <f t="shared" si="96"/>
        <v/>
      </c>
    </row>
    <row r="2277" spans="2:7">
      <c r="B2277" s="6"/>
      <c r="E2277" s="7"/>
      <c r="F2277" t="str">
        <f t="shared" si="95"/>
        <v/>
      </c>
      <c r="G2277" t="str">
        <f t="shared" si="96"/>
        <v/>
      </c>
    </row>
    <row r="2278" spans="2:7">
      <c r="B2278" s="6"/>
      <c r="E2278" s="7"/>
      <c r="F2278" t="str">
        <f t="shared" si="95"/>
        <v/>
      </c>
      <c r="G2278" t="str">
        <f t="shared" si="96"/>
        <v/>
      </c>
    </row>
    <row r="2279" spans="2:7">
      <c r="B2279" s="6"/>
      <c r="E2279" s="7"/>
      <c r="F2279" t="str">
        <f t="shared" si="95"/>
        <v/>
      </c>
      <c r="G2279" t="str">
        <f t="shared" si="96"/>
        <v/>
      </c>
    </row>
    <row r="2280" spans="2:7">
      <c r="B2280" s="6"/>
      <c r="E2280" s="7"/>
      <c r="F2280" t="str">
        <f t="shared" si="95"/>
        <v/>
      </c>
      <c r="G2280" t="str">
        <f t="shared" si="96"/>
        <v/>
      </c>
    </row>
    <row r="2281" spans="2:7">
      <c r="B2281" s="6"/>
      <c r="E2281" s="7"/>
      <c r="F2281" t="str">
        <f t="shared" si="95"/>
        <v/>
      </c>
      <c r="G2281" t="str">
        <f t="shared" si="96"/>
        <v/>
      </c>
    </row>
    <row r="2282" spans="2:7">
      <c r="B2282" s="6"/>
      <c r="E2282" s="7"/>
      <c r="F2282" t="str">
        <f t="shared" si="95"/>
        <v/>
      </c>
      <c r="G2282" t="str">
        <f t="shared" si="96"/>
        <v/>
      </c>
    </row>
    <row r="2283" spans="2:7">
      <c r="B2283" s="6"/>
      <c r="E2283" s="7"/>
      <c r="F2283" t="str">
        <f t="shared" si="95"/>
        <v/>
      </c>
      <c r="G2283" t="str">
        <f t="shared" si="96"/>
        <v/>
      </c>
    </row>
    <row r="2284" spans="2:7">
      <c r="B2284" s="6"/>
      <c r="E2284" s="7"/>
      <c r="F2284" t="str">
        <f t="shared" si="95"/>
        <v/>
      </c>
      <c r="G2284" t="str">
        <f t="shared" si="96"/>
        <v/>
      </c>
    </row>
    <row r="2285" spans="2:7">
      <c r="B2285" s="6"/>
      <c r="E2285" s="7"/>
      <c r="F2285" t="str">
        <f t="shared" si="95"/>
        <v/>
      </c>
      <c r="G2285" t="str">
        <f t="shared" si="96"/>
        <v/>
      </c>
    </row>
    <row r="2286" spans="2:7">
      <c r="B2286" s="6"/>
      <c r="E2286" s="7"/>
      <c r="F2286" t="str">
        <f t="shared" si="95"/>
        <v/>
      </c>
      <c r="G2286" t="str">
        <f t="shared" si="96"/>
        <v/>
      </c>
    </row>
    <row r="2287" spans="2:7">
      <c r="B2287" s="6"/>
      <c r="E2287" s="7"/>
      <c r="F2287" t="str">
        <f t="shared" si="95"/>
        <v/>
      </c>
      <c r="G2287" t="str">
        <f t="shared" si="96"/>
        <v/>
      </c>
    </row>
    <row r="2288" spans="2:7">
      <c r="B2288" s="6"/>
      <c r="E2288" s="7"/>
      <c r="F2288" t="str">
        <f t="shared" si="95"/>
        <v/>
      </c>
      <c r="G2288" t="str">
        <f t="shared" si="96"/>
        <v/>
      </c>
    </row>
    <row r="2289" spans="2:7">
      <c r="B2289" s="6"/>
      <c r="E2289" s="7"/>
      <c r="F2289" t="str">
        <f t="shared" si="95"/>
        <v/>
      </c>
      <c r="G2289" t="str">
        <f t="shared" si="96"/>
        <v/>
      </c>
    </row>
    <row r="2290" spans="2:7">
      <c r="B2290" s="6"/>
      <c r="E2290" s="7"/>
      <c r="F2290" t="str">
        <f t="shared" si="95"/>
        <v/>
      </c>
      <c r="G2290" t="str">
        <f t="shared" si="96"/>
        <v/>
      </c>
    </row>
    <row r="2291" spans="2:7">
      <c r="B2291" s="6"/>
      <c r="E2291" s="7"/>
      <c r="F2291" t="str">
        <f t="shared" si="95"/>
        <v/>
      </c>
      <c r="G2291" t="str">
        <f t="shared" si="96"/>
        <v/>
      </c>
    </row>
    <row r="2292" spans="2:7">
      <c r="B2292" s="6"/>
      <c r="E2292" s="7"/>
      <c r="F2292" t="str">
        <f t="shared" si="95"/>
        <v/>
      </c>
      <c r="G2292" t="str">
        <f t="shared" si="96"/>
        <v/>
      </c>
    </row>
    <row r="2293" spans="2:7">
      <c r="B2293" s="6"/>
      <c r="E2293" s="7"/>
      <c r="F2293" t="str">
        <f t="shared" si="95"/>
        <v/>
      </c>
      <c r="G2293" t="str">
        <f t="shared" si="96"/>
        <v/>
      </c>
    </row>
    <row r="2294" spans="2:7">
      <c r="B2294" s="6"/>
      <c r="E2294" s="7"/>
      <c r="F2294" t="str">
        <f t="shared" si="95"/>
        <v/>
      </c>
      <c r="G2294" t="str">
        <f t="shared" si="96"/>
        <v/>
      </c>
    </row>
    <row r="2295" spans="2:7">
      <c r="B2295" s="6"/>
      <c r="E2295" s="7"/>
      <c r="F2295" t="str">
        <f t="shared" si="95"/>
        <v/>
      </c>
      <c r="G2295" t="str">
        <f t="shared" si="96"/>
        <v/>
      </c>
    </row>
    <row r="2296" spans="2:7">
      <c r="B2296" s="6"/>
      <c r="E2296" s="7"/>
      <c r="F2296" t="str">
        <f t="shared" si="95"/>
        <v/>
      </c>
      <c r="G2296" t="str">
        <f t="shared" si="96"/>
        <v/>
      </c>
    </row>
    <row r="2297" spans="2:7">
      <c r="B2297" s="6"/>
      <c r="E2297" s="7"/>
      <c r="F2297" t="str">
        <f t="shared" si="95"/>
        <v/>
      </c>
      <c r="G2297" t="str">
        <f t="shared" si="96"/>
        <v/>
      </c>
    </row>
    <row r="2298" spans="2:7">
      <c r="B2298" s="6"/>
      <c r="E2298" s="7"/>
      <c r="F2298" t="str">
        <f t="shared" si="95"/>
        <v/>
      </c>
      <c r="G2298" t="str">
        <f t="shared" si="96"/>
        <v/>
      </c>
    </row>
    <row r="2299" spans="2:7">
      <c r="B2299" s="6"/>
      <c r="E2299" s="7"/>
      <c r="F2299" t="str">
        <f t="shared" si="95"/>
        <v/>
      </c>
      <c r="G2299" t="str">
        <f t="shared" si="96"/>
        <v/>
      </c>
    </row>
    <row r="2300" spans="2:7">
      <c r="B2300" s="6"/>
      <c r="E2300" s="7"/>
      <c r="F2300" t="str">
        <f t="shared" si="95"/>
        <v/>
      </c>
      <c r="G2300" t="str">
        <f t="shared" si="96"/>
        <v/>
      </c>
    </row>
    <row r="2301" spans="2:7">
      <c r="B2301" s="6"/>
      <c r="E2301" s="7"/>
      <c r="F2301" t="str">
        <f t="shared" si="95"/>
        <v/>
      </c>
      <c r="G2301" t="str">
        <f t="shared" si="96"/>
        <v/>
      </c>
    </row>
    <row r="2302" spans="2:7">
      <c r="B2302" s="6"/>
      <c r="E2302" s="7"/>
      <c r="F2302" t="str">
        <f t="shared" si="95"/>
        <v/>
      </c>
      <c r="G2302" t="str">
        <f t="shared" si="96"/>
        <v/>
      </c>
    </row>
    <row r="2303" spans="2:7">
      <c r="B2303" s="6"/>
      <c r="E2303" s="7"/>
      <c r="F2303" t="str">
        <f t="shared" si="95"/>
        <v/>
      </c>
      <c r="G2303" t="str">
        <f t="shared" si="96"/>
        <v/>
      </c>
    </row>
    <row r="2304" spans="2:7">
      <c r="B2304" s="6"/>
      <c r="E2304" s="7"/>
      <c r="F2304" t="str">
        <f t="shared" si="95"/>
        <v/>
      </c>
      <c r="G2304" t="str">
        <f t="shared" si="96"/>
        <v/>
      </c>
    </row>
    <row r="2305" spans="2:7">
      <c r="B2305" s="6"/>
      <c r="E2305" s="7"/>
      <c r="F2305" t="str">
        <f t="shared" si="95"/>
        <v/>
      </c>
      <c r="G2305" t="str">
        <f t="shared" si="96"/>
        <v/>
      </c>
    </row>
    <row r="2306" spans="2:7">
      <c r="B2306" s="6"/>
      <c r="E2306" s="7"/>
      <c r="F2306" t="str">
        <f t="shared" si="95"/>
        <v/>
      </c>
      <c r="G2306" t="str">
        <f t="shared" si="96"/>
        <v/>
      </c>
    </row>
    <row r="2307" spans="2:7">
      <c r="B2307" s="6"/>
      <c r="E2307" s="7"/>
      <c r="F2307" t="str">
        <f t="shared" si="95"/>
        <v/>
      </c>
      <c r="G2307" t="str">
        <f t="shared" si="96"/>
        <v/>
      </c>
    </row>
    <row r="2308" spans="2:7">
      <c r="B2308" s="6"/>
      <c r="E2308" s="7"/>
      <c r="F2308" t="str">
        <f t="shared" ref="F2308:F2371" si="97">IF(B2308="","",LOG10(D2308))</f>
        <v/>
      </c>
      <c r="G2308" t="str">
        <f t="shared" ref="G2308:G2371" si="98">IF(E2308="", "",0.434*E2308/D2308)</f>
        <v/>
      </c>
    </row>
    <row r="2309" spans="2:7">
      <c r="B2309" s="6"/>
      <c r="E2309" s="7"/>
      <c r="F2309" t="str">
        <f t="shared" si="97"/>
        <v/>
      </c>
      <c r="G2309" t="str">
        <f t="shared" si="98"/>
        <v/>
      </c>
    </row>
    <row r="2310" spans="2:7">
      <c r="B2310" s="6"/>
      <c r="E2310" s="7"/>
      <c r="F2310" t="str">
        <f t="shared" si="97"/>
        <v/>
      </c>
      <c r="G2310" t="str">
        <f t="shared" si="98"/>
        <v/>
      </c>
    </row>
    <row r="2311" spans="2:7">
      <c r="B2311" s="6"/>
      <c r="E2311" s="7"/>
      <c r="F2311" t="str">
        <f t="shared" si="97"/>
        <v/>
      </c>
      <c r="G2311" t="str">
        <f t="shared" si="98"/>
        <v/>
      </c>
    </row>
    <row r="2312" spans="2:7">
      <c r="B2312" s="6"/>
      <c r="E2312" s="7"/>
      <c r="F2312" t="str">
        <f t="shared" si="97"/>
        <v/>
      </c>
      <c r="G2312" t="str">
        <f t="shared" si="98"/>
        <v/>
      </c>
    </row>
    <row r="2313" spans="2:7">
      <c r="B2313" s="6"/>
      <c r="E2313" s="7"/>
      <c r="F2313" t="str">
        <f t="shared" si="97"/>
        <v/>
      </c>
      <c r="G2313" t="str">
        <f t="shared" si="98"/>
        <v/>
      </c>
    </row>
    <row r="2314" spans="2:7">
      <c r="B2314" s="6"/>
      <c r="E2314" s="7"/>
      <c r="F2314" t="str">
        <f t="shared" si="97"/>
        <v/>
      </c>
      <c r="G2314" t="str">
        <f t="shared" si="98"/>
        <v/>
      </c>
    </row>
    <row r="2315" spans="2:7">
      <c r="B2315" s="6"/>
      <c r="E2315" s="7"/>
      <c r="F2315" t="str">
        <f t="shared" si="97"/>
        <v/>
      </c>
      <c r="G2315" t="str">
        <f t="shared" si="98"/>
        <v/>
      </c>
    </row>
    <row r="2316" spans="2:7">
      <c r="B2316" s="6"/>
      <c r="E2316" s="7"/>
      <c r="F2316" t="str">
        <f t="shared" si="97"/>
        <v/>
      </c>
      <c r="G2316" t="str">
        <f t="shared" si="98"/>
        <v/>
      </c>
    </row>
    <row r="2317" spans="2:7">
      <c r="B2317" s="6"/>
      <c r="E2317" s="7"/>
      <c r="F2317" t="str">
        <f t="shared" si="97"/>
        <v/>
      </c>
      <c r="G2317" t="str">
        <f t="shared" si="98"/>
        <v/>
      </c>
    </row>
    <row r="2318" spans="2:7">
      <c r="B2318" s="6"/>
      <c r="E2318" s="7"/>
      <c r="F2318" t="str">
        <f t="shared" si="97"/>
        <v/>
      </c>
      <c r="G2318" t="str">
        <f t="shared" si="98"/>
        <v/>
      </c>
    </row>
    <row r="2319" spans="2:7">
      <c r="B2319" s="6"/>
      <c r="E2319" s="7"/>
      <c r="F2319" t="str">
        <f t="shared" si="97"/>
        <v/>
      </c>
      <c r="G2319" t="str">
        <f t="shared" si="98"/>
        <v/>
      </c>
    </row>
    <row r="2320" spans="2:7">
      <c r="B2320" s="6"/>
      <c r="E2320" s="7"/>
      <c r="F2320" t="str">
        <f t="shared" si="97"/>
        <v/>
      </c>
      <c r="G2320" t="str">
        <f t="shared" si="98"/>
        <v/>
      </c>
    </row>
    <row r="2321" spans="2:7">
      <c r="B2321" s="6"/>
      <c r="E2321" s="7"/>
      <c r="F2321" t="str">
        <f t="shared" si="97"/>
        <v/>
      </c>
      <c r="G2321" t="str">
        <f t="shared" si="98"/>
        <v/>
      </c>
    </row>
    <row r="2322" spans="2:7">
      <c r="B2322" s="6"/>
      <c r="E2322" s="7"/>
      <c r="F2322" t="str">
        <f t="shared" si="97"/>
        <v/>
      </c>
      <c r="G2322" t="str">
        <f t="shared" si="98"/>
        <v/>
      </c>
    </row>
    <row r="2323" spans="2:7">
      <c r="B2323" s="6"/>
      <c r="E2323" s="7"/>
      <c r="F2323" t="str">
        <f t="shared" si="97"/>
        <v/>
      </c>
      <c r="G2323" t="str">
        <f t="shared" si="98"/>
        <v/>
      </c>
    </row>
    <row r="2324" spans="2:7">
      <c r="B2324" s="6"/>
      <c r="E2324" s="7"/>
      <c r="F2324" t="str">
        <f t="shared" si="97"/>
        <v/>
      </c>
      <c r="G2324" t="str">
        <f t="shared" si="98"/>
        <v/>
      </c>
    </row>
    <row r="2325" spans="2:7">
      <c r="B2325" s="6"/>
      <c r="E2325" s="7"/>
      <c r="F2325" t="str">
        <f t="shared" si="97"/>
        <v/>
      </c>
      <c r="G2325" t="str">
        <f t="shared" si="98"/>
        <v/>
      </c>
    </row>
    <row r="2326" spans="2:7">
      <c r="B2326" s="6"/>
      <c r="E2326" s="7"/>
      <c r="F2326" t="str">
        <f t="shared" si="97"/>
        <v/>
      </c>
      <c r="G2326" t="str">
        <f t="shared" si="98"/>
        <v/>
      </c>
    </row>
    <row r="2327" spans="2:7">
      <c r="B2327" s="6"/>
      <c r="E2327" s="7"/>
      <c r="F2327" t="str">
        <f t="shared" si="97"/>
        <v/>
      </c>
      <c r="G2327" t="str">
        <f t="shared" si="98"/>
        <v/>
      </c>
    </row>
    <row r="2328" spans="2:7">
      <c r="B2328" s="6"/>
      <c r="E2328" s="7"/>
      <c r="F2328" t="str">
        <f t="shared" si="97"/>
        <v/>
      </c>
      <c r="G2328" t="str">
        <f t="shared" si="98"/>
        <v/>
      </c>
    </row>
    <row r="2329" spans="2:7">
      <c r="B2329" s="6"/>
      <c r="E2329" s="7"/>
      <c r="F2329" t="str">
        <f t="shared" si="97"/>
        <v/>
      </c>
      <c r="G2329" t="str">
        <f t="shared" si="98"/>
        <v/>
      </c>
    </row>
    <row r="2330" spans="2:7">
      <c r="B2330" s="6"/>
      <c r="E2330" s="7"/>
      <c r="F2330" t="str">
        <f t="shared" si="97"/>
        <v/>
      </c>
      <c r="G2330" t="str">
        <f t="shared" si="98"/>
        <v/>
      </c>
    </row>
    <row r="2331" spans="2:7">
      <c r="B2331" s="6"/>
      <c r="E2331" s="7"/>
      <c r="F2331" t="str">
        <f t="shared" si="97"/>
        <v/>
      </c>
      <c r="G2331" t="str">
        <f t="shared" si="98"/>
        <v/>
      </c>
    </row>
    <row r="2332" spans="2:7">
      <c r="B2332" s="6"/>
      <c r="E2332" s="7"/>
      <c r="F2332" t="str">
        <f t="shared" si="97"/>
        <v/>
      </c>
      <c r="G2332" t="str">
        <f t="shared" si="98"/>
        <v/>
      </c>
    </row>
    <row r="2333" spans="2:7">
      <c r="B2333" s="6"/>
      <c r="E2333" s="7"/>
      <c r="F2333" t="str">
        <f t="shared" si="97"/>
        <v/>
      </c>
      <c r="G2333" t="str">
        <f t="shared" si="98"/>
        <v/>
      </c>
    </row>
    <row r="2334" spans="2:7">
      <c r="B2334" s="6"/>
      <c r="E2334" s="7"/>
      <c r="F2334" t="str">
        <f t="shared" si="97"/>
        <v/>
      </c>
      <c r="G2334" t="str">
        <f t="shared" si="98"/>
        <v/>
      </c>
    </row>
    <row r="2335" spans="2:7">
      <c r="B2335" s="6"/>
      <c r="E2335" s="7"/>
      <c r="F2335" t="str">
        <f t="shared" si="97"/>
        <v/>
      </c>
      <c r="G2335" t="str">
        <f t="shared" si="98"/>
        <v/>
      </c>
    </row>
    <row r="2336" spans="2:7">
      <c r="B2336" s="6"/>
      <c r="E2336" s="7"/>
      <c r="F2336" t="str">
        <f t="shared" si="97"/>
        <v/>
      </c>
      <c r="G2336" t="str">
        <f t="shared" si="98"/>
        <v/>
      </c>
    </row>
    <row r="2337" spans="2:7">
      <c r="B2337" s="6"/>
      <c r="E2337" s="7"/>
      <c r="F2337" t="str">
        <f t="shared" si="97"/>
        <v/>
      </c>
      <c r="G2337" t="str">
        <f t="shared" si="98"/>
        <v/>
      </c>
    </row>
    <row r="2338" spans="2:7">
      <c r="B2338" s="6"/>
      <c r="E2338" s="7"/>
      <c r="F2338" t="str">
        <f t="shared" si="97"/>
        <v/>
      </c>
      <c r="G2338" t="str">
        <f t="shared" si="98"/>
        <v/>
      </c>
    </row>
    <row r="2339" spans="2:7">
      <c r="B2339" s="6"/>
      <c r="E2339" s="7"/>
      <c r="F2339" t="str">
        <f t="shared" si="97"/>
        <v/>
      </c>
      <c r="G2339" t="str">
        <f t="shared" si="98"/>
        <v/>
      </c>
    </row>
    <row r="2340" spans="2:7">
      <c r="B2340" s="6"/>
      <c r="E2340" s="7"/>
      <c r="F2340" t="str">
        <f t="shared" si="97"/>
        <v/>
      </c>
      <c r="G2340" t="str">
        <f t="shared" si="98"/>
        <v/>
      </c>
    </row>
    <row r="2341" spans="2:7">
      <c r="B2341" s="6"/>
      <c r="E2341" s="7"/>
      <c r="F2341" t="str">
        <f t="shared" si="97"/>
        <v/>
      </c>
      <c r="G2341" t="str">
        <f t="shared" si="98"/>
        <v/>
      </c>
    </row>
    <row r="2342" spans="2:7">
      <c r="B2342" s="6"/>
      <c r="E2342" s="7"/>
      <c r="F2342" t="str">
        <f t="shared" si="97"/>
        <v/>
      </c>
      <c r="G2342" t="str">
        <f t="shared" si="98"/>
        <v/>
      </c>
    </row>
    <row r="2343" spans="2:7">
      <c r="B2343" s="6"/>
      <c r="E2343" s="7"/>
      <c r="F2343" t="str">
        <f t="shared" si="97"/>
        <v/>
      </c>
      <c r="G2343" t="str">
        <f t="shared" si="98"/>
        <v/>
      </c>
    </row>
    <row r="2344" spans="2:7">
      <c r="B2344" s="6"/>
      <c r="E2344" s="7"/>
      <c r="F2344" t="str">
        <f t="shared" si="97"/>
        <v/>
      </c>
      <c r="G2344" t="str">
        <f t="shared" si="98"/>
        <v/>
      </c>
    </row>
    <row r="2345" spans="2:7">
      <c r="B2345" s="6"/>
      <c r="E2345" s="7"/>
      <c r="F2345" t="str">
        <f t="shared" si="97"/>
        <v/>
      </c>
      <c r="G2345" t="str">
        <f t="shared" si="98"/>
        <v/>
      </c>
    </row>
    <row r="2346" spans="2:7">
      <c r="B2346" s="6"/>
      <c r="E2346" s="7"/>
      <c r="F2346" t="str">
        <f t="shared" si="97"/>
        <v/>
      </c>
      <c r="G2346" t="str">
        <f t="shared" si="98"/>
        <v/>
      </c>
    </row>
    <row r="2347" spans="2:7">
      <c r="B2347" s="6"/>
      <c r="E2347" s="7"/>
      <c r="F2347" t="str">
        <f t="shared" si="97"/>
        <v/>
      </c>
      <c r="G2347" t="str">
        <f t="shared" si="98"/>
        <v/>
      </c>
    </row>
    <row r="2348" spans="2:7">
      <c r="B2348" s="6"/>
      <c r="E2348" s="7"/>
      <c r="F2348" t="str">
        <f t="shared" si="97"/>
        <v/>
      </c>
      <c r="G2348" t="str">
        <f t="shared" si="98"/>
        <v/>
      </c>
    </row>
    <row r="2349" spans="2:7">
      <c r="B2349" s="6"/>
      <c r="E2349" s="7"/>
      <c r="F2349" t="str">
        <f t="shared" si="97"/>
        <v/>
      </c>
      <c r="G2349" t="str">
        <f t="shared" si="98"/>
        <v/>
      </c>
    </row>
    <row r="2350" spans="2:7">
      <c r="B2350" s="6"/>
      <c r="E2350" s="7"/>
      <c r="F2350" t="str">
        <f t="shared" si="97"/>
        <v/>
      </c>
      <c r="G2350" t="str">
        <f t="shared" si="98"/>
        <v/>
      </c>
    </row>
    <row r="2351" spans="2:7">
      <c r="B2351" s="6"/>
      <c r="E2351" s="7"/>
      <c r="F2351" t="str">
        <f t="shared" si="97"/>
        <v/>
      </c>
      <c r="G2351" t="str">
        <f t="shared" si="98"/>
        <v/>
      </c>
    </row>
    <row r="2352" spans="2:7">
      <c r="B2352" s="6"/>
      <c r="E2352" s="7"/>
      <c r="F2352" t="str">
        <f t="shared" si="97"/>
        <v/>
      </c>
      <c r="G2352" t="str">
        <f t="shared" si="98"/>
        <v/>
      </c>
    </row>
    <row r="2353" spans="2:7">
      <c r="B2353" s="6"/>
      <c r="E2353" s="7"/>
      <c r="F2353" t="str">
        <f t="shared" si="97"/>
        <v/>
      </c>
      <c r="G2353" t="str">
        <f t="shared" si="98"/>
        <v/>
      </c>
    </row>
    <row r="2354" spans="2:7">
      <c r="B2354" s="6"/>
      <c r="E2354" s="7"/>
      <c r="F2354" t="str">
        <f t="shared" si="97"/>
        <v/>
      </c>
      <c r="G2354" t="str">
        <f t="shared" si="98"/>
        <v/>
      </c>
    </row>
    <row r="2355" spans="2:7">
      <c r="B2355" s="6"/>
      <c r="E2355" s="7"/>
      <c r="F2355" t="str">
        <f t="shared" si="97"/>
        <v/>
      </c>
      <c r="G2355" t="str">
        <f t="shared" si="98"/>
        <v/>
      </c>
    </row>
    <row r="2356" spans="2:7">
      <c r="B2356" s="6"/>
      <c r="E2356" s="7"/>
      <c r="F2356" t="str">
        <f t="shared" si="97"/>
        <v/>
      </c>
      <c r="G2356" t="str">
        <f t="shared" si="98"/>
        <v/>
      </c>
    </row>
    <row r="2357" spans="2:7">
      <c r="B2357" s="6"/>
      <c r="E2357" s="7"/>
      <c r="F2357" t="str">
        <f t="shared" si="97"/>
        <v/>
      </c>
      <c r="G2357" t="str">
        <f t="shared" si="98"/>
        <v/>
      </c>
    </row>
    <row r="2358" spans="2:7">
      <c r="B2358" s="6"/>
      <c r="E2358" s="7"/>
      <c r="F2358" t="str">
        <f t="shared" si="97"/>
        <v/>
      </c>
      <c r="G2358" t="str">
        <f t="shared" si="98"/>
        <v/>
      </c>
    </row>
    <row r="2359" spans="2:7">
      <c r="B2359" s="6"/>
      <c r="E2359" s="7"/>
      <c r="F2359" t="str">
        <f t="shared" si="97"/>
        <v/>
      </c>
      <c r="G2359" t="str">
        <f t="shared" si="98"/>
        <v/>
      </c>
    </row>
    <row r="2360" spans="2:7">
      <c r="B2360" s="6"/>
      <c r="E2360" s="7"/>
      <c r="F2360" t="str">
        <f t="shared" si="97"/>
        <v/>
      </c>
      <c r="G2360" t="str">
        <f t="shared" si="98"/>
        <v/>
      </c>
    </row>
    <row r="2361" spans="2:7">
      <c r="B2361" s="6"/>
      <c r="E2361" s="7"/>
      <c r="F2361" t="str">
        <f t="shared" si="97"/>
        <v/>
      </c>
      <c r="G2361" t="str">
        <f t="shared" si="98"/>
        <v/>
      </c>
    </row>
    <row r="2362" spans="2:7">
      <c r="B2362" s="6"/>
      <c r="E2362" s="7"/>
      <c r="F2362" t="str">
        <f t="shared" si="97"/>
        <v/>
      </c>
      <c r="G2362" t="str">
        <f t="shared" si="98"/>
        <v/>
      </c>
    </row>
    <row r="2363" spans="2:7">
      <c r="B2363" s="6"/>
      <c r="E2363" s="7"/>
      <c r="F2363" t="str">
        <f t="shared" si="97"/>
        <v/>
      </c>
      <c r="G2363" t="str">
        <f t="shared" si="98"/>
        <v/>
      </c>
    </row>
    <row r="2364" spans="2:7">
      <c r="B2364" s="6"/>
      <c r="E2364" s="7"/>
      <c r="F2364" t="str">
        <f t="shared" si="97"/>
        <v/>
      </c>
      <c r="G2364" t="str">
        <f t="shared" si="98"/>
        <v/>
      </c>
    </row>
    <row r="2365" spans="2:7">
      <c r="B2365" s="6"/>
      <c r="E2365" s="7"/>
      <c r="F2365" t="str">
        <f t="shared" si="97"/>
        <v/>
      </c>
      <c r="G2365" t="str">
        <f t="shared" si="98"/>
        <v/>
      </c>
    </row>
    <row r="2366" spans="2:7">
      <c r="B2366" s="6"/>
      <c r="E2366" s="7"/>
      <c r="F2366" t="str">
        <f t="shared" si="97"/>
        <v/>
      </c>
      <c r="G2366" t="str">
        <f t="shared" si="98"/>
        <v/>
      </c>
    </row>
    <row r="2367" spans="2:7">
      <c r="B2367" s="6"/>
      <c r="E2367" s="7"/>
      <c r="F2367" t="str">
        <f t="shared" si="97"/>
        <v/>
      </c>
      <c r="G2367" t="str">
        <f t="shared" si="98"/>
        <v/>
      </c>
    </row>
    <row r="2368" spans="2:7">
      <c r="B2368" s="6"/>
      <c r="E2368" s="7"/>
      <c r="F2368" t="str">
        <f t="shared" si="97"/>
        <v/>
      </c>
      <c r="G2368" t="str">
        <f t="shared" si="98"/>
        <v/>
      </c>
    </row>
    <row r="2369" spans="2:7">
      <c r="B2369" s="6"/>
      <c r="E2369" s="7"/>
      <c r="F2369" t="str">
        <f t="shared" si="97"/>
        <v/>
      </c>
      <c r="G2369" t="str">
        <f t="shared" si="98"/>
        <v/>
      </c>
    </row>
    <row r="2370" spans="2:7">
      <c r="B2370" s="6"/>
      <c r="E2370" s="7"/>
      <c r="F2370" t="str">
        <f t="shared" si="97"/>
        <v/>
      </c>
      <c r="G2370" t="str">
        <f t="shared" si="98"/>
        <v/>
      </c>
    </row>
    <row r="2371" spans="2:7">
      <c r="B2371" s="6"/>
      <c r="E2371" s="7"/>
      <c r="F2371" t="str">
        <f t="shared" si="97"/>
        <v/>
      </c>
      <c r="G2371" t="str">
        <f t="shared" si="98"/>
        <v/>
      </c>
    </row>
    <row r="2372" spans="2:7">
      <c r="B2372" s="6"/>
      <c r="E2372" s="7"/>
      <c r="F2372" t="str">
        <f t="shared" ref="F2372:F2435" si="99">IF(B2372="","",LOG10(D2372))</f>
        <v/>
      </c>
      <c r="G2372" t="str">
        <f t="shared" ref="G2372:G2435" si="100">IF(E2372="", "",0.434*E2372/D2372)</f>
        <v/>
      </c>
    </row>
    <row r="2373" spans="2:7">
      <c r="B2373" s="6"/>
      <c r="E2373" s="7"/>
      <c r="F2373" t="str">
        <f t="shared" si="99"/>
        <v/>
      </c>
      <c r="G2373" t="str">
        <f t="shared" si="100"/>
        <v/>
      </c>
    </row>
    <row r="2374" spans="2:7">
      <c r="B2374" s="6"/>
      <c r="E2374" s="7"/>
      <c r="F2374" t="str">
        <f t="shared" si="99"/>
        <v/>
      </c>
      <c r="G2374" t="str">
        <f t="shared" si="100"/>
        <v/>
      </c>
    </row>
    <row r="2375" spans="2:7">
      <c r="B2375" s="6"/>
      <c r="E2375" s="7"/>
      <c r="F2375" t="str">
        <f t="shared" si="99"/>
        <v/>
      </c>
      <c r="G2375" t="str">
        <f t="shared" si="100"/>
        <v/>
      </c>
    </row>
    <row r="2376" spans="2:7">
      <c r="B2376" s="6"/>
      <c r="E2376" s="7"/>
      <c r="F2376" t="str">
        <f t="shared" si="99"/>
        <v/>
      </c>
      <c r="G2376" t="str">
        <f t="shared" si="100"/>
        <v/>
      </c>
    </row>
    <row r="2377" spans="2:7">
      <c r="B2377" s="6"/>
      <c r="E2377" s="7"/>
      <c r="F2377" t="str">
        <f t="shared" si="99"/>
        <v/>
      </c>
      <c r="G2377" t="str">
        <f t="shared" si="100"/>
        <v/>
      </c>
    </row>
    <row r="2378" spans="2:7">
      <c r="B2378" s="6"/>
      <c r="E2378" s="7"/>
      <c r="F2378" t="str">
        <f t="shared" si="99"/>
        <v/>
      </c>
      <c r="G2378" t="str">
        <f t="shared" si="100"/>
        <v/>
      </c>
    </row>
    <row r="2379" spans="2:7">
      <c r="B2379" s="6"/>
      <c r="E2379" s="7"/>
      <c r="F2379" t="str">
        <f t="shared" si="99"/>
        <v/>
      </c>
      <c r="G2379" t="str">
        <f t="shared" si="100"/>
        <v/>
      </c>
    </row>
    <row r="2380" spans="2:7">
      <c r="B2380" s="6"/>
      <c r="E2380" s="7"/>
      <c r="F2380" t="str">
        <f t="shared" si="99"/>
        <v/>
      </c>
      <c r="G2380" t="str">
        <f t="shared" si="100"/>
        <v/>
      </c>
    </row>
    <row r="2381" spans="2:7">
      <c r="B2381" s="6"/>
      <c r="E2381" s="7"/>
      <c r="F2381" t="str">
        <f t="shared" si="99"/>
        <v/>
      </c>
      <c r="G2381" t="str">
        <f t="shared" si="100"/>
        <v/>
      </c>
    </row>
    <row r="2382" spans="2:7">
      <c r="B2382" s="6"/>
      <c r="E2382" s="7"/>
      <c r="F2382" t="str">
        <f t="shared" si="99"/>
        <v/>
      </c>
      <c r="G2382" t="str">
        <f t="shared" si="100"/>
        <v/>
      </c>
    </row>
    <row r="2383" spans="2:7">
      <c r="B2383" s="6"/>
      <c r="E2383" s="7"/>
      <c r="F2383" t="str">
        <f t="shared" si="99"/>
        <v/>
      </c>
      <c r="G2383" t="str">
        <f t="shared" si="100"/>
        <v/>
      </c>
    </row>
    <row r="2384" spans="2:7">
      <c r="B2384" s="6"/>
      <c r="E2384" s="7"/>
      <c r="F2384" t="str">
        <f t="shared" si="99"/>
        <v/>
      </c>
      <c r="G2384" t="str">
        <f t="shared" si="100"/>
        <v/>
      </c>
    </row>
    <row r="2385" spans="2:7">
      <c r="B2385" s="6"/>
      <c r="E2385" s="7"/>
      <c r="F2385" t="str">
        <f t="shared" si="99"/>
        <v/>
      </c>
      <c r="G2385" t="str">
        <f t="shared" si="100"/>
        <v/>
      </c>
    </row>
    <row r="2386" spans="2:7">
      <c r="B2386" s="6"/>
      <c r="E2386" s="7"/>
      <c r="F2386" t="str">
        <f t="shared" si="99"/>
        <v/>
      </c>
      <c r="G2386" t="str">
        <f t="shared" si="100"/>
        <v/>
      </c>
    </row>
    <row r="2387" spans="2:7">
      <c r="B2387" s="6"/>
      <c r="E2387" s="7"/>
      <c r="F2387" t="str">
        <f t="shared" si="99"/>
        <v/>
      </c>
      <c r="G2387" t="str">
        <f t="shared" si="100"/>
        <v/>
      </c>
    </row>
    <row r="2388" spans="2:7">
      <c r="B2388" s="6"/>
      <c r="E2388" s="7"/>
      <c r="F2388" t="str">
        <f t="shared" si="99"/>
        <v/>
      </c>
      <c r="G2388" t="str">
        <f t="shared" si="100"/>
        <v/>
      </c>
    </row>
    <row r="2389" spans="2:7">
      <c r="B2389" s="6"/>
      <c r="E2389" s="7"/>
      <c r="F2389" t="str">
        <f t="shared" si="99"/>
        <v/>
      </c>
      <c r="G2389" t="str">
        <f t="shared" si="100"/>
        <v/>
      </c>
    </row>
    <row r="2390" spans="2:7">
      <c r="B2390" s="6"/>
      <c r="E2390" s="7"/>
      <c r="F2390" t="str">
        <f t="shared" si="99"/>
        <v/>
      </c>
      <c r="G2390" t="str">
        <f t="shared" si="100"/>
        <v/>
      </c>
    </row>
    <row r="2391" spans="2:7">
      <c r="B2391" s="6"/>
      <c r="E2391" s="7"/>
      <c r="F2391" t="str">
        <f t="shared" si="99"/>
        <v/>
      </c>
      <c r="G2391" t="str">
        <f t="shared" si="100"/>
        <v/>
      </c>
    </row>
    <row r="2392" spans="2:7">
      <c r="B2392" s="6"/>
      <c r="E2392" s="7"/>
      <c r="F2392" t="str">
        <f t="shared" si="99"/>
        <v/>
      </c>
      <c r="G2392" t="str">
        <f t="shared" si="100"/>
        <v/>
      </c>
    </row>
    <row r="2393" spans="2:7">
      <c r="B2393" s="6"/>
      <c r="E2393" s="7"/>
      <c r="F2393" t="str">
        <f t="shared" si="99"/>
        <v/>
      </c>
      <c r="G2393" t="str">
        <f t="shared" si="100"/>
        <v/>
      </c>
    </row>
    <row r="2394" spans="2:7">
      <c r="B2394" s="6"/>
      <c r="E2394" s="7"/>
      <c r="F2394" t="str">
        <f t="shared" si="99"/>
        <v/>
      </c>
      <c r="G2394" t="str">
        <f t="shared" si="100"/>
        <v/>
      </c>
    </row>
    <row r="2395" spans="2:7">
      <c r="B2395" s="6"/>
      <c r="E2395" s="7"/>
      <c r="F2395" t="str">
        <f t="shared" si="99"/>
        <v/>
      </c>
      <c r="G2395" t="str">
        <f t="shared" si="100"/>
        <v/>
      </c>
    </row>
    <row r="2396" spans="2:7">
      <c r="B2396" s="6"/>
      <c r="E2396" s="7"/>
      <c r="F2396" t="str">
        <f t="shared" si="99"/>
        <v/>
      </c>
      <c r="G2396" t="str">
        <f t="shared" si="100"/>
        <v/>
      </c>
    </row>
    <row r="2397" spans="2:7">
      <c r="B2397" s="6"/>
      <c r="E2397" s="7"/>
      <c r="F2397" t="str">
        <f t="shared" si="99"/>
        <v/>
      </c>
      <c r="G2397" t="str">
        <f t="shared" si="100"/>
        <v/>
      </c>
    </row>
    <row r="2398" spans="2:7">
      <c r="B2398" s="6"/>
      <c r="E2398" s="7"/>
      <c r="F2398" t="str">
        <f t="shared" si="99"/>
        <v/>
      </c>
      <c r="G2398" t="str">
        <f t="shared" si="100"/>
        <v/>
      </c>
    </row>
    <row r="2399" spans="2:7">
      <c r="B2399" s="6"/>
      <c r="E2399" s="7"/>
      <c r="F2399" t="str">
        <f t="shared" si="99"/>
        <v/>
      </c>
      <c r="G2399" t="str">
        <f t="shared" si="100"/>
        <v/>
      </c>
    </row>
    <row r="2400" spans="2:7">
      <c r="B2400" s="6"/>
      <c r="E2400" s="7"/>
      <c r="F2400" t="str">
        <f t="shared" si="99"/>
        <v/>
      </c>
      <c r="G2400" t="str">
        <f t="shared" si="100"/>
        <v/>
      </c>
    </row>
    <row r="2401" spans="2:7">
      <c r="B2401" s="6"/>
      <c r="E2401" s="7"/>
      <c r="F2401" t="str">
        <f t="shared" si="99"/>
        <v/>
      </c>
      <c r="G2401" t="str">
        <f t="shared" si="100"/>
        <v/>
      </c>
    </row>
    <row r="2402" spans="2:7">
      <c r="B2402" s="6"/>
      <c r="E2402" s="7"/>
      <c r="F2402" t="str">
        <f t="shared" si="99"/>
        <v/>
      </c>
      <c r="G2402" t="str">
        <f t="shared" si="100"/>
        <v/>
      </c>
    </row>
    <row r="2403" spans="2:7">
      <c r="B2403" s="6"/>
      <c r="E2403" s="7"/>
      <c r="F2403" t="str">
        <f t="shared" si="99"/>
        <v/>
      </c>
      <c r="G2403" t="str">
        <f t="shared" si="100"/>
        <v/>
      </c>
    </row>
    <row r="2404" spans="2:7">
      <c r="B2404" s="6"/>
      <c r="E2404" s="7"/>
      <c r="F2404" t="str">
        <f t="shared" si="99"/>
        <v/>
      </c>
      <c r="G2404" t="str">
        <f t="shared" si="100"/>
        <v/>
      </c>
    </row>
    <row r="2405" spans="2:7">
      <c r="B2405" s="6"/>
      <c r="E2405" s="7"/>
      <c r="F2405" t="str">
        <f t="shared" si="99"/>
        <v/>
      </c>
      <c r="G2405" t="str">
        <f t="shared" si="100"/>
        <v/>
      </c>
    </row>
    <row r="2406" spans="2:7">
      <c r="B2406" s="6"/>
      <c r="E2406" s="7"/>
      <c r="F2406" t="str">
        <f t="shared" si="99"/>
        <v/>
      </c>
      <c r="G2406" t="str">
        <f t="shared" si="100"/>
        <v/>
      </c>
    </row>
    <row r="2407" spans="2:7">
      <c r="B2407" s="6"/>
      <c r="E2407" s="7"/>
      <c r="F2407" t="str">
        <f t="shared" si="99"/>
        <v/>
      </c>
      <c r="G2407" t="str">
        <f t="shared" si="100"/>
        <v/>
      </c>
    </row>
    <row r="2408" spans="2:7">
      <c r="B2408" s="6"/>
      <c r="E2408" s="7"/>
      <c r="F2408" t="str">
        <f t="shared" si="99"/>
        <v/>
      </c>
      <c r="G2408" t="str">
        <f t="shared" si="100"/>
        <v/>
      </c>
    </row>
    <row r="2409" spans="2:7">
      <c r="B2409" s="6"/>
      <c r="E2409" s="7"/>
      <c r="F2409" t="str">
        <f t="shared" si="99"/>
        <v/>
      </c>
      <c r="G2409" t="str">
        <f t="shared" si="100"/>
        <v/>
      </c>
    </row>
    <row r="2410" spans="2:7">
      <c r="B2410" s="6"/>
      <c r="E2410" s="7"/>
      <c r="F2410" t="str">
        <f t="shared" si="99"/>
        <v/>
      </c>
      <c r="G2410" t="str">
        <f t="shared" si="100"/>
        <v/>
      </c>
    </row>
    <row r="2411" spans="2:7">
      <c r="B2411" s="6"/>
      <c r="E2411" s="7"/>
      <c r="F2411" t="str">
        <f t="shared" si="99"/>
        <v/>
      </c>
      <c r="G2411" t="str">
        <f t="shared" si="100"/>
        <v/>
      </c>
    </row>
    <row r="2412" spans="2:7">
      <c r="B2412" s="6"/>
      <c r="E2412" s="7"/>
      <c r="F2412" t="str">
        <f t="shared" si="99"/>
        <v/>
      </c>
      <c r="G2412" t="str">
        <f t="shared" si="100"/>
        <v/>
      </c>
    </row>
    <row r="2413" spans="2:7">
      <c r="B2413" s="6"/>
      <c r="E2413" s="7"/>
      <c r="F2413" t="str">
        <f t="shared" si="99"/>
        <v/>
      </c>
      <c r="G2413" t="str">
        <f t="shared" si="100"/>
        <v/>
      </c>
    </row>
    <row r="2414" spans="2:7">
      <c r="B2414" s="6"/>
      <c r="E2414" s="7"/>
      <c r="F2414" t="str">
        <f t="shared" si="99"/>
        <v/>
      </c>
      <c r="G2414" t="str">
        <f t="shared" si="100"/>
        <v/>
      </c>
    </row>
    <row r="2415" spans="2:7">
      <c r="B2415" s="6"/>
      <c r="E2415" s="7"/>
      <c r="F2415" t="str">
        <f t="shared" si="99"/>
        <v/>
      </c>
      <c r="G2415" t="str">
        <f t="shared" si="100"/>
        <v/>
      </c>
    </row>
    <row r="2416" spans="2:7">
      <c r="B2416" s="6"/>
      <c r="E2416" s="7"/>
      <c r="F2416" t="str">
        <f t="shared" si="99"/>
        <v/>
      </c>
      <c r="G2416" t="str">
        <f t="shared" si="100"/>
        <v/>
      </c>
    </row>
    <row r="2417" spans="2:7">
      <c r="B2417" s="6"/>
      <c r="E2417" s="7"/>
      <c r="F2417" t="str">
        <f t="shared" si="99"/>
        <v/>
      </c>
      <c r="G2417" t="str">
        <f t="shared" si="100"/>
        <v/>
      </c>
    </row>
    <row r="2418" spans="2:7">
      <c r="B2418" s="6"/>
      <c r="E2418" s="7"/>
      <c r="F2418" t="str">
        <f t="shared" si="99"/>
        <v/>
      </c>
      <c r="G2418" t="str">
        <f t="shared" si="100"/>
        <v/>
      </c>
    </row>
    <row r="2419" spans="2:7">
      <c r="B2419" s="6"/>
      <c r="E2419" s="7"/>
      <c r="F2419" t="str">
        <f t="shared" si="99"/>
        <v/>
      </c>
      <c r="G2419" t="str">
        <f t="shared" si="100"/>
        <v/>
      </c>
    </row>
    <row r="2420" spans="2:7">
      <c r="B2420" s="6"/>
      <c r="E2420" s="7"/>
      <c r="F2420" t="str">
        <f t="shared" si="99"/>
        <v/>
      </c>
      <c r="G2420" t="str">
        <f t="shared" si="100"/>
        <v/>
      </c>
    </row>
    <row r="2421" spans="2:7">
      <c r="B2421" s="6"/>
      <c r="E2421" s="7"/>
      <c r="F2421" t="str">
        <f t="shared" si="99"/>
        <v/>
      </c>
      <c r="G2421" t="str">
        <f t="shared" si="100"/>
        <v/>
      </c>
    </row>
    <row r="2422" spans="2:7">
      <c r="B2422" s="6"/>
      <c r="E2422" s="7"/>
      <c r="F2422" t="str">
        <f t="shared" si="99"/>
        <v/>
      </c>
      <c r="G2422" t="str">
        <f t="shared" si="100"/>
        <v/>
      </c>
    </row>
    <row r="2423" spans="2:7">
      <c r="B2423" s="6"/>
      <c r="E2423" s="7"/>
      <c r="F2423" t="str">
        <f t="shared" si="99"/>
        <v/>
      </c>
      <c r="G2423" t="str">
        <f t="shared" si="100"/>
        <v/>
      </c>
    </row>
    <row r="2424" spans="2:7">
      <c r="B2424" s="6"/>
      <c r="E2424" s="7"/>
      <c r="F2424" t="str">
        <f t="shared" si="99"/>
        <v/>
      </c>
      <c r="G2424" t="str">
        <f t="shared" si="100"/>
        <v/>
      </c>
    </row>
    <row r="2425" spans="2:7">
      <c r="B2425" s="6"/>
      <c r="E2425" s="7"/>
      <c r="F2425" t="str">
        <f t="shared" si="99"/>
        <v/>
      </c>
      <c r="G2425" t="str">
        <f t="shared" si="100"/>
        <v/>
      </c>
    </row>
    <row r="2426" spans="2:7">
      <c r="B2426" s="6"/>
      <c r="E2426" s="7"/>
      <c r="F2426" t="str">
        <f t="shared" si="99"/>
        <v/>
      </c>
      <c r="G2426" t="str">
        <f t="shared" si="100"/>
        <v/>
      </c>
    </row>
    <row r="2427" spans="2:7">
      <c r="B2427" s="6"/>
      <c r="E2427" s="7"/>
      <c r="F2427" t="str">
        <f t="shared" si="99"/>
        <v/>
      </c>
      <c r="G2427" t="str">
        <f t="shared" si="100"/>
        <v/>
      </c>
    </row>
    <row r="2428" spans="2:7">
      <c r="B2428" s="6"/>
      <c r="E2428" s="7"/>
      <c r="F2428" t="str">
        <f t="shared" si="99"/>
        <v/>
      </c>
      <c r="G2428" t="str">
        <f t="shared" si="100"/>
        <v/>
      </c>
    </row>
    <row r="2429" spans="2:7">
      <c r="B2429" s="6"/>
      <c r="E2429" s="7"/>
      <c r="F2429" t="str">
        <f t="shared" si="99"/>
        <v/>
      </c>
      <c r="G2429" t="str">
        <f t="shared" si="100"/>
        <v/>
      </c>
    </row>
    <row r="2430" spans="2:7">
      <c r="B2430" s="6"/>
      <c r="E2430" s="7"/>
      <c r="F2430" t="str">
        <f t="shared" si="99"/>
        <v/>
      </c>
      <c r="G2430" t="str">
        <f t="shared" si="100"/>
        <v/>
      </c>
    </row>
    <row r="2431" spans="2:7">
      <c r="B2431" s="6"/>
      <c r="E2431" s="7"/>
      <c r="F2431" t="str">
        <f t="shared" si="99"/>
        <v/>
      </c>
      <c r="G2431" t="str">
        <f t="shared" si="100"/>
        <v/>
      </c>
    </row>
    <row r="2432" spans="2:7">
      <c r="B2432" s="6"/>
      <c r="E2432" s="7"/>
      <c r="F2432" t="str">
        <f t="shared" si="99"/>
        <v/>
      </c>
      <c r="G2432" t="str">
        <f t="shared" si="100"/>
        <v/>
      </c>
    </row>
    <row r="2433" spans="2:7">
      <c r="B2433" s="6"/>
      <c r="E2433" s="7"/>
      <c r="F2433" t="str">
        <f t="shared" si="99"/>
        <v/>
      </c>
      <c r="G2433" t="str">
        <f t="shared" si="100"/>
        <v/>
      </c>
    </row>
    <row r="2434" spans="2:7">
      <c r="B2434" s="6"/>
      <c r="E2434" s="7"/>
      <c r="F2434" t="str">
        <f t="shared" si="99"/>
        <v/>
      </c>
      <c r="G2434" t="str">
        <f t="shared" si="100"/>
        <v/>
      </c>
    </row>
    <row r="2435" spans="2:7">
      <c r="B2435" s="6"/>
      <c r="E2435" s="7"/>
      <c r="F2435" t="str">
        <f t="shared" si="99"/>
        <v/>
      </c>
      <c r="G2435" t="str">
        <f t="shared" si="100"/>
        <v/>
      </c>
    </row>
    <row r="2436" spans="2:7">
      <c r="B2436" s="6"/>
      <c r="E2436" s="7"/>
      <c r="F2436" t="str">
        <f t="shared" ref="F2436:F2499" si="101">IF(B2436="","",LOG10(D2436))</f>
        <v/>
      </c>
      <c r="G2436" t="str">
        <f t="shared" ref="G2436:G2499" si="102">IF(E2436="", "",0.434*E2436/D2436)</f>
        <v/>
      </c>
    </row>
    <row r="2437" spans="2:7">
      <c r="B2437" s="6"/>
      <c r="E2437" s="7"/>
      <c r="F2437" t="str">
        <f t="shared" si="101"/>
        <v/>
      </c>
      <c r="G2437" t="str">
        <f t="shared" si="102"/>
        <v/>
      </c>
    </row>
    <row r="2438" spans="2:7">
      <c r="B2438" s="6"/>
      <c r="E2438" s="7"/>
      <c r="F2438" t="str">
        <f t="shared" si="101"/>
        <v/>
      </c>
      <c r="G2438" t="str">
        <f t="shared" si="102"/>
        <v/>
      </c>
    </row>
    <row r="2439" spans="2:7">
      <c r="B2439" s="6"/>
      <c r="E2439" s="7"/>
      <c r="F2439" t="str">
        <f t="shared" si="101"/>
        <v/>
      </c>
      <c r="G2439" t="str">
        <f t="shared" si="102"/>
        <v/>
      </c>
    </row>
    <row r="2440" spans="2:7">
      <c r="B2440" s="6"/>
      <c r="E2440" s="7"/>
      <c r="F2440" t="str">
        <f t="shared" si="101"/>
        <v/>
      </c>
      <c r="G2440" t="str">
        <f t="shared" si="102"/>
        <v/>
      </c>
    </row>
    <row r="2441" spans="2:7">
      <c r="B2441" s="6"/>
      <c r="E2441" s="7"/>
      <c r="F2441" t="str">
        <f t="shared" si="101"/>
        <v/>
      </c>
      <c r="G2441" t="str">
        <f t="shared" si="102"/>
        <v/>
      </c>
    </row>
    <row r="2442" spans="2:7">
      <c r="B2442" s="6"/>
      <c r="E2442" s="7"/>
      <c r="F2442" t="str">
        <f t="shared" si="101"/>
        <v/>
      </c>
      <c r="G2442" t="str">
        <f t="shared" si="102"/>
        <v/>
      </c>
    </row>
    <row r="2443" spans="2:7">
      <c r="B2443" s="6"/>
      <c r="E2443" s="7"/>
      <c r="F2443" t="str">
        <f t="shared" si="101"/>
        <v/>
      </c>
      <c r="G2443" t="str">
        <f t="shared" si="102"/>
        <v/>
      </c>
    </row>
    <row r="2444" spans="2:7">
      <c r="B2444" s="6"/>
      <c r="E2444" s="7"/>
      <c r="F2444" t="str">
        <f t="shared" si="101"/>
        <v/>
      </c>
      <c r="G2444" t="str">
        <f t="shared" si="102"/>
        <v/>
      </c>
    </row>
    <row r="2445" spans="2:7">
      <c r="B2445" s="6"/>
      <c r="E2445" s="7"/>
      <c r="F2445" t="str">
        <f t="shared" si="101"/>
        <v/>
      </c>
      <c r="G2445" t="str">
        <f t="shared" si="102"/>
        <v/>
      </c>
    </row>
    <row r="2446" spans="2:7">
      <c r="B2446" s="6"/>
      <c r="E2446" s="7"/>
      <c r="F2446" t="str">
        <f t="shared" si="101"/>
        <v/>
      </c>
      <c r="G2446" t="str">
        <f t="shared" si="102"/>
        <v/>
      </c>
    </row>
    <row r="2447" spans="2:7">
      <c r="B2447" s="6"/>
      <c r="E2447" s="7"/>
      <c r="F2447" t="str">
        <f t="shared" si="101"/>
        <v/>
      </c>
      <c r="G2447" t="str">
        <f t="shared" si="102"/>
        <v/>
      </c>
    </row>
    <row r="2448" spans="2:7">
      <c r="B2448" s="6"/>
      <c r="E2448" s="7"/>
      <c r="F2448" t="str">
        <f t="shared" si="101"/>
        <v/>
      </c>
      <c r="G2448" t="str">
        <f t="shared" si="102"/>
        <v/>
      </c>
    </row>
    <row r="2449" spans="2:7">
      <c r="B2449" s="6"/>
      <c r="E2449" s="7"/>
      <c r="F2449" t="str">
        <f t="shared" si="101"/>
        <v/>
      </c>
      <c r="G2449" t="str">
        <f t="shared" si="102"/>
        <v/>
      </c>
    </row>
    <row r="2450" spans="2:7">
      <c r="B2450" s="6"/>
      <c r="E2450" s="7"/>
      <c r="F2450" t="str">
        <f t="shared" si="101"/>
        <v/>
      </c>
      <c r="G2450" t="str">
        <f t="shared" si="102"/>
        <v/>
      </c>
    </row>
    <row r="2451" spans="2:7">
      <c r="B2451" s="6"/>
      <c r="E2451" s="7"/>
      <c r="F2451" t="str">
        <f t="shared" si="101"/>
        <v/>
      </c>
      <c r="G2451" t="str">
        <f t="shared" si="102"/>
        <v/>
      </c>
    </row>
    <row r="2452" spans="2:7">
      <c r="B2452" s="6"/>
      <c r="E2452" s="7"/>
      <c r="F2452" t="str">
        <f t="shared" si="101"/>
        <v/>
      </c>
      <c r="G2452" t="str">
        <f t="shared" si="102"/>
        <v/>
      </c>
    </row>
    <row r="2453" spans="2:7">
      <c r="B2453" s="6"/>
      <c r="E2453" s="7"/>
      <c r="F2453" t="str">
        <f t="shared" si="101"/>
        <v/>
      </c>
      <c r="G2453" t="str">
        <f t="shared" si="102"/>
        <v/>
      </c>
    </row>
    <row r="2454" spans="2:7">
      <c r="B2454" s="6"/>
      <c r="E2454" s="7"/>
      <c r="F2454" t="str">
        <f t="shared" si="101"/>
        <v/>
      </c>
      <c r="G2454" t="str">
        <f t="shared" si="102"/>
        <v/>
      </c>
    </row>
    <row r="2455" spans="2:7">
      <c r="B2455" s="6"/>
      <c r="E2455" s="7"/>
      <c r="F2455" t="str">
        <f t="shared" si="101"/>
        <v/>
      </c>
      <c r="G2455" t="str">
        <f t="shared" si="102"/>
        <v/>
      </c>
    </row>
    <row r="2456" spans="2:7">
      <c r="B2456" s="6"/>
      <c r="E2456" s="7"/>
      <c r="F2456" t="str">
        <f t="shared" si="101"/>
        <v/>
      </c>
      <c r="G2456" t="str">
        <f t="shared" si="102"/>
        <v/>
      </c>
    </row>
    <row r="2457" spans="2:7">
      <c r="B2457" s="6"/>
      <c r="E2457" s="7"/>
      <c r="F2457" t="str">
        <f t="shared" si="101"/>
        <v/>
      </c>
      <c r="G2457" t="str">
        <f t="shared" si="102"/>
        <v/>
      </c>
    </row>
    <row r="2458" spans="2:7">
      <c r="B2458" s="6"/>
      <c r="E2458" s="7"/>
      <c r="F2458" t="str">
        <f t="shared" si="101"/>
        <v/>
      </c>
      <c r="G2458" t="str">
        <f t="shared" si="102"/>
        <v/>
      </c>
    </row>
    <row r="2459" spans="2:7">
      <c r="B2459" s="6"/>
      <c r="E2459" s="7"/>
      <c r="F2459" t="str">
        <f t="shared" si="101"/>
        <v/>
      </c>
      <c r="G2459" t="str">
        <f t="shared" si="102"/>
        <v/>
      </c>
    </row>
    <row r="2460" spans="2:7">
      <c r="B2460" s="6"/>
      <c r="E2460" s="7"/>
      <c r="F2460" t="str">
        <f t="shared" si="101"/>
        <v/>
      </c>
      <c r="G2460" t="str">
        <f t="shared" si="102"/>
        <v/>
      </c>
    </row>
    <row r="2461" spans="2:7">
      <c r="B2461" s="6"/>
      <c r="E2461" s="7"/>
      <c r="F2461" t="str">
        <f t="shared" si="101"/>
        <v/>
      </c>
      <c r="G2461" t="str">
        <f t="shared" si="102"/>
        <v/>
      </c>
    </row>
    <row r="2462" spans="2:7">
      <c r="B2462" s="6"/>
      <c r="E2462" s="7"/>
      <c r="F2462" t="str">
        <f t="shared" si="101"/>
        <v/>
      </c>
      <c r="G2462" t="str">
        <f t="shared" si="102"/>
        <v/>
      </c>
    </row>
    <row r="2463" spans="2:7">
      <c r="B2463" s="6"/>
      <c r="E2463" s="7"/>
      <c r="F2463" t="str">
        <f t="shared" si="101"/>
        <v/>
      </c>
      <c r="G2463" t="str">
        <f t="shared" si="102"/>
        <v/>
      </c>
    </row>
    <row r="2464" spans="2:7">
      <c r="B2464" s="6"/>
      <c r="E2464" s="7"/>
      <c r="F2464" t="str">
        <f t="shared" si="101"/>
        <v/>
      </c>
      <c r="G2464" t="str">
        <f t="shared" si="102"/>
        <v/>
      </c>
    </row>
    <row r="2465" spans="2:7">
      <c r="B2465" s="6"/>
      <c r="E2465" s="7"/>
      <c r="F2465" t="str">
        <f t="shared" si="101"/>
        <v/>
      </c>
      <c r="G2465" t="str">
        <f t="shared" si="102"/>
        <v/>
      </c>
    </row>
    <row r="2466" spans="2:7">
      <c r="B2466" s="6"/>
      <c r="E2466" s="7"/>
      <c r="F2466" t="str">
        <f t="shared" si="101"/>
        <v/>
      </c>
      <c r="G2466" t="str">
        <f t="shared" si="102"/>
        <v/>
      </c>
    </row>
    <row r="2467" spans="2:7">
      <c r="B2467" s="6"/>
      <c r="E2467" s="7"/>
      <c r="F2467" t="str">
        <f t="shared" si="101"/>
        <v/>
      </c>
      <c r="G2467" t="str">
        <f t="shared" si="102"/>
        <v/>
      </c>
    </row>
    <row r="2468" spans="2:7">
      <c r="B2468" s="6"/>
      <c r="E2468" s="7"/>
      <c r="F2468" t="str">
        <f t="shared" si="101"/>
        <v/>
      </c>
      <c r="G2468" t="str">
        <f t="shared" si="102"/>
        <v/>
      </c>
    </row>
    <row r="2469" spans="2:7">
      <c r="B2469" s="6"/>
      <c r="E2469" s="7"/>
      <c r="F2469" t="str">
        <f t="shared" si="101"/>
        <v/>
      </c>
      <c r="G2469" t="str">
        <f t="shared" si="102"/>
        <v/>
      </c>
    </row>
    <row r="2470" spans="2:7">
      <c r="B2470" s="6"/>
      <c r="E2470" s="7"/>
      <c r="F2470" t="str">
        <f t="shared" si="101"/>
        <v/>
      </c>
      <c r="G2470" t="str">
        <f t="shared" si="102"/>
        <v/>
      </c>
    </row>
    <row r="2471" spans="2:7">
      <c r="B2471" s="6"/>
      <c r="E2471" s="7"/>
      <c r="F2471" t="str">
        <f t="shared" si="101"/>
        <v/>
      </c>
      <c r="G2471" t="str">
        <f t="shared" si="102"/>
        <v/>
      </c>
    </row>
    <row r="2472" spans="2:7">
      <c r="B2472" s="6"/>
      <c r="E2472" s="7"/>
      <c r="F2472" t="str">
        <f t="shared" si="101"/>
        <v/>
      </c>
      <c r="G2472" t="str">
        <f t="shared" si="102"/>
        <v/>
      </c>
    </row>
    <row r="2473" spans="2:7">
      <c r="B2473" s="6"/>
      <c r="E2473" s="7"/>
      <c r="F2473" t="str">
        <f t="shared" si="101"/>
        <v/>
      </c>
      <c r="G2473" t="str">
        <f t="shared" si="102"/>
        <v/>
      </c>
    </row>
    <row r="2474" spans="2:7">
      <c r="B2474" s="6"/>
      <c r="E2474" s="7"/>
      <c r="F2474" t="str">
        <f t="shared" si="101"/>
        <v/>
      </c>
      <c r="G2474" t="str">
        <f t="shared" si="102"/>
        <v/>
      </c>
    </row>
    <row r="2475" spans="2:7">
      <c r="B2475" s="6"/>
      <c r="E2475" s="7"/>
      <c r="F2475" t="str">
        <f t="shared" si="101"/>
        <v/>
      </c>
      <c r="G2475" t="str">
        <f t="shared" si="102"/>
        <v/>
      </c>
    </row>
    <row r="2476" spans="2:7">
      <c r="B2476" s="6"/>
      <c r="E2476" s="7"/>
      <c r="F2476" t="str">
        <f t="shared" si="101"/>
        <v/>
      </c>
      <c r="G2476" t="str">
        <f t="shared" si="102"/>
        <v/>
      </c>
    </row>
    <row r="2477" spans="2:7">
      <c r="B2477" s="6"/>
      <c r="E2477" s="7"/>
      <c r="F2477" t="str">
        <f t="shared" si="101"/>
        <v/>
      </c>
      <c r="G2477" t="str">
        <f t="shared" si="102"/>
        <v/>
      </c>
    </row>
    <row r="2478" spans="2:7">
      <c r="B2478" s="6"/>
      <c r="E2478" s="7"/>
      <c r="F2478" t="str">
        <f t="shared" si="101"/>
        <v/>
      </c>
      <c r="G2478" t="str">
        <f t="shared" si="102"/>
        <v/>
      </c>
    </row>
    <row r="2479" spans="2:7">
      <c r="B2479" s="6"/>
      <c r="E2479" s="7"/>
      <c r="F2479" t="str">
        <f t="shared" si="101"/>
        <v/>
      </c>
      <c r="G2479" t="str">
        <f t="shared" si="102"/>
        <v/>
      </c>
    </row>
    <row r="2480" spans="2:7">
      <c r="B2480" s="6"/>
      <c r="E2480" s="7"/>
      <c r="F2480" t="str">
        <f t="shared" si="101"/>
        <v/>
      </c>
      <c r="G2480" t="str">
        <f t="shared" si="102"/>
        <v/>
      </c>
    </row>
    <row r="2481" spans="2:7">
      <c r="B2481" s="6"/>
      <c r="E2481" s="7"/>
      <c r="F2481" t="str">
        <f t="shared" si="101"/>
        <v/>
      </c>
      <c r="G2481" t="str">
        <f t="shared" si="102"/>
        <v/>
      </c>
    </row>
    <row r="2482" spans="2:7">
      <c r="B2482" s="6"/>
      <c r="E2482" s="7"/>
      <c r="F2482" t="str">
        <f t="shared" si="101"/>
        <v/>
      </c>
      <c r="G2482" t="str">
        <f t="shared" si="102"/>
        <v/>
      </c>
    </row>
    <row r="2483" spans="2:7">
      <c r="B2483" s="6"/>
      <c r="E2483" s="7"/>
      <c r="F2483" t="str">
        <f t="shared" si="101"/>
        <v/>
      </c>
      <c r="G2483" t="str">
        <f t="shared" si="102"/>
        <v/>
      </c>
    </row>
    <row r="2484" spans="2:7">
      <c r="B2484" s="6"/>
      <c r="E2484" s="7"/>
      <c r="F2484" t="str">
        <f t="shared" si="101"/>
        <v/>
      </c>
      <c r="G2484" t="str">
        <f t="shared" si="102"/>
        <v/>
      </c>
    </row>
    <row r="2485" spans="2:7">
      <c r="B2485" s="6"/>
      <c r="E2485" s="7"/>
      <c r="F2485" t="str">
        <f t="shared" si="101"/>
        <v/>
      </c>
      <c r="G2485" t="str">
        <f t="shared" si="102"/>
        <v/>
      </c>
    </row>
    <row r="2486" spans="2:7">
      <c r="B2486" s="6"/>
      <c r="E2486" s="7"/>
      <c r="F2486" t="str">
        <f t="shared" si="101"/>
        <v/>
      </c>
      <c r="G2486" t="str">
        <f t="shared" si="102"/>
        <v/>
      </c>
    </row>
    <row r="2487" spans="2:7">
      <c r="B2487" s="6"/>
      <c r="E2487" s="7"/>
      <c r="F2487" t="str">
        <f t="shared" si="101"/>
        <v/>
      </c>
      <c r="G2487" t="str">
        <f t="shared" si="102"/>
        <v/>
      </c>
    </row>
    <row r="2488" spans="2:7">
      <c r="B2488" s="6"/>
      <c r="E2488" s="7"/>
      <c r="F2488" t="str">
        <f t="shared" si="101"/>
        <v/>
      </c>
      <c r="G2488" t="str">
        <f t="shared" si="102"/>
        <v/>
      </c>
    </row>
    <row r="2489" spans="2:7">
      <c r="B2489" s="6"/>
      <c r="E2489" s="7"/>
      <c r="F2489" t="str">
        <f t="shared" si="101"/>
        <v/>
      </c>
      <c r="G2489" t="str">
        <f t="shared" si="102"/>
        <v/>
      </c>
    </row>
    <row r="2490" spans="2:7">
      <c r="B2490" s="6"/>
      <c r="E2490" s="7"/>
      <c r="F2490" t="str">
        <f t="shared" si="101"/>
        <v/>
      </c>
      <c r="G2490" t="str">
        <f t="shared" si="102"/>
        <v/>
      </c>
    </row>
    <row r="2491" spans="2:7">
      <c r="B2491" s="6"/>
      <c r="E2491" s="7"/>
      <c r="F2491" t="str">
        <f t="shared" si="101"/>
        <v/>
      </c>
      <c r="G2491" t="str">
        <f t="shared" si="102"/>
        <v/>
      </c>
    </row>
    <row r="2492" spans="2:7">
      <c r="B2492" s="6"/>
      <c r="E2492" s="7"/>
      <c r="F2492" t="str">
        <f t="shared" si="101"/>
        <v/>
      </c>
      <c r="G2492" t="str">
        <f t="shared" si="102"/>
        <v/>
      </c>
    </row>
    <row r="2493" spans="2:7">
      <c r="B2493" s="6"/>
      <c r="E2493" s="7"/>
      <c r="F2493" t="str">
        <f t="shared" si="101"/>
        <v/>
      </c>
      <c r="G2493" t="str">
        <f t="shared" si="102"/>
        <v/>
      </c>
    </row>
    <row r="2494" spans="2:7">
      <c r="B2494" s="6"/>
      <c r="E2494" s="7"/>
      <c r="F2494" t="str">
        <f t="shared" si="101"/>
        <v/>
      </c>
      <c r="G2494" t="str">
        <f t="shared" si="102"/>
        <v/>
      </c>
    </row>
    <row r="2495" spans="2:7">
      <c r="B2495" s="6"/>
      <c r="E2495" s="7"/>
      <c r="F2495" t="str">
        <f t="shared" si="101"/>
        <v/>
      </c>
      <c r="G2495" t="str">
        <f t="shared" si="102"/>
        <v/>
      </c>
    </row>
    <row r="2496" spans="2:7">
      <c r="B2496" s="6"/>
      <c r="E2496" s="7"/>
      <c r="F2496" t="str">
        <f t="shared" si="101"/>
        <v/>
      </c>
      <c r="G2496" t="str">
        <f t="shared" si="102"/>
        <v/>
      </c>
    </row>
    <row r="2497" spans="2:7">
      <c r="B2497" s="6"/>
      <c r="E2497" s="7"/>
      <c r="F2497" t="str">
        <f t="shared" si="101"/>
        <v/>
      </c>
      <c r="G2497" t="str">
        <f t="shared" si="102"/>
        <v/>
      </c>
    </row>
    <row r="2498" spans="2:7">
      <c r="B2498" s="6"/>
      <c r="E2498" s="7"/>
      <c r="F2498" t="str">
        <f t="shared" si="101"/>
        <v/>
      </c>
      <c r="G2498" t="str">
        <f t="shared" si="102"/>
        <v/>
      </c>
    </row>
    <row r="2499" spans="2:7">
      <c r="B2499" s="6"/>
      <c r="E2499" s="7"/>
      <c r="F2499" t="str">
        <f t="shared" si="101"/>
        <v/>
      </c>
      <c r="G2499" t="str">
        <f t="shared" si="102"/>
        <v/>
      </c>
    </row>
    <row r="2500" spans="2:7">
      <c r="B2500" s="6"/>
      <c r="E2500" s="7"/>
      <c r="F2500" t="str">
        <f t="shared" ref="F2500:F2563" si="103">IF(B2500="","",LOG10(D2500))</f>
        <v/>
      </c>
      <c r="G2500" t="str">
        <f t="shared" ref="G2500:G2563" si="104">IF(E2500="", "",0.434*E2500/D2500)</f>
        <v/>
      </c>
    </row>
    <row r="2501" spans="2:7">
      <c r="B2501" s="6"/>
      <c r="E2501" s="7"/>
      <c r="F2501" t="str">
        <f t="shared" si="103"/>
        <v/>
      </c>
      <c r="G2501" t="str">
        <f t="shared" si="104"/>
        <v/>
      </c>
    </row>
    <row r="2502" spans="2:7">
      <c r="B2502" s="6"/>
      <c r="E2502" s="7"/>
      <c r="F2502" t="str">
        <f t="shared" si="103"/>
        <v/>
      </c>
      <c r="G2502" t="str">
        <f t="shared" si="104"/>
        <v/>
      </c>
    </row>
    <row r="2503" spans="2:7">
      <c r="B2503" s="6"/>
      <c r="E2503" s="7"/>
      <c r="F2503" t="str">
        <f t="shared" si="103"/>
        <v/>
      </c>
      <c r="G2503" t="str">
        <f t="shared" si="104"/>
        <v/>
      </c>
    </row>
    <row r="2504" spans="2:7">
      <c r="B2504" s="6"/>
      <c r="E2504" s="7"/>
      <c r="F2504" t="str">
        <f t="shared" si="103"/>
        <v/>
      </c>
      <c r="G2504" t="str">
        <f t="shared" si="104"/>
        <v/>
      </c>
    </row>
    <row r="2505" spans="2:7">
      <c r="B2505" s="6"/>
      <c r="E2505" s="7"/>
      <c r="F2505" t="str">
        <f t="shared" si="103"/>
        <v/>
      </c>
      <c r="G2505" t="str">
        <f t="shared" si="104"/>
        <v/>
      </c>
    </row>
    <row r="2506" spans="2:7">
      <c r="B2506" s="6"/>
      <c r="E2506" s="7"/>
      <c r="F2506" t="str">
        <f t="shared" si="103"/>
        <v/>
      </c>
      <c r="G2506" t="str">
        <f t="shared" si="104"/>
        <v/>
      </c>
    </row>
    <row r="2507" spans="2:7">
      <c r="B2507" s="6"/>
      <c r="E2507" s="7"/>
      <c r="F2507" t="str">
        <f t="shared" si="103"/>
        <v/>
      </c>
      <c r="G2507" t="str">
        <f t="shared" si="104"/>
        <v/>
      </c>
    </row>
    <row r="2508" spans="2:7">
      <c r="B2508" s="6"/>
      <c r="E2508" s="7"/>
      <c r="F2508" t="str">
        <f t="shared" si="103"/>
        <v/>
      </c>
      <c r="G2508" t="str">
        <f t="shared" si="104"/>
        <v/>
      </c>
    </row>
    <row r="2509" spans="2:7">
      <c r="B2509" s="6"/>
      <c r="E2509" s="7"/>
      <c r="F2509" t="str">
        <f t="shared" si="103"/>
        <v/>
      </c>
      <c r="G2509" t="str">
        <f t="shared" si="104"/>
        <v/>
      </c>
    </row>
    <row r="2510" spans="2:7">
      <c r="B2510" s="6"/>
      <c r="E2510" s="7"/>
      <c r="F2510" t="str">
        <f t="shared" si="103"/>
        <v/>
      </c>
      <c r="G2510" t="str">
        <f t="shared" si="104"/>
        <v/>
      </c>
    </row>
    <row r="2511" spans="2:7">
      <c r="B2511" s="6"/>
      <c r="E2511" s="7"/>
      <c r="F2511" t="str">
        <f t="shared" si="103"/>
        <v/>
      </c>
      <c r="G2511" t="str">
        <f t="shared" si="104"/>
        <v/>
      </c>
    </row>
    <row r="2512" spans="2:7">
      <c r="B2512" s="6"/>
      <c r="E2512" s="7"/>
      <c r="F2512" t="str">
        <f t="shared" si="103"/>
        <v/>
      </c>
      <c r="G2512" t="str">
        <f t="shared" si="104"/>
        <v/>
      </c>
    </row>
    <row r="2513" spans="2:7">
      <c r="B2513" s="6"/>
      <c r="E2513" s="7"/>
      <c r="F2513" t="str">
        <f t="shared" si="103"/>
        <v/>
      </c>
      <c r="G2513" t="str">
        <f t="shared" si="104"/>
        <v/>
      </c>
    </row>
    <row r="2514" spans="2:7">
      <c r="B2514" s="6"/>
      <c r="E2514" s="7"/>
      <c r="F2514" t="str">
        <f t="shared" si="103"/>
        <v/>
      </c>
      <c r="G2514" t="str">
        <f t="shared" si="104"/>
        <v/>
      </c>
    </row>
    <row r="2515" spans="2:7">
      <c r="B2515" s="6"/>
      <c r="E2515" s="7"/>
      <c r="F2515" t="str">
        <f t="shared" si="103"/>
        <v/>
      </c>
      <c r="G2515" t="str">
        <f t="shared" si="104"/>
        <v/>
      </c>
    </row>
    <row r="2516" spans="2:7">
      <c r="B2516" s="6"/>
      <c r="E2516" s="7"/>
      <c r="F2516" t="str">
        <f t="shared" si="103"/>
        <v/>
      </c>
      <c r="G2516" t="str">
        <f t="shared" si="104"/>
        <v/>
      </c>
    </row>
    <row r="2517" spans="2:7">
      <c r="B2517" s="6"/>
      <c r="E2517" s="7"/>
      <c r="F2517" t="str">
        <f t="shared" si="103"/>
        <v/>
      </c>
      <c r="G2517" t="str">
        <f t="shared" si="104"/>
        <v/>
      </c>
    </row>
    <row r="2518" spans="2:7">
      <c r="B2518" s="6"/>
      <c r="E2518" s="7"/>
      <c r="F2518" t="str">
        <f t="shared" si="103"/>
        <v/>
      </c>
      <c r="G2518" t="str">
        <f t="shared" si="104"/>
        <v/>
      </c>
    </row>
    <row r="2519" spans="2:7">
      <c r="B2519" s="6"/>
      <c r="E2519" s="7"/>
      <c r="F2519" t="str">
        <f t="shared" si="103"/>
        <v/>
      </c>
      <c r="G2519" t="str">
        <f t="shared" si="104"/>
        <v/>
      </c>
    </row>
    <row r="2520" spans="2:7">
      <c r="B2520" s="6"/>
      <c r="E2520" s="7"/>
      <c r="F2520" t="str">
        <f t="shared" si="103"/>
        <v/>
      </c>
      <c r="G2520" t="str">
        <f t="shared" si="104"/>
        <v/>
      </c>
    </row>
    <row r="2521" spans="2:7">
      <c r="B2521" s="6"/>
      <c r="E2521" s="7"/>
      <c r="F2521" t="str">
        <f t="shared" si="103"/>
        <v/>
      </c>
      <c r="G2521" t="str">
        <f t="shared" si="104"/>
        <v/>
      </c>
    </row>
    <row r="2522" spans="2:7">
      <c r="B2522" s="6"/>
      <c r="E2522" s="7"/>
      <c r="F2522" t="str">
        <f t="shared" si="103"/>
        <v/>
      </c>
      <c r="G2522" t="str">
        <f t="shared" si="104"/>
        <v/>
      </c>
    </row>
    <row r="2523" spans="2:7">
      <c r="B2523" s="6"/>
      <c r="E2523" s="7"/>
      <c r="F2523" t="str">
        <f t="shared" si="103"/>
        <v/>
      </c>
      <c r="G2523" t="str">
        <f t="shared" si="104"/>
        <v/>
      </c>
    </row>
    <row r="2524" spans="2:7">
      <c r="B2524" s="6"/>
      <c r="E2524" s="7"/>
      <c r="F2524" t="str">
        <f t="shared" si="103"/>
        <v/>
      </c>
      <c r="G2524" t="str">
        <f t="shared" si="104"/>
        <v/>
      </c>
    </row>
    <row r="2525" spans="2:7">
      <c r="B2525" s="6"/>
      <c r="E2525" s="7"/>
      <c r="F2525" t="str">
        <f t="shared" si="103"/>
        <v/>
      </c>
      <c r="G2525" t="str">
        <f t="shared" si="104"/>
        <v/>
      </c>
    </row>
    <row r="2526" spans="2:7">
      <c r="B2526" s="6"/>
      <c r="E2526" s="7"/>
      <c r="F2526" t="str">
        <f t="shared" si="103"/>
        <v/>
      </c>
      <c r="G2526" t="str">
        <f t="shared" si="104"/>
        <v/>
      </c>
    </row>
    <row r="2527" spans="2:7">
      <c r="B2527" s="6"/>
      <c r="E2527" s="7"/>
      <c r="F2527" t="str">
        <f t="shared" si="103"/>
        <v/>
      </c>
      <c r="G2527" t="str">
        <f t="shared" si="104"/>
        <v/>
      </c>
    </row>
    <row r="2528" spans="2:7">
      <c r="B2528" s="6"/>
      <c r="E2528" s="7"/>
      <c r="F2528" t="str">
        <f t="shared" si="103"/>
        <v/>
      </c>
      <c r="G2528" t="str">
        <f t="shared" si="104"/>
        <v/>
      </c>
    </row>
    <row r="2529" spans="2:7">
      <c r="B2529" s="6"/>
      <c r="E2529" s="7"/>
      <c r="F2529" t="str">
        <f t="shared" si="103"/>
        <v/>
      </c>
      <c r="G2529" t="str">
        <f t="shared" si="104"/>
        <v/>
      </c>
    </row>
    <row r="2530" spans="2:7">
      <c r="B2530" s="6"/>
      <c r="E2530" s="7"/>
      <c r="F2530" t="str">
        <f t="shared" si="103"/>
        <v/>
      </c>
      <c r="G2530" t="str">
        <f t="shared" si="104"/>
        <v/>
      </c>
    </row>
    <row r="2531" spans="2:7">
      <c r="B2531" s="6"/>
      <c r="E2531" s="7"/>
      <c r="F2531" t="str">
        <f t="shared" si="103"/>
        <v/>
      </c>
      <c r="G2531" t="str">
        <f t="shared" si="104"/>
        <v/>
      </c>
    </row>
    <row r="2532" spans="2:7">
      <c r="B2532" s="6"/>
      <c r="E2532" s="7"/>
      <c r="F2532" t="str">
        <f t="shared" si="103"/>
        <v/>
      </c>
      <c r="G2532" t="str">
        <f t="shared" si="104"/>
        <v/>
      </c>
    </row>
    <row r="2533" spans="2:7">
      <c r="B2533" s="6"/>
      <c r="E2533" s="7"/>
      <c r="F2533" t="str">
        <f t="shared" si="103"/>
        <v/>
      </c>
      <c r="G2533" t="str">
        <f t="shared" si="104"/>
        <v/>
      </c>
    </row>
    <row r="2534" spans="2:7">
      <c r="B2534" s="6"/>
      <c r="E2534" s="7"/>
      <c r="F2534" t="str">
        <f t="shared" si="103"/>
        <v/>
      </c>
      <c r="G2534" t="str">
        <f t="shared" si="104"/>
        <v/>
      </c>
    </row>
    <row r="2535" spans="2:7">
      <c r="B2535" s="6"/>
      <c r="E2535" s="7"/>
      <c r="F2535" t="str">
        <f t="shared" si="103"/>
        <v/>
      </c>
      <c r="G2535" t="str">
        <f t="shared" si="104"/>
        <v/>
      </c>
    </row>
    <row r="2536" spans="2:7">
      <c r="B2536" s="6"/>
      <c r="E2536" s="7"/>
      <c r="F2536" t="str">
        <f t="shared" si="103"/>
        <v/>
      </c>
      <c r="G2536" t="str">
        <f t="shared" si="104"/>
        <v/>
      </c>
    </row>
    <row r="2537" spans="2:7">
      <c r="B2537" s="6"/>
      <c r="E2537" s="7"/>
      <c r="F2537" t="str">
        <f t="shared" si="103"/>
        <v/>
      </c>
      <c r="G2537" t="str">
        <f t="shared" si="104"/>
        <v/>
      </c>
    </row>
    <row r="2538" spans="2:7">
      <c r="B2538" s="6"/>
      <c r="E2538" s="7"/>
      <c r="F2538" t="str">
        <f t="shared" si="103"/>
        <v/>
      </c>
      <c r="G2538" t="str">
        <f t="shared" si="104"/>
        <v/>
      </c>
    </row>
    <row r="2539" spans="2:7">
      <c r="B2539" s="6"/>
      <c r="E2539" s="7"/>
      <c r="F2539" t="str">
        <f t="shared" si="103"/>
        <v/>
      </c>
      <c r="G2539" t="str">
        <f t="shared" si="104"/>
        <v/>
      </c>
    </row>
    <row r="2540" spans="2:7">
      <c r="B2540" s="6"/>
      <c r="E2540" s="7"/>
      <c r="F2540" t="str">
        <f t="shared" si="103"/>
        <v/>
      </c>
      <c r="G2540" t="str">
        <f t="shared" si="104"/>
        <v/>
      </c>
    </row>
    <row r="2541" spans="2:7">
      <c r="B2541" s="6"/>
      <c r="E2541" s="7"/>
      <c r="F2541" t="str">
        <f t="shared" si="103"/>
        <v/>
      </c>
      <c r="G2541" t="str">
        <f t="shared" si="104"/>
        <v/>
      </c>
    </row>
    <row r="2542" spans="2:7">
      <c r="B2542" s="6"/>
      <c r="E2542" s="7"/>
      <c r="F2542" t="str">
        <f t="shared" si="103"/>
        <v/>
      </c>
      <c r="G2542" t="str">
        <f t="shared" si="104"/>
        <v/>
      </c>
    </row>
    <row r="2543" spans="2:7">
      <c r="B2543" s="6"/>
      <c r="E2543" s="7"/>
      <c r="F2543" t="str">
        <f t="shared" si="103"/>
        <v/>
      </c>
      <c r="G2543" t="str">
        <f t="shared" si="104"/>
        <v/>
      </c>
    </row>
    <row r="2544" spans="2:7">
      <c r="B2544" s="6"/>
      <c r="E2544" s="7"/>
      <c r="F2544" t="str">
        <f t="shared" si="103"/>
        <v/>
      </c>
      <c r="G2544" t="str">
        <f t="shared" si="104"/>
        <v/>
      </c>
    </row>
    <row r="2545" spans="2:7">
      <c r="B2545" s="6"/>
      <c r="E2545" s="7"/>
      <c r="F2545" t="str">
        <f t="shared" si="103"/>
        <v/>
      </c>
      <c r="G2545" t="str">
        <f t="shared" si="104"/>
        <v/>
      </c>
    </row>
    <row r="2546" spans="2:7">
      <c r="B2546" s="6"/>
      <c r="E2546" s="7"/>
      <c r="F2546" t="str">
        <f t="shared" si="103"/>
        <v/>
      </c>
      <c r="G2546" t="str">
        <f t="shared" si="104"/>
        <v/>
      </c>
    </row>
    <row r="2547" spans="2:7">
      <c r="B2547" s="6"/>
      <c r="E2547" s="7"/>
      <c r="F2547" t="str">
        <f t="shared" si="103"/>
        <v/>
      </c>
      <c r="G2547" t="str">
        <f t="shared" si="104"/>
        <v/>
      </c>
    </row>
    <row r="2548" spans="2:7">
      <c r="B2548" s="6"/>
      <c r="E2548" s="7"/>
      <c r="F2548" t="str">
        <f t="shared" si="103"/>
        <v/>
      </c>
      <c r="G2548" t="str">
        <f t="shared" si="104"/>
        <v/>
      </c>
    </row>
    <row r="2549" spans="2:7">
      <c r="B2549" s="6"/>
      <c r="E2549" s="7"/>
      <c r="F2549" t="str">
        <f t="shared" si="103"/>
        <v/>
      </c>
      <c r="G2549" t="str">
        <f t="shared" si="104"/>
        <v/>
      </c>
    </row>
    <row r="2550" spans="2:7">
      <c r="B2550" s="6"/>
      <c r="E2550" s="7"/>
      <c r="F2550" t="str">
        <f t="shared" si="103"/>
        <v/>
      </c>
      <c r="G2550" t="str">
        <f t="shared" si="104"/>
        <v/>
      </c>
    </row>
    <row r="2551" spans="2:7">
      <c r="B2551" s="6"/>
      <c r="E2551" s="7"/>
      <c r="F2551" t="str">
        <f t="shared" si="103"/>
        <v/>
      </c>
      <c r="G2551" t="str">
        <f t="shared" si="104"/>
        <v/>
      </c>
    </row>
    <row r="2552" spans="2:7">
      <c r="B2552" s="6"/>
      <c r="E2552" s="7"/>
      <c r="F2552" t="str">
        <f t="shared" si="103"/>
        <v/>
      </c>
      <c r="G2552" t="str">
        <f t="shared" si="104"/>
        <v/>
      </c>
    </row>
    <row r="2553" spans="2:7">
      <c r="B2553" s="6"/>
      <c r="E2553" s="7"/>
      <c r="F2553" t="str">
        <f t="shared" si="103"/>
        <v/>
      </c>
      <c r="G2553" t="str">
        <f t="shared" si="104"/>
        <v/>
      </c>
    </row>
    <row r="2554" spans="2:7">
      <c r="B2554" s="6"/>
      <c r="E2554" s="7"/>
      <c r="F2554" t="str">
        <f t="shared" si="103"/>
        <v/>
      </c>
      <c r="G2554" t="str">
        <f t="shared" si="104"/>
        <v/>
      </c>
    </row>
    <row r="2555" spans="2:7">
      <c r="B2555" s="6"/>
      <c r="E2555" s="7"/>
      <c r="F2555" t="str">
        <f t="shared" si="103"/>
        <v/>
      </c>
      <c r="G2555" t="str">
        <f t="shared" si="104"/>
        <v/>
      </c>
    </row>
    <row r="2556" spans="2:7">
      <c r="B2556" s="6"/>
      <c r="E2556" s="7"/>
      <c r="F2556" t="str">
        <f t="shared" si="103"/>
        <v/>
      </c>
      <c r="G2556" t="str">
        <f t="shared" si="104"/>
        <v/>
      </c>
    </row>
    <row r="2557" spans="2:7">
      <c r="B2557" s="6"/>
      <c r="E2557" s="7"/>
      <c r="F2557" t="str">
        <f t="shared" si="103"/>
        <v/>
      </c>
      <c r="G2557" t="str">
        <f t="shared" si="104"/>
        <v/>
      </c>
    </row>
    <row r="2558" spans="2:7">
      <c r="B2558" s="6"/>
      <c r="E2558" s="7"/>
      <c r="F2558" t="str">
        <f t="shared" si="103"/>
        <v/>
      </c>
      <c r="G2558" t="str">
        <f t="shared" si="104"/>
        <v/>
      </c>
    </row>
    <row r="2559" spans="2:7">
      <c r="B2559" s="6"/>
      <c r="E2559" s="7"/>
      <c r="F2559" t="str">
        <f t="shared" si="103"/>
        <v/>
      </c>
      <c r="G2559" t="str">
        <f t="shared" si="104"/>
        <v/>
      </c>
    </row>
    <row r="2560" spans="2:7">
      <c r="B2560" s="6"/>
      <c r="E2560" s="7"/>
      <c r="F2560" t="str">
        <f t="shared" si="103"/>
        <v/>
      </c>
      <c r="G2560" t="str">
        <f t="shared" si="104"/>
        <v/>
      </c>
    </row>
    <row r="2561" spans="2:7">
      <c r="B2561" s="6"/>
      <c r="E2561" s="7"/>
      <c r="F2561" t="str">
        <f t="shared" si="103"/>
        <v/>
      </c>
      <c r="G2561" t="str">
        <f t="shared" si="104"/>
        <v/>
      </c>
    </row>
    <row r="2562" spans="2:7">
      <c r="B2562" s="6"/>
      <c r="E2562" s="7"/>
      <c r="F2562" t="str">
        <f t="shared" si="103"/>
        <v/>
      </c>
      <c r="G2562" t="str">
        <f t="shared" si="104"/>
        <v/>
      </c>
    </row>
    <row r="2563" spans="2:7">
      <c r="B2563" s="6"/>
      <c r="E2563" s="7"/>
      <c r="F2563" t="str">
        <f t="shared" si="103"/>
        <v/>
      </c>
      <c r="G2563" t="str">
        <f t="shared" si="104"/>
        <v/>
      </c>
    </row>
    <row r="2564" spans="2:7">
      <c r="B2564" s="6"/>
      <c r="E2564" s="7"/>
      <c r="F2564" t="str">
        <f t="shared" ref="F2564:F2627" si="105">IF(B2564="","",LOG10(D2564))</f>
        <v/>
      </c>
      <c r="G2564" t="str">
        <f t="shared" ref="G2564:G2627" si="106">IF(E2564="", "",0.434*E2564/D2564)</f>
        <v/>
      </c>
    </row>
    <row r="2565" spans="2:7">
      <c r="B2565" s="6"/>
      <c r="E2565" s="7"/>
      <c r="F2565" t="str">
        <f t="shared" si="105"/>
        <v/>
      </c>
      <c r="G2565" t="str">
        <f t="shared" si="106"/>
        <v/>
      </c>
    </row>
    <row r="2566" spans="2:7">
      <c r="B2566" s="6"/>
      <c r="E2566" s="7"/>
      <c r="F2566" t="str">
        <f t="shared" si="105"/>
        <v/>
      </c>
      <c r="G2566" t="str">
        <f t="shared" si="106"/>
        <v/>
      </c>
    </row>
    <row r="2567" spans="2:7">
      <c r="B2567" s="6"/>
      <c r="E2567" s="7"/>
      <c r="F2567" t="str">
        <f t="shared" si="105"/>
        <v/>
      </c>
      <c r="G2567" t="str">
        <f t="shared" si="106"/>
        <v/>
      </c>
    </row>
    <row r="2568" spans="2:7">
      <c r="B2568" s="6"/>
      <c r="E2568" s="7"/>
      <c r="F2568" t="str">
        <f t="shared" si="105"/>
        <v/>
      </c>
      <c r="G2568" t="str">
        <f t="shared" si="106"/>
        <v/>
      </c>
    </row>
    <row r="2569" spans="2:7">
      <c r="B2569" s="6"/>
      <c r="E2569" s="7"/>
      <c r="F2569" t="str">
        <f t="shared" si="105"/>
        <v/>
      </c>
      <c r="G2569" t="str">
        <f t="shared" si="106"/>
        <v/>
      </c>
    </row>
    <row r="2570" spans="2:7">
      <c r="B2570" s="6"/>
      <c r="E2570" s="7"/>
      <c r="F2570" t="str">
        <f t="shared" si="105"/>
        <v/>
      </c>
      <c r="G2570" t="str">
        <f t="shared" si="106"/>
        <v/>
      </c>
    </row>
    <row r="2571" spans="2:7">
      <c r="B2571" s="6"/>
      <c r="E2571" s="7"/>
      <c r="F2571" t="str">
        <f t="shared" si="105"/>
        <v/>
      </c>
      <c r="G2571" t="str">
        <f t="shared" si="106"/>
        <v/>
      </c>
    </row>
    <row r="2572" spans="2:7">
      <c r="B2572" s="6"/>
      <c r="E2572" s="7"/>
      <c r="F2572" t="str">
        <f t="shared" si="105"/>
        <v/>
      </c>
      <c r="G2572" t="str">
        <f t="shared" si="106"/>
        <v/>
      </c>
    </row>
    <row r="2573" spans="2:7">
      <c r="B2573" s="6"/>
      <c r="E2573" s="7"/>
      <c r="F2573" t="str">
        <f t="shared" si="105"/>
        <v/>
      </c>
      <c r="G2573" t="str">
        <f t="shared" si="106"/>
        <v/>
      </c>
    </row>
    <row r="2574" spans="2:7">
      <c r="B2574" s="6"/>
      <c r="E2574" s="7"/>
      <c r="F2574" t="str">
        <f t="shared" si="105"/>
        <v/>
      </c>
      <c r="G2574" t="str">
        <f t="shared" si="106"/>
        <v/>
      </c>
    </row>
    <row r="2575" spans="2:7">
      <c r="B2575" s="6"/>
      <c r="E2575" s="7"/>
      <c r="F2575" t="str">
        <f t="shared" si="105"/>
        <v/>
      </c>
      <c r="G2575" t="str">
        <f t="shared" si="106"/>
        <v/>
      </c>
    </row>
    <row r="2576" spans="2:7">
      <c r="B2576" s="6"/>
      <c r="E2576" s="7"/>
      <c r="F2576" t="str">
        <f t="shared" si="105"/>
        <v/>
      </c>
      <c r="G2576" t="str">
        <f t="shared" si="106"/>
        <v/>
      </c>
    </row>
    <row r="2577" spans="2:7">
      <c r="B2577" s="6"/>
      <c r="E2577" s="7"/>
      <c r="F2577" t="str">
        <f t="shared" si="105"/>
        <v/>
      </c>
      <c r="G2577" t="str">
        <f t="shared" si="106"/>
        <v/>
      </c>
    </row>
    <row r="2578" spans="2:7">
      <c r="B2578" s="6"/>
      <c r="E2578" s="7"/>
      <c r="F2578" t="str">
        <f t="shared" si="105"/>
        <v/>
      </c>
      <c r="G2578" t="str">
        <f t="shared" si="106"/>
        <v/>
      </c>
    </row>
    <row r="2579" spans="2:7">
      <c r="B2579" s="6"/>
      <c r="E2579" s="7"/>
      <c r="F2579" t="str">
        <f t="shared" si="105"/>
        <v/>
      </c>
      <c r="G2579" t="str">
        <f t="shared" si="106"/>
        <v/>
      </c>
    </row>
    <row r="2580" spans="2:7">
      <c r="B2580" s="6"/>
      <c r="E2580" s="7"/>
      <c r="F2580" t="str">
        <f t="shared" si="105"/>
        <v/>
      </c>
      <c r="G2580" t="str">
        <f t="shared" si="106"/>
        <v/>
      </c>
    </row>
    <row r="2581" spans="2:7">
      <c r="B2581" s="6"/>
      <c r="E2581" s="7"/>
      <c r="F2581" t="str">
        <f t="shared" si="105"/>
        <v/>
      </c>
      <c r="G2581" t="str">
        <f t="shared" si="106"/>
        <v/>
      </c>
    </row>
    <row r="2582" spans="2:7">
      <c r="B2582" s="6"/>
      <c r="E2582" s="7"/>
      <c r="F2582" t="str">
        <f t="shared" si="105"/>
        <v/>
      </c>
      <c r="G2582" t="str">
        <f t="shared" si="106"/>
        <v/>
      </c>
    </row>
    <row r="2583" spans="2:7">
      <c r="B2583" s="6"/>
      <c r="E2583" s="7"/>
      <c r="F2583" t="str">
        <f t="shared" si="105"/>
        <v/>
      </c>
      <c r="G2583" t="str">
        <f t="shared" si="106"/>
        <v/>
      </c>
    </row>
    <row r="2584" spans="2:7">
      <c r="B2584" s="6"/>
      <c r="E2584" s="7"/>
      <c r="F2584" t="str">
        <f t="shared" si="105"/>
        <v/>
      </c>
      <c r="G2584" t="str">
        <f t="shared" si="106"/>
        <v/>
      </c>
    </row>
    <row r="2585" spans="2:7">
      <c r="B2585" s="6"/>
      <c r="E2585" s="7"/>
      <c r="F2585" t="str">
        <f t="shared" si="105"/>
        <v/>
      </c>
      <c r="G2585" t="str">
        <f t="shared" si="106"/>
        <v/>
      </c>
    </row>
    <row r="2586" spans="2:7">
      <c r="B2586" s="6"/>
      <c r="E2586" s="7"/>
      <c r="F2586" t="str">
        <f t="shared" si="105"/>
        <v/>
      </c>
      <c r="G2586" t="str">
        <f t="shared" si="106"/>
        <v/>
      </c>
    </row>
    <row r="2587" spans="2:7">
      <c r="B2587" s="6"/>
      <c r="E2587" s="7"/>
      <c r="F2587" t="str">
        <f t="shared" si="105"/>
        <v/>
      </c>
      <c r="G2587" t="str">
        <f t="shared" si="106"/>
        <v/>
      </c>
    </row>
    <row r="2588" spans="2:7">
      <c r="B2588" s="6"/>
      <c r="E2588" s="7"/>
      <c r="F2588" t="str">
        <f t="shared" si="105"/>
        <v/>
      </c>
      <c r="G2588" t="str">
        <f t="shared" si="106"/>
        <v/>
      </c>
    </row>
    <row r="2589" spans="2:7">
      <c r="B2589" s="6"/>
      <c r="E2589" s="7"/>
      <c r="F2589" t="str">
        <f t="shared" si="105"/>
        <v/>
      </c>
      <c r="G2589" t="str">
        <f t="shared" si="106"/>
        <v/>
      </c>
    </row>
    <row r="2590" spans="2:7">
      <c r="B2590" s="6"/>
      <c r="E2590" s="7"/>
      <c r="F2590" t="str">
        <f t="shared" si="105"/>
        <v/>
      </c>
      <c r="G2590" t="str">
        <f t="shared" si="106"/>
        <v/>
      </c>
    </row>
    <row r="2591" spans="2:7">
      <c r="B2591" s="6"/>
      <c r="E2591" s="7"/>
      <c r="F2591" t="str">
        <f t="shared" si="105"/>
        <v/>
      </c>
      <c r="G2591" t="str">
        <f t="shared" si="106"/>
        <v/>
      </c>
    </row>
    <row r="2592" spans="2:7">
      <c r="B2592" s="6"/>
      <c r="E2592" s="7"/>
      <c r="F2592" t="str">
        <f t="shared" si="105"/>
        <v/>
      </c>
      <c r="G2592" t="str">
        <f t="shared" si="106"/>
        <v/>
      </c>
    </row>
    <row r="2593" spans="2:7">
      <c r="B2593" s="6"/>
      <c r="E2593" s="7"/>
      <c r="F2593" t="str">
        <f t="shared" si="105"/>
        <v/>
      </c>
      <c r="G2593" t="str">
        <f t="shared" si="106"/>
        <v/>
      </c>
    </row>
    <row r="2594" spans="2:7">
      <c r="B2594" s="6"/>
      <c r="E2594" s="7"/>
      <c r="F2594" t="str">
        <f t="shared" si="105"/>
        <v/>
      </c>
      <c r="G2594" t="str">
        <f t="shared" si="106"/>
        <v/>
      </c>
    </row>
    <row r="2595" spans="2:7">
      <c r="B2595" s="6"/>
      <c r="E2595" s="7"/>
      <c r="F2595" t="str">
        <f t="shared" si="105"/>
        <v/>
      </c>
      <c r="G2595" t="str">
        <f t="shared" si="106"/>
        <v/>
      </c>
    </row>
    <row r="2596" spans="2:7">
      <c r="B2596" s="6"/>
      <c r="E2596" s="7"/>
      <c r="F2596" t="str">
        <f t="shared" si="105"/>
        <v/>
      </c>
      <c r="G2596" t="str">
        <f t="shared" si="106"/>
        <v/>
      </c>
    </row>
    <row r="2597" spans="2:7">
      <c r="B2597" s="6"/>
      <c r="E2597" s="7"/>
      <c r="F2597" t="str">
        <f t="shared" si="105"/>
        <v/>
      </c>
      <c r="G2597" t="str">
        <f t="shared" si="106"/>
        <v/>
      </c>
    </row>
    <row r="2598" spans="2:7">
      <c r="B2598" s="6"/>
      <c r="E2598" s="7"/>
      <c r="F2598" t="str">
        <f t="shared" si="105"/>
        <v/>
      </c>
      <c r="G2598" t="str">
        <f t="shared" si="106"/>
        <v/>
      </c>
    </row>
    <row r="2599" spans="2:7">
      <c r="B2599" s="6"/>
      <c r="E2599" s="7"/>
      <c r="F2599" t="str">
        <f t="shared" si="105"/>
        <v/>
      </c>
      <c r="G2599" t="str">
        <f t="shared" si="106"/>
        <v/>
      </c>
    </row>
    <row r="2600" spans="2:7">
      <c r="B2600" s="6"/>
      <c r="E2600" s="7"/>
      <c r="F2600" t="str">
        <f t="shared" si="105"/>
        <v/>
      </c>
      <c r="G2600" t="str">
        <f t="shared" si="106"/>
        <v/>
      </c>
    </row>
    <row r="2601" spans="2:7">
      <c r="B2601" s="6"/>
      <c r="E2601" s="7"/>
      <c r="F2601" t="str">
        <f t="shared" si="105"/>
        <v/>
      </c>
      <c r="G2601" t="str">
        <f t="shared" si="106"/>
        <v/>
      </c>
    </row>
    <row r="2602" spans="2:7">
      <c r="B2602" s="6"/>
      <c r="E2602" s="7"/>
      <c r="F2602" t="str">
        <f t="shared" si="105"/>
        <v/>
      </c>
      <c r="G2602" t="str">
        <f t="shared" si="106"/>
        <v/>
      </c>
    </row>
    <row r="2603" spans="2:7">
      <c r="B2603" s="6"/>
      <c r="E2603" s="7"/>
      <c r="F2603" t="str">
        <f t="shared" si="105"/>
        <v/>
      </c>
      <c r="G2603" t="str">
        <f t="shared" si="106"/>
        <v/>
      </c>
    </row>
    <row r="2604" spans="2:7">
      <c r="B2604" s="6"/>
      <c r="E2604" s="7"/>
      <c r="F2604" t="str">
        <f t="shared" si="105"/>
        <v/>
      </c>
      <c r="G2604" t="str">
        <f t="shared" si="106"/>
        <v/>
      </c>
    </row>
    <row r="2605" spans="2:7">
      <c r="B2605" s="6"/>
      <c r="E2605" s="7"/>
      <c r="F2605" t="str">
        <f t="shared" si="105"/>
        <v/>
      </c>
      <c r="G2605" t="str">
        <f t="shared" si="106"/>
        <v/>
      </c>
    </row>
    <row r="2606" spans="2:7">
      <c r="B2606" s="6"/>
      <c r="E2606" s="7"/>
      <c r="F2606" t="str">
        <f t="shared" si="105"/>
        <v/>
      </c>
      <c r="G2606" t="str">
        <f t="shared" si="106"/>
        <v/>
      </c>
    </row>
    <row r="2607" spans="2:7">
      <c r="B2607" s="6"/>
      <c r="E2607" s="7"/>
      <c r="F2607" t="str">
        <f t="shared" si="105"/>
        <v/>
      </c>
      <c r="G2607" t="str">
        <f t="shared" si="106"/>
        <v/>
      </c>
    </row>
    <row r="2608" spans="2:7">
      <c r="B2608" s="6"/>
      <c r="E2608" s="7"/>
      <c r="F2608" t="str">
        <f t="shared" si="105"/>
        <v/>
      </c>
      <c r="G2608" t="str">
        <f t="shared" si="106"/>
        <v/>
      </c>
    </row>
    <row r="2609" spans="2:7">
      <c r="B2609" s="6"/>
      <c r="E2609" s="7"/>
      <c r="F2609" t="str">
        <f t="shared" si="105"/>
        <v/>
      </c>
      <c r="G2609" t="str">
        <f t="shared" si="106"/>
        <v/>
      </c>
    </row>
    <row r="2610" spans="2:7">
      <c r="B2610" s="6"/>
      <c r="E2610" s="7"/>
      <c r="F2610" t="str">
        <f t="shared" si="105"/>
        <v/>
      </c>
      <c r="G2610" t="str">
        <f t="shared" si="106"/>
        <v/>
      </c>
    </row>
    <row r="2611" spans="2:7">
      <c r="B2611" s="6"/>
      <c r="E2611" s="7"/>
      <c r="F2611" t="str">
        <f t="shared" si="105"/>
        <v/>
      </c>
      <c r="G2611" t="str">
        <f t="shared" si="106"/>
        <v/>
      </c>
    </row>
    <row r="2612" spans="2:7">
      <c r="B2612" s="6"/>
      <c r="E2612" s="7"/>
      <c r="F2612" t="str">
        <f t="shared" si="105"/>
        <v/>
      </c>
      <c r="G2612" t="str">
        <f t="shared" si="106"/>
        <v/>
      </c>
    </row>
    <row r="2613" spans="2:7">
      <c r="B2613" s="6"/>
      <c r="E2613" s="7"/>
      <c r="F2613" t="str">
        <f t="shared" si="105"/>
        <v/>
      </c>
      <c r="G2613" t="str">
        <f t="shared" si="106"/>
        <v/>
      </c>
    </row>
    <row r="2614" spans="2:7">
      <c r="B2614" s="6"/>
      <c r="E2614" s="7"/>
      <c r="F2614" t="str">
        <f t="shared" si="105"/>
        <v/>
      </c>
      <c r="G2614" t="str">
        <f t="shared" si="106"/>
        <v/>
      </c>
    </row>
    <row r="2615" spans="2:7">
      <c r="B2615" s="6"/>
      <c r="E2615" s="7"/>
      <c r="F2615" t="str">
        <f t="shared" si="105"/>
        <v/>
      </c>
      <c r="G2615" t="str">
        <f t="shared" si="106"/>
        <v/>
      </c>
    </row>
    <row r="2616" spans="2:7">
      <c r="B2616" s="6"/>
      <c r="E2616" s="7"/>
      <c r="F2616" t="str">
        <f t="shared" si="105"/>
        <v/>
      </c>
      <c r="G2616" t="str">
        <f t="shared" si="106"/>
        <v/>
      </c>
    </row>
    <row r="2617" spans="2:7">
      <c r="B2617" s="6"/>
      <c r="E2617" s="7"/>
      <c r="F2617" t="str">
        <f t="shared" si="105"/>
        <v/>
      </c>
      <c r="G2617" t="str">
        <f t="shared" si="106"/>
        <v/>
      </c>
    </row>
    <row r="2618" spans="2:7">
      <c r="B2618" s="6"/>
      <c r="E2618" s="7"/>
      <c r="F2618" t="str">
        <f t="shared" si="105"/>
        <v/>
      </c>
      <c r="G2618" t="str">
        <f t="shared" si="106"/>
        <v/>
      </c>
    </row>
    <row r="2619" spans="2:7">
      <c r="B2619" s="6"/>
      <c r="E2619" s="7"/>
      <c r="F2619" t="str">
        <f t="shared" si="105"/>
        <v/>
      </c>
      <c r="G2619" t="str">
        <f t="shared" si="106"/>
        <v/>
      </c>
    </row>
    <row r="2620" spans="2:7">
      <c r="B2620" s="6"/>
      <c r="E2620" s="7"/>
      <c r="F2620" t="str">
        <f t="shared" si="105"/>
        <v/>
      </c>
      <c r="G2620" t="str">
        <f t="shared" si="106"/>
        <v/>
      </c>
    </row>
    <row r="2621" spans="2:7">
      <c r="B2621" s="6"/>
      <c r="E2621" s="7"/>
      <c r="F2621" t="str">
        <f t="shared" si="105"/>
        <v/>
      </c>
      <c r="G2621" t="str">
        <f t="shared" si="106"/>
        <v/>
      </c>
    </row>
    <row r="2622" spans="2:7">
      <c r="B2622" s="6"/>
      <c r="E2622" s="7"/>
      <c r="F2622" t="str">
        <f t="shared" si="105"/>
        <v/>
      </c>
      <c r="G2622" t="str">
        <f t="shared" si="106"/>
        <v/>
      </c>
    </row>
    <row r="2623" spans="2:7">
      <c r="B2623" s="6"/>
      <c r="E2623" s="7"/>
      <c r="F2623" t="str">
        <f t="shared" si="105"/>
        <v/>
      </c>
      <c r="G2623" t="str">
        <f t="shared" si="106"/>
        <v/>
      </c>
    </row>
    <row r="2624" spans="2:7">
      <c r="B2624" s="6"/>
      <c r="E2624" s="7"/>
      <c r="F2624" t="str">
        <f t="shared" si="105"/>
        <v/>
      </c>
      <c r="G2624" t="str">
        <f t="shared" si="106"/>
        <v/>
      </c>
    </row>
    <row r="2625" spans="2:7">
      <c r="B2625" s="6"/>
      <c r="E2625" s="7"/>
      <c r="F2625" t="str">
        <f t="shared" si="105"/>
        <v/>
      </c>
      <c r="G2625" t="str">
        <f t="shared" si="106"/>
        <v/>
      </c>
    </row>
    <row r="2626" spans="2:7">
      <c r="B2626" s="6"/>
      <c r="E2626" s="7"/>
      <c r="F2626" t="str">
        <f t="shared" si="105"/>
        <v/>
      </c>
      <c r="G2626" t="str">
        <f t="shared" si="106"/>
        <v/>
      </c>
    </row>
    <row r="2627" spans="2:7">
      <c r="B2627" s="6"/>
      <c r="E2627" s="7"/>
      <c r="F2627" t="str">
        <f t="shared" si="105"/>
        <v/>
      </c>
      <c r="G2627" t="str">
        <f t="shared" si="106"/>
        <v/>
      </c>
    </row>
    <row r="2628" spans="2:7">
      <c r="B2628" s="6"/>
      <c r="E2628" s="7"/>
      <c r="F2628" t="str">
        <f t="shared" ref="F2628:F2691" si="107">IF(B2628="","",LOG10(D2628))</f>
        <v/>
      </c>
      <c r="G2628" t="str">
        <f t="shared" ref="G2628:G2691" si="108">IF(E2628="", "",0.434*E2628/D2628)</f>
        <v/>
      </c>
    </row>
    <row r="2629" spans="2:7">
      <c r="B2629" s="6"/>
      <c r="E2629" s="7"/>
      <c r="F2629" t="str">
        <f t="shared" si="107"/>
        <v/>
      </c>
      <c r="G2629" t="str">
        <f t="shared" si="108"/>
        <v/>
      </c>
    </row>
    <row r="2630" spans="2:7">
      <c r="B2630" s="6"/>
      <c r="E2630" s="7"/>
      <c r="F2630" t="str">
        <f t="shared" si="107"/>
        <v/>
      </c>
      <c r="G2630" t="str">
        <f t="shared" si="108"/>
        <v/>
      </c>
    </row>
    <row r="2631" spans="2:7">
      <c r="B2631" s="6"/>
      <c r="E2631" s="7"/>
      <c r="F2631" t="str">
        <f t="shared" si="107"/>
        <v/>
      </c>
      <c r="G2631" t="str">
        <f t="shared" si="108"/>
        <v/>
      </c>
    </row>
    <row r="2632" spans="2:7">
      <c r="B2632" s="6"/>
      <c r="E2632" s="7"/>
      <c r="F2632" t="str">
        <f t="shared" si="107"/>
        <v/>
      </c>
      <c r="G2632" t="str">
        <f t="shared" si="108"/>
        <v/>
      </c>
    </row>
    <row r="2633" spans="2:7">
      <c r="B2633" s="6"/>
      <c r="E2633" s="7"/>
      <c r="F2633" t="str">
        <f t="shared" si="107"/>
        <v/>
      </c>
      <c r="G2633" t="str">
        <f t="shared" si="108"/>
        <v/>
      </c>
    </row>
    <row r="2634" spans="2:7">
      <c r="B2634" s="6"/>
      <c r="E2634" s="7"/>
      <c r="F2634" t="str">
        <f t="shared" si="107"/>
        <v/>
      </c>
      <c r="G2634" t="str">
        <f t="shared" si="108"/>
        <v/>
      </c>
    </row>
    <row r="2635" spans="2:7">
      <c r="B2635" s="6"/>
      <c r="E2635" s="7"/>
      <c r="F2635" t="str">
        <f t="shared" si="107"/>
        <v/>
      </c>
      <c r="G2635" t="str">
        <f t="shared" si="108"/>
        <v/>
      </c>
    </row>
    <row r="2636" spans="2:7">
      <c r="B2636" s="6"/>
      <c r="E2636" s="7"/>
      <c r="F2636" t="str">
        <f t="shared" si="107"/>
        <v/>
      </c>
      <c r="G2636" t="str">
        <f t="shared" si="108"/>
        <v/>
      </c>
    </row>
    <row r="2637" spans="2:7">
      <c r="B2637" s="6"/>
      <c r="E2637" s="7"/>
      <c r="F2637" t="str">
        <f t="shared" si="107"/>
        <v/>
      </c>
      <c r="G2637" t="str">
        <f t="shared" si="108"/>
        <v/>
      </c>
    </row>
    <row r="2638" spans="2:7">
      <c r="B2638" s="6"/>
      <c r="E2638" s="7"/>
      <c r="F2638" t="str">
        <f t="shared" si="107"/>
        <v/>
      </c>
      <c r="G2638" t="str">
        <f t="shared" si="108"/>
        <v/>
      </c>
    </row>
    <row r="2639" spans="2:7">
      <c r="B2639" s="6"/>
      <c r="E2639" s="7"/>
      <c r="F2639" t="str">
        <f t="shared" si="107"/>
        <v/>
      </c>
      <c r="G2639" t="str">
        <f t="shared" si="108"/>
        <v/>
      </c>
    </row>
    <row r="2640" spans="2:7">
      <c r="B2640" s="6"/>
      <c r="E2640" s="7"/>
      <c r="F2640" t="str">
        <f t="shared" si="107"/>
        <v/>
      </c>
      <c r="G2640" t="str">
        <f t="shared" si="108"/>
        <v/>
      </c>
    </row>
    <row r="2641" spans="2:7">
      <c r="B2641" s="6"/>
      <c r="E2641" s="7"/>
      <c r="F2641" t="str">
        <f t="shared" si="107"/>
        <v/>
      </c>
      <c r="G2641" t="str">
        <f t="shared" si="108"/>
        <v/>
      </c>
    </row>
    <row r="2642" spans="2:7">
      <c r="B2642" s="6"/>
      <c r="E2642" s="7"/>
      <c r="F2642" t="str">
        <f t="shared" si="107"/>
        <v/>
      </c>
      <c r="G2642" t="str">
        <f t="shared" si="108"/>
        <v/>
      </c>
    </row>
    <row r="2643" spans="2:7">
      <c r="B2643" s="6"/>
      <c r="E2643" s="7"/>
      <c r="F2643" t="str">
        <f t="shared" si="107"/>
        <v/>
      </c>
      <c r="G2643" t="str">
        <f t="shared" si="108"/>
        <v/>
      </c>
    </row>
    <row r="2644" spans="2:7">
      <c r="B2644" s="6"/>
      <c r="E2644" s="7"/>
      <c r="F2644" t="str">
        <f t="shared" si="107"/>
        <v/>
      </c>
      <c r="G2644" t="str">
        <f t="shared" si="108"/>
        <v/>
      </c>
    </row>
    <row r="2645" spans="2:7">
      <c r="B2645" s="6"/>
      <c r="E2645" s="7"/>
      <c r="F2645" t="str">
        <f t="shared" si="107"/>
        <v/>
      </c>
      <c r="G2645" t="str">
        <f t="shared" si="108"/>
        <v/>
      </c>
    </row>
    <row r="2646" spans="2:7">
      <c r="B2646" s="6"/>
      <c r="E2646" s="7"/>
      <c r="F2646" t="str">
        <f t="shared" si="107"/>
        <v/>
      </c>
      <c r="G2646" t="str">
        <f t="shared" si="108"/>
        <v/>
      </c>
    </row>
    <row r="2647" spans="2:7">
      <c r="B2647" s="6"/>
      <c r="E2647" s="7"/>
      <c r="F2647" t="str">
        <f t="shared" si="107"/>
        <v/>
      </c>
      <c r="G2647" t="str">
        <f t="shared" si="108"/>
        <v/>
      </c>
    </row>
    <row r="2648" spans="2:7">
      <c r="B2648" s="6"/>
      <c r="E2648" s="7"/>
      <c r="F2648" t="str">
        <f t="shared" si="107"/>
        <v/>
      </c>
      <c r="G2648" t="str">
        <f t="shared" si="108"/>
        <v/>
      </c>
    </row>
    <row r="2649" spans="2:7">
      <c r="B2649" s="6"/>
      <c r="E2649" s="7"/>
      <c r="F2649" t="str">
        <f t="shared" si="107"/>
        <v/>
      </c>
      <c r="G2649" t="str">
        <f t="shared" si="108"/>
        <v/>
      </c>
    </row>
    <row r="2650" spans="2:7">
      <c r="B2650" s="6"/>
      <c r="E2650" s="7"/>
      <c r="F2650" t="str">
        <f t="shared" si="107"/>
        <v/>
      </c>
      <c r="G2650" t="str">
        <f t="shared" si="108"/>
        <v/>
      </c>
    </row>
    <row r="2651" spans="2:7">
      <c r="B2651" s="6"/>
      <c r="E2651" s="7"/>
      <c r="F2651" t="str">
        <f t="shared" si="107"/>
        <v/>
      </c>
      <c r="G2651" t="str">
        <f t="shared" si="108"/>
        <v/>
      </c>
    </row>
    <row r="2652" spans="2:7">
      <c r="B2652" s="6"/>
      <c r="E2652" s="7"/>
      <c r="F2652" t="str">
        <f t="shared" si="107"/>
        <v/>
      </c>
      <c r="G2652" t="str">
        <f t="shared" si="108"/>
        <v/>
      </c>
    </row>
    <row r="2653" spans="2:7">
      <c r="B2653" s="6"/>
      <c r="E2653" s="7"/>
      <c r="F2653" t="str">
        <f t="shared" si="107"/>
        <v/>
      </c>
      <c r="G2653" t="str">
        <f t="shared" si="108"/>
        <v/>
      </c>
    </row>
    <row r="2654" spans="2:7">
      <c r="B2654" s="6"/>
      <c r="E2654" s="7"/>
      <c r="F2654" t="str">
        <f t="shared" si="107"/>
        <v/>
      </c>
      <c r="G2654" t="str">
        <f t="shared" si="108"/>
        <v/>
      </c>
    </row>
    <row r="2655" spans="2:7">
      <c r="B2655" s="6"/>
      <c r="E2655" s="7"/>
      <c r="F2655" t="str">
        <f t="shared" si="107"/>
        <v/>
      </c>
      <c r="G2655" t="str">
        <f t="shared" si="108"/>
        <v/>
      </c>
    </row>
    <row r="2656" spans="2:7">
      <c r="B2656" s="6"/>
      <c r="E2656" s="7"/>
      <c r="F2656" t="str">
        <f t="shared" si="107"/>
        <v/>
      </c>
      <c r="G2656" t="str">
        <f t="shared" si="108"/>
        <v/>
      </c>
    </row>
    <row r="2657" spans="2:7">
      <c r="B2657" s="6"/>
      <c r="E2657" s="7"/>
      <c r="F2657" t="str">
        <f t="shared" si="107"/>
        <v/>
      </c>
      <c r="G2657" t="str">
        <f t="shared" si="108"/>
        <v/>
      </c>
    </row>
    <row r="2658" spans="2:7">
      <c r="B2658" s="6"/>
      <c r="E2658" s="7"/>
      <c r="F2658" t="str">
        <f t="shared" si="107"/>
        <v/>
      </c>
      <c r="G2658" t="str">
        <f t="shared" si="108"/>
        <v/>
      </c>
    </row>
    <row r="2659" spans="2:7">
      <c r="B2659" s="6"/>
      <c r="E2659" s="7"/>
      <c r="F2659" t="str">
        <f t="shared" si="107"/>
        <v/>
      </c>
      <c r="G2659" t="str">
        <f t="shared" si="108"/>
        <v/>
      </c>
    </row>
    <row r="2660" spans="2:7">
      <c r="B2660" s="6"/>
      <c r="E2660" s="7"/>
      <c r="F2660" t="str">
        <f t="shared" si="107"/>
        <v/>
      </c>
      <c r="G2660" t="str">
        <f t="shared" si="108"/>
        <v/>
      </c>
    </row>
    <row r="2661" spans="2:7">
      <c r="B2661" s="6"/>
      <c r="E2661" s="7"/>
      <c r="F2661" t="str">
        <f t="shared" si="107"/>
        <v/>
      </c>
      <c r="G2661" t="str">
        <f t="shared" si="108"/>
        <v/>
      </c>
    </row>
    <row r="2662" spans="2:7">
      <c r="B2662" s="6"/>
      <c r="E2662" s="7"/>
      <c r="F2662" t="str">
        <f t="shared" si="107"/>
        <v/>
      </c>
      <c r="G2662" t="str">
        <f t="shared" si="108"/>
        <v/>
      </c>
    </row>
    <row r="2663" spans="2:7">
      <c r="B2663" s="6"/>
      <c r="E2663" s="7"/>
      <c r="F2663" t="str">
        <f t="shared" si="107"/>
        <v/>
      </c>
      <c r="G2663" t="str">
        <f t="shared" si="108"/>
        <v/>
      </c>
    </row>
    <row r="2664" spans="2:7">
      <c r="B2664" s="6"/>
      <c r="E2664" s="7"/>
      <c r="F2664" t="str">
        <f t="shared" si="107"/>
        <v/>
      </c>
      <c r="G2664" t="str">
        <f t="shared" si="108"/>
        <v/>
      </c>
    </row>
    <row r="2665" spans="2:7">
      <c r="B2665" s="6"/>
      <c r="E2665" s="7"/>
      <c r="F2665" t="str">
        <f t="shared" si="107"/>
        <v/>
      </c>
      <c r="G2665" t="str">
        <f t="shared" si="108"/>
        <v/>
      </c>
    </row>
    <row r="2666" spans="2:7">
      <c r="B2666" s="6"/>
      <c r="E2666" s="7"/>
      <c r="F2666" t="str">
        <f t="shared" si="107"/>
        <v/>
      </c>
      <c r="G2666" t="str">
        <f t="shared" si="108"/>
        <v/>
      </c>
    </row>
    <row r="2667" spans="2:7">
      <c r="B2667" s="6"/>
      <c r="E2667" s="7"/>
      <c r="F2667" t="str">
        <f t="shared" si="107"/>
        <v/>
      </c>
      <c r="G2667" t="str">
        <f t="shared" si="108"/>
        <v/>
      </c>
    </row>
    <row r="2668" spans="2:7">
      <c r="B2668" s="6"/>
      <c r="E2668" s="7"/>
      <c r="F2668" t="str">
        <f t="shared" si="107"/>
        <v/>
      </c>
      <c r="G2668" t="str">
        <f t="shared" si="108"/>
        <v/>
      </c>
    </row>
    <row r="2669" spans="2:7">
      <c r="B2669" s="6"/>
      <c r="E2669" s="7"/>
      <c r="F2669" t="str">
        <f t="shared" si="107"/>
        <v/>
      </c>
      <c r="G2669" t="str">
        <f t="shared" si="108"/>
        <v/>
      </c>
    </row>
    <row r="2670" spans="2:7">
      <c r="B2670" s="6"/>
      <c r="E2670" s="7"/>
      <c r="F2670" t="str">
        <f t="shared" si="107"/>
        <v/>
      </c>
      <c r="G2670" t="str">
        <f t="shared" si="108"/>
        <v/>
      </c>
    </row>
    <row r="2671" spans="2:7">
      <c r="B2671" s="6"/>
      <c r="E2671" s="7"/>
      <c r="F2671" t="str">
        <f t="shared" si="107"/>
        <v/>
      </c>
      <c r="G2671" t="str">
        <f t="shared" si="108"/>
        <v/>
      </c>
    </row>
    <row r="2672" spans="2:7">
      <c r="B2672" s="6"/>
      <c r="E2672" s="7"/>
      <c r="F2672" t="str">
        <f t="shared" si="107"/>
        <v/>
      </c>
      <c r="G2672" t="str">
        <f t="shared" si="108"/>
        <v/>
      </c>
    </row>
    <row r="2673" spans="2:7">
      <c r="B2673" s="6"/>
      <c r="E2673" s="7"/>
      <c r="F2673" t="str">
        <f t="shared" si="107"/>
        <v/>
      </c>
      <c r="G2673" t="str">
        <f t="shared" si="108"/>
        <v/>
      </c>
    </row>
    <row r="2674" spans="2:7">
      <c r="B2674" s="6"/>
      <c r="E2674" s="7"/>
      <c r="F2674" t="str">
        <f t="shared" si="107"/>
        <v/>
      </c>
      <c r="G2674" t="str">
        <f t="shared" si="108"/>
        <v/>
      </c>
    </row>
    <row r="2675" spans="2:7">
      <c r="B2675" s="6"/>
      <c r="E2675" s="7"/>
      <c r="F2675" t="str">
        <f t="shared" si="107"/>
        <v/>
      </c>
      <c r="G2675" t="str">
        <f t="shared" si="108"/>
        <v/>
      </c>
    </row>
    <row r="2676" spans="2:7">
      <c r="B2676" s="6"/>
      <c r="E2676" s="7"/>
      <c r="F2676" t="str">
        <f t="shared" si="107"/>
        <v/>
      </c>
      <c r="G2676" t="str">
        <f t="shared" si="108"/>
        <v/>
      </c>
    </row>
    <row r="2677" spans="2:7">
      <c r="B2677" s="6"/>
      <c r="E2677" s="7"/>
      <c r="F2677" t="str">
        <f t="shared" si="107"/>
        <v/>
      </c>
      <c r="G2677" t="str">
        <f t="shared" si="108"/>
        <v/>
      </c>
    </row>
    <row r="2678" spans="2:7">
      <c r="B2678" s="6"/>
      <c r="E2678" s="7"/>
      <c r="F2678" t="str">
        <f t="shared" si="107"/>
        <v/>
      </c>
      <c r="G2678" t="str">
        <f t="shared" si="108"/>
        <v/>
      </c>
    </row>
    <row r="2679" spans="2:7">
      <c r="B2679" s="6"/>
      <c r="E2679" s="7"/>
      <c r="F2679" t="str">
        <f t="shared" si="107"/>
        <v/>
      </c>
      <c r="G2679" t="str">
        <f t="shared" si="108"/>
        <v/>
      </c>
    </row>
    <row r="2680" spans="2:7">
      <c r="B2680" s="6"/>
      <c r="E2680" s="7"/>
      <c r="F2680" t="str">
        <f t="shared" si="107"/>
        <v/>
      </c>
      <c r="G2680" t="str">
        <f t="shared" si="108"/>
        <v/>
      </c>
    </row>
    <row r="2681" spans="2:7">
      <c r="B2681" s="6"/>
      <c r="E2681" s="7"/>
      <c r="F2681" t="str">
        <f t="shared" si="107"/>
        <v/>
      </c>
      <c r="G2681" t="str">
        <f t="shared" si="108"/>
        <v/>
      </c>
    </row>
    <row r="2682" spans="2:7">
      <c r="B2682" s="6"/>
      <c r="E2682" s="7"/>
      <c r="F2682" t="str">
        <f t="shared" si="107"/>
        <v/>
      </c>
      <c r="G2682" t="str">
        <f t="shared" si="108"/>
        <v/>
      </c>
    </row>
    <row r="2683" spans="2:7">
      <c r="B2683" s="6"/>
      <c r="E2683" s="7"/>
      <c r="F2683" t="str">
        <f t="shared" si="107"/>
        <v/>
      </c>
      <c r="G2683" t="str">
        <f t="shared" si="108"/>
        <v/>
      </c>
    </row>
    <row r="2684" spans="2:7">
      <c r="B2684" s="6"/>
      <c r="E2684" s="7"/>
      <c r="F2684" t="str">
        <f t="shared" si="107"/>
        <v/>
      </c>
      <c r="G2684" t="str">
        <f t="shared" si="108"/>
        <v/>
      </c>
    </row>
    <row r="2685" spans="2:7">
      <c r="B2685" s="6"/>
      <c r="E2685" s="7"/>
      <c r="F2685" t="str">
        <f t="shared" si="107"/>
        <v/>
      </c>
      <c r="G2685" t="str">
        <f t="shared" si="108"/>
        <v/>
      </c>
    </row>
    <row r="2686" spans="2:7">
      <c r="B2686" s="6"/>
      <c r="E2686" s="7"/>
      <c r="F2686" t="str">
        <f t="shared" si="107"/>
        <v/>
      </c>
      <c r="G2686" t="str">
        <f t="shared" si="108"/>
        <v/>
      </c>
    </row>
    <row r="2687" spans="2:7">
      <c r="B2687" s="6"/>
      <c r="E2687" s="7"/>
      <c r="F2687" t="str">
        <f t="shared" si="107"/>
        <v/>
      </c>
      <c r="G2687" t="str">
        <f t="shared" si="108"/>
        <v/>
      </c>
    </row>
    <row r="2688" spans="2:7">
      <c r="B2688" s="6"/>
      <c r="E2688" s="7"/>
      <c r="F2688" t="str">
        <f t="shared" si="107"/>
        <v/>
      </c>
      <c r="G2688" t="str">
        <f t="shared" si="108"/>
        <v/>
      </c>
    </row>
    <row r="2689" spans="2:7">
      <c r="B2689" s="6"/>
      <c r="E2689" s="7"/>
      <c r="F2689" t="str">
        <f t="shared" si="107"/>
        <v/>
      </c>
      <c r="G2689" t="str">
        <f t="shared" si="108"/>
        <v/>
      </c>
    </row>
    <row r="2690" spans="2:7">
      <c r="B2690" s="6"/>
      <c r="E2690" s="7"/>
      <c r="F2690" t="str">
        <f t="shared" si="107"/>
        <v/>
      </c>
      <c r="G2690" t="str">
        <f t="shared" si="108"/>
        <v/>
      </c>
    </row>
    <row r="2691" spans="2:7">
      <c r="B2691" s="6"/>
      <c r="E2691" s="7"/>
      <c r="F2691" t="str">
        <f t="shared" si="107"/>
        <v/>
      </c>
      <c r="G2691" t="str">
        <f t="shared" si="108"/>
        <v/>
      </c>
    </row>
    <row r="2692" spans="2:7">
      <c r="B2692" s="6"/>
      <c r="E2692" s="7"/>
      <c r="F2692" t="str">
        <f t="shared" ref="F2692:F2755" si="109">IF(B2692="","",LOG10(D2692))</f>
        <v/>
      </c>
      <c r="G2692" t="str">
        <f t="shared" ref="G2692:G2755" si="110">IF(E2692="", "",0.434*E2692/D2692)</f>
        <v/>
      </c>
    </row>
    <row r="2693" spans="2:7">
      <c r="B2693" s="6"/>
      <c r="E2693" s="7"/>
      <c r="F2693" t="str">
        <f t="shared" si="109"/>
        <v/>
      </c>
      <c r="G2693" t="str">
        <f t="shared" si="110"/>
        <v/>
      </c>
    </row>
    <row r="2694" spans="2:7">
      <c r="B2694" s="6"/>
      <c r="E2694" s="7"/>
      <c r="F2694" t="str">
        <f t="shared" si="109"/>
        <v/>
      </c>
      <c r="G2694" t="str">
        <f t="shared" si="110"/>
        <v/>
      </c>
    </row>
    <row r="2695" spans="2:7">
      <c r="B2695" s="6"/>
      <c r="E2695" s="7"/>
      <c r="F2695" t="str">
        <f t="shared" si="109"/>
        <v/>
      </c>
      <c r="G2695" t="str">
        <f t="shared" si="110"/>
        <v/>
      </c>
    </row>
    <row r="2696" spans="2:7">
      <c r="B2696" s="6"/>
      <c r="E2696" s="7"/>
      <c r="F2696" t="str">
        <f t="shared" si="109"/>
        <v/>
      </c>
      <c r="G2696" t="str">
        <f t="shared" si="110"/>
        <v/>
      </c>
    </row>
    <row r="2697" spans="2:7">
      <c r="B2697" s="6"/>
      <c r="E2697" s="7"/>
      <c r="F2697" t="str">
        <f t="shared" si="109"/>
        <v/>
      </c>
      <c r="G2697" t="str">
        <f t="shared" si="110"/>
        <v/>
      </c>
    </row>
    <row r="2698" spans="2:7">
      <c r="B2698" s="6"/>
      <c r="E2698" s="7"/>
      <c r="F2698" t="str">
        <f t="shared" si="109"/>
        <v/>
      </c>
      <c r="G2698" t="str">
        <f t="shared" si="110"/>
        <v/>
      </c>
    </row>
    <row r="2699" spans="2:7">
      <c r="B2699" s="6"/>
      <c r="E2699" s="7"/>
      <c r="F2699" t="str">
        <f t="shared" si="109"/>
        <v/>
      </c>
      <c r="G2699" t="str">
        <f t="shared" si="110"/>
        <v/>
      </c>
    </row>
    <row r="2700" spans="2:7">
      <c r="B2700" s="6"/>
      <c r="E2700" s="7"/>
      <c r="F2700" t="str">
        <f t="shared" si="109"/>
        <v/>
      </c>
      <c r="G2700" t="str">
        <f t="shared" si="110"/>
        <v/>
      </c>
    </row>
    <row r="2701" spans="2:7">
      <c r="B2701" s="6"/>
      <c r="E2701" s="7"/>
      <c r="F2701" t="str">
        <f t="shared" si="109"/>
        <v/>
      </c>
      <c r="G2701" t="str">
        <f t="shared" si="110"/>
        <v/>
      </c>
    </row>
    <row r="2702" spans="2:7">
      <c r="B2702" s="6"/>
      <c r="E2702" s="7"/>
      <c r="F2702" t="str">
        <f t="shared" si="109"/>
        <v/>
      </c>
      <c r="G2702" t="str">
        <f t="shared" si="110"/>
        <v/>
      </c>
    </row>
    <row r="2703" spans="2:7">
      <c r="B2703" s="6"/>
      <c r="E2703" s="7"/>
      <c r="F2703" t="str">
        <f t="shared" si="109"/>
        <v/>
      </c>
      <c r="G2703" t="str">
        <f t="shared" si="110"/>
        <v/>
      </c>
    </row>
    <row r="2704" spans="2:7">
      <c r="B2704" s="6"/>
      <c r="E2704" s="7"/>
      <c r="F2704" t="str">
        <f t="shared" si="109"/>
        <v/>
      </c>
      <c r="G2704" t="str">
        <f t="shared" si="110"/>
        <v/>
      </c>
    </row>
    <row r="2705" spans="2:7">
      <c r="B2705" s="6"/>
      <c r="E2705" s="7"/>
      <c r="F2705" t="str">
        <f t="shared" si="109"/>
        <v/>
      </c>
      <c r="G2705" t="str">
        <f t="shared" si="110"/>
        <v/>
      </c>
    </row>
    <row r="2706" spans="2:7">
      <c r="B2706" s="6"/>
      <c r="E2706" s="7"/>
      <c r="F2706" t="str">
        <f t="shared" si="109"/>
        <v/>
      </c>
      <c r="G2706" t="str">
        <f t="shared" si="110"/>
        <v/>
      </c>
    </row>
    <row r="2707" spans="2:7">
      <c r="B2707" s="6"/>
      <c r="E2707" s="7"/>
      <c r="F2707" t="str">
        <f t="shared" si="109"/>
        <v/>
      </c>
      <c r="G2707" t="str">
        <f t="shared" si="110"/>
        <v/>
      </c>
    </row>
    <row r="2708" spans="2:7">
      <c r="B2708" s="6"/>
      <c r="E2708" s="7"/>
      <c r="F2708" t="str">
        <f t="shared" si="109"/>
        <v/>
      </c>
      <c r="G2708" t="str">
        <f t="shared" si="110"/>
        <v/>
      </c>
    </row>
    <row r="2709" spans="2:7">
      <c r="B2709" s="6"/>
      <c r="E2709" s="7"/>
      <c r="F2709" t="str">
        <f t="shared" si="109"/>
        <v/>
      </c>
      <c r="G2709" t="str">
        <f t="shared" si="110"/>
        <v/>
      </c>
    </row>
    <row r="2710" spans="2:7">
      <c r="B2710" s="6"/>
      <c r="E2710" s="7"/>
      <c r="F2710" t="str">
        <f t="shared" si="109"/>
        <v/>
      </c>
      <c r="G2710" t="str">
        <f t="shared" si="110"/>
        <v/>
      </c>
    </row>
    <row r="2711" spans="2:7">
      <c r="B2711" s="6"/>
      <c r="E2711" s="7"/>
      <c r="F2711" t="str">
        <f t="shared" si="109"/>
        <v/>
      </c>
      <c r="G2711" t="str">
        <f t="shared" si="110"/>
        <v/>
      </c>
    </row>
    <row r="2712" spans="2:7">
      <c r="B2712" s="6"/>
      <c r="E2712" s="7"/>
      <c r="F2712" t="str">
        <f t="shared" si="109"/>
        <v/>
      </c>
      <c r="G2712" t="str">
        <f t="shared" si="110"/>
        <v/>
      </c>
    </row>
    <row r="2713" spans="2:7">
      <c r="B2713" s="6"/>
      <c r="E2713" s="7"/>
      <c r="F2713" t="str">
        <f t="shared" si="109"/>
        <v/>
      </c>
      <c r="G2713" t="str">
        <f t="shared" si="110"/>
        <v/>
      </c>
    </row>
    <row r="2714" spans="2:7">
      <c r="B2714" s="6"/>
      <c r="E2714" s="7"/>
      <c r="F2714" t="str">
        <f t="shared" si="109"/>
        <v/>
      </c>
      <c r="G2714" t="str">
        <f t="shared" si="110"/>
        <v/>
      </c>
    </row>
    <row r="2715" spans="2:7">
      <c r="B2715" s="6"/>
      <c r="E2715" s="7"/>
      <c r="F2715" t="str">
        <f t="shared" si="109"/>
        <v/>
      </c>
      <c r="G2715" t="str">
        <f t="shared" si="110"/>
        <v/>
      </c>
    </row>
    <row r="2716" spans="2:7">
      <c r="B2716" s="6"/>
      <c r="E2716" s="7"/>
      <c r="F2716" t="str">
        <f t="shared" si="109"/>
        <v/>
      </c>
      <c r="G2716" t="str">
        <f t="shared" si="110"/>
        <v/>
      </c>
    </row>
    <row r="2717" spans="2:7">
      <c r="B2717" s="6"/>
      <c r="E2717" s="7"/>
      <c r="F2717" t="str">
        <f t="shared" si="109"/>
        <v/>
      </c>
      <c r="G2717" t="str">
        <f t="shared" si="110"/>
        <v/>
      </c>
    </row>
    <row r="2718" spans="2:7">
      <c r="B2718" s="6"/>
      <c r="E2718" s="7"/>
      <c r="F2718" t="str">
        <f t="shared" si="109"/>
        <v/>
      </c>
      <c r="G2718" t="str">
        <f t="shared" si="110"/>
        <v/>
      </c>
    </row>
    <row r="2719" spans="2:7">
      <c r="B2719" s="6"/>
      <c r="E2719" s="7"/>
      <c r="F2719" t="str">
        <f t="shared" si="109"/>
        <v/>
      </c>
      <c r="G2719" t="str">
        <f t="shared" si="110"/>
        <v/>
      </c>
    </row>
    <row r="2720" spans="2:7">
      <c r="B2720" s="6"/>
      <c r="E2720" s="7"/>
      <c r="F2720" t="str">
        <f t="shared" si="109"/>
        <v/>
      </c>
      <c r="G2720" t="str">
        <f t="shared" si="110"/>
        <v/>
      </c>
    </row>
    <row r="2721" spans="2:7">
      <c r="B2721" s="6"/>
      <c r="E2721" s="7"/>
      <c r="F2721" t="str">
        <f t="shared" si="109"/>
        <v/>
      </c>
      <c r="G2721" t="str">
        <f t="shared" si="110"/>
        <v/>
      </c>
    </row>
    <row r="2722" spans="2:7">
      <c r="B2722" s="6"/>
      <c r="E2722" s="7"/>
      <c r="F2722" t="str">
        <f t="shared" si="109"/>
        <v/>
      </c>
      <c r="G2722" t="str">
        <f t="shared" si="110"/>
        <v/>
      </c>
    </row>
    <row r="2723" spans="2:7">
      <c r="B2723" s="6"/>
      <c r="E2723" s="7"/>
      <c r="F2723" t="str">
        <f t="shared" si="109"/>
        <v/>
      </c>
      <c r="G2723" t="str">
        <f t="shared" si="110"/>
        <v/>
      </c>
    </row>
    <row r="2724" spans="2:7">
      <c r="B2724" s="6"/>
      <c r="E2724" s="7"/>
      <c r="F2724" t="str">
        <f t="shared" si="109"/>
        <v/>
      </c>
      <c r="G2724" t="str">
        <f t="shared" si="110"/>
        <v/>
      </c>
    </row>
    <row r="2725" spans="2:7">
      <c r="B2725" s="6"/>
      <c r="E2725" s="7"/>
      <c r="F2725" t="str">
        <f t="shared" si="109"/>
        <v/>
      </c>
      <c r="G2725" t="str">
        <f t="shared" si="110"/>
        <v/>
      </c>
    </row>
    <row r="2726" spans="2:7">
      <c r="B2726" s="6"/>
      <c r="E2726" s="7"/>
      <c r="F2726" t="str">
        <f t="shared" si="109"/>
        <v/>
      </c>
      <c r="G2726" t="str">
        <f t="shared" si="110"/>
        <v/>
      </c>
    </row>
    <row r="2727" spans="2:7">
      <c r="B2727" s="6"/>
      <c r="E2727" s="7"/>
      <c r="F2727" t="str">
        <f t="shared" si="109"/>
        <v/>
      </c>
      <c r="G2727" t="str">
        <f t="shared" si="110"/>
        <v/>
      </c>
    </row>
    <row r="2728" spans="2:7">
      <c r="B2728" s="6"/>
      <c r="E2728" s="7"/>
      <c r="F2728" t="str">
        <f t="shared" si="109"/>
        <v/>
      </c>
      <c r="G2728" t="str">
        <f t="shared" si="110"/>
        <v/>
      </c>
    </row>
    <row r="2729" spans="2:7">
      <c r="B2729" s="6"/>
      <c r="E2729" s="7"/>
      <c r="F2729" t="str">
        <f t="shared" si="109"/>
        <v/>
      </c>
      <c r="G2729" t="str">
        <f t="shared" si="110"/>
        <v/>
      </c>
    </row>
    <row r="2730" spans="2:7">
      <c r="B2730" s="6"/>
      <c r="E2730" s="7"/>
      <c r="F2730" t="str">
        <f t="shared" si="109"/>
        <v/>
      </c>
      <c r="G2730" t="str">
        <f t="shared" si="110"/>
        <v/>
      </c>
    </row>
    <row r="2731" spans="2:7">
      <c r="B2731" s="6"/>
      <c r="E2731" s="7"/>
      <c r="F2731" t="str">
        <f t="shared" si="109"/>
        <v/>
      </c>
      <c r="G2731" t="str">
        <f t="shared" si="110"/>
        <v/>
      </c>
    </row>
    <row r="2732" spans="2:7">
      <c r="B2732" s="6"/>
      <c r="E2732" s="7"/>
      <c r="F2732" t="str">
        <f t="shared" si="109"/>
        <v/>
      </c>
      <c r="G2732" t="str">
        <f t="shared" si="110"/>
        <v/>
      </c>
    </row>
    <row r="2733" spans="2:7">
      <c r="B2733" s="6"/>
      <c r="E2733" s="7"/>
      <c r="F2733" t="str">
        <f t="shared" si="109"/>
        <v/>
      </c>
      <c r="G2733" t="str">
        <f t="shared" si="110"/>
        <v/>
      </c>
    </row>
    <row r="2734" spans="2:7">
      <c r="B2734" s="6"/>
      <c r="E2734" s="7"/>
      <c r="F2734" t="str">
        <f t="shared" si="109"/>
        <v/>
      </c>
      <c r="G2734" t="str">
        <f t="shared" si="110"/>
        <v/>
      </c>
    </row>
    <row r="2735" spans="2:7">
      <c r="B2735" s="6"/>
      <c r="E2735" s="7"/>
      <c r="F2735" t="str">
        <f t="shared" si="109"/>
        <v/>
      </c>
      <c r="G2735" t="str">
        <f t="shared" si="110"/>
        <v/>
      </c>
    </row>
    <row r="2736" spans="2:7">
      <c r="B2736" s="6"/>
      <c r="E2736" s="7"/>
      <c r="F2736" t="str">
        <f t="shared" si="109"/>
        <v/>
      </c>
      <c r="G2736" t="str">
        <f t="shared" si="110"/>
        <v/>
      </c>
    </row>
    <row r="2737" spans="2:7">
      <c r="B2737" s="6"/>
      <c r="E2737" s="7"/>
      <c r="F2737" t="str">
        <f t="shared" si="109"/>
        <v/>
      </c>
      <c r="G2737" t="str">
        <f t="shared" si="110"/>
        <v/>
      </c>
    </row>
    <row r="2738" spans="2:7">
      <c r="B2738" s="6"/>
      <c r="E2738" s="7"/>
      <c r="F2738" t="str">
        <f t="shared" si="109"/>
        <v/>
      </c>
      <c r="G2738" t="str">
        <f t="shared" si="110"/>
        <v/>
      </c>
    </row>
    <row r="2739" spans="2:7">
      <c r="B2739" s="6"/>
      <c r="E2739" s="7"/>
      <c r="F2739" t="str">
        <f t="shared" si="109"/>
        <v/>
      </c>
      <c r="G2739" t="str">
        <f t="shared" si="110"/>
        <v/>
      </c>
    </row>
    <row r="2740" spans="2:7">
      <c r="B2740" s="6"/>
      <c r="E2740" s="7"/>
      <c r="F2740" t="str">
        <f t="shared" si="109"/>
        <v/>
      </c>
      <c r="G2740" t="str">
        <f t="shared" si="110"/>
        <v/>
      </c>
    </row>
    <row r="2741" spans="2:7">
      <c r="B2741" s="6"/>
      <c r="E2741" s="7"/>
      <c r="F2741" t="str">
        <f t="shared" si="109"/>
        <v/>
      </c>
      <c r="G2741" t="str">
        <f t="shared" si="110"/>
        <v/>
      </c>
    </row>
    <row r="2742" spans="2:7">
      <c r="B2742" s="6"/>
      <c r="E2742" s="7"/>
      <c r="F2742" t="str">
        <f t="shared" si="109"/>
        <v/>
      </c>
      <c r="G2742" t="str">
        <f t="shared" si="110"/>
        <v/>
      </c>
    </row>
    <row r="2743" spans="2:7">
      <c r="B2743" s="6"/>
      <c r="E2743" s="7"/>
      <c r="F2743" t="str">
        <f t="shared" si="109"/>
        <v/>
      </c>
      <c r="G2743" t="str">
        <f t="shared" si="110"/>
        <v/>
      </c>
    </row>
    <row r="2744" spans="2:7">
      <c r="B2744" s="6"/>
      <c r="E2744" s="7"/>
      <c r="F2744" t="str">
        <f t="shared" si="109"/>
        <v/>
      </c>
      <c r="G2744" t="str">
        <f t="shared" si="110"/>
        <v/>
      </c>
    </row>
    <row r="2745" spans="2:7">
      <c r="B2745" s="6"/>
      <c r="E2745" s="7"/>
      <c r="F2745" t="str">
        <f t="shared" si="109"/>
        <v/>
      </c>
      <c r="G2745" t="str">
        <f t="shared" si="110"/>
        <v/>
      </c>
    </row>
    <row r="2746" spans="2:7">
      <c r="B2746" s="6"/>
      <c r="E2746" s="7"/>
      <c r="F2746" t="str">
        <f t="shared" si="109"/>
        <v/>
      </c>
      <c r="G2746" t="str">
        <f t="shared" si="110"/>
        <v/>
      </c>
    </row>
    <row r="2747" spans="2:7">
      <c r="B2747" s="6"/>
      <c r="E2747" s="7"/>
      <c r="F2747" t="str">
        <f t="shared" si="109"/>
        <v/>
      </c>
      <c r="G2747" t="str">
        <f t="shared" si="110"/>
        <v/>
      </c>
    </row>
    <row r="2748" spans="2:7">
      <c r="B2748" s="6"/>
      <c r="E2748" s="7"/>
      <c r="F2748" t="str">
        <f t="shared" si="109"/>
        <v/>
      </c>
      <c r="G2748" t="str">
        <f t="shared" si="110"/>
        <v/>
      </c>
    </row>
    <row r="2749" spans="2:7">
      <c r="B2749" s="6"/>
      <c r="E2749" s="7"/>
      <c r="F2749" t="str">
        <f t="shared" si="109"/>
        <v/>
      </c>
      <c r="G2749" t="str">
        <f t="shared" si="110"/>
        <v/>
      </c>
    </row>
    <row r="2750" spans="2:7">
      <c r="B2750" s="6"/>
      <c r="E2750" s="7"/>
      <c r="F2750" t="str">
        <f t="shared" si="109"/>
        <v/>
      </c>
      <c r="G2750" t="str">
        <f t="shared" si="110"/>
        <v/>
      </c>
    </row>
    <row r="2751" spans="2:7">
      <c r="B2751" s="6"/>
      <c r="E2751" s="7"/>
      <c r="F2751" t="str">
        <f t="shared" si="109"/>
        <v/>
      </c>
      <c r="G2751" t="str">
        <f t="shared" si="110"/>
        <v/>
      </c>
    </row>
    <row r="2752" spans="2:7">
      <c r="B2752" s="6"/>
      <c r="E2752" s="7"/>
      <c r="F2752" t="str">
        <f t="shared" si="109"/>
        <v/>
      </c>
      <c r="G2752" t="str">
        <f t="shared" si="110"/>
        <v/>
      </c>
    </row>
    <row r="2753" spans="2:7">
      <c r="B2753" s="6"/>
      <c r="E2753" s="7"/>
      <c r="F2753" t="str">
        <f t="shared" si="109"/>
        <v/>
      </c>
      <c r="G2753" t="str">
        <f t="shared" si="110"/>
        <v/>
      </c>
    </row>
    <row r="2754" spans="2:7">
      <c r="B2754" s="6"/>
      <c r="E2754" s="7"/>
      <c r="F2754" t="str">
        <f t="shared" si="109"/>
        <v/>
      </c>
      <c r="G2754" t="str">
        <f t="shared" si="110"/>
        <v/>
      </c>
    </row>
    <row r="2755" spans="2:7">
      <c r="B2755" s="6"/>
      <c r="E2755" s="7"/>
      <c r="F2755" t="str">
        <f t="shared" si="109"/>
        <v/>
      </c>
      <c r="G2755" t="str">
        <f t="shared" si="110"/>
        <v/>
      </c>
    </row>
    <row r="2756" spans="2:7">
      <c r="B2756" s="6"/>
      <c r="E2756" s="7"/>
      <c r="F2756" t="str">
        <f t="shared" ref="F2756:F2819" si="111">IF(B2756="","",LOG10(D2756))</f>
        <v/>
      </c>
      <c r="G2756" t="str">
        <f t="shared" ref="G2756:G2819" si="112">IF(E2756="", "",0.434*E2756/D2756)</f>
        <v/>
      </c>
    </row>
    <row r="2757" spans="2:7">
      <c r="B2757" s="6"/>
      <c r="E2757" s="7"/>
      <c r="F2757" t="str">
        <f t="shared" si="111"/>
        <v/>
      </c>
      <c r="G2757" t="str">
        <f t="shared" si="112"/>
        <v/>
      </c>
    </row>
    <row r="2758" spans="2:7">
      <c r="B2758" s="6"/>
      <c r="E2758" s="7"/>
      <c r="F2758" t="str">
        <f t="shared" si="111"/>
        <v/>
      </c>
      <c r="G2758" t="str">
        <f t="shared" si="112"/>
        <v/>
      </c>
    </row>
    <row r="2759" spans="2:7">
      <c r="B2759" s="6"/>
      <c r="E2759" s="7"/>
      <c r="F2759" t="str">
        <f t="shared" si="111"/>
        <v/>
      </c>
      <c r="G2759" t="str">
        <f t="shared" si="112"/>
        <v/>
      </c>
    </row>
    <row r="2760" spans="2:7">
      <c r="B2760" s="6"/>
      <c r="E2760" s="7"/>
      <c r="F2760" t="str">
        <f t="shared" si="111"/>
        <v/>
      </c>
      <c r="G2760" t="str">
        <f t="shared" si="112"/>
        <v/>
      </c>
    </row>
    <row r="2761" spans="2:7">
      <c r="B2761" s="6"/>
      <c r="E2761" s="7"/>
      <c r="F2761" t="str">
        <f t="shared" si="111"/>
        <v/>
      </c>
      <c r="G2761" t="str">
        <f t="shared" si="112"/>
        <v/>
      </c>
    </row>
    <row r="2762" spans="2:7">
      <c r="B2762" s="6"/>
      <c r="E2762" s="7"/>
      <c r="F2762" t="str">
        <f t="shared" si="111"/>
        <v/>
      </c>
      <c r="G2762" t="str">
        <f t="shared" si="112"/>
        <v/>
      </c>
    </row>
    <row r="2763" spans="2:7">
      <c r="B2763" s="6"/>
      <c r="E2763" s="7"/>
      <c r="F2763" t="str">
        <f t="shared" si="111"/>
        <v/>
      </c>
      <c r="G2763" t="str">
        <f t="shared" si="112"/>
        <v/>
      </c>
    </row>
    <row r="2764" spans="2:7">
      <c r="B2764" s="6"/>
      <c r="E2764" s="7"/>
      <c r="F2764" t="str">
        <f t="shared" si="111"/>
        <v/>
      </c>
      <c r="G2764" t="str">
        <f t="shared" si="112"/>
        <v/>
      </c>
    </row>
    <row r="2765" spans="2:7">
      <c r="B2765" s="6"/>
      <c r="E2765" s="7"/>
      <c r="F2765" t="str">
        <f t="shared" si="111"/>
        <v/>
      </c>
      <c r="G2765" t="str">
        <f t="shared" si="112"/>
        <v/>
      </c>
    </row>
    <row r="2766" spans="2:7">
      <c r="B2766" s="6"/>
      <c r="E2766" s="7"/>
      <c r="F2766" t="str">
        <f t="shared" si="111"/>
        <v/>
      </c>
      <c r="G2766" t="str">
        <f t="shared" si="112"/>
        <v/>
      </c>
    </row>
    <row r="2767" spans="2:7">
      <c r="B2767" s="6"/>
      <c r="E2767" s="7"/>
      <c r="F2767" t="str">
        <f t="shared" si="111"/>
        <v/>
      </c>
      <c r="G2767" t="str">
        <f t="shared" si="112"/>
        <v/>
      </c>
    </row>
    <row r="2768" spans="2:7">
      <c r="B2768" s="6"/>
      <c r="E2768" s="7"/>
      <c r="F2768" t="str">
        <f t="shared" si="111"/>
        <v/>
      </c>
      <c r="G2768" t="str">
        <f t="shared" si="112"/>
        <v/>
      </c>
    </row>
    <row r="2769" spans="2:7">
      <c r="B2769" s="6"/>
      <c r="E2769" s="7"/>
      <c r="F2769" t="str">
        <f t="shared" si="111"/>
        <v/>
      </c>
      <c r="G2769" t="str">
        <f t="shared" si="112"/>
        <v/>
      </c>
    </row>
    <row r="2770" spans="2:7">
      <c r="B2770" s="6"/>
      <c r="E2770" s="7"/>
      <c r="F2770" t="str">
        <f t="shared" si="111"/>
        <v/>
      </c>
      <c r="G2770" t="str">
        <f t="shared" si="112"/>
        <v/>
      </c>
    </row>
    <row r="2771" spans="2:7">
      <c r="B2771" s="6"/>
      <c r="E2771" s="7"/>
      <c r="F2771" t="str">
        <f t="shared" si="111"/>
        <v/>
      </c>
      <c r="G2771" t="str">
        <f t="shared" si="112"/>
        <v/>
      </c>
    </row>
    <row r="2772" spans="2:7">
      <c r="B2772" s="6"/>
      <c r="E2772" s="7"/>
      <c r="F2772" t="str">
        <f t="shared" si="111"/>
        <v/>
      </c>
      <c r="G2772" t="str">
        <f t="shared" si="112"/>
        <v/>
      </c>
    </row>
    <row r="2773" spans="2:7">
      <c r="B2773" s="6"/>
      <c r="E2773" s="7"/>
      <c r="F2773" t="str">
        <f t="shared" si="111"/>
        <v/>
      </c>
      <c r="G2773" t="str">
        <f t="shared" si="112"/>
        <v/>
      </c>
    </row>
    <row r="2774" spans="2:7">
      <c r="B2774" s="6"/>
      <c r="E2774" s="7"/>
      <c r="F2774" t="str">
        <f t="shared" si="111"/>
        <v/>
      </c>
      <c r="G2774" t="str">
        <f t="shared" si="112"/>
        <v/>
      </c>
    </row>
    <row r="2775" spans="2:7">
      <c r="B2775" s="6"/>
      <c r="E2775" s="7"/>
      <c r="F2775" t="str">
        <f t="shared" si="111"/>
        <v/>
      </c>
      <c r="G2775" t="str">
        <f t="shared" si="112"/>
        <v/>
      </c>
    </row>
    <row r="2776" spans="2:7">
      <c r="B2776" s="6"/>
      <c r="E2776" s="7"/>
      <c r="F2776" t="str">
        <f t="shared" si="111"/>
        <v/>
      </c>
      <c r="G2776" t="str">
        <f t="shared" si="112"/>
        <v/>
      </c>
    </row>
    <row r="2777" spans="2:7">
      <c r="B2777" s="6"/>
      <c r="E2777" s="7"/>
      <c r="F2777" t="str">
        <f t="shared" si="111"/>
        <v/>
      </c>
      <c r="G2777" t="str">
        <f t="shared" si="112"/>
        <v/>
      </c>
    </row>
    <row r="2778" spans="2:7">
      <c r="B2778" s="6"/>
      <c r="E2778" s="7"/>
      <c r="F2778" t="str">
        <f t="shared" si="111"/>
        <v/>
      </c>
      <c r="G2778" t="str">
        <f t="shared" si="112"/>
        <v/>
      </c>
    </row>
    <row r="2779" spans="2:7">
      <c r="B2779" s="6"/>
      <c r="E2779" s="7"/>
      <c r="F2779" t="str">
        <f t="shared" si="111"/>
        <v/>
      </c>
      <c r="G2779" t="str">
        <f t="shared" si="112"/>
        <v/>
      </c>
    </row>
    <row r="2780" spans="2:7">
      <c r="B2780" s="6"/>
      <c r="E2780" s="7"/>
      <c r="F2780" t="str">
        <f t="shared" si="111"/>
        <v/>
      </c>
      <c r="G2780" t="str">
        <f t="shared" si="112"/>
        <v/>
      </c>
    </row>
    <row r="2781" spans="2:7">
      <c r="B2781" s="6"/>
      <c r="E2781" s="7"/>
      <c r="F2781" t="str">
        <f t="shared" si="111"/>
        <v/>
      </c>
      <c r="G2781" t="str">
        <f t="shared" si="112"/>
        <v/>
      </c>
    </row>
    <row r="2782" spans="2:7">
      <c r="B2782" s="6"/>
      <c r="E2782" s="7"/>
      <c r="F2782" t="str">
        <f t="shared" si="111"/>
        <v/>
      </c>
      <c r="G2782" t="str">
        <f t="shared" si="112"/>
        <v/>
      </c>
    </row>
    <row r="2783" spans="2:7">
      <c r="B2783" s="6"/>
      <c r="E2783" s="7"/>
      <c r="F2783" t="str">
        <f t="shared" si="111"/>
        <v/>
      </c>
      <c r="G2783" t="str">
        <f t="shared" si="112"/>
        <v/>
      </c>
    </row>
    <row r="2784" spans="2:7">
      <c r="B2784" s="6"/>
      <c r="E2784" s="7"/>
      <c r="F2784" t="str">
        <f t="shared" si="111"/>
        <v/>
      </c>
      <c r="G2784" t="str">
        <f t="shared" si="112"/>
        <v/>
      </c>
    </row>
    <row r="2785" spans="2:7">
      <c r="B2785" s="6"/>
      <c r="E2785" s="7"/>
      <c r="F2785" t="str">
        <f t="shared" si="111"/>
        <v/>
      </c>
      <c r="G2785" t="str">
        <f t="shared" si="112"/>
        <v/>
      </c>
    </row>
    <row r="2786" spans="2:7">
      <c r="B2786" s="6"/>
      <c r="E2786" s="7"/>
      <c r="F2786" t="str">
        <f t="shared" si="111"/>
        <v/>
      </c>
      <c r="G2786" t="str">
        <f t="shared" si="112"/>
        <v/>
      </c>
    </row>
    <row r="2787" spans="2:7">
      <c r="B2787" s="6"/>
      <c r="E2787" s="7"/>
      <c r="F2787" t="str">
        <f t="shared" si="111"/>
        <v/>
      </c>
      <c r="G2787" t="str">
        <f t="shared" si="112"/>
        <v/>
      </c>
    </row>
    <row r="2788" spans="2:7">
      <c r="B2788" s="6"/>
      <c r="E2788" s="7"/>
      <c r="F2788" t="str">
        <f t="shared" si="111"/>
        <v/>
      </c>
      <c r="G2788" t="str">
        <f t="shared" si="112"/>
        <v/>
      </c>
    </row>
    <row r="2789" spans="2:7">
      <c r="B2789" s="6"/>
      <c r="E2789" s="7"/>
      <c r="F2789" t="str">
        <f t="shared" si="111"/>
        <v/>
      </c>
      <c r="G2789" t="str">
        <f t="shared" si="112"/>
        <v/>
      </c>
    </row>
    <row r="2790" spans="2:7">
      <c r="B2790" s="6"/>
      <c r="E2790" s="7"/>
      <c r="F2790" t="str">
        <f t="shared" si="111"/>
        <v/>
      </c>
      <c r="G2790" t="str">
        <f t="shared" si="112"/>
        <v/>
      </c>
    </row>
    <row r="2791" spans="2:7">
      <c r="B2791" s="6"/>
      <c r="E2791" s="7"/>
      <c r="F2791" t="str">
        <f t="shared" si="111"/>
        <v/>
      </c>
      <c r="G2791" t="str">
        <f t="shared" si="112"/>
        <v/>
      </c>
    </row>
    <row r="2792" spans="2:7">
      <c r="B2792" s="6"/>
      <c r="E2792" s="7"/>
      <c r="F2792" t="str">
        <f t="shared" si="111"/>
        <v/>
      </c>
      <c r="G2792" t="str">
        <f t="shared" si="112"/>
        <v/>
      </c>
    </row>
    <row r="2793" spans="2:7">
      <c r="B2793" s="6"/>
      <c r="E2793" s="7"/>
      <c r="F2793" t="str">
        <f t="shared" si="111"/>
        <v/>
      </c>
      <c r="G2793" t="str">
        <f t="shared" si="112"/>
        <v/>
      </c>
    </row>
    <row r="2794" spans="2:7">
      <c r="B2794" s="6"/>
      <c r="E2794" s="7"/>
      <c r="F2794" t="str">
        <f t="shared" si="111"/>
        <v/>
      </c>
      <c r="G2794" t="str">
        <f t="shared" si="112"/>
        <v/>
      </c>
    </row>
    <row r="2795" spans="2:7">
      <c r="B2795" s="6"/>
      <c r="E2795" s="7"/>
      <c r="F2795" t="str">
        <f t="shared" si="111"/>
        <v/>
      </c>
      <c r="G2795" t="str">
        <f t="shared" si="112"/>
        <v/>
      </c>
    </row>
    <row r="2796" spans="2:7">
      <c r="B2796" s="6"/>
      <c r="E2796" s="7"/>
      <c r="F2796" t="str">
        <f t="shared" si="111"/>
        <v/>
      </c>
      <c r="G2796" t="str">
        <f t="shared" si="112"/>
        <v/>
      </c>
    </row>
    <row r="2797" spans="2:7">
      <c r="B2797" s="6"/>
      <c r="E2797" s="7"/>
      <c r="F2797" t="str">
        <f t="shared" si="111"/>
        <v/>
      </c>
      <c r="G2797" t="str">
        <f t="shared" si="112"/>
        <v/>
      </c>
    </row>
    <row r="2798" spans="2:7">
      <c r="B2798" s="6"/>
      <c r="E2798" s="7"/>
      <c r="F2798" t="str">
        <f t="shared" si="111"/>
        <v/>
      </c>
      <c r="G2798" t="str">
        <f t="shared" si="112"/>
        <v/>
      </c>
    </row>
    <row r="2799" spans="2:7">
      <c r="B2799" s="6"/>
      <c r="E2799" s="7"/>
      <c r="F2799" t="str">
        <f t="shared" si="111"/>
        <v/>
      </c>
      <c r="G2799" t="str">
        <f t="shared" si="112"/>
        <v/>
      </c>
    </row>
    <row r="2800" spans="2:7">
      <c r="B2800" s="6"/>
      <c r="E2800" s="7"/>
      <c r="F2800" t="str">
        <f t="shared" si="111"/>
        <v/>
      </c>
      <c r="G2800" t="str">
        <f t="shared" si="112"/>
        <v/>
      </c>
    </row>
    <row r="2801" spans="2:7">
      <c r="B2801" s="6"/>
      <c r="E2801" s="7"/>
      <c r="F2801" t="str">
        <f t="shared" si="111"/>
        <v/>
      </c>
      <c r="G2801" t="str">
        <f t="shared" si="112"/>
        <v/>
      </c>
    </row>
    <row r="2802" spans="2:7">
      <c r="B2802" s="6"/>
      <c r="E2802" s="7"/>
      <c r="F2802" t="str">
        <f t="shared" si="111"/>
        <v/>
      </c>
      <c r="G2802" t="str">
        <f t="shared" si="112"/>
        <v/>
      </c>
    </row>
    <row r="2803" spans="2:7">
      <c r="B2803" s="6"/>
      <c r="E2803" s="7"/>
      <c r="F2803" t="str">
        <f t="shared" si="111"/>
        <v/>
      </c>
      <c r="G2803" t="str">
        <f t="shared" si="112"/>
        <v/>
      </c>
    </row>
    <row r="2804" spans="2:7">
      <c r="B2804" s="6"/>
      <c r="E2804" s="7"/>
      <c r="F2804" t="str">
        <f t="shared" si="111"/>
        <v/>
      </c>
      <c r="G2804" t="str">
        <f t="shared" si="112"/>
        <v/>
      </c>
    </row>
    <row r="2805" spans="2:7">
      <c r="B2805" s="6"/>
      <c r="E2805" s="7"/>
      <c r="F2805" t="str">
        <f t="shared" si="111"/>
        <v/>
      </c>
      <c r="G2805" t="str">
        <f t="shared" si="112"/>
        <v/>
      </c>
    </row>
    <row r="2806" spans="2:7">
      <c r="B2806" s="6"/>
      <c r="E2806" s="7"/>
      <c r="F2806" t="str">
        <f t="shared" si="111"/>
        <v/>
      </c>
      <c r="G2806" t="str">
        <f t="shared" si="112"/>
        <v/>
      </c>
    </row>
    <row r="2807" spans="2:7">
      <c r="B2807" s="6"/>
      <c r="E2807" s="7"/>
      <c r="F2807" t="str">
        <f t="shared" si="111"/>
        <v/>
      </c>
      <c r="G2807" t="str">
        <f t="shared" si="112"/>
        <v/>
      </c>
    </row>
    <row r="2808" spans="2:7">
      <c r="B2808" s="6"/>
      <c r="E2808" s="7"/>
      <c r="F2808" t="str">
        <f t="shared" si="111"/>
        <v/>
      </c>
      <c r="G2808" t="str">
        <f t="shared" si="112"/>
        <v/>
      </c>
    </row>
    <row r="2809" spans="2:7">
      <c r="B2809" s="6"/>
      <c r="E2809" s="7"/>
      <c r="F2809" t="str">
        <f t="shared" si="111"/>
        <v/>
      </c>
      <c r="G2809" t="str">
        <f t="shared" si="112"/>
        <v/>
      </c>
    </row>
    <row r="2810" spans="2:7">
      <c r="B2810" s="6"/>
      <c r="E2810" s="7"/>
      <c r="F2810" t="str">
        <f t="shared" si="111"/>
        <v/>
      </c>
      <c r="G2810" t="str">
        <f t="shared" si="112"/>
        <v/>
      </c>
    </row>
    <row r="2811" spans="2:7">
      <c r="B2811" s="6"/>
      <c r="E2811" s="7"/>
      <c r="F2811" t="str">
        <f t="shared" si="111"/>
        <v/>
      </c>
      <c r="G2811" t="str">
        <f t="shared" si="112"/>
        <v/>
      </c>
    </row>
    <row r="2812" spans="2:7">
      <c r="B2812" s="6"/>
      <c r="E2812" s="7"/>
      <c r="F2812" t="str">
        <f t="shared" si="111"/>
        <v/>
      </c>
      <c r="G2812" t="str">
        <f t="shared" si="112"/>
        <v/>
      </c>
    </row>
    <row r="2813" spans="2:7">
      <c r="B2813" s="6"/>
      <c r="E2813" s="7"/>
      <c r="F2813" t="str">
        <f t="shared" si="111"/>
        <v/>
      </c>
      <c r="G2813" t="str">
        <f t="shared" si="112"/>
        <v/>
      </c>
    </row>
    <row r="2814" spans="2:7">
      <c r="B2814" s="6"/>
      <c r="E2814" s="7"/>
      <c r="F2814" t="str">
        <f t="shared" si="111"/>
        <v/>
      </c>
      <c r="G2814" t="str">
        <f t="shared" si="112"/>
        <v/>
      </c>
    </row>
    <row r="2815" spans="2:7">
      <c r="B2815" s="6"/>
      <c r="E2815" s="7"/>
      <c r="F2815" t="str">
        <f t="shared" si="111"/>
        <v/>
      </c>
      <c r="G2815" t="str">
        <f t="shared" si="112"/>
        <v/>
      </c>
    </row>
    <row r="2816" spans="2:7">
      <c r="B2816" s="6"/>
      <c r="E2816" s="7"/>
      <c r="F2816" t="str">
        <f t="shared" si="111"/>
        <v/>
      </c>
      <c r="G2816" t="str">
        <f t="shared" si="112"/>
        <v/>
      </c>
    </row>
    <row r="2817" spans="2:7">
      <c r="B2817" s="6"/>
      <c r="E2817" s="7"/>
      <c r="F2817" t="str">
        <f t="shared" si="111"/>
        <v/>
      </c>
      <c r="G2817" t="str">
        <f t="shared" si="112"/>
        <v/>
      </c>
    </row>
    <row r="2818" spans="2:7">
      <c r="B2818" s="6"/>
      <c r="E2818" s="7"/>
      <c r="F2818" t="str">
        <f t="shared" si="111"/>
        <v/>
      </c>
      <c r="G2818" t="str">
        <f t="shared" si="112"/>
        <v/>
      </c>
    </row>
    <row r="2819" spans="2:7">
      <c r="B2819" s="6"/>
      <c r="E2819" s="7"/>
      <c r="F2819" t="str">
        <f t="shared" si="111"/>
        <v/>
      </c>
      <c r="G2819" t="str">
        <f t="shared" si="112"/>
        <v/>
      </c>
    </row>
    <row r="2820" spans="2:7">
      <c r="B2820" s="6"/>
      <c r="E2820" s="7"/>
      <c r="F2820" t="str">
        <f t="shared" ref="F2820:F2883" si="113">IF(B2820="","",LOG10(D2820))</f>
        <v/>
      </c>
      <c r="G2820" t="str">
        <f t="shared" ref="G2820:G2883" si="114">IF(E2820="", "",0.434*E2820/D2820)</f>
        <v/>
      </c>
    </row>
    <row r="2821" spans="2:7">
      <c r="B2821" s="6"/>
      <c r="E2821" s="7"/>
      <c r="F2821" t="str">
        <f t="shared" si="113"/>
        <v/>
      </c>
      <c r="G2821" t="str">
        <f t="shared" si="114"/>
        <v/>
      </c>
    </row>
    <row r="2822" spans="2:7">
      <c r="B2822" s="6"/>
      <c r="E2822" s="7"/>
      <c r="F2822" t="str">
        <f t="shared" si="113"/>
        <v/>
      </c>
      <c r="G2822" t="str">
        <f t="shared" si="114"/>
        <v/>
      </c>
    </row>
    <row r="2823" spans="2:7">
      <c r="B2823" s="6"/>
      <c r="E2823" s="7"/>
      <c r="F2823" t="str">
        <f t="shared" si="113"/>
        <v/>
      </c>
      <c r="G2823" t="str">
        <f t="shared" si="114"/>
        <v/>
      </c>
    </row>
    <row r="2824" spans="2:7">
      <c r="B2824" s="6"/>
      <c r="E2824" s="7"/>
      <c r="F2824" t="str">
        <f t="shared" si="113"/>
        <v/>
      </c>
      <c r="G2824" t="str">
        <f t="shared" si="114"/>
        <v/>
      </c>
    </row>
    <row r="2825" spans="2:7">
      <c r="B2825" s="6"/>
      <c r="E2825" s="7"/>
      <c r="F2825" t="str">
        <f t="shared" si="113"/>
        <v/>
      </c>
      <c r="G2825" t="str">
        <f t="shared" si="114"/>
        <v/>
      </c>
    </row>
    <row r="2826" spans="2:7">
      <c r="B2826" s="6"/>
      <c r="E2826" s="7"/>
      <c r="F2826" t="str">
        <f t="shared" si="113"/>
        <v/>
      </c>
      <c r="G2826" t="str">
        <f t="shared" si="114"/>
        <v/>
      </c>
    </row>
    <row r="2827" spans="2:7">
      <c r="B2827" s="6"/>
      <c r="E2827" s="7"/>
      <c r="F2827" t="str">
        <f t="shared" si="113"/>
        <v/>
      </c>
      <c r="G2827" t="str">
        <f t="shared" si="114"/>
        <v/>
      </c>
    </row>
    <row r="2828" spans="2:7">
      <c r="B2828" s="6"/>
      <c r="E2828" s="7"/>
      <c r="F2828" t="str">
        <f t="shared" si="113"/>
        <v/>
      </c>
      <c r="G2828" t="str">
        <f t="shared" si="114"/>
        <v/>
      </c>
    </row>
    <row r="2829" spans="2:7">
      <c r="B2829" s="6"/>
      <c r="E2829" s="7"/>
      <c r="F2829" t="str">
        <f t="shared" si="113"/>
        <v/>
      </c>
      <c r="G2829" t="str">
        <f t="shared" si="114"/>
        <v/>
      </c>
    </row>
    <row r="2830" spans="2:7">
      <c r="B2830" s="6"/>
      <c r="E2830" s="7"/>
      <c r="F2830" t="str">
        <f t="shared" si="113"/>
        <v/>
      </c>
      <c r="G2830" t="str">
        <f t="shared" si="114"/>
        <v/>
      </c>
    </row>
    <row r="2831" spans="2:7">
      <c r="B2831" s="6"/>
      <c r="E2831" s="7"/>
      <c r="F2831" t="str">
        <f t="shared" si="113"/>
        <v/>
      </c>
      <c r="G2831" t="str">
        <f t="shared" si="114"/>
        <v/>
      </c>
    </row>
    <row r="2832" spans="2:7">
      <c r="B2832" s="6"/>
      <c r="E2832" s="7"/>
      <c r="F2832" t="str">
        <f t="shared" si="113"/>
        <v/>
      </c>
      <c r="G2832" t="str">
        <f t="shared" si="114"/>
        <v/>
      </c>
    </row>
    <row r="2833" spans="2:7">
      <c r="B2833" s="6"/>
      <c r="E2833" s="7"/>
      <c r="F2833" t="str">
        <f t="shared" si="113"/>
        <v/>
      </c>
      <c r="G2833" t="str">
        <f t="shared" si="114"/>
        <v/>
      </c>
    </row>
    <row r="2834" spans="2:7">
      <c r="B2834" s="6"/>
      <c r="E2834" s="7"/>
      <c r="F2834" t="str">
        <f t="shared" si="113"/>
        <v/>
      </c>
      <c r="G2834" t="str">
        <f t="shared" si="114"/>
        <v/>
      </c>
    </row>
    <row r="2835" spans="2:7">
      <c r="B2835" s="6"/>
      <c r="E2835" s="7"/>
      <c r="F2835" t="str">
        <f t="shared" si="113"/>
        <v/>
      </c>
      <c r="G2835" t="str">
        <f t="shared" si="114"/>
        <v/>
      </c>
    </row>
    <row r="2836" spans="2:7">
      <c r="B2836" s="6"/>
      <c r="E2836" s="7"/>
      <c r="F2836" t="str">
        <f t="shared" si="113"/>
        <v/>
      </c>
      <c r="G2836" t="str">
        <f t="shared" si="114"/>
        <v/>
      </c>
    </row>
    <row r="2837" spans="2:7">
      <c r="B2837" s="6"/>
      <c r="E2837" s="7"/>
      <c r="F2837" t="str">
        <f t="shared" si="113"/>
        <v/>
      </c>
      <c r="G2837" t="str">
        <f t="shared" si="114"/>
        <v/>
      </c>
    </row>
    <row r="2838" spans="2:7">
      <c r="B2838" s="6"/>
      <c r="E2838" s="7"/>
      <c r="F2838" t="str">
        <f t="shared" si="113"/>
        <v/>
      </c>
      <c r="G2838" t="str">
        <f t="shared" si="114"/>
        <v/>
      </c>
    </row>
    <row r="2839" spans="2:7">
      <c r="B2839" s="6"/>
      <c r="E2839" s="7"/>
      <c r="F2839" t="str">
        <f t="shared" si="113"/>
        <v/>
      </c>
      <c r="G2839" t="str">
        <f t="shared" si="114"/>
        <v/>
      </c>
    </row>
    <row r="2840" spans="2:7">
      <c r="B2840" s="6"/>
      <c r="E2840" s="7"/>
      <c r="F2840" t="str">
        <f t="shared" si="113"/>
        <v/>
      </c>
      <c r="G2840" t="str">
        <f t="shared" si="114"/>
        <v/>
      </c>
    </row>
    <row r="2841" spans="2:7">
      <c r="B2841" s="6"/>
      <c r="E2841" s="7"/>
      <c r="F2841" t="str">
        <f t="shared" si="113"/>
        <v/>
      </c>
      <c r="G2841" t="str">
        <f t="shared" si="114"/>
        <v/>
      </c>
    </row>
    <row r="2842" spans="2:7">
      <c r="B2842" s="6"/>
      <c r="E2842" s="7"/>
      <c r="F2842" t="str">
        <f t="shared" si="113"/>
        <v/>
      </c>
      <c r="G2842" t="str">
        <f t="shared" si="114"/>
        <v/>
      </c>
    </row>
    <row r="2843" spans="2:7">
      <c r="B2843" s="6"/>
      <c r="E2843" s="7"/>
      <c r="F2843" t="str">
        <f t="shared" si="113"/>
        <v/>
      </c>
      <c r="G2843" t="str">
        <f t="shared" si="114"/>
        <v/>
      </c>
    </row>
    <row r="2844" spans="2:7">
      <c r="B2844" s="6"/>
      <c r="E2844" s="7"/>
      <c r="F2844" t="str">
        <f t="shared" si="113"/>
        <v/>
      </c>
      <c r="G2844" t="str">
        <f t="shared" si="114"/>
        <v/>
      </c>
    </row>
    <row r="2845" spans="2:7">
      <c r="B2845" s="6"/>
      <c r="E2845" s="7"/>
      <c r="F2845" t="str">
        <f t="shared" si="113"/>
        <v/>
      </c>
      <c r="G2845" t="str">
        <f t="shared" si="114"/>
        <v/>
      </c>
    </row>
    <row r="2846" spans="2:7">
      <c r="B2846" s="6"/>
      <c r="E2846" s="7"/>
      <c r="F2846" t="str">
        <f t="shared" si="113"/>
        <v/>
      </c>
      <c r="G2846" t="str">
        <f t="shared" si="114"/>
        <v/>
      </c>
    </row>
    <row r="2847" spans="2:7">
      <c r="B2847" s="6"/>
      <c r="E2847" s="7"/>
      <c r="F2847" t="str">
        <f t="shared" si="113"/>
        <v/>
      </c>
      <c r="G2847" t="str">
        <f t="shared" si="114"/>
        <v/>
      </c>
    </row>
    <row r="2848" spans="2:7">
      <c r="B2848" s="6"/>
      <c r="E2848" s="7"/>
      <c r="F2848" t="str">
        <f t="shared" si="113"/>
        <v/>
      </c>
      <c r="G2848" t="str">
        <f t="shared" si="114"/>
        <v/>
      </c>
    </row>
    <row r="2849" spans="2:7">
      <c r="B2849" s="6"/>
      <c r="E2849" s="7"/>
      <c r="F2849" t="str">
        <f t="shared" si="113"/>
        <v/>
      </c>
      <c r="G2849" t="str">
        <f t="shared" si="114"/>
        <v/>
      </c>
    </row>
    <row r="2850" spans="2:7">
      <c r="B2850" s="6"/>
      <c r="E2850" s="7"/>
      <c r="F2850" t="str">
        <f t="shared" si="113"/>
        <v/>
      </c>
      <c r="G2850" t="str">
        <f t="shared" si="114"/>
        <v/>
      </c>
    </row>
    <row r="2851" spans="2:7">
      <c r="B2851" s="6"/>
      <c r="E2851" s="7"/>
      <c r="F2851" t="str">
        <f t="shared" si="113"/>
        <v/>
      </c>
      <c r="G2851" t="str">
        <f t="shared" si="114"/>
        <v/>
      </c>
    </row>
    <row r="2852" spans="2:7">
      <c r="B2852" s="6"/>
      <c r="E2852" s="7"/>
      <c r="F2852" t="str">
        <f t="shared" si="113"/>
        <v/>
      </c>
      <c r="G2852" t="str">
        <f t="shared" si="114"/>
        <v/>
      </c>
    </row>
    <row r="2853" spans="2:7">
      <c r="B2853" s="6"/>
      <c r="E2853" s="7"/>
      <c r="F2853" t="str">
        <f t="shared" si="113"/>
        <v/>
      </c>
      <c r="G2853" t="str">
        <f t="shared" si="114"/>
        <v/>
      </c>
    </row>
    <row r="2854" spans="2:7">
      <c r="B2854" s="6"/>
      <c r="E2854" s="7"/>
      <c r="F2854" t="str">
        <f t="shared" si="113"/>
        <v/>
      </c>
      <c r="G2854" t="str">
        <f t="shared" si="114"/>
        <v/>
      </c>
    </row>
    <row r="2855" spans="2:7">
      <c r="B2855" s="6"/>
      <c r="E2855" s="7"/>
      <c r="F2855" t="str">
        <f t="shared" si="113"/>
        <v/>
      </c>
      <c r="G2855" t="str">
        <f t="shared" si="114"/>
        <v/>
      </c>
    </row>
    <row r="2856" spans="2:7">
      <c r="B2856" s="6"/>
      <c r="E2856" s="7"/>
      <c r="F2856" t="str">
        <f t="shared" si="113"/>
        <v/>
      </c>
      <c r="G2856" t="str">
        <f t="shared" si="114"/>
        <v/>
      </c>
    </row>
    <row r="2857" spans="2:7">
      <c r="B2857" s="6"/>
      <c r="E2857" s="7"/>
      <c r="F2857" t="str">
        <f t="shared" si="113"/>
        <v/>
      </c>
      <c r="G2857" t="str">
        <f t="shared" si="114"/>
        <v/>
      </c>
    </row>
    <row r="2858" spans="2:7">
      <c r="B2858" s="6"/>
      <c r="E2858" s="7"/>
      <c r="F2858" t="str">
        <f t="shared" si="113"/>
        <v/>
      </c>
      <c r="G2858" t="str">
        <f t="shared" si="114"/>
        <v/>
      </c>
    </row>
    <row r="2859" spans="2:7">
      <c r="B2859" s="6"/>
      <c r="E2859" s="7"/>
      <c r="F2859" t="str">
        <f t="shared" si="113"/>
        <v/>
      </c>
      <c r="G2859" t="str">
        <f t="shared" si="114"/>
        <v/>
      </c>
    </row>
    <row r="2860" spans="2:7">
      <c r="B2860" s="6"/>
      <c r="E2860" s="7"/>
      <c r="F2860" t="str">
        <f t="shared" si="113"/>
        <v/>
      </c>
      <c r="G2860" t="str">
        <f t="shared" si="114"/>
        <v/>
      </c>
    </row>
    <row r="2861" spans="2:7">
      <c r="B2861" s="6"/>
      <c r="E2861" s="7"/>
      <c r="F2861" t="str">
        <f t="shared" si="113"/>
        <v/>
      </c>
      <c r="G2861" t="str">
        <f t="shared" si="114"/>
        <v/>
      </c>
    </row>
    <row r="2862" spans="2:7">
      <c r="B2862" s="6"/>
      <c r="E2862" s="7"/>
      <c r="F2862" t="str">
        <f t="shared" si="113"/>
        <v/>
      </c>
      <c r="G2862" t="str">
        <f t="shared" si="114"/>
        <v/>
      </c>
    </row>
    <row r="2863" spans="2:7">
      <c r="B2863" s="6"/>
      <c r="E2863" s="7"/>
      <c r="F2863" t="str">
        <f t="shared" si="113"/>
        <v/>
      </c>
      <c r="G2863" t="str">
        <f t="shared" si="114"/>
        <v/>
      </c>
    </row>
    <row r="2864" spans="2:7">
      <c r="B2864" s="6"/>
      <c r="E2864" s="7"/>
      <c r="F2864" t="str">
        <f t="shared" si="113"/>
        <v/>
      </c>
      <c r="G2864" t="str">
        <f t="shared" si="114"/>
        <v/>
      </c>
    </row>
    <row r="2865" spans="2:7">
      <c r="B2865" s="6"/>
      <c r="E2865" s="7"/>
      <c r="F2865" t="str">
        <f t="shared" si="113"/>
        <v/>
      </c>
      <c r="G2865" t="str">
        <f t="shared" si="114"/>
        <v/>
      </c>
    </row>
    <row r="2866" spans="2:7">
      <c r="B2866" s="6"/>
      <c r="E2866" s="7"/>
      <c r="F2866" t="str">
        <f t="shared" si="113"/>
        <v/>
      </c>
      <c r="G2866" t="str">
        <f t="shared" si="114"/>
        <v/>
      </c>
    </row>
    <row r="2867" spans="2:7">
      <c r="B2867" s="6"/>
      <c r="E2867" s="7"/>
      <c r="F2867" t="str">
        <f t="shared" si="113"/>
        <v/>
      </c>
      <c r="G2867" t="str">
        <f t="shared" si="114"/>
        <v/>
      </c>
    </row>
    <row r="2868" spans="2:7">
      <c r="B2868" s="6"/>
      <c r="E2868" s="7"/>
      <c r="F2868" t="str">
        <f t="shared" si="113"/>
        <v/>
      </c>
      <c r="G2868" t="str">
        <f t="shared" si="114"/>
        <v/>
      </c>
    </row>
    <row r="2869" spans="2:7">
      <c r="B2869" s="6"/>
      <c r="E2869" s="7"/>
      <c r="F2869" t="str">
        <f t="shared" si="113"/>
        <v/>
      </c>
      <c r="G2869" t="str">
        <f t="shared" si="114"/>
        <v/>
      </c>
    </row>
    <row r="2870" spans="2:7">
      <c r="B2870" s="6"/>
      <c r="E2870" s="7"/>
      <c r="F2870" t="str">
        <f t="shared" si="113"/>
        <v/>
      </c>
      <c r="G2870" t="str">
        <f t="shared" si="114"/>
        <v/>
      </c>
    </row>
    <row r="2871" spans="2:7">
      <c r="B2871" s="6"/>
      <c r="E2871" s="7"/>
      <c r="F2871" t="str">
        <f t="shared" si="113"/>
        <v/>
      </c>
      <c r="G2871" t="str">
        <f t="shared" si="114"/>
        <v/>
      </c>
    </row>
    <row r="2872" spans="2:7">
      <c r="B2872" s="6"/>
      <c r="E2872" s="7"/>
      <c r="F2872" t="str">
        <f t="shared" si="113"/>
        <v/>
      </c>
      <c r="G2872" t="str">
        <f t="shared" si="114"/>
        <v/>
      </c>
    </row>
    <row r="2873" spans="2:7">
      <c r="B2873" s="6"/>
      <c r="E2873" s="7"/>
      <c r="F2873" t="str">
        <f t="shared" si="113"/>
        <v/>
      </c>
      <c r="G2873" t="str">
        <f t="shared" si="114"/>
        <v/>
      </c>
    </row>
    <row r="2874" spans="2:7">
      <c r="B2874" s="6"/>
      <c r="E2874" s="7"/>
      <c r="F2874" t="str">
        <f t="shared" si="113"/>
        <v/>
      </c>
      <c r="G2874" t="str">
        <f t="shared" si="114"/>
        <v/>
      </c>
    </row>
    <row r="2875" spans="2:7">
      <c r="B2875" s="6"/>
      <c r="E2875" s="7"/>
      <c r="F2875" t="str">
        <f t="shared" si="113"/>
        <v/>
      </c>
      <c r="G2875" t="str">
        <f t="shared" si="114"/>
        <v/>
      </c>
    </row>
    <row r="2876" spans="2:7">
      <c r="B2876" s="6"/>
      <c r="E2876" s="7"/>
      <c r="F2876" t="str">
        <f t="shared" si="113"/>
        <v/>
      </c>
      <c r="G2876" t="str">
        <f t="shared" si="114"/>
        <v/>
      </c>
    </row>
    <row r="2877" spans="2:7">
      <c r="B2877" s="6"/>
      <c r="E2877" s="7"/>
      <c r="F2877" t="str">
        <f t="shared" si="113"/>
        <v/>
      </c>
      <c r="G2877" t="str">
        <f t="shared" si="114"/>
        <v/>
      </c>
    </row>
    <row r="2878" spans="2:7">
      <c r="B2878" s="6"/>
      <c r="E2878" s="7"/>
      <c r="F2878" t="str">
        <f t="shared" si="113"/>
        <v/>
      </c>
      <c r="G2878" t="str">
        <f t="shared" si="114"/>
        <v/>
      </c>
    </row>
    <row r="2879" spans="2:7">
      <c r="B2879" s="6"/>
      <c r="E2879" s="7"/>
      <c r="F2879" t="str">
        <f t="shared" si="113"/>
        <v/>
      </c>
      <c r="G2879" t="str">
        <f t="shared" si="114"/>
        <v/>
      </c>
    </row>
    <row r="2880" spans="2:7">
      <c r="B2880" s="6"/>
      <c r="E2880" s="7"/>
      <c r="F2880" t="str">
        <f t="shared" si="113"/>
        <v/>
      </c>
      <c r="G2880" t="str">
        <f t="shared" si="114"/>
        <v/>
      </c>
    </row>
    <row r="2881" spans="2:7">
      <c r="B2881" s="6"/>
      <c r="E2881" s="7"/>
      <c r="F2881" t="str">
        <f t="shared" si="113"/>
        <v/>
      </c>
      <c r="G2881" t="str">
        <f t="shared" si="114"/>
        <v/>
      </c>
    </row>
    <row r="2882" spans="2:7">
      <c r="B2882" s="6"/>
      <c r="E2882" s="7"/>
      <c r="F2882" t="str">
        <f t="shared" si="113"/>
        <v/>
      </c>
      <c r="G2882" t="str">
        <f t="shared" si="114"/>
        <v/>
      </c>
    </row>
    <row r="2883" spans="2:7">
      <c r="B2883" s="6"/>
      <c r="E2883" s="7"/>
      <c r="F2883" t="str">
        <f t="shared" si="113"/>
        <v/>
      </c>
      <c r="G2883" t="str">
        <f t="shared" si="114"/>
        <v/>
      </c>
    </row>
    <row r="2884" spans="2:7">
      <c r="B2884" s="6"/>
      <c r="E2884" s="7"/>
      <c r="F2884" t="str">
        <f t="shared" ref="F2884:F2947" si="115">IF(B2884="","",LOG10(D2884))</f>
        <v/>
      </c>
      <c r="G2884" t="str">
        <f t="shared" ref="G2884:G2947" si="116">IF(E2884="", "",0.434*E2884/D2884)</f>
        <v/>
      </c>
    </row>
    <row r="2885" spans="2:7">
      <c r="B2885" s="6"/>
      <c r="E2885" s="7"/>
      <c r="F2885" t="str">
        <f t="shared" si="115"/>
        <v/>
      </c>
      <c r="G2885" t="str">
        <f t="shared" si="116"/>
        <v/>
      </c>
    </row>
    <row r="2886" spans="2:7">
      <c r="B2886" s="6"/>
      <c r="E2886" s="7"/>
      <c r="F2886" t="str">
        <f t="shared" si="115"/>
        <v/>
      </c>
      <c r="G2886" t="str">
        <f t="shared" si="116"/>
        <v/>
      </c>
    </row>
    <row r="2887" spans="2:7">
      <c r="B2887" s="6"/>
      <c r="E2887" s="7"/>
      <c r="F2887" t="str">
        <f t="shared" si="115"/>
        <v/>
      </c>
      <c r="G2887" t="str">
        <f t="shared" si="116"/>
        <v/>
      </c>
    </row>
    <row r="2888" spans="2:7">
      <c r="B2888" s="6"/>
      <c r="E2888" s="7"/>
      <c r="F2888" t="str">
        <f t="shared" si="115"/>
        <v/>
      </c>
      <c r="G2888" t="str">
        <f t="shared" si="116"/>
        <v/>
      </c>
    </row>
    <row r="2889" spans="2:7">
      <c r="B2889" s="6"/>
      <c r="E2889" s="7"/>
      <c r="F2889" t="str">
        <f t="shared" si="115"/>
        <v/>
      </c>
      <c r="G2889" t="str">
        <f t="shared" si="116"/>
        <v/>
      </c>
    </row>
    <row r="2890" spans="2:7">
      <c r="B2890" s="6"/>
      <c r="E2890" s="7"/>
      <c r="F2890" t="str">
        <f t="shared" si="115"/>
        <v/>
      </c>
      <c r="G2890" t="str">
        <f t="shared" si="116"/>
        <v/>
      </c>
    </row>
    <row r="2891" spans="2:7">
      <c r="B2891" s="6"/>
      <c r="E2891" s="7"/>
      <c r="F2891" t="str">
        <f t="shared" si="115"/>
        <v/>
      </c>
      <c r="G2891" t="str">
        <f t="shared" si="116"/>
        <v/>
      </c>
    </row>
    <row r="2892" spans="2:7">
      <c r="B2892" s="6"/>
      <c r="E2892" s="7"/>
      <c r="F2892" t="str">
        <f t="shared" si="115"/>
        <v/>
      </c>
      <c r="G2892" t="str">
        <f t="shared" si="116"/>
        <v/>
      </c>
    </row>
    <row r="2893" spans="2:7">
      <c r="B2893" s="6"/>
      <c r="E2893" s="7"/>
      <c r="F2893" t="str">
        <f t="shared" si="115"/>
        <v/>
      </c>
      <c r="G2893" t="str">
        <f t="shared" si="116"/>
        <v/>
      </c>
    </row>
    <row r="2894" spans="2:7">
      <c r="B2894" s="6"/>
      <c r="E2894" s="7"/>
      <c r="F2894" t="str">
        <f t="shared" si="115"/>
        <v/>
      </c>
      <c r="G2894" t="str">
        <f t="shared" si="116"/>
        <v/>
      </c>
    </row>
    <row r="2895" spans="2:7">
      <c r="B2895" s="6"/>
      <c r="E2895" s="7"/>
      <c r="F2895" t="str">
        <f t="shared" si="115"/>
        <v/>
      </c>
      <c r="G2895" t="str">
        <f t="shared" si="116"/>
        <v/>
      </c>
    </row>
    <row r="2896" spans="2:7">
      <c r="B2896" s="6"/>
      <c r="E2896" s="7"/>
      <c r="F2896" t="str">
        <f t="shared" si="115"/>
        <v/>
      </c>
      <c r="G2896" t="str">
        <f t="shared" si="116"/>
        <v/>
      </c>
    </row>
    <row r="2897" spans="2:7">
      <c r="B2897" s="6"/>
      <c r="E2897" s="7"/>
      <c r="F2897" t="str">
        <f t="shared" si="115"/>
        <v/>
      </c>
      <c r="G2897" t="str">
        <f t="shared" si="116"/>
        <v/>
      </c>
    </row>
    <row r="2898" spans="2:7">
      <c r="B2898" s="6"/>
      <c r="E2898" s="7"/>
      <c r="F2898" t="str">
        <f t="shared" si="115"/>
        <v/>
      </c>
      <c r="G2898" t="str">
        <f t="shared" si="116"/>
        <v/>
      </c>
    </row>
    <row r="2899" spans="2:7">
      <c r="B2899" s="6"/>
      <c r="E2899" s="7"/>
      <c r="F2899" t="str">
        <f t="shared" si="115"/>
        <v/>
      </c>
      <c r="G2899" t="str">
        <f t="shared" si="116"/>
        <v/>
      </c>
    </row>
    <row r="2900" spans="2:7">
      <c r="B2900" s="6"/>
      <c r="E2900" s="7"/>
      <c r="F2900" t="str">
        <f t="shared" si="115"/>
        <v/>
      </c>
      <c r="G2900" t="str">
        <f t="shared" si="116"/>
        <v/>
      </c>
    </row>
    <row r="2901" spans="2:7">
      <c r="B2901" s="6"/>
      <c r="E2901" s="7"/>
      <c r="F2901" t="str">
        <f t="shared" si="115"/>
        <v/>
      </c>
      <c r="G2901" t="str">
        <f t="shared" si="116"/>
        <v/>
      </c>
    </row>
    <row r="2902" spans="2:7">
      <c r="B2902" s="6"/>
      <c r="E2902" s="7"/>
      <c r="F2902" t="str">
        <f t="shared" si="115"/>
        <v/>
      </c>
      <c r="G2902" t="str">
        <f t="shared" si="116"/>
        <v/>
      </c>
    </row>
    <row r="2903" spans="2:7">
      <c r="B2903" s="6"/>
      <c r="E2903" s="7"/>
      <c r="F2903" t="str">
        <f t="shared" si="115"/>
        <v/>
      </c>
      <c r="G2903" t="str">
        <f t="shared" si="116"/>
        <v/>
      </c>
    </row>
    <row r="2904" spans="2:7">
      <c r="B2904" s="6"/>
      <c r="E2904" s="7"/>
      <c r="F2904" t="str">
        <f t="shared" si="115"/>
        <v/>
      </c>
      <c r="G2904" t="str">
        <f t="shared" si="116"/>
        <v/>
      </c>
    </row>
    <row r="2905" spans="2:7">
      <c r="B2905" s="6"/>
      <c r="E2905" s="7"/>
      <c r="F2905" t="str">
        <f t="shared" si="115"/>
        <v/>
      </c>
      <c r="G2905" t="str">
        <f t="shared" si="116"/>
        <v/>
      </c>
    </row>
    <row r="2906" spans="2:7">
      <c r="B2906" s="6"/>
      <c r="E2906" s="7"/>
      <c r="F2906" t="str">
        <f t="shared" si="115"/>
        <v/>
      </c>
      <c r="G2906" t="str">
        <f t="shared" si="116"/>
        <v/>
      </c>
    </row>
    <row r="2907" spans="2:7">
      <c r="B2907" s="6"/>
      <c r="E2907" s="7"/>
      <c r="F2907" t="str">
        <f t="shared" si="115"/>
        <v/>
      </c>
      <c r="G2907" t="str">
        <f t="shared" si="116"/>
        <v/>
      </c>
    </row>
    <row r="2908" spans="2:7">
      <c r="B2908" s="6"/>
      <c r="E2908" s="7"/>
      <c r="F2908" t="str">
        <f t="shared" si="115"/>
        <v/>
      </c>
      <c r="G2908" t="str">
        <f t="shared" si="116"/>
        <v/>
      </c>
    </row>
    <row r="2909" spans="2:7">
      <c r="B2909" s="6"/>
      <c r="E2909" s="7"/>
      <c r="F2909" t="str">
        <f t="shared" si="115"/>
        <v/>
      </c>
      <c r="G2909" t="str">
        <f t="shared" si="116"/>
        <v/>
      </c>
    </row>
    <row r="2910" spans="2:7">
      <c r="B2910" s="6"/>
      <c r="E2910" s="7"/>
      <c r="F2910" t="str">
        <f t="shared" si="115"/>
        <v/>
      </c>
      <c r="G2910" t="str">
        <f t="shared" si="116"/>
        <v/>
      </c>
    </row>
    <row r="2911" spans="2:7">
      <c r="B2911" s="6"/>
      <c r="E2911" s="7"/>
      <c r="F2911" t="str">
        <f t="shared" si="115"/>
        <v/>
      </c>
      <c r="G2911" t="str">
        <f t="shared" si="116"/>
        <v/>
      </c>
    </row>
    <row r="2912" spans="2:7">
      <c r="B2912" s="6"/>
      <c r="E2912" s="7"/>
      <c r="F2912" t="str">
        <f t="shared" si="115"/>
        <v/>
      </c>
      <c r="G2912" t="str">
        <f t="shared" si="116"/>
        <v/>
      </c>
    </row>
    <row r="2913" spans="2:7">
      <c r="B2913" s="6"/>
      <c r="E2913" s="7"/>
      <c r="F2913" t="str">
        <f t="shared" si="115"/>
        <v/>
      </c>
      <c r="G2913" t="str">
        <f t="shared" si="116"/>
        <v/>
      </c>
    </row>
    <row r="2914" spans="2:7">
      <c r="B2914" s="6"/>
      <c r="E2914" s="7"/>
      <c r="F2914" t="str">
        <f t="shared" si="115"/>
        <v/>
      </c>
      <c r="G2914" t="str">
        <f t="shared" si="116"/>
        <v/>
      </c>
    </row>
    <row r="2915" spans="2:7">
      <c r="B2915" s="6"/>
      <c r="E2915" s="7"/>
      <c r="F2915" t="str">
        <f t="shared" si="115"/>
        <v/>
      </c>
      <c r="G2915" t="str">
        <f t="shared" si="116"/>
        <v/>
      </c>
    </row>
    <row r="2916" spans="2:7">
      <c r="B2916" s="6"/>
      <c r="E2916" s="7"/>
      <c r="F2916" t="str">
        <f t="shared" si="115"/>
        <v/>
      </c>
      <c r="G2916" t="str">
        <f t="shared" si="116"/>
        <v/>
      </c>
    </row>
    <row r="2917" spans="2:7">
      <c r="B2917" s="6"/>
      <c r="E2917" s="7"/>
      <c r="F2917" t="str">
        <f t="shared" si="115"/>
        <v/>
      </c>
      <c r="G2917" t="str">
        <f t="shared" si="116"/>
        <v/>
      </c>
    </row>
    <row r="2918" spans="2:7">
      <c r="B2918" s="6"/>
      <c r="E2918" s="7"/>
      <c r="F2918" t="str">
        <f t="shared" si="115"/>
        <v/>
      </c>
      <c r="G2918" t="str">
        <f t="shared" si="116"/>
        <v/>
      </c>
    </row>
    <row r="2919" spans="2:7">
      <c r="B2919" s="6"/>
      <c r="E2919" s="7"/>
      <c r="F2919" t="str">
        <f t="shared" si="115"/>
        <v/>
      </c>
      <c r="G2919" t="str">
        <f t="shared" si="116"/>
        <v/>
      </c>
    </row>
    <row r="2920" spans="2:7">
      <c r="B2920" s="6"/>
      <c r="E2920" s="7"/>
      <c r="F2920" t="str">
        <f t="shared" si="115"/>
        <v/>
      </c>
      <c r="G2920" t="str">
        <f t="shared" si="116"/>
        <v/>
      </c>
    </row>
    <row r="2921" spans="2:7">
      <c r="B2921" s="6"/>
      <c r="E2921" s="7"/>
      <c r="F2921" t="str">
        <f t="shared" si="115"/>
        <v/>
      </c>
      <c r="G2921" t="str">
        <f t="shared" si="116"/>
        <v/>
      </c>
    </row>
    <row r="2922" spans="2:7">
      <c r="B2922" s="6"/>
      <c r="E2922" s="7"/>
      <c r="F2922" t="str">
        <f t="shared" si="115"/>
        <v/>
      </c>
      <c r="G2922" t="str">
        <f t="shared" si="116"/>
        <v/>
      </c>
    </row>
    <row r="2923" spans="2:7">
      <c r="B2923" s="6"/>
      <c r="E2923" s="7"/>
      <c r="F2923" t="str">
        <f t="shared" si="115"/>
        <v/>
      </c>
      <c r="G2923" t="str">
        <f t="shared" si="116"/>
        <v/>
      </c>
    </row>
    <row r="2924" spans="2:7">
      <c r="B2924" s="6"/>
      <c r="E2924" s="7"/>
      <c r="F2924" t="str">
        <f t="shared" si="115"/>
        <v/>
      </c>
      <c r="G2924" t="str">
        <f t="shared" si="116"/>
        <v/>
      </c>
    </row>
    <row r="2925" spans="2:7">
      <c r="B2925" s="6"/>
      <c r="E2925" s="7"/>
      <c r="F2925" t="str">
        <f t="shared" si="115"/>
        <v/>
      </c>
      <c r="G2925" t="str">
        <f t="shared" si="116"/>
        <v/>
      </c>
    </row>
    <row r="2926" spans="2:7">
      <c r="B2926" s="6"/>
      <c r="E2926" s="7"/>
      <c r="F2926" t="str">
        <f t="shared" si="115"/>
        <v/>
      </c>
      <c r="G2926" t="str">
        <f t="shared" si="116"/>
        <v/>
      </c>
    </row>
    <row r="2927" spans="2:7">
      <c r="B2927" s="6"/>
      <c r="E2927" s="7"/>
      <c r="F2927" t="str">
        <f t="shared" si="115"/>
        <v/>
      </c>
      <c r="G2927" t="str">
        <f t="shared" si="116"/>
        <v/>
      </c>
    </row>
    <row r="2928" spans="2:7">
      <c r="B2928" s="6"/>
      <c r="E2928" s="7"/>
      <c r="F2928" t="str">
        <f t="shared" si="115"/>
        <v/>
      </c>
      <c r="G2928" t="str">
        <f t="shared" si="116"/>
        <v/>
      </c>
    </row>
    <row r="2929" spans="2:7">
      <c r="B2929" s="6"/>
      <c r="E2929" s="7"/>
      <c r="F2929" t="str">
        <f t="shared" si="115"/>
        <v/>
      </c>
      <c r="G2929" t="str">
        <f t="shared" si="116"/>
        <v/>
      </c>
    </row>
    <row r="2930" spans="2:7">
      <c r="B2930" s="6"/>
      <c r="E2930" s="7"/>
      <c r="F2930" t="str">
        <f t="shared" si="115"/>
        <v/>
      </c>
      <c r="G2930" t="str">
        <f t="shared" si="116"/>
        <v/>
      </c>
    </row>
    <row r="2931" spans="2:7">
      <c r="B2931" s="6"/>
      <c r="E2931" s="7"/>
      <c r="F2931" t="str">
        <f t="shared" si="115"/>
        <v/>
      </c>
      <c r="G2931" t="str">
        <f t="shared" si="116"/>
        <v/>
      </c>
    </row>
    <row r="2932" spans="2:7">
      <c r="B2932" s="6"/>
      <c r="E2932" s="7"/>
      <c r="F2932" t="str">
        <f t="shared" si="115"/>
        <v/>
      </c>
      <c r="G2932" t="str">
        <f t="shared" si="116"/>
        <v/>
      </c>
    </row>
    <row r="2933" spans="2:7">
      <c r="B2933" s="6"/>
      <c r="E2933" s="7"/>
      <c r="F2933" t="str">
        <f t="shared" si="115"/>
        <v/>
      </c>
      <c r="G2933" t="str">
        <f t="shared" si="116"/>
        <v/>
      </c>
    </row>
    <row r="2934" spans="2:7">
      <c r="B2934" s="6"/>
      <c r="E2934" s="7"/>
      <c r="F2934" t="str">
        <f t="shared" si="115"/>
        <v/>
      </c>
      <c r="G2934" t="str">
        <f t="shared" si="116"/>
        <v/>
      </c>
    </row>
    <row r="2935" spans="2:7">
      <c r="B2935" s="6"/>
      <c r="E2935" s="7"/>
      <c r="F2935" t="str">
        <f t="shared" si="115"/>
        <v/>
      </c>
      <c r="G2935" t="str">
        <f t="shared" si="116"/>
        <v/>
      </c>
    </row>
    <row r="2936" spans="2:7">
      <c r="B2936" s="6"/>
      <c r="E2936" s="7"/>
      <c r="F2936" t="str">
        <f t="shared" si="115"/>
        <v/>
      </c>
      <c r="G2936" t="str">
        <f t="shared" si="116"/>
        <v/>
      </c>
    </row>
    <row r="2937" spans="2:7">
      <c r="B2937" s="6"/>
      <c r="E2937" s="7"/>
      <c r="F2937" t="str">
        <f t="shared" si="115"/>
        <v/>
      </c>
      <c r="G2937" t="str">
        <f t="shared" si="116"/>
        <v/>
      </c>
    </row>
    <row r="2938" spans="2:7">
      <c r="B2938" s="6"/>
      <c r="E2938" s="7"/>
      <c r="F2938" t="str">
        <f t="shared" si="115"/>
        <v/>
      </c>
      <c r="G2938" t="str">
        <f t="shared" si="116"/>
        <v/>
      </c>
    </row>
    <row r="2939" spans="2:7">
      <c r="B2939" s="6"/>
      <c r="E2939" s="7"/>
      <c r="F2939" t="str">
        <f t="shared" si="115"/>
        <v/>
      </c>
      <c r="G2939" t="str">
        <f t="shared" si="116"/>
        <v/>
      </c>
    </row>
    <row r="2940" spans="2:7">
      <c r="B2940" s="6"/>
      <c r="E2940" s="7"/>
      <c r="F2940" t="str">
        <f t="shared" si="115"/>
        <v/>
      </c>
      <c r="G2940" t="str">
        <f t="shared" si="116"/>
        <v/>
      </c>
    </row>
    <row r="2941" spans="2:7">
      <c r="B2941" s="6"/>
      <c r="E2941" s="7"/>
      <c r="F2941" t="str">
        <f t="shared" si="115"/>
        <v/>
      </c>
      <c r="G2941" t="str">
        <f t="shared" si="116"/>
        <v/>
      </c>
    </row>
    <row r="2942" spans="2:7">
      <c r="B2942" s="6"/>
      <c r="E2942" s="7"/>
      <c r="F2942" t="str">
        <f t="shared" si="115"/>
        <v/>
      </c>
      <c r="G2942" t="str">
        <f t="shared" si="116"/>
        <v/>
      </c>
    </row>
    <row r="2943" spans="2:7">
      <c r="B2943" s="6"/>
      <c r="E2943" s="7"/>
      <c r="F2943" t="str">
        <f t="shared" si="115"/>
        <v/>
      </c>
      <c r="G2943" t="str">
        <f t="shared" si="116"/>
        <v/>
      </c>
    </row>
    <row r="2944" spans="2:7">
      <c r="B2944" s="6"/>
      <c r="E2944" s="7"/>
      <c r="F2944" t="str">
        <f t="shared" si="115"/>
        <v/>
      </c>
      <c r="G2944" t="str">
        <f t="shared" si="116"/>
        <v/>
      </c>
    </row>
    <row r="2945" spans="2:7">
      <c r="B2945" s="6"/>
      <c r="E2945" s="7"/>
      <c r="F2945" t="str">
        <f t="shared" si="115"/>
        <v/>
      </c>
      <c r="G2945" t="str">
        <f t="shared" si="116"/>
        <v/>
      </c>
    </row>
    <row r="2946" spans="2:7">
      <c r="B2946" s="6"/>
      <c r="E2946" s="7"/>
      <c r="F2946" t="str">
        <f t="shared" si="115"/>
        <v/>
      </c>
      <c r="G2946" t="str">
        <f t="shared" si="116"/>
        <v/>
      </c>
    </row>
    <row r="2947" spans="2:7">
      <c r="B2947" s="6"/>
      <c r="E2947" s="7"/>
      <c r="F2947" t="str">
        <f t="shared" si="115"/>
        <v/>
      </c>
      <c r="G2947" t="str">
        <f t="shared" si="116"/>
        <v/>
      </c>
    </row>
    <row r="2948" spans="2:7">
      <c r="B2948" s="6"/>
      <c r="E2948" s="7"/>
      <c r="F2948" t="str">
        <f t="shared" ref="F2948:F3011" si="117">IF(B2948="","",LOG10(D2948))</f>
        <v/>
      </c>
      <c r="G2948" t="str">
        <f t="shared" ref="G2948:G3011" si="118">IF(E2948="", "",0.434*E2948/D2948)</f>
        <v/>
      </c>
    </row>
    <row r="2949" spans="2:7">
      <c r="B2949" s="6"/>
      <c r="E2949" s="7"/>
      <c r="F2949" t="str">
        <f t="shared" si="117"/>
        <v/>
      </c>
      <c r="G2949" t="str">
        <f t="shared" si="118"/>
        <v/>
      </c>
    </row>
    <row r="2950" spans="2:7">
      <c r="B2950" s="6"/>
      <c r="E2950" s="7"/>
      <c r="F2950" t="str">
        <f t="shared" si="117"/>
        <v/>
      </c>
      <c r="G2950" t="str">
        <f t="shared" si="118"/>
        <v/>
      </c>
    </row>
    <row r="2951" spans="2:7">
      <c r="B2951" s="6"/>
      <c r="E2951" s="7"/>
      <c r="F2951" t="str">
        <f t="shared" si="117"/>
        <v/>
      </c>
      <c r="G2951" t="str">
        <f t="shared" si="118"/>
        <v/>
      </c>
    </row>
    <row r="2952" spans="2:7">
      <c r="B2952" s="6"/>
      <c r="E2952" s="7"/>
      <c r="F2952" t="str">
        <f t="shared" si="117"/>
        <v/>
      </c>
      <c r="G2952" t="str">
        <f t="shared" si="118"/>
        <v/>
      </c>
    </row>
    <row r="2953" spans="2:7">
      <c r="B2953" s="6"/>
      <c r="E2953" s="7"/>
      <c r="F2953" t="str">
        <f t="shared" si="117"/>
        <v/>
      </c>
      <c r="G2953" t="str">
        <f t="shared" si="118"/>
        <v/>
      </c>
    </row>
    <row r="2954" spans="2:7">
      <c r="B2954" s="6"/>
      <c r="E2954" s="7"/>
      <c r="F2954" t="str">
        <f t="shared" si="117"/>
        <v/>
      </c>
      <c r="G2954" t="str">
        <f t="shared" si="118"/>
        <v/>
      </c>
    </row>
    <row r="2955" spans="2:7">
      <c r="B2955" s="6"/>
      <c r="E2955" s="7"/>
      <c r="F2955" t="str">
        <f t="shared" si="117"/>
        <v/>
      </c>
      <c r="G2955" t="str">
        <f t="shared" si="118"/>
        <v/>
      </c>
    </row>
    <row r="2956" spans="2:7">
      <c r="B2956" s="6"/>
      <c r="E2956" s="7"/>
      <c r="F2956" t="str">
        <f t="shared" si="117"/>
        <v/>
      </c>
      <c r="G2956" t="str">
        <f t="shared" si="118"/>
        <v/>
      </c>
    </row>
    <row r="2957" spans="2:7">
      <c r="B2957" s="6"/>
      <c r="E2957" s="7"/>
      <c r="F2957" t="str">
        <f t="shared" si="117"/>
        <v/>
      </c>
      <c r="G2957" t="str">
        <f t="shared" si="118"/>
        <v/>
      </c>
    </row>
    <row r="2958" spans="2:7">
      <c r="B2958" s="6"/>
      <c r="E2958" s="7"/>
      <c r="F2958" t="str">
        <f t="shared" si="117"/>
        <v/>
      </c>
      <c r="G2958" t="str">
        <f t="shared" si="118"/>
        <v/>
      </c>
    </row>
    <row r="2959" spans="2:7">
      <c r="B2959" s="6"/>
      <c r="E2959" s="7"/>
      <c r="F2959" t="str">
        <f t="shared" si="117"/>
        <v/>
      </c>
      <c r="G2959" t="str">
        <f t="shared" si="118"/>
        <v/>
      </c>
    </row>
    <row r="2960" spans="2:7">
      <c r="B2960" s="6"/>
      <c r="E2960" s="7"/>
      <c r="F2960" t="str">
        <f t="shared" si="117"/>
        <v/>
      </c>
      <c r="G2960" t="str">
        <f t="shared" si="118"/>
        <v/>
      </c>
    </row>
    <row r="2961" spans="2:7">
      <c r="B2961" s="6"/>
      <c r="E2961" s="7"/>
      <c r="F2961" t="str">
        <f t="shared" si="117"/>
        <v/>
      </c>
      <c r="G2961" t="str">
        <f t="shared" si="118"/>
        <v/>
      </c>
    </row>
    <row r="2962" spans="2:7">
      <c r="B2962" s="6"/>
      <c r="E2962" s="7"/>
      <c r="F2962" t="str">
        <f t="shared" si="117"/>
        <v/>
      </c>
      <c r="G2962" t="str">
        <f t="shared" si="118"/>
        <v/>
      </c>
    </row>
    <row r="2963" spans="2:7">
      <c r="B2963" s="6"/>
      <c r="E2963" s="7"/>
      <c r="F2963" t="str">
        <f t="shared" si="117"/>
        <v/>
      </c>
      <c r="G2963" t="str">
        <f t="shared" si="118"/>
        <v/>
      </c>
    </row>
    <row r="2964" spans="2:7">
      <c r="B2964" s="6"/>
      <c r="E2964" s="7"/>
      <c r="F2964" t="str">
        <f t="shared" si="117"/>
        <v/>
      </c>
      <c r="G2964" t="str">
        <f t="shared" si="118"/>
        <v/>
      </c>
    </row>
    <row r="2965" spans="2:7">
      <c r="B2965" s="6"/>
      <c r="E2965" s="7"/>
      <c r="F2965" t="str">
        <f t="shared" si="117"/>
        <v/>
      </c>
      <c r="G2965" t="str">
        <f t="shared" si="118"/>
        <v/>
      </c>
    </row>
    <row r="2966" spans="2:7">
      <c r="B2966" s="6"/>
      <c r="E2966" s="7"/>
      <c r="F2966" t="str">
        <f t="shared" si="117"/>
        <v/>
      </c>
      <c r="G2966" t="str">
        <f t="shared" si="118"/>
        <v/>
      </c>
    </row>
    <row r="2967" spans="2:7">
      <c r="B2967" s="6"/>
      <c r="E2967" s="7"/>
      <c r="F2967" t="str">
        <f t="shared" si="117"/>
        <v/>
      </c>
      <c r="G2967" t="str">
        <f t="shared" si="118"/>
        <v/>
      </c>
    </row>
    <row r="2968" spans="2:7">
      <c r="B2968" s="6"/>
      <c r="E2968" s="7"/>
      <c r="F2968" t="str">
        <f t="shared" si="117"/>
        <v/>
      </c>
      <c r="G2968" t="str">
        <f t="shared" si="118"/>
        <v/>
      </c>
    </row>
    <row r="2969" spans="2:7">
      <c r="B2969" s="6"/>
      <c r="E2969" s="7"/>
      <c r="F2969" t="str">
        <f t="shared" si="117"/>
        <v/>
      </c>
      <c r="G2969" t="str">
        <f t="shared" si="118"/>
        <v/>
      </c>
    </row>
    <row r="2970" spans="2:7">
      <c r="B2970" s="6"/>
      <c r="E2970" s="7"/>
      <c r="F2970" t="str">
        <f t="shared" si="117"/>
        <v/>
      </c>
      <c r="G2970" t="str">
        <f t="shared" si="118"/>
        <v/>
      </c>
    </row>
    <row r="2971" spans="2:7">
      <c r="B2971" s="6"/>
      <c r="E2971" s="7"/>
      <c r="F2971" t="str">
        <f t="shared" si="117"/>
        <v/>
      </c>
      <c r="G2971" t="str">
        <f t="shared" si="118"/>
        <v/>
      </c>
    </row>
    <row r="2972" spans="2:7">
      <c r="B2972" s="6"/>
      <c r="E2972" s="7"/>
      <c r="F2972" t="str">
        <f t="shared" si="117"/>
        <v/>
      </c>
      <c r="G2972" t="str">
        <f t="shared" si="118"/>
        <v/>
      </c>
    </row>
    <row r="2973" spans="2:7">
      <c r="B2973" s="6"/>
      <c r="E2973" s="7"/>
      <c r="F2973" t="str">
        <f t="shared" si="117"/>
        <v/>
      </c>
      <c r="G2973" t="str">
        <f t="shared" si="118"/>
        <v/>
      </c>
    </row>
    <row r="2974" spans="2:7">
      <c r="B2974" s="6"/>
      <c r="E2974" s="7"/>
      <c r="F2974" t="str">
        <f t="shared" si="117"/>
        <v/>
      </c>
      <c r="G2974" t="str">
        <f t="shared" si="118"/>
        <v/>
      </c>
    </row>
    <row r="2975" spans="2:7">
      <c r="B2975" s="6"/>
      <c r="E2975" s="7"/>
      <c r="F2975" t="str">
        <f t="shared" si="117"/>
        <v/>
      </c>
      <c r="G2975" t="str">
        <f t="shared" si="118"/>
        <v/>
      </c>
    </row>
    <row r="2976" spans="2:7">
      <c r="B2976" s="6"/>
      <c r="E2976" s="7"/>
      <c r="F2976" t="str">
        <f t="shared" si="117"/>
        <v/>
      </c>
      <c r="G2976" t="str">
        <f t="shared" si="118"/>
        <v/>
      </c>
    </row>
    <row r="2977" spans="2:7">
      <c r="B2977" s="6"/>
      <c r="E2977" s="7"/>
      <c r="F2977" t="str">
        <f t="shared" si="117"/>
        <v/>
      </c>
      <c r="G2977" t="str">
        <f t="shared" si="118"/>
        <v/>
      </c>
    </row>
    <row r="2978" spans="2:7">
      <c r="B2978" s="6"/>
      <c r="E2978" s="7"/>
      <c r="F2978" t="str">
        <f t="shared" si="117"/>
        <v/>
      </c>
      <c r="G2978" t="str">
        <f t="shared" si="118"/>
        <v/>
      </c>
    </row>
    <row r="2979" spans="2:7">
      <c r="B2979" s="6"/>
      <c r="E2979" s="7"/>
      <c r="F2979" t="str">
        <f t="shared" si="117"/>
        <v/>
      </c>
      <c r="G2979" t="str">
        <f t="shared" si="118"/>
        <v/>
      </c>
    </row>
    <row r="2980" spans="2:7">
      <c r="B2980" s="6"/>
      <c r="E2980" s="7"/>
      <c r="F2980" t="str">
        <f t="shared" si="117"/>
        <v/>
      </c>
      <c r="G2980" t="str">
        <f t="shared" si="118"/>
        <v/>
      </c>
    </row>
    <row r="2981" spans="2:7">
      <c r="B2981" s="6"/>
      <c r="E2981" s="7"/>
      <c r="F2981" t="str">
        <f t="shared" si="117"/>
        <v/>
      </c>
      <c r="G2981" t="str">
        <f t="shared" si="118"/>
        <v/>
      </c>
    </row>
    <row r="2982" spans="2:7">
      <c r="B2982" s="6"/>
      <c r="E2982" s="7"/>
      <c r="F2982" t="str">
        <f t="shared" si="117"/>
        <v/>
      </c>
      <c r="G2982" t="str">
        <f t="shared" si="118"/>
        <v/>
      </c>
    </row>
    <row r="2983" spans="2:7">
      <c r="B2983" s="6"/>
      <c r="E2983" s="7"/>
      <c r="F2983" t="str">
        <f t="shared" si="117"/>
        <v/>
      </c>
      <c r="G2983" t="str">
        <f t="shared" si="118"/>
        <v/>
      </c>
    </row>
    <row r="2984" spans="2:7">
      <c r="B2984" s="6"/>
      <c r="E2984" s="7"/>
      <c r="F2984" t="str">
        <f t="shared" si="117"/>
        <v/>
      </c>
      <c r="G2984" t="str">
        <f t="shared" si="118"/>
        <v/>
      </c>
    </row>
    <row r="2985" spans="2:7">
      <c r="B2985" s="6"/>
      <c r="E2985" s="7"/>
      <c r="F2985" t="str">
        <f t="shared" si="117"/>
        <v/>
      </c>
      <c r="G2985" t="str">
        <f t="shared" si="118"/>
        <v/>
      </c>
    </row>
    <row r="2986" spans="2:7">
      <c r="B2986" s="6"/>
      <c r="E2986" s="7"/>
      <c r="F2986" t="str">
        <f t="shared" si="117"/>
        <v/>
      </c>
      <c r="G2986" t="str">
        <f t="shared" si="118"/>
        <v/>
      </c>
    </row>
    <row r="2987" spans="2:7">
      <c r="B2987" s="6"/>
      <c r="E2987" s="7"/>
      <c r="F2987" t="str">
        <f t="shared" si="117"/>
        <v/>
      </c>
      <c r="G2987" t="str">
        <f t="shared" si="118"/>
        <v/>
      </c>
    </row>
    <row r="2988" spans="2:7">
      <c r="B2988" s="6"/>
      <c r="E2988" s="7"/>
      <c r="F2988" t="str">
        <f t="shared" si="117"/>
        <v/>
      </c>
      <c r="G2988" t="str">
        <f t="shared" si="118"/>
        <v/>
      </c>
    </row>
    <row r="2989" spans="2:7">
      <c r="B2989" s="6"/>
      <c r="E2989" s="7"/>
      <c r="F2989" t="str">
        <f t="shared" si="117"/>
        <v/>
      </c>
      <c r="G2989" t="str">
        <f t="shared" si="118"/>
        <v/>
      </c>
    </row>
    <row r="2990" spans="2:7">
      <c r="B2990" s="6"/>
      <c r="E2990" s="7"/>
      <c r="F2990" t="str">
        <f t="shared" si="117"/>
        <v/>
      </c>
      <c r="G2990" t="str">
        <f t="shared" si="118"/>
        <v/>
      </c>
    </row>
    <row r="2991" spans="2:7">
      <c r="B2991" s="6"/>
      <c r="E2991" s="7"/>
      <c r="F2991" t="str">
        <f t="shared" si="117"/>
        <v/>
      </c>
      <c r="G2991" t="str">
        <f t="shared" si="118"/>
        <v/>
      </c>
    </row>
    <row r="2992" spans="2:7">
      <c r="B2992" s="6"/>
      <c r="E2992" s="7"/>
      <c r="F2992" t="str">
        <f t="shared" si="117"/>
        <v/>
      </c>
      <c r="G2992" t="str">
        <f t="shared" si="118"/>
        <v/>
      </c>
    </row>
    <row r="2993" spans="2:7">
      <c r="B2993" s="6"/>
      <c r="E2993" s="7"/>
      <c r="F2993" t="str">
        <f t="shared" si="117"/>
        <v/>
      </c>
      <c r="G2993" t="str">
        <f t="shared" si="118"/>
        <v/>
      </c>
    </row>
    <row r="2994" spans="2:7">
      <c r="B2994" s="6"/>
      <c r="E2994" s="7"/>
      <c r="F2994" t="str">
        <f t="shared" si="117"/>
        <v/>
      </c>
      <c r="G2994" t="str">
        <f t="shared" si="118"/>
        <v/>
      </c>
    </row>
    <row r="2995" spans="2:7">
      <c r="B2995" s="6"/>
      <c r="E2995" s="7"/>
      <c r="F2995" t="str">
        <f t="shared" si="117"/>
        <v/>
      </c>
      <c r="G2995" t="str">
        <f t="shared" si="118"/>
        <v/>
      </c>
    </row>
    <row r="2996" spans="2:7">
      <c r="B2996" s="6"/>
      <c r="E2996" s="7"/>
      <c r="F2996" t="str">
        <f t="shared" si="117"/>
        <v/>
      </c>
      <c r="G2996" t="str">
        <f t="shared" si="118"/>
        <v/>
      </c>
    </row>
    <row r="2997" spans="2:7">
      <c r="B2997" s="6"/>
      <c r="E2997" s="7"/>
      <c r="F2997" t="str">
        <f t="shared" si="117"/>
        <v/>
      </c>
      <c r="G2997" t="str">
        <f t="shared" si="118"/>
        <v/>
      </c>
    </row>
    <row r="2998" spans="2:7">
      <c r="B2998" s="6"/>
      <c r="E2998" s="7"/>
      <c r="F2998" t="str">
        <f t="shared" si="117"/>
        <v/>
      </c>
      <c r="G2998" t="str">
        <f t="shared" si="118"/>
        <v/>
      </c>
    </row>
    <row r="2999" spans="2:7">
      <c r="B2999" s="6"/>
      <c r="E2999" s="7"/>
      <c r="F2999" t="str">
        <f t="shared" si="117"/>
        <v/>
      </c>
      <c r="G2999" t="str">
        <f t="shared" si="118"/>
        <v/>
      </c>
    </row>
    <row r="3000" spans="2:7">
      <c r="B3000" s="6"/>
      <c r="E3000" s="7"/>
      <c r="F3000" t="str">
        <f t="shared" si="117"/>
        <v/>
      </c>
      <c r="G3000" t="str">
        <f t="shared" si="118"/>
        <v/>
      </c>
    </row>
    <row r="3001" spans="2:7">
      <c r="B3001" s="6"/>
      <c r="E3001" s="7"/>
      <c r="F3001" t="str">
        <f t="shared" si="117"/>
        <v/>
      </c>
      <c r="G3001" t="str">
        <f t="shared" si="118"/>
        <v/>
      </c>
    </row>
    <row r="3002" spans="2:7">
      <c r="B3002" s="6"/>
      <c r="E3002" s="7"/>
      <c r="F3002" t="str">
        <f t="shared" si="117"/>
        <v/>
      </c>
      <c r="G3002" t="str">
        <f t="shared" si="118"/>
        <v/>
      </c>
    </row>
    <row r="3003" spans="2:7">
      <c r="B3003" s="6"/>
      <c r="E3003" s="7"/>
      <c r="F3003" t="str">
        <f t="shared" si="117"/>
        <v/>
      </c>
      <c r="G3003" t="str">
        <f t="shared" si="118"/>
        <v/>
      </c>
    </row>
    <row r="3004" spans="2:7">
      <c r="B3004" s="6"/>
      <c r="E3004" s="7"/>
      <c r="F3004" t="str">
        <f t="shared" si="117"/>
        <v/>
      </c>
      <c r="G3004" t="str">
        <f t="shared" si="118"/>
        <v/>
      </c>
    </row>
    <row r="3005" spans="2:7">
      <c r="B3005" s="6"/>
      <c r="E3005" s="7"/>
      <c r="F3005" t="str">
        <f t="shared" si="117"/>
        <v/>
      </c>
      <c r="G3005" t="str">
        <f t="shared" si="118"/>
        <v/>
      </c>
    </row>
    <row r="3006" spans="2:7">
      <c r="B3006" s="6"/>
      <c r="E3006" s="7"/>
      <c r="F3006" t="str">
        <f t="shared" si="117"/>
        <v/>
      </c>
      <c r="G3006" t="str">
        <f t="shared" si="118"/>
        <v/>
      </c>
    </row>
    <row r="3007" spans="2:7">
      <c r="B3007" s="6"/>
      <c r="E3007" s="7"/>
      <c r="F3007" t="str">
        <f t="shared" si="117"/>
        <v/>
      </c>
      <c r="G3007" t="str">
        <f t="shared" si="118"/>
        <v/>
      </c>
    </row>
    <row r="3008" spans="2:7">
      <c r="B3008" s="6"/>
      <c r="E3008" s="7"/>
      <c r="F3008" t="str">
        <f t="shared" si="117"/>
        <v/>
      </c>
      <c r="G3008" t="str">
        <f t="shared" si="118"/>
        <v/>
      </c>
    </row>
    <row r="3009" spans="2:7">
      <c r="B3009" s="6"/>
      <c r="E3009" s="7"/>
      <c r="F3009" t="str">
        <f t="shared" si="117"/>
        <v/>
      </c>
      <c r="G3009" t="str">
        <f t="shared" si="118"/>
        <v/>
      </c>
    </row>
    <row r="3010" spans="2:7">
      <c r="B3010" s="6"/>
      <c r="E3010" s="7"/>
      <c r="F3010" t="str">
        <f t="shared" si="117"/>
        <v/>
      </c>
      <c r="G3010" t="str">
        <f t="shared" si="118"/>
        <v/>
      </c>
    </row>
    <row r="3011" spans="2:7">
      <c r="B3011" s="6"/>
      <c r="E3011" s="7"/>
      <c r="F3011" t="str">
        <f t="shared" si="117"/>
        <v/>
      </c>
      <c r="G3011" t="str">
        <f t="shared" si="118"/>
        <v/>
      </c>
    </row>
    <row r="3012" spans="2:7">
      <c r="B3012" s="6"/>
      <c r="E3012" s="7"/>
      <c r="F3012" t="str">
        <f t="shared" ref="F3012:F3075" si="119">IF(B3012="","",LOG10(D3012))</f>
        <v/>
      </c>
      <c r="G3012" t="str">
        <f t="shared" ref="G3012:G3075" si="120">IF(E3012="", "",0.434*E3012/D3012)</f>
        <v/>
      </c>
    </row>
    <row r="3013" spans="2:7">
      <c r="B3013" s="6"/>
      <c r="E3013" s="7"/>
      <c r="F3013" t="str">
        <f t="shared" si="119"/>
        <v/>
      </c>
      <c r="G3013" t="str">
        <f t="shared" si="120"/>
        <v/>
      </c>
    </row>
    <row r="3014" spans="2:7">
      <c r="B3014" s="6"/>
      <c r="E3014" s="7"/>
      <c r="F3014" t="str">
        <f t="shared" si="119"/>
        <v/>
      </c>
      <c r="G3014" t="str">
        <f t="shared" si="120"/>
        <v/>
      </c>
    </row>
    <row r="3015" spans="2:7">
      <c r="B3015" s="6"/>
      <c r="E3015" s="7"/>
      <c r="F3015" t="str">
        <f t="shared" si="119"/>
        <v/>
      </c>
      <c r="G3015" t="str">
        <f t="shared" si="120"/>
        <v/>
      </c>
    </row>
    <row r="3016" spans="2:7">
      <c r="B3016" s="6"/>
      <c r="E3016" s="7"/>
      <c r="F3016" t="str">
        <f t="shared" si="119"/>
        <v/>
      </c>
      <c r="G3016" t="str">
        <f t="shared" si="120"/>
        <v/>
      </c>
    </row>
    <row r="3017" spans="2:7">
      <c r="B3017" s="6"/>
      <c r="E3017" s="7"/>
      <c r="F3017" t="str">
        <f t="shared" si="119"/>
        <v/>
      </c>
      <c r="G3017" t="str">
        <f t="shared" si="120"/>
        <v/>
      </c>
    </row>
    <row r="3018" spans="2:7">
      <c r="B3018" s="6"/>
      <c r="E3018" s="7"/>
      <c r="F3018" t="str">
        <f t="shared" si="119"/>
        <v/>
      </c>
      <c r="G3018" t="str">
        <f t="shared" si="120"/>
        <v/>
      </c>
    </row>
    <row r="3019" spans="2:7">
      <c r="B3019" s="6"/>
      <c r="E3019" s="7"/>
      <c r="F3019" t="str">
        <f t="shared" si="119"/>
        <v/>
      </c>
      <c r="G3019" t="str">
        <f t="shared" si="120"/>
        <v/>
      </c>
    </row>
    <row r="3020" spans="2:7">
      <c r="B3020" s="6"/>
      <c r="E3020" s="7"/>
      <c r="F3020" t="str">
        <f t="shared" si="119"/>
        <v/>
      </c>
      <c r="G3020" t="str">
        <f t="shared" si="120"/>
        <v/>
      </c>
    </row>
    <row r="3021" spans="2:7">
      <c r="B3021" s="6"/>
      <c r="E3021" s="7"/>
      <c r="F3021" t="str">
        <f t="shared" si="119"/>
        <v/>
      </c>
      <c r="G3021" t="str">
        <f t="shared" si="120"/>
        <v/>
      </c>
    </row>
    <row r="3022" spans="2:7">
      <c r="B3022" s="6"/>
      <c r="E3022" s="7"/>
      <c r="F3022" t="str">
        <f t="shared" si="119"/>
        <v/>
      </c>
      <c r="G3022" t="str">
        <f t="shared" si="120"/>
        <v/>
      </c>
    </row>
    <row r="3023" spans="2:7">
      <c r="B3023" s="6"/>
      <c r="E3023" s="7"/>
      <c r="F3023" t="str">
        <f t="shared" si="119"/>
        <v/>
      </c>
      <c r="G3023" t="str">
        <f t="shared" si="120"/>
        <v/>
      </c>
    </row>
    <row r="3024" spans="2:7">
      <c r="B3024" s="6"/>
      <c r="E3024" s="7"/>
      <c r="F3024" t="str">
        <f t="shared" si="119"/>
        <v/>
      </c>
      <c r="G3024" t="str">
        <f t="shared" si="120"/>
        <v/>
      </c>
    </row>
    <row r="3025" spans="2:7">
      <c r="B3025" s="6"/>
      <c r="E3025" s="7"/>
      <c r="F3025" t="str">
        <f t="shared" si="119"/>
        <v/>
      </c>
      <c r="G3025" t="str">
        <f t="shared" si="120"/>
        <v/>
      </c>
    </row>
    <row r="3026" spans="2:7">
      <c r="B3026" s="6"/>
      <c r="E3026" s="7"/>
      <c r="F3026" t="str">
        <f t="shared" si="119"/>
        <v/>
      </c>
      <c r="G3026" t="str">
        <f t="shared" si="120"/>
        <v/>
      </c>
    </row>
    <row r="3027" spans="2:7">
      <c r="B3027" s="6"/>
      <c r="E3027" s="7"/>
      <c r="F3027" t="str">
        <f t="shared" si="119"/>
        <v/>
      </c>
      <c r="G3027" t="str">
        <f t="shared" si="120"/>
        <v/>
      </c>
    </row>
    <row r="3028" spans="2:7">
      <c r="B3028" s="6"/>
      <c r="E3028" s="7"/>
      <c r="F3028" t="str">
        <f t="shared" si="119"/>
        <v/>
      </c>
      <c r="G3028" t="str">
        <f t="shared" si="120"/>
        <v/>
      </c>
    </row>
    <row r="3029" spans="2:7">
      <c r="B3029" s="6"/>
      <c r="E3029" s="7"/>
      <c r="F3029" t="str">
        <f t="shared" si="119"/>
        <v/>
      </c>
      <c r="G3029" t="str">
        <f t="shared" si="120"/>
        <v/>
      </c>
    </row>
    <row r="3030" spans="2:7">
      <c r="B3030" s="6"/>
      <c r="E3030" s="7"/>
      <c r="F3030" t="str">
        <f t="shared" si="119"/>
        <v/>
      </c>
      <c r="G3030" t="str">
        <f t="shared" si="120"/>
        <v/>
      </c>
    </row>
    <row r="3031" spans="2:7">
      <c r="B3031" s="6"/>
      <c r="E3031" s="7"/>
      <c r="F3031" t="str">
        <f t="shared" si="119"/>
        <v/>
      </c>
      <c r="G3031" t="str">
        <f t="shared" si="120"/>
        <v/>
      </c>
    </row>
    <row r="3032" spans="2:7">
      <c r="B3032" s="6"/>
      <c r="E3032" s="7"/>
      <c r="F3032" t="str">
        <f t="shared" si="119"/>
        <v/>
      </c>
      <c r="G3032" t="str">
        <f t="shared" si="120"/>
        <v/>
      </c>
    </row>
    <row r="3033" spans="2:7">
      <c r="B3033" s="6"/>
      <c r="E3033" s="7"/>
      <c r="F3033" t="str">
        <f t="shared" si="119"/>
        <v/>
      </c>
      <c r="G3033" t="str">
        <f t="shared" si="120"/>
        <v/>
      </c>
    </row>
    <row r="3034" spans="2:7">
      <c r="B3034" s="6"/>
      <c r="E3034" s="7"/>
      <c r="F3034" t="str">
        <f t="shared" si="119"/>
        <v/>
      </c>
      <c r="G3034" t="str">
        <f t="shared" si="120"/>
        <v/>
      </c>
    </row>
    <row r="3035" spans="2:7">
      <c r="B3035" s="6"/>
      <c r="E3035" s="7"/>
      <c r="F3035" t="str">
        <f t="shared" si="119"/>
        <v/>
      </c>
      <c r="G3035" t="str">
        <f t="shared" si="120"/>
        <v/>
      </c>
    </row>
    <row r="3036" spans="2:7">
      <c r="B3036" s="6"/>
      <c r="E3036" s="7"/>
      <c r="F3036" t="str">
        <f t="shared" si="119"/>
        <v/>
      </c>
      <c r="G3036" t="str">
        <f t="shared" si="120"/>
        <v/>
      </c>
    </row>
    <row r="3037" spans="2:7">
      <c r="B3037" s="6"/>
      <c r="E3037" s="7"/>
      <c r="F3037" t="str">
        <f t="shared" si="119"/>
        <v/>
      </c>
      <c r="G3037" t="str">
        <f t="shared" si="120"/>
        <v/>
      </c>
    </row>
    <row r="3038" spans="2:7">
      <c r="B3038" s="6"/>
      <c r="E3038" s="7"/>
      <c r="F3038" t="str">
        <f t="shared" si="119"/>
        <v/>
      </c>
      <c r="G3038" t="str">
        <f t="shared" si="120"/>
        <v/>
      </c>
    </row>
    <row r="3039" spans="2:7">
      <c r="B3039" s="6"/>
      <c r="E3039" s="7"/>
      <c r="F3039" t="str">
        <f t="shared" si="119"/>
        <v/>
      </c>
      <c r="G3039" t="str">
        <f t="shared" si="120"/>
        <v/>
      </c>
    </row>
    <row r="3040" spans="2:7">
      <c r="B3040" s="6"/>
      <c r="E3040" s="7"/>
      <c r="F3040" t="str">
        <f t="shared" si="119"/>
        <v/>
      </c>
      <c r="G3040" t="str">
        <f t="shared" si="120"/>
        <v/>
      </c>
    </row>
    <row r="3041" spans="2:7">
      <c r="B3041" s="6"/>
      <c r="E3041" s="7"/>
      <c r="F3041" t="str">
        <f t="shared" si="119"/>
        <v/>
      </c>
      <c r="G3041" t="str">
        <f t="shared" si="120"/>
        <v/>
      </c>
    </row>
    <row r="3042" spans="2:7">
      <c r="B3042" s="6"/>
      <c r="E3042" s="7"/>
      <c r="F3042" t="str">
        <f t="shared" si="119"/>
        <v/>
      </c>
      <c r="G3042" t="str">
        <f t="shared" si="120"/>
        <v/>
      </c>
    </row>
    <row r="3043" spans="2:7">
      <c r="B3043" s="6"/>
      <c r="E3043" s="7"/>
      <c r="F3043" t="str">
        <f t="shared" si="119"/>
        <v/>
      </c>
      <c r="G3043" t="str">
        <f t="shared" si="120"/>
        <v/>
      </c>
    </row>
    <row r="3044" spans="2:7">
      <c r="B3044" s="6"/>
      <c r="E3044" s="7"/>
      <c r="F3044" t="str">
        <f t="shared" si="119"/>
        <v/>
      </c>
      <c r="G3044" t="str">
        <f t="shared" si="120"/>
        <v/>
      </c>
    </row>
    <row r="3045" spans="2:7">
      <c r="B3045" s="6"/>
      <c r="E3045" s="7"/>
      <c r="F3045" t="str">
        <f t="shared" si="119"/>
        <v/>
      </c>
      <c r="G3045" t="str">
        <f t="shared" si="120"/>
        <v/>
      </c>
    </row>
    <row r="3046" spans="2:7">
      <c r="B3046" s="6"/>
      <c r="E3046" s="7"/>
      <c r="F3046" t="str">
        <f t="shared" si="119"/>
        <v/>
      </c>
      <c r="G3046" t="str">
        <f t="shared" si="120"/>
        <v/>
      </c>
    </row>
    <row r="3047" spans="2:7">
      <c r="B3047" s="6"/>
      <c r="E3047" s="7"/>
      <c r="F3047" t="str">
        <f t="shared" si="119"/>
        <v/>
      </c>
      <c r="G3047" t="str">
        <f t="shared" si="120"/>
        <v/>
      </c>
    </row>
    <row r="3048" spans="2:7">
      <c r="B3048" s="6"/>
      <c r="E3048" s="7"/>
      <c r="F3048" t="str">
        <f t="shared" si="119"/>
        <v/>
      </c>
      <c r="G3048" t="str">
        <f t="shared" si="120"/>
        <v/>
      </c>
    </row>
    <row r="3049" spans="2:7">
      <c r="B3049" s="6"/>
      <c r="E3049" s="7"/>
      <c r="F3049" t="str">
        <f t="shared" si="119"/>
        <v/>
      </c>
      <c r="G3049" t="str">
        <f t="shared" si="120"/>
        <v/>
      </c>
    </row>
    <row r="3050" spans="2:7">
      <c r="B3050" s="6"/>
      <c r="E3050" s="7"/>
      <c r="F3050" t="str">
        <f t="shared" si="119"/>
        <v/>
      </c>
      <c r="G3050" t="str">
        <f t="shared" si="120"/>
        <v/>
      </c>
    </row>
    <row r="3051" spans="2:7">
      <c r="B3051" s="6"/>
      <c r="E3051" s="7"/>
      <c r="F3051" t="str">
        <f t="shared" si="119"/>
        <v/>
      </c>
      <c r="G3051" t="str">
        <f t="shared" si="120"/>
        <v/>
      </c>
    </row>
    <row r="3052" spans="2:7">
      <c r="B3052" s="6"/>
      <c r="E3052" s="7"/>
      <c r="F3052" t="str">
        <f t="shared" si="119"/>
        <v/>
      </c>
      <c r="G3052" t="str">
        <f t="shared" si="120"/>
        <v/>
      </c>
    </row>
    <row r="3053" spans="2:7">
      <c r="B3053" s="6"/>
      <c r="E3053" s="7"/>
      <c r="F3053" t="str">
        <f t="shared" si="119"/>
        <v/>
      </c>
      <c r="G3053" t="str">
        <f t="shared" si="120"/>
        <v/>
      </c>
    </row>
    <row r="3054" spans="2:7">
      <c r="B3054" s="6"/>
      <c r="E3054" s="7"/>
      <c r="F3054" t="str">
        <f t="shared" si="119"/>
        <v/>
      </c>
      <c r="G3054" t="str">
        <f t="shared" si="120"/>
        <v/>
      </c>
    </row>
    <row r="3055" spans="2:7">
      <c r="B3055" s="6"/>
      <c r="E3055" s="7"/>
      <c r="F3055" t="str">
        <f t="shared" si="119"/>
        <v/>
      </c>
      <c r="G3055" t="str">
        <f t="shared" si="120"/>
        <v/>
      </c>
    </row>
    <row r="3056" spans="2:7">
      <c r="B3056" s="6"/>
      <c r="E3056" s="7"/>
      <c r="F3056" t="str">
        <f t="shared" si="119"/>
        <v/>
      </c>
      <c r="G3056" t="str">
        <f t="shared" si="120"/>
        <v/>
      </c>
    </row>
    <row r="3057" spans="2:7">
      <c r="B3057" s="6"/>
      <c r="E3057" s="7"/>
      <c r="F3057" t="str">
        <f t="shared" si="119"/>
        <v/>
      </c>
      <c r="G3057" t="str">
        <f t="shared" si="120"/>
        <v/>
      </c>
    </row>
    <row r="3058" spans="2:7">
      <c r="B3058" s="6"/>
      <c r="E3058" s="7"/>
      <c r="F3058" t="str">
        <f t="shared" si="119"/>
        <v/>
      </c>
      <c r="G3058" t="str">
        <f t="shared" si="120"/>
        <v/>
      </c>
    </row>
    <row r="3059" spans="2:7">
      <c r="B3059" s="6"/>
      <c r="E3059" s="7"/>
      <c r="F3059" t="str">
        <f t="shared" si="119"/>
        <v/>
      </c>
      <c r="G3059" t="str">
        <f t="shared" si="120"/>
        <v/>
      </c>
    </row>
    <row r="3060" spans="2:7">
      <c r="B3060" s="6"/>
      <c r="E3060" s="7"/>
      <c r="F3060" t="str">
        <f t="shared" si="119"/>
        <v/>
      </c>
      <c r="G3060" t="str">
        <f t="shared" si="120"/>
        <v/>
      </c>
    </row>
    <row r="3061" spans="2:7">
      <c r="B3061" s="6"/>
      <c r="E3061" s="7"/>
      <c r="F3061" t="str">
        <f t="shared" si="119"/>
        <v/>
      </c>
      <c r="G3061" t="str">
        <f t="shared" si="120"/>
        <v/>
      </c>
    </row>
    <row r="3062" spans="2:7">
      <c r="B3062" s="6"/>
      <c r="E3062" s="7"/>
      <c r="F3062" t="str">
        <f t="shared" si="119"/>
        <v/>
      </c>
      <c r="G3062" t="str">
        <f t="shared" si="120"/>
        <v/>
      </c>
    </row>
    <row r="3063" spans="2:7">
      <c r="B3063" s="6"/>
      <c r="E3063" s="7"/>
      <c r="F3063" t="str">
        <f t="shared" si="119"/>
        <v/>
      </c>
      <c r="G3063" t="str">
        <f t="shared" si="120"/>
        <v/>
      </c>
    </row>
    <row r="3064" spans="2:7">
      <c r="B3064" s="6"/>
      <c r="E3064" s="7"/>
      <c r="F3064" t="str">
        <f t="shared" si="119"/>
        <v/>
      </c>
      <c r="G3064" t="str">
        <f t="shared" si="120"/>
        <v/>
      </c>
    </row>
    <row r="3065" spans="2:7">
      <c r="B3065" s="6"/>
      <c r="E3065" s="7"/>
      <c r="F3065" t="str">
        <f t="shared" si="119"/>
        <v/>
      </c>
      <c r="G3065" t="str">
        <f t="shared" si="120"/>
        <v/>
      </c>
    </row>
    <row r="3066" spans="2:7">
      <c r="B3066" s="6"/>
      <c r="E3066" s="7"/>
      <c r="F3066" t="str">
        <f t="shared" si="119"/>
        <v/>
      </c>
      <c r="G3066" t="str">
        <f t="shared" si="120"/>
        <v/>
      </c>
    </row>
    <row r="3067" spans="2:7">
      <c r="B3067" s="6"/>
      <c r="E3067" s="7"/>
      <c r="F3067" t="str">
        <f t="shared" si="119"/>
        <v/>
      </c>
      <c r="G3067" t="str">
        <f t="shared" si="120"/>
        <v/>
      </c>
    </row>
    <row r="3068" spans="2:7">
      <c r="B3068" s="6"/>
      <c r="E3068" s="7"/>
      <c r="F3068" t="str">
        <f t="shared" si="119"/>
        <v/>
      </c>
      <c r="G3068" t="str">
        <f t="shared" si="120"/>
        <v/>
      </c>
    </row>
    <row r="3069" spans="2:7">
      <c r="B3069" s="6"/>
      <c r="E3069" s="7"/>
      <c r="F3069" t="str">
        <f t="shared" si="119"/>
        <v/>
      </c>
      <c r="G3069" t="str">
        <f t="shared" si="120"/>
        <v/>
      </c>
    </row>
    <row r="3070" spans="2:7">
      <c r="B3070" s="6"/>
      <c r="E3070" s="7"/>
      <c r="F3070" t="str">
        <f t="shared" si="119"/>
        <v/>
      </c>
      <c r="G3070" t="str">
        <f t="shared" si="120"/>
        <v/>
      </c>
    </row>
    <row r="3071" spans="2:7">
      <c r="B3071" s="6"/>
      <c r="E3071" s="7"/>
      <c r="F3071" t="str">
        <f t="shared" si="119"/>
        <v/>
      </c>
      <c r="G3071" t="str">
        <f t="shared" si="120"/>
        <v/>
      </c>
    </row>
    <row r="3072" spans="2:7">
      <c r="B3072" s="6"/>
      <c r="E3072" s="7"/>
      <c r="F3072" t="str">
        <f t="shared" si="119"/>
        <v/>
      </c>
      <c r="G3072" t="str">
        <f t="shared" si="120"/>
        <v/>
      </c>
    </row>
    <row r="3073" spans="2:7">
      <c r="B3073" s="6"/>
      <c r="E3073" s="7"/>
      <c r="F3073" t="str">
        <f t="shared" si="119"/>
        <v/>
      </c>
      <c r="G3073" t="str">
        <f t="shared" si="120"/>
        <v/>
      </c>
    </row>
    <row r="3074" spans="2:7">
      <c r="B3074" s="6"/>
      <c r="E3074" s="7"/>
      <c r="F3074" t="str">
        <f t="shared" si="119"/>
        <v/>
      </c>
      <c r="G3074" t="str">
        <f t="shared" si="120"/>
        <v/>
      </c>
    </row>
    <row r="3075" spans="2:7">
      <c r="B3075" s="6"/>
      <c r="E3075" s="7"/>
      <c r="F3075" t="str">
        <f t="shared" si="119"/>
        <v/>
      </c>
      <c r="G3075" t="str">
        <f t="shared" si="120"/>
        <v/>
      </c>
    </row>
    <row r="3076" spans="2:7">
      <c r="B3076" s="6"/>
      <c r="E3076" s="7"/>
      <c r="F3076" t="str">
        <f t="shared" ref="F3076:F3139" si="121">IF(B3076="","",LOG10(D3076))</f>
        <v/>
      </c>
      <c r="G3076" t="str">
        <f t="shared" ref="G3076:G3139" si="122">IF(E3076="", "",0.434*E3076/D3076)</f>
        <v/>
      </c>
    </row>
    <row r="3077" spans="2:7">
      <c r="B3077" s="6"/>
      <c r="E3077" s="7"/>
      <c r="F3077" t="str">
        <f t="shared" si="121"/>
        <v/>
      </c>
      <c r="G3077" t="str">
        <f t="shared" si="122"/>
        <v/>
      </c>
    </row>
    <row r="3078" spans="2:7">
      <c r="B3078" s="6"/>
      <c r="E3078" s="7"/>
      <c r="F3078" t="str">
        <f t="shared" si="121"/>
        <v/>
      </c>
      <c r="G3078" t="str">
        <f t="shared" si="122"/>
        <v/>
      </c>
    </row>
    <row r="3079" spans="2:7">
      <c r="B3079" s="6"/>
      <c r="E3079" s="7"/>
      <c r="F3079" t="str">
        <f t="shared" si="121"/>
        <v/>
      </c>
      <c r="G3079" t="str">
        <f t="shared" si="122"/>
        <v/>
      </c>
    </row>
    <row r="3080" spans="2:7">
      <c r="B3080" s="6"/>
      <c r="E3080" s="7"/>
      <c r="F3080" t="str">
        <f t="shared" si="121"/>
        <v/>
      </c>
      <c r="G3080" t="str">
        <f t="shared" si="122"/>
        <v/>
      </c>
    </row>
    <row r="3081" spans="2:7">
      <c r="B3081" s="6"/>
      <c r="E3081" s="7"/>
      <c r="F3081" t="str">
        <f t="shared" si="121"/>
        <v/>
      </c>
      <c r="G3081" t="str">
        <f t="shared" si="122"/>
        <v/>
      </c>
    </row>
    <row r="3082" spans="2:7">
      <c r="B3082" s="6"/>
      <c r="E3082" s="7"/>
      <c r="F3082" t="str">
        <f t="shared" si="121"/>
        <v/>
      </c>
      <c r="G3082" t="str">
        <f t="shared" si="122"/>
        <v/>
      </c>
    </row>
    <row r="3083" spans="2:7">
      <c r="B3083" s="6"/>
      <c r="E3083" s="7"/>
      <c r="F3083" t="str">
        <f t="shared" si="121"/>
        <v/>
      </c>
      <c r="G3083" t="str">
        <f t="shared" si="122"/>
        <v/>
      </c>
    </row>
    <row r="3084" spans="2:7">
      <c r="B3084" s="6"/>
      <c r="E3084" s="7"/>
      <c r="F3084" t="str">
        <f t="shared" si="121"/>
        <v/>
      </c>
      <c r="G3084" t="str">
        <f t="shared" si="122"/>
        <v/>
      </c>
    </row>
    <row r="3085" spans="2:7">
      <c r="B3085" s="6"/>
      <c r="E3085" s="7"/>
      <c r="F3085" t="str">
        <f t="shared" si="121"/>
        <v/>
      </c>
      <c r="G3085" t="str">
        <f t="shared" si="122"/>
        <v/>
      </c>
    </row>
    <row r="3086" spans="2:7">
      <c r="B3086" s="6"/>
      <c r="E3086" s="7"/>
      <c r="F3086" t="str">
        <f t="shared" si="121"/>
        <v/>
      </c>
      <c r="G3086" t="str">
        <f t="shared" si="122"/>
        <v/>
      </c>
    </row>
    <row r="3087" spans="2:7">
      <c r="B3087" s="6"/>
      <c r="E3087" s="7"/>
      <c r="F3087" t="str">
        <f t="shared" si="121"/>
        <v/>
      </c>
      <c r="G3087" t="str">
        <f t="shared" si="122"/>
        <v/>
      </c>
    </row>
    <row r="3088" spans="2:7">
      <c r="B3088" s="6"/>
      <c r="E3088" s="7"/>
      <c r="F3088" t="str">
        <f t="shared" si="121"/>
        <v/>
      </c>
      <c r="G3088" t="str">
        <f t="shared" si="122"/>
        <v/>
      </c>
    </row>
    <row r="3089" spans="2:7">
      <c r="B3089" s="6"/>
      <c r="E3089" s="7"/>
      <c r="F3089" t="str">
        <f t="shared" si="121"/>
        <v/>
      </c>
      <c r="G3089" t="str">
        <f t="shared" si="122"/>
        <v/>
      </c>
    </row>
    <row r="3090" spans="2:7">
      <c r="B3090" s="6"/>
      <c r="E3090" s="7"/>
      <c r="F3090" t="str">
        <f t="shared" si="121"/>
        <v/>
      </c>
      <c r="G3090" t="str">
        <f t="shared" si="122"/>
        <v/>
      </c>
    </row>
    <row r="3091" spans="2:7">
      <c r="B3091" s="6"/>
      <c r="E3091" s="7"/>
      <c r="F3091" t="str">
        <f t="shared" si="121"/>
        <v/>
      </c>
      <c r="G3091" t="str">
        <f t="shared" si="122"/>
        <v/>
      </c>
    </row>
    <row r="3092" spans="2:7">
      <c r="B3092" s="6"/>
      <c r="E3092" s="7"/>
      <c r="F3092" t="str">
        <f t="shared" si="121"/>
        <v/>
      </c>
      <c r="G3092" t="str">
        <f t="shared" si="122"/>
        <v/>
      </c>
    </row>
    <row r="3093" spans="2:7">
      <c r="B3093" s="6"/>
      <c r="E3093" s="7"/>
      <c r="F3093" t="str">
        <f t="shared" si="121"/>
        <v/>
      </c>
      <c r="G3093" t="str">
        <f t="shared" si="122"/>
        <v/>
      </c>
    </row>
    <row r="3094" spans="2:7">
      <c r="B3094" s="6"/>
      <c r="E3094" s="7"/>
      <c r="F3094" t="str">
        <f t="shared" si="121"/>
        <v/>
      </c>
      <c r="G3094" t="str">
        <f t="shared" si="122"/>
        <v/>
      </c>
    </row>
    <row r="3095" spans="2:7">
      <c r="B3095" s="6"/>
      <c r="E3095" s="7"/>
      <c r="F3095" t="str">
        <f t="shared" si="121"/>
        <v/>
      </c>
      <c r="G3095" t="str">
        <f t="shared" si="122"/>
        <v/>
      </c>
    </row>
    <row r="3096" spans="2:7">
      <c r="B3096" s="6"/>
      <c r="E3096" s="7"/>
      <c r="F3096" t="str">
        <f t="shared" si="121"/>
        <v/>
      </c>
      <c r="G3096" t="str">
        <f t="shared" si="122"/>
        <v/>
      </c>
    </row>
    <row r="3097" spans="2:7">
      <c r="B3097" s="6"/>
      <c r="E3097" s="7"/>
      <c r="F3097" t="str">
        <f t="shared" si="121"/>
        <v/>
      </c>
      <c r="G3097" t="str">
        <f t="shared" si="122"/>
        <v/>
      </c>
    </row>
    <row r="3098" spans="2:7">
      <c r="B3098" s="6"/>
      <c r="E3098" s="7"/>
      <c r="F3098" t="str">
        <f t="shared" si="121"/>
        <v/>
      </c>
      <c r="G3098" t="str">
        <f t="shared" si="122"/>
        <v/>
      </c>
    </row>
    <row r="3099" spans="2:7">
      <c r="B3099" s="6"/>
      <c r="E3099" s="7"/>
      <c r="F3099" t="str">
        <f t="shared" si="121"/>
        <v/>
      </c>
      <c r="G3099" t="str">
        <f t="shared" si="122"/>
        <v/>
      </c>
    </row>
    <row r="3100" spans="2:7">
      <c r="B3100" s="6"/>
      <c r="E3100" s="7"/>
      <c r="F3100" t="str">
        <f t="shared" si="121"/>
        <v/>
      </c>
      <c r="G3100" t="str">
        <f t="shared" si="122"/>
        <v/>
      </c>
    </row>
    <row r="3101" spans="2:7">
      <c r="B3101" s="6"/>
      <c r="E3101" s="7"/>
      <c r="F3101" t="str">
        <f t="shared" si="121"/>
        <v/>
      </c>
      <c r="G3101" t="str">
        <f t="shared" si="122"/>
        <v/>
      </c>
    </row>
    <row r="3102" spans="2:7">
      <c r="B3102" s="6"/>
      <c r="E3102" s="7"/>
      <c r="F3102" t="str">
        <f t="shared" si="121"/>
        <v/>
      </c>
      <c r="G3102" t="str">
        <f t="shared" si="122"/>
        <v/>
      </c>
    </row>
    <row r="3103" spans="2:7">
      <c r="B3103" s="6"/>
      <c r="E3103" s="7"/>
      <c r="F3103" t="str">
        <f t="shared" si="121"/>
        <v/>
      </c>
      <c r="G3103" t="str">
        <f t="shared" si="122"/>
        <v/>
      </c>
    </row>
    <row r="3104" spans="2:7">
      <c r="B3104" s="6"/>
      <c r="E3104" s="7"/>
      <c r="F3104" t="str">
        <f t="shared" si="121"/>
        <v/>
      </c>
      <c r="G3104" t="str">
        <f t="shared" si="122"/>
        <v/>
      </c>
    </row>
    <row r="3105" spans="2:7">
      <c r="B3105" s="6"/>
      <c r="E3105" s="7"/>
      <c r="F3105" t="str">
        <f t="shared" si="121"/>
        <v/>
      </c>
      <c r="G3105" t="str">
        <f t="shared" si="122"/>
        <v/>
      </c>
    </row>
    <row r="3106" spans="2:7">
      <c r="B3106" s="6"/>
      <c r="E3106" s="7"/>
      <c r="F3106" t="str">
        <f t="shared" si="121"/>
        <v/>
      </c>
      <c r="G3106" t="str">
        <f t="shared" si="122"/>
        <v/>
      </c>
    </row>
    <row r="3107" spans="2:7">
      <c r="B3107" s="6"/>
      <c r="E3107" s="7"/>
      <c r="F3107" t="str">
        <f t="shared" si="121"/>
        <v/>
      </c>
      <c r="G3107" t="str">
        <f t="shared" si="122"/>
        <v/>
      </c>
    </row>
    <row r="3108" spans="2:7">
      <c r="B3108" s="6"/>
      <c r="E3108" s="7"/>
      <c r="F3108" t="str">
        <f t="shared" si="121"/>
        <v/>
      </c>
      <c r="G3108" t="str">
        <f t="shared" si="122"/>
        <v/>
      </c>
    </row>
    <row r="3109" spans="2:7">
      <c r="B3109" s="6"/>
      <c r="E3109" s="7"/>
      <c r="F3109" t="str">
        <f t="shared" si="121"/>
        <v/>
      </c>
      <c r="G3109" t="str">
        <f t="shared" si="122"/>
        <v/>
      </c>
    </row>
    <row r="3110" spans="2:7">
      <c r="B3110" s="6"/>
      <c r="E3110" s="7"/>
      <c r="F3110" t="str">
        <f t="shared" si="121"/>
        <v/>
      </c>
      <c r="G3110" t="str">
        <f t="shared" si="122"/>
        <v/>
      </c>
    </row>
    <row r="3111" spans="2:7">
      <c r="B3111" s="6"/>
      <c r="E3111" s="7"/>
      <c r="F3111" t="str">
        <f t="shared" si="121"/>
        <v/>
      </c>
      <c r="G3111" t="str">
        <f t="shared" si="122"/>
        <v/>
      </c>
    </row>
    <row r="3112" spans="2:7">
      <c r="B3112" s="6"/>
      <c r="E3112" s="7"/>
      <c r="F3112" t="str">
        <f t="shared" si="121"/>
        <v/>
      </c>
      <c r="G3112" t="str">
        <f t="shared" si="122"/>
        <v/>
      </c>
    </row>
    <row r="3113" spans="2:7">
      <c r="B3113" s="6"/>
      <c r="E3113" s="7"/>
      <c r="F3113" t="str">
        <f t="shared" si="121"/>
        <v/>
      </c>
      <c r="G3113" t="str">
        <f t="shared" si="122"/>
        <v/>
      </c>
    </row>
    <row r="3114" spans="2:7">
      <c r="B3114" s="6"/>
      <c r="E3114" s="7"/>
      <c r="F3114" t="str">
        <f t="shared" si="121"/>
        <v/>
      </c>
      <c r="G3114" t="str">
        <f t="shared" si="122"/>
        <v/>
      </c>
    </row>
    <row r="3115" spans="2:7">
      <c r="B3115" s="6"/>
      <c r="E3115" s="7"/>
      <c r="F3115" t="str">
        <f t="shared" si="121"/>
        <v/>
      </c>
      <c r="G3115" t="str">
        <f t="shared" si="122"/>
        <v/>
      </c>
    </row>
    <row r="3116" spans="2:7">
      <c r="B3116" s="6"/>
      <c r="E3116" s="7"/>
      <c r="F3116" t="str">
        <f t="shared" si="121"/>
        <v/>
      </c>
      <c r="G3116" t="str">
        <f t="shared" si="122"/>
        <v/>
      </c>
    </row>
    <row r="3117" spans="2:7">
      <c r="B3117" s="6"/>
      <c r="E3117" s="7"/>
      <c r="F3117" t="str">
        <f t="shared" si="121"/>
        <v/>
      </c>
      <c r="G3117" t="str">
        <f t="shared" si="122"/>
        <v/>
      </c>
    </row>
    <row r="3118" spans="2:7">
      <c r="B3118" s="6"/>
      <c r="E3118" s="7"/>
      <c r="F3118" t="str">
        <f t="shared" si="121"/>
        <v/>
      </c>
      <c r="G3118" t="str">
        <f t="shared" si="122"/>
        <v/>
      </c>
    </row>
    <row r="3119" spans="2:7">
      <c r="B3119" s="6"/>
      <c r="E3119" s="7"/>
      <c r="F3119" t="str">
        <f t="shared" si="121"/>
        <v/>
      </c>
      <c r="G3119" t="str">
        <f t="shared" si="122"/>
        <v/>
      </c>
    </row>
    <row r="3120" spans="2:7">
      <c r="B3120" s="6"/>
      <c r="E3120" s="7"/>
      <c r="F3120" t="str">
        <f t="shared" si="121"/>
        <v/>
      </c>
      <c r="G3120" t="str">
        <f t="shared" si="122"/>
        <v/>
      </c>
    </row>
    <row r="3121" spans="2:7">
      <c r="B3121" s="6"/>
      <c r="E3121" s="7"/>
      <c r="F3121" t="str">
        <f t="shared" si="121"/>
        <v/>
      </c>
      <c r="G3121" t="str">
        <f t="shared" si="122"/>
        <v/>
      </c>
    </row>
    <row r="3122" spans="2:7">
      <c r="B3122" s="6"/>
      <c r="E3122" s="7"/>
      <c r="F3122" t="str">
        <f t="shared" si="121"/>
        <v/>
      </c>
      <c r="G3122" t="str">
        <f t="shared" si="122"/>
        <v/>
      </c>
    </row>
    <row r="3123" spans="2:7">
      <c r="B3123" s="6"/>
      <c r="E3123" s="7"/>
      <c r="F3123" t="str">
        <f t="shared" si="121"/>
        <v/>
      </c>
      <c r="G3123" t="str">
        <f t="shared" si="122"/>
        <v/>
      </c>
    </row>
    <row r="3124" spans="2:7">
      <c r="B3124" s="6"/>
      <c r="E3124" s="7"/>
      <c r="F3124" t="str">
        <f t="shared" si="121"/>
        <v/>
      </c>
      <c r="G3124" t="str">
        <f t="shared" si="122"/>
        <v/>
      </c>
    </row>
    <row r="3125" spans="2:7">
      <c r="B3125" s="6"/>
      <c r="E3125" s="7"/>
      <c r="F3125" t="str">
        <f t="shared" si="121"/>
        <v/>
      </c>
      <c r="G3125" t="str">
        <f t="shared" si="122"/>
        <v/>
      </c>
    </row>
    <row r="3126" spans="2:7">
      <c r="B3126" s="6"/>
      <c r="E3126" s="7"/>
      <c r="F3126" t="str">
        <f t="shared" si="121"/>
        <v/>
      </c>
      <c r="G3126" t="str">
        <f t="shared" si="122"/>
        <v/>
      </c>
    </row>
    <row r="3127" spans="2:7">
      <c r="B3127" s="6"/>
      <c r="E3127" s="7"/>
      <c r="F3127" t="str">
        <f t="shared" si="121"/>
        <v/>
      </c>
      <c r="G3127" t="str">
        <f t="shared" si="122"/>
        <v/>
      </c>
    </row>
    <row r="3128" spans="2:7">
      <c r="B3128" s="6"/>
      <c r="E3128" s="7"/>
      <c r="F3128" t="str">
        <f t="shared" si="121"/>
        <v/>
      </c>
      <c r="G3128" t="str">
        <f t="shared" si="122"/>
        <v/>
      </c>
    </row>
    <row r="3129" spans="2:7">
      <c r="B3129" s="6"/>
      <c r="E3129" s="7"/>
      <c r="F3129" t="str">
        <f t="shared" si="121"/>
        <v/>
      </c>
      <c r="G3129" t="str">
        <f t="shared" si="122"/>
        <v/>
      </c>
    </row>
    <row r="3130" spans="2:7">
      <c r="B3130" s="6"/>
      <c r="E3130" s="7"/>
      <c r="F3130" t="str">
        <f t="shared" si="121"/>
        <v/>
      </c>
      <c r="G3130" t="str">
        <f t="shared" si="122"/>
        <v/>
      </c>
    </row>
    <row r="3131" spans="2:7">
      <c r="B3131" s="6"/>
      <c r="E3131" s="7"/>
      <c r="F3131" t="str">
        <f t="shared" si="121"/>
        <v/>
      </c>
      <c r="G3131" t="str">
        <f t="shared" si="122"/>
        <v/>
      </c>
    </row>
    <row r="3132" spans="2:7">
      <c r="B3132" s="6"/>
      <c r="E3132" s="7"/>
      <c r="F3132" t="str">
        <f t="shared" si="121"/>
        <v/>
      </c>
      <c r="G3132" t="str">
        <f t="shared" si="122"/>
        <v/>
      </c>
    </row>
    <row r="3133" spans="2:7">
      <c r="B3133" s="6"/>
      <c r="E3133" s="7"/>
      <c r="F3133" t="str">
        <f t="shared" si="121"/>
        <v/>
      </c>
      <c r="G3133" t="str">
        <f t="shared" si="122"/>
        <v/>
      </c>
    </row>
    <row r="3134" spans="2:7">
      <c r="B3134" s="6"/>
      <c r="E3134" s="7"/>
      <c r="F3134" t="str">
        <f t="shared" si="121"/>
        <v/>
      </c>
      <c r="G3134" t="str">
        <f t="shared" si="122"/>
        <v/>
      </c>
    </row>
    <row r="3135" spans="2:7">
      <c r="B3135" s="6"/>
      <c r="E3135" s="7"/>
      <c r="F3135" t="str">
        <f t="shared" si="121"/>
        <v/>
      </c>
      <c r="G3135" t="str">
        <f t="shared" si="122"/>
        <v/>
      </c>
    </row>
    <row r="3136" spans="2:7">
      <c r="B3136" s="6"/>
      <c r="E3136" s="7"/>
      <c r="F3136" t="str">
        <f t="shared" si="121"/>
        <v/>
      </c>
      <c r="G3136" t="str">
        <f t="shared" si="122"/>
        <v/>
      </c>
    </row>
    <row r="3137" spans="2:7">
      <c r="B3137" s="6"/>
      <c r="E3137" s="7"/>
      <c r="F3137" t="str">
        <f t="shared" si="121"/>
        <v/>
      </c>
      <c r="G3137" t="str">
        <f t="shared" si="122"/>
        <v/>
      </c>
    </row>
    <row r="3138" spans="2:7">
      <c r="B3138" s="6"/>
      <c r="E3138" s="7"/>
      <c r="F3138" t="str">
        <f t="shared" si="121"/>
        <v/>
      </c>
      <c r="G3138" t="str">
        <f t="shared" si="122"/>
        <v/>
      </c>
    </row>
    <row r="3139" spans="2:7">
      <c r="B3139" s="6"/>
      <c r="E3139" s="7"/>
      <c r="F3139" t="str">
        <f t="shared" si="121"/>
        <v/>
      </c>
      <c r="G3139" t="str">
        <f t="shared" si="122"/>
        <v/>
      </c>
    </row>
    <row r="3140" spans="2:7">
      <c r="B3140" s="6"/>
      <c r="E3140" s="7"/>
      <c r="F3140" t="str">
        <f t="shared" ref="F3140:F3203" si="123">IF(B3140="","",LOG10(D3140))</f>
        <v/>
      </c>
      <c r="G3140" t="str">
        <f t="shared" ref="G3140:G3203" si="124">IF(E3140="", "",0.434*E3140/D3140)</f>
        <v/>
      </c>
    </row>
    <row r="3141" spans="2:7">
      <c r="B3141" s="6"/>
      <c r="E3141" s="7"/>
      <c r="F3141" t="str">
        <f t="shared" si="123"/>
        <v/>
      </c>
      <c r="G3141" t="str">
        <f t="shared" si="124"/>
        <v/>
      </c>
    </row>
    <row r="3142" spans="2:7">
      <c r="B3142" s="6"/>
      <c r="E3142" s="7"/>
      <c r="F3142" t="str">
        <f t="shared" si="123"/>
        <v/>
      </c>
      <c r="G3142" t="str">
        <f t="shared" si="124"/>
        <v/>
      </c>
    </row>
    <row r="3143" spans="2:7">
      <c r="B3143" s="6"/>
      <c r="E3143" s="7"/>
      <c r="F3143" t="str">
        <f t="shared" si="123"/>
        <v/>
      </c>
      <c r="G3143" t="str">
        <f t="shared" si="124"/>
        <v/>
      </c>
    </row>
    <row r="3144" spans="2:7">
      <c r="B3144" s="6"/>
      <c r="E3144" s="7"/>
      <c r="F3144" t="str">
        <f t="shared" si="123"/>
        <v/>
      </c>
      <c r="G3144" t="str">
        <f t="shared" si="124"/>
        <v/>
      </c>
    </row>
    <row r="3145" spans="2:7">
      <c r="B3145" s="6"/>
      <c r="E3145" s="7"/>
      <c r="F3145" t="str">
        <f t="shared" si="123"/>
        <v/>
      </c>
      <c r="G3145" t="str">
        <f t="shared" si="124"/>
        <v/>
      </c>
    </row>
    <row r="3146" spans="2:7">
      <c r="B3146" s="6"/>
      <c r="E3146" s="7"/>
      <c r="F3146" t="str">
        <f t="shared" si="123"/>
        <v/>
      </c>
      <c r="G3146" t="str">
        <f t="shared" si="124"/>
        <v/>
      </c>
    </row>
    <row r="3147" spans="2:7">
      <c r="B3147" s="6"/>
      <c r="E3147" s="7"/>
      <c r="F3147" t="str">
        <f t="shared" si="123"/>
        <v/>
      </c>
      <c r="G3147" t="str">
        <f t="shared" si="124"/>
        <v/>
      </c>
    </row>
    <row r="3148" spans="2:7">
      <c r="B3148" s="6"/>
      <c r="E3148" s="7"/>
      <c r="F3148" t="str">
        <f t="shared" si="123"/>
        <v/>
      </c>
      <c r="G3148" t="str">
        <f t="shared" si="124"/>
        <v/>
      </c>
    </row>
    <row r="3149" spans="2:7">
      <c r="B3149" s="6"/>
      <c r="E3149" s="7"/>
      <c r="F3149" t="str">
        <f t="shared" si="123"/>
        <v/>
      </c>
      <c r="G3149" t="str">
        <f t="shared" si="124"/>
        <v/>
      </c>
    </row>
    <row r="3150" spans="2:7">
      <c r="B3150" s="6"/>
      <c r="E3150" s="7"/>
      <c r="F3150" t="str">
        <f t="shared" si="123"/>
        <v/>
      </c>
      <c r="G3150" t="str">
        <f t="shared" si="124"/>
        <v/>
      </c>
    </row>
    <row r="3151" spans="2:7">
      <c r="B3151" s="6"/>
      <c r="E3151" s="7"/>
      <c r="F3151" t="str">
        <f t="shared" si="123"/>
        <v/>
      </c>
      <c r="G3151" t="str">
        <f t="shared" si="124"/>
        <v/>
      </c>
    </row>
    <row r="3152" spans="2:7">
      <c r="B3152" s="6"/>
      <c r="E3152" s="7"/>
      <c r="F3152" t="str">
        <f t="shared" si="123"/>
        <v/>
      </c>
      <c r="G3152" t="str">
        <f t="shared" si="124"/>
        <v/>
      </c>
    </row>
    <row r="3153" spans="2:7">
      <c r="B3153" s="6"/>
      <c r="E3153" s="7"/>
      <c r="F3153" t="str">
        <f t="shared" si="123"/>
        <v/>
      </c>
      <c r="G3153" t="str">
        <f t="shared" si="124"/>
        <v/>
      </c>
    </row>
    <row r="3154" spans="2:7">
      <c r="B3154" s="6"/>
      <c r="E3154" s="7"/>
      <c r="F3154" t="str">
        <f t="shared" si="123"/>
        <v/>
      </c>
      <c r="G3154" t="str">
        <f t="shared" si="124"/>
        <v/>
      </c>
    </row>
    <row r="3155" spans="2:7">
      <c r="B3155" s="6"/>
      <c r="E3155" s="7"/>
      <c r="F3155" t="str">
        <f t="shared" si="123"/>
        <v/>
      </c>
      <c r="G3155" t="str">
        <f t="shared" si="124"/>
        <v/>
      </c>
    </row>
    <row r="3156" spans="2:7">
      <c r="B3156" s="6"/>
      <c r="E3156" s="7"/>
      <c r="F3156" t="str">
        <f t="shared" si="123"/>
        <v/>
      </c>
      <c r="G3156" t="str">
        <f t="shared" si="124"/>
        <v/>
      </c>
    </row>
    <row r="3157" spans="2:7">
      <c r="B3157" s="6"/>
      <c r="E3157" s="7"/>
      <c r="F3157" t="str">
        <f t="shared" si="123"/>
        <v/>
      </c>
      <c r="G3157" t="str">
        <f t="shared" si="124"/>
        <v/>
      </c>
    </row>
    <row r="3158" spans="2:7">
      <c r="B3158" s="6"/>
      <c r="E3158" s="7"/>
      <c r="F3158" t="str">
        <f t="shared" si="123"/>
        <v/>
      </c>
      <c r="G3158" t="str">
        <f t="shared" si="124"/>
        <v/>
      </c>
    </row>
    <row r="3159" spans="2:7">
      <c r="B3159" s="6"/>
      <c r="E3159" s="7"/>
      <c r="F3159" t="str">
        <f t="shared" si="123"/>
        <v/>
      </c>
      <c r="G3159" t="str">
        <f t="shared" si="124"/>
        <v/>
      </c>
    </row>
    <row r="3160" spans="2:7">
      <c r="B3160" s="6"/>
      <c r="E3160" s="7"/>
      <c r="F3160" t="str">
        <f t="shared" si="123"/>
        <v/>
      </c>
      <c r="G3160" t="str">
        <f t="shared" si="124"/>
        <v/>
      </c>
    </row>
    <row r="3161" spans="2:7">
      <c r="B3161" s="6"/>
      <c r="E3161" s="7"/>
      <c r="F3161" t="str">
        <f t="shared" si="123"/>
        <v/>
      </c>
      <c r="G3161" t="str">
        <f t="shared" si="124"/>
        <v/>
      </c>
    </row>
    <row r="3162" spans="2:7">
      <c r="B3162" s="6"/>
      <c r="E3162" s="7"/>
      <c r="F3162" t="str">
        <f t="shared" si="123"/>
        <v/>
      </c>
      <c r="G3162" t="str">
        <f t="shared" si="124"/>
        <v/>
      </c>
    </row>
    <row r="3163" spans="2:7">
      <c r="B3163" s="6"/>
      <c r="E3163" s="7"/>
      <c r="F3163" t="str">
        <f t="shared" si="123"/>
        <v/>
      </c>
      <c r="G3163" t="str">
        <f t="shared" si="124"/>
        <v/>
      </c>
    </row>
    <row r="3164" spans="2:7">
      <c r="B3164" s="6"/>
      <c r="E3164" s="7"/>
      <c r="F3164" t="str">
        <f t="shared" si="123"/>
        <v/>
      </c>
      <c r="G3164" t="str">
        <f t="shared" si="124"/>
        <v/>
      </c>
    </row>
    <row r="3165" spans="2:7">
      <c r="B3165" s="6"/>
      <c r="E3165" s="7"/>
      <c r="F3165" t="str">
        <f t="shared" si="123"/>
        <v/>
      </c>
      <c r="G3165" t="str">
        <f t="shared" si="124"/>
        <v/>
      </c>
    </row>
    <row r="3166" spans="2:7">
      <c r="B3166" s="6"/>
      <c r="E3166" s="7"/>
      <c r="F3166" t="str">
        <f t="shared" si="123"/>
        <v/>
      </c>
      <c r="G3166" t="str">
        <f t="shared" si="124"/>
        <v/>
      </c>
    </row>
    <row r="3167" spans="2:7">
      <c r="B3167" s="6"/>
      <c r="E3167" s="7"/>
      <c r="F3167" t="str">
        <f t="shared" si="123"/>
        <v/>
      </c>
      <c r="G3167" t="str">
        <f t="shared" si="124"/>
        <v/>
      </c>
    </row>
    <row r="3168" spans="2:7">
      <c r="B3168" s="6"/>
      <c r="E3168" s="7"/>
      <c r="F3168" t="str">
        <f t="shared" si="123"/>
        <v/>
      </c>
      <c r="G3168" t="str">
        <f t="shared" si="124"/>
        <v/>
      </c>
    </row>
    <row r="3169" spans="2:7">
      <c r="B3169" s="6"/>
      <c r="E3169" s="7"/>
      <c r="F3169" t="str">
        <f t="shared" si="123"/>
        <v/>
      </c>
      <c r="G3169" t="str">
        <f t="shared" si="124"/>
        <v/>
      </c>
    </row>
    <row r="3170" spans="2:7">
      <c r="B3170" s="6"/>
      <c r="E3170" s="7"/>
      <c r="F3170" t="str">
        <f t="shared" si="123"/>
        <v/>
      </c>
      <c r="G3170" t="str">
        <f t="shared" si="124"/>
        <v/>
      </c>
    </row>
    <row r="3171" spans="2:7">
      <c r="B3171" s="6"/>
      <c r="E3171" s="7"/>
      <c r="F3171" t="str">
        <f t="shared" si="123"/>
        <v/>
      </c>
      <c r="G3171" t="str">
        <f t="shared" si="124"/>
        <v/>
      </c>
    </row>
    <row r="3172" spans="2:7">
      <c r="B3172" s="6"/>
      <c r="E3172" s="7"/>
      <c r="F3172" t="str">
        <f t="shared" si="123"/>
        <v/>
      </c>
      <c r="G3172" t="str">
        <f t="shared" si="124"/>
        <v/>
      </c>
    </row>
    <row r="3173" spans="2:7">
      <c r="B3173" s="6"/>
      <c r="E3173" s="7"/>
      <c r="F3173" t="str">
        <f t="shared" si="123"/>
        <v/>
      </c>
      <c r="G3173" t="str">
        <f t="shared" si="124"/>
        <v/>
      </c>
    </row>
    <row r="3174" spans="2:7">
      <c r="B3174" s="6"/>
      <c r="E3174" s="7"/>
      <c r="F3174" t="str">
        <f t="shared" si="123"/>
        <v/>
      </c>
      <c r="G3174" t="str">
        <f t="shared" si="124"/>
        <v/>
      </c>
    </row>
    <row r="3175" spans="2:7">
      <c r="B3175" s="6"/>
      <c r="E3175" s="7"/>
      <c r="F3175" t="str">
        <f t="shared" si="123"/>
        <v/>
      </c>
      <c r="G3175" t="str">
        <f t="shared" si="124"/>
        <v/>
      </c>
    </row>
    <row r="3176" spans="2:7">
      <c r="B3176" s="6"/>
      <c r="E3176" s="7"/>
      <c r="F3176" t="str">
        <f t="shared" si="123"/>
        <v/>
      </c>
      <c r="G3176" t="str">
        <f t="shared" si="124"/>
        <v/>
      </c>
    </row>
    <row r="3177" spans="2:7">
      <c r="B3177" s="6"/>
      <c r="E3177" s="7"/>
      <c r="F3177" t="str">
        <f t="shared" si="123"/>
        <v/>
      </c>
      <c r="G3177" t="str">
        <f t="shared" si="124"/>
        <v/>
      </c>
    </row>
    <row r="3178" spans="2:7">
      <c r="B3178" s="6"/>
      <c r="E3178" s="7"/>
      <c r="F3178" t="str">
        <f t="shared" si="123"/>
        <v/>
      </c>
      <c r="G3178" t="str">
        <f t="shared" si="124"/>
        <v/>
      </c>
    </row>
    <row r="3179" spans="2:7">
      <c r="B3179" s="6"/>
      <c r="E3179" s="7"/>
      <c r="F3179" t="str">
        <f t="shared" si="123"/>
        <v/>
      </c>
      <c r="G3179" t="str">
        <f t="shared" si="124"/>
        <v/>
      </c>
    </row>
    <row r="3180" spans="2:7">
      <c r="B3180" s="6"/>
      <c r="E3180" s="7"/>
      <c r="F3180" t="str">
        <f t="shared" si="123"/>
        <v/>
      </c>
      <c r="G3180" t="str">
        <f t="shared" si="124"/>
        <v/>
      </c>
    </row>
    <row r="3181" spans="2:7">
      <c r="B3181" s="6"/>
      <c r="E3181" s="7"/>
      <c r="F3181" t="str">
        <f t="shared" si="123"/>
        <v/>
      </c>
      <c r="G3181" t="str">
        <f t="shared" si="124"/>
        <v/>
      </c>
    </row>
    <row r="3182" spans="2:7">
      <c r="B3182" s="6"/>
      <c r="E3182" s="7"/>
      <c r="F3182" t="str">
        <f t="shared" si="123"/>
        <v/>
      </c>
      <c r="G3182" t="str">
        <f t="shared" si="124"/>
        <v/>
      </c>
    </row>
    <row r="3183" spans="2:7">
      <c r="B3183" s="6"/>
      <c r="E3183" s="7"/>
      <c r="F3183" t="str">
        <f t="shared" si="123"/>
        <v/>
      </c>
      <c r="G3183" t="str">
        <f t="shared" si="124"/>
        <v/>
      </c>
    </row>
    <row r="3184" spans="2:7">
      <c r="B3184" s="6"/>
      <c r="E3184" s="7"/>
      <c r="F3184" t="str">
        <f t="shared" si="123"/>
        <v/>
      </c>
      <c r="G3184" t="str">
        <f t="shared" si="124"/>
        <v/>
      </c>
    </row>
    <row r="3185" spans="2:7">
      <c r="B3185" s="6"/>
      <c r="E3185" s="7"/>
      <c r="F3185" t="str">
        <f t="shared" si="123"/>
        <v/>
      </c>
      <c r="G3185" t="str">
        <f t="shared" si="124"/>
        <v/>
      </c>
    </row>
    <row r="3186" spans="2:7">
      <c r="B3186" s="6"/>
      <c r="E3186" s="7"/>
      <c r="F3186" t="str">
        <f t="shared" si="123"/>
        <v/>
      </c>
      <c r="G3186" t="str">
        <f t="shared" si="124"/>
        <v/>
      </c>
    </row>
    <row r="3187" spans="2:7">
      <c r="B3187" s="6"/>
      <c r="E3187" s="7"/>
      <c r="F3187" t="str">
        <f t="shared" si="123"/>
        <v/>
      </c>
      <c r="G3187" t="str">
        <f t="shared" si="124"/>
        <v/>
      </c>
    </row>
    <row r="3188" spans="2:7">
      <c r="B3188" s="6"/>
      <c r="E3188" s="7"/>
      <c r="F3188" t="str">
        <f t="shared" si="123"/>
        <v/>
      </c>
      <c r="G3188" t="str">
        <f t="shared" si="124"/>
        <v/>
      </c>
    </row>
    <row r="3189" spans="2:7">
      <c r="B3189" s="6"/>
      <c r="E3189" s="7"/>
      <c r="F3189" t="str">
        <f t="shared" si="123"/>
        <v/>
      </c>
      <c r="G3189" t="str">
        <f t="shared" si="124"/>
        <v/>
      </c>
    </row>
    <row r="3190" spans="2:7">
      <c r="B3190" s="6"/>
      <c r="E3190" s="7"/>
      <c r="F3190" t="str">
        <f t="shared" si="123"/>
        <v/>
      </c>
      <c r="G3190" t="str">
        <f t="shared" si="124"/>
        <v/>
      </c>
    </row>
    <row r="3191" spans="2:7">
      <c r="B3191" s="6"/>
      <c r="E3191" s="7"/>
      <c r="F3191" t="str">
        <f t="shared" si="123"/>
        <v/>
      </c>
      <c r="G3191" t="str">
        <f t="shared" si="124"/>
        <v/>
      </c>
    </row>
    <row r="3192" spans="2:7">
      <c r="B3192" s="6"/>
      <c r="E3192" s="7"/>
      <c r="F3192" t="str">
        <f t="shared" si="123"/>
        <v/>
      </c>
      <c r="G3192" t="str">
        <f t="shared" si="124"/>
        <v/>
      </c>
    </row>
    <row r="3193" spans="2:7">
      <c r="B3193" s="6"/>
      <c r="E3193" s="7"/>
      <c r="F3193" t="str">
        <f t="shared" si="123"/>
        <v/>
      </c>
      <c r="G3193" t="str">
        <f t="shared" si="124"/>
        <v/>
      </c>
    </row>
    <row r="3194" spans="2:7">
      <c r="B3194" s="6"/>
      <c r="E3194" s="7"/>
      <c r="F3194" t="str">
        <f t="shared" si="123"/>
        <v/>
      </c>
      <c r="G3194" t="str">
        <f t="shared" si="124"/>
        <v/>
      </c>
    </row>
    <row r="3195" spans="2:7">
      <c r="B3195" s="6"/>
      <c r="E3195" s="7"/>
      <c r="F3195" t="str">
        <f t="shared" si="123"/>
        <v/>
      </c>
      <c r="G3195" t="str">
        <f t="shared" si="124"/>
        <v/>
      </c>
    </row>
    <row r="3196" spans="2:7">
      <c r="B3196" s="6"/>
      <c r="E3196" s="7"/>
      <c r="F3196" t="str">
        <f t="shared" si="123"/>
        <v/>
      </c>
      <c r="G3196" t="str">
        <f t="shared" si="124"/>
        <v/>
      </c>
    </row>
    <row r="3197" spans="2:7">
      <c r="B3197" s="6"/>
      <c r="E3197" s="7"/>
      <c r="F3197" t="str">
        <f t="shared" si="123"/>
        <v/>
      </c>
      <c r="G3197" t="str">
        <f t="shared" si="124"/>
        <v/>
      </c>
    </row>
    <row r="3198" spans="2:7">
      <c r="B3198" s="6"/>
      <c r="E3198" s="7"/>
      <c r="F3198" t="str">
        <f t="shared" si="123"/>
        <v/>
      </c>
      <c r="G3198" t="str">
        <f t="shared" si="124"/>
        <v/>
      </c>
    </row>
    <row r="3199" spans="2:7">
      <c r="B3199" s="6"/>
      <c r="E3199" s="7"/>
      <c r="F3199" t="str">
        <f t="shared" si="123"/>
        <v/>
      </c>
      <c r="G3199" t="str">
        <f t="shared" si="124"/>
        <v/>
      </c>
    </row>
    <row r="3200" spans="2:7">
      <c r="B3200" s="6"/>
      <c r="E3200" s="7"/>
      <c r="F3200" t="str">
        <f t="shared" si="123"/>
        <v/>
      </c>
      <c r="G3200" t="str">
        <f t="shared" si="124"/>
        <v/>
      </c>
    </row>
    <row r="3201" spans="2:7">
      <c r="B3201" s="6"/>
      <c r="E3201" s="7"/>
      <c r="F3201" t="str">
        <f t="shared" si="123"/>
        <v/>
      </c>
      <c r="G3201" t="str">
        <f t="shared" si="124"/>
        <v/>
      </c>
    </row>
    <row r="3202" spans="2:7">
      <c r="B3202" s="6"/>
      <c r="E3202" s="7"/>
      <c r="F3202" t="str">
        <f t="shared" si="123"/>
        <v/>
      </c>
      <c r="G3202" t="str">
        <f t="shared" si="124"/>
        <v/>
      </c>
    </row>
    <row r="3203" spans="2:7">
      <c r="B3203" s="6"/>
      <c r="E3203" s="7"/>
      <c r="F3203" t="str">
        <f t="shared" si="123"/>
        <v/>
      </c>
      <c r="G3203" t="str">
        <f t="shared" si="124"/>
        <v/>
      </c>
    </row>
    <row r="3204" spans="2:7">
      <c r="B3204" s="6"/>
      <c r="E3204" s="7"/>
      <c r="F3204" t="str">
        <f t="shared" ref="F3204:F3267" si="125">IF(B3204="","",LOG10(D3204))</f>
        <v/>
      </c>
      <c r="G3204" t="str">
        <f t="shared" ref="G3204:G3267" si="126">IF(E3204="", "",0.434*E3204/D3204)</f>
        <v/>
      </c>
    </row>
    <row r="3205" spans="2:7">
      <c r="B3205" s="6"/>
      <c r="E3205" s="7"/>
      <c r="F3205" t="str">
        <f t="shared" si="125"/>
        <v/>
      </c>
      <c r="G3205" t="str">
        <f t="shared" si="126"/>
        <v/>
      </c>
    </row>
    <row r="3206" spans="2:7">
      <c r="B3206" s="6"/>
      <c r="E3206" s="7"/>
      <c r="F3206" t="str">
        <f t="shared" si="125"/>
        <v/>
      </c>
      <c r="G3206" t="str">
        <f t="shared" si="126"/>
        <v/>
      </c>
    </row>
    <row r="3207" spans="2:7">
      <c r="B3207" s="6"/>
      <c r="E3207" s="7"/>
      <c r="F3207" t="str">
        <f t="shared" si="125"/>
        <v/>
      </c>
      <c r="G3207" t="str">
        <f t="shared" si="126"/>
        <v/>
      </c>
    </row>
    <row r="3208" spans="2:7">
      <c r="B3208" s="6"/>
      <c r="E3208" s="7"/>
      <c r="F3208" t="str">
        <f t="shared" si="125"/>
        <v/>
      </c>
      <c r="G3208" t="str">
        <f t="shared" si="126"/>
        <v/>
      </c>
    </row>
    <row r="3209" spans="2:7">
      <c r="B3209" s="6"/>
      <c r="E3209" s="7"/>
      <c r="F3209" t="str">
        <f t="shared" si="125"/>
        <v/>
      </c>
      <c r="G3209" t="str">
        <f t="shared" si="126"/>
        <v/>
      </c>
    </row>
    <row r="3210" spans="2:7">
      <c r="B3210" s="6"/>
      <c r="E3210" s="7"/>
      <c r="F3210" t="str">
        <f t="shared" si="125"/>
        <v/>
      </c>
      <c r="G3210" t="str">
        <f t="shared" si="126"/>
        <v/>
      </c>
    </row>
    <row r="3211" spans="2:7">
      <c r="B3211" s="6"/>
      <c r="E3211" s="7"/>
      <c r="F3211" t="str">
        <f t="shared" si="125"/>
        <v/>
      </c>
      <c r="G3211" t="str">
        <f t="shared" si="126"/>
        <v/>
      </c>
    </row>
    <row r="3212" spans="2:7">
      <c r="B3212" s="6"/>
      <c r="E3212" s="7"/>
      <c r="F3212" t="str">
        <f t="shared" si="125"/>
        <v/>
      </c>
      <c r="G3212" t="str">
        <f t="shared" si="126"/>
        <v/>
      </c>
    </row>
    <row r="3213" spans="2:7">
      <c r="B3213" s="6"/>
      <c r="E3213" s="7"/>
      <c r="F3213" t="str">
        <f t="shared" si="125"/>
        <v/>
      </c>
      <c r="G3213" t="str">
        <f t="shared" si="126"/>
        <v/>
      </c>
    </row>
    <row r="3214" spans="2:7">
      <c r="B3214" s="6"/>
      <c r="E3214" s="7"/>
      <c r="F3214" t="str">
        <f t="shared" si="125"/>
        <v/>
      </c>
      <c r="G3214" t="str">
        <f t="shared" si="126"/>
        <v/>
      </c>
    </row>
    <row r="3215" spans="2:7">
      <c r="B3215" s="6"/>
      <c r="E3215" s="7"/>
      <c r="F3215" t="str">
        <f t="shared" si="125"/>
        <v/>
      </c>
      <c r="G3215" t="str">
        <f t="shared" si="126"/>
        <v/>
      </c>
    </row>
    <row r="3216" spans="2:7">
      <c r="B3216" s="6"/>
      <c r="E3216" s="7"/>
      <c r="F3216" t="str">
        <f t="shared" si="125"/>
        <v/>
      </c>
      <c r="G3216" t="str">
        <f t="shared" si="126"/>
        <v/>
      </c>
    </row>
    <row r="3217" spans="2:7">
      <c r="B3217" s="6"/>
      <c r="E3217" s="7"/>
      <c r="F3217" t="str">
        <f t="shared" si="125"/>
        <v/>
      </c>
      <c r="G3217" t="str">
        <f t="shared" si="126"/>
        <v/>
      </c>
    </row>
    <row r="3218" spans="2:7">
      <c r="B3218" s="6"/>
      <c r="E3218" s="7"/>
      <c r="F3218" t="str">
        <f t="shared" si="125"/>
        <v/>
      </c>
      <c r="G3218" t="str">
        <f t="shared" si="126"/>
        <v/>
      </c>
    </row>
    <row r="3219" spans="2:7">
      <c r="B3219" s="6"/>
      <c r="E3219" s="7"/>
      <c r="F3219" t="str">
        <f t="shared" si="125"/>
        <v/>
      </c>
      <c r="G3219" t="str">
        <f t="shared" si="126"/>
        <v/>
      </c>
    </row>
    <row r="3220" spans="2:7">
      <c r="B3220" s="6"/>
      <c r="E3220" s="7"/>
      <c r="F3220" t="str">
        <f t="shared" si="125"/>
        <v/>
      </c>
      <c r="G3220" t="str">
        <f t="shared" si="126"/>
        <v/>
      </c>
    </row>
    <row r="3221" spans="2:7">
      <c r="B3221" s="6"/>
      <c r="E3221" s="7"/>
      <c r="F3221" t="str">
        <f t="shared" si="125"/>
        <v/>
      </c>
      <c r="G3221" t="str">
        <f t="shared" si="126"/>
        <v/>
      </c>
    </row>
    <row r="3222" spans="2:7">
      <c r="B3222" s="6"/>
      <c r="E3222" s="7"/>
      <c r="F3222" t="str">
        <f t="shared" si="125"/>
        <v/>
      </c>
      <c r="G3222" t="str">
        <f t="shared" si="126"/>
        <v/>
      </c>
    </row>
    <row r="3223" spans="2:7">
      <c r="B3223" s="6"/>
      <c r="E3223" s="7"/>
      <c r="F3223" t="str">
        <f t="shared" si="125"/>
        <v/>
      </c>
      <c r="G3223" t="str">
        <f t="shared" si="126"/>
        <v/>
      </c>
    </row>
    <row r="3224" spans="2:7">
      <c r="B3224" s="6"/>
      <c r="E3224" s="7"/>
      <c r="F3224" t="str">
        <f t="shared" si="125"/>
        <v/>
      </c>
      <c r="G3224" t="str">
        <f t="shared" si="126"/>
        <v/>
      </c>
    </row>
    <row r="3225" spans="2:7">
      <c r="B3225" s="6"/>
      <c r="E3225" s="7"/>
      <c r="F3225" t="str">
        <f t="shared" si="125"/>
        <v/>
      </c>
      <c r="G3225" t="str">
        <f t="shared" si="126"/>
        <v/>
      </c>
    </row>
    <row r="3226" spans="2:7">
      <c r="B3226" s="6"/>
      <c r="E3226" s="7"/>
      <c r="F3226" t="str">
        <f t="shared" si="125"/>
        <v/>
      </c>
      <c r="G3226" t="str">
        <f t="shared" si="126"/>
        <v/>
      </c>
    </row>
    <row r="3227" spans="2:7">
      <c r="B3227" s="6"/>
      <c r="E3227" s="7"/>
      <c r="F3227" t="str">
        <f t="shared" si="125"/>
        <v/>
      </c>
      <c r="G3227" t="str">
        <f t="shared" si="126"/>
        <v/>
      </c>
    </row>
    <row r="3228" spans="2:7">
      <c r="B3228" s="6"/>
      <c r="E3228" s="7"/>
      <c r="F3228" t="str">
        <f t="shared" si="125"/>
        <v/>
      </c>
      <c r="G3228" t="str">
        <f t="shared" si="126"/>
        <v/>
      </c>
    </row>
    <row r="3229" spans="2:7">
      <c r="B3229" s="6"/>
      <c r="E3229" s="7"/>
      <c r="F3229" t="str">
        <f t="shared" si="125"/>
        <v/>
      </c>
      <c r="G3229" t="str">
        <f t="shared" si="126"/>
        <v/>
      </c>
    </row>
    <row r="3230" spans="2:7">
      <c r="B3230" s="6"/>
      <c r="E3230" s="7"/>
      <c r="F3230" t="str">
        <f t="shared" si="125"/>
        <v/>
      </c>
      <c r="G3230" t="str">
        <f t="shared" si="126"/>
        <v/>
      </c>
    </row>
    <row r="3231" spans="2:7">
      <c r="B3231" s="6"/>
      <c r="E3231" s="7"/>
      <c r="F3231" t="str">
        <f t="shared" si="125"/>
        <v/>
      </c>
      <c r="G3231" t="str">
        <f t="shared" si="126"/>
        <v/>
      </c>
    </row>
    <row r="3232" spans="2:7">
      <c r="B3232" s="6"/>
      <c r="E3232" s="7"/>
      <c r="F3232" t="str">
        <f t="shared" si="125"/>
        <v/>
      </c>
      <c r="G3232" t="str">
        <f t="shared" si="126"/>
        <v/>
      </c>
    </row>
    <row r="3233" spans="2:7">
      <c r="B3233" s="6"/>
      <c r="E3233" s="7"/>
      <c r="F3233" t="str">
        <f t="shared" si="125"/>
        <v/>
      </c>
      <c r="G3233" t="str">
        <f t="shared" si="126"/>
        <v/>
      </c>
    </row>
    <row r="3234" spans="2:7">
      <c r="B3234" s="6"/>
      <c r="E3234" s="7"/>
      <c r="F3234" t="str">
        <f t="shared" si="125"/>
        <v/>
      </c>
      <c r="G3234" t="str">
        <f t="shared" si="126"/>
        <v/>
      </c>
    </row>
    <row r="3235" spans="2:7">
      <c r="B3235" s="6"/>
      <c r="E3235" s="7"/>
      <c r="F3235" t="str">
        <f t="shared" si="125"/>
        <v/>
      </c>
      <c r="G3235" t="str">
        <f t="shared" si="126"/>
        <v/>
      </c>
    </row>
    <row r="3236" spans="2:7">
      <c r="B3236" s="6"/>
      <c r="E3236" s="7"/>
      <c r="F3236" t="str">
        <f t="shared" si="125"/>
        <v/>
      </c>
      <c r="G3236" t="str">
        <f t="shared" si="126"/>
        <v/>
      </c>
    </row>
    <row r="3237" spans="2:7">
      <c r="B3237" s="6"/>
      <c r="E3237" s="7"/>
      <c r="F3237" t="str">
        <f t="shared" si="125"/>
        <v/>
      </c>
      <c r="G3237" t="str">
        <f t="shared" si="126"/>
        <v/>
      </c>
    </row>
    <row r="3238" spans="2:7">
      <c r="B3238" s="6"/>
      <c r="E3238" s="7"/>
      <c r="F3238" t="str">
        <f t="shared" si="125"/>
        <v/>
      </c>
      <c r="G3238" t="str">
        <f t="shared" si="126"/>
        <v/>
      </c>
    </row>
    <row r="3239" spans="2:7">
      <c r="B3239" s="6"/>
      <c r="E3239" s="7"/>
      <c r="F3239" t="str">
        <f t="shared" si="125"/>
        <v/>
      </c>
      <c r="G3239" t="str">
        <f t="shared" si="126"/>
        <v/>
      </c>
    </row>
    <row r="3240" spans="2:7">
      <c r="B3240" s="6"/>
      <c r="E3240" s="7"/>
      <c r="F3240" t="str">
        <f t="shared" si="125"/>
        <v/>
      </c>
      <c r="G3240" t="str">
        <f t="shared" si="126"/>
        <v/>
      </c>
    </row>
    <row r="3241" spans="2:7">
      <c r="B3241" s="6"/>
      <c r="E3241" s="7"/>
      <c r="F3241" t="str">
        <f t="shared" si="125"/>
        <v/>
      </c>
      <c r="G3241" t="str">
        <f t="shared" si="126"/>
        <v/>
      </c>
    </row>
    <row r="3242" spans="2:7">
      <c r="B3242" s="6"/>
      <c r="E3242" s="7"/>
      <c r="F3242" t="str">
        <f t="shared" si="125"/>
        <v/>
      </c>
      <c r="G3242" t="str">
        <f t="shared" si="126"/>
        <v/>
      </c>
    </row>
    <row r="3243" spans="2:7">
      <c r="B3243" s="6"/>
      <c r="E3243" s="7"/>
      <c r="F3243" t="str">
        <f t="shared" si="125"/>
        <v/>
      </c>
      <c r="G3243" t="str">
        <f t="shared" si="126"/>
        <v/>
      </c>
    </row>
    <row r="3244" spans="2:7">
      <c r="B3244" s="6"/>
      <c r="E3244" s="7"/>
      <c r="F3244" t="str">
        <f t="shared" si="125"/>
        <v/>
      </c>
      <c r="G3244" t="str">
        <f t="shared" si="126"/>
        <v/>
      </c>
    </row>
    <row r="3245" spans="2:7">
      <c r="B3245" s="6"/>
      <c r="E3245" s="7"/>
      <c r="F3245" t="str">
        <f t="shared" si="125"/>
        <v/>
      </c>
      <c r="G3245" t="str">
        <f t="shared" si="126"/>
        <v/>
      </c>
    </row>
    <row r="3246" spans="2:7">
      <c r="B3246" s="6"/>
      <c r="E3246" s="7"/>
      <c r="F3246" t="str">
        <f t="shared" si="125"/>
        <v/>
      </c>
      <c r="G3246" t="str">
        <f t="shared" si="126"/>
        <v/>
      </c>
    </row>
    <row r="3247" spans="2:7">
      <c r="B3247" s="6"/>
      <c r="E3247" s="7"/>
      <c r="F3247" t="str">
        <f t="shared" si="125"/>
        <v/>
      </c>
      <c r="G3247" t="str">
        <f t="shared" si="126"/>
        <v/>
      </c>
    </row>
    <row r="3248" spans="2:7">
      <c r="B3248" s="6"/>
      <c r="E3248" s="7"/>
      <c r="F3248" t="str">
        <f t="shared" si="125"/>
        <v/>
      </c>
      <c r="G3248" t="str">
        <f t="shared" si="126"/>
        <v/>
      </c>
    </row>
    <row r="3249" spans="2:7">
      <c r="B3249" s="6"/>
      <c r="E3249" s="7"/>
      <c r="F3249" t="str">
        <f t="shared" si="125"/>
        <v/>
      </c>
      <c r="G3249" t="str">
        <f t="shared" si="126"/>
        <v/>
      </c>
    </row>
    <row r="3250" spans="2:7">
      <c r="B3250" s="6"/>
      <c r="E3250" s="7"/>
      <c r="F3250" t="str">
        <f t="shared" si="125"/>
        <v/>
      </c>
      <c r="G3250" t="str">
        <f t="shared" si="126"/>
        <v/>
      </c>
    </row>
    <row r="3251" spans="2:7">
      <c r="B3251" s="6"/>
      <c r="E3251" s="7"/>
      <c r="F3251" t="str">
        <f t="shared" si="125"/>
        <v/>
      </c>
      <c r="G3251" t="str">
        <f t="shared" si="126"/>
        <v/>
      </c>
    </row>
    <row r="3252" spans="2:7">
      <c r="B3252" s="6"/>
      <c r="E3252" s="7"/>
      <c r="F3252" t="str">
        <f t="shared" si="125"/>
        <v/>
      </c>
      <c r="G3252" t="str">
        <f t="shared" si="126"/>
        <v/>
      </c>
    </row>
    <row r="3253" spans="2:7">
      <c r="B3253" s="6"/>
      <c r="E3253" s="7"/>
      <c r="F3253" t="str">
        <f t="shared" si="125"/>
        <v/>
      </c>
      <c r="G3253" t="str">
        <f t="shared" si="126"/>
        <v/>
      </c>
    </row>
    <row r="3254" spans="2:7">
      <c r="B3254" s="6"/>
      <c r="E3254" s="7"/>
      <c r="F3254" t="str">
        <f t="shared" si="125"/>
        <v/>
      </c>
      <c r="G3254" t="str">
        <f t="shared" si="126"/>
        <v/>
      </c>
    </row>
    <row r="3255" spans="2:7">
      <c r="B3255" s="6"/>
      <c r="E3255" s="7"/>
      <c r="F3255" t="str">
        <f t="shared" si="125"/>
        <v/>
      </c>
      <c r="G3255" t="str">
        <f t="shared" si="126"/>
        <v/>
      </c>
    </row>
    <row r="3256" spans="2:7">
      <c r="B3256" s="6"/>
      <c r="E3256" s="7"/>
      <c r="F3256" t="str">
        <f t="shared" si="125"/>
        <v/>
      </c>
      <c r="G3256" t="str">
        <f t="shared" si="126"/>
        <v/>
      </c>
    </row>
    <row r="3257" spans="2:7">
      <c r="B3257" s="6"/>
      <c r="E3257" s="7"/>
      <c r="F3257" t="str">
        <f t="shared" si="125"/>
        <v/>
      </c>
      <c r="G3257" t="str">
        <f t="shared" si="126"/>
        <v/>
      </c>
    </row>
    <row r="3258" spans="2:7">
      <c r="B3258" s="6"/>
      <c r="E3258" s="7"/>
      <c r="F3258" t="str">
        <f t="shared" si="125"/>
        <v/>
      </c>
      <c r="G3258" t="str">
        <f t="shared" si="126"/>
        <v/>
      </c>
    </row>
    <row r="3259" spans="2:7">
      <c r="B3259" s="6"/>
      <c r="E3259" s="7"/>
      <c r="F3259" t="str">
        <f t="shared" si="125"/>
        <v/>
      </c>
      <c r="G3259" t="str">
        <f t="shared" si="126"/>
        <v/>
      </c>
    </row>
    <row r="3260" spans="2:7">
      <c r="B3260" s="6"/>
      <c r="E3260" s="7"/>
      <c r="F3260" t="str">
        <f t="shared" si="125"/>
        <v/>
      </c>
      <c r="G3260" t="str">
        <f t="shared" si="126"/>
        <v/>
      </c>
    </row>
    <row r="3261" spans="2:7">
      <c r="B3261" s="6"/>
      <c r="E3261" s="7"/>
      <c r="F3261" t="str">
        <f t="shared" si="125"/>
        <v/>
      </c>
      <c r="G3261" t="str">
        <f t="shared" si="126"/>
        <v/>
      </c>
    </row>
    <row r="3262" spans="2:7">
      <c r="B3262" s="6"/>
      <c r="E3262" s="7"/>
      <c r="F3262" t="str">
        <f t="shared" si="125"/>
        <v/>
      </c>
      <c r="G3262" t="str">
        <f t="shared" si="126"/>
        <v/>
      </c>
    </row>
    <row r="3263" spans="2:7">
      <c r="B3263" s="6"/>
      <c r="E3263" s="7"/>
      <c r="F3263" t="str">
        <f t="shared" si="125"/>
        <v/>
      </c>
      <c r="G3263" t="str">
        <f t="shared" si="126"/>
        <v/>
      </c>
    </row>
    <row r="3264" spans="2:7">
      <c r="B3264" s="6"/>
      <c r="E3264" s="7"/>
      <c r="F3264" t="str">
        <f t="shared" si="125"/>
        <v/>
      </c>
      <c r="G3264" t="str">
        <f t="shared" si="126"/>
        <v/>
      </c>
    </row>
    <row r="3265" spans="2:7">
      <c r="B3265" s="6"/>
      <c r="E3265" s="7"/>
      <c r="F3265" t="str">
        <f t="shared" si="125"/>
        <v/>
      </c>
      <c r="G3265" t="str">
        <f t="shared" si="126"/>
        <v/>
      </c>
    </row>
    <row r="3266" spans="2:7">
      <c r="B3266" s="6"/>
      <c r="E3266" s="7"/>
      <c r="F3266" t="str">
        <f t="shared" si="125"/>
        <v/>
      </c>
      <c r="G3266" t="str">
        <f t="shared" si="126"/>
        <v/>
      </c>
    </row>
    <row r="3267" spans="2:7">
      <c r="B3267" s="6"/>
      <c r="E3267" s="7"/>
      <c r="F3267" t="str">
        <f t="shared" si="125"/>
        <v/>
      </c>
      <c r="G3267" t="str">
        <f t="shared" si="126"/>
        <v/>
      </c>
    </row>
    <row r="3268" spans="2:7">
      <c r="B3268" s="6"/>
      <c r="E3268" s="7"/>
      <c r="F3268" t="str">
        <f t="shared" ref="F3268:F3331" si="127">IF(B3268="","",LOG10(D3268))</f>
        <v/>
      </c>
      <c r="G3268" t="str">
        <f t="shared" ref="G3268:G3331" si="128">IF(E3268="", "",0.434*E3268/D3268)</f>
        <v/>
      </c>
    </row>
    <row r="3269" spans="2:7">
      <c r="B3269" s="6"/>
      <c r="E3269" s="7"/>
      <c r="F3269" t="str">
        <f t="shared" si="127"/>
        <v/>
      </c>
      <c r="G3269" t="str">
        <f t="shared" si="128"/>
        <v/>
      </c>
    </row>
    <row r="3270" spans="2:7">
      <c r="B3270" s="6"/>
      <c r="E3270" s="7"/>
      <c r="F3270" t="str">
        <f t="shared" si="127"/>
        <v/>
      </c>
      <c r="G3270" t="str">
        <f t="shared" si="128"/>
        <v/>
      </c>
    </row>
    <row r="3271" spans="2:7">
      <c r="B3271" s="6"/>
      <c r="E3271" s="7"/>
      <c r="F3271" t="str">
        <f t="shared" si="127"/>
        <v/>
      </c>
      <c r="G3271" t="str">
        <f t="shared" si="128"/>
        <v/>
      </c>
    </row>
    <row r="3272" spans="2:7">
      <c r="B3272" s="6"/>
      <c r="E3272" s="7"/>
      <c r="F3272" t="str">
        <f t="shared" si="127"/>
        <v/>
      </c>
      <c r="G3272" t="str">
        <f t="shared" si="128"/>
        <v/>
      </c>
    </row>
    <row r="3273" spans="2:7">
      <c r="B3273" s="6"/>
      <c r="E3273" s="7"/>
      <c r="F3273" t="str">
        <f t="shared" si="127"/>
        <v/>
      </c>
      <c r="G3273" t="str">
        <f t="shared" si="128"/>
        <v/>
      </c>
    </row>
    <row r="3274" spans="2:7">
      <c r="B3274" s="6"/>
      <c r="E3274" s="7"/>
      <c r="F3274" t="str">
        <f t="shared" si="127"/>
        <v/>
      </c>
      <c r="G3274" t="str">
        <f t="shared" si="128"/>
        <v/>
      </c>
    </row>
    <row r="3275" spans="2:7">
      <c r="B3275" s="6"/>
      <c r="E3275" s="7"/>
      <c r="F3275" t="str">
        <f t="shared" si="127"/>
        <v/>
      </c>
      <c r="G3275" t="str">
        <f t="shared" si="128"/>
        <v/>
      </c>
    </row>
    <row r="3276" spans="2:7">
      <c r="B3276" s="6"/>
      <c r="E3276" s="7"/>
      <c r="F3276" t="str">
        <f t="shared" si="127"/>
        <v/>
      </c>
      <c r="G3276" t="str">
        <f t="shared" si="128"/>
        <v/>
      </c>
    </row>
    <row r="3277" spans="2:7">
      <c r="B3277" s="6"/>
      <c r="E3277" s="7"/>
      <c r="F3277" t="str">
        <f t="shared" si="127"/>
        <v/>
      </c>
      <c r="G3277" t="str">
        <f t="shared" si="128"/>
        <v/>
      </c>
    </row>
    <row r="3278" spans="2:7">
      <c r="B3278" s="6"/>
      <c r="E3278" s="7"/>
      <c r="F3278" t="str">
        <f t="shared" si="127"/>
        <v/>
      </c>
      <c r="G3278" t="str">
        <f t="shared" si="128"/>
        <v/>
      </c>
    </row>
    <row r="3279" spans="2:7">
      <c r="B3279" s="6"/>
      <c r="E3279" s="7"/>
      <c r="F3279" t="str">
        <f t="shared" si="127"/>
        <v/>
      </c>
      <c r="G3279" t="str">
        <f t="shared" si="128"/>
        <v/>
      </c>
    </row>
    <row r="3280" spans="2:7">
      <c r="B3280" s="6"/>
      <c r="E3280" s="7"/>
      <c r="F3280" t="str">
        <f t="shared" si="127"/>
        <v/>
      </c>
      <c r="G3280" t="str">
        <f t="shared" si="128"/>
        <v/>
      </c>
    </row>
    <row r="3281" spans="2:7">
      <c r="B3281" s="6"/>
      <c r="E3281" s="7"/>
      <c r="F3281" t="str">
        <f t="shared" si="127"/>
        <v/>
      </c>
      <c r="G3281" t="str">
        <f t="shared" si="128"/>
        <v/>
      </c>
    </row>
    <row r="3282" spans="2:7">
      <c r="B3282" s="6"/>
      <c r="E3282" s="7"/>
      <c r="F3282" t="str">
        <f t="shared" si="127"/>
        <v/>
      </c>
      <c r="G3282" t="str">
        <f t="shared" si="128"/>
        <v/>
      </c>
    </row>
    <row r="3283" spans="2:7">
      <c r="B3283" s="6"/>
      <c r="E3283" s="7"/>
      <c r="F3283" t="str">
        <f t="shared" si="127"/>
        <v/>
      </c>
      <c r="G3283" t="str">
        <f t="shared" si="128"/>
        <v/>
      </c>
    </row>
    <row r="3284" spans="2:7">
      <c r="B3284" s="6"/>
      <c r="E3284" s="7"/>
      <c r="F3284" t="str">
        <f t="shared" si="127"/>
        <v/>
      </c>
      <c r="G3284" t="str">
        <f t="shared" si="128"/>
        <v/>
      </c>
    </row>
    <row r="3285" spans="2:7">
      <c r="B3285" s="6"/>
      <c r="E3285" s="7"/>
      <c r="F3285" t="str">
        <f t="shared" si="127"/>
        <v/>
      </c>
      <c r="G3285" t="str">
        <f t="shared" si="128"/>
        <v/>
      </c>
    </row>
    <row r="3286" spans="2:7">
      <c r="B3286" s="6"/>
      <c r="E3286" s="7"/>
      <c r="F3286" t="str">
        <f t="shared" si="127"/>
        <v/>
      </c>
      <c r="G3286" t="str">
        <f t="shared" si="128"/>
        <v/>
      </c>
    </row>
    <row r="3287" spans="2:7">
      <c r="B3287" s="6"/>
      <c r="E3287" s="7"/>
      <c r="F3287" t="str">
        <f t="shared" si="127"/>
        <v/>
      </c>
      <c r="G3287" t="str">
        <f t="shared" si="128"/>
        <v/>
      </c>
    </row>
    <row r="3288" spans="2:7">
      <c r="B3288" s="6"/>
      <c r="E3288" s="7"/>
      <c r="F3288" t="str">
        <f t="shared" si="127"/>
        <v/>
      </c>
      <c r="G3288" t="str">
        <f t="shared" si="128"/>
        <v/>
      </c>
    </row>
    <row r="3289" spans="2:7">
      <c r="B3289" s="6"/>
      <c r="E3289" s="7"/>
      <c r="F3289" t="str">
        <f t="shared" si="127"/>
        <v/>
      </c>
      <c r="G3289" t="str">
        <f t="shared" si="128"/>
        <v/>
      </c>
    </row>
    <row r="3290" spans="2:7">
      <c r="B3290" s="6"/>
      <c r="E3290" s="7"/>
      <c r="F3290" t="str">
        <f t="shared" si="127"/>
        <v/>
      </c>
      <c r="G3290" t="str">
        <f t="shared" si="128"/>
        <v/>
      </c>
    </row>
    <row r="3291" spans="2:7">
      <c r="B3291" s="6"/>
      <c r="E3291" s="7"/>
      <c r="F3291" t="str">
        <f t="shared" si="127"/>
        <v/>
      </c>
      <c r="G3291" t="str">
        <f t="shared" si="128"/>
        <v/>
      </c>
    </row>
    <row r="3292" spans="2:7">
      <c r="B3292" s="6"/>
      <c r="E3292" s="7"/>
      <c r="F3292" t="str">
        <f t="shared" si="127"/>
        <v/>
      </c>
      <c r="G3292" t="str">
        <f t="shared" si="128"/>
        <v/>
      </c>
    </row>
    <row r="3293" spans="2:7">
      <c r="B3293" s="6"/>
      <c r="E3293" s="7"/>
      <c r="F3293" t="str">
        <f t="shared" si="127"/>
        <v/>
      </c>
      <c r="G3293" t="str">
        <f t="shared" si="128"/>
        <v/>
      </c>
    </row>
    <row r="3294" spans="2:7">
      <c r="B3294" s="6"/>
      <c r="E3294" s="7"/>
      <c r="F3294" t="str">
        <f t="shared" si="127"/>
        <v/>
      </c>
      <c r="G3294" t="str">
        <f t="shared" si="128"/>
        <v/>
      </c>
    </row>
    <row r="3295" spans="2:7">
      <c r="B3295" s="6"/>
      <c r="E3295" s="7"/>
      <c r="F3295" t="str">
        <f t="shared" si="127"/>
        <v/>
      </c>
      <c r="G3295" t="str">
        <f t="shared" si="128"/>
        <v/>
      </c>
    </row>
    <row r="3296" spans="2:7">
      <c r="B3296" s="6"/>
      <c r="E3296" s="7"/>
      <c r="F3296" t="str">
        <f t="shared" si="127"/>
        <v/>
      </c>
      <c r="G3296" t="str">
        <f t="shared" si="128"/>
        <v/>
      </c>
    </row>
    <row r="3297" spans="2:7">
      <c r="B3297" s="6"/>
      <c r="E3297" s="7"/>
      <c r="F3297" t="str">
        <f t="shared" si="127"/>
        <v/>
      </c>
      <c r="G3297" t="str">
        <f t="shared" si="128"/>
        <v/>
      </c>
    </row>
    <row r="3298" spans="2:7">
      <c r="B3298" s="6"/>
      <c r="E3298" s="7"/>
      <c r="F3298" t="str">
        <f t="shared" si="127"/>
        <v/>
      </c>
      <c r="G3298" t="str">
        <f t="shared" si="128"/>
        <v/>
      </c>
    </row>
    <row r="3299" spans="2:7">
      <c r="B3299" s="6"/>
      <c r="E3299" s="7"/>
      <c r="F3299" t="str">
        <f t="shared" si="127"/>
        <v/>
      </c>
      <c r="G3299" t="str">
        <f t="shared" si="128"/>
        <v/>
      </c>
    </row>
    <row r="3300" spans="2:7">
      <c r="B3300" s="6"/>
      <c r="E3300" s="7"/>
      <c r="F3300" t="str">
        <f t="shared" si="127"/>
        <v/>
      </c>
      <c r="G3300" t="str">
        <f t="shared" si="128"/>
        <v/>
      </c>
    </row>
    <row r="3301" spans="2:7">
      <c r="B3301" s="6"/>
      <c r="E3301" s="7"/>
      <c r="F3301" t="str">
        <f t="shared" si="127"/>
        <v/>
      </c>
      <c r="G3301" t="str">
        <f t="shared" si="128"/>
        <v/>
      </c>
    </row>
    <row r="3302" spans="2:7">
      <c r="B3302" s="6"/>
      <c r="E3302" s="7"/>
      <c r="F3302" t="str">
        <f t="shared" si="127"/>
        <v/>
      </c>
      <c r="G3302" t="str">
        <f t="shared" si="128"/>
        <v/>
      </c>
    </row>
    <row r="3303" spans="2:7">
      <c r="B3303" s="6"/>
      <c r="E3303" s="7"/>
      <c r="F3303" t="str">
        <f t="shared" si="127"/>
        <v/>
      </c>
      <c r="G3303" t="str">
        <f t="shared" si="128"/>
        <v/>
      </c>
    </row>
    <row r="3304" spans="2:7">
      <c r="B3304" s="6"/>
      <c r="E3304" s="7"/>
      <c r="F3304" t="str">
        <f t="shared" si="127"/>
        <v/>
      </c>
      <c r="G3304" t="str">
        <f t="shared" si="128"/>
        <v/>
      </c>
    </row>
    <row r="3305" spans="2:7">
      <c r="B3305" s="6"/>
      <c r="E3305" s="7"/>
      <c r="F3305" t="str">
        <f t="shared" si="127"/>
        <v/>
      </c>
      <c r="G3305" t="str">
        <f t="shared" si="128"/>
        <v/>
      </c>
    </row>
    <row r="3306" spans="2:7">
      <c r="B3306" s="6"/>
      <c r="E3306" s="7"/>
      <c r="F3306" t="str">
        <f t="shared" si="127"/>
        <v/>
      </c>
      <c r="G3306" t="str">
        <f t="shared" si="128"/>
        <v/>
      </c>
    </row>
    <row r="3307" spans="2:7">
      <c r="B3307" s="6"/>
      <c r="E3307" s="7"/>
      <c r="F3307" t="str">
        <f t="shared" si="127"/>
        <v/>
      </c>
      <c r="G3307" t="str">
        <f t="shared" si="128"/>
        <v/>
      </c>
    </row>
    <row r="3308" spans="2:7">
      <c r="B3308" s="6"/>
      <c r="E3308" s="7"/>
      <c r="F3308" t="str">
        <f t="shared" si="127"/>
        <v/>
      </c>
      <c r="G3308" t="str">
        <f t="shared" si="128"/>
        <v/>
      </c>
    </row>
    <row r="3309" spans="2:7">
      <c r="B3309" s="6"/>
      <c r="E3309" s="7"/>
      <c r="F3309" t="str">
        <f t="shared" si="127"/>
        <v/>
      </c>
      <c r="G3309" t="str">
        <f t="shared" si="128"/>
        <v/>
      </c>
    </row>
    <row r="3310" spans="2:7">
      <c r="B3310" s="6"/>
      <c r="E3310" s="7"/>
      <c r="F3310" t="str">
        <f t="shared" si="127"/>
        <v/>
      </c>
      <c r="G3310" t="str">
        <f t="shared" si="128"/>
        <v/>
      </c>
    </row>
    <row r="3311" spans="2:7">
      <c r="B3311" s="6"/>
      <c r="E3311" s="7"/>
      <c r="F3311" t="str">
        <f t="shared" si="127"/>
        <v/>
      </c>
      <c r="G3311" t="str">
        <f t="shared" si="128"/>
        <v/>
      </c>
    </row>
    <row r="3312" spans="2:7">
      <c r="B3312" s="6"/>
      <c r="E3312" s="7"/>
      <c r="F3312" t="str">
        <f t="shared" si="127"/>
        <v/>
      </c>
      <c r="G3312" t="str">
        <f t="shared" si="128"/>
        <v/>
      </c>
    </row>
    <row r="3313" spans="2:7">
      <c r="B3313" s="6"/>
      <c r="E3313" s="7"/>
      <c r="F3313" t="str">
        <f t="shared" si="127"/>
        <v/>
      </c>
      <c r="G3313" t="str">
        <f t="shared" si="128"/>
        <v/>
      </c>
    </row>
    <row r="3314" spans="2:7">
      <c r="B3314" s="6"/>
      <c r="E3314" s="7"/>
      <c r="F3314" t="str">
        <f t="shared" si="127"/>
        <v/>
      </c>
      <c r="G3314" t="str">
        <f t="shared" si="128"/>
        <v/>
      </c>
    </row>
    <row r="3315" spans="2:7">
      <c r="B3315" s="6"/>
      <c r="E3315" s="7"/>
      <c r="F3315" t="str">
        <f t="shared" si="127"/>
        <v/>
      </c>
      <c r="G3315" t="str">
        <f t="shared" si="128"/>
        <v/>
      </c>
    </row>
    <row r="3316" spans="2:7">
      <c r="B3316" s="6"/>
      <c r="E3316" s="7"/>
      <c r="F3316" t="str">
        <f t="shared" si="127"/>
        <v/>
      </c>
      <c r="G3316" t="str">
        <f t="shared" si="128"/>
        <v/>
      </c>
    </row>
    <row r="3317" spans="2:7">
      <c r="B3317" s="6"/>
      <c r="E3317" s="7"/>
      <c r="F3317" t="str">
        <f t="shared" si="127"/>
        <v/>
      </c>
      <c r="G3317" t="str">
        <f t="shared" si="128"/>
        <v/>
      </c>
    </row>
    <row r="3318" spans="2:7">
      <c r="B3318" s="6"/>
      <c r="E3318" s="7"/>
      <c r="F3318" t="str">
        <f t="shared" si="127"/>
        <v/>
      </c>
      <c r="G3318" t="str">
        <f t="shared" si="128"/>
        <v/>
      </c>
    </row>
    <row r="3319" spans="2:7">
      <c r="B3319" s="6"/>
      <c r="E3319" s="7"/>
      <c r="F3319" t="str">
        <f t="shared" si="127"/>
        <v/>
      </c>
      <c r="G3319" t="str">
        <f t="shared" si="128"/>
        <v/>
      </c>
    </row>
    <row r="3320" spans="2:7">
      <c r="B3320" s="6"/>
      <c r="E3320" s="7"/>
      <c r="F3320" t="str">
        <f t="shared" si="127"/>
        <v/>
      </c>
      <c r="G3320" t="str">
        <f t="shared" si="128"/>
        <v/>
      </c>
    </row>
    <row r="3321" spans="2:7">
      <c r="B3321" s="6"/>
      <c r="E3321" s="7"/>
      <c r="F3321" t="str">
        <f t="shared" si="127"/>
        <v/>
      </c>
      <c r="G3321" t="str">
        <f t="shared" si="128"/>
        <v/>
      </c>
    </row>
    <row r="3322" spans="2:7">
      <c r="B3322" s="6"/>
      <c r="E3322" s="7"/>
      <c r="F3322" t="str">
        <f t="shared" si="127"/>
        <v/>
      </c>
      <c r="G3322" t="str">
        <f t="shared" si="128"/>
        <v/>
      </c>
    </row>
    <row r="3323" spans="2:7">
      <c r="B3323" s="6"/>
      <c r="E3323" s="7"/>
      <c r="F3323" t="str">
        <f t="shared" si="127"/>
        <v/>
      </c>
      <c r="G3323" t="str">
        <f t="shared" si="128"/>
        <v/>
      </c>
    </row>
    <row r="3324" spans="2:7">
      <c r="B3324" s="6"/>
      <c r="E3324" s="7"/>
      <c r="F3324" t="str">
        <f t="shared" si="127"/>
        <v/>
      </c>
      <c r="G3324" t="str">
        <f t="shared" si="128"/>
        <v/>
      </c>
    </row>
    <row r="3325" spans="2:7">
      <c r="B3325" s="6"/>
      <c r="E3325" s="7"/>
      <c r="F3325" t="str">
        <f t="shared" si="127"/>
        <v/>
      </c>
      <c r="G3325" t="str">
        <f t="shared" si="128"/>
        <v/>
      </c>
    </row>
    <row r="3326" spans="2:7">
      <c r="B3326" s="6"/>
      <c r="E3326" s="7"/>
      <c r="F3326" t="str">
        <f t="shared" si="127"/>
        <v/>
      </c>
      <c r="G3326" t="str">
        <f t="shared" si="128"/>
        <v/>
      </c>
    </row>
    <row r="3327" spans="2:7">
      <c r="B3327" s="6"/>
      <c r="E3327" s="7"/>
      <c r="F3327" t="str">
        <f t="shared" si="127"/>
        <v/>
      </c>
      <c r="G3327" t="str">
        <f t="shared" si="128"/>
        <v/>
      </c>
    </row>
    <row r="3328" spans="2:7">
      <c r="B3328" s="6"/>
      <c r="E3328" s="7"/>
      <c r="F3328" t="str">
        <f t="shared" si="127"/>
        <v/>
      </c>
      <c r="G3328" t="str">
        <f t="shared" si="128"/>
        <v/>
      </c>
    </row>
    <row r="3329" spans="2:7">
      <c r="B3329" s="6"/>
      <c r="E3329" s="7"/>
      <c r="F3329" t="str">
        <f t="shared" si="127"/>
        <v/>
      </c>
      <c r="G3329" t="str">
        <f t="shared" si="128"/>
        <v/>
      </c>
    </row>
    <row r="3330" spans="2:7">
      <c r="B3330" s="6"/>
      <c r="E3330" s="7"/>
      <c r="F3330" t="str">
        <f t="shared" si="127"/>
        <v/>
      </c>
      <c r="G3330" t="str">
        <f t="shared" si="128"/>
        <v/>
      </c>
    </row>
    <row r="3331" spans="2:7">
      <c r="B3331" s="6"/>
      <c r="E3331" s="7"/>
      <c r="F3331" t="str">
        <f t="shared" si="127"/>
        <v/>
      </c>
      <c r="G3331" t="str">
        <f t="shared" si="128"/>
        <v/>
      </c>
    </row>
    <row r="3332" spans="2:7">
      <c r="B3332" s="6"/>
      <c r="E3332" s="7"/>
      <c r="F3332" t="str">
        <f t="shared" ref="F3332:F3395" si="129">IF(B3332="","",LOG10(D3332))</f>
        <v/>
      </c>
      <c r="G3332" t="str">
        <f t="shared" ref="G3332:G3395" si="130">IF(E3332="", "",0.434*E3332/D3332)</f>
        <v/>
      </c>
    </row>
    <row r="3333" spans="2:7">
      <c r="B3333" s="6"/>
      <c r="E3333" s="7"/>
      <c r="F3333" t="str">
        <f t="shared" si="129"/>
        <v/>
      </c>
      <c r="G3333" t="str">
        <f t="shared" si="130"/>
        <v/>
      </c>
    </row>
    <row r="3334" spans="2:7">
      <c r="B3334" s="6"/>
      <c r="E3334" s="7"/>
      <c r="F3334" t="str">
        <f t="shared" si="129"/>
        <v/>
      </c>
      <c r="G3334" t="str">
        <f t="shared" si="130"/>
        <v/>
      </c>
    </row>
    <row r="3335" spans="2:7">
      <c r="B3335" s="6"/>
      <c r="E3335" s="7"/>
      <c r="F3335" t="str">
        <f t="shared" si="129"/>
        <v/>
      </c>
      <c r="G3335" t="str">
        <f t="shared" si="130"/>
        <v/>
      </c>
    </row>
    <row r="3336" spans="2:7">
      <c r="B3336" s="6"/>
      <c r="E3336" s="7"/>
      <c r="F3336" t="str">
        <f t="shared" si="129"/>
        <v/>
      </c>
      <c r="G3336" t="str">
        <f t="shared" si="130"/>
        <v/>
      </c>
    </row>
    <row r="3337" spans="2:7">
      <c r="B3337" s="6"/>
      <c r="E3337" s="7"/>
      <c r="F3337" t="str">
        <f t="shared" si="129"/>
        <v/>
      </c>
      <c r="G3337" t="str">
        <f t="shared" si="130"/>
        <v/>
      </c>
    </row>
    <row r="3338" spans="2:7">
      <c r="B3338" s="6"/>
      <c r="E3338" s="7"/>
      <c r="F3338" t="str">
        <f t="shared" si="129"/>
        <v/>
      </c>
      <c r="G3338" t="str">
        <f t="shared" si="130"/>
        <v/>
      </c>
    </row>
    <row r="3339" spans="2:7">
      <c r="B3339" s="6"/>
      <c r="E3339" s="7"/>
      <c r="F3339" t="str">
        <f t="shared" si="129"/>
        <v/>
      </c>
      <c r="G3339" t="str">
        <f t="shared" si="130"/>
        <v/>
      </c>
    </row>
    <row r="3340" spans="2:7">
      <c r="B3340" s="6"/>
      <c r="E3340" s="7"/>
      <c r="F3340" t="str">
        <f t="shared" si="129"/>
        <v/>
      </c>
      <c r="G3340" t="str">
        <f t="shared" si="130"/>
        <v/>
      </c>
    </row>
    <row r="3341" spans="2:7">
      <c r="B3341" s="6"/>
      <c r="E3341" s="7"/>
      <c r="F3341" t="str">
        <f t="shared" si="129"/>
        <v/>
      </c>
      <c r="G3341" t="str">
        <f t="shared" si="130"/>
        <v/>
      </c>
    </row>
    <row r="3342" spans="2:7">
      <c r="B3342" s="6"/>
      <c r="E3342" s="7"/>
      <c r="F3342" t="str">
        <f t="shared" si="129"/>
        <v/>
      </c>
      <c r="G3342" t="str">
        <f t="shared" si="130"/>
        <v/>
      </c>
    </row>
    <row r="3343" spans="2:7">
      <c r="B3343" s="6"/>
      <c r="E3343" s="7"/>
      <c r="F3343" t="str">
        <f t="shared" si="129"/>
        <v/>
      </c>
      <c r="G3343" t="str">
        <f t="shared" si="130"/>
        <v/>
      </c>
    </row>
    <row r="3344" spans="2:7">
      <c r="B3344" s="6"/>
      <c r="E3344" s="7"/>
      <c r="F3344" t="str">
        <f t="shared" si="129"/>
        <v/>
      </c>
      <c r="G3344" t="str">
        <f t="shared" si="130"/>
        <v/>
      </c>
    </row>
    <row r="3345" spans="2:7">
      <c r="B3345" s="6"/>
      <c r="E3345" s="7"/>
      <c r="F3345" t="str">
        <f t="shared" si="129"/>
        <v/>
      </c>
      <c r="G3345" t="str">
        <f t="shared" si="130"/>
        <v/>
      </c>
    </row>
    <row r="3346" spans="2:7">
      <c r="B3346" s="6"/>
      <c r="E3346" s="7"/>
      <c r="F3346" t="str">
        <f t="shared" si="129"/>
        <v/>
      </c>
      <c r="G3346" t="str">
        <f t="shared" si="130"/>
        <v/>
      </c>
    </row>
    <row r="3347" spans="2:7">
      <c r="B3347" s="6"/>
      <c r="E3347" s="7"/>
      <c r="F3347" t="str">
        <f t="shared" si="129"/>
        <v/>
      </c>
      <c r="G3347" t="str">
        <f t="shared" si="130"/>
        <v/>
      </c>
    </row>
    <row r="3348" spans="2:7">
      <c r="B3348" s="6"/>
      <c r="E3348" s="7"/>
      <c r="F3348" t="str">
        <f t="shared" si="129"/>
        <v/>
      </c>
      <c r="G3348" t="str">
        <f t="shared" si="130"/>
        <v/>
      </c>
    </row>
    <row r="3349" spans="2:7">
      <c r="B3349" s="6"/>
      <c r="E3349" s="7"/>
      <c r="F3349" t="str">
        <f t="shared" si="129"/>
        <v/>
      </c>
      <c r="G3349" t="str">
        <f t="shared" si="130"/>
        <v/>
      </c>
    </row>
    <row r="3350" spans="2:7">
      <c r="B3350" s="6"/>
      <c r="E3350" s="7"/>
      <c r="F3350" t="str">
        <f t="shared" si="129"/>
        <v/>
      </c>
      <c r="G3350" t="str">
        <f t="shared" si="130"/>
        <v/>
      </c>
    </row>
    <row r="3351" spans="2:7">
      <c r="B3351" s="6"/>
      <c r="E3351" s="7"/>
      <c r="F3351" t="str">
        <f t="shared" si="129"/>
        <v/>
      </c>
      <c r="G3351" t="str">
        <f t="shared" si="130"/>
        <v/>
      </c>
    </row>
    <row r="3352" spans="2:7">
      <c r="B3352" s="6"/>
      <c r="E3352" s="7"/>
      <c r="F3352" t="str">
        <f t="shared" si="129"/>
        <v/>
      </c>
      <c r="G3352" t="str">
        <f t="shared" si="130"/>
        <v/>
      </c>
    </row>
    <row r="3353" spans="2:7">
      <c r="B3353" s="6"/>
      <c r="E3353" s="7"/>
      <c r="F3353" t="str">
        <f t="shared" si="129"/>
        <v/>
      </c>
      <c r="G3353" t="str">
        <f t="shared" si="130"/>
        <v/>
      </c>
    </row>
    <row r="3354" spans="2:7">
      <c r="B3354" s="6"/>
      <c r="E3354" s="7"/>
      <c r="F3354" t="str">
        <f t="shared" si="129"/>
        <v/>
      </c>
      <c r="G3354" t="str">
        <f t="shared" si="130"/>
        <v/>
      </c>
    </row>
    <row r="3355" spans="2:7">
      <c r="B3355" s="6"/>
      <c r="E3355" s="7"/>
      <c r="F3355" t="str">
        <f t="shared" si="129"/>
        <v/>
      </c>
      <c r="G3355" t="str">
        <f t="shared" si="130"/>
        <v/>
      </c>
    </row>
    <row r="3356" spans="2:7">
      <c r="B3356" s="6"/>
      <c r="E3356" s="7"/>
      <c r="F3356" t="str">
        <f t="shared" si="129"/>
        <v/>
      </c>
      <c r="G3356" t="str">
        <f t="shared" si="130"/>
        <v/>
      </c>
    </row>
    <row r="3357" spans="2:7">
      <c r="B3357" s="6"/>
      <c r="E3357" s="7"/>
      <c r="F3357" t="str">
        <f t="shared" si="129"/>
        <v/>
      </c>
      <c r="G3357" t="str">
        <f t="shared" si="130"/>
        <v/>
      </c>
    </row>
    <row r="3358" spans="2:7">
      <c r="B3358" s="6"/>
      <c r="E3358" s="7"/>
      <c r="F3358" t="str">
        <f t="shared" si="129"/>
        <v/>
      </c>
      <c r="G3358" t="str">
        <f t="shared" si="130"/>
        <v/>
      </c>
    </row>
    <row r="3359" spans="2:7">
      <c r="B3359" s="6"/>
      <c r="E3359" s="7"/>
      <c r="F3359" t="str">
        <f t="shared" si="129"/>
        <v/>
      </c>
      <c r="G3359" t="str">
        <f t="shared" si="130"/>
        <v/>
      </c>
    </row>
    <row r="3360" spans="2:7">
      <c r="B3360" s="6"/>
      <c r="E3360" s="7"/>
      <c r="F3360" t="str">
        <f t="shared" si="129"/>
        <v/>
      </c>
      <c r="G3360" t="str">
        <f t="shared" si="130"/>
        <v/>
      </c>
    </row>
    <row r="3361" spans="2:7">
      <c r="B3361" s="6"/>
      <c r="E3361" s="7"/>
      <c r="F3361" t="str">
        <f t="shared" si="129"/>
        <v/>
      </c>
      <c r="G3361" t="str">
        <f t="shared" si="130"/>
        <v/>
      </c>
    </row>
    <row r="3362" spans="2:7">
      <c r="B3362" s="6"/>
      <c r="E3362" s="7"/>
      <c r="F3362" t="str">
        <f t="shared" si="129"/>
        <v/>
      </c>
      <c r="G3362" t="str">
        <f t="shared" si="130"/>
        <v/>
      </c>
    </row>
    <row r="3363" spans="2:7">
      <c r="B3363" s="6"/>
      <c r="E3363" s="7"/>
      <c r="F3363" t="str">
        <f t="shared" si="129"/>
        <v/>
      </c>
      <c r="G3363" t="str">
        <f t="shared" si="130"/>
        <v/>
      </c>
    </row>
    <row r="3364" spans="2:7">
      <c r="B3364" s="6"/>
      <c r="E3364" s="7"/>
      <c r="F3364" t="str">
        <f t="shared" si="129"/>
        <v/>
      </c>
      <c r="G3364" t="str">
        <f t="shared" si="130"/>
        <v/>
      </c>
    </row>
    <row r="3365" spans="2:7">
      <c r="B3365" s="6"/>
      <c r="E3365" s="7"/>
      <c r="F3365" t="str">
        <f t="shared" si="129"/>
        <v/>
      </c>
      <c r="G3365" t="str">
        <f t="shared" si="130"/>
        <v/>
      </c>
    </row>
    <row r="3366" spans="2:7">
      <c r="B3366" s="6"/>
      <c r="E3366" s="7"/>
      <c r="F3366" t="str">
        <f t="shared" si="129"/>
        <v/>
      </c>
      <c r="G3366" t="str">
        <f t="shared" si="130"/>
        <v/>
      </c>
    </row>
    <row r="3367" spans="2:7">
      <c r="B3367" s="6"/>
      <c r="E3367" s="7"/>
      <c r="F3367" t="str">
        <f t="shared" si="129"/>
        <v/>
      </c>
      <c r="G3367" t="str">
        <f t="shared" si="130"/>
        <v/>
      </c>
    </row>
    <row r="3368" spans="2:7">
      <c r="B3368" s="6"/>
      <c r="E3368" s="7"/>
      <c r="F3368" t="str">
        <f t="shared" si="129"/>
        <v/>
      </c>
      <c r="G3368" t="str">
        <f t="shared" si="130"/>
        <v/>
      </c>
    </row>
    <row r="3369" spans="2:7">
      <c r="B3369" s="6"/>
      <c r="E3369" s="7"/>
      <c r="F3369" t="str">
        <f t="shared" si="129"/>
        <v/>
      </c>
      <c r="G3369" t="str">
        <f t="shared" si="130"/>
        <v/>
      </c>
    </row>
    <row r="3370" spans="2:7">
      <c r="B3370" s="6"/>
      <c r="E3370" s="7"/>
      <c r="F3370" t="str">
        <f t="shared" si="129"/>
        <v/>
      </c>
      <c r="G3370" t="str">
        <f t="shared" si="130"/>
        <v/>
      </c>
    </row>
    <row r="3371" spans="2:7">
      <c r="B3371" s="6"/>
      <c r="E3371" s="7"/>
      <c r="F3371" t="str">
        <f t="shared" si="129"/>
        <v/>
      </c>
      <c r="G3371" t="str">
        <f t="shared" si="130"/>
        <v/>
      </c>
    </row>
    <row r="3372" spans="2:7">
      <c r="B3372" s="6"/>
      <c r="E3372" s="7"/>
      <c r="F3372" t="str">
        <f t="shared" si="129"/>
        <v/>
      </c>
      <c r="G3372" t="str">
        <f t="shared" si="130"/>
        <v/>
      </c>
    </row>
    <row r="3373" spans="2:7">
      <c r="B3373" s="6"/>
      <c r="E3373" s="7"/>
      <c r="F3373" t="str">
        <f t="shared" si="129"/>
        <v/>
      </c>
      <c r="G3373" t="str">
        <f t="shared" si="130"/>
        <v/>
      </c>
    </row>
    <row r="3374" spans="2:7">
      <c r="B3374" s="6"/>
      <c r="E3374" s="7"/>
      <c r="F3374" t="str">
        <f t="shared" si="129"/>
        <v/>
      </c>
      <c r="G3374" t="str">
        <f t="shared" si="130"/>
        <v/>
      </c>
    </row>
    <row r="3375" spans="2:7">
      <c r="B3375" s="6"/>
      <c r="E3375" s="7"/>
      <c r="F3375" t="str">
        <f t="shared" si="129"/>
        <v/>
      </c>
      <c r="G3375" t="str">
        <f t="shared" si="130"/>
        <v/>
      </c>
    </row>
    <row r="3376" spans="2:7">
      <c r="B3376" s="6"/>
      <c r="E3376" s="7"/>
      <c r="F3376" t="str">
        <f t="shared" si="129"/>
        <v/>
      </c>
      <c r="G3376" t="str">
        <f t="shared" si="130"/>
        <v/>
      </c>
    </row>
    <row r="3377" spans="2:7">
      <c r="B3377" s="6"/>
      <c r="E3377" s="7"/>
      <c r="F3377" t="str">
        <f t="shared" si="129"/>
        <v/>
      </c>
      <c r="G3377" t="str">
        <f t="shared" si="130"/>
        <v/>
      </c>
    </row>
    <row r="3378" spans="2:7">
      <c r="B3378" s="6"/>
      <c r="E3378" s="7"/>
      <c r="F3378" t="str">
        <f t="shared" si="129"/>
        <v/>
      </c>
      <c r="G3378" t="str">
        <f t="shared" si="130"/>
        <v/>
      </c>
    </row>
    <row r="3379" spans="2:7">
      <c r="B3379" s="6"/>
      <c r="E3379" s="7"/>
      <c r="F3379" t="str">
        <f t="shared" si="129"/>
        <v/>
      </c>
      <c r="G3379" t="str">
        <f t="shared" si="130"/>
        <v/>
      </c>
    </row>
    <row r="3380" spans="2:7">
      <c r="B3380" s="6"/>
      <c r="E3380" s="7"/>
      <c r="F3380" t="str">
        <f t="shared" si="129"/>
        <v/>
      </c>
      <c r="G3380" t="str">
        <f t="shared" si="130"/>
        <v/>
      </c>
    </row>
    <row r="3381" spans="2:7">
      <c r="B3381" s="6"/>
      <c r="E3381" s="7"/>
      <c r="F3381" t="str">
        <f t="shared" si="129"/>
        <v/>
      </c>
      <c r="G3381" t="str">
        <f t="shared" si="130"/>
        <v/>
      </c>
    </row>
    <row r="3382" spans="2:7">
      <c r="B3382" s="6"/>
      <c r="E3382" s="7"/>
      <c r="F3382" t="str">
        <f t="shared" si="129"/>
        <v/>
      </c>
      <c r="G3382" t="str">
        <f t="shared" si="130"/>
        <v/>
      </c>
    </row>
    <row r="3383" spans="2:7">
      <c r="B3383" s="6"/>
      <c r="E3383" s="7"/>
      <c r="F3383" t="str">
        <f t="shared" si="129"/>
        <v/>
      </c>
      <c r="G3383" t="str">
        <f t="shared" si="130"/>
        <v/>
      </c>
    </row>
    <row r="3384" spans="2:7">
      <c r="B3384" s="6"/>
      <c r="E3384" s="7"/>
      <c r="F3384" t="str">
        <f t="shared" si="129"/>
        <v/>
      </c>
      <c r="G3384" t="str">
        <f t="shared" si="130"/>
        <v/>
      </c>
    </row>
    <row r="3385" spans="2:7">
      <c r="B3385" s="6"/>
      <c r="E3385" s="7"/>
      <c r="F3385" t="str">
        <f t="shared" si="129"/>
        <v/>
      </c>
      <c r="G3385" t="str">
        <f t="shared" si="130"/>
        <v/>
      </c>
    </row>
    <row r="3386" spans="2:7">
      <c r="B3386" s="6"/>
      <c r="E3386" s="7"/>
      <c r="F3386" t="str">
        <f t="shared" si="129"/>
        <v/>
      </c>
      <c r="G3386" t="str">
        <f t="shared" si="130"/>
        <v/>
      </c>
    </row>
    <row r="3387" spans="2:7">
      <c r="B3387" s="6"/>
      <c r="E3387" s="7"/>
      <c r="F3387" t="str">
        <f t="shared" si="129"/>
        <v/>
      </c>
      <c r="G3387" t="str">
        <f t="shared" si="130"/>
        <v/>
      </c>
    </row>
    <row r="3388" spans="2:7">
      <c r="B3388" s="6"/>
      <c r="E3388" s="7"/>
      <c r="F3388" t="str">
        <f t="shared" si="129"/>
        <v/>
      </c>
      <c r="G3388" t="str">
        <f t="shared" si="130"/>
        <v/>
      </c>
    </row>
    <row r="3389" spans="2:7">
      <c r="B3389" s="6"/>
      <c r="E3389" s="7"/>
      <c r="F3389" t="str">
        <f t="shared" si="129"/>
        <v/>
      </c>
      <c r="G3389" t="str">
        <f t="shared" si="130"/>
        <v/>
      </c>
    </row>
    <row r="3390" spans="2:7">
      <c r="B3390" s="6"/>
      <c r="E3390" s="7"/>
      <c r="F3390" t="str">
        <f t="shared" si="129"/>
        <v/>
      </c>
      <c r="G3390" t="str">
        <f t="shared" si="130"/>
        <v/>
      </c>
    </row>
    <row r="3391" spans="2:7">
      <c r="B3391" s="6"/>
      <c r="E3391" s="7"/>
      <c r="F3391" t="str">
        <f t="shared" si="129"/>
        <v/>
      </c>
      <c r="G3391" t="str">
        <f t="shared" si="130"/>
        <v/>
      </c>
    </row>
    <row r="3392" spans="2:7">
      <c r="B3392" s="6"/>
      <c r="E3392" s="7"/>
      <c r="F3392" t="str">
        <f t="shared" si="129"/>
        <v/>
      </c>
      <c r="G3392" t="str">
        <f t="shared" si="130"/>
        <v/>
      </c>
    </row>
    <row r="3393" spans="2:7">
      <c r="B3393" s="6"/>
      <c r="E3393" s="7"/>
      <c r="F3393" t="str">
        <f t="shared" si="129"/>
        <v/>
      </c>
      <c r="G3393" t="str">
        <f t="shared" si="130"/>
        <v/>
      </c>
    </row>
    <row r="3394" spans="2:7">
      <c r="B3394" s="6"/>
      <c r="E3394" s="7"/>
      <c r="F3394" t="str">
        <f t="shared" si="129"/>
        <v/>
      </c>
      <c r="G3394" t="str">
        <f t="shared" si="130"/>
        <v/>
      </c>
    </row>
    <row r="3395" spans="2:7">
      <c r="B3395" s="6"/>
      <c r="E3395" s="7"/>
      <c r="F3395" t="str">
        <f t="shared" si="129"/>
        <v/>
      </c>
      <c r="G3395" t="str">
        <f t="shared" si="130"/>
        <v/>
      </c>
    </row>
    <row r="3396" spans="2:7">
      <c r="B3396" s="6"/>
      <c r="E3396" s="7"/>
      <c r="F3396" t="str">
        <f t="shared" ref="F3396:F3459" si="131">IF(B3396="","",LOG10(D3396))</f>
        <v/>
      </c>
      <c r="G3396" t="str">
        <f t="shared" ref="G3396:G3459" si="132">IF(E3396="", "",0.434*E3396/D3396)</f>
        <v/>
      </c>
    </row>
    <row r="3397" spans="2:7">
      <c r="B3397" s="6"/>
      <c r="E3397" s="7"/>
      <c r="F3397" t="str">
        <f t="shared" si="131"/>
        <v/>
      </c>
      <c r="G3397" t="str">
        <f t="shared" si="132"/>
        <v/>
      </c>
    </row>
    <row r="3398" spans="2:7">
      <c r="B3398" s="6"/>
      <c r="E3398" s="7"/>
      <c r="F3398" t="str">
        <f t="shared" si="131"/>
        <v/>
      </c>
      <c r="G3398" t="str">
        <f t="shared" si="132"/>
        <v/>
      </c>
    </row>
    <row r="3399" spans="2:7">
      <c r="B3399" s="6"/>
      <c r="E3399" s="7"/>
      <c r="F3399" t="str">
        <f t="shared" si="131"/>
        <v/>
      </c>
      <c r="G3399" t="str">
        <f t="shared" si="132"/>
        <v/>
      </c>
    </row>
    <row r="3400" spans="2:7">
      <c r="B3400" s="6"/>
      <c r="E3400" s="7"/>
      <c r="F3400" t="str">
        <f t="shared" si="131"/>
        <v/>
      </c>
      <c r="G3400" t="str">
        <f t="shared" si="132"/>
        <v/>
      </c>
    </row>
    <row r="3401" spans="2:7">
      <c r="B3401" s="6"/>
      <c r="E3401" s="7"/>
      <c r="F3401" t="str">
        <f t="shared" si="131"/>
        <v/>
      </c>
      <c r="G3401" t="str">
        <f t="shared" si="132"/>
        <v/>
      </c>
    </row>
    <row r="3402" spans="2:7">
      <c r="B3402" s="6"/>
      <c r="E3402" s="7"/>
      <c r="F3402" t="str">
        <f t="shared" si="131"/>
        <v/>
      </c>
      <c r="G3402" t="str">
        <f t="shared" si="132"/>
        <v/>
      </c>
    </row>
    <row r="3403" spans="2:7">
      <c r="B3403" s="6"/>
      <c r="E3403" s="7"/>
      <c r="F3403" t="str">
        <f t="shared" si="131"/>
        <v/>
      </c>
      <c r="G3403" t="str">
        <f t="shared" si="132"/>
        <v/>
      </c>
    </row>
    <row r="3404" spans="2:7">
      <c r="B3404" s="6"/>
      <c r="E3404" s="7"/>
      <c r="F3404" t="str">
        <f t="shared" si="131"/>
        <v/>
      </c>
      <c r="G3404" t="str">
        <f t="shared" si="132"/>
        <v/>
      </c>
    </row>
    <row r="3405" spans="2:7">
      <c r="B3405" s="6"/>
      <c r="E3405" s="7"/>
      <c r="F3405" t="str">
        <f t="shared" si="131"/>
        <v/>
      </c>
      <c r="G3405" t="str">
        <f t="shared" si="132"/>
        <v/>
      </c>
    </row>
    <row r="3406" spans="2:7">
      <c r="B3406" s="6"/>
      <c r="E3406" s="7"/>
      <c r="F3406" t="str">
        <f t="shared" si="131"/>
        <v/>
      </c>
      <c r="G3406" t="str">
        <f t="shared" si="132"/>
        <v/>
      </c>
    </row>
    <row r="3407" spans="2:7">
      <c r="B3407" s="6"/>
      <c r="E3407" s="7"/>
      <c r="F3407" t="str">
        <f t="shared" si="131"/>
        <v/>
      </c>
      <c r="G3407" t="str">
        <f t="shared" si="132"/>
        <v/>
      </c>
    </row>
    <row r="3408" spans="2:7">
      <c r="B3408" s="6"/>
      <c r="E3408" s="7"/>
      <c r="F3408" t="str">
        <f t="shared" si="131"/>
        <v/>
      </c>
      <c r="G3408" t="str">
        <f t="shared" si="132"/>
        <v/>
      </c>
    </row>
    <row r="3409" spans="2:7">
      <c r="B3409" s="6"/>
      <c r="E3409" s="7"/>
      <c r="F3409" t="str">
        <f t="shared" si="131"/>
        <v/>
      </c>
      <c r="G3409" t="str">
        <f t="shared" si="132"/>
        <v/>
      </c>
    </row>
    <row r="3410" spans="2:7">
      <c r="B3410" s="6"/>
      <c r="E3410" s="7"/>
      <c r="F3410" t="str">
        <f t="shared" si="131"/>
        <v/>
      </c>
      <c r="G3410" t="str">
        <f t="shared" si="132"/>
        <v/>
      </c>
    </row>
    <row r="3411" spans="2:7">
      <c r="B3411" s="6"/>
      <c r="E3411" s="7"/>
      <c r="F3411" t="str">
        <f t="shared" si="131"/>
        <v/>
      </c>
      <c r="G3411" t="str">
        <f t="shared" si="132"/>
        <v/>
      </c>
    </row>
    <row r="3412" spans="2:7">
      <c r="B3412" s="6"/>
      <c r="E3412" s="7"/>
      <c r="F3412" t="str">
        <f t="shared" si="131"/>
        <v/>
      </c>
      <c r="G3412" t="str">
        <f t="shared" si="132"/>
        <v/>
      </c>
    </row>
    <row r="3413" spans="2:7">
      <c r="B3413" s="6"/>
      <c r="E3413" s="7"/>
      <c r="F3413" t="str">
        <f t="shared" si="131"/>
        <v/>
      </c>
      <c r="G3413" t="str">
        <f t="shared" si="132"/>
        <v/>
      </c>
    </row>
    <row r="3414" spans="2:7">
      <c r="B3414" s="6"/>
      <c r="E3414" s="7"/>
      <c r="F3414" t="str">
        <f t="shared" si="131"/>
        <v/>
      </c>
      <c r="G3414" t="str">
        <f t="shared" si="132"/>
        <v/>
      </c>
    </row>
    <row r="3415" spans="2:7">
      <c r="B3415" s="6"/>
      <c r="E3415" s="7"/>
      <c r="F3415" t="str">
        <f t="shared" si="131"/>
        <v/>
      </c>
      <c r="G3415" t="str">
        <f t="shared" si="132"/>
        <v/>
      </c>
    </row>
    <row r="3416" spans="2:7">
      <c r="B3416" s="6"/>
      <c r="E3416" s="7"/>
      <c r="F3416" t="str">
        <f t="shared" si="131"/>
        <v/>
      </c>
      <c r="G3416" t="str">
        <f t="shared" si="132"/>
        <v/>
      </c>
    </row>
    <row r="3417" spans="2:7">
      <c r="B3417" s="6"/>
      <c r="E3417" s="7"/>
      <c r="F3417" t="str">
        <f t="shared" si="131"/>
        <v/>
      </c>
      <c r="G3417" t="str">
        <f t="shared" si="132"/>
        <v/>
      </c>
    </row>
    <row r="3418" spans="2:7">
      <c r="B3418" s="6"/>
      <c r="E3418" s="7"/>
      <c r="F3418" t="str">
        <f t="shared" si="131"/>
        <v/>
      </c>
      <c r="G3418" t="str">
        <f t="shared" si="132"/>
        <v/>
      </c>
    </row>
    <row r="3419" spans="2:7">
      <c r="B3419" s="6"/>
      <c r="E3419" s="7"/>
      <c r="F3419" t="str">
        <f t="shared" si="131"/>
        <v/>
      </c>
      <c r="G3419" t="str">
        <f t="shared" si="132"/>
        <v/>
      </c>
    </row>
    <row r="3420" spans="2:7">
      <c r="B3420" s="6"/>
      <c r="E3420" s="7"/>
      <c r="F3420" t="str">
        <f t="shared" si="131"/>
        <v/>
      </c>
      <c r="G3420" t="str">
        <f t="shared" si="132"/>
        <v/>
      </c>
    </row>
    <row r="3421" spans="2:7">
      <c r="B3421" s="6"/>
      <c r="E3421" s="7"/>
      <c r="F3421" t="str">
        <f t="shared" si="131"/>
        <v/>
      </c>
      <c r="G3421" t="str">
        <f t="shared" si="132"/>
        <v/>
      </c>
    </row>
    <row r="3422" spans="2:7">
      <c r="B3422" s="6"/>
      <c r="E3422" s="7"/>
      <c r="F3422" t="str">
        <f t="shared" si="131"/>
        <v/>
      </c>
      <c r="G3422" t="str">
        <f t="shared" si="132"/>
        <v/>
      </c>
    </row>
    <row r="3423" spans="2:7">
      <c r="B3423" s="6"/>
      <c r="E3423" s="7"/>
      <c r="F3423" t="str">
        <f t="shared" si="131"/>
        <v/>
      </c>
      <c r="G3423" t="str">
        <f t="shared" si="132"/>
        <v/>
      </c>
    </row>
    <row r="3424" spans="2:7">
      <c r="B3424" s="6"/>
      <c r="E3424" s="7"/>
      <c r="F3424" t="str">
        <f t="shared" si="131"/>
        <v/>
      </c>
      <c r="G3424" t="str">
        <f t="shared" si="132"/>
        <v/>
      </c>
    </row>
    <row r="3425" spans="2:7">
      <c r="B3425" s="6"/>
      <c r="E3425" s="7"/>
      <c r="F3425" t="str">
        <f t="shared" si="131"/>
        <v/>
      </c>
      <c r="G3425" t="str">
        <f t="shared" si="132"/>
        <v/>
      </c>
    </row>
    <row r="3426" spans="2:7">
      <c r="B3426" s="6"/>
      <c r="E3426" s="7"/>
      <c r="F3426" t="str">
        <f t="shared" si="131"/>
        <v/>
      </c>
      <c r="G3426" t="str">
        <f t="shared" si="132"/>
        <v/>
      </c>
    </row>
    <row r="3427" spans="2:7">
      <c r="B3427" s="6"/>
      <c r="E3427" s="7"/>
      <c r="F3427" t="str">
        <f t="shared" si="131"/>
        <v/>
      </c>
      <c r="G3427" t="str">
        <f t="shared" si="132"/>
        <v/>
      </c>
    </row>
    <row r="3428" spans="2:7">
      <c r="B3428" s="6"/>
      <c r="E3428" s="7"/>
      <c r="F3428" t="str">
        <f t="shared" si="131"/>
        <v/>
      </c>
      <c r="G3428" t="str">
        <f t="shared" si="132"/>
        <v/>
      </c>
    </row>
    <row r="3429" spans="2:7">
      <c r="B3429" s="6"/>
      <c r="E3429" s="7"/>
      <c r="F3429" t="str">
        <f t="shared" si="131"/>
        <v/>
      </c>
      <c r="G3429" t="str">
        <f t="shared" si="132"/>
        <v/>
      </c>
    </row>
    <row r="3430" spans="2:7">
      <c r="B3430" s="6"/>
      <c r="E3430" s="7"/>
      <c r="F3430" t="str">
        <f t="shared" si="131"/>
        <v/>
      </c>
      <c r="G3430" t="str">
        <f t="shared" si="132"/>
        <v/>
      </c>
    </row>
    <row r="3431" spans="2:7">
      <c r="B3431" s="6"/>
      <c r="E3431" s="7"/>
      <c r="F3431" t="str">
        <f t="shared" si="131"/>
        <v/>
      </c>
      <c r="G3431" t="str">
        <f t="shared" si="132"/>
        <v/>
      </c>
    </row>
    <row r="3432" spans="2:7">
      <c r="B3432" s="6"/>
      <c r="E3432" s="7"/>
      <c r="F3432" t="str">
        <f t="shared" si="131"/>
        <v/>
      </c>
      <c r="G3432" t="str">
        <f t="shared" si="132"/>
        <v/>
      </c>
    </row>
    <row r="3433" spans="2:7">
      <c r="B3433" s="6"/>
      <c r="E3433" s="7"/>
      <c r="F3433" t="str">
        <f t="shared" si="131"/>
        <v/>
      </c>
      <c r="G3433" t="str">
        <f t="shared" si="132"/>
        <v/>
      </c>
    </row>
    <row r="3434" spans="2:7">
      <c r="B3434" s="6"/>
      <c r="E3434" s="7"/>
      <c r="F3434" t="str">
        <f t="shared" si="131"/>
        <v/>
      </c>
      <c r="G3434" t="str">
        <f t="shared" si="132"/>
        <v/>
      </c>
    </row>
    <row r="3435" spans="2:7">
      <c r="B3435" s="6"/>
      <c r="E3435" s="7"/>
      <c r="F3435" t="str">
        <f t="shared" si="131"/>
        <v/>
      </c>
      <c r="G3435" t="str">
        <f t="shared" si="132"/>
        <v/>
      </c>
    </row>
    <row r="3436" spans="2:7">
      <c r="B3436" s="6"/>
      <c r="E3436" s="7"/>
      <c r="F3436" t="str">
        <f t="shared" si="131"/>
        <v/>
      </c>
      <c r="G3436" t="str">
        <f t="shared" si="132"/>
        <v/>
      </c>
    </row>
    <row r="3437" spans="2:7">
      <c r="B3437" s="6"/>
      <c r="E3437" s="7"/>
      <c r="F3437" t="str">
        <f t="shared" si="131"/>
        <v/>
      </c>
      <c r="G3437" t="str">
        <f t="shared" si="132"/>
        <v/>
      </c>
    </row>
    <row r="3438" spans="2:7">
      <c r="B3438" s="6"/>
      <c r="E3438" s="7"/>
      <c r="F3438" t="str">
        <f t="shared" si="131"/>
        <v/>
      </c>
      <c r="G3438" t="str">
        <f t="shared" si="132"/>
        <v/>
      </c>
    </row>
    <row r="3439" spans="2:7">
      <c r="B3439" s="6"/>
      <c r="E3439" s="7"/>
      <c r="F3439" t="str">
        <f t="shared" si="131"/>
        <v/>
      </c>
      <c r="G3439" t="str">
        <f t="shared" si="132"/>
        <v/>
      </c>
    </row>
    <row r="3440" spans="2:7">
      <c r="B3440" s="6"/>
      <c r="E3440" s="7"/>
      <c r="F3440" t="str">
        <f t="shared" si="131"/>
        <v/>
      </c>
      <c r="G3440" t="str">
        <f t="shared" si="132"/>
        <v/>
      </c>
    </row>
    <row r="3441" spans="2:7">
      <c r="B3441" s="6"/>
      <c r="E3441" s="7"/>
      <c r="F3441" t="str">
        <f t="shared" si="131"/>
        <v/>
      </c>
      <c r="G3441" t="str">
        <f t="shared" si="132"/>
        <v/>
      </c>
    </row>
    <row r="3442" spans="2:7">
      <c r="B3442" s="6"/>
      <c r="E3442" s="7"/>
      <c r="F3442" t="str">
        <f t="shared" si="131"/>
        <v/>
      </c>
      <c r="G3442" t="str">
        <f t="shared" si="132"/>
        <v/>
      </c>
    </row>
    <row r="3443" spans="2:7">
      <c r="B3443" s="6"/>
      <c r="E3443" s="7"/>
      <c r="F3443" t="str">
        <f t="shared" si="131"/>
        <v/>
      </c>
      <c r="G3443" t="str">
        <f t="shared" si="132"/>
        <v/>
      </c>
    </row>
    <row r="3444" spans="2:7">
      <c r="B3444" s="6"/>
      <c r="E3444" s="7"/>
      <c r="F3444" t="str">
        <f t="shared" si="131"/>
        <v/>
      </c>
      <c r="G3444" t="str">
        <f t="shared" si="132"/>
        <v/>
      </c>
    </row>
    <row r="3445" spans="2:7">
      <c r="B3445" s="6"/>
      <c r="E3445" s="7"/>
      <c r="F3445" t="str">
        <f t="shared" si="131"/>
        <v/>
      </c>
      <c r="G3445" t="str">
        <f t="shared" si="132"/>
        <v/>
      </c>
    </row>
    <row r="3446" spans="2:7">
      <c r="B3446" s="6"/>
      <c r="E3446" s="7"/>
      <c r="F3446" t="str">
        <f t="shared" si="131"/>
        <v/>
      </c>
      <c r="G3446" t="str">
        <f t="shared" si="132"/>
        <v/>
      </c>
    </row>
    <row r="3447" spans="2:7">
      <c r="B3447" s="6"/>
      <c r="E3447" s="7"/>
      <c r="F3447" t="str">
        <f t="shared" si="131"/>
        <v/>
      </c>
      <c r="G3447" t="str">
        <f t="shared" si="132"/>
        <v/>
      </c>
    </row>
    <row r="3448" spans="2:7">
      <c r="B3448" s="6"/>
      <c r="E3448" s="7"/>
      <c r="F3448" t="str">
        <f t="shared" si="131"/>
        <v/>
      </c>
      <c r="G3448" t="str">
        <f t="shared" si="132"/>
        <v/>
      </c>
    </row>
    <row r="3449" spans="2:7">
      <c r="B3449" s="6"/>
      <c r="E3449" s="7"/>
      <c r="F3449" t="str">
        <f t="shared" si="131"/>
        <v/>
      </c>
      <c r="G3449" t="str">
        <f t="shared" si="132"/>
        <v/>
      </c>
    </row>
    <row r="3450" spans="2:7">
      <c r="B3450" s="6"/>
      <c r="E3450" s="7"/>
      <c r="F3450" t="str">
        <f t="shared" si="131"/>
        <v/>
      </c>
      <c r="G3450" t="str">
        <f t="shared" si="132"/>
        <v/>
      </c>
    </row>
    <row r="3451" spans="2:7">
      <c r="B3451" s="6"/>
      <c r="E3451" s="7"/>
      <c r="F3451" t="str">
        <f t="shared" si="131"/>
        <v/>
      </c>
      <c r="G3451" t="str">
        <f t="shared" si="132"/>
        <v/>
      </c>
    </row>
    <row r="3452" spans="2:7">
      <c r="B3452" s="6"/>
      <c r="E3452" s="7"/>
      <c r="F3452" t="str">
        <f t="shared" si="131"/>
        <v/>
      </c>
      <c r="G3452" t="str">
        <f t="shared" si="132"/>
        <v/>
      </c>
    </row>
    <row r="3453" spans="2:7">
      <c r="B3453" s="6"/>
      <c r="E3453" s="7"/>
      <c r="F3453" t="str">
        <f t="shared" si="131"/>
        <v/>
      </c>
      <c r="G3453" t="str">
        <f t="shared" si="132"/>
        <v/>
      </c>
    </row>
    <row r="3454" spans="2:7">
      <c r="B3454" s="6"/>
      <c r="E3454" s="7"/>
      <c r="F3454" t="str">
        <f t="shared" si="131"/>
        <v/>
      </c>
      <c r="G3454" t="str">
        <f t="shared" si="132"/>
        <v/>
      </c>
    </row>
    <row r="3455" spans="2:7">
      <c r="B3455" s="6"/>
      <c r="E3455" s="7"/>
      <c r="F3455" t="str">
        <f t="shared" si="131"/>
        <v/>
      </c>
      <c r="G3455" t="str">
        <f t="shared" si="132"/>
        <v/>
      </c>
    </row>
    <row r="3456" spans="2:7">
      <c r="B3456" s="6"/>
      <c r="E3456" s="7"/>
      <c r="F3456" t="str">
        <f t="shared" si="131"/>
        <v/>
      </c>
      <c r="G3456" t="str">
        <f t="shared" si="132"/>
        <v/>
      </c>
    </row>
    <row r="3457" spans="2:7">
      <c r="B3457" s="6"/>
      <c r="E3457" s="7"/>
      <c r="F3457" t="str">
        <f t="shared" si="131"/>
        <v/>
      </c>
      <c r="G3457" t="str">
        <f t="shared" si="132"/>
        <v/>
      </c>
    </row>
    <row r="3458" spans="2:7">
      <c r="B3458" s="6"/>
      <c r="E3458" s="7"/>
      <c r="F3458" t="str">
        <f t="shared" si="131"/>
        <v/>
      </c>
      <c r="G3458" t="str">
        <f t="shared" si="132"/>
        <v/>
      </c>
    </row>
    <row r="3459" spans="2:7">
      <c r="B3459" s="6"/>
      <c r="E3459" s="7"/>
      <c r="F3459" t="str">
        <f t="shared" si="131"/>
        <v/>
      </c>
      <c r="G3459" t="str">
        <f t="shared" si="132"/>
        <v/>
      </c>
    </row>
    <row r="3460" spans="2:7">
      <c r="B3460" s="6"/>
      <c r="E3460" s="7"/>
      <c r="F3460" t="str">
        <f t="shared" ref="F3460:F3523" si="133">IF(B3460="","",LOG10(D3460))</f>
        <v/>
      </c>
      <c r="G3460" t="str">
        <f t="shared" ref="G3460:G3523" si="134">IF(E3460="", "",0.434*E3460/D3460)</f>
        <v/>
      </c>
    </row>
    <row r="3461" spans="2:7">
      <c r="B3461" s="6"/>
      <c r="E3461" s="7"/>
      <c r="F3461" t="str">
        <f t="shared" si="133"/>
        <v/>
      </c>
      <c r="G3461" t="str">
        <f t="shared" si="134"/>
        <v/>
      </c>
    </row>
    <row r="3462" spans="2:7">
      <c r="B3462" s="6"/>
      <c r="E3462" s="7"/>
      <c r="F3462" t="str">
        <f t="shared" si="133"/>
        <v/>
      </c>
      <c r="G3462" t="str">
        <f t="shared" si="134"/>
        <v/>
      </c>
    </row>
    <row r="3463" spans="2:7">
      <c r="B3463" s="6"/>
      <c r="E3463" s="7"/>
      <c r="F3463" t="str">
        <f t="shared" si="133"/>
        <v/>
      </c>
      <c r="G3463" t="str">
        <f t="shared" si="134"/>
        <v/>
      </c>
    </row>
    <row r="3464" spans="2:7">
      <c r="B3464" s="6"/>
      <c r="E3464" s="7"/>
      <c r="F3464" t="str">
        <f t="shared" si="133"/>
        <v/>
      </c>
      <c r="G3464" t="str">
        <f t="shared" si="134"/>
        <v/>
      </c>
    </row>
    <row r="3465" spans="2:7">
      <c r="B3465" s="6"/>
      <c r="E3465" s="7"/>
      <c r="F3465" t="str">
        <f t="shared" si="133"/>
        <v/>
      </c>
      <c r="G3465" t="str">
        <f t="shared" si="134"/>
        <v/>
      </c>
    </row>
    <row r="3466" spans="2:7">
      <c r="B3466" s="6"/>
      <c r="E3466" s="7"/>
      <c r="F3466" t="str">
        <f t="shared" si="133"/>
        <v/>
      </c>
      <c r="G3466" t="str">
        <f t="shared" si="134"/>
        <v/>
      </c>
    </row>
    <row r="3467" spans="2:7">
      <c r="B3467" s="6"/>
      <c r="E3467" s="7"/>
      <c r="F3467" t="str">
        <f t="shared" si="133"/>
        <v/>
      </c>
      <c r="G3467" t="str">
        <f t="shared" si="134"/>
        <v/>
      </c>
    </row>
    <row r="3468" spans="2:7">
      <c r="B3468" s="6"/>
      <c r="E3468" s="7"/>
      <c r="F3468" t="str">
        <f t="shared" si="133"/>
        <v/>
      </c>
      <c r="G3468" t="str">
        <f t="shared" si="134"/>
        <v/>
      </c>
    </row>
    <row r="3469" spans="2:7">
      <c r="B3469" s="6"/>
      <c r="E3469" s="7"/>
      <c r="F3469" t="str">
        <f t="shared" si="133"/>
        <v/>
      </c>
      <c r="G3469" t="str">
        <f t="shared" si="134"/>
        <v/>
      </c>
    </row>
    <row r="3470" spans="2:7">
      <c r="B3470" s="6"/>
      <c r="E3470" s="7"/>
      <c r="F3470" t="str">
        <f t="shared" si="133"/>
        <v/>
      </c>
      <c r="G3470" t="str">
        <f t="shared" si="134"/>
        <v/>
      </c>
    </row>
    <row r="3471" spans="2:7">
      <c r="B3471" s="6"/>
      <c r="E3471" s="7"/>
      <c r="F3471" t="str">
        <f t="shared" si="133"/>
        <v/>
      </c>
      <c r="G3471" t="str">
        <f t="shared" si="134"/>
        <v/>
      </c>
    </row>
    <row r="3472" spans="2:7">
      <c r="B3472" s="6"/>
      <c r="E3472" s="7"/>
      <c r="F3472" t="str">
        <f t="shared" si="133"/>
        <v/>
      </c>
      <c r="G3472" t="str">
        <f t="shared" si="134"/>
        <v/>
      </c>
    </row>
    <row r="3473" spans="2:7">
      <c r="B3473" s="6"/>
      <c r="E3473" s="7"/>
      <c r="F3473" t="str">
        <f t="shared" si="133"/>
        <v/>
      </c>
      <c r="G3473" t="str">
        <f t="shared" si="134"/>
        <v/>
      </c>
    </row>
    <row r="3474" spans="2:7">
      <c r="B3474" s="6"/>
      <c r="E3474" s="7"/>
      <c r="F3474" t="str">
        <f t="shared" si="133"/>
        <v/>
      </c>
      <c r="G3474" t="str">
        <f t="shared" si="134"/>
        <v/>
      </c>
    </row>
    <row r="3475" spans="2:7">
      <c r="B3475" s="6"/>
      <c r="E3475" s="7"/>
      <c r="F3475" t="str">
        <f t="shared" si="133"/>
        <v/>
      </c>
      <c r="G3475" t="str">
        <f t="shared" si="134"/>
        <v/>
      </c>
    </row>
    <row r="3476" spans="2:7">
      <c r="B3476" s="6"/>
      <c r="E3476" s="7"/>
      <c r="F3476" t="str">
        <f t="shared" si="133"/>
        <v/>
      </c>
      <c r="G3476" t="str">
        <f t="shared" si="134"/>
        <v/>
      </c>
    </row>
    <row r="3477" spans="2:7">
      <c r="B3477" s="6"/>
      <c r="E3477" s="7"/>
      <c r="F3477" t="str">
        <f t="shared" si="133"/>
        <v/>
      </c>
      <c r="G3477" t="str">
        <f t="shared" si="134"/>
        <v/>
      </c>
    </row>
    <row r="3478" spans="2:7">
      <c r="B3478" s="6"/>
      <c r="E3478" s="7"/>
      <c r="F3478" t="str">
        <f t="shared" si="133"/>
        <v/>
      </c>
      <c r="G3478" t="str">
        <f t="shared" si="134"/>
        <v/>
      </c>
    </row>
    <row r="3479" spans="2:7">
      <c r="B3479" s="6"/>
      <c r="E3479" s="7"/>
      <c r="F3479" t="str">
        <f t="shared" si="133"/>
        <v/>
      </c>
      <c r="G3479" t="str">
        <f t="shared" si="134"/>
        <v/>
      </c>
    </row>
    <row r="3480" spans="2:7">
      <c r="B3480" s="6"/>
      <c r="E3480" s="7"/>
      <c r="F3480" t="str">
        <f t="shared" si="133"/>
        <v/>
      </c>
      <c r="G3480" t="str">
        <f t="shared" si="134"/>
        <v/>
      </c>
    </row>
    <row r="3481" spans="2:7">
      <c r="B3481" s="6"/>
      <c r="E3481" s="7"/>
      <c r="F3481" t="str">
        <f t="shared" si="133"/>
        <v/>
      </c>
      <c r="G3481" t="str">
        <f t="shared" si="134"/>
        <v/>
      </c>
    </row>
    <row r="3482" spans="2:7">
      <c r="B3482" s="6"/>
      <c r="E3482" s="7"/>
      <c r="F3482" t="str">
        <f t="shared" si="133"/>
        <v/>
      </c>
      <c r="G3482" t="str">
        <f t="shared" si="134"/>
        <v/>
      </c>
    </row>
    <row r="3483" spans="2:7">
      <c r="B3483" s="6"/>
      <c r="E3483" s="7"/>
      <c r="F3483" t="str">
        <f t="shared" si="133"/>
        <v/>
      </c>
      <c r="G3483" t="str">
        <f t="shared" si="134"/>
        <v/>
      </c>
    </row>
    <row r="3484" spans="2:7">
      <c r="B3484" s="6"/>
      <c r="E3484" s="7"/>
      <c r="F3484" t="str">
        <f t="shared" si="133"/>
        <v/>
      </c>
      <c r="G3484" t="str">
        <f t="shared" si="134"/>
        <v/>
      </c>
    </row>
    <row r="3485" spans="2:7">
      <c r="B3485" s="6"/>
      <c r="E3485" s="7"/>
      <c r="F3485" t="str">
        <f t="shared" si="133"/>
        <v/>
      </c>
      <c r="G3485" t="str">
        <f t="shared" si="134"/>
        <v/>
      </c>
    </row>
    <row r="3486" spans="2:7">
      <c r="B3486" s="6"/>
      <c r="E3486" s="7"/>
      <c r="F3486" t="str">
        <f t="shared" si="133"/>
        <v/>
      </c>
      <c r="G3486" t="str">
        <f t="shared" si="134"/>
        <v/>
      </c>
    </row>
    <row r="3487" spans="2:7">
      <c r="B3487" s="6"/>
      <c r="E3487" s="7"/>
      <c r="F3487" t="str">
        <f t="shared" si="133"/>
        <v/>
      </c>
      <c r="G3487" t="str">
        <f t="shared" si="134"/>
        <v/>
      </c>
    </row>
    <row r="3488" spans="2:7">
      <c r="B3488" s="6"/>
      <c r="E3488" s="7"/>
      <c r="F3488" t="str">
        <f t="shared" si="133"/>
        <v/>
      </c>
      <c r="G3488" t="str">
        <f t="shared" si="134"/>
        <v/>
      </c>
    </row>
    <row r="3489" spans="2:7">
      <c r="B3489" s="6"/>
      <c r="E3489" s="7"/>
      <c r="F3489" t="str">
        <f t="shared" si="133"/>
        <v/>
      </c>
      <c r="G3489" t="str">
        <f t="shared" si="134"/>
        <v/>
      </c>
    </row>
    <row r="3490" spans="2:7">
      <c r="B3490" s="6"/>
      <c r="E3490" s="7"/>
      <c r="F3490" t="str">
        <f t="shared" si="133"/>
        <v/>
      </c>
      <c r="G3490" t="str">
        <f t="shared" si="134"/>
        <v/>
      </c>
    </row>
    <row r="3491" spans="2:7">
      <c r="B3491" s="6"/>
      <c r="E3491" s="7"/>
      <c r="F3491" t="str">
        <f t="shared" si="133"/>
        <v/>
      </c>
      <c r="G3491" t="str">
        <f t="shared" si="134"/>
        <v/>
      </c>
    </row>
    <row r="3492" spans="2:7">
      <c r="B3492" s="6"/>
      <c r="E3492" s="7"/>
      <c r="F3492" t="str">
        <f t="shared" si="133"/>
        <v/>
      </c>
      <c r="G3492" t="str">
        <f t="shared" si="134"/>
        <v/>
      </c>
    </row>
    <row r="3493" spans="2:7">
      <c r="B3493" s="6"/>
      <c r="E3493" s="7"/>
      <c r="F3493" t="str">
        <f t="shared" si="133"/>
        <v/>
      </c>
      <c r="G3493" t="str">
        <f t="shared" si="134"/>
        <v/>
      </c>
    </row>
    <row r="3494" spans="2:7">
      <c r="B3494" s="6"/>
      <c r="E3494" s="7"/>
      <c r="F3494" t="str">
        <f t="shared" si="133"/>
        <v/>
      </c>
      <c r="G3494" t="str">
        <f t="shared" si="134"/>
        <v/>
      </c>
    </row>
    <row r="3495" spans="2:7">
      <c r="B3495" s="6"/>
      <c r="E3495" s="7"/>
      <c r="F3495" t="str">
        <f t="shared" si="133"/>
        <v/>
      </c>
      <c r="G3495" t="str">
        <f t="shared" si="134"/>
        <v/>
      </c>
    </row>
    <row r="3496" spans="2:7">
      <c r="B3496" s="6"/>
      <c r="E3496" s="7"/>
      <c r="F3496" t="str">
        <f t="shared" si="133"/>
        <v/>
      </c>
      <c r="G3496" t="str">
        <f t="shared" si="134"/>
        <v/>
      </c>
    </row>
    <row r="3497" spans="2:7">
      <c r="B3497" s="6"/>
      <c r="E3497" s="7"/>
      <c r="F3497" t="str">
        <f t="shared" si="133"/>
        <v/>
      </c>
      <c r="G3497" t="str">
        <f t="shared" si="134"/>
        <v/>
      </c>
    </row>
    <row r="3498" spans="2:7">
      <c r="B3498" s="6"/>
      <c r="E3498" s="7"/>
      <c r="F3498" t="str">
        <f t="shared" si="133"/>
        <v/>
      </c>
      <c r="G3498" t="str">
        <f t="shared" si="134"/>
        <v/>
      </c>
    </row>
    <row r="3499" spans="2:7">
      <c r="B3499" s="6"/>
      <c r="E3499" s="7"/>
      <c r="F3499" t="str">
        <f t="shared" si="133"/>
        <v/>
      </c>
      <c r="G3499" t="str">
        <f t="shared" si="134"/>
        <v/>
      </c>
    </row>
    <row r="3500" spans="2:7">
      <c r="B3500" s="6"/>
      <c r="E3500" s="7"/>
      <c r="F3500" t="str">
        <f t="shared" si="133"/>
        <v/>
      </c>
      <c r="G3500" t="str">
        <f t="shared" si="134"/>
        <v/>
      </c>
    </row>
    <row r="3501" spans="2:7">
      <c r="B3501" s="6"/>
      <c r="E3501" s="7"/>
      <c r="F3501" t="str">
        <f t="shared" si="133"/>
        <v/>
      </c>
      <c r="G3501" t="str">
        <f t="shared" si="134"/>
        <v/>
      </c>
    </row>
    <row r="3502" spans="2:7">
      <c r="B3502" s="6"/>
      <c r="E3502" s="7"/>
      <c r="F3502" t="str">
        <f t="shared" si="133"/>
        <v/>
      </c>
      <c r="G3502" t="str">
        <f t="shared" si="134"/>
        <v/>
      </c>
    </row>
    <row r="3503" spans="2:7">
      <c r="B3503" s="6"/>
      <c r="E3503" s="7"/>
      <c r="F3503" t="str">
        <f t="shared" si="133"/>
        <v/>
      </c>
      <c r="G3503" t="str">
        <f t="shared" si="134"/>
        <v/>
      </c>
    </row>
    <row r="3504" spans="2:7">
      <c r="B3504" s="6"/>
      <c r="E3504" s="7"/>
      <c r="F3504" t="str">
        <f t="shared" si="133"/>
        <v/>
      </c>
      <c r="G3504" t="str">
        <f t="shared" si="134"/>
        <v/>
      </c>
    </row>
    <row r="3505" spans="2:7">
      <c r="B3505" s="6"/>
      <c r="E3505" s="7"/>
      <c r="F3505" t="str">
        <f t="shared" si="133"/>
        <v/>
      </c>
      <c r="G3505" t="str">
        <f t="shared" si="134"/>
        <v/>
      </c>
    </row>
    <row r="3506" spans="2:7">
      <c r="B3506" s="6"/>
      <c r="E3506" s="7"/>
      <c r="F3506" t="str">
        <f t="shared" si="133"/>
        <v/>
      </c>
      <c r="G3506" t="str">
        <f t="shared" si="134"/>
        <v/>
      </c>
    </row>
    <row r="3507" spans="2:7">
      <c r="B3507" s="6"/>
      <c r="E3507" s="7"/>
      <c r="F3507" t="str">
        <f t="shared" si="133"/>
        <v/>
      </c>
      <c r="G3507" t="str">
        <f t="shared" si="134"/>
        <v/>
      </c>
    </row>
    <row r="3508" spans="2:7">
      <c r="B3508" s="6"/>
      <c r="E3508" s="7"/>
      <c r="F3508" t="str">
        <f t="shared" si="133"/>
        <v/>
      </c>
      <c r="G3508" t="str">
        <f t="shared" si="134"/>
        <v/>
      </c>
    </row>
    <row r="3509" spans="2:7">
      <c r="B3509" s="6"/>
      <c r="E3509" s="7"/>
      <c r="F3509" t="str">
        <f t="shared" si="133"/>
        <v/>
      </c>
      <c r="G3509" t="str">
        <f t="shared" si="134"/>
        <v/>
      </c>
    </row>
    <row r="3510" spans="2:7">
      <c r="B3510" s="6"/>
      <c r="E3510" s="7"/>
      <c r="F3510" t="str">
        <f t="shared" si="133"/>
        <v/>
      </c>
      <c r="G3510" t="str">
        <f t="shared" si="134"/>
        <v/>
      </c>
    </row>
    <row r="3511" spans="2:7">
      <c r="B3511" s="6"/>
      <c r="E3511" s="7"/>
      <c r="F3511" t="str">
        <f t="shared" si="133"/>
        <v/>
      </c>
      <c r="G3511" t="str">
        <f t="shared" si="134"/>
        <v/>
      </c>
    </row>
    <row r="3512" spans="2:7">
      <c r="B3512" s="6"/>
      <c r="E3512" s="7"/>
      <c r="F3512" t="str">
        <f t="shared" si="133"/>
        <v/>
      </c>
      <c r="G3512" t="str">
        <f t="shared" si="134"/>
        <v/>
      </c>
    </row>
    <row r="3513" spans="2:7">
      <c r="B3513" s="6"/>
      <c r="E3513" s="7"/>
      <c r="F3513" t="str">
        <f t="shared" si="133"/>
        <v/>
      </c>
      <c r="G3513" t="str">
        <f t="shared" si="134"/>
        <v/>
      </c>
    </row>
    <row r="3514" spans="2:7">
      <c r="B3514" s="6"/>
      <c r="E3514" s="7"/>
      <c r="F3514" t="str">
        <f t="shared" si="133"/>
        <v/>
      </c>
      <c r="G3514" t="str">
        <f t="shared" si="134"/>
        <v/>
      </c>
    </row>
    <row r="3515" spans="2:7">
      <c r="B3515" s="6"/>
      <c r="E3515" s="7"/>
      <c r="F3515" t="str">
        <f t="shared" si="133"/>
        <v/>
      </c>
      <c r="G3515" t="str">
        <f t="shared" si="134"/>
        <v/>
      </c>
    </row>
    <row r="3516" spans="2:7">
      <c r="B3516" s="6"/>
      <c r="E3516" s="7"/>
      <c r="F3516" t="str">
        <f t="shared" si="133"/>
        <v/>
      </c>
      <c r="G3516" t="str">
        <f t="shared" si="134"/>
        <v/>
      </c>
    </row>
    <row r="3517" spans="2:7">
      <c r="B3517" s="6"/>
      <c r="E3517" s="7"/>
      <c r="F3517" t="str">
        <f t="shared" si="133"/>
        <v/>
      </c>
      <c r="G3517" t="str">
        <f t="shared" si="134"/>
        <v/>
      </c>
    </row>
    <row r="3518" spans="2:7">
      <c r="B3518" s="6"/>
      <c r="E3518" s="7"/>
      <c r="F3518" t="str">
        <f t="shared" si="133"/>
        <v/>
      </c>
      <c r="G3518" t="str">
        <f t="shared" si="134"/>
        <v/>
      </c>
    </row>
    <row r="3519" spans="2:7">
      <c r="B3519" s="6"/>
      <c r="E3519" s="7"/>
      <c r="F3519" t="str">
        <f t="shared" si="133"/>
        <v/>
      </c>
      <c r="G3519" t="str">
        <f t="shared" si="134"/>
        <v/>
      </c>
    </row>
    <row r="3520" spans="2:7">
      <c r="B3520" s="6"/>
      <c r="E3520" s="7"/>
      <c r="F3520" t="str">
        <f t="shared" si="133"/>
        <v/>
      </c>
      <c r="G3520" t="str">
        <f t="shared" si="134"/>
        <v/>
      </c>
    </row>
    <row r="3521" spans="2:7">
      <c r="B3521" s="6"/>
      <c r="E3521" s="7"/>
      <c r="F3521" t="str">
        <f t="shared" si="133"/>
        <v/>
      </c>
      <c r="G3521" t="str">
        <f t="shared" si="134"/>
        <v/>
      </c>
    </row>
    <row r="3522" spans="2:7">
      <c r="B3522" s="6"/>
      <c r="E3522" s="7"/>
      <c r="F3522" t="str">
        <f t="shared" si="133"/>
        <v/>
      </c>
      <c r="G3522" t="str">
        <f t="shared" si="134"/>
        <v/>
      </c>
    </row>
    <row r="3523" spans="2:7">
      <c r="B3523" s="6"/>
      <c r="E3523" s="7"/>
      <c r="F3523" t="str">
        <f t="shared" si="133"/>
        <v/>
      </c>
      <c r="G3523" t="str">
        <f t="shared" si="134"/>
        <v/>
      </c>
    </row>
    <row r="3524" spans="2:7">
      <c r="B3524" s="6"/>
      <c r="E3524" s="7"/>
      <c r="F3524" t="str">
        <f t="shared" ref="F3524:F3587" si="135">IF(B3524="","",LOG10(D3524))</f>
        <v/>
      </c>
      <c r="G3524" t="str">
        <f t="shared" ref="G3524:G3587" si="136">IF(E3524="", "",0.434*E3524/D3524)</f>
        <v/>
      </c>
    </row>
    <row r="3525" spans="2:7">
      <c r="B3525" s="6"/>
      <c r="E3525" s="7"/>
      <c r="F3525" t="str">
        <f t="shared" si="135"/>
        <v/>
      </c>
      <c r="G3525" t="str">
        <f t="shared" si="136"/>
        <v/>
      </c>
    </row>
    <row r="3526" spans="2:7">
      <c r="B3526" s="6"/>
      <c r="E3526" s="7"/>
      <c r="F3526" t="str">
        <f t="shared" si="135"/>
        <v/>
      </c>
      <c r="G3526" t="str">
        <f t="shared" si="136"/>
        <v/>
      </c>
    </row>
    <row r="3527" spans="2:7">
      <c r="B3527" s="6"/>
      <c r="E3527" s="7"/>
      <c r="F3527" t="str">
        <f t="shared" si="135"/>
        <v/>
      </c>
      <c r="G3527" t="str">
        <f t="shared" si="136"/>
        <v/>
      </c>
    </row>
    <row r="3528" spans="2:7">
      <c r="B3528" s="6"/>
      <c r="E3528" s="7"/>
      <c r="F3528" t="str">
        <f t="shared" si="135"/>
        <v/>
      </c>
      <c r="G3528" t="str">
        <f t="shared" si="136"/>
        <v/>
      </c>
    </row>
    <row r="3529" spans="2:7">
      <c r="B3529" s="6"/>
      <c r="E3529" s="7"/>
      <c r="F3529" t="str">
        <f t="shared" si="135"/>
        <v/>
      </c>
      <c r="G3529" t="str">
        <f t="shared" si="136"/>
        <v/>
      </c>
    </row>
    <row r="3530" spans="2:7">
      <c r="B3530" s="6"/>
      <c r="E3530" s="7"/>
      <c r="F3530" t="str">
        <f t="shared" si="135"/>
        <v/>
      </c>
      <c r="G3530" t="str">
        <f t="shared" si="136"/>
        <v/>
      </c>
    </row>
    <row r="3531" spans="2:7">
      <c r="B3531" s="6"/>
      <c r="E3531" s="7"/>
      <c r="F3531" t="str">
        <f t="shared" si="135"/>
        <v/>
      </c>
      <c r="G3531" t="str">
        <f t="shared" si="136"/>
        <v/>
      </c>
    </row>
    <row r="3532" spans="2:7">
      <c r="B3532" s="6"/>
      <c r="E3532" s="7"/>
      <c r="F3532" t="str">
        <f t="shared" si="135"/>
        <v/>
      </c>
      <c r="G3532" t="str">
        <f t="shared" si="136"/>
        <v/>
      </c>
    </row>
    <row r="3533" spans="2:7">
      <c r="B3533" s="6"/>
      <c r="E3533" s="7"/>
      <c r="F3533" t="str">
        <f t="shared" si="135"/>
        <v/>
      </c>
      <c r="G3533" t="str">
        <f t="shared" si="136"/>
        <v/>
      </c>
    </row>
    <row r="3534" spans="2:7">
      <c r="B3534" s="6"/>
      <c r="E3534" s="7"/>
      <c r="F3534" t="str">
        <f t="shared" si="135"/>
        <v/>
      </c>
      <c r="G3534" t="str">
        <f t="shared" si="136"/>
        <v/>
      </c>
    </row>
    <row r="3535" spans="2:7">
      <c r="B3535" s="6"/>
      <c r="E3535" s="7"/>
      <c r="F3535" t="str">
        <f t="shared" si="135"/>
        <v/>
      </c>
      <c r="G3535" t="str">
        <f t="shared" si="136"/>
        <v/>
      </c>
    </row>
    <row r="3536" spans="2:7">
      <c r="B3536" s="6"/>
      <c r="E3536" s="7"/>
      <c r="F3536" t="str">
        <f t="shared" si="135"/>
        <v/>
      </c>
      <c r="G3536" t="str">
        <f t="shared" si="136"/>
        <v/>
      </c>
    </row>
    <row r="3537" spans="2:7">
      <c r="B3537" s="6"/>
      <c r="E3537" s="7"/>
      <c r="F3537" t="str">
        <f t="shared" si="135"/>
        <v/>
      </c>
      <c r="G3537" t="str">
        <f t="shared" si="136"/>
        <v/>
      </c>
    </row>
    <row r="3538" spans="2:7">
      <c r="B3538" s="6"/>
      <c r="E3538" s="7"/>
      <c r="F3538" t="str">
        <f t="shared" si="135"/>
        <v/>
      </c>
      <c r="G3538" t="str">
        <f t="shared" si="136"/>
        <v/>
      </c>
    </row>
    <row r="3539" spans="2:7">
      <c r="B3539" s="6"/>
      <c r="E3539" s="7"/>
      <c r="F3539" t="str">
        <f t="shared" si="135"/>
        <v/>
      </c>
      <c r="G3539" t="str">
        <f t="shared" si="136"/>
        <v/>
      </c>
    </row>
    <row r="3540" spans="2:7">
      <c r="B3540" s="6"/>
      <c r="E3540" s="7"/>
      <c r="F3540" t="str">
        <f t="shared" si="135"/>
        <v/>
      </c>
      <c r="G3540" t="str">
        <f t="shared" si="136"/>
        <v/>
      </c>
    </row>
    <row r="3541" spans="2:7">
      <c r="B3541" s="6"/>
      <c r="E3541" s="7"/>
      <c r="F3541" t="str">
        <f t="shared" si="135"/>
        <v/>
      </c>
      <c r="G3541" t="str">
        <f t="shared" si="136"/>
        <v/>
      </c>
    </row>
    <row r="3542" spans="2:7">
      <c r="B3542" s="6"/>
      <c r="E3542" s="7"/>
      <c r="F3542" t="str">
        <f t="shared" si="135"/>
        <v/>
      </c>
      <c r="G3542" t="str">
        <f t="shared" si="136"/>
        <v/>
      </c>
    </row>
    <row r="3543" spans="2:7">
      <c r="B3543" s="6"/>
      <c r="E3543" s="7"/>
      <c r="F3543" t="str">
        <f t="shared" si="135"/>
        <v/>
      </c>
      <c r="G3543" t="str">
        <f t="shared" si="136"/>
        <v/>
      </c>
    </row>
    <row r="3544" spans="2:7">
      <c r="B3544" s="6"/>
      <c r="E3544" s="7"/>
      <c r="F3544" t="str">
        <f t="shared" si="135"/>
        <v/>
      </c>
      <c r="G3544" t="str">
        <f t="shared" si="136"/>
        <v/>
      </c>
    </row>
    <row r="3545" spans="2:7">
      <c r="B3545" s="6"/>
      <c r="E3545" s="7"/>
      <c r="F3545" t="str">
        <f t="shared" si="135"/>
        <v/>
      </c>
      <c r="G3545" t="str">
        <f t="shared" si="136"/>
        <v/>
      </c>
    </row>
    <row r="3546" spans="2:7">
      <c r="B3546" s="6"/>
      <c r="E3546" s="7"/>
      <c r="F3546" t="str">
        <f t="shared" si="135"/>
        <v/>
      </c>
      <c r="G3546" t="str">
        <f t="shared" si="136"/>
        <v/>
      </c>
    </row>
    <row r="3547" spans="2:7">
      <c r="B3547" s="6"/>
      <c r="E3547" s="7"/>
      <c r="F3547" t="str">
        <f t="shared" si="135"/>
        <v/>
      </c>
      <c r="G3547" t="str">
        <f t="shared" si="136"/>
        <v/>
      </c>
    </row>
    <row r="3548" spans="2:7">
      <c r="B3548" s="6"/>
      <c r="E3548" s="7"/>
      <c r="F3548" t="str">
        <f t="shared" si="135"/>
        <v/>
      </c>
      <c r="G3548" t="str">
        <f t="shared" si="136"/>
        <v/>
      </c>
    </row>
    <row r="3549" spans="2:7">
      <c r="B3549" s="6"/>
      <c r="E3549" s="7"/>
      <c r="F3549" t="str">
        <f t="shared" si="135"/>
        <v/>
      </c>
      <c r="G3549" t="str">
        <f t="shared" si="136"/>
        <v/>
      </c>
    </row>
    <row r="3550" spans="2:7">
      <c r="B3550" s="6"/>
      <c r="E3550" s="7"/>
      <c r="F3550" t="str">
        <f t="shared" si="135"/>
        <v/>
      </c>
      <c r="G3550" t="str">
        <f t="shared" si="136"/>
        <v/>
      </c>
    </row>
    <row r="3551" spans="2:7">
      <c r="B3551" s="6"/>
      <c r="E3551" s="7"/>
      <c r="F3551" t="str">
        <f t="shared" si="135"/>
        <v/>
      </c>
      <c r="G3551" t="str">
        <f t="shared" si="136"/>
        <v/>
      </c>
    </row>
    <row r="3552" spans="2:7">
      <c r="B3552" s="6"/>
      <c r="E3552" s="7"/>
      <c r="F3552" t="str">
        <f t="shared" si="135"/>
        <v/>
      </c>
      <c r="G3552" t="str">
        <f t="shared" si="136"/>
        <v/>
      </c>
    </row>
    <row r="3553" spans="2:7">
      <c r="B3553" s="6"/>
      <c r="E3553" s="7"/>
      <c r="F3553" t="str">
        <f t="shared" si="135"/>
        <v/>
      </c>
      <c r="G3553" t="str">
        <f t="shared" si="136"/>
        <v/>
      </c>
    </row>
    <row r="3554" spans="2:7">
      <c r="B3554" s="6"/>
      <c r="E3554" s="7"/>
      <c r="F3554" t="str">
        <f t="shared" si="135"/>
        <v/>
      </c>
      <c r="G3554" t="str">
        <f t="shared" si="136"/>
        <v/>
      </c>
    </row>
    <row r="3555" spans="2:7">
      <c r="B3555" s="6"/>
      <c r="E3555" s="7"/>
      <c r="F3555" t="str">
        <f t="shared" si="135"/>
        <v/>
      </c>
      <c r="G3555" t="str">
        <f t="shared" si="136"/>
        <v/>
      </c>
    </row>
    <row r="3556" spans="2:7">
      <c r="B3556" s="6"/>
      <c r="E3556" s="7"/>
      <c r="F3556" t="str">
        <f t="shared" si="135"/>
        <v/>
      </c>
      <c r="G3556" t="str">
        <f t="shared" si="136"/>
        <v/>
      </c>
    </row>
    <row r="3557" spans="2:7">
      <c r="B3557" s="6"/>
      <c r="E3557" s="7"/>
      <c r="F3557" t="str">
        <f t="shared" si="135"/>
        <v/>
      </c>
      <c r="G3557" t="str">
        <f t="shared" si="136"/>
        <v/>
      </c>
    </row>
    <row r="3558" spans="2:7">
      <c r="B3558" s="6"/>
      <c r="E3558" s="7"/>
      <c r="F3558" t="str">
        <f t="shared" si="135"/>
        <v/>
      </c>
      <c r="G3558" t="str">
        <f t="shared" si="136"/>
        <v/>
      </c>
    </row>
    <row r="3559" spans="2:7">
      <c r="B3559" s="6"/>
      <c r="E3559" s="7"/>
      <c r="F3559" t="str">
        <f t="shared" si="135"/>
        <v/>
      </c>
      <c r="G3559" t="str">
        <f t="shared" si="136"/>
        <v/>
      </c>
    </row>
    <row r="3560" spans="2:7">
      <c r="B3560" s="6"/>
      <c r="E3560" s="7"/>
      <c r="F3560" t="str">
        <f t="shared" si="135"/>
        <v/>
      </c>
      <c r="G3560" t="str">
        <f t="shared" si="136"/>
        <v/>
      </c>
    </row>
    <row r="3561" spans="2:7">
      <c r="B3561" s="6"/>
      <c r="E3561" s="7"/>
      <c r="F3561" t="str">
        <f t="shared" si="135"/>
        <v/>
      </c>
      <c r="G3561" t="str">
        <f t="shared" si="136"/>
        <v/>
      </c>
    </row>
    <row r="3562" spans="2:7">
      <c r="B3562" s="6"/>
      <c r="E3562" s="7"/>
      <c r="F3562" t="str">
        <f t="shared" si="135"/>
        <v/>
      </c>
      <c r="G3562" t="str">
        <f t="shared" si="136"/>
        <v/>
      </c>
    </row>
    <row r="3563" spans="2:7">
      <c r="B3563" s="6"/>
      <c r="E3563" s="7"/>
      <c r="F3563" t="str">
        <f t="shared" si="135"/>
        <v/>
      </c>
      <c r="G3563" t="str">
        <f t="shared" si="136"/>
        <v/>
      </c>
    </row>
    <row r="3564" spans="2:7">
      <c r="B3564" s="6"/>
      <c r="E3564" s="7"/>
      <c r="F3564" t="str">
        <f t="shared" si="135"/>
        <v/>
      </c>
      <c r="G3564" t="str">
        <f t="shared" si="136"/>
        <v/>
      </c>
    </row>
    <row r="3565" spans="2:7">
      <c r="B3565" s="6"/>
      <c r="E3565" s="7"/>
      <c r="F3565" t="str">
        <f t="shared" si="135"/>
        <v/>
      </c>
      <c r="G3565" t="str">
        <f t="shared" si="136"/>
        <v/>
      </c>
    </row>
    <row r="3566" spans="2:7">
      <c r="B3566" s="6"/>
      <c r="E3566" s="7"/>
      <c r="F3566" t="str">
        <f t="shared" si="135"/>
        <v/>
      </c>
      <c r="G3566" t="str">
        <f t="shared" si="136"/>
        <v/>
      </c>
    </row>
    <row r="3567" spans="2:7">
      <c r="B3567" s="6"/>
      <c r="E3567" s="7"/>
      <c r="F3567" t="str">
        <f t="shared" si="135"/>
        <v/>
      </c>
      <c r="G3567" t="str">
        <f t="shared" si="136"/>
        <v/>
      </c>
    </row>
    <row r="3568" spans="2:7">
      <c r="B3568" s="6"/>
      <c r="E3568" s="7"/>
      <c r="F3568" t="str">
        <f t="shared" si="135"/>
        <v/>
      </c>
      <c r="G3568" t="str">
        <f t="shared" si="136"/>
        <v/>
      </c>
    </row>
    <row r="3569" spans="2:7">
      <c r="B3569" s="6"/>
      <c r="E3569" s="7"/>
      <c r="F3569" t="str">
        <f t="shared" si="135"/>
        <v/>
      </c>
      <c r="G3569" t="str">
        <f t="shared" si="136"/>
        <v/>
      </c>
    </row>
    <row r="3570" spans="2:7">
      <c r="B3570" s="6"/>
      <c r="E3570" s="7"/>
      <c r="F3570" t="str">
        <f t="shared" si="135"/>
        <v/>
      </c>
      <c r="G3570" t="str">
        <f t="shared" si="136"/>
        <v/>
      </c>
    </row>
    <row r="3571" spans="2:7">
      <c r="B3571" s="6"/>
      <c r="E3571" s="7"/>
      <c r="F3571" t="str">
        <f t="shared" si="135"/>
        <v/>
      </c>
      <c r="G3571" t="str">
        <f t="shared" si="136"/>
        <v/>
      </c>
    </row>
    <row r="3572" spans="2:7">
      <c r="B3572" s="6"/>
      <c r="E3572" s="7"/>
      <c r="F3572" t="str">
        <f t="shared" si="135"/>
        <v/>
      </c>
      <c r="G3572" t="str">
        <f t="shared" si="136"/>
        <v/>
      </c>
    </row>
    <row r="3573" spans="2:7">
      <c r="B3573" s="6"/>
      <c r="E3573" s="7"/>
      <c r="F3573" t="str">
        <f t="shared" si="135"/>
        <v/>
      </c>
      <c r="G3573" t="str">
        <f t="shared" si="136"/>
        <v/>
      </c>
    </row>
    <row r="3574" spans="2:7">
      <c r="B3574" s="6"/>
      <c r="E3574" s="7"/>
      <c r="F3574" t="str">
        <f t="shared" si="135"/>
        <v/>
      </c>
      <c r="G3574" t="str">
        <f t="shared" si="136"/>
        <v/>
      </c>
    </row>
    <row r="3575" spans="2:7">
      <c r="B3575" s="6"/>
      <c r="E3575" s="7"/>
      <c r="F3575" t="str">
        <f t="shared" si="135"/>
        <v/>
      </c>
      <c r="G3575" t="str">
        <f t="shared" si="136"/>
        <v/>
      </c>
    </row>
    <row r="3576" spans="2:7">
      <c r="B3576" s="6"/>
      <c r="E3576" s="7"/>
      <c r="F3576" t="str">
        <f t="shared" si="135"/>
        <v/>
      </c>
      <c r="G3576" t="str">
        <f t="shared" si="136"/>
        <v/>
      </c>
    </row>
    <row r="3577" spans="2:7">
      <c r="B3577" s="6"/>
      <c r="E3577" s="7"/>
      <c r="F3577" t="str">
        <f t="shared" si="135"/>
        <v/>
      </c>
      <c r="G3577" t="str">
        <f t="shared" si="136"/>
        <v/>
      </c>
    </row>
    <row r="3578" spans="2:7">
      <c r="B3578" s="6"/>
      <c r="E3578" s="7"/>
      <c r="F3578" t="str">
        <f t="shared" si="135"/>
        <v/>
      </c>
      <c r="G3578" t="str">
        <f t="shared" si="136"/>
        <v/>
      </c>
    </row>
    <row r="3579" spans="2:7">
      <c r="B3579" s="6"/>
      <c r="E3579" s="7"/>
      <c r="F3579" t="str">
        <f t="shared" si="135"/>
        <v/>
      </c>
      <c r="G3579" t="str">
        <f t="shared" si="136"/>
        <v/>
      </c>
    </row>
    <row r="3580" spans="2:7">
      <c r="B3580" s="6"/>
      <c r="E3580" s="7"/>
      <c r="F3580" t="str">
        <f t="shared" si="135"/>
        <v/>
      </c>
      <c r="G3580" t="str">
        <f t="shared" si="136"/>
        <v/>
      </c>
    </row>
    <row r="3581" spans="2:7">
      <c r="B3581" s="6"/>
      <c r="E3581" s="7"/>
      <c r="F3581" t="str">
        <f t="shared" si="135"/>
        <v/>
      </c>
      <c r="G3581" t="str">
        <f t="shared" si="136"/>
        <v/>
      </c>
    </row>
    <row r="3582" spans="2:7">
      <c r="B3582" s="6"/>
      <c r="E3582" s="7"/>
      <c r="F3582" t="str">
        <f t="shared" si="135"/>
        <v/>
      </c>
      <c r="G3582" t="str">
        <f t="shared" si="136"/>
        <v/>
      </c>
    </row>
    <row r="3583" spans="2:7">
      <c r="B3583" s="6"/>
      <c r="E3583" s="7"/>
      <c r="F3583" t="str">
        <f t="shared" si="135"/>
        <v/>
      </c>
      <c r="G3583" t="str">
        <f t="shared" si="136"/>
        <v/>
      </c>
    </row>
    <row r="3584" spans="2:7">
      <c r="B3584" s="6"/>
      <c r="E3584" s="7"/>
      <c r="F3584" t="str">
        <f t="shared" si="135"/>
        <v/>
      </c>
      <c r="G3584" t="str">
        <f t="shared" si="136"/>
        <v/>
      </c>
    </row>
    <row r="3585" spans="2:7">
      <c r="B3585" s="6"/>
      <c r="E3585" s="7"/>
      <c r="F3585" t="str">
        <f t="shared" si="135"/>
        <v/>
      </c>
      <c r="G3585" t="str">
        <f t="shared" si="136"/>
        <v/>
      </c>
    </row>
    <row r="3586" spans="2:7">
      <c r="B3586" s="6"/>
      <c r="E3586" s="7"/>
      <c r="F3586" t="str">
        <f t="shared" si="135"/>
        <v/>
      </c>
      <c r="G3586" t="str">
        <f t="shared" si="136"/>
        <v/>
      </c>
    </row>
    <row r="3587" spans="2:7">
      <c r="B3587" s="6"/>
      <c r="E3587" s="7"/>
      <c r="F3587" t="str">
        <f t="shared" si="135"/>
        <v/>
      </c>
      <c r="G3587" t="str">
        <f t="shared" si="136"/>
        <v/>
      </c>
    </row>
    <row r="3588" spans="2:7">
      <c r="B3588" s="6"/>
      <c r="E3588" s="7"/>
      <c r="F3588" t="str">
        <f t="shared" ref="F3588:F3651" si="137">IF(B3588="","",LOG10(D3588))</f>
        <v/>
      </c>
      <c r="G3588" t="str">
        <f t="shared" ref="G3588:G3651" si="138">IF(E3588="", "",0.434*E3588/D3588)</f>
        <v/>
      </c>
    </row>
    <row r="3589" spans="2:7">
      <c r="B3589" s="6"/>
      <c r="E3589" s="7"/>
      <c r="F3589" t="str">
        <f t="shared" si="137"/>
        <v/>
      </c>
      <c r="G3589" t="str">
        <f t="shared" si="138"/>
        <v/>
      </c>
    </row>
    <row r="3590" spans="2:7">
      <c r="B3590" s="6"/>
      <c r="E3590" s="7"/>
      <c r="F3590" t="str">
        <f t="shared" si="137"/>
        <v/>
      </c>
      <c r="G3590" t="str">
        <f t="shared" si="138"/>
        <v/>
      </c>
    </row>
    <row r="3591" spans="2:7">
      <c r="B3591" s="6"/>
      <c r="E3591" s="7"/>
      <c r="F3591" t="str">
        <f t="shared" si="137"/>
        <v/>
      </c>
      <c r="G3591" t="str">
        <f t="shared" si="138"/>
        <v/>
      </c>
    </row>
    <row r="3592" spans="2:7">
      <c r="B3592" s="6"/>
      <c r="E3592" s="7"/>
      <c r="F3592" t="str">
        <f t="shared" si="137"/>
        <v/>
      </c>
      <c r="G3592" t="str">
        <f t="shared" si="138"/>
        <v/>
      </c>
    </row>
    <row r="3593" spans="2:7">
      <c r="B3593" s="6"/>
      <c r="E3593" s="7"/>
      <c r="F3593" t="str">
        <f t="shared" si="137"/>
        <v/>
      </c>
      <c r="G3593" t="str">
        <f t="shared" si="138"/>
        <v/>
      </c>
    </row>
    <row r="3594" spans="2:7">
      <c r="B3594" s="6"/>
      <c r="E3594" s="7"/>
      <c r="F3594" t="str">
        <f t="shared" si="137"/>
        <v/>
      </c>
      <c r="G3594" t="str">
        <f t="shared" si="138"/>
        <v/>
      </c>
    </row>
    <row r="3595" spans="2:7">
      <c r="B3595" s="6"/>
      <c r="E3595" s="7"/>
      <c r="F3595" t="str">
        <f t="shared" si="137"/>
        <v/>
      </c>
      <c r="G3595" t="str">
        <f t="shared" si="138"/>
        <v/>
      </c>
    </row>
    <row r="3596" spans="2:7">
      <c r="B3596" s="6"/>
      <c r="E3596" s="7"/>
      <c r="F3596" t="str">
        <f t="shared" si="137"/>
        <v/>
      </c>
      <c r="G3596" t="str">
        <f t="shared" si="138"/>
        <v/>
      </c>
    </row>
    <row r="3597" spans="2:7">
      <c r="B3597" s="6"/>
      <c r="E3597" s="7"/>
      <c r="F3597" t="str">
        <f t="shared" si="137"/>
        <v/>
      </c>
      <c r="G3597" t="str">
        <f t="shared" si="138"/>
        <v/>
      </c>
    </row>
    <row r="3598" spans="2:7">
      <c r="B3598" s="6"/>
      <c r="E3598" s="7"/>
      <c r="F3598" t="str">
        <f t="shared" si="137"/>
        <v/>
      </c>
      <c r="G3598" t="str">
        <f t="shared" si="138"/>
        <v/>
      </c>
    </row>
    <row r="3599" spans="2:7">
      <c r="B3599" s="6"/>
      <c r="E3599" s="7"/>
      <c r="F3599" t="str">
        <f t="shared" si="137"/>
        <v/>
      </c>
      <c r="G3599" t="str">
        <f t="shared" si="138"/>
        <v/>
      </c>
    </row>
    <row r="3600" spans="2:7">
      <c r="B3600" s="6"/>
      <c r="E3600" s="7"/>
      <c r="F3600" t="str">
        <f t="shared" si="137"/>
        <v/>
      </c>
      <c r="G3600" t="str">
        <f t="shared" si="138"/>
        <v/>
      </c>
    </row>
    <row r="3601" spans="2:7">
      <c r="B3601" s="6"/>
      <c r="E3601" s="7"/>
      <c r="F3601" t="str">
        <f t="shared" si="137"/>
        <v/>
      </c>
      <c r="G3601" t="str">
        <f t="shared" si="138"/>
        <v/>
      </c>
    </row>
    <row r="3602" spans="2:7">
      <c r="B3602" s="6"/>
      <c r="E3602" s="7"/>
      <c r="F3602" t="str">
        <f t="shared" si="137"/>
        <v/>
      </c>
      <c r="G3602" t="str">
        <f t="shared" si="138"/>
        <v/>
      </c>
    </row>
    <row r="3603" spans="2:7">
      <c r="B3603" s="6"/>
      <c r="E3603" s="7"/>
      <c r="F3603" t="str">
        <f t="shared" si="137"/>
        <v/>
      </c>
      <c r="G3603" t="str">
        <f t="shared" si="138"/>
        <v/>
      </c>
    </row>
    <row r="3604" spans="2:7">
      <c r="B3604" s="6"/>
      <c r="E3604" s="7"/>
      <c r="F3604" t="str">
        <f t="shared" si="137"/>
        <v/>
      </c>
      <c r="G3604" t="str">
        <f t="shared" si="138"/>
        <v/>
      </c>
    </row>
    <row r="3605" spans="2:7">
      <c r="B3605" s="6"/>
      <c r="E3605" s="7"/>
      <c r="F3605" t="str">
        <f t="shared" si="137"/>
        <v/>
      </c>
      <c r="G3605" t="str">
        <f t="shared" si="138"/>
        <v/>
      </c>
    </row>
    <row r="3606" spans="2:7">
      <c r="B3606" s="6"/>
      <c r="E3606" s="7"/>
      <c r="F3606" t="str">
        <f t="shared" si="137"/>
        <v/>
      </c>
      <c r="G3606" t="str">
        <f t="shared" si="138"/>
        <v/>
      </c>
    </row>
    <row r="3607" spans="2:7">
      <c r="B3607" s="6"/>
      <c r="E3607" s="7"/>
      <c r="F3607" t="str">
        <f t="shared" si="137"/>
        <v/>
      </c>
      <c r="G3607" t="str">
        <f t="shared" si="138"/>
        <v/>
      </c>
    </row>
    <row r="3608" spans="2:7">
      <c r="B3608" s="6"/>
      <c r="E3608" s="7"/>
      <c r="F3608" t="str">
        <f t="shared" si="137"/>
        <v/>
      </c>
      <c r="G3608" t="str">
        <f t="shared" si="138"/>
        <v/>
      </c>
    </row>
    <row r="3609" spans="2:7">
      <c r="B3609" s="6"/>
      <c r="E3609" s="7"/>
      <c r="F3609" t="str">
        <f t="shared" si="137"/>
        <v/>
      </c>
      <c r="G3609" t="str">
        <f t="shared" si="138"/>
        <v/>
      </c>
    </row>
    <row r="3610" spans="2:7">
      <c r="B3610" s="6"/>
      <c r="E3610" s="7"/>
      <c r="F3610" t="str">
        <f t="shared" si="137"/>
        <v/>
      </c>
      <c r="G3610" t="str">
        <f t="shared" si="138"/>
        <v/>
      </c>
    </row>
    <row r="3611" spans="2:7">
      <c r="B3611" s="6"/>
      <c r="E3611" s="7"/>
      <c r="F3611" t="str">
        <f t="shared" si="137"/>
        <v/>
      </c>
      <c r="G3611" t="str">
        <f t="shared" si="138"/>
        <v/>
      </c>
    </row>
    <row r="3612" spans="2:7">
      <c r="B3612" s="6"/>
      <c r="E3612" s="7"/>
      <c r="F3612" t="str">
        <f t="shared" si="137"/>
        <v/>
      </c>
      <c r="G3612" t="str">
        <f t="shared" si="138"/>
        <v/>
      </c>
    </row>
    <row r="3613" spans="2:7">
      <c r="B3613" s="6"/>
      <c r="E3613" s="7"/>
      <c r="F3613" t="str">
        <f t="shared" si="137"/>
        <v/>
      </c>
      <c r="G3613" t="str">
        <f t="shared" si="138"/>
        <v/>
      </c>
    </row>
    <row r="3614" spans="2:7">
      <c r="B3614" s="6"/>
      <c r="E3614" s="7"/>
      <c r="F3614" t="str">
        <f t="shared" si="137"/>
        <v/>
      </c>
      <c r="G3614" t="str">
        <f t="shared" si="138"/>
        <v/>
      </c>
    </row>
    <row r="3615" spans="2:7">
      <c r="B3615" s="6"/>
      <c r="E3615" s="7"/>
      <c r="F3615" t="str">
        <f t="shared" si="137"/>
        <v/>
      </c>
      <c r="G3615" t="str">
        <f t="shared" si="138"/>
        <v/>
      </c>
    </row>
    <row r="3616" spans="2:7">
      <c r="B3616" s="6"/>
      <c r="E3616" s="7"/>
      <c r="F3616" t="str">
        <f t="shared" si="137"/>
        <v/>
      </c>
      <c r="G3616" t="str">
        <f t="shared" si="138"/>
        <v/>
      </c>
    </row>
    <row r="3617" spans="2:7">
      <c r="B3617" s="6"/>
      <c r="E3617" s="7"/>
      <c r="F3617" t="str">
        <f t="shared" si="137"/>
        <v/>
      </c>
      <c r="G3617" t="str">
        <f t="shared" si="138"/>
        <v/>
      </c>
    </row>
    <row r="3618" spans="2:7">
      <c r="B3618" s="6"/>
      <c r="E3618" s="7"/>
      <c r="F3618" t="str">
        <f t="shared" si="137"/>
        <v/>
      </c>
      <c r="G3618" t="str">
        <f t="shared" si="138"/>
        <v/>
      </c>
    </row>
    <row r="3619" spans="2:7">
      <c r="B3619" s="6"/>
      <c r="E3619" s="7"/>
      <c r="F3619" t="str">
        <f t="shared" si="137"/>
        <v/>
      </c>
      <c r="G3619" t="str">
        <f t="shared" si="138"/>
        <v/>
      </c>
    </row>
    <row r="3620" spans="2:7">
      <c r="B3620" s="6"/>
      <c r="E3620" s="7"/>
      <c r="F3620" t="str">
        <f t="shared" si="137"/>
        <v/>
      </c>
      <c r="G3620" t="str">
        <f t="shared" si="138"/>
        <v/>
      </c>
    </row>
    <row r="3621" spans="2:7">
      <c r="B3621" s="6"/>
      <c r="E3621" s="7"/>
      <c r="F3621" t="str">
        <f t="shared" si="137"/>
        <v/>
      </c>
      <c r="G3621" t="str">
        <f t="shared" si="138"/>
        <v/>
      </c>
    </row>
    <row r="3622" spans="2:7">
      <c r="B3622" s="6"/>
      <c r="E3622" s="7"/>
      <c r="F3622" t="str">
        <f t="shared" si="137"/>
        <v/>
      </c>
      <c r="G3622" t="str">
        <f t="shared" si="138"/>
        <v/>
      </c>
    </row>
    <row r="3623" spans="2:7">
      <c r="B3623" s="6"/>
      <c r="E3623" s="7"/>
      <c r="F3623" t="str">
        <f t="shared" si="137"/>
        <v/>
      </c>
      <c r="G3623" t="str">
        <f t="shared" si="138"/>
        <v/>
      </c>
    </row>
    <row r="3624" spans="2:7">
      <c r="B3624" s="6"/>
      <c r="E3624" s="7"/>
      <c r="F3624" t="str">
        <f t="shared" si="137"/>
        <v/>
      </c>
      <c r="G3624" t="str">
        <f t="shared" si="138"/>
        <v/>
      </c>
    </row>
    <row r="3625" spans="2:7">
      <c r="B3625" s="6"/>
      <c r="E3625" s="7"/>
      <c r="F3625" t="str">
        <f t="shared" si="137"/>
        <v/>
      </c>
      <c r="G3625" t="str">
        <f t="shared" si="138"/>
        <v/>
      </c>
    </row>
    <row r="3626" spans="2:7">
      <c r="B3626" s="6"/>
      <c r="E3626" s="7"/>
      <c r="F3626" t="str">
        <f t="shared" si="137"/>
        <v/>
      </c>
      <c r="G3626" t="str">
        <f t="shared" si="138"/>
        <v/>
      </c>
    </row>
    <row r="3627" spans="2:7">
      <c r="B3627" s="6"/>
      <c r="E3627" s="7"/>
      <c r="F3627" t="str">
        <f t="shared" si="137"/>
        <v/>
      </c>
      <c r="G3627" t="str">
        <f t="shared" si="138"/>
        <v/>
      </c>
    </row>
    <row r="3628" spans="2:7">
      <c r="B3628" s="6"/>
      <c r="E3628" s="7"/>
      <c r="F3628" t="str">
        <f t="shared" si="137"/>
        <v/>
      </c>
      <c r="G3628" t="str">
        <f t="shared" si="138"/>
        <v/>
      </c>
    </row>
    <row r="3629" spans="2:7">
      <c r="B3629" s="6"/>
      <c r="E3629" s="7"/>
      <c r="F3629" t="str">
        <f t="shared" si="137"/>
        <v/>
      </c>
      <c r="G3629" t="str">
        <f t="shared" si="138"/>
        <v/>
      </c>
    </row>
    <row r="3630" spans="2:7">
      <c r="B3630" s="6"/>
      <c r="E3630" s="7"/>
      <c r="F3630" t="str">
        <f t="shared" si="137"/>
        <v/>
      </c>
      <c r="G3630" t="str">
        <f t="shared" si="138"/>
        <v/>
      </c>
    </row>
    <row r="3631" spans="2:7">
      <c r="B3631" s="6"/>
      <c r="E3631" s="7"/>
      <c r="F3631" t="str">
        <f t="shared" si="137"/>
        <v/>
      </c>
      <c r="G3631" t="str">
        <f t="shared" si="138"/>
        <v/>
      </c>
    </row>
    <row r="3632" spans="2:7">
      <c r="B3632" s="6"/>
      <c r="E3632" s="7"/>
      <c r="F3632" t="str">
        <f t="shared" si="137"/>
        <v/>
      </c>
      <c r="G3632" t="str">
        <f t="shared" si="138"/>
        <v/>
      </c>
    </row>
    <row r="3633" spans="2:7">
      <c r="B3633" s="6"/>
      <c r="E3633" s="7"/>
      <c r="F3633" t="str">
        <f t="shared" si="137"/>
        <v/>
      </c>
      <c r="G3633" t="str">
        <f t="shared" si="138"/>
        <v/>
      </c>
    </row>
    <row r="3634" spans="2:7">
      <c r="B3634" s="6"/>
      <c r="E3634" s="7"/>
      <c r="F3634" t="str">
        <f t="shared" si="137"/>
        <v/>
      </c>
      <c r="G3634" t="str">
        <f t="shared" si="138"/>
        <v/>
      </c>
    </row>
    <row r="3635" spans="2:7">
      <c r="B3635" s="6"/>
      <c r="E3635" s="7"/>
      <c r="F3635" t="str">
        <f t="shared" si="137"/>
        <v/>
      </c>
      <c r="G3635" t="str">
        <f t="shared" si="138"/>
        <v/>
      </c>
    </row>
    <row r="3636" spans="2:7">
      <c r="B3636" s="6"/>
      <c r="E3636" s="7"/>
      <c r="F3636" t="str">
        <f t="shared" si="137"/>
        <v/>
      </c>
      <c r="G3636" t="str">
        <f t="shared" si="138"/>
        <v/>
      </c>
    </row>
    <row r="3637" spans="2:7">
      <c r="B3637" s="6"/>
      <c r="E3637" s="7"/>
      <c r="F3637" t="str">
        <f t="shared" si="137"/>
        <v/>
      </c>
      <c r="G3637" t="str">
        <f t="shared" si="138"/>
        <v/>
      </c>
    </row>
    <row r="3638" spans="2:7">
      <c r="B3638" s="6"/>
      <c r="E3638" s="7"/>
      <c r="F3638" t="str">
        <f t="shared" si="137"/>
        <v/>
      </c>
      <c r="G3638" t="str">
        <f t="shared" si="138"/>
        <v/>
      </c>
    </row>
    <row r="3639" spans="2:7">
      <c r="B3639" s="6"/>
      <c r="E3639" s="7"/>
      <c r="F3639" t="str">
        <f t="shared" si="137"/>
        <v/>
      </c>
      <c r="G3639" t="str">
        <f t="shared" si="138"/>
        <v/>
      </c>
    </row>
    <row r="3640" spans="2:7">
      <c r="B3640" s="6"/>
      <c r="E3640" s="7"/>
      <c r="F3640" t="str">
        <f t="shared" si="137"/>
        <v/>
      </c>
      <c r="G3640" t="str">
        <f t="shared" si="138"/>
        <v/>
      </c>
    </row>
    <row r="3641" spans="2:7">
      <c r="B3641" s="6"/>
      <c r="E3641" s="7"/>
      <c r="F3641" t="str">
        <f t="shared" si="137"/>
        <v/>
      </c>
      <c r="G3641" t="str">
        <f t="shared" si="138"/>
        <v/>
      </c>
    </row>
    <row r="3642" spans="2:7">
      <c r="B3642" s="6"/>
      <c r="E3642" s="7"/>
      <c r="F3642" t="str">
        <f t="shared" si="137"/>
        <v/>
      </c>
      <c r="G3642" t="str">
        <f t="shared" si="138"/>
        <v/>
      </c>
    </row>
    <row r="3643" spans="2:7">
      <c r="B3643" s="6"/>
      <c r="E3643" s="7"/>
      <c r="F3643" t="str">
        <f t="shared" si="137"/>
        <v/>
      </c>
      <c r="G3643" t="str">
        <f t="shared" si="138"/>
        <v/>
      </c>
    </row>
    <row r="3644" spans="2:7">
      <c r="B3644" s="6"/>
      <c r="E3644" s="7"/>
      <c r="F3644" t="str">
        <f t="shared" si="137"/>
        <v/>
      </c>
      <c r="G3644" t="str">
        <f t="shared" si="138"/>
        <v/>
      </c>
    </row>
    <row r="3645" spans="2:7">
      <c r="B3645" s="6"/>
      <c r="E3645" s="7"/>
      <c r="F3645" t="str">
        <f t="shared" si="137"/>
        <v/>
      </c>
      <c r="G3645" t="str">
        <f t="shared" si="138"/>
        <v/>
      </c>
    </row>
    <row r="3646" spans="2:7">
      <c r="B3646" s="6"/>
      <c r="E3646" s="7"/>
      <c r="F3646" t="str">
        <f t="shared" si="137"/>
        <v/>
      </c>
      <c r="G3646" t="str">
        <f t="shared" si="138"/>
        <v/>
      </c>
    </row>
    <row r="3647" spans="2:7">
      <c r="B3647" s="6"/>
      <c r="E3647" s="7"/>
      <c r="F3647" t="str">
        <f t="shared" si="137"/>
        <v/>
      </c>
      <c r="G3647" t="str">
        <f t="shared" si="138"/>
        <v/>
      </c>
    </row>
    <row r="3648" spans="2:7">
      <c r="B3648" s="6"/>
      <c r="E3648" s="7"/>
      <c r="F3648" t="str">
        <f t="shared" si="137"/>
        <v/>
      </c>
      <c r="G3648" t="str">
        <f t="shared" si="138"/>
        <v/>
      </c>
    </row>
    <row r="3649" spans="2:7">
      <c r="B3649" s="6"/>
      <c r="E3649" s="7"/>
      <c r="F3649" t="str">
        <f t="shared" si="137"/>
        <v/>
      </c>
      <c r="G3649" t="str">
        <f t="shared" si="138"/>
        <v/>
      </c>
    </row>
    <row r="3650" spans="2:7">
      <c r="B3650" s="6"/>
      <c r="E3650" s="7"/>
      <c r="F3650" t="str">
        <f t="shared" si="137"/>
        <v/>
      </c>
      <c r="G3650" t="str">
        <f t="shared" si="138"/>
        <v/>
      </c>
    </row>
    <row r="3651" spans="2:7">
      <c r="B3651" s="6"/>
      <c r="E3651" s="7"/>
      <c r="F3651" t="str">
        <f t="shared" si="137"/>
        <v/>
      </c>
      <c r="G3651" t="str">
        <f t="shared" si="138"/>
        <v/>
      </c>
    </row>
    <row r="3652" spans="2:7">
      <c r="B3652" s="6"/>
      <c r="E3652" s="7"/>
      <c r="F3652" t="str">
        <f t="shared" ref="F3652:F3715" si="139">IF(B3652="","",LOG10(D3652))</f>
        <v/>
      </c>
      <c r="G3652" t="str">
        <f t="shared" ref="G3652:G3715" si="140">IF(E3652="", "",0.434*E3652/D3652)</f>
        <v/>
      </c>
    </row>
    <row r="3653" spans="2:7">
      <c r="B3653" s="6"/>
      <c r="E3653" s="7"/>
      <c r="F3653" t="str">
        <f t="shared" si="139"/>
        <v/>
      </c>
      <c r="G3653" t="str">
        <f t="shared" si="140"/>
        <v/>
      </c>
    </row>
    <row r="3654" spans="2:7">
      <c r="B3654" s="6"/>
      <c r="E3654" s="7"/>
      <c r="F3654" t="str">
        <f t="shared" si="139"/>
        <v/>
      </c>
      <c r="G3654" t="str">
        <f t="shared" si="140"/>
        <v/>
      </c>
    </row>
    <row r="3655" spans="2:7">
      <c r="B3655" s="6"/>
      <c r="E3655" s="7"/>
      <c r="F3655" t="str">
        <f t="shared" si="139"/>
        <v/>
      </c>
      <c r="G3655" t="str">
        <f t="shared" si="140"/>
        <v/>
      </c>
    </row>
    <row r="3656" spans="2:7">
      <c r="B3656" s="6"/>
      <c r="E3656" s="7"/>
      <c r="F3656" t="str">
        <f t="shared" si="139"/>
        <v/>
      </c>
      <c r="G3656" t="str">
        <f t="shared" si="140"/>
        <v/>
      </c>
    </row>
    <row r="3657" spans="2:7">
      <c r="B3657" s="6"/>
      <c r="E3657" s="7"/>
      <c r="F3657" t="str">
        <f t="shared" si="139"/>
        <v/>
      </c>
      <c r="G3657" t="str">
        <f t="shared" si="140"/>
        <v/>
      </c>
    </row>
    <row r="3658" spans="2:7">
      <c r="B3658" s="6"/>
      <c r="E3658" s="7"/>
      <c r="F3658" t="str">
        <f t="shared" si="139"/>
        <v/>
      </c>
      <c r="G3658" t="str">
        <f t="shared" si="140"/>
        <v/>
      </c>
    </row>
    <row r="3659" spans="2:7">
      <c r="B3659" s="6"/>
      <c r="E3659" s="7"/>
      <c r="F3659" t="str">
        <f t="shared" si="139"/>
        <v/>
      </c>
      <c r="G3659" t="str">
        <f t="shared" si="140"/>
        <v/>
      </c>
    </row>
    <row r="3660" spans="2:7">
      <c r="B3660" s="6"/>
      <c r="E3660" s="7"/>
      <c r="F3660" t="str">
        <f t="shared" si="139"/>
        <v/>
      </c>
      <c r="G3660" t="str">
        <f t="shared" si="140"/>
        <v/>
      </c>
    </row>
    <row r="3661" spans="2:7">
      <c r="B3661" s="6"/>
      <c r="E3661" s="7"/>
      <c r="F3661" t="str">
        <f t="shared" si="139"/>
        <v/>
      </c>
      <c r="G3661" t="str">
        <f t="shared" si="140"/>
        <v/>
      </c>
    </row>
    <row r="3662" spans="2:7">
      <c r="B3662" s="6"/>
      <c r="E3662" s="7"/>
      <c r="F3662" t="str">
        <f t="shared" si="139"/>
        <v/>
      </c>
      <c r="G3662" t="str">
        <f t="shared" si="140"/>
        <v/>
      </c>
    </row>
    <row r="3663" spans="2:7">
      <c r="B3663" s="6"/>
      <c r="E3663" s="7"/>
      <c r="F3663" t="str">
        <f t="shared" si="139"/>
        <v/>
      </c>
      <c r="G3663" t="str">
        <f t="shared" si="140"/>
        <v/>
      </c>
    </row>
    <row r="3664" spans="2:7">
      <c r="B3664" s="6"/>
      <c r="E3664" s="7"/>
      <c r="F3664" t="str">
        <f t="shared" si="139"/>
        <v/>
      </c>
      <c r="G3664" t="str">
        <f t="shared" si="140"/>
        <v/>
      </c>
    </row>
    <row r="3665" spans="2:7">
      <c r="B3665" s="6"/>
      <c r="E3665" s="7"/>
      <c r="F3665" t="str">
        <f t="shared" si="139"/>
        <v/>
      </c>
      <c r="G3665" t="str">
        <f t="shared" si="140"/>
        <v/>
      </c>
    </row>
    <row r="3666" spans="2:7">
      <c r="B3666" s="6"/>
      <c r="E3666" s="7"/>
      <c r="F3666" t="str">
        <f t="shared" si="139"/>
        <v/>
      </c>
      <c r="G3666" t="str">
        <f t="shared" si="140"/>
        <v/>
      </c>
    </row>
    <row r="3667" spans="2:7">
      <c r="B3667" s="6"/>
      <c r="E3667" s="7"/>
      <c r="F3667" t="str">
        <f t="shared" si="139"/>
        <v/>
      </c>
      <c r="G3667" t="str">
        <f t="shared" si="140"/>
        <v/>
      </c>
    </row>
    <row r="3668" spans="2:7">
      <c r="B3668" s="6"/>
      <c r="E3668" s="7"/>
      <c r="F3668" t="str">
        <f t="shared" si="139"/>
        <v/>
      </c>
      <c r="G3668" t="str">
        <f t="shared" si="140"/>
        <v/>
      </c>
    </row>
    <row r="3669" spans="2:7">
      <c r="B3669" s="6"/>
      <c r="E3669" s="7"/>
      <c r="F3669" t="str">
        <f t="shared" si="139"/>
        <v/>
      </c>
      <c r="G3669" t="str">
        <f t="shared" si="140"/>
        <v/>
      </c>
    </row>
    <row r="3670" spans="2:7">
      <c r="B3670" s="6"/>
      <c r="E3670" s="7"/>
      <c r="F3670" t="str">
        <f t="shared" si="139"/>
        <v/>
      </c>
      <c r="G3670" t="str">
        <f t="shared" si="140"/>
        <v/>
      </c>
    </row>
    <row r="3671" spans="2:7">
      <c r="B3671" s="6"/>
      <c r="E3671" s="7"/>
      <c r="F3671" t="str">
        <f t="shared" si="139"/>
        <v/>
      </c>
      <c r="G3671" t="str">
        <f t="shared" si="140"/>
        <v/>
      </c>
    </row>
    <row r="3672" spans="2:7">
      <c r="B3672" s="6"/>
      <c r="E3672" s="7"/>
      <c r="F3672" t="str">
        <f t="shared" si="139"/>
        <v/>
      </c>
      <c r="G3672" t="str">
        <f t="shared" si="140"/>
        <v/>
      </c>
    </row>
    <row r="3673" spans="2:7">
      <c r="B3673" s="6"/>
      <c r="E3673" s="7"/>
      <c r="F3673" t="str">
        <f t="shared" si="139"/>
        <v/>
      </c>
      <c r="G3673" t="str">
        <f t="shared" si="140"/>
        <v/>
      </c>
    </row>
    <row r="3674" spans="2:7">
      <c r="B3674" s="6"/>
      <c r="E3674" s="7"/>
      <c r="F3674" t="str">
        <f t="shared" si="139"/>
        <v/>
      </c>
      <c r="G3674" t="str">
        <f t="shared" si="140"/>
        <v/>
      </c>
    </row>
    <row r="3675" spans="2:7">
      <c r="B3675" s="6"/>
      <c r="E3675" s="7"/>
      <c r="F3675" t="str">
        <f t="shared" si="139"/>
        <v/>
      </c>
      <c r="G3675" t="str">
        <f t="shared" si="140"/>
        <v/>
      </c>
    </row>
    <row r="3676" spans="2:7">
      <c r="B3676" s="6"/>
      <c r="E3676" s="7"/>
      <c r="F3676" t="str">
        <f t="shared" si="139"/>
        <v/>
      </c>
      <c r="G3676" t="str">
        <f t="shared" si="140"/>
        <v/>
      </c>
    </row>
    <row r="3677" spans="2:7">
      <c r="B3677" s="6"/>
      <c r="E3677" s="7"/>
      <c r="F3677" t="str">
        <f t="shared" si="139"/>
        <v/>
      </c>
      <c r="G3677" t="str">
        <f t="shared" si="140"/>
        <v/>
      </c>
    </row>
    <row r="3678" spans="2:7">
      <c r="B3678" s="6"/>
      <c r="E3678" s="7"/>
      <c r="F3678" t="str">
        <f t="shared" si="139"/>
        <v/>
      </c>
      <c r="G3678" t="str">
        <f t="shared" si="140"/>
        <v/>
      </c>
    </row>
    <row r="3679" spans="2:7">
      <c r="B3679" s="6"/>
      <c r="E3679" s="7"/>
      <c r="F3679" t="str">
        <f t="shared" si="139"/>
        <v/>
      </c>
      <c r="G3679" t="str">
        <f t="shared" si="140"/>
        <v/>
      </c>
    </row>
    <row r="3680" spans="2:7">
      <c r="B3680" s="6"/>
      <c r="E3680" s="7"/>
      <c r="F3680" t="str">
        <f t="shared" si="139"/>
        <v/>
      </c>
      <c r="G3680" t="str">
        <f t="shared" si="140"/>
        <v/>
      </c>
    </row>
    <row r="3681" spans="2:7">
      <c r="B3681" s="6"/>
      <c r="E3681" s="7"/>
      <c r="F3681" t="str">
        <f t="shared" si="139"/>
        <v/>
      </c>
      <c r="G3681" t="str">
        <f t="shared" si="140"/>
        <v/>
      </c>
    </row>
    <row r="3682" spans="2:7">
      <c r="B3682" s="6"/>
      <c r="E3682" s="7"/>
      <c r="F3682" t="str">
        <f t="shared" si="139"/>
        <v/>
      </c>
      <c r="G3682" t="str">
        <f t="shared" si="140"/>
        <v/>
      </c>
    </row>
    <row r="3683" spans="2:7">
      <c r="B3683" s="6"/>
      <c r="E3683" s="7"/>
      <c r="F3683" t="str">
        <f t="shared" si="139"/>
        <v/>
      </c>
      <c r="G3683" t="str">
        <f t="shared" si="140"/>
        <v/>
      </c>
    </row>
    <row r="3684" spans="2:7">
      <c r="B3684" s="6"/>
      <c r="E3684" s="7"/>
      <c r="F3684" t="str">
        <f t="shared" si="139"/>
        <v/>
      </c>
      <c r="G3684" t="str">
        <f t="shared" si="140"/>
        <v/>
      </c>
    </row>
    <row r="3685" spans="2:7">
      <c r="B3685" s="6"/>
      <c r="E3685" s="7"/>
      <c r="F3685" t="str">
        <f t="shared" si="139"/>
        <v/>
      </c>
      <c r="G3685" t="str">
        <f t="shared" si="140"/>
        <v/>
      </c>
    </row>
    <row r="3686" spans="2:7">
      <c r="B3686" s="6"/>
      <c r="E3686" s="7"/>
      <c r="F3686" t="str">
        <f t="shared" si="139"/>
        <v/>
      </c>
      <c r="G3686" t="str">
        <f t="shared" si="140"/>
        <v/>
      </c>
    </row>
    <row r="3687" spans="2:7">
      <c r="B3687" s="6"/>
      <c r="E3687" s="7"/>
      <c r="F3687" t="str">
        <f t="shared" si="139"/>
        <v/>
      </c>
      <c r="G3687" t="str">
        <f t="shared" si="140"/>
        <v/>
      </c>
    </row>
    <row r="3688" spans="2:7">
      <c r="B3688" s="6"/>
      <c r="E3688" s="7"/>
      <c r="F3688" t="str">
        <f t="shared" si="139"/>
        <v/>
      </c>
      <c r="G3688" t="str">
        <f t="shared" si="140"/>
        <v/>
      </c>
    </row>
    <row r="3689" spans="2:7">
      <c r="B3689" s="6"/>
      <c r="E3689" s="7"/>
      <c r="F3689" t="str">
        <f t="shared" si="139"/>
        <v/>
      </c>
      <c r="G3689" t="str">
        <f t="shared" si="140"/>
        <v/>
      </c>
    </row>
    <row r="3690" spans="2:7">
      <c r="B3690" s="6"/>
      <c r="E3690" s="7"/>
      <c r="F3690" t="str">
        <f t="shared" si="139"/>
        <v/>
      </c>
      <c r="G3690" t="str">
        <f t="shared" si="140"/>
        <v/>
      </c>
    </row>
    <row r="3691" spans="2:7">
      <c r="B3691" s="6"/>
      <c r="E3691" s="7"/>
      <c r="F3691" t="str">
        <f t="shared" si="139"/>
        <v/>
      </c>
      <c r="G3691" t="str">
        <f t="shared" si="140"/>
        <v/>
      </c>
    </row>
    <row r="3692" spans="2:7">
      <c r="B3692" s="6"/>
      <c r="E3692" s="7"/>
      <c r="F3692" t="str">
        <f t="shared" si="139"/>
        <v/>
      </c>
      <c r="G3692" t="str">
        <f t="shared" si="140"/>
        <v/>
      </c>
    </row>
    <row r="3693" spans="2:7">
      <c r="B3693" s="6"/>
      <c r="E3693" s="7"/>
      <c r="F3693" t="str">
        <f t="shared" si="139"/>
        <v/>
      </c>
      <c r="G3693" t="str">
        <f t="shared" si="140"/>
        <v/>
      </c>
    </row>
    <row r="3694" spans="2:7">
      <c r="B3694" s="6"/>
      <c r="E3694" s="7"/>
      <c r="F3694" t="str">
        <f t="shared" si="139"/>
        <v/>
      </c>
      <c r="G3694" t="str">
        <f t="shared" si="140"/>
        <v/>
      </c>
    </row>
    <row r="3695" spans="2:7">
      <c r="B3695" s="6"/>
      <c r="E3695" s="7"/>
      <c r="F3695" t="str">
        <f t="shared" si="139"/>
        <v/>
      </c>
      <c r="G3695" t="str">
        <f t="shared" si="140"/>
        <v/>
      </c>
    </row>
    <row r="3696" spans="2:7">
      <c r="B3696" s="6"/>
      <c r="E3696" s="7"/>
      <c r="F3696" t="str">
        <f t="shared" si="139"/>
        <v/>
      </c>
      <c r="G3696" t="str">
        <f t="shared" si="140"/>
        <v/>
      </c>
    </row>
    <row r="3697" spans="2:7">
      <c r="B3697" s="6"/>
      <c r="E3697" s="7"/>
      <c r="F3697" t="str">
        <f t="shared" si="139"/>
        <v/>
      </c>
      <c r="G3697" t="str">
        <f t="shared" si="140"/>
        <v/>
      </c>
    </row>
    <row r="3698" spans="2:7">
      <c r="B3698" s="6"/>
      <c r="E3698" s="7"/>
      <c r="F3698" t="str">
        <f t="shared" si="139"/>
        <v/>
      </c>
      <c r="G3698" t="str">
        <f t="shared" si="140"/>
        <v/>
      </c>
    </row>
    <row r="3699" spans="2:7">
      <c r="B3699" s="6"/>
      <c r="E3699" s="7"/>
      <c r="F3699" t="str">
        <f t="shared" si="139"/>
        <v/>
      </c>
      <c r="G3699" t="str">
        <f t="shared" si="140"/>
        <v/>
      </c>
    </row>
    <row r="3700" spans="2:7">
      <c r="B3700" s="6"/>
      <c r="E3700" s="7"/>
      <c r="F3700" t="str">
        <f t="shared" si="139"/>
        <v/>
      </c>
      <c r="G3700" t="str">
        <f t="shared" si="140"/>
        <v/>
      </c>
    </row>
    <row r="3701" spans="2:7">
      <c r="B3701" s="6"/>
      <c r="E3701" s="7"/>
      <c r="F3701" t="str">
        <f t="shared" si="139"/>
        <v/>
      </c>
      <c r="G3701" t="str">
        <f t="shared" si="140"/>
        <v/>
      </c>
    </row>
    <row r="3702" spans="2:7">
      <c r="B3702" s="6"/>
      <c r="E3702" s="7"/>
      <c r="F3702" t="str">
        <f t="shared" si="139"/>
        <v/>
      </c>
      <c r="G3702" t="str">
        <f t="shared" si="140"/>
        <v/>
      </c>
    </row>
    <row r="3703" spans="2:7">
      <c r="B3703" s="6"/>
      <c r="E3703" s="7"/>
      <c r="F3703" t="str">
        <f t="shared" si="139"/>
        <v/>
      </c>
      <c r="G3703" t="str">
        <f t="shared" si="140"/>
        <v/>
      </c>
    </row>
    <row r="3704" spans="2:7">
      <c r="B3704" s="6"/>
      <c r="E3704" s="7"/>
      <c r="F3704" t="str">
        <f t="shared" si="139"/>
        <v/>
      </c>
      <c r="G3704" t="str">
        <f t="shared" si="140"/>
        <v/>
      </c>
    </row>
    <row r="3705" spans="2:7">
      <c r="B3705" s="6"/>
      <c r="E3705" s="7"/>
      <c r="F3705" t="str">
        <f t="shared" si="139"/>
        <v/>
      </c>
      <c r="G3705" t="str">
        <f t="shared" si="140"/>
        <v/>
      </c>
    </row>
    <row r="3706" spans="2:7">
      <c r="B3706" s="6"/>
      <c r="E3706" s="7"/>
      <c r="F3706" t="str">
        <f t="shared" si="139"/>
        <v/>
      </c>
      <c r="G3706" t="str">
        <f t="shared" si="140"/>
        <v/>
      </c>
    </row>
    <row r="3707" spans="2:7">
      <c r="B3707" s="6"/>
      <c r="E3707" s="7"/>
      <c r="F3707" t="str">
        <f t="shared" si="139"/>
        <v/>
      </c>
      <c r="G3707" t="str">
        <f t="shared" si="140"/>
        <v/>
      </c>
    </row>
    <row r="3708" spans="2:7">
      <c r="B3708" s="6"/>
      <c r="E3708" s="7"/>
      <c r="F3708" t="str">
        <f t="shared" si="139"/>
        <v/>
      </c>
      <c r="G3708" t="str">
        <f t="shared" si="140"/>
        <v/>
      </c>
    </row>
    <row r="3709" spans="2:7">
      <c r="B3709" s="6"/>
      <c r="E3709" s="7"/>
      <c r="F3709" t="str">
        <f t="shared" si="139"/>
        <v/>
      </c>
      <c r="G3709" t="str">
        <f t="shared" si="140"/>
        <v/>
      </c>
    </row>
    <row r="3710" spans="2:7">
      <c r="B3710" s="6"/>
      <c r="E3710" s="7"/>
      <c r="F3710" t="str">
        <f t="shared" si="139"/>
        <v/>
      </c>
      <c r="G3710" t="str">
        <f t="shared" si="140"/>
        <v/>
      </c>
    </row>
    <row r="3711" spans="2:7">
      <c r="B3711" s="6"/>
      <c r="E3711" s="7"/>
      <c r="F3711" t="str">
        <f t="shared" si="139"/>
        <v/>
      </c>
      <c r="G3711" t="str">
        <f t="shared" si="140"/>
        <v/>
      </c>
    </row>
    <row r="3712" spans="2:7">
      <c r="B3712" s="6"/>
      <c r="E3712" s="7"/>
      <c r="F3712" t="str">
        <f t="shared" si="139"/>
        <v/>
      </c>
      <c r="G3712" t="str">
        <f t="shared" si="140"/>
        <v/>
      </c>
    </row>
    <row r="3713" spans="2:7">
      <c r="B3713" s="6"/>
      <c r="E3713" s="7"/>
      <c r="F3713" t="str">
        <f t="shared" si="139"/>
        <v/>
      </c>
      <c r="G3713" t="str">
        <f t="shared" si="140"/>
        <v/>
      </c>
    </row>
    <row r="3714" spans="2:7">
      <c r="B3714" s="6"/>
      <c r="E3714" s="7"/>
      <c r="F3714" t="str">
        <f t="shared" si="139"/>
        <v/>
      </c>
      <c r="G3714" t="str">
        <f t="shared" si="140"/>
        <v/>
      </c>
    </row>
    <row r="3715" spans="2:7">
      <c r="B3715" s="6"/>
      <c r="E3715" s="7"/>
      <c r="F3715" t="str">
        <f t="shared" si="139"/>
        <v/>
      </c>
      <c r="G3715" t="str">
        <f t="shared" si="140"/>
        <v/>
      </c>
    </row>
    <row r="3716" spans="2:7">
      <c r="B3716" s="6"/>
      <c r="E3716" s="7"/>
      <c r="F3716" t="str">
        <f t="shared" ref="F3716:F3779" si="141">IF(B3716="","",LOG10(D3716))</f>
        <v/>
      </c>
      <c r="G3716" t="str">
        <f t="shared" ref="G3716:G3779" si="142">IF(E3716="", "",0.434*E3716/D3716)</f>
        <v/>
      </c>
    </row>
    <row r="3717" spans="2:7">
      <c r="B3717" s="6"/>
      <c r="E3717" s="7"/>
      <c r="F3717" t="str">
        <f t="shared" si="141"/>
        <v/>
      </c>
      <c r="G3717" t="str">
        <f t="shared" si="142"/>
        <v/>
      </c>
    </row>
    <row r="3718" spans="2:7">
      <c r="B3718" s="6"/>
      <c r="E3718" s="7"/>
      <c r="F3718" t="str">
        <f t="shared" si="141"/>
        <v/>
      </c>
      <c r="G3718" t="str">
        <f t="shared" si="142"/>
        <v/>
      </c>
    </row>
    <row r="3719" spans="2:7">
      <c r="B3719" s="6"/>
      <c r="E3719" s="7"/>
      <c r="F3719" t="str">
        <f t="shared" si="141"/>
        <v/>
      </c>
      <c r="G3719" t="str">
        <f t="shared" si="142"/>
        <v/>
      </c>
    </row>
    <row r="3720" spans="2:7">
      <c r="B3720" s="6"/>
      <c r="E3720" s="7"/>
      <c r="F3720" t="str">
        <f t="shared" si="141"/>
        <v/>
      </c>
      <c r="G3720" t="str">
        <f t="shared" si="142"/>
        <v/>
      </c>
    </row>
    <row r="3721" spans="2:7">
      <c r="B3721" s="6"/>
      <c r="E3721" s="7"/>
      <c r="F3721" t="str">
        <f t="shared" si="141"/>
        <v/>
      </c>
      <c r="G3721" t="str">
        <f t="shared" si="142"/>
        <v/>
      </c>
    </row>
    <row r="3722" spans="2:7">
      <c r="B3722" s="6"/>
      <c r="E3722" s="7"/>
      <c r="F3722" t="str">
        <f t="shared" si="141"/>
        <v/>
      </c>
      <c r="G3722" t="str">
        <f t="shared" si="142"/>
        <v/>
      </c>
    </row>
    <row r="3723" spans="2:7">
      <c r="B3723" s="6"/>
      <c r="E3723" s="7"/>
      <c r="F3723" t="str">
        <f t="shared" si="141"/>
        <v/>
      </c>
      <c r="G3723" t="str">
        <f t="shared" si="142"/>
        <v/>
      </c>
    </row>
    <row r="3724" spans="2:7">
      <c r="B3724" s="6"/>
      <c r="E3724" s="7"/>
      <c r="F3724" t="str">
        <f t="shared" si="141"/>
        <v/>
      </c>
      <c r="G3724" t="str">
        <f t="shared" si="142"/>
        <v/>
      </c>
    </row>
    <row r="3725" spans="2:7">
      <c r="B3725" s="6"/>
      <c r="E3725" s="7"/>
      <c r="F3725" t="str">
        <f t="shared" si="141"/>
        <v/>
      </c>
      <c r="G3725" t="str">
        <f t="shared" si="142"/>
        <v/>
      </c>
    </row>
    <row r="3726" spans="2:7">
      <c r="B3726" s="6"/>
      <c r="E3726" s="7"/>
      <c r="F3726" t="str">
        <f t="shared" si="141"/>
        <v/>
      </c>
      <c r="G3726" t="str">
        <f t="shared" si="142"/>
        <v/>
      </c>
    </row>
    <row r="3727" spans="2:7">
      <c r="B3727" s="6"/>
      <c r="E3727" s="7"/>
      <c r="F3727" t="str">
        <f t="shared" si="141"/>
        <v/>
      </c>
      <c r="G3727" t="str">
        <f t="shared" si="142"/>
        <v/>
      </c>
    </row>
    <row r="3728" spans="2:7">
      <c r="B3728" s="6"/>
      <c r="E3728" s="7"/>
      <c r="F3728" t="str">
        <f t="shared" si="141"/>
        <v/>
      </c>
      <c r="G3728" t="str">
        <f t="shared" si="142"/>
        <v/>
      </c>
    </row>
    <row r="3729" spans="2:7">
      <c r="B3729" s="6"/>
      <c r="E3729" s="7"/>
      <c r="F3729" t="str">
        <f t="shared" si="141"/>
        <v/>
      </c>
      <c r="G3729" t="str">
        <f t="shared" si="142"/>
        <v/>
      </c>
    </row>
    <row r="3730" spans="2:7">
      <c r="B3730" s="6"/>
      <c r="E3730" s="7"/>
      <c r="F3730" t="str">
        <f t="shared" si="141"/>
        <v/>
      </c>
      <c r="G3730" t="str">
        <f t="shared" si="142"/>
        <v/>
      </c>
    </row>
    <row r="3731" spans="2:7">
      <c r="B3731" s="6"/>
      <c r="E3731" s="7"/>
      <c r="F3731" t="str">
        <f t="shared" si="141"/>
        <v/>
      </c>
      <c r="G3731" t="str">
        <f t="shared" si="142"/>
        <v/>
      </c>
    </row>
    <row r="3732" spans="2:7">
      <c r="B3732" s="6"/>
      <c r="E3732" s="7"/>
      <c r="F3732" t="str">
        <f t="shared" si="141"/>
        <v/>
      </c>
      <c r="G3732" t="str">
        <f t="shared" si="142"/>
        <v/>
      </c>
    </row>
    <row r="3733" spans="2:7">
      <c r="B3733" s="6"/>
      <c r="E3733" s="7"/>
      <c r="F3733" t="str">
        <f t="shared" si="141"/>
        <v/>
      </c>
      <c r="G3733" t="str">
        <f t="shared" si="142"/>
        <v/>
      </c>
    </row>
    <row r="3734" spans="2:7">
      <c r="B3734" s="6"/>
      <c r="E3734" s="7"/>
      <c r="F3734" t="str">
        <f t="shared" si="141"/>
        <v/>
      </c>
      <c r="G3734" t="str">
        <f t="shared" si="142"/>
        <v/>
      </c>
    </row>
    <row r="3735" spans="2:7">
      <c r="B3735" s="6"/>
      <c r="E3735" s="7"/>
      <c r="F3735" t="str">
        <f t="shared" si="141"/>
        <v/>
      </c>
      <c r="G3735" t="str">
        <f t="shared" si="142"/>
        <v/>
      </c>
    </row>
    <row r="3736" spans="2:7">
      <c r="B3736" s="6"/>
      <c r="E3736" s="7"/>
      <c r="F3736" t="str">
        <f t="shared" si="141"/>
        <v/>
      </c>
      <c r="G3736" t="str">
        <f t="shared" si="142"/>
        <v/>
      </c>
    </row>
    <row r="3737" spans="2:7">
      <c r="B3737" s="6"/>
      <c r="E3737" s="7"/>
      <c r="F3737" t="str">
        <f t="shared" si="141"/>
        <v/>
      </c>
      <c r="G3737" t="str">
        <f t="shared" si="142"/>
        <v/>
      </c>
    </row>
    <row r="3738" spans="2:7">
      <c r="B3738" s="6"/>
      <c r="E3738" s="7"/>
      <c r="F3738" t="str">
        <f t="shared" si="141"/>
        <v/>
      </c>
      <c r="G3738" t="str">
        <f t="shared" si="142"/>
        <v/>
      </c>
    </row>
    <row r="3739" spans="2:7">
      <c r="B3739" s="6"/>
      <c r="E3739" s="7"/>
      <c r="F3739" t="str">
        <f t="shared" si="141"/>
        <v/>
      </c>
      <c r="G3739" t="str">
        <f t="shared" si="142"/>
        <v/>
      </c>
    </row>
    <row r="3740" spans="2:7">
      <c r="B3740" s="6"/>
      <c r="E3740" s="7"/>
      <c r="F3740" t="str">
        <f t="shared" si="141"/>
        <v/>
      </c>
      <c r="G3740" t="str">
        <f t="shared" si="142"/>
        <v/>
      </c>
    </row>
    <row r="3741" spans="2:7">
      <c r="B3741" s="6"/>
      <c r="E3741" s="7"/>
      <c r="F3741" t="str">
        <f t="shared" si="141"/>
        <v/>
      </c>
      <c r="G3741" t="str">
        <f t="shared" si="142"/>
        <v/>
      </c>
    </row>
    <row r="3742" spans="2:7">
      <c r="B3742" s="6"/>
      <c r="E3742" s="7"/>
      <c r="F3742" t="str">
        <f t="shared" si="141"/>
        <v/>
      </c>
      <c r="G3742" t="str">
        <f t="shared" si="142"/>
        <v/>
      </c>
    </row>
    <row r="3743" spans="2:7">
      <c r="B3743" s="6"/>
      <c r="E3743" s="7"/>
      <c r="F3743" t="str">
        <f t="shared" si="141"/>
        <v/>
      </c>
      <c r="G3743" t="str">
        <f t="shared" si="142"/>
        <v/>
      </c>
    </row>
    <row r="3744" spans="2:7">
      <c r="B3744" s="6"/>
      <c r="E3744" s="7"/>
      <c r="F3744" t="str">
        <f t="shared" si="141"/>
        <v/>
      </c>
      <c r="G3744" t="str">
        <f t="shared" si="142"/>
        <v/>
      </c>
    </row>
    <row r="3745" spans="2:7">
      <c r="B3745" s="6"/>
      <c r="E3745" s="7"/>
      <c r="F3745" t="str">
        <f t="shared" si="141"/>
        <v/>
      </c>
      <c r="G3745" t="str">
        <f t="shared" si="142"/>
        <v/>
      </c>
    </row>
    <row r="3746" spans="2:7">
      <c r="B3746" s="6"/>
      <c r="E3746" s="7"/>
      <c r="F3746" t="str">
        <f t="shared" si="141"/>
        <v/>
      </c>
      <c r="G3746" t="str">
        <f t="shared" si="142"/>
        <v/>
      </c>
    </row>
    <row r="3747" spans="2:7">
      <c r="B3747" s="6"/>
      <c r="E3747" s="7"/>
      <c r="F3747" t="str">
        <f t="shared" si="141"/>
        <v/>
      </c>
      <c r="G3747" t="str">
        <f t="shared" si="142"/>
        <v/>
      </c>
    </row>
    <row r="3748" spans="2:7">
      <c r="B3748" s="6"/>
      <c r="E3748" s="7"/>
      <c r="F3748" t="str">
        <f t="shared" si="141"/>
        <v/>
      </c>
      <c r="G3748" t="str">
        <f t="shared" si="142"/>
        <v/>
      </c>
    </row>
    <row r="3749" spans="2:7">
      <c r="B3749" s="6"/>
      <c r="E3749" s="7"/>
      <c r="F3749" t="str">
        <f t="shared" si="141"/>
        <v/>
      </c>
      <c r="G3749" t="str">
        <f t="shared" si="142"/>
        <v/>
      </c>
    </row>
    <row r="3750" spans="2:7">
      <c r="B3750" s="6"/>
      <c r="E3750" s="7"/>
      <c r="F3750" t="str">
        <f t="shared" si="141"/>
        <v/>
      </c>
      <c r="G3750" t="str">
        <f t="shared" si="142"/>
        <v/>
      </c>
    </row>
    <row r="3751" spans="2:7">
      <c r="B3751" s="6"/>
      <c r="E3751" s="7"/>
      <c r="F3751" t="str">
        <f t="shared" si="141"/>
        <v/>
      </c>
      <c r="G3751" t="str">
        <f t="shared" si="142"/>
        <v/>
      </c>
    </row>
    <row r="3752" spans="2:7">
      <c r="B3752" s="6"/>
      <c r="E3752" s="7"/>
      <c r="F3752" t="str">
        <f t="shared" si="141"/>
        <v/>
      </c>
      <c r="G3752" t="str">
        <f t="shared" si="142"/>
        <v/>
      </c>
    </row>
    <row r="3753" spans="2:7">
      <c r="B3753" s="6"/>
      <c r="E3753" s="7"/>
      <c r="F3753" t="str">
        <f t="shared" si="141"/>
        <v/>
      </c>
      <c r="G3753" t="str">
        <f t="shared" si="142"/>
        <v/>
      </c>
    </row>
    <row r="3754" spans="2:7">
      <c r="B3754" s="6"/>
      <c r="E3754" s="7"/>
      <c r="F3754" t="str">
        <f t="shared" si="141"/>
        <v/>
      </c>
      <c r="G3754" t="str">
        <f t="shared" si="142"/>
        <v/>
      </c>
    </row>
    <row r="3755" spans="2:7">
      <c r="B3755" s="6"/>
      <c r="E3755" s="7"/>
      <c r="F3755" t="str">
        <f t="shared" si="141"/>
        <v/>
      </c>
      <c r="G3755" t="str">
        <f t="shared" si="142"/>
        <v/>
      </c>
    </row>
    <row r="3756" spans="2:7">
      <c r="B3756" s="6"/>
      <c r="E3756" s="7"/>
      <c r="F3756" t="str">
        <f t="shared" si="141"/>
        <v/>
      </c>
      <c r="G3756" t="str">
        <f t="shared" si="142"/>
        <v/>
      </c>
    </row>
    <row r="3757" spans="2:7">
      <c r="B3757" s="6"/>
      <c r="E3757" s="7"/>
      <c r="F3757" t="str">
        <f t="shared" si="141"/>
        <v/>
      </c>
      <c r="G3757" t="str">
        <f t="shared" si="142"/>
        <v/>
      </c>
    </row>
    <row r="3758" spans="2:7">
      <c r="B3758" s="6"/>
      <c r="E3758" s="7"/>
      <c r="F3758" t="str">
        <f t="shared" si="141"/>
        <v/>
      </c>
      <c r="G3758" t="str">
        <f t="shared" si="142"/>
        <v/>
      </c>
    </row>
    <row r="3759" spans="2:7">
      <c r="B3759" s="6"/>
      <c r="E3759" s="7"/>
      <c r="F3759" t="str">
        <f t="shared" si="141"/>
        <v/>
      </c>
      <c r="G3759" t="str">
        <f t="shared" si="142"/>
        <v/>
      </c>
    </row>
    <row r="3760" spans="2:7">
      <c r="B3760" s="6"/>
      <c r="E3760" s="7"/>
      <c r="F3760" t="str">
        <f t="shared" si="141"/>
        <v/>
      </c>
      <c r="G3760" t="str">
        <f t="shared" si="142"/>
        <v/>
      </c>
    </row>
    <row r="3761" spans="2:7">
      <c r="B3761" s="6"/>
      <c r="E3761" s="7"/>
      <c r="F3761" t="str">
        <f t="shared" si="141"/>
        <v/>
      </c>
      <c r="G3761" t="str">
        <f t="shared" si="142"/>
        <v/>
      </c>
    </row>
    <row r="3762" spans="2:7">
      <c r="B3762" s="6"/>
      <c r="E3762" s="7"/>
      <c r="F3762" t="str">
        <f t="shared" si="141"/>
        <v/>
      </c>
      <c r="G3762" t="str">
        <f t="shared" si="142"/>
        <v/>
      </c>
    </row>
    <row r="3763" spans="2:7">
      <c r="B3763" s="6"/>
      <c r="E3763" s="7"/>
      <c r="F3763" t="str">
        <f t="shared" si="141"/>
        <v/>
      </c>
      <c r="G3763" t="str">
        <f t="shared" si="142"/>
        <v/>
      </c>
    </row>
    <row r="3764" spans="2:7">
      <c r="B3764" s="6"/>
      <c r="E3764" s="7"/>
      <c r="F3764" t="str">
        <f t="shared" si="141"/>
        <v/>
      </c>
      <c r="G3764" t="str">
        <f t="shared" si="142"/>
        <v/>
      </c>
    </row>
    <row r="3765" spans="2:7">
      <c r="B3765" s="6"/>
      <c r="E3765" s="7"/>
      <c r="F3765" t="str">
        <f t="shared" si="141"/>
        <v/>
      </c>
      <c r="G3765" t="str">
        <f t="shared" si="142"/>
        <v/>
      </c>
    </row>
    <row r="3766" spans="2:7">
      <c r="B3766" s="6"/>
      <c r="E3766" s="7"/>
      <c r="F3766" t="str">
        <f t="shared" si="141"/>
        <v/>
      </c>
      <c r="G3766" t="str">
        <f t="shared" si="142"/>
        <v/>
      </c>
    </row>
    <row r="3767" spans="2:7">
      <c r="B3767" s="6"/>
      <c r="E3767" s="7"/>
      <c r="F3767" t="str">
        <f t="shared" si="141"/>
        <v/>
      </c>
      <c r="G3767" t="str">
        <f t="shared" si="142"/>
        <v/>
      </c>
    </row>
    <row r="3768" spans="2:7">
      <c r="B3768" s="6"/>
      <c r="E3768" s="7"/>
      <c r="F3768" t="str">
        <f t="shared" si="141"/>
        <v/>
      </c>
      <c r="G3768" t="str">
        <f t="shared" si="142"/>
        <v/>
      </c>
    </row>
    <row r="3769" spans="2:7">
      <c r="B3769" s="6"/>
      <c r="E3769" s="7"/>
      <c r="F3769" t="str">
        <f t="shared" si="141"/>
        <v/>
      </c>
      <c r="G3769" t="str">
        <f t="shared" si="142"/>
        <v/>
      </c>
    </row>
    <row r="3770" spans="2:7">
      <c r="B3770" s="6"/>
      <c r="E3770" s="7"/>
      <c r="F3770" t="str">
        <f t="shared" si="141"/>
        <v/>
      </c>
      <c r="G3770" t="str">
        <f t="shared" si="142"/>
        <v/>
      </c>
    </row>
    <row r="3771" spans="2:7">
      <c r="B3771" s="6"/>
      <c r="E3771" s="7"/>
      <c r="F3771" t="str">
        <f t="shared" si="141"/>
        <v/>
      </c>
      <c r="G3771" t="str">
        <f t="shared" si="142"/>
        <v/>
      </c>
    </row>
    <row r="3772" spans="2:7">
      <c r="B3772" s="6"/>
      <c r="E3772" s="7"/>
      <c r="F3772" t="str">
        <f t="shared" si="141"/>
        <v/>
      </c>
      <c r="G3772" t="str">
        <f t="shared" si="142"/>
        <v/>
      </c>
    </row>
    <row r="3773" spans="2:7">
      <c r="B3773" s="6"/>
      <c r="E3773" s="7"/>
      <c r="F3773" t="str">
        <f t="shared" si="141"/>
        <v/>
      </c>
      <c r="G3773" t="str">
        <f t="shared" si="142"/>
        <v/>
      </c>
    </row>
    <row r="3774" spans="2:7">
      <c r="B3774" s="6"/>
      <c r="E3774" s="7"/>
      <c r="F3774" t="str">
        <f t="shared" si="141"/>
        <v/>
      </c>
      <c r="G3774" t="str">
        <f t="shared" si="142"/>
        <v/>
      </c>
    </row>
    <row r="3775" spans="2:7">
      <c r="B3775" s="6"/>
      <c r="E3775" s="7"/>
      <c r="F3775" t="str">
        <f t="shared" si="141"/>
        <v/>
      </c>
      <c r="G3775" t="str">
        <f t="shared" si="142"/>
        <v/>
      </c>
    </row>
    <row r="3776" spans="2:7">
      <c r="B3776" s="6"/>
      <c r="E3776" s="7"/>
      <c r="F3776" t="str">
        <f t="shared" si="141"/>
        <v/>
      </c>
      <c r="G3776" t="str">
        <f t="shared" si="142"/>
        <v/>
      </c>
    </row>
    <row r="3777" spans="2:7">
      <c r="B3777" s="6"/>
      <c r="E3777" s="7"/>
      <c r="F3777" t="str">
        <f t="shared" si="141"/>
        <v/>
      </c>
      <c r="G3777" t="str">
        <f t="shared" si="142"/>
        <v/>
      </c>
    </row>
    <row r="3778" spans="2:7">
      <c r="B3778" s="6"/>
      <c r="E3778" s="7"/>
      <c r="F3778" t="str">
        <f t="shared" si="141"/>
        <v/>
      </c>
      <c r="G3778" t="str">
        <f t="shared" si="142"/>
        <v/>
      </c>
    </row>
    <row r="3779" spans="2:7">
      <c r="B3779" s="6"/>
      <c r="E3779" s="7"/>
      <c r="F3779" t="str">
        <f t="shared" si="141"/>
        <v/>
      </c>
      <c r="G3779" t="str">
        <f t="shared" si="142"/>
        <v/>
      </c>
    </row>
    <row r="3780" spans="2:7">
      <c r="B3780" s="6"/>
      <c r="E3780" s="7"/>
      <c r="F3780" t="str">
        <f t="shared" ref="F3780:F3843" si="143">IF(B3780="","",LOG10(D3780))</f>
        <v/>
      </c>
      <c r="G3780" t="str">
        <f t="shared" ref="G3780:G3843" si="144">IF(E3780="", "",0.434*E3780/D3780)</f>
        <v/>
      </c>
    </row>
    <row r="3781" spans="2:7">
      <c r="B3781" s="6"/>
      <c r="E3781" s="7"/>
      <c r="F3781" t="str">
        <f t="shared" si="143"/>
        <v/>
      </c>
      <c r="G3781" t="str">
        <f t="shared" si="144"/>
        <v/>
      </c>
    </row>
    <row r="3782" spans="2:7">
      <c r="B3782" s="6"/>
      <c r="E3782" s="7"/>
      <c r="F3782" t="str">
        <f t="shared" si="143"/>
        <v/>
      </c>
      <c r="G3782" t="str">
        <f t="shared" si="144"/>
        <v/>
      </c>
    </row>
    <row r="3783" spans="2:7">
      <c r="B3783" s="6"/>
      <c r="E3783" s="7"/>
      <c r="F3783" t="str">
        <f t="shared" si="143"/>
        <v/>
      </c>
      <c r="G3783" t="str">
        <f t="shared" si="144"/>
        <v/>
      </c>
    </row>
    <row r="3784" spans="2:7">
      <c r="B3784" s="6"/>
      <c r="E3784" s="7"/>
      <c r="F3784" t="str">
        <f t="shared" si="143"/>
        <v/>
      </c>
      <c r="G3784" t="str">
        <f t="shared" si="144"/>
        <v/>
      </c>
    </row>
    <row r="3785" spans="2:7">
      <c r="B3785" s="6"/>
      <c r="E3785" s="7"/>
      <c r="F3785" t="str">
        <f t="shared" si="143"/>
        <v/>
      </c>
      <c r="G3785" t="str">
        <f t="shared" si="144"/>
        <v/>
      </c>
    </row>
    <row r="3786" spans="2:7">
      <c r="B3786" s="6"/>
      <c r="E3786" s="7"/>
      <c r="F3786" t="str">
        <f t="shared" si="143"/>
        <v/>
      </c>
      <c r="G3786" t="str">
        <f t="shared" si="144"/>
        <v/>
      </c>
    </row>
    <row r="3787" spans="2:7">
      <c r="B3787" s="6"/>
      <c r="E3787" s="7"/>
      <c r="F3787" t="str">
        <f t="shared" si="143"/>
        <v/>
      </c>
      <c r="G3787" t="str">
        <f t="shared" si="144"/>
        <v/>
      </c>
    </row>
    <row r="3788" spans="2:7">
      <c r="B3788" s="6"/>
      <c r="E3788" s="7"/>
      <c r="F3788" t="str">
        <f t="shared" si="143"/>
        <v/>
      </c>
      <c r="G3788" t="str">
        <f t="shared" si="144"/>
        <v/>
      </c>
    </row>
    <row r="3789" spans="2:7">
      <c r="B3789" s="6"/>
      <c r="E3789" s="7"/>
      <c r="F3789" t="str">
        <f t="shared" si="143"/>
        <v/>
      </c>
      <c r="G3789" t="str">
        <f t="shared" si="144"/>
        <v/>
      </c>
    </row>
    <row r="3790" spans="2:7">
      <c r="B3790" s="6"/>
      <c r="E3790" s="7"/>
      <c r="F3790" t="str">
        <f t="shared" si="143"/>
        <v/>
      </c>
      <c r="G3790" t="str">
        <f t="shared" si="144"/>
        <v/>
      </c>
    </row>
    <row r="3791" spans="2:7">
      <c r="B3791" s="6"/>
      <c r="E3791" s="7"/>
      <c r="F3791" t="str">
        <f t="shared" si="143"/>
        <v/>
      </c>
      <c r="G3791" t="str">
        <f t="shared" si="144"/>
        <v/>
      </c>
    </row>
    <row r="3792" spans="2:7">
      <c r="B3792" s="6"/>
      <c r="E3792" s="7"/>
      <c r="F3792" t="str">
        <f t="shared" si="143"/>
        <v/>
      </c>
      <c r="G3792" t="str">
        <f t="shared" si="144"/>
        <v/>
      </c>
    </row>
    <row r="3793" spans="2:7">
      <c r="B3793" s="6"/>
      <c r="E3793" s="7"/>
      <c r="F3793" t="str">
        <f t="shared" si="143"/>
        <v/>
      </c>
      <c r="G3793" t="str">
        <f t="shared" si="144"/>
        <v/>
      </c>
    </row>
    <row r="3794" spans="2:7">
      <c r="B3794" s="6"/>
      <c r="E3794" s="7"/>
      <c r="F3794" t="str">
        <f t="shared" si="143"/>
        <v/>
      </c>
      <c r="G3794" t="str">
        <f t="shared" si="144"/>
        <v/>
      </c>
    </row>
    <row r="3795" spans="2:7">
      <c r="B3795" s="6"/>
      <c r="E3795" s="7"/>
      <c r="F3795" t="str">
        <f t="shared" si="143"/>
        <v/>
      </c>
      <c r="G3795" t="str">
        <f t="shared" si="144"/>
        <v/>
      </c>
    </row>
    <row r="3796" spans="2:7">
      <c r="B3796" s="6"/>
      <c r="E3796" s="7"/>
      <c r="F3796" t="str">
        <f t="shared" si="143"/>
        <v/>
      </c>
      <c r="G3796" t="str">
        <f t="shared" si="144"/>
        <v/>
      </c>
    </row>
    <row r="3797" spans="2:7">
      <c r="B3797" s="6"/>
      <c r="E3797" s="7"/>
      <c r="F3797" t="str">
        <f t="shared" si="143"/>
        <v/>
      </c>
      <c r="G3797" t="str">
        <f t="shared" si="144"/>
        <v/>
      </c>
    </row>
    <row r="3798" spans="2:7">
      <c r="B3798" s="6"/>
      <c r="E3798" s="7"/>
      <c r="F3798" t="str">
        <f t="shared" si="143"/>
        <v/>
      </c>
      <c r="G3798" t="str">
        <f t="shared" si="144"/>
        <v/>
      </c>
    </row>
    <row r="3799" spans="2:7">
      <c r="B3799" s="6"/>
      <c r="E3799" s="7"/>
      <c r="F3799" t="str">
        <f t="shared" si="143"/>
        <v/>
      </c>
      <c r="G3799" t="str">
        <f t="shared" si="144"/>
        <v/>
      </c>
    </row>
    <row r="3800" spans="2:7">
      <c r="B3800" s="6"/>
      <c r="E3800" s="7"/>
      <c r="F3800" t="str">
        <f t="shared" si="143"/>
        <v/>
      </c>
      <c r="G3800" t="str">
        <f t="shared" si="144"/>
        <v/>
      </c>
    </row>
    <row r="3801" spans="2:7">
      <c r="B3801" s="6"/>
      <c r="E3801" s="7"/>
      <c r="F3801" t="str">
        <f t="shared" si="143"/>
        <v/>
      </c>
      <c r="G3801" t="str">
        <f t="shared" si="144"/>
        <v/>
      </c>
    </row>
    <row r="3802" spans="2:7">
      <c r="B3802" s="6"/>
      <c r="E3802" s="7"/>
      <c r="F3802" t="str">
        <f t="shared" si="143"/>
        <v/>
      </c>
      <c r="G3802" t="str">
        <f t="shared" si="144"/>
        <v/>
      </c>
    </row>
    <row r="3803" spans="2:7">
      <c r="B3803" s="6"/>
      <c r="E3803" s="7"/>
      <c r="F3803" t="str">
        <f t="shared" si="143"/>
        <v/>
      </c>
      <c r="G3803" t="str">
        <f t="shared" si="144"/>
        <v/>
      </c>
    </row>
    <row r="3804" spans="2:7">
      <c r="B3804" s="6"/>
      <c r="E3804" s="7"/>
      <c r="F3804" t="str">
        <f t="shared" si="143"/>
        <v/>
      </c>
      <c r="G3804" t="str">
        <f t="shared" si="144"/>
        <v/>
      </c>
    </row>
    <row r="3805" spans="2:7">
      <c r="B3805" s="6"/>
      <c r="E3805" s="7"/>
      <c r="F3805" t="str">
        <f t="shared" si="143"/>
        <v/>
      </c>
      <c r="G3805" t="str">
        <f t="shared" si="144"/>
        <v/>
      </c>
    </row>
    <row r="3806" spans="2:7">
      <c r="B3806" s="6"/>
      <c r="E3806" s="7"/>
      <c r="F3806" t="str">
        <f t="shared" si="143"/>
        <v/>
      </c>
      <c r="G3806" t="str">
        <f t="shared" si="144"/>
        <v/>
      </c>
    </row>
    <row r="3807" spans="2:7">
      <c r="B3807" s="6"/>
      <c r="E3807" s="7"/>
      <c r="F3807" t="str">
        <f t="shared" si="143"/>
        <v/>
      </c>
      <c r="G3807" t="str">
        <f t="shared" si="144"/>
        <v/>
      </c>
    </row>
    <row r="3808" spans="2:7">
      <c r="B3808" s="6"/>
      <c r="E3808" s="7"/>
      <c r="F3808" t="str">
        <f t="shared" si="143"/>
        <v/>
      </c>
      <c r="G3808" t="str">
        <f t="shared" si="144"/>
        <v/>
      </c>
    </row>
    <row r="3809" spans="2:7">
      <c r="B3809" s="6"/>
      <c r="E3809" s="7"/>
      <c r="F3809" t="str">
        <f t="shared" si="143"/>
        <v/>
      </c>
      <c r="G3809" t="str">
        <f t="shared" si="144"/>
        <v/>
      </c>
    </row>
    <row r="3810" spans="2:7">
      <c r="B3810" s="6"/>
      <c r="E3810" s="7"/>
      <c r="F3810" t="str">
        <f t="shared" si="143"/>
        <v/>
      </c>
      <c r="G3810" t="str">
        <f t="shared" si="144"/>
        <v/>
      </c>
    </row>
    <row r="3811" spans="2:7">
      <c r="B3811" s="6"/>
      <c r="E3811" s="7"/>
      <c r="F3811" t="str">
        <f t="shared" si="143"/>
        <v/>
      </c>
      <c r="G3811" t="str">
        <f t="shared" si="144"/>
        <v/>
      </c>
    </row>
    <row r="3812" spans="2:7">
      <c r="B3812" s="6"/>
      <c r="E3812" s="7"/>
      <c r="F3812" t="str">
        <f t="shared" si="143"/>
        <v/>
      </c>
      <c r="G3812" t="str">
        <f t="shared" si="144"/>
        <v/>
      </c>
    </row>
    <row r="3813" spans="2:7">
      <c r="B3813" s="6"/>
      <c r="E3813" s="7"/>
      <c r="F3813" t="str">
        <f t="shared" si="143"/>
        <v/>
      </c>
      <c r="G3813" t="str">
        <f t="shared" si="144"/>
        <v/>
      </c>
    </row>
    <row r="3814" spans="2:7">
      <c r="B3814" s="6"/>
      <c r="E3814" s="7"/>
      <c r="F3814" t="str">
        <f t="shared" si="143"/>
        <v/>
      </c>
      <c r="G3814" t="str">
        <f t="shared" si="144"/>
        <v/>
      </c>
    </row>
    <row r="3815" spans="2:7">
      <c r="B3815" s="6"/>
      <c r="E3815" s="7"/>
      <c r="F3815" t="str">
        <f t="shared" si="143"/>
        <v/>
      </c>
      <c r="G3815" t="str">
        <f t="shared" si="144"/>
        <v/>
      </c>
    </row>
    <row r="3816" spans="2:7">
      <c r="B3816" s="6"/>
      <c r="E3816" s="7"/>
      <c r="F3816" t="str">
        <f t="shared" si="143"/>
        <v/>
      </c>
      <c r="G3816" t="str">
        <f t="shared" si="144"/>
        <v/>
      </c>
    </row>
    <row r="3817" spans="2:7">
      <c r="B3817" s="6"/>
      <c r="E3817" s="7"/>
      <c r="F3817" t="str">
        <f t="shared" si="143"/>
        <v/>
      </c>
      <c r="G3817" t="str">
        <f t="shared" si="144"/>
        <v/>
      </c>
    </row>
    <row r="3818" spans="2:7">
      <c r="B3818" s="6"/>
      <c r="E3818" s="7"/>
      <c r="F3818" t="str">
        <f t="shared" si="143"/>
        <v/>
      </c>
      <c r="G3818" t="str">
        <f t="shared" si="144"/>
        <v/>
      </c>
    </row>
    <row r="3819" spans="2:7">
      <c r="B3819" s="6"/>
      <c r="E3819" s="7"/>
      <c r="F3819" t="str">
        <f t="shared" si="143"/>
        <v/>
      </c>
      <c r="G3819" t="str">
        <f t="shared" si="144"/>
        <v/>
      </c>
    </row>
    <row r="3820" spans="2:7">
      <c r="B3820" s="6"/>
      <c r="E3820" s="7"/>
      <c r="F3820" t="str">
        <f t="shared" si="143"/>
        <v/>
      </c>
      <c r="G3820" t="str">
        <f t="shared" si="144"/>
        <v/>
      </c>
    </row>
    <row r="3821" spans="2:7">
      <c r="B3821" s="6"/>
      <c r="E3821" s="7"/>
      <c r="F3821" t="str">
        <f t="shared" si="143"/>
        <v/>
      </c>
      <c r="G3821" t="str">
        <f t="shared" si="144"/>
        <v/>
      </c>
    </row>
    <row r="3822" spans="2:7">
      <c r="B3822" s="6"/>
      <c r="E3822" s="7"/>
      <c r="F3822" t="str">
        <f t="shared" si="143"/>
        <v/>
      </c>
      <c r="G3822" t="str">
        <f t="shared" si="144"/>
        <v/>
      </c>
    </row>
    <row r="3823" spans="2:7">
      <c r="B3823" s="6"/>
      <c r="E3823" s="7"/>
      <c r="F3823" t="str">
        <f t="shared" si="143"/>
        <v/>
      </c>
      <c r="G3823" t="str">
        <f t="shared" si="144"/>
        <v/>
      </c>
    </row>
    <row r="3824" spans="2:7">
      <c r="B3824" s="6"/>
      <c r="E3824" s="7"/>
      <c r="F3824" t="str">
        <f t="shared" si="143"/>
        <v/>
      </c>
      <c r="G3824" t="str">
        <f t="shared" si="144"/>
        <v/>
      </c>
    </row>
    <row r="3825" spans="2:7">
      <c r="B3825" s="6"/>
      <c r="E3825" s="7"/>
      <c r="F3825" t="str">
        <f t="shared" si="143"/>
        <v/>
      </c>
      <c r="G3825" t="str">
        <f t="shared" si="144"/>
        <v/>
      </c>
    </row>
    <row r="3826" spans="2:7">
      <c r="B3826" s="6"/>
      <c r="E3826" s="7"/>
      <c r="F3826" t="str">
        <f t="shared" si="143"/>
        <v/>
      </c>
      <c r="G3826" t="str">
        <f t="shared" si="144"/>
        <v/>
      </c>
    </row>
    <row r="3827" spans="2:7">
      <c r="B3827" s="6"/>
      <c r="E3827" s="7"/>
      <c r="F3827" t="str">
        <f t="shared" si="143"/>
        <v/>
      </c>
      <c r="G3827" t="str">
        <f t="shared" si="144"/>
        <v/>
      </c>
    </row>
    <row r="3828" spans="2:7">
      <c r="B3828" s="6"/>
      <c r="E3828" s="7"/>
      <c r="F3828" t="str">
        <f t="shared" si="143"/>
        <v/>
      </c>
      <c r="G3828" t="str">
        <f t="shared" si="144"/>
        <v/>
      </c>
    </row>
    <row r="3829" spans="2:7">
      <c r="B3829" s="6"/>
      <c r="E3829" s="7"/>
      <c r="F3829" t="str">
        <f t="shared" si="143"/>
        <v/>
      </c>
      <c r="G3829" t="str">
        <f t="shared" si="144"/>
        <v/>
      </c>
    </row>
    <row r="3830" spans="2:7">
      <c r="B3830" s="6"/>
      <c r="E3830" s="7"/>
      <c r="F3830" t="str">
        <f t="shared" si="143"/>
        <v/>
      </c>
      <c r="G3830" t="str">
        <f t="shared" si="144"/>
        <v/>
      </c>
    </row>
    <row r="3831" spans="2:7">
      <c r="B3831" s="6"/>
      <c r="E3831" s="7"/>
      <c r="F3831" t="str">
        <f t="shared" si="143"/>
        <v/>
      </c>
      <c r="G3831" t="str">
        <f t="shared" si="144"/>
        <v/>
      </c>
    </row>
    <row r="3832" spans="2:7">
      <c r="B3832" s="6"/>
      <c r="E3832" s="7"/>
      <c r="F3832" t="str">
        <f t="shared" si="143"/>
        <v/>
      </c>
      <c r="G3832" t="str">
        <f t="shared" si="144"/>
        <v/>
      </c>
    </row>
    <row r="3833" spans="2:7">
      <c r="B3833" s="6"/>
      <c r="E3833" s="7"/>
      <c r="F3833" t="str">
        <f t="shared" si="143"/>
        <v/>
      </c>
      <c r="G3833" t="str">
        <f t="shared" si="144"/>
        <v/>
      </c>
    </row>
    <row r="3834" spans="2:7">
      <c r="B3834" s="6"/>
      <c r="E3834" s="7"/>
      <c r="F3834" t="str">
        <f t="shared" si="143"/>
        <v/>
      </c>
      <c r="G3834" t="str">
        <f t="shared" si="144"/>
        <v/>
      </c>
    </row>
    <row r="3835" spans="2:7">
      <c r="B3835" s="6"/>
      <c r="E3835" s="7"/>
      <c r="F3835" t="str">
        <f t="shared" si="143"/>
        <v/>
      </c>
      <c r="G3835" t="str">
        <f t="shared" si="144"/>
        <v/>
      </c>
    </row>
    <row r="3836" spans="2:7">
      <c r="B3836" s="6"/>
      <c r="E3836" s="7"/>
      <c r="F3836" t="str">
        <f t="shared" si="143"/>
        <v/>
      </c>
      <c r="G3836" t="str">
        <f t="shared" si="144"/>
        <v/>
      </c>
    </row>
    <row r="3837" spans="2:7">
      <c r="B3837" s="6"/>
      <c r="E3837" s="7"/>
      <c r="F3837" t="str">
        <f t="shared" si="143"/>
        <v/>
      </c>
      <c r="G3837" t="str">
        <f t="shared" si="144"/>
        <v/>
      </c>
    </row>
    <row r="3838" spans="2:7">
      <c r="B3838" s="6"/>
      <c r="E3838" s="7"/>
      <c r="F3838" t="str">
        <f t="shared" si="143"/>
        <v/>
      </c>
      <c r="G3838" t="str">
        <f t="shared" si="144"/>
        <v/>
      </c>
    </row>
    <row r="3839" spans="2:7">
      <c r="B3839" s="6"/>
      <c r="E3839" s="7"/>
      <c r="F3839" t="str">
        <f t="shared" si="143"/>
        <v/>
      </c>
      <c r="G3839" t="str">
        <f t="shared" si="144"/>
        <v/>
      </c>
    </row>
    <row r="3840" spans="2:7">
      <c r="B3840" s="6"/>
      <c r="E3840" s="7"/>
      <c r="F3840" t="str">
        <f t="shared" si="143"/>
        <v/>
      </c>
      <c r="G3840" t="str">
        <f t="shared" si="144"/>
        <v/>
      </c>
    </row>
    <row r="3841" spans="2:7">
      <c r="B3841" s="6"/>
      <c r="E3841" s="7"/>
      <c r="F3841" t="str">
        <f t="shared" si="143"/>
        <v/>
      </c>
      <c r="G3841" t="str">
        <f t="shared" si="144"/>
        <v/>
      </c>
    </row>
    <row r="3842" spans="2:7">
      <c r="B3842" s="6"/>
      <c r="E3842" s="7"/>
      <c r="F3842" t="str">
        <f t="shared" si="143"/>
        <v/>
      </c>
      <c r="G3842" t="str">
        <f t="shared" si="144"/>
        <v/>
      </c>
    </row>
    <row r="3843" spans="2:7">
      <c r="B3843" s="6"/>
      <c r="E3843" s="7"/>
      <c r="F3843" t="str">
        <f t="shared" si="143"/>
        <v/>
      </c>
      <c r="G3843" t="str">
        <f t="shared" si="144"/>
        <v/>
      </c>
    </row>
    <row r="3844" spans="2:7">
      <c r="B3844" s="6"/>
      <c r="E3844" s="7"/>
      <c r="F3844" t="str">
        <f t="shared" ref="F3844:F3907" si="145">IF(B3844="","",LOG10(D3844))</f>
        <v/>
      </c>
      <c r="G3844" t="str">
        <f t="shared" ref="G3844:G3907" si="146">IF(E3844="", "",0.434*E3844/D3844)</f>
        <v/>
      </c>
    </row>
    <row r="3845" spans="2:7">
      <c r="B3845" s="6"/>
      <c r="E3845" s="7"/>
      <c r="F3845" t="str">
        <f t="shared" si="145"/>
        <v/>
      </c>
      <c r="G3845" t="str">
        <f t="shared" si="146"/>
        <v/>
      </c>
    </row>
    <row r="3846" spans="2:7">
      <c r="B3846" s="6"/>
      <c r="E3846" s="7"/>
      <c r="F3846" t="str">
        <f t="shared" si="145"/>
        <v/>
      </c>
      <c r="G3846" t="str">
        <f t="shared" si="146"/>
        <v/>
      </c>
    </row>
    <row r="3847" spans="2:7">
      <c r="B3847" s="6"/>
      <c r="E3847" s="7"/>
      <c r="F3847" t="str">
        <f t="shared" si="145"/>
        <v/>
      </c>
      <c r="G3847" t="str">
        <f t="shared" si="146"/>
        <v/>
      </c>
    </row>
    <row r="3848" spans="2:7">
      <c r="B3848" s="6"/>
      <c r="E3848" s="7"/>
      <c r="F3848" t="str">
        <f t="shared" si="145"/>
        <v/>
      </c>
      <c r="G3848" t="str">
        <f t="shared" si="146"/>
        <v/>
      </c>
    </row>
    <row r="3849" spans="2:7">
      <c r="B3849" s="6"/>
      <c r="E3849" s="7"/>
      <c r="F3849" t="str">
        <f t="shared" si="145"/>
        <v/>
      </c>
      <c r="G3849" t="str">
        <f t="shared" si="146"/>
        <v/>
      </c>
    </row>
    <row r="3850" spans="2:7">
      <c r="B3850" s="6"/>
      <c r="E3850" s="7"/>
      <c r="F3850" t="str">
        <f t="shared" si="145"/>
        <v/>
      </c>
      <c r="G3850" t="str">
        <f t="shared" si="146"/>
        <v/>
      </c>
    </row>
    <row r="3851" spans="2:7">
      <c r="B3851" s="6"/>
      <c r="E3851" s="7"/>
      <c r="F3851" t="str">
        <f t="shared" si="145"/>
        <v/>
      </c>
      <c r="G3851" t="str">
        <f t="shared" si="146"/>
        <v/>
      </c>
    </row>
    <row r="3852" spans="2:7">
      <c r="B3852" s="6"/>
      <c r="E3852" s="7"/>
      <c r="F3852" t="str">
        <f t="shared" si="145"/>
        <v/>
      </c>
      <c r="G3852" t="str">
        <f t="shared" si="146"/>
        <v/>
      </c>
    </row>
    <row r="3853" spans="2:7">
      <c r="B3853" s="6"/>
      <c r="E3853" s="7"/>
      <c r="F3853" t="str">
        <f t="shared" si="145"/>
        <v/>
      </c>
      <c r="G3853" t="str">
        <f t="shared" si="146"/>
        <v/>
      </c>
    </row>
    <row r="3854" spans="2:7">
      <c r="B3854" s="6"/>
      <c r="E3854" s="7"/>
      <c r="F3854" t="str">
        <f t="shared" si="145"/>
        <v/>
      </c>
      <c r="G3854" t="str">
        <f t="shared" si="146"/>
        <v/>
      </c>
    </row>
    <row r="3855" spans="2:7">
      <c r="B3855" s="6"/>
      <c r="E3855" s="7"/>
      <c r="F3855" t="str">
        <f t="shared" si="145"/>
        <v/>
      </c>
      <c r="G3855" t="str">
        <f t="shared" si="146"/>
        <v/>
      </c>
    </row>
    <row r="3856" spans="2:7">
      <c r="B3856" s="6"/>
      <c r="E3856" s="7"/>
      <c r="F3856" t="str">
        <f t="shared" si="145"/>
        <v/>
      </c>
      <c r="G3856" t="str">
        <f t="shared" si="146"/>
        <v/>
      </c>
    </row>
    <row r="3857" spans="2:7">
      <c r="B3857" s="6"/>
      <c r="E3857" s="7"/>
      <c r="F3857" t="str">
        <f t="shared" si="145"/>
        <v/>
      </c>
      <c r="G3857" t="str">
        <f t="shared" si="146"/>
        <v/>
      </c>
    </row>
    <row r="3858" spans="2:7">
      <c r="B3858" s="6"/>
      <c r="E3858" s="7"/>
      <c r="F3858" t="str">
        <f t="shared" si="145"/>
        <v/>
      </c>
      <c r="G3858" t="str">
        <f t="shared" si="146"/>
        <v/>
      </c>
    </row>
    <row r="3859" spans="2:7">
      <c r="B3859" s="6"/>
      <c r="E3859" s="7"/>
      <c r="F3859" t="str">
        <f t="shared" si="145"/>
        <v/>
      </c>
      <c r="G3859" t="str">
        <f t="shared" si="146"/>
        <v/>
      </c>
    </row>
    <row r="3860" spans="2:7">
      <c r="B3860" s="6"/>
      <c r="E3860" s="7"/>
      <c r="F3860" t="str">
        <f t="shared" si="145"/>
        <v/>
      </c>
      <c r="G3860" t="str">
        <f t="shared" si="146"/>
        <v/>
      </c>
    </row>
    <row r="3861" spans="2:7">
      <c r="B3861" s="6"/>
      <c r="E3861" s="7"/>
      <c r="F3861" t="str">
        <f t="shared" si="145"/>
        <v/>
      </c>
      <c r="G3861" t="str">
        <f t="shared" si="146"/>
        <v/>
      </c>
    </row>
    <row r="3862" spans="2:7">
      <c r="B3862" s="6"/>
      <c r="E3862" s="7"/>
      <c r="F3862" t="str">
        <f t="shared" si="145"/>
        <v/>
      </c>
      <c r="G3862" t="str">
        <f t="shared" si="146"/>
        <v/>
      </c>
    </row>
    <row r="3863" spans="2:7">
      <c r="B3863" s="6"/>
      <c r="E3863" s="7"/>
      <c r="F3863" t="str">
        <f t="shared" si="145"/>
        <v/>
      </c>
      <c r="G3863" t="str">
        <f t="shared" si="146"/>
        <v/>
      </c>
    </row>
    <row r="3864" spans="2:7">
      <c r="B3864" s="6"/>
      <c r="E3864" s="7"/>
      <c r="F3864" t="str">
        <f t="shared" si="145"/>
        <v/>
      </c>
      <c r="G3864" t="str">
        <f t="shared" si="146"/>
        <v/>
      </c>
    </row>
    <row r="3865" spans="2:7">
      <c r="B3865" s="6"/>
      <c r="E3865" s="7"/>
      <c r="F3865" t="str">
        <f t="shared" si="145"/>
        <v/>
      </c>
      <c r="G3865" t="str">
        <f t="shared" si="146"/>
        <v/>
      </c>
    </row>
    <row r="3866" spans="2:7">
      <c r="B3866" s="6"/>
      <c r="E3866" s="7"/>
      <c r="F3866" t="str">
        <f t="shared" si="145"/>
        <v/>
      </c>
      <c r="G3866" t="str">
        <f t="shared" si="146"/>
        <v/>
      </c>
    </row>
    <row r="3867" spans="2:7">
      <c r="B3867" s="6"/>
      <c r="E3867" s="7"/>
      <c r="F3867" t="str">
        <f t="shared" si="145"/>
        <v/>
      </c>
      <c r="G3867" t="str">
        <f t="shared" si="146"/>
        <v/>
      </c>
    </row>
    <row r="3868" spans="2:7">
      <c r="B3868" s="6"/>
      <c r="E3868" s="7"/>
      <c r="F3868" t="str">
        <f t="shared" si="145"/>
        <v/>
      </c>
      <c r="G3868" t="str">
        <f t="shared" si="146"/>
        <v/>
      </c>
    </row>
    <row r="3869" spans="2:7">
      <c r="B3869" s="6"/>
      <c r="E3869" s="7"/>
      <c r="F3869" t="str">
        <f t="shared" si="145"/>
        <v/>
      </c>
      <c r="G3869" t="str">
        <f t="shared" si="146"/>
        <v/>
      </c>
    </row>
    <row r="3870" spans="2:7">
      <c r="B3870" s="6"/>
      <c r="E3870" s="7"/>
      <c r="F3870" t="str">
        <f t="shared" si="145"/>
        <v/>
      </c>
      <c r="G3870" t="str">
        <f t="shared" si="146"/>
        <v/>
      </c>
    </row>
    <row r="3871" spans="2:7">
      <c r="B3871" s="6"/>
      <c r="E3871" s="7"/>
      <c r="F3871" t="str">
        <f t="shared" si="145"/>
        <v/>
      </c>
      <c r="G3871" t="str">
        <f t="shared" si="146"/>
        <v/>
      </c>
    </row>
    <row r="3872" spans="2:7">
      <c r="B3872" s="6"/>
      <c r="E3872" s="7"/>
      <c r="F3872" t="str">
        <f t="shared" si="145"/>
        <v/>
      </c>
      <c r="G3872" t="str">
        <f t="shared" si="146"/>
        <v/>
      </c>
    </row>
    <row r="3873" spans="2:7">
      <c r="B3873" s="6"/>
      <c r="E3873" s="7"/>
      <c r="F3873" t="str">
        <f t="shared" si="145"/>
        <v/>
      </c>
      <c r="G3873" t="str">
        <f t="shared" si="146"/>
        <v/>
      </c>
    </row>
    <row r="3874" spans="2:7">
      <c r="B3874" s="6"/>
      <c r="E3874" s="7"/>
      <c r="F3874" t="str">
        <f t="shared" si="145"/>
        <v/>
      </c>
      <c r="G3874" t="str">
        <f t="shared" si="146"/>
        <v/>
      </c>
    </row>
    <row r="3875" spans="2:7">
      <c r="B3875" s="6"/>
      <c r="E3875" s="7"/>
      <c r="F3875" t="str">
        <f t="shared" si="145"/>
        <v/>
      </c>
      <c r="G3875" t="str">
        <f t="shared" si="146"/>
        <v/>
      </c>
    </row>
    <row r="3876" spans="2:7">
      <c r="B3876" s="6"/>
      <c r="E3876" s="7"/>
      <c r="F3876" t="str">
        <f t="shared" si="145"/>
        <v/>
      </c>
      <c r="G3876" t="str">
        <f t="shared" si="146"/>
        <v/>
      </c>
    </row>
    <row r="3877" spans="2:7">
      <c r="B3877" s="6"/>
      <c r="E3877" s="7"/>
      <c r="F3877" t="str">
        <f t="shared" si="145"/>
        <v/>
      </c>
      <c r="G3877" t="str">
        <f t="shared" si="146"/>
        <v/>
      </c>
    </row>
    <row r="3878" spans="2:7">
      <c r="B3878" s="6"/>
      <c r="E3878" s="7"/>
      <c r="F3878" t="str">
        <f t="shared" si="145"/>
        <v/>
      </c>
      <c r="G3878" t="str">
        <f t="shared" si="146"/>
        <v/>
      </c>
    </row>
    <row r="3879" spans="2:7">
      <c r="B3879" s="6"/>
      <c r="E3879" s="7"/>
      <c r="F3879" t="str">
        <f t="shared" si="145"/>
        <v/>
      </c>
      <c r="G3879" t="str">
        <f t="shared" si="146"/>
        <v/>
      </c>
    </row>
    <row r="3880" spans="2:7">
      <c r="B3880" s="6"/>
      <c r="E3880" s="7"/>
      <c r="F3880" t="str">
        <f t="shared" si="145"/>
        <v/>
      </c>
      <c r="G3880" t="str">
        <f t="shared" si="146"/>
        <v/>
      </c>
    </row>
    <row r="3881" spans="2:7">
      <c r="B3881" s="6"/>
      <c r="E3881" s="7"/>
      <c r="F3881" t="str">
        <f t="shared" si="145"/>
        <v/>
      </c>
      <c r="G3881" t="str">
        <f t="shared" si="146"/>
        <v/>
      </c>
    </row>
    <row r="3882" spans="2:7">
      <c r="B3882" s="6"/>
      <c r="E3882" s="7"/>
      <c r="F3882" t="str">
        <f t="shared" si="145"/>
        <v/>
      </c>
      <c r="G3882" t="str">
        <f t="shared" si="146"/>
        <v/>
      </c>
    </row>
    <row r="3883" spans="2:7">
      <c r="B3883" s="6"/>
      <c r="E3883" s="7"/>
      <c r="F3883" t="str">
        <f t="shared" si="145"/>
        <v/>
      </c>
      <c r="G3883" t="str">
        <f t="shared" si="146"/>
        <v/>
      </c>
    </row>
    <row r="3884" spans="2:7">
      <c r="B3884" s="6"/>
      <c r="E3884" s="7"/>
      <c r="F3884" t="str">
        <f t="shared" si="145"/>
        <v/>
      </c>
      <c r="G3884" t="str">
        <f t="shared" si="146"/>
        <v/>
      </c>
    </row>
    <row r="3885" spans="2:7">
      <c r="B3885" s="6"/>
      <c r="E3885" s="7"/>
      <c r="F3885" t="str">
        <f t="shared" si="145"/>
        <v/>
      </c>
      <c r="G3885" t="str">
        <f t="shared" si="146"/>
        <v/>
      </c>
    </row>
    <row r="3886" spans="2:7">
      <c r="B3886" s="6"/>
      <c r="E3886" s="7"/>
      <c r="F3886" t="str">
        <f t="shared" si="145"/>
        <v/>
      </c>
      <c r="G3886" t="str">
        <f t="shared" si="146"/>
        <v/>
      </c>
    </row>
    <row r="3887" spans="2:7">
      <c r="B3887" s="6"/>
      <c r="E3887" s="7"/>
      <c r="F3887" t="str">
        <f t="shared" si="145"/>
        <v/>
      </c>
      <c r="G3887" t="str">
        <f t="shared" si="146"/>
        <v/>
      </c>
    </row>
    <row r="3888" spans="2:7">
      <c r="B3888" s="6"/>
      <c r="E3888" s="7"/>
      <c r="F3888" t="str">
        <f t="shared" si="145"/>
        <v/>
      </c>
      <c r="G3888" t="str">
        <f t="shared" si="146"/>
        <v/>
      </c>
    </row>
    <row r="3889" spans="2:7">
      <c r="B3889" s="6"/>
      <c r="E3889" s="7"/>
      <c r="F3889" t="str">
        <f t="shared" si="145"/>
        <v/>
      </c>
      <c r="G3889" t="str">
        <f t="shared" si="146"/>
        <v/>
      </c>
    </row>
    <row r="3890" spans="2:7">
      <c r="B3890" s="6"/>
      <c r="E3890" s="7"/>
      <c r="F3890" t="str">
        <f t="shared" si="145"/>
        <v/>
      </c>
      <c r="G3890" t="str">
        <f t="shared" si="146"/>
        <v/>
      </c>
    </row>
    <row r="3891" spans="2:7">
      <c r="B3891" s="6"/>
      <c r="E3891" s="7"/>
      <c r="F3891" t="str">
        <f t="shared" si="145"/>
        <v/>
      </c>
      <c r="G3891" t="str">
        <f t="shared" si="146"/>
        <v/>
      </c>
    </row>
    <row r="3892" spans="2:7">
      <c r="B3892" s="6"/>
      <c r="E3892" s="7"/>
      <c r="F3892" t="str">
        <f t="shared" si="145"/>
        <v/>
      </c>
      <c r="G3892" t="str">
        <f t="shared" si="146"/>
        <v/>
      </c>
    </row>
    <row r="3893" spans="2:7">
      <c r="B3893" s="6"/>
      <c r="E3893" s="7"/>
      <c r="F3893" t="str">
        <f t="shared" si="145"/>
        <v/>
      </c>
      <c r="G3893" t="str">
        <f t="shared" si="146"/>
        <v/>
      </c>
    </row>
    <row r="3894" spans="2:7">
      <c r="B3894" s="6"/>
      <c r="E3894" s="7"/>
      <c r="F3894" t="str">
        <f t="shared" si="145"/>
        <v/>
      </c>
      <c r="G3894" t="str">
        <f t="shared" si="146"/>
        <v/>
      </c>
    </row>
    <row r="3895" spans="2:7">
      <c r="B3895" s="6"/>
      <c r="E3895" s="7"/>
      <c r="F3895" t="str">
        <f t="shared" si="145"/>
        <v/>
      </c>
      <c r="G3895" t="str">
        <f t="shared" si="146"/>
        <v/>
      </c>
    </row>
    <row r="3896" spans="2:7">
      <c r="B3896" s="6"/>
      <c r="E3896" s="7"/>
      <c r="F3896" t="str">
        <f t="shared" si="145"/>
        <v/>
      </c>
      <c r="G3896" t="str">
        <f t="shared" si="146"/>
        <v/>
      </c>
    </row>
    <row r="3897" spans="2:7">
      <c r="B3897" s="6"/>
      <c r="E3897" s="7"/>
      <c r="F3897" t="str">
        <f t="shared" si="145"/>
        <v/>
      </c>
      <c r="G3897" t="str">
        <f t="shared" si="146"/>
        <v/>
      </c>
    </row>
    <row r="3898" spans="2:7">
      <c r="B3898" s="6"/>
      <c r="E3898" s="7"/>
      <c r="F3898" t="str">
        <f t="shared" si="145"/>
        <v/>
      </c>
      <c r="G3898" t="str">
        <f t="shared" si="146"/>
        <v/>
      </c>
    </row>
    <row r="3899" spans="2:7">
      <c r="B3899" s="6"/>
      <c r="E3899" s="7"/>
      <c r="F3899" t="str">
        <f t="shared" si="145"/>
        <v/>
      </c>
      <c r="G3899" t="str">
        <f t="shared" si="146"/>
        <v/>
      </c>
    </row>
    <row r="3900" spans="2:7">
      <c r="B3900" s="6"/>
      <c r="E3900" s="7"/>
      <c r="F3900" t="str">
        <f t="shared" si="145"/>
        <v/>
      </c>
      <c r="G3900" t="str">
        <f t="shared" si="146"/>
        <v/>
      </c>
    </row>
    <row r="3901" spans="2:7">
      <c r="B3901" s="6"/>
      <c r="E3901" s="7"/>
      <c r="F3901" t="str">
        <f t="shared" si="145"/>
        <v/>
      </c>
      <c r="G3901" t="str">
        <f t="shared" si="146"/>
        <v/>
      </c>
    </row>
    <row r="3902" spans="2:7">
      <c r="B3902" s="6"/>
      <c r="E3902" s="7"/>
      <c r="F3902" t="str">
        <f t="shared" si="145"/>
        <v/>
      </c>
      <c r="G3902" t="str">
        <f t="shared" si="146"/>
        <v/>
      </c>
    </row>
    <row r="3903" spans="2:7">
      <c r="B3903" s="6"/>
      <c r="E3903" s="7"/>
      <c r="F3903" t="str">
        <f t="shared" si="145"/>
        <v/>
      </c>
      <c r="G3903" t="str">
        <f t="shared" si="146"/>
        <v/>
      </c>
    </row>
    <row r="3904" spans="2:7">
      <c r="B3904" s="6"/>
      <c r="E3904" s="7"/>
      <c r="F3904" t="str">
        <f t="shared" si="145"/>
        <v/>
      </c>
      <c r="G3904" t="str">
        <f t="shared" si="146"/>
        <v/>
      </c>
    </row>
    <row r="3905" spans="2:7">
      <c r="B3905" s="6"/>
      <c r="E3905" s="7"/>
      <c r="F3905" t="str">
        <f t="shared" si="145"/>
        <v/>
      </c>
      <c r="G3905" t="str">
        <f t="shared" si="146"/>
        <v/>
      </c>
    </row>
    <row r="3906" spans="2:7">
      <c r="B3906" s="6"/>
      <c r="E3906" s="7"/>
      <c r="F3906" t="str">
        <f t="shared" si="145"/>
        <v/>
      </c>
      <c r="G3906" t="str">
        <f t="shared" si="146"/>
        <v/>
      </c>
    </row>
    <row r="3907" spans="2:7">
      <c r="B3907" s="6"/>
      <c r="E3907" s="7"/>
      <c r="F3907" t="str">
        <f t="shared" si="145"/>
        <v/>
      </c>
      <c r="G3907" t="str">
        <f t="shared" si="146"/>
        <v/>
      </c>
    </row>
    <row r="3908" spans="2:7">
      <c r="B3908" s="6"/>
      <c r="E3908" s="7"/>
      <c r="F3908" t="str">
        <f t="shared" ref="F3908:F3971" si="147">IF(B3908="","",LOG10(D3908))</f>
        <v/>
      </c>
      <c r="G3908" t="str">
        <f t="shared" ref="G3908:G3971" si="148">IF(E3908="", "",0.434*E3908/D3908)</f>
        <v/>
      </c>
    </row>
    <row r="3909" spans="2:7">
      <c r="B3909" s="6"/>
      <c r="E3909" s="7"/>
      <c r="F3909" t="str">
        <f t="shared" si="147"/>
        <v/>
      </c>
      <c r="G3909" t="str">
        <f t="shared" si="148"/>
        <v/>
      </c>
    </row>
    <row r="3910" spans="2:7">
      <c r="B3910" s="6"/>
      <c r="E3910" s="7"/>
      <c r="F3910" t="str">
        <f t="shared" si="147"/>
        <v/>
      </c>
      <c r="G3910" t="str">
        <f t="shared" si="148"/>
        <v/>
      </c>
    </row>
    <row r="3911" spans="2:7">
      <c r="B3911" s="6"/>
      <c r="E3911" s="7"/>
      <c r="F3911" t="str">
        <f t="shared" si="147"/>
        <v/>
      </c>
      <c r="G3911" t="str">
        <f t="shared" si="148"/>
        <v/>
      </c>
    </row>
    <row r="3912" spans="2:7">
      <c r="B3912" s="6"/>
      <c r="E3912" s="7"/>
      <c r="F3912" t="str">
        <f t="shared" si="147"/>
        <v/>
      </c>
      <c r="G3912" t="str">
        <f t="shared" si="148"/>
        <v/>
      </c>
    </row>
    <row r="3913" spans="2:7">
      <c r="B3913" s="6"/>
      <c r="E3913" s="7"/>
      <c r="F3913" t="str">
        <f t="shared" si="147"/>
        <v/>
      </c>
      <c r="G3913" t="str">
        <f t="shared" si="148"/>
        <v/>
      </c>
    </row>
    <row r="3914" spans="2:7">
      <c r="B3914" s="6"/>
      <c r="E3914" s="7"/>
      <c r="F3914" t="str">
        <f t="shared" si="147"/>
        <v/>
      </c>
      <c r="G3914" t="str">
        <f t="shared" si="148"/>
        <v/>
      </c>
    </row>
    <row r="3915" spans="2:7">
      <c r="B3915" s="6"/>
      <c r="E3915" s="7"/>
      <c r="F3915" t="str">
        <f t="shared" si="147"/>
        <v/>
      </c>
      <c r="G3915" t="str">
        <f t="shared" si="148"/>
        <v/>
      </c>
    </row>
    <row r="3916" spans="2:7">
      <c r="B3916" s="6"/>
      <c r="E3916" s="7"/>
      <c r="F3916" t="str">
        <f t="shared" si="147"/>
        <v/>
      </c>
      <c r="G3916" t="str">
        <f t="shared" si="148"/>
        <v/>
      </c>
    </row>
    <row r="3917" spans="2:7">
      <c r="B3917" s="6"/>
      <c r="E3917" s="7"/>
      <c r="F3917" t="str">
        <f t="shared" si="147"/>
        <v/>
      </c>
      <c r="G3917" t="str">
        <f t="shared" si="148"/>
        <v/>
      </c>
    </row>
    <row r="3918" spans="2:7">
      <c r="B3918" s="6"/>
      <c r="E3918" s="7"/>
      <c r="F3918" t="str">
        <f t="shared" si="147"/>
        <v/>
      </c>
      <c r="G3918" t="str">
        <f t="shared" si="148"/>
        <v/>
      </c>
    </row>
    <row r="3919" spans="2:7">
      <c r="B3919" s="6"/>
      <c r="E3919" s="7"/>
      <c r="F3919" t="str">
        <f t="shared" si="147"/>
        <v/>
      </c>
      <c r="G3919" t="str">
        <f t="shared" si="148"/>
        <v/>
      </c>
    </row>
    <row r="3920" spans="2:7">
      <c r="B3920" s="6"/>
      <c r="E3920" s="7"/>
      <c r="F3920" t="str">
        <f t="shared" si="147"/>
        <v/>
      </c>
      <c r="G3920" t="str">
        <f t="shared" si="148"/>
        <v/>
      </c>
    </row>
    <row r="3921" spans="2:7">
      <c r="B3921" s="6"/>
      <c r="E3921" s="7"/>
      <c r="F3921" t="str">
        <f t="shared" si="147"/>
        <v/>
      </c>
      <c r="G3921" t="str">
        <f t="shared" si="148"/>
        <v/>
      </c>
    </row>
    <row r="3922" spans="2:7">
      <c r="B3922" s="6"/>
      <c r="E3922" s="7"/>
      <c r="F3922" t="str">
        <f t="shared" si="147"/>
        <v/>
      </c>
      <c r="G3922" t="str">
        <f t="shared" si="148"/>
        <v/>
      </c>
    </row>
    <row r="3923" spans="2:7">
      <c r="B3923" s="6"/>
      <c r="E3923" s="7"/>
      <c r="F3923" t="str">
        <f t="shared" si="147"/>
        <v/>
      </c>
      <c r="G3923" t="str">
        <f t="shared" si="148"/>
        <v/>
      </c>
    </row>
    <row r="3924" spans="2:7">
      <c r="B3924" s="6"/>
      <c r="E3924" s="7"/>
      <c r="F3924" t="str">
        <f t="shared" si="147"/>
        <v/>
      </c>
      <c r="G3924" t="str">
        <f t="shared" si="148"/>
        <v/>
      </c>
    </row>
    <row r="3925" spans="2:7">
      <c r="B3925" s="6"/>
      <c r="E3925" s="7"/>
      <c r="F3925" t="str">
        <f t="shared" si="147"/>
        <v/>
      </c>
      <c r="G3925" t="str">
        <f t="shared" si="148"/>
        <v/>
      </c>
    </row>
    <row r="3926" spans="2:7">
      <c r="B3926" s="6"/>
      <c r="E3926" s="7"/>
      <c r="F3926" t="str">
        <f t="shared" si="147"/>
        <v/>
      </c>
      <c r="G3926" t="str">
        <f t="shared" si="148"/>
        <v/>
      </c>
    </row>
    <row r="3927" spans="2:7">
      <c r="B3927" s="6"/>
      <c r="E3927" s="7"/>
      <c r="F3927" t="str">
        <f t="shared" si="147"/>
        <v/>
      </c>
      <c r="G3927" t="str">
        <f t="shared" si="148"/>
        <v/>
      </c>
    </row>
    <row r="3928" spans="2:7">
      <c r="B3928" s="6"/>
      <c r="E3928" s="7"/>
      <c r="F3928" t="str">
        <f t="shared" si="147"/>
        <v/>
      </c>
      <c r="G3928" t="str">
        <f t="shared" si="148"/>
        <v/>
      </c>
    </row>
    <row r="3929" spans="2:7">
      <c r="B3929" s="6"/>
      <c r="E3929" s="7"/>
      <c r="F3929" t="str">
        <f t="shared" si="147"/>
        <v/>
      </c>
      <c r="G3929" t="str">
        <f t="shared" si="148"/>
        <v/>
      </c>
    </row>
    <row r="3930" spans="2:7">
      <c r="B3930" s="6"/>
      <c r="E3930" s="7"/>
      <c r="F3930" t="str">
        <f t="shared" si="147"/>
        <v/>
      </c>
      <c r="G3930" t="str">
        <f t="shared" si="148"/>
        <v/>
      </c>
    </row>
    <row r="3931" spans="2:7">
      <c r="B3931" s="6"/>
      <c r="E3931" s="7"/>
      <c r="F3931" t="str">
        <f t="shared" si="147"/>
        <v/>
      </c>
      <c r="G3931" t="str">
        <f t="shared" si="148"/>
        <v/>
      </c>
    </row>
    <row r="3932" spans="2:7">
      <c r="B3932" s="6"/>
      <c r="E3932" s="7"/>
      <c r="F3932" t="str">
        <f t="shared" si="147"/>
        <v/>
      </c>
      <c r="G3932" t="str">
        <f t="shared" si="148"/>
        <v/>
      </c>
    </row>
    <row r="3933" spans="2:7">
      <c r="B3933" s="6"/>
      <c r="E3933" s="7"/>
      <c r="F3933" t="str">
        <f t="shared" si="147"/>
        <v/>
      </c>
      <c r="G3933" t="str">
        <f t="shared" si="148"/>
        <v/>
      </c>
    </row>
    <row r="3934" spans="2:7">
      <c r="B3934" s="6"/>
      <c r="E3934" s="7"/>
      <c r="F3934" t="str">
        <f t="shared" si="147"/>
        <v/>
      </c>
      <c r="G3934" t="str">
        <f t="shared" si="148"/>
        <v/>
      </c>
    </row>
    <row r="3935" spans="2:7">
      <c r="B3935" s="6"/>
      <c r="E3935" s="7"/>
      <c r="F3935" t="str">
        <f t="shared" si="147"/>
        <v/>
      </c>
      <c r="G3935" t="str">
        <f t="shared" si="148"/>
        <v/>
      </c>
    </row>
    <row r="3936" spans="2:7">
      <c r="B3936" s="6"/>
      <c r="E3936" s="7"/>
      <c r="F3936" t="str">
        <f t="shared" si="147"/>
        <v/>
      </c>
      <c r="G3936" t="str">
        <f t="shared" si="148"/>
        <v/>
      </c>
    </row>
    <row r="3937" spans="2:7">
      <c r="B3937" s="6"/>
      <c r="E3937" s="7"/>
      <c r="F3937" t="str">
        <f t="shared" si="147"/>
        <v/>
      </c>
      <c r="G3937" t="str">
        <f t="shared" si="148"/>
        <v/>
      </c>
    </row>
    <row r="3938" spans="2:7">
      <c r="B3938" s="6"/>
      <c r="E3938" s="7"/>
      <c r="F3938" t="str">
        <f t="shared" si="147"/>
        <v/>
      </c>
      <c r="G3938" t="str">
        <f t="shared" si="148"/>
        <v/>
      </c>
    </row>
    <row r="3939" spans="2:7">
      <c r="B3939" s="6"/>
      <c r="E3939" s="7"/>
      <c r="F3939" t="str">
        <f t="shared" si="147"/>
        <v/>
      </c>
      <c r="G3939" t="str">
        <f t="shared" si="148"/>
        <v/>
      </c>
    </row>
    <row r="3940" spans="2:7">
      <c r="B3940" s="6"/>
      <c r="E3940" s="7"/>
      <c r="F3940" t="str">
        <f t="shared" si="147"/>
        <v/>
      </c>
      <c r="G3940" t="str">
        <f t="shared" si="148"/>
        <v/>
      </c>
    </row>
    <row r="3941" spans="2:7">
      <c r="B3941" s="6"/>
      <c r="E3941" s="7"/>
      <c r="F3941" t="str">
        <f t="shared" si="147"/>
        <v/>
      </c>
      <c r="G3941" t="str">
        <f t="shared" si="148"/>
        <v/>
      </c>
    </row>
    <row r="3942" spans="2:7">
      <c r="B3942" s="6"/>
      <c r="E3942" s="7"/>
      <c r="F3942" t="str">
        <f t="shared" si="147"/>
        <v/>
      </c>
      <c r="G3942" t="str">
        <f t="shared" si="148"/>
        <v/>
      </c>
    </row>
    <row r="3943" spans="2:7">
      <c r="B3943" s="6"/>
      <c r="E3943" s="7"/>
      <c r="F3943" t="str">
        <f t="shared" si="147"/>
        <v/>
      </c>
      <c r="G3943" t="str">
        <f t="shared" si="148"/>
        <v/>
      </c>
    </row>
    <row r="3944" spans="2:7">
      <c r="B3944" s="6"/>
      <c r="E3944" s="7"/>
      <c r="F3944" t="str">
        <f t="shared" si="147"/>
        <v/>
      </c>
      <c r="G3944" t="str">
        <f t="shared" si="148"/>
        <v/>
      </c>
    </row>
    <row r="3945" spans="2:7">
      <c r="B3945" s="6"/>
      <c r="E3945" s="7"/>
      <c r="F3945" t="str">
        <f t="shared" si="147"/>
        <v/>
      </c>
      <c r="G3945" t="str">
        <f t="shared" si="148"/>
        <v/>
      </c>
    </row>
    <row r="3946" spans="2:7">
      <c r="B3946" s="6"/>
      <c r="E3946" s="7"/>
      <c r="F3946" t="str">
        <f t="shared" si="147"/>
        <v/>
      </c>
      <c r="G3946" t="str">
        <f t="shared" si="148"/>
        <v/>
      </c>
    </row>
    <row r="3947" spans="2:7">
      <c r="B3947" s="6"/>
      <c r="E3947" s="7"/>
      <c r="F3947" t="str">
        <f t="shared" si="147"/>
        <v/>
      </c>
      <c r="G3947" t="str">
        <f t="shared" si="148"/>
        <v/>
      </c>
    </row>
    <row r="3948" spans="2:7">
      <c r="B3948" s="6"/>
      <c r="E3948" s="7"/>
      <c r="F3948" t="str">
        <f t="shared" si="147"/>
        <v/>
      </c>
      <c r="G3948" t="str">
        <f t="shared" si="148"/>
        <v/>
      </c>
    </row>
    <row r="3949" spans="2:7">
      <c r="B3949" s="6"/>
      <c r="E3949" s="7"/>
      <c r="F3949" t="str">
        <f t="shared" si="147"/>
        <v/>
      </c>
      <c r="G3949" t="str">
        <f t="shared" si="148"/>
        <v/>
      </c>
    </row>
    <row r="3950" spans="2:7">
      <c r="B3950" s="6"/>
      <c r="E3950" s="7"/>
      <c r="F3950" t="str">
        <f t="shared" si="147"/>
        <v/>
      </c>
      <c r="G3950" t="str">
        <f t="shared" si="148"/>
        <v/>
      </c>
    </row>
    <row r="3951" spans="2:7">
      <c r="B3951" s="6"/>
      <c r="E3951" s="7"/>
      <c r="F3951" t="str">
        <f t="shared" si="147"/>
        <v/>
      </c>
      <c r="G3951" t="str">
        <f t="shared" si="148"/>
        <v/>
      </c>
    </row>
    <row r="3952" spans="2:7">
      <c r="B3952" s="6"/>
      <c r="E3952" s="7"/>
      <c r="F3952" t="str">
        <f t="shared" si="147"/>
        <v/>
      </c>
      <c r="G3952" t="str">
        <f t="shared" si="148"/>
        <v/>
      </c>
    </row>
    <row r="3953" spans="2:7">
      <c r="B3953" s="6"/>
      <c r="E3953" s="7"/>
      <c r="F3953" t="str">
        <f t="shared" si="147"/>
        <v/>
      </c>
      <c r="G3953" t="str">
        <f t="shared" si="148"/>
        <v/>
      </c>
    </row>
    <row r="3954" spans="2:7">
      <c r="B3954" s="6"/>
      <c r="E3954" s="7"/>
      <c r="F3954" t="str">
        <f t="shared" si="147"/>
        <v/>
      </c>
      <c r="G3954" t="str">
        <f t="shared" si="148"/>
        <v/>
      </c>
    </row>
    <row r="3955" spans="2:7">
      <c r="B3955" s="6"/>
      <c r="E3955" s="7"/>
      <c r="F3955" t="str">
        <f t="shared" si="147"/>
        <v/>
      </c>
      <c r="G3955" t="str">
        <f t="shared" si="148"/>
        <v/>
      </c>
    </row>
    <row r="3956" spans="2:7">
      <c r="B3956" s="6"/>
      <c r="E3956" s="7"/>
      <c r="F3956" t="str">
        <f t="shared" si="147"/>
        <v/>
      </c>
      <c r="G3956" t="str">
        <f t="shared" si="148"/>
        <v/>
      </c>
    </row>
    <row r="3957" spans="2:7">
      <c r="B3957" s="6"/>
      <c r="E3957" s="7"/>
      <c r="F3957" t="str">
        <f t="shared" si="147"/>
        <v/>
      </c>
      <c r="G3957" t="str">
        <f t="shared" si="148"/>
        <v/>
      </c>
    </row>
    <row r="3958" spans="2:7">
      <c r="B3958" s="6"/>
      <c r="E3958" s="7"/>
      <c r="F3958" t="str">
        <f t="shared" si="147"/>
        <v/>
      </c>
      <c r="G3958" t="str">
        <f t="shared" si="148"/>
        <v/>
      </c>
    </row>
    <row r="3959" spans="2:7">
      <c r="B3959" s="6"/>
      <c r="E3959" s="7"/>
      <c r="F3959" t="str">
        <f t="shared" si="147"/>
        <v/>
      </c>
      <c r="G3959" t="str">
        <f t="shared" si="148"/>
        <v/>
      </c>
    </row>
    <row r="3960" spans="2:7">
      <c r="B3960" s="6"/>
      <c r="E3960" s="7"/>
      <c r="F3960" t="str">
        <f t="shared" si="147"/>
        <v/>
      </c>
      <c r="G3960" t="str">
        <f t="shared" si="148"/>
        <v/>
      </c>
    </row>
    <row r="3961" spans="2:7">
      <c r="B3961" s="6"/>
      <c r="E3961" s="7"/>
      <c r="F3961" t="str">
        <f t="shared" si="147"/>
        <v/>
      </c>
      <c r="G3961" t="str">
        <f t="shared" si="148"/>
        <v/>
      </c>
    </row>
    <row r="3962" spans="2:7">
      <c r="B3962" s="6"/>
      <c r="E3962" s="7"/>
      <c r="F3962" t="str">
        <f t="shared" si="147"/>
        <v/>
      </c>
      <c r="G3962" t="str">
        <f t="shared" si="148"/>
        <v/>
      </c>
    </row>
    <row r="3963" spans="2:7">
      <c r="B3963" s="6"/>
      <c r="E3963" s="7"/>
      <c r="F3963" t="str">
        <f t="shared" si="147"/>
        <v/>
      </c>
      <c r="G3963" t="str">
        <f t="shared" si="148"/>
        <v/>
      </c>
    </row>
    <row r="3964" spans="2:7">
      <c r="B3964" s="6"/>
      <c r="E3964" s="7"/>
      <c r="F3964" t="str">
        <f t="shared" si="147"/>
        <v/>
      </c>
      <c r="G3964" t="str">
        <f t="shared" si="148"/>
        <v/>
      </c>
    </row>
    <row r="3965" spans="2:7">
      <c r="B3965" s="6"/>
      <c r="E3965" s="7"/>
      <c r="F3965" t="str">
        <f t="shared" si="147"/>
        <v/>
      </c>
      <c r="G3965" t="str">
        <f t="shared" si="148"/>
        <v/>
      </c>
    </row>
    <row r="3966" spans="2:7">
      <c r="B3966" s="6"/>
      <c r="E3966" s="7"/>
      <c r="F3966" t="str">
        <f t="shared" si="147"/>
        <v/>
      </c>
      <c r="G3966" t="str">
        <f t="shared" si="148"/>
        <v/>
      </c>
    </row>
    <row r="3967" spans="2:7">
      <c r="B3967" s="6"/>
      <c r="E3967" s="7"/>
      <c r="F3967" t="str">
        <f t="shared" si="147"/>
        <v/>
      </c>
      <c r="G3967" t="str">
        <f t="shared" si="148"/>
        <v/>
      </c>
    </row>
    <row r="3968" spans="2:7">
      <c r="B3968" s="6"/>
      <c r="E3968" s="7"/>
      <c r="F3968" t="str">
        <f t="shared" si="147"/>
        <v/>
      </c>
      <c r="G3968" t="str">
        <f t="shared" si="148"/>
        <v/>
      </c>
    </row>
    <row r="3969" spans="2:7">
      <c r="B3969" s="6"/>
      <c r="E3969" s="7"/>
      <c r="F3969" t="str">
        <f t="shared" si="147"/>
        <v/>
      </c>
      <c r="G3969" t="str">
        <f t="shared" si="148"/>
        <v/>
      </c>
    </row>
    <row r="3970" spans="2:7">
      <c r="B3970" s="6"/>
      <c r="E3970" s="7"/>
      <c r="F3970" t="str">
        <f t="shared" si="147"/>
        <v/>
      </c>
      <c r="G3970" t="str">
        <f t="shared" si="148"/>
        <v/>
      </c>
    </row>
    <row r="3971" spans="2:7">
      <c r="B3971" s="6"/>
      <c r="E3971" s="7"/>
      <c r="F3971" t="str">
        <f t="shared" si="147"/>
        <v/>
      </c>
      <c r="G3971" t="str">
        <f t="shared" si="148"/>
        <v/>
      </c>
    </row>
    <row r="3972" spans="2:7">
      <c r="B3972" s="6"/>
      <c r="E3972" s="7"/>
      <c r="F3972" t="str">
        <f t="shared" ref="F3972:F4035" si="149">IF(B3972="","",LOG10(D3972))</f>
        <v/>
      </c>
      <c r="G3972" t="str">
        <f t="shared" ref="G3972:G4035" si="150">IF(E3972="", "",0.434*E3972/D3972)</f>
        <v/>
      </c>
    </row>
    <row r="3973" spans="2:7">
      <c r="B3973" s="6"/>
      <c r="E3973" s="7"/>
      <c r="F3973" t="str">
        <f t="shared" si="149"/>
        <v/>
      </c>
      <c r="G3973" t="str">
        <f t="shared" si="150"/>
        <v/>
      </c>
    </row>
    <row r="3974" spans="2:7">
      <c r="B3974" s="6"/>
      <c r="E3974" s="7"/>
      <c r="F3974" t="str">
        <f t="shared" si="149"/>
        <v/>
      </c>
      <c r="G3974" t="str">
        <f t="shared" si="150"/>
        <v/>
      </c>
    </row>
    <row r="3975" spans="2:7">
      <c r="B3975" s="6"/>
      <c r="E3975" s="7"/>
      <c r="F3975" t="str">
        <f t="shared" si="149"/>
        <v/>
      </c>
      <c r="G3975" t="str">
        <f t="shared" si="150"/>
        <v/>
      </c>
    </row>
    <row r="3976" spans="2:7">
      <c r="B3976" s="6"/>
      <c r="E3976" s="7"/>
      <c r="F3976" t="str">
        <f t="shared" si="149"/>
        <v/>
      </c>
      <c r="G3976" t="str">
        <f t="shared" si="150"/>
        <v/>
      </c>
    </row>
    <row r="3977" spans="2:7">
      <c r="B3977" s="6"/>
      <c r="E3977" s="7"/>
      <c r="F3977" t="str">
        <f t="shared" si="149"/>
        <v/>
      </c>
      <c r="G3977" t="str">
        <f t="shared" si="150"/>
        <v/>
      </c>
    </row>
    <row r="3978" spans="2:7">
      <c r="B3978" s="6"/>
      <c r="E3978" s="7"/>
      <c r="F3978" t="str">
        <f t="shared" si="149"/>
        <v/>
      </c>
      <c r="G3978" t="str">
        <f t="shared" si="150"/>
        <v/>
      </c>
    </row>
    <row r="3979" spans="2:7">
      <c r="B3979" s="6"/>
      <c r="E3979" s="7"/>
      <c r="F3979" t="str">
        <f t="shared" si="149"/>
        <v/>
      </c>
      <c r="G3979" t="str">
        <f t="shared" si="150"/>
        <v/>
      </c>
    </row>
    <row r="3980" spans="2:7">
      <c r="B3980" s="6"/>
      <c r="E3980" s="7"/>
      <c r="F3980" t="str">
        <f t="shared" si="149"/>
        <v/>
      </c>
      <c r="G3980" t="str">
        <f t="shared" si="150"/>
        <v/>
      </c>
    </row>
    <row r="3981" spans="2:7">
      <c r="B3981" s="6"/>
      <c r="E3981" s="7"/>
      <c r="F3981" t="str">
        <f t="shared" si="149"/>
        <v/>
      </c>
      <c r="G3981" t="str">
        <f t="shared" si="150"/>
        <v/>
      </c>
    </row>
    <row r="3982" spans="2:7">
      <c r="B3982" s="6"/>
      <c r="E3982" s="7"/>
      <c r="F3982" t="str">
        <f t="shared" si="149"/>
        <v/>
      </c>
      <c r="G3982" t="str">
        <f t="shared" si="150"/>
        <v/>
      </c>
    </row>
    <row r="3983" spans="2:7">
      <c r="B3983" s="6"/>
      <c r="E3983" s="7"/>
      <c r="F3983" t="str">
        <f t="shared" si="149"/>
        <v/>
      </c>
      <c r="G3983" t="str">
        <f t="shared" si="150"/>
        <v/>
      </c>
    </row>
    <row r="3984" spans="2:7">
      <c r="B3984" s="6"/>
      <c r="E3984" s="7"/>
      <c r="F3984" t="str">
        <f t="shared" si="149"/>
        <v/>
      </c>
      <c r="G3984" t="str">
        <f t="shared" si="150"/>
        <v/>
      </c>
    </row>
    <row r="3985" spans="2:7">
      <c r="B3985" s="6"/>
      <c r="E3985" s="7"/>
      <c r="F3985" t="str">
        <f t="shared" si="149"/>
        <v/>
      </c>
      <c r="G3985" t="str">
        <f t="shared" si="150"/>
        <v/>
      </c>
    </row>
    <row r="3986" spans="2:7">
      <c r="B3986" s="6"/>
      <c r="E3986" s="7"/>
      <c r="F3986" t="str">
        <f t="shared" si="149"/>
        <v/>
      </c>
      <c r="G3986" t="str">
        <f t="shared" si="150"/>
        <v/>
      </c>
    </row>
    <row r="3987" spans="2:7">
      <c r="B3987" s="6"/>
      <c r="E3987" s="7"/>
      <c r="F3987" t="str">
        <f t="shared" si="149"/>
        <v/>
      </c>
      <c r="G3987" t="str">
        <f t="shared" si="150"/>
        <v/>
      </c>
    </row>
    <row r="3988" spans="2:7">
      <c r="B3988" s="6"/>
      <c r="E3988" s="7"/>
      <c r="F3988" t="str">
        <f t="shared" si="149"/>
        <v/>
      </c>
      <c r="G3988" t="str">
        <f t="shared" si="150"/>
        <v/>
      </c>
    </row>
    <row r="3989" spans="2:7">
      <c r="B3989" s="6"/>
      <c r="E3989" s="7"/>
      <c r="F3989" t="str">
        <f t="shared" si="149"/>
        <v/>
      </c>
      <c r="G3989" t="str">
        <f t="shared" si="150"/>
        <v/>
      </c>
    </row>
    <row r="3990" spans="2:7">
      <c r="B3990" s="6"/>
      <c r="E3990" s="7"/>
      <c r="F3990" t="str">
        <f t="shared" si="149"/>
        <v/>
      </c>
      <c r="G3990" t="str">
        <f t="shared" si="150"/>
        <v/>
      </c>
    </row>
    <row r="3991" spans="2:7">
      <c r="B3991" s="6"/>
      <c r="E3991" s="7"/>
      <c r="F3991" t="str">
        <f t="shared" si="149"/>
        <v/>
      </c>
      <c r="G3991" t="str">
        <f t="shared" si="150"/>
        <v/>
      </c>
    </row>
    <row r="3992" spans="2:7">
      <c r="B3992" s="6"/>
      <c r="E3992" s="7"/>
      <c r="F3992" t="str">
        <f t="shared" si="149"/>
        <v/>
      </c>
      <c r="G3992" t="str">
        <f t="shared" si="150"/>
        <v/>
      </c>
    </row>
    <row r="3993" spans="2:7">
      <c r="B3993" s="6"/>
      <c r="E3993" s="7"/>
      <c r="F3993" t="str">
        <f t="shared" si="149"/>
        <v/>
      </c>
      <c r="G3993" t="str">
        <f t="shared" si="150"/>
        <v/>
      </c>
    </row>
    <row r="3994" spans="2:7">
      <c r="B3994" s="6"/>
      <c r="E3994" s="7"/>
      <c r="F3994" t="str">
        <f t="shared" si="149"/>
        <v/>
      </c>
      <c r="G3994" t="str">
        <f t="shared" si="150"/>
        <v/>
      </c>
    </row>
    <row r="3995" spans="2:7">
      <c r="B3995" s="6"/>
      <c r="E3995" s="7"/>
      <c r="F3995" t="str">
        <f t="shared" si="149"/>
        <v/>
      </c>
      <c r="G3995" t="str">
        <f t="shared" si="150"/>
        <v/>
      </c>
    </row>
    <row r="3996" spans="2:7">
      <c r="B3996" s="6"/>
      <c r="E3996" s="7"/>
      <c r="F3996" t="str">
        <f t="shared" si="149"/>
        <v/>
      </c>
      <c r="G3996" t="str">
        <f t="shared" si="150"/>
        <v/>
      </c>
    </row>
    <row r="3997" spans="2:7">
      <c r="B3997" s="6"/>
      <c r="E3997" s="7"/>
      <c r="F3997" t="str">
        <f t="shared" si="149"/>
        <v/>
      </c>
      <c r="G3997" t="str">
        <f t="shared" si="150"/>
        <v/>
      </c>
    </row>
    <row r="3998" spans="2:7">
      <c r="B3998" s="6"/>
      <c r="E3998" s="7"/>
      <c r="F3998" t="str">
        <f t="shared" si="149"/>
        <v/>
      </c>
      <c r="G3998" t="str">
        <f t="shared" si="150"/>
        <v/>
      </c>
    </row>
    <row r="3999" spans="2:7">
      <c r="B3999" s="6"/>
      <c r="E3999" s="7"/>
      <c r="F3999" t="str">
        <f t="shared" si="149"/>
        <v/>
      </c>
      <c r="G3999" t="str">
        <f t="shared" si="150"/>
        <v/>
      </c>
    </row>
    <row r="4000" spans="2:7">
      <c r="B4000" s="6"/>
      <c r="E4000" s="7"/>
      <c r="F4000" t="str">
        <f t="shared" si="149"/>
        <v/>
      </c>
      <c r="G4000" t="str">
        <f t="shared" si="150"/>
        <v/>
      </c>
    </row>
    <row r="4001" spans="2:9">
      <c r="B4001" s="6"/>
      <c r="E4001" s="7"/>
      <c r="F4001" t="str">
        <f t="shared" si="149"/>
        <v/>
      </c>
      <c r="G4001" t="str">
        <f t="shared" si="150"/>
        <v/>
      </c>
    </row>
    <row r="4002" spans="2:9">
      <c r="B4002" s="6"/>
      <c r="E4002" s="7"/>
      <c r="F4002" t="str">
        <f t="shared" si="149"/>
        <v/>
      </c>
      <c r="G4002" t="str">
        <f t="shared" si="150"/>
        <v/>
      </c>
    </row>
    <row r="4003" spans="2:9">
      <c r="B4003" s="6"/>
      <c r="E4003" s="7"/>
      <c r="F4003" t="str">
        <f t="shared" si="149"/>
        <v/>
      </c>
      <c r="G4003" t="str">
        <f t="shared" si="150"/>
        <v/>
      </c>
    </row>
    <row r="4004" spans="2:9">
      <c r="B4004" s="6"/>
      <c r="E4004" s="7"/>
      <c r="F4004" t="str">
        <f t="shared" si="149"/>
        <v/>
      </c>
      <c r="G4004" t="str">
        <f t="shared" si="150"/>
        <v/>
      </c>
      <c r="H4004" t="s">
        <v>77</v>
      </c>
      <c r="I4004" t="s">
        <v>77</v>
      </c>
    </row>
    <row r="4005" spans="2:9">
      <c r="B4005" s="6"/>
      <c r="E4005" s="7"/>
      <c r="F4005" t="str">
        <f t="shared" si="149"/>
        <v/>
      </c>
      <c r="G4005" t="str">
        <f t="shared" si="150"/>
        <v/>
      </c>
    </row>
    <row r="4006" spans="2:9">
      <c r="B4006" s="6"/>
      <c r="E4006" s="7"/>
      <c r="F4006" t="str">
        <f t="shared" si="149"/>
        <v/>
      </c>
      <c r="G4006" t="str">
        <f t="shared" si="150"/>
        <v/>
      </c>
    </row>
    <row r="4007" spans="2:9">
      <c r="B4007" s="6"/>
      <c r="E4007" s="7"/>
      <c r="F4007" t="str">
        <f t="shared" si="149"/>
        <v/>
      </c>
      <c r="G4007" t="str">
        <f t="shared" si="150"/>
        <v/>
      </c>
    </row>
    <row r="4008" spans="2:9">
      <c r="B4008" s="6"/>
      <c r="E4008" s="7"/>
      <c r="F4008" t="str">
        <f t="shared" si="149"/>
        <v/>
      </c>
      <c r="G4008" t="str">
        <f t="shared" si="150"/>
        <v/>
      </c>
    </row>
    <row r="4009" spans="2:9">
      <c r="B4009" s="6"/>
      <c r="E4009" s="7"/>
      <c r="F4009" t="str">
        <f t="shared" si="149"/>
        <v/>
      </c>
      <c r="G4009" t="str">
        <f t="shared" si="150"/>
        <v/>
      </c>
    </row>
    <row r="4010" spans="2:9">
      <c r="B4010" s="6"/>
      <c r="E4010" s="7"/>
      <c r="F4010" t="str">
        <f t="shared" si="149"/>
        <v/>
      </c>
      <c r="G4010" t="str">
        <f t="shared" si="150"/>
        <v/>
      </c>
    </row>
    <row r="4011" spans="2:9">
      <c r="B4011" s="6"/>
      <c r="E4011" s="7"/>
      <c r="F4011" t="str">
        <f t="shared" si="149"/>
        <v/>
      </c>
      <c r="G4011" t="str">
        <f t="shared" si="150"/>
        <v/>
      </c>
    </row>
    <row r="4012" spans="2:9">
      <c r="B4012" s="6"/>
      <c r="E4012" s="7"/>
      <c r="F4012" t="str">
        <f t="shared" si="149"/>
        <v/>
      </c>
      <c r="G4012" t="str">
        <f t="shared" si="150"/>
        <v/>
      </c>
    </row>
    <row r="4013" spans="2:9">
      <c r="B4013" s="6"/>
      <c r="E4013" s="7"/>
      <c r="F4013" t="str">
        <f t="shared" si="149"/>
        <v/>
      </c>
      <c r="G4013" t="str">
        <f t="shared" si="150"/>
        <v/>
      </c>
    </row>
    <row r="4014" spans="2:9">
      <c r="B4014" s="6"/>
      <c r="E4014" s="7"/>
      <c r="F4014" t="str">
        <f t="shared" si="149"/>
        <v/>
      </c>
      <c r="G4014" t="str">
        <f t="shared" si="150"/>
        <v/>
      </c>
    </row>
    <row r="4015" spans="2:9">
      <c r="B4015" s="6"/>
      <c r="E4015" s="7"/>
      <c r="F4015" t="str">
        <f t="shared" si="149"/>
        <v/>
      </c>
      <c r="G4015" t="str">
        <f t="shared" si="150"/>
        <v/>
      </c>
    </row>
    <row r="4016" spans="2:9">
      <c r="B4016" s="6"/>
      <c r="E4016" s="7"/>
      <c r="F4016" t="str">
        <f t="shared" si="149"/>
        <v/>
      </c>
      <c r="G4016" t="str">
        <f t="shared" si="150"/>
        <v/>
      </c>
    </row>
    <row r="4017" spans="2:7">
      <c r="B4017" s="6"/>
      <c r="E4017" s="7"/>
      <c r="F4017" t="str">
        <f t="shared" si="149"/>
        <v/>
      </c>
      <c r="G4017" t="str">
        <f t="shared" si="150"/>
        <v/>
      </c>
    </row>
    <row r="4018" spans="2:7">
      <c r="B4018" s="6"/>
      <c r="E4018" s="7"/>
      <c r="F4018" t="str">
        <f t="shared" si="149"/>
        <v/>
      </c>
      <c r="G4018" t="str">
        <f t="shared" si="150"/>
        <v/>
      </c>
    </row>
    <row r="4019" spans="2:7">
      <c r="B4019" s="6"/>
      <c r="E4019" s="7"/>
      <c r="F4019" t="str">
        <f t="shared" si="149"/>
        <v/>
      </c>
      <c r="G4019" t="str">
        <f t="shared" si="150"/>
        <v/>
      </c>
    </row>
    <row r="4020" spans="2:7">
      <c r="B4020" s="6"/>
      <c r="E4020" s="7"/>
      <c r="F4020" t="str">
        <f t="shared" si="149"/>
        <v/>
      </c>
      <c r="G4020" t="str">
        <f t="shared" si="150"/>
        <v/>
      </c>
    </row>
    <row r="4021" spans="2:7">
      <c r="B4021" s="6"/>
      <c r="E4021" s="7"/>
      <c r="F4021" t="str">
        <f t="shared" si="149"/>
        <v/>
      </c>
      <c r="G4021" t="str">
        <f t="shared" si="150"/>
        <v/>
      </c>
    </row>
    <row r="4022" spans="2:7">
      <c r="B4022" s="6"/>
      <c r="E4022" s="7"/>
      <c r="F4022" t="str">
        <f t="shared" si="149"/>
        <v/>
      </c>
      <c r="G4022" t="str">
        <f t="shared" si="150"/>
        <v/>
      </c>
    </row>
    <row r="4023" spans="2:7">
      <c r="B4023" s="6"/>
      <c r="E4023" s="7"/>
      <c r="F4023" t="str">
        <f t="shared" si="149"/>
        <v/>
      </c>
      <c r="G4023" t="str">
        <f t="shared" si="150"/>
        <v/>
      </c>
    </row>
    <row r="4024" spans="2:7">
      <c r="B4024" s="6"/>
      <c r="E4024" s="7"/>
      <c r="F4024" t="str">
        <f t="shared" si="149"/>
        <v/>
      </c>
      <c r="G4024" t="str">
        <f t="shared" si="150"/>
        <v/>
      </c>
    </row>
    <row r="4025" spans="2:7">
      <c r="B4025" s="6"/>
      <c r="E4025" s="7"/>
      <c r="F4025" t="str">
        <f t="shared" si="149"/>
        <v/>
      </c>
      <c r="G4025" t="str">
        <f t="shared" si="150"/>
        <v/>
      </c>
    </row>
    <row r="4026" spans="2:7">
      <c r="B4026" s="6"/>
      <c r="E4026" s="7"/>
      <c r="F4026" t="str">
        <f t="shared" si="149"/>
        <v/>
      </c>
      <c r="G4026" t="str">
        <f t="shared" si="150"/>
        <v/>
      </c>
    </row>
    <row r="4027" spans="2:7">
      <c r="B4027" s="6"/>
      <c r="E4027" s="7"/>
      <c r="F4027" t="str">
        <f t="shared" si="149"/>
        <v/>
      </c>
      <c r="G4027" t="str">
        <f t="shared" si="150"/>
        <v/>
      </c>
    </row>
    <row r="4028" spans="2:7">
      <c r="B4028" s="6"/>
      <c r="E4028" s="7"/>
      <c r="F4028" t="str">
        <f t="shared" si="149"/>
        <v/>
      </c>
      <c r="G4028" t="str">
        <f t="shared" si="150"/>
        <v/>
      </c>
    </row>
    <row r="4029" spans="2:7">
      <c r="B4029" s="6"/>
      <c r="E4029" s="7"/>
      <c r="F4029" t="str">
        <f t="shared" si="149"/>
        <v/>
      </c>
      <c r="G4029" t="str">
        <f t="shared" si="150"/>
        <v/>
      </c>
    </row>
    <row r="4030" spans="2:7">
      <c r="B4030" s="6"/>
      <c r="E4030" s="7"/>
      <c r="F4030" t="str">
        <f t="shared" si="149"/>
        <v/>
      </c>
      <c r="G4030" t="str">
        <f t="shared" si="150"/>
        <v/>
      </c>
    </row>
    <row r="4031" spans="2:7">
      <c r="B4031" s="6"/>
      <c r="E4031" s="7"/>
      <c r="F4031" t="str">
        <f t="shared" si="149"/>
        <v/>
      </c>
      <c r="G4031" t="str">
        <f t="shared" si="150"/>
        <v/>
      </c>
    </row>
    <row r="4032" spans="2:7">
      <c r="B4032" s="6"/>
      <c r="E4032" s="7"/>
      <c r="F4032" t="str">
        <f t="shared" si="149"/>
        <v/>
      </c>
      <c r="G4032" t="str">
        <f t="shared" si="150"/>
        <v/>
      </c>
    </row>
    <row r="4033" spans="2:7">
      <c r="B4033" s="6"/>
      <c r="E4033" s="7"/>
      <c r="F4033" t="str">
        <f t="shared" si="149"/>
        <v/>
      </c>
      <c r="G4033" t="str">
        <f t="shared" si="150"/>
        <v/>
      </c>
    </row>
    <row r="4034" spans="2:7">
      <c r="B4034" s="6"/>
      <c r="E4034" s="7"/>
      <c r="F4034" t="str">
        <f t="shared" si="149"/>
        <v/>
      </c>
      <c r="G4034" t="str">
        <f t="shared" si="150"/>
        <v/>
      </c>
    </row>
    <row r="4035" spans="2:7">
      <c r="B4035" s="6"/>
      <c r="E4035" s="7"/>
      <c r="F4035" t="str">
        <f t="shared" si="149"/>
        <v/>
      </c>
      <c r="G4035" t="str">
        <f t="shared" si="150"/>
        <v/>
      </c>
    </row>
    <row r="4036" spans="2:7">
      <c r="B4036" s="6"/>
      <c r="E4036" s="7"/>
      <c r="F4036" t="str">
        <f t="shared" ref="F4036:F4099" si="151">IF(B4036="","",LOG10(D4036))</f>
        <v/>
      </c>
      <c r="G4036" t="str">
        <f t="shared" ref="G4036:G4099" si="152">IF(E4036="", "",0.434*E4036/D4036)</f>
        <v/>
      </c>
    </row>
    <row r="4037" spans="2:7">
      <c r="B4037" s="6"/>
      <c r="E4037" s="7"/>
      <c r="F4037" t="str">
        <f t="shared" si="151"/>
        <v/>
      </c>
      <c r="G4037" t="str">
        <f t="shared" si="152"/>
        <v/>
      </c>
    </row>
    <row r="4038" spans="2:7">
      <c r="B4038" s="6"/>
      <c r="E4038" s="7"/>
      <c r="F4038" t="str">
        <f t="shared" si="151"/>
        <v/>
      </c>
      <c r="G4038" t="str">
        <f t="shared" si="152"/>
        <v/>
      </c>
    </row>
    <row r="4039" spans="2:7">
      <c r="B4039" s="6"/>
      <c r="E4039" s="7"/>
      <c r="F4039" t="str">
        <f t="shared" si="151"/>
        <v/>
      </c>
      <c r="G4039" t="str">
        <f t="shared" si="152"/>
        <v/>
      </c>
    </row>
    <row r="4040" spans="2:7">
      <c r="B4040" s="6"/>
      <c r="E4040" s="7"/>
      <c r="F4040" t="str">
        <f t="shared" si="151"/>
        <v/>
      </c>
      <c r="G4040" t="str">
        <f t="shared" si="152"/>
        <v/>
      </c>
    </row>
    <row r="4041" spans="2:7">
      <c r="B4041" s="6"/>
      <c r="E4041" s="7"/>
      <c r="F4041" t="str">
        <f t="shared" si="151"/>
        <v/>
      </c>
      <c r="G4041" t="str">
        <f t="shared" si="152"/>
        <v/>
      </c>
    </row>
    <row r="4042" spans="2:7">
      <c r="B4042" s="6"/>
      <c r="E4042" s="7"/>
      <c r="F4042" t="str">
        <f t="shared" si="151"/>
        <v/>
      </c>
      <c r="G4042" t="str">
        <f t="shared" si="152"/>
        <v/>
      </c>
    </row>
    <row r="4043" spans="2:7">
      <c r="B4043" s="6"/>
      <c r="E4043" s="7"/>
      <c r="F4043" t="str">
        <f t="shared" si="151"/>
        <v/>
      </c>
      <c r="G4043" t="str">
        <f t="shared" si="152"/>
        <v/>
      </c>
    </row>
    <row r="4044" spans="2:7">
      <c r="B4044" s="6"/>
      <c r="E4044" s="7"/>
      <c r="F4044" t="str">
        <f t="shared" si="151"/>
        <v/>
      </c>
      <c r="G4044" t="str">
        <f t="shared" si="152"/>
        <v/>
      </c>
    </row>
    <row r="4045" spans="2:7">
      <c r="B4045" s="6"/>
      <c r="E4045" s="7"/>
      <c r="F4045" t="str">
        <f t="shared" si="151"/>
        <v/>
      </c>
      <c r="G4045" t="str">
        <f t="shared" si="152"/>
        <v/>
      </c>
    </row>
    <row r="4046" spans="2:7">
      <c r="B4046" s="6"/>
      <c r="E4046" s="7"/>
      <c r="F4046" t="str">
        <f t="shared" si="151"/>
        <v/>
      </c>
      <c r="G4046" t="str">
        <f t="shared" si="152"/>
        <v/>
      </c>
    </row>
    <row r="4047" spans="2:7">
      <c r="B4047" s="6"/>
      <c r="E4047" s="7"/>
      <c r="F4047" t="str">
        <f t="shared" si="151"/>
        <v/>
      </c>
      <c r="G4047" t="str">
        <f t="shared" si="152"/>
        <v/>
      </c>
    </row>
    <row r="4048" spans="2:7">
      <c r="B4048" s="6"/>
      <c r="E4048" s="7"/>
      <c r="F4048" t="str">
        <f t="shared" si="151"/>
        <v/>
      </c>
      <c r="G4048" t="str">
        <f t="shared" si="152"/>
        <v/>
      </c>
    </row>
    <row r="4049" spans="2:7">
      <c r="B4049" s="6"/>
      <c r="E4049" s="7"/>
      <c r="F4049" t="str">
        <f t="shared" si="151"/>
        <v/>
      </c>
      <c r="G4049" t="str">
        <f t="shared" si="152"/>
        <v/>
      </c>
    </row>
    <row r="4050" spans="2:7">
      <c r="B4050" s="6"/>
      <c r="E4050" s="7"/>
      <c r="F4050" t="str">
        <f t="shared" si="151"/>
        <v/>
      </c>
      <c r="G4050" t="str">
        <f t="shared" si="152"/>
        <v/>
      </c>
    </row>
    <row r="4051" spans="2:7">
      <c r="B4051" s="6"/>
      <c r="E4051" s="7"/>
      <c r="F4051" t="str">
        <f t="shared" si="151"/>
        <v/>
      </c>
      <c r="G4051" t="str">
        <f t="shared" si="152"/>
        <v/>
      </c>
    </row>
    <row r="4052" spans="2:7">
      <c r="B4052" s="6"/>
      <c r="E4052" s="7"/>
      <c r="F4052" t="str">
        <f t="shared" si="151"/>
        <v/>
      </c>
      <c r="G4052" t="str">
        <f t="shared" si="152"/>
        <v/>
      </c>
    </row>
    <row r="4053" spans="2:7">
      <c r="B4053" s="6"/>
      <c r="E4053" s="7"/>
      <c r="F4053" t="str">
        <f t="shared" si="151"/>
        <v/>
      </c>
      <c r="G4053" t="str">
        <f t="shared" si="152"/>
        <v/>
      </c>
    </row>
    <row r="4054" spans="2:7">
      <c r="B4054" s="6"/>
      <c r="E4054" s="7"/>
      <c r="F4054" t="str">
        <f t="shared" si="151"/>
        <v/>
      </c>
      <c r="G4054" t="str">
        <f t="shared" si="152"/>
        <v/>
      </c>
    </row>
    <row r="4055" spans="2:7">
      <c r="B4055" s="6"/>
      <c r="E4055" s="7"/>
      <c r="F4055" t="str">
        <f t="shared" si="151"/>
        <v/>
      </c>
      <c r="G4055" t="str">
        <f t="shared" si="152"/>
        <v/>
      </c>
    </row>
    <row r="4056" spans="2:7">
      <c r="B4056" s="6"/>
      <c r="E4056" s="7"/>
      <c r="F4056" t="str">
        <f t="shared" si="151"/>
        <v/>
      </c>
      <c r="G4056" t="str">
        <f t="shared" si="152"/>
        <v/>
      </c>
    </row>
    <row r="4057" spans="2:7">
      <c r="B4057" s="6"/>
      <c r="E4057" s="7"/>
      <c r="F4057" t="str">
        <f t="shared" si="151"/>
        <v/>
      </c>
      <c r="G4057" t="str">
        <f t="shared" si="152"/>
        <v/>
      </c>
    </row>
    <row r="4058" spans="2:7">
      <c r="B4058" s="6"/>
      <c r="E4058" s="7"/>
      <c r="F4058" t="str">
        <f t="shared" si="151"/>
        <v/>
      </c>
      <c r="G4058" t="str">
        <f t="shared" si="152"/>
        <v/>
      </c>
    </row>
    <row r="4059" spans="2:7">
      <c r="B4059" s="6"/>
      <c r="E4059" s="7"/>
      <c r="F4059" t="str">
        <f t="shared" si="151"/>
        <v/>
      </c>
      <c r="G4059" t="str">
        <f t="shared" si="152"/>
        <v/>
      </c>
    </row>
    <row r="4060" spans="2:7">
      <c r="B4060" s="6"/>
      <c r="E4060" s="7"/>
      <c r="F4060" t="str">
        <f t="shared" si="151"/>
        <v/>
      </c>
      <c r="G4060" t="str">
        <f t="shared" si="152"/>
        <v/>
      </c>
    </row>
    <row r="4061" spans="2:7">
      <c r="B4061" s="6"/>
      <c r="E4061" s="7"/>
      <c r="F4061" t="str">
        <f t="shared" si="151"/>
        <v/>
      </c>
      <c r="G4061" t="str">
        <f t="shared" si="152"/>
        <v/>
      </c>
    </row>
    <row r="4062" spans="2:7">
      <c r="B4062" s="6"/>
      <c r="E4062" s="7"/>
      <c r="F4062" t="str">
        <f t="shared" si="151"/>
        <v/>
      </c>
      <c r="G4062" t="str">
        <f t="shared" si="152"/>
        <v/>
      </c>
    </row>
    <row r="4063" spans="2:7">
      <c r="B4063" s="6"/>
      <c r="E4063" s="7"/>
      <c r="F4063" t="str">
        <f t="shared" si="151"/>
        <v/>
      </c>
      <c r="G4063" t="str">
        <f t="shared" si="152"/>
        <v/>
      </c>
    </row>
    <row r="4064" spans="2:7">
      <c r="B4064" s="6"/>
      <c r="E4064" s="7"/>
      <c r="F4064" t="str">
        <f t="shared" si="151"/>
        <v/>
      </c>
      <c r="G4064" t="str">
        <f t="shared" si="152"/>
        <v/>
      </c>
    </row>
    <row r="4065" spans="2:7">
      <c r="B4065" s="6"/>
      <c r="E4065" s="7"/>
      <c r="F4065" t="str">
        <f t="shared" si="151"/>
        <v/>
      </c>
      <c r="G4065" t="str">
        <f t="shared" si="152"/>
        <v/>
      </c>
    </row>
    <row r="4066" spans="2:7">
      <c r="B4066" s="6"/>
      <c r="E4066" s="7"/>
      <c r="F4066" t="str">
        <f t="shared" si="151"/>
        <v/>
      </c>
      <c r="G4066" t="str">
        <f t="shared" si="152"/>
        <v/>
      </c>
    </row>
    <row r="4067" spans="2:7">
      <c r="B4067" s="6"/>
      <c r="E4067" s="7"/>
      <c r="F4067" t="str">
        <f t="shared" si="151"/>
        <v/>
      </c>
      <c r="G4067" t="str">
        <f t="shared" si="152"/>
        <v/>
      </c>
    </row>
    <row r="4068" spans="2:7">
      <c r="B4068" s="6"/>
      <c r="E4068" s="7"/>
      <c r="F4068" t="str">
        <f t="shared" si="151"/>
        <v/>
      </c>
      <c r="G4068" t="str">
        <f t="shared" si="152"/>
        <v/>
      </c>
    </row>
    <row r="4069" spans="2:7">
      <c r="B4069" s="6"/>
      <c r="E4069" s="7"/>
      <c r="F4069" t="str">
        <f t="shared" si="151"/>
        <v/>
      </c>
      <c r="G4069" t="str">
        <f t="shared" si="152"/>
        <v/>
      </c>
    </row>
    <row r="4070" spans="2:7">
      <c r="B4070" s="6"/>
      <c r="E4070" s="7"/>
      <c r="F4070" t="str">
        <f t="shared" si="151"/>
        <v/>
      </c>
      <c r="G4070" t="str">
        <f t="shared" si="152"/>
        <v/>
      </c>
    </row>
    <row r="4071" spans="2:7">
      <c r="B4071" s="6"/>
      <c r="E4071" s="7"/>
      <c r="F4071" t="str">
        <f t="shared" si="151"/>
        <v/>
      </c>
      <c r="G4071" t="str">
        <f t="shared" si="152"/>
        <v/>
      </c>
    </row>
    <row r="4072" spans="2:7">
      <c r="B4072" s="6"/>
      <c r="E4072" s="7"/>
      <c r="F4072" t="str">
        <f t="shared" si="151"/>
        <v/>
      </c>
      <c r="G4072" t="str">
        <f t="shared" si="152"/>
        <v/>
      </c>
    </row>
    <row r="4073" spans="2:7">
      <c r="B4073" s="6"/>
      <c r="E4073" s="7"/>
      <c r="F4073" t="str">
        <f t="shared" si="151"/>
        <v/>
      </c>
      <c r="G4073" t="str">
        <f t="shared" si="152"/>
        <v/>
      </c>
    </row>
    <row r="4074" spans="2:7">
      <c r="B4074" s="6"/>
      <c r="E4074" s="7"/>
      <c r="F4074" t="str">
        <f t="shared" si="151"/>
        <v/>
      </c>
      <c r="G4074" t="str">
        <f t="shared" si="152"/>
        <v/>
      </c>
    </row>
    <row r="4075" spans="2:7">
      <c r="B4075" s="6"/>
      <c r="E4075" s="7"/>
      <c r="F4075" t="str">
        <f t="shared" si="151"/>
        <v/>
      </c>
      <c r="G4075" t="str">
        <f t="shared" si="152"/>
        <v/>
      </c>
    </row>
    <row r="4076" spans="2:7">
      <c r="B4076" s="6"/>
      <c r="E4076" s="7"/>
      <c r="F4076" t="str">
        <f t="shared" si="151"/>
        <v/>
      </c>
      <c r="G4076" t="str">
        <f t="shared" si="152"/>
        <v/>
      </c>
    </row>
    <row r="4077" spans="2:7">
      <c r="B4077" s="6"/>
      <c r="E4077" s="7"/>
      <c r="F4077" t="str">
        <f t="shared" si="151"/>
        <v/>
      </c>
      <c r="G4077" t="str">
        <f t="shared" si="152"/>
        <v/>
      </c>
    </row>
    <row r="4078" spans="2:7">
      <c r="B4078" s="6"/>
      <c r="E4078" s="7"/>
      <c r="F4078" t="str">
        <f t="shared" si="151"/>
        <v/>
      </c>
      <c r="G4078" t="str">
        <f t="shared" si="152"/>
        <v/>
      </c>
    </row>
    <row r="4079" spans="2:7">
      <c r="B4079" s="6"/>
      <c r="E4079" s="7"/>
      <c r="F4079" t="str">
        <f t="shared" si="151"/>
        <v/>
      </c>
      <c r="G4079" t="str">
        <f t="shared" si="152"/>
        <v/>
      </c>
    </row>
    <row r="4080" spans="2:7">
      <c r="B4080" s="6"/>
      <c r="E4080" s="7"/>
      <c r="F4080" t="str">
        <f t="shared" si="151"/>
        <v/>
      </c>
      <c r="G4080" t="str">
        <f t="shared" si="152"/>
        <v/>
      </c>
    </row>
    <row r="4081" spans="2:7">
      <c r="B4081" s="6"/>
      <c r="E4081" s="7"/>
      <c r="F4081" t="str">
        <f t="shared" si="151"/>
        <v/>
      </c>
      <c r="G4081" t="str">
        <f t="shared" si="152"/>
        <v/>
      </c>
    </row>
    <row r="4082" spans="2:7">
      <c r="B4082" s="6"/>
      <c r="E4082" s="7"/>
      <c r="F4082" t="str">
        <f t="shared" si="151"/>
        <v/>
      </c>
      <c r="G4082" t="str">
        <f t="shared" si="152"/>
        <v/>
      </c>
    </row>
    <row r="4083" spans="2:7">
      <c r="B4083" s="6"/>
      <c r="E4083" s="7"/>
      <c r="F4083" t="str">
        <f t="shared" si="151"/>
        <v/>
      </c>
      <c r="G4083" t="str">
        <f t="shared" si="152"/>
        <v/>
      </c>
    </row>
    <row r="4084" spans="2:7">
      <c r="B4084" s="6"/>
      <c r="E4084" s="7"/>
      <c r="F4084" t="str">
        <f t="shared" si="151"/>
        <v/>
      </c>
      <c r="G4084" t="str">
        <f t="shared" si="152"/>
        <v/>
      </c>
    </row>
    <row r="4085" spans="2:7">
      <c r="B4085" s="6"/>
      <c r="E4085" s="7"/>
      <c r="F4085" t="str">
        <f t="shared" si="151"/>
        <v/>
      </c>
      <c r="G4085" t="str">
        <f t="shared" si="152"/>
        <v/>
      </c>
    </row>
    <row r="4086" spans="2:7">
      <c r="B4086" s="6"/>
      <c r="E4086" s="7"/>
      <c r="F4086" t="str">
        <f t="shared" si="151"/>
        <v/>
      </c>
      <c r="G4086" t="str">
        <f t="shared" si="152"/>
        <v/>
      </c>
    </row>
    <row r="4087" spans="2:7">
      <c r="B4087" s="6"/>
      <c r="E4087" s="7"/>
      <c r="F4087" t="str">
        <f t="shared" si="151"/>
        <v/>
      </c>
      <c r="G4087" t="str">
        <f t="shared" si="152"/>
        <v/>
      </c>
    </row>
    <row r="4088" spans="2:7">
      <c r="B4088" s="6"/>
      <c r="E4088" s="7"/>
      <c r="F4088" t="str">
        <f t="shared" si="151"/>
        <v/>
      </c>
      <c r="G4088" t="str">
        <f t="shared" si="152"/>
        <v/>
      </c>
    </row>
    <row r="4089" spans="2:7">
      <c r="B4089" s="6"/>
      <c r="E4089" s="7"/>
      <c r="F4089" t="str">
        <f t="shared" si="151"/>
        <v/>
      </c>
      <c r="G4089" t="str">
        <f t="shared" si="152"/>
        <v/>
      </c>
    </row>
    <row r="4090" spans="2:7">
      <c r="B4090" s="6"/>
      <c r="E4090" s="7"/>
      <c r="F4090" t="str">
        <f t="shared" si="151"/>
        <v/>
      </c>
      <c r="G4090" t="str">
        <f t="shared" si="152"/>
        <v/>
      </c>
    </row>
    <row r="4091" spans="2:7">
      <c r="B4091" s="6"/>
      <c r="E4091" s="7"/>
      <c r="F4091" t="str">
        <f t="shared" si="151"/>
        <v/>
      </c>
      <c r="G4091" t="str">
        <f t="shared" si="152"/>
        <v/>
      </c>
    </row>
    <row r="4092" spans="2:7">
      <c r="B4092" s="6"/>
      <c r="E4092" s="7"/>
      <c r="F4092" t="str">
        <f t="shared" si="151"/>
        <v/>
      </c>
      <c r="G4092" t="str">
        <f t="shared" si="152"/>
        <v/>
      </c>
    </row>
    <row r="4093" spans="2:7">
      <c r="B4093" s="6"/>
      <c r="E4093" s="7"/>
      <c r="F4093" t="str">
        <f t="shared" si="151"/>
        <v/>
      </c>
      <c r="G4093" t="str">
        <f t="shared" si="152"/>
        <v/>
      </c>
    </row>
    <row r="4094" spans="2:7">
      <c r="B4094" s="6"/>
      <c r="E4094" s="7"/>
      <c r="F4094" t="str">
        <f t="shared" si="151"/>
        <v/>
      </c>
      <c r="G4094" t="str">
        <f t="shared" si="152"/>
        <v/>
      </c>
    </row>
    <row r="4095" spans="2:7">
      <c r="B4095" s="6"/>
      <c r="E4095" s="7"/>
      <c r="F4095" t="str">
        <f t="shared" si="151"/>
        <v/>
      </c>
      <c r="G4095" t="str">
        <f t="shared" si="152"/>
        <v/>
      </c>
    </row>
    <row r="4096" spans="2:7">
      <c r="B4096" s="6"/>
      <c r="E4096" s="7"/>
      <c r="F4096" t="str">
        <f t="shared" si="151"/>
        <v/>
      </c>
      <c r="G4096" t="str">
        <f t="shared" si="152"/>
        <v/>
      </c>
    </row>
    <row r="4097" spans="2:7">
      <c r="B4097" s="6"/>
      <c r="E4097" s="7"/>
      <c r="F4097" t="str">
        <f t="shared" si="151"/>
        <v/>
      </c>
      <c r="G4097" t="str">
        <f t="shared" si="152"/>
        <v/>
      </c>
    </row>
    <row r="4098" spans="2:7">
      <c r="B4098" s="6"/>
      <c r="E4098" s="7"/>
      <c r="F4098" t="str">
        <f t="shared" si="151"/>
        <v/>
      </c>
      <c r="G4098" t="str">
        <f t="shared" si="152"/>
        <v/>
      </c>
    </row>
    <row r="4099" spans="2:7">
      <c r="B4099" s="6"/>
      <c r="E4099" s="7"/>
      <c r="F4099" t="str">
        <f t="shared" si="151"/>
        <v/>
      </c>
      <c r="G4099" t="str">
        <f t="shared" si="152"/>
        <v/>
      </c>
    </row>
    <row r="4100" spans="2:7">
      <c r="B4100" s="6"/>
      <c r="E4100" s="7"/>
      <c r="F4100" t="str">
        <f t="shared" ref="F4100:F4163" si="153">IF(B4100="","",LOG10(D4100))</f>
        <v/>
      </c>
      <c r="G4100" t="str">
        <f t="shared" ref="G4100:G4163" si="154">IF(E4100="", "",0.434*E4100/D4100)</f>
        <v/>
      </c>
    </row>
    <row r="4101" spans="2:7">
      <c r="B4101" s="6"/>
      <c r="E4101" s="7"/>
      <c r="F4101" t="str">
        <f t="shared" si="153"/>
        <v/>
      </c>
      <c r="G4101" t="str">
        <f t="shared" si="154"/>
        <v/>
      </c>
    </row>
    <row r="4102" spans="2:7">
      <c r="B4102" s="6"/>
      <c r="E4102" s="7"/>
      <c r="F4102" t="str">
        <f t="shared" si="153"/>
        <v/>
      </c>
      <c r="G4102" t="str">
        <f t="shared" si="154"/>
        <v/>
      </c>
    </row>
    <row r="4103" spans="2:7">
      <c r="B4103" s="6"/>
      <c r="E4103" s="7"/>
      <c r="F4103" t="str">
        <f t="shared" si="153"/>
        <v/>
      </c>
      <c r="G4103" t="str">
        <f t="shared" si="154"/>
        <v/>
      </c>
    </row>
    <row r="4104" spans="2:7">
      <c r="B4104" s="6"/>
      <c r="E4104" s="7"/>
      <c r="F4104" t="str">
        <f t="shared" si="153"/>
        <v/>
      </c>
      <c r="G4104" t="str">
        <f t="shared" si="154"/>
        <v/>
      </c>
    </row>
    <row r="4105" spans="2:7">
      <c r="B4105" s="6"/>
      <c r="E4105" s="7"/>
      <c r="F4105" t="str">
        <f t="shared" si="153"/>
        <v/>
      </c>
      <c r="G4105" t="str">
        <f t="shared" si="154"/>
        <v/>
      </c>
    </row>
    <row r="4106" spans="2:7">
      <c r="B4106" s="6"/>
      <c r="E4106" s="7"/>
      <c r="F4106" t="str">
        <f t="shared" si="153"/>
        <v/>
      </c>
      <c r="G4106" t="str">
        <f t="shared" si="154"/>
        <v/>
      </c>
    </row>
    <row r="4107" spans="2:7">
      <c r="B4107" s="6"/>
      <c r="E4107" s="7"/>
      <c r="F4107" t="str">
        <f t="shared" si="153"/>
        <v/>
      </c>
      <c r="G4107" t="str">
        <f t="shared" si="154"/>
        <v/>
      </c>
    </row>
    <row r="4108" spans="2:7">
      <c r="B4108" s="6"/>
      <c r="E4108" s="7"/>
      <c r="F4108" t="str">
        <f t="shared" si="153"/>
        <v/>
      </c>
      <c r="G4108" t="str">
        <f t="shared" si="154"/>
        <v/>
      </c>
    </row>
    <row r="4109" spans="2:7">
      <c r="B4109" s="6"/>
      <c r="E4109" s="7"/>
      <c r="F4109" t="str">
        <f t="shared" si="153"/>
        <v/>
      </c>
      <c r="G4109" t="str">
        <f t="shared" si="154"/>
        <v/>
      </c>
    </row>
    <row r="4110" spans="2:7">
      <c r="B4110" s="6"/>
      <c r="E4110" s="7"/>
      <c r="F4110" t="str">
        <f t="shared" si="153"/>
        <v/>
      </c>
      <c r="G4110" t="str">
        <f t="shared" si="154"/>
        <v/>
      </c>
    </row>
    <row r="4111" spans="2:7">
      <c r="B4111" s="6"/>
      <c r="E4111" s="7"/>
      <c r="F4111" t="str">
        <f t="shared" si="153"/>
        <v/>
      </c>
      <c r="G4111" t="str">
        <f t="shared" si="154"/>
        <v/>
      </c>
    </row>
    <row r="4112" spans="2:7">
      <c r="B4112" s="6"/>
      <c r="E4112" s="7"/>
      <c r="F4112" t="str">
        <f t="shared" si="153"/>
        <v/>
      </c>
      <c r="G4112" t="str">
        <f t="shared" si="154"/>
        <v/>
      </c>
    </row>
    <row r="4113" spans="2:7">
      <c r="B4113" s="6"/>
      <c r="E4113" s="7"/>
      <c r="F4113" t="str">
        <f t="shared" si="153"/>
        <v/>
      </c>
      <c r="G4113" t="str">
        <f t="shared" si="154"/>
        <v/>
      </c>
    </row>
    <row r="4114" spans="2:7">
      <c r="B4114" s="6"/>
      <c r="E4114" s="7"/>
      <c r="F4114" t="str">
        <f t="shared" si="153"/>
        <v/>
      </c>
      <c r="G4114" t="str">
        <f t="shared" si="154"/>
        <v/>
      </c>
    </row>
    <row r="4115" spans="2:7">
      <c r="B4115" s="6"/>
      <c r="E4115" s="7"/>
      <c r="F4115" t="str">
        <f t="shared" si="153"/>
        <v/>
      </c>
      <c r="G4115" t="str">
        <f t="shared" si="154"/>
        <v/>
      </c>
    </row>
    <row r="4116" spans="2:7">
      <c r="B4116" s="6"/>
      <c r="E4116" s="7"/>
      <c r="F4116" t="str">
        <f t="shared" si="153"/>
        <v/>
      </c>
      <c r="G4116" t="str">
        <f t="shared" si="154"/>
        <v/>
      </c>
    </row>
    <row r="4117" spans="2:7">
      <c r="B4117" s="6"/>
      <c r="E4117" s="7"/>
      <c r="F4117" t="str">
        <f t="shared" si="153"/>
        <v/>
      </c>
      <c r="G4117" t="str">
        <f t="shared" si="154"/>
        <v/>
      </c>
    </row>
    <row r="4118" spans="2:7">
      <c r="B4118" s="6"/>
      <c r="E4118" s="7"/>
      <c r="F4118" t="str">
        <f t="shared" si="153"/>
        <v/>
      </c>
      <c r="G4118" t="str">
        <f t="shared" si="154"/>
        <v/>
      </c>
    </row>
    <row r="4119" spans="2:7">
      <c r="B4119" s="6"/>
      <c r="E4119" s="7"/>
      <c r="F4119" t="str">
        <f t="shared" si="153"/>
        <v/>
      </c>
      <c r="G4119" t="str">
        <f t="shared" si="154"/>
        <v/>
      </c>
    </row>
    <row r="4120" spans="2:7">
      <c r="B4120" s="6"/>
      <c r="E4120" s="7"/>
      <c r="F4120" t="str">
        <f t="shared" si="153"/>
        <v/>
      </c>
      <c r="G4120" t="str">
        <f t="shared" si="154"/>
        <v/>
      </c>
    </row>
    <row r="4121" spans="2:7">
      <c r="B4121" s="6"/>
      <c r="E4121" s="7"/>
      <c r="F4121" t="str">
        <f t="shared" si="153"/>
        <v/>
      </c>
      <c r="G4121" t="str">
        <f t="shared" si="154"/>
        <v/>
      </c>
    </row>
    <row r="4122" spans="2:7">
      <c r="B4122" s="6"/>
      <c r="E4122" s="7"/>
      <c r="F4122" t="str">
        <f t="shared" si="153"/>
        <v/>
      </c>
      <c r="G4122" t="str">
        <f t="shared" si="154"/>
        <v/>
      </c>
    </row>
    <row r="4123" spans="2:7">
      <c r="B4123" s="6"/>
      <c r="E4123" s="7"/>
      <c r="F4123" t="str">
        <f t="shared" si="153"/>
        <v/>
      </c>
      <c r="G4123" t="str">
        <f t="shared" si="154"/>
        <v/>
      </c>
    </row>
    <row r="4124" spans="2:7">
      <c r="B4124" s="6"/>
      <c r="E4124" s="7"/>
      <c r="F4124" t="str">
        <f t="shared" si="153"/>
        <v/>
      </c>
      <c r="G4124" t="str">
        <f t="shared" si="154"/>
        <v/>
      </c>
    </row>
    <row r="4125" spans="2:7">
      <c r="B4125" s="6"/>
      <c r="E4125" s="7"/>
      <c r="F4125" t="str">
        <f t="shared" si="153"/>
        <v/>
      </c>
      <c r="G4125" t="str">
        <f t="shared" si="154"/>
        <v/>
      </c>
    </row>
    <row r="4126" spans="2:7">
      <c r="B4126" s="6"/>
      <c r="E4126" s="7"/>
      <c r="F4126" t="str">
        <f t="shared" si="153"/>
        <v/>
      </c>
      <c r="G4126" t="str">
        <f t="shared" si="154"/>
        <v/>
      </c>
    </row>
    <row r="4127" spans="2:7">
      <c r="B4127" s="6"/>
      <c r="E4127" s="7"/>
      <c r="F4127" t="str">
        <f t="shared" si="153"/>
        <v/>
      </c>
      <c r="G4127" t="str">
        <f t="shared" si="154"/>
        <v/>
      </c>
    </row>
    <row r="4128" spans="2:7">
      <c r="B4128" s="6"/>
      <c r="E4128" s="7"/>
      <c r="F4128" t="str">
        <f t="shared" si="153"/>
        <v/>
      </c>
      <c r="G4128" t="str">
        <f t="shared" si="154"/>
        <v/>
      </c>
    </row>
    <row r="4129" spans="2:7">
      <c r="B4129" s="6"/>
      <c r="E4129" s="7"/>
      <c r="F4129" t="str">
        <f t="shared" si="153"/>
        <v/>
      </c>
      <c r="G4129" t="str">
        <f t="shared" si="154"/>
        <v/>
      </c>
    </row>
    <row r="4130" spans="2:7">
      <c r="B4130" s="6"/>
      <c r="E4130" s="7"/>
      <c r="F4130" t="str">
        <f t="shared" si="153"/>
        <v/>
      </c>
      <c r="G4130" t="str">
        <f t="shared" si="154"/>
        <v/>
      </c>
    </row>
    <row r="4131" spans="2:7">
      <c r="B4131" s="6"/>
      <c r="E4131" s="7"/>
      <c r="F4131" t="str">
        <f t="shared" si="153"/>
        <v/>
      </c>
      <c r="G4131" t="str">
        <f t="shared" si="154"/>
        <v/>
      </c>
    </row>
    <row r="4132" spans="2:7">
      <c r="B4132" s="6"/>
      <c r="E4132" s="7"/>
      <c r="F4132" t="str">
        <f t="shared" si="153"/>
        <v/>
      </c>
      <c r="G4132" t="str">
        <f t="shared" si="154"/>
        <v/>
      </c>
    </row>
    <row r="4133" spans="2:7">
      <c r="B4133" s="6"/>
      <c r="E4133" s="7"/>
      <c r="F4133" t="str">
        <f t="shared" si="153"/>
        <v/>
      </c>
      <c r="G4133" t="str">
        <f t="shared" si="154"/>
        <v/>
      </c>
    </row>
    <row r="4134" spans="2:7">
      <c r="B4134" s="6"/>
      <c r="E4134" s="7"/>
      <c r="F4134" t="str">
        <f t="shared" si="153"/>
        <v/>
      </c>
      <c r="G4134" t="str">
        <f t="shared" si="154"/>
        <v/>
      </c>
    </row>
    <row r="4135" spans="2:7">
      <c r="B4135" s="6"/>
      <c r="E4135" s="7"/>
      <c r="F4135" t="str">
        <f t="shared" si="153"/>
        <v/>
      </c>
      <c r="G4135" t="str">
        <f t="shared" si="154"/>
        <v/>
      </c>
    </row>
    <row r="4136" spans="2:7">
      <c r="B4136" s="6"/>
      <c r="E4136" s="7"/>
      <c r="F4136" t="str">
        <f t="shared" si="153"/>
        <v/>
      </c>
      <c r="G4136" t="str">
        <f t="shared" si="154"/>
        <v/>
      </c>
    </row>
    <row r="4137" spans="2:7">
      <c r="B4137" s="6"/>
      <c r="E4137" s="7"/>
      <c r="F4137" t="str">
        <f t="shared" si="153"/>
        <v/>
      </c>
      <c r="G4137" t="str">
        <f t="shared" si="154"/>
        <v/>
      </c>
    </row>
    <row r="4138" spans="2:7">
      <c r="B4138" s="6"/>
      <c r="E4138" s="7"/>
      <c r="F4138" t="str">
        <f t="shared" si="153"/>
        <v/>
      </c>
      <c r="G4138" t="str">
        <f t="shared" si="154"/>
        <v/>
      </c>
    </row>
    <row r="4139" spans="2:7">
      <c r="B4139" s="6"/>
      <c r="E4139" s="7"/>
      <c r="F4139" t="str">
        <f t="shared" si="153"/>
        <v/>
      </c>
      <c r="G4139" t="str">
        <f t="shared" si="154"/>
        <v/>
      </c>
    </row>
    <row r="4140" spans="2:7">
      <c r="B4140" s="6"/>
      <c r="E4140" s="7"/>
      <c r="F4140" t="str">
        <f t="shared" si="153"/>
        <v/>
      </c>
      <c r="G4140" t="str">
        <f t="shared" si="154"/>
        <v/>
      </c>
    </row>
    <row r="4141" spans="2:7">
      <c r="B4141" s="6"/>
      <c r="E4141" s="7"/>
      <c r="F4141" t="str">
        <f t="shared" si="153"/>
        <v/>
      </c>
      <c r="G4141" t="str">
        <f t="shared" si="154"/>
        <v/>
      </c>
    </row>
    <row r="4142" spans="2:7">
      <c r="B4142" s="6"/>
      <c r="E4142" s="7"/>
      <c r="F4142" t="str">
        <f t="shared" si="153"/>
        <v/>
      </c>
      <c r="G4142" t="str">
        <f t="shared" si="154"/>
        <v/>
      </c>
    </row>
    <row r="4143" spans="2:7">
      <c r="B4143" s="6"/>
      <c r="E4143" s="7"/>
      <c r="F4143" t="str">
        <f t="shared" si="153"/>
        <v/>
      </c>
      <c r="G4143" t="str">
        <f t="shared" si="154"/>
        <v/>
      </c>
    </row>
    <row r="4144" spans="2:7">
      <c r="B4144" s="6"/>
      <c r="E4144" s="7"/>
      <c r="F4144" t="str">
        <f t="shared" si="153"/>
        <v/>
      </c>
      <c r="G4144" t="str">
        <f t="shared" si="154"/>
        <v/>
      </c>
    </row>
    <row r="4145" spans="2:7">
      <c r="B4145" s="6"/>
      <c r="E4145" s="7"/>
      <c r="F4145" t="str">
        <f t="shared" si="153"/>
        <v/>
      </c>
      <c r="G4145" t="str">
        <f t="shared" si="154"/>
        <v/>
      </c>
    </row>
    <row r="4146" spans="2:7">
      <c r="B4146" s="6"/>
      <c r="E4146" s="7"/>
      <c r="F4146" t="str">
        <f t="shared" si="153"/>
        <v/>
      </c>
      <c r="G4146" t="str">
        <f t="shared" si="154"/>
        <v/>
      </c>
    </row>
    <row r="4147" spans="2:7">
      <c r="B4147" s="6"/>
      <c r="E4147" s="7"/>
      <c r="F4147" t="str">
        <f t="shared" si="153"/>
        <v/>
      </c>
      <c r="G4147" t="str">
        <f t="shared" si="154"/>
        <v/>
      </c>
    </row>
    <row r="4148" spans="2:7">
      <c r="B4148" s="6"/>
      <c r="E4148" s="7"/>
      <c r="F4148" t="str">
        <f t="shared" si="153"/>
        <v/>
      </c>
      <c r="G4148" t="str">
        <f t="shared" si="154"/>
        <v/>
      </c>
    </row>
    <row r="4149" spans="2:7">
      <c r="B4149" s="6"/>
      <c r="E4149" s="7"/>
      <c r="F4149" t="str">
        <f t="shared" si="153"/>
        <v/>
      </c>
      <c r="G4149" t="str">
        <f t="shared" si="154"/>
        <v/>
      </c>
    </row>
    <row r="4150" spans="2:7">
      <c r="B4150" s="6"/>
      <c r="E4150" s="7"/>
      <c r="F4150" t="str">
        <f t="shared" si="153"/>
        <v/>
      </c>
      <c r="G4150" t="str">
        <f t="shared" si="154"/>
        <v/>
      </c>
    </row>
    <row r="4151" spans="2:7">
      <c r="B4151" s="6"/>
      <c r="E4151" s="7"/>
      <c r="F4151" t="str">
        <f t="shared" si="153"/>
        <v/>
      </c>
      <c r="G4151" t="str">
        <f t="shared" si="154"/>
        <v/>
      </c>
    </row>
    <row r="4152" spans="2:7">
      <c r="B4152" s="6"/>
      <c r="E4152" s="7"/>
      <c r="F4152" t="str">
        <f t="shared" si="153"/>
        <v/>
      </c>
      <c r="G4152" t="str">
        <f t="shared" si="154"/>
        <v/>
      </c>
    </row>
    <row r="4153" spans="2:7">
      <c r="B4153" s="6"/>
      <c r="E4153" s="7"/>
      <c r="F4153" t="str">
        <f t="shared" si="153"/>
        <v/>
      </c>
      <c r="G4153" t="str">
        <f t="shared" si="154"/>
        <v/>
      </c>
    </row>
    <row r="4154" spans="2:7">
      <c r="B4154" s="6"/>
      <c r="E4154" s="7"/>
      <c r="F4154" t="str">
        <f t="shared" si="153"/>
        <v/>
      </c>
      <c r="G4154" t="str">
        <f t="shared" si="154"/>
        <v/>
      </c>
    </row>
    <row r="4155" spans="2:7">
      <c r="B4155" s="6"/>
      <c r="E4155" s="7"/>
      <c r="F4155" t="str">
        <f t="shared" si="153"/>
        <v/>
      </c>
      <c r="G4155" t="str">
        <f t="shared" si="154"/>
        <v/>
      </c>
    </row>
    <row r="4156" spans="2:7">
      <c r="B4156" s="6"/>
      <c r="E4156" s="7"/>
      <c r="F4156" t="str">
        <f t="shared" si="153"/>
        <v/>
      </c>
      <c r="G4156" t="str">
        <f t="shared" si="154"/>
        <v/>
      </c>
    </row>
    <row r="4157" spans="2:7">
      <c r="B4157" s="6"/>
      <c r="E4157" s="7"/>
      <c r="F4157" t="str">
        <f t="shared" si="153"/>
        <v/>
      </c>
      <c r="G4157" t="str">
        <f t="shared" si="154"/>
        <v/>
      </c>
    </row>
    <row r="4158" spans="2:7">
      <c r="B4158" s="6"/>
      <c r="E4158" s="7"/>
      <c r="F4158" t="str">
        <f t="shared" si="153"/>
        <v/>
      </c>
      <c r="G4158" t="str">
        <f t="shared" si="154"/>
        <v/>
      </c>
    </row>
    <row r="4159" spans="2:7">
      <c r="B4159" s="6"/>
      <c r="E4159" s="7"/>
      <c r="F4159" t="str">
        <f t="shared" si="153"/>
        <v/>
      </c>
      <c r="G4159" t="str">
        <f t="shared" si="154"/>
        <v/>
      </c>
    </row>
    <row r="4160" spans="2:7">
      <c r="B4160" s="6"/>
      <c r="E4160" s="7"/>
      <c r="F4160" t="str">
        <f t="shared" si="153"/>
        <v/>
      </c>
      <c r="G4160" t="str">
        <f t="shared" si="154"/>
        <v/>
      </c>
    </row>
    <row r="4161" spans="2:7">
      <c r="B4161" s="6"/>
      <c r="E4161" s="7"/>
      <c r="F4161" t="str">
        <f t="shared" si="153"/>
        <v/>
      </c>
      <c r="G4161" t="str">
        <f t="shared" si="154"/>
        <v/>
      </c>
    </row>
    <row r="4162" spans="2:7">
      <c r="B4162" s="6"/>
      <c r="E4162" s="7"/>
      <c r="F4162" t="str">
        <f t="shared" si="153"/>
        <v/>
      </c>
      <c r="G4162" t="str">
        <f t="shared" si="154"/>
        <v/>
      </c>
    </row>
    <row r="4163" spans="2:7">
      <c r="B4163" s="6"/>
      <c r="E4163" s="7"/>
      <c r="F4163" t="str">
        <f t="shared" si="153"/>
        <v/>
      </c>
      <c r="G4163" t="str">
        <f t="shared" si="154"/>
        <v/>
      </c>
    </row>
    <row r="4164" spans="2:7">
      <c r="B4164" s="6"/>
      <c r="E4164" s="7"/>
      <c r="F4164" t="str">
        <f t="shared" ref="F4164:F4227" si="155">IF(B4164="","",LOG10(D4164))</f>
        <v/>
      </c>
      <c r="G4164" t="str">
        <f t="shared" ref="G4164:G4227" si="156">IF(E4164="", "",0.434*E4164/D4164)</f>
        <v/>
      </c>
    </row>
    <row r="4165" spans="2:7">
      <c r="B4165" s="6"/>
      <c r="E4165" s="7"/>
      <c r="F4165" t="str">
        <f t="shared" si="155"/>
        <v/>
      </c>
      <c r="G4165" t="str">
        <f t="shared" si="156"/>
        <v/>
      </c>
    </row>
    <row r="4166" spans="2:7">
      <c r="B4166" s="6"/>
      <c r="E4166" s="7"/>
      <c r="F4166" t="str">
        <f t="shared" si="155"/>
        <v/>
      </c>
      <c r="G4166" t="str">
        <f t="shared" si="156"/>
        <v/>
      </c>
    </row>
    <row r="4167" spans="2:7">
      <c r="B4167" s="6"/>
      <c r="E4167" s="7"/>
      <c r="F4167" t="str">
        <f t="shared" si="155"/>
        <v/>
      </c>
      <c r="G4167" t="str">
        <f t="shared" si="156"/>
        <v/>
      </c>
    </row>
    <row r="4168" spans="2:7">
      <c r="B4168" s="6"/>
      <c r="E4168" s="7"/>
      <c r="F4168" t="str">
        <f t="shared" si="155"/>
        <v/>
      </c>
      <c r="G4168" t="str">
        <f t="shared" si="156"/>
        <v/>
      </c>
    </row>
    <row r="4169" spans="2:7">
      <c r="B4169" s="6"/>
      <c r="E4169" s="7"/>
      <c r="F4169" t="str">
        <f t="shared" si="155"/>
        <v/>
      </c>
      <c r="G4169" t="str">
        <f t="shared" si="156"/>
        <v/>
      </c>
    </row>
    <row r="4170" spans="2:7">
      <c r="B4170" s="6"/>
      <c r="E4170" s="7"/>
      <c r="F4170" t="str">
        <f t="shared" si="155"/>
        <v/>
      </c>
      <c r="G4170" t="str">
        <f t="shared" si="156"/>
        <v/>
      </c>
    </row>
    <row r="4171" spans="2:7">
      <c r="B4171" s="6"/>
      <c r="E4171" s="7"/>
      <c r="F4171" t="str">
        <f t="shared" si="155"/>
        <v/>
      </c>
      <c r="G4171" t="str">
        <f t="shared" si="156"/>
        <v/>
      </c>
    </row>
    <row r="4172" spans="2:7">
      <c r="B4172" s="6"/>
      <c r="E4172" s="7"/>
      <c r="F4172" t="str">
        <f t="shared" si="155"/>
        <v/>
      </c>
      <c r="G4172" t="str">
        <f t="shared" si="156"/>
        <v/>
      </c>
    </row>
    <row r="4173" spans="2:7">
      <c r="B4173" s="6"/>
      <c r="E4173" s="7"/>
      <c r="F4173" t="str">
        <f t="shared" si="155"/>
        <v/>
      </c>
      <c r="G4173" t="str">
        <f t="shared" si="156"/>
        <v/>
      </c>
    </row>
    <row r="4174" spans="2:7">
      <c r="B4174" s="6"/>
      <c r="E4174" s="7"/>
      <c r="F4174" t="str">
        <f t="shared" si="155"/>
        <v/>
      </c>
      <c r="G4174" t="str">
        <f t="shared" si="156"/>
        <v/>
      </c>
    </row>
    <row r="4175" spans="2:7">
      <c r="B4175" s="6"/>
      <c r="E4175" s="7"/>
      <c r="F4175" t="str">
        <f t="shared" si="155"/>
        <v/>
      </c>
      <c r="G4175" t="str">
        <f t="shared" si="156"/>
        <v/>
      </c>
    </row>
    <row r="4176" spans="2:7">
      <c r="B4176" s="6"/>
      <c r="E4176" s="7"/>
      <c r="F4176" t="str">
        <f t="shared" si="155"/>
        <v/>
      </c>
      <c r="G4176" t="str">
        <f t="shared" si="156"/>
        <v/>
      </c>
    </row>
    <row r="4177" spans="2:7">
      <c r="B4177" s="6"/>
      <c r="E4177" s="7"/>
      <c r="F4177" t="str">
        <f t="shared" si="155"/>
        <v/>
      </c>
      <c r="G4177" t="str">
        <f t="shared" si="156"/>
        <v/>
      </c>
    </row>
    <row r="4178" spans="2:7">
      <c r="B4178" s="6"/>
      <c r="E4178" s="7"/>
      <c r="F4178" t="str">
        <f t="shared" si="155"/>
        <v/>
      </c>
      <c r="G4178" t="str">
        <f t="shared" si="156"/>
        <v/>
      </c>
    </row>
    <row r="4179" spans="2:7">
      <c r="B4179" s="6"/>
      <c r="E4179" s="7"/>
      <c r="F4179" t="str">
        <f t="shared" si="155"/>
        <v/>
      </c>
      <c r="G4179" t="str">
        <f t="shared" si="156"/>
        <v/>
      </c>
    </row>
    <row r="4180" spans="2:7">
      <c r="B4180" s="6"/>
      <c r="E4180" s="7"/>
      <c r="F4180" t="str">
        <f t="shared" si="155"/>
        <v/>
      </c>
      <c r="G4180" t="str">
        <f t="shared" si="156"/>
        <v/>
      </c>
    </row>
    <row r="4181" spans="2:7">
      <c r="B4181" s="6"/>
      <c r="E4181" s="7"/>
      <c r="F4181" t="str">
        <f t="shared" si="155"/>
        <v/>
      </c>
      <c r="G4181" t="str">
        <f t="shared" si="156"/>
        <v/>
      </c>
    </row>
    <row r="4182" spans="2:7">
      <c r="B4182" s="6"/>
      <c r="E4182" s="7"/>
      <c r="F4182" t="str">
        <f t="shared" si="155"/>
        <v/>
      </c>
      <c r="G4182" t="str">
        <f t="shared" si="156"/>
        <v/>
      </c>
    </row>
    <row r="4183" spans="2:7">
      <c r="B4183" s="6"/>
      <c r="E4183" s="7"/>
      <c r="F4183" t="str">
        <f t="shared" si="155"/>
        <v/>
      </c>
      <c r="G4183" t="str">
        <f t="shared" si="156"/>
        <v/>
      </c>
    </row>
    <row r="4184" spans="2:7">
      <c r="B4184" s="6"/>
      <c r="E4184" s="7"/>
      <c r="F4184" t="str">
        <f t="shared" si="155"/>
        <v/>
      </c>
      <c r="G4184" t="str">
        <f t="shared" si="156"/>
        <v/>
      </c>
    </row>
    <row r="4185" spans="2:7">
      <c r="B4185" s="6"/>
      <c r="E4185" s="7"/>
      <c r="F4185" t="str">
        <f t="shared" si="155"/>
        <v/>
      </c>
      <c r="G4185" t="str">
        <f t="shared" si="156"/>
        <v/>
      </c>
    </row>
    <row r="4186" spans="2:7">
      <c r="B4186" s="6"/>
      <c r="E4186" s="7"/>
      <c r="F4186" t="str">
        <f t="shared" si="155"/>
        <v/>
      </c>
      <c r="G4186" t="str">
        <f t="shared" si="156"/>
        <v/>
      </c>
    </row>
    <row r="4187" spans="2:7">
      <c r="B4187" s="6"/>
      <c r="E4187" s="7"/>
      <c r="F4187" t="str">
        <f t="shared" si="155"/>
        <v/>
      </c>
      <c r="G4187" t="str">
        <f t="shared" si="156"/>
        <v/>
      </c>
    </row>
    <row r="4188" spans="2:7">
      <c r="B4188" s="6"/>
      <c r="E4188" s="7"/>
      <c r="F4188" t="str">
        <f t="shared" si="155"/>
        <v/>
      </c>
      <c r="G4188" t="str">
        <f t="shared" si="156"/>
        <v/>
      </c>
    </row>
    <row r="4189" spans="2:7">
      <c r="B4189" s="6"/>
      <c r="E4189" s="7"/>
      <c r="F4189" t="str">
        <f t="shared" si="155"/>
        <v/>
      </c>
      <c r="G4189" t="str">
        <f t="shared" si="156"/>
        <v/>
      </c>
    </row>
    <row r="4190" spans="2:7">
      <c r="B4190" s="6"/>
      <c r="E4190" s="7"/>
      <c r="F4190" t="str">
        <f t="shared" si="155"/>
        <v/>
      </c>
      <c r="G4190" t="str">
        <f t="shared" si="156"/>
        <v/>
      </c>
    </row>
    <row r="4191" spans="2:7">
      <c r="B4191" s="6"/>
      <c r="E4191" s="7"/>
      <c r="F4191" t="str">
        <f t="shared" si="155"/>
        <v/>
      </c>
      <c r="G4191" t="str">
        <f t="shared" si="156"/>
        <v/>
      </c>
    </row>
    <row r="4192" spans="2:7">
      <c r="B4192" s="6"/>
      <c r="E4192" s="7"/>
      <c r="F4192" t="str">
        <f t="shared" si="155"/>
        <v/>
      </c>
      <c r="G4192" t="str">
        <f t="shared" si="156"/>
        <v/>
      </c>
    </row>
    <row r="4193" spans="2:7">
      <c r="B4193" s="6"/>
      <c r="E4193" s="7"/>
      <c r="F4193" t="str">
        <f t="shared" si="155"/>
        <v/>
      </c>
      <c r="G4193" t="str">
        <f t="shared" si="156"/>
        <v/>
      </c>
    </row>
    <row r="4194" spans="2:7">
      <c r="B4194" s="6"/>
      <c r="E4194" s="7"/>
      <c r="F4194" t="str">
        <f t="shared" si="155"/>
        <v/>
      </c>
      <c r="G4194" t="str">
        <f t="shared" si="156"/>
        <v/>
      </c>
    </row>
    <row r="4195" spans="2:7">
      <c r="B4195" s="6"/>
      <c r="E4195" s="7"/>
      <c r="F4195" t="str">
        <f t="shared" si="155"/>
        <v/>
      </c>
      <c r="G4195" t="str">
        <f t="shared" si="156"/>
        <v/>
      </c>
    </row>
    <row r="4196" spans="2:7">
      <c r="B4196" s="6"/>
      <c r="E4196" s="7"/>
      <c r="F4196" t="str">
        <f t="shared" si="155"/>
        <v/>
      </c>
      <c r="G4196" t="str">
        <f t="shared" si="156"/>
        <v/>
      </c>
    </row>
    <row r="4197" spans="2:7">
      <c r="B4197" s="6"/>
      <c r="E4197" s="7"/>
      <c r="F4197" t="str">
        <f t="shared" si="155"/>
        <v/>
      </c>
      <c r="G4197" t="str">
        <f t="shared" si="156"/>
        <v/>
      </c>
    </row>
    <row r="4198" spans="2:7">
      <c r="B4198" s="6"/>
      <c r="E4198" s="7"/>
      <c r="F4198" t="str">
        <f t="shared" si="155"/>
        <v/>
      </c>
      <c r="G4198" t="str">
        <f t="shared" si="156"/>
        <v/>
      </c>
    </row>
    <row r="4199" spans="2:7">
      <c r="B4199" s="6"/>
      <c r="E4199" s="7"/>
      <c r="F4199" t="str">
        <f t="shared" si="155"/>
        <v/>
      </c>
      <c r="G4199" t="str">
        <f t="shared" si="156"/>
        <v/>
      </c>
    </row>
    <row r="4200" spans="2:7">
      <c r="B4200" s="6"/>
      <c r="E4200" s="7"/>
      <c r="F4200" t="str">
        <f t="shared" si="155"/>
        <v/>
      </c>
      <c r="G4200" t="str">
        <f t="shared" si="156"/>
        <v/>
      </c>
    </row>
    <row r="4201" spans="2:7">
      <c r="B4201" s="6"/>
      <c r="E4201" s="7"/>
      <c r="F4201" t="str">
        <f t="shared" si="155"/>
        <v/>
      </c>
      <c r="G4201" t="str">
        <f t="shared" si="156"/>
        <v/>
      </c>
    </row>
    <row r="4202" spans="2:7">
      <c r="B4202" s="6"/>
      <c r="E4202" s="7"/>
      <c r="F4202" t="str">
        <f t="shared" si="155"/>
        <v/>
      </c>
      <c r="G4202" t="str">
        <f t="shared" si="156"/>
        <v/>
      </c>
    </row>
    <row r="4203" spans="2:7">
      <c r="B4203" s="6"/>
      <c r="E4203" s="7"/>
      <c r="F4203" t="str">
        <f t="shared" si="155"/>
        <v/>
      </c>
      <c r="G4203" t="str">
        <f t="shared" si="156"/>
        <v/>
      </c>
    </row>
    <row r="4204" spans="2:7">
      <c r="B4204" s="6"/>
      <c r="E4204" s="7"/>
      <c r="F4204" t="str">
        <f t="shared" si="155"/>
        <v/>
      </c>
      <c r="G4204" t="str">
        <f t="shared" si="156"/>
        <v/>
      </c>
    </row>
    <row r="4205" spans="2:7">
      <c r="B4205" s="6"/>
      <c r="E4205" s="7"/>
      <c r="F4205" t="str">
        <f t="shared" si="155"/>
        <v/>
      </c>
      <c r="G4205" t="str">
        <f t="shared" si="156"/>
        <v/>
      </c>
    </row>
    <row r="4206" spans="2:7">
      <c r="B4206" s="6"/>
      <c r="E4206" s="7"/>
      <c r="F4206" t="str">
        <f t="shared" si="155"/>
        <v/>
      </c>
      <c r="G4206" t="str">
        <f t="shared" si="156"/>
        <v/>
      </c>
    </row>
    <row r="4207" spans="2:7">
      <c r="B4207" s="6"/>
      <c r="E4207" s="7"/>
      <c r="F4207" t="str">
        <f t="shared" si="155"/>
        <v/>
      </c>
      <c r="G4207" t="str">
        <f t="shared" si="156"/>
        <v/>
      </c>
    </row>
    <row r="4208" spans="2:7">
      <c r="B4208" s="6"/>
      <c r="E4208" s="7"/>
      <c r="F4208" t="str">
        <f t="shared" si="155"/>
        <v/>
      </c>
      <c r="G4208" t="str">
        <f t="shared" si="156"/>
        <v/>
      </c>
    </row>
    <row r="4209" spans="2:7">
      <c r="B4209" s="6"/>
      <c r="E4209" s="7"/>
      <c r="F4209" t="str">
        <f t="shared" si="155"/>
        <v/>
      </c>
      <c r="G4209" t="str">
        <f t="shared" si="156"/>
        <v/>
      </c>
    </row>
    <row r="4210" spans="2:7">
      <c r="B4210" s="6"/>
      <c r="E4210" s="7"/>
      <c r="F4210" t="str">
        <f t="shared" si="155"/>
        <v/>
      </c>
      <c r="G4210" t="str">
        <f t="shared" si="156"/>
        <v/>
      </c>
    </row>
    <row r="4211" spans="2:7">
      <c r="B4211" s="6"/>
      <c r="E4211" s="7"/>
      <c r="F4211" t="str">
        <f t="shared" si="155"/>
        <v/>
      </c>
      <c r="G4211" t="str">
        <f t="shared" si="156"/>
        <v/>
      </c>
    </row>
    <row r="4212" spans="2:7">
      <c r="B4212" s="6"/>
      <c r="E4212" s="7"/>
      <c r="F4212" t="str">
        <f t="shared" si="155"/>
        <v/>
      </c>
      <c r="G4212" t="str">
        <f t="shared" si="156"/>
        <v/>
      </c>
    </row>
    <row r="4213" spans="2:7">
      <c r="B4213" s="6"/>
      <c r="E4213" s="7"/>
      <c r="F4213" t="str">
        <f t="shared" si="155"/>
        <v/>
      </c>
      <c r="G4213" t="str">
        <f t="shared" si="156"/>
        <v/>
      </c>
    </row>
    <row r="4214" spans="2:7">
      <c r="B4214" s="6"/>
      <c r="E4214" s="7"/>
      <c r="F4214" t="str">
        <f t="shared" si="155"/>
        <v/>
      </c>
      <c r="G4214" t="str">
        <f t="shared" si="156"/>
        <v/>
      </c>
    </row>
    <row r="4215" spans="2:7">
      <c r="B4215" s="6"/>
      <c r="E4215" s="7"/>
      <c r="F4215" t="str">
        <f t="shared" si="155"/>
        <v/>
      </c>
      <c r="G4215" t="str">
        <f t="shared" si="156"/>
        <v/>
      </c>
    </row>
    <row r="4216" spans="2:7">
      <c r="B4216" s="6"/>
      <c r="E4216" s="7"/>
      <c r="F4216" t="str">
        <f t="shared" si="155"/>
        <v/>
      </c>
      <c r="G4216" t="str">
        <f t="shared" si="156"/>
        <v/>
      </c>
    </row>
    <row r="4217" spans="2:7">
      <c r="B4217" s="6"/>
      <c r="E4217" s="7"/>
      <c r="F4217" t="str">
        <f t="shared" si="155"/>
        <v/>
      </c>
      <c r="G4217" t="str">
        <f t="shared" si="156"/>
        <v/>
      </c>
    </row>
    <row r="4218" spans="2:7">
      <c r="B4218" s="6"/>
      <c r="E4218" s="7"/>
      <c r="F4218" t="str">
        <f t="shared" si="155"/>
        <v/>
      </c>
      <c r="G4218" t="str">
        <f t="shared" si="156"/>
        <v/>
      </c>
    </row>
    <row r="4219" spans="2:7">
      <c r="B4219" s="6"/>
      <c r="E4219" s="7"/>
      <c r="F4219" t="str">
        <f t="shared" si="155"/>
        <v/>
      </c>
      <c r="G4219" t="str">
        <f t="shared" si="156"/>
        <v/>
      </c>
    </row>
    <row r="4220" spans="2:7">
      <c r="B4220" s="6"/>
      <c r="E4220" s="7"/>
      <c r="F4220" t="str">
        <f t="shared" si="155"/>
        <v/>
      </c>
      <c r="G4220" t="str">
        <f t="shared" si="156"/>
        <v/>
      </c>
    </row>
    <row r="4221" spans="2:7">
      <c r="B4221" s="6"/>
      <c r="E4221" s="7"/>
      <c r="F4221" t="str">
        <f t="shared" si="155"/>
        <v/>
      </c>
      <c r="G4221" t="str">
        <f t="shared" si="156"/>
        <v/>
      </c>
    </row>
    <row r="4222" spans="2:7">
      <c r="B4222" s="6"/>
      <c r="E4222" s="7"/>
      <c r="F4222" t="str">
        <f t="shared" si="155"/>
        <v/>
      </c>
      <c r="G4222" t="str">
        <f t="shared" si="156"/>
        <v/>
      </c>
    </row>
    <row r="4223" spans="2:7">
      <c r="B4223" s="6"/>
      <c r="E4223" s="7"/>
      <c r="F4223" t="str">
        <f t="shared" si="155"/>
        <v/>
      </c>
      <c r="G4223" t="str">
        <f t="shared" si="156"/>
        <v/>
      </c>
    </row>
    <row r="4224" spans="2:7">
      <c r="B4224" s="6"/>
      <c r="E4224" s="7"/>
      <c r="F4224" t="str">
        <f t="shared" si="155"/>
        <v/>
      </c>
      <c r="G4224" t="str">
        <f t="shared" si="156"/>
        <v/>
      </c>
    </row>
    <row r="4225" spans="2:7">
      <c r="B4225" s="6"/>
      <c r="E4225" s="7"/>
      <c r="F4225" t="str">
        <f t="shared" si="155"/>
        <v/>
      </c>
      <c r="G4225" t="str">
        <f t="shared" si="156"/>
        <v/>
      </c>
    </row>
    <row r="4226" spans="2:7">
      <c r="B4226" s="6"/>
      <c r="E4226" s="7"/>
      <c r="F4226" t="str">
        <f t="shared" si="155"/>
        <v/>
      </c>
      <c r="G4226" t="str">
        <f t="shared" si="156"/>
        <v/>
      </c>
    </row>
    <row r="4227" spans="2:7">
      <c r="B4227" s="6"/>
      <c r="E4227" s="7"/>
      <c r="F4227" t="str">
        <f t="shared" si="155"/>
        <v/>
      </c>
      <c r="G4227" t="str">
        <f t="shared" si="156"/>
        <v/>
      </c>
    </row>
    <row r="4228" spans="2:7">
      <c r="B4228" s="6"/>
      <c r="E4228" s="7"/>
      <c r="F4228" t="str">
        <f t="shared" ref="F4228:F4291" si="157">IF(B4228="","",LOG10(D4228))</f>
        <v/>
      </c>
      <c r="G4228" t="str">
        <f t="shared" ref="G4228:G4291" si="158">IF(E4228="", "",0.434*E4228/D4228)</f>
        <v/>
      </c>
    </row>
    <row r="4229" spans="2:7">
      <c r="B4229" s="6"/>
      <c r="E4229" s="7"/>
      <c r="F4229" t="str">
        <f t="shared" si="157"/>
        <v/>
      </c>
      <c r="G4229" t="str">
        <f t="shared" si="158"/>
        <v/>
      </c>
    </row>
    <row r="4230" spans="2:7">
      <c r="B4230" s="6"/>
      <c r="E4230" s="7"/>
      <c r="F4230" t="str">
        <f t="shared" si="157"/>
        <v/>
      </c>
      <c r="G4230" t="str">
        <f t="shared" si="158"/>
        <v/>
      </c>
    </row>
    <row r="4231" spans="2:7">
      <c r="B4231" s="6"/>
      <c r="E4231" s="7"/>
      <c r="F4231" t="str">
        <f t="shared" si="157"/>
        <v/>
      </c>
      <c r="G4231" t="str">
        <f t="shared" si="158"/>
        <v/>
      </c>
    </row>
    <row r="4232" spans="2:7">
      <c r="B4232" s="6"/>
      <c r="E4232" s="7"/>
      <c r="F4232" t="str">
        <f t="shared" si="157"/>
        <v/>
      </c>
      <c r="G4232" t="str">
        <f t="shared" si="158"/>
        <v/>
      </c>
    </row>
    <row r="4233" spans="2:7">
      <c r="B4233" s="6"/>
      <c r="E4233" s="7"/>
      <c r="F4233" t="str">
        <f t="shared" si="157"/>
        <v/>
      </c>
      <c r="G4233" t="str">
        <f t="shared" si="158"/>
        <v/>
      </c>
    </row>
    <row r="4234" spans="2:7">
      <c r="B4234" s="6"/>
      <c r="E4234" s="7"/>
      <c r="F4234" t="str">
        <f t="shared" si="157"/>
        <v/>
      </c>
      <c r="G4234" t="str">
        <f t="shared" si="158"/>
        <v/>
      </c>
    </row>
    <row r="4235" spans="2:7">
      <c r="B4235" s="6"/>
      <c r="E4235" s="7"/>
      <c r="F4235" t="str">
        <f t="shared" si="157"/>
        <v/>
      </c>
      <c r="G4235" t="str">
        <f t="shared" si="158"/>
        <v/>
      </c>
    </row>
    <row r="4236" spans="2:7">
      <c r="B4236" s="6"/>
      <c r="E4236" s="7"/>
      <c r="F4236" t="str">
        <f t="shared" si="157"/>
        <v/>
      </c>
      <c r="G4236" t="str">
        <f t="shared" si="158"/>
        <v/>
      </c>
    </row>
    <row r="4237" spans="2:7">
      <c r="B4237" s="6"/>
      <c r="E4237" s="7"/>
      <c r="F4237" t="str">
        <f t="shared" si="157"/>
        <v/>
      </c>
      <c r="G4237" t="str">
        <f t="shared" si="158"/>
        <v/>
      </c>
    </row>
    <row r="4238" spans="2:7">
      <c r="B4238" s="6"/>
      <c r="E4238" s="7"/>
      <c r="F4238" t="str">
        <f t="shared" si="157"/>
        <v/>
      </c>
      <c r="G4238" t="str">
        <f t="shared" si="158"/>
        <v/>
      </c>
    </row>
    <row r="4239" spans="2:7">
      <c r="B4239" s="6"/>
      <c r="E4239" s="7"/>
      <c r="F4239" t="str">
        <f t="shared" si="157"/>
        <v/>
      </c>
      <c r="G4239" t="str">
        <f t="shared" si="158"/>
        <v/>
      </c>
    </row>
    <row r="4240" spans="2:7">
      <c r="B4240" s="6"/>
      <c r="E4240" s="7"/>
      <c r="F4240" t="str">
        <f t="shared" si="157"/>
        <v/>
      </c>
      <c r="G4240" t="str">
        <f t="shared" si="158"/>
        <v/>
      </c>
    </row>
    <row r="4241" spans="2:7">
      <c r="B4241" s="6"/>
      <c r="E4241" s="7"/>
      <c r="F4241" t="str">
        <f t="shared" si="157"/>
        <v/>
      </c>
      <c r="G4241" t="str">
        <f t="shared" si="158"/>
        <v/>
      </c>
    </row>
    <row r="4242" spans="2:7">
      <c r="B4242" s="6"/>
      <c r="E4242" s="7"/>
      <c r="F4242" t="str">
        <f t="shared" si="157"/>
        <v/>
      </c>
      <c r="G4242" t="str">
        <f t="shared" si="158"/>
        <v/>
      </c>
    </row>
    <row r="4243" spans="2:7">
      <c r="B4243" s="6"/>
      <c r="E4243" s="7"/>
      <c r="F4243" t="str">
        <f t="shared" si="157"/>
        <v/>
      </c>
      <c r="G4243" t="str">
        <f t="shared" si="158"/>
        <v/>
      </c>
    </row>
    <row r="4244" spans="2:7">
      <c r="B4244" s="6"/>
      <c r="E4244" s="7"/>
      <c r="F4244" t="str">
        <f t="shared" si="157"/>
        <v/>
      </c>
      <c r="G4244" t="str">
        <f t="shared" si="158"/>
        <v/>
      </c>
    </row>
    <row r="4245" spans="2:7">
      <c r="B4245" s="6"/>
      <c r="E4245" s="7"/>
      <c r="F4245" t="str">
        <f t="shared" si="157"/>
        <v/>
      </c>
      <c r="G4245" t="str">
        <f t="shared" si="158"/>
        <v/>
      </c>
    </row>
    <row r="4246" spans="2:7">
      <c r="B4246" s="6"/>
      <c r="E4246" s="7"/>
      <c r="F4246" t="str">
        <f t="shared" si="157"/>
        <v/>
      </c>
      <c r="G4246" t="str">
        <f t="shared" si="158"/>
        <v/>
      </c>
    </row>
    <row r="4247" spans="2:7">
      <c r="B4247" s="6"/>
      <c r="E4247" s="7"/>
      <c r="F4247" t="str">
        <f t="shared" si="157"/>
        <v/>
      </c>
      <c r="G4247" t="str">
        <f t="shared" si="158"/>
        <v/>
      </c>
    </row>
    <row r="4248" spans="2:7">
      <c r="B4248" s="6"/>
      <c r="E4248" s="7"/>
      <c r="F4248" t="str">
        <f t="shared" si="157"/>
        <v/>
      </c>
      <c r="G4248" t="str">
        <f t="shared" si="158"/>
        <v/>
      </c>
    </row>
    <row r="4249" spans="2:7">
      <c r="B4249" s="6"/>
      <c r="E4249" s="7"/>
      <c r="F4249" t="str">
        <f t="shared" si="157"/>
        <v/>
      </c>
      <c r="G4249" t="str">
        <f t="shared" si="158"/>
        <v/>
      </c>
    </row>
    <row r="4250" spans="2:7">
      <c r="B4250" s="6"/>
      <c r="E4250" s="7"/>
      <c r="F4250" t="str">
        <f t="shared" si="157"/>
        <v/>
      </c>
      <c r="G4250" t="str">
        <f t="shared" si="158"/>
        <v/>
      </c>
    </row>
    <row r="4251" spans="2:7">
      <c r="B4251" s="6"/>
      <c r="E4251" s="7"/>
      <c r="F4251" t="str">
        <f t="shared" si="157"/>
        <v/>
      </c>
      <c r="G4251" t="str">
        <f t="shared" si="158"/>
        <v/>
      </c>
    </row>
    <row r="4252" spans="2:7">
      <c r="B4252" s="6"/>
      <c r="E4252" s="7"/>
      <c r="F4252" t="str">
        <f t="shared" si="157"/>
        <v/>
      </c>
      <c r="G4252" t="str">
        <f t="shared" si="158"/>
        <v/>
      </c>
    </row>
    <row r="4253" spans="2:7">
      <c r="B4253" s="6"/>
      <c r="E4253" s="7"/>
      <c r="F4253" t="str">
        <f t="shared" si="157"/>
        <v/>
      </c>
      <c r="G4253" t="str">
        <f t="shared" si="158"/>
        <v/>
      </c>
    </row>
    <row r="4254" spans="2:7">
      <c r="B4254" s="6"/>
      <c r="E4254" s="7"/>
      <c r="F4254" t="str">
        <f t="shared" si="157"/>
        <v/>
      </c>
      <c r="G4254" t="str">
        <f t="shared" si="158"/>
        <v/>
      </c>
    </row>
    <row r="4255" spans="2:7">
      <c r="B4255" s="6"/>
      <c r="E4255" s="7"/>
      <c r="F4255" t="str">
        <f t="shared" si="157"/>
        <v/>
      </c>
      <c r="G4255" t="str">
        <f t="shared" si="158"/>
        <v/>
      </c>
    </row>
    <row r="4256" spans="2:7">
      <c r="B4256" s="6"/>
      <c r="E4256" s="7"/>
      <c r="F4256" t="str">
        <f t="shared" si="157"/>
        <v/>
      </c>
      <c r="G4256" t="str">
        <f t="shared" si="158"/>
        <v/>
      </c>
    </row>
    <row r="4257" spans="2:7">
      <c r="B4257" s="6"/>
      <c r="E4257" s="7"/>
      <c r="F4257" t="str">
        <f t="shared" si="157"/>
        <v/>
      </c>
      <c r="G4257" t="str">
        <f t="shared" si="158"/>
        <v/>
      </c>
    </row>
    <row r="4258" spans="2:7">
      <c r="B4258" s="6"/>
      <c r="E4258" s="7"/>
      <c r="F4258" t="str">
        <f t="shared" si="157"/>
        <v/>
      </c>
      <c r="G4258" t="str">
        <f t="shared" si="158"/>
        <v/>
      </c>
    </row>
    <row r="4259" spans="2:7">
      <c r="B4259" s="6"/>
      <c r="E4259" s="7"/>
      <c r="F4259" t="str">
        <f t="shared" si="157"/>
        <v/>
      </c>
      <c r="G4259" t="str">
        <f t="shared" si="158"/>
        <v/>
      </c>
    </row>
    <row r="4260" spans="2:7">
      <c r="B4260" s="6"/>
      <c r="E4260" s="7"/>
      <c r="F4260" t="str">
        <f t="shared" si="157"/>
        <v/>
      </c>
      <c r="G4260" t="str">
        <f t="shared" si="158"/>
        <v/>
      </c>
    </row>
    <row r="4261" spans="2:7">
      <c r="B4261" s="6"/>
      <c r="E4261" s="7"/>
      <c r="F4261" t="str">
        <f t="shared" si="157"/>
        <v/>
      </c>
      <c r="G4261" t="str">
        <f t="shared" si="158"/>
        <v/>
      </c>
    </row>
    <row r="4262" spans="2:7">
      <c r="B4262" s="6"/>
      <c r="E4262" s="7"/>
      <c r="F4262" t="str">
        <f t="shared" si="157"/>
        <v/>
      </c>
      <c r="G4262" t="str">
        <f t="shared" si="158"/>
        <v/>
      </c>
    </row>
    <row r="4263" spans="2:7">
      <c r="B4263" s="6"/>
      <c r="E4263" s="7"/>
      <c r="F4263" t="str">
        <f t="shared" si="157"/>
        <v/>
      </c>
      <c r="G4263" t="str">
        <f t="shared" si="158"/>
        <v/>
      </c>
    </row>
    <row r="4264" spans="2:7">
      <c r="B4264" s="6"/>
      <c r="E4264" s="7"/>
      <c r="F4264" t="str">
        <f t="shared" si="157"/>
        <v/>
      </c>
      <c r="G4264" t="str">
        <f t="shared" si="158"/>
        <v/>
      </c>
    </row>
    <row r="4265" spans="2:7">
      <c r="B4265" s="6"/>
      <c r="E4265" s="7"/>
      <c r="F4265" t="str">
        <f t="shared" si="157"/>
        <v/>
      </c>
      <c r="G4265" t="str">
        <f t="shared" si="158"/>
        <v/>
      </c>
    </row>
    <row r="4266" spans="2:7">
      <c r="B4266" s="6"/>
      <c r="E4266" s="7"/>
      <c r="F4266" t="str">
        <f t="shared" si="157"/>
        <v/>
      </c>
      <c r="G4266" t="str">
        <f t="shared" si="158"/>
        <v/>
      </c>
    </row>
    <row r="4267" spans="2:7">
      <c r="B4267" s="6"/>
      <c r="E4267" s="7"/>
      <c r="F4267" t="str">
        <f t="shared" si="157"/>
        <v/>
      </c>
      <c r="G4267" t="str">
        <f t="shared" si="158"/>
        <v/>
      </c>
    </row>
    <row r="4268" spans="2:7">
      <c r="B4268" s="6"/>
      <c r="E4268" s="7"/>
      <c r="F4268" t="str">
        <f t="shared" si="157"/>
        <v/>
      </c>
      <c r="G4268" t="str">
        <f t="shared" si="158"/>
        <v/>
      </c>
    </row>
    <row r="4269" spans="2:7">
      <c r="B4269" s="6"/>
      <c r="E4269" s="7"/>
      <c r="F4269" t="str">
        <f t="shared" si="157"/>
        <v/>
      </c>
      <c r="G4269" t="str">
        <f t="shared" si="158"/>
        <v/>
      </c>
    </row>
    <row r="4270" spans="2:7">
      <c r="B4270" s="6"/>
      <c r="E4270" s="7"/>
      <c r="F4270" t="str">
        <f t="shared" si="157"/>
        <v/>
      </c>
      <c r="G4270" t="str">
        <f t="shared" si="158"/>
        <v/>
      </c>
    </row>
    <row r="4271" spans="2:7">
      <c r="B4271" s="6"/>
      <c r="E4271" s="7"/>
      <c r="F4271" t="str">
        <f t="shared" si="157"/>
        <v/>
      </c>
      <c r="G4271" t="str">
        <f t="shared" si="158"/>
        <v/>
      </c>
    </row>
    <row r="4272" spans="2:7">
      <c r="B4272" s="6"/>
      <c r="E4272" s="7"/>
      <c r="F4272" t="str">
        <f t="shared" si="157"/>
        <v/>
      </c>
      <c r="G4272" t="str">
        <f t="shared" si="158"/>
        <v/>
      </c>
    </row>
    <row r="4273" spans="2:7">
      <c r="B4273" s="6"/>
      <c r="E4273" s="7"/>
      <c r="F4273" t="str">
        <f t="shared" si="157"/>
        <v/>
      </c>
      <c r="G4273" t="str">
        <f t="shared" si="158"/>
        <v/>
      </c>
    </row>
    <row r="4274" spans="2:7">
      <c r="B4274" s="6"/>
      <c r="E4274" s="7"/>
      <c r="F4274" t="str">
        <f t="shared" si="157"/>
        <v/>
      </c>
      <c r="G4274" t="str">
        <f t="shared" si="158"/>
        <v/>
      </c>
    </row>
    <row r="4275" spans="2:7">
      <c r="B4275" s="6"/>
      <c r="E4275" s="7"/>
      <c r="F4275" t="str">
        <f t="shared" si="157"/>
        <v/>
      </c>
      <c r="G4275" t="str">
        <f t="shared" si="158"/>
        <v/>
      </c>
    </row>
    <row r="4276" spans="2:7">
      <c r="B4276" s="6"/>
      <c r="E4276" s="7"/>
      <c r="F4276" t="str">
        <f t="shared" si="157"/>
        <v/>
      </c>
      <c r="G4276" t="str">
        <f t="shared" si="158"/>
        <v/>
      </c>
    </row>
    <row r="4277" spans="2:7">
      <c r="B4277" s="6"/>
      <c r="E4277" s="7"/>
      <c r="F4277" t="str">
        <f t="shared" si="157"/>
        <v/>
      </c>
      <c r="G4277" t="str">
        <f t="shared" si="158"/>
        <v/>
      </c>
    </row>
    <row r="4278" spans="2:7">
      <c r="B4278" s="6"/>
      <c r="E4278" s="7"/>
      <c r="F4278" t="str">
        <f t="shared" si="157"/>
        <v/>
      </c>
      <c r="G4278" t="str">
        <f t="shared" si="158"/>
        <v/>
      </c>
    </row>
    <row r="4279" spans="2:7">
      <c r="B4279" s="6"/>
      <c r="E4279" s="7"/>
      <c r="F4279" t="str">
        <f t="shared" si="157"/>
        <v/>
      </c>
      <c r="G4279" t="str">
        <f t="shared" si="158"/>
        <v/>
      </c>
    </row>
    <row r="4280" spans="2:7">
      <c r="B4280" s="6"/>
      <c r="E4280" s="7"/>
      <c r="F4280" t="str">
        <f t="shared" si="157"/>
        <v/>
      </c>
      <c r="G4280" t="str">
        <f t="shared" si="158"/>
        <v/>
      </c>
    </row>
    <row r="4281" spans="2:7">
      <c r="B4281" s="6"/>
      <c r="E4281" s="7"/>
      <c r="F4281" t="str">
        <f t="shared" si="157"/>
        <v/>
      </c>
      <c r="G4281" t="str">
        <f t="shared" si="158"/>
        <v/>
      </c>
    </row>
    <row r="4282" spans="2:7">
      <c r="B4282" s="6"/>
      <c r="E4282" s="7"/>
      <c r="F4282" t="str">
        <f t="shared" si="157"/>
        <v/>
      </c>
      <c r="G4282" t="str">
        <f t="shared" si="158"/>
        <v/>
      </c>
    </row>
    <row r="4283" spans="2:7">
      <c r="B4283" s="6"/>
      <c r="E4283" s="7"/>
      <c r="F4283" t="str">
        <f t="shared" si="157"/>
        <v/>
      </c>
      <c r="G4283" t="str">
        <f t="shared" si="158"/>
        <v/>
      </c>
    </row>
    <row r="4284" spans="2:7">
      <c r="B4284" s="6"/>
      <c r="E4284" s="7"/>
      <c r="F4284" t="str">
        <f t="shared" si="157"/>
        <v/>
      </c>
      <c r="G4284" t="str">
        <f t="shared" si="158"/>
        <v/>
      </c>
    </row>
    <row r="4285" spans="2:7">
      <c r="B4285" s="6"/>
      <c r="E4285" s="7"/>
      <c r="F4285" t="str">
        <f t="shared" si="157"/>
        <v/>
      </c>
      <c r="G4285" t="str">
        <f t="shared" si="158"/>
        <v/>
      </c>
    </row>
    <row r="4286" spans="2:7">
      <c r="B4286" s="6"/>
      <c r="E4286" s="7"/>
      <c r="F4286" t="str">
        <f t="shared" si="157"/>
        <v/>
      </c>
      <c r="G4286" t="str">
        <f t="shared" si="158"/>
        <v/>
      </c>
    </row>
    <row r="4287" spans="2:7">
      <c r="B4287" s="6"/>
      <c r="E4287" s="7"/>
      <c r="F4287" t="str">
        <f t="shared" si="157"/>
        <v/>
      </c>
      <c r="G4287" t="str">
        <f t="shared" si="158"/>
        <v/>
      </c>
    </row>
    <row r="4288" spans="2:7">
      <c r="B4288" s="6"/>
      <c r="E4288" s="7"/>
      <c r="F4288" t="str">
        <f t="shared" si="157"/>
        <v/>
      </c>
      <c r="G4288" t="str">
        <f t="shared" si="158"/>
        <v/>
      </c>
    </row>
    <row r="4289" spans="2:7">
      <c r="B4289" s="6"/>
      <c r="E4289" s="7"/>
      <c r="F4289" t="str">
        <f t="shared" si="157"/>
        <v/>
      </c>
      <c r="G4289" t="str">
        <f t="shared" si="158"/>
        <v/>
      </c>
    </row>
    <row r="4290" spans="2:7">
      <c r="B4290" s="6"/>
      <c r="E4290" s="7"/>
      <c r="F4290" t="str">
        <f t="shared" si="157"/>
        <v/>
      </c>
      <c r="G4290" t="str">
        <f t="shared" si="158"/>
        <v/>
      </c>
    </row>
    <row r="4291" spans="2:7">
      <c r="B4291" s="6"/>
      <c r="E4291" s="7"/>
      <c r="F4291" t="str">
        <f t="shared" si="157"/>
        <v/>
      </c>
      <c r="G4291" t="str">
        <f t="shared" si="158"/>
        <v/>
      </c>
    </row>
    <row r="4292" spans="2:7">
      <c r="B4292" s="6"/>
      <c r="E4292" s="7"/>
      <c r="F4292" t="str">
        <f t="shared" ref="F4292:F4355" si="159">IF(B4292="","",LOG10(D4292))</f>
        <v/>
      </c>
      <c r="G4292" t="str">
        <f t="shared" ref="G4292:G4355" si="160">IF(E4292="", "",0.434*E4292/D4292)</f>
        <v/>
      </c>
    </row>
    <row r="4293" spans="2:7">
      <c r="B4293" s="6"/>
      <c r="E4293" s="7"/>
      <c r="F4293" t="str">
        <f t="shared" si="159"/>
        <v/>
      </c>
      <c r="G4293" t="str">
        <f t="shared" si="160"/>
        <v/>
      </c>
    </row>
    <row r="4294" spans="2:7">
      <c r="B4294" s="6"/>
      <c r="E4294" s="7"/>
      <c r="F4294" t="str">
        <f t="shared" si="159"/>
        <v/>
      </c>
      <c r="G4294" t="str">
        <f t="shared" si="160"/>
        <v/>
      </c>
    </row>
    <row r="4295" spans="2:7">
      <c r="B4295" s="6"/>
      <c r="E4295" s="7"/>
      <c r="F4295" t="str">
        <f t="shared" si="159"/>
        <v/>
      </c>
      <c r="G4295" t="str">
        <f t="shared" si="160"/>
        <v/>
      </c>
    </row>
    <row r="4296" spans="2:7">
      <c r="B4296" s="6"/>
      <c r="E4296" s="7"/>
      <c r="F4296" t="str">
        <f t="shared" si="159"/>
        <v/>
      </c>
      <c r="G4296" t="str">
        <f t="shared" si="160"/>
        <v/>
      </c>
    </row>
    <row r="4297" spans="2:7">
      <c r="B4297" s="6"/>
      <c r="E4297" s="7"/>
      <c r="F4297" t="str">
        <f t="shared" si="159"/>
        <v/>
      </c>
      <c r="G4297" t="str">
        <f t="shared" si="160"/>
        <v/>
      </c>
    </row>
    <row r="4298" spans="2:7">
      <c r="B4298" s="6"/>
      <c r="E4298" s="7"/>
      <c r="F4298" t="str">
        <f t="shared" si="159"/>
        <v/>
      </c>
      <c r="G4298" t="str">
        <f t="shared" si="160"/>
        <v/>
      </c>
    </row>
    <row r="4299" spans="2:7">
      <c r="B4299" s="6"/>
      <c r="E4299" s="7"/>
      <c r="F4299" t="str">
        <f t="shared" si="159"/>
        <v/>
      </c>
      <c r="G4299" t="str">
        <f t="shared" si="160"/>
        <v/>
      </c>
    </row>
    <row r="4300" spans="2:7">
      <c r="B4300" s="6"/>
      <c r="E4300" s="7"/>
      <c r="F4300" t="str">
        <f t="shared" si="159"/>
        <v/>
      </c>
      <c r="G4300" t="str">
        <f t="shared" si="160"/>
        <v/>
      </c>
    </row>
    <row r="4301" spans="2:7">
      <c r="B4301" s="6"/>
      <c r="E4301" s="7"/>
      <c r="F4301" t="str">
        <f t="shared" si="159"/>
        <v/>
      </c>
      <c r="G4301" t="str">
        <f t="shared" si="160"/>
        <v/>
      </c>
    </row>
    <row r="4302" spans="2:7">
      <c r="B4302" s="6"/>
      <c r="E4302" s="7"/>
      <c r="F4302" t="str">
        <f t="shared" si="159"/>
        <v/>
      </c>
      <c r="G4302" t="str">
        <f t="shared" si="160"/>
        <v/>
      </c>
    </row>
    <row r="4303" spans="2:7">
      <c r="B4303" s="6"/>
      <c r="E4303" s="7"/>
      <c r="F4303" t="str">
        <f t="shared" si="159"/>
        <v/>
      </c>
      <c r="G4303" t="str">
        <f t="shared" si="160"/>
        <v/>
      </c>
    </row>
    <row r="4304" spans="2:7">
      <c r="B4304" s="6"/>
      <c r="E4304" s="7"/>
      <c r="F4304" t="str">
        <f t="shared" si="159"/>
        <v/>
      </c>
      <c r="G4304" t="str">
        <f t="shared" si="160"/>
        <v/>
      </c>
    </row>
    <row r="4305" spans="2:7">
      <c r="B4305" s="6"/>
      <c r="E4305" s="7"/>
      <c r="F4305" t="str">
        <f t="shared" si="159"/>
        <v/>
      </c>
      <c r="G4305" t="str">
        <f t="shared" si="160"/>
        <v/>
      </c>
    </row>
    <row r="4306" spans="2:7">
      <c r="B4306" s="6"/>
      <c r="E4306" s="7"/>
      <c r="F4306" t="str">
        <f t="shared" si="159"/>
        <v/>
      </c>
      <c r="G4306" t="str">
        <f t="shared" si="160"/>
        <v/>
      </c>
    </row>
    <row r="4307" spans="2:7">
      <c r="B4307" s="6"/>
      <c r="E4307" s="7"/>
      <c r="F4307" t="str">
        <f t="shared" si="159"/>
        <v/>
      </c>
      <c r="G4307" t="str">
        <f t="shared" si="160"/>
        <v/>
      </c>
    </row>
    <row r="4308" spans="2:7">
      <c r="B4308" s="6"/>
      <c r="E4308" s="7"/>
      <c r="F4308" t="str">
        <f t="shared" si="159"/>
        <v/>
      </c>
      <c r="G4308" t="str">
        <f t="shared" si="160"/>
        <v/>
      </c>
    </row>
    <row r="4309" spans="2:7">
      <c r="B4309" s="6"/>
      <c r="E4309" s="7"/>
      <c r="F4309" t="str">
        <f t="shared" si="159"/>
        <v/>
      </c>
      <c r="G4309" t="str">
        <f t="shared" si="160"/>
        <v/>
      </c>
    </row>
    <row r="4310" spans="2:7">
      <c r="B4310" s="6"/>
      <c r="E4310" s="7"/>
      <c r="F4310" t="str">
        <f t="shared" si="159"/>
        <v/>
      </c>
      <c r="G4310" t="str">
        <f t="shared" si="160"/>
        <v/>
      </c>
    </row>
    <row r="4311" spans="2:7">
      <c r="B4311" s="6"/>
      <c r="E4311" s="7"/>
      <c r="F4311" t="str">
        <f t="shared" si="159"/>
        <v/>
      </c>
      <c r="G4311" t="str">
        <f t="shared" si="160"/>
        <v/>
      </c>
    </row>
    <row r="4312" spans="2:7">
      <c r="B4312" s="6"/>
      <c r="E4312" s="7"/>
      <c r="F4312" t="str">
        <f t="shared" si="159"/>
        <v/>
      </c>
      <c r="G4312" t="str">
        <f t="shared" si="160"/>
        <v/>
      </c>
    </row>
    <row r="4313" spans="2:7">
      <c r="B4313" s="6"/>
      <c r="E4313" s="7"/>
      <c r="F4313" t="str">
        <f t="shared" si="159"/>
        <v/>
      </c>
      <c r="G4313" t="str">
        <f t="shared" si="160"/>
        <v/>
      </c>
    </row>
    <row r="4314" spans="2:7">
      <c r="B4314" s="6"/>
      <c r="E4314" s="7"/>
      <c r="F4314" t="str">
        <f t="shared" si="159"/>
        <v/>
      </c>
      <c r="G4314" t="str">
        <f t="shared" si="160"/>
        <v/>
      </c>
    </row>
    <row r="4315" spans="2:7">
      <c r="B4315" s="6"/>
      <c r="E4315" s="7"/>
      <c r="F4315" t="str">
        <f t="shared" si="159"/>
        <v/>
      </c>
      <c r="G4315" t="str">
        <f t="shared" si="160"/>
        <v/>
      </c>
    </row>
    <row r="4316" spans="2:7">
      <c r="B4316" s="6"/>
      <c r="E4316" s="7"/>
      <c r="F4316" t="str">
        <f t="shared" si="159"/>
        <v/>
      </c>
      <c r="G4316" t="str">
        <f t="shared" si="160"/>
        <v/>
      </c>
    </row>
    <row r="4317" spans="2:7">
      <c r="B4317" s="6"/>
      <c r="E4317" s="7"/>
      <c r="F4317" t="str">
        <f t="shared" si="159"/>
        <v/>
      </c>
      <c r="G4317" t="str">
        <f t="shared" si="160"/>
        <v/>
      </c>
    </row>
    <row r="4318" spans="2:7">
      <c r="B4318" s="6"/>
      <c r="E4318" s="7"/>
      <c r="F4318" t="str">
        <f t="shared" si="159"/>
        <v/>
      </c>
      <c r="G4318" t="str">
        <f t="shared" si="160"/>
        <v/>
      </c>
    </row>
    <row r="4319" spans="2:7">
      <c r="B4319" s="6"/>
      <c r="E4319" s="7"/>
      <c r="F4319" t="str">
        <f t="shared" si="159"/>
        <v/>
      </c>
      <c r="G4319" t="str">
        <f t="shared" si="160"/>
        <v/>
      </c>
    </row>
    <row r="4320" spans="2:7">
      <c r="B4320" s="6"/>
      <c r="E4320" s="7"/>
      <c r="F4320" t="str">
        <f t="shared" si="159"/>
        <v/>
      </c>
      <c r="G4320" t="str">
        <f t="shared" si="160"/>
        <v/>
      </c>
    </row>
    <row r="4321" spans="2:7">
      <c r="B4321" s="6"/>
      <c r="E4321" s="7"/>
      <c r="F4321" t="str">
        <f t="shared" si="159"/>
        <v/>
      </c>
      <c r="G4321" t="str">
        <f t="shared" si="160"/>
        <v/>
      </c>
    </row>
    <row r="4322" spans="2:7">
      <c r="B4322" s="6"/>
      <c r="E4322" s="7"/>
      <c r="F4322" t="str">
        <f t="shared" si="159"/>
        <v/>
      </c>
      <c r="G4322" t="str">
        <f t="shared" si="160"/>
        <v/>
      </c>
    </row>
    <row r="4323" spans="2:7">
      <c r="B4323" s="6"/>
      <c r="E4323" s="7"/>
      <c r="F4323" t="str">
        <f t="shared" si="159"/>
        <v/>
      </c>
      <c r="G4323" t="str">
        <f t="shared" si="160"/>
        <v/>
      </c>
    </row>
    <row r="4324" spans="2:7">
      <c r="B4324" s="6"/>
      <c r="E4324" s="7"/>
      <c r="F4324" t="str">
        <f t="shared" si="159"/>
        <v/>
      </c>
      <c r="G4324" t="str">
        <f t="shared" si="160"/>
        <v/>
      </c>
    </row>
    <row r="4325" spans="2:7">
      <c r="B4325" s="6"/>
      <c r="E4325" s="7"/>
      <c r="F4325" t="str">
        <f t="shared" si="159"/>
        <v/>
      </c>
      <c r="G4325" t="str">
        <f t="shared" si="160"/>
        <v/>
      </c>
    </row>
    <row r="4326" spans="2:7">
      <c r="B4326" s="6"/>
      <c r="E4326" s="7"/>
      <c r="F4326" t="str">
        <f t="shared" si="159"/>
        <v/>
      </c>
      <c r="G4326" t="str">
        <f t="shared" si="160"/>
        <v/>
      </c>
    </row>
    <row r="4327" spans="2:7">
      <c r="B4327" s="6"/>
      <c r="E4327" s="7"/>
      <c r="F4327" t="str">
        <f t="shared" si="159"/>
        <v/>
      </c>
      <c r="G4327" t="str">
        <f t="shared" si="160"/>
        <v/>
      </c>
    </row>
    <row r="4328" spans="2:7">
      <c r="B4328" s="6"/>
      <c r="E4328" s="7"/>
      <c r="F4328" t="str">
        <f t="shared" si="159"/>
        <v/>
      </c>
      <c r="G4328" t="str">
        <f t="shared" si="160"/>
        <v/>
      </c>
    </row>
    <row r="4329" spans="2:7">
      <c r="B4329" s="6"/>
      <c r="E4329" s="7"/>
      <c r="F4329" t="str">
        <f t="shared" si="159"/>
        <v/>
      </c>
      <c r="G4329" t="str">
        <f t="shared" si="160"/>
        <v/>
      </c>
    </row>
    <row r="4330" spans="2:7">
      <c r="B4330" s="6"/>
      <c r="E4330" s="7"/>
      <c r="F4330" t="str">
        <f t="shared" si="159"/>
        <v/>
      </c>
      <c r="G4330" t="str">
        <f t="shared" si="160"/>
        <v/>
      </c>
    </row>
    <row r="4331" spans="2:7">
      <c r="B4331" s="6"/>
      <c r="E4331" s="7"/>
      <c r="F4331" t="str">
        <f t="shared" si="159"/>
        <v/>
      </c>
      <c r="G4331" t="str">
        <f t="shared" si="160"/>
        <v/>
      </c>
    </row>
    <row r="4332" spans="2:7">
      <c r="B4332" s="6"/>
      <c r="E4332" s="7"/>
      <c r="F4332" t="str">
        <f t="shared" si="159"/>
        <v/>
      </c>
      <c r="G4332" t="str">
        <f t="shared" si="160"/>
        <v/>
      </c>
    </row>
    <row r="4333" spans="2:7">
      <c r="B4333" s="6"/>
      <c r="E4333" s="7"/>
      <c r="F4333" t="str">
        <f t="shared" si="159"/>
        <v/>
      </c>
      <c r="G4333" t="str">
        <f t="shared" si="160"/>
        <v/>
      </c>
    </row>
    <row r="4334" spans="2:7">
      <c r="B4334" s="6"/>
      <c r="E4334" s="7"/>
      <c r="F4334" t="str">
        <f t="shared" si="159"/>
        <v/>
      </c>
      <c r="G4334" t="str">
        <f t="shared" si="160"/>
        <v/>
      </c>
    </row>
    <row r="4335" spans="2:7">
      <c r="B4335" s="6"/>
      <c r="E4335" s="7"/>
      <c r="F4335" t="str">
        <f t="shared" si="159"/>
        <v/>
      </c>
      <c r="G4335" t="str">
        <f t="shared" si="160"/>
        <v/>
      </c>
    </row>
    <row r="4336" spans="2:7">
      <c r="B4336" s="6"/>
      <c r="E4336" s="7"/>
      <c r="F4336" t="str">
        <f t="shared" si="159"/>
        <v/>
      </c>
      <c r="G4336" t="str">
        <f t="shared" si="160"/>
        <v/>
      </c>
    </row>
    <row r="4337" spans="2:7">
      <c r="B4337" s="6"/>
      <c r="E4337" s="7"/>
      <c r="F4337" t="str">
        <f t="shared" si="159"/>
        <v/>
      </c>
      <c r="G4337" t="str">
        <f t="shared" si="160"/>
        <v/>
      </c>
    </row>
    <row r="4338" spans="2:7">
      <c r="B4338" s="6"/>
      <c r="E4338" s="7"/>
      <c r="F4338" t="str">
        <f t="shared" si="159"/>
        <v/>
      </c>
      <c r="G4338" t="str">
        <f t="shared" si="160"/>
        <v/>
      </c>
    </row>
    <row r="4339" spans="2:7">
      <c r="B4339" s="6"/>
      <c r="E4339" s="7"/>
      <c r="F4339" t="str">
        <f t="shared" si="159"/>
        <v/>
      </c>
      <c r="G4339" t="str">
        <f t="shared" si="160"/>
        <v/>
      </c>
    </row>
    <row r="4340" spans="2:7">
      <c r="B4340" s="6"/>
      <c r="E4340" s="7"/>
      <c r="F4340" t="str">
        <f t="shared" si="159"/>
        <v/>
      </c>
      <c r="G4340" t="str">
        <f t="shared" si="160"/>
        <v/>
      </c>
    </row>
    <row r="4341" spans="2:7">
      <c r="B4341" s="6"/>
      <c r="E4341" s="7"/>
      <c r="F4341" t="str">
        <f t="shared" si="159"/>
        <v/>
      </c>
      <c r="G4341" t="str">
        <f t="shared" si="160"/>
        <v/>
      </c>
    </row>
    <row r="4342" spans="2:7">
      <c r="B4342" s="6"/>
      <c r="E4342" s="7"/>
      <c r="F4342" t="str">
        <f t="shared" si="159"/>
        <v/>
      </c>
      <c r="G4342" t="str">
        <f t="shared" si="160"/>
        <v/>
      </c>
    </row>
    <row r="4343" spans="2:7">
      <c r="B4343" s="6"/>
      <c r="E4343" s="7"/>
      <c r="F4343" t="str">
        <f t="shared" si="159"/>
        <v/>
      </c>
      <c r="G4343" t="str">
        <f t="shared" si="160"/>
        <v/>
      </c>
    </row>
    <row r="4344" spans="2:7">
      <c r="B4344" s="6"/>
      <c r="E4344" s="7"/>
      <c r="F4344" t="str">
        <f t="shared" si="159"/>
        <v/>
      </c>
      <c r="G4344" t="str">
        <f t="shared" si="160"/>
        <v/>
      </c>
    </row>
    <row r="4345" spans="2:7">
      <c r="B4345" s="6"/>
      <c r="E4345" s="7"/>
      <c r="F4345" t="str">
        <f t="shared" si="159"/>
        <v/>
      </c>
      <c r="G4345" t="str">
        <f t="shared" si="160"/>
        <v/>
      </c>
    </row>
    <row r="4346" spans="2:7">
      <c r="B4346" s="6"/>
      <c r="E4346" s="7"/>
      <c r="F4346" t="str">
        <f t="shared" si="159"/>
        <v/>
      </c>
      <c r="G4346" t="str">
        <f t="shared" si="160"/>
        <v/>
      </c>
    </row>
    <row r="4347" spans="2:7">
      <c r="B4347" s="6"/>
      <c r="E4347" s="7"/>
      <c r="F4347" t="str">
        <f t="shared" si="159"/>
        <v/>
      </c>
      <c r="G4347" t="str">
        <f t="shared" si="160"/>
        <v/>
      </c>
    </row>
    <row r="4348" spans="2:7">
      <c r="B4348" s="6"/>
      <c r="E4348" s="7"/>
      <c r="F4348" t="str">
        <f t="shared" si="159"/>
        <v/>
      </c>
      <c r="G4348" t="str">
        <f t="shared" si="160"/>
        <v/>
      </c>
    </row>
    <row r="4349" spans="2:7">
      <c r="B4349" s="6"/>
      <c r="E4349" s="7"/>
      <c r="F4349" t="str">
        <f t="shared" si="159"/>
        <v/>
      </c>
      <c r="G4349" t="str">
        <f t="shared" si="160"/>
        <v/>
      </c>
    </row>
    <row r="4350" spans="2:7">
      <c r="B4350" s="6"/>
      <c r="E4350" s="7"/>
      <c r="F4350" t="str">
        <f t="shared" si="159"/>
        <v/>
      </c>
      <c r="G4350" t="str">
        <f t="shared" si="160"/>
        <v/>
      </c>
    </row>
    <row r="4351" spans="2:7">
      <c r="B4351" s="6"/>
      <c r="E4351" s="7"/>
      <c r="F4351" t="str">
        <f t="shared" si="159"/>
        <v/>
      </c>
      <c r="G4351" t="str">
        <f t="shared" si="160"/>
        <v/>
      </c>
    </row>
    <row r="4352" spans="2:7">
      <c r="B4352" s="6"/>
      <c r="E4352" s="7"/>
      <c r="F4352" t="str">
        <f t="shared" si="159"/>
        <v/>
      </c>
      <c r="G4352" t="str">
        <f t="shared" si="160"/>
        <v/>
      </c>
    </row>
    <row r="4353" spans="2:7">
      <c r="B4353" s="6"/>
      <c r="E4353" s="7"/>
      <c r="F4353" t="str">
        <f t="shared" si="159"/>
        <v/>
      </c>
      <c r="G4353" t="str">
        <f t="shared" si="160"/>
        <v/>
      </c>
    </row>
    <row r="4354" spans="2:7">
      <c r="B4354" s="6"/>
      <c r="E4354" s="7"/>
      <c r="F4354" t="str">
        <f t="shared" si="159"/>
        <v/>
      </c>
      <c r="G4354" t="str">
        <f t="shared" si="160"/>
        <v/>
      </c>
    </row>
    <row r="4355" spans="2:7">
      <c r="B4355" s="6"/>
      <c r="E4355" s="7"/>
      <c r="F4355" t="str">
        <f t="shared" si="159"/>
        <v/>
      </c>
      <c r="G4355" t="str">
        <f t="shared" si="160"/>
        <v/>
      </c>
    </row>
    <row r="4356" spans="2:7">
      <c r="B4356" s="6"/>
      <c r="E4356" s="7"/>
      <c r="F4356" t="str">
        <f t="shared" ref="F4356:F4419" si="161">IF(B4356="","",LOG10(D4356))</f>
        <v/>
      </c>
      <c r="G4356" t="str">
        <f t="shared" ref="G4356:G4419" si="162">IF(E4356="", "",0.434*E4356/D4356)</f>
        <v/>
      </c>
    </row>
    <row r="4357" spans="2:7">
      <c r="B4357" s="6"/>
      <c r="E4357" s="7"/>
      <c r="F4357" t="str">
        <f t="shared" si="161"/>
        <v/>
      </c>
      <c r="G4357" t="str">
        <f t="shared" si="162"/>
        <v/>
      </c>
    </row>
    <row r="4358" spans="2:7">
      <c r="B4358" s="6"/>
      <c r="E4358" s="7"/>
      <c r="F4358" t="str">
        <f t="shared" si="161"/>
        <v/>
      </c>
      <c r="G4358" t="str">
        <f t="shared" si="162"/>
        <v/>
      </c>
    </row>
    <row r="4359" spans="2:7">
      <c r="B4359" s="6"/>
      <c r="E4359" s="7"/>
      <c r="F4359" t="str">
        <f t="shared" si="161"/>
        <v/>
      </c>
      <c r="G4359" t="str">
        <f t="shared" si="162"/>
        <v/>
      </c>
    </row>
    <row r="4360" spans="2:7">
      <c r="B4360" s="6"/>
      <c r="E4360" s="7"/>
      <c r="F4360" t="str">
        <f t="shared" si="161"/>
        <v/>
      </c>
      <c r="G4360" t="str">
        <f t="shared" si="162"/>
        <v/>
      </c>
    </row>
    <row r="4361" spans="2:7">
      <c r="B4361" s="6"/>
      <c r="E4361" s="7"/>
      <c r="F4361" t="str">
        <f t="shared" si="161"/>
        <v/>
      </c>
      <c r="G4361" t="str">
        <f t="shared" si="162"/>
        <v/>
      </c>
    </row>
    <row r="4362" spans="2:7">
      <c r="B4362" s="6"/>
      <c r="E4362" s="7"/>
      <c r="F4362" t="str">
        <f t="shared" si="161"/>
        <v/>
      </c>
      <c r="G4362" t="str">
        <f t="shared" si="162"/>
        <v/>
      </c>
    </row>
    <row r="4363" spans="2:7">
      <c r="B4363" s="6"/>
      <c r="E4363" s="7"/>
      <c r="F4363" t="str">
        <f t="shared" si="161"/>
        <v/>
      </c>
      <c r="G4363" t="str">
        <f t="shared" si="162"/>
        <v/>
      </c>
    </row>
    <row r="4364" spans="2:7">
      <c r="B4364" s="6"/>
      <c r="E4364" s="7"/>
      <c r="F4364" t="str">
        <f t="shared" si="161"/>
        <v/>
      </c>
      <c r="G4364" t="str">
        <f t="shared" si="162"/>
        <v/>
      </c>
    </row>
    <row r="4365" spans="2:7">
      <c r="B4365" s="6"/>
      <c r="E4365" s="7"/>
      <c r="F4365" t="str">
        <f t="shared" si="161"/>
        <v/>
      </c>
      <c r="G4365" t="str">
        <f t="shared" si="162"/>
        <v/>
      </c>
    </row>
    <row r="4366" spans="2:7">
      <c r="B4366" s="6"/>
      <c r="E4366" s="7"/>
      <c r="F4366" t="str">
        <f t="shared" si="161"/>
        <v/>
      </c>
      <c r="G4366" t="str">
        <f t="shared" si="162"/>
        <v/>
      </c>
    </row>
    <row r="4367" spans="2:7">
      <c r="B4367" s="6"/>
      <c r="E4367" s="7"/>
      <c r="F4367" t="str">
        <f t="shared" si="161"/>
        <v/>
      </c>
      <c r="G4367" t="str">
        <f t="shared" si="162"/>
        <v/>
      </c>
    </row>
    <row r="4368" spans="2:7">
      <c r="B4368" s="6"/>
      <c r="E4368" s="7"/>
      <c r="F4368" t="str">
        <f t="shared" si="161"/>
        <v/>
      </c>
      <c r="G4368" t="str">
        <f t="shared" si="162"/>
        <v/>
      </c>
    </row>
    <row r="4369" spans="2:7">
      <c r="B4369" s="6"/>
      <c r="E4369" s="7"/>
      <c r="F4369" t="str">
        <f t="shared" si="161"/>
        <v/>
      </c>
      <c r="G4369" t="str">
        <f t="shared" si="162"/>
        <v/>
      </c>
    </row>
    <row r="4370" spans="2:7">
      <c r="B4370" s="6"/>
      <c r="E4370" s="7"/>
      <c r="F4370" t="str">
        <f t="shared" si="161"/>
        <v/>
      </c>
      <c r="G4370" t="str">
        <f t="shared" si="162"/>
        <v/>
      </c>
    </row>
    <row r="4371" spans="2:7">
      <c r="B4371" s="6"/>
      <c r="E4371" s="7"/>
      <c r="F4371" t="str">
        <f t="shared" si="161"/>
        <v/>
      </c>
      <c r="G4371" t="str">
        <f t="shared" si="162"/>
        <v/>
      </c>
    </row>
    <row r="4372" spans="2:7">
      <c r="B4372" s="6"/>
      <c r="E4372" s="7"/>
      <c r="F4372" t="str">
        <f t="shared" si="161"/>
        <v/>
      </c>
      <c r="G4372" t="str">
        <f t="shared" si="162"/>
        <v/>
      </c>
    </row>
    <row r="4373" spans="2:7">
      <c r="B4373" s="6"/>
      <c r="E4373" s="7"/>
      <c r="F4373" t="str">
        <f t="shared" si="161"/>
        <v/>
      </c>
      <c r="G4373" t="str">
        <f t="shared" si="162"/>
        <v/>
      </c>
    </row>
    <row r="4374" spans="2:7">
      <c r="B4374" s="6"/>
      <c r="E4374" s="7"/>
      <c r="F4374" t="str">
        <f t="shared" si="161"/>
        <v/>
      </c>
      <c r="G4374" t="str">
        <f t="shared" si="162"/>
        <v/>
      </c>
    </row>
    <row r="4375" spans="2:7">
      <c r="B4375" s="6"/>
      <c r="E4375" s="7"/>
      <c r="F4375" t="str">
        <f t="shared" si="161"/>
        <v/>
      </c>
      <c r="G4375" t="str">
        <f t="shared" si="162"/>
        <v/>
      </c>
    </row>
    <row r="4376" spans="2:7">
      <c r="B4376" s="6"/>
      <c r="E4376" s="7"/>
      <c r="F4376" t="str">
        <f t="shared" si="161"/>
        <v/>
      </c>
      <c r="G4376" t="str">
        <f t="shared" si="162"/>
        <v/>
      </c>
    </row>
    <row r="4377" spans="2:7">
      <c r="B4377" s="6"/>
      <c r="E4377" s="7"/>
      <c r="F4377" t="str">
        <f t="shared" si="161"/>
        <v/>
      </c>
      <c r="G4377" t="str">
        <f t="shared" si="162"/>
        <v/>
      </c>
    </row>
    <row r="4378" spans="2:7">
      <c r="B4378" s="6"/>
      <c r="E4378" s="7"/>
      <c r="F4378" t="str">
        <f t="shared" si="161"/>
        <v/>
      </c>
      <c r="G4378" t="str">
        <f t="shared" si="162"/>
        <v/>
      </c>
    </row>
    <row r="4379" spans="2:7">
      <c r="B4379" s="6"/>
      <c r="E4379" s="7"/>
      <c r="F4379" t="str">
        <f t="shared" si="161"/>
        <v/>
      </c>
      <c r="G4379" t="str">
        <f t="shared" si="162"/>
        <v/>
      </c>
    </row>
    <row r="4380" spans="2:7">
      <c r="B4380" s="6"/>
      <c r="E4380" s="7"/>
      <c r="F4380" t="str">
        <f t="shared" si="161"/>
        <v/>
      </c>
      <c r="G4380" t="str">
        <f t="shared" si="162"/>
        <v/>
      </c>
    </row>
    <row r="4381" spans="2:7">
      <c r="B4381" s="6"/>
      <c r="E4381" s="7"/>
      <c r="F4381" t="str">
        <f t="shared" si="161"/>
        <v/>
      </c>
      <c r="G4381" t="str">
        <f t="shared" si="162"/>
        <v/>
      </c>
    </row>
    <row r="4382" spans="2:7">
      <c r="B4382" s="6"/>
      <c r="E4382" s="7"/>
      <c r="F4382" t="str">
        <f t="shared" si="161"/>
        <v/>
      </c>
      <c r="G4382" t="str">
        <f t="shared" si="162"/>
        <v/>
      </c>
    </row>
    <row r="4383" spans="2:7">
      <c r="B4383" s="6"/>
      <c r="E4383" s="7"/>
      <c r="F4383" t="str">
        <f t="shared" si="161"/>
        <v/>
      </c>
      <c r="G4383" t="str">
        <f t="shared" si="162"/>
        <v/>
      </c>
    </row>
    <row r="4384" spans="2:7">
      <c r="B4384" s="6"/>
      <c r="E4384" s="7"/>
      <c r="F4384" t="str">
        <f t="shared" si="161"/>
        <v/>
      </c>
      <c r="G4384" t="str">
        <f t="shared" si="162"/>
        <v/>
      </c>
    </row>
    <row r="4385" spans="2:7">
      <c r="B4385" s="6"/>
      <c r="E4385" s="7"/>
      <c r="F4385" t="str">
        <f t="shared" si="161"/>
        <v/>
      </c>
      <c r="G4385" t="str">
        <f t="shared" si="162"/>
        <v/>
      </c>
    </row>
    <row r="4386" spans="2:7">
      <c r="B4386" s="6"/>
      <c r="E4386" s="7"/>
      <c r="F4386" t="str">
        <f t="shared" si="161"/>
        <v/>
      </c>
      <c r="G4386" t="str">
        <f t="shared" si="162"/>
        <v/>
      </c>
    </row>
    <row r="4387" spans="2:7">
      <c r="B4387" s="6"/>
      <c r="E4387" s="7"/>
      <c r="F4387" t="str">
        <f t="shared" si="161"/>
        <v/>
      </c>
      <c r="G4387" t="str">
        <f t="shared" si="162"/>
        <v/>
      </c>
    </row>
    <row r="4388" spans="2:7">
      <c r="B4388" s="6"/>
      <c r="E4388" s="7"/>
      <c r="F4388" t="str">
        <f t="shared" si="161"/>
        <v/>
      </c>
      <c r="G4388" t="str">
        <f t="shared" si="162"/>
        <v/>
      </c>
    </row>
    <row r="4389" spans="2:7">
      <c r="B4389" s="6"/>
      <c r="E4389" s="7"/>
      <c r="F4389" t="str">
        <f t="shared" si="161"/>
        <v/>
      </c>
      <c r="G4389" t="str">
        <f t="shared" si="162"/>
        <v/>
      </c>
    </row>
    <row r="4390" spans="2:7">
      <c r="B4390" s="6"/>
      <c r="E4390" s="7"/>
      <c r="F4390" t="str">
        <f t="shared" si="161"/>
        <v/>
      </c>
      <c r="G4390" t="str">
        <f t="shared" si="162"/>
        <v/>
      </c>
    </row>
    <row r="4391" spans="2:7">
      <c r="B4391" s="6"/>
      <c r="E4391" s="7"/>
      <c r="F4391" t="str">
        <f t="shared" si="161"/>
        <v/>
      </c>
      <c r="G4391" t="str">
        <f t="shared" si="162"/>
        <v/>
      </c>
    </row>
    <row r="4392" spans="2:7">
      <c r="B4392" s="6"/>
      <c r="E4392" s="7"/>
      <c r="F4392" t="str">
        <f t="shared" si="161"/>
        <v/>
      </c>
      <c r="G4392" t="str">
        <f t="shared" si="162"/>
        <v/>
      </c>
    </row>
    <row r="4393" spans="2:7">
      <c r="B4393" s="6"/>
      <c r="E4393" s="7"/>
      <c r="F4393" t="str">
        <f t="shared" si="161"/>
        <v/>
      </c>
      <c r="G4393" t="str">
        <f t="shared" si="162"/>
        <v/>
      </c>
    </row>
    <row r="4394" spans="2:7">
      <c r="B4394" s="6"/>
      <c r="E4394" s="7"/>
      <c r="F4394" t="str">
        <f t="shared" si="161"/>
        <v/>
      </c>
      <c r="G4394" t="str">
        <f t="shared" si="162"/>
        <v/>
      </c>
    </row>
    <row r="4395" spans="2:7">
      <c r="B4395" s="6"/>
      <c r="E4395" s="7"/>
      <c r="F4395" t="str">
        <f t="shared" si="161"/>
        <v/>
      </c>
      <c r="G4395" t="str">
        <f t="shared" si="162"/>
        <v/>
      </c>
    </row>
    <row r="4396" spans="2:7">
      <c r="B4396" s="6"/>
      <c r="E4396" s="7"/>
      <c r="F4396" t="str">
        <f t="shared" si="161"/>
        <v/>
      </c>
      <c r="G4396" t="str">
        <f t="shared" si="162"/>
        <v/>
      </c>
    </row>
    <row r="4397" spans="2:7">
      <c r="B4397" s="6"/>
      <c r="E4397" s="7"/>
      <c r="F4397" t="str">
        <f t="shared" si="161"/>
        <v/>
      </c>
      <c r="G4397" t="str">
        <f t="shared" si="162"/>
        <v/>
      </c>
    </row>
    <row r="4398" spans="2:7">
      <c r="B4398" s="6"/>
      <c r="E4398" s="7"/>
      <c r="F4398" t="str">
        <f t="shared" si="161"/>
        <v/>
      </c>
      <c r="G4398" t="str">
        <f t="shared" si="162"/>
        <v/>
      </c>
    </row>
    <row r="4399" spans="2:7">
      <c r="B4399" s="6"/>
      <c r="E4399" s="7"/>
      <c r="F4399" t="str">
        <f t="shared" si="161"/>
        <v/>
      </c>
      <c r="G4399" t="str">
        <f t="shared" si="162"/>
        <v/>
      </c>
    </row>
    <row r="4400" spans="2:7">
      <c r="B4400" s="6"/>
      <c r="E4400" s="7"/>
      <c r="F4400" t="str">
        <f t="shared" si="161"/>
        <v/>
      </c>
      <c r="G4400" t="str">
        <f t="shared" si="162"/>
        <v/>
      </c>
    </row>
    <row r="4401" spans="2:7">
      <c r="B4401" s="6"/>
      <c r="E4401" s="7"/>
      <c r="F4401" t="str">
        <f t="shared" si="161"/>
        <v/>
      </c>
      <c r="G4401" t="str">
        <f t="shared" si="162"/>
        <v/>
      </c>
    </row>
    <row r="4402" spans="2:7">
      <c r="B4402" s="6"/>
      <c r="E4402" s="7"/>
      <c r="F4402" t="str">
        <f t="shared" si="161"/>
        <v/>
      </c>
      <c r="G4402" t="str">
        <f t="shared" si="162"/>
        <v/>
      </c>
    </row>
    <row r="4403" spans="2:7">
      <c r="B4403" s="6"/>
      <c r="E4403" s="7"/>
      <c r="F4403" t="str">
        <f t="shared" si="161"/>
        <v/>
      </c>
      <c r="G4403" t="str">
        <f t="shared" si="162"/>
        <v/>
      </c>
    </row>
    <row r="4404" spans="2:7">
      <c r="B4404" s="6"/>
      <c r="E4404" s="7"/>
      <c r="F4404" t="str">
        <f t="shared" si="161"/>
        <v/>
      </c>
      <c r="G4404" t="str">
        <f t="shared" si="162"/>
        <v/>
      </c>
    </row>
    <row r="4405" spans="2:7">
      <c r="B4405" s="6"/>
      <c r="E4405" s="7"/>
      <c r="F4405" t="str">
        <f t="shared" si="161"/>
        <v/>
      </c>
      <c r="G4405" t="str">
        <f t="shared" si="162"/>
        <v/>
      </c>
    </row>
    <row r="4406" spans="2:7">
      <c r="B4406" s="6"/>
      <c r="E4406" s="7"/>
      <c r="F4406" t="str">
        <f t="shared" si="161"/>
        <v/>
      </c>
      <c r="G4406" t="str">
        <f t="shared" si="162"/>
        <v/>
      </c>
    </row>
    <row r="4407" spans="2:7">
      <c r="B4407" s="6"/>
      <c r="E4407" s="7"/>
      <c r="F4407" t="str">
        <f t="shared" si="161"/>
        <v/>
      </c>
      <c r="G4407" t="str">
        <f t="shared" si="162"/>
        <v/>
      </c>
    </row>
    <row r="4408" spans="2:7">
      <c r="B4408" s="6"/>
      <c r="E4408" s="7"/>
      <c r="F4408" t="str">
        <f t="shared" si="161"/>
        <v/>
      </c>
      <c r="G4408" t="str">
        <f t="shared" si="162"/>
        <v/>
      </c>
    </row>
    <row r="4409" spans="2:7">
      <c r="B4409" s="6"/>
      <c r="E4409" s="7"/>
      <c r="F4409" t="str">
        <f t="shared" si="161"/>
        <v/>
      </c>
      <c r="G4409" t="str">
        <f t="shared" si="162"/>
        <v/>
      </c>
    </row>
    <row r="4410" spans="2:7">
      <c r="B4410" s="6"/>
      <c r="E4410" s="7"/>
      <c r="F4410" t="str">
        <f t="shared" si="161"/>
        <v/>
      </c>
      <c r="G4410" t="str">
        <f t="shared" si="162"/>
        <v/>
      </c>
    </row>
    <row r="4411" spans="2:7">
      <c r="B4411" s="6"/>
      <c r="E4411" s="7"/>
      <c r="F4411" t="str">
        <f t="shared" si="161"/>
        <v/>
      </c>
      <c r="G4411" t="str">
        <f t="shared" si="162"/>
        <v/>
      </c>
    </row>
    <row r="4412" spans="2:7">
      <c r="B4412" s="6"/>
      <c r="E4412" s="7"/>
      <c r="F4412" t="str">
        <f t="shared" si="161"/>
        <v/>
      </c>
      <c r="G4412" t="str">
        <f t="shared" si="162"/>
        <v/>
      </c>
    </row>
    <row r="4413" spans="2:7">
      <c r="B4413" s="6"/>
      <c r="E4413" s="7"/>
      <c r="F4413" t="str">
        <f t="shared" si="161"/>
        <v/>
      </c>
      <c r="G4413" t="str">
        <f t="shared" si="162"/>
        <v/>
      </c>
    </row>
    <row r="4414" spans="2:7">
      <c r="B4414" s="6"/>
      <c r="E4414" s="7"/>
      <c r="F4414" t="str">
        <f t="shared" si="161"/>
        <v/>
      </c>
      <c r="G4414" t="str">
        <f t="shared" si="162"/>
        <v/>
      </c>
    </row>
    <row r="4415" spans="2:7">
      <c r="B4415" s="6"/>
      <c r="E4415" s="7"/>
      <c r="F4415" t="str">
        <f t="shared" si="161"/>
        <v/>
      </c>
      <c r="G4415" t="str">
        <f t="shared" si="162"/>
        <v/>
      </c>
    </row>
    <row r="4416" spans="2:7">
      <c r="B4416" s="6"/>
      <c r="E4416" s="7"/>
      <c r="F4416" t="str">
        <f t="shared" si="161"/>
        <v/>
      </c>
      <c r="G4416" t="str">
        <f t="shared" si="162"/>
        <v/>
      </c>
    </row>
    <row r="4417" spans="2:7">
      <c r="B4417" s="6"/>
      <c r="E4417" s="7"/>
      <c r="F4417" t="str">
        <f t="shared" si="161"/>
        <v/>
      </c>
      <c r="G4417" t="str">
        <f t="shared" si="162"/>
        <v/>
      </c>
    </row>
    <row r="4418" spans="2:7">
      <c r="B4418" s="6"/>
      <c r="E4418" s="7"/>
      <c r="F4418" t="str">
        <f t="shared" si="161"/>
        <v/>
      </c>
      <c r="G4418" t="str">
        <f t="shared" si="162"/>
        <v/>
      </c>
    </row>
    <row r="4419" spans="2:7">
      <c r="B4419" s="6"/>
      <c r="E4419" s="7"/>
      <c r="F4419" t="str">
        <f t="shared" si="161"/>
        <v/>
      </c>
      <c r="G4419" t="str">
        <f t="shared" si="162"/>
        <v/>
      </c>
    </row>
    <row r="4420" spans="2:7">
      <c r="B4420" s="6"/>
      <c r="E4420" s="7"/>
      <c r="F4420" t="str">
        <f t="shared" ref="F4420:F4483" si="163">IF(B4420="","",LOG10(D4420))</f>
        <v/>
      </c>
      <c r="G4420" t="str">
        <f t="shared" ref="G4420:G4483" si="164">IF(E4420="", "",0.434*E4420/D4420)</f>
        <v/>
      </c>
    </row>
    <row r="4421" spans="2:7">
      <c r="B4421" s="6"/>
      <c r="E4421" s="7"/>
      <c r="F4421" t="str">
        <f t="shared" si="163"/>
        <v/>
      </c>
      <c r="G4421" t="str">
        <f t="shared" si="164"/>
        <v/>
      </c>
    </row>
    <row r="4422" spans="2:7">
      <c r="B4422" s="6"/>
      <c r="E4422" s="7"/>
      <c r="F4422" t="str">
        <f t="shared" si="163"/>
        <v/>
      </c>
      <c r="G4422" t="str">
        <f t="shared" si="164"/>
        <v/>
      </c>
    </row>
    <row r="4423" spans="2:7">
      <c r="B4423" s="6"/>
      <c r="E4423" s="7"/>
      <c r="F4423" t="str">
        <f t="shared" si="163"/>
        <v/>
      </c>
      <c r="G4423" t="str">
        <f t="shared" si="164"/>
        <v/>
      </c>
    </row>
    <row r="4424" spans="2:7">
      <c r="B4424" s="6"/>
      <c r="E4424" s="7"/>
      <c r="F4424" t="str">
        <f t="shared" si="163"/>
        <v/>
      </c>
      <c r="G4424" t="str">
        <f t="shared" si="164"/>
        <v/>
      </c>
    </row>
    <row r="4425" spans="2:7">
      <c r="B4425" s="6"/>
      <c r="E4425" s="7"/>
      <c r="F4425" t="str">
        <f t="shared" si="163"/>
        <v/>
      </c>
      <c r="G4425" t="str">
        <f t="shared" si="164"/>
        <v/>
      </c>
    </row>
    <row r="4426" spans="2:7">
      <c r="B4426" s="6"/>
      <c r="E4426" s="7"/>
      <c r="F4426" t="str">
        <f t="shared" si="163"/>
        <v/>
      </c>
      <c r="G4426" t="str">
        <f t="shared" si="164"/>
        <v/>
      </c>
    </row>
    <row r="4427" spans="2:7">
      <c r="B4427" s="6"/>
      <c r="E4427" s="7"/>
      <c r="F4427" t="str">
        <f t="shared" si="163"/>
        <v/>
      </c>
      <c r="G4427" t="str">
        <f t="shared" si="164"/>
        <v/>
      </c>
    </row>
    <row r="4428" spans="2:7">
      <c r="B4428" s="6"/>
      <c r="E4428" s="7"/>
      <c r="F4428" t="str">
        <f t="shared" si="163"/>
        <v/>
      </c>
      <c r="G4428" t="str">
        <f t="shared" si="164"/>
        <v/>
      </c>
    </row>
    <row r="4429" spans="2:7">
      <c r="B4429" s="6"/>
      <c r="E4429" s="7"/>
      <c r="F4429" t="str">
        <f t="shared" si="163"/>
        <v/>
      </c>
      <c r="G4429" t="str">
        <f t="shared" si="164"/>
        <v/>
      </c>
    </row>
    <row r="4430" spans="2:7">
      <c r="B4430" s="6"/>
      <c r="E4430" s="7"/>
      <c r="F4430" t="str">
        <f t="shared" si="163"/>
        <v/>
      </c>
      <c r="G4430" t="str">
        <f t="shared" si="164"/>
        <v/>
      </c>
    </row>
    <row r="4431" spans="2:7">
      <c r="B4431" s="6"/>
      <c r="E4431" s="7"/>
      <c r="F4431" t="str">
        <f t="shared" si="163"/>
        <v/>
      </c>
      <c r="G4431" t="str">
        <f t="shared" si="164"/>
        <v/>
      </c>
    </row>
    <row r="4432" spans="2:7">
      <c r="B4432" s="6"/>
      <c r="E4432" s="7"/>
      <c r="F4432" t="str">
        <f t="shared" si="163"/>
        <v/>
      </c>
      <c r="G4432" t="str">
        <f t="shared" si="164"/>
        <v/>
      </c>
    </row>
    <row r="4433" spans="2:7">
      <c r="B4433" s="6"/>
      <c r="E4433" s="7"/>
      <c r="F4433" t="str">
        <f t="shared" si="163"/>
        <v/>
      </c>
      <c r="G4433" t="str">
        <f t="shared" si="164"/>
        <v/>
      </c>
    </row>
    <row r="4434" spans="2:7">
      <c r="B4434" s="6"/>
      <c r="E4434" s="7"/>
      <c r="F4434" t="str">
        <f t="shared" si="163"/>
        <v/>
      </c>
      <c r="G4434" t="str">
        <f t="shared" si="164"/>
        <v/>
      </c>
    </row>
    <row r="4435" spans="2:7">
      <c r="B4435" s="6"/>
      <c r="E4435" s="7"/>
      <c r="F4435" t="str">
        <f t="shared" si="163"/>
        <v/>
      </c>
      <c r="G4435" t="str">
        <f t="shared" si="164"/>
        <v/>
      </c>
    </row>
    <row r="4436" spans="2:7">
      <c r="B4436" s="6"/>
      <c r="E4436" s="7"/>
      <c r="F4436" t="str">
        <f t="shared" si="163"/>
        <v/>
      </c>
      <c r="G4436" t="str">
        <f t="shared" si="164"/>
        <v/>
      </c>
    </row>
    <row r="4437" spans="2:7">
      <c r="B4437" s="6"/>
      <c r="E4437" s="7"/>
      <c r="F4437" t="str">
        <f t="shared" si="163"/>
        <v/>
      </c>
      <c r="G4437" t="str">
        <f t="shared" si="164"/>
        <v/>
      </c>
    </row>
    <row r="4438" spans="2:7">
      <c r="B4438" s="6"/>
      <c r="E4438" s="7"/>
      <c r="F4438" t="str">
        <f t="shared" si="163"/>
        <v/>
      </c>
      <c r="G4438" t="str">
        <f t="shared" si="164"/>
        <v/>
      </c>
    </row>
    <row r="4439" spans="2:7">
      <c r="B4439" s="6"/>
      <c r="E4439" s="7"/>
      <c r="F4439" t="str">
        <f t="shared" si="163"/>
        <v/>
      </c>
      <c r="G4439" t="str">
        <f t="shared" si="164"/>
        <v/>
      </c>
    </row>
    <row r="4440" spans="2:7">
      <c r="B4440" s="6"/>
      <c r="E4440" s="7"/>
      <c r="F4440" t="str">
        <f t="shared" si="163"/>
        <v/>
      </c>
      <c r="G4440" t="str">
        <f t="shared" si="164"/>
        <v/>
      </c>
    </row>
    <row r="4441" spans="2:7">
      <c r="B4441" s="6"/>
      <c r="E4441" s="7"/>
      <c r="F4441" t="str">
        <f t="shared" si="163"/>
        <v/>
      </c>
      <c r="G4441" t="str">
        <f t="shared" si="164"/>
        <v/>
      </c>
    </row>
    <row r="4442" spans="2:7">
      <c r="B4442" s="6"/>
      <c r="E4442" s="7"/>
      <c r="F4442" t="str">
        <f t="shared" si="163"/>
        <v/>
      </c>
      <c r="G4442" t="str">
        <f t="shared" si="164"/>
        <v/>
      </c>
    </row>
    <row r="4443" spans="2:7">
      <c r="B4443" s="6"/>
      <c r="E4443" s="7"/>
      <c r="F4443" t="str">
        <f t="shared" si="163"/>
        <v/>
      </c>
      <c r="G4443" t="str">
        <f t="shared" si="164"/>
        <v/>
      </c>
    </row>
    <row r="4444" spans="2:7">
      <c r="B4444" s="6"/>
      <c r="E4444" s="7"/>
      <c r="F4444" t="str">
        <f t="shared" si="163"/>
        <v/>
      </c>
      <c r="G4444" t="str">
        <f t="shared" si="164"/>
        <v/>
      </c>
    </row>
    <row r="4445" spans="2:7">
      <c r="B4445" s="6"/>
      <c r="E4445" s="7"/>
      <c r="F4445" t="str">
        <f t="shared" si="163"/>
        <v/>
      </c>
      <c r="G4445" t="str">
        <f t="shared" si="164"/>
        <v/>
      </c>
    </row>
    <row r="4446" spans="2:7">
      <c r="B4446" s="6"/>
      <c r="E4446" s="7"/>
      <c r="F4446" t="str">
        <f t="shared" si="163"/>
        <v/>
      </c>
      <c r="G4446" t="str">
        <f t="shared" si="164"/>
        <v/>
      </c>
    </row>
    <row r="4447" spans="2:7">
      <c r="B4447" s="6"/>
      <c r="E4447" s="7"/>
      <c r="F4447" t="str">
        <f t="shared" si="163"/>
        <v/>
      </c>
      <c r="G4447" t="str">
        <f t="shared" si="164"/>
        <v/>
      </c>
    </row>
    <row r="4448" spans="2:7">
      <c r="B4448" s="6"/>
      <c r="E4448" s="7"/>
      <c r="F4448" t="str">
        <f t="shared" si="163"/>
        <v/>
      </c>
      <c r="G4448" t="str">
        <f t="shared" si="164"/>
        <v/>
      </c>
    </row>
    <row r="4449" spans="2:7">
      <c r="B4449" s="6"/>
      <c r="E4449" s="7"/>
      <c r="F4449" t="str">
        <f t="shared" si="163"/>
        <v/>
      </c>
      <c r="G4449" t="str">
        <f t="shared" si="164"/>
        <v/>
      </c>
    </row>
    <row r="4450" spans="2:7">
      <c r="B4450" s="6"/>
      <c r="E4450" s="7"/>
      <c r="F4450" t="str">
        <f t="shared" si="163"/>
        <v/>
      </c>
      <c r="G4450" t="str">
        <f t="shared" si="164"/>
        <v/>
      </c>
    </row>
    <row r="4451" spans="2:7">
      <c r="B4451" s="6"/>
      <c r="E4451" s="7"/>
      <c r="F4451" t="str">
        <f t="shared" si="163"/>
        <v/>
      </c>
      <c r="G4451" t="str">
        <f t="shared" si="164"/>
        <v/>
      </c>
    </row>
    <row r="4452" spans="2:7">
      <c r="B4452" s="6"/>
      <c r="E4452" s="7"/>
      <c r="F4452" t="str">
        <f t="shared" si="163"/>
        <v/>
      </c>
      <c r="G4452" t="str">
        <f t="shared" si="164"/>
        <v/>
      </c>
    </row>
    <row r="4453" spans="2:7">
      <c r="B4453" s="6"/>
      <c r="E4453" s="7"/>
      <c r="F4453" t="str">
        <f t="shared" si="163"/>
        <v/>
      </c>
      <c r="G4453" t="str">
        <f t="shared" si="164"/>
        <v/>
      </c>
    </row>
    <row r="4454" spans="2:7">
      <c r="B4454" s="6"/>
      <c r="E4454" s="7"/>
      <c r="F4454" t="str">
        <f t="shared" si="163"/>
        <v/>
      </c>
      <c r="G4454" t="str">
        <f t="shared" si="164"/>
        <v/>
      </c>
    </row>
    <row r="4455" spans="2:7">
      <c r="B4455" s="6"/>
      <c r="E4455" s="7"/>
      <c r="F4455" t="str">
        <f t="shared" si="163"/>
        <v/>
      </c>
      <c r="G4455" t="str">
        <f t="shared" si="164"/>
        <v/>
      </c>
    </row>
    <row r="4456" spans="2:7">
      <c r="B4456" s="6"/>
      <c r="E4456" s="7"/>
      <c r="F4456" t="str">
        <f t="shared" si="163"/>
        <v/>
      </c>
      <c r="G4456" t="str">
        <f t="shared" si="164"/>
        <v/>
      </c>
    </row>
    <row r="4457" spans="2:7">
      <c r="B4457" s="6"/>
      <c r="E4457" s="7"/>
      <c r="F4457" t="str">
        <f t="shared" si="163"/>
        <v/>
      </c>
      <c r="G4457" t="str">
        <f t="shared" si="164"/>
        <v/>
      </c>
    </row>
    <row r="4458" spans="2:7">
      <c r="B4458" s="6"/>
      <c r="E4458" s="7"/>
      <c r="F4458" t="str">
        <f t="shared" si="163"/>
        <v/>
      </c>
      <c r="G4458" t="str">
        <f t="shared" si="164"/>
        <v/>
      </c>
    </row>
    <row r="4459" spans="2:7">
      <c r="B4459" s="6"/>
      <c r="E4459" s="7"/>
      <c r="F4459" t="str">
        <f t="shared" si="163"/>
        <v/>
      </c>
      <c r="G4459" t="str">
        <f t="shared" si="164"/>
        <v/>
      </c>
    </row>
    <row r="4460" spans="2:7">
      <c r="B4460" s="6"/>
      <c r="E4460" s="7"/>
      <c r="F4460" t="str">
        <f t="shared" si="163"/>
        <v/>
      </c>
      <c r="G4460" t="str">
        <f t="shared" si="164"/>
        <v/>
      </c>
    </row>
    <row r="4461" spans="2:7">
      <c r="B4461" s="6"/>
      <c r="E4461" s="7"/>
      <c r="F4461" t="str">
        <f t="shared" si="163"/>
        <v/>
      </c>
      <c r="G4461" t="str">
        <f t="shared" si="164"/>
        <v/>
      </c>
    </row>
    <row r="4462" spans="2:7">
      <c r="B4462" s="6"/>
      <c r="E4462" s="7"/>
      <c r="F4462" t="str">
        <f t="shared" si="163"/>
        <v/>
      </c>
      <c r="G4462" t="str">
        <f t="shared" si="164"/>
        <v/>
      </c>
    </row>
    <row r="4463" spans="2:7">
      <c r="B4463" s="6"/>
      <c r="E4463" s="7"/>
      <c r="F4463" t="str">
        <f t="shared" si="163"/>
        <v/>
      </c>
      <c r="G4463" t="str">
        <f t="shared" si="164"/>
        <v/>
      </c>
    </row>
    <row r="4464" spans="2:7">
      <c r="B4464" s="6"/>
      <c r="E4464" s="7"/>
      <c r="F4464" t="str">
        <f t="shared" si="163"/>
        <v/>
      </c>
      <c r="G4464" t="str">
        <f t="shared" si="164"/>
        <v/>
      </c>
    </row>
    <row r="4465" spans="2:7">
      <c r="B4465" s="6"/>
      <c r="E4465" s="7"/>
      <c r="F4465" t="str">
        <f t="shared" si="163"/>
        <v/>
      </c>
      <c r="G4465" t="str">
        <f t="shared" si="164"/>
        <v/>
      </c>
    </row>
    <row r="4466" spans="2:7">
      <c r="B4466" s="6"/>
      <c r="E4466" s="7"/>
      <c r="F4466" t="str">
        <f t="shared" si="163"/>
        <v/>
      </c>
      <c r="G4466" t="str">
        <f t="shared" si="164"/>
        <v/>
      </c>
    </row>
    <row r="4467" spans="2:7">
      <c r="B4467" s="6"/>
      <c r="E4467" s="7"/>
      <c r="F4467" t="str">
        <f t="shared" si="163"/>
        <v/>
      </c>
      <c r="G4467" t="str">
        <f t="shared" si="164"/>
        <v/>
      </c>
    </row>
    <row r="4468" spans="2:7">
      <c r="B4468" s="6"/>
      <c r="E4468" s="7"/>
      <c r="F4468" t="str">
        <f t="shared" si="163"/>
        <v/>
      </c>
      <c r="G4468" t="str">
        <f t="shared" si="164"/>
        <v/>
      </c>
    </row>
    <row r="4469" spans="2:7">
      <c r="B4469" s="6"/>
      <c r="E4469" s="7"/>
      <c r="F4469" t="str">
        <f t="shared" si="163"/>
        <v/>
      </c>
      <c r="G4469" t="str">
        <f t="shared" si="164"/>
        <v/>
      </c>
    </row>
    <row r="4470" spans="2:7">
      <c r="B4470" s="6"/>
      <c r="E4470" s="7"/>
      <c r="F4470" t="str">
        <f t="shared" si="163"/>
        <v/>
      </c>
      <c r="G4470" t="str">
        <f t="shared" si="164"/>
        <v/>
      </c>
    </row>
    <row r="4471" spans="2:7">
      <c r="B4471" s="6"/>
      <c r="E4471" s="7"/>
      <c r="F4471" t="str">
        <f t="shared" si="163"/>
        <v/>
      </c>
      <c r="G4471" t="str">
        <f t="shared" si="164"/>
        <v/>
      </c>
    </row>
    <row r="4472" spans="2:7">
      <c r="B4472" s="6"/>
      <c r="E4472" s="7"/>
      <c r="F4472" t="str">
        <f t="shared" si="163"/>
        <v/>
      </c>
      <c r="G4472" t="str">
        <f t="shared" si="164"/>
        <v/>
      </c>
    </row>
    <row r="4473" spans="2:7">
      <c r="B4473" s="6"/>
      <c r="E4473" s="7"/>
      <c r="F4473" t="str">
        <f t="shared" si="163"/>
        <v/>
      </c>
      <c r="G4473" t="str">
        <f t="shared" si="164"/>
        <v/>
      </c>
    </row>
    <row r="4474" spans="2:7">
      <c r="B4474" s="6"/>
      <c r="E4474" s="7"/>
      <c r="F4474" t="str">
        <f t="shared" si="163"/>
        <v/>
      </c>
      <c r="G4474" t="str">
        <f t="shared" si="164"/>
        <v/>
      </c>
    </row>
    <row r="4475" spans="2:7">
      <c r="B4475" s="6"/>
      <c r="E4475" s="7"/>
      <c r="F4475" t="str">
        <f t="shared" si="163"/>
        <v/>
      </c>
      <c r="G4475" t="str">
        <f t="shared" si="164"/>
        <v/>
      </c>
    </row>
    <row r="4476" spans="2:7">
      <c r="B4476" s="6"/>
      <c r="E4476" s="7"/>
      <c r="F4476" t="str">
        <f t="shared" si="163"/>
        <v/>
      </c>
      <c r="G4476" t="str">
        <f t="shared" si="164"/>
        <v/>
      </c>
    </row>
    <row r="4477" spans="2:7">
      <c r="B4477" s="6"/>
      <c r="E4477" s="7"/>
      <c r="F4477" t="str">
        <f t="shared" si="163"/>
        <v/>
      </c>
      <c r="G4477" t="str">
        <f t="shared" si="164"/>
        <v/>
      </c>
    </row>
    <row r="4478" spans="2:7">
      <c r="B4478" s="6"/>
      <c r="E4478" s="7"/>
      <c r="F4478" t="str">
        <f t="shared" si="163"/>
        <v/>
      </c>
      <c r="G4478" t="str">
        <f t="shared" si="164"/>
        <v/>
      </c>
    </row>
    <row r="4479" spans="2:7">
      <c r="B4479" s="6"/>
      <c r="E4479" s="7"/>
      <c r="F4479" t="str">
        <f t="shared" si="163"/>
        <v/>
      </c>
      <c r="G4479" t="str">
        <f t="shared" si="164"/>
        <v/>
      </c>
    </row>
    <row r="4480" spans="2:7">
      <c r="B4480" s="6"/>
      <c r="E4480" s="7"/>
      <c r="F4480" t="str">
        <f t="shared" si="163"/>
        <v/>
      </c>
      <c r="G4480" t="str">
        <f t="shared" si="164"/>
        <v/>
      </c>
    </row>
    <row r="4481" spans="2:7">
      <c r="B4481" s="6"/>
      <c r="E4481" s="7"/>
      <c r="F4481" t="str">
        <f t="shared" si="163"/>
        <v/>
      </c>
      <c r="G4481" t="str">
        <f t="shared" si="164"/>
        <v/>
      </c>
    </row>
    <row r="4482" spans="2:7">
      <c r="B4482" s="6"/>
      <c r="E4482" s="7"/>
      <c r="F4482" t="str">
        <f t="shared" si="163"/>
        <v/>
      </c>
      <c r="G4482" t="str">
        <f t="shared" si="164"/>
        <v/>
      </c>
    </row>
    <row r="4483" spans="2:7">
      <c r="B4483" s="6"/>
      <c r="E4483" s="7"/>
      <c r="F4483" t="str">
        <f t="shared" si="163"/>
        <v/>
      </c>
      <c r="G4483" t="str">
        <f t="shared" si="164"/>
        <v/>
      </c>
    </row>
    <row r="4484" spans="2:7">
      <c r="B4484" s="6"/>
      <c r="E4484" s="7"/>
      <c r="F4484" t="str">
        <f t="shared" ref="F4484:F4547" si="165">IF(B4484="","",LOG10(D4484))</f>
        <v/>
      </c>
      <c r="G4484" t="str">
        <f t="shared" ref="G4484:G4547" si="166">IF(E4484="", "",0.434*E4484/D4484)</f>
        <v/>
      </c>
    </row>
    <row r="4485" spans="2:7">
      <c r="B4485" s="6"/>
      <c r="E4485" s="7"/>
      <c r="F4485" t="str">
        <f t="shared" si="165"/>
        <v/>
      </c>
      <c r="G4485" t="str">
        <f t="shared" si="166"/>
        <v/>
      </c>
    </row>
    <row r="4486" spans="2:7">
      <c r="B4486" s="6"/>
      <c r="E4486" s="7"/>
      <c r="F4486" t="str">
        <f t="shared" si="165"/>
        <v/>
      </c>
      <c r="G4486" t="str">
        <f t="shared" si="166"/>
        <v/>
      </c>
    </row>
    <row r="4487" spans="2:7">
      <c r="B4487" s="6"/>
      <c r="E4487" s="7"/>
      <c r="F4487" t="str">
        <f t="shared" si="165"/>
        <v/>
      </c>
      <c r="G4487" t="str">
        <f t="shared" si="166"/>
        <v/>
      </c>
    </row>
    <row r="4488" spans="2:7">
      <c r="B4488" s="6"/>
      <c r="E4488" s="7"/>
      <c r="F4488" t="str">
        <f t="shared" si="165"/>
        <v/>
      </c>
      <c r="G4488" t="str">
        <f t="shared" si="166"/>
        <v/>
      </c>
    </row>
    <row r="4489" spans="2:7">
      <c r="B4489" s="6"/>
      <c r="E4489" s="7"/>
      <c r="F4489" t="str">
        <f t="shared" si="165"/>
        <v/>
      </c>
      <c r="G4489" t="str">
        <f t="shared" si="166"/>
        <v/>
      </c>
    </row>
    <row r="4490" spans="2:7">
      <c r="B4490" s="6"/>
      <c r="E4490" s="7"/>
      <c r="F4490" t="str">
        <f t="shared" si="165"/>
        <v/>
      </c>
      <c r="G4490" t="str">
        <f t="shared" si="166"/>
        <v/>
      </c>
    </row>
    <row r="4491" spans="2:7">
      <c r="B4491" s="6"/>
      <c r="E4491" s="7"/>
      <c r="F4491" t="str">
        <f t="shared" si="165"/>
        <v/>
      </c>
      <c r="G4491" t="str">
        <f t="shared" si="166"/>
        <v/>
      </c>
    </row>
    <row r="4492" spans="2:7">
      <c r="B4492" s="6"/>
      <c r="E4492" s="7"/>
      <c r="F4492" t="str">
        <f t="shared" si="165"/>
        <v/>
      </c>
      <c r="G4492" t="str">
        <f t="shared" si="166"/>
        <v/>
      </c>
    </row>
    <row r="4493" spans="2:7">
      <c r="B4493" s="6"/>
      <c r="E4493" s="7"/>
      <c r="F4493" t="str">
        <f t="shared" si="165"/>
        <v/>
      </c>
      <c r="G4493" t="str">
        <f t="shared" si="166"/>
        <v/>
      </c>
    </row>
    <row r="4494" spans="2:7">
      <c r="B4494" s="6"/>
      <c r="E4494" s="7"/>
      <c r="F4494" t="str">
        <f t="shared" si="165"/>
        <v/>
      </c>
      <c r="G4494" t="str">
        <f t="shared" si="166"/>
        <v/>
      </c>
    </row>
    <row r="4495" spans="2:7">
      <c r="B4495" s="6"/>
      <c r="E4495" s="7"/>
      <c r="F4495" t="str">
        <f t="shared" si="165"/>
        <v/>
      </c>
      <c r="G4495" t="str">
        <f t="shared" si="166"/>
        <v/>
      </c>
    </row>
    <row r="4496" spans="2:7">
      <c r="B4496" s="6"/>
      <c r="E4496" s="7"/>
      <c r="F4496" t="str">
        <f t="shared" si="165"/>
        <v/>
      </c>
      <c r="G4496" t="str">
        <f t="shared" si="166"/>
        <v/>
      </c>
    </row>
    <row r="4497" spans="2:7">
      <c r="B4497" s="6"/>
      <c r="E4497" s="7"/>
      <c r="F4497" t="str">
        <f t="shared" si="165"/>
        <v/>
      </c>
      <c r="G4497" t="str">
        <f t="shared" si="166"/>
        <v/>
      </c>
    </row>
    <row r="4498" spans="2:7">
      <c r="B4498" s="6"/>
      <c r="E4498" s="7"/>
      <c r="F4498" t="str">
        <f t="shared" si="165"/>
        <v/>
      </c>
      <c r="G4498" t="str">
        <f t="shared" si="166"/>
        <v/>
      </c>
    </row>
    <row r="4499" spans="2:7">
      <c r="B4499" s="6"/>
      <c r="E4499" s="7"/>
      <c r="F4499" t="str">
        <f t="shared" si="165"/>
        <v/>
      </c>
      <c r="G4499" t="str">
        <f t="shared" si="166"/>
        <v/>
      </c>
    </row>
    <row r="4500" spans="2:7">
      <c r="B4500" s="6"/>
      <c r="E4500" s="7"/>
      <c r="F4500" t="str">
        <f t="shared" si="165"/>
        <v/>
      </c>
      <c r="G4500" t="str">
        <f t="shared" si="166"/>
        <v/>
      </c>
    </row>
    <row r="4501" spans="2:7">
      <c r="B4501" s="6"/>
      <c r="E4501" s="7"/>
      <c r="F4501" t="str">
        <f t="shared" si="165"/>
        <v/>
      </c>
      <c r="G4501" t="str">
        <f t="shared" si="166"/>
        <v/>
      </c>
    </row>
    <row r="4502" spans="2:7">
      <c r="B4502" s="6"/>
      <c r="E4502" s="7"/>
      <c r="F4502" t="str">
        <f t="shared" si="165"/>
        <v/>
      </c>
      <c r="G4502" t="str">
        <f t="shared" si="166"/>
        <v/>
      </c>
    </row>
    <row r="4503" spans="2:7">
      <c r="B4503" s="6"/>
      <c r="E4503" s="7"/>
      <c r="F4503" t="str">
        <f t="shared" si="165"/>
        <v/>
      </c>
      <c r="G4503" t="str">
        <f t="shared" si="166"/>
        <v/>
      </c>
    </row>
    <row r="4504" spans="2:7">
      <c r="B4504" s="6"/>
      <c r="E4504" s="7"/>
      <c r="F4504" t="str">
        <f t="shared" si="165"/>
        <v/>
      </c>
      <c r="G4504" t="str">
        <f t="shared" si="166"/>
        <v/>
      </c>
    </row>
    <row r="4505" spans="2:7">
      <c r="B4505" s="6"/>
      <c r="E4505" s="7"/>
      <c r="F4505" t="str">
        <f t="shared" si="165"/>
        <v/>
      </c>
      <c r="G4505" t="str">
        <f t="shared" si="166"/>
        <v/>
      </c>
    </row>
    <row r="4506" spans="2:7">
      <c r="B4506" s="6"/>
      <c r="E4506" s="7"/>
      <c r="F4506" t="str">
        <f t="shared" si="165"/>
        <v/>
      </c>
      <c r="G4506" t="str">
        <f t="shared" si="166"/>
        <v/>
      </c>
    </row>
    <row r="4507" spans="2:7">
      <c r="B4507" s="6"/>
      <c r="E4507" s="7"/>
      <c r="F4507" t="str">
        <f t="shared" si="165"/>
        <v/>
      </c>
      <c r="G4507" t="str">
        <f t="shared" si="166"/>
        <v/>
      </c>
    </row>
    <row r="4508" spans="2:7">
      <c r="B4508" s="6"/>
      <c r="E4508" s="7"/>
      <c r="F4508" t="str">
        <f t="shared" si="165"/>
        <v/>
      </c>
      <c r="G4508" t="str">
        <f t="shared" si="166"/>
        <v/>
      </c>
    </row>
    <row r="4509" spans="2:7">
      <c r="B4509" s="6"/>
      <c r="E4509" s="7"/>
      <c r="F4509" t="str">
        <f t="shared" si="165"/>
        <v/>
      </c>
      <c r="G4509" t="str">
        <f t="shared" si="166"/>
        <v/>
      </c>
    </row>
    <row r="4510" spans="2:7">
      <c r="B4510" s="6"/>
      <c r="E4510" s="7"/>
      <c r="F4510" t="str">
        <f t="shared" si="165"/>
        <v/>
      </c>
      <c r="G4510" t="str">
        <f t="shared" si="166"/>
        <v/>
      </c>
    </row>
    <row r="4511" spans="2:7">
      <c r="B4511" s="6"/>
      <c r="E4511" s="7"/>
      <c r="F4511" t="str">
        <f t="shared" si="165"/>
        <v/>
      </c>
      <c r="G4511" t="str">
        <f t="shared" si="166"/>
        <v/>
      </c>
    </row>
    <row r="4512" spans="2:7">
      <c r="B4512" s="6"/>
      <c r="E4512" s="7"/>
      <c r="F4512" t="str">
        <f t="shared" si="165"/>
        <v/>
      </c>
      <c r="G4512" t="str">
        <f t="shared" si="166"/>
        <v/>
      </c>
    </row>
    <row r="4513" spans="2:7">
      <c r="B4513" s="6"/>
      <c r="E4513" s="7"/>
      <c r="F4513" t="str">
        <f t="shared" si="165"/>
        <v/>
      </c>
      <c r="G4513" t="str">
        <f t="shared" si="166"/>
        <v/>
      </c>
    </row>
    <row r="4514" spans="2:7">
      <c r="B4514" s="6"/>
      <c r="E4514" s="7"/>
      <c r="F4514" t="str">
        <f t="shared" si="165"/>
        <v/>
      </c>
      <c r="G4514" t="str">
        <f t="shared" si="166"/>
        <v/>
      </c>
    </row>
    <row r="4515" spans="2:7">
      <c r="B4515" s="6"/>
      <c r="E4515" s="7"/>
      <c r="F4515" t="str">
        <f t="shared" si="165"/>
        <v/>
      </c>
      <c r="G4515" t="str">
        <f t="shared" si="166"/>
        <v/>
      </c>
    </row>
    <row r="4516" spans="2:7">
      <c r="B4516" s="6"/>
      <c r="E4516" s="7"/>
      <c r="F4516" t="str">
        <f t="shared" si="165"/>
        <v/>
      </c>
      <c r="G4516" t="str">
        <f t="shared" si="166"/>
        <v/>
      </c>
    </row>
    <row r="4517" spans="2:7">
      <c r="B4517" s="6"/>
      <c r="E4517" s="7"/>
      <c r="F4517" t="str">
        <f t="shared" si="165"/>
        <v/>
      </c>
      <c r="G4517" t="str">
        <f t="shared" si="166"/>
        <v/>
      </c>
    </row>
    <row r="4518" spans="2:7">
      <c r="B4518" s="6"/>
      <c r="E4518" s="7"/>
      <c r="F4518" t="str">
        <f t="shared" si="165"/>
        <v/>
      </c>
      <c r="G4518" t="str">
        <f t="shared" si="166"/>
        <v/>
      </c>
    </row>
    <row r="4519" spans="2:7">
      <c r="B4519" s="6"/>
      <c r="E4519" s="7"/>
      <c r="F4519" t="str">
        <f t="shared" si="165"/>
        <v/>
      </c>
      <c r="G4519" t="str">
        <f t="shared" si="166"/>
        <v/>
      </c>
    </row>
    <row r="4520" spans="2:7">
      <c r="B4520" s="6"/>
      <c r="E4520" s="7"/>
      <c r="F4520" t="str">
        <f t="shared" si="165"/>
        <v/>
      </c>
      <c r="G4520" t="str">
        <f t="shared" si="166"/>
        <v/>
      </c>
    </row>
    <row r="4521" spans="2:7">
      <c r="B4521" s="6"/>
      <c r="E4521" s="7"/>
      <c r="F4521" t="str">
        <f t="shared" si="165"/>
        <v/>
      </c>
      <c r="G4521" t="str">
        <f t="shared" si="166"/>
        <v/>
      </c>
    </row>
    <row r="4522" spans="2:7">
      <c r="B4522" s="6"/>
      <c r="E4522" s="7"/>
      <c r="F4522" t="str">
        <f t="shared" si="165"/>
        <v/>
      </c>
      <c r="G4522" t="str">
        <f t="shared" si="166"/>
        <v/>
      </c>
    </row>
    <row r="4523" spans="2:7">
      <c r="B4523" s="6"/>
      <c r="E4523" s="7"/>
      <c r="F4523" t="str">
        <f t="shared" si="165"/>
        <v/>
      </c>
      <c r="G4523" t="str">
        <f t="shared" si="166"/>
        <v/>
      </c>
    </row>
    <row r="4524" spans="2:7">
      <c r="B4524" s="6"/>
      <c r="E4524" s="7"/>
      <c r="F4524" t="str">
        <f t="shared" si="165"/>
        <v/>
      </c>
      <c r="G4524" t="str">
        <f t="shared" si="166"/>
        <v/>
      </c>
    </row>
    <row r="4525" spans="2:7">
      <c r="B4525" s="6"/>
      <c r="E4525" s="7"/>
      <c r="F4525" t="str">
        <f t="shared" si="165"/>
        <v/>
      </c>
      <c r="G4525" t="str">
        <f t="shared" si="166"/>
        <v/>
      </c>
    </row>
    <row r="4526" spans="2:7">
      <c r="B4526" s="6"/>
      <c r="E4526" s="7"/>
      <c r="F4526" t="str">
        <f t="shared" si="165"/>
        <v/>
      </c>
      <c r="G4526" t="str">
        <f t="shared" si="166"/>
        <v/>
      </c>
    </row>
    <row r="4527" spans="2:7">
      <c r="B4527" s="6"/>
      <c r="E4527" s="7"/>
      <c r="F4527" t="str">
        <f t="shared" si="165"/>
        <v/>
      </c>
      <c r="G4527" t="str">
        <f t="shared" si="166"/>
        <v/>
      </c>
    </row>
    <row r="4528" spans="2:7">
      <c r="B4528" s="6"/>
      <c r="E4528" s="7"/>
      <c r="F4528" t="str">
        <f t="shared" si="165"/>
        <v/>
      </c>
      <c r="G4528" t="str">
        <f t="shared" si="166"/>
        <v/>
      </c>
    </row>
    <row r="4529" spans="2:7">
      <c r="B4529" s="6"/>
      <c r="E4529" s="7"/>
      <c r="F4529" t="str">
        <f t="shared" si="165"/>
        <v/>
      </c>
      <c r="G4529" t="str">
        <f t="shared" si="166"/>
        <v/>
      </c>
    </row>
    <row r="4530" spans="2:7">
      <c r="B4530" s="6"/>
      <c r="E4530" s="7"/>
      <c r="F4530" t="str">
        <f t="shared" si="165"/>
        <v/>
      </c>
      <c r="G4530" t="str">
        <f t="shared" si="166"/>
        <v/>
      </c>
    </row>
    <row r="4531" spans="2:7">
      <c r="B4531" s="6"/>
      <c r="E4531" s="7"/>
      <c r="F4531" t="str">
        <f t="shared" si="165"/>
        <v/>
      </c>
      <c r="G4531" t="str">
        <f t="shared" si="166"/>
        <v/>
      </c>
    </row>
    <row r="4532" spans="2:7">
      <c r="B4532" s="6"/>
      <c r="E4532" s="7"/>
      <c r="F4532" t="str">
        <f t="shared" si="165"/>
        <v/>
      </c>
      <c r="G4532" t="str">
        <f t="shared" si="166"/>
        <v/>
      </c>
    </row>
    <row r="4533" spans="2:7">
      <c r="B4533" s="6"/>
      <c r="E4533" s="7"/>
      <c r="F4533" t="str">
        <f t="shared" si="165"/>
        <v/>
      </c>
      <c r="G4533" t="str">
        <f t="shared" si="166"/>
        <v/>
      </c>
    </row>
    <row r="4534" spans="2:7">
      <c r="B4534" s="6"/>
      <c r="E4534" s="7"/>
      <c r="F4534" t="str">
        <f t="shared" si="165"/>
        <v/>
      </c>
      <c r="G4534" t="str">
        <f t="shared" si="166"/>
        <v/>
      </c>
    </row>
    <row r="4535" spans="2:7">
      <c r="B4535" s="6"/>
      <c r="E4535" s="7"/>
      <c r="F4535" t="str">
        <f t="shared" si="165"/>
        <v/>
      </c>
      <c r="G4535" t="str">
        <f t="shared" si="166"/>
        <v/>
      </c>
    </row>
    <row r="4536" spans="2:7">
      <c r="B4536" s="6"/>
      <c r="E4536" s="7"/>
      <c r="F4536" t="str">
        <f t="shared" si="165"/>
        <v/>
      </c>
      <c r="G4536" t="str">
        <f t="shared" si="166"/>
        <v/>
      </c>
    </row>
    <row r="4537" spans="2:7">
      <c r="B4537" s="6"/>
      <c r="E4537" s="7"/>
      <c r="F4537" t="str">
        <f t="shared" si="165"/>
        <v/>
      </c>
      <c r="G4537" t="str">
        <f t="shared" si="166"/>
        <v/>
      </c>
    </row>
    <row r="4538" spans="2:7">
      <c r="B4538" s="6"/>
      <c r="E4538" s="7"/>
      <c r="F4538" t="str">
        <f t="shared" si="165"/>
        <v/>
      </c>
      <c r="G4538" t="str">
        <f t="shared" si="166"/>
        <v/>
      </c>
    </row>
    <row r="4539" spans="2:7">
      <c r="B4539" s="6"/>
      <c r="E4539" s="7"/>
      <c r="F4539" t="str">
        <f t="shared" si="165"/>
        <v/>
      </c>
      <c r="G4539" t="str">
        <f t="shared" si="166"/>
        <v/>
      </c>
    </row>
    <row r="4540" spans="2:7">
      <c r="B4540" s="6"/>
      <c r="E4540" s="7"/>
      <c r="F4540" t="str">
        <f t="shared" si="165"/>
        <v/>
      </c>
      <c r="G4540" t="str">
        <f t="shared" si="166"/>
        <v/>
      </c>
    </row>
    <row r="4541" spans="2:7">
      <c r="B4541" s="6"/>
      <c r="E4541" s="7"/>
      <c r="F4541" t="str">
        <f t="shared" si="165"/>
        <v/>
      </c>
      <c r="G4541" t="str">
        <f t="shared" si="166"/>
        <v/>
      </c>
    </row>
    <row r="4542" spans="2:7">
      <c r="B4542" s="6"/>
      <c r="E4542" s="7"/>
      <c r="F4542" t="str">
        <f t="shared" si="165"/>
        <v/>
      </c>
      <c r="G4542" t="str">
        <f t="shared" si="166"/>
        <v/>
      </c>
    </row>
    <row r="4543" spans="2:7">
      <c r="B4543" s="6"/>
      <c r="E4543" s="7"/>
      <c r="F4543" t="str">
        <f t="shared" si="165"/>
        <v/>
      </c>
      <c r="G4543" t="str">
        <f t="shared" si="166"/>
        <v/>
      </c>
    </row>
    <row r="4544" spans="2:7">
      <c r="B4544" s="6"/>
      <c r="E4544" s="7"/>
      <c r="F4544" t="str">
        <f t="shared" si="165"/>
        <v/>
      </c>
      <c r="G4544" t="str">
        <f t="shared" si="166"/>
        <v/>
      </c>
    </row>
    <row r="4545" spans="2:7">
      <c r="B4545" s="6"/>
      <c r="E4545" s="7"/>
      <c r="F4545" t="str">
        <f t="shared" si="165"/>
        <v/>
      </c>
      <c r="G4545" t="str">
        <f t="shared" si="166"/>
        <v/>
      </c>
    </row>
    <row r="4546" spans="2:7">
      <c r="B4546" s="6"/>
      <c r="E4546" s="7"/>
      <c r="F4546" t="str">
        <f t="shared" si="165"/>
        <v/>
      </c>
      <c r="G4546" t="str">
        <f t="shared" si="166"/>
        <v/>
      </c>
    </row>
    <row r="4547" spans="2:7">
      <c r="B4547" s="6"/>
      <c r="E4547" s="7"/>
      <c r="F4547" t="str">
        <f t="shared" si="165"/>
        <v/>
      </c>
      <c r="G4547" t="str">
        <f t="shared" si="166"/>
        <v/>
      </c>
    </row>
    <row r="4548" spans="2:7">
      <c r="B4548" s="6"/>
      <c r="E4548" s="7"/>
      <c r="F4548" t="str">
        <f t="shared" ref="F4548:F4611" si="167">IF(B4548="","",LOG10(D4548))</f>
        <v/>
      </c>
      <c r="G4548" t="str">
        <f t="shared" ref="G4548:G4611" si="168">IF(E4548="", "",0.434*E4548/D4548)</f>
        <v/>
      </c>
    </row>
    <row r="4549" spans="2:7">
      <c r="B4549" s="6"/>
      <c r="E4549" s="7"/>
      <c r="F4549" t="str">
        <f t="shared" si="167"/>
        <v/>
      </c>
      <c r="G4549" t="str">
        <f t="shared" si="168"/>
        <v/>
      </c>
    </row>
    <row r="4550" spans="2:7">
      <c r="B4550" s="6"/>
      <c r="E4550" s="7"/>
      <c r="F4550" t="str">
        <f t="shared" si="167"/>
        <v/>
      </c>
      <c r="G4550" t="str">
        <f t="shared" si="168"/>
        <v/>
      </c>
    </row>
    <row r="4551" spans="2:7">
      <c r="B4551" s="6"/>
      <c r="E4551" s="7"/>
      <c r="F4551" t="str">
        <f t="shared" si="167"/>
        <v/>
      </c>
      <c r="G4551" t="str">
        <f t="shared" si="168"/>
        <v/>
      </c>
    </row>
    <row r="4552" spans="2:7">
      <c r="B4552" s="6"/>
      <c r="E4552" s="7"/>
      <c r="F4552" t="str">
        <f t="shared" si="167"/>
        <v/>
      </c>
      <c r="G4552" t="str">
        <f t="shared" si="168"/>
        <v/>
      </c>
    </row>
    <row r="4553" spans="2:7">
      <c r="B4553" s="6"/>
      <c r="E4553" s="7"/>
      <c r="F4553" t="str">
        <f t="shared" si="167"/>
        <v/>
      </c>
      <c r="G4553" t="str">
        <f t="shared" si="168"/>
        <v/>
      </c>
    </row>
    <row r="4554" spans="2:7">
      <c r="B4554" s="6"/>
      <c r="E4554" s="7"/>
      <c r="F4554" t="str">
        <f t="shared" si="167"/>
        <v/>
      </c>
      <c r="G4554" t="str">
        <f t="shared" si="168"/>
        <v/>
      </c>
    </row>
    <row r="4555" spans="2:7">
      <c r="B4555" s="6"/>
      <c r="E4555" s="7"/>
      <c r="F4555" t="str">
        <f t="shared" si="167"/>
        <v/>
      </c>
      <c r="G4555" t="str">
        <f t="shared" si="168"/>
        <v/>
      </c>
    </row>
    <row r="4556" spans="2:7">
      <c r="B4556" s="6"/>
      <c r="E4556" s="7"/>
      <c r="F4556" t="str">
        <f t="shared" si="167"/>
        <v/>
      </c>
      <c r="G4556" t="str">
        <f t="shared" si="168"/>
        <v/>
      </c>
    </row>
    <row r="4557" spans="2:7">
      <c r="B4557" s="6"/>
      <c r="E4557" s="7"/>
      <c r="F4557" t="str">
        <f t="shared" si="167"/>
        <v/>
      </c>
      <c r="G4557" t="str">
        <f t="shared" si="168"/>
        <v/>
      </c>
    </row>
    <row r="4558" spans="2:7">
      <c r="B4558" s="6"/>
      <c r="E4558" s="7"/>
      <c r="F4558" t="str">
        <f t="shared" si="167"/>
        <v/>
      </c>
      <c r="G4558" t="str">
        <f t="shared" si="168"/>
        <v/>
      </c>
    </row>
    <row r="4559" spans="2:7">
      <c r="B4559" s="6"/>
      <c r="E4559" s="7"/>
      <c r="F4559" t="str">
        <f t="shared" si="167"/>
        <v/>
      </c>
      <c r="G4559" t="str">
        <f t="shared" si="168"/>
        <v/>
      </c>
    </row>
    <row r="4560" spans="2:7">
      <c r="B4560" s="6"/>
      <c r="E4560" s="7"/>
      <c r="F4560" t="str">
        <f t="shared" si="167"/>
        <v/>
      </c>
      <c r="G4560" t="str">
        <f t="shared" si="168"/>
        <v/>
      </c>
    </row>
    <row r="4561" spans="2:7">
      <c r="B4561" s="6"/>
      <c r="E4561" s="7"/>
      <c r="F4561" t="str">
        <f t="shared" si="167"/>
        <v/>
      </c>
      <c r="G4561" t="str">
        <f t="shared" si="168"/>
        <v/>
      </c>
    </row>
    <row r="4562" spans="2:7">
      <c r="B4562" s="6"/>
      <c r="E4562" s="7"/>
      <c r="F4562" t="str">
        <f t="shared" si="167"/>
        <v/>
      </c>
      <c r="G4562" t="str">
        <f t="shared" si="168"/>
        <v/>
      </c>
    </row>
    <row r="4563" spans="2:7">
      <c r="B4563" s="6"/>
      <c r="E4563" s="7"/>
      <c r="F4563" t="str">
        <f t="shared" si="167"/>
        <v/>
      </c>
      <c r="G4563" t="str">
        <f t="shared" si="168"/>
        <v/>
      </c>
    </row>
    <row r="4564" spans="2:7">
      <c r="B4564" s="6"/>
      <c r="E4564" s="7"/>
      <c r="F4564" t="str">
        <f t="shared" si="167"/>
        <v/>
      </c>
      <c r="G4564" t="str">
        <f t="shared" si="168"/>
        <v/>
      </c>
    </row>
    <row r="4565" spans="2:7">
      <c r="B4565" s="6"/>
      <c r="E4565" s="7"/>
      <c r="F4565" t="str">
        <f t="shared" si="167"/>
        <v/>
      </c>
      <c r="G4565" t="str">
        <f t="shared" si="168"/>
        <v/>
      </c>
    </row>
    <row r="4566" spans="2:7">
      <c r="B4566" s="6"/>
      <c r="E4566" s="7"/>
      <c r="F4566" t="str">
        <f t="shared" si="167"/>
        <v/>
      </c>
      <c r="G4566" t="str">
        <f t="shared" si="168"/>
        <v/>
      </c>
    </row>
    <row r="4567" spans="2:7">
      <c r="B4567" s="6"/>
      <c r="E4567" s="7"/>
      <c r="F4567" t="str">
        <f t="shared" si="167"/>
        <v/>
      </c>
      <c r="G4567" t="str">
        <f t="shared" si="168"/>
        <v/>
      </c>
    </row>
    <row r="4568" spans="2:7">
      <c r="B4568" s="6"/>
      <c r="E4568" s="7"/>
      <c r="F4568" t="str">
        <f t="shared" si="167"/>
        <v/>
      </c>
      <c r="G4568" t="str">
        <f t="shared" si="168"/>
        <v/>
      </c>
    </row>
    <row r="4569" spans="2:7">
      <c r="B4569" s="6"/>
      <c r="E4569" s="7"/>
      <c r="F4569" t="str">
        <f t="shared" si="167"/>
        <v/>
      </c>
      <c r="G4569" t="str">
        <f t="shared" si="168"/>
        <v/>
      </c>
    </row>
    <row r="4570" spans="2:7">
      <c r="B4570" s="6"/>
      <c r="E4570" s="7"/>
      <c r="F4570" t="str">
        <f t="shared" si="167"/>
        <v/>
      </c>
      <c r="G4570" t="str">
        <f t="shared" si="168"/>
        <v/>
      </c>
    </row>
    <row r="4571" spans="2:7">
      <c r="B4571" s="6"/>
      <c r="E4571" s="7"/>
      <c r="F4571" t="str">
        <f t="shared" si="167"/>
        <v/>
      </c>
      <c r="G4571" t="str">
        <f t="shared" si="168"/>
        <v/>
      </c>
    </row>
    <row r="4572" spans="2:7">
      <c r="B4572" s="6"/>
      <c r="E4572" s="7"/>
      <c r="F4572" t="str">
        <f t="shared" si="167"/>
        <v/>
      </c>
      <c r="G4572" t="str">
        <f t="shared" si="168"/>
        <v/>
      </c>
    </row>
    <row r="4573" spans="2:7">
      <c r="B4573" s="6"/>
      <c r="E4573" s="7"/>
      <c r="F4573" t="str">
        <f t="shared" si="167"/>
        <v/>
      </c>
      <c r="G4573" t="str">
        <f t="shared" si="168"/>
        <v/>
      </c>
    </row>
    <row r="4574" spans="2:7">
      <c r="B4574" s="6"/>
      <c r="E4574" s="7"/>
      <c r="F4574" t="str">
        <f t="shared" si="167"/>
        <v/>
      </c>
      <c r="G4574" t="str">
        <f t="shared" si="168"/>
        <v/>
      </c>
    </row>
    <row r="4575" spans="2:7">
      <c r="B4575" s="6"/>
      <c r="E4575" s="7"/>
      <c r="F4575" t="str">
        <f t="shared" si="167"/>
        <v/>
      </c>
      <c r="G4575" t="str">
        <f t="shared" si="168"/>
        <v/>
      </c>
    </row>
    <row r="4576" spans="2:7">
      <c r="B4576" s="6"/>
      <c r="E4576" s="7"/>
      <c r="F4576" t="str">
        <f t="shared" si="167"/>
        <v/>
      </c>
      <c r="G4576" t="str">
        <f t="shared" si="168"/>
        <v/>
      </c>
    </row>
    <row r="4577" spans="2:7">
      <c r="B4577" s="6"/>
      <c r="E4577" s="7"/>
      <c r="F4577" t="str">
        <f t="shared" si="167"/>
        <v/>
      </c>
      <c r="G4577" t="str">
        <f t="shared" si="168"/>
        <v/>
      </c>
    </row>
    <row r="4578" spans="2:7">
      <c r="B4578" s="6"/>
      <c r="E4578" s="7"/>
      <c r="F4578" t="str">
        <f t="shared" si="167"/>
        <v/>
      </c>
      <c r="G4578" t="str">
        <f t="shared" si="168"/>
        <v/>
      </c>
    </row>
    <row r="4579" spans="2:7">
      <c r="B4579" s="6"/>
      <c r="E4579" s="7"/>
      <c r="F4579" t="str">
        <f t="shared" si="167"/>
        <v/>
      </c>
      <c r="G4579" t="str">
        <f t="shared" si="168"/>
        <v/>
      </c>
    </row>
    <row r="4580" spans="2:7">
      <c r="B4580" s="6"/>
      <c r="E4580" s="7"/>
      <c r="F4580" t="str">
        <f t="shared" si="167"/>
        <v/>
      </c>
      <c r="G4580" t="str">
        <f t="shared" si="168"/>
        <v/>
      </c>
    </row>
    <row r="4581" spans="2:7">
      <c r="B4581" s="6"/>
      <c r="E4581" s="7"/>
      <c r="F4581" t="str">
        <f t="shared" si="167"/>
        <v/>
      </c>
      <c r="G4581" t="str">
        <f t="shared" si="168"/>
        <v/>
      </c>
    </row>
    <row r="4582" spans="2:7">
      <c r="B4582" s="6"/>
      <c r="E4582" s="7"/>
      <c r="F4582" t="str">
        <f t="shared" si="167"/>
        <v/>
      </c>
      <c r="G4582" t="str">
        <f t="shared" si="168"/>
        <v/>
      </c>
    </row>
    <row r="4583" spans="2:7">
      <c r="B4583" s="6"/>
      <c r="E4583" s="7"/>
      <c r="F4583" t="str">
        <f t="shared" si="167"/>
        <v/>
      </c>
      <c r="G4583" t="str">
        <f t="shared" si="168"/>
        <v/>
      </c>
    </row>
    <row r="4584" spans="2:7">
      <c r="B4584" s="6"/>
      <c r="E4584" s="7"/>
      <c r="F4584" t="str">
        <f t="shared" si="167"/>
        <v/>
      </c>
      <c r="G4584" t="str">
        <f t="shared" si="168"/>
        <v/>
      </c>
    </row>
    <row r="4585" spans="2:7">
      <c r="B4585" s="6"/>
      <c r="E4585" s="7"/>
      <c r="F4585" t="str">
        <f t="shared" si="167"/>
        <v/>
      </c>
      <c r="G4585" t="str">
        <f t="shared" si="168"/>
        <v/>
      </c>
    </row>
    <row r="4586" spans="2:7">
      <c r="B4586" s="6"/>
      <c r="E4586" s="7"/>
      <c r="F4586" t="str">
        <f t="shared" si="167"/>
        <v/>
      </c>
      <c r="G4586" t="str">
        <f t="shared" si="168"/>
        <v/>
      </c>
    </row>
    <row r="4587" spans="2:7">
      <c r="B4587" s="6"/>
      <c r="E4587" s="7"/>
      <c r="F4587" t="str">
        <f t="shared" si="167"/>
        <v/>
      </c>
      <c r="G4587" t="str">
        <f t="shared" si="168"/>
        <v/>
      </c>
    </row>
    <row r="4588" spans="2:7">
      <c r="B4588" s="6"/>
      <c r="E4588" s="7"/>
      <c r="F4588" t="str">
        <f t="shared" si="167"/>
        <v/>
      </c>
      <c r="G4588" t="str">
        <f t="shared" si="168"/>
        <v/>
      </c>
    </row>
    <row r="4589" spans="2:7">
      <c r="B4589" s="6"/>
      <c r="E4589" s="7"/>
      <c r="F4589" t="str">
        <f t="shared" si="167"/>
        <v/>
      </c>
      <c r="G4589" t="str">
        <f t="shared" si="168"/>
        <v/>
      </c>
    </row>
    <row r="4590" spans="2:7">
      <c r="B4590" s="6"/>
      <c r="E4590" s="7"/>
      <c r="F4590" t="str">
        <f t="shared" si="167"/>
        <v/>
      </c>
      <c r="G4590" t="str">
        <f t="shared" si="168"/>
        <v/>
      </c>
    </row>
    <row r="4591" spans="2:7">
      <c r="B4591" s="6"/>
      <c r="E4591" s="7"/>
      <c r="F4591" t="str">
        <f t="shared" si="167"/>
        <v/>
      </c>
      <c r="G4591" t="str">
        <f t="shared" si="168"/>
        <v/>
      </c>
    </row>
    <row r="4592" spans="2:7">
      <c r="B4592" s="6"/>
      <c r="E4592" s="7"/>
      <c r="F4592" t="str">
        <f t="shared" si="167"/>
        <v/>
      </c>
      <c r="G4592" t="str">
        <f t="shared" si="168"/>
        <v/>
      </c>
    </row>
    <row r="4593" spans="2:7">
      <c r="B4593" s="6"/>
      <c r="E4593" s="7"/>
      <c r="F4593" t="str">
        <f t="shared" si="167"/>
        <v/>
      </c>
      <c r="G4593" t="str">
        <f t="shared" si="168"/>
        <v/>
      </c>
    </row>
    <row r="4594" spans="2:7">
      <c r="B4594" s="6"/>
      <c r="E4594" s="7"/>
      <c r="F4594" t="str">
        <f t="shared" si="167"/>
        <v/>
      </c>
      <c r="G4594" t="str">
        <f t="shared" si="168"/>
        <v/>
      </c>
    </row>
    <row r="4595" spans="2:7">
      <c r="B4595" s="6"/>
      <c r="E4595" s="7"/>
      <c r="F4595" t="str">
        <f t="shared" si="167"/>
        <v/>
      </c>
      <c r="G4595" t="str">
        <f t="shared" si="168"/>
        <v/>
      </c>
    </row>
    <row r="4596" spans="2:7">
      <c r="B4596" s="6"/>
      <c r="E4596" s="7"/>
      <c r="F4596" t="str">
        <f t="shared" si="167"/>
        <v/>
      </c>
      <c r="G4596" t="str">
        <f t="shared" si="168"/>
        <v/>
      </c>
    </row>
    <row r="4597" spans="2:7">
      <c r="B4597" s="6"/>
      <c r="E4597" s="7"/>
      <c r="F4597" t="str">
        <f t="shared" si="167"/>
        <v/>
      </c>
      <c r="G4597" t="str">
        <f t="shared" si="168"/>
        <v/>
      </c>
    </row>
    <row r="4598" spans="2:7">
      <c r="B4598" s="6"/>
      <c r="E4598" s="7"/>
      <c r="F4598" t="str">
        <f t="shared" si="167"/>
        <v/>
      </c>
      <c r="G4598" t="str">
        <f t="shared" si="168"/>
        <v/>
      </c>
    </row>
    <row r="4599" spans="2:7">
      <c r="B4599" s="6"/>
      <c r="E4599" s="7"/>
      <c r="F4599" t="str">
        <f t="shared" si="167"/>
        <v/>
      </c>
      <c r="G4599" t="str">
        <f t="shared" si="168"/>
        <v/>
      </c>
    </row>
    <row r="4600" spans="2:7">
      <c r="B4600" s="6"/>
      <c r="E4600" s="7"/>
      <c r="F4600" t="str">
        <f t="shared" si="167"/>
        <v/>
      </c>
      <c r="G4600" t="str">
        <f t="shared" si="168"/>
        <v/>
      </c>
    </row>
    <row r="4601" spans="2:7">
      <c r="B4601" s="6"/>
      <c r="E4601" s="7"/>
      <c r="F4601" t="str">
        <f t="shared" si="167"/>
        <v/>
      </c>
      <c r="G4601" t="str">
        <f t="shared" si="168"/>
        <v/>
      </c>
    </row>
    <row r="4602" spans="2:7">
      <c r="B4602" s="6"/>
      <c r="E4602" s="7"/>
      <c r="F4602" t="str">
        <f t="shared" si="167"/>
        <v/>
      </c>
      <c r="G4602" t="str">
        <f t="shared" si="168"/>
        <v/>
      </c>
    </row>
    <row r="4603" spans="2:7">
      <c r="B4603" s="6"/>
      <c r="E4603" s="7"/>
      <c r="F4603" t="str">
        <f t="shared" si="167"/>
        <v/>
      </c>
      <c r="G4603" t="str">
        <f t="shared" si="168"/>
        <v/>
      </c>
    </row>
    <row r="4604" spans="2:7">
      <c r="B4604" s="6"/>
      <c r="E4604" s="7"/>
      <c r="F4604" t="str">
        <f t="shared" si="167"/>
        <v/>
      </c>
      <c r="G4604" t="str">
        <f t="shared" si="168"/>
        <v/>
      </c>
    </row>
    <row r="4605" spans="2:7">
      <c r="B4605" s="6"/>
      <c r="E4605" s="7"/>
      <c r="F4605" t="str">
        <f t="shared" si="167"/>
        <v/>
      </c>
      <c r="G4605" t="str">
        <f t="shared" si="168"/>
        <v/>
      </c>
    </row>
    <row r="4606" spans="2:7">
      <c r="B4606" s="6"/>
      <c r="E4606" s="7"/>
      <c r="F4606" t="str">
        <f t="shared" si="167"/>
        <v/>
      </c>
      <c r="G4606" t="str">
        <f t="shared" si="168"/>
        <v/>
      </c>
    </row>
    <row r="4607" spans="2:7">
      <c r="B4607" s="6"/>
      <c r="E4607" s="7"/>
      <c r="F4607" t="str">
        <f t="shared" si="167"/>
        <v/>
      </c>
      <c r="G4607" t="str">
        <f t="shared" si="168"/>
        <v/>
      </c>
    </row>
    <row r="4608" spans="2:7">
      <c r="B4608" s="6"/>
      <c r="E4608" s="7"/>
      <c r="F4608" t="str">
        <f t="shared" si="167"/>
        <v/>
      </c>
      <c r="G4608" t="str">
        <f t="shared" si="168"/>
        <v/>
      </c>
    </row>
    <row r="4609" spans="2:7">
      <c r="B4609" s="6"/>
      <c r="E4609" s="7"/>
      <c r="F4609" t="str">
        <f t="shared" si="167"/>
        <v/>
      </c>
      <c r="G4609" t="str">
        <f t="shared" si="168"/>
        <v/>
      </c>
    </row>
    <row r="4610" spans="2:7">
      <c r="B4610" s="6"/>
      <c r="E4610" s="7"/>
      <c r="F4610" t="str">
        <f t="shared" si="167"/>
        <v/>
      </c>
      <c r="G4610" t="str">
        <f t="shared" si="168"/>
        <v/>
      </c>
    </row>
    <row r="4611" spans="2:7">
      <c r="B4611" s="6"/>
      <c r="E4611" s="7"/>
      <c r="F4611" t="str">
        <f t="shared" si="167"/>
        <v/>
      </c>
      <c r="G4611" t="str">
        <f t="shared" si="168"/>
        <v/>
      </c>
    </row>
    <row r="4612" spans="2:7">
      <c r="B4612" s="6"/>
      <c r="E4612" s="7"/>
      <c r="F4612" t="str">
        <f t="shared" ref="F4612:F4675" si="169">IF(B4612="","",LOG10(D4612))</f>
        <v/>
      </c>
      <c r="G4612" t="str">
        <f t="shared" ref="G4612:G4675" si="170">IF(E4612="", "",0.434*E4612/D4612)</f>
        <v/>
      </c>
    </row>
    <row r="4613" spans="2:7">
      <c r="B4613" s="6"/>
      <c r="E4613" s="7"/>
      <c r="F4613" t="str">
        <f t="shared" si="169"/>
        <v/>
      </c>
      <c r="G4613" t="str">
        <f t="shared" si="170"/>
        <v/>
      </c>
    </row>
    <row r="4614" spans="2:7">
      <c r="B4614" s="6"/>
      <c r="E4614" s="7"/>
      <c r="F4614" t="str">
        <f t="shared" si="169"/>
        <v/>
      </c>
      <c r="G4614" t="str">
        <f t="shared" si="170"/>
        <v/>
      </c>
    </row>
    <row r="4615" spans="2:7">
      <c r="B4615" s="6"/>
      <c r="E4615" s="7"/>
      <c r="F4615" t="str">
        <f t="shared" si="169"/>
        <v/>
      </c>
      <c r="G4615" t="str">
        <f t="shared" si="170"/>
        <v/>
      </c>
    </row>
    <row r="4616" spans="2:7">
      <c r="B4616" s="6"/>
      <c r="E4616" s="7"/>
      <c r="F4616" t="str">
        <f t="shared" si="169"/>
        <v/>
      </c>
      <c r="G4616" t="str">
        <f t="shared" si="170"/>
        <v/>
      </c>
    </row>
    <row r="4617" spans="2:7">
      <c r="B4617" s="6"/>
      <c r="E4617" s="7"/>
      <c r="F4617" t="str">
        <f t="shared" si="169"/>
        <v/>
      </c>
      <c r="G4617" t="str">
        <f t="shared" si="170"/>
        <v/>
      </c>
    </row>
    <row r="4618" spans="2:7">
      <c r="B4618" s="6"/>
      <c r="E4618" s="7"/>
      <c r="F4618" t="str">
        <f t="shared" si="169"/>
        <v/>
      </c>
      <c r="G4618" t="str">
        <f t="shared" si="170"/>
        <v/>
      </c>
    </row>
    <row r="4619" spans="2:7">
      <c r="B4619" s="6"/>
      <c r="E4619" s="7"/>
      <c r="F4619" t="str">
        <f t="shared" si="169"/>
        <v/>
      </c>
      <c r="G4619" t="str">
        <f t="shared" si="170"/>
        <v/>
      </c>
    </row>
    <row r="4620" spans="2:7">
      <c r="B4620" s="6"/>
      <c r="E4620" s="7"/>
      <c r="F4620" t="str">
        <f t="shared" si="169"/>
        <v/>
      </c>
      <c r="G4620" t="str">
        <f t="shared" si="170"/>
        <v/>
      </c>
    </row>
    <row r="4621" spans="2:7">
      <c r="B4621" s="6"/>
      <c r="E4621" s="7"/>
      <c r="F4621" t="str">
        <f t="shared" si="169"/>
        <v/>
      </c>
      <c r="G4621" t="str">
        <f t="shared" si="170"/>
        <v/>
      </c>
    </row>
    <row r="4622" spans="2:7">
      <c r="B4622" s="6"/>
      <c r="E4622" s="7"/>
      <c r="F4622" t="str">
        <f t="shared" si="169"/>
        <v/>
      </c>
      <c r="G4622" t="str">
        <f t="shared" si="170"/>
        <v/>
      </c>
    </row>
    <row r="4623" spans="2:7">
      <c r="B4623" s="6"/>
      <c r="E4623" s="7"/>
      <c r="F4623" t="str">
        <f t="shared" si="169"/>
        <v/>
      </c>
      <c r="G4623" t="str">
        <f t="shared" si="170"/>
        <v/>
      </c>
    </row>
    <row r="4624" spans="2:7">
      <c r="B4624" s="6"/>
      <c r="E4624" s="7"/>
      <c r="F4624" t="str">
        <f t="shared" si="169"/>
        <v/>
      </c>
      <c r="G4624" t="str">
        <f t="shared" si="170"/>
        <v/>
      </c>
    </row>
    <row r="4625" spans="2:7">
      <c r="B4625" s="6"/>
      <c r="E4625" s="7"/>
      <c r="F4625" t="str">
        <f t="shared" si="169"/>
        <v/>
      </c>
      <c r="G4625" t="str">
        <f t="shared" si="170"/>
        <v/>
      </c>
    </row>
    <row r="4626" spans="2:7">
      <c r="B4626" s="6"/>
      <c r="E4626" s="7"/>
      <c r="F4626" t="str">
        <f t="shared" si="169"/>
        <v/>
      </c>
      <c r="G4626" t="str">
        <f t="shared" si="170"/>
        <v/>
      </c>
    </row>
    <row r="4627" spans="2:7">
      <c r="B4627" s="6"/>
      <c r="E4627" s="7"/>
      <c r="F4627" t="str">
        <f t="shared" si="169"/>
        <v/>
      </c>
      <c r="G4627" t="str">
        <f t="shared" si="170"/>
        <v/>
      </c>
    </row>
    <row r="4628" spans="2:7">
      <c r="B4628" s="6"/>
      <c r="E4628" s="7"/>
      <c r="F4628" t="str">
        <f t="shared" si="169"/>
        <v/>
      </c>
      <c r="G4628" t="str">
        <f t="shared" si="170"/>
        <v/>
      </c>
    </row>
    <row r="4629" spans="2:7">
      <c r="B4629" s="6"/>
      <c r="E4629" s="7"/>
      <c r="F4629" t="str">
        <f t="shared" si="169"/>
        <v/>
      </c>
      <c r="G4629" t="str">
        <f t="shared" si="170"/>
        <v/>
      </c>
    </row>
    <row r="4630" spans="2:7">
      <c r="B4630" s="6"/>
      <c r="E4630" s="7"/>
      <c r="F4630" t="str">
        <f t="shared" si="169"/>
        <v/>
      </c>
      <c r="G4630" t="str">
        <f t="shared" si="170"/>
        <v/>
      </c>
    </row>
    <row r="4631" spans="2:7">
      <c r="B4631" s="6"/>
      <c r="E4631" s="7"/>
      <c r="F4631" t="str">
        <f t="shared" si="169"/>
        <v/>
      </c>
      <c r="G4631" t="str">
        <f t="shared" si="170"/>
        <v/>
      </c>
    </row>
    <row r="4632" spans="2:7">
      <c r="B4632" s="6"/>
      <c r="E4632" s="7"/>
      <c r="F4632" t="str">
        <f t="shared" si="169"/>
        <v/>
      </c>
      <c r="G4632" t="str">
        <f t="shared" si="170"/>
        <v/>
      </c>
    </row>
    <row r="4633" spans="2:7">
      <c r="B4633" s="6"/>
      <c r="E4633" s="7"/>
      <c r="F4633" t="str">
        <f t="shared" si="169"/>
        <v/>
      </c>
      <c r="G4633" t="str">
        <f t="shared" si="170"/>
        <v/>
      </c>
    </row>
    <row r="4634" spans="2:7">
      <c r="B4634" s="6"/>
      <c r="E4634" s="7"/>
      <c r="F4634" t="str">
        <f t="shared" si="169"/>
        <v/>
      </c>
      <c r="G4634" t="str">
        <f t="shared" si="170"/>
        <v/>
      </c>
    </row>
    <row r="4635" spans="2:7">
      <c r="B4635" s="6"/>
      <c r="E4635" s="7"/>
      <c r="F4635" t="str">
        <f t="shared" si="169"/>
        <v/>
      </c>
      <c r="G4635" t="str">
        <f t="shared" si="170"/>
        <v/>
      </c>
    </row>
    <row r="4636" spans="2:7">
      <c r="B4636" s="6"/>
      <c r="E4636" s="7"/>
      <c r="F4636" t="str">
        <f t="shared" si="169"/>
        <v/>
      </c>
      <c r="G4636" t="str">
        <f t="shared" si="170"/>
        <v/>
      </c>
    </row>
    <row r="4637" spans="2:7">
      <c r="B4637" s="6"/>
      <c r="E4637" s="7"/>
      <c r="F4637" t="str">
        <f t="shared" si="169"/>
        <v/>
      </c>
      <c r="G4637" t="str">
        <f t="shared" si="170"/>
        <v/>
      </c>
    </row>
    <row r="4638" spans="2:7">
      <c r="B4638" s="6"/>
      <c r="E4638" s="7"/>
      <c r="F4638" t="str">
        <f t="shared" si="169"/>
        <v/>
      </c>
      <c r="G4638" t="str">
        <f t="shared" si="170"/>
        <v/>
      </c>
    </row>
    <row r="4639" spans="2:7">
      <c r="B4639" s="6"/>
      <c r="E4639" s="7"/>
      <c r="F4639" t="str">
        <f t="shared" si="169"/>
        <v/>
      </c>
      <c r="G4639" t="str">
        <f t="shared" si="170"/>
        <v/>
      </c>
    </row>
    <row r="4640" spans="2:7">
      <c r="B4640" s="6"/>
      <c r="E4640" s="7"/>
      <c r="F4640" t="str">
        <f t="shared" si="169"/>
        <v/>
      </c>
      <c r="G4640" t="str">
        <f t="shared" si="170"/>
        <v/>
      </c>
    </row>
    <row r="4641" spans="2:7">
      <c r="B4641" s="6"/>
      <c r="E4641" s="7"/>
      <c r="F4641" t="str">
        <f t="shared" si="169"/>
        <v/>
      </c>
      <c r="G4641" t="str">
        <f t="shared" si="170"/>
        <v/>
      </c>
    </row>
    <row r="4642" spans="2:7">
      <c r="B4642" s="6"/>
      <c r="E4642" s="7"/>
      <c r="F4642" t="str">
        <f t="shared" si="169"/>
        <v/>
      </c>
      <c r="G4642" t="str">
        <f t="shared" si="170"/>
        <v/>
      </c>
    </row>
    <row r="4643" spans="2:7">
      <c r="B4643" s="6"/>
      <c r="E4643" s="7"/>
      <c r="F4643" t="str">
        <f t="shared" si="169"/>
        <v/>
      </c>
      <c r="G4643" t="str">
        <f t="shared" si="170"/>
        <v/>
      </c>
    </row>
    <row r="4644" spans="2:7">
      <c r="B4644" s="6"/>
      <c r="E4644" s="7"/>
      <c r="F4644" t="str">
        <f t="shared" si="169"/>
        <v/>
      </c>
      <c r="G4644" t="str">
        <f t="shared" si="170"/>
        <v/>
      </c>
    </row>
    <row r="4645" spans="2:7">
      <c r="B4645" s="6"/>
      <c r="E4645" s="7"/>
      <c r="F4645" t="str">
        <f t="shared" si="169"/>
        <v/>
      </c>
      <c r="G4645" t="str">
        <f t="shared" si="170"/>
        <v/>
      </c>
    </row>
    <row r="4646" spans="2:7">
      <c r="B4646" s="6"/>
      <c r="E4646" s="7"/>
      <c r="F4646" t="str">
        <f t="shared" si="169"/>
        <v/>
      </c>
      <c r="G4646" t="str">
        <f t="shared" si="170"/>
        <v/>
      </c>
    </row>
    <row r="4647" spans="2:7">
      <c r="B4647" s="6"/>
      <c r="E4647" s="7"/>
      <c r="F4647" t="str">
        <f t="shared" si="169"/>
        <v/>
      </c>
      <c r="G4647" t="str">
        <f t="shared" si="170"/>
        <v/>
      </c>
    </row>
    <row r="4648" spans="2:7">
      <c r="B4648" s="6"/>
      <c r="E4648" s="7"/>
      <c r="F4648" t="str">
        <f t="shared" si="169"/>
        <v/>
      </c>
      <c r="G4648" t="str">
        <f t="shared" si="170"/>
        <v/>
      </c>
    </row>
    <row r="4649" spans="2:7">
      <c r="B4649" s="6"/>
      <c r="E4649" s="7"/>
      <c r="F4649" t="str">
        <f t="shared" si="169"/>
        <v/>
      </c>
      <c r="G4649" t="str">
        <f t="shared" si="170"/>
        <v/>
      </c>
    </row>
    <row r="4650" spans="2:7">
      <c r="B4650" s="6"/>
      <c r="E4650" s="7"/>
      <c r="F4650" t="str">
        <f t="shared" si="169"/>
        <v/>
      </c>
      <c r="G4650" t="str">
        <f t="shared" si="170"/>
        <v/>
      </c>
    </row>
    <row r="4651" spans="2:7">
      <c r="B4651" s="6"/>
      <c r="E4651" s="7"/>
      <c r="F4651" t="str">
        <f t="shared" si="169"/>
        <v/>
      </c>
      <c r="G4651" t="str">
        <f t="shared" si="170"/>
        <v/>
      </c>
    </row>
    <row r="4652" spans="2:7">
      <c r="B4652" s="6"/>
      <c r="E4652" s="7"/>
      <c r="F4652" t="str">
        <f t="shared" si="169"/>
        <v/>
      </c>
      <c r="G4652" t="str">
        <f t="shared" si="170"/>
        <v/>
      </c>
    </row>
    <row r="4653" spans="2:7">
      <c r="B4653" s="6"/>
      <c r="E4653" s="7"/>
      <c r="F4653" t="str">
        <f t="shared" si="169"/>
        <v/>
      </c>
      <c r="G4653" t="str">
        <f t="shared" si="170"/>
        <v/>
      </c>
    </row>
    <row r="4654" spans="2:7">
      <c r="B4654" s="6"/>
      <c r="E4654" s="7"/>
      <c r="F4654" t="str">
        <f t="shared" si="169"/>
        <v/>
      </c>
      <c r="G4654" t="str">
        <f t="shared" si="170"/>
        <v/>
      </c>
    </row>
    <row r="4655" spans="2:7">
      <c r="B4655" s="6"/>
      <c r="E4655" s="7"/>
      <c r="F4655" t="str">
        <f t="shared" si="169"/>
        <v/>
      </c>
      <c r="G4655" t="str">
        <f t="shared" si="170"/>
        <v/>
      </c>
    </row>
    <row r="4656" spans="2:7">
      <c r="B4656" s="6"/>
      <c r="E4656" s="7"/>
      <c r="F4656" t="str">
        <f t="shared" si="169"/>
        <v/>
      </c>
      <c r="G4656" t="str">
        <f t="shared" si="170"/>
        <v/>
      </c>
    </row>
    <row r="4657" spans="2:7">
      <c r="B4657" s="6"/>
      <c r="E4657" s="7"/>
      <c r="F4657" t="str">
        <f t="shared" si="169"/>
        <v/>
      </c>
      <c r="G4657" t="str">
        <f t="shared" si="170"/>
        <v/>
      </c>
    </row>
    <row r="4658" spans="2:7">
      <c r="B4658" s="6"/>
      <c r="E4658" s="7"/>
      <c r="F4658" t="str">
        <f t="shared" si="169"/>
        <v/>
      </c>
      <c r="G4658" t="str">
        <f t="shared" si="170"/>
        <v/>
      </c>
    </row>
    <row r="4659" spans="2:7">
      <c r="B4659" s="6"/>
      <c r="E4659" s="7"/>
      <c r="F4659" t="str">
        <f t="shared" si="169"/>
        <v/>
      </c>
      <c r="G4659" t="str">
        <f t="shared" si="170"/>
        <v/>
      </c>
    </row>
    <row r="4660" spans="2:7">
      <c r="B4660" s="6"/>
      <c r="E4660" s="7"/>
      <c r="F4660" t="str">
        <f t="shared" si="169"/>
        <v/>
      </c>
      <c r="G4660" t="str">
        <f t="shared" si="170"/>
        <v/>
      </c>
    </row>
    <row r="4661" spans="2:7">
      <c r="B4661" s="6"/>
      <c r="E4661" s="7"/>
      <c r="F4661" t="str">
        <f t="shared" si="169"/>
        <v/>
      </c>
      <c r="G4661" t="str">
        <f t="shared" si="170"/>
        <v/>
      </c>
    </row>
    <row r="4662" spans="2:7">
      <c r="B4662" s="6"/>
      <c r="E4662" s="7"/>
      <c r="F4662" t="str">
        <f t="shared" si="169"/>
        <v/>
      </c>
      <c r="G4662" t="str">
        <f t="shared" si="170"/>
        <v/>
      </c>
    </row>
    <row r="4663" spans="2:7">
      <c r="B4663" s="6"/>
      <c r="E4663" s="7"/>
      <c r="F4663" t="str">
        <f t="shared" si="169"/>
        <v/>
      </c>
      <c r="G4663" t="str">
        <f t="shared" si="170"/>
        <v/>
      </c>
    </row>
    <row r="4664" spans="2:7">
      <c r="B4664" s="6"/>
      <c r="E4664" s="7"/>
      <c r="F4664" t="str">
        <f t="shared" si="169"/>
        <v/>
      </c>
      <c r="G4664" t="str">
        <f t="shared" si="170"/>
        <v/>
      </c>
    </row>
    <row r="4665" spans="2:7">
      <c r="B4665" s="6"/>
      <c r="E4665" s="7"/>
      <c r="F4665" t="str">
        <f t="shared" si="169"/>
        <v/>
      </c>
      <c r="G4665" t="str">
        <f t="shared" si="170"/>
        <v/>
      </c>
    </row>
    <row r="4666" spans="2:7">
      <c r="B4666" s="6"/>
      <c r="E4666" s="7"/>
      <c r="F4666" t="str">
        <f t="shared" si="169"/>
        <v/>
      </c>
      <c r="G4666" t="str">
        <f t="shared" si="170"/>
        <v/>
      </c>
    </row>
    <row r="4667" spans="2:7">
      <c r="B4667" s="6"/>
      <c r="E4667" s="7"/>
      <c r="F4667" t="str">
        <f t="shared" si="169"/>
        <v/>
      </c>
      <c r="G4667" t="str">
        <f t="shared" si="170"/>
        <v/>
      </c>
    </row>
    <row r="4668" spans="2:7">
      <c r="B4668" s="6"/>
      <c r="E4668" s="7"/>
      <c r="F4668" t="str">
        <f t="shared" si="169"/>
        <v/>
      </c>
      <c r="G4668" t="str">
        <f t="shared" si="170"/>
        <v/>
      </c>
    </row>
    <row r="4669" spans="2:7">
      <c r="B4669" s="6"/>
      <c r="E4669" s="7"/>
      <c r="F4669" t="str">
        <f t="shared" si="169"/>
        <v/>
      </c>
      <c r="G4669" t="str">
        <f t="shared" si="170"/>
        <v/>
      </c>
    </row>
    <row r="4670" spans="2:7">
      <c r="B4670" s="6"/>
      <c r="E4670" s="7"/>
      <c r="F4670" t="str">
        <f t="shared" si="169"/>
        <v/>
      </c>
      <c r="G4670" t="str">
        <f t="shared" si="170"/>
        <v/>
      </c>
    </row>
    <row r="4671" spans="2:7">
      <c r="B4671" s="6"/>
      <c r="E4671" s="7"/>
      <c r="F4671" t="str">
        <f t="shared" si="169"/>
        <v/>
      </c>
      <c r="G4671" t="str">
        <f t="shared" si="170"/>
        <v/>
      </c>
    </row>
    <row r="4672" spans="2:7">
      <c r="B4672" s="6"/>
      <c r="E4672" s="7"/>
      <c r="F4672" t="str">
        <f t="shared" si="169"/>
        <v/>
      </c>
      <c r="G4672" t="str">
        <f t="shared" si="170"/>
        <v/>
      </c>
    </row>
    <row r="4673" spans="2:7">
      <c r="B4673" s="6"/>
      <c r="E4673" s="7"/>
      <c r="F4673" t="str">
        <f t="shared" si="169"/>
        <v/>
      </c>
      <c r="G4673" t="str">
        <f t="shared" si="170"/>
        <v/>
      </c>
    </row>
    <row r="4674" spans="2:7">
      <c r="B4674" s="6"/>
      <c r="E4674" s="7"/>
      <c r="F4674" t="str">
        <f t="shared" si="169"/>
        <v/>
      </c>
      <c r="G4674" t="str">
        <f t="shared" si="170"/>
        <v/>
      </c>
    </row>
    <row r="4675" spans="2:7">
      <c r="B4675" s="6"/>
      <c r="E4675" s="7"/>
      <c r="F4675" t="str">
        <f t="shared" si="169"/>
        <v/>
      </c>
      <c r="G4675" t="str">
        <f t="shared" si="170"/>
        <v/>
      </c>
    </row>
    <row r="4676" spans="2:7">
      <c r="B4676" s="6"/>
      <c r="E4676" s="7"/>
      <c r="F4676" t="str">
        <f t="shared" ref="F4676:F4739" si="171">IF(B4676="","",LOG10(D4676))</f>
        <v/>
      </c>
      <c r="G4676" t="str">
        <f t="shared" ref="G4676:G4739" si="172">IF(E4676="", "",0.434*E4676/D4676)</f>
        <v/>
      </c>
    </row>
    <row r="4677" spans="2:7">
      <c r="B4677" s="6"/>
      <c r="E4677" s="7"/>
      <c r="F4677" t="str">
        <f t="shared" si="171"/>
        <v/>
      </c>
      <c r="G4677" t="str">
        <f t="shared" si="172"/>
        <v/>
      </c>
    </row>
    <row r="4678" spans="2:7">
      <c r="B4678" s="6"/>
      <c r="E4678" s="7"/>
      <c r="F4678" t="str">
        <f t="shared" si="171"/>
        <v/>
      </c>
      <c r="G4678" t="str">
        <f t="shared" si="172"/>
        <v/>
      </c>
    </row>
    <row r="4679" spans="2:7">
      <c r="B4679" s="6"/>
      <c r="E4679" s="7"/>
      <c r="F4679" t="str">
        <f t="shared" si="171"/>
        <v/>
      </c>
      <c r="G4679" t="str">
        <f t="shared" si="172"/>
        <v/>
      </c>
    </row>
    <row r="4680" spans="2:7">
      <c r="B4680" s="6"/>
      <c r="E4680" s="7"/>
      <c r="F4680" t="str">
        <f t="shared" si="171"/>
        <v/>
      </c>
      <c r="G4680" t="str">
        <f t="shared" si="172"/>
        <v/>
      </c>
    </row>
    <row r="4681" spans="2:7">
      <c r="B4681" s="6"/>
      <c r="E4681" s="7"/>
      <c r="F4681" t="str">
        <f t="shared" si="171"/>
        <v/>
      </c>
      <c r="G4681" t="str">
        <f t="shared" si="172"/>
        <v/>
      </c>
    </row>
    <row r="4682" spans="2:7">
      <c r="B4682" s="6"/>
      <c r="E4682" s="7"/>
      <c r="F4682" t="str">
        <f t="shared" si="171"/>
        <v/>
      </c>
      <c r="G4682" t="str">
        <f t="shared" si="172"/>
        <v/>
      </c>
    </row>
    <row r="4683" spans="2:7">
      <c r="B4683" s="6"/>
      <c r="E4683" s="7"/>
      <c r="F4683" t="str">
        <f t="shared" si="171"/>
        <v/>
      </c>
      <c r="G4683" t="str">
        <f t="shared" si="172"/>
        <v/>
      </c>
    </row>
    <row r="4684" spans="2:7">
      <c r="B4684" s="6"/>
      <c r="E4684" s="7"/>
      <c r="F4684" t="str">
        <f t="shared" si="171"/>
        <v/>
      </c>
      <c r="G4684" t="str">
        <f t="shared" si="172"/>
        <v/>
      </c>
    </row>
    <row r="4685" spans="2:7">
      <c r="B4685" s="6"/>
      <c r="E4685" s="7"/>
      <c r="F4685" t="str">
        <f t="shared" si="171"/>
        <v/>
      </c>
      <c r="G4685" t="str">
        <f t="shared" si="172"/>
        <v/>
      </c>
    </row>
    <row r="4686" spans="2:7">
      <c r="B4686" s="6"/>
      <c r="E4686" s="7"/>
      <c r="F4686" t="str">
        <f t="shared" si="171"/>
        <v/>
      </c>
      <c r="G4686" t="str">
        <f t="shared" si="172"/>
        <v/>
      </c>
    </row>
    <row r="4687" spans="2:7">
      <c r="B4687" s="6"/>
      <c r="E4687" s="7"/>
      <c r="F4687" t="str">
        <f t="shared" si="171"/>
        <v/>
      </c>
      <c r="G4687" t="str">
        <f t="shared" si="172"/>
        <v/>
      </c>
    </row>
    <row r="4688" spans="2:7">
      <c r="B4688" s="6"/>
      <c r="E4688" s="7"/>
      <c r="F4688" t="str">
        <f t="shared" si="171"/>
        <v/>
      </c>
      <c r="G4688" t="str">
        <f t="shared" si="172"/>
        <v/>
      </c>
    </row>
    <row r="4689" spans="2:7">
      <c r="B4689" s="6"/>
      <c r="E4689" s="7"/>
      <c r="F4689" t="str">
        <f t="shared" si="171"/>
        <v/>
      </c>
      <c r="G4689" t="str">
        <f t="shared" si="172"/>
        <v/>
      </c>
    </row>
    <row r="4690" spans="2:7">
      <c r="B4690" s="6"/>
      <c r="E4690" s="7"/>
      <c r="F4690" t="str">
        <f t="shared" si="171"/>
        <v/>
      </c>
      <c r="G4690" t="str">
        <f t="shared" si="172"/>
        <v/>
      </c>
    </row>
    <row r="4691" spans="2:7">
      <c r="B4691" s="6"/>
      <c r="E4691" s="7"/>
      <c r="F4691" t="str">
        <f t="shared" si="171"/>
        <v/>
      </c>
      <c r="G4691" t="str">
        <f t="shared" si="172"/>
        <v/>
      </c>
    </row>
    <row r="4692" spans="2:7">
      <c r="B4692" s="6"/>
      <c r="E4692" s="7"/>
      <c r="F4692" t="str">
        <f t="shared" si="171"/>
        <v/>
      </c>
      <c r="G4692" t="str">
        <f t="shared" si="172"/>
        <v/>
      </c>
    </row>
    <row r="4693" spans="2:7">
      <c r="B4693" s="6"/>
      <c r="E4693" s="7"/>
      <c r="F4693" t="str">
        <f t="shared" si="171"/>
        <v/>
      </c>
      <c r="G4693" t="str">
        <f t="shared" si="172"/>
        <v/>
      </c>
    </row>
    <row r="4694" spans="2:7">
      <c r="B4694" s="6"/>
      <c r="E4694" s="7"/>
      <c r="F4694" t="str">
        <f t="shared" si="171"/>
        <v/>
      </c>
      <c r="G4694" t="str">
        <f t="shared" si="172"/>
        <v/>
      </c>
    </row>
    <row r="4695" spans="2:7">
      <c r="B4695" s="6"/>
      <c r="E4695" s="7"/>
      <c r="F4695" t="str">
        <f t="shared" si="171"/>
        <v/>
      </c>
      <c r="G4695" t="str">
        <f t="shared" si="172"/>
        <v/>
      </c>
    </row>
    <row r="4696" spans="2:7">
      <c r="B4696" s="6"/>
      <c r="E4696" s="7"/>
      <c r="F4696" t="str">
        <f t="shared" si="171"/>
        <v/>
      </c>
      <c r="G4696" t="str">
        <f t="shared" si="172"/>
        <v/>
      </c>
    </row>
    <row r="4697" spans="2:7">
      <c r="B4697" s="6"/>
      <c r="E4697" s="7"/>
      <c r="F4697" t="str">
        <f t="shared" si="171"/>
        <v/>
      </c>
      <c r="G4697" t="str">
        <f t="shared" si="172"/>
        <v/>
      </c>
    </row>
    <row r="4698" spans="2:7">
      <c r="B4698" s="6"/>
      <c r="E4698" s="7"/>
      <c r="F4698" t="str">
        <f t="shared" si="171"/>
        <v/>
      </c>
      <c r="G4698" t="str">
        <f t="shared" si="172"/>
        <v/>
      </c>
    </row>
    <row r="4699" spans="2:7">
      <c r="B4699" s="6"/>
      <c r="E4699" s="7"/>
      <c r="F4699" t="str">
        <f t="shared" si="171"/>
        <v/>
      </c>
      <c r="G4699" t="str">
        <f t="shared" si="172"/>
        <v/>
      </c>
    </row>
    <row r="4700" spans="2:7">
      <c r="B4700" s="6"/>
      <c r="E4700" s="7"/>
      <c r="F4700" t="str">
        <f t="shared" si="171"/>
        <v/>
      </c>
      <c r="G4700" t="str">
        <f t="shared" si="172"/>
        <v/>
      </c>
    </row>
    <row r="4701" spans="2:7">
      <c r="B4701" s="6"/>
      <c r="E4701" s="7"/>
      <c r="F4701" t="str">
        <f t="shared" si="171"/>
        <v/>
      </c>
      <c r="G4701" t="str">
        <f t="shared" si="172"/>
        <v/>
      </c>
    </row>
    <row r="4702" spans="2:7">
      <c r="B4702" s="6"/>
      <c r="E4702" s="7"/>
      <c r="F4702" t="str">
        <f t="shared" si="171"/>
        <v/>
      </c>
      <c r="G4702" t="str">
        <f t="shared" si="172"/>
        <v/>
      </c>
    </row>
    <row r="4703" spans="2:7">
      <c r="B4703" s="6"/>
      <c r="E4703" s="7"/>
      <c r="F4703" t="str">
        <f t="shared" si="171"/>
        <v/>
      </c>
      <c r="G4703" t="str">
        <f t="shared" si="172"/>
        <v/>
      </c>
    </row>
    <row r="4704" spans="2:7">
      <c r="B4704" s="6"/>
      <c r="E4704" s="7"/>
      <c r="F4704" t="str">
        <f t="shared" si="171"/>
        <v/>
      </c>
      <c r="G4704" t="str">
        <f t="shared" si="172"/>
        <v/>
      </c>
    </row>
    <row r="4705" spans="2:7">
      <c r="B4705" s="6"/>
      <c r="E4705" s="7"/>
      <c r="F4705" t="str">
        <f t="shared" si="171"/>
        <v/>
      </c>
      <c r="G4705" t="str">
        <f t="shared" si="172"/>
        <v/>
      </c>
    </row>
    <row r="4706" spans="2:7">
      <c r="B4706" s="6"/>
      <c r="E4706" s="7"/>
      <c r="F4706" t="str">
        <f t="shared" si="171"/>
        <v/>
      </c>
      <c r="G4706" t="str">
        <f t="shared" si="172"/>
        <v/>
      </c>
    </row>
    <row r="4707" spans="2:7">
      <c r="B4707" s="6"/>
      <c r="E4707" s="7"/>
      <c r="F4707" t="str">
        <f t="shared" si="171"/>
        <v/>
      </c>
      <c r="G4707" t="str">
        <f t="shared" si="172"/>
        <v/>
      </c>
    </row>
    <row r="4708" spans="2:7">
      <c r="B4708" s="6"/>
      <c r="E4708" s="7"/>
      <c r="F4708" t="str">
        <f t="shared" si="171"/>
        <v/>
      </c>
      <c r="G4708" t="str">
        <f t="shared" si="172"/>
        <v/>
      </c>
    </row>
    <row r="4709" spans="2:7">
      <c r="B4709" s="6"/>
      <c r="E4709" s="7"/>
      <c r="F4709" t="str">
        <f t="shared" si="171"/>
        <v/>
      </c>
      <c r="G4709" t="str">
        <f t="shared" si="172"/>
        <v/>
      </c>
    </row>
    <row r="4710" spans="2:7">
      <c r="B4710" s="6"/>
      <c r="E4710" s="7"/>
      <c r="F4710" t="str">
        <f t="shared" si="171"/>
        <v/>
      </c>
      <c r="G4710" t="str">
        <f t="shared" si="172"/>
        <v/>
      </c>
    </row>
    <row r="4711" spans="2:7">
      <c r="B4711" s="6"/>
      <c r="E4711" s="7"/>
      <c r="F4711" t="str">
        <f t="shared" si="171"/>
        <v/>
      </c>
      <c r="G4711" t="str">
        <f t="shared" si="172"/>
        <v/>
      </c>
    </row>
    <row r="4712" spans="2:7">
      <c r="B4712" s="6"/>
      <c r="E4712" s="7"/>
      <c r="F4712" t="str">
        <f t="shared" si="171"/>
        <v/>
      </c>
      <c r="G4712" t="str">
        <f t="shared" si="172"/>
        <v/>
      </c>
    </row>
    <row r="4713" spans="2:7">
      <c r="B4713" s="6"/>
      <c r="E4713" s="7"/>
      <c r="F4713" t="str">
        <f t="shared" si="171"/>
        <v/>
      </c>
      <c r="G4713" t="str">
        <f t="shared" si="172"/>
        <v/>
      </c>
    </row>
    <row r="4714" spans="2:7">
      <c r="B4714" s="6"/>
      <c r="E4714" s="7"/>
      <c r="F4714" t="str">
        <f t="shared" si="171"/>
        <v/>
      </c>
      <c r="G4714" t="str">
        <f t="shared" si="172"/>
        <v/>
      </c>
    </row>
    <row r="4715" spans="2:7">
      <c r="B4715" s="6"/>
      <c r="E4715" s="7"/>
      <c r="F4715" t="str">
        <f t="shared" si="171"/>
        <v/>
      </c>
      <c r="G4715" t="str">
        <f t="shared" si="172"/>
        <v/>
      </c>
    </row>
    <row r="4716" spans="2:7">
      <c r="B4716" s="6"/>
      <c r="E4716" s="7"/>
      <c r="F4716" t="str">
        <f t="shared" si="171"/>
        <v/>
      </c>
      <c r="G4716" t="str">
        <f t="shared" si="172"/>
        <v/>
      </c>
    </row>
    <row r="4717" spans="2:7">
      <c r="B4717" s="6"/>
      <c r="E4717" s="7"/>
      <c r="F4717" t="str">
        <f t="shared" si="171"/>
        <v/>
      </c>
      <c r="G4717" t="str">
        <f t="shared" si="172"/>
        <v/>
      </c>
    </row>
    <row r="4718" spans="2:7">
      <c r="B4718" s="6"/>
      <c r="E4718" s="7"/>
      <c r="F4718" t="str">
        <f t="shared" si="171"/>
        <v/>
      </c>
      <c r="G4718" t="str">
        <f t="shared" si="172"/>
        <v/>
      </c>
    </row>
    <row r="4719" spans="2:7">
      <c r="B4719" s="6"/>
      <c r="E4719" s="7"/>
      <c r="F4719" t="str">
        <f t="shared" si="171"/>
        <v/>
      </c>
      <c r="G4719" t="str">
        <f t="shared" si="172"/>
        <v/>
      </c>
    </row>
    <row r="4720" spans="2:7">
      <c r="B4720" s="6"/>
      <c r="E4720" s="7"/>
      <c r="F4720" t="str">
        <f t="shared" si="171"/>
        <v/>
      </c>
      <c r="G4720" t="str">
        <f t="shared" si="172"/>
        <v/>
      </c>
    </row>
    <row r="4721" spans="2:7">
      <c r="B4721" s="6"/>
      <c r="E4721" s="7"/>
      <c r="F4721" t="str">
        <f t="shared" si="171"/>
        <v/>
      </c>
      <c r="G4721" t="str">
        <f t="shared" si="172"/>
        <v/>
      </c>
    </row>
    <row r="4722" spans="2:7">
      <c r="B4722" s="6"/>
      <c r="E4722" s="7"/>
      <c r="F4722" t="str">
        <f t="shared" si="171"/>
        <v/>
      </c>
      <c r="G4722" t="str">
        <f t="shared" si="172"/>
        <v/>
      </c>
    </row>
    <row r="4723" spans="2:7">
      <c r="B4723" s="6"/>
      <c r="E4723" s="7"/>
      <c r="F4723" t="str">
        <f t="shared" si="171"/>
        <v/>
      </c>
      <c r="G4723" t="str">
        <f t="shared" si="172"/>
        <v/>
      </c>
    </row>
    <row r="4724" spans="2:7">
      <c r="B4724" s="6"/>
      <c r="E4724" s="7"/>
      <c r="F4724" t="str">
        <f t="shared" si="171"/>
        <v/>
      </c>
      <c r="G4724" t="str">
        <f t="shared" si="172"/>
        <v/>
      </c>
    </row>
    <row r="4725" spans="2:7">
      <c r="B4725" s="6"/>
      <c r="E4725" s="7"/>
      <c r="F4725" t="str">
        <f t="shared" si="171"/>
        <v/>
      </c>
      <c r="G4725" t="str">
        <f t="shared" si="172"/>
        <v/>
      </c>
    </row>
    <row r="4726" spans="2:7">
      <c r="B4726" s="6"/>
      <c r="E4726" s="7"/>
      <c r="F4726" t="str">
        <f t="shared" si="171"/>
        <v/>
      </c>
      <c r="G4726" t="str">
        <f t="shared" si="172"/>
        <v/>
      </c>
    </row>
    <row r="4727" spans="2:7">
      <c r="B4727" s="6"/>
      <c r="E4727" s="7"/>
      <c r="F4727" t="str">
        <f t="shared" si="171"/>
        <v/>
      </c>
      <c r="G4727" t="str">
        <f t="shared" si="172"/>
        <v/>
      </c>
    </row>
    <row r="4728" spans="2:7">
      <c r="B4728" s="6"/>
      <c r="E4728" s="7"/>
      <c r="F4728" t="str">
        <f t="shared" si="171"/>
        <v/>
      </c>
      <c r="G4728" t="str">
        <f t="shared" si="172"/>
        <v/>
      </c>
    </row>
    <row r="4729" spans="2:7">
      <c r="B4729" s="6"/>
      <c r="E4729" s="7"/>
      <c r="F4729" t="str">
        <f t="shared" si="171"/>
        <v/>
      </c>
      <c r="G4729" t="str">
        <f t="shared" si="172"/>
        <v/>
      </c>
    </row>
    <row r="4730" spans="2:7">
      <c r="B4730" s="6"/>
      <c r="E4730" s="7"/>
      <c r="F4730" t="str">
        <f t="shared" si="171"/>
        <v/>
      </c>
      <c r="G4730" t="str">
        <f t="shared" si="172"/>
        <v/>
      </c>
    </row>
    <row r="4731" spans="2:7">
      <c r="B4731" s="6"/>
      <c r="E4731" s="7"/>
      <c r="F4731" t="str">
        <f t="shared" si="171"/>
        <v/>
      </c>
      <c r="G4731" t="str">
        <f t="shared" si="172"/>
        <v/>
      </c>
    </row>
    <row r="4732" spans="2:7">
      <c r="B4732" s="6"/>
      <c r="E4732" s="7"/>
      <c r="F4732" t="str">
        <f t="shared" si="171"/>
        <v/>
      </c>
      <c r="G4732" t="str">
        <f t="shared" si="172"/>
        <v/>
      </c>
    </row>
    <row r="4733" spans="2:7">
      <c r="B4733" s="6"/>
      <c r="E4733" s="7"/>
      <c r="F4733" t="str">
        <f t="shared" si="171"/>
        <v/>
      </c>
      <c r="G4733" t="str">
        <f t="shared" si="172"/>
        <v/>
      </c>
    </row>
    <row r="4734" spans="2:7">
      <c r="B4734" s="6"/>
      <c r="E4734" s="7"/>
      <c r="F4734" t="str">
        <f t="shared" si="171"/>
        <v/>
      </c>
      <c r="G4734" t="str">
        <f t="shared" si="172"/>
        <v/>
      </c>
    </row>
    <row r="4735" spans="2:7">
      <c r="B4735" s="6"/>
      <c r="E4735" s="7"/>
      <c r="F4735" t="str">
        <f t="shared" si="171"/>
        <v/>
      </c>
      <c r="G4735" t="str">
        <f t="shared" si="172"/>
        <v/>
      </c>
    </row>
    <row r="4736" spans="2:7">
      <c r="B4736" s="6"/>
      <c r="E4736" s="7"/>
      <c r="F4736" t="str">
        <f t="shared" si="171"/>
        <v/>
      </c>
      <c r="G4736" t="str">
        <f t="shared" si="172"/>
        <v/>
      </c>
    </row>
    <row r="4737" spans="2:7">
      <c r="B4737" s="6"/>
      <c r="E4737" s="7"/>
      <c r="F4737" t="str">
        <f t="shared" si="171"/>
        <v/>
      </c>
      <c r="G4737" t="str">
        <f t="shared" si="172"/>
        <v/>
      </c>
    </row>
    <row r="4738" spans="2:7">
      <c r="B4738" s="6"/>
      <c r="E4738" s="7"/>
      <c r="F4738" t="str">
        <f t="shared" si="171"/>
        <v/>
      </c>
      <c r="G4738" t="str">
        <f t="shared" si="172"/>
        <v/>
      </c>
    </row>
    <row r="4739" spans="2:7">
      <c r="B4739" s="6"/>
      <c r="E4739" s="7"/>
      <c r="F4739" t="str">
        <f t="shared" si="171"/>
        <v/>
      </c>
      <c r="G4739" t="str">
        <f t="shared" si="172"/>
        <v/>
      </c>
    </row>
    <row r="4740" spans="2:7">
      <c r="B4740" s="6"/>
      <c r="E4740" s="7"/>
      <c r="F4740" t="str">
        <f t="shared" ref="F4740:F4803" si="173">IF(B4740="","",LOG10(D4740))</f>
        <v/>
      </c>
      <c r="G4740" t="str">
        <f t="shared" ref="G4740:G4803" si="174">IF(E4740="", "",0.434*E4740/D4740)</f>
        <v/>
      </c>
    </row>
    <row r="4741" spans="2:7">
      <c r="B4741" s="6"/>
      <c r="E4741" s="7"/>
      <c r="F4741" t="str">
        <f t="shared" si="173"/>
        <v/>
      </c>
      <c r="G4741" t="str">
        <f t="shared" si="174"/>
        <v/>
      </c>
    </row>
    <row r="4742" spans="2:7">
      <c r="B4742" s="6"/>
      <c r="E4742" s="7"/>
      <c r="F4742" t="str">
        <f t="shared" si="173"/>
        <v/>
      </c>
      <c r="G4742" t="str">
        <f t="shared" si="174"/>
        <v/>
      </c>
    </row>
    <row r="4743" spans="2:7">
      <c r="B4743" s="6"/>
      <c r="E4743" s="7"/>
      <c r="F4743" t="str">
        <f t="shared" si="173"/>
        <v/>
      </c>
      <c r="G4743" t="str">
        <f t="shared" si="174"/>
        <v/>
      </c>
    </row>
    <row r="4744" spans="2:7">
      <c r="B4744" s="6"/>
      <c r="E4744" s="7"/>
      <c r="F4744" t="str">
        <f t="shared" si="173"/>
        <v/>
      </c>
      <c r="G4744" t="str">
        <f t="shared" si="174"/>
        <v/>
      </c>
    </row>
    <row r="4745" spans="2:7">
      <c r="B4745" s="6"/>
      <c r="E4745" s="7"/>
      <c r="F4745" t="str">
        <f t="shared" si="173"/>
        <v/>
      </c>
      <c r="G4745" t="str">
        <f t="shared" si="174"/>
        <v/>
      </c>
    </row>
    <row r="4746" spans="2:7">
      <c r="B4746" s="6"/>
      <c r="E4746" s="7"/>
      <c r="F4746" t="str">
        <f t="shared" si="173"/>
        <v/>
      </c>
      <c r="G4746" t="str">
        <f t="shared" si="174"/>
        <v/>
      </c>
    </row>
    <row r="4747" spans="2:7">
      <c r="B4747" s="6"/>
      <c r="E4747" s="7"/>
      <c r="F4747" t="str">
        <f t="shared" si="173"/>
        <v/>
      </c>
      <c r="G4747" t="str">
        <f t="shared" si="174"/>
        <v/>
      </c>
    </row>
    <row r="4748" spans="2:7">
      <c r="B4748" s="6"/>
      <c r="E4748" s="7"/>
      <c r="F4748" t="str">
        <f t="shared" si="173"/>
        <v/>
      </c>
      <c r="G4748" t="str">
        <f t="shared" si="174"/>
        <v/>
      </c>
    </row>
    <row r="4749" spans="2:7">
      <c r="B4749" s="6"/>
      <c r="E4749" s="7"/>
      <c r="F4749" t="str">
        <f t="shared" si="173"/>
        <v/>
      </c>
      <c r="G4749" t="str">
        <f t="shared" si="174"/>
        <v/>
      </c>
    </row>
    <row r="4750" spans="2:7">
      <c r="B4750" s="6"/>
      <c r="E4750" s="7"/>
      <c r="F4750" t="str">
        <f t="shared" si="173"/>
        <v/>
      </c>
      <c r="G4750" t="str">
        <f t="shared" si="174"/>
        <v/>
      </c>
    </row>
    <row r="4751" spans="2:7">
      <c r="B4751" s="6"/>
      <c r="E4751" s="7"/>
      <c r="F4751" t="str">
        <f t="shared" si="173"/>
        <v/>
      </c>
      <c r="G4751" t="str">
        <f t="shared" si="174"/>
        <v/>
      </c>
    </row>
    <row r="4752" spans="2:7">
      <c r="B4752" s="6"/>
      <c r="E4752" s="7"/>
      <c r="F4752" t="str">
        <f t="shared" si="173"/>
        <v/>
      </c>
      <c r="G4752" t="str">
        <f t="shared" si="174"/>
        <v/>
      </c>
    </row>
    <row r="4753" spans="2:7">
      <c r="B4753" s="6"/>
      <c r="E4753" s="7"/>
      <c r="F4753" t="str">
        <f t="shared" si="173"/>
        <v/>
      </c>
      <c r="G4753" t="str">
        <f t="shared" si="174"/>
        <v/>
      </c>
    </row>
    <row r="4754" spans="2:7">
      <c r="B4754" s="6"/>
      <c r="E4754" s="7"/>
      <c r="F4754" t="str">
        <f t="shared" si="173"/>
        <v/>
      </c>
      <c r="G4754" t="str">
        <f t="shared" si="174"/>
        <v/>
      </c>
    </row>
    <row r="4755" spans="2:7">
      <c r="B4755" s="6"/>
      <c r="E4755" s="7"/>
      <c r="F4755" t="str">
        <f t="shared" si="173"/>
        <v/>
      </c>
      <c r="G4755" t="str">
        <f t="shared" si="174"/>
        <v/>
      </c>
    </row>
    <row r="4756" spans="2:7">
      <c r="B4756" s="6"/>
      <c r="E4756" s="7"/>
      <c r="F4756" t="str">
        <f t="shared" si="173"/>
        <v/>
      </c>
      <c r="G4756" t="str">
        <f t="shared" si="174"/>
        <v/>
      </c>
    </row>
    <row r="4757" spans="2:7">
      <c r="B4757" s="6"/>
      <c r="E4757" s="7"/>
      <c r="F4757" t="str">
        <f t="shared" si="173"/>
        <v/>
      </c>
      <c r="G4757" t="str">
        <f t="shared" si="174"/>
        <v/>
      </c>
    </row>
    <row r="4758" spans="2:7">
      <c r="B4758" s="6"/>
      <c r="E4758" s="7"/>
      <c r="F4758" t="str">
        <f t="shared" si="173"/>
        <v/>
      </c>
      <c r="G4758" t="str">
        <f t="shared" si="174"/>
        <v/>
      </c>
    </row>
    <row r="4759" spans="2:7">
      <c r="B4759" s="6"/>
      <c r="E4759" s="7"/>
      <c r="F4759" t="str">
        <f t="shared" si="173"/>
        <v/>
      </c>
      <c r="G4759" t="str">
        <f t="shared" si="174"/>
        <v/>
      </c>
    </row>
    <row r="4760" spans="2:7">
      <c r="B4760" s="6"/>
      <c r="E4760" s="7"/>
      <c r="F4760" t="str">
        <f t="shared" si="173"/>
        <v/>
      </c>
      <c r="G4760" t="str">
        <f t="shared" si="174"/>
        <v/>
      </c>
    </row>
    <row r="4761" spans="2:7">
      <c r="B4761" s="6"/>
      <c r="E4761" s="7"/>
      <c r="F4761" t="str">
        <f t="shared" si="173"/>
        <v/>
      </c>
      <c r="G4761" t="str">
        <f t="shared" si="174"/>
        <v/>
      </c>
    </row>
    <row r="4762" spans="2:7">
      <c r="B4762" s="6"/>
      <c r="E4762" s="7"/>
      <c r="F4762" t="str">
        <f t="shared" si="173"/>
        <v/>
      </c>
      <c r="G4762" t="str">
        <f t="shared" si="174"/>
        <v/>
      </c>
    </row>
    <row r="4763" spans="2:7">
      <c r="B4763" s="6"/>
      <c r="E4763" s="7"/>
      <c r="F4763" t="str">
        <f t="shared" si="173"/>
        <v/>
      </c>
      <c r="G4763" t="str">
        <f t="shared" si="174"/>
        <v/>
      </c>
    </row>
    <row r="4764" spans="2:7">
      <c r="B4764" s="6"/>
      <c r="E4764" s="7"/>
      <c r="F4764" t="str">
        <f t="shared" si="173"/>
        <v/>
      </c>
      <c r="G4764" t="str">
        <f t="shared" si="174"/>
        <v/>
      </c>
    </row>
    <row r="4765" spans="2:7">
      <c r="B4765" s="6"/>
      <c r="E4765" s="7"/>
      <c r="F4765" t="str">
        <f t="shared" si="173"/>
        <v/>
      </c>
      <c r="G4765" t="str">
        <f t="shared" si="174"/>
        <v/>
      </c>
    </row>
    <row r="4766" spans="2:7">
      <c r="B4766" s="6"/>
      <c r="E4766" s="7"/>
      <c r="F4766" t="str">
        <f t="shared" si="173"/>
        <v/>
      </c>
      <c r="G4766" t="str">
        <f t="shared" si="174"/>
        <v/>
      </c>
    </row>
    <row r="4767" spans="2:7">
      <c r="B4767" s="6"/>
      <c r="E4767" s="7"/>
      <c r="F4767" t="str">
        <f t="shared" si="173"/>
        <v/>
      </c>
      <c r="G4767" t="str">
        <f t="shared" si="174"/>
        <v/>
      </c>
    </row>
    <row r="4768" spans="2:7">
      <c r="B4768" s="6"/>
      <c r="E4768" s="7"/>
      <c r="F4768" t="str">
        <f t="shared" si="173"/>
        <v/>
      </c>
      <c r="G4768" t="str">
        <f t="shared" si="174"/>
        <v/>
      </c>
    </row>
    <row r="4769" spans="2:7">
      <c r="B4769" s="6"/>
      <c r="E4769" s="7"/>
      <c r="F4769" t="str">
        <f t="shared" si="173"/>
        <v/>
      </c>
      <c r="G4769" t="str">
        <f t="shared" si="174"/>
        <v/>
      </c>
    </row>
    <row r="4770" spans="2:7">
      <c r="B4770" s="6"/>
      <c r="E4770" s="7"/>
      <c r="F4770" t="str">
        <f t="shared" si="173"/>
        <v/>
      </c>
      <c r="G4770" t="str">
        <f t="shared" si="174"/>
        <v/>
      </c>
    </row>
    <row r="4771" spans="2:7">
      <c r="B4771" s="6"/>
      <c r="E4771" s="7"/>
      <c r="F4771" t="str">
        <f t="shared" si="173"/>
        <v/>
      </c>
      <c r="G4771" t="str">
        <f t="shared" si="174"/>
        <v/>
      </c>
    </row>
    <row r="4772" spans="2:7">
      <c r="B4772" s="6"/>
      <c r="E4772" s="7"/>
      <c r="F4772" t="str">
        <f t="shared" si="173"/>
        <v/>
      </c>
      <c r="G4772" t="str">
        <f t="shared" si="174"/>
        <v/>
      </c>
    </row>
    <row r="4773" spans="2:7">
      <c r="B4773" s="6"/>
      <c r="E4773" s="7"/>
      <c r="F4773" t="str">
        <f t="shared" si="173"/>
        <v/>
      </c>
      <c r="G4773" t="str">
        <f t="shared" si="174"/>
        <v/>
      </c>
    </row>
    <row r="4774" spans="2:7">
      <c r="B4774" s="6"/>
      <c r="E4774" s="7"/>
      <c r="F4774" t="str">
        <f t="shared" si="173"/>
        <v/>
      </c>
      <c r="G4774" t="str">
        <f t="shared" si="174"/>
        <v/>
      </c>
    </row>
    <row r="4775" spans="2:7">
      <c r="B4775" s="6"/>
      <c r="E4775" s="7"/>
      <c r="F4775" t="str">
        <f t="shared" si="173"/>
        <v/>
      </c>
      <c r="G4775" t="str">
        <f t="shared" si="174"/>
        <v/>
      </c>
    </row>
    <row r="4776" spans="2:7">
      <c r="B4776" s="6"/>
      <c r="E4776" s="7"/>
      <c r="F4776" t="str">
        <f t="shared" si="173"/>
        <v/>
      </c>
      <c r="G4776" t="str">
        <f t="shared" si="174"/>
        <v/>
      </c>
    </row>
    <row r="4777" spans="2:7">
      <c r="B4777" s="6"/>
      <c r="E4777" s="7"/>
      <c r="F4777" t="str">
        <f t="shared" si="173"/>
        <v/>
      </c>
      <c r="G4777" t="str">
        <f t="shared" si="174"/>
        <v/>
      </c>
    </row>
    <row r="4778" spans="2:7">
      <c r="B4778" s="6"/>
      <c r="E4778" s="7"/>
      <c r="F4778" t="str">
        <f t="shared" si="173"/>
        <v/>
      </c>
      <c r="G4778" t="str">
        <f t="shared" si="174"/>
        <v/>
      </c>
    </row>
    <row r="4779" spans="2:7">
      <c r="B4779" s="6"/>
      <c r="E4779" s="7"/>
      <c r="F4779" t="str">
        <f t="shared" si="173"/>
        <v/>
      </c>
      <c r="G4779" t="str">
        <f t="shared" si="174"/>
        <v/>
      </c>
    </row>
    <row r="4780" spans="2:7">
      <c r="B4780" s="6"/>
      <c r="E4780" s="7"/>
      <c r="F4780" t="str">
        <f t="shared" si="173"/>
        <v/>
      </c>
      <c r="G4780" t="str">
        <f t="shared" si="174"/>
        <v/>
      </c>
    </row>
    <row r="4781" spans="2:7">
      <c r="B4781" s="6"/>
      <c r="E4781" s="7"/>
      <c r="F4781" t="str">
        <f t="shared" si="173"/>
        <v/>
      </c>
      <c r="G4781" t="str">
        <f t="shared" si="174"/>
        <v/>
      </c>
    </row>
    <row r="4782" spans="2:7">
      <c r="B4782" s="6"/>
      <c r="E4782" s="7"/>
      <c r="F4782" t="str">
        <f t="shared" si="173"/>
        <v/>
      </c>
      <c r="G4782" t="str">
        <f t="shared" si="174"/>
        <v/>
      </c>
    </row>
    <row r="4783" spans="2:7">
      <c r="B4783" s="6"/>
      <c r="E4783" s="7"/>
      <c r="F4783" t="str">
        <f t="shared" si="173"/>
        <v/>
      </c>
      <c r="G4783" t="str">
        <f t="shared" si="174"/>
        <v/>
      </c>
    </row>
    <row r="4784" spans="2:7">
      <c r="B4784" s="6"/>
      <c r="E4784" s="7"/>
      <c r="F4784" t="str">
        <f t="shared" si="173"/>
        <v/>
      </c>
      <c r="G4784" t="str">
        <f t="shared" si="174"/>
        <v/>
      </c>
    </row>
    <row r="4785" spans="2:7">
      <c r="B4785" s="6"/>
      <c r="E4785" s="7"/>
      <c r="F4785" t="str">
        <f t="shared" si="173"/>
        <v/>
      </c>
      <c r="G4785" t="str">
        <f t="shared" si="174"/>
        <v/>
      </c>
    </row>
    <row r="4786" spans="2:7">
      <c r="B4786" s="6"/>
      <c r="E4786" s="7"/>
      <c r="F4786" t="str">
        <f t="shared" si="173"/>
        <v/>
      </c>
      <c r="G4786" t="str">
        <f t="shared" si="174"/>
        <v/>
      </c>
    </row>
    <row r="4787" spans="2:7">
      <c r="B4787" s="6"/>
      <c r="E4787" s="7"/>
      <c r="F4787" t="str">
        <f t="shared" si="173"/>
        <v/>
      </c>
      <c r="G4787" t="str">
        <f t="shared" si="174"/>
        <v/>
      </c>
    </row>
    <row r="4788" spans="2:7">
      <c r="B4788" s="6"/>
      <c r="E4788" s="7"/>
      <c r="F4788" t="str">
        <f t="shared" si="173"/>
        <v/>
      </c>
      <c r="G4788" t="str">
        <f t="shared" si="174"/>
        <v/>
      </c>
    </row>
    <row r="4789" spans="2:7">
      <c r="B4789" s="6"/>
      <c r="E4789" s="7"/>
      <c r="F4789" t="str">
        <f t="shared" si="173"/>
        <v/>
      </c>
      <c r="G4789" t="str">
        <f t="shared" si="174"/>
        <v/>
      </c>
    </row>
    <row r="4790" spans="2:7">
      <c r="B4790" s="6"/>
      <c r="E4790" s="7"/>
      <c r="F4790" t="str">
        <f t="shared" si="173"/>
        <v/>
      </c>
      <c r="G4790" t="str">
        <f t="shared" si="174"/>
        <v/>
      </c>
    </row>
    <row r="4791" spans="2:7">
      <c r="B4791" s="6"/>
      <c r="E4791" s="7"/>
      <c r="F4791" t="str">
        <f t="shared" si="173"/>
        <v/>
      </c>
      <c r="G4791" t="str">
        <f t="shared" si="174"/>
        <v/>
      </c>
    </row>
    <row r="4792" spans="2:7">
      <c r="B4792" s="6"/>
      <c r="E4792" s="7"/>
      <c r="F4792" t="str">
        <f t="shared" si="173"/>
        <v/>
      </c>
      <c r="G4792" t="str">
        <f t="shared" si="174"/>
        <v/>
      </c>
    </row>
    <row r="4793" spans="2:7">
      <c r="B4793" s="6"/>
      <c r="E4793" s="7"/>
      <c r="F4793" t="str">
        <f t="shared" si="173"/>
        <v/>
      </c>
      <c r="G4793" t="str">
        <f t="shared" si="174"/>
        <v/>
      </c>
    </row>
    <row r="4794" spans="2:7">
      <c r="B4794" s="6"/>
      <c r="E4794" s="7"/>
      <c r="F4794" t="str">
        <f t="shared" si="173"/>
        <v/>
      </c>
      <c r="G4794" t="str">
        <f t="shared" si="174"/>
        <v/>
      </c>
    </row>
    <row r="4795" spans="2:7">
      <c r="B4795" s="6"/>
      <c r="E4795" s="7"/>
      <c r="F4795" t="str">
        <f t="shared" si="173"/>
        <v/>
      </c>
      <c r="G4795" t="str">
        <f t="shared" si="174"/>
        <v/>
      </c>
    </row>
    <row r="4796" spans="2:7">
      <c r="B4796" s="6"/>
      <c r="E4796" s="7"/>
      <c r="F4796" t="str">
        <f t="shared" si="173"/>
        <v/>
      </c>
      <c r="G4796" t="str">
        <f t="shared" si="174"/>
        <v/>
      </c>
    </row>
    <row r="4797" spans="2:7">
      <c r="B4797" s="6"/>
      <c r="E4797" s="7"/>
      <c r="F4797" t="str">
        <f t="shared" si="173"/>
        <v/>
      </c>
      <c r="G4797" t="str">
        <f t="shared" si="174"/>
        <v/>
      </c>
    </row>
    <row r="4798" spans="2:7">
      <c r="B4798" s="6"/>
      <c r="E4798" s="7"/>
      <c r="F4798" t="str">
        <f t="shared" si="173"/>
        <v/>
      </c>
      <c r="G4798" t="str">
        <f t="shared" si="174"/>
        <v/>
      </c>
    </row>
    <row r="4799" spans="2:7">
      <c r="B4799" s="6"/>
      <c r="E4799" s="7"/>
      <c r="F4799" t="str">
        <f t="shared" si="173"/>
        <v/>
      </c>
      <c r="G4799" t="str">
        <f t="shared" si="174"/>
        <v/>
      </c>
    </row>
    <row r="4800" spans="2:7">
      <c r="B4800" s="6"/>
      <c r="E4800" s="7"/>
      <c r="F4800" t="str">
        <f t="shared" si="173"/>
        <v/>
      </c>
      <c r="G4800" t="str">
        <f t="shared" si="174"/>
        <v/>
      </c>
    </row>
    <row r="4801" spans="2:7">
      <c r="B4801" s="6"/>
      <c r="E4801" s="7"/>
      <c r="F4801" t="str">
        <f t="shared" si="173"/>
        <v/>
      </c>
      <c r="G4801" t="str">
        <f t="shared" si="174"/>
        <v/>
      </c>
    </row>
    <row r="4802" spans="2:7">
      <c r="B4802" s="6"/>
      <c r="E4802" s="7"/>
      <c r="F4802" t="str">
        <f t="shared" si="173"/>
        <v/>
      </c>
      <c r="G4802" t="str">
        <f t="shared" si="174"/>
        <v/>
      </c>
    </row>
    <row r="4803" spans="2:7">
      <c r="B4803" s="6"/>
      <c r="E4803" s="7"/>
      <c r="F4803" t="str">
        <f t="shared" si="173"/>
        <v/>
      </c>
      <c r="G4803" t="str">
        <f t="shared" si="174"/>
        <v/>
      </c>
    </row>
    <row r="4804" spans="2:7">
      <c r="B4804" s="6"/>
      <c r="E4804" s="7"/>
      <c r="F4804" t="str">
        <f t="shared" ref="F4804:F4867" si="175">IF(B4804="","",LOG10(D4804))</f>
        <v/>
      </c>
      <c r="G4804" t="str">
        <f t="shared" ref="G4804:G4867" si="176">IF(E4804="", "",0.434*E4804/D4804)</f>
        <v/>
      </c>
    </row>
    <row r="4805" spans="2:7">
      <c r="B4805" s="6"/>
      <c r="E4805" s="7"/>
      <c r="F4805" t="str">
        <f t="shared" si="175"/>
        <v/>
      </c>
      <c r="G4805" t="str">
        <f t="shared" si="176"/>
        <v/>
      </c>
    </row>
    <row r="4806" spans="2:7">
      <c r="B4806" s="6"/>
      <c r="E4806" s="7"/>
      <c r="F4806" t="str">
        <f t="shared" si="175"/>
        <v/>
      </c>
      <c r="G4806" t="str">
        <f t="shared" si="176"/>
        <v/>
      </c>
    </row>
    <row r="4807" spans="2:7">
      <c r="B4807" s="6"/>
      <c r="E4807" s="7"/>
      <c r="F4807" t="str">
        <f t="shared" si="175"/>
        <v/>
      </c>
      <c r="G4807" t="str">
        <f t="shared" si="176"/>
        <v/>
      </c>
    </row>
    <row r="4808" spans="2:7">
      <c r="B4808" s="6"/>
      <c r="E4808" s="7"/>
      <c r="F4808" t="str">
        <f t="shared" si="175"/>
        <v/>
      </c>
      <c r="G4808" t="str">
        <f t="shared" si="176"/>
        <v/>
      </c>
    </row>
    <row r="4809" spans="2:7">
      <c r="B4809" s="6"/>
      <c r="E4809" s="7"/>
      <c r="F4809" t="str">
        <f t="shared" si="175"/>
        <v/>
      </c>
      <c r="G4809" t="str">
        <f t="shared" si="176"/>
        <v/>
      </c>
    </row>
    <row r="4810" spans="2:7">
      <c r="B4810" s="6"/>
      <c r="E4810" s="7"/>
      <c r="F4810" t="str">
        <f t="shared" si="175"/>
        <v/>
      </c>
      <c r="G4810" t="str">
        <f t="shared" si="176"/>
        <v/>
      </c>
    </row>
    <row r="4811" spans="2:7">
      <c r="B4811" s="6"/>
      <c r="E4811" s="7"/>
      <c r="F4811" t="str">
        <f t="shared" si="175"/>
        <v/>
      </c>
      <c r="G4811" t="str">
        <f t="shared" si="176"/>
        <v/>
      </c>
    </row>
    <row r="4812" spans="2:7">
      <c r="B4812" s="6"/>
      <c r="E4812" s="7"/>
      <c r="F4812" t="str">
        <f t="shared" si="175"/>
        <v/>
      </c>
      <c r="G4812" t="str">
        <f t="shared" si="176"/>
        <v/>
      </c>
    </row>
    <row r="4813" spans="2:7">
      <c r="B4813" s="6"/>
      <c r="E4813" s="7"/>
      <c r="F4813" t="str">
        <f t="shared" si="175"/>
        <v/>
      </c>
      <c r="G4813" t="str">
        <f t="shared" si="176"/>
        <v/>
      </c>
    </row>
    <row r="4814" spans="2:7">
      <c r="B4814" s="6"/>
      <c r="E4814" s="7"/>
      <c r="F4814" t="str">
        <f t="shared" si="175"/>
        <v/>
      </c>
      <c r="G4814" t="str">
        <f t="shared" si="176"/>
        <v/>
      </c>
    </row>
    <row r="4815" spans="2:7">
      <c r="B4815" s="6"/>
      <c r="E4815" s="7"/>
      <c r="F4815" t="str">
        <f t="shared" si="175"/>
        <v/>
      </c>
      <c r="G4815" t="str">
        <f t="shared" si="176"/>
        <v/>
      </c>
    </row>
    <row r="4816" spans="2:7">
      <c r="B4816" s="6"/>
      <c r="E4816" s="7"/>
      <c r="F4816" t="str">
        <f t="shared" si="175"/>
        <v/>
      </c>
      <c r="G4816" t="str">
        <f t="shared" si="176"/>
        <v/>
      </c>
    </row>
    <row r="4817" spans="2:7">
      <c r="B4817" s="6"/>
      <c r="E4817" s="7"/>
      <c r="F4817" t="str">
        <f t="shared" si="175"/>
        <v/>
      </c>
      <c r="G4817" t="str">
        <f t="shared" si="176"/>
        <v/>
      </c>
    </row>
    <row r="4818" spans="2:7">
      <c r="B4818" s="6"/>
      <c r="E4818" s="7"/>
      <c r="F4818" t="str">
        <f t="shared" si="175"/>
        <v/>
      </c>
      <c r="G4818" t="str">
        <f t="shared" si="176"/>
        <v/>
      </c>
    </row>
    <row r="4819" spans="2:7">
      <c r="B4819" s="6"/>
      <c r="E4819" s="7"/>
      <c r="F4819" t="str">
        <f t="shared" si="175"/>
        <v/>
      </c>
      <c r="G4819" t="str">
        <f t="shared" si="176"/>
        <v/>
      </c>
    </row>
    <row r="4820" spans="2:7">
      <c r="B4820" s="6"/>
      <c r="E4820" s="7"/>
      <c r="F4820" t="str">
        <f t="shared" si="175"/>
        <v/>
      </c>
      <c r="G4820" t="str">
        <f t="shared" si="176"/>
        <v/>
      </c>
    </row>
    <row r="4821" spans="2:7">
      <c r="B4821" s="6"/>
      <c r="E4821" s="7"/>
      <c r="F4821" t="str">
        <f t="shared" si="175"/>
        <v/>
      </c>
      <c r="G4821" t="str">
        <f t="shared" si="176"/>
        <v/>
      </c>
    </row>
    <row r="4822" spans="2:7">
      <c r="B4822" s="6"/>
      <c r="E4822" s="7"/>
      <c r="F4822" t="str">
        <f t="shared" si="175"/>
        <v/>
      </c>
      <c r="G4822" t="str">
        <f t="shared" si="176"/>
        <v/>
      </c>
    </row>
    <row r="4823" spans="2:7">
      <c r="B4823" s="6"/>
      <c r="E4823" s="7"/>
      <c r="F4823" t="str">
        <f t="shared" si="175"/>
        <v/>
      </c>
      <c r="G4823" t="str">
        <f t="shared" si="176"/>
        <v/>
      </c>
    </row>
    <row r="4824" spans="2:7">
      <c r="B4824" s="6"/>
      <c r="E4824" s="7"/>
      <c r="F4824" t="str">
        <f t="shared" si="175"/>
        <v/>
      </c>
      <c r="G4824" t="str">
        <f t="shared" si="176"/>
        <v/>
      </c>
    </row>
    <row r="4825" spans="2:7">
      <c r="B4825" s="6"/>
      <c r="E4825" s="7"/>
      <c r="F4825" t="str">
        <f t="shared" si="175"/>
        <v/>
      </c>
      <c r="G4825" t="str">
        <f t="shared" si="176"/>
        <v/>
      </c>
    </row>
    <row r="4826" spans="2:7">
      <c r="B4826" s="6"/>
      <c r="E4826" s="7"/>
      <c r="F4826" t="str">
        <f t="shared" si="175"/>
        <v/>
      </c>
      <c r="G4826" t="str">
        <f t="shared" si="176"/>
        <v/>
      </c>
    </row>
    <row r="4827" spans="2:7">
      <c r="B4827" s="6"/>
      <c r="E4827" s="7"/>
      <c r="F4827" t="str">
        <f t="shared" si="175"/>
        <v/>
      </c>
      <c r="G4827" t="str">
        <f t="shared" si="176"/>
        <v/>
      </c>
    </row>
    <row r="4828" spans="2:7">
      <c r="B4828" s="6"/>
      <c r="E4828" s="7"/>
      <c r="F4828" t="str">
        <f t="shared" si="175"/>
        <v/>
      </c>
      <c r="G4828" t="str">
        <f t="shared" si="176"/>
        <v/>
      </c>
    </row>
    <row r="4829" spans="2:7">
      <c r="B4829" s="6"/>
      <c r="E4829" s="7"/>
      <c r="F4829" t="str">
        <f t="shared" si="175"/>
        <v/>
      </c>
      <c r="G4829" t="str">
        <f t="shared" si="176"/>
        <v/>
      </c>
    </row>
    <row r="4830" spans="2:7">
      <c r="B4830" s="6"/>
      <c r="E4830" s="7"/>
      <c r="F4830" t="str">
        <f t="shared" si="175"/>
        <v/>
      </c>
      <c r="G4830" t="str">
        <f t="shared" si="176"/>
        <v/>
      </c>
    </row>
    <row r="4831" spans="2:7">
      <c r="B4831" s="6"/>
      <c r="E4831" s="7"/>
      <c r="F4831" t="str">
        <f t="shared" si="175"/>
        <v/>
      </c>
      <c r="G4831" t="str">
        <f t="shared" si="176"/>
        <v/>
      </c>
    </row>
    <row r="4832" spans="2:7">
      <c r="B4832" s="6"/>
      <c r="E4832" s="7"/>
      <c r="F4832" t="str">
        <f t="shared" si="175"/>
        <v/>
      </c>
      <c r="G4832" t="str">
        <f t="shared" si="176"/>
        <v/>
      </c>
    </row>
    <row r="4833" spans="2:7">
      <c r="B4833" s="6"/>
      <c r="E4833" s="7"/>
      <c r="F4833" t="str">
        <f t="shared" si="175"/>
        <v/>
      </c>
      <c r="G4833" t="str">
        <f t="shared" si="176"/>
        <v/>
      </c>
    </row>
    <row r="4834" spans="2:7">
      <c r="B4834" s="6"/>
      <c r="E4834" s="7"/>
      <c r="F4834" t="str">
        <f t="shared" si="175"/>
        <v/>
      </c>
      <c r="G4834" t="str">
        <f t="shared" si="176"/>
        <v/>
      </c>
    </row>
    <row r="4835" spans="2:7">
      <c r="B4835" s="6"/>
      <c r="E4835" s="7"/>
      <c r="F4835" t="str">
        <f t="shared" si="175"/>
        <v/>
      </c>
      <c r="G4835" t="str">
        <f t="shared" si="176"/>
        <v/>
      </c>
    </row>
    <row r="4836" spans="2:7">
      <c r="B4836" s="6"/>
      <c r="E4836" s="7"/>
      <c r="F4836" t="str">
        <f t="shared" si="175"/>
        <v/>
      </c>
      <c r="G4836" t="str">
        <f t="shared" si="176"/>
        <v/>
      </c>
    </row>
    <row r="4837" spans="2:7">
      <c r="B4837" s="6"/>
      <c r="E4837" s="7"/>
      <c r="F4837" t="str">
        <f t="shared" si="175"/>
        <v/>
      </c>
      <c r="G4837" t="str">
        <f t="shared" si="176"/>
        <v/>
      </c>
    </row>
    <row r="4838" spans="2:7">
      <c r="B4838" s="6"/>
      <c r="E4838" s="7"/>
      <c r="F4838" t="str">
        <f t="shared" si="175"/>
        <v/>
      </c>
      <c r="G4838" t="str">
        <f t="shared" si="176"/>
        <v/>
      </c>
    </row>
    <row r="4839" spans="2:7">
      <c r="B4839" s="6"/>
      <c r="E4839" s="7"/>
      <c r="F4839" t="str">
        <f t="shared" si="175"/>
        <v/>
      </c>
      <c r="G4839" t="str">
        <f t="shared" si="176"/>
        <v/>
      </c>
    </row>
    <row r="4840" spans="2:7">
      <c r="B4840" s="6"/>
      <c r="E4840" s="7"/>
      <c r="F4840" t="str">
        <f t="shared" si="175"/>
        <v/>
      </c>
      <c r="G4840" t="str">
        <f t="shared" si="176"/>
        <v/>
      </c>
    </row>
    <row r="4841" spans="2:7">
      <c r="B4841" s="6"/>
      <c r="E4841" s="7"/>
      <c r="F4841" t="str">
        <f t="shared" si="175"/>
        <v/>
      </c>
      <c r="G4841" t="str">
        <f t="shared" si="176"/>
        <v/>
      </c>
    </row>
    <row r="4842" spans="2:7">
      <c r="B4842" s="6"/>
      <c r="E4842" s="7"/>
      <c r="F4842" t="str">
        <f t="shared" si="175"/>
        <v/>
      </c>
      <c r="G4842" t="str">
        <f t="shared" si="176"/>
        <v/>
      </c>
    </row>
    <row r="4843" spans="2:7">
      <c r="B4843" s="6"/>
      <c r="E4843" s="7"/>
      <c r="F4843" t="str">
        <f t="shared" si="175"/>
        <v/>
      </c>
      <c r="G4843" t="str">
        <f t="shared" si="176"/>
        <v/>
      </c>
    </row>
    <row r="4844" spans="2:7">
      <c r="B4844" s="6"/>
      <c r="E4844" s="7"/>
      <c r="F4844" t="str">
        <f t="shared" si="175"/>
        <v/>
      </c>
      <c r="G4844" t="str">
        <f t="shared" si="176"/>
        <v/>
      </c>
    </row>
    <row r="4845" spans="2:7">
      <c r="B4845" s="6"/>
      <c r="E4845" s="7"/>
      <c r="F4845" t="str">
        <f t="shared" si="175"/>
        <v/>
      </c>
      <c r="G4845" t="str">
        <f t="shared" si="176"/>
        <v/>
      </c>
    </row>
    <row r="4846" spans="2:7">
      <c r="B4846" s="6"/>
      <c r="E4846" s="7"/>
      <c r="F4846" t="str">
        <f t="shared" si="175"/>
        <v/>
      </c>
      <c r="G4846" t="str">
        <f t="shared" si="176"/>
        <v/>
      </c>
    </row>
    <row r="4847" spans="2:7">
      <c r="B4847" s="6"/>
      <c r="E4847" s="7"/>
      <c r="F4847" t="str">
        <f t="shared" si="175"/>
        <v/>
      </c>
      <c r="G4847" t="str">
        <f t="shared" si="176"/>
        <v/>
      </c>
    </row>
    <row r="4848" spans="2:7">
      <c r="B4848" s="6"/>
      <c r="E4848" s="7"/>
      <c r="F4848" t="str">
        <f t="shared" si="175"/>
        <v/>
      </c>
      <c r="G4848" t="str">
        <f t="shared" si="176"/>
        <v/>
      </c>
    </row>
    <row r="4849" spans="2:7">
      <c r="B4849" s="6"/>
      <c r="E4849" s="7"/>
      <c r="F4849" t="str">
        <f t="shared" si="175"/>
        <v/>
      </c>
      <c r="G4849" t="str">
        <f t="shared" si="176"/>
        <v/>
      </c>
    </row>
    <row r="4850" spans="2:7">
      <c r="B4850" s="6"/>
      <c r="E4850" s="7"/>
      <c r="F4850" t="str">
        <f t="shared" si="175"/>
        <v/>
      </c>
      <c r="G4850" t="str">
        <f t="shared" si="176"/>
        <v/>
      </c>
    </row>
    <row r="4851" spans="2:7">
      <c r="B4851" s="6"/>
      <c r="E4851" s="7"/>
      <c r="F4851" t="str">
        <f t="shared" si="175"/>
        <v/>
      </c>
      <c r="G4851" t="str">
        <f t="shared" si="176"/>
        <v/>
      </c>
    </row>
    <row r="4852" spans="2:7">
      <c r="B4852" s="6"/>
      <c r="E4852" s="7"/>
      <c r="F4852" t="str">
        <f t="shared" si="175"/>
        <v/>
      </c>
      <c r="G4852" t="str">
        <f t="shared" si="176"/>
        <v/>
      </c>
    </row>
    <row r="4853" spans="2:7">
      <c r="B4853" s="6"/>
      <c r="E4853" s="7"/>
      <c r="F4853" t="str">
        <f t="shared" si="175"/>
        <v/>
      </c>
      <c r="G4853" t="str">
        <f t="shared" si="176"/>
        <v/>
      </c>
    </row>
    <row r="4854" spans="2:7">
      <c r="B4854" s="6"/>
      <c r="E4854" s="7"/>
      <c r="F4854" t="str">
        <f t="shared" si="175"/>
        <v/>
      </c>
      <c r="G4854" t="str">
        <f t="shared" si="176"/>
        <v/>
      </c>
    </row>
    <row r="4855" spans="2:7">
      <c r="B4855" s="6"/>
      <c r="E4855" s="7"/>
      <c r="F4855" t="str">
        <f t="shared" si="175"/>
        <v/>
      </c>
      <c r="G4855" t="str">
        <f t="shared" si="176"/>
        <v/>
      </c>
    </row>
    <row r="4856" spans="2:7">
      <c r="B4856" s="6"/>
      <c r="E4856" s="7"/>
      <c r="F4856" t="str">
        <f t="shared" si="175"/>
        <v/>
      </c>
      <c r="G4856" t="str">
        <f t="shared" si="176"/>
        <v/>
      </c>
    </row>
    <row r="4857" spans="2:7">
      <c r="B4857" s="6"/>
      <c r="E4857" s="7"/>
      <c r="F4857" t="str">
        <f t="shared" si="175"/>
        <v/>
      </c>
      <c r="G4857" t="str">
        <f t="shared" si="176"/>
        <v/>
      </c>
    </row>
    <row r="4858" spans="2:7">
      <c r="B4858" s="6"/>
      <c r="E4858" s="7"/>
      <c r="F4858" t="str">
        <f t="shared" si="175"/>
        <v/>
      </c>
      <c r="G4858" t="str">
        <f t="shared" si="176"/>
        <v/>
      </c>
    </row>
    <row r="4859" spans="2:7">
      <c r="B4859" s="6"/>
      <c r="E4859" s="7"/>
      <c r="F4859" t="str">
        <f t="shared" si="175"/>
        <v/>
      </c>
      <c r="G4859" t="str">
        <f t="shared" si="176"/>
        <v/>
      </c>
    </row>
    <row r="4860" spans="2:7">
      <c r="B4860" s="6"/>
      <c r="E4860" s="7"/>
      <c r="F4860" t="str">
        <f t="shared" si="175"/>
        <v/>
      </c>
      <c r="G4860" t="str">
        <f t="shared" si="176"/>
        <v/>
      </c>
    </row>
    <row r="4861" spans="2:7">
      <c r="B4861" s="6"/>
      <c r="E4861" s="7"/>
      <c r="F4861" t="str">
        <f t="shared" si="175"/>
        <v/>
      </c>
      <c r="G4861" t="str">
        <f t="shared" si="176"/>
        <v/>
      </c>
    </row>
    <row r="4862" spans="2:7">
      <c r="B4862" s="6"/>
      <c r="E4862" s="7"/>
      <c r="F4862" t="str">
        <f t="shared" si="175"/>
        <v/>
      </c>
      <c r="G4862" t="str">
        <f t="shared" si="176"/>
        <v/>
      </c>
    </row>
    <row r="4863" spans="2:7">
      <c r="B4863" s="6"/>
      <c r="E4863" s="7"/>
      <c r="F4863" t="str">
        <f t="shared" si="175"/>
        <v/>
      </c>
      <c r="G4863" t="str">
        <f t="shared" si="176"/>
        <v/>
      </c>
    </row>
    <row r="4864" spans="2:7">
      <c r="B4864" s="6"/>
      <c r="E4864" s="7"/>
      <c r="F4864" t="str">
        <f t="shared" si="175"/>
        <v/>
      </c>
      <c r="G4864" t="str">
        <f t="shared" si="176"/>
        <v/>
      </c>
    </row>
    <row r="4865" spans="2:7">
      <c r="B4865" s="6"/>
      <c r="E4865" s="7"/>
      <c r="F4865" t="str">
        <f t="shared" si="175"/>
        <v/>
      </c>
      <c r="G4865" t="str">
        <f t="shared" si="176"/>
        <v/>
      </c>
    </row>
    <row r="4866" spans="2:7">
      <c r="B4866" s="6"/>
      <c r="E4866" s="7"/>
      <c r="F4866" t="str">
        <f t="shared" si="175"/>
        <v/>
      </c>
      <c r="G4866" t="str">
        <f t="shared" si="176"/>
        <v/>
      </c>
    </row>
    <row r="4867" spans="2:7">
      <c r="B4867" s="6"/>
      <c r="E4867" s="7"/>
      <c r="F4867" t="str">
        <f t="shared" si="175"/>
        <v/>
      </c>
      <c r="G4867" t="str">
        <f t="shared" si="176"/>
        <v/>
      </c>
    </row>
    <row r="4868" spans="2:7">
      <c r="B4868" s="6"/>
      <c r="E4868" s="7"/>
      <c r="F4868" t="str">
        <f t="shared" ref="F4868:F4931" si="177">IF(B4868="","",LOG10(D4868))</f>
        <v/>
      </c>
      <c r="G4868" t="str">
        <f t="shared" ref="G4868:G4931" si="178">IF(E4868="", "",0.434*E4868/D4868)</f>
        <v/>
      </c>
    </row>
    <row r="4869" spans="2:7">
      <c r="B4869" s="6"/>
      <c r="E4869" s="7"/>
      <c r="F4869" t="str">
        <f t="shared" si="177"/>
        <v/>
      </c>
      <c r="G4869" t="str">
        <f t="shared" si="178"/>
        <v/>
      </c>
    </row>
    <row r="4870" spans="2:7">
      <c r="B4870" s="6"/>
      <c r="E4870" s="7"/>
      <c r="F4870" t="str">
        <f t="shared" si="177"/>
        <v/>
      </c>
      <c r="G4870" t="str">
        <f t="shared" si="178"/>
        <v/>
      </c>
    </row>
    <row r="4871" spans="2:7">
      <c r="B4871" s="6"/>
      <c r="E4871" s="7"/>
      <c r="F4871" t="str">
        <f t="shared" si="177"/>
        <v/>
      </c>
      <c r="G4871" t="str">
        <f t="shared" si="178"/>
        <v/>
      </c>
    </row>
    <row r="4872" spans="2:7">
      <c r="B4872" s="6"/>
      <c r="E4872" s="7"/>
      <c r="F4872" t="str">
        <f t="shared" si="177"/>
        <v/>
      </c>
      <c r="G4872" t="str">
        <f t="shared" si="178"/>
        <v/>
      </c>
    </row>
    <row r="4873" spans="2:7">
      <c r="B4873" s="6"/>
      <c r="E4873" s="7"/>
      <c r="F4873" t="str">
        <f t="shared" si="177"/>
        <v/>
      </c>
      <c r="G4873" t="str">
        <f t="shared" si="178"/>
        <v/>
      </c>
    </row>
    <row r="4874" spans="2:7">
      <c r="B4874" s="6"/>
      <c r="E4874" s="7"/>
      <c r="F4874" t="str">
        <f t="shared" si="177"/>
        <v/>
      </c>
      <c r="G4874" t="str">
        <f t="shared" si="178"/>
        <v/>
      </c>
    </row>
    <row r="4875" spans="2:7">
      <c r="B4875" s="6"/>
      <c r="E4875" s="7"/>
      <c r="F4875" t="str">
        <f t="shared" si="177"/>
        <v/>
      </c>
      <c r="G4875" t="str">
        <f t="shared" si="178"/>
        <v/>
      </c>
    </row>
    <row r="4876" spans="2:7">
      <c r="B4876" s="6"/>
      <c r="E4876" s="7"/>
      <c r="F4876" t="str">
        <f t="shared" si="177"/>
        <v/>
      </c>
      <c r="G4876" t="str">
        <f t="shared" si="178"/>
        <v/>
      </c>
    </row>
    <row r="4877" spans="2:7">
      <c r="B4877" s="6"/>
      <c r="E4877" s="7"/>
      <c r="F4877" t="str">
        <f t="shared" si="177"/>
        <v/>
      </c>
      <c r="G4877" t="str">
        <f t="shared" si="178"/>
        <v/>
      </c>
    </row>
    <row r="4878" spans="2:7">
      <c r="B4878" s="6"/>
      <c r="E4878" s="7"/>
      <c r="F4878" t="str">
        <f t="shared" si="177"/>
        <v/>
      </c>
      <c r="G4878" t="str">
        <f t="shared" si="178"/>
        <v/>
      </c>
    </row>
    <row r="4879" spans="2:7">
      <c r="B4879" s="6"/>
      <c r="E4879" s="7"/>
      <c r="F4879" t="str">
        <f t="shared" si="177"/>
        <v/>
      </c>
      <c r="G4879" t="str">
        <f t="shared" si="178"/>
        <v/>
      </c>
    </row>
    <row r="4880" spans="2:7">
      <c r="B4880" s="6"/>
      <c r="E4880" s="7"/>
      <c r="F4880" t="str">
        <f t="shared" si="177"/>
        <v/>
      </c>
      <c r="G4880" t="str">
        <f t="shared" si="178"/>
        <v/>
      </c>
    </row>
    <row r="4881" spans="2:7">
      <c r="B4881" s="6"/>
      <c r="E4881" s="7"/>
      <c r="F4881" t="str">
        <f t="shared" si="177"/>
        <v/>
      </c>
      <c r="G4881" t="str">
        <f t="shared" si="178"/>
        <v/>
      </c>
    </row>
    <row r="4882" spans="2:7">
      <c r="B4882" s="6"/>
      <c r="E4882" s="7"/>
      <c r="F4882" t="str">
        <f t="shared" si="177"/>
        <v/>
      </c>
      <c r="G4882" t="str">
        <f t="shared" si="178"/>
        <v/>
      </c>
    </row>
    <row r="4883" spans="2:7">
      <c r="B4883" s="6"/>
      <c r="E4883" s="7"/>
      <c r="F4883" t="str">
        <f t="shared" si="177"/>
        <v/>
      </c>
      <c r="G4883" t="str">
        <f t="shared" si="178"/>
        <v/>
      </c>
    </row>
    <row r="4884" spans="2:7">
      <c r="B4884" s="6"/>
      <c r="E4884" s="7"/>
      <c r="F4884" t="str">
        <f t="shared" si="177"/>
        <v/>
      </c>
      <c r="G4884" t="str">
        <f t="shared" si="178"/>
        <v/>
      </c>
    </row>
    <row r="4885" spans="2:7">
      <c r="B4885" s="6"/>
      <c r="E4885" s="7"/>
      <c r="F4885" t="str">
        <f t="shared" si="177"/>
        <v/>
      </c>
      <c r="G4885" t="str">
        <f t="shared" si="178"/>
        <v/>
      </c>
    </row>
    <row r="4886" spans="2:7">
      <c r="B4886" s="6"/>
      <c r="E4886" s="7"/>
      <c r="F4886" t="str">
        <f t="shared" si="177"/>
        <v/>
      </c>
      <c r="G4886" t="str">
        <f t="shared" si="178"/>
        <v/>
      </c>
    </row>
    <row r="4887" spans="2:7">
      <c r="B4887" s="6"/>
      <c r="E4887" s="7"/>
      <c r="F4887" t="str">
        <f t="shared" si="177"/>
        <v/>
      </c>
      <c r="G4887" t="str">
        <f t="shared" si="178"/>
        <v/>
      </c>
    </row>
    <row r="4888" spans="2:7">
      <c r="B4888" s="6"/>
      <c r="E4888" s="7"/>
      <c r="F4888" t="str">
        <f t="shared" si="177"/>
        <v/>
      </c>
      <c r="G4888" t="str">
        <f t="shared" si="178"/>
        <v/>
      </c>
    </row>
    <row r="4889" spans="2:7">
      <c r="B4889" s="6"/>
      <c r="E4889" s="7"/>
      <c r="F4889" t="str">
        <f t="shared" si="177"/>
        <v/>
      </c>
      <c r="G4889" t="str">
        <f t="shared" si="178"/>
        <v/>
      </c>
    </row>
    <row r="4890" spans="2:7">
      <c r="B4890" s="6"/>
      <c r="E4890" s="7"/>
      <c r="F4890" t="str">
        <f t="shared" si="177"/>
        <v/>
      </c>
      <c r="G4890" t="str">
        <f t="shared" si="178"/>
        <v/>
      </c>
    </row>
    <row r="4891" spans="2:7">
      <c r="B4891" s="6"/>
      <c r="E4891" s="7"/>
      <c r="F4891" t="str">
        <f t="shared" si="177"/>
        <v/>
      </c>
      <c r="G4891" t="str">
        <f t="shared" si="178"/>
        <v/>
      </c>
    </row>
    <row r="4892" spans="2:7">
      <c r="B4892" s="6"/>
      <c r="E4892" s="7"/>
      <c r="F4892" t="str">
        <f t="shared" si="177"/>
        <v/>
      </c>
      <c r="G4892" t="str">
        <f t="shared" si="178"/>
        <v/>
      </c>
    </row>
    <row r="4893" spans="2:7">
      <c r="B4893" s="6"/>
      <c r="E4893" s="7"/>
      <c r="F4893" t="str">
        <f t="shared" si="177"/>
        <v/>
      </c>
      <c r="G4893" t="str">
        <f t="shared" si="178"/>
        <v/>
      </c>
    </row>
    <row r="4894" spans="2:7">
      <c r="B4894" s="6"/>
      <c r="E4894" s="7"/>
      <c r="F4894" t="str">
        <f t="shared" si="177"/>
        <v/>
      </c>
      <c r="G4894" t="str">
        <f t="shared" si="178"/>
        <v/>
      </c>
    </row>
    <row r="4895" spans="2:7">
      <c r="B4895" s="6"/>
      <c r="E4895" s="7"/>
      <c r="F4895" t="str">
        <f t="shared" si="177"/>
        <v/>
      </c>
      <c r="G4895" t="str">
        <f t="shared" si="178"/>
        <v/>
      </c>
    </row>
    <row r="4896" spans="2:7">
      <c r="B4896" s="6"/>
      <c r="E4896" s="7"/>
      <c r="F4896" t="str">
        <f t="shared" si="177"/>
        <v/>
      </c>
      <c r="G4896" t="str">
        <f t="shared" si="178"/>
        <v/>
      </c>
    </row>
    <row r="4897" spans="2:7">
      <c r="B4897" s="6"/>
      <c r="E4897" s="7"/>
      <c r="F4897" t="str">
        <f t="shared" si="177"/>
        <v/>
      </c>
      <c r="G4897" t="str">
        <f t="shared" si="178"/>
        <v/>
      </c>
    </row>
    <row r="4898" spans="2:7">
      <c r="B4898" s="6"/>
      <c r="E4898" s="7"/>
      <c r="F4898" t="str">
        <f t="shared" si="177"/>
        <v/>
      </c>
      <c r="G4898" t="str">
        <f t="shared" si="178"/>
        <v/>
      </c>
    </row>
    <row r="4899" spans="2:7">
      <c r="B4899" s="6"/>
      <c r="E4899" s="7"/>
      <c r="F4899" t="str">
        <f t="shared" si="177"/>
        <v/>
      </c>
      <c r="G4899" t="str">
        <f t="shared" si="178"/>
        <v/>
      </c>
    </row>
    <row r="4900" spans="2:7">
      <c r="B4900" s="6"/>
      <c r="E4900" s="7"/>
      <c r="F4900" t="str">
        <f t="shared" si="177"/>
        <v/>
      </c>
      <c r="G4900" t="str">
        <f t="shared" si="178"/>
        <v/>
      </c>
    </row>
    <row r="4901" spans="2:7">
      <c r="B4901" s="6"/>
      <c r="E4901" s="7"/>
      <c r="F4901" t="str">
        <f t="shared" si="177"/>
        <v/>
      </c>
      <c r="G4901" t="str">
        <f t="shared" si="178"/>
        <v/>
      </c>
    </row>
    <row r="4902" spans="2:7">
      <c r="B4902" s="6"/>
      <c r="E4902" s="7"/>
      <c r="F4902" t="str">
        <f t="shared" si="177"/>
        <v/>
      </c>
      <c r="G4902" t="str">
        <f t="shared" si="178"/>
        <v/>
      </c>
    </row>
    <row r="4903" spans="2:7">
      <c r="B4903" s="6"/>
      <c r="E4903" s="7"/>
      <c r="F4903" t="str">
        <f t="shared" si="177"/>
        <v/>
      </c>
      <c r="G4903" t="str">
        <f t="shared" si="178"/>
        <v/>
      </c>
    </row>
    <row r="4904" spans="2:7">
      <c r="B4904" s="6"/>
      <c r="E4904" s="7"/>
      <c r="F4904" t="str">
        <f t="shared" si="177"/>
        <v/>
      </c>
      <c r="G4904" t="str">
        <f t="shared" si="178"/>
        <v/>
      </c>
    </row>
    <row r="4905" spans="2:7">
      <c r="B4905" s="6"/>
      <c r="E4905" s="7"/>
      <c r="F4905" t="str">
        <f t="shared" si="177"/>
        <v/>
      </c>
      <c r="G4905" t="str">
        <f t="shared" si="178"/>
        <v/>
      </c>
    </row>
    <row r="4906" spans="2:7">
      <c r="B4906" s="6"/>
      <c r="E4906" s="7"/>
      <c r="F4906" t="str">
        <f t="shared" si="177"/>
        <v/>
      </c>
      <c r="G4906" t="str">
        <f t="shared" si="178"/>
        <v/>
      </c>
    </row>
    <row r="4907" spans="2:7">
      <c r="B4907" s="6"/>
      <c r="E4907" s="7"/>
      <c r="F4907" t="str">
        <f t="shared" si="177"/>
        <v/>
      </c>
      <c r="G4907" t="str">
        <f t="shared" si="178"/>
        <v/>
      </c>
    </row>
    <row r="4908" spans="2:7">
      <c r="B4908" s="6"/>
      <c r="E4908" s="7"/>
      <c r="F4908" t="str">
        <f t="shared" si="177"/>
        <v/>
      </c>
      <c r="G4908" t="str">
        <f t="shared" si="178"/>
        <v/>
      </c>
    </row>
    <row r="4909" spans="2:7">
      <c r="B4909" s="6"/>
      <c r="E4909" s="7"/>
      <c r="F4909" t="str">
        <f t="shared" si="177"/>
        <v/>
      </c>
      <c r="G4909" t="str">
        <f t="shared" si="178"/>
        <v/>
      </c>
    </row>
    <row r="4910" spans="2:7">
      <c r="B4910" s="6"/>
      <c r="E4910" s="7"/>
      <c r="F4910" t="str">
        <f t="shared" si="177"/>
        <v/>
      </c>
      <c r="G4910" t="str">
        <f t="shared" si="178"/>
        <v/>
      </c>
    </row>
    <row r="4911" spans="2:7">
      <c r="B4911" s="6"/>
      <c r="E4911" s="7"/>
      <c r="F4911" t="str">
        <f t="shared" si="177"/>
        <v/>
      </c>
      <c r="G4911" t="str">
        <f t="shared" si="178"/>
        <v/>
      </c>
    </row>
    <row r="4912" spans="2:7">
      <c r="B4912" s="6"/>
      <c r="E4912" s="7"/>
      <c r="F4912" t="str">
        <f t="shared" si="177"/>
        <v/>
      </c>
      <c r="G4912" t="str">
        <f t="shared" si="178"/>
        <v/>
      </c>
    </row>
    <row r="4913" spans="2:7">
      <c r="B4913" s="6"/>
      <c r="E4913" s="7"/>
      <c r="F4913" t="str">
        <f t="shared" si="177"/>
        <v/>
      </c>
      <c r="G4913" t="str">
        <f t="shared" si="178"/>
        <v/>
      </c>
    </row>
    <row r="4914" spans="2:7">
      <c r="B4914" s="6"/>
      <c r="E4914" s="7"/>
      <c r="F4914" t="str">
        <f t="shared" si="177"/>
        <v/>
      </c>
      <c r="G4914" t="str">
        <f t="shared" si="178"/>
        <v/>
      </c>
    </row>
    <row r="4915" spans="2:7">
      <c r="B4915" s="6"/>
      <c r="E4915" s="7"/>
      <c r="F4915" t="str">
        <f t="shared" si="177"/>
        <v/>
      </c>
      <c r="G4915" t="str">
        <f t="shared" si="178"/>
        <v/>
      </c>
    </row>
    <row r="4916" spans="2:7">
      <c r="B4916" s="6"/>
      <c r="E4916" s="7"/>
      <c r="F4916" t="str">
        <f t="shared" si="177"/>
        <v/>
      </c>
      <c r="G4916" t="str">
        <f t="shared" si="178"/>
        <v/>
      </c>
    </row>
    <row r="4917" spans="2:7">
      <c r="B4917" s="6"/>
      <c r="E4917" s="7"/>
      <c r="F4917" t="str">
        <f t="shared" si="177"/>
        <v/>
      </c>
      <c r="G4917" t="str">
        <f t="shared" si="178"/>
        <v/>
      </c>
    </row>
    <row r="4918" spans="2:7">
      <c r="B4918" s="6"/>
      <c r="E4918" s="7"/>
      <c r="F4918" t="str">
        <f t="shared" si="177"/>
        <v/>
      </c>
      <c r="G4918" t="str">
        <f t="shared" si="178"/>
        <v/>
      </c>
    </row>
    <row r="4919" spans="2:7">
      <c r="B4919" s="6"/>
      <c r="E4919" s="7"/>
      <c r="F4919" t="str">
        <f t="shared" si="177"/>
        <v/>
      </c>
      <c r="G4919" t="str">
        <f t="shared" si="178"/>
        <v/>
      </c>
    </row>
    <row r="4920" spans="2:7">
      <c r="B4920" s="6"/>
      <c r="E4920" s="7"/>
      <c r="F4920" t="str">
        <f t="shared" si="177"/>
        <v/>
      </c>
      <c r="G4920" t="str">
        <f t="shared" si="178"/>
        <v/>
      </c>
    </row>
    <row r="4921" spans="2:7">
      <c r="B4921" s="6"/>
      <c r="E4921" s="7"/>
      <c r="F4921" t="str">
        <f t="shared" si="177"/>
        <v/>
      </c>
      <c r="G4921" t="str">
        <f t="shared" si="178"/>
        <v/>
      </c>
    </row>
    <row r="4922" spans="2:7">
      <c r="B4922" s="6"/>
      <c r="E4922" s="7"/>
      <c r="F4922" t="str">
        <f t="shared" si="177"/>
        <v/>
      </c>
      <c r="G4922" t="str">
        <f t="shared" si="178"/>
        <v/>
      </c>
    </row>
    <row r="4923" spans="2:7">
      <c r="B4923" s="6"/>
      <c r="E4923" s="7"/>
      <c r="F4923" t="str">
        <f t="shared" si="177"/>
        <v/>
      </c>
      <c r="G4923" t="str">
        <f t="shared" si="178"/>
        <v/>
      </c>
    </row>
    <row r="4924" spans="2:7">
      <c r="B4924" s="6"/>
      <c r="E4924" s="7"/>
      <c r="F4924" t="str">
        <f t="shared" si="177"/>
        <v/>
      </c>
      <c r="G4924" t="str">
        <f t="shared" si="178"/>
        <v/>
      </c>
    </row>
    <row r="4925" spans="2:7">
      <c r="B4925" s="6"/>
      <c r="E4925" s="7"/>
      <c r="F4925" t="str">
        <f t="shared" si="177"/>
        <v/>
      </c>
      <c r="G4925" t="str">
        <f t="shared" si="178"/>
        <v/>
      </c>
    </row>
    <row r="4926" spans="2:7">
      <c r="B4926" s="6"/>
      <c r="E4926" s="7"/>
      <c r="F4926" t="str">
        <f t="shared" si="177"/>
        <v/>
      </c>
      <c r="G4926" t="str">
        <f t="shared" si="178"/>
        <v/>
      </c>
    </row>
    <row r="4927" spans="2:7">
      <c r="B4927" s="6"/>
      <c r="E4927" s="7"/>
      <c r="F4927" t="str">
        <f t="shared" si="177"/>
        <v/>
      </c>
      <c r="G4927" t="str">
        <f t="shared" si="178"/>
        <v/>
      </c>
    </row>
    <row r="4928" spans="2:7">
      <c r="B4928" s="6"/>
      <c r="E4928" s="7"/>
      <c r="F4928" t="str">
        <f t="shared" si="177"/>
        <v/>
      </c>
      <c r="G4928" t="str">
        <f t="shared" si="178"/>
        <v/>
      </c>
    </row>
    <row r="4929" spans="2:7">
      <c r="B4929" s="6"/>
      <c r="E4929" s="7"/>
      <c r="F4929" t="str">
        <f t="shared" si="177"/>
        <v/>
      </c>
      <c r="G4929" t="str">
        <f t="shared" si="178"/>
        <v/>
      </c>
    </row>
    <row r="4930" spans="2:7">
      <c r="B4930" s="6"/>
      <c r="E4930" s="7"/>
      <c r="F4930" t="str">
        <f t="shared" si="177"/>
        <v/>
      </c>
      <c r="G4930" t="str">
        <f t="shared" si="178"/>
        <v/>
      </c>
    </row>
    <row r="4931" spans="2:7">
      <c r="B4931" s="6"/>
      <c r="E4931" s="7"/>
      <c r="F4931" t="str">
        <f t="shared" si="177"/>
        <v/>
      </c>
      <c r="G4931" t="str">
        <f t="shared" si="178"/>
        <v/>
      </c>
    </row>
    <row r="4932" spans="2:7">
      <c r="B4932" s="6"/>
      <c r="E4932" s="7"/>
      <c r="F4932" t="str">
        <f t="shared" ref="F4932:F4995" si="179">IF(B4932="","",LOG10(D4932))</f>
        <v/>
      </c>
      <c r="G4932" t="str">
        <f t="shared" ref="G4932:G4995" si="180">IF(E4932="", "",0.434*E4932/D4932)</f>
        <v/>
      </c>
    </row>
    <row r="4933" spans="2:7">
      <c r="B4933" s="6"/>
      <c r="E4933" s="7"/>
      <c r="F4933" t="str">
        <f t="shared" si="179"/>
        <v/>
      </c>
      <c r="G4933" t="str">
        <f t="shared" si="180"/>
        <v/>
      </c>
    </row>
    <row r="4934" spans="2:7">
      <c r="B4934" s="6"/>
      <c r="E4934" s="7"/>
      <c r="F4934" t="str">
        <f t="shared" si="179"/>
        <v/>
      </c>
      <c r="G4934" t="str">
        <f t="shared" si="180"/>
        <v/>
      </c>
    </row>
    <row r="4935" spans="2:7">
      <c r="B4935" s="6"/>
      <c r="E4935" s="7"/>
      <c r="F4935" t="str">
        <f t="shared" si="179"/>
        <v/>
      </c>
      <c r="G4935" t="str">
        <f t="shared" si="180"/>
        <v/>
      </c>
    </row>
    <row r="4936" spans="2:7">
      <c r="B4936" s="6"/>
      <c r="E4936" s="7"/>
      <c r="F4936" t="str">
        <f t="shared" si="179"/>
        <v/>
      </c>
      <c r="G4936" t="str">
        <f t="shared" si="180"/>
        <v/>
      </c>
    </row>
    <row r="4937" spans="2:7">
      <c r="B4937" s="6"/>
      <c r="E4937" s="7"/>
      <c r="F4937" t="str">
        <f t="shared" si="179"/>
        <v/>
      </c>
      <c r="G4937" t="str">
        <f t="shared" si="180"/>
        <v/>
      </c>
    </row>
    <row r="4938" spans="2:7">
      <c r="B4938" s="6"/>
      <c r="E4938" s="7"/>
      <c r="F4938" t="str">
        <f t="shared" si="179"/>
        <v/>
      </c>
      <c r="G4938" t="str">
        <f t="shared" si="180"/>
        <v/>
      </c>
    </row>
    <row r="4939" spans="2:7">
      <c r="B4939" s="6"/>
      <c r="E4939" s="7"/>
      <c r="F4939" t="str">
        <f t="shared" si="179"/>
        <v/>
      </c>
      <c r="G4939" t="str">
        <f t="shared" si="180"/>
        <v/>
      </c>
    </row>
    <row r="4940" spans="2:7">
      <c r="B4940" s="6"/>
      <c r="E4940" s="7"/>
      <c r="F4940" t="str">
        <f t="shared" si="179"/>
        <v/>
      </c>
      <c r="G4940" t="str">
        <f t="shared" si="180"/>
        <v/>
      </c>
    </row>
    <row r="4941" spans="2:7">
      <c r="B4941" s="6"/>
      <c r="E4941" s="7"/>
      <c r="F4941" t="str">
        <f t="shared" si="179"/>
        <v/>
      </c>
      <c r="G4941" t="str">
        <f t="shared" si="180"/>
        <v/>
      </c>
    </row>
    <row r="4942" spans="2:7">
      <c r="B4942" s="6"/>
      <c r="E4942" s="7"/>
      <c r="F4942" t="str">
        <f t="shared" si="179"/>
        <v/>
      </c>
      <c r="G4942" t="str">
        <f t="shared" si="180"/>
        <v/>
      </c>
    </row>
    <row r="4943" spans="2:7">
      <c r="B4943" s="6"/>
      <c r="E4943" s="7"/>
      <c r="F4943" t="str">
        <f t="shared" si="179"/>
        <v/>
      </c>
      <c r="G4943" t="str">
        <f t="shared" si="180"/>
        <v/>
      </c>
    </row>
    <row r="4944" spans="2:7">
      <c r="B4944" s="6"/>
      <c r="E4944" s="7"/>
      <c r="F4944" t="str">
        <f t="shared" si="179"/>
        <v/>
      </c>
      <c r="G4944" t="str">
        <f t="shared" si="180"/>
        <v/>
      </c>
    </row>
    <row r="4945" spans="2:7">
      <c r="B4945" s="6"/>
      <c r="E4945" s="7"/>
      <c r="F4945" t="str">
        <f t="shared" si="179"/>
        <v/>
      </c>
      <c r="G4945" t="str">
        <f t="shared" si="180"/>
        <v/>
      </c>
    </row>
    <row r="4946" spans="2:7">
      <c r="B4946" s="6"/>
      <c r="E4946" s="7"/>
      <c r="F4946" t="str">
        <f t="shared" si="179"/>
        <v/>
      </c>
      <c r="G4946" t="str">
        <f t="shared" si="180"/>
        <v/>
      </c>
    </row>
    <row r="4947" spans="2:7">
      <c r="B4947" s="6"/>
      <c r="E4947" s="7"/>
      <c r="F4947" t="str">
        <f t="shared" si="179"/>
        <v/>
      </c>
      <c r="G4947" t="str">
        <f t="shared" si="180"/>
        <v/>
      </c>
    </row>
    <row r="4948" spans="2:7">
      <c r="B4948" s="6"/>
      <c r="E4948" s="7"/>
      <c r="F4948" t="str">
        <f t="shared" si="179"/>
        <v/>
      </c>
      <c r="G4948" t="str">
        <f t="shared" si="180"/>
        <v/>
      </c>
    </row>
    <row r="4949" spans="2:7">
      <c r="B4949" s="6"/>
      <c r="E4949" s="7"/>
      <c r="F4949" t="str">
        <f t="shared" si="179"/>
        <v/>
      </c>
      <c r="G4949" t="str">
        <f t="shared" si="180"/>
        <v/>
      </c>
    </row>
    <row r="4950" spans="2:7">
      <c r="B4950" s="6"/>
      <c r="E4950" s="7"/>
      <c r="F4950" t="str">
        <f t="shared" si="179"/>
        <v/>
      </c>
      <c r="G4950" t="str">
        <f t="shared" si="180"/>
        <v/>
      </c>
    </row>
    <row r="4951" spans="2:7">
      <c r="B4951" s="6"/>
      <c r="E4951" s="7"/>
      <c r="F4951" t="str">
        <f t="shared" si="179"/>
        <v/>
      </c>
      <c r="G4951" t="str">
        <f t="shared" si="180"/>
        <v/>
      </c>
    </row>
    <row r="4952" spans="2:7">
      <c r="B4952" s="6"/>
      <c r="E4952" s="7"/>
      <c r="F4952" t="str">
        <f t="shared" si="179"/>
        <v/>
      </c>
      <c r="G4952" t="str">
        <f t="shared" si="180"/>
        <v/>
      </c>
    </row>
    <row r="4953" spans="2:7">
      <c r="B4953" s="6"/>
      <c r="E4953" s="7"/>
      <c r="F4953" t="str">
        <f t="shared" si="179"/>
        <v/>
      </c>
      <c r="G4953" t="str">
        <f t="shared" si="180"/>
        <v/>
      </c>
    </row>
    <row r="4954" spans="2:7">
      <c r="B4954" s="6"/>
      <c r="E4954" s="7"/>
      <c r="F4954" t="str">
        <f t="shared" si="179"/>
        <v/>
      </c>
      <c r="G4954" t="str">
        <f t="shared" si="180"/>
        <v/>
      </c>
    </row>
    <row r="4955" spans="2:7">
      <c r="B4955" s="6"/>
      <c r="E4955" s="7"/>
      <c r="F4955" t="str">
        <f t="shared" si="179"/>
        <v/>
      </c>
      <c r="G4955" t="str">
        <f t="shared" si="180"/>
        <v/>
      </c>
    </row>
    <row r="4956" spans="2:7">
      <c r="B4956" s="6"/>
      <c r="E4956" s="7"/>
      <c r="F4956" t="str">
        <f t="shared" si="179"/>
        <v/>
      </c>
      <c r="G4956" t="str">
        <f t="shared" si="180"/>
        <v/>
      </c>
    </row>
    <row r="4957" spans="2:7">
      <c r="B4957" s="6"/>
      <c r="E4957" s="7"/>
      <c r="F4957" t="str">
        <f t="shared" si="179"/>
        <v/>
      </c>
      <c r="G4957" t="str">
        <f t="shared" si="180"/>
        <v/>
      </c>
    </row>
    <row r="4958" spans="2:7">
      <c r="B4958" s="6"/>
      <c r="E4958" s="7"/>
      <c r="F4958" t="str">
        <f t="shared" si="179"/>
        <v/>
      </c>
      <c r="G4958" t="str">
        <f t="shared" si="180"/>
        <v/>
      </c>
    </row>
    <row r="4959" spans="2:7">
      <c r="B4959" s="6"/>
      <c r="E4959" s="7"/>
      <c r="F4959" t="str">
        <f t="shared" si="179"/>
        <v/>
      </c>
      <c r="G4959" t="str">
        <f t="shared" si="180"/>
        <v/>
      </c>
    </row>
    <row r="4960" spans="2:7">
      <c r="B4960" s="6"/>
      <c r="E4960" s="7"/>
      <c r="F4960" t="str">
        <f t="shared" si="179"/>
        <v/>
      </c>
      <c r="G4960" t="str">
        <f t="shared" si="180"/>
        <v/>
      </c>
    </row>
    <row r="4961" spans="2:7">
      <c r="B4961" s="6"/>
      <c r="E4961" s="7"/>
      <c r="F4961" t="str">
        <f t="shared" si="179"/>
        <v/>
      </c>
      <c r="G4961" t="str">
        <f t="shared" si="180"/>
        <v/>
      </c>
    </row>
    <row r="4962" spans="2:7">
      <c r="B4962" s="6"/>
      <c r="E4962" s="7"/>
      <c r="F4962" t="str">
        <f t="shared" si="179"/>
        <v/>
      </c>
      <c r="G4962" t="str">
        <f t="shared" si="180"/>
        <v/>
      </c>
    </row>
    <row r="4963" spans="2:7">
      <c r="B4963" s="6"/>
      <c r="E4963" s="7"/>
      <c r="F4963" t="str">
        <f t="shared" si="179"/>
        <v/>
      </c>
      <c r="G4963" t="str">
        <f t="shared" si="180"/>
        <v/>
      </c>
    </row>
    <row r="4964" spans="2:7">
      <c r="B4964" s="6"/>
      <c r="E4964" s="7"/>
      <c r="F4964" t="str">
        <f t="shared" si="179"/>
        <v/>
      </c>
      <c r="G4964" t="str">
        <f t="shared" si="180"/>
        <v/>
      </c>
    </row>
    <row r="4965" spans="2:7">
      <c r="B4965" s="6"/>
      <c r="E4965" s="7"/>
      <c r="F4965" t="str">
        <f t="shared" si="179"/>
        <v/>
      </c>
      <c r="G4965" t="str">
        <f t="shared" si="180"/>
        <v/>
      </c>
    </row>
    <row r="4966" spans="2:7">
      <c r="B4966" s="6"/>
      <c r="E4966" s="7"/>
      <c r="F4966" t="str">
        <f t="shared" si="179"/>
        <v/>
      </c>
      <c r="G4966" t="str">
        <f t="shared" si="180"/>
        <v/>
      </c>
    </row>
    <row r="4967" spans="2:7">
      <c r="B4967" s="6"/>
      <c r="E4967" s="7"/>
      <c r="F4967" t="str">
        <f t="shared" si="179"/>
        <v/>
      </c>
      <c r="G4967" t="str">
        <f t="shared" si="180"/>
        <v/>
      </c>
    </row>
    <row r="4968" spans="2:7">
      <c r="B4968" s="6"/>
      <c r="E4968" s="7"/>
      <c r="F4968" t="str">
        <f t="shared" si="179"/>
        <v/>
      </c>
      <c r="G4968" t="str">
        <f t="shared" si="180"/>
        <v/>
      </c>
    </row>
    <row r="4969" spans="2:7">
      <c r="B4969" s="6"/>
      <c r="E4969" s="7"/>
      <c r="F4969" t="str">
        <f t="shared" si="179"/>
        <v/>
      </c>
      <c r="G4969" t="str">
        <f t="shared" si="180"/>
        <v/>
      </c>
    </row>
    <row r="4970" spans="2:7">
      <c r="B4970" s="6"/>
      <c r="E4970" s="7"/>
      <c r="F4970" t="str">
        <f t="shared" si="179"/>
        <v/>
      </c>
      <c r="G4970" t="str">
        <f t="shared" si="180"/>
        <v/>
      </c>
    </row>
    <row r="4971" spans="2:7">
      <c r="B4971" s="6"/>
      <c r="E4971" s="7"/>
      <c r="F4971" t="str">
        <f t="shared" si="179"/>
        <v/>
      </c>
      <c r="G4971" t="str">
        <f t="shared" si="180"/>
        <v/>
      </c>
    </row>
    <row r="4972" spans="2:7">
      <c r="B4972" s="6"/>
      <c r="E4972" s="7"/>
      <c r="F4972" t="str">
        <f t="shared" si="179"/>
        <v/>
      </c>
      <c r="G4972" t="str">
        <f t="shared" si="180"/>
        <v/>
      </c>
    </row>
    <row r="4973" spans="2:7">
      <c r="B4973" s="6"/>
      <c r="E4973" s="7"/>
      <c r="F4973" t="str">
        <f t="shared" si="179"/>
        <v/>
      </c>
      <c r="G4973" t="str">
        <f t="shared" si="180"/>
        <v/>
      </c>
    </row>
    <row r="4974" spans="2:7">
      <c r="B4974" s="6"/>
      <c r="E4974" s="7"/>
      <c r="F4974" t="str">
        <f t="shared" si="179"/>
        <v/>
      </c>
      <c r="G4974" t="str">
        <f t="shared" si="180"/>
        <v/>
      </c>
    </row>
    <row r="4975" spans="2:7">
      <c r="B4975" s="6"/>
      <c r="E4975" s="7"/>
      <c r="F4975" t="str">
        <f t="shared" si="179"/>
        <v/>
      </c>
      <c r="G4975" t="str">
        <f t="shared" si="180"/>
        <v/>
      </c>
    </row>
    <row r="4976" spans="2:7">
      <c r="B4976" s="6"/>
      <c r="E4976" s="7"/>
      <c r="F4976" t="str">
        <f t="shared" si="179"/>
        <v/>
      </c>
      <c r="G4976" t="str">
        <f t="shared" si="180"/>
        <v/>
      </c>
    </row>
    <row r="4977" spans="2:7">
      <c r="B4977" s="6"/>
      <c r="E4977" s="7"/>
      <c r="F4977" t="str">
        <f t="shared" si="179"/>
        <v/>
      </c>
      <c r="G4977" t="str">
        <f t="shared" si="180"/>
        <v/>
      </c>
    </row>
    <row r="4978" spans="2:7">
      <c r="B4978" s="6"/>
      <c r="E4978" s="7"/>
      <c r="F4978" t="str">
        <f t="shared" si="179"/>
        <v/>
      </c>
      <c r="G4978" t="str">
        <f t="shared" si="180"/>
        <v/>
      </c>
    </row>
    <row r="4979" spans="2:7">
      <c r="B4979" s="6"/>
      <c r="E4979" s="7"/>
      <c r="F4979" t="str">
        <f t="shared" si="179"/>
        <v/>
      </c>
      <c r="G4979" t="str">
        <f t="shared" si="180"/>
        <v/>
      </c>
    </row>
    <row r="4980" spans="2:7">
      <c r="B4980" s="6"/>
      <c r="E4980" s="7"/>
      <c r="F4980" t="str">
        <f t="shared" si="179"/>
        <v/>
      </c>
      <c r="G4980" t="str">
        <f t="shared" si="180"/>
        <v/>
      </c>
    </row>
    <row r="4981" spans="2:7">
      <c r="B4981" s="6"/>
      <c r="E4981" s="7"/>
      <c r="F4981" t="str">
        <f t="shared" si="179"/>
        <v/>
      </c>
      <c r="G4981" t="str">
        <f t="shared" si="180"/>
        <v/>
      </c>
    </row>
    <row r="4982" spans="2:7">
      <c r="B4982" s="6"/>
      <c r="E4982" s="7"/>
      <c r="F4982" t="str">
        <f t="shared" si="179"/>
        <v/>
      </c>
      <c r="G4982" t="str">
        <f t="shared" si="180"/>
        <v/>
      </c>
    </row>
    <row r="4983" spans="2:7">
      <c r="B4983" s="6"/>
      <c r="E4983" s="7"/>
      <c r="F4983" t="str">
        <f t="shared" si="179"/>
        <v/>
      </c>
      <c r="G4983" t="str">
        <f t="shared" si="180"/>
        <v/>
      </c>
    </row>
    <row r="4984" spans="2:7">
      <c r="B4984" s="6"/>
      <c r="E4984" s="7"/>
      <c r="F4984" t="str">
        <f t="shared" si="179"/>
        <v/>
      </c>
      <c r="G4984" t="str">
        <f t="shared" si="180"/>
        <v/>
      </c>
    </row>
    <row r="4985" spans="2:7">
      <c r="B4985" s="6"/>
      <c r="E4985" s="7"/>
      <c r="F4985" t="str">
        <f t="shared" si="179"/>
        <v/>
      </c>
      <c r="G4985" t="str">
        <f t="shared" si="180"/>
        <v/>
      </c>
    </row>
    <row r="4986" spans="2:7">
      <c r="B4986" s="6"/>
      <c r="E4986" s="7"/>
      <c r="F4986" t="str">
        <f t="shared" si="179"/>
        <v/>
      </c>
      <c r="G4986" t="str">
        <f t="shared" si="180"/>
        <v/>
      </c>
    </row>
    <row r="4987" spans="2:7">
      <c r="B4987" s="6"/>
      <c r="E4987" s="7"/>
      <c r="F4987" t="str">
        <f t="shared" si="179"/>
        <v/>
      </c>
      <c r="G4987" t="str">
        <f t="shared" si="180"/>
        <v/>
      </c>
    </row>
    <row r="4988" spans="2:7">
      <c r="B4988" s="6"/>
      <c r="E4988" s="7"/>
      <c r="F4988" t="str">
        <f t="shared" si="179"/>
        <v/>
      </c>
      <c r="G4988" t="str">
        <f t="shared" si="180"/>
        <v/>
      </c>
    </row>
    <row r="4989" spans="2:7">
      <c r="B4989" s="6"/>
      <c r="E4989" s="7"/>
      <c r="F4989" t="str">
        <f t="shared" si="179"/>
        <v/>
      </c>
      <c r="G4989" t="str">
        <f t="shared" si="180"/>
        <v/>
      </c>
    </row>
    <row r="4990" spans="2:7">
      <c r="B4990" s="6"/>
      <c r="E4990" s="7"/>
      <c r="F4990" t="str">
        <f t="shared" si="179"/>
        <v/>
      </c>
      <c r="G4990" t="str">
        <f t="shared" si="180"/>
        <v/>
      </c>
    </row>
    <row r="4991" spans="2:7">
      <c r="B4991" s="6"/>
      <c r="E4991" s="7"/>
      <c r="F4991" t="str">
        <f t="shared" si="179"/>
        <v/>
      </c>
      <c r="G4991" t="str">
        <f t="shared" si="180"/>
        <v/>
      </c>
    </row>
    <row r="4992" spans="2:7">
      <c r="B4992" s="6"/>
      <c r="E4992" s="7"/>
      <c r="F4992" t="str">
        <f t="shared" si="179"/>
        <v/>
      </c>
      <c r="G4992" t="str">
        <f t="shared" si="180"/>
        <v/>
      </c>
    </row>
    <row r="4993" spans="2:7">
      <c r="B4993" s="6"/>
      <c r="E4993" s="7"/>
      <c r="F4993" t="str">
        <f t="shared" si="179"/>
        <v/>
      </c>
      <c r="G4993" t="str">
        <f t="shared" si="180"/>
        <v/>
      </c>
    </row>
    <row r="4994" spans="2:7">
      <c r="B4994" s="6"/>
      <c r="E4994" s="7"/>
      <c r="F4994" t="str">
        <f t="shared" si="179"/>
        <v/>
      </c>
      <c r="G4994" t="str">
        <f t="shared" si="180"/>
        <v/>
      </c>
    </row>
    <row r="4995" spans="2:7">
      <c r="B4995" s="6"/>
      <c r="E4995" s="7"/>
      <c r="F4995" t="str">
        <f t="shared" si="179"/>
        <v/>
      </c>
      <c r="G4995" t="str">
        <f t="shared" si="180"/>
        <v/>
      </c>
    </row>
    <row r="4996" spans="2:7">
      <c r="B4996" s="6"/>
      <c r="E4996" s="7"/>
      <c r="F4996" t="str">
        <f t="shared" ref="F4996:F5059" si="181">IF(B4996="","",LOG10(D4996))</f>
        <v/>
      </c>
      <c r="G4996" t="str">
        <f t="shared" ref="G4996:G5059" si="182">IF(E4996="", "",0.434*E4996/D4996)</f>
        <v/>
      </c>
    </row>
    <row r="4997" spans="2:7">
      <c r="B4997" s="6"/>
      <c r="E4997" s="7"/>
      <c r="F4997" t="str">
        <f t="shared" si="181"/>
        <v/>
      </c>
      <c r="G4997" t="str">
        <f t="shared" si="182"/>
        <v/>
      </c>
    </row>
    <row r="4998" spans="2:7">
      <c r="B4998" s="6"/>
      <c r="E4998" s="7"/>
      <c r="F4998" t="str">
        <f t="shared" si="181"/>
        <v/>
      </c>
      <c r="G4998" t="str">
        <f t="shared" si="182"/>
        <v/>
      </c>
    </row>
    <row r="4999" spans="2:7">
      <c r="B4999" s="6"/>
      <c r="E4999" s="7"/>
      <c r="F4999" t="str">
        <f t="shared" si="181"/>
        <v/>
      </c>
      <c r="G4999" t="str">
        <f t="shared" si="182"/>
        <v/>
      </c>
    </row>
    <row r="5000" spans="2:7">
      <c r="B5000" s="6"/>
      <c r="E5000" s="7"/>
      <c r="F5000" t="str">
        <f t="shared" si="181"/>
        <v/>
      </c>
      <c r="G5000" t="str">
        <f t="shared" si="182"/>
        <v/>
      </c>
    </row>
    <row r="5001" spans="2:7">
      <c r="B5001" s="6"/>
      <c r="E5001" s="7"/>
      <c r="F5001" t="str">
        <f t="shared" si="181"/>
        <v/>
      </c>
      <c r="G5001" t="str">
        <f t="shared" si="182"/>
        <v/>
      </c>
    </row>
    <row r="5002" spans="2:7">
      <c r="B5002" s="6"/>
      <c r="E5002" s="7"/>
      <c r="F5002" t="str">
        <f t="shared" si="181"/>
        <v/>
      </c>
      <c r="G5002" t="str">
        <f t="shared" si="182"/>
        <v/>
      </c>
    </row>
    <row r="5003" spans="2:7">
      <c r="B5003" s="6"/>
      <c r="E5003" s="7"/>
      <c r="F5003" t="str">
        <f t="shared" si="181"/>
        <v/>
      </c>
      <c r="G5003" t="str">
        <f t="shared" si="182"/>
        <v/>
      </c>
    </row>
    <row r="5004" spans="2:7">
      <c r="B5004" s="6"/>
      <c r="E5004" s="7"/>
      <c r="F5004" t="str">
        <f t="shared" si="181"/>
        <v/>
      </c>
      <c r="G5004" t="str">
        <f t="shared" si="182"/>
        <v/>
      </c>
    </row>
    <row r="5005" spans="2:7">
      <c r="B5005" s="6"/>
      <c r="E5005" s="7"/>
      <c r="F5005" t="str">
        <f t="shared" si="181"/>
        <v/>
      </c>
      <c r="G5005" t="str">
        <f t="shared" si="182"/>
        <v/>
      </c>
    </row>
    <row r="5006" spans="2:7">
      <c r="B5006" s="6"/>
      <c r="E5006" s="7"/>
      <c r="F5006" t="str">
        <f t="shared" si="181"/>
        <v/>
      </c>
      <c r="G5006" t="str">
        <f t="shared" si="182"/>
        <v/>
      </c>
    </row>
    <row r="5007" spans="2:7">
      <c r="B5007" s="6"/>
      <c r="E5007" s="7"/>
      <c r="F5007" t="str">
        <f t="shared" si="181"/>
        <v/>
      </c>
      <c r="G5007" t="str">
        <f t="shared" si="182"/>
        <v/>
      </c>
    </row>
    <row r="5008" spans="2:7">
      <c r="B5008" s="6"/>
      <c r="E5008" s="7"/>
      <c r="F5008" t="str">
        <f t="shared" si="181"/>
        <v/>
      </c>
      <c r="G5008" t="str">
        <f t="shared" si="182"/>
        <v/>
      </c>
    </row>
    <row r="5009" spans="2:7">
      <c r="B5009" s="6"/>
      <c r="E5009" s="7"/>
      <c r="F5009" t="str">
        <f t="shared" si="181"/>
        <v/>
      </c>
      <c r="G5009" t="str">
        <f t="shared" si="182"/>
        <v/>
      </c>
    </row>
    <row r="5010" spans="2:7">
      <c r="B5010" s="6"/>
      <c r="E5010" s="7"/>
      <c r="F5010" t="str">
        <f t="shared" si="181"/>
        <v/>
      </c>
      <c r="G5010" t="str">
        <f t="shared" si="182"/>
        <v/>
      </c>
    </row>
    <row r="5011" spans="2:7">
      <c r="B5011" s="6"/>
      <c r="E5011" s="7"/>
      <c r="F5011" t="str">
        <f t="shared" si="181"/>
        <v/>
      </c>
      <c r="G5011" t="str">
        <f t="shared" si="182"/>
        <v/>
      </c>
    </row>
    <row r="5012" spans="2:7">
      <c r="B5012" s="6"/>
      <c r="E5012" s="7"/>
      <c r="F5012" t="str">
        <f t="shared" si="181"/>
        <v/>
      </c>
      <c r="G5012" t="str">
        <f t="shared" si="182"/>
        <v/>
      </c>
    </row>
    <row r="5013" spans="2:7">
      <c r="B5013" s="6"/>
      <c r="E5013" s="7"/>
      <c r="F5013" t="str">
        <f t="shared" si="181"/>
        <v/>
      </c>
      <c r="G5013" t="str">
        <f t="shared" si="182"/>
        <v/>
      </c>
    </row>
    <row r="5014" spans="2:7">
      <c r="B5014" s="6"/>
      <c r="E5014" s="7"/>
      <c r="F5014" t="str">
        <f t="shared" si="181"/>
        <v/>
      </c>
      <c r="G5014" t="str">
        <f t="shared" si="182"/>
        <v/>
      </c>
    </row>
    <row r="5015" spans="2:7">
      <c r="B5015" s="6"/>
      <c r="E5015" s="7"/>
      <c r="F5015" t="str">
        <f t="shared" si="181"/>
        <v/>
      </c>
      <c r="G5015" t="str">
        <f t="shared" si="182"/>
        <v/>
      </c>
    </row>
    <row r="5016" spans="2:7">
      <c r="B5016" s="6"/>
      <c r="E5016" s="7"/>
      <c r="F5016" t="str">
        <f t="shared" si="181"/>
        <v/>
      </c>
      <c r="G5016" t="str">
        <f t="shared" si="182"/>
        <v/>
      </c>
    </row>
    <row r="5017" spans="2:7">
      <c r="B5017" s="6"/>
      <c r="E5017" s="7"/>
      <c r="F5017" t="str">
        <f t="shared" si="181"/>
        <v/>
      </c>
      <c r="G5017" t="str">
        <f t="shared" si="182"/>
        <v/>
      </c>
    </row>
    <row r="5018" spans="2:7">
      <c r="B5018" s="6"/>
      <c r="E5018" s="7"/>
      <c r="F5018" t="str">
        <f t="shared" si="181"/>
        <v/>
      </c>
      <c r="G5018" t="str">
        <f t="shared" si="182"/>
        <v/>
      </c>
    </row>
    <row r="5019" spans="2:7">
      <c r="B5019" s="6"/>
      <c r="E5019" s="7"/>
      <c r="F5019" t="str">
        <f t="shared" si="181"/>
        <v/>
      </c>
      <c r="G5019" t="str">
        <f t="shared" si="182"/>
        <v/>
      </c>
    </row>
    <row r="5020" spans="2:7">
      <c r="B5020" s="6"/>
      <c r="E5020" s="7"/>
      <c r="F5020" t="str">
        <f t="shared" si="181"/>
        <v/>
      </c>
      <c r="G5020" t="str">
        <f t="shared" si="182"/>
        <v/>
      </c>
    </row>
    <row r="5021" spans="2:7">
      <c r="B5021" s="6"/>
      <c r="E5021" s="7"/>
      <c r="F5021" t="str">
        <f t="shared" si="181"/>
        <v/>
      </c>
      <c r="G5021" t="str">
        <f t="shared" si="182"/>
        <v/>
      </c>
    </row>
    <row r="5022" spans="2:7">
      <c r="B5022" s="6"/>
      <c r="E5022" s="7"/>
      <c r="F5022" t="str">
        <f t="shared" si="181"/>
        <v/>
      </c>
      <c r="G5022" t="str">
        <f t="shared" si="182"/>
        <v/>
      </c>
    </row>
    <row r="5023" spans="2:7">
      <c r="B5023" s="6"/>
      <c r="E5023" s="7"/>
      <c r="F5023" t="str">
        <f t="shared" si="181"/>
        <v/>
      </c>
      <c r="G5023" t="str">
        <f t="shared" si="182"/>
        <v/>
      </c>
    </row>
    <row r="5024" spans="2:7">
      <c r="B5024" s="6"/>
      <c r="E5024" s="7"/>
      <c r="F5024" t="str">
        <f t="shared" si="181"/>
        <v/>
      </c>
      <c r="G5024" t="str">
        <f t="shared" si="182"/>
        <v/>
      </c>
    </row>
    <row r="5025" spans="2:7">
      <c r="B5025" s="6"/>
      <c r="E5025" s="7"/>
      <c r="F5025" t="str">
        <f t="shared" si="181"/>
        <v/>
      </c>
      <c r="G5025" t="str">
        <f t="shared" si="182"/>
        <v/>
      </c>
    </row>
    <row r="5026" spans="2:7">
      <c r="B5026" s="6"/>
      <c r="E5026" s="7"/>
      <c r="F5026" t="str">
        <f t="shared" si="181"/>
        <v/>
      </c>
      <c r="G5026" t="str">
        <f t="shared" si="182"/>
        <v/>
      </c>
    </row>
    <row r="5027" spans="2:7">
      <c r="B5027" s="6"/>
      <c r="E5027" s="7"/>
      <c r="F5027" t="str">
        <f t="shared" si="181"/>
        <v/>
      </c>
      <c r="G5027" t="str">
        <f t="shared" si="182"/>
        <v/>
      </c>
    </row>
    <row r="5028" spans="2:7">
      <c r="B5028" s="6"/>
      <c r="E5028" s="7"/>
      <c r="F5028" t="str">
        <f t="shared" si="181"/>
        <v/>
      </c>
      <c r="G5028" t="str">
        <f t="shared" si="182"/>
        <v/>
      </c>
    </row>
    <row r="5029" spans="2:7">
      <c r="B5029" s="6"/>
      <c r="E5029" s="7"/>
      <c r="F5029" t="str">
        <f t="shared" si="181"/>
        <v/>
      </c>
      <c r="G5029" t="str">
        <f t="shared" si="182"/>
        <v/>
      </c>
    </row>
    <row r="5030" spans="2:7">
      <c r="B5030" s="6"/>
      <c r="E5030" s="7"/>
      <c r="F5030" t="str">
        <f t="shared" si="181"/>
        <v/>
      </c>
      <c r="G5030" t="str">
        <f t="shared" si="182"/>
        <v/>
      </c>
    </row>
    <row r="5031" spans="2:7">
      <c r="B5031" s="6"/>
      <c r="E5031" s="7"/>
      <c r="F5031" t="str">
        <f t="shared" si="181"/>
        <v/>
      </c>
      <c r="G5031" t="str">
        <f t="shared" si="182"/>
        <v/>
      </c>
    </row>
    <row r="5032" spans="2:7">
      <c r="B5032" s="6"/>
      <c r="E5032" s="7"/>
      <c r="F5032" t="str">
        <f t="shared" si="181"/>
        <v/>
      </c>
      <c r="G5032" t="str">
        <f t="shared" si="182"/>
        <v/>
      </c>
    </row>
    <row r="5033" spans="2:7">
      <c r="B5033" s="6"/>
      <c r="E5033" s="7"/>
      <c r="F5033" t="str">
        <f t="shared" si="181"/>
        <v/>
      </c>
      <c r="G5033" t="str">
        <f t="shared" si="182"/>
        <v/>
      </c>
    </row>
    <row r="5034" spans="2:7">
      <c r="B5034" s="6"/>
      <c r="E5034" s="7"/>
      <c r="F5034" t="str">
        <f t="shared" si="181"/>
        <v/>
      </c>
      <c r="G5034" t="str">
        <f t="shared" si="182"/>
        <v/>
      </c>
    </row>
    <row r="5035" spans="2:7">
      <c r="B5035" s="6"/>
      <c r="E5035" s="7"/>
      <c r="F5035" t="str">
        <f t="shared" si="181"/>
        <v/>
      </c>
      <c r="G5035" t="str">
        <f t="shared" si="182"/>
        <v/>
      </c>
    </row>
    <row r="5036" spans="2:7">
      <c r="B5036" s="6"/>
      <c r="E5036" s="7"/>
      <c r="F5036" t="str">
        <f t="shared" si="181"/>
        <v/>
      </c>
      <c r="G5036" t="str">
        <f t="shared" si="182"/>
        <v/>
      </c>
    </row>
    <row r="5037" spans="2:7">
      <c r="B5037" s="6"/>
      <c r="E5037" s="7"/>
      <c r="F5037" t="str">
        <f t="shared" si="181"/>
        <v/>
      </c>
      <c r="G5037" t="str">
        <f t="shared" si="182"/>
        <v/>
      </c>
    </row>
    <row r="5038" spans="2:7">
      <c r="B5038" s="6"/>
      <c r="E5038" s="7"/>
      <c r="F5038" t="str">
        <f t="shared" si="181"/>
        <v/>
      </c>
      <c r="G5038" t="str">
        <f t="shared" si="182"/>
        <v/>
      </c>
    </row>
    <row r="5039" spans="2:7">
      <c r="B5039" s="6"/>
      <c r="E5039" s="7"/>
      <c r="F5039" t="str">
        <f t="shared" si="181"/>
        <v/>
      </c>
      <c r="G5039" t="str">
        <f t="shared" si="182"/>
        <v/>
      </c>
    </row>
    <row r="5040" spans="2:7">
      <c r="B5040" s="6"/>
      <c r="E5040" s="7"/>
      <c r="F5040" t="str">
        <f t="shared" si="181"/>
        <v/>
      </c>
      <c r="G5040" t="str">
        <f t="shared" si="182"/>
        <v/>
      </c>
    </row>
    <row r="5041" spans="2:7">
      <c r="B5041" s="6"/>
      <c r="E5041" s="7"/>
      <c r="F5041" t="str">
        <f t="shared" si="181"/>
        <v/>
      </c>
      <c r="G5041" t="str">
        <f t="shared" si="182"/>
        <v/>
      </c>
    </row>
    <row r="5042" spans="2:7">
      <c r="B5042" s="6"/>
      <c r="E5042" s="7"/>
      <c r="F5042" t="str">
        <f t="shared" si="181"/>
        <v/>
      </c>
      <c r="G5042" t="str">
        <f t="shared" si="182"/>
        <v/>
      </c>
    </row>
    <row r="5043" spans="2:7">
      <c r="B5043" s="6"/>
      <c r="E5043" s="7"/>
      <c r="F5043" t="str">
        <f t="shared" si="181"/>
        <v/>
      </c>
      <c r="G5043" t="str">
        <f t="shared" si="182"/>
        <v/>
      </c>
    </row>
    <row r="5044" spans="2:7">
      <c r="B5044" s="6"/>
      <c r="E5044" s="7"/>
      <c r="F5044" t="str">
        <f t="shared" si="181"/>
        <v/>
      </c>
      <c r="G5044" t="str">
        <f t="shared" si="182"/>
        <v/>
      </c>
    </row>
    <row r="5045" spans="2:7">
      <c r="B5045" s="6"/>
      <c r="E5045" s="7"/>
      <c r="F5045" t="str">
        <f t="shared" si="181"/>
        <v/>
      </c>
      <c r="G5045" t="str">
        <f t="shared" si="182"/>
        <v/>
      </c>
    </row>
    <row r="5046" spans="2:7">
      <c r="B5046" s="6"/>
      <c r="E5046" s="7"/>
      <c r="F5046" t="str">
        <f t="shared" si="181"/>
        <v/>
      </c>
      <c r="G5046" t="str">
        <f t="shared" si="182"/>
        <v/>
      </c>
    </row>
    <row r="5047" spans="2:7">
      <c r="B5047" s="6"/>
      <c r="E5047" s="7"/>
      <c r="F5047" t="str">
        <f t="shared" si="181"/>
        <v/>
      </c>
      <c r="G5047" t="str">
        <f t="shared" si="182"/>
        <v/>
      </c>
    </row>
    <row r="5048" spans="2:7">
      <c r="B5048" s="6"/>
      <c r="E5048" s="7"/>
      <c r="F5048" t="str">
        <f t="shared" si="181"/>
        <v/>
      </c>
      <c r="G5048" t="str">
        <f t="shared" si="182"/>
        <v/>
      </c>
    </row>
    <row r="5049" spans="2:7">
      <c r="B5049" s="6"/>
      <c r="E5049" s="7"/>
      <c r="F5049" t="str">
        <f t="shared" si="181"/>
        <v/>
      </c>
      <c r="G5049" t="str">
        <f t="shared" si="182"/>
        <v/>
      </c>
    </row>
    <row r="5050" spans="2:7">
      <c r="B5050" s="6"/>
      <c r="E5050" s="7"/>
      <c r="F5050" t="str">
        <f t="shared" si="181"/>
        <v/>
      </c>
      <c r="G5050" t="str">
        <f t="shared" si="182"/>
        <v/>
      </c>
    </row>
    <row r="5051" spans="2:7">
      <c r="B5051" s="6"/>
      <c r="E5051" s="7"/>
      <c r="F5051" t="str">
        <f t="shared" si="181"/>
        <v/>
      </c>
      <c r="G5051" t="str">
        <f t="shared" si="182"/>
        <v/>
      </c>
    </row>
    <row r="5052" spans="2:7">
      <c r="B5052" s="6"/>
      <c r="E5052" s="7"/>
      <c r="F5052" t="str">
        <f t="shared" si="181"/>
        <v/>
      </c>
      <c r="G5052" t="str">
        <f t="shared" si="182"/>
        <v/>
      </c>
    </row>
    <row r="5053" spans="2:7">
      <c r="B5053" s="6"/>
      <c r="E5053" s="7"/>
      <c r="F5053" t="str">
        <f t="shared" si="181"/>
        <v/>
      </c>
      <c r="G5053" t="str">
        <f t="shared" si="182"/>
        <v/>
      </c>
    </row>
    <row r="5054" spans="2:7">
      <c r="B5054" s="6"/>
      <c r="E5054" s="7"/>
      <c r="F5054" t="str">
        <f t="shared" si="181"/>
        <v/>
      </c>
      <c r="G5054" t="str">
        <f t="shared" si="182"/>
        <v/>
      </c>
    </row>
    <row r="5055" spans="2:7">
      <c r="B5055" s="6"/>
      <c r="E5055" s="7"/>
      <c r="F5055" t="str">
        <f t="shared" si="181"/>
        <v/>
      </c>
      <c r="G5055" t="str">
        <f t="shared" si="182"/>
        <v/>
      </c>
    </row>
    <row r="5056" spans="2:7">
      <c r="B5056" s="6"/>
      <c r="E5056" s="7"/>
      <c r="F5056" t="str">
        <f t="shared" si="181"/>
        <v/>
      </c>
      <c r="G5056" t="str">
        <f t="shared" si="182"/>
        <v/>
      </c>
    </row>
    <row r="5057" spans="2:7">
      <c r="B5057" s="6"/>
      <c r="E5057" s="7"/>
      <c r="F5057" t="str">
        <f t="shared" si="181"/>
        <v/>
      </c>
      <c r="G5057" t="str">
        <f t="shared" si="182"/>
        <v/>
      </c>
    </row>
    <row r="5058" spans="2:7">
      <c r="B5058" s="6"/>
      <c r="E5058" s="7"/>
      <c r="F5058" t="str">
        <f t="shared" si="181"/>
        <v/>
      </c>
      <c r="G5058" t="str">
        <f t="shared" si="182"/>
        <v/>
      </c>
    </row>
    <row r="5059" spans="2:7">
      <c r="B5059" s="6"/>
      <c r="E5059" s="7"/>
      <c r="F5059" t="str">
        <f t="shared" si="181"/>
        <v/>
      </c>
      <c r="G5059" t="str">
        <f t="shared" si="182"/>
        <v/>
      </c>
    </row>
    <row r="5060" spans="2:7">
      <c r="B5060" s="6"/>
      <c r="E5060" s="7"/>
      <c r="F5060" t="str">
        <f t="shared" ref="F5060:F5123" si="183">IF(B5060="","",LOG10(D5060))</f>
        <v/>
      </c>
      <c r="G5060" t="str">
        <f t="shared" ref="G5060:G5123" si="184">IF(E5060="", "",0.434*E5060/D5060)</f>
        <v/>
      </c>
    </row>
    <row r="5061" spans="2:7">
      <c r="B5061" s="6"/>
      <c r="E5061" s="7"/>
      <c r="F5061" t="str">
        <f t="shared" si="183"/>
        <v/>
      </c>
      <c r="G5061" t="str">
        <f t="shared" si="184"/>
        <v/>
      </c>
    </row>
    <row r="5062" spans="2:7">
      <c r="B5062" s="6"/>
      <c r="E5062" s="7"/>
      <c r="F5062" t="str">
        <f t="shared" si="183"/>
        <v/>
      </c>
      <c r="G5062" t="str">
        <f t="shared" si="184"/>
        <v/>
      </c>
    </row>
    <row r="5063" spans="2:7">
      <c r="B5063" s="6"/>
      <c r="E5063" s="7"/>
      <c r="F5063" t="str">
        <f t="shared" si="183"/>
        <v/>
      </c>
      <c r="G5063" t="str">
        <f t="shared" si="184"/>
        <v/>
      </c>
    </row>
    <row r="5064" spans="2:7">
      <c r="B5064" s="6"/>
      <c r="E5064" s="7"/>
      <c r="F5064" t="str">
        <f t="shared" si="183"/>
        <v/>
      </c>
      <c r="G5064" t="str">
        <f t="shared" si="184"/>
        <v/>
      </c>
    </row>
    <row r="5065" spans="2:7">
      <c r="B5065" s="6"/>
      <c r="E5065" s="7"/>
      <c r="F5065" t="str">
        <f t="shared" si="183"/>
        <v/>
      </c>
      <c r="G5065" t="str">
        <f t="shared" si="184"/>
        <v/>
      </c>
    </row>
    <row r="5066" spans="2:7">
      <c r="B5066" s="6"/>
      <c r="E5066" s="7"/>
      <c r="F5066" t="str">
        <f t="shared" si="183"/>
        <v/>
      </c>
      <c r="G5066" t="str">
        <f t="shared" si="184"/>
        <v/>
      </c>
    </row>
    <row r="5067" spans="2:7">
      <c r="B5067" s="6"/>
      <c r="E5067" s="7"/>
      <c r="F5067" t="str">
        <f t="shared" si="183"/>
        <v/>
      </c>
      <c r="G5067" t="str">
        <f t="shared" si="184"/>
        <v/>
      </c>
    </row>
    <row r="5068" spans="2:7">
      <c r="B5068" s="6"/>
      <c r="E5068" s="7"/>
      <c r="F5068" t="str">
        <f t="shared" si="183"/>
        <v/>
      </c>
      <c r="G5068" t="str">
        <f t="shared" si="184"/>
        <v/>
      </c>
    </row>
    <row r="5069" spans="2:7">
      <c r="B5069" s="6"/>
      <c r="E5069" s="7"/>
      <c r="F5069" t="str">
        <f t="shared" si="183"/>
        <v/>
      </c>
      <c r="G5069" t="str">
        <f t="shared" si="184"/>
        <v/>
      </c>
    </row>
    <row r="5070" spans="2:7">
      <c r="B5070" s="6"/>
      <c r="E5070" s="7"/>
      <c r="F5070" t="str">
        <f t="shared" si="183"/>
        <v/>
      </c>
      <c r="G5070" t="str">
        <f t="shared" si="184"/>
        <v/>
      </c>
    </row>
    <row r="5071" spans="2:7">
      <c r="B5071" s="6"/>
      <c r="E5071" s="7"/>
      <c r="F5071" t="str">
        <f t="shared" si="183"/>
        <v/>
      </c>
      <c r="G5071" t="str">
        <f t="shared" si="184"/>
        <v/>
      </c>
    </row>
    <row r="5072" spans="2:7">
      <c r="B5072" s="6"/>
      <c r="E5072" s="7"/>
      <c r="F5072" t="str">
        <f t="shared" si="183"/>
        <v/>
      </c>
      <c r="G5072" t="str">
        <f t="shared" si="184"/>
        <v/>
      </c>
    </row>
    <row r="5073" spans="2:7">
      <c r="B5073" s="6"/>
      <c r="E5073" s="7"/>
      <c r="F5073" t="str">
        <f t="shared" si="183"/>
        <v/>
      </c>
      <c r="G5073" t="str">
        <f t="shared" si="184"/>
        <v/>
      </c>
    </row>
    <row r="5074" spans="2:7">
      <c r="B5074" s="6"/>
      <c r="E5074" s="7"/>
      <c r="F5074" t="str">
        <f t="shared" si="183"/>
        <v/>
      </c>
      <c r="G5074" t="str">
        <f t="shared" si="184"/>
        <v/>
      </c>
    </row>
    <row r="5075" spans="2:7">
      <c r="B5075" s="6"/>
      <c r="E5075" s="7"/>
      <c r="F5075" t="str">
        <f t="shared" si="183"/>
        <v/>
      </c>
      <c r="G5075" t="str">
        <f t="shared" si="184"/>
        <v/>
      </c>
    </row>
    <row r="5076" spans="2:7">
      <c r="B5076" s="6"/>
      <c r="E5076" s="7"/>
      <c r="F5076" t="str">
        <f t="shared" si="183"/>
        <v/>
      </c>
      <c r="G5076" t="str">
        <f t="shared" si="184"/>
        <v/>
      </c>
    </row>
    <row r="5077" spans="2:7">
      <c r="B5077" s="6"/>
      <c r="E5077" s="7"/>
      <c r="F5077" t="str">
        <f t="shared" si="183"/>
        <v/>
      </c>
      <c r="G5077" t="str">
        <f t="shared" si="184"/>
        <v/>
      </c>
    </row>
    <row r="5078" spans="2:7">
      <c r="B5078" s="6"/>
      <c r="E5078" s="7"/>
      <c r="F5078" t="str">
        <f t="shared" si="183"/>
        <v/>
      </c>
      <c r="G5078" t="str">
        <f t="shared" si="184"/>
        <v/>
      </c>
    </row>
    <row r="5079" spans="2:7">
      <c r="B5079" s="6"/>
      <c r="E5079" s="7"/>
      <c r="F5079" t="str">
        <f t="shared" si="183"/>
        <v/>
      </c>
      <c r="G5079" t="str">
        <f t="shared" si="184"/>
        <v/>
      </c>
    </row>
    <row r="5080" spans="2:7">
      <c r="B5080" s="6"/>
      <c r="E5080" s="7"/>
      <c r="F5080" t="str">
        <f t="shared" si="183"/>
        <v/>
      </c>
      <c r="G5080" t="str">
        <f t="shared" si="184"/>
        <v/>
      </c>
    </row>
    <row r="5081" spans="2:7">
      <c r="B5081" s="6"/>
      <c r="E5081" s="7"/>
      <c r="F5081" t="str">
        <f t="shared" si="183"/>
        <v/>
      </c>
      <c r="G5081" t="str">
        <f t="shared" si="184"/>
        <v/>
      </c>
    </row>
    <row r="5082" spans="2:7">
      <c r="B5082" s="6"/>
      <c r="E5082" s="7"/>
      <c r="F5082" t="str">
        <f t="shared" si="183"/>
        <v/>
      </c>
      <c r="G5082" t="str">
        <f t="shared" si="184"/>
        <v/>
      </c>
    </row>
    <row r="5083" spans="2:7">
      <c r="B5083" s="6"/>
      <c r="E5083" s="7"/>
      <c r="F5083" t="str">
        <f t="shared" si="183"/>
        <v/>
      </c>
      <c r="G5083" t="str">
        <f t="shared" si="184"/>
        <v/>
      </c>
    </row>
    <row r="5084" spans="2:7">
      <c r="B5084" s="6"/>
      <c r="E5084" s="7"/>
      <c r="F5084" t="str">
        <f t="shared" si="183"/>
        <v/>
      </c>
      <c r="G5084" t="str">
        <f t="shared" si="184"/>
        <v/>
      </c>
    </row>
    <row r="5085" spans="2:7">
      <c r="B5085" s="6"/>
      <c r="E5085" s="7"/>
      <c r="F5085" t="str">
        <f t="shared" si="183"/>
        <v/>
      </c>
      <c r="G5085" t="str">
        <f t="shared" si="184"/>
        <v/>
      </c>
    </row>
    <row r="5086" spans="2:7">
      <c r="B5086" s="6"/>
      <c r="E5086" s="7"/>
      <c r="F5086" t="str">
        <f t="shared" si="183"/>
        <v/>
      </c>
      <c r="G5086" t="str">
        <f t="shared" si="184"/>
        <v/>
      </c>
    </row>
    <row r="5087" spans="2:7">
      <c r="B5087" s="6"/>
      <c r="E5087" s="7"/>
      <c r="F5087" t="str">
        <f t="shared" si="183"/>
        <v/>
      </c>
      <c r="G5087" t="str">
        <f t="shared" si="184"/>
        <v/>
      </c>
    </row>
    <row r="5088" spans="2:7">
      <c r="B5088" s="6"/>
      <c r="E5088" s="7"/>
      <c r="F5088" t="str">
        <f t="shared" si="183"/>
        <v/>
      </c>
      <c r="G5088" t="str">
        <f t="shared" si="184"/>
        <v/>
      </c>
    </row>
    <row r="5089" spans="2:7">
      <c r="B5089" s="6"/>
      <c r="E5089" s="7"/>
      <c r="F5089" t="str">
        <f t="shared" si="183"/>
        <v/>
      </c>
      <c r="G5089" t="str">
        <f t="shared" si="184"/>
        <v/>
      </c>
    </row>
    <row r="5090" spans="2:7">
      <c r="B5090" s="6"/>
      <c r="E5090" s="7"/>
      <c r="F5090" t="str">
        <f t="shared" si="183"/>
        <v/>
      </c>
      <c r="G5090" t="str">
        <f t="shared" si="184"/>
        <v/>
      </c>
    </row>
    <row r="5091" spans="2:7">
      <c r="B5091" s="6"/>
      <c r="E5091" s="7"/>
      <c r="F5091" t="str">
        <f t="shared" si="183"/>
        <v/>
      </c>
      <c r="G5091" t="str">
        <f t="shared" si="184"/>
        <v/>
      </c>
    </row>
    <row r="5092" spans="2:7">
      <c r="B5092" s="6"/>
      <c r="E5092" s="7"/>
      <c r="F5092" t="str">
        <f t="shared" si="183"/>
        <v/>
      </c>
      <c r="G5092" t="str">
        <f t="shared" si="184"/>
        <v/>
      </c>
    </row>
    <row r="5093" spans="2:7">
      <c r="B5093" s="6"/>
      <c r="E5093" s="7"/>
      <c r="F5093" t="str">
        <f t="shared" si="183"/>
        <v/>
      </c>
      <c r="G5093" t="str">
        <f t="shared" si="184"/>
        <v/>
      </c>
    </row>
    <row r="5094" spans="2:7">
      <c r="B5094" s="6"/>
      <c r="E5094" s="7"/>
      <c r="F5094" t="str">
        <f t="shared" si="183"/>
        <v/>
      </c>
      <c r="G5094" t="str">
        <f t="shared" si="184"/>
        <v/>
      </c>
    </row>
    <row r="5095" spans="2:7">
      <c r="B5095" s="6"/>
      <c r="E5095" s="7"/>
      <c r="F5095" t="str">
        <f t="shared" si="183"/>
        <v/>
      </c>
      <c r="G5095" t="str">
        <f t="shared" si="184"/>
        <v/>
      </c>
    </row>
    <row r="5096" spans="2:7">
      <c r="B5096" s="6"/>
      <c r="E5096" s="7"/>
      <c r="F5096" t="str">
        <f t="shared" si="183"/>
        <v/>
      </c>
      <c r="G5096" t="str">
        <f t="shared" si="184"/>
        <v/>
      </c>
    </row>
    <row r="5097" spans="2:7">
      <c r="B5097" s="6"/>
      <c r="E5097" s="7"/>
      <c r="F5097" t="str">
        <f t="shared" si="183"/>
        <v/>
      </c>
      <c r="G5097" t="str">
        <f t="shared" si="184"/>
        <v/>
      </c>
    </row>
    <row r="5098" spans="2:7">
      <c r="B5098" s="6"/>
      <c r="E5098" s="7"/>
      <c r="F5098" t="str">
        <f t="shared" si="183"/>
        <v/>
      </c>
      <c r="G5098" t="str">
        <f t="shared" si="184"/>
        <v/>
      </c>
    </row>
    <row r="5099" spans="2:7">
      <c r="B5099" s="6"/>
      <c r="E5099" s="7"/>
      <c r="F5099" t="str">
        <f t="shared" si="183"/>
        <v/>
      </c>
      <c r="G5099" t="str">
        <f t="shared" si="184"/>
        <v/>
      </c>
    </row>
    <row r="5100" spans="2:7">
      <c r="B5100" s="6"/>
      <c r="E5100" s="7"/>
      <c r="F5100" t="str">
        <f t="shared" si="183"/>
        <v/>
      </c>
      <c r="G5100" t="str">
        <f t="shared" si="184"/>
        <v/>
      </c>
    </row>
    <row r="5101" spans="2:7">
      <c r="B5101" s="6"/>
      <c r="E5101" s="7"/>
      <c r="F5101" t="str">
        <f t="shared" si="183"/>
        <v/>
      </c>
      <c r="G5101" t="str">
        <f t="shared" si="184"/>
        <v/>
      </c>
    </row>
    <row r="5102" spans="2:7">
      <c r="B5102" s="6"/>
      <c r="E5102" s="7"/>
      <c r="F5102" t="str">
        <f t="shared" si="183"/>
        <v/>
      </c>
      <c r="G5102" t="str">
        <f t="shared" si="184"/>
        <v/>
      </c>
    </row>
    <row r="5103" spans="2:7">
      <c r="B5103" s="6"/>
      <c r="E5103" s="7"/>
      <c r="F5103" t="str">
        <f t="shared" si="183"/>
        <v/>
      </c>
      <c r="G5103" t="str">
        <f t="shared" si="184"/>
        <v/>
      </c>
    </row>
    <row r="5104" spans="2:7">
      <c r="B5104" s="6"/>
      <c r="E5104" s="7"/>
      <c r="F5104" t="str">
        <f t="shared" si="183"/>
        <v/>
      </c>
      <c r="G5104" t="str">
        <f t="shared" si="184"/>
        <v/>
      </c>
    </row>
    <row r="5105" spans="2:7">
      <c r="B5105" s="6"/>
      <c r="E5105" s="7"/>
      <c r="F5105" t="str">
        <f t="shared" si="183"/>
        <v/>
      </c>
      <c r="G5105" t="str">
        <f t="shared" si="184"/>
        <v/>
      </c>
    </row>
    <row r="5106" spans="2:7">
      <c r="B5106" s="6"/>
      <c r="E5106" s="7"/>
      <c r="F5106" t="str">
        <f t="shared" si="183"/>
        <v/>
      </c>
      <c r="G5106" t="str">
        <f t="shared" si="184"/>
        <v/>
      </c>
    </row>
    <row r="5107" spans="2:7">
      <c r="B5107" s="6"/>
      <c r="E5107" s="7"/>
      <c r="F5107" t="str">
        <f t="shared" si="183"/>
        <v/>
      </c>
      <c r="G5107" t="str">
        <f t="shared" si="184"/>
        <v/>
      </c>
    </row>
    <row r="5108" spans="2:7">
      <c r="B5108" s="6"/>
      <c r="E5108" s="7"/>
      <c r="F5108" t="str">
        <f t="shared" si="183"/>
        <v/>
      </c>
      <c r="G5108" t="str">
        <f t="shared" si="184"/>
        <v/>
      </c>
    </row>
    <row r="5109" spans="2:7">
      <c r="B5109" s="6"/>
      <c r="E5109" s="7"/>
      <c r="F5109" t="str">
        <f t="shared" si="183"/>
        <v/>
      </c>
      <c r="G5109" t="str">
        <f t="shared" si="184"/>
        <v/>
      </c>
    </row>
    <row r="5110" spans="2:7">
      <c r="B5110" s="6"/>
      <c r="E5110" s="7"/>
      <c r="F5110" t="str">
        <f t="shared" si="183"/>
        <v/>
      </c>
      <c r="G5110" t="str">
        <f t="shared" si="184"/>
        <v/>
      </c>
    </row>
    <row r="5111" spans="2:7">
      <c r="B5111" s="6"/>
      <c r="E5111" s="7"/>
      <c r="F5111" t="str">
        <f t="shared" si="183"/>
        <v/>
      </c>
      <c r="G5111" t="str">
        <f t="shared" si="184"/>
        <v/>
      </c>
    </row>
    <row r="5112" spans="2:7">
      <c r="B5112" s="6"/>
      <c r="E5112" s="7"/>
      <c r="F5112" t="str">
        <f t="shared" si="183"/>
        <v/>
      </c>
      <c r="G5112" t="str">
        <f t="shared" si="184"/>
        <v/>
      </c>
    </row>
    <row r="5113" spans="2:7">
      <c r="B5113" s="6"/>
      <c r="E5113" s="7"/>
      <c r="F5113" t="str">
        <f t="shared" si="183"/>
        <v/>
      </c>
      <c r="G5113" t="str">
        <f t="shared" si="184"/>
        <v/>
      </c>
    </row>
    <row r="5114" spans="2:7">
      <c r="B5114" s="6"/>
      <c r="E5114" s="7"/>
      <c r="F5114" t="str">
        <f t="shared" si="183"/>
        <v/>
      </c>
      <c r="G5114" t="str">
        <f t="shared" si="184"/>
        <v/>
      </c>
    </row>
    <row r="5115" spans="2:7">
      <c r="B5115" s="6"/>
      <c r="E5115" s="7"/>
      <c r="F5115" t="str">
        <f t="shared" si="183"/>
        <v/>
      </c>
      <c r="G5115" t="str">
        <f t="shared" si="184"/>
        <v/>
      </c>
    </row>
    <row r="5116" spans="2:7">
      <c r="B5116" s="6"/>
      <c r="E5116" s="7"/>
      <c r="F5116" t="str">
        <f t="shared" si="183"/>
        <v/>
      </c>
      <c r="G5116" t="str">
        <f t="shared" si="184"/>
        <v/>
      </c>
    </row>
    <row r="5117" spans="2:7">
      <c r="B5117" s="6"/>
      <c r="E5117" s="7"/>
      <c r="F5117" t="str">
        <f t="shared" si="183"/>
        <v/>
      </c>
      <c r="G5117" t="str">
        <f t="shared" si="184"/>
        <v/>
      </c>
    </row>
    <row r="5118" spans="2:7">
      <c r="B5118" s="6"/>
      <c r="E5118" s="7"/>
      <c r="F5118" t="str">
        <f t="shared" si="183"/>
        <v/>
      </c>
      <c r="G5118" t="str">
        <f t="shared" si="184"/>
        <v/>
      </c>
    </row>
    <row r="5119" spans="2:7">
      <c r="B5119" s="6"/>
      <c r="E5119" s="7"/>
      <c r="F5119" t="str">
        <f t="shared" si="183"/>
        <v/>
      </c>
      <c r="G5119" t="str">
        <f t="shared" si="184"/>
        <v/>
      </c>
    </row>
    <row r="5120" spans="2:7">
      <c r="B5120" s="6"/>
      <c r="E5120" s="7"/>
      <c r="F5120" t="str">
        <f t="shared" si="183"/>
        <v/>
      </c>
      <c r="G5120" t="str">
        <f t="shared" si="184"/>
        <v/>
      </c>
    </row>
    <row r="5121" spans="2:7">
      <c r="B5121" s="6"/>
      <c r="E5121" s="7"/>
      <c r="F5121" t="str">
        <f t="shared" si="183"/>
        <v/>
      </c>
      <c r="G5121" t="str">
        <f t="shared" si="184"/>
        <v/>
      </c>
    </row>
    <row r="5122" spans="2:7">
      <c r="B5122" s="6"/>
      <c r="E5122" s="7"/>
      <c r="F5122" t="str">
        <f t="shared" si="183"/>
        <v/>
      </c>
      <c r="G5122" t="str">
        <f t="shared" si="184"/>
        <v/>
      </c>
    </row>
    <row r="5123" spans="2:7">
      <c r="B5123" s="6"/>
      <c r="E5123" s="7"/>
      <c r="F5123" t="str">
        <f t="shared" si="183"/>
        <v/>
      </c>
      <c r="G5123" t="str">
        <f t="shared" si="184"/>
        <v/>
      </c>
    </row>
    <row r="5124" spans="2:7">
      <c r="B5124" s="6"/>
      <c r="E5124" s="7"/>
      <c r="F5124" t="str">
        <f t="shared" ref="F5124:F5187" si="185">IF(B5124="","",LOG10(D5124))</f>
        <v/>
      </c>
      <c r="G5124" t="str">
        <f t="shared" ref="G5124:G5187" si="186">IF(E5124="", "",0.434*E5124/D5124)</f>
        <v/>
      </c>
    </row>
    <row r="5125" spans="2:7">
      <c r="B5125" s="6"/>
      <c r="E5125" s="7"/>
      <c r="F5125" t="str">
        <f t="shared" si="185"/>
        <v/>
      </c>
      <c r="G5125" t="str">
        <f t="shared" si="186"/>
        <v/>
      </c>
    </row>
    <row r="5126" spans="2:7">
      <c r="B5126" s="6"/>
      <c r="E5126" s="7"/>
      <c r="F5126" t="str">
        <f t="shared" si="185"/>
        <v/>
      </c>
      <c r="G5126" t="str">
        <f t="shared" si="186"/>
        <v/>
      </c>
    </row>
    <row r="5127" spans="2:7">
      <c r="B5127" s="6"/>
      <c r="E5127" s="7"/>
      <c r="F5127" t="str">
        <f t="shared" si="185"/>
        <v/>
      </c>
      <c r="G5127" t="str">
        <f t="shared" si="186"/>
        <v/>
      </c>
    </row>
    <row r="5128" spans="2:7">
      <c r="B5128" s="6"/>
      <c r="E5128" s="7"/>
      <c r="F5128" t="str">
        <f t="shared" si="185"/>
        <v/>
      </c>
      <c r="G5128" t="str">
        <f t="shared" si="186"/>
        <v/>
      </c>
    </row>
    <row r="5129" spans="2:7">
      <c r="B5129" s="6"/>
      <c r="E5129" s="7"/>
      <c r="F5129" t="str">
        <f t="shared" si="185"/>
        <v/>
      </c>
      <c r="G5129" t="str">
        <f t="shared" si="186"/>
        <v/>
      </c>
    </row>
    <row r="5130" spans="2:7">
      <c r="B5130" s="6"/>
      <c r="E5130" s="7"/>
      <c r="F5130" t="str">
        <f t="shared" si="185"/>
        <v/>
      </c>
      <c r="G5130" t="str">
        <f t="shared" si="186"/>
        <v/>
      </c>
    </row>
    <row r="5131" spans="2:7">
      <c r="B5131" s="6"/>
      <c r="E5131" s="7"/>
      <c r="F5131" t="str">
        <f t="shared" si="185"/>
        <v/>
      </c>
      <c r="G5131" t="str">
        <f t="shared" si="186"/>
        <v/>
      </c>
    </row>
    <row r="5132" spans="2:7">
      <c r="B5132" s="6"/>
      <c r="E5132" s="7"/>
      <c r="F5132" t="str">
        <f t="shared" si="185"/>
        <v/>
      </c>
      <c r="G5132" t="str">
        <f t="shared" si="186"/>
        <v/>
      </c>
    </row>
    <row r="5133" spans="2:7">
      <c r="B5133" s="6"/>
      <c r="E5133" s="7"/>
      <c r="F5133" t="str">
        <f t="shared" si="185"/>
        <v/>
      </c>
      <c r="G5133" t="str">
        <f t="shared" si="186"/>
        <v/>
      </c>
    </row>
    <row r="5134" spans="2:7">
      <c r="B5134" s="6"/>
      <c r="E5134" s="7"/>
      <c r="F5134" t="str">
        <f t="shared" si="185"/>
        <v/>
      </c>
      <c r="G5134" t="str">
        <f t="shared" si="186"/>
        <v/>
      </c>
    </row>
    <row r="5135" spans="2:7">
      <c r="B5135" s="6"/>
      <c r="E5135" s="7"/>
      <c r="F5135" t="str">
        <f t="shared" si="185"/>
        <v/>
      </c>
      <c r="G5135" t="str">
        <f t="shared" si="186"/>
        <v/>
      </c>
    </row>
    <row r="5136" spans="2:7">
      <c r="B5136" s="6"/>
      <c r="E5136" s="7"/>
      <c r="F5136" t="str">
        <f t="shared" si="185"/>
        <v/>
      </c>
      <c r="G5136" t="str">
        <f t="shared" si="186"/>
        <v/>
      </c>
    </row>
    <row r="5137" spans="2:7">
      <c r="B5137" s="6"/>
      <c r="E5137" s="7"/>
      <c r="F5137" t="str">
        <f t="shared" si="185"/>
        <v/>
      </c>
      <c r="G5137" t="str">
        <f t="shared" si="186"/>
        <v/>
      </c>
    </row>
    <row r="5138" spans="2:7">
      <c r="B5138" s="6"/>
      <c r="E5138" s="7"/>
      <c r="F5138" t="str">
        <f t="shared" si="185"/>
        <v/>
      </c>
      <c r="G5138" t="str">
        <f t="shared" si="186"/>
        <v/>
      </c>
    </row>
    <row r="5139" spans="2:7">
      <c r="B5139" s="6"/>
      <c r="E5139" s="7"/>
      <c r="F5139" t="str">
        <f t="shared" si="185"/>
        <v/>
      </c>
      <c r="G5139" t="str">
        <f t="shared" si="186"/>
        <v/>
      </c>
    </row>
    <row r="5140" spans="2:7">
      <c r="B5140" s="6"/>
      <c r="E5140" s="7"/>
      <c r="F5140" t="str">
        <f t="shared" si="185"/>
        <v/>
      </c>
      <c r="G5140" t="str">
        <f t="shared" si="186"/>
        <v/>
      </c>
    </row>
    <row r="5141" spans="2:7">
      <c r="B5141" s="6"/>
      <c r="E5141" s="7"/>
      <c r="F5141" t="str">
        <f t="shared" si="185"/>
        <v/>
      </c>
      <c r="G5141" t="str">
        <f t="shared" si="186"/>
        <v/>
      </c>
    </row>
    <row r="5142" spans="2:7">
      <c r="B5142" s="6"/>
      <c r="E5142" s="7"/>
      <c r="F5142" t="str">
        <f t="shared" si="185"/>
        <v/>
      </c>
      <c r="G5142" t="str">
        <f t="shared" si="186"/>
        <v/>
      </c>
    </row>
    <row r="5143" spans="2:7">
      <c r="B5143" s="6"/>
      <c r="E5143" s="7"/>
      <c r="F5143" t="str">
        <f t="shared" si="185"/>
        <v/>
      </c>
      <c r="G5143" t="str">
        <f t="shared" si="186"/>
        <v/>
      </c>
    </row>
    <row r="5144" spans="2:7">
      <c r="B5144" s="6"/>
      <c r="E5144" s="7"/>
      <c r="F5144" t="str">
        <f t="shared" si="185"/>
        <v/>
      </c>
      <c r="G5144" t="str">
        <f t="shared" si="186"/>
        <v/>
      </c>
    </row>
    <row r="5145" spans="2:7">
      <c r="B5145" s="6"/>
      <c r="E5145" s="7"/>
      <c r="F5145" t="str">
        <f t="shared" si="185"/>
        <v/>
      </c>
      <c r="G5145" t="str">
        <f t="shared" si="186"/>
        <v/>
      </c>
    </row>
    <row r="5146" spans="2:7">
      <c r="B5146" s="6"/>
      <c r="E5146" s="7"/>
      <c r="F5146" t="str">
        <f t="shared" si="185"/>
        <v/>
      </c>
      <c r="G5146" t="str">
        <f t="shared" si="186"/>
        <v/>
      </c>
    </row>
    <row r="5147" spans="2:7">
      <c r="B5147" s="6"/>
      <c r="E5147" s="7"/>
      <c r="F5147" t="str">
        <f t="shared" si="185"/>
        <v/>
      </c>
      <c r="G5147" t="str">
        <f t="shared" si="186"/>
        <v/>
      </c>
    </row>
    <row r="5148" spans="2:7">
      <c r="B5148" s="6"/>
      <c r="E5148" s="7"/>
      <c r="F5148" t="str">
        <f t="shared" si="185"/>
        <v/>
      </c>
      <c r="G5148" t="str">
        <f t="shared" si="186"/>
        <v/>
      </c>
    </row>
    <row r="5149" spans="2:7">
      <c r="B5149" s="6"/>
      <c r="E5149" s="7"/>
      <c r="F5149" t="str">
        <f t="shared" si="185"/>
        <v/>
      </c>
      <c r="G5149" t="str">
        <f t="shared" si="186"/>
        <v/>
      </c>
    </row>
    <row r="5150" spans="2:7">
      <c r="B5150" s="6"/>
      <c r="E5150" s="7"/>
      <c r="F5150" t="str">
        <f t="shared" si="185"/>
        <v/>
      </c>
      <c r="G5150" t="str">
        <f t="shared" si="186"/>
        <v/>
      </c>
    </row>
    <row r="5151" spans="2:7">
      <c r="B5151" s="6"/>
      <c r="E5151" s="7"/>
      <c r="F5151" t="str">
        <f t="shared" si="185"/>
        <v/>
      </c>
      <c r="G5151" t="str">
        <f t="shared" si="186"/>
        <v/>
      </c>
    </row>
    <row r="5152" spans="2:7">
      <c r="B5152" s="6"/>
      <c r="E5152" s="7"/>
      <c r="F5152" t="str">
        <f t="shared" si="185"/>
        <v/>
      </c>
      <c r="G5152" t="str">
        <f t="shared" si="186"/>
        <v/>
      </c>
    </row>
    <row r="5153" spans="2:7">
      <c r="B5153" s="6"/>
      <c r="E5153" s="7"/>
      <c r="F5153" t="str">
        <f t="shared" si="185"/>
        <v/>
      </c>
      <c r="G5153" t="str">
        <f t="shared" si="186"/>
        <v/>
      </c>
    </row>
    <row r="5154" spans="2:7">
      <c r="B5154" s="6"/>
      <c r="E5154" s="7"/>
      <c r="F5154" t="str">
        <f t="shared" si="185"/>
        <v/>
      </c>
      <c r="G5154" t="str">
        <f t="shared" si="186"/>
        <v/>
      </c>
    </row>
    <row r="5155" spans="2:7">
      <c r="B5155" s="6"/>
      <c r="E5155" s="7"/>
      <c r="F5155" t="str">
        <f t="shared" si="185"/>
        <v/>
      </c>
      <c r="G5155" t="str">
        <f t="shared" si="186"/>
        <v/>
      </c>
    </row>
    <row r="5156" spans="2:7">
      <c r="B5156" s="6"/>
      <c r="E5156" s="7"/>
      <c r="F5156" t="str">
        <f t="shared" si="185"/>
        <v/>
      </c>
      <c r="G5156" t="str">
        <f t="shared" si="186"/>
        <v/>
      </c>
    </row>
    <row r="5157" spans="2:7">
      <c r="B5157" s="6"/>
      <c r="E5157" s="7"/>
      <c r="F5157" t="str">
        <f t="shared" si="185"/>
        <v/>
      </c>
      <c r="G5157" t="str">
        <f t="shared" si="186"/>
        <v/>
      </c>
    </row>
    <row r="5158" spans="2:7">
      <c r="B5158" s="6"/>
      <c r="E5158" s="7"/>
      <c r="F5158" t="str">
        <f t="shared" si="185"/>
        <v/>
      </c>
      <c r="G5158" t="str">
        <f t="shared" si="186"/>
        <v/>
      </c>
    </row>
    <row r="5159" spans="2:7">
      <c r="B5159" s="6"/>
      <c r="E5159" s="7"/>
      <c r="F5159" t="str">
        <f t="shared" si="185"/>
        <v/>
      </c>
      <c r="G5159" t="str">
        <f t="shared" si="186"/>
        <v/>
      </c>
    </row>
    <row r="5160" spans="2:7">
      <c r="B5160" s="6"/>
      <c r="E5160" s="7"/>
      <c r="F5160" t="str">
        <f t="shared" si="185"/>
        <v/>
      </c>
      <c r="G5160" t="str">
        <f t="shared" si="186"/>
        <v/>
      </c>
    </row>
    <row r="5161" spans="2:7">
      <c r="B5161" s="6"/>
      <c r="E5161" s="7"/>
      <c r="F5161" t="str">
        <f t="shared" si="185"/>
        <v/>
      </c>
      <c r="G5161" t="str">
        <f t="shared" si="186"/>
        <v/>
      </c>
    </row>
    <row r="5162" spans="2:7">
      <c r="B5162" s="6"/>
      <c r="E5162" s="7"/>
      <c r="F5162" t="str">
        <f t="shared" si="185"/>
        <v/>
      </c>
      <c r="G5162" t="str">
        <f t="shared" si="186"/>
        <v/>
      </c>
    </row>
    <row r="5163" spans="2:7">
      <c r="B5163" s="6"/>
      <c r="E5163" s="7"/>
      <c r="F5163" t="str">
        <f t="shared" si="185"/>
        <v/>
      </c>
      <c r="G5163" t="str">
        <f t="shared" si="186"/>
        <v/>
      </c>
    </row>
    <row r="5164" spans="2:7">
      <c r="B5164" s="6"/>
      <c r="E5164" s="7"/>
      <c r="F5164" t="str">
        <f t="shared" si="185"/>
        <v/>
      </c>
      <c r="G5164" t="str">
        <f t="shared" si="186"/>
        <v/>
      </c>
    </row>
    <row r="5165" spans="2:7">
      <c r="B5165" s="6"/>
      <c r="E5165" s="7"/>
      <c r="F5165" t="str">
        <f t="shared" si="185"/>
        <v/>
      </c>
      <c r="G5165" t="str">
        <f t="shared" si="186"/>
        <v/>
      </c>
    </row>
    <row r="5166" spans="2:7">
      <c r="B5166" s="6"/>
      <c r="E5166" s="7"/>
      <c r="F5166" t="str">
        <f t="shared" si="185"/>
        <v/>
      </c>
      <c r="G5166" t="str">
        <f t="shared" si="186"/>
        <v/>
      </c>
    </row>
    <row r="5167" spans="2:7">
      <c r="B5167" s="6"/>
      <c r="E5167" s="7"/>
      <c r="F5167" t="str">
        <f t="shared" si="185"/>
        <v/>
      </c>
      <c r="G5167" t="str">
        <f t="shared" si="186"/>
        <v/>
      </c>
    </row>
    <row r="5168" spans="2:7">
      <c r="B5168" s="6"/>
      <c r="E5168" s="7"/>
      <c r="F5168" t="str">
        <f t="shared" si="185"/>
        <v/>
      </c>
      <c r="G5168" t="str">
        <f t="shared" si="186"/>
        <v/>
      </c>
    </row>
    <row r="5169" spans="2:7">
      <c r="B5169" s="6"/>
      <c r="E5169" s="7"/>
      <c r="F5169" t="str">
        <f t="shared" si="185"/>
        <v/>
      </c>
      <c r="G5169" t="str">
        <f t="shared" si="186"/>
        <v/>
      </c>
    </row>
    <row r="5170" spans="2:7">
      <c r="B5170" s="6"/>
      <c r="E5170" s="7"/>
      <c r="F5170" t="str">
        <f t="shared" si="185"/>
        <v/>
      </c>
      <c r="G5170" t="str">
        <f t="shared" si="186"/>
        <v/>
      </c>
    </row>
    <row r="5171" spans="2:7">
      <c r="B5171" s="6"/>
      <c r="E5171" s="7"/>
      <c r="F5171" t="str">
        <f t="shared" si="185"/>
        <v/>
      </c>
      <c r="G5171" t="str">
        <f t="shared" si="186"/>
        <v/>
      </c>
    </row>
    <row r="5172" spans="2:7">
      <c r="B5172" s="6"/>
      <c r="E5172" s="7"/>
      <c r="F5172" t="str">
        <f t="shared" si="185"/>
        <v/>
      </c>
      <c r="G5172" t="str">
        <f t="shared" si="186"/>
        <v/>
      </c>
    </row>
    <row r="5173" spans="2:7">
      <c r="B5173" s="6"/>
      <c r="E5173" s="7"/>
      <c r="F5173" t="str">
        <f t="shared" si="185"/>
        <v/>
      </c>
      <c r="G5173" t="str">
        <f t="shared" si="186"/>
        <v/>
      </c>
    </row>
    <row r="5174" spans="2:7">
      <c r="B5174" s="6"/>
      <c r="E5174" s="7"/>
      <c r="F5174" t="str">
        <f t="shared" si="185"/>
        <v/>
      </c>
      <c r="G5174" t="str">
        <f t="shared" si="186"/>
        <v/>
      </c>
    </row>
    <row r="5175" spans="2:7">
      <c r="B5175" s="6"/>
      <c r="E5175" s="7"/>
      <c r="F5175" t="str">
        <f t="shared" si="185"/>
        <v/>
      </c>
      <c r="G5175" t="str">
        <f t="shared" si="186"/>
        <v/>
      </c>
    </row>
    <row r="5176" spans="2:7">
      <c r="B5176" s="6"/>
      <c r="E5176" s="7"/>
      <c r="F5176" t="str">
        <f t="shared" si="185"/>
        <v/>
      </c>
      <c r="G5176" t="str">
        <f t="shared" si="186"/>
        <v/>
      </c>
    </row>
    <row r="5177" spans="2:7">
      <c r="B5177" s="6"/>
      <c r="E5177" s="7"/>
      <c r="F5177" t="str">
        <f t="shared" si="185"/>
        <v/>
      </c>
      <c r="G5177" t="str">
        <f t="shared" si="186"/>
        <v/>
      </c>
    </row>
    <row r="5178" spans="2:7">
      <c r="B5178" s="6"/>
      <c r="E5178" s="7"/>
      <c r="F5178" t="str">
        <f t="shared" si="185"/>
        <v/>
      </c>
      <c r="G5178" t="str">
        <f t="shared" si="186"/>
        <v/>
      </c>
    </row>
    <row r="5179" spans="2:7">
      <c r="B5179" s="6"/>
      <c r="E5179" s="7"/>
      <c r="F5179" t="str">
        <f t="shared" si="185"/>
        <v/>
      </c>
      <c r="G5179" t="str">
        <f t="shared" si="186"/>
        <v/>
      </c>
    </row>
    <row r="5180" spans="2:7">
      <c r="B5180" s="6"/>
      <c r="E5180" s="7"/>
      <c r="F5180" t="str">
        <f t="shared" si="185"/>
        <v/>
      </c>
      <c r="G5180" t="str">
        <f t="shared" si="186"/>
        <v/>
      </c>
    </row>
    <row r="5181" spans="2:7">
      <c r="B5181" s="6"/>
      <c r="E5181" s="7"/>
      <c r="F5181" t="str">
        <f t="shared" si="185"/>
        <v/>
      </c>
      <c r="G5181" t="str">
        <f t="shared" si="186"/>
        <v/>
      </c>
    </row>
    <row r="5182" spans="2:7">
      <c r="B5182" s="6"/>
      <c r="E5182" s="7"/>
      <c r="F5182" t="str">
        <f t="shared" si="185"/>
        <v/>
      </c>
      <c r="G5182" t="str">
        <f t="shared" si="186"/>
        <v/>
      </c>
    </row>
    <row r="5183" spans="2:7">
      <c r="B5183" s="6"/>
      <c r="E5183" s="7"/>
      <c r="F5183" t="str">
        <f t="shared" si="185"/>
        <v/>
      </c>
      <c r="G5183" t="str">
        <f t="shared" si="186"/>
        <v/>
      </c>
    </row>
    <row r="5184" spans="2:7">
      <c r="B5184" s="6"/>
      <c r="E5184" s="7"/>
      <c r="F5184" t="str">
        <f t="shared" si="185"/>
        <v/>
      </c>
      <c r="G5184" t="str">
        <f t="shared" si="186"/>
        <v/>
      </c>
    </row>
    <row r="5185" spans="2:7">
      <c r="B5185" s="6"/>
      <c r="E5185" s="7"/>
      <c r="F5185" t="str">
        <f t="shared" si="185"/>
        <v/>
      </c>
      <c r="G5185" t="str">
        <f t="shared" si="186"/>
        <v/>
      </c>
    </row>
    <row r="5186" spans="2:7">
      <c r="B5186" s="6"/>
      <c r="E5186" s="7"/>
      <c r="F5186" t="str">
        <f t="shared" si="185"/>
        <v/>
      </c>
      <c r="G5186" t="str">
        <f t="shared" si="186"/>
        <v/>
      </c>
    </row>
    <row r="5187" spans="2:7">
      <c r="B5187" s="6"/>
      <c r="E5187" s="7"/>
      <c r="F5187" t="str">
        <f t="shared" si="185"/>
        <v/>
      </c>
      <c r="G5187" t="str">
        <f t="shared" si="186"/>
        <v/>
      </c>
    </row>
    <row r="5188" spans="2:7">
      <c r="B5188" s="6"/>
      <c r="E5188" s="7"/>
      <c r="F5188" t="str">
        <f t="shared" ref="F5188:F5251" si="187">IF(B5188="","",LOG10(D5188))</f>
        <v/>
      </c>
      <c r="G5188" t="str">
        <f t="shared" ref="G5188:G5251" si="188">IF(E5188="", "",0.434*E5188/D5188)</f>
        <v/>
      </c>
    </row>
    <row r="5189" spans="2:7">
      <c r="B5189" s="6"/>
      <c r="E5189" s="7"/>
      <c r="F5189" t="str">
        <f t="shared" si="187"/>
        <v/>
      </c>
      <c r="G5189" t="str">
        <f t="shared" si="188"/>
        <v/>
      </c>
    </row>
    <row r="5190" spans="2:7">
      <c r="B5190" s="6"/>
      <c r="E5190" s="7"/>
      <c r="F5190" t="str">
        <f t="shared" si="187"/>
        <v/>
      </c>
      <c r="G5190" t="str">
        <f t="shared" si="188"/>
        <v/>
      </c>
    </row>
    <row r="5191" spans="2:7">
      <c r="B5191" s="6"/>
      <c r="E5191" s="7"/>
      <c r="F5191" t="str">
        <f t="shared" si="187"/>
        <v/>
      </c>
      <c r="G5191" t="str">
        <f t="shared" si="188"/>
        <v/>
      </c>
    </row>
    <row r="5192" spans="2:7">
      <c r="B5192" s="6"/>
      <c r="E5192" s="7"/>
      <c r="F5192" t="str">
        <f t="shared" si="187"/>
        <v/>
      </c>
      <c r="G5192" t="str">
        <f t="shared" si="188"/>
        <v/>
      </c>
    </row>
    <row r="5193" spans="2:7">
      <c r="B5193" s="6"/>
      <c r="E5193" s="7"/>
      <c r="F5193" t="str">
        <f t="shared" si="187"/>
        <v/>
      </c>
      <c r="G5193" t="str">
        <f t="shared" si="188"/>
        <v/>
      </c>
    </row>
    <row r="5194" spans="2:7">
      <c r="B5194" s="6"/>
      <c r="E5194" s="7"/>
      <c r="F5194" t="str">
        <f t="shared" si="187"/>
        <v/>
      </c>
      <c r="G5194" t="str">
        <f t="shared" si="188"/>
        <v/>
      </c>
    </row>
    <row r="5195" spans="2:7">
      <c r="B5195" s="6"/>
      <c r="E5195" s="7"/>
      <c r="F5195" t="str">
        <f t="shared" si="187"/>
        <v/>
      </c>
      <c r="G5195" t="str">
        <f t="shared" si="188"/>
        <v/>
      </c>
    </row>
    <row r="5196" spans="2:7">
      <c r="B5196" s="6"/>
      <c r="E5196" s="7"/>
      <c r="F5196" t="str">
        <f t="shared" si="187"/>
        <v/>
      </c>
      <c r="G5196" t="str">
        <f t="shared" si="188"/>
        <v/>
      </c>
    </row>
    <row r="5197" spans="2:7">
      <c r="B5197" s="6"/>
      <c r="E5197" s="7"/>
      <c r="F5197" t="str">
        <f t="shared" si="187"/>
        <v/>
      </c>
      <c r="G5197" t="str">
        <f t="shared" si="188"/>
        <v/>
      </c>
    </row>
    <row r="5198" spans="2:7">
      <c r="B5198" s="6"/>
      <c r="E5198" s="7"/>
      <c r="F5198" t="str">
        <f t="shared" si="187"/>
        <v/>
      </c>
      <c r="G5198" t="str">
        <f t="shared" si="188"/>
        <v/>
      </c>
    </row>
    <row r="5199" spans="2:7">
      <c r="B5199" s="6"/>
      <c r="E5199" s="7"/>
      <c r="F5199" t="str">
        <f t="shared" si="187"/>
        <v/>
      </c>
      <c r="G5199" t="str">
        <f t="shared" si="188"/>
        <v/>
      </c>
    </row>
    <row r="5200" spans="2:7">
      <c r="B5200" s="6"/>
      <c r="E5200" s="7"/>
      <c r="F5200" t="str">
        <f t="shared" si="187"/>
        <v/>
      </c>
      <c r="G5200" t="str">
        <f t="shared" si="188"/>
        <v/>
      </c>
    </row>
    <row r="5201" spans="2:7">
      <c r="B5201" s="6"/>
      <c r="E5201" s="7"/>
      <c r="F5201" t="str">
        <f t="shared" si="187"/>
        <v/>
      </c>
      <c r="G5201" t="str">
        <f t="shared" si="188"/>
        <v/>
      </c>
    </row>
    <row r="5202" spans="2:7">
      <c r="B5202" s="6"/>
      <c r="E5202" s="7"/>
      <c r="F5202" t="str">
        <f t="shared" si="187"/>
        <v/>
      </c>
      <c r="G5202" t="str">
        <f t="shared" si="188"/>
        <v/>
      </c>
    </row>
    <row r="5203" spans="2:7">
      <c r="B5203" s="6"/>
      <c r="E5203" s="7"/>
      <c r="F5203" t="str">
        <f t="shared" si="187"/>
        <v/>
      </c>
      <c r="G5203" t="str">
        <f t="shared" si="188"/>
        <v/>
      </c>
    </row>
    <row r="5204" spans="2:7">
      <c r="B5204" s="6"/>
      <c r="E5204" s="7"/>
      <c r="F5204" t="str">
        <f t="shared" si="187"/>
        <v/>
      </c>
      <c r="G5204" t="str">
        <f t="shared" si="188"/>
        <v/>
      </c>
    </row>
    <row r="5205" spans="2:7">
      <c r="B5205" s="6"/>
      <c r="E5205" s="7"/>
      <c r="F5205" t="str">
        <f t="shared" si="187"/>
        <v/>
      </c>
      <c r="G5205" t="str">
        <f t="shared" si="188"/>
        <v/>
      </c>
    </row>
    <row r="5206" spans="2:7">
      <c r="B5206" s="6"/>
      <c r="E5206" s="7"/>
      <c r="F5206" t="str">
        <f t="shared" si="187"/>
        <v/>
      </c>
      <c r="G5206" t="str">
        <f t="shared" si="188"/>
        <v/>
      </c>
    </row>
    <row r="5207" spans="2:7">
      <c r="B5207" s="6"/>
      <c r="E5207" s="7"/>
      <c r="F5207" t="str">
        <f t="shared" si="187"/>
        <v/>
      </c>
      <c r="G5207" t="str">
        <f t="shared" si="188"/>
        <v/>
      </c>
    </row>
    <row r="5208" spans="2:7">
      <c r="B5208" s="6"/>
      <c r="E5208" s="7"/>
      <c r="F5208" t="str">
        <f t="shared" si="187"/>
        <v/>
      </c>
      <c r="G5208" t="str">
        <f t="shared" si="188"/>
        <v/>
      </c>
    </row>
    <row r="5209" spans="2:7">
      <c r="B5209" s="6"/>
      <c r="E5209" s="7"/>
      <c r="F5209" t="str">
        <f t="shared" si="187"/>
        <v/>
      </c>
      <c r="G5209" t="str">
        <f t="shared" si="188"/>
        <v/>
      </c>
    </row>
    <row r="5210" spans="2:7">
      <c r="B5210" s="6"/>
      <c r="E5210" s="7"/>
      <c r="F5210" t="str">
        <f t="shared" si="187"/>
        <v/>
      </c>
      <c r="G5210" t="str">
        <f t="shared" si="188"/>
        <v/>
      </c>
    </row>
    <row r="5211" spans="2:7">
      <c r="B5211" s="6"/>
      <c r="E5211" s="7"/>
      <c r="F5211" t="str">
        <f t="shared" si="187"/>
        <v/>
      </c>
      <c r="G5211" t="str">
        <f t="shared" si="188"/>
        <v/>
      </c>
    </row>
    <row r="5212" spans="2:7">
      <c r="B5212" s="6"/>
      <c r="E5212" s="7"/>
      <c r="F5212" t="str">
        <f t="shared" si="187"/>
        <v/>
      </c>
      <c r="G5212" t="str">
        <f t="shared" si="188"/>
        <v/>
      </c>
    </row>
    <row r="5213" spans="2:7">
      <c r="B5213" s="6"/>
      <c r="E5213" s="7"/>
      <c r="F5213" t="str">
        <f t="shared" si="187"/>
        <v/>
      </c>
      <c r="G5213" t="str">
        <f t="shared" si="188"/>
        <v/>
      </c>
    </row>
    <row r="5214" spans="2:7">
      <c r="B5214" s="6"/>
      <c r="E5214" s="7"/>
      <c r="F5214" t="str">
        <f t="shared" si="187"/>
        <v/>
      </c>
      <c r="G5214" t="str">
        <f t="shared" si="188"/>
        <v/>
      </c>
    </row>
    <row r="5215" spans="2:7">
      <c r="B5215" s="6"/>
      <c r="E5215" s="7"/>
      <c r="F5215" t="str">
        <f t="shared" si="187"/>
        <v/>
      </c>
      <c r="G5215" t="str">
        <f t="shared" si="188"/>
        <v/>
      </c>
    </row>
    <row r="5216" spans="2:7">
      <c r="B5216" s="6"/>
      <c r="E5216" s="7"/>
      <c r="F5216" t="str">
        <f t="shared" si="187"/>
        <v/>
      </c>
      <c r="G5216" t="str">
        <f t="shared" si="188"/>
        <v/>
      </c>
    </row>
    <row r="5217" spans="2:7">
      <c r="B5217" s="6"/>
      <c r="E5217" s="7"/>
      <c r="F5217" t="str">
        <f t="shared" si="187"/>
        <v/>
      </c>
      <c r="G5217" t="str">
        <f t="shared" si="188"/>
        <v/>
      </c>
    </row>
    <row r="5218" spans="2:7">
      <c r="B5218" s="6"/>
      <c r="E5218" s="7"/>
      <c r="F5218" t="str">
        <f t="shared" si="187"/>
        <v/>
      </c>
      <c r="G5218" t="str">
        <f t="shared" si="188"/>
        <v/>
      </c>
    </row>
    <row r="5219" spans="2:7">
      <c r="B5219" s="6"/>
      <c r="E5219" s="7"/>
      <c r="F5219" t="str">
        <f t="shared" si="187"/>
        <v/>
      </c>
      <c r="G5219" t="str">
        <f t="shared" si="188"/>
        <v/>
      </c>
    </row>
    <row r="5220" spans="2:7">
      <c r="B5220" s="6"/>
      <c r="E5220" s="7"/>
      <c r="F5220" t="str">
        <f t="shared" si="187"/>
        <v/>
      </c>
      <c r="G5220" t="str">
        <f t="shared" si="188"/>
        <v/>
      </c>
    </row>
    <row r="5221" spans="2:7">
      <c r="B5221" s="6"/>
      <c r="E5221" s="7"/>
      <c r="F5221" t="str">
        <f t="shared" si="187"/>
        <v/>
      </c>
      <c r="G5221" t="str">
        <f t="shared" si="188"/>
        <v/>
      </c>
    </row>
    <row r="5222" spans="2:7">
      <c r="B5222" s="6"/>
      <c r="E5222" s="7"/>
      <c r="F5222" t="str">
        <f t="shared" si="187"/>
        <v/>
      </c>
      <c r="G5222" t="str">
        <f t="shared" si="188"/>
        <v/>
      </c>
    </row>
    <row r="5223" spans="2:7">
      <c r="B5223" s="6"/>
      <c r="E5223" s="7"/>
      <c r="F5223" t="str">
        <f t="shared" si="187"/>
        <v/>
      </c>
      <c r="G5223" t="str">
        <f t="shared" si="188"/>
        <v/>
      </c>
    </row>
    <row r="5224" spans="2:7">
      <c r="B5224" s="6"/>
      <c r="E5224" s="7"/>
      <c r="F5224" t="str">
        <f t="shared" si="187"/>
        <v/>
      </c>
      <c r="G5224" t="str">
        <f t="shared" si="188"/>
        <v/>
      </c>
    </row>
    <row r="5225" spans="2:7">
      <c r="B5225" s="6"/>
      <c r="E5225" s="7"/>
      <c r="F5225" t="str">
        <f t="shared" si="187"/>
        <v/>
      </c>
      <c r="G5225" t="str">
        <f t="shared" si="188"/>
        <v/>
      </c>
    </row>
    <row r="5226" spans="2:7">
      <c r="B5226" s="6"/>
      <c r="E5226" s="7"/>
      <c r="F5226" t="str">
        <f t="shared" si="187"/>
        <v/>
      </c>
      <c r="G5226" t="str">
        <f t="shared" si="188"/>
        <v/>
      </c>
    </row>
    <row r="5227" spans="2:7">
      <c r="B5227" s="6"/>
      <c r="E5227" s="7"/>
      <c r="F5227" t="str">
        <f t="shared" si="187"/>
        <v/>
      </c>
      <c r="G5227" t="str">
        <f t="shared" si="188"/>
        <v/>
      </c>
    </row>
    <row r="5228" spans="2:7">
      <c r="B5228" s="6"/>
      <c r="E5228" s="7"/>
      <c r="F5228" t="str">
        <f t="shared" si="187"/>
        <v/>
      </c>
      <c r="G5228" t="str">
        <f t="shared" si="188"/>
        <v/>
      </c>
    </row>
    <row r="5229" spans="2:7">
      <c r="B5229" s="6"/>
      <c r="E5229" s="7"/>
      <c r="F5229" t="str">
        <f t="shared" si="187"/>
        <v/>
      </c>
      <c r="G5229" t="str">
        <f t="shared" si="188"/>
        <v/>
      </c>
    </row>
    <row r="5230" spans="2:7">
      <c r="B5230" s="6"/>
      <c r="E5230" s="7"/>
      <c r="F5230" t="str">
        <f t="shared" si="187"/>
        <v/>
      </c>
      <c r="G5230" t="str">
        <f t="shared" si="188"/>
        <v/>
      </c>
    </row>
    <row r="5231" spans="2:7">
      <c r="B5231" s="6"/>
      <c r="E5231" s="7"/>
      <c r="F5231" t="str">
        <f t="shared" si="187"/>
        <v/>
      </c>
      <c r="G5231" t="str">
        <f t="shared" si="188"/>
        <v/>
      </c>
    </row>
    <row r="5232" spans="2:7">
      <c r="B5232" s="6"/>
      <c r="E5232" s="7"/>
      <c r="F5232" t="str">
        <f t="shared" si="187"/>
        <v/>
      </c>
      <c r="G5232" t="str">
        <f t="shared" si="188"/>
        <v/>
      </c>
    </row>
    <row r="5233" spans="2:7">
      <c r="B5233" s="6"/>
      <c r="E5233" s="7"/>
      <c r="F5233" t="str">
        <f t="shared" si="187"/>
        <v/>
      </c>
      <c r="G5233" t="str">
        <f t="shared" si="188"/>
        <v/>
      </c>
    </row>
    <row r="5234" spans="2:7">
      <c r="B5234" s="6"/>
      <c r="E5234" s="7"/>
      <c r="F5234" t="str">
        <f t="shared" si="187"/>
        <v/>
      </c>
      <c r="G5234" t="str">
        <f t="shared" si="188"/>
        <v/>
      </c>
    </row>
    <row r="5235" spans="2:7">
      <c r="B5235" s="6"/>
      <c r="E5235" s="7"/>
      <c r="F5235" t="str">
        <f t="shared" si="187"/>
        <v/>
      </c>
      <c r="G5235" t="str">
        <f t="shared" si="188"/>
        <v/>
      </c>
    </row>
    <row r="5236" spans="2:7">
      <c r="B5236" s="6"/>
      <c r="E5236" s="7"/>
      <c r="F5236" t="str">
        <f t="shared" si="187"/>
        <v/>
      </c>
      <c r="G5236" t="str">
        <f t="shared" si="188"/>
        <v/>
      </c>
    </row>
    <row r="5237" spans="2:7">
      <c r="B5237" s="6"/>
      <c r="E5237" s="7"/>
      <c r="F5237" t="str">
        <f t="shared" si="187"/>
        <v/>
      </c>
      <c r="G5237" t="str">
        <f t="shared" si="188"/>
        <v/>
      </c>
    </row>
    <row r="5238" spans="2:7">
      <c r="B5238" s="6"/>
      <c r="E5238" s="7"/>
      <c r="F5238" t="str">
        <f t="shared" si="187"/>
        <v/>
      </c>
      <c r="G5238" t="str">
        <f t="shared" si="188"/>
        <v/>
      </c>
    </row>
    <row r="5239" spans="2:7">
      <c r="B5239" s="6"/>
      <c r="E5239" s="7"/>
      <c r="F5239" t="str">
        <f t="shared" si="187"/>
        <v/>
      </c>
      <c r="G5239" t="str">
        <f t="shared" si="188"/>
        <v/>
      </c>
    </row>
    <row r="5240" spans="2:7">
      <c r="B5240" s="6"/>
      <c r="E5240" s="7"/>
      <c r="F5240" t="str">
        <f t="shared" si="187"/>
        <v/>
      </c>
      <c r="G5240" t="str">
        <f t="shared" si="188"/>
        <v/>
      </c>
    </row>
    <row r="5241" spans="2:7">
      <c r="B5241" s="6"/>
      <c r="E5241" s="7"/>
      <c r="F5241" t="str">
        <f t="shared" si="187"/>
        <v/>
      </c>
      <c r="G5241" t="str">
        <f t="shared" si="188"/>
        <v/>
      </c>
    </row>
    <row r="5242" spans="2:7">
      <c r="B5242" s="6"/>
      <c r="E5242" s="7"/>
      <c r="F5242" t="str">
        <f t="shared" si="187"/>
        <v/>
      </c>
      <c r="G5242" t="str">
        <f t="shared" si="188"/>
        <v/>
      </c>
    </row>
    <row r="5243" spans="2:7">
      <c r="B5243" s="6"/>
      <c r="E5243" s="7"/>
      <c r="F5243" t="str">
        <f t="shared" si="187"/>
        <v/>
      </c>
      <c r="G5243" t="str">
        <f t="shared" si="188"/>
        <v/>
      </c>
    </row>
    <row r="5244" spans="2:7">
      <c r="B5244" s="6"/>
      <c r="E5244" s="7"/>
      <c r="F5244" t="str">
        <f t="shared" si="187"/>
        <v/>
      </c>
      <c r="G5244" t="str">
        <f t="shared" si="188"/>
        <v/>
      </c>
    </row>
    <row r="5245" spans="2:7">
      <c r="B5245" s="6"/>
      <c r="E5245" s="7"/>
      <c r="F5245" t="str">
        <f t="shared" si="187"/>
        <v/>
      </c>
      <c r="G5245" t="str">
        <f t="shared" si="188"/>
        <v/>
      </c>
    </row>
    <row r="5246" spans="2:7">
      <c r="B5246" s="6"/>
      <c r="E5246" s="7"/>
      <c r="F5246" t="str">
        <f t="shared" si="187"/>
        <v/>
      </c>
      <c r="G5246" t="str">
        <f t="shared" si="188"/>
        <v/>
      </c>
    </row>
    <row r="5247" spans="2:7">
      <c r="B5247" s="6"/>
      <c r="E5247" s="7"/>
      <c r="F5247" t="str">
        <f t="shared" si="187"/>
        <v/>
      </c>
      <c r="G5247" t="str">
        <f t="shared" si="188"/>
        <v/>
      </c>
    </row>
    <row r="5248" spans="2:7">
      <c r="B5248" s="6"/>
      <c r="E5248" s="7"/>
      <c r="F5248" t="str">
        <f t="shared" si="187"/>
        <v/>
      </c>
      <c r="G5248" t="str">
        <f t="shared" si="188"/>
        <v/>
      </c>
    </row>
    <row r="5249" spans="2:7">
      <c r="B5249" s="6"/>
      <c r="E5249" s="7"/>
      <c r="F5249" t="str">
        <f t="shared" si="187"/>
        <v/>
      </c>
      <c r="G5249" t="str">
        <f t="shared" si="188"/>
        <v/>
      </c>
    </row>
    <row r="5250" spans="2:7">
      <c r="B5250" s="6"/>
      <c r="E5250" s="7"/>
      <c r="F5250" t="str">
        <f t="shared" si="187"/>
        <v/>
      </c>
      <c r="G5250" t="str">
        <f t="shared" si="188"/>
        <v/>
      </c>
    </row>
    <row r="5251" spans="2:7">
      <c r="B5251" s="6"/>
      <c r="E5251" s="7"/>
      <c r="F5251" t="str">
        <f t="shared" si="187"/>
        <v/>
      </c>
      <c r="G5251" t="str">
        <f t="shared" si="188"/>
        <v/>
      </c>
    </row>
    <row r="5252" spans="2:7">
      <c r="B5252" s="6"/>
      <c r="E5252" s="7"/>
      <c r="F5252" t="str">
        <f t="shared" ref="F5252:F5315" si="189">IF(B5252="","",LOG10(D5252))</f>
        <v/>
      </c>
      <c r="G5252" t="str">
        <f t="shared" ref="G5252:G5315" si="190">IF(E5252="", "",0.434*E5252/D5252)</f>
        <v/>
      </c>
    </row>
    <row r="5253" spans="2:7">
      <c r="B5253" s="6"/>
      <c r="E5253" s="7"/>
      <c r="F5253" t="str">
        <f t="shared" si="189"/>
        <v/>
      </c>
      <c r="G5253" t="str">
        <f t="shared" si="190"/>
        <v/>
      </c>
    </row>
    <row r="5254" spans="2:7">
      <c r="B5254" s="6"/>
      <c r="E5254" s="7"/>
      <c r="F5254" t="str">
        <f t="shared" si="189"/>
        <v/>
      </c>
      <c r="G5254" t="str">
        <f t="shared" si="190"/>
        <v/>
      </c>
    </row>
    <row r="5255" spans="2:7">
      <c r="B5255" s="6"/>
      <c r="E5255" s="7"/>
      <c r="F5255" t="str">
        <f t="shared" si="189"/>
        <v/>
      </c>
      <c r="G5255" t="str">
        <f t="shared" si="190"/>
        <v/>
      </c>
    </row>
    <row r="5256" spans="2:7">
      <c r="B5256" s="6"/>
      <c r="E5256" s="7"/>
      <c r="F5256" t="str">
        <f t="shared" si="189"/>
        <v/>
      </c>
      <c r="G5256" t="str">
        <f t="shared" si="190"/>
        <v/>
      </c>
    </row>
    <row r="5257" spans="2:7">
      <c r="B5257" s="6"/>
      <c r="E5257" s="7"/>
      <c r="F5257" t="str">
        <f t="shared" si="189"/>
        <v/>
      </c>
      <c r="G5257" t="str">
        <f t="shared" si="190"/>
        <v/>
      </c>
    </row>
    <row r="5258" spans="2:7">
      <c r="B5258" s="6"/>
      <c r="E5258" s="7"/>
      <c r="F5258" t="str">
        <f t="shared" si="189"/>
        <v/>
      </c>
      <c r="G5258" t="str">
        <f t="shared" si="190"/>
        <v/>
      </c>
    </row>
    <row r="5259" spans="2:7">
      <c r="B5259" s="6"/>
      <c r="E5259" s="7"/>
      <c r="F5259" t="str">
        <f t="shared" si="189"/>
        <v/>
      </c>
      <c r="G5259" t="str">
        <f t="shared" si="190"/>
        <v/>
      </c>
    </row>
    <row r="5260" spans="2:7">
      <c r="B5260" s="6"/>
      <c r="E5260" s="7"/>
      <c r="F5260" t="str">
        <f t="shared" si="189"/>
        <v/>
      </c>
      <c r="G5260" t="str">
        <f t="shared" si="190"/>
        <v/>
      </c>
    </row>
    <row r="5261" spans="2:7">
      <c r="B5261" s="6"/>
      <c r="E5261" s="7"/>
      <c r="F5261" t="str">
        <f t="shared" si="189"/>
        <v/>
      </c>
      <c r="G5261" t="str">
        <f t="shared" si="190"/>
        <v/>
      </c>
    </row>
    <row r="5262" spans="2:7">
      <c r="B5262" s="6"/>
      <c r="E5262" s="7"/>
      <c r="F5262" t="str">
        <f t="shared" si="189"/>
        <v/>
      </c>
      <c r="G5262" t="str">
        <f t="shared" si="190"/>
        <v/>
      </c>
    </row>
    <row r="5263" spans="2:7">
      <c r="B5263" s="6"/>
      <c r="E5263" s="7"/>
      <c r="F5263" t="str">
        <f t="shared" si="189"/>
        <v/>
      </c>
      <c r="G5263" t="str">
        <f t="shared" si="190"/>
        <v/>
      </c>
    </row>
    <row r="5264" spans="2:7">
      <c r="B5264" s="6"/>
      <c r="E5264" s="7"/>
      <c r="F5264" t="str">
        <f t="shared" si="189"/>
        <v/>
      </c>
      <c r="G5264" t="str">
        <f t="shared" si="190"/>
        <v/>
      </c>
    </row>
    <row r="5265" spans="2:7">
      <c r="B5265" s="6"/>
      <c r="E5265" s="7"/>
      <c r="F5265" t="str">
        <f t="shared" si="189"/>
        <v/>
      </c>
      <c r="G5265" t="str">
        <f t="shared" si="190"/>
        <v/>
      </c>
    </row>
    <row r="5266" spans="2:7">
      <c r="B5266" s="6"/>
      <c r="E5266" s="7"/>
      <c r="F5266" t="str">
        <f t="shared" si="189"/>
        <v/>
      </c>
      <c r="G5266" t="str">
        <f t="shared" si="190"/>
        <v/>
      </c>
    </row>
    <row r="5267" spans="2:7">
      <c r="B5267" s="6"/>
      <c r="E5267" s="7"/>
      <c r="F5267" t="str">
        <f t="shared" si="189"/>
        <v/>
      </c>
      <c r="G5267" t="str">
        <f t="shared" si="190"/>
        <v/>
      </c>
    </row>
    <row r="5268" spans="2:7">
      <c r="B5268" s="6"/>
      <c r="E5268" s="7"/>
      <c r="F5268" t="str">
        <f t="shared" si="189"/>
        <v/>
      </c>
      <c r="G5268" t="str">
        <f t="shared" si="190"/>
        <v/>
      </c>
    </row>
    <row r="5269" spans="2:7">
      <c r="B5269" s="6"/>
      <c r="E5269" s="7"/>
      <c r="F5269" t="str">
        <f t="shared" si="189"/>
        <v/>
      </c>
      <c r="G5269" t="str">
        <f t="shared" si="190"/>
        <v/>
      </c>
    </row>
    <row r="5270" spans="2:7">
      <c r="B5270" s="6"/>
      <c r="E5270" s="7"/>
      <c r="F5270" t="str">
        <f t="shared" si="189"/>
        <v/>
      </c>
      <c r="G5270" t="str">
        <f t="shared" si="190"/>
        <v/>
      </c>
    </row>
    <row r="5271" spans="2:7">
      <c r="B5271" s="6"/>
      <c r="E5271" s="7"/>
      <c r="F5271" t="str">
        <f t="shared" si="189"/>
        <v/>
      </c>
      <c r="G5271" t="str">
        <f t="shared" si="190"/>
        <v/>
      </c>
    </row>
    <row r="5272" spans="2:7">
      <c r="B5272" s="6"/>
      <c r="E5272" s="7"/>
      <c r="F5272" t="str">
        <f t="shared" si="189"/>
        <v/>
      </c>
      <c r="G5272" t="str">
        <f t="shared" si="190"/>
        <v/>
      </c>
    </row>
    <row r="5273" spans="2:7">
      <c r="B5273" s="6"/>
      <c r="E5273" s="7"/>
      <c r="F5273" t="str">
        <f t="shared" si="189"/>
        <v/>
      </c>
      <c r="G5273" t="str">
        <f t="shared" si="190"/>
        <v/>
      </c>
    </row>
    <row r="5274" spans="2:7">
      <c r="B5274" s="6"/>
      <c r="E5274" s="7"/>
      <c r="F5274" t="str">
        <f t="shared" si="189"/>
        <v/>
      </c>
      <c r="G5274" t="str">
        <f t="shared" si="190"/>
        <v/>
      </c>
    </row>
    <row r="5275" spans="2:7">
      <c r="B5275" s="6"/>
      <c r="E5275" s="7"/>
      <c r="F5275" t="str">
        <f t="shared" si="189"/>
        <v/>
      </c>
      <c r="G5275" t="str">
        <f t="shared" si="190"/>
        <v/>
      </c>
    </row>
    <row r="5276" spans="2:7">
      <c r="B5276" s="6"/>
      <c r="E5276" s="7"/>
      <c r="F5276" t="str">
        <f t="shared" si="189"/>
        <v/>
      </c>
      <c r="G5276" t="str">
        <f t="shared" si="190"/>
        <v/>
      </c>
    </row>
    <row r="5277" spans="2:7">
      <c r="B5277" s="6"/>
      <c r="E5277" s="7"/>
      <c r="F5277" t="str">
        <f t="shared" si="189"/>
        <v/>
      </c>
      <c r="G5277" t="str">
        <f t="shared" si="190"/>
        <v/>
      </c>
    </row>
    <row r="5278" spans="2:7">
      <c r="B5278" s="6"/>
      <c r="E5278" s="7"/>
      <c r="F5278" t="str">
        <f t="shared" si="189"/>
        <v/>
      </c>
      <c r="G5278" t="str">
        <f t="shared" si="190"/>
        <v/>
      </c>
    </row>
    <row r="5279" spans="2:7">
      <c r="B5279" s="6"/>
      <c r="E5279" s="7"/>
      <c r="F5279" t="str">
        <f t="shared" si="189"/>
        <v/>
      </c>
      <c r="G5279" t="str">
        <f t="shared" si="190"/>
        <v/>
      </c>
    </row>
    <row r="5280" spans="2:7">
      <c r="B5280" s="6"/>
      <c r="E5280" s="7"/>
      <c r="F5280" t="str">
        <f t="shared" si="189"/>
        <v/>
      </c>
      <c r="G5280" t="str">
        <f t="shared" si="190"/>
        <v/>
      </c>
    </row>
    <row r="5281" spans="2:7">
      <c r="B5281" s="6"/>
      <c r="E5281" s="7"/>
      <c r="F5281" t="str">
        <f t="shared" si="189"/>
        <v/>
      </c>
      <c r="G5281" t="str">
        <f t="shared" si="190"/>
        <v/>
      </c>
    </row>
    <row r="5282" spans="2:7">
      <c r="B5282" s="6"/>
      <c r="E5282" s="7"/>
      <c r="F5282" t="str">
        <f t="shared" si="189"/>
        <v/>
      </c>
      <c r="G5282" t="str">
        <f t="shared" si="190"/>
        <v/>
      </c>
    </row>
    <row r="5283" spans="2:7">
      <c r="B5283" s="6"/>
      <c r="E5283" s="7"/>
      <c r="F5283" t="str">
        <f t="shared" si="189"/>
        <v/>
      </c>
      <c r="G5283" t="str">
        <f t="shared" si="190"/>
        <v/>
      </c>
    </row>
    <row r="5284" spans="2:7">
      <c r="B5284" s="6"/>
      <c r="E5284" s="7"/>
      <c r="F5284" t="str">
        <f t="shared" si="189"/>
        <v/>
      </c>
      <c r="G5284" t="str">
        <f t="shared" si="190"/>
        <v/>
      </c>
    </row>
    <row r="5285" spans="2:7">
      <c r="B5285" s="6"/>
      <c r="E5285" s="7"/>
      <c r="F5285" t="str">
        <f t="shared" si="189"/>
        <v/>
      </c>
      <c r="G5285" t="str">
        <f t="shared" si="190"/>
        <v/>
      </c>
    </row>
    <row r="5286" spans="2:7">
      <c r="B5286" s="6"/>
      <c r="E5286" s="7"/>
      <c r="F5286" t="str">
        <f t="shared" si="189"/>
        <v/>
      </c>
      <c r="G5286" t="str">
        <f t="shared" si="190"/>
        <v/>
      </c>
    </row>
    <row r="5287" spans="2:7">
      <c r="B5287" s="6"/>
      <c r="E5287" s="7"/>
      <c r="F5287" t="str">
        <f t="shared" si="189"/>
        <v/>
      </c>
      <c r="G5287" t="str">
        <f t="shared" si="190"/>
        <v/>
      </c>
    </row>
    <row r="5288" spans="2:7">
      <c r="B5288" s="6"/>
      <c r="E5288" s="7"/>
      <c r="F5288" t="str">
        <f t="shared" si="189"/>
        <v/>
      </c>
      <c r="G5288" t="str">
        <f t="shared" si="190"/>
        <v/>
      </c>
    </row>
    <row r="5289" spans="2:7">
      <c r="B5289" s="6"/>
      <c r="E5289" s="7"/>
      <c r="F5289" t="str">
        <f t="shared" si="189"/>
        <v/>
      </c>
      <c r="G5289" t="str">
        <f t="shared" si="190"/>
        <v/>
      </c>
    </row>
    <row r="5290" spans="2:7">
      <c r="B5290" s="6"/>
      <c r="E5290" s="7"/>
      <c r="F5290" t="str">
        <f t="shared" si="189"/>
        <v/>
      </c>
      <c r="G5290" t="str">
        <f t="shared" si="190"/>
        <v/>
      </c>
    </row>
    <row r="5291" spans="2:7">
      <c r="B5291" s="6"/>
      <c r="E5291" s="7"/>
      <c r="F5291" t="str">
        <f t="shared" si="189"/>
        <v/>
      </c>
      <c r="G5291" t="str">
        <f t="shared" si="190"/>
        <v/>
      </c>
    </row>
    <row r="5292" spans="2:7">
      <c r="B5292" s="6"/>
      <c r="E5292" s="7"/>
      <c r="F5292" t="str">
        <f t="shared" si="189"/>
        <v/>
      </c>
      <c r="G5292" t="str">
        <f t="shared" si="190"/>
        <v/>
      </c>
    </row>
    <row r="5293" spans="2:7">
      <c r="B5293" s="6"/>
      <c r="E5293" s="7"/>
      <c r="F5293" t="str">
        <f t="shared" si="189"/>
        <v/>
      </c>
      <c r="G5293" t="str">
        <f t="shared" si="190"/>
        <v/>
      </c>
    </row>
    <row r="5294" spans="2:7">
      <c r="B5294" s="6"/>
      <c r="E5294" s="7"/>
      <c r="F5294" t="str">
        <f t="shared" si="189"/>
        <v/>
      </c>
      <c r="G5294" t="str">
        <f t="shared" si="190"/>
        <v/>
      </c>
    </row>
    <row r="5295" spans="2:7">
      <c r="B5295" s="6"/>
      <c r="E5295" s="7"/>
      <c r="F5295" t="str">
        <f t="shared" si="189"/>
        <v/>
      </c>
      <c r="G5295" t="str">
        <f t="shared" si="190"/>
        <v/>
      </c>
    </row>
    <row r="5296" spans="2:7">
      <c r="B5296" s="6"/>
      <c r="E5296" s="7"/>
      <c r="F5296" t="str">
        <f t="shared" si="189"/>
        <v/>
      </c>
      <c r="G5296" t="str">
        <f t="shared" si="190"/>
        <v/>
      </c>
    </row>
    <row r="5297" spans="2:7">
      <c r="B5297" s="6"/>
      <c r="E5297" s="7"/>
      <c r="F5297" t="str">
        <f t="shared" si="189"/>
        <v/>
      </c>
      <c r="G5297" t="str">
        <f t="shared" si="190"/>
        <v/>
      </c>
    </row>
    <row r="5298" spans="2:7">
      <c r="B5298" s="6"/>
      <c r="E5298" s="7"/>
      <c r="F5298" t="str">
        <f t="shared" si="189"/>
        <v/>
      </c>
      <c r="G5298" t="str">
        <f t="shared" si="190"/>
        <v/>
      </c>
    </row>
    <row r="5299" spans="2:7">
      <c r="B5299" s="6"/>
      <c r="E5299" s="7"/>
      <c r="F5299" t="str">
        <f t="shared" si="189"/>
        <v/>
      </c>
      <c r="G5299" t="str">
        <f t="shared" si="190"/>
        <v/>
      </c>
    </row>
    <row r="5300" spans="2:7">
      <c r="B5300" s="6"/>
      <c r="E5300" s="7"/>
      <c r="F5300" t="str">
        <f t="shared" si="189"/>
        <v/>
      </c>
      <c r="G5300" t="str">
        <f t="shared" si="190"/>
        <v/>
      </c>
    </row>
    <row r="5301" spans="2:7">
      <c r="B5301" s="6"/>
      <c r="E5301" s="7"/>
      <c r="F5301" t="str">
        <f t="shared" si="189"/>
        <v/>
      </c>
      <c r="G5301" t="str">
        <f t="shared" si="190"/>
        <v/>
      </c>
    </row>
    <row r="5302" spans="2:7">
      <c r="B5302" s="6"/>
      <c r="E5302" s="7"/>
      <c r="F5302" t="str">
        <f t="shared" si="189"/>
        <v/>
      </c>
      <c r="G5302" t="str">
        <f t="shared" si="190"/>
        <v/>
      </c>
    </row>
    <row r="5303" spans="2:7">
      <c r="B5303" s="6"/>
      <c r="E5303" s="7"/>
      <c r="F5303" t="str">
        <f t="shared" si="189"/>
        <v/>
      </c>
      <c r="G5303" t="str">
        <f t="shared" si="190"/>
        <v/>
      </c>
    </row>
    <row r="5304" spans="2:7">
      <c r="B5304" s="6"/>
      <c r="E5304" s="7"/>
      <c r="F5304" t="str">
        <f t="shared" si="189"/>
        <v/>
      </c>
      <c r="G5304" t="str">
        <f t="shared" si="190"/>
        <v/>
      </c>
    </row>
    <row r="5305" spans="2:7">
      <c r="B5305" s="6"/>
      <c r="E5305" s="7"/>
      <c r="F5305" t="str">
        <f t="shared" si="189"/>
        <v/>
      </c>
      <c r="G5305" t="str">
        <f t="shared" si="190"/>
        <v/>
      </c>
    </row>
    <row r="5306" spans="2:7">
      <c r="B5306" s="6"/>
      <c r="E5306" s="7"/>
      <c r="F5306" t="str">
        <f t="shared" si="189"/>
        <v/>
      </c>
      <c r="G5306" t="str">
        <f t="shared" si="190"/>
        <v/>
      </c>
    </row>
    <row r="5307" spans="2:7">
      <c r="B5307" s="6"/>
      <c r="E5307" s="7"/>
      <c r="F5307" t="str">
        <f t="shared" si="189"/>
        <v/>
      </c>
      <c r="G5307" t="str">
        <f t="shared" si="190"/>
        <v/>
      </c>
    </row>
    <row r="5308" spans="2:7">
      <c r="B5308" s="6"/>
      <c r="E5308" s="7"/>
      <c r="F5308" t="str">
        <f t="shared" si="189"/>
        <v/>
      </c>
      <c r="G5308" t="str">
        <f t="shared" si="190"/>
        <v/>
      </c>
    </row>
    <row r="5309" spans="2:7">
      <c r="B5309" s="6"/>
      <c r="E5309" s="7"/>
      <c r="F5309" t="str">
        <f t="shared" si="189"/>
        <v/>
      </c>
      <c r="G5309" t="str">
        <f t="shared" si="190"/>
        <v/>
      </c>
    </row>
    <row r="5310" spans="2:7">
      <c r="B5310" s="6"/>
      <c r="E5310" s="7"/>
      <c r="F5310" t="str">
        <f t="shared" si="189"/>
        <v/>
      </c>
      <c r="G5310" t="str">
        <f t="shared" si="190"/>
        <v/>
      </c>
    </row>
    <row r="5311" spans="2:7">
      <c r="B5311" s="6"/>
      <c r="E5311" s="7"/>
      <c r="F5311" t="str">
        <f t="shared" si="189"/>
        <v/>
      </c>
      <c r="G5311" t="str">
        <f t="shared" si="190"/>
        <v/>
      </c>
    </row>
    <row r="5312" spans="2:7">
      <c r="B5312" s="6"/>
      <c r="E5312" s="7"/>
      <c r="F5312" t="str">
        <f t="shared" si="189"/>
        <v/>
      </c>
      <c r="G5312" t="str">
        <f t="shared" si="190"/>
        <v/>
      </c>
    </row>
    <row r="5313" spans="2:7">
      <c r="B5313" s="6"/>
      <c r="E5313" s="7"/>
      <c r="F5313" t="str">
        <f t="shared" si="189"/>
        <v/>
      </c>
      <c r="G5313" t="str">
        <f t="shared" si="190"/>
        <v/>
      </c>
    </row>
    <row r="5314" spans="2:7">
      <c r="B5314" s="6"/>
      <c r="E5314" s="7"/>
      <c r="F5314" t="str">
        <f t="shared" si="189"/>
        <v/>
      </c>
      <c r="G5314" t="str">
        <f t="shared" si="190"/>
        <v/>
      </c>
    </row>
    <row r="5315" spans="2:7">
      <c r="B5315" s="6"/>
      <c r="E5315" s="7"/>
      <c r="F5315" t="str">
        <f t="shared" si="189"/>
        <v/>
      </c>
      <c r="G5315" t="str">
        <f t="shared" si="190"/>
        <v/>
      </c>
    </row>
    <row r="5316" spans="2:7">
      <c r="B5316" s="6"/>
      <c r="E5316" s="7"/>
      <c r="F5316" t="str">
        <f t="shared" ref="F5316:F5379" si="191">IF(B5316="","",LOG10(D5316))</f>
        <v/>
      </c>
      <c r="G5316" t="str">
        <f t="shared" ref="G5316:G5379" si="192">IF(E5316="", "",0.434*E5316/D5316)</f>
        <v/>
      </c>
    </row>
    <row r="5317" spans="2:7">
      <c r="B5317" s="6"/>
      <c r="E5317" s="7"/>
      <c r="F5317" t="str">
        <f t="shared" si="191"/>
        <v/>
      </c>
      <c r="G5317" t="str">
        <f t="shared" si="192"/>
        <v/>
      </c>
    </row>
    <row r="5318" spans="2:7">
      <c r="B5318" s="6"/>
      <c r="E5318" s="7"/>
      <c r="F5318" t="str">
        <f t="shared" si="191"/>
        <v/>
      </c>
      <c r="G5318" t="str">
        <f t="shared" si="192"/>
        <v/>
      </c>
    </row>
    <row r="5319" spans="2:7">
      <c r="B5319" s="6"/>
      <c r="E5319" s="7"/>
      <c r="F5319" t="str">
        <f t="shared" si="191"/>
        <v/>
      </c>
      <c r="G5319" t="str">
        <f t="shared" si="192"/>
        <v/>
      </c>
    </row>
    <row r="5320" spans="2:7">
      <c r="B5320" s="6"/>
      <c r="E5320" s="7"/>
      <c r="F5320" t="str">
        <f t="shared" si="191"/>
        <v/>
      </c>
      <c r="G5320" t="str">
        <f t="shared" si="192"/>
        <v/>
      </c>
    </row>
    <row r="5321" spans="2:7">
      <c r="B5321" s="6"/>
      <c r="E5321" s="7"/>
      <c r="F5321" t="str">
        <f t="shared" si="191"/>
        <v/>
      </c>
      <c r="G5321" t="str">
        <f t="shared" si="192"/>
        <v/>
      </c>
    </row>
    <row r="5322" spans="2:7">
      <c r="B5322" s="6"/>
      <c r="E5322" s="7"/>
      <c r="F5322" t="str">
        <f t="shared" si="191"/>
        <v/>
      </c>
      <c r="G5322" t="str">
        <f t="shared" si="192"/>
        <v/>
      </c>
    </row>
    <row r="5323" spans="2:7">
      <c r="B5323" s="6"/>
      <c r="E5323" s="7"/>
      <c r="F5323" t="str">
        <f t="shared" si="191"/>
        <v/>
      </c>
      <c r="G5323" t="str">
        <f t="shared" si="192"/>
        <v/>
      </c>
    </row>
    <row r="5324" spans="2:7">
      <c r="B5324" s="6"/>
      <c r="E5324" s="7"/>
      <c r="F5324" t="str">
        <f t="shared" si="191"/>
        <v/>
      </c>
      <c r="G5324" t="str">
        <f t="shared" si="192"/>
        <v/>
      </c>
    </row>
    <row r="5325" spans="2:7">
      <c r="B5325" s="6"/>
      <c r="E5325" s="7"/>
      <c r="F5325" t="str">
        <f t="shared" si="191"/>
        <v/>
      </c>
      <c r="G5325" t="str">
        <f t="shared" si="192"/>
        <v/>
      </c>
    </row>
    <row r="5326" spans="2:7">
      <c r="B5326" s="6"/>
      <c r="E5326" s="7"/>
      <c r="F5326" t="str">
        <f t="shared" si="191"/>
        <v/>
      </c>
      <c r="G5326" t="str">
        <f t="shared" si="192"/>
        <v/>
      </c>
    </row>
    <row r="5327" spans="2:7">
      <c r="B5327" s="6"/>
      <c r="E5327" s="7"/>
      <c r="F5327" t="str">
        <f t="shared" si="191"/>
        <v/>
      </c>
      <c r="G5327" t="str">
        <f t="shared" si="192"/>
        <v/>
      </c>
    </row>
    <row r="5328" spans="2:7">
      <c r="B5328" s="6"/>
      <c r="E5328" s="7"/>
      <c r="F5328" t="str">
        <f t="shared" si="191"/>
        <v/>
      </c>
      <c r="G5328" t="str">
        <f t="shared" si="192"/>
        <v/>
      </c>
    </row>
    <row r="5329" spans="2:7">
      <c r="B5329" s="6"/>
      <c r="E5329" s="7"/>
      <c r="F5329" t="str">
        <f t="shared" si="191"/>
        <v/>
      </c>
      <c r="G5329" t="str">
        <f t="shared" si="192"/>
        <v/>
      </c>
    </row>
    <row r="5330" spans="2:7">
      <c r="B5330" s="6"/>
      <c r="E5330" s="7"/>
      <c r="F5330" t="str">
        <f t="shared" si="191"/>
        <v/>
      </c>
      <c r="G5330" t="str">
        <f t="shared" si="192"/>
        <v/>
      </c>
    </row>
    <row r="5331" spans="2:7">
      <c r="B5331" s="6"/>
      <c r="E5331" s="7"/>
      <c r="F5331" t="str">
        <f t="shared" si="191"/>
        <v/>
      </c>
      <c r="G5331" t="str">
        <f t="shared" si="192"/>
        <v/>
      </c>
    </row>
    <row r="5332" spans="2:7">
      <c r="B5332" s="6"/>
      <c r="E5332" s="7"/>
      <c r="F5332" t="str">
        <f t="shared" si="191"/>
        <v/>
      </c>
      <c r="G5332" t="str">
        <f t="shared" si="192"/>
        <v/>
      </c>
    </row>
    <row r="5333" spans="2:7">
      <c r="B5333" s="6"/>
      <c r="E5333" s="7"/>
      <c r="F5333" t="str">
        <f t="shared" si="191"/>
        <v/>
      </c>
      <c r="G5333" t="str">
        <f t="shared" si="192"/>
        <v/>
      </c>
    </row>
    <row r="5334" spans="2:7">
      <c r="B5334" s="6"/>
      <c r="E5334" s="7"/>
      <c r="F5334" t="str">
        <f t="shared" si="191"/>
        <v/>
      </c>
      <c r="G5334" t="str">
        <f t="shared" si="192"/>
        <v/>
      </c>
    </row>
    <row r="5335" spans="2:7">
      <c r="B5335" s="6"/>
      <c r="E5335" s="7"/>
      <c r="F5335" t="str">
        <f t="shared" si="191"/>
        <v/>
      </c>
      <c r="G5335" t="str">
        <f t="shared" si="192"/>
        <v/>
      </c>
    </row>
    <row r="5336" spans="2:7">
      <c r="B5336" s="6"/>
      <c r="E5336" s="7"/>
      <c r="F5336" t="str">
        <f t="shared" si="191"/>
        <v/>
      </c>
      <c r="G5336" t="str">
        <f t="shared" si="192"/>
        <v/>
      </c>
    </row>
    <row r="5337" spans="2:7">
      <c r="B5337" s="6"/>
      <c r="E5337" s="7"/>
      <c r="F5337" t="str">
        <f t="shared" si="191"/>
        <v/>
      </c>
      <c r="G5337" t="str">
        <f t="shared" si="192"/>
        <v/>
      </c>
    </row>
    <row r="5338" spans="2:7">
      <c r="B5338" s="6"/>
      <c r="E5338" s="7"/>
      <c r="F5338" t="str">
        <f t="shared" si="191"/>
        <v/>
      </c>
      <c r="G5338" t="str">
        <f t="shared" si="192"/>
        <v/>
      </c>
    </row>
    <row r="5339" spans="2:7">
      <c r="B5339" s="6"/>
      <c r="E5339" s="7"/>
      <c r="F5339" t="str">
        <f t="shared" si="191"/>
        <v/>
      </c>
      <c r="G5339" t="str">
        <f t="shared" si="192"/>
        <v/>
      </c>
    </row>
    <row r="5340" spans="2:7">
      <c r="B5340" s="6"/>
      <c r="E5340" s="7"/>
      <c r="F5340" t="str">
        <f t="shared" si="191"/>
        <v/>
      </c>
      <c r="G5340" t="str">
        <f t="shared" si="192"/>
        <v/>
      </c>
    </row>
    <row r="5341" spans="2:7">
      <c r="B5341" s="6"/>
      <c r="E5341" s="7"/>
      <c r="F5341" t="str">
        <f t="shared" si="191"/>
        <v/>
      </c>
      <c r="G5341" t="str">
        <f t="shared" si="192"/>
        <v/>
      </c>
    </row>
    <row r="5342" spans="2:7">
      <c r="B5342" s="6"/>
      <c r="E5342" s="7"/>
      <c r="F5342" t="str">
        <f t="shared" si="191"/>
        <v/>
      </c>
      <c r="G5342" t="str">
        <f t="shared" si="192"/>
        <v/>
      </c>
    </row>
    <row r="5343" spans="2:7">
      <c r="B5343" s="6"/>
      <c r="E5343" s="7"/>
      <c r="F5343" t="str">
        <f t="shared" si="191"/>
        <v/>
      </c>
      <c r="G5343" t="str">
        <f t="shared" si="192"/>
        <v/>
      </c>
    </row>
    <row r="5344" spans="2:7">
      <c r="B5344" s="6"/>
      <c r="E5344" s="7"/>
      <c r="F5344" t="str">
        <f t="shared" si="191"/>
        <v/>
      </c>
      <c r="G5344" t="str">
        <f t="shared" si="192"/>
        <v/>
      </c>
    </row>
    <row r="5345" spans="2:7">
      <c r="B5345" s="6"/>
      <c r="E5345" s="7"/>
      <c r="F5345" t="str">
        <f t="shared" si="191"/>
        <v/>
      </c>
      <c r="G5345" t="str">
        <f t="shared" si="192"/>
        <v/>
      </c>
    </row>
    <row r="5346" spans="2:7">
      <c r="B5346" s="6"/>
      <c r="E5346" s="7"/>
      <c r="F5346" t="str">
        <f t="shared" si="191"/>
        <v/>
      </c>
      <c r="G5346" t="str">
        <f t="shared" si="192"/>
        <v/>
      </c>
    </row>
    <row r="5347" spans="2:7">
      <c r="B5347" s="6"/>
      <c r="E5347" s="7"/>
      <c r="F5347" t="str">
        <f t="shared" si="191"/>
        <v/>
      </c>
      <c r="G5347" t="str">
        <f t="shared" si="192"/>
        <v/>
      </c>
    </row>
    <row r="5348" spans="2:7">
      <c r="B5348" s="6"/>
      <c r="E5348" s="7"/>
      <c r="F5348" t="str">
        <f t="shared" si="191"/>
        <v/>
      </c>
      <c r="G5348" t="str">
        <f t="shared" si="192"/>
        <v/>
      </c>
    </row>
    <row r="5349" spans="2:7">
      <c r="B5349" s="6"/>
      <c r="E5349" s="7"/>
      <c r="F5349" t="str">
        <f t="shared" si="191"/>
        <v/>
      </c>
      <c r="G5349" t="str">
        <f t="shared" si="192"/>
        <v/>
      </c>
    </row>
    <row r="5350" spans="2:7">
      <c r="B5350" s="6"/>
      <c r="E5350" s="7"/>
      <c r="F5350" t="str">
        <f t="shared" si="191"/>
        <v/>
      </c>
      <c r="G5350" t="str">
        <f t="shared" si="192"/>
        <v/>
      </c>
    </row>
    <row r="5351" spans="2:7">
      <c r="B5351" s="6"/>
      <c r="E5351" s="7"/>
      <c r="F5351" t="str">
        <f t="shared" si="191"/>
        <v/>
      </c>
      <c r="G5351" t="str">
        <f t="shared" si="192"/>
        <v/>
      </c>
    </row>
    <row r="5352" spans="2:7">
      <c r="B5352" s="6"/>
      <c r="E5352" s="7"/>
      <c r="F5352" t="str">
        <f t="shared" si="191"/>
        <v/>
      </c>
      <c r="G5352" t="str">
        <f t="shared" si="192"/>
        <v/>
      </c>
    </row>
    <row r="5353" spans="2:7">
      <c r="B5353" s="6"/>
      <c r="E5353" s="7"/>
      <c r="F5353" t="str">
        <f t="shared" si="191"/>
        <v/>
      </c>
      <c r="G5353" t="str">
        <f t="shared" si="192"/>
        <v/>
      </c>
    </row>
    <row r="5354" spans="2:7">
      <c r="B5354" s="6"/>
      <c r="E5354" s="7"/>
      <c r="F5354" t="str">
        <f t="shared" si="191"/>
        <v/>
      </c>
      <c r="G5354" t="str">
        <f t="shared" si="192"/>
        <v/>
      </c>
    </row>
    <row r="5355" spans="2:7">
      <c r="B5355" s="6"/>
      <c r="E5355" s="7"/>
      <c r="F5355" t="str">
        <f t="shared" si="191"/>
        <v/>
      </c>
      <c r="G5355" t="str">
        <f t="shared" si="192"/>
        <v/>
      </c>
    </row>
    <row r="5356" spans="2:7">
      <c r="B5356" s="6"/>
      <c r="E5356" s="7"/>
      <c r="F5356" t="str">
        <f t="shared" si="191"/>
        <v/>
      </c>
      <c r="G5356" t="str">
        <f t="shared" si="192"/>
        <v/>
      </c>
    </row>
    <row r="5357" spans="2:7">
      <c r="B5357" s="6"/>
      <c r="E5357" s="7"/>
      <c r="F5357" t="str">
        <f t="shared" si="191"/>
        <v/>
      </c>
      <c r="G5357" t="str">
        <f t="shared" si="192"/>
        <v/>
      </c>
    </row>
    <row r="5358" spans="2:7">
      <c r="B5358" s="6"/>
      <c r="E5358" s="7"/>
      <c r="F5358" t="str">
        <f t="shared" si="191"/>
        <v/>
      </c>
      <c r="G5358" t="str">
        <f t="shared" si="192"/>
        <v/>
      </c>
    </row>
    <row r="5359" spans="2:7">
      <c r="B5359" s="6"/>
      <c r="E5359" s="7"/>
      <c r="F5359" t="str">
        <f t="shared" si="191"/>
        <v/>
      </c>
      <c r="G5359" t="str">
        <f t="shared" si="192"/>
        <v/>
      </c>
    </row>
    <row r="5360" spans="2:7">
      <c r="B5360" s="6"/>
      <c r="E5360" s="7"/>
      <c r="F5360" t="str">
        <f t="shared" si="191"/>
        <v/>
      </c>
      <c r="G5360" t="str">
        <f t="shared" si="192"/>
        <v/>
      </c>
    </row>
    <row r="5361" spans="2:7">
      <c r="B5361" s="6"/>
      <c r="E5361" s="7"/>
      <c r="F5361" t="str">
        <f t="shared" si="191"/>
        <v/>
      </c>
      <c r="G5361" t="str">
        <f t="shared" si="192"/>
        <v/>
      </c>
    </row>
    <row r="5362" spans="2:7">
      <c r="B5362" s="6"/>
      <c r="E5362" s="7"/>
      <c r="F5362" t="str">
        <f t="shared" si="191"/>
        <v/>
      </c>
      <c r="G5362" t="str">
        <f t="shared" si="192"/>
        <v/>
      </c>
    </row>
    <row r="5363" spans="2:7">
      <c r="B5363" s="6"/>
      <c r="E5363" s="7"/>
      <c r="F5363" t="str">
        <f t="shared" si="191"/>
        <v/>
      </c>
      <c r="G5363" t="str">
        <f t="shared" si="192"/>
        <v/>
      </c>
    </row>
    <row r="5364" spans="2:7">
      <c r="B5364" s="6"/>
      <c r="E5364" s="7"/>
      <c r="F5364" t="str">
        <f t="shared" si="191"/>
        <v/>
      </c>
      <c r="G5364" t="str">
        <f t="shared" si="192"/>
        <v/>
      </c>
    </row>
    <row r="5365" spans="2:7">
      <c r="B5365" s="6"/>
      <c r="E5365" s="7"/>
      <c r="F5365" t="str">
        <f t="shared" si="191"/>
        <v/>
      </c>
      <c r="G5365" t="str">
        <f t="shared" si="192"/>
        <v/>
      </c>
    </row>
    <row r="5366" spans="2:7">
      <c r="B5366" s="6"/>
      <c r="E5366" s="7"/>
      <c r="F5366" t="str">
        <f t="shared" si="191"/>
        <v/>
      </c>
      <c r="G5366" t="str">
        <f t="shared" si="192"/>
        <v/>
      </c>
    </row>
    <row r="5367" spans="2:7">
      <c r="B5367" s="6"/>
      <c r="E5367" s="7"/>
      <c r="F5367" t="str">
        <f t="shared" si="191"/>
        <v/>
      </c>
      <c r="G5367" t="str">
        <f t="shared" si="192"/>
        <v/>
      </c>
    </row>
    <row r="5368" spans="2:7">
      <c r="B5368" s="6"/>
      <c r="E5368" s="7"/>
      <c r="F5368" t="str">
        <f t="shared" si="191"/>
        <v/>
      </c>
      <c r="G5368" t="str">
        <f t="shared" si="192"/>
        <v/>
      </c>
    </row>
    <row r="5369" spans="2:7">
      <c r="B5369" s="6"/>
      <c r="E5369" s="7"/>
      <c r="F5369" t="str">
        <f t="shared" si="191"/>
        <v/>
      </c>
      <c r="G5369" t="str">
        <f t="shared" si="192"/>
        <v/>
      </c>
    </row>
    <row r="5370" spans="2:7">
      <c r="B5370" s="6"/>
      <c r="E5370" s="7"/>
      <c r="F5370" t="str">
        <f t="shared" si="191"/>
        <v/>
      </c>
      <c r="G5370" t="str">
        <f t="shared" si="192"/>
        <v/>
      </c>
    </row>
    <row r="5371" spans="2:7">
      <c r="B5371" s="6"/>
      <c r="E5371" s="7"/>
      <c r="F5371" t="str">
        <f t="shared" si="191"/>
        <v/>
      </c>
      <c r="G5371" t="str">
        <f t="shared" si="192"/>
        <v/>
      </c>
    </row>
    <row r="5372" spans="2:7">
      <c r="B5372" s="6"/>
      <c r="E5372" s="7"/>
      <c r="F5372" t="str">
        <f t="shared" si="191"/>
        <v/>
      </c>
      <c r="G5372" t="str">
        <f t="shared" si="192"/>
        <v/>
      </c>
    </row>
    <row r="5373" spans="2:7">
      <c r="B5373" s="6"/>
      <c r="E5373" s="7"/>
      <c r="F5373" t="str">
        <f t="shared" si="191"/>
        <v/>
      </c>
      <c r="G5373" t="str">
        <f t="shared" si="192"/>
        <v/>
      </c>
    </row>
    <row r="5374" spans="2:7">
      <c r="B5374" s="6"/>
      <c r="E5374" s="7"/>
      <c r="F5374" t="str">
        <f t="shared" si="191"/>
        <v/>
      </c>
      <c r="G5374" t="str">
        <f t="shared" si="192"/>
        <v/>
      </c>
    </row>
    <row r="5375" spans="2:7">
      <c r="B5375" s="6"/>
      <c r="E5375" s="7"/>
      <c r="F5375" t="str">
        <f t="shared" si="191"/>
        <v/>
      </c>
      <c r="G5375" t="str">
        <f t="shared" si="192"/>
        <v/>
      </c>
    </row>
    <row r="5376" spans="2:7">
      <c r="B5376" s="6"/>
      <c r="E5376" s="7"/>
      <c r="F5376" t="str">
        <f t="shared" si="191"/>
        <v/>
      </c>
      <c r="G5376" t="str">
        <f t="shared" si="192"/>
        <v/>
      </c>
    </row>
    <row r="5377" spans="2:7">
      <c r="B5377" s="6"/>
      <c r="E5377" s="7"/>
      <c r="F5377" t="str">
        <f t="shared" si="191"/>
        <v/>
      </c>
      <c r="G5377" t="str">
        <f t="shared" si="192"/>
        <v/>
      </c>
    </row>
    <row r="5378" spans="2:7">
      <c r="B5378" s="6"/>
      <c r="E5378" s="7"/>
      <c r="F5378" t="str">
        <f t="shared" si="191"/>
        <v/>
      </c>
      <c r="G5378" t="str">
        <f t="shared" si="192"/>
        <v/>
      </c>
    </row>
    <row r="5379" spans="2:7">
      <c r="B5379" s="6"/>
      <c r="E5379" s="7"/>
      <c r="F5379" t="str">
        <f t="shared" si="191"/>
        <v/>
      </c>
      <c r="G5379" t="str">
        <f t="shared" si="192"/>
        <v/>
      </c>
    </row>
    <row r="5380" spans="2:7">
      <c r="B5380" s="6"/>
      <c r="E5380" s="7"/>
      <c r="F5380" t="str">
        <f t="shared" ref="F5380:F5443" si="193">IF(B5380="","",LOG10(D5380))</f>
        <v/>
      </c>
      <c r="G5380" t="str">
        <f t="shared" ref="G5380:G5443" si="194">IF(E5380="", "",0.434*E5380/D5380)</f>
        <v/>
      </c>
    </row>
    <row r="5381" spans="2:7">
      <c r="B5381" s="6"/>
      <c r="E5381" s="7"/>
      <c r="F5381" t="str">
        <f t="shared" si="193"/>
        <v/>
      </c>
      <c r="G5381" t="str">
        <f t="shared" si="194"/>
        <v/>
      </c>
    </row>
    <row r="5382" spans="2:7">
      <c r="B5382" s="6"/>
      <c r="E5382" s="7"/>
      <c r="F5382" t="str">
        <f t="shared" si="193"/>
        <v/>
      </c>
      <c r="G5382" t="str">
        <f t="shared" si="194"/>
        <v/>
      </c>
    </row>
    <row r="5383" spans="2:7">
      <c r="B5383" s="6"/>
      <c r="E5383" s="7"/>
      <c r="F5383" t="str">
        <f t="shared" si="193"/>
        <v/>
      </c>
      <c r="G5383" t="str">
        <f t="shared" si="194"/>
        <v/>
      </c>
    </row>
    <row r="5384" spans="2:7">
      <c r="B5384" s="6"/>
      <c r="E5384" s="7"/>
      <c r="F5384" t="str">
        <f t="shared" si="193"/>
        <v/>
      </c>
      <c r="G5384" t="str">
        <f t="shared" si="194"/>
        <v/>
      </c>
    </row>
    <row r="5385" spans="2:7">
      <c r="B5385" s="6"/>
      <c r="E5385" s="7"/>
      <c r="F5385" t="str">
        <f t="shared" si="193"/>
        <v/>
      </c>
      <c r="G5385" t="str">
        <f t="shared" si="194"/>
        <v/>
      </c>
    </row>
    <row r="5386" spans="2:7">
      <c r="B5386" s="6"/>
      <c r="E5386" s="7"/>
      <c r="F5386" t="str">
        <f t="shared" si="193"/>
        <v/>
      </c>
      <c r="G5386" t="str">
        <f t="shared" si="194"/>
        <v/>
      </c>
    </row>
    <row r="5387" spans="2:7">
      <c r="B5387" s="6"/>
      <c r="E5387" s="7"/>
      <c r="F5387" t="str">
        <f t="shared" si="193"/>
        <v/>
      </c>
      <c r="G5387" t="str">
        <f t="shared" si="194"/>
        <v/>
      </c>
    </row>
    <row r="5388" spans="2:7">
      <c r="B5388" s="6"/>
      <c r="E5388" s="7"/>
      <c r="F5388" t="str">
        <f t="shared" si="193"/>
        <v/>
      </c>
      <c r="G5388" t="str">
        <f t="shared" si="194"/>
        <v/>
      </c>
    </row>
    <row r="5389" spans="2:7">
      <c r="B5389" s="6"/>
      <c r="E5389" s="7"/>
      <c r="F5389" t="str">
        <f t="shared" si="193"/>
        <v/>
      </c>
      <c r="G5389" t="str">
        <f t="shared" si="194"/>
        <v/>
      </c>
    </row>
    <row r="5390" spans="2:7">
      <c r="B5390" s="6"/>
      <c r="E5390" s="7"/>
      <c r="F5390" t="str">
        <f t="shared" si="193"/>
        <v/>
      </c>
      <c r="G5390" t="str">
        <f t="shared" si="194"/>
        <v/>
      </c>
    </row>
    <row r="5391" spans="2:7">
      <c r="B5391" s="6"/>
      <c r="E5391" s="7"/>
      <c r="F5391" t="str">
        <f t="shared" si="193"/>
        <v/>
      </c>
      <c r="G5391" t="str">
        <f t="shared" si="194"/>
        <v/>
      </c>
    </row>
    <row r="5392" spans="2:7">
      <c r="B5392" s="6"/>
      <c r="E5392" s="7"/>
      <c r="F5392" t="str">
        <f t="shared" si="193"/>
        <v/>
      </c>
      <c r="G5392" t="str">
        <f t="shared" si="194"/>
        <v/>
      </c>
    </row>
    <row r="5393" spans="2:7">
      <c r="B5393" s="6"/>
      <c r="E5393" s="7"/>
      <c r="F5393" t="str">
        <f t="shared" si="193"/>
        <v/>
      </c>
      <c r="G5393" t="str">
        <f t="shared" si="194"/>
        <v/>
      </c>
    </row>
    <row r="5394" spans="2:7">
      <c r="B5394" s="6"/>
      <c r="E5394" s="7"/>
      <c r="F5394" t="str">
        <f t="shared" si="193"/>
        <v/>
      </c>
      <c r="G5394" t="str">
        <f t="shared" si="194"/>
        <v/>
      </c>
    </row>
    <row r="5395" spans="2:7">
      <c r="B5395" s="6"/>
      <c r="E5395" s="7"/>
      <c r="F5395" t="str">
        <f t="shared" si="193"/>
        <v/>
      </c>
      <c r="G5395" t="str">
        <f t="shared" si="194"/>
        <v/>
      </c>
    </row>
    <row r="5396" spans="2:7">
      <c r="B5396" s="6"/>
      <c r="E5396" s="7"/>
      <c r="F5396" t="str">
        <f t="shared" si="193"/>
        <v/>
      </c>
      <c r="G5396" t="str">
        <f t="shared" si="194"/>
        <v/>
      </c>
    </row>
    <row r="5397" spans="2:7">
      <c r="B5397" s="6"/>
      <c r="E5397" s="7"/>
      <c r="F5397" t="str">
        <f t="shared" si="193"/>
        <v/>
      </c>
      <c r="G5397" t="str">
        <f t="shared" si="194"/>
        <v/>
      </c>
    </row>
    <row r="5398" spans="2:7">
      <c r="B5398" s="6"/>
      <c r="E5398" s="7"/>
      <c r="F5398" t="str">
        <f t="shared" si="193"/>
        <v/>
      </c>
      <c r="G5398" t="str">
        <f t="shared" si="194"/>
        <v/>
      </c>
    </row>
    <row r="5399" spans="2:7">
      <c r="B5399" s="6"/>
      <c r="E5399" s="7"/>
      <c r="F5399" t="str">
        <f t="shared" si="193"/>
        <v/>
      </c>
      <c r="G5399" t="str">
        <f t="shared" si="194"/>
        <v/>
      </c>
    </row>
    <row r="5400" spans="2:7">
      <c r="B5400" s="6"/>
      <c r="E5400" s="7"/>
      <c r="F5400" t="str">
        <f t="shared" si="193"/>
        <v/>
      </c>
      <c r="G5400" t="str">
        <f t="shared" si="194"/>
        <v/>
      </c>
    </row>
    <row r="5401" spans="2:7">
      <c r="B5401" s="6"/>
      <c r="E5401" s="7"/>
      <c r="F5401" t="str">
        <f t="shared" si="193"/>
        <v/>
      </c>
      <c r="G5401" t="str">
        <f t="shared" si="194"/>
        <v/>
      </c>
    </row>
    <row r="5402" spans="2:7">
      <c r="B5402" s="6"/>
      <c r="E5402" s="7"/>
      <c r="F5402" t="str">
        <f t="shared" si="193"/>
        <v/>
      </c>
      <c r="G5402" t="str">
        <f t="shared" si="194"/>
        <v/>
      </c>
    </row>
    <row r="5403" spans="2:7">
      <c r="B5403" s="6"/>
      <c r="E5403" s="7"/>
      <c r="F5403" t="str">
        <f t="shared" si="193"/>
        <v/>
      </c>
      <c r="G5403" t="str">
        <f t="shared" si="194"/>
        <v/>
      </c>
    </row>
    <row r="5404" spans="2:7">
      <c r="B5404" s="6"/>
      <c r="E5404" s="7"/>
      <c r="F5404" t="str">
        <f t="shared" si="193"/>
        <v/>
      </c>
      <c r="G5404" t="str">
        <f t="shared" si="194"/>
        <v/>
      </c>
    </row>
    <row r="5405" spans="2:7">
      <c r="B5405" s="6"/>
      <c r="E5405" s="7"/>
      <c r="F5405" t="str">
        <f t="shared" si="193"/>
        <v/>
      </c>
      <c r="G5405" t="str">
        <f t="shared" si="194"/>
        <v/>
      </c>
    </row>
    <row r="5406" spans="2:7">
      <c r="B5406" s="6"/>
      <c r="E5406" s="7"/>
      <c r="F5406" t="str">
        <f t="shared" si="193"/>
        <v/>
      </c>
      <c r="G5406" t="str">
        <f t="shared" si="194"/>
        <v/>
      </c>
    </row>
    <row r="5407" spans="2:7">
      <c r="B5407" s="6"/>
      <c r="E5407" s="7"/>
      <c r="F5407" t="str">
        <f t="shared" si="193"/>
        <v/>
      </c>
      <c r="G5407" t="str">
        <f t="shared" si="194"/>
        <v/>
      </c>
    </row>
    <row r="5408" spans="2:7">
      <c r="B5408" s="6"/>
      <c r="E5408" s="7"/>
      <c r="F5408" t="str">
        <f t="shared" si="193"/>
        <v/>
      </c>
      <c r="G5408" t="str">
        <f t="shared" si="194"/>
        <v/>
      </c>
    </row>
    <row r="5409" spans="2:7">
      <c r="B5409" s="6"/>
      <c r="E5409" s="7"/>
      <c r="F5409" t="str">
        <f t="shared" si="193"/>
        <v/>
      </c>
      <c r="G5409" t="str">
        <f t="shared" si="194"/>
        <v/>
      </c>
    </row>
    <row r="5410" spans="2:7">
      <c r="B5410" s="6"/>
      <c r="E5410" s="7"/>
      <c r="F5410" t="str">
        <f t="shared" si="193"/>
        <v/>
      </c>
      <c r="G5410" t="str">
        <f t="shared" si="194"/>
        <v/>
      </c>
    </row>
    <row r="5411" spans="2:7">
      <c r="B5411" s="6"/>
      <c r="E5411" s="7"/>
      <c r="F5411" t="str">
        <f t="shared" si="193"/>
        <v/>
      </c>
      <c r="G5411" t="str">
        <f t="shared" si="194"/>
        <v/>
      </c>
    </row>
    <row r="5412" spans="2:7">
      <c r="B5412" s="6"/>
      <c r="E5412" s="7"/>
      <c r="F5412" t="str">
        <f t="shared" si="193"/>
        <v/>
      </c>
      <c r="G5412" t="str">
        <f t="shared" si="194"/>
        <v/>
      </c>
    </row>
    <row r="5413" spans="2:7">
      <c r="B5413" s="6"/>
      <c r="E5413" s="7"/>
      <c r="F5413" t="str">
        <f t="shared" si="193"/>
        <v/>
      </c>
      <c r="G5413" t="str">
        <f t="shared" si="194"/>
        <v/>
      </c>
    </row>
    <row r="5414" spans="2:7">
      <c r="B5414" s="6"/>
      <c r="E5414" s="7"/>
      <c r="F5414" t="str">
        <f t="shared" si="193"/>
        <v/>
      </c>
      <c r="G5414" t="str">
        <f t="shared" si="194"/>
        <v/>
      </c>
    </row>
    <row r="5415" spans="2:7">
      <c r="B5415" s="6"/>
      <c r="E5415" s="7"/>
      <c r="F5415" t="str">
        <f t="shared" si="193"/>
        <v/>
      </c>
      <c r="G5415" t="str">
        <f t="shared" si="194"/>
        <v/>
      </c>
    </row>
    <row r="5416" spans="2:7">
      <c r="B5416" s="6"/>
      <c r="E5416" s="7"/>
      <c r="F5416" t="str">
        <f t="shared" si="193"/>
        <v/>
      </c>
      <c r="G5416" t="str">
        <f t="shared" si="194"/>
        <v/>
      </c>
    </row>
    <row r="5417" spans="2:7">
      <c r="B5417" s="6"/>
      <c r="E5417" s="7"/>
      <c r="F5417" t="str">
        <f t="shared" si="193"/>
        <v/>
      </c>
      <c r="G5417" t="str">
        <f t="shared" si="194"/>
        <v/>
      </c>
    </row>
    <row r="5418" spans="2:7">
      <c r="B5418" s="6"/>
      <c r="E5418" s="7"/>
      <c r="F5418" t="str">
        <f t="shared" si="193"/>
        <v/>
      </c>
      <c r="G5418" t="str">
        <f t="shared" si="194"/>
        <v/>
      </c>
    </row>
    <row r="5419" spans="2:7">
      <c r="B5419" s="6"/>
      <c r="E5419" s="7"/>
      <c r="F5419" t="str">
        <f t="shared" si="193"/>
        <v/>
      </c>
      <c r="G5419" t="str">
        <f t="shared" si="194"/>
        <v/>
      </c>
    </row>
    <row r="5420" spans="2:7">
      <c r="B5420" s="6"/>
      <c r="E5420" s="7"/>
      <c r="F5420" t="str">
        <f t="shared" si="193"/>
        <v/>
      </c>
      <c r="G5420" t="str">
        <f t="shared" si="194"/>
        <v/>
      </c>
    </row>
    <row r="5421" spans="2:7">
      <c r="B5421" s="6"/>
      <c r="E5421" s="7"/>
      <c r="F5421" t="str">
        <f t="shared" si="193"/>
        <v/>
      </c>
      <c r="G5421" t="str">
        <f t="shared" si="194"/>
        <v/>
      </c>
    </row>
    <row r="5422" spans="2:7">
      <c r="B5422" s="6"/>
      <c r="E5422" s="7"/>
      <c r="F5422" t="str">
        <f t="shared" si="193"/>
        <v/>
      </c>
      <c r="G5422" t="str">
        <f t="shared" si="194"/>
        <v/>
      </c>
    </row>
    <row r="5423" spans="2:7">
      <c r="B5423" s="6"/>
      <c r="E5423" s="7"/>
      <c r="F5423" t="str">
        <f t="shared" si="193"/>
        <v/>
      </c>
      <c r="G5423" t="str">
        <f t="shared" si="194"/>
        <v/>
      </c>
    </row>
    <row r="5424" spans="2:7">
      <c r="B5424" s="6"/>
      <c r="E5424" s="7"/>
      <c r="F5424" t="str">
        <f t="shared" si="193"/>
        <v/>
      </c>
      <c r="G5424" t="str">
        <f t="shared" si="194"/>
        <v/>
      </c>
    </row>
    <row r="5425" spans="2:7">
      <c r="B5425" s="6"/>
      <c r="E5425" s="7"/>
      <c r="F5425" t="str">
        <f t="shared" si="193"/>
        <v/>
      </c>
      <c r="G5425" t="str">
        <f t="shared" si="194"/>
        <v/>
      </c>
    </row>
    <row r="5426" spans="2:7">
      <c r="B5426" s="6"/>
      <c r="E5426" s="7"/>
      <c r="F5426" t="str">
        <f t="shared" si="193"/>
        <v/>
      </c>
      <c r="G5426" t="str">
        <f t="shared" si="194"/>
        <v/>
      </c>
    </row>
    <row r="5427" spans="2:7">
      <c r="B5427" s="6"/>
      <c r="E5427" s="7"/>
      <c r="F5427" t="str">
        <f t="shared" si="193"/>
        <v/>
      </c>
      <c r="G5427" t="str">
        <f t="shared" si="194"/>
        <v/>
      </c>
    </row>
    <row r="5428" spans="2:7">
      <c r="B5428" s="6"/>
      <c r="E5428" s="7"/>
      <c r="F5428" t="str">
        <f t="shared" si="193"/>
        <v/>
      </c>
      <c r="G5428" t="str">
        <f t="shared" si="194"/>
        <v/>
      </c>
    </row>
    <row r="5429" spans="2:7">
      <c r="B5429" s="6"/>
      <c r="E5429" s="7"/>
      <c r="F5429" t="str">
        <f t="shared" si="193"/>
        <v/>
      </c>
      <c r="G5429" t="str">
        <f t="shared" si="194"/>
        <v/>
      </c>
    </row>
    <row r="5430" spans="2:7">
      <c r="B5430" s="6"/>
      <c r="E5430" s="7"/>
      <c r="F5430" t="str">
        <f t="shared" si="193"/>
        <v/>
      </c>
      <c r="G5430" t="str">
        <f t="shared" si="194"/>
        <v/>
      </c>
    </row>
    <row r="5431" spans="2:7">
      <c r="B5431" s="6"/>
      <c r="E5431" s="7"/>
      <c r="F5431" t="str">
        <f t="shared" si="193"/>
        <v/>
      </c>
      <c r="G5431" t="str">
        <f t="shared" si="194"/>
        <v/>
      </c>
    </row>
    <row r="5432" spans="2:7">
      <c r="B5432" s="6"/>
      <c r="E5432" s="7"/>
      <c r="F5432" t="str">
        <f t="shared" si="193"/>
        <v/>
      </c>
      <c r="G5432" t="str">
        <f t="shared" si="194"/>
        <v/>
      </c>
    </row>
    <row r="5433" spans="2:7">
      <c r="B5433" s="6"/>
      <c r="E5433" s="7"/>
      <c r="F5433" t="str">
        <f t="shared" si="193"/>
        <v/>
      </c>
      <c r="G5433" t="str">
        <f t="shared" si="194"/>
        <v/>
      </c>
    </row>
    <row r="5434" spans="2:7">
      <c r="B5434" s="6"/>
      <c r="E5434" s="7"/>
      <c r="F5434" t="str">
        <f t="shared" si="193"/>
        <v/>
      </c>
      <c r="G5434" t="str">
        <f t="shared" si="194"/>
        <v/>
      </c>
    </row>
    <row r="5435" spans="2:7">
      <c r="B5435" s="6"/>
      <c r="E5435" s="7"/>
      <c r="F5435" t="str">
        <f t="shared" si="193"/>
        <v/>
      </c>
      <c r="G5435" t="str">
        <f t="shared" si="194"/>
        <v/>
      </c>
    </row>
    <row r="5436" spans="2:7">
      <c r="B5436" s="6"/>
      <c r="E5436" s="7"/>
      <c r="F5436" t="str">
        <f t="shared" si="193"/>
        <v/>
      </c>
      <c r="G5436" t="str">
        <f t="shared" si="194"/>
        <v/>
      </c>
    </row>
    <row r="5437" spans="2:7">
      <c r="B5437" s="6"/>
      <c r="E5437" s="7"/>
      <c r="F5437" t="str">
        <f t="shared" si="193"/>
        <v/>
      </c>
      <c r="G5437" t="str">
        <f t="shared" si="194"/>
        <v/>
      </c>
    </row>
    <row r="5438" spans="2:7">
      <c r="B5438" s="6"/>
      <c r="E5438" s="7"/>
      <c r="F5438" t="str">
        <f t="shared" si="193"/>
        <v/>
      </c>
      <c r="G5438" t="str">
        <f t="shared" si="194"/>
        <v/>
      </c>
    </row>
    <row r="5439" spans="2:7">
      <c r="B5439" s="6"/>
      <c r="E5439" s="7"/>
      <c r="F5439" t="str">
        <f t="shared" si="193"/>
        <v/>
      </c>
      <c r="G5439" t="str">
        <f t="shared" si="194"/>
        <v/>
      </c>
    </row>
    <row r="5440" spans="2:7">
      <c r="B5440" s="6"/>
      <c r="E5440" s="7"/>
      <c r="F5440" t="str">
        <f t="shared" si="193"/>
        <v/>
      </c>
      <c r="G5440" t="str">
        <f t="shared" si="194"/>
        <v/>
      </c>
    </row>
    <row r="5441" spans="2:7">
      <c r="B5441" s="6"/>
      <c r="E5441" s="7"/>
      <c r="F5441" t="str">
        <f t="shared" si="193"/>
        <v/>
      </c>
      <c r="G5441" t="str">
        <f t="shared" si="194"/>
        <v/>
      </c>
    </row>
    <row r="5442" spans="2:7">
      <c r="B5442" s="6"/>
      <c r="E5442" s="7"/>
      <c r="F5442" t="str">
        <f t="shared" si="193"/>
        <v/>
      </c>
      <c r="G5442" t="str">
        <f t="shared" si="194"/>
        <v/>
      </c>
    </row>
    <row r="5443" spans="2:7">
      <c r="B5443" s="6"/>
      <c r="E5443" s="7"/>
      <c r="F5443" t="str">
        <f t="shared" si="193"/>
        <v/>
      </c>
      <c r="G5443" t="str">
        <f t="shared" si="194"/>
        <v/>
      </c>
    </row>
    <row r="5444" spans="2:7">
      <c r="B5444" s="6"/>
      <c r="E5444" s="7"/>
      <c r="F5444" t="str">
        <f t="shared" ref="F5444:F5507" si="195">IF(B5444="","",LOG10(D5444))</f>
        <v/>
      </c>
      <c r="G5444" t="str">
        <f t="shared" ref="G5444:G5507" si="196">IF(E5444="", "",0.434*E5444/D5444)</f>
        <v/>
      </c>
    </row>
    <row r="5445" spans="2:7">
      <c r="B5445" s="6"/>
      <c r="E5445" s="7"/>
      <c r="F5445" t="str">
        <f t="shared" si="195"/>
        <v/>
      </c>
      <c r="G5445" t="str">
        <f t="shared" si="196"/>
        <v/>
      </c>
    </row>
    <row r="5446" spans="2:7">
      <c r="B5446" s="6"/>
      <c r="E5446" s="7"/>
      <c r="F5446" t="str">
        <f t="shared" si="195"/>
        <v/>
      </c>
      <c r="G5446" t="str">
        <f t="shared" si="196"/>
        <v/>
      </c>
    </row>
    <row r="5447" spans="2:7">
      <c r="B5447" s="6"/>
      <c r="E5447" s="7"/>
      <c r="F5447" t="str">
        <f t="shared" si="195"/>
        <v/>
      </c>
      <c r="G5447" t="str">
        <f t="shared" si="196"/>
        <v/>
      </c>
    </row>
    <row r="5448" spans="2:7">
      <c r="B5448" s="6"/>
      <c r="E5448" s="7"/>
      <c r="F5448" t="str">
        <f t="shared" si="195"/>
        <v/>
      </c>
      <c r="G5448" t="str">
        <f t="shared" si="196"/>
        <v/>
      </c>
    </row>
    <row r="5449" spans="2:7">
      <c r="B5449" s="6"/>
      <c r="E5449" s="7"/>
      <c r="F5449" t="str">
        <f t="shared" si="195"/>
        <v/>
      </c>
      <c r="G5449" t="str">
        <f t="shared" si="196"/>
        <v/>
      </c>
    </row>
    <row r="5450" spans="2:7">
      <c r="B5450" s="6"/>
      <c r="E5450" s="7"/>
      <c r="F5450" t="str">
        <f t="shared" si="195"/>
        <v/>
      </c>
      <c r="G5450" t="str">
        <f t="shared" si="196"/>
        <v/>
      </c>
    </row>
    <row r="5451" spans="2:7">
      <c r="B5451" s="6"/>
      <c r="E5451" s="7"/>
      <c r="F5451" t="str">
        <f t="shared" si="195"/>
        <v/>
      </c>
      <c r="G5451" t="str">
        <f t="shared" si="196"/>
        <v/>
      </c>
    </row>
    <row r="5452" spans="2:7">
      <c r="B5452" s="6"/>
      <c r="E5452" s="7"/>
      <c r="F5452" t="str">
        <f t="shared" si="195"/>
        <v/>
      </c>
      <c r="G5452" t="str">
        <f t="shared" si="196"/>
        <v/>
      </c>
    </row>
    <row r="5453" spans="2:7">
      <c r="B5453" s="6"/>
      <c r="E5453" s="7"/>
      <c r="F5453" t="str">
        <f t="shared" si="195"/>
        <v/>
      </c>
      <c r="G5453" t="str">
        <f t="shared" si="196"/>
        <v/>
      </c>
    </row>
    <row r="5454" spans="2:7">
      <c r="B5454" s="6"/>
      <c r="E5454" s="7"/>
      <c r="F5454" t="str">
        <f t="shared" si="195"/>
        <v/>
      </c>
      <c r="G5454" t="str">
        <f t="shared" si="196"/>
        <v/>
      </c>
    </row>
    <row r="5455" spans="2:7">
      <c r="B5455" s="6"/>
      <c r="E5455" s="7"/>
      <c r="F5455" t="str">
        <f t="shared" si="195"/>
        <v/>
      </c>
      <c r="G5455" t="str">
        <f t="shared" si="196"/>
        <v/>
      </c>
    </row>
    <row r="5456" spans="2:7">
      <c r="B5456" s="6"/>
      <c r="E5456" s="7"/>
      <c r="F5456" t="str">
        <f t="shared" si="195"/>
        <v/>
      </c>
      <c r="G5456" t="str">
        <f t="shared" si="196"/>
        <v/>
      </c>
    </row>
    <row r="5457" spans="2:7">
      <c r="B5457" s="6"/>
      <c r="E5457" s="7"/>
      <c r="F5457" t="str">
        <f t="shared" si="195"/>
        <v/>
      </c>
      <c r="G5457" t="str">
        <f t="shared" si="196"/>
        <v/>
      </c>
    </row>
    <row r="5458" spans="2:7">
      <c r="B5458" s="6"/>
      <c r="E5458" s="7"/>
      <c r="F5458" t="str">
        <f t="shared" si="195"/>
        <v/>
      </c>
      <c r="G5458" t="str">
        <f t="shared" si="196"/>
        <v/>
      </c>
    </row>
    <row r="5459" spans="2:7">
      <c r="B5459" s="6"/>
      <c r="E5459" s="7"/>
      <c r="F5459" t="str">
        <f t="shared" si="195"/>
        <v/>
      </c>
      <c r="G5459" t="str">
        <f t="shared" si="196"/>
        <v/>
      </c>
    </row>
    <row r="5460" spans="2:7">
      <c r="B5460" s="6"/>
      <c r="E5460" s="7"/>
      <c r="F5460" t="str">
        <f t="shared" si="195"/>
        <v/>
      </c>
      <c r="G5460" t="str">
        <f t="shared" si="196"/>
        <v/>
      </c>
    </row>
    <row r="5461" spans="2:7">
      <c r="B5461" s="6"/>
      <c r="E5461" s="7"/>
      <c r="F5461" t="str">
        <f t="shared" si="195"/>
        <v/>
      </c>
      <c r="G5461" t="str">
        <f t="shared" si="196"/>
        <v/>
      </c>
    </row>
    <row r="5462" spans="2:7">
      <c r="B5462" s="6"/>
      <c r="E5462" s="7"/>
      <c r="F5462" t="str">
        <f t="shared" si="195"/>
        <v/>
      </c>
      <c r="G5462" t="str">
        <f t="shared" si="196"/>
        <v/>
      </c>
    </row>
    <row r="5463" spans="2:7">
      <c r="B5463" s="6"/>
      <c r="E5463" s="7"/>
      <c r="F5463" t="str">
        <f t="shared" si="195"/>
        <v/>
      </c>
      <c r="G5463" t="str">
        <f t="shared" si="196"/>
        <v/>
      </c>
    </row>
    <row r="5464" spans="2:7">
      <c r="B5464" s="6"/>
      <c r="E5464" s="7"/>
      <c r="F5464" t="str">
        <f t="shared" si="195"/>
        <v/>
      </c>
      <c r="G5464" t="str">
        <f t="shared" si="196"/>
        <v/>
      </c>
    </row>
    <row r="5465" spans="2:7">
      <c r="B5465" s="6"/>
      <c r="E5465" s="7"/>
      <c r="F5465" t="str">
        <f t="shared" si="195"/>
        <v/>
      </c>
      <c r="G5465" t="str">
        <f t="shared" si="196"/>
        <v/>
      </c>
    </row>
    <row r="5466" spans="2:7">
      <c r="B5466" s="6"/>
      <c r="E5466" s="7"/>
      <c r="F5466" t="str">
        <f t="shared" si="195"/>
        <v/>
      </c>
      <c r="G5466" t="str">
        <f t="shared" si="196"/>
        <v/>
      </c>
    </row>
    <row r="5467" spans="2:7">
      <c r="B5467" s="6"/>
      <c r="E5467" s="7"/>
      <c r="F5467" t="str">
        <f t="shared" si="195"/>
        <v/>
      </c>
      <c r="G5467" t="str">
        <f t="shared" si="196"/>
        <v/>
      </c>
    </row>
    <row r="5468" spans="2:7">
      <c r="B5468" s="6"/>
      <c r="E5468" s="7"/>
      <c r="F5468" t="str">
        <f t="shared" si="195"/>
        <v/>
      </c>
      <c r="G5468" t="str">
        <f t="shared" si="196"/>
        <v/>
      </c>
    </row>
    <row r="5469" spans="2:7">
      <c r="B5469" s="6"/>
      <c r="E5469" s="7"/>
      <c r="F5469" t="str">
        <f t="shared" si="195"/>
        <v/>
      </c>
      <c r="G5469" t="str">
        <f t="shared" si="196"/>
        <v/>
      </c>
    </row>
    <row r="5470" spans="2:7">
      <c r="B5470" s="6"/>
      <c r="E5470" s="7"/>
      <c r="F5470" t="str">
        <f t="shared" si="195"/>
        <v/>
      </c>
      <c r="G5470" t="str">
        <f t="shared" si="196"/>
        <v/>
      </c>
    </row>
    <row r="5471" spans="2:7">
      <c r="B5471" s="6"/>
      <c r="E5471" s="7"/>
      <c r="F5471" t="str">
        <f t="shared" si="195"/>
        <v/>
      </c>
      <c r="G5471" t="str">
        <f t="shared" si="196"/>
        <v/>
      </c>
    </row>
    <row r="5472" spans="2:7">
      <c r="B5472" s="6"/>
      <c r="E5472" s="7"/>
      <c r="F5472" t="str">
        <f t="shared" si="195"/>
        <v/>
      </c>
      <c r="G5472" t="str">
        <f t="shared" si="196"/>
        <v/>
      </c>
    </row>
    <row r="5473" spans="2:7">
      <c r="B5473" s="6"/>
      <c r="E5473" s="7"/>
      <c r="F5473" t="str">
        <f t="shared" si="195"/>
        <v/>
      </c>
      <c r="G5473" t="str">
        <f t="shared" si="196"/>
        <v/>
      </c>
    </row>
    <row r="5474" spans="2:7">
      <c r="B5474" s="6"/>
      <c r="E5474" s="7"/>
      <c r="F5474" t="str">
        <f t="shared" si="195"/>
        <v/>
      </c>
      <c r="G5474" t="str">
        <f t="shared" si="196"/>
        <v/>
      </c>
    </row>
    <row r="5475" spans="2:7">
      <c r="B5475" s="6"/>
      <c r="E5475" s="7"/>
      <c r="F5475" t="str">
        <f t="shared" si="195"/>
        <v/>
      </c>
      <c r="G5475" t="str">
        <f t="shared" si="196"/>
        <v/>
      </c>
    </row>
    <row r="5476" spans="2:7">
      <c r="B5476" s="6"/>
      <c r="E5476" s="7"/>
      <c r="F5476" t="str">
        <f t="shared" si="195"/>
        <v/>
      </c>
      <c r="G5476" t="str">
        <f t="shared" si="196"/>
        <v/>
      </c>
    </row>
    <row r="5477" spans="2:7">
      <c r="B5477" s="6"/>
      <c r="E5477" s="7"/>
      <c r="F5477" t="str">
        <f t="shared" si="195"/>
        <v/>
      </c>
      <c r="G5477" t="str">
        <f t="shared" si="196"/>
        <v/>
      </c>
    </row>
    <row r="5478" spans="2:7">
      <c r="B5478" s="6"/>
      <c r="E5478" s="7"/>
      <c r="F5478" t="str">
        <f t="shared" si="195"/>
        <v/>
      </c>
      <c r="G5478" t="str">
        <f t="shared" si="196"/>
        <v/>
      </c>
    </row>
    <row r="5479" spans="2:7">
      <c r="B5479" s="6"/>
      <c r="E5479" s="7"/>
      <c r="F5479" t="str">
        <f t="shared" si="195"/>
        <v/>
      </c>
      <c r="G5479" t="str">
        <f t="shared" si="196"/>
        <v/>
      </c>
    </row>
    <row r="5480" spans="2:7">
      <c r="B5480" s="6"/>
      <c r="E5480" s="7"/>
      <c r="F5480" t="str">
        <f t="shared" si="195"/>
        <v/>
      </c>
      <c r="G5480" t="str">
        <f t="shared" si="196"/>
        <v/>
      </c>
    </row>
    <row r="5481" spans="2:7">
      <c r="B5481" s="6"/>
      <c r="E5481" s="7"/>
      <c r="F5481" t="str">
        <f t="shared" si="195"/>
        <v/>
      </c>
      <c r="G5481" t="str">
        <f t="shared" si="196"/>
        <v/>
      </c>
    </row>
    <row r="5482" spans="2:7">
      <c r="B5482" s="6"/>
      <c r="E5482" s="7"/>
      <c r="F5482" t="str">
        <f t="shared" si="195"/>
        <v/>
      </c>
      <c r="G5482" t="str">
        <f t="shared" si="196"/>
        <v/>
      </c>
    </row>
    <row r="5483" spans="2:7">
      <c r="B5483" s="6"/>
      <c r="E5483" s="7"/>
      <c r="F5483" t="str">
        <f t="shared" si="195"/>
        <v/>
      </c>
      <c r="G5483" t="str">
        <f t="shared" si="196"/>
        <v/>
      </c>
    </row>
    <row r="5484" spans="2:7">
      <c r="B5484" s="6"/>
      <c r="E5484" s="7"/>
      <c r="F5484" t="str">
        <f t="shared" si="195"/>
        <v/>
      </c>
      <c r="G5484" t="str">
        <f t="shared" si="196"/>
        <v/>
      </c>
    </row>
    <row r="5485" spans="2:7">
      <c r="B5485" s="6"/>
      <c r="E5485" s="7"/>
      <c r="F5485" t="str">
        <f t="shared" si="195"/>
        <v/>
      </c>
      <c r="G5485" t="str">
        <f t="shared" si="196"/>
        <v/>
      </c>
    </row>
    <row r="5486" spans="2:7">
      <c r="B5486" s="6"/>
      <c r="E5486" s="7"/>
      <c r="F5486" t="str">
        <f t="shared" si="195"/>
        <v/>
      </c>
      <c r="G5486" t="str">
        <f t="shared" si="196"/>
        <v/>
      </c>
    </row>
    <row r="5487" spans="2:7">
      <c r="B5487" s="6"/>
      <c r="E5487" s="7"/>
      <c r="F5487" t="str">
        <f t="shared" si="195"/>
        <v/>
      </c>
      <c r="G5487" t="str">
        <f t="shared" si="196"/>
        <v/>
      </c>
    </row>
    <row r="5488" spans="2:7">
      <c r="B5488" s="6"/>
      <c r="E5488" s="7"/>
      <c r="F5488" t="str">
        <f t="shared" si="195"/>
        <v/>
      </c>
      <c r="G5488" t="str">
        <f t="shared" si="196"/>
        <v/>
      </c>
    </row>
    <row r="5489" spans="2:7">
      <c r="B5489" s="6"/>
      <c r="E5489" s="7"/>
      <c r="F5489" t="str">
        <f t="shared" si="195"/>
        <v/>
      </c>
      <c r="G5489" t="str">
        <f t="shared" si="196"/>
        <v/>
      </c>
    </row>
    <row r="5490" spans="2:7">
      <c r="B5490" s="6"/>
      <c r="E5490" s="7"/>
      <c r="F5490" t="str">
        <f t="shared" si="195"/>
        <v/>
      </c>
      <c r="G5490" t="str">
        <f t="shared" si="196"/>
        <v/>
      </c>
    </row>
    <row r="5491" spans="2:7">
      <c r="B5491" s="6"/>
      <c r="E5491" s="7"/>
      <c r="F5491" t="str">
        <f t="shared" si="195"/>
        <v/>
      </c>
      <c r="G5491" t="str">
        <f t="shared" si="196"/>
        <v/>
      </c>
    </row>
    <row r="5492" spans="2:7">
      <c r="B5492" s="6"/>
      <c r="E5492" s="7"/>
      <c r="F5492" t="str">
        <f t="shared" si="195"/>
        <v/>
      </c>
      <c r="G5492" t="str">
        <f t="shared" si="196"/>
        <v/>
      </c>
    </row>
    <row r="5493" spans="2:7">
      <c r="B5493" s="6"/>
      <c r="E5493" s="7"/>
      <c r="F5493" t="str">
        <f t="shared" si="195"/>
        <v/>
      </c>
      <c r="G5493" t="str">
        <f t="shared" si="196"/>
        <v/>
      </c>
    </row>
    <row r="5494" spans="2:7">
      <c r="B5494" s="6"/>
      <c r="E5494" s="7"/>
      <c r="F5494" t="str">
        <f t="shared" si="195"/>
        <v/>
      </c>
      <c r="G5494" t="str">
        <f t="shared" si="196"/>
        <v/>
      </c>
    </row>
    <row r="5495" spans="2:7">
      <c r="B5495" s="6"/>
      <c r="E5495" s="7"/>
      <c r="F5495" t="str">
        <f t="shared" si="195"/>
        <v/>
      </c>
      <c r="G5495" t="str">
        <f t="shared" si="196"/>
        <v/>
      </c>
    </row>
    <row r="5496" spans="2:7">
      <c r="B5496" s="6"/>
      <c r="E5496" s="7"/>
      <c r="F5496" t="str">
        <f t="shared" si="195"/>
        <v/>
      </c>
      <c r="G5496" t="str">
        <f t="shared" si="196"/>
        <v/>
      </c>
    </row>
    <row r="5497" spans="2:7">
      <c r="B5497" s="6"/>
      <c r="E5497" s="7"/>
      <c r="F5497" t="str">
        <f t="shared" si="195"/>
        <v/>
      </c>
      <c r="G5497" t="str">
        <f t="shared" si="196"/>
        <v/>
      </c>
    </row>
    <row r="5498" spans="2:7">
      <c r="B5498" s="6"/>
      <c r="E5498" s="7"/>
      <c r="F5498" t="str">
        <f t="shared" si="195"/>
        <v/>
      </c>
      <c r="G5498" t="str">
        <f t="shared" si="196"/>
        <v/>
      </c>
    </row>
    <row r="5499" spans="2:7">
      <c r="B5499" s="6"/>
      <c r="E5499" s="7"/>
      <c r="F5499" t="str">
        <f t="shared" si="195"/>
        <v/>
      </c>
      <c r="G5499" t="str">
        <f t="shared" si="196"/>
        <v/>
      </c>
    </row>
    <row r="5500" spans="2:7">
      <c r="B5500" s="6"/>
      <c r="E5500" s="7"/>
      <c r="F5500" t="str">
        <f t="shared" si="195"/>
        <v/>
      </c>
      <c r="G5500" t="str">
        <f t="shared" si="196"/>
        <v/>
      </c>
    </row>
    <row r="5501" spans="2:7">
      <c r="B5501" s="6"/>
      <c r="E5501" s="7"/>
      <c r="F5501" t="str">
        <f t="shared" si="195"/>
        <v/>
      </c>
      <c r="G5501" t="str">
        <f t="shared" si="196"/>
        <v/>
      </c>
    </row>
    <row r="5502" spans="2:7">
      <c r="B5502" s="6"/>
      <c r="E5502" s="7"/>
      <c r="F5502" t="str">
        <f t="shared" si="195"/>
        <v/>
      </c>
      <c r="G5502" t="str">
        <f t="shared" si="196"/>
        <v/>
      </c>
    </row>
    <row r="5503" spans="2:7">
      <c r="B5503" s="6"/>
      <c r="E5503" s="7"/>
      <c r="F5503" t="str">
        <f t="shared" si="195"/>
        <v/>
      </c>
      <c r="G5503" t="str">
        <f t="shared" si="196"/>
        <v/>
      </c>
    </row>
    <row r="5504" spans="2:7">
      <c r="B5504" s="6"/>
      <c r="E5504" s="7"/>
      <c r="F5504" t="str">
        <f t="shared" si="195"/>
        <v/>
      </c>
      <c r="G5504" t="str">
        <f t="shared" si="196"/>
        <v/>
      </c>
    </row>
    <row r="5505" spans="2:7">
      <c r="B5505" s="6"/>
      <c r="E5505" s="7"/>
      <c r="F5505" t="str">
        <f t="shared" si="195"/>
        <v/>
      </c>
      <c r="G5505" t="str">
        <f t="shared" si="196"/>
        <v/>
      </c>
    </row>
    <row r="5506" spans="2:7">
      <c r="B5506" s="6"/>
      <c r="E5506" s="7"/>
      <c r="F5506" t="str">
        <f t="shared" si="195"/>
        <v/>
      </c>
      <c r="G5506" t="str">
        <f t="shared" si="196"/>
        <v/>
      </c>
    </row>
    <row r="5507" spans="2:7">
      <c r="B5507" s="6"/>
      <c r="E5507" s="7"/>
      <c r="F5507" t="str">
        <f t="shared" si="195"/>
        <v/>
      </c>
      <c r="G5507" t="str">
        <f t="shared" si="196"/>
        <v/>
      </c>
    </row>
    <row r="5508" spans="2:7">
      <c r="B5508" s="6"/>
      <c r="E5508" s="7"/>
      <c r="F5508" t="str">
        <f t="shared" ref="F5508:F5571" si="197">IF(B5508="","",LOG10(D5508))</f>
        <v/>
      </c>
      <c r="G5508" t="str">
        <f t="shared" ref="G5508:G5571" si="198">IF(E5508="", "",0.434*E5508/D5508)</f>
        <v/>
      </c>
    </row>
    <row r="5509" spans="2:7">
      <c r="B5509" s="6"/>
      <c r="E5509" s="7"/>
      <c r="F5509" t="str">
        <f t="shared" si="197"/>
        <v/>
      </c>
      <c r="G5509" t="str">
        <f t="shared" si="198"/>
        <v/>
      </c>
    </row>
    <row r="5510" spans="2:7">
      <c r="B5510" s="6"/>
      <c r="E5510" s="7"/>
      <c r="F5510" t="str">
        <f t="shared" si="197"/>
        <v/>
      </c>
      <c r="G5510" t="str">
        <f t="shared" si="198"/>
        <v/>
      </c>
    </row>
    <row r="5511" spans="2:7">
      <c r="B5511" s="6"/>
      <c r="E5511" s="7"/>
      <c r="F5511" t="str">
        <f t="shared" si="197"/>
        <v/>
      </c>
      <c r="G5511" t="str">
        <f t="shared" si="198"/>
        <v/>
      </c>
    </row>
    <row r="5512" spans="2:7">
      <c r="B5512" s="6"/>
      <c r="E5512" s="7"/>
      <c r="F5512" t="str">
        <f t="shared" si="197"/>
        <v/>
      </c>
      <c r="G5512" t="str">
        <f t="shared" si="198"/>
        <v/>
      </c>
    </row>
    <row r="5513" spans="2:7">
      <c r="B5513" s="6"/>
      <c r="E5513" s="7"/>
      <c r="F5513" t="str">
        <f t="shared" si="197"/>
        <v/>
      </c>
      <c r="G5513" t="str">
        <f t="shared" si="198"/>
        <v/>
      </c>
    </row>
    <row r="5514" spans="2:7">
      <c r="B5514" s="6"/>
      <c r="E5514" s="7"/>
      <c r="F5514" t="str">
        <f t="shared" si="197"/>
        <v/>
      </c>
      <c r="G5514" t="str">
        <f t="shared" si="198"/>
        <v/>
      </c>
    </row>
    <row r="5515" spans="2:7">
      <c r="B5515" s="6"/>
      <c r="E5515" s="7"/>
      <c r="F5515" t="str">
        <f t="shared" si="197"/>
        <v/>
      </c>
      <c r="G5515" t="str">
        <f t="shared" si="198"/>
        <v/>
      </c>
    </row>
    <row r="5516" spans="2:7">
      <c r="B5516" s="6"/>
      <c r="E5516" s="7"/>
      <c r="F5516" t="str">
        <f t="shared" si="197"/>
        <v/>
      </c>
      <c r="G5516" t="str">
        <f t="shared" si="198"/>
        <v/>
      </c>
    </row>
    <row r="5517" spans="2:7">
      <c r="B5517" s="6"/>
      <c r="E5517" s="7"/>
      <c r="F5517" t="str">
        <f t="shared" si="197"/>
        <v/>
      </c>
      <c r="G5517" t="str">
        <f t="shared" si="198"/>
        <v/>
      </c>
    </row>
    <row r="5518" spans="2:7">
      <c r="B5518" s="6"/>
      <c r="E5518" s="7"/>
      <c r="F5518" t="str">
        <f t="shared" si="197"/>
        <v/>
      </c>
      <c r="G5518" t="str">
        <f t="shared" si="198"/>
        <v/>
      </c>
    </row>
    <row r="5519" spans="2:7">
      <c r="B5519" s="6"/>
      <c r="E5519" s="7"/>
      <c r="F5519" t="str">
        <f t="shared" si="197"/>
        <v/>
      </c>
      <c r="G5519" t="str">
        <f t="shared" si="198"/>
        <v/>
      </c>
    </row>
    <row r="5520" spans="2:7">
      <c r="B5520" s="6"/>
      <c r="E5520" s="7"/>
      <c r="F5520" t="str">
        <f t="shared" si="197"/>
        <v/>
      </c>
      <c r="G5520" t="str">
        <f t="shared" si="198"/>
        <v/>
      </c>
    </row>
    <row r="5521" spans="2:7">
      <c r="B5521" s="6"/>
      <c r="E5521" s="7"/>
      <c r="F5521" t="str">
        <f t="shared" si="197"/>
        <v/>
      </c>
      <c r="G5521" t="str">
        <f t="shared" si="198"/>
        <v/>
      </c>
    </row>
    <row r="5522" spans="2:7">
      <c r="B5522" s="6"/>
      <c r="E5522" s="7"/>
      <c r="F5522" t="str">
        <f t="shared" si="197"/>
        <v/>
      </c>
      <c r="G5522" t="str">
        <f t="shared" si="198"/>
        <v/>
      </c>
    </row>
    <row r="5523" spans="2:7">
      <c r="B5523" s="6"/>
      <c r="E5523" s="7"/>
      <c r="F5523" t="str">
        <f t="shared" si="197"/>
        <v/>
      </c>
      <c r="G5523" t="str">
        <f t="shared" si="198"/>
        <v/>
      </c>
    </row>
    <row r="5524" spans="2:7">
      <c r="B5524" s="6"/>
      <c r="E5524" s="7"/>
      <c r="F5524" t="str">
        <f t="shared" si="197"/>
        <v/>
      </c>
      <c r="G5524" t="str">
        <f t="shared" si="198"/>
        <v/>
      </c>
    </row>
    <row r="5525" spans="2:7">
      <c r="B5525" s="6"/>
      <c r="E5525" s="7"/>
      <c r="F5525" t="str">
        <f t="shared" si="197"/>
        <v/>
      </c>
      <c r="G5525" t="str">
        <f t="shared" si="198"/>
        <v/>
      </c>
    </row>
    <row r="5526" spans="2:7">
      <c r="B5526" s="6"/>
      <c r="E5526" s="7"/>
      <c r="F5526" t="str">
        <f t="shared" si="197"/>
        <v/>
      </c>
      <c r="G5526" t="str">
        <f t="shared" si="198"/>
        <v/>
      </c>
    </row>
    <row r="5527" spans="2:7">
      <c r="B5527" s="6"/>
      <c r="E5527" s="7"/>
      <c r="F5527" t="str">
        <f t="shared" si="197"/>
        <v/>
      </c>
      <c r="G5527" t="str">
        <f t="shared" si="198"/>
        <v/>
      </c>
    </row>
    <row r="5528" spans="2:7">
      <c r="B5528" s="6"/>
      <c r="E5528" s="7"/>
      <c r="F5528" t="str">
        <f t="shared" si="197"/>
        <v/>
      </c>
      <c r="G5528" t="str">
        <f t="shared" si="198"/>
        <v/>
      </c>
    </row>
    <row r="5529" spans="2:7">
      <c r="B5529" s="6"/>
      <c r="E5529" s="7"/>
      <c r="F5529" t="str">
        <f t="shared" si="197"/>
        <v/>
      </c>
      <c r="G5529" t="str">
        <f t="shared" si="198"/>
        <v/>
      </c>
    </row>
    <row r="5530" spans="2:7">
      <c r="B5530" s="6"/>
      <c r="E5530" s="7"/>
      <c r="F5530" t="str">
        <f t="shared" si="197"/>
        <v/>
      </c>
      <c r="G5530" t="str">
        <f t="shared" si="198"/>
        <v/>
      </c>
    </row>
    <row r="5531" spans="2:7">
      <c r="B5531" s="6"/>
      <c r="E5531" s="7"/>
      <c r="F5531" t="str">
        <f t="shared" si="197"/>
        <v/>
      </c>
      <c r="G5531" t="str">
        <f t="shared" si="198"/>
        <v/>
      </c>
    </row>
    <row r="5532" spans="2:7">
      <c r="B5532" s="6"/>
      <c r="E5532" s="7"/>
      <c r="F5532" t="str">
        <f t="shared" si="197"/>
        <v/>
      </c>
      <c r="G5532" t="str">
        <f t="shared" si="198"/>
        <v/>
      </c>
    </row>
    <row r="5533" spans="2:7">
      <c r="B5533" s="6"/>
      <c r="E5533" s="7"/>
      <c r="F5533" t="str">
        <f t="shared" si="197"/>
        <v/>
      </c>
      <c r="G5533" t="str">
        <f t="shared" si="198"/>
        <v/>
      </c>
    </row>
    <row r="5534" spans="2:7">
      <c r="B5534" s="6"/>
      <c r="E5534" s="7"/>
      <c r="F5534" t="str">
        <f t="shared" si="197"/>
        <v/>
      </c>
      <c r="G5534" t="str">
        <f t="shared" si="198"/>
        <v/>
      </c>
    </row>
    <row r="5535" spans="2:7">
      <c r="B5535" s="6"/>
      <c r="E5535" s="7"/>
      <c r="F5535" t="str">
        <f t="shared" si="197"/>
        <v/>
      </c>
      <c r="G5535" t="str">
        <f t="shared" si="198"/>
        <v/>
      </c>
    </row>
    <row r="5536" spans="2:7">
      <c r="B5536" s="6"/>
      <c r="E5536" s="7"/>
      <c r="F5536" t="str">
        <f t="shared" si="197"/>
        <v/>
      </c>
      <c r="G5536" t="str">
        <f t="shared" si="198"/>
        <v/>
      </c>
    </row>
    <row r="5537" spans="2:7">
      <c r="B5537" s="6"/>
      <c r="E5537" s="7"/>
      <c r="F5537" t="str">
        <f t="shared" si="197"/>
        <v/>
      </c>
      <c r="G5537" t="str">
        <f t="shared" si="198"/>
        <v/>
      </c>
    </row>
    <row r="5538" spans="2:7">
      <c r="B5538" s="6"/>
      <c r="E5538" s="7"/>
      <c r="F5538" t="str">
        <f t="shared" si="197"/>
        <v/>
      </c>
      <c r="G5538" t="str">
        <f t="shared" si="198"/>
        <v/>
      </c>
    </row>
    <row r="5539" spans="2:7">
      <c r="B5539" s="6"/>
      <c r="E5539" s="7"/>
      <c r="F5539" t="str">
        <f t="shared" si="197"/>
        <v/>
      </c>
      <c r="G5539" t="str">
        <f t="shared" si="198"/>
        <v/>
      </c>
    </row>
    <row r="5540" spans="2:7">
      <c r="B5540" s="6"/>
      <c r="E5540" s="7"/>
      <c r="F5540" t="str">
        <f t="shared" si="197"/>
        <v/>
      </c>
      <c r="G5540" t="str">
        <f t="shared" si="198"/>
        <v/>
      </c>
    </row>
    <row r="5541" spans="2:7">
      <c r="B5541" s="6"/>
      <c r="E5541" s="7"/>
      <c r="F5541" t="str">
        <f t="shared" si="197"/>
        <v/>
      </c>
      <c r="G5541" t="str">
        <f t="shared" si="198"/>
        <v/>
      </c>
    </row>
    <row r="5542" spans="2:7">
      <c r="B5542" s="6"/>
      <c r="E5542" s="7"/>
      <c r="F5542" t="str">
        <f t="shared" si="197"/>
        <v/>
      </c>
      <c r="G5542" t="str">
        <f t="shared" si="198"/>
        <v/>
      </c>
    </row>
    <row r="5543" spans="2:7">
      <c r="B5543" s="6"/>
      <c r="E5543" s="7"/>
      <c r="F5543" t="str">
        <f t="shared" si="197"/>
        <v/>
      </c>
      <c r="G5543" t="str">
        <f t="shared" si="198"/>
        <v/>
      </c>
    </row>
    <row r="5544" spans="2:7">
      <c r="B5544" s="6"/>
      <c r="E5544" s="7"/>
      <c r="F5544" t="str">
        <f t="shared" si="197"/>
        <v/>
      </c>
      <c r="G5544" t="str">
        <f t="shared" si="198"/>
        <v/>
      </c>
    </row>
    <row r="5545" spans="2:7">
      <c r="B5545" s="6"/>
      <c r="E5545" s="7"/>
      <c r="F5545" t="str">
        <f t="shared" si="197"/>
        <v/>
      </c>
      <c r="G5545" t="str">
        <f t="shared" si="198"/>
        <v/>
      </c>
    </row>
    <row r="5546" spans="2:7">
      <c r="B5546" s="6"/>
      <c r="E5546" s="7"/>
      <c r="F5546" t="str">
        <f t="shared" si="197"/>
        <v/>
      </c>
      <c r="G5546" t="str">
        <f t="shared" si="198"/>
        <v/>
      </c>
    </row>
    <row r="5547" spans="2:7">
      <c r="B5547" s="6"/>
      <c r="E5547" s="7"/>
      <c r="F5547" t="str">
        <f t="shared" si="197"/>
        <v/>
      </c>
      <c r="G5547" t="str">
        <f t="shared" si="198"/>
        <v/>
      </c>
    </row>
    <row r="5548" spans="2:7">
      <c r="B5548" s="6"/>
      <c r="E5548" s="7"/>
      <c r="F5548" t="str">
        <f t="shared" si="197"/>
        <v/>
      </c>
      <c r="G5548" t="str">
        <f t="shared" si="198"/>
        <v/>
      </c>
    </row>
    <row r="5549" spans="2:7">
      <c r="B5549" s="6"/>
      <c r="E5549" s="7"/>
      <c r="F5549" t="str">
        <f t="shared" si="197"/>
        <v/>
      </c>
      <c r="G5549" t="str">
        <f t="shared" si="198"/>
        <v/>
      </c>
    </row>
    <row r="5550" spans="2:7">
      <c r="B5550" s="6"/>
      <c r="E5550" s="7"/>
      <c r="F5550" t="str">
        <f t="shared" si="197"/>
        <v/>
      </c>
      <c r="G5550" t="str">
        <f t="shared" si="198"/>
        <v/>
      </c>
    </row>
    <row r="5551" spans="2:7">
      <c r="B5551" s="6"/>
      <c r="E5551" s="7"/>
      <c r="F5551" t="str">
        <f t="shared" si="197"/>
        <v/>
      </c>
      <c r="G5551" t="str">
        <f t="shared" si="198"/>
        <v/>
      </c>
    </row>
    <row r="5552" spans="2:7">
      <c r="B5552" s="6"/>
      <c r="E5552" s="7"/>
      <c r="F5552" t="str">
        <f t="shared" si="197"/>
        <v/>
      </c>
      <c r="G5552" t="str">
        <f t="shared" si="198"/>
        <v/>
      </c>
    </row>
    <row r="5553" spans="2:7">
      <c r="B5553" s="6"/>
      <c r="E5553" s="7"/>
      <c r="F5553" t="str">
        <f t="shared" si="197"/>
        <v/>
      </c>
      <c r="G5553" t="str">
        <f t="shared" si="198"/>
        <v/>
      </c>
    </row>
    <row r="5554" spans="2:7">
      <c r="B5554" s="6"/>
      <c r="E5554" s="7"/>
      <c r="F5554" t="str">
        <f t="shared" si="197"/>
        <v/>
      </c>
      <c r="G5554" t="str">
        <f t="shared" si="198"/>
        <v/>
      </c>
    </row>
    <row r="5555" spans="2:7">
      <c r="B5555" s="6"/>
      <c r="E5555" s="7"/>
      <c r="F5555" t="str">
        <f t="shared" si="197"/>
        <v/>
      </c>
      <c r="G5555" t="str">
        <f t="shared" si="198"/>
        <v/>
      </c>
    </row>
    <row r="5556" spans="2:7">
      <c r="B5556" s="6"/>
      <c r="E5556" s="7"/>
      <c r="F5556" t="str">
        <f t="shared" si="197"/>
        <v/>
      </c>
      <c r="G5556" t="str">
        <f t="shared" si="198"/>
        <v/>
      </c>
    </row>
    <row r="5557" spans="2:7">
      <c r="B5557" s="6"/>
      <c r="E5557" s="7"/>
      <c r="F5557" t="str">
        <f t="shared" si="197"/>
        <v/>
      </c>
      <c r="G5557" t="str">
        <f t="shared" si="198"/>
        <v/>
      </c>
    </row>
    <row r="5558" spans="2:7">
      <c r="B5558" s="6"/>
      <c r="E5558" s="7"/>
      <c r="F5558" t="str">
        <f t="shared" si="197"/>
        <v/>
      </c>
      <c r="G5558" t="str">
        <f t="shared" si="198"/>
        <v/>
      </c>
    </row>
    <row r="5559" spans="2:7">
      <c r="B5559" s="6"/>
      <c r="E5559" s="7"/>
      <c r="F5559" t="str">
        <f t="shared" si="197"/>
        <v/>
      </c>
      <c r="G5559" t="str">
        <f t="shared" si="198"/>
        <v/>
      </c>
    </row>
    <row r="5560" spans="2:7">
      <c r="B5560" s="6"/>
      <c r="E5560" s="7"/>
      <c r="F5560" t="str">
        <f t="shared" si="197"/>
        <v/>
      </c>
      <c r="G5560" t="str">
        <f t="shared" si="198"/>
        <v/>
      </c>
    </row>
    <row r="5561" spans="2:7">
      <c r="B5561" s="6"/>
      <c r="E5561" s="7"/>
      <c r="F5561" t="str">
        <f t="shared" si="197"/>
        <v/>
      </c>
      <c r="G5561" t="str">
        <f t="shared" si="198"/>
        <v/>
      </c>
    </row>
    <row r="5562" spans="2:7">
      <c r="B5562" s="6"/>
      <c r="E5562" s="7"/>
      <c r="F5562" t="str">
        <f t="shared" si="197"/>
        <v/>
      </c>
      <c r="G5562" t="str">
        <f t="shared" si="198"/>
        <v/>
      </c>
    </row>
    <row r="5563" spans="2:7">
      <c r="B5563" s="6"/>
      <c r="E5563" s="7"/>
      <c r="F5563" t="str">
        <f t="shared" si="197"/>
        <v/>
      </c>
      <c r="G5563" t="str">
        <f t="shared" si="198"/>
        <v/>
      </c>
    </row>
    <row r="5564" spans="2:7">
      <c r="B5564" s="6"/>
      <c r="E5564" s="7"/>
      <c r="F5564" t="str">
        <f t="shared" si="197"/>
        <v/>
      </c>
      <c r="G5564" t="str">
        <f t="shared" si="198"/>
        <v/>
      </c>
    </row>
    <row r="5565" spans="2:7">
      <c r="B5565" s="6"/>
      <c r="E5565" s="7"/>
      <c r="F5565" t="str">
        <f t="shared" si="197"/>
        <v/>
      </c>
      <c r="G5565" t="str">
        <f t="shared" si="198"/>
        <v/>
      </c>
    </row>
    <row r="5566" spans="2:7">
      <c r="B5566" s="6"/>
      <c r="E5566" s="7"/>
      <c r="F5566" t="str">
        <f t="shared" si="197"/>
        <v/>
      </c>
      <c r="G5566" t="str">
        <f t="shared" si="198"/>
        <v/>
      </c>
    </row>
    <row r="5567" spans="2:7">
      <c r="B5567" s="6"/>
      <c r="E5567" s="7"/>
      <c r="F5567" t="str">
        <f t="shared" si="197"/>
        <v/>
      </c>
      <c r="G5567" t="str">
        <f t="shared" si="198"/>
        <v/>
      </c>
    </row>
    <row r="5568" spans="2:7">
      <c r="B5568" s="6"/>
      <c r="E5568" s="7"/>
      <c r="F5568" t="str">
        <f t="shared" si="197"/>
        <v/>
      </c>
      <c r="G5568" t="str">
        <f t="shared" si="198"/>
        <v/>
      </c>
    </row>
    <row r="5569" spans="2:7">
      <c r="B5569" s="6"/>
      <c r="E5569" s="7"/>
      <c r="F5569" t="str">
        <f t="shared" si="197"/>
        <v/>
      </c>
      <c r="G5569" t="str">
        <f t="shared" si="198"/>
        <v/>
      </c>
    </row>
    <row r="5570" spans="2:7">
      <c r="B5570" s="6"/>
      <c r="E5570" s="7"/>
      <c r="F5570" t="str">
        <f t="shared" si="197"/>
        <v/>
      </c>
      <c r="G5570" t="str">
        <f t="shared" si="198"/>
        <v/>
      </c>
    </row>
    <row r="5571" spans="2:7">
      <c r="B5571" s="6"/>
      <c r="E5571" s="7"/>
      <c r="F5571" t="str">
        <f t="shared" si="197"/>
        <v/>
      </c>
      <c r="G5571" t="str">
        <f t="shared" si="198"/>
        <v/>
      </c>
    </row>
    <row r="5572" spans="2:7">
      <c r="B5572" s="6"/>
      <c r="E5572" s="7"/>
      <c r="F5572" t="str">
        <f t="shared" ref="F5572:F5635" si="199">IF(B5572="","",LOG10(D5572))</f>
        <v/>
      </c>
      <c r="G5572" t="str">
        <f t="shared" ref="G5572:G5635" si="200">IF(E5572="", "",0.434*E5572/D5572)</f>
        <v/>
      </c>
    </row>
    <row r="5573" spans="2:7">
      <c r="B5573" s="6"/>
      <c r="E5573" s="7"/>
      <c r="F5573" t="str">
        <f t="shared" si="199"/>
        <v/>
      </c>
      <c r="G5573" t="str">
        <f t="shared" si="200"/>
        <v/>
      </c>
    </row>
    <row r="5574" spans="2:7">
      <c r="B5574" s="6"/>
      <c r="E5574" s="7"/>
      <c r="F5574" t="str">
        <f t="shared" si="199"/>
        <v/>
      </c>
      <c r="G5574" t="str">
        <f t="shared" si="200"/>
        <v/>
      </c>
    </row>
    <row r="5575" spans="2:7">
      <c r="B5575" s="6"/>
      <c r="E5575" s="7"/>
      <c r="F5575" t="str">
        <f t="shared" si="199"/>
        <v/>
      </c>
      <c r="G5575" t="str">
        <f t="shared" si="200"/>
        <v/>
      </c>
    </row>
    <row r="5576" spans="2:7">
      <c r="B5576" s="6"/>
      <c r="E5576" s="7"/>
      <c r="F5576" t="str">
        <f t="shared" si="199"/>
        <v/>
      </c>
      <c r="G5576" t="str">
        <f t="shared" si="200"/>
        <v/>
      </c>
    </row>
    <row r="5577" spans="2:7">
      <c r="B5577" s="6"/>
      <c r="E5577" s="7"/>
      <c r="F5577" t="str">
        <f t="shared" si="199"/>
        <v/>
      </c>
      <c r="G5577" t="str">
        <f t="shared" si="200"/>
        <v/>
      </c>
    </row>
    <row r="5578" spans="2:7">
      <c r="B5578" s="6"/>
      <c r="E5578" s="7"/>
      <c r="F5578" t="str">
        <f t="shared" si="199"/>
        <v/>
      </c>
      <c r="G5578" t="str">
        <f t="shared" si="200"/>
        <v/>
      </c>
    </row>
    <row r="5579" spans="2:7">
      <c r="B5579" s="6"/>
      <c r="E5579" s="7"/>
      <c r="F5579" t="str">
        <f t="shared" si="199"/>
        <v/>
      </c>
      <c r="G5579" t="str">
        <f t="shared" si="200"/>
        <v/>
      </c>
    </row>
    <row r="5580" spans="2:7">
      <c r="B5580" s="6"/>
      <c r="E5580" s="7"/>
      <c r="F5580" t="str">
        <f t="shared" si="199"/>
        <v/>
      </c>
      <c r="G5580" t="str">
        <f t="shared" si="200"/>
        <v/>
      </c>
    </row>
    <row r="5581" spans="2:7">
      <c r="B5581" s="6"/>
      <c r="E5581" s="7"/>
      <c r="F5581" t="str">
        <f t="shared" si="199"/>
        <v/>
      </c>
      <c r="G5581" t="str">
        <f t="shared" si="200"/>
        <v/>
      </c>
    </row>
    <row r="5582" spans="2:7">
      <c r="B5582" s="6"/>
      <c r="E5582" s="7"/>
      <c r="F5582" t="str">
        <f t="shared" si="199"/>
        <v/>
      </c>
      <c r="G5582" t="str">
        <f t="shared" si="200"/>
        <v/>
      </c>
    </row>
    <row r="5583" spans="2:7">
      <c r="B5583" s="6"/>
      <c r="E5583" s="7"/>
      <c r="F5583" t="str">
        <f t="shared" si="199"/>
        <v/>
      </c>
      <c r="G5583" t="str">
        <f t="shared" si="200"/>
        <v/>
      </c>
    </row>
    <row r="5584" spans="2:7">
      <c r="B5584" s="6"/>
      <c r="E5584" s="7"/>
      <c r="F5584" t="str">
        <f t="shared" si="199"/>
        <v/>
      </c>
      <c r="G5584" t="str">
        <f t="shared" si="200"/>
        <v/>
      </c>
    </row>
    <row r="5585" spans="2:7">
      <c r="B5585" s="6"/>
      <c r="E5585" s="7"/>
      <c r="F5585" t="str">
        <f t="shared" si="199"/>
        <v/>
      </c>
      <c r="G5585" t="str">
        <f t="shared" si="200"/>
        <v/>
      </c>
    </row>
    <row r="5586" spans="2:7">
      <c r="B5586" s="6"/>
      <c r="E5586" s="7"/>
      <c r="F5586" t="str">
        <f t="shared" si="199"/>
        <v/>
      </c>
      <c r="G5586" t="str">
        <f t="shared" si="200"/>
        <v/>
      </c>
    </row>
    <row r="5587" spans="2:7">
      <c r="B5587" s="6"/>
      <c r="E5587" s="7"/>
      <c r="F5587" t="str">
        <f t="shared" si="199"/>
        <v/>
      </c>
      <c r="G5587" t="str">
        <f t="shared" si="200"/>
        <v/>
      </c>
    </row>
    <row r="5588" spans="2:7">
      <c r="B5588" s="6"/>
      <c r="E5588" s="7"/>
      <c r="F5588" t="str">
        <f t="shared" si="199"/>
        <v/>
      </c>
      <c r="G5588" t="str">
        <f t="shared" si="200"/>
        <v/>
      </c>
    </row>
    <row r="5589" spans="2:7">
      <c r="B5589" s="6"/>
      <c r="E5589" s="7"/>
      <c r="F5589" t="str">
        <f t="shared" si="199"/>
        <v/>
      </c>
      <c r="G5589" t="str">
        <f t="shared" si="200"/>
        <v/>
      </c>
    </row>
    <row r="5590" spans="2:7">
      <c r="B5590" s="6"/>
      <c r="E5590" s="7"/>
      <c r="F5590" t="str">
        <f t="shared" si="199"/>
        <v/>
      </c>
      <c r="G5590" t="str">
        <f t="shared" si="200"/>
        <v/>
      </c>
    </row>
    <row r="5591" spans="2:7">
      <c r="B5591" s="6"/>
      <c r="E5591" s="7"/>
      <c r="F5591" t="str">
        <f t="shared" si="199"/>
        <v/>
      </c>
      <c r="G5591" t="str">
        <f t="shared" si="200"/>
        <v/>
      </c>
    </row>
    <row r="5592" spans="2:7">
      <c r="B5592" s="6"/>
      <c r="E5592" s="7"/>
      <c r="F5592" t="str">
        <f t="shared" si="199"/>
        <v/>
      </c>
      <c r="G5592" t="str">
        <f t="shared" si="200"/>
        <v/>
      </c>
    </row>
    <row r="5593" spans="2:7">
      <c r="B5593" s="6"/>
      <c r="E5593" s="7"/>
      <c r="F5593" t="str">
        <f t="shared" si="199"/>
        <v/>
      </c>
      <c r="G5593" t="str">
        <f t="shared" si="200"/>
        <v/>
      </c>
    </row>
    <row r="5594" spans="2:7">
      <c r="B5594" s="6"/>
      <c r="E5594" s="7"/>
      <c r="F5594" t="str">
        <f t="shared" si="199"/>
        <v/>
      </c>
      <c r="G5594" t="str">
        <f t="shared" si="200"/>
        <v/>
      </c>
    </row>
    <row r="5595" spans="2:7">
      <c r="B5595" s="6"/>
      <c r="E5595" s="7"/>
      <c r="F5595" t="str">
        <f t="shared" si="199"/>
        <v/>
      </c>
      <c r="G5595" t="str">
        <f t="shared" si="200"/>
        <v/>
      </c>
    </row>
    <row r="5596" spans="2:7">
      <c r="B5596" s="6"/>
      <c r="E5596" s="7"/>
      <c r="F5596" t="str">
        <f t="shared" si="199"/>
        <v/>
      </c>
      <c r="G5596" t="str">
        <f t="shared" si="200"/>
        <v/>
      </c>
    </row>
    <row r="5597" spans="2:7">
      <c r="B5597" s="6"/>
      <c r="E5597" s="7"/>
      <c r="F5597" t="str">
        <f t="shared" si="199"/>
        <v/>
      </c>
      <c r="G5597" t="str">
        <f t="shared" si="200"/>
        <v/>
      </c>
    </row>
    <row r="5598" spans="2:7">
      <c r="B5598" s="6"/>
      <c r="E5598" s="7"/>
      <c r="F5598" t="str">
        <f t="shared" si="199"/>
        <v/>
      </c>
      <c r="G5598" t="str">
        <f t="shared" si="200"/>
        <v/>
      </c>
    </row>
    <row r="5599" spans="2:7">
      <c r="B5599" s="6"/>
      <c r="E5599" s="7"/>
      <c r="F5599" t="str">
        <f t="shared" si="199"/>
        <v/>
      </c>
      <c r="G5599" t="str">
        <f t="shared" si="200"/>
        <v/>
      </c>
    </row>
    <row r="5600" spans="2:7">
      <c r="B5600" s="6"/>
      <c r="E5600" s="7"/>
      <c r="F5600" t="str">
        <f t="shared" si="199"/>
        <v/>
      </c>
      <c r="G5600" t="str">
        <f t="shared" si="200"/>
        <v/>
      </c>
    </row>
    <row r="5601" spans="2:7">
      <c r="B5601" s="6"/>
      <c r="E5601" s="7"/>
      <c r="F5601" t="str">
        <f t="shared" si="199"/>
        <v/>
      </c>
      <c r="G5601" t="str">
        <f t="shared" si="200"/>
        <v/>
      </c>
    </row>
    <row r="5602" spans="2:7">
      <c r="B5602" s="6"/>
      <c r="E5602" s="7"/>
      <c r="F5602" t="str">
        <f t="shared" si="199"/>
        <v/>
      </c>
      <c r="G5602" t="str">
        <f t="shared" si="200"/>
        <v/>
      </c>
    </row>
    <row r="5603" spans="2:7">
      <c r="B5603" s="6"/>
      <c r="E5603" s="7"/>
      <c r="F5603" t="str">
        <f t="shared" si="199"/>
        <v/>
      </c>
      <c r="G5603" t="str">
        <f t="shared" si="200"/>
        <v/>
      </c>
    </row>
    <row r="5604" spans="2:7">
      <c r="B5604" s="6"/>
      <c r="E5604" s="7"/>
      <c r="F5604" t="str">
        <f t="shared" si="199"/>
        <v/>
      </c>
      <c r="G5604" t="str">
        <f t="shared" si="200"/>
        <v/>
      </c>
    </row>
    <row r="5605" spans="2:7">
      <c r="B5605" s="6"/>
      <c r="E5605" s="7"/>
      <c r="F5605" t="str">
        <f t="shared" si="199"/>
        <v/>
      </c>
      <c r="G5605" t="str">
        <f t="shared" si="200"/>
        <v/>
      </c>
    </row>
    <row r="5606" spans="2:7">
      <c r="B5606" s="6"/>
      <c r="E5606" s="7"/>
      <c r="F5606" t="str">
        <f t="shared" si="199"/>
        <v/>
      </c>
      <c r="G5606" t="str">
        <f t="shared" si="200"/>
        <v/>
      </c>
    </row>
    <row r="5607" spans="2:7">
      <c r="B5607" s="6"/>
      <c r="E5607" s="7"/>
      <c r="F5607" t="str">
        <f t="shared" si="199"/>
        <v/>
      </c>
      <c r="G5607" t="str">
        <f t="shared" si="200"/>
        <v/>
      </c>
    </row>
    <row r="5608" spans="2:7">
      <c r="B5608" s="6"/>
      <c r="E5608" s="7"/>
      <c r="F5608" t="str">
        <f t="shared" si="199"/>
        <v/>
      </c>
      <c r="G5608" t="str">
        <f t="shared" si="200"/>
        <v/>
      </c>
    </row>
    <row r="5609" spans="2:7">
      <c r="B5609" s="6"/>
      <c r="E5609" s="7"/>
      <c r="F5609" t="str">
        <f t="shared" si="199"/>
        <v/>
      </c>
      <c r="G5609" t="str">
        <f t="shared" si="200"/>
        <v/>
      </c>
    </row>
    <row r="5610" spans="2:7">
      <c r="B5610" s="6"/>
      <c r="E5610" s="7"/>
      <c r="F5610" t="str">
        <f t="shared" si="199"/>
        <v/>
      </c>
      <c r="G5610" t="str">
        <f t="shared" si="200"/>
        <v/>
      </c>
    </row>
    <row r="5611" spans="2:7">
      <c r="B5611" s="6"/>
      <c r="E5611" s="7"/>
      <c r="F5611" t="str">
        <f t="shared" si="199"/>
        <v/>
      </c>
      <c r="G5611" t="str">
        <f t="shared" si="200"/>
        <v/>
      </c>
    </row>
    <row r="5612" spans="2:7">
      <c r="B5612" s="6"/>
      <c r="E5612" s="7"/>
      <c r="F5612" t="str">
        <f t="shared" si="199"/>
        <v/>
      </c>
      <c r="G5612" t="str">
        <f t="shared" si="200"/>
        <v/>
      </c>
    </row>
    <row r="5613" spans="2:7">
      <c r="B5613" s="6"/>
      <c r="E5613" s="7"/>
      <c r="F5613" t="str">
        <f t="shared" si="199"/>
        <v/>
      </c>
      <c r="G5613" t="str">
        <f t="shared" si="200"/>
        <v/>
      </c>
    </row>
    <row r="5614" spans="2:7">
      <c r="B5614" s="6"/>
      <c r="E5614" s="7"/>
      <c r="F5614" t="str">
        <f t="shared" si="199"/>
        <v/>
      </c>
      <c r="G5614" t="str">
        <f t="shared" si="200"/>
        <v/>
      </c>
    </row>
    <row r="5615" spans="2:7">
      <c r="B5615" s="6"/>
      <c r="E5615" s="7"/>
      <c r="F5615" t="str">
        <f t="shared" si="199"/>
        <v/>
      </c>
      <c r="G5615" t="str">
        <f t="shared" si="200"/>
        <v/>
      </c>
    </row>
    <row r="5616" spans="2:7">
      <c r="B5616" s="6"/>
      <c r="E5616" s="7"/>
      <c r="F5616" t="str">
        <f t="shared" si="199"/>
        <v/>
      </c>
      <c r="G5616" t="str">
        <f t="shared" si="200"/>
        <v/>
      </c>
    </row>
    <row r="5617" spans="2:7">
      <c r="B5617" s="6"/>
      <c r="E5617" s="7"/>
      <c r="F5617" t="str">
        <f t="shared" si="199"/>
        <v/>
      </c>
      <c r="G5617" t="str">
        <f t="shared" si="200"/>
        <v/>
      </c>
    </row>
    <row r="5618" spans="2:7">
      <c r="B5618" s="6"/>
      <c r="E5618" s="7"/>
      <c r="F5618" t="str">
        <f t="shared" si="199"/>
        <v/>
      </c>
      <c r="G5618" t="str">
        <f t="shared" si="200"/>
        <v/>
      </c>
    </row>
    <row r="5619" spans="2:7">
      <c r="B5619" s="6"/>
      <c r="E5619" s="7"/>
      <c r="F5619" t="str">
        <f t="shared" si="199"/>
        <v/>
      </c>
      <c r="G5619" t="str">
        <f t="shared" si="200"/>
        <v/>
      </c>
    </row>
    <row r="5620" spans="2:7">
      <c r="B5620" s="6"/>
      <c r="E5620" s="7"/>
      <c r="F5620" t="str">
        <f t="shared" si="199"/>
        <v/>
      </c>
      <c r="G5620" t="str">
        <f t="shared" si="200"/>
        <v/>
      </c>
    </row>
    <row r="5621" spans="2:7">
      <c r="B5621" s="6"/>
      <c r="E5621" s="7"/>
      <c r="F5621" t="str">
        <f t="shared" si="199"/>
        <v/>
      </c>
      <c r="G5621" t="str">
        <f t="shared" si="200"/>
        <v/>
      </c>
    </row>
    <row r="5622" spans="2:7">
      <c r="B5622" s="6"/>
      <c r="E5622" s="7"/>
      <c r="F5622" t="str">
        <f t="shared" si="199"/>
        <v/>
      </c>
      <c r="G5622" t="str">
        <f t="shared" si="200"/>
        <v/>
      </c>
    </row>
    <row r="5623" spans="2:7">
      <c r="B5623" s="6"/>
      <c r="E5623" s="7"/>
      <c r="F5623" t="str">
        <f t="shared" si="199"/>
        <v/>
      </c>
      <c r="G5623" t="str">
        <f t="shared" si="200"/>
        <v/>
      </c>
    </row>
    <row r="5624" spans="2:7">
      <c r="B5624" s="6"/>
      <c r="E5624" s="7"/>
      <c r="F5624" t="str">
        <f t="shared" si="199"/>
        <v/>
      </c>
      <c r="G5624" t="str">
        <f t="shared" si="200"/>
        <v/>
      </c>
    </row>
    <row r="5625" spans="2:7">
      <c r="B5625" s="6"/>
      <c r="E5625" s="7"/>
      <c r="F5625" t="str">
        <f t="shared" si="199"/>
        <v/>
      </c>
      <c r="G5625" t="str">
        <f t="shared" si="200"/>
        <v/>
      </c>
    </row>
    <row r="5626" spans="2:7">
      <c r="B5626" s="6"/>
      <c r="E5626" s="7"/>
      <c r="F5626" t="str">
        <f t="shared" si="199"/>
        <v/>
      </c>
      <c r="G5626" t="str">
        <f t="shared" si="200"/>
        <v/>
      </c>
    </row>
    <row r="5627" spans="2:7">
      <c r="B5627" s="6"/>
      <c r="E5627" s="7"/>
      <c r="F5627" t="str">
        <f t="shared" si="199"/>
        <v/>
      </c>
      <c r="G5627" t="str">
        <f t="shared" si="200"/>
        <v/>
      </c>
    </row>
    <row r="5628" spans="2:7">
      <c r="B5628" s="6"/>
      <c r="E5628" s="7"/>
      <c r="F5628" t="str">
        <f t="shared" si="199"/>
        <v/>
      </c>
      <c r="G5628" t="str">
        <f t="shared" si="200"/>
        <v/>
      </c>
    </row>
    <row r="5629" spans="2:7">
      <c r="B5629" s="6"/>
      <c r="E5629" s="7"/>
      <c r="F5629" t="str">
        <f t="shared" si="199"/>
        <v/>
      </c>
      <c r="G5629" t="str">
        <f t="shared" si="200"/>
        <v/>
      </c>
    </row>
    <row r="5630" spans="2:7">
      <c r="B5630" s="6"/>
      <c r="E5630" s="7"/>
      <c r="F5630" t="str">
        <f t="shared" si="199"/>
        <v/>
      </c>
      <c r="G5630" t="str">
        <f t="shared" si="200"/>
        <v/>
      </c>
    </row>
    <row r="5631" spans="2:7">
      <c r="B5631" s="6"/>
      <c r="E5631" s="7"/>
      <c r="F5631" t="str">
        <f t="shared" si="199"/>
        <v/>
      </c>
      <c r="G5631" t="str">
        <f t="shared" si="200"/>
        <v/>
      </c>
    </row>
    <row r="5632" spans="2:7">
      <c r="B5632" s="6"/>
      <c r="E5632" s="7"/>
      <c r="F5632" t="str">
        <f t="shared" si="199"/>
        <v/>
      </c>
      <c r="G5632" t="str">
        <f t="shared" si="200"/>
        <v/>
      </c>
    </row>
    <row r="5633" spans="2:7">
      <c r="B5633" s="6"/>
      <c r="E5633" s="7"/>
      <c r="F5633" t="str">
        <f t="shared" si="199"/>
        <v/>
      </c>
      <c r="G5633" t="str">
        <f t="shared" si="200"/>
        <v/>
      </c>
    </row>
    <row r="5634" spans="2:7">
      <c r="B5634" s="6"/>
      <c r="E5634" s="7"/>
      <c r="F5634" t="str">
        <f t="shared" si="199"/>
        <v/>
      </c>
      <c r="G5634" t="str">
        <f t="shared" si="200"/>
        <v/>
      </c>
    </row>
    <row r="5635" spans="2:7">
      <c r="B5635" s="6"/>
      <c r="E5635" s="7"/>
      <c r="F5635" t="str">
        <f t="shared" si="199"/>
        <v/>
      </c>
      <c r="G5635" t="str">
        <f t="shared" si="200"/>
        <v/>
      </c>
    </row>
    <row r="5636" spans="2:7">
      <c r="B5636" s="6"/>
      <c r="E5636" s="7"/>
      <c r="F5636" t="str">
        <f t="shared" ref="F5636:F5699" si="201">IF(B5636="","",LOG10(D5636))</f>
        <v/>
      </c>
      <c r="G5636" t="str">
        <f t="shared" ref="G5636:G5699" si="202">IF(E5636="", "",0.434*E5636/D5636)</f>
        <v/>
      </c>
    </row>
    <row r="5637" spans="2:7">
      <c r="B5637" s="6"/>
      <c r="E5637" s="7"/>
      <c r="F5637" t="str">
        <f t="shared" si="201"/>
        <v/>
      </c>
      <c r="G5637" t="str">
        <f t="shared" si="202"/>
        <v/>
      </c>
    </row>
    <row r="5638" spans="2:7">
      <c r="B5638" s="6"/>
      <c r="E5638" s="7"/>
      <c r="F5638" t="str">
        <f t="shared" si="201"/>
        <v/>
      </c>
      <c r="G5638" t="str">
        <f t="shared" si="202"/>
        <v/>
      </c>
    </row>
    <row r="5639" spans="2:7">
      <c r="B5639" s="6"/>
      <c r="E5639" s="7"/>
      <c r="F5639" t="str">
        <f t="shared" si="201"/>
        <v/>
      </c>
      <c r="G5639" t="str">
        <f t="shared" si="202"/>
        <v/>
      </c>
    </row>
    <row r="5640" spans="2:7">
      <c r="B5640" s="6"/>
      <c r="E5640" s="7"/>
      <c r="F5640" t="str">
        <f t="shared" si="201"/>
        <v/>
      </c>
      <c r="G5640" t="str">
        <f t="shared" si="202"/>
        <v/>
      </c>
    </row>
    <row r="5641" spans="2:7">
      <c r="B5641" s="6"/>
      <c r="E5641" s="7"/>
      <c r="F5641" t="str">
        <f t="shared" si="201"/>
        <v/>
      </c>
      <c r="G5641" t="str">
        <f t="shared" si="202"/>
        <v/>
      </c>
    </row>
    <row r="5642" spans="2:7">
      <c r="B5642" s="6"/>
      <c r="E5642" s="7"/>
      <c r="F5642" t="str">
        <f t="shared" si="201"/>
        <v/>
      </c>
      <c r="G5642" t="str">
        <f t="shared" si="202"/>
        <v/>
      </c>
    </row>
    <row r="5643" spans="2:7">
      <c r="B5643" s="6"/>
      <c r="E5643" s="7"/>
      <c r="F5643" t="str">
        <f t="shared" si="201"/>
        <v/>
      </c>
      <c r="G5643" t="str">
        <f t="shared" si="202"/>
        <v/>
      </c>
    </row>
    <row r="5644" spans="2:7">
      <c r="B5644" s="6"/>
      <c r="E5644" s="7"/>
      <c r="F5644" t="str">
        <f t="shared" si="201"/>
        <v/>
      </c>
      <c r="G5644" t="str">
        <f t="shared" si="202"/>
        <v/>
      </c>
    </row>
    <row r="5645" spans="2:7">
      <c r="B5645" s="6"/>
      <c r="E5645" s="7"/>
      <c r="F5645" t="str">
        <f t="shared" si="201"/>
        <v/>
      </c>
      <c r="G5645" t="str">
        <f t="shared" si="202"/>
        <v/>
      </c>
    </row>
    <row r="5646" spans="2:7">
      <c r="B5646" s="6"/>
      <c r="E5646" s="7"/>
      <c r="F5646" t="str">
        <f t="shared" si="201"/>
        <v/>
      </c>
      <c r="G5646" t="str">
        <f t="shared" si="202"/>
        <v/>
      </c>
    </row>
    <row r="5647" spans="2:7">
      <c r="B5647" s="6"/>
      <c r="E5647" s="7"/>
      <c r="F5647" t="str">
        <f t="shared" si="201"/>
        <v/>
      </c>
      <c r="G5647" t="str">
        <f t="shared" si="202"/>
        <v/>
      </c>
    </row>
    <row r="5648" spans="2:7">
      <c r="B5648" s="6"/>
      <c r="E5648" s="7"/>
      <c r="F5648" t="str">
        <f t="shared" si="201"/>
        <v/>
      </c>
      <c r="G5648" t="str">
        <f t="shared" si="202"/>
        <v/>
      </c>
    </row>
    <row r="5649" spans="2:7">
      <c r="B5649" s="6"/>
      <c r="E5649" s="7"/>
      <c r="F5649" t="str">
        <f t="shared" si="201"/>
        <v/>
      </c>
      <c r="G5649" t="str">
        <f t="shared" si="202"/>
        <v/>
      </c>
    </row>
    <row r="5650" spans="2:7">
      <c r="B5650" s="6"/>
      <c r="E5650" s="7"/>
      <c r="F5650" t="str">
        <f t="shared" si="201"/>
        <v/>
      </c>
      <c r="G5650" t="str">
        <f t="shared" si="202"/>
        <v/>
      </c>
    </row>
    <row r="5651" spans="2:7">
      <c r="B5651" s="6"/>
      <c r="E5651" s="7"/>
      <c r="F5651" t="str">
        <f t="shared" si="201"/>
        <v/>
      </c>
      <c r="G5651" t="str">
        <f t="shared" si="202"/>
        <v/>
      </c>
    </row>
    <row r="5652" spans="2:7">
      <c r="B5652" s="6"/>
      <c r="E5652" s="7"/>
      <c r="F5652" t="str">
        <f t="shared" si="201"/>
        <v/>
      </c>
      <c r="G5652" t="str">
        <f t="shared" si="202"/>
        <v/>
      </c>
    </row>
    <row r="5653" spans="2:7">
      <c r="B5653" s="6"/>
      <c r="E5653" s="7"/>
      <c r="F5653" t="str">
        <f t="shared" si="201"/>
        <v/>
      </c>
      <c r="G5653" t="str">
        <f t="shared" si="202"/>
        <v/>
      </c>
    </row>
    <row r="5654" spans="2:7">
      <c r="B5654" s="6"/>
      <c r="E5654" s="7"/>
      <c r="F5654" t="str">
        <f t="shared" si="201"/>
        <v/>
      </c>
      <c r="G5654" t="str">
        <f t="shared" si="202"/>
        <v/>
      </c>
    </row>
    <row r="5655" spans="2:7">
      <c r="B5655" s="6"/>
      <c r="E5655" s="7"/>
      <c r="F5655" t="str">
        <f t="shared" si="201"/>
        <v/>
      </c>
      <c r="G5655" t="str">
        <f t="shared" si="202"/>
        <v/>
      </c>
    </row>
    <row r="5656" spans="2:7">
      <c r="B5656" s="6"/>
      <c r="E5656" s="7"/>
      <c r="F5656" t="str">
        <f t="shared" si="201"/>
        <v/>
      </c>
      <c r="G5656" t="str">
        <f t="shared" si="202"/>
        <v/>
      </c>
    </row>
    <row r="5657" spans="2:7">
      <c r="B5657" s="6"/>
      <c r="E5657" s="7"/>
      <c r="F5657" t="str">
        <f t="shared" si="201"/>
        <v/>
      </c>
      <c r="G5657" t="str">
        <f t="shared" si="202"/>
        <v/>
      </c>
    </row>
    <row r="5658" spans="2:7">
      <c r="B5658" s="6"/>
      <c r="E5658" s="7"/>
      <c r="F5658" t="str">
        <f t="shared" si="201"/>
        <v/>
      </c>
      <c r="G5658" t="str">
        <f t="shared" si="202"/>
        <v/>
      </c>
    </row>
    <row r="5659" spans="2:7">
      <c r="B5659" s="6"/>
      <c r="E5659" s="7"/>
      <c r="F5659" t="str">
        <f t="shared" si="201"/>
        <v/>
      </c>
      <c r="G5659" t="str">
        <f t="shared" si="202"/>
        <v/>
      </c>
    </row>
    <row r="5660" spans="2:7">
      <c r="B5660" s="6"/>
      <c r="E5660" s="7"/>
      <c r="F5660" t="str">
        <f t="shared" si="201"/>
        <v/>
      </c>
      <c r="G5660" t="str">
        <f t="shared" si="202"/>
        <v/>
      </c>
    </row>
    <row r="5661" spans="2:7">
      <c r="B5661" s="6"/>
      <c r="E5661" s="7"/>
      <c r="F5661" t="str">
        <f t="shared" si="201"/>
        <v/>
      </c>
      <c r="G5661" t="str">
        <f t="shared" si="202"/>
        <v/>
      </c>
    </row>
    <row r="5662" spans="2:7">
      <c r="B5662" s="6"/>
      <c r="E5662" s="7"/>
      <c r="F5662" t="str">
        <f t="shared" si="201"/>
        <v/>
      </c>
      <c r="G5662" t="str">
        <f t="shared" si="202"/>
        <v/>
      </c>
    </row>
    <row r="5663" spans="2:7">
      <c r="B5663" s="6"/>
      <c r="E5663" s="7"/>
      <c r="F5663" t="str">
        <f t="shared" si="201"/>
        <v/>
      </c>
      <c r="G5663" t="str">
        <f t="shared" si="202"/>
        <v/>
      </c>
    </row>
    <row r="5664" spans="2:7">
      <c r="B5664" s="6"/>
      <c r="E5664" s="7"/>
      <c r="F5664" t="str">
        <f t="shared" si="201"/>
        <v/>
      </c>
      <c r="G5664" t="str">
        <f t="shared" si="202"/>
        <v/>
      </c>
    </row>
    <row r="5665" spans="2:7">
      <c r="B5665" s="6"/>
      <c r="E5665" s="7"/>
      <c r="F5665" t="str">
        <f t="shared" si="201"/>
        <v/>
      </c>
      <c r="G5665" t="str">
        <f t="shared" si="202"/>
        <v/>
      </c>
    </row>
    <row r="5666" spans="2:7">
      <c r="B5666" s="6"/>
      <c r="E5666" s="7"/>
      <c r="F5666" t="str">
        <f t="shared" si="201"/>
        <v/>
      </c>
      <c r="G5666" t="str">
        <f t="shared" si="202"/>
        <v/>
      </c>
    </row>
    <row r="5667" spans="2:7">
      <c r="B5667" s="6"/>
      <c r="E5667" s="7"/>
      <c r="F5667" t="str">
        <f t="shared" si="201"/>
        <v/>
      </c>
      <c r="G5667" t="str">
        <f t="shared" si="202"/>
        <v/>
      </c>
    </row>
    <row r="5668" spans="2:7">
      <c r="B5668" s="6"/>
      <c r="E5668" s="7"/>
      <c r="F5668" t="str">
        <f t="shared" si="201"/>
        <v/>
      </c>
      <c r="G5668" t="str">
        <f t="shared" si="202"/>
        <v/>
      </c>
    </row>
    <row r="5669" spans="2:7">
      <c r="B5669" s="6"/>
      <c r="E5669" s="7"/>
      <c r="F5669" t="str">
        <f t="shared" si="201"/>
        <v/>
      </c>
      <c r="G5669" t="str">
        <f t="shared" si="202"/>
        <v/>
      </c>
    </row>
    <row r="5670" spans="2:7">
      <c r="B5670" s="6"/>
      <c r="E5670" s="7"/>
      <c r="F5670" t="str">
        <f t="shared" si="201"/>
        <v/>
      </c>
      <c r="G5670" t="str">
        <f t="shared" si="202"/>
        <v/>
      </c>
    </row>
    <row r="5671" spans="2:7">
      <c r="B5671" s="6"/>
      <c r="E5671" s="7"/>
      <c r="F5671" t="str">
        <f t="shared" si="201"/>
        <v/>
      </c>
      <c r="G5671" t="str">
        <f t="shared" si="202"/>
        <v/>
      </c>
    </row>
    <row r="5672" spans="2:7">
      <c r="B5672" s="6"/>
      <c r="E5672" s="7"/>
      <c r="F5672" t="str">
        <f t="shared" si="201"/>
        <v/>
      </c>
      <c r="G5672" t="str">
        <f t="shared" si="202"/>
        <v/>
      </c>
    </row>
    <row r="5673" spans="2:7">
      <c r="B5673" s="6"/>
      <c r="E5673" s="7"/>
      <c r="F5673" t="str">
        <f t="shared" si="201"/>
        <v/>
      </c>
      <c r="G5673" t="str">
        <f t="shared" si="202"/>
        <v/>
      </c>
    </row>
    <row r="5674" spans="2:7">
      <c r="B5674" s="6"/>
      <c r="E5674" s="7"/>
      <c r="F5674" t="str">
        <f t="shared" si="201"/>
        <v/>
      </c>
      <c r="G5674" t="str">
        <f t="shared" si="202"/>
        <v/>
      </c>
    </row>
    <row r="5675" spans="2:7">
      <c r="B5675" s="6"/>
      <c r="E5675" s="7"/>
      <c r="F5675" t="str">
        <f t="shared" si="201"/>
        <v/>
      </c>
      <c r="G5675" t="str">
        <f t="shared" si="202"/>
        <v/>
      </c>
    </row>
    <row r="5676" spans="2:7">
      <c r="B5676" s="6"/>
      <c r="E5676" s="7"/>
      <c r="F5676" t="str">
        <f t="shared" si="201"/>
        <v/>
      </c>
      <c r="G5676" t="str">
        <f t="shared" si="202"/>
        <v/>
      </c>
    </row>
    <row r="5677" spans="2:7">
      <c r="B5677" s="6"/>
      <c r="E5677" s="7"/>
      <c r="F5677" t="str">
        <f t="shared" si="201"/>
        <v/>
      </c>
      <c r="G5677" t="str">
        <f t="shared" si="202"/>
        <v/>
      </c>
    </row>
    <row r="5678" spans="2:7">
      <c r="B5678" s="6"/>
      <c r="E5678" s="7"/>
      <c r="F5678" t="str">
        <f t="shared" si="201"/>
        <v/>
      </c>
      <c r="G5678" t="str">
        <f t="shared" si="202"/>
        <v/>
      </c>
    </row>
    <row r="5679" spans="2:7">
      <c r="B5679" s="6"/>
      <c r="E5679" s="7"/>
      <c r="F5679" t="str">
        <f t="shared" si="201"/>
        <v/>
      </c>
      <c r="G5679" t="str">
        <f t="shared" si="202"/>
        <v/>
      </c>
    </row>
    <row r="5680" spans="2:7">
      <c r="B5680" s="6"/>
      <c r="E5680" s="7"/>
      <c r="F5680" t="str">
        <f t="shared" si="201"/>
        <v/>
      </c>
      <c r="G5680" t="str">
        <f t="shared" si="202"/>
        <v/>
      </c>
    </row>
    <row r="5681" spans="2:7">
      <c r="B5681" s="6"/>
      <c r="E5681" s="7"/>
      <c r="F5681" t="str">
        <f t="shared" si="201"/>
        <v/>
      </c>
      <c r="G5681" t="str">
        <f t="shared" si="202"/>
        <v/>
      </c>
    </row>
    <row r="5682" spans="2:7">
      <c r="B5682" s="6"/>
      <c r="E5682" s="7"/>
      <c r="F5682" t="str">
        <f t="shared" si="201"/>
        <v/>
      </c>
      <c r="G5682" t="str">
        <f t="shared" si="202"/>
        <v/>
      </c>
    </row>
    <row r="5683" spans="2:7">
      <c r="B5683" s="6"/>
      <c r="E5683" s="7"/>
      <c r="F5683" t="str">
        <f t="shared" si="201"/>
        <v/>
      </c>
      <c r="G5683" t="str">
        <f t="shared" si="202"/>
        <v/>
      </c>
    </row>
    <row r="5684" spans="2:7">
      <c r="B5684" s="6"/>
      <c r="E5684" s="7"/>
      <c r="F5684" t="str">
        <f t="shared" si="201"/>
        <v/>
      </c>
      <c r="G5684" t="str">
        <f t="shared" si="202"/>
        <v/>
      </c>
    </row>
    <row r="5685" spans="2:7">
      <c r="B5685" s="6"/>
      <c r="E5685" s="7"/>
      <c r="F5685" t="str">
        <f t="shared" si="201"/>
        <v/>
      </c>
      <c r="G5685" t="str">
        <f t="shared" si="202"/>
        <v/>
      </c>
    </row>
    <row r="5686" spans="2:7">
      <c r="B5686" s="6"/>
      <c r="E5686" s="7"/>
      <c r="F5686" t="str">
        <f t="shared" si="201"/>
        <v/>
      </c>
      <c r="G5686" t="str">
        <f t="shared" si="202"/>
        <v/>
      </c>
    </row>
    <row r="5687" spans="2:7">
      <c r="B5687" s="6"/>
      <c r="E5687" s="7"/>
      <c r="F5687" t="str">
        <f t="shared" si="201"/>
        <v/>
      </c>
      <c r="G5687" t="str">
        <f t="shared" si="202"/>
        <v/>
      </c>
    </row>
    <row r="5688" spans="2:7">
      <c r="B5688" s="6"/>
      <c r="E5688" s="7"/>
      <c r="F5688" t="str">
        <f t="shared" si="201"/>
        <v/>
      </c>
      <c r="G5688" t="str">
        <f t="shared" si="202"/>
        <v/>
      </c>
    </row>
    <row r="5689" spans="2:7">
      <c r="B5689" s="6"/>
      <c r="E5689" s="7"/>
      <c r="F5689" t="str">
        <f t="shared" si="201"/>
        <v/>
      </c>
      <c r="G5689" t="str">
        <f t="shared" si="202"/>
        <v/>
      </c>
    </row>
    <row r="5690" spans="2:7">
      <c r="B5690" s="6"/>
      <c r="E5690" s="7"/>
      <c r="F5690" t="str">
        <f t="shared" si="201"/>
        <v/>
      </c>
      <c r="G5690" t="str">
        <f t="shared" si="202"/>
        <v/>
      </c>
    </row>
    <row r="5691" spans="2:7">
      <c r="B5691" s="6"/>
      <c r="E5691" s="7"/>
      <c r="F5691" t="str">
        <f t="shared" si="201"/>
        <v/>
      </c>
      <c r="G5691" t="str">
        <f t="shared" si="202"/>
        <v/>
      </c>
    </row>
    <row r="5692" spans="2:7">
      <c r="B5692" s="6"/>
      <c r="E5692" s="7"/>
      <c r="F5692" t="str">
        <f t="shared" si="201"/>
        <v/>
      </c>
      <c r="G5692" t="str">
        <f t="shared" si="202"/>
        <v/>
      </c>
    </row>
    <row r="5693" spans="2:7">
      <c r="B5693" s="6"/>
      <c r="E5693" s="7"/>
      <c r="F5693" t="str">
        <f t="shared" si="201"/>
        <v/>
      </c>
      <c r="G5693" t="str">
        <f t="shared" si="202"/>
        <v/>
      </c>
    </row>
    <row r="5694" spans="2:7">
      <c r="B5694" s="6"/>
      <c r="E5694" s="7"/>
      <c r="F5694" t="str">
        <f t="shared" si="201"/>
        <v/>
      </c>
      <c r="G5694" t="str">
        <f t="shared" si="202"/>
        <v/>
      </c>
    </row>
    <row r="5695" spans="2:7">
      <c r="B5695" s="6"/>
      <c r="E5695" s="7"/>
      <c r="F5695" t="str">
        <f t="shared" si="201"/>
        <v/>
      </c>
      <c r="G5695" t="str">
        <f t="shared" si="202"/>
        <v/>
      </c>
    </row>
    <row r="5696" spans="2:7">
      <c r="B5696" s="6"/>
      <c r="E5696" s="7"/>
      <c r="F5696" t="str">
        <f t="shared" si="201"/>
        <v/>
      </c>
      <c r="G5696" t="str">
        <f t="shared" si="202"/>
        <v/>
      </c>
    </row>
    <row r="5697" spans="2:7">
      <c r="B5697" s="6"/>
      <c r="E5697" s="7"/>
      <c r="F5697" t="str">
        <f t="shared" si="201"/>
        <v/>
      </c>
      <c r="G5697" t="str">
        <f t="shared" si="202"/>
        <v/>
      </c>
    </row>
    <row r="5698" spans="2:7">
      <c r="B5698" s="6"/>
      <c r="E5698" s="7"/>
      <c r="F5698" t="str">
        <f t="shared" si="201"/>
        <v/>
      </c>
      <c r="G5698" t="str">
        <f t="shared" si="202"/>
        <v/>
      </c>
    </row>
    <row r="5699" spans="2:7">
      <c r="B5699" s="6"/>
      <c r="E5699" s="7"/>
      <c r="F5699" t="str">
        <f t="shared" si="201"/>
        <v/>
      </c>
      <c r="G5699" t="str">
        <f t="shared" si="202"/>
        <v/>
      </c>
    </row>
    <row r="5700" spans="2:7">
      <c r="B5700" s="6"/>
      <c r="E5700" s="7"/>
      <c r="F5700" t="str">
        <f t="shared" ref="F5700:F5763" si="203">IF(B5700="","",LOG10(D5700))</f>
        <v/>
      </c>
      <c r="G5700" t="str">
        <f t="shared" ref="G5700:G5763" si="204">IF(E5700="", "",0.434*E5700/D5700)</f>
        <v/>
      </c>
    </row>
    <row r="5701" spans="2:7">
      <c r="B5701" s="6"/>
      <c r="E5701" s="7"/>
      <c r="F5701" t="str">
        <f t="shared" si="203"/>
        <v/>
      </c>
      <c r="G5701" t="str">
        <f t="shared" si="204"/>
        <v/>
      </c>
    </row>
    <row r="5702" spans="2:7">
      <c r="B5702" s="6"/>
      <c r="E5702" s="7"/>
      <c r="F5702" t="str">
        <f t="shared" si="203"/>
        <v/>
      </c>
      <c r="G5702" t="str">
        <f t="shared" si="204"/>
        <v/>
      </c>
    </row>
    <row r="5703" spans="2:7">
      <c r="B5703" s="6"/>
      <c r="E5703" s="7"/>
      <c r="F5703" t="str">
        <f t="shared" si="203"/>
        <v/>
      </c>
      <c r="G5703" t="str">
        <f t="shared" si="204"/>
        <v/>
      </c>
    </row>
    <row r="5704" spans="2:7">
      <c r="B5704" s="6"/>
      <c r="E5704" s="7"/>
      <c r="F5704" t="str">
        <f t="shared" si="203"/>
        <v/>
      </c>
      <c r="G5704" t="str">
        <f t="shared" si="204"/>
        <v/>
      </c>
    </row>
    <row r="5705" spans="2:7">
      <c r="B5705" s="6"/>
      <c r="E5705" s="7"/>
      <c r="F5705" t="str">
        <f t="shared" si="203"/>
        <v/>
      </c>
      <c r="G5705" t="str">
        <f t="shared" si="204"/>
        <v/>
      </c>
    </row>
    <row r="5706" spans="2:7">
      <c r="B5706" s="6"/>
      <c r="E5706" s="7"/>
      <c r="F5706" t="str">
        <f t="shared" si="203"/>
        <v/>
      </c>
      <c r="G5706" t="str">
        <f t="shared" si="204"/>
        <v/>
      </c>
    </row>
    <row r="5707" spans="2:7">
      <c r="B5707" s="6"/>
      <c r="E5707" s="7"/>
      <c r="F5707" t="str">
        <f t="shared" si="203"/>
        <v/>
      </c>
      <c r="G5707" t="str">
        <f t="shared" si="204"/>
        <v/>
      </c>
    </row>
    <row r="5708" spans="2:7">
      <c r="B5708" s="6"/>
      <c r="E5708" s="7"/>
      <c r="F5708" t="str">
        <f t="shared" si="203"/>
        <v/>
      </c>
      <c r="G5708" t="str">
        <f t="shared" si="204"/>
        <v/>
      </c>
    </row>
    <row r="5709" spans="2:7">
      <c r="B5709" s="6"/>
      <c r="E5709" s="7"/>
      <c r="F5709" t="str">
        <f t="shared" si="203"/>
        <v/>
      </c>
      <c r="G5709" t="str">
        <f t="shared" si="204"/>
        <v/>
      </c>
    </row>
    <row r="5710" spans="2:7">
      <c r="B5710" s="6"/>
      <c r="E5710" s="7"/>
      <c r="F5710" t="str">
        <f t="shared" si="203"/>
        <v/>
      </c>
      <c r="G5710" t="str">
        <f t="shared" si="204"/>
        <v/>
      </c>
    </row>
    <row r="5711" spans="2:7">
      <c r="B5711" s="6"/>
      <c r="E5711" s="7"/>
      <c r="F5711" t="str">
        <f t="shared" si="203"/>
        <v/>
      </c>
      <c r="G5711" t="str">
        <f t="shared" si="204"/>
        <v/>
      </c>
    </row>
    <row r="5712" spans="2:7">
      <c r="B5712" s="6"/>
      <c r="E5712" s="7"/>
      <c r="F5712" t="str">
        <f t="shared" si="203"/>
        <v/>
      </c>
      <c r="G5712" t="str">
        <f t="shared" si="204"/>
        <v/>
      </c>
    </row>
    <row r="5713" spans="2:7">
      <c r="B5713" s="6"/>
      <c r="E5713" s="7"/>
      <c r="F5713" t="str">
        <f t="shared" si="203"/>
        <v/>
      </c>
      <c r="G5713" t="str">
        <f t="shared" si="204"/>
        <v/>
      </c>
    </row>
    <row r="5714" spans="2:7">
      <c r="B5714" s="6"/>
      <c r="E5714" s="7"/>
      <c r="F5714" t="str">
        <f t="shared" si="203"/>
        <v/>
      </c>
      <c r="G5714" t="str">
        <f t="shared" si="204"/>
        <v/>
      </c>
    </row>
    <row r="5715" spans="2:7">
      <c r="B5715" s="6"/>
      <c r="E5715" s="7"/>
      <c r="F5715" t="str">
        <f t="shared" si="203"/>
        <v/>
      </c>
      <c r="G5715" t="str">
        <f t="shared" si="204"/>
        <v/>
      </c>
    </row>
    <row r="5716" spans="2:7">
      <c r="B5716" s="6"/>
      <c r="E5716" s="7"/>
      <c r="F5716" t="str">
        <f t="shared" si="203"/>
        <v/>
      </c>
      <c r="G5716" t="str">
        <f t="shared" si="204"/>
        <v/>
      </c>
    </row>
    <row r="5717" spans="2:7">
      <c r="B5717" s="6"/>
      <c r="E5717" s="7"/>
      <c r="F5717" t="str">
        <f t="shared" si="203"/>
        <v/>
      </c>
      <c r="G5717" t="str">
        <f t="shared" si="204"/>
        <v/>
      </c>
    </row>
    <row r="5718" spans="2:7">
      <c r="B5718" s="6"/>
      <c r="E5718" s="7"/>
      <c r="F5718" t="str">
        <f t="shared" si="203"/>
        <v/>
      </c>
      <c r="G5718" t="str">
        <f t="shared" si="204"/>
        <v/>
      </c>
    </row>
    <row r="5719" spans="2:7">
      <c r="B5719" s="6"/>
      <c r="E5719" s="7"/>
      <c r="F5719" t="str">
        <f t="shared" si="203"/>
        <v/>
      </c>
      <c r="G5719" t="str">
        <f t="shared" si="204"/>
        <v/>
      </c>
    </row>
    <row r="5720" spans="2:7">
      <c r="B5720" s="6"/>
      <c r="E5720" s="7"/>
      <c r="F5720" t="str">
        <f t="shared" si="203"/>
        <v/>
      </c>
      <c r="G5720" t="str">
        <f t="shared" si="204"/>
        <v/>
      </c>
    </row>
    <row r="5721" spans="2:7">
      <c r="B5721" s="6"/>
      <c r="E5721" s="7"/>
      <c r="F5721" t="str">
        <f t="shared" si="203"/>
        <v/>
      </c>
      <c r="G5721" t="str">
        <f t="shared" si="204"/>
        <v/>
      </c>
    </row>
    <row r="5722" spans="2:7">
      <c r="B5722" s="6"/>
      <c r="E5722" s="7"/>
      <c r="F5722" t="str">
        <f t="shared" si="203"/>
        <v/>
      </c>
      <c r="G5722" t="str">
        <f t="shared" si="204"/>
        <v/>
      </c>
    </row>
    <row r="5723" spans="2:7">
      <c r="B5723" s="6"/>
      <c r="E5723" s="7"/>
      <c r="F5723" t="str">
        <f t="shared" si="203"/>
        <v/>
      </c>
      <c r="G5723" t="str">
        <f t="shared" si="204"/>
        <v/>
      </c>
    </row>
    <row r="5724" spans="2:7">
      <c r="B5724" s="6"/>
      <c r="E5724" s="7"/>
      <c r="F5724" t="str">
        <f t="shared" si="203"/>
        <v/>
      </c>
      <c r="G5724" t="str">
        <f t="shared" si="204"/>
        <v/>
      </c>
    </row>
    <row r="5725" spans="2:7">
      <c r="B5725" s="6"/>
      <c r="E5725" s="7"/>
      <c r="F5725" t="str">
        <f t="shared" si="203"/>
        <v/>
      </c>
      <c r="G5725" t="str">
        <f t="shared" si="204"/>
        <v/>
      </c>
    </row>
    <row r="5726" spans="2:7">
      <c r="B5726" s="6"/>
      <c r="E5726" s="7"/>
      <c r="F5726" t="str">
        <f t="shared" si="203"/>
        <v/>
      </c>
      <c r="G5726" t="str">
        <f t="shared" si="204"/>
        <v/>
      </c>
    </row>
    <row r="5727" spans="2:7">
      <c r="B5727" s="6"/>
      <c r="E5727" s="7"/>
      <c r="F5727" t="str">
        <f t="shared" si="203"/>
        <v/>
      </c>
      <c r="G5727" t="str">
        <f t="shared" si="204"/>
        <v/>
      </c>
    </row>
    <row r="5728" spans="2:7">
      <c r="B5728" s="6"/>
      <c r="E5728" s="7"/>
      <c r="F5728" t="str">
        <f t="shared" si="203"/>
        <v/>
      </c>
      <c r="G5728" t="str">
        <f t="shared" si="204"/>
        <v/>
      </c>
    </row>
    <row r="5729" spans="2:7">
      <c r="B5729" s="6"/>
      <c r="E5729" s="7"/>
      <c r="F5729" t="str">
        <f t="shared" si="203"/>
        <v/>
      </c>
      <c r="G5729" t="str">
        <f t="shared" si="204"/>
        <v/>
      </c>
    </row>
    <row r="5730" spans="2:7">
      <c r="B5730" s="6"/>
      <c r="E5730" s="7"/>
      <c r="F5730" t="str">
        <f t="shared" si="203"/>
        <v/>
      </c>
      <c r="G5730" t="str">
        <f t="shared" si="204"/>
        <v/>
      </c>
    </row>
    <row r="5731" spans="2:7">
      <c r="B5731" s="6"/>
      <c r="E5731" s="7"/>
      <c r="F5731" t="str">
        <f t="shared" si="203"/>
        <v/>
      </c>
      <c r="G5731" t="str">
        <f t="shared" si="204"/>
        <v/>
      </c>
    </row>
    <row r="5732" spans="2:7">
      <c r="B5732" s="6"/>
      <c r="E5732" s="7"/>
      <c r="F5732" t="str">
        <f t="shared" si="203"/>
        <v/>
      </c>
      <c r="G5732" t="str">
        <f t="shared" si="204"/>
        <v/>
      </c>
    </row>
    <row r="5733" spans="2:7">
      <c r="B5733" s="6"/>
      <c r="E5733" s="7"/>
      <c r="F5733" t="str">
        <f t="shared" si="203"/>
        <v/>
      </c>
      <c r="G5733" t="str">
        <f t="shared" si="204"/>
        <v/>
      </c>
    </row>
    <row r="5734" spans="2:7">
      <c r="B5734" s="6"/>
      <c r="E5734" s="7"/>
      <c r="F5734" t="str">
        <f t="shared" si="203"/>
        <v/>
      </c>
      <c r="G5734" t="str">
        <f t="shared" si="204"/>
        <v/>
      </c>
    </row>
    <row r="5735" spans="2:7">
      <c r="B5735" s="6"/>
      <c r="E5735" s="7"/>
      <c r="F5735" t="str">
        <f t="shared" si="203"/>
        <v/>
      </c>
      <c r="G5735" t="str">
        <f t="shared" si="204"/>
        <v/>
      </c>
    </row>
    <row r="5736" spans="2:7">
      <c r="B5736" s="6"/>
      <c r="E5736" s="7"/>
      <c r="F5736" t="str">
        <f t="shared" si="203"/>
        <v/>
      </c>
      <c r="G5736" t="str">
        <f t="shared" si="204"/>
        <v/>
      </c>
    </row>
    <row r="5737" spans="2:7">
      <c r="B5737" s="6"/>
      <c r="E5737" s="7"/>
      <c r="F5737" t="str">
        <f t="shared" si="203"/>
        <v/>
      </c>
      <c r="G5737" t="str">
        <f t="shared" si="204"/>
        <v/>
      </c>
    </row>
    <row r="5738" spans="2:7">
      <c r="B5738" s="6"/>
      <c r="E5738" s="7"/>
      <c r="F5738" t="str">
        <f t="shared" si="203"/>
        <v/>
      </c>
      <c r="G5738" t="str">
        <f t="shared" si="204"/>
        <v/>
      </c>
    </row>
    <row r="5739" spans="2:7">
      <c r="B5739" s="6"/>
      <c r="E5739" s="7"/>
      <c r="F5739" t="str">
        <f t="shared" si="203"/>
        <v/>
      </c>
      <c r="G5739" t="str">
        <f t="shared" si="204"/>
        <v/>
      </c>
    </row>
    <row r="5740" spans="2:7">
      <c r="B5740" s="6"/>
      <c r="E5740" s="7"/>
      <c r="F5740" t="str">
        <f t="shared" si="203"/>
        <v/>
      </c>
      <c r="G5740" t="str">
        <f t="shared" si="204"/>
        <v/>
      </c>
    </row>
    <row r="5741" spans="2:7">
      <c r="B5741" s="6"/>
      <c r="E5741" s="7"/>
      <c r="F5741" t="str">
        <f t="shared" si="203"/>
        <v/>
      </c>
      <c r="G5741" t="str">
        <f t="shared" si="204"/>
        <v/>
      </c>
    </row>
    <row r="5742" spans="2:7">
      <c r="B5742" s="6"/>
      <c r="E5742" s="7"/>
      <c r="F5742" t="str">
        <f t="shared" si="203"/>
        <v/>
      </c>
      <c r="G5742" t="str">
        <f t="shared" si="204"/>
        <v/>
      </c>
    </row>
    <row r="5743" spans="2:7">
      <c r="B5743" s="6"/>
      <c r="E5743" s="7"/>
      <c r="F5743" t="str">
        <f t="shared" si="203"/>
        <v/>
      </c>
      <c r="G5743" t="str">
        <f t="shared" si="204"/>
        <v/>
      </c>
    </row>
    <row r="5744" spans="2:7">
      <c r="B5744" s="6"/>
      <c r="E5744" s="7"/>
      <c r="F5744" t="str">
        <f t="shared" si="203"/>
        <v/>
      </c>
      <c r="G5744" t="str">
        <f t="shared" si="204"/>
        <v/>
      </c>
    </row>
    <row r="5745" spans="2:7">
      <c r="B5745" s="6"/>
      <c r="E5745" s="7"/>
      <c r="F5745" t="str">
        <f t="shared" si="203"/>
        <v/>
      </c>
      <c r="G5745" t="str">
        <f t="shared" si="204"/>
        <v/>
      </c>
    </row>
    <row r="5746" spans="2:7">
      <c r="B5746" s="6"/>
      <c r="E5746" s="7"/>
      <c r="F5746" t="str">
        <f t="shared" si="203"/>
        <v/>
      </c>
      <c r="G5746" t="str">
        <f t="shared" si="204"/>
        <v/>
      </c>
    </row>
    <row r="5747" spans="2:7">
      <c r="B5747" s="6"/>
      <c r="E5747" s="7"/>
      <c r="F5747" t="str">
        <f t="shared" si="203"/>
        <v/>
      </c>
      <c r="G5747" t="str">
        <f t="shared" si="204"/>
        <v/>
      </c>
    </row>
    <row r="5748" spans="2:7">
      <c r="B5748" s="6"/>
      <c r="E5748" s="7"/>
      <c r="F5748" t="str">
        <f t="shared" si="203"/>
        <v/>
      </c>
      <c r="G5748" t="str">
        <f t="shared" si="204"/>
        <v/>
      </c>
    </row>
    <row r="5749" spans="2:7">
      <c r="B5749" s="6"/>
      <c r="E5749" s="7"/>
      <c r="F5749" t="str">
        <f t="shared" si="203"/>
        <v/>
      </c>
      <c r="G5749" t="str">
        <f t="shared" si="204"/>
        <v/>
      </c>
    </row>
    <row r="5750" spans="2:7">
      <c r="B5750" s="6"/>
      <c r="E5750" s="7"/>
      <c r="F5750" t="str">
        <f t="shared" si="203"/>
        <v/>
      </c>
      <c r="G5750" t="str">
        <f t="shared" si="204"/>
        <v/>
      </c>
    </row>
    <row r="5751" spans="2:7">
      <c r="B5751" s="6"/>
      <c r="E5751" s="7"/>
      <c r="F5751" t="str">
        <f t="shared" si="203"/>
        <v/>
      </c>
      <c r="G5751" t="str">
        <f t="shared" si="204"/>
        <v/>
      </c>
    </row>
    <row r="5752" spans="2:7">
      <c r="B5752" s="6"/>
      <c r="E5752" s="7"/>
      <c r="F5752" t="str">
        <f t="shared" si="203"/>
        <v/>
      </c>
      <c r="G5752" t="str">
        <f t="shared" si="204"/>
        <v/>
      </c>
    </row>
    <row r="5753" spans="2:7">
      <c r="B5753" s="6"/>
      <c r="E5753" s="7"/>
      <c r="F5753" t="str">
        <f t="shared" si="203"/>
        <v/>
      </c>
      <c r="G5753" t="str">
        <f t="shared" si="204"/>
        <v/>
      </c>
    </row>
    <row r="5754" spans="2:7">
      <c r="B5754" s="6"/>
      <c r="E5754" s="7"/>
      <c r="F5754" t="str">
        <f t="shared" si="203"/>
        <v/>
      </c>
      <c r="G5754" t="str">
        <f t="shared" si="204"/>
        <v/>
      </c>
    </row>
    <row r="5755" spans="2:7">
      <c r="B5755" s="6"/>
      <c r="E5755" s="7"/>
      <c r="F5755" t="str">
        <f t="shared" si="203"/>
        <v/>
      </c>
      <c r="G5755" t="str">
        <f t="shared" si="204"/>
        <v/>
      </c>
    </row>
    <row r="5756" spans="2:7">
      <c r="B5756" s="6"/>
      <c r="E5756" s="7"/>
      <c r="F5756" t="str">
        <f t="shared" si="203"/>
        <v/>
      </c>
      <c r="G5756" t="str">
        <f t="shared" si="204"/>
        <v/>
      </c>
    </row>
    <row r="5757" spans="2:7">
      <c r="B5757" s="6"/>
      <c r="E5757" s="7"/>
      <c r="F5757" t="str">
        <f t="shared" si="203"/>
        <v/>
      </c>
      <c r="G5757" t="str">
        <f t="shared" si="204"/>
        <v/>
      </c>
    </row>
    <row r="5758" spans="2:7">
      <c r="B5758" s="6"/>
      <c r="E5758" s="7"/>
      <c r="F5758" t="str">
        <f t="shared" si="203"/>
        <v/>
      </c>
      <c r="G5758" t="str">
        <f t="shared" si="204"/>
        <v/>
      </c>
    </row>
    <row r="5759" spans="2:7">
      <c r="B5759" s="6"/>
      <c r="E5759" s="7"/>
      <c r="F5759" t="str">
        <f t="shared" si="203"/>
        <v/>
      </c>
      <c r="G5759" t="str">
        <f t="shared" si="204"/>
        <v/>
      </c>
    </row>
    <row r="5760" spans="2:7">
      <c r="B5760" s="6"/>
      <c r="E5760" s="7"/>
      <c r="F5760" t="str">
        <f t="shared" si="203"/>
        <v/>
      </c>
      <c r="G5760" t="str">
        <f t="shared" si="204"/>
        <v/>
      </c>
    </row>
    <row r="5761" spans="2:7">
      <c r="B5761" s="6"/>
      <c r="E5761" s="7"/>
      <c r="F5761" t="str">
        <f t="shared" si="203"/>
        <v/>
      </c>
      <c r="G5761" t="str">
        <f t="shared" si="204"/>
        <v/>
      </c>
    </row>
    <row r="5762" spans="2:7">
      <c r="B5762" s="6"/>
      <c r="E5762" s="7"/>
      <c r="F5762" t="str">
        <f t="shared" si="203"/>
        <v/>
      </c>
      <c r="G5762" t="str">
        <f t="shared" si="204"/>
        <v/>
      </c>
    </row>
    <row r="5763" spans="2:7">
      <c r="B5763" s="6"/>
      <c r="E5763" s="7"/>
      <c r="F5763" t="str">
        <f t="shared" si="203"/>
        <v/>
      </c>
      <c r="G5763" t="str">
        <f t="shared" si="204"/>
        <v/>
      </c>
    </row>
    <row r="5764" spans="2:7">
      <c r="B5764" s="6"/>
      <c r="E5764" s="7"/>
      <c r="F5764" t="str">
        <f t="shared" ref="F5764:F5827" si="205">IF(B5764="","",LOG10(D5764))</f>
        <v/>
      </c>
      <c r="G5764" t="str">
        <f t="shared" ref="G5764:G5827" si="206">IF(E5764="", "",0.434*E5764/D5764)</f>
        <v/>
      </c>
    </row>
    <row r="5765" spans="2:7">
      <c r="B5765" s="6"/>
      <c r="E5765" s="7"/>
      <c r="F5765" t="str">
        <f t="shared" si="205"/>
        <v/>
      </c>
      <c r="G5765" t="str">
        <f t="shared" si="206"/>
        <v/>
      </c>
    </row>
    <row r="5766" spans="2:7">
      <c r="B5766" s="6"/>
      <c r="E5766" s="7"/>
      <c r="F5766" t="str">
        <f t="shared" si="205"/>
        <v/>
      </c>
      <c r="G5766" t="str">
        <f t="shared" si="206"/>
        <v/>
      </c>
    </row>
    <row r="5767" spans="2:7">
      <c r="B5767" s="6"/>
      <c r="E5767" s="7"/>
      <c r="F5767" t="str">
        <f t="shared" si="205"/>
        <v/>
      </c>
      <c r="G5767" t="str">
        <f t="shared" si="206"/>
        <v/>
      </c>
    </row>
    <row r="5768" spans="2:7">
      <c r="B5768" s="6"/>
      <c r="E5768" s="7"/>
      <c r="F5768" t="str">
        <f t="shared" si="205"/>
        <v/>
      </c>
      <c r="G5768" t="str">
        <f t="shared" si="206"/>
        <v/>
      </c>
    </row>
    <row r="5769" spans="2:7">
      <c r="B5769" s="6"/>
      <c r="E5769" s="7"/>
      <c r="F5769" t="str">
        <f t="shared" si="205"/>
        <v/>
      </c>
      <c r="G5769" t="str">
        <f t="shared" si="206"/>
        <v/>
      </c>
    </row>
    <row r="5770" spans="2:7">
      <c r="B5770" s="6"/>
      <c r="E5770" s="7"/>
      <c r="F5770" t="str">
        <f t="shared" si="205"/>
        <v/>
      </c>
      <c r="G5770" t="str">
        <f t="shared" si="206"/>
        <v/>
      </c>
    </row>
    <row r="5771" spans="2:7">
      <c r="B5771" s="6"/>
      <c r="E5771" s="7"/>
      <c r="F5771" t="str">
        <f t="shared" si="205"/>
        <v/>
      </c>
      <c r="G5771" t="str">
        <f t="shared" si="206"/>
        <v/>
      </c>
    </row>
    <row r="5772" spans="2:7">
      <c r="B5772" s="6"/>
      <c r="E5772" s="7"/>
      <c r="F5772" t="str">
        <f t="shared" si="205"/>
        <v/>
      </c>
      <c r="G5772" t="str">
        <f t="shared" si="206"/>
        <v/>
      </c>
    </row>
    <row r="5773" spans="2:7">
      <c r="B5773" s="6"/>
      <c r="E5773" s="7"/>
      <c r="F5773" t="str">
        <f t="shared" si="205"/>
        <v/>
      </c>
      <c r="G5773" t="str">
        <f t="shared" si="206"/>
        <v/>
      </c>
    </row>
    <row r="5774" spans="2:7">
      <c r="B5774" s="6"/>
      <c r="E5774" s="7"/>
      <c r="F5774" t="str">
        <f t="shared" si="205"/>
        <v/>
      </c>
      <c r="G5774" t="str">
        <f t="shared" si="206"/>
        <v/>
      </c>
    </row>
    <row r="5775" spans="2:7">
      <c r="B5775" s="6"/>
      <c r="E5775" s="7"/>
      <c r="F5775" t="str">
        <f t="shared" si="205"/>
        <v/>
      </c>
      <c r="G5775" t="str">
        <f t="shared" si="206"/>
        <v/>
      </c>
    </row>
    <row r="5776" spans="2:7">
      <c r="B5776" s="6"/>
      <c r="E5776" s="7"/>
      <c r="F5776" t="str">
        <f t="shared" si="205"/>
        <v/>
      </c>
      <c r="G5776" t="str">
        <f t="shared" si="206"/>
        <v/>
      </c>
    </row>
    <row r="5777" spans="2:7">
      <c r="B5777" s="6"/>
      <c r="E5777" s="7"/>
      <c r="F5777" t="str">
        <f t="shared" si="205"/>
        <v/>
      </c>
      <c r="G5777" t="str">
        <f t="shared" si="206"/>
        <v/>
      </c>
    </row>
    <row r="5778" spans="2:7">
      <c r="B5778" s="6"/>
      <c r="E5778" s="7"/>
      <c r="F5778" t="str">
        <f t="shared" si="205"/>
        <v/>
      </c>
      <c r="G5778" t="str">
        <f t="shared" si="206"/>
        <v/>
      </c>
    </row>
    <row r="5779" spans="2:7">
      <c r="B5779" s="6"/>
      <c r="E5779" s="7"/>
      <c r="F5779" t="str">
        <f t="shared" si="205"/>
        <v/>
      </c>
      <c r="G5779" t="str">
        <f t="shared" si="206"/>
        <v/>
      </c>
    </row>
    <row r="5780" spans="2:7">
      <c r="B5780" s="6"/>
      <c r="E5780" s="7"/>
      <c r="F5780" t="str">
        <f t="shared" si="205"/>
        <v/>
      </c>
      <c r="G5780" t="str">
        <f t="shared" si="206"/>
        <v/>
      </c>
    </row>
    <row r="5781" spans="2:7">
      <c r="B5781" s="6"/>
      <c r="E5781" s="7"/>
      <c r="F5781" t="str">
        <f t="shared" si="205"/>
        <v/>
      </c>
      <c r="G5781" t="str">
        <f t="shared" si="206"/>
        <v/>
      </c>
    </row>
    <row r="5782" spans="2:7">
      <c r="B5782" s="6"/>
      <c r="E5782" s="7"/>
      <c r="F5782" t="str">
        <f t="shared" si="205"/>
        <v/>
      </c>
      <c r="G5782" t="str">
        <f t="shared" si="206"/>
        <v/>
      </c>
    </row>
    <row r="5783" spans="2:7">
      <c r="B5783" s="6"/>
      <c r="E5783" s="7"/>
      <c r="F5783" t="str">
        <f t="shared" si="205"/>
        <v/>
      </c>
      <c r="G5783" t="str">
        <f t="shared" si="206"/>
        <v/>
      </c>
    </row>
    <row r="5784" spans="2:7">
      <c r="B5784" s="6"/>
      <c r="E5784" s="7"/>
      <c r="F5784" t="str">
        <f t="shared" si="205"/>
        <v/>
      </c>
      <c r="G5784" t="str">
        <f t="shared" si="206"/>
        <v/>
      </c>
    </row>
    <row r="5785" spans="2:7">
      <c r="B5785" s="6"/>
      <c r="E5785" s="7"/>
      <c r="F5785" t="str">
        <f t="shared" si="205"/>
        <v/>
      </c>
      <c r="G5785" t="str">
        <f t="shared" si="206"/>
        <v/>
      </c>
    </row>
    <row r="5786" spans="2:7">
      <c r="B5786" s="6"/>
      <c r="E5786" s="7"/>
      <c r="F5786" t="str">
        <f t="shared" si="205"/>
        <v/>
      </c>
      <c r="G5786" t="str">
        <f t="shared" si="206"/>
        <v/>
      </c>
    </row>
    <row r="5787" spans="2:7">
      <c r="B5787" s="6"/>
      <c r="E5787" s="7"/>
      <c r="F5787" t="str">
        <f t="shared" si="205"/>
        <v/>
      </c>
      <c r="G5787" t="str">
        <f t="shared" si="206"/>
        <v/>
      </c>
    </row>
    <row r="5788" spans="2:7">
      <c r="B5788" s="6"/>
      <c r="E5788" s="7"/>
      <c r="F5788" t="str">
        <f t="shared" si="205"/>
        <v/>
      </c>
      <c r="G5788" t="str">
        <f t="shared" si="206"/>
        <v/>
      </c>
    </row>
    <row r="5789" spans="2:7">
      <c r="B5789" s="6"/>
      <c r="E5789" s="7"/>
      <c r="F5789" t="str">
        <f t="shared" si="205"/>
        <v/>
      </c>
      <c r="G5789" t="str">
        <f t="shared" si="206"/>
        <v/>
      </c>
    </row>
    <row r="5790" spans="2:7">
      <c r="B5790" s="6"/>
      <c r="E5790" s="7"/>
      <c r="F5790" t="str">
        <f t="shared" si="205"/>
        <v/>
      </c>
      <c r="G5790" t="str">
        <f t="shared" si="206"/>
        <v/>
      </c>
    </row>
    <row r="5791" spans="2:7">
      <c r="B5791" s="6"/>
      <c r="E5791" s="7"/>
      <c r="F5791" t="str">
        <f t="shared" si="205"/>
        <v/>
      </c>
      <c r="G5791" t="str">
        <f t="shared" si="206"/>
        <v/>
      </c>
    </row>
    <row r="5792" spans="2:7">
      <c r="B5792" s="6"/>
      <c r="E5792" s="7"/>
      <c r="F5792" t="str">
        <f t="shared" si="205"/>
        <v/>
      </c>
      <c r="G5792" t="str">
        <f t="shared" si="206"/>
        <v/>
      </c>
    </row>
    <row r="5793" spans="2:7">
      <c r="B5793" s="6"/>
      <c r="E5793" s="7"/>
      <c r="F5793" t="str">
        <f t="shared" si="205"/>
        <v/>
      </c>
      <c r="G5793" t="str">
        <f t="shared" si="206"/>
        <v/>
      </c>
    </row>
    <row r="5794" spans="2:7">
      <c r="B5794" s="6"/>
      <c r="E5794" s="7"/>
      <c r="F5794" t="str">
        <f t="shared" si="205"/>
        <v/>
      </c>
      <c r="G5794" t="str">
        <f t="shared" si="206"/>
        <v/>
      </c>
    </row>
    <row r="5795" spans="2:7">
      <c r="B5795" s="6"/>
      <c r="E5795" s="7"/>
      <c r="F5795" t="str">
        <f t="shared" si="205"/>
        <v/>
      </c>
      <c r="G5795" t="str">
        <f t="shared" si="206"/>
        <v/>
      </c>
    </row>
    <row r="5796" spans="2:7">
      <c r="B5796" s="6"/>
      <c r="E5796" s="7"/>
      <c r="F5796" t="str">
        <f t="shared" si="205"/>
        <v/>
      </c>
      <c r="G5796" t="str">
        <f t="shared" si="206"/>
        <v/>
      </c>
    </row>
    <row r="5797" spans="2:7">
      <c r="B5797" s="6"/>
      <c r="E5797" s="7"/>
      <c r="F5797" t="str">
        <f t="shared" si="205"/>
        <v/>
      </c>
      <c r="G5797" t="str">
        <f t="shared" si="206"/>
        <v/>
      </c>
    </row>
    <row r="5798" spans="2:7">
      <c r="B5798" s="6"/>
      <c r="E5798" s="7"/>
      <c r="F5798" t="str">
        <f t="shared" si="205"/>
        <v/>
      </c>
      <c r="G5798" t="str">
        <f t="shared" si="206"/>
        <v/>
      </c>
    </row>
    <row r="5799" spans="2:7">
      <c r="B5799" s="6"/>
      <c r="E5799" s="7"/>
      <c r="F5799" t="str">
        <f t="shared" si="205"/>
        <v/>
      </c>
      <c r="G5799" t="str">
        <f t="shared" si="206"/>
        <v/>
      </c>
    </row>
    <row r="5800" spans="2:7">
      <c r="B5800" s="6"/>
      <c r="E5800" s="7"/>
      <c r="F5800" t="str">
        <f t="shared" si="205"/>
        <v/>
      </c>
      <c r="G5800" t="str">
        <f t="shared" si="206"/>
        <v/>
      </c>
    </row>
    <row r="5801" spans="2:7">
      <c r="B5801" s="6"/>
      <c r="E5801" s="7"/>
      <c r="F5801" t="str">
        <f t="shared" si="205"/>
        <v/>
      </c>
      <c r="G5801" t="str">
        <f t="shared" si="206"/>
        <v/>
      </c>
    </row>
    <row r="5802" spans="2:7">
      <c r="B5802" s="6"/>
      <c r="E5802" s="7"/>
      <c r="F5802" t="str">
        <f t="shared" si="205"/>
        <v/>
      </c>
      <c r="G5802" t="str">
        <f t="shared" si="206"/>
        <v/>
      </c>
    </row>
    <row r="5803" spans="2:7">
      <c r="B5803" s="6"/>
      <c r="E5803" s="7"/>
      <c r="F5803" t="str">
        <f t="shared" si="205"/>
        <v/>
      </c>
      <c r="G5803" t="str">
        <f t="shared" si="206"/>
        <v/>
      </c>
    </row>
    <row r="5804" spans="2:7">
      <c r="B5804" s="6"/>
      <c r="E5804" s="7"/>
      <c r="F5804" t="str">
        <f t="shared" si="205"/>
        <v/>
      </c>
      <c r="G5804" t="str">
        <f t="shared" si="206"/>
        <v/>
      </c>
    </row>
    <row r="5805" spans="2:7">
      <c r="B5805" s="6"/>
      <c r="E5805" s="7"/>
      <c r="F5805" t="str">
        <f t="shared" si="205"/>
        <v/>
      </c>
      <c r="G5805" t="str">
        <f t="shared" si="206"/>
        <v/>
      </c>
    </row>
    <row r="5806" spans="2:7">
      <c r="B5806" s="6"/>
      <c r="E5806" s="7"/>
      <c r="F5806" t="str">
        <f t="shared" si="205"/>
        <v/>
      </c>
      <c r="G5806" t="str">
        <f t="shared" si="206"/>
        <v/>
      </c>
    </row>
    <row r="5807" spans="2:7">
      <c r="B5807" s="6"/>
      <c r="E5807" s="7"/>
      <c r="F5807" t="str">
        <f t="shared" si="205"/>
        <v/>
      </c>
      <c r="G5807" t="str">
        <f t="shared" si="206"/>
        <v/>
      </c>
    </row>
    <row r="5808" spans="2:7">
      <c r="B5808" s="6"/>
      <c r="E5808" s="7"/>
      <c r="F5808" t="str">
        <f t="shared" si="205"/>
        <v/>
      </c>
      <c r="G5808" t="str">
        <f t="shared" si="206"/>
        <v/>
      </c>
    </row>
    <row r="5809" spans="2:7">
      <c r="B5809" s="6"/>
      <c r="E5809" s="7"/>
      <c r="F5809" t="str">
        <f t="shared" si="205"/>
        <v/>
      </c>
      <c r="G5809" t="str">
        <f t="shared" si="206"/>
        <v/>
      </c>
    </row>
    <row r="5810" spans="2:7">
      <c r="B5810" s="6"/>
      <c r="E5810" s="7"/>
      <c r="F5810" t="str">
        <f t="shared" si="205"/>
        <v/>
      </c>
      <c r="G5810" t="str">
        <f t="shared" si="206"/>
        <v/>
      </c>
    </row>
    <row r="5811" spans="2:7">
      <c r="B5811" s="6"/>
      <c r="E5811" s="7"/>
      <c r="F5811" t="str">
        <f t="shared" si="205"/>
        <v/>
      </c>
      <c r="G5811" t="str">
        <f t="shared" si="206"/>
        <v/>
      </c>
    </row>
    <row r="5812" spans="2:7">
      <c r="B5812" s="6"/>
      <c r="E5812" s="7"/>
      <c r="F5812" t="str">
        <f t="shared" si="205"/>
        <v/>
      </c>
      <c r="G5812" t="str">
        <f t="shared" si="206"/>
        <v/>
      </c>
    </row>
    <row r="5813" spans="2:7">
      <c r="B5813" s="6"/>
      <c r="E5813" s="7"/>
      <c r="F5813" t="str">
        <f t="shared" si="205"/>
        <v/>
      </c>
      <c r="G5813" t="str">
        <f t="shared" si="206"/>
        <v/>
      </c>
    </row>
    <row r="5814" spans="2:7">
      <c r="B5814" s="6"/>
      <c r="E5814" s="7"/>
      <c r="F5814" t="str">
        <f t="shared" si="205"/>
        <v/>
      </c>
      <c r="G5814" t="str">
        <f t="shared" si="206"/>
        <v/>
      </c>
    </row>
    <row r="5815" spans="2:7">
      <c r="B5815" s="6"/>
      <c r="E5815" s="7"/>
      <c r="F5815" t="str">
        <f t="shared" si="205"/>
        <v/>
      </c>
      <c r="G5815" t="str">
        <f t="shared" si="206"/>
        <v/>
      </c>
    </row>
    <row r="5816" spans="2:7">
      <c r="B5816" s="6"/>
      <c r="E5816" s="7"/>
      <c r="F5816" t="str">
        <f t="shared" si="205"/>
        <v/>
      </c>
      <c r="G5816" t="str">
        <f t="shared" si="206"/>
        <v/>
      </c>
    </row>
    <row r="5817" spans="2:7">
      <c r="B5817" s="6"/>
      <c r="E5817" s="7"/>
      <c r="F5817" t="str">
        <f t="shared" si="205"/>
        <v/>
      </c>
      <c r="G5817" t="str">
        <f t="shared" si="206"/>
        <v/>
      </c>
    </row>
    <row r="5818" spans="2:7">
      <c r="B5818" s="6"/>
      <c r="E5818" s="7"/>
      <c r="F5818" t="str">
        <f t="shared" si="205"/>
        <v/>
      </c>
      <c r="G5818" t="str">
        <f t="shared" si="206"/>
        <v/>
      </c>
    </row>
    <row r="5819" spans="2:7">
      <c r="B5819" s="6"/>
      <c r="E5819" s="7"/>
      <c r="F5819" t="str">
        <f t="shared" si="205"/>
        <v/>
      </c>
      <c r="G5819" t="str">
        <f t="shared" si="206"/>
        <v/>
      </c>
    </row>
    <row r="5820" spans="2:7">
      <c r="B5820" s="6"/>
      <c r="E5820" s="7"/>
      <c r="F5820" t="str">
        <f t="shared" si="205"/>
        <v/>
      </c>
      <c r="G5820" t="str">
        <f t="shared" si="206"/>
        <v/>
      </c>
    </row>
    <row r="5821" spans="2:7">
      <c r="B5821" s="6"/>
      <c r="E5821" s="7"/>
      <c r="F5821" t="str">
        <f t="shared" si="205"/>
        <v/>
      </c>
      <c r="G5821" t="str">
        <f t="shared" si="206"/>
        <v/>
      </c>
    </row>
    <row r="5822" spans="2:7">
      <c r="B5822" s="6"/>
      <c r="E5822" s="7"/>
      <c r="F5822" t="str">
        <f t="shared" si="205"/>
        <v/>
      </c>
      <c r="G5822" t="str">
        <f t="shared" si="206"/>
        <v/>
      </c>
    </row>
    <row r="5823" spans="2:7">
      <c r="B5823" s="6"/>
      <c r="E5823" s="7"/>
      <c r="F5823" t="str">
        <f t="shared" si="205"/>
        <v/>
      </c>
      <c r="G5823" t="str">
        <f t="shared" si="206"/>
        <v/>
      </c>
    </row>
    <row r="5824" spans="2:7">
      <c r="B5824" s="6"/>
      <c r="E5824" s="7"/>
      <c r="F5824" t="str">
        <f t="shared" si="205"/>
        <v/>
      </c>
      <c r="G5824" t="str">
        <f t="shared" si="206"/>
        <v/>
      </c>
    </row>
    <row r="5825" spans="2:7">
      <c r="B5825" s="6"/>
      <c r="E5825" s="7"/>
      <c r="F5825" t="str">
        <f t="shared" si="205"/>
        <v/>
      </c>
      <c r="G5825" t="str">
        <f t="shared" si="206"/>
        <v/>
      </c>
    </row>
    <row r="5826" spans="2:7">
      <c r="B5826" s="6"/>
      <c r="E5826" s="7"/>
      <c r="F5826" t="str">
        <f t="shared" si="205"/>
        <v/>
      </c>
      <c r="G5826" t="str">
        <f t="shared" si="206"/>
        <v/>
      </c>
    </row>
    <row r="5827" spans="2:7">
      <c r="B5827" s="6"/>
      <c r="E5827" s="7"/>
      <c r="F5827" t="str">
        <f t="shared" si="205"/>
        <v/>
      </c>
      <c r="G5827" t="str">
        <f t="shared" si="206"/>
        <v/>
      </c>
    </row>
    <row r="5828" spans="2:7">
      <c r="B5828" s="6"/>
      <c r="E5828" s="7"/>
      <c r="F5828" t="str">
        <f t="shared" ref="F5828:F5891" si="207">IF(B5828="","",LOG10(D5828))</f>
        <v/>
      </c>
      <c r="G5828" t="str">
        <f t="shared" ref="G5828:G5891" si="208">IF(E5828="", "",0.434*E5828/D5828)</f>
        <v/>
      </c>
    </row>
    <row r="5829" spans="2:7">
      <c r="B5829" s="6"/>
      <c r="E5829" s="7"/>
      <c r="F5829" t="str">
        <f t="shared" si="207"/>
        <v/>
      </c>
      <c r="G5829" t="str">
        <f t="shared" si="208"/>
        <v/>
      </c>
    </row>
    <row r="5830" spans="2:7">
      <c r="B5830" s="6"/>
      <c r="E5830" s="7"/>
      <c r="F5830" t="str">
        <f t="shared" si="207"/>
        <v/>
      </c>
      <c r="G5830" t="str">
        <f t="shared" si="208"/>
        <v/>
      </c>
    </row>
    <row r="5831" spans="2:7">
      <c r="B5831" s="6"/>
      <c r="E5831" s="7"/>
      <c r="F5831" t="str">
        <f t="shared" si="207"/>
        <v/>
      </c>
      <c r="G5831" t="str">
        <f t="shared" si="208"/>
        <v/>
      </c>
    </row>
    <row r="5832" spans="2:7">
      <c r="B5832" s="6"/>
      <c r="E5832" s="7"/>
      <c r="F5832" t="str">
        <f t="shared" si="207"/>
        <v/>
      </c>
      <c r="G5832" t="str">
        <f t="shared" si="208"/>
        <v/>
      </c>
    </row>
    <row r="5833" spans="2:7">
      <c r="B5833" s="6"/>
      <c r="E5833" s="7"/>
      <c r="F5833" t="str">
        <f t="shared" si="207"/>
        <v/>
      </c>
      <c r="G5833" t="str">
        <f t="shared" si="208"/>
        <v/>
      </c>
    </row>
    <row r="5834" spans="2:7">
      <c r="B5834" s="6"/>
      <c r="E5834" s="7"/>
      <c r="F5834" t="str">
        <f t="shared" si="207"/>
        <v/>
      </c>
      <c r="G5834" t="str">
        <f t="shared" si="208"/>
        <v/>
      </c>
    </row>
    <row r="5835" spans="2:7">
      <c r="B5835" s="6"/>
      <c r="E5835" s="7"/>
      <c r="F5835" t="str">
        <f t="shared" si="207"/>
        <v/>
      </c>
      <c r="G5835" t="str">
        <f t="shared" si="208"/>
        <v/>
      </c>
    </row>
    <row r="5836" spans="2:7">
      <c r="B5836" s="6"/>
      <c r="E5836" s="7"/>
      <c r="F5836" t="str">
        <f t="shared" si="207"/>
        <v/>
      </c>
      <c r="G5836" t="str">
        <f t="shared" si="208"/>
        <v/>
      </c>
    </row>
    <row r="5837" spans="2:7">
      <c r="B5837" s="6"/>
      <c r="E5837" s="7"/>
      <c r="F5837" t="str">
        <f t="shared" si="207"/>
        <v/>
      </c>
      <c r="G5837" t="str">
        <f t="shared" si="208"/>
        <v/>
      </c>
    </row>
    <row r="5838" spans="2:7">
      <c r="B5838" s="6"/>
      <c r="E5838" s="7"/>
      <c r="F5838" t="str">
        <f t="shared" si="207"/>
        <v/>
      </c>
      <c r="G5838" t="str">
        <f t="shared" si="208"/>
        <v/>
      </c>
    </row>
    <row r="5839" spans="2:7">
      <c r="B5839" s="6"/>
      <c r="E5839" s="7"/>
      <c r="F5839" t="str">
        <f t="shared" si="207"/>
        <v/>
      </c>
      <c r="G5839" t="str">
        <f t="shared" si="208"/>
        <v/>
      </c>
    </row>
    <row r="5840" spans="2:7">
      <c r="B5840" s="6"/>
      <c r="E5840" s="7"/>
      <c r="F5840" t="str">
        <f t="shared" si="207"/>
        <v/>
      </c>
      <c r="G5840" t="str">
        <f t="shared" si="208"/>
        <v/>
      </c>
    </row>
    <row r="5841" spans="2:7">
      <c r="B5841" s="6"/>
      <c r="E5841" s="7"/>
      <c r="F5841" t="str">
        <f t="shared" si="207"/>
        <v/>
      </c>
      <c r="G5841" t="str">
        <f t="shared" si="208"/>
        <v/>
      </c>
    </row>
    <row r="5842" spans="2:7">
      <c r="B5842" s="6"/>
      <c r="E5842" s="7"/>
      <c r="F5842" t="str">
        <f t="shared" si="207"/>
        <v/>
      </c>
      <c r="G5842" t="str">
        <f t="shared" si="208"/>
        <v/>
      </c>
    </row>
    <row r="5843" spans="2:7">
      <c r="B5843" s="6"/>
      <c r="E5843" s="7"/>
      <c r="F5843" t="str">
        <f t="shared" si="207"/>
        <v/>
      </c>
      <c r="G5843" t="str">
        <f t="shared" si="208"/>
        <v/>
      </c>
    </row>
    <row r="5844" spans="2:7">
      <c r="B5844" s="6"/>
      <c r="E5844" s="7"/>
      <c r="F5844" t="str">
        <f t="shared" si="207"/>
        <v/>
      </c>
      <c r="G5844" t="str">
        <f t="shared" si="208"/>
        <v/>
      </c>
    </row>
    <row r="5845" spans="2:7">
      <c r="B5845" s="6"/>
      <c r="E5845" s="7"/>
      <c r="F5845" t="str">
        <f t="shared" si="207"/>
        <v/>
      </c>
      <c r="G5845" t="str">
        <f t="shared" si="208"/>
        <v/>
      </c>
    </row>
    <row r="5846" spans="2:7">
      <c r="B5846" s="6"/>
      <c r="E5846" s="7"/>
      <c r="F5846" t="str">
        <f t="shared" si="207"/>
        <v/>
      </c>
      <c r="G5846" t="str">
        <f t="shared" si="208"/>
        <v/>
      </c>
    </row>
    <row r="5847" spans="2:7">
      <c r="B5847" s="6"/>
      <c r="E5847" s="7"/>
      <c r="F5847" t="str">
        <f t="shared" si="207"/>
        <v/>
      </c>
      <c r="G5847" t="str">
        <f t="shared" si="208"/>
        <v/>
      </c>
    </row>
    <row r="5848" spans="2:7">
      <c r="B5848" s="6"/>
      <c r="E5848" s="7"/>
      <c r="F5848" t="str">
        <f t="shared" si="207"/>
        <v/>
      </c>
      <c r="G5848" t="str">
        <f t="shared" si="208"/>
        <v/>
      </c>
    </row>
    <row r="5849" spans="2:7">
      <c r="B5849" s="6"/>
      <c r="E5849" s="7"/>
      <c r="F5849" t="str">
        <f t="shared" si="207"/>
        <v/>
      </c>
      <c r="G5849" t="str">
        <f t="shared" si="208"/>
        <v/>
      </c>
    </row>
    <row r="5850" spans="2:7">
      <c r="B5850" s="6"/>
      <c r="E5850" s="7"/>
      <c r="F5850" t="str">
        <f t="shared" si="207"/>
        <v/>
      </c>
      <c r="G5850" t="str">
        <f t="shared" si="208"/>
        <v/>
      </c>
    </row>
    <row r="5851" spans="2:7">
      <c r="B5851" s="6"/>
      <c r="E5851" s="7"/>
      <c r="F5851" t="str">
        <f t="shared" si="207"/>
        <v/>
      </c>
      <c r="G5851" t="str">
        <f t="shared" si="208"/>
        <v/>
      </c>
    </row>
    <row r="5852" spans="2:7">
      <c r="B5852" s="6"/>
      <c r="E5852" s="7"/>
      <c r="F5852" t="str">
        <f t="shared" si="207"/>
        <v/>
      </c>
      <c r="G5852" t="str">
        <f t="shared" si="208"/>
        <v/>
      </c>
    </row>
    <row r="5853" spans="2:7">
      <c r="B5853" s="6"/>
      <c r="E5853" s="7"/>
      <c r="F5853" t="str">
        <f t="shared" si="207"/>
        <v/>
      </c>
      <c r="G5853" t="str">
        <f t="shared" si="208"/>
        <v/>
      </c>
    </row>
    <row r="5854" spans="2:7">
      <c r="B5854" s="6"/>
      <c r="E5854" s="7"/>
      <c r="F5854" t="str">
        <f t="shared" si="207"/>
        <v/>
      </c>
      <c r="G5854" t="str">
        <f t="shared" si="208"/>
        <v/>
      </c>
    </row>
    <row r="5855" spans="2:7">
      <c r="B5855" s="6"/>
      <c r="E5855" s="7"/>
      <c r="F5855" t="str">
        <f t="shared" si="207"/>
        <v/>
      </c>
      <c r="G5855" t="str">
        <f t="shared" si="208"/>
        <v/>
      </c>
    </row>
    <row r="5856" spans="2:7">
      <c r="B5856" s="6"/>
      <c r="E5856" s="7"/>
      <c r="F5856" t="str">
        <f t="shared" si="207"/>
        <v/>
      </c>
      <c r="G5856" t="str">
        <f t="shared" si="208"/>
        <v/>
      </c>
    </row>
    <row r="5857" spans="2:7">
      <c r="B5857" s="6"/>
      <c r="E5857" s="7"/>
      <c r="F5857" t="str">
        <f t="shared" si="207"/>
        <v/>
      </c>
      <c r="G5857" t="str">
        <f t="shared" si="208"/>
        <v/>
      </c>
    </row>
    <row r="5858" spans="2:7">
      <c r="B5858" s="6"/>
      <c r="E5858" s="7"/>
      <c r="F5858" t="str">
        <f t="shared" si="207"/>
        <v/>
      </c>
      <c r="G5858" t="str">
        <f t="shared" si="208"/>
        <v/>
      </c>
    </row>
    <row r="5859" spans="2:7">
      <c r="B5859" s="6"/>
      <c r="E5859" s="7"/>
      <c r="F5859" t="str">
        <f t="shared" si="207"/>
        <v/>
      </c>
      <c r="G5859" t="str">
        <f t="shared" si="208"/>
        <v/>
      </c>
    </row>
    <row r="5860" spans="2:7">
      <c r="B5860" s="6"/>
      <c r="E5860" s="7"/>
      <c r="F5860" t="str">
        <f t="shared" si="207"/>
        <v/>
      </c>
      <c r="G5860" t="str">
        <f t="shared" si="208"/>
        <v/>
      </c>
    </row>
    <row r="5861" spans="2:7">
      <c r="B5861" s="6"/>
      <c r="E5861" s="7"/>
      <c r="F5861" t="str">
        <f t="shared" si="207"/>
        <v/>
      </c>
      <c r="G5861" t="str">
        <f t="shared" si="208"/>
        <v/>
      </c>
    </row>
    <row r="5862" spans="2:7">
      <c r="B5862" s="6"/>
      <c r="E5862" s="7"/>
      <c r="F5862" t="str">
        <f t="shared" si="207"/>
        <v/>
      </c>
      <c r="G5862" t="str">
        <f t="shared" si="208"/>
        <v/>
      </c>
    </row>
    <row r="5863" spans="2:7">
      <c r="B5863" s="6"/>
      <c r="E5863" s="7"/>
      <c r="F5863" t="str">
        <f t="shared" si="207"/>
        <v/>
      </c>
      <c r="G5863" t="str">
        <f t="shared" si="208"/>
        <v/>
      </c>
    </row>
    <row r="5864" spans="2:7">
      <c r="B5864" s="6"/>
      <c r="E5864" s="7"/>
      <c r="F5864" t="str">
        <f t="shared" si="207"/>
        <v/>
      </c>
      <c r="G5864" t="str">
        <f t="shared" si="208"/>
        <v/>
      </c>
    </row>
    <row r="5865" spans="2:7">
      <c r="B5865" s="6"/>
      <c r="E5865" s="7"/>
      <c r="F5865" t="str">
        <f t="shared" si="207"/>
        <v/>
      </c>
      <c r="G5865" t="str">
        <f t="shared" si="208"/>
        <v/>
      </c>
    </row>
    <row r="5866" spans="2:7">
      <c r="B5866" s="6"/>
      <c r="E5866" s="7"/>
      <c r="F5866" t="str">
        <f t="shared" si="207"/>
        <v/>
      </c>
      <c r="G5866" t="str">
        <f t="shared" si="208"/>
        <v/>
      </c>
    </row>
    <row r="5867" spans="2:7">
      <c r="B5867" s="6"/>
      <c r="E5867" s="7"/>
      <c r="F5867" t="str">
        <f t="shared" si="207"/>
        <v/>
      </c>
      <c r="G5867" t="str">
        <f t="shared" si="208"/>
        <v/>
      </c>
    </row>
    <row r="5868" spans="2:7">
      <c r="B5868" s="6"/>
      <c r="E5868" s="7"/>
      <c r="F5868" t="str">
        <f t="shared" si="207"/>
        <v/>
      </c>
      <c r="G5868" t="str">
        <f t="shared" si="208"/>
        <v/>
      </c>
    </row>
    <row r="5869" spans="2:7">
      <c r="B5869" s="6"/>
      <c r="E5869" s="7"/>
      <c r="F5869" t="str">
        <f t="shared" si="207"/>
        <v/>
      </c>
      <c r="G5869" t="str">
        <f t="shared" si="208"/>
        <v/>
      </c>
    </row>
    <row r="5870" spans="2:7">
      <c r="B5870" s="6"/>
      <c r="E5870" s="7"/>
      <c r="F5870" t="str">
        <f t="shared" si="207"/>
        <v/>
      </c>
      <c r="G5870" t="str">
        <f t="shared" si="208"/>
        <v/>
      </c>
    </row>
    <row r="5871" spans="2:7">
      <c r="B5871" s="6"/>
      <c r="E5871" s="7"/>
      <c r="F5871" t="str">
        <f t="shared" si="207"/>
        <v/>
      </c>
      <c r="G5871" t="str">
        <f t="shared" si="208"/>
        <v/>
      </c>
    </row>
    <row r="5872" spans="2:7">
      <c r="B5872" s="6"/>
      <c r="E5872" s="7"/>
      <c r="F5872" t="str">
        <f t="shared" si="207"/>
        <v/>
      </c>
      <c r="G5872" t="str">
        <f t="shared" si="208"/>
        <v/>
      </c>
    </row>
    <row r="5873" spans="2:7">
      <c r="B5873" s="6"/>
      <c r="E5873" s="7"/>
      <c r="F5873" t="str">
        <f t="shared" si="207"/>
        <v/>
      </c>
      <c r="G5873" t="str">
        <f t="shared" si="208"/>
        <v/>
      </c>
    </row>
    <row r="5874" spans="2:7">
      <c r="B5874" s="6"/>
      <c r="E5874" s="7"/>
      <c r="F5874" t="str">
        <f t="shared" si="207"/>
        <v/>
      </c>
      <c r="G5874" t="str">
        <f t="shared" si="208"/>
        <v/>
      </c>
    </row>
    <row r="5875" spans="2:7">
      <c r="B5875" s="6"/>
      <c r="E5875" s="7"/>
      <c r="F5875" t="str">
        <f t="shared" si="207"/>
        <v/>
      </c>
      <c r="G5875" t="str">
        <f t="shared" si="208"/>
        <v/>
      </c>
    </row>
    <row r="5876" spans="2:7">
      <c r="B5876" s="6"/>
      <c r="E5876" s="7"/>
      <c r="F5876" t="str">
        <f t="shared" si="207"/>
        <v/>
      </c>
      <c r="G5876" t="str">
        <f t="shared" si="208"/>
        <v/>
      </c>
    </row>
    <row r="5877" spans="2:7">
      <c r="B5877" s="6"/>
      <c r="E5877" s="7"/>
      <c r="F5877" t="str">
        <f t="shared" si="207"/>
        <v/>
      </c>
      <c r="G5877" t="str">
        <f t="shared" si="208"/>
        <v/>
      </c>
    </row>
    <row r="5878" spans="2:7">
      <c r="B5878" s="6"/>
      <c r="E5878" s="7"/>
      <c r="F5878" t="str">
        <f t="shared" si="207"/>
        <v/>
      </c>
      <c r="G5878" t="str">
        <f t="shared" si="208"/>
        <v/>
      </c>
    </row>
    <row r="5879" spans="2:7">
      <c r="B5879" s="6"/>
      <c r="E5879" s="7"/>
      <c r="F5879" t="str">
        <f t="shared" si="207"/>
        <v/>
      </c>
      <c r="G5879" t="str">
        <f t="shared" si="208"/>
        <v/>
      </c>
    </row>
    <row r="5880" spans="2:7">
      <c r="B5880" s="6"/>
      <c r="E5880" s="7"/>
      <c r="F5880" t="str">
        <f t="shared" si="207"/>
        <v/>
      </c>
      <c r="G5880" t="str">
        <f t="shared" si="208"/>
        <v/>
      </c>
    </row>
    <row r="5881" spans="2:7">
      <c r="B5881" s="6"/>
      <c r="E5881" s="7"/>
      <c r="F5881" t="str">
        <f t="shared" si="207"/>
        <v/>
      </c>
      <c r="G5881" t="str">
        <f t="shared" si="208"/>
        <v/>
      </c>
    </row>
    <row r="5882" spans="2:7">
      <c r="B5882" s="6"/>
      <c r="E5882" s="7"/>
      <c r="F5882" t="str">
        <f t="shared" si="207"/>
        <v/>
      </c>
      <c r="G5882" t="str">
        <f t="shared" si="208"/>
        <v/>
      </c>
    </row>
    <row r="5883" spans="2:7">
      <c r="B5883" s="6"/>
      <c r="E5883" s="7"/>
      <c r="F5883" t="str">
        <f t="shared" si="207"/>
        <v/>
      </c>
      <c r="G5883" t="str">
        <f t="shared" si="208"/>
        <v/>
      </c>
    </row>
    <row r="5884" spans="2:7">
      <c r="B5884" s="6"/>
      <c r="E5884" s="7"/>
      <c r="F5884" t="str">
        <f t="shared" si="207"/>
        <v/>
      </c>
      <c r="G5884" t="str">
        <f t="shared" si="208"/>
        <v/>
      </c>
    </row>
    <row r="5885" spans="2:7">
      <c r="B5885" s="6"/>
      <c r="E5885" s="7"/>
      <c r="F5885" t="str">
        <f t="shared" si="207"/>
        <v/>
      </c>
      <c r="G5885" t="str">
        <f t="shared" si="208"/>
        <v/>
      </c>
    </row>
    <row r="5886" spans="2:7">
      <c r="B5886" s="6"/>
      <c r="E5886" s="7"/>
      <c r="F5886" t="str">
        <f t="shared" si="207"/>
        <v/>
      </c>
      <c r="G5886" t="str">
        <f t="shared" si="208"/>
        <v/>
      </c>
    </row>
    <row r="5887" spans="2:7">
      <c r="B5887" s="6"/>
      <c r="E5887" s="7"/>
      <c r="F5887" t="str">
        <f t="shared" si="207"/>
        <v/>
      </c>
      <c r="G5887" t="str">
        <f t="shared" si="208"/>
        <v/>
      </c>
    </row>
    <row r="5888" spans="2:7">
      <c r="B5888" s="6"/>
      <c r="E5888" s="7"/>
      <c r="F5888" t="str">
        <f t="shared" si="207"/>
        <v/>
      </c>
      <c r="G5888" t="str">
        <f t="shared" si="208"/>
        <v/>
      </c>
    </row>
    <row r="5889" spans="2:7">
      <c r="B5889" s="6"/>
      <c r="E5889" s="7"/>
      <c r="F5889" t="str">
        <f t="shared" si="207"/>
        <v/>
      </c>
      <c r="G5889" t="str">
        <f t="shared" si="208"/>
        <v/>
      </c>
    </row>
    <row r="5890" spans="2:7">
      <c r="B5890" s="6"/>
      <c r="E5890" s="7"/>
      <c r="F5890" t="str">
        <f t="shared" si="207"/>
        <v/>
      </c>
      <c r="G5890" t="str">
        <f t="shared" si="208"/>
        <v/>
      </c>
    </row>
    <row r="5891" spans="2:7">
      <c r="B5891" s="6"/>
      <c r="E5891" s="7"/>
      <c r="F5891" t="str">
        <f t="shared" si="207"/>
        <v/>
      </c>
      <c r="G5891" t="str">
        <f t="shared" si="208"/>
        <v/>
      </c>
    </row>
    <row r="5892" spans="2:7">
      <c r="B5892" s="6"/>
      <c r="E5892" s="7"/>
      <c r="F5892" t="str">
        <f t="shared" ref="F5892:F5955" si="209">IF(B5892="","",LOG10(D5892))</f>
        <v/>
      </c>
      <c r="G5892" t="str">
        <f t="shared" ref="G5892:G5955" si="210">IF(E5892="", "",0.434*E5892/D5892)</f>
        <v/>
      </c>
    </row>
    <row r="5893" spans="2:7">
      <c r="B5893" s="6"/>
      <c r="E5893" s="7"/>
      <c r="F5893" t="str">
        <f t="shared" si="209"/>
        <v/>
      </c>
      <c r="G5893" t="str">
        <f t="shared" si="210"/>
        <v/>
      </c>
    </row>
    <row r="5894" spans="2:7">
      <c r="B5894" s="6"/>
      <c r="E5894" s="7"/>
      <c r="F5894" t="str">
        <f t="shared" si="209"/>
        <v/>
      </c>
      <c r="G5894" t="str">
        <f t="shared" si="210"/>
        <v/>
      </c>
    </row>
    <row r="5895" spans="2:7">
      <c r="B5895" s="6"/>
      <c r="E5895" s="7"/>
      <c r="F5895" t="str">
        <f t="shared" si="209"/>
        <v/>
      </c>
      <c r="G5895" t="str">
        <f t="shared" si="210"/>
        <v/>
      </c>
    </row>
    <row r="5896" spans="2:7">
      <c r="B5896" s="6"/>
      <c r="E5896" s="7"/>
      <c r="F5896" t="str">
        <f t="shared" si="209"/>
        <v/>
      </c>
      <c r="G5896" t="str">
        <f t="shared" si="210"/>
        <v/>
      </c>
    </row>
    <row r="5897" spans="2:7">
      <c r="B5897" s="6"/>
      <c r="E5897" s="7"/>
      <c r="F5897" t="str">
        <f t="shared" si="209"/>
        <v/>
      </c>
      <c r="G5897" t="str">
        <f t="shared" si="210"/>
        <v/>
      </c>
    </row>
    <row r="5898" spans="2:7">
      <c r="B5898" s="6"/>
      <c r="E5898" s="7"/>
      <c r="F5898" t="str">
        <f t="shared" si="209"/>
        <v/>
      </c>
      <c r="G5898" t="str">
        <f t="shared" si="210"/>
        <v/>
      </c>
    </row>
    <row r="5899" spans="2:7">
      <c r="B5899" s="6"/>
      <c r="E5899" s="7"/>
      <c r="F5899" t="str">
        <f t="shared" si="209"/>
        <v/>
      </c>
      <c r="G5899" t="str">
        <f t="shared" si="210"/>
        <v/>
      </c>
    </row>
    <row r="5900" spans="2:7">
      <c r="B5900" s="6"/>
      <c r="E5900" s="7"/>
      <c r="F5900" t="str">
        <f t="shared" si="209"/>
        <v/>
      </c>
      <c r="G5900" t="str">
        <f t="shared" si="210"/>
        <v/>
      </c>
    </row>
    <row r="5901" spans="2:7">
      <c r="B5901" s="6"/>
      <c r="E5901" s="7"/>
      <c r="F5901" t="str">
        <f t="shared" si="209"/>
        <v/>
      </c>
      <c r="G5901" t="str">
        <f t="shared" si="210"/>
        <v/>
      </c>
    </row>
    <row r="5902" spans="2:7">
      <c r="B5902" s="6"/>
      <c r="E5902" s="7"/>
      <c r="F5902" t="str">
        <f t="shared" si="209"/>
        <v/>
      </c>
      <c r="G5902" t="str">
        <f t="shared" si="210"/>
        <v/>
      </c>
    </row>
    <row r="5903" spans="2:7">
      <c r="B5903" s="6"/>
      <c r="E5903" s="7"/>
      <c r="F5903" t="str">
        <f t="shared" si="209"/>
        <v/>
      </c>
      <c r="G5903" t="str">
        <f t="shared" si="210"/>
        <v/>
      </c>
    </row>
    <row r="5904" spans="2:7">
      <c r="B5904" s="6"/>
      <c r="E5904" s="7"/>
      <c r="F5904" t="str">
        <f t="shared" si="209"/>
        <v/>
      </c>
      <c r="G5904" t="str">
        <f t="shared" si="210"/>
        <v/>
      </c>
    </row>
    <row r="5905" spans="2:7">
      <c r="B5905" s="6"/>
      <c r="E5905" s="7"/>
      <c r="F5905" t="str">
        <f t="shared" si="209"/>
        <v/>
      </c>
      <c r="G5905" t="str">
        <f t="shared" si="210"/>
        <v/>
      </c>
    </row>
    <row r="5906" spans="2:7">
      <c r="B5906" s="6"/>
      <c r="E5906" s="7"/>
      <c r="F5906" t="str">
        <f t="shared" si="209"/>
        <v/>
      </c>
      <c r="G5906" t="str">
        <f t="shared" si="210"/>
        <v/>
      </c>
    </row>
    <row r="5907" spans="2:7">
      <c r="B5907" s="6"/>
      <c r="E5907" s="7"/>
      <c r="F5907" t="str">
        <f t="shared" si="209"/>
        <v/>
      </c>
      <c r="G5907" t="str">
        <f t="shared" si="210"/>
        <v/>
      </c>
    </row>
    <row r="5908" spans="2:7">
      <c r="B5908" s="6"/>
      <c r="E5908" s="7"/>
      <c r="F5908" t="str">
        <f t="shared" si="209"/>
        <v/>
      </c>
      <c r="G5908" t="str">
        <f t="shared" si="210"/>
        <v/>
      </c>
    </row>
    <row r="5909" spans="2:7">
      <c r="B5909" s="6"/>
      <c r="E5909" s="7"/>
      <c r="F5909" t="str">
        <f t="shared" si="209"/>
        <v/>
      </c>
      <c r="G5909" t="str">
        <f t="shared" si="210"/>
        <v/>
      </c>
    </row>
    <row r="5910" spans="2:7">
      <c r="B5910" s="6"/>
      <c r="E5910" s="7"/>
      <c r="F5910" t="str">
        <f t="shared" si="209"/>
        <v/>
      </c>
      <c r="G5910" t="str">
        <f t="shared" si="210"/>
        <v/>
      </c>
    </row>
    <row r="5911" spans="2:7">
      <c r="B5911" s="6"/>
      <c r="E5911" s="7"/>
      <c r="F5911" t="str">
        <f t="shared" si="209"/>
        <v/>
      </c>
      <c r="G5911" t="str">
        <f t="shared" si="210"/>
        <v/>
      </c>
    </row>
    <row r="5912" spans="2:7">
      <c r="B5912" s="6"/>
      <c r="E5912" s="7"/>
      <c r="F5912" t="str">
        <f t="shared" si="209"/>
        <v/>
      </c>
      <c r="G5912" t="str">
        <f t="shared" si="210"/>
        <v/>
      </c>
    </row>
    <row r="5913" spans="2:7">
      <c r="B5913" s="6"/>
      <c r="E5913" s="7"/>
      <c r="F5913" t="str">
        <f t="shared" si="209"/>
        <v/>
      </c>
      <c r="G5913" t="str">
        <f t="shared" si="210"/>
        <v/>
      </c>
    </row>
    <row r="5914" spans="2:7">
      <c r="B5914" s="6"/>
      <c r="E5914" s="7"/>
      <c r="F5914" t="str">
        <f t="shared" si="209"/>
        <v/>
      </c>
      <c r="G5914" t="str">
        <f t="shared" si="210"/>
        <v/>
      </c>
    </row>
    <row r="5915" spans="2:7">
      <c r="B5915" s="6"/>
      <c r="E5915" s="7"/>
      <c r="F5915" t="str">
        <f t="shared" si="209"/>
        <v/>
      </c>
      <c r="G5915" t="str">
        <f t="shared" si="210"/>
        <v/>
      </c>
    </row>
    <row r="5916" spans="2:7">
      <c r="B5916" s="6"/>
      <c r="E5916" s="7"/>
      <c r="F5916" t="str">
        <f t="shared" si="209"/>
        <v/>
      </c>
      <c r="G5916" t="str">
        <f t="shared" si="210"/>
        <v/>
      </c>
    </row>
    <row r="5917" spans="2:7">
      <c r="B5917" s="6"/>
      <c r="E5917" s="7"/>
      <c r="F5917" t="str">
        <f t="shared" si="209"/>
        <v/>
      </c>
      <c r="G5917" t="str">
        <f t="shared" si="210"/>
        <v/>
      </c>
    </row>
    <row r="5918" spans="2:7">
      <c r="B5918" s="6"/>
      <c r="E5918" s="7"/>
      <c r="F5918" t="str">
        <f t="shared" si="209"/>
        <v/>
      </c>
      <c r="G5918" t="str">
        <f t="shared" si="210"/>
        <v/>
      </c>
    </row>
    <row r="5919" spans="2:7">
      <c r="B5919" s="6"/>
      <c r="E5919" s="7"/>
      <c r="F5919" t="str">
        <f t="shared" si="209"/>
        <v/>
      </c>
      <c r="G5919" t="str">
        <f t="shared" si="210"/>
        <v/>
      </c>
    </row>
    <row r="5920" spans="2:7">
      <c r="B5920" s="6"/>
      <c r="E5920" s="7"/>
      <c r="F5920" t="str">
        <f t="shared" si="209"/>
        <v/>
      </c>
      <c r="G5920" t="str">
        <f t="shared" si="210"/>
        <v/>
      </c>
    </row>
    <row r="5921" spans="2:7">
      <c r="B5921" s="6"/>
      <c r="E5921" s="7"/>
      <c r="F5921" t="str">
        <f t="shared" si="209"/>
        <v/>
      </c>
      <c r="G5921" t="str">
        <f t="shared" si="210"/>
        <v/>
      </c>
    </row>
    <row r="5922" spans="2:7">
      <c r="B5922" s="6"/>
      <c r="E5922" s="7"/>
      <c r="F5922" t="str">
        <f t="shared" si="209"/>
        <v/>
      </c>
      <c r="G5922" t="str">
        <f t="shared" si="210"/>
        <v/>
      </c>
    </row>
    <row r="5923" spans="2:7">
      <c r="B5923" s="6"/>
      <c r="E5923" s="7"/>
      <c r="F5923" t="str">
        <f t="shared" si="209"/>
        <v/>
      </c>
      <c r="G5923" t="str">
        <f t="shared" si="210"/>
        <v/>
      </c>
    </row>
    <row r="5924" spans="2:7">
      <c r="B5924" s="6"/>
      <c r="E5924" s="7"/>
      <c r="F5924" t="str">
        <f t="shared" si="209"/>
        <v/>
      </c>
      <c r="G5924" t="str">
        <f t="shared" si="210"/>
        <v/>
      </c>
    </row>
    <row r="5925" spans="2:7">
      <c r="B5925" s="6"/>
      <c r="E5925" s="7"/>
      <c r="F5925" t="str">
        <f t="shared" si="209"/>
        <v/>
      </c>
      <c r="G5925" t="str">
        <f t="shared" si="210"/>
        <v/>
      </c>
    </row>
    <row r="5926" spans="2:7">
      <c r="B5926" s="6"/>
      <c r="E5926" s="7"/>
      <c r="F5926" t="str">
        <f t="shared" si="209"/>
        <v/>
      </c>
      <c r="G5926" t="str">
        <f t="shared" si="210"/>
        <v/>
      </c>
    </row>
    <row r="5927" spans="2:7">
      <c r="B5927" s="6"/>
      <c r="E5927" s="7"/>
      <c r="F5927" t="str">
        <f t="shared" si="209"/>
        <v/>
      </c>
      <c r="G5927" t="str">
        <f t="shared" si="210"/>
        <v/>
      </c>
    </row>
    <row r="5928" spans="2:7">
      <c r="B5928" s="6"/>
      <c r="E5928" s="7"/>
      <c r="F5928" t="str">
        <f t="shared" si="209"/>
        <v/>
      </c>
      <c r="G5928" t="str">
        <f t="shared" si="210"/>
        <v/>
      </c>
    </row>
    <row r="5929" spans="2:7">
      <c r="B5929" s="6"/>
      <c r="E5929" s="7"/>
      <c r="F5929" t="str">
        <f t="shared" si="209"/>
        <v/>
      </c>
      <c r="G5929" t="str">
        <f t="shared" si="210"/>
        <v/>
      </c>
    </row>
    <row r="5930" spans="2:7">
      <c r="B5930" s="6"/>
      <c r="E5930" s="7"/>
      <c r="F5930" t="str">
        <f t="shared" si="209"/>
        <v/>
      </c>
      <c r="G5930" t="str">
        <f t="shared" si="210"/>
        <v/>
      </c>
    </row>
    <row r="5931" spans="2:7">
      <c r="B5931" s="6"/>
      <c r="E5931" s="7"/>
      <c r="F5931" t="str">
        <f t="shared" si="209"/>
        <v/>
      </c>
      <c r="G5931" t="str">
        <f t="shared" si="210"/>
        <v/>
      </c>
    </row>
    <row r="5932" spans="2:7">
      <c r="B5932" s="6"/>
      <c r="E5932" s="7"/>
      <c r="F5932" t="str">
        <f t="shared" si="209"/>
        <v/>
      </c>
      <c r="G5932" t="str">
        <f t="shared" si="210"/>
        <v/>
      </c>
    </row>
    <row r="5933" spans="2:7">
      <c r="B5933" s="6"/>
      <c r="E5933" s="7"/>
      <c r="F5933" t="str">
        <f t="shared" si="209"/>
        <v/>
      </c>
      <c r="G5933" t="str">
        <f t="shared" si="210"/>
        <v/>
      </c>
    </row>
    <row r="5934" spans="2:7">
      <c r="B5934" s="6"/>
      <c r="E5934" s="7"/>
      <c r="F5934" t="str">
        <f t="shared" si="209"/>
        <v/>
      </c>
      <c r="G5934" t="str">
        <f t="shared" si="210"/>
        <v/>
      </c>
    </row>
    <row r="5935" spans="2:7">
      <c r="B5935" s="6"/>
      <c r="E5935" s="7"/>
      <c r="F5935" t="str">
        <f t="shared" si="209"/>
        <v/>
      </c>
      <c r="G5935" t="str">
        <f t="shared" si="210"/>
        <v/>
      </c>
    </row>
    <row r="5936" spans="2:7">
      <c r="B5936" s="6"/>
      <c r="E5936" s="7"/>
      <c r="F5936" t="str">
        <f t="shared" si="209"/>
        <v/>
      </c>
      <c r="G5936" t="str">
        <f t="shared" si="210"/>
        <v/>
      </c>
    </row>
    <row r="5937" spans="2:7">
      <c r="B5937" s="6"/>
      <c r="E5937" s="7"/>
      <c r="F5937" t="str">
        <f t="shared" si="209"/>
        <v/>
      </c>
      <c r="G5937" t="str">
        <f t="shared" si="210"/>
        <v/>
      </c>
    </row>
    <row r="5938" spans="2:7">
      <c r="B5938" s="6"/>
      <c r="E5938" s="7"/>
      <c r="F5938" t="str">
        <f t="shared" si="209"/>
        <v/>
      </c>
      <c r="G5938" t="str">
        <f t="shared" si="210"/>
        <v/>
      </c>
    </row>
    <row r="5939" spans="2:7">
      <c r="B5939" s="6"/>
      <c r="E5939" s="7"/>
      <c r="F5939" t="str">
        <f t="shared" si="209"/>
        <v/>
      </c>
      <c r="G5939" t="str">
        <f t="shared" si="210"/>
        <v/>
      </c>
    </row>
    <row r="5940" spans="2:7">
      <c r="B5940" s="6"/>
      <c r="E5940" s="7"/>
      <c r="F5940" t="str">
        <f t="shared" si="209"/>
        <v/>
      </c>
      <c r="G5940" t="str">
        <f t="shared" si="210"/>
        <v/>
      </c>
    </row>
    <row r="5941" spans="2:7">
      <c r="B5941" s="6"/>
      <c r="E5941" s="7"/>
      <c r="F5941" t="str">
        <f t="shared" si="209"/>
        <v/>
      </c>
      <c r="G5941" t="str">
        <f t="shared" si="210"/>
        <v/>
      </c>
    </row>
    <row r="5942" spans="2:7">
      <c r="B5942" s="6"/>
      <c r="E5942" s="7"/>
      <c r="F5942" t="str">
        <f t="shared" si="209"/>
        <v/>
      </c>
      <c r="G5942" t="str">
        <f t="shared" si="210"/>
        <v/>
      </c>
    </row>
    <row r="5943" spans="2:7">
      <c r="B5943" s="6"/>
      <c r="E5943" s="7"/>
      <c r="F5943" t="str">
        <f t="shared" si="209"/>
        <v/>
      </c>
      <c r="G5943" t="str">
        <f t="shared" si="210"/>
        <v/>
      </c>
    </row>
    <row r="5944" spans="2:7">
      <c r="B5944" s="6"/>
      <c r="E5944" s="7"/>
      <c r="F5944" t="str">
        <f t="shared" si="209"/>
        <v/>
      </c>
      <c r="G5944" t="str">
        <f t="shared" si="210"/>
        <v/>
      </c>
    </row>
    <row r="5945" spans="2:7">
      <c r="B5945" s="6"/>
      <c r="E5945" s="7"/>
      <c r="F5945" t="str">
        <f t="shared" si="209"/>
        <v/>
      </c>
      <c r="G5945" t="str">
        <f t="shared" si="210"/>
        <v/>
      </c>
    </row>
    <row r="5946" spans="2:7">
      <c r="B5946" s="6"/>
      <c r="E5946" s="7"/>
      <c r="F5946" t="str">
        <f t="shared" si="209"/>
        <v/>
      </c>
      <c r="G5946" t="str">
        <f t="shared" si="210"/>
        <v/>
      </c>
    </row>
    <row r="5947" spans="2:7">
      <c r="B5947" s="6"/>
      <c r="E5947" s="7"/>
      <c r="F5947" t="str">
        <f t="shared" si="209"/>
        <v/>
      </c>
      <c r="G5947" t="str">
        <f t="shared" si="210"/>
        <v/>
      </c>
    </row>
    <row r="5948" spans="2:7">
      <c r="B5948" s="6"/>
      <c r="E5948" s="7"/>
      <c r="F5948" t="str">
        <f t="shared" si="209"/>
        <v/>
      </c>
      <c r="G5948" t="str">
        <f t="shared" si="210"/>
        <v/>
      </c>
    </row>
    <row r="5949" spans="2:7">
      <c r="B5949" s="6"/>
      <c r="E5949" s="7"/>
      <c r="F5949" t="str">
        <f t="shared" si="209"/>
        <v/>
      </c>
      <c r="G5949" t="str">
        <f t="shared" si="210"/>
        <v/>
      </c>
    </row>
    <row r="5950" spans="2:7">
      <c r="B5950" s="6"/>
      <c r="E5950" s="7"/>
      <c r="F5950" t="str">
        <f t="shared" si="209"/>
        <v/>
      </c>
      <c r="G5950" t="str">
        <f t="shared" si="210"/>
        <v/>
      </c>
    </row>
    <row r="5951" spans="2:7">
      <c r="B5951" s="6"/>
      <c r="E5951" s="7"/>
      <c r="F5951" t="str">
        <f t="shared" si="209"/>
        <v/>
      </c>
      <c r="G5951" t="str">
        <f t="shared" si="210"/>
        <v/>
      </c>
    </row>
    <row r="5952" spans="2:7">
      <c r="B5952" s="6"/>
      <c r="E5952" s="7"/>
      <c r="F5952" t="str">
        <f t="shared" si="209"/>
        <v/>
      </c>
      <c r="G5952" t="str">
        <f t="shared" si="210"/>
        <v/>
      </c>
    </row>
    <row r="5953" spans="2:7">
      <c r="B5953" s="6"/>
      <c r="E5953" s="7"/>
      <c r="F5953" t="str">
        <f t="shared" si="209"/>
        <v/>
      </c>
      <c r="G5953" t="str">
        <f t="shared" si="210"/>
        <v/>
      </c>
    </row>
    <row r="5954" spans="2:7">
      <c r="B5954" s="6"/>
      <c r="E5954" s="7"/>
      <c r="F5954" t="str">
        <f t="shared" si="209"/>
        <v/>
      </c>
      <c r="G5954" t="str">
        <f t="shared" si="210"/>
        <v/>
      </c>
    </row>
    <row r="5955" spans="2:7">
      <c r="B5955" s="6"/>
      <c r="E5955" s="7"/>
      <c r="F5955" t="str">
        <f t="shared" si="209"/>
        <v/>
      </c>
      <c r="G5955" t="str">
        <f t="shared" si="210"/>
        <v/>
      </c>
    </row>
    <row r="5956" spans="2:7">
      <c r="B5956" s="6"/>
      <c r="E5956" s="7"/>
      <c r="F5956" t="str">
        <f t="shared" ref="F5956:F6019" si="211">IF(B5956="","",LOG10(D5956))</f>
        <v/>
      </c>
      <c r="G5956" t="str">
        <f t="shared" ref="G5956:G6019" si="212">IF(E5956="", "",0.434*E5956/D5956)</f>
        <v/>
      </c>
    </row>
    <row r="5957" spans="2:7">
      <c r="B5957" s="6"/>
      <c r="E5957" s="7"/>
      <c r="F5957" t="str">
        <f t="shared" si="211"/>
        <v/>
      </c>
      <c r="G5957" t="str">
        <f t="shared" si="212"/>
        <v/>
      </c>
    </row>
    <row r="5958" spans="2:7">
      <c r="B5958" s="6"/>
      <c r="E5958" s="7"/>
      <c r="F5958" t="str">
        <f t="shared" si="211"/>
        <v/>
      </c>
      <c r="G5958" t="str">
        <f t="shared" si="212"/>
        <v/>
      </c>
    </row>
    <row r="5959" spans="2:7">
      <c r="B5959" s="6"/>
      <c r="E5959" s="7"/>
      <c r="F5959" t="str">
        <f t="shared" si="211"/>
        <v/>
      </c>
      <c r="G5959" t="str">
        <f t="shared" si="212"/>
        <v/>
      </c>
    </row>
    <row r="5960" spans="2:7">
      <c r="B5960" s="6"/>
      <c r="E5960" s="7"/>
      <c r="F5960" t="str">
        <f t="shared" si="211"/>
        <v/>
      </c>
      <c r="G5960" t="str">
        <f t="shared" si="212"/>
        <v/>
      </c>
    </row>
    <row r="5961" spans="2:7">
      <c r="B5961" s="6"/>
      <c r="E5961" s="7"/>
      <c r="F5961" t="str">
        <f t="shared" si="211"/>
        <v/>
      </c>
      <c r="G5961" t="str">
        <f t="shared" si="212"/>
        <v/>
      </c>
    </row>
    <row r="5962" spans="2:7">
      <c r="B5962" s="6"/>
      <c r="E5962" s="7"/>
      <c r="F5962" t="str">
        <f t="shared" si="211"/>
        <v/>
      </c>
      <c r="G5962" t="str">
        <f t="shared" si="212"/>
        <v/>
      </c>
    </row>
    <row r="5963" spans="2:7">
      <c r="B5963" s="6"/>
      <c r="E5963" s="7"/>
      <c r="F5963" t="str">
        <f t="shared" si="211"/>
        <v/>
      </c>
      <c r="G5963" t="str">
        <f t="shared" si="212"/>
        <v/>
      </c>
    </row>
    <row r="5964" spans="2:7">
      <c r="B5964" s="6"/>
      <c r="E5964" s="7"/>
      <c r="F5964" t="str">
        <f t="shared" si="211"/>
        <v/>
      </c>
      <c r="G5964" t="str">
        <f t="shared" si="212"/>
        <v/>
      </c>
    </row>
    <row r="5965" spans="2:7">
      <c r="B5965" s="6"/>
      <c r="E5965" s="7"/>
      <c r="F5965" t="str">
        <f t="shared" si="211"/>
        <v/>
      </c>
      <c r="G5965" t="str">
        <f t="shared" si="212"/>
        <v/>
      </c>
    </row>
    <row r="5966" spans="2:7">
      <c r="B5966" s="6"/>
      <c r="E5966" s="7"/>
      <c r="F5966" t="str">
        <f t="shared" si="211"/>
        <v/>
      </c>
      <c r="G5966" t="str">
        <f t="shared" si="212"/>
        <v/>
      </c>
    </row>
    <row r="5967" spans="2:7">
      <c r="B5967" s="6"/>
      <c r="E5967" s="7"/>
      <c r="F5967" t="str">
        <f t="shared" si="211"/>
        <v/>
      </c>
      <c r="G5967" t="str">
        <f t="shared" si="212"/>
        <v/>
      </c>
    </row>
    <row r="5968" spans="2:7">
      <c r="B5968" s="6"/>
      <c r="E5968" s="7"/>
      <c r="F5968" t="str">
        <f t="shared" si="211"/>
        <v/>
      </c>
      <c r="G5968" t="str">
        <f t="shared" si="212"/>
        <v/>
      </c>
    </row>
    <row r="5969" spans="2:7">
      <c r="B5969" s="6"/>
      <c r="E5969" s="7"/>
      <c r="F5969" t="str">
        <f t="shared" si="211"/>
        <v/>
      </c>
      <c r="G5969" t="str">
        <f t="shared" si="212"/>
        <v/>
      </c>
    </row>
    <row r="5970" spans="2:7">
      <c r="B5970" s="6"/>
      <c r="E5970" s="7"/>
      <c r="F5970" t="str">
        <f t="shared" si="211"/>
        <v/>
      </c>
      <c r="G5970" t="str">
        <f t="shared" si="212"/>
        <v/>
      </c>
    </row>
    <row r="5971" spans="2:7">
      <c r="B5971" s="6"/>
      <c r="E5971" s="7"/>
      <c r="F5971" t="str">
        <f t="shared" si="211"/>
        <v/>
      </c>
      <c r="G5971" t="str">
        <f t="shared" si="212"/>
        <v/>
      </c>
    </row>
    <row r="5972" spans="2:7">
      <c r="B5972" s="6"/>
      <c r="E5972" s="7"/>
      <c r="F5972" t="str">
        <f t="shared" si="211"/>
        <v/>
      </c>
      <c r="G5972" t="str">
        <f t="shared" si="212"/>
        <v/>
      </c>
    </row>
    <row r="5973" spans="2:7">
      <c r="B5973" s="6"/>
      <c r="E5973" s="7"/>
      <c r="F5973" t="str">
        <f t="shared" si="211"/>
        <v/>
      </c>
      <c r="G5973" t="str">
        <f t="shared" si="212"/>
        <v/>
      </c>
    </row>
    <row r="5974" spans="2:7">
      <c r="B5974" s="6"/>
      <c r="E5974" s="7"/>
      <c r="F5974" t="str">
        <f t="shared" si="211"/>
        <v/>
      </c>
      <c r="G5974" t="str">
        <f t="shared" si="212"/>
        <v/>
      </c>
    </row>
    <row r="5975" spans="2:7">
      <c r="B5975" s="6"/>
      <c r="E5975" s="7"/>
      <c r="F5975" t="str">
        <f t="shared" si="211"/>
        <v/>
      </c>
      <c r="G5975" t="str">
        <f t="shared" si="212"/>
        <v/>
      </c>
    </row>
    <row r="5976" spans="2:7">
      <c r="B5976" s="6"/>
      <c r="E5976" s="7"/>
      <c r="F5976" t="str">
        <f t="shared" si="211"/>
        <v/>
      </c>
      <c r="G5976" t="str">
        <f t="shared" si="212"/>
        <v/>
      </c>
    </row>
    <row r="5977" spans="2:7">
      <c r="B5977" s="6"/>
      <c r="E5977" s="7"/>
      <c r="F5977" t="str">
        <f t="shared" si="211"/>
        <v/>
      </c>
      <c r="G5977" t="str">
        <f t="shared" si="212"/>
        <v/>
      </c>
    </row>
    <row r="5978" spans="2:7">
      <c r="B5978" s="6"/>
      <c r="E5978" s="7"/>
      <c r="F5978" t="str">
        <f t="shared" si="211"/>
        <v/>
      </c>
      <c r="G5978" t="str">
        <f t="shared" si="212"/>
        <v/>
      </c>
    </row>
    <row r="5979" spans="2:7">
      <c r="B5979" s="6"/>
      <c r="E5979" s="7"/>
      <c r="F5979" t="str">
        <f t="shared" si="211"/>
        <v/>
      </c>
      <c r="G5979" t="str">
        <f t="shared" si="212"/>
        <v/>
      </c>
    </row>
    <row r="5980" spans="2:7">
      <c r="B5980" s="6"/>
      <c r="E5980" s="7"/>
      <c r="F5980" t="str">
        <f t="shared" si="211"/>
        <v/>
      </c>
      <c r="G5980" t="str">
        <f t="shared" si="212"/>
        <v/>
      </c>
    </row>
    <row r="5981" spans="2:7">
      <c r="B5981" s="6"/>
      <c r="E5981" s="7"/>
      <c r="F5981" t="str">
        <f t="shared" si="211"/>
        <v/>
      </c>
      <c r="G5981" t="str">
        <f t="shared" si="212"/>
        <v/>
      </c>
    </row>
    <row r="5982" spans="2:7">
      <c r="B5982" s="6"/>
      <c r="E5982" s="7"/>
      <c r="F5982" t="str">
        <f t="shared" si="211"/>
        <v/>
      </c>
      <c r="G5982" t="str">
        <f t="shared" si="212"/>
        <v/>
      </c>
    </row>
    <row r="5983" spans="2:7">
      <c r="B5983" s="6"/>
      <c r="E5983" s="7"/>
      <c r="F5983" t="str">
        <f t="shared" si="211"/>
        <v/>
      </c>
      <c r="G5983" t="str">
        <f t="shared" si="212"/>
        <v/>
      </c>
    </row>
    <row r="5984" spans="2:7">
      <c r="B5984" s="6"/>
      <c r="E5984" s="7"/>
      <c r="F5984" t="str">
        <f t="shared" si="211"/>
        <v/>
      </c>
      <c r="G5984" t="str">
        <f t="shared" si="212"/>
        <v/>
      </c>
    </row>
    <row r="5985" spans="2:7">
      <c r="B5985" s="6"/>
      <c r="E5985" s="7"/>
      <c r="F5985" t="str">
        <f t="shared" si="211"/>
        <v/>
      </c>
      <c r="G5985" t="str">
        <f t="shared" si="212"/>
        <v/>
      </c>
    </row>
    <row r="5986" spans="2:7">
      <c r="B5986" s="6"/>
      <c r="E5986" s="7"/>
      <c r="F5986" t="str">
        <f t="shared" si="211"/>
        <v/>
      </c>
      <c r="G5986" t="str">
        <f t="shared" si="212"/>
        <v/>
      </c>
    </row>
    <row r="5987" spans="2:7">
      <c r="B5987" s="6"/>
      <c r="E5987" s="7"/>
      <c r="F5987" t="str">
        <f t="shared" si="211"/>
        <v/>
      </c>
      <c r="G5987" t="str">
        <f t="shared" si="212"/>
        <v/>
      </c>
    </row>
    <row r="5988" spans="2:7">
      <c r="B5988" s="6"/>
      <c r="E5988" s="7"/>
      <c r="F5988" t="str">
        <f t="shared" si="211"/>
        <v/>
      </c>
      <c r="G5988" t="str">
        <f t="shared" si="212"/>
        <v/>
      </c>
    </row>
    <row r="5989" spans="2:7">
      <c r="B5989" s="6"/>
      <c r="E5989" s="7"/>
      <c r="F5989" t="str">
        <f t="shared" si="211"/>
        <v/>
      </c>
      <c r="G5989" t="str">
        <f t="shared" si="212"/>
        <v/>
      </c>
    </row>
    <row r="5990" spans="2:7">
      <c r="B5990" s="6"/>
      <c r="E5990" s="7"/>
      <c r="F5990" t="str">
        <f t="shared" si="211"/>
        <v/>
      </c>
      <c r="G5990" t="str">
        <f t="shared" si="212"/>
        <v/>
      </c>
    </row>
    <row r="5991" spans="2:7">
      <c r="B5991" s="6"/>
      <c r="E5991" s="7"/>
      <c r="F5991" t="str">
        <f t="shared" si="211"/>
        <v/>
      </c>
      <c r="G5991" t="str">
        <f t="shared" si="212"/>
        <v/>
      </c>
    </row>
    <row r="5992" spans="2:7">
      <c r="B5992" s="6"/>
      <c r="E5992" s="7"/>
      <c r="F5992" t="str">
        <f t="shared" si="211"/>
        <v/>
      </c>
      <c r="G5992" t="str">
        <f t="shared" si="212"/>
        <v/>
      </c>
    </row>
    <row r="5993" spans="2:7">
      <c r="B5993" s="6"/>
      <c r="E5993" s="7"/>
      <c r="F5993" t="str">
        <f t="shared" si="211"/>
        <v/>
      </c>
      <c r="G5993" t="str">
        <f t="shared" si="212"/>
        <v/>
      </c>
    </row>
    <row r="5994" spans="2:7">
      <c r="B5994" s="6"/>
      <c r="E5994" s="7"/>
      <c r="F5994" t="str">
        <f t="shared" si="211"/>
        <v/>
      </c>
      <c r="G5994" t="str">
        <f t="shared" si="212"/>
        <v/>
      </c>
    </row>
    <row r="5995" spans="2:7">
      <c r="B5995" s="6"/>
      <c r="E5995" s="7"/>
      <c r="F5995" t="str">
        <f t="shared" si="211"/>
        <v/>
      </c>
      <c r="G5995" t="str">
        <f t="shared" si="212"/>
        <v/>
      </c>
    </row>
    <row r="5996" spans="2:7">
      <c r="B5996" s="6"/>
      <c r="E5996" s="7"/>
      <c r="F5996" t="str">
        <f t="shared" si="211"/>
        <v/>
      </c>
      <c r="G5996" t="str">
        <f t="shared" si="212"/>
        <v/>
      </c>
    </row>
    <row r="5997" spans="2:7">
      <c r="B5997" s="6"/>
      <c r="E5997" s="7"/>
      <c r="F5997" t="str">
        <f t="shared" si="211"/>
        <v/>
      </c>
      <c r="G5997" t="str">
        <f t="shared" si="212"/>
        <v/>
      </c>
    </row>
    <row r="5998" spans="2:7">
      <c r="B5998" s="6"/>
      <c r="E5998" s="7"/>
      <c r="F5998" t="str">
        <f t="shared" si="211"/>
        <v/>
      </c>
      <c r="G5998" t="str">
        <f t="shared" si="212"/>
        <v/>
      </c>
    </row>
    <row r="5999" spans="2:7">
      <c r="B5999" s="6"/>
      <c r="E5999" s="7"/>
      <c r="F5999" t="str">
        <f t="shared" si="211"/>
        <v/>
      </c>
      <c r="G5999" t="str">
        <f t="shared" si="212"/>
        <v/>
      </c>
    </row>
    <row r="6000" spans="2:7">
      <c r="B6000" s="6"/>
      <c r="E6000" s="7"/>
      <c r="F6000" t="str">
        <f t="shared" si="211"/>
        <v/>
      </c>
      <c r="G6000" t="str">
        <f t="shared" si="212"/>
        <v/>
      </c>
    </row>
    <row r="6001" spans="2:7">
      <c r="B6001" s="6"/>
      <c r="E6001" s="7"/>
      <c r="F6001" t="str">
        <f t="shared" si="211"/>
        <v/>
      </c>
      <c r="G6001" t="str">
        <f t="shared" si="212"/>
        <v/>
      </c>
    </row>
    <row r="6002" spans="2:7">
      <c r="B6002" s="6"/>
      <c r="E6002" s="7"/>
      <c r="F6002" t="str">
        <f t="shared" si="211"/>
        <v/>
      </c>
      <c r="G6002" t="str">
        <f t="shared" si="212"/>
        <v/>
      </c>
    </row>
    <row r="6003" spans="2:7">
      <c r="B6003" s="6"/>
      <c r="E6003" s="7"/>
      <c r="F6003" t="str">
        <f t="shared" si="211"/>
        <v/>
      </c>
      <c r="G6003" t="str">
        <f t="shared" si="212"/>
        <v/>
      </c>
    </row>
    <row r="6004" spans="2:7">
      <c r="B6004" s="6"/>
      <c r="E6004" s="7"/>
      <c r="F6004" t="str">
        <f t="shared" si="211"/>
        <v/>
      </c>
      <c r="G6004" t="str">
        <f t="shared" si="212"/>
        <v/>
      </c>
    </row>
    <row r="6005" spans="2:7">
      <c r="B6005" s="6"/>
      <c r="E6005" s="7"/>
      <c r="F6005" t="str">
        <f t="shared" si="211"/>
        <v/>
      </c>
      <c r="G6005" t="str">
        <f t="shared" si="212"/>
        <v/>
      </c>
    </row>
    <row r="6006" spans="2:7">
      <c r="B6006" s="6"/>
      <c r="E6006" s="7"/>
      <c r="F6006" t="str">
        <f t="shared" si="211"/>
        <v/>
      </c>
      <c r="G6006" t="str">
        <f t="shared" si="212"/>
        <v/>
      </c>
    </row>
    <row r="6007" spans="2:7">
      <c r="B6007" s="6"/>
      <c r="E6007" s="7"/>
      <c r="F6007" t="str">
        <f t="shared" si="211"/>
        <v/>
      </c>
      <c r="G6007" t="str">
        <f t="shared" si="212"/>
        <v/>
      </c>
    </row>
    <row r="6008" spans="2:7">
      <c r="B6008" s="6"/>
      <c r="E6008" s="7"/>
      <c r="F6008" t="str">
        <f t="shared" si="211"/>
        <v/>
      </c>
      <c r="G6008" t="str">
        <f t="shared" si="212"/>
        <v/>
      </c>
    </row>
    <row r="6009" spans="2:7">
      <c r="B6009" s="6"/>
      <c r="E6009" s="7"/>
      <c r="F6009" t="str">
        <f t="shared" si="211"/>
        <v/>
      </c>
      <c r="G6009" t="str">
        <f t="shared" si="212"/>
        <v/>
      </c>
    </row>
    <row r="6010" spans="2:7">
      <c r="B6010" s="6"/>
      <c r="E6010" s="7"/>
      <c r="F6010" t="str">
        <f t="shared" si="211"/>
        <v/>
      </c>
      <c r="G6010" t="str">
        <f t="shared" si="212"/>
        <v/>
      </c>
    </row>
    <row r="6011" spans="2:7">
      <c r="B6011" s="6"/>
      <c r="E6011" s="7"/>
      <c r="F6011" t="str">
        <f t="shared" si="211"/>
        <v/>
      </c>
      <c r="G6011" t="str">
        <f t="shared" si="212"/>
        <v/>
      </c>
    </row>
    <row r="6012" spans="2:7">
      <c r="B6012" s="6"/>
      <c r="E6012" s="7"/>
      <c r="F6012" t="str">
        <f t="shared" si="211"/>
        <v/>
      </c>
      <c r="G6012" t="str">
        <f t="shared" si="212"/>
        <v/>
      </c>
    </row>
    <row r="6013" spans="2:7">
      <c r="B6013" s="6"/>
      <c r="E6013" s="7"/>
      <c r="F6013" t="str">
        <f t="shared" si="211"/>
        <v/>
      </c>
      <c r="G6013" t="str">
        <f t="shared" si="212"/>
        <v/>
      </c>
    </row>
    <row r="6014" spans="2:7">
      <c r="B6014" s="6"/>
      <c r="E6014" s="7"/>
      <c r="F6014" t="str">
        <f t="shared" si="211"/>
        <v/>
      </c>
      <c r="G6014" t="str">
        <f t="shared" si="212"/>
        <v/>
      </c>
    </row>
    <row r="6015" spans="2:7">
      <c r="B6015" s="6"/>
      <c r="E6015" s="7"/>
      <c r="F6015" t="str">
        <f t="shared" si="211"/>
        <v/>
      </c>
      <c r="G6015" t="str">
        <f t="shared" si="212"/>
        <v/>
      </c>
    </row>
    <row r="6016" spans="2:7">
      <c r="B6016" s="6"/>
      <c r="E6016" s="7"/>
      <c r="F6016" t="str">
        <f t="shared" si="211"/>
        <v/>
      </c>
      <c r="G6016" t="str">
        <f t="shared" si="212"/>
        <v/>
      </c>
    </row>
    <row r="6017" spans="2:7">
      <c r="B6017" s="6"/>
      <c r="E6017" s="7"/>
      <c r="F6017" t="str">
        <f t="shared" si="211"/>
        <v/>
      </c>
      <c r="G6017" t="str">
        <f t="shared" si="212"/>
        <v/>
      </c>
    </row>
    <row r="6018" spans="2:7">
      <c r="B6018" s="6"/>
      <c r="E6018" s="7"/>
      <c r="F6018" t="str">
        <f t="shared" si="211"/>
        <v/>
      </c>
      <c r="G6018" t="str">
        <f t="shared" si="212"/>
        <v/>
      </c>
    </row>
    <row r="6019" spans="2:7">
      <c r="B6019" s="6"/>
      <c r="E6019" s="7"/>
      <c r="F6019" t="str">
        <f t="shared" si="211"/>
        <v/>
      </c>
      <c r="G6019" t="str">
        <f t="shared" si="212"/>
        <v/>
      </c>
    </row>
    <row r="6020" spans="2:7">
      <c r="B6020" s="6"/>
      <c r="E6020" s="7"/>
      <c r="F6020" t="str">
        <f t="shared" ref="F6020:F6083" si="213">IF(B6020="","",LOG10(D6020))</f>
        <v/>
      </c>
      <c r="G6020" t="str">
        <f t="shared" ref="G6020:G6083" si="214">IF(E6020="", "",0.434*E6020/D6020)</f>
        <v/>
      </c>
    </row>
    <row r="6021" spans="2:7">
      <c r="B6021" s="6"/>
      <c r="E6021" s="7"/>
      <c r="F6021" t="str">
        <f t="shared" si="213"/>
        <v/>
      </c>
      <c r="G6021" t="str">
        <f t="shared" si="214"/>
        <v/>
      </c>
    </row>
    <row r="6022" spans="2:7">
      <c r="B6022" s="6"/>
      <c r="E6022" s="7"/>
      <c r="F6022" t="str">
        <f t="shared" si="213"/>
        <v/>
      </c>
      <c r="G6022" t="str">
        <f t="shared" si="214"/>
        <v/>
      </c>
    </row>
    <row r="6023" spans="2:7">
      <c r="B6023" s="6"/>
      <c r="E6023" s="7"/>
      <c r="F6023" t="str">
        <f t="shared" si="213"/>
        <v/>
      </c>
      <c r="G6023" t="str">
        <f t="shared" si="214"/>
        <v/>
      </c>
    </row>
    <row r="6024" spans="2:7">
      <c r="B6024" s="6"/>
      <c r="E6024" s="7"/>
      <c r="F6024" t="str">
        <f t="shared" si="213"/>
        <v/>
      </c>
      <c r="G6024" t="str">
        <f t="shared" si="214"/>
        <v/>
      </c>
    </row>
    <row r="6025" spans="2:7">
      <c r="B6025" s="6"/>
      <c r="E6025" s="7"/>
      <c r="F6025" t="str">
        <f t="shared" si="213"/>
        <v/>
      </c>
      <c r="G6025" t="str">
        <f t="shared" si="214"/>
        <v/>
      </c>
    </row>
    <row r="6026" spans="2:7">
      <c r="B6026" s="6"/>
      <c r="E6026" s="7"/>
      <c r="F6026" t="str">
        <f t="shared" si="213"/>
        <v/>
      </c>
      <c r="G6026" t="str">
        <f t="shared" si="214"/>
        <v/>
      </c>
    </row>
    <row r="6027" spans="2:7">
      <c r="B6027" s="6"/>
      <c r="E6027" s="7"/>
      <c r="F6027" t="str">
        <f t="shared" si="213"/>
        <v/>
      </c>
      <c r="G6027" t="str">
        <f t="shared" si="214"/>
        <v/>
      </c>
    </row>
    <row r="6028" spans="2:7">
      <c r="B6028" s="6"/>
      <c r="E6028" s="7"/>
      <c r="F6028" t="str">
        <f t="shared" si="213"/>
        <v/>
      </c>
      <c r="G6028" t="str">
        <f t="shared" si="214"/>
        <v/>
      </c>
    </row>
    <row r="6029" spans="2:7">
      <c r="B6029" s="6"/>
      <c r="E6029" s="7"/>
      <c r="F6029" t="str">
        <f t="shared" si="213"/>
        <v/>
      </c>
      <c r="G6029" t="str">
        <f t="shared" si="214"/>
        <v/>
      </c>
    </row>
    <row r="6030" spans="2:7">
      <c r="B6030" s="6"/>
      <c r="E6030" s="7"/>
      <c r="F6030" t="str">
        <f t="shared" si="213"/>
        <v/>
      </c>
      <c r="G6030" t="str">
        <f t="shared" si="214"/>
        <v/>
      </c>
    </row>
    <row r="6031" spans="2:7">
      <c r="B6031" s="6"/>
      <c r="E6031" s="7"/>
      <c r="F6031" t="str">
        <f t="shared" si="213"/>
        <v/>
      </c>
      <c r="G6031" t="str">
        <f t="shared" si="214"/>
        <v/>
      </c>
    </row>
    <row r="6032" spans="2:7">
      <c r="B6032" s="6"/>
      <c r="E6032" s="7"/>
      <c r="F6032" t="str">
        <f t="shared" si="213"/>
        <v/>
      </c>
      <c r="G6032" t="str">
        <f t="shared" si="214"/>
        <v/>
      </c>
    </row>
    <row r="6033" spans="2:7">
      <c r="B6033" s="6"/>
      <c r="E6033" s="7"/>
      <c r="F6033" t="str">
        <f t="shared" si="213"/>
        <v/>
      </c>
      <c r="G6033" t="str">
        <f t="shared" si="214"/>
        <v/>
      </c>
    </row>
    <row r="6034" spans="2:7">
      <c r="B6034" s="6"/>
      <c r="E6034" s="7"/>
      <c r="F6034" t="str">
        <f t="shared" si="213"/>
        <v/>
      </c>
      <c r="G6034" t="str">
        <f t="shared" si="214"/>
        <v/>
      </c>
    </row>
    <row r="6035" spans="2:7">
      <c r="B6035" s="6"/>
      <c r="E6035" s="7"/>
      <c r="F6035" t="str">
        <f t="shared" si="213"/>
        <v/>
      </c>
      <c r="G6035" t="str">
        <f t="shared" si="214"/>
        <v/>
      </c>
    </row>
    <row r="6036" spans="2:7">
      <c r="B6036" s="6"/>
      <c r="E6036" s="7"/>
      <c r="F6036" t="str">
        <f t="shared" si="213"/>
        <v/>
      </c>
      <c r="G6036" t="str">
        <f t="shared" si="214"/>
        <v/>
      </c>
    </row>
    <row r="6037" spans="2:7">
      <c r="B6037" s="6"/>
      <c r="E6037" s="7"/>
      <c r="F6037" t="str">
        <f t="shared" si="213"/>
        <v/>
      </c>
      <c r="G6037" t="str">
        <f t="shared" si="214"/>
        <v/>
      </c>
    </row>
    <row r="6038" spans="2:7">
      <c r="B6038" s="6"/>
      <c r="E6038" s="7"/>
      <c r="F6038" t="str">
        <f t="shared" si="213"/>
        <v/>
      </c>
      <c r="G6038" t="str">
        <f t="shared" si="214"/>
        <v/>
      </c>
    </row>
    <row r="6039" spans="2:7">
      <c r="B6039" s="6"/>
      <c r="E6039" s="7"/>
      <c r="F6039" t="str">
        <f t="shared" si="213"/>
        <v/>
      </c>
      <c r="G6039" t="str">
        <f t="shared" si="214"/>
        <v/>
      </c>
    </row>
    <row r="6040" spans="2:7">
      <c r="B6040" s="6"/>
      <c r="E6040" s="7"/>
      <c r="F6040" t="str">
        <f t="shared" si="213"/>
        <v/>
      </c>
      <c r="G6040" t="str">
        <f t="shared" si="214"/>
        <v/>
      </c>
    </row>
    <row r="6041" spans="2:7">
      <c r="B6041" s="6"/>
      <c r="E6041" s="7"/>
      <c r="F6041" t="str">
        <f t="shared" si="213"/>
        <v/>
      </c>
      <c r="G6041" t="str">
        <f t="shared" si="214"/>
        <v/>
      </c>
    </row>
    <row r="6042" spans="2:7">
      <c r="B6042" s="6"/>
      <c r="E6042" s="7"/>
      <c r="F6042" t="str">
        <f t="shared" si="213"/>
        <v/>
      </c>
      <c r="G6042" t="str">
        <f t="shared" si="214"/>
        <v/>
      </c>
    </row>
    <row r="6043" spans="2:7">
      <c r="B6043" s="6"/>
      <c r="E6043" s="7"/>
      <c r="F6043" t="str">
        <f t="shared" si="213"/>
        <v/>
      </c>
      <c r="G6043" t="str">
        <f t="shared" si="214"/>
        <v/>
      </c>
    </row>
    <row r="6044" spans="2:7">
      <c r="B6044" s="6"/>
      <c r="E6044" s="7"/>
      <c r="F6044" t="str">
        <f t="shared" si="213"/>
        <v/>
      </c>
      <c r="G6044" t="str">
        <f t="shared" si="214"/>
        <v/>
      </c>
    </row>
    <row r="6045" spans="2:7">
      <c r="B6045" s="6"/>
      <c r="E6045" s="7"/>
      <c r="F6045" t="str">
        <f t="shared" si="213"/>
        <v/>
      </c>
      <c r="G6045" t="str">
        <f t="shared" si="214"/>
        <v/>
      </c>
    </row>
    <row r="6046" spans="2:7">
      <c r="B6046" s="6"/>
      <c r="E6046" s="7"/>
      <c r="F6046" t="str">
        <f t="shared" si="213"/>
        <v/>
      </c>
      <c r="G6046" t="str">
        <f t="shared" si="214"/>
        <v/>
      </c>
    </row>
    <row r="6047" spans="2:7">
      <c r="B6047" s="6"/>
      <c r="E6047" s="7"/>
      <c r="F6047" t="str">
        <f t="shared" si="213"/>
        <v/>
      </c>
      <c r="G6047" t="str">
        <f t="shared" si="214"/>
        <v/>
      </c>
    </row>
    <row r="6048" spans="2:7">
      <c r="B6048" s="6"/>
      <c r="E6048" s="7"/>
      <c r="F6048" t="str">
        <f t="shared" si="213"/>
        <v/>
      </c>
      <c r="G6048" t="str">
        <f t="shared" si="214"/>
        <v/>
      </c>
    </row>
    <row r="6049" spans="2:7">
      <c r="B6049" s="6"/>
      <c r="E6049" s="7"/>
      <c r="F6049" t="str">
        <f t="shared" si="213"/>
        <v/>
      </c>
      <c r="G6049" t="str">
        <f t="shared" si="214"/>
        <v/>
      </c>
    </row>
    <row r="6050" spans="2:7">
      <c r="B6050" s="6"/>
      <c r="E6050" s="7"/>
      <c r="F6050" t="str">
        <f t="shared" si="213"/>
        <v/>
      </c>
      <c r="G6050" t="str">
        <f t="shared" si="214"/>
        <v/>
      </c>
    </row>
    <row r="6051" spans="2:7">
      <c r="B6051" s="6"/>
      <c r="E6051" s="7"/>
      <c r="F6051" t="str">
        <f t="shared" si="213"/>
        <v/>
      </c>
      <c r="G6051" t="str">
        <f t="shared" si="214"/>
        <v/>
      </c>
    </row>
    <row r="6052" spans="2:7">
      <c r="B6052" s="6"/>
      <c r="E6052" s="7"/>
      <c r="F6052" t="str">
        <f t="shared" si="213"/>
        <v/>
      </c>
      <c r="G6052" t="str">
        <f t="shared" si="214"/>
        <v/>
      </c>
    </row>
    <row r="6053" spans="2:7">
      <c r="B6053" s="6"/>
      <c r="E6053" s="7"/>
      <c r="F6053" t="str">
        <f t="shared" si="213"/>
        <v/>
      </c>
      <c r="G6053" t="str">
        <f t="shared" si="214"/>
        <v/>
      </c>
    </row>
    <row r="6054" spans="2:7">
      <c r="B6054" s="6"/>
      <c r="E6054" s="7"/>
      <c r="F6054" t="str">
        <f t="shared" si="213"/>
        <v/>
      </c>
      <c r="G6054" t="str">
        <f t="shared" si="214"/>
        <v/>
      </c>
    </row>
    <row r="6055" spans="2:7">
      <c r="B6055" s="6"/>
      <c r="E6055" s="7"/>
      <c r="F6055" t="str">
        <f t="shared" si="213"/>
        <v/>
      </c>
      <c r="G6055" t="str">
        <f t="shared" si="214"/>
        <v/>
      </c>
    </row>
    <row r="6056" spans="2:7">
      <c r="B6056" s="6"/>
      <c r="E6056" s="7"/>
      <c r="F6056" t="str">
        <f t="shared" si="213"/>
        <v/>
      </c>
      <c r="G6056" t="str">
        <f t="shared" si="214"/>
        <v/>
      </c>
    </row>
    <row r="6057" spans="2:7">
      <c r="B6057" s="6"/>
      <c r="E6057" s="7"/>
      <c r="F6057" t="str">
        <f t="shared" si="213"/>
        <v/>
      </c>
      <c r="G6057" t="str">
        <f t="shared" si="214"/>
        <v/>
      </c>
    </row>
    <row r="6058" spans="2:7">
      <c r="B6058" s="6"/>
      <c r="E6058" s="7"/>
      <c r="F6058" t="str">
        <f t="shared" si="213"/>
        <v/>
      </c>
      <c r="G6058" t="str">
        <f t="shared" si="214"/>
        <v/>
      </c>
    </row>
    <row r="6059" spans="2:7">
      <c r="B6059" s="6"/>
      <c r="E6059" s="7"/>
      <c r="F6059" t="str">
        <f t="shared" si="213"/>
        <v/>
      </c>
      <c r="G6059" t="str">
        <f t="shared" si="214"/>
        <v/>
      </c>
    </row>
    <row r="6060" spans="2:7">
      <c r="B6060" s="6"/>
      <c r="E6060" s="7"/>
      <c r="F6060" t="str">
        <f t="shared" si="213"/>
        <v/>
      </c>
      <c r="G6060" t="str">
        <f t="shared" si="214"/>
        <v/>
      </c>
    </row>
    <row r="6061" spans="2:7">
      <c r="B6061" s="6"/>
      <c r="E6061" s="7"/>
      <c r="F6061" t="str">
        <f t="shared" si="213"/>
        <v/>
      </c>
      <c r="G6061" t="str">
        <f t="shared" si="214"/>
        <v/>
      </c>
    </row>
    <row r="6062" spans="2:7">
      <c r="B6062" s="6"/>
      <c r="E6062" s="7"/>
      <c r="F6062" t="str">
        <f t="shared" si="213"/>
        <v/>
      </c>
      <c r="G6062" t="str">
        <f t="shared" si="214"/>
        <v/>
      </c>
    </row>
    <row r="6063" spans="2:7">
      <c r="B6063" s="6"/>
      <c r="E6063" s="7"/>
      <c r="F6063" t="str">
        <f t="shared" si="213"/>
        <v/>
      </c>
      <c r="G6063" t="str">
        <f t="shared" si="214"/>
        <v/>
      </c>
    </row>
    <row r="6064" spans="2:7">
      <c r="B6064" s="6"/>
      <c r="E6064" s="7"/>
      <c r="F6064" t="str">
        <f t="shared" si="213"/>
        <v/>
      </c>
      <c r="G6064" t="str">
        <f t="shared" si="214"/>
        <v/>
      </c>
    </row>
    <row r="6065" spans="2:7">
      <c r="B6065" s="6"/>
      <c r="E6065" s="7"/>
      <c r="F6065" t="str">
        <f t="shared" si="213"/>
        <v/>
      </c>
      <c r="G6065" t="str">
        <f t="shared" si="214"/>
        <v/>
      </c>
    </row>
    <row r="6066" spans="2:7">
      <c r="B6066" s="6"/>
      <c r="E6066" s="7"/>
      <c r="F6066" t="str">
        <f t="shared" si="213"/>
        <v/>
      </c>
      <c r="G6066" t="str">
        <f t="shared" si="214"/>
        <v/>
      </c>
    </row>
    <row r="6067" spans="2:7">
      <c r="B6067" s="6"/>
      <c r="E6067" s="7"/>
      <c r="F6067" t="str">
        <f t="shared" si="213"/>
        <v/>
      </c>
      <c r="G6067" t="str">
        <f t="shared" si="214"/>
        <v/>
      </c>
    </row>
    <row r="6068" spans="2:7">
      <c r="B6068" s="6"/>
      <c r="E6068" s="7"/>
      <c r="F6068" t="str">
        <f t="shared" si="213"/>
        <v/>
      </c>
      <c r="G6068" t="str">
        <f t="shared" si="214"/>
        <v/>
      </c>
    </row>
    <row r="6069" spans="2:7">
      <c r="B6069" s="6"/>
      <c r="E6069" s="7"/>
      <c r="F6069" t="str">
        <f t="shared" si="213"/>
        <v/>
      </c>
      <c r="G6069" t="str">
        <f t="shared" si="214"/>
        <v/>
      </c>
    </row>
    <row r="6070" spans="2:7">
      <c r="B6070" s="6"/>
      <c r="E6070" s="7"/>
      <c r="F6070" t="str">
        <f t="shared" si="213"/>
        <v/>
      </c>
      <c r="G6070" t="str">
        <f t="shared" si="214"/>
        <v/>
      </c>
    </row>
    <row r="6071" spans="2:7">
      <c r="B6071" s="6"/>
      <c r="E6071" s="7"/>
      <c r="F6071" t="str">
        <f t="shared" si="213"/>
        <v/>
      </c>
      <c r="G6071" t="str">
        <f t="shared" si="214"/>
        <v/>
      </c>
    </row>
    <row r="6072" spans="2:7">
      <c r="B6072" s="6"/>
      <c r="E6072" s="7"/>
      <c r="F6072" t="str">
        <f t="shared" si="213"/>
        <v/>
      </c>
      <c r="G6072" t="str">
        <f t="shared" si="214"/>
        <v/>
      </c>
    </row>
    <row r="6073" spans="2:7">
      <c r="B6073" s="6"/>
      <c r="E6073" s="7"/>
      <c r="F6073" t="str">
        <f t="shared" si="213"/>
        <v/>
      </c>
      <c r="G6073" t="str">
        <f t="shared" si="214"/>
        <v/>
      </c>
    </row>
    <row r="6074" spans="2:7">
      <c r="B6074" s="6"/>
      <c r="E6074" s="7"/>
      <c r="F6074" t="str">
        <f t="shared" si="213"/>
        <v/>
      </c>
      <c r="G6074" t="str">
        <f t="shared" si="214"/>
        <v/>
      </c>
    </row>
    <row r="6075" spans="2:7">
      <c r="B6075" s="6"/>
      <c r="E6075" s="7"/>
      <c r="F6075" t="str">
        <f t="shared" si="213"/>
        <v/>
      </c>
      <c r="G6075" t="str">
        <f t="shared" si="214"/>
        <v/>
      </c>
    </row>
    <row r="6076" spans="2:7">
      <c r="B6076" s="6"/>
      <c r="E6076" s="7"/>
      <c r="F6076" t="str">
        <f t="shared" si="213"/>
        <v/>
      </c>
      <c r="G6076" t="str">
        <f t="shared" si="214"/>
        <v/>
      </c>
    </row>
    <row r="6077" spans="2:7">
      <c r="B6077" s="6"/>
      <c r="E6077" s="7"/>
      <c r="F6077" t="str">
        <f t="shared" si="213"/>
        <v/>
      </c>
      <c r="G6077" t="str">
        <f t="shared" si="214"/>
        <v/>
      </c>
    </row>
    <row r="6078" spans="2:7">
      <c r="B6078" s="6"/>
      <c r="E6078" s="7"/>
      <c r="F6078" t="str">
        <f t="shared" si="213"/>
        <v/>
      </c>
      <c r="G6078" t="str">
        <f t="shared" si="214"/>
        <v/>
      </c>
    </row>
    <row r="6079" spans="2:7">
      <c r="B6079" s="6"/>
      <c r="E6079" s="7"/>
      <c r="F6079" t="str">
        <f t="shared" si="213"/>
        <v/>
      </c>
      <c r="G6079" t="str">
        <f t="shared" si="214"/>
        <v/>
      </c>
    </row>
    <row r="6080" spans="2:7">
      <c r="B6080" s="6"/>
      <c r="E6080" s="7"/>
      <c r="F6080" t="str">
        <f t="shared" si="213"/>
        <v/>
      </c>
      <c r="G6080" t="str">
        <f t="shared" si="214"/>
        <v/>
      </c>
    </row>
    <row r="6081" spans="2:7">
      <c r="B6081" s="6"/>
      <c r="E6081" s="7"/>
      <c r="F6081" t="str">
        <f t="shared" si="213"/>
        <v/>
      </c>
      <c r="G6081" t="str">
        <f t="shared" si="214"/>
        <v/>
      </c>
    </row>
    <row r="6082" spans="2:7">
      <c r="B6082" s="6"/>
      <c r="E6082" s="7"/>
      <c r="F6082" t="str">
        <f t="shared" si="213"/>
        <v/>
      </c>
      <c r="G6082" t="str">
        <f t="shared" si="214"/>
        <v/>
      </c>
    </row>
    <row r="6083" spans="2:7">
      <c r="B6083" s="6"/>
      <c r="E6083" s="7"/>
      <c r="F6083" t="str">
        <f t="shared" si="213"/>
        <v/>
      </c>
      <c r="G6083" t="str">
        <f t="shared" si="214"/>
        <v/>
      </c>
    </row>
    <row r="6084" spans="2:7">
      <c r="B6084" s="6"/>
      <c r="E6084" s="7"/>
      <c r="F6084" t="str">
        <f t="shared" ref="F6084:F6147" si="215">IF(B6084="","",LOG10(D6084))</f>
        <v/>
      </c>
      <c r="G6084" t="str">
        <f t="shared" ref="G6084:G6147" si="216">IF(E6084="", "",0.434*E6084/D6084)</f>
        <v/>
      </c>
    </row>
    <row r="6085" spans="2:7">
      <c r="B6085" s="6"/>
      <c r="E6085" s="7"/>
      <c r="F6085" t="str">
        <f t="shared" si="215"/>
        <v/>
      </c>
      <c r="G6085" t="str">
        <f t="shared" si="216"/>
        <v/>
      </c>
    </row>
    <row r="6086" spans="2:7">
      <c r="B6086" s="6"/>
      <c r="E6086" s="7"/>
      <c r="F6086" t="str">
        <f t="shared" si="215"/>
        <v/>
      </c>
      <c r="G6086" t="str">
        <f t="shared" si="216"/>
        <v/>
      </c>
    </row>
    <row r="6087" spans="2:7">
      <c r="B6087" s="6"/>
      <c r="E6087" s="7"/>
      <c r="F6087" t="str">
        <f t="shared" si="215"/>
        <v/>
      </c>
      <c r="G6087" t="str">
        <f t="shared" si="216"/>
        <v/>
      </c>
    </row>
    <row r="6088" spans="2:7">
      <c r="B6088" s="6"/>
      <c r="E6088" s="7"/>
      <c r="F6088" t="str">
        <f t="shared" si="215"/>
        <v/>
      </c>
      <c r="G6088" t="str">
        <f t="shared" si="216"/>
        <v/>
      </c>
    </row>
    <row r="6089" spans="2:7">
      <c r="B6089" s="6"/>
      <c r="E6089" s="7"/>
      <c r="F6089" t="str">
        <f t="shared" si="215"/>
        <v/>
      </c>
      <c r="G6089" t="str">
        <f t="shared" si="216"/>
        <v/>
      </c>
    </row>
    <row r="6090" spans="2:7">
      <c r="B6090" s="6"/>
      <c r="E6090" s="7"/>
      <c r="F6090" t="str">
        <f t="shared" si="215"/>
        <v/>
      </c>
      <c r="G6090" t="str">
        <f t="shared" si="216"/>
        <v/>
      </c>
    </row>
    <row r="6091" spans="2:7">
      <c r="B6091" s="6"/>
      <c r="E6091" s="7"/>
      <c r="F6091" t="str">
        <f t="shared" si="215"/>
        <v/>
      </c>
      <c r="G6091" t="str">
        <f t="shared" si="216"/>
        <v/>
      </c>
    </row>
    <row r="6092" spans="2:7">
      <c r="B6092" s="6"/>
      <c r="E6092" s="7"/>
      <c r="F6092" t="str">
        <f t="shared" si="215"/>
        <v/>
      </c>
      <c r="G6092" t="str">
        <f t="shared" si="216"/>
        <v/>
      </c>
    </row>
    <row r="6093" spans="2:7">
      <c r="B6093" s="6"/>
      <c r="E6093" s="7"/>
      <c r="F6093" t="str">
        <f t="shared" si="215"/>
        <v/>
      </c>
      <c r="G6093" t="str">
        <f t="shared" si="216"/>
        <v/>
      </c>
    </row>
    <row r="6094" spans="2:7">
      <c r="B6094" s="6"/>
      <c r="E6094" s="7"/>
      <c r="F6094" t="str">
        <f t="shared" si="215"/>
        <v/>
      </c>
      <c r="G6094" t="str">
        <f t="shared" si="216"/>
        <v/>
      </c>
    </row>
    <row r="6095" spans="2:7">
      <c r="B6095" s="6"/>
      <c r="E6095" s="7"/>
      <c r="F6095" t="str">
        <f t="shared" si="215"/>
        <v/>
      </c>
      <c r="G6095" t="str">
        <f t="shared" si="216"/>
        <v/>
      </c>
    </row>
    <row r="6096" spans="2:7">
      <c r="B6096" s="6"/>
      <c r="E6096" s="7"/>
      <c r="F6096" t="str">
        <f t="shared" si="215"/>
        <v/>
      </c>
      <c r="G6096" t="str">
        <f t="shared" si="216"/>
        <v/>
      </c>
    </row>
    <row r="6097" spans="2:7">
      <c r="B6097" s="6"/>
      <c r="E6097" s="7"/>
      <c r="F6097" t="str">
        <f t="shared" si="215"/>
        <v/>
      </c>
      <c r="G6097" t="str">
        <f t="shared" si="216"/>
        <v/>
      </c>
    </row>
    <row r="6098" spans="2:7">
      <c r="B6098" s="6"/>
      <c r="E6098" s="7"/>
      <c r="F6098" t="str">
        <f t="shared" si="215"/>
        <v/>
      </c>
      <c r="G6098" t="str">
        <f t="shared" si="216"/>
        <v/>
      </c>
    </row>
    <row r="6099" spans="2:7">
      <c r="B6099" s="6"/>
      <c r="E6099" s="7"/>
      <c r="F6099" t="str">
        <f t="shared" si="215"/>
        <v/>
      </c>
      <c r="G6099" t="str">
        <f t="shared" si="216"/>
        <v/>
      </c>
    </row>
    <row r="6100" spans="2:7">
      <c r="B6100" s="6"/>
      <c r="E6100" s="7"/>
      <c r="F6100" t="str">
        <f t="shared" si="215"/>
        <v/>
      </c>
      <c r="G6100" t="str">
        <f t="shared" si="216"/>
        <v/>
      </c>
    </row>
    <row r="6101" spans="2:7">
      <c r="B6101" s="6"/>
      <c r="E6101" s="7"/>
      <c r="F6101" t="str">
        <f t="shared" si="215"/>
        <v/>
      </c>
      <c r="G6101" t="str">
        <f t="shared" si="216"/>
        <v/>
      </c>
    </row>
    <row r="6102" spans="2:7">
      <c r="B6102" s="6"/>
      <c r="E6102" s="7"/>
      <c r="F6102" t="str">
        <f t="shared" si="215"/>
        <v/>
      </c>
      <c r="G6102" t="str">
        <f t="shared" si="216"/>
        <v/>
      </c>
    </row>
    <row r="6103" spans="2:7">
      <c r="B6103" s="6"/>
      <c r="E6103" s="7"/>
      <c r="F6103" t="str">
        <f t="shared" si="215"/>
        <v/>
      </c>
      <c r="G6103" t="str">
        <f t="shared" si="216"/>
        <v/>
      </c>
    </row>
    <row r="6104" spans="2:7">
      <c r="B6104" s="6"/>
      <c r="E6104" s="7"/>
      <c r="F6104" t="str">
        <f t="shared" si="215"/>
        <v/>
      </c>
      <c r="G6104" t="str">
        <f t="shared" si="216"/>
        <v/>
      </c>
    </row>
    <row r="6105" spans="2:7">
      <c r="B6105" s="6"/>
      <c r="E6105" s="7"/>
      <c r="F6105" t="str">
        <f t="shared" si="215"/>
        <v/>
      </c>
      <c r="G6105" t="str">
        <f t="shared" si="216"/>
        <v/>
      </c>
    </row>
    <row r="6106" spans="2:7">
      <c r="B6106" s="6"/>
      <c r="E6106" s="7"/>
      <c r="F6106" t="str">
        <f t="shared" si="215"/>
        <v/>
      </c>
      <c r="G6106" t="str">
        <f t="shared" si="216"/>
        <v/>
      </c>
    </row>
    <row r="6107" spans="2:7">
      <c r="B6107" s="6"/>
      <c r="E6107" s="7"/>
      <c r="F6107" t="str">
        <f t="shared" si="215"/>
        <v/>
      </c>
      <c r="G6107" t="str">
        <f t="shared" si="216"/>
        <v/>
      </c>
    </row>
    <row r="6108" spans="2:7">
      <c r="B6108" s="6"/>
      <c r="E6108" s="7"/>
      <c r="F6108" t="str">
        <f t="shared" si="215"/>
        <v/>
      </c>
      <c r="G6108" t="str">
        <f t="shared" si="216"/>
        <v/>
      </c>
    </row>
    <row r="6109" spans="2:7">
      <c r="B6109" s="6"/>
      <c r="E6109" s="7"/>
      <c r="F6109" t="str">
        <f t="shared" si="215"/>
        <v/>
      </c>
      <c r="G6109" t="str">
        <f t="shared" si="216"/>
        <v/>
      </c>
    </row>
    <row r="6110" spans="2:7">
      <c r="B6110" s="6"/>
      <c r="E6110" s="7"/>
      <c r="F6110" t="str">
        <f t="shared" si="215"/>
        <v/>
      </c>
      <c r="G6110" t="str">
        <f t="shared" si="216"/>
        <v/>
      </c>
    </row>
    <row r="6111" spans="2:7">
      <c r="B6111" s="6"/>
      <c r="E6111" s="7"/>
      <c r="F6111" t="str">
        <f t="shared" si="215"/>
        <v/>
      </c>
      <c r="G6111" t="str">
        <f t="shared" si="216"/>
        <v/>
      </c>
    </row>
    <row r="6112" spans="2:7">
      <c r="B6112" s="6"/>
      <c r="E6112" s="7"/>
      <c r="F6112" t="str">
        <f t="shared" si="215"/>
        <v/>
      </c>
      <c r="G6112" t="str">
        <f t="shared" si="216"/>
        <v/>
      </c>
    </row>
    <row r="6113" spans="2:7">
      <c r="B6113" s="6"/>
      <c r="E6113" s="7"/>
      <c r="F6113" t="str">
        <f t="shared" si="215"/>
        <v/>
      </c>
      <c r="G6113" t="str">
        <f t="shared" si="216"/>
        <v/>
      </c>
    </row>
    <row r="6114" spans="2:7">
      <c r="B6114" s="6"/>
      <c r="E6114" s="7"/>
      <c r="F6114" t="str">
        <f t="shared" si="215"/>
        <v/>
      </c>
      <c r="G6114" t="str">
        <f t="shared" si="216"/>
        <v/>
      </c>
    </row>
    <row r="6115" spans="2:7">
      <c r="B6115" s="6"/>
      <c r="E6115" s="7"/>
      <c r="F6115" t="str">
        <f t="shared" si="215"/>
        <v/>
      </c>
      <c r="G6115" t="str">
        <f t="shared" si="216"/>
        <v/>
      </c>
    </row>
    <row r="6116" spans="2:7">
      <c r="B6116" s="6"/>
      <c r="E6116" s="7"/>
      <c r="F6116" t="str">
        <f t="shared" si="215"/>
        <v/>
      </c>
      <c r="G6116" t="str">
        <f t="shared" si="216"/>
        <v/>
      </c>
    </row>
    <row r="6117" spans="2:7">
      <c r="B6117" s="6"/>
      <c r="E6117" s="7"/>
      <c r="F6117" t="str">
        <f t="shared" si="215"/>
        <v/>
      </c>
      <c r="G6117" t="str">
        <f t="shared" si="216"/>
        <v/>
      </c>
    </row>
    <row r="6118" spans="2:7">
      <c r="B6118" s="6"/>
      <c r="E6118" s="7"/>
      <c r="F6118" t="str">
        <f t="shared" si="215"/>
        <v/>
      </c>
      <c r="G6118" t="str">
        <f t="shared" si="216"/>
        <v/>
      </c>
    </row>
    <row r="6119" spans="2:7">
      <c r="B6119" s="6"/>
      <c r="E6119" s="7"/>
      <c r="F6119" t="str">
        <f t="shared" si="215"/>
        <v/>
      </c>
      <c r="G6119" t="str">
        <f t="shared" si="216"/>
        <v/>
      </c>
    </row>
    <row r="6120" spans="2:7">
      <c r="B6120" s="6"/>
      <c r="E6120" s="7"/>
      <c r="F6120" t="str">
        <f t="shared" si="215"/>
        <v/>
      </c>
      <c r="G6120" t="str">
        <f t="shared" si="216"/>
        <v/>
      </c>
    </row>
    <row r="6121" spans="2:7">
      <c r="B6121" s="6"/>
      <c r="E6121" s="7"/>
      <c r="F6121" t="str">
        <f t="shared" si="215"/>
        <v/>
      </c>
      <c r="G6121" t="str">
        <f t="shared" si="216"/>
        <v/>
      </c>
    </row>
    <row r="6122" spans="2:7">
      <c r="B6122" s="6"/>
      <c r="E6122" s="7"/>
      <c r="F6122" t="str">
        <f t="shared" si="215"/>
        <v/>
      </c>
      <c r="G6122" t="str">
        <f t="shared" si="216"/>
        <v/>
      </c>
    </row>
    <row r="6123" spans="2:7">
      <c r="B6123" s="6"/>
      <c r="E6123" s="7"/>
      <c r="F6123" t="str">
        <f t="shared" si="215"/>
        <v/>
      </c>
      <c r="G6123" t="str">
        <f t="shared" si="216"/>
        <v/>
      </c>
    </row>
    <row r="6124" spans="2:7">
      <c r="B6124" s="6"/>
      <c r="E6124" s="7"/>
      <c r="F6124" t="str">
        <f t="shared" si="215"/>
        <v/>
      </c>
      <c r="G6124" t="str">
        <f t="shared" si="216"/>
        <v/>
      </c>
    </row>
    <row r="6125" spans="2:7">
      <c r="B6125" s="6"/>
      <c r="E6125" s="7"/>
      <c r="F6125" t="str">
        <f t="shared" si="215"/>
        <v/>
      </c>
      <c r="G6125" t="str">
        <f t="shared" si="216"/>
        <v/>
      </c>
    </row>
    <row r="6126" spans="2:7">
      <c r="B6126" s="6"/>
      <c r="E6126" s="7"/>
      <c r="F6126" t="str">
        <f t="shared" si="215"/>
        <v/>
      </c>
      <c r="G6126" t="str">
        <f t="shared" si="216"/>
        <v/>
      </c>
    </row>
    <row r="6127" spans="2:7">
      <c r="B6127" s="6"/>
      <c r="E6127" s="7"/>
      <c r="F6127" t="str">
        <f t="shared" si="215"/>
        <v/>
      </c>
      <c r="G6127" t="str">
        <f t="shared" si="216"/>
        <v/>
      </c>
    </row>
    <row r="6128" spans="2:7">
      <c r="B6128" s="6"/>
      <c r="E6128" s="7"/>
      <c r="F6128" t="str">
        <f t="shared" si="215"/>
        <v/>
      </c>
      <c r="G6128" t="str">
        <f t="shared" si="216"/>
        <v/>
      </c>
    </row>
    <row r="6129" spans="2:7">
      <c r="B6129" s="6"/>
      <c r="E6129" s="7"/>
      <c r="F6129" t="str">
        <f t="shared" si="215"/>
        <v/>
      </c>
      <c r="G6129" t="str">
        <f t="shared" si="216"/>
        <v/>
      </c>
    </row>
    <row r="6130" spans="2:7">
      <c r="B6130" s="6"/>
      <c r="E6130" s="7"/>
      <c r="F6130" t="str">
        <f t="shared" si="215"/>
        <v/>
      </c>
      <c r="G6130" t="str">
        <f t="shared" si="216"/>
        <v/>
      </c>
    </row>
    <row r="6131" spans="2:7">
      <c r="B6131" s="6"/>
      <c r="E6131" s="7"/>
      <c r="F6131" t="str">
        <f t="shared" si="215"/>
        <v/>
      </c>
      <c r="G6131" t="str">
        <f t="shared" si="216"/>
        <v/>
      </c>
    </row>
    <row r="6132" spans="2:7">
      <c r="B6132" s="6"/>
      <c r="E6132" s="7"/>
      <c r="F6132" t="str">
        <f t="shared" si="215"/>
        <v/>
      </c>
      <c r="G6132" t="str">
        <f t="shared" si="216"/>
        <v/>
      </c>
    </row>
    <row r="6133" spans="2:7">
      <c r="B6133" s="6"/>
      <c r="E6133" s="7"/>
      <c r="F6133" t="str">
        <f t="shared" si="215"/>
        <v/>
      </c>
      <c r="G6133" t="str">
        <f t="shared" si="216"/>
        <v/>
      </c>
    </row>
    <row r="6134" spans="2:7">
      <c r="B6134" s="6"/>
      <c r="E6134" s="7"/>
      <c r="F6134" t="str">
        <f t="shared" si="215"/>
        <v/>
      </c>
      <c r="G6134" t="str">
        <f t="shared" si="216"/>
        <v/>
      </c>
    </row>
    <row r="6135" spans="2:7">
      <c r="B6135" s="6"/>
      <c r="E6135" s="7"/>
      <c r="F6135" t="str">
        <f t="shared" si="215"/>
        <v/>
      </c>
      <c r="G6135" t="str">
        <f t="shared" si="216"/>
        <v/>
      </c>
    </row>
    <row r="6136" spans="2:7">
      <c r="B6136" s="6"/>
      <c r="E6136" s="7"/>
      <c r="F6136" t="str">
        <f t="shared" si="215"/>
        <v/>
      </c>
      <c r="G6136" t="str">
        <f t="shared" si="216"/>
        <v/>
      </c>
    </row>
    <row r="6137" spans="2:7">
      <c r="B6137" s="6"/>
      <c r="E6137" s="7"/>
      <c r="F6137" t="str">
        <f t="shared" si="215"/>
        <v/>
      </c>
      <c r="G6137" t="str">
        <f t="shared" si="216"/>
        <v/>
      </c>
    </row>
    <row r="6138" spans="2:7">
      <c r="B6138" s="6"/>
      <c r="E6138" s="7"/>
      <c r="F6138" t="str">
        <f t="shared" si="215"/>
        <v/>
      </c>
      <c r="G6138" t="str">
        <f t="shared" si="216"/>
        <v/>
      </c>
    </row>
    <row r="6139" spans="2:7">
      <c r="B6139" s="6"/>
      <c r="E6139" s="7"/>
      <c r="F6139" t="str">
        <f t="shared" si="215"/>
        <v/>
      </c>
      <c r="G6139" t="str">
        <f t="shared" si="216"/>
        <v/>
      </c>
    </row>
    <row r="6140" spans="2:7">
      <c r="B6140" s="6"/>
      <c r="E6140" s="7"/>
      <c r="F6140" t="str">
        <f t="shared" si="215"/>
        <v/>
      </c>
      <c r="G6140" t="str">
        <f t="shared" si="216"/>
        <v/>
      </c>
    </row>
    <row r="6141" spans="2:7">
      <c r="B6141" s="6"/>
      <c r="E6141" s="7"/>
      <c r="F6141" t="str">
        <f t="shared" si="215"/>
        <v/>
      </c>
      <c r="G6141" t="str">
        <f t="shared" si="216"/>
        <v/>
      </c>
    </row>
    <row r="6142" spans="2:7">
      <c r="B6142" s="6"/>
      <c r="E6142" s="7"/>
      <c r="F6142" t="str">
        <f t="shared" si="215"/>
        <v/>
      </c>
      <c r="G6142" t="str">
        <f t="shared" si="216"/>
        <v/>
      </c>
    </row>
    <row r="6143" spans="2:7">
      <c r="B6143" s="6"/>
      <c r="E6143" s="7"/>
      <c r="F6143" t="str">
        <f t="shared" si="215"/>
        <v/>
      </c>
      <c r="G6143" t="str">
        <f t="shared" si="216"/>
        <v/>
      </c>
    </row>
    <row r="6144" spans="2:7">
      <c r="B6144" s="6"/>
      <c r="E6144" s="7"/>
      <c r="F6144" t="str">
        <f t="shared" si="215"/>
        <v/>
      </c>
      <c r="G6144" t="str">
        <f t="shared" si="216"/>
        <v/>
      </c>
    </row>
    <row r="6145" spans="2:7">
      <c r="B6145" s="6"/>
      <c r="E6145" s="7"/>
      <c r="F6145" t="str">
        <f t="shared" si="215"/>
        <v/>
      </c>
      <c r="G6145" t="str">
        <f t="shared" si="216"/>
        <v/>
      </c>
    </row>
    <row r="6146" spans="2:7">
      <c r="B6146" s="6"/>
      <c r="E6146" s="7"/>
      <c r="F6146" t="str">
        <f t="shared" si="215"/>
        <v/>
      </c>
      <c r="G6146" t="str">
        <f t="shared" si="216"/>
        <v/>
      </c>
    </row>
    <row r="6147" spans="2:7">
      <c r="B6147" s="6"/>
      <c r="E6147" s="7"/>
      <c r="F6147" t="str">
        <f t="shared" si="215"/>
        <v/>
      </c>
      <c r="G6147" t="str">
        <f t="shared" si="216"/>
        <v/>
      </c>
    </row>
    <row r="6148" spans="2:7">
      <c r="B6148" s="6"/>
      <c r="E6148" s="7"/>
      <c r="F6148" t="str">
        <f t="shared" ref="F6148:F6211" si="217">IF(B6148="","",LOG10(D6148))</f>
        <v/>
      </c>
      <c r="G6148" t="str">
        <f t="shared" ref="G6148:G6211" si="218">IF(E6148="", "",0.434*E6148/D6148)</f>
        <v/>
      </c>
    </row>
    <row r="6149" spans="2:7">
      <c r="B6149" s="6"/>
      <c r="E6149" s="7"/>
      <c r="F6149" t="str">
        <f t="shared" si="217"/>
        <v/>
      </c>
      <c r="G6149" t="str">
        <f t="shared" si="218"/>
        <v/>
      </c>
    </row>
    <row r="6150" spans="2:7">
      <c r="B6150" s="6"/>
      <c r="E6150" s="7"/>
      <c r="F6150" t="str">
        <f t="shared" si="217"/>
        <v/>
      </c>
      <c r="G6150" t="str">
        <f t="shared" si="218"/>
        <v/>
      </c>
    </row>
    <row r="6151" spans="2:7">
      <c r="B6151" s="6"/>
      <c r="E6151" s="7"/>
      <c r="F6151" t="str">
        <f t="shared" si="217"/>
        <v/>
      </c>
      <c r="G6151" t="str">
        <f t="shared" si="218"/>
        <v/>
      </c>
    </row>
    <row r="6152" spans="2:7">
      <c r="B6152" s="6"/>
      <c r="E6152" s="7"/>
      <c r="F6152" t="str">
        <f t="shared" si="217"/>
        <v/>
      </c>
      <c r="G6152" t="str">
        <f t="shared" si="218"/>
        <v/>
      </c>
    </row>
    <row r="6153" spans="2:7">
      <c r="B6153" s="6"/>
      <c r="E6153" s="7"/>
      <c r="F6153" t="str">
        <f t="shared" si="217"/>
        <v/>
      </c>
      <c r="G6153" t="str">
        <f t="shared" si="218"/>
        <v/>
      </c>
    </row>
    <row r="6154" spans="2:7">
      <c r="B6154" s="6"/>
      <c r="E6154" s="7"/>
      <c r="F6154" t="str">
        <f t="shared" si="217"/>
        <v/>
      </c>
      <c r="G6154" t="str">
        <f t="shared" si="218"/>
        <v/>
      </c>
    </row>
    <row r="6155" spans="2:7">
      <c r="B6155" s="6"/>
      <c r="E6155" s="7"/>
      <c r="F6155" t="str">
        <f t="shared" si="217"/>
        <v/>
      </c>
      <c r="G6155" t="str">
        <f t="shared" si="218"/>
        <v/>
      </c>
    </row>
    <row r="6156" spans="2:7">
      <c r="B6156" s="6"/>
      <c r="E6156" s="7"/>
      <c r="F6156" t="str">
        <f t="shared" si="217"/>
        <v/>
      </c>
      <c r="G6156" t="str">
        <f t="shared" si="218"/>
        <v/>
      </c>
    </row>
    <row r="6157" spans="2:7">
      <c r="B6157" s="6"/>
      <c r="E6157" s="7"/>
      <c r="F6157" t="str">
        <f t="shared" si="217"/>
        <v/>
      </c>
      <c r="G6157" t="str">
        <f t="shared" si="218"/>
        <v/>
      </c>
    </row>
    <row r="6158" spans="2:7">
      <c r="B6158" s="6"/>
      <c r="E6158" s="7"/>
      <c r="F6158" t="str">
        <f t="shared" si="217"/>
        <v/>
      </c>
      <c r="G6158" t="str">
        <f t="shared" si="218"/>
        <v/>
      </c>
    </row>
    <row r="6159" spans="2:7">
      <c r="B6159" s="6"/>
      <c r="E6159" s="7"/>
      <c r="F6159" t="str">
        <f t="shared" si="217"/>
        <v/>
      </c>
      <c r="G6159" t="str">
        <f t="shared" si="218"/>
        <v/>
      </c>
    </row>
    <row r="6160" spans="2:7">
      <c r="B6160" s="6"/>
      <c r="E6160" s="7"/>
      <c r="F6160" t="str">
        <f t="shared" si="217"/>
        <v/>
      </c>
      <c r="G6160" t="str">
        <f t="shared" si="218"/>
        <v/>
      </c>
    </row>
    <row r="6161" spans="2:7">
      <c r="B6161" s="6"/>
      <c r="E6161" s="7"/>
      <c r="F6161" t="str">
        <f t="shared" si="217"/>
        <v/>
      </c>
      <c r="G6161" t="str">
        <f t="shared" si="218"/>
        <v/>
      </c>
    </row>
    <row r="6162" spans="2:7">
      <c r="B6162" s="6"/>
      <c r="E6162" s="7"/>
      <c r="F6162" t="str">
        <f t="shared" si="217"/>
        <v/>
      </c>
      <c r="G6162" t="str">
        <f t="shared" si="218"/>
        <v/>
      </c>
    </row>
    <row r="6163" spans="2:7">
      <c r="B6163" s="6"/>
      <c r="E6163" s="7"/>
      <c r="F6163" t="str">
        <f t="shared" si="217"/>
        <v/>
      </c>
      <c r="G6163" t="str">
        <f t="shared" si="218"/>
        <v/>
      </c>
    </row>
    <row r="6164" spans="2:7">
      <c r="B6164" s="6"/>
      <c r="E6164" s="7"/>
      <c r="F6164" t="str">
        <f t="shared" si="217"/>
        <v/>
      </c>
      <c r="G6164" t="str">
        <f t="shared" si="218"/>
        <v/>
      </c>
    </row>
    <row r="6165" spans="2:7">
      <c r="B6165" s="6"/>
      <c r="E6165" s="7"/>
      <c r="F6165" t="str">
        <f t="shared" si="217"/>
        <v/>
      </c>
      <c r="G6165" t="str">
        <f t="shared" si="218"/>
        <v/>
      </c>
    </row>
    <row r="6166" spans="2:7">
      <c r="B6166" s="6"/>
      <c r="E6166" s="7"/>
      <c r="F6166" t="str">
        <f t="shared" si="217"/>
        <v/>
      </c>
      <c r="G6166" t="str">
        <f t="shared" si="218"/>
        <v/>
      </c>
    </row>
    <row r="6167" spans="2:7">
      <c r="B6167" s="6"/>
      <c r="E6167" s="7"/>
      <c r="F6167" t="str">
        <f t="shared" si="217"/>
        <v/>
      </c>
      <c r="G6167" t="str">
        <f t="shared" si="218"/>
        <v/>
      </c>
    </row>
    <row r="6168" spans="2:7">
      <c r="B6168" s="6"/>
      <c r="E6168" s="7"/>
      <c r="F6168" t="str">
        <f t="shared" si="217"/>
        <v/>
      </c>
      <c r="G6168" t="str">
        <f t="shared" si="218"/>
        <v/>
      </c>
    </row>
    <row r="6169" spans="2:7">
      <c r="B6169" s="6"/>
      <c r="E6169" s="7"/>
      <c r="F6169" t="str">
        <f t="shared" si="217"/>
        <v/>
      </c>
      <c r="G6169" t="str">
        <f t="shared" si="218"/>
        <v/>
      </c>
    </row>
    <row r="6170" spans="2:7">
      <c r="B6170" s="6"/>
      <c r="E6170" s="7"/>
      <c r="F6170" t="str">
        <f t="shared" si="217"/>
        <v/>
      </c>
      <c r="G6170" t="str">
        <f t="shared" si="218"/>
        <v/>
      </c>
    </row>
    <row r="6171" spans="2:7">
      <c r="B6171" s="6"/>
      <c r="E6171" s="7"/>
      <c r="F6171" t="str">
        <f t="shared" si="217"/>
        <v/>
      </c>
      <c r="G6171" t="str">
        <f t="shared" si="218"/>
        <v/>
      </c>
    </row>
    <row r="6172" spans="2:7">
      <c r="B6172" s="6"/>
      <c r="E6172" s="7"/>
      <c r="F6172" t="str">
        <f t="shared" si="217"/>
        <v/>
      </c>
      <c r="G6172" t="str">
        <f t="shared" si="218"/>
        <v/>
      </c>
    </row>
    <row r="6173" spans="2:7">
      <c r="B6173" s="6"/>
      <c r="E6173" s="7"/>
      <c r="F6173" t="str">
        <f t="shared" si="217"/>
        <v/>
      </c>
      <c r="G6173" t="str">
        <f t="shared" si="218"/>
        <v/>
      </c>
    </row>
    <row r="6174" spans="2:7">
      <c r="B6174" s="6"/>
      <c r="E6174" s="7"/>
      <c r="F6174" t="str">
        <f t="shared" si="217"/>
        <v/>
      </c>
      <c r="G6174" t="str">
        <f t="shared" si="218"/>
        <v/>
      </c>
    </row>
    <row r="6175" spans="2:7">
      <c r="B6175" s="6"/>
      <c r="E6175" s="7"/>
      <c r="F6175" t="str">
        <f t="shared" si="217"/>
        <v/>
      </c>
      <c r="G6175" t="str">
        <f t="shared" si="218"/>
        <v/>
      </c>
    </row>
    <row r="6176" spans="2:7">
      <c r="B6176" s="6"/>
      <c r="E6176" s="7"/>
      <c r="F6176" t="str">
        <f t="shared" si="217"/>
        <v/>
      </c>
      <c r="G6176" t="str">
        <f t="shared" si="218"/>
        <v/>
      </c>
    </row>
    <row r="6177" spans="2:7">
      <c r="B6177" s="6"/>
      <c r="E6177" s="7"/>
      <c r="F6177" t="str">
        <f t="shared" si="217"/>
        <v/>
      </c>
      <c r="G6177" t="str">
        <f t="shared" si="218"/>
        <v/>
      </c>
    </row>
    <row r="6178" spans="2:7">
      <c r="B6178" s="6"/>
      <c r="E6178" s="7"/>
      <c r="F6178" t="str">
        <f t="shared" si="217"/>
        <v/>
      </c>
      <c r="G6178" t="str">
        <f t="shared" si="218"/>
        <v/>
      </c>
    </row>
    <row r="6179" spans="2:7">
      <c r="B6179" s="6"/>
      <c r="E6179" s="7"/>
      <c r="F6179" t="str">
        <f t="shared" si="217"/>
        <v/>
      </c>
      <c r="G6179" t="str">
        <f t="shared" si="218"/>
        <v/>
      </c>
    </row>
    <row r="6180" spans="2:7">
      <c r="B6180" s="6"/>
      <c r="E6180" s="7"/>
      <c r="F6180" t="str">
        <f t="shared" si="217"/>
        <v/>
      </c>
      <c r="G6180" t="str">
        <f t="shared" si="218"/>
        <v/>
      </c>
    </row>
    <row r="6181" spans="2:7">
      <c r="B6181" s="6"/>
      <c r="E6181" s="7"/>
      <c r="F6181" t="str">
        <f t="shared" si="217"/>
        <v/>
      </c>
      <c r="G6181" t="str">
        <f t="shared" si="218"/>
        <v/>
      </c>
    </row>
    <row r="6182" spans="2:7">
      <c r="B6182" s="6"/>
      <c r="E6182" s="7"/>
      <c r="F6182" t="str">
        <f t="shared" si="217"/>
        <v/>
      </c>
      <c r="G6182" t="str">
        <f t="shared" si="218"/>
        <v/>
      </c>
    </row>
    <row r="6183" spans="2:7">
      <c r="B6183" s="6"/>
      <c r="E6183" s="7"/>
      <c r="F6183" t="str">
        <f t="shared" si="217"/>
        <v/>
      </c>
      <c r="G6183" t="str">
        <f t="shared" si="218"/>
        <v/>
      </c>
    </row>
    <row r="6184" spans="2:7">
      <c r="B6184" s="6"/>
      <c r="E6184" s="7"/>
      <c r="F6184" t="str">
        <f t="shared" si="217"/>
        <v/>
      </c>
      <c r="G6184" t="str">
        <f t="shared" si="218"/>
        <v/>
      </c>
    </row>
    <row r="6185" spans="2:7">
      <c r="B6185" s="6"/>
      <c r="E6185" s="7"/>
      <c r="F6185" t="str">
        <f t="shared" si="217"/>
        <v/>
      </c>
      <c r="G6185" t="str">
        <f t="shared" si="218"/>
        <v/>
      </c>
    </row>
    <row r="6186" spans="2:7">
      <c r="B6186" s="6"/>
      <c r="E6186" s="7"/>
      <c r="F6186" t="str">
        <f t="shared" si="217"/>
        <v/>
      </c>
      <c r="G6186" t="str">
        <f t="shared" si="218"/>
        <v/>
      </c>
    </row>
    <row r="6187" spans="2:7">
      <c r="B6187" s="6"/>
      <c r="E6187" s="7"/>
      <c r="F6187" t="str">
        <f t="shared" si="217"/>
        <v/>
      </c>
      <c r="G6187" t="str">
        <f t="shared" si="218"/>
        <v/>
      </c>
    </row>
    <row r="6188" spans="2:7">
      <c r="B6188" s="6"/>
      <c r="E6188" s="7"/>
      <c r="F6188" t="str">
        <f t="shared" si="217"/>
        <v/>
      </c>
      <c r="G6188" t="str">
        <f t="shared" si="218"/>
        <v/>
      </c>
    </row>
    <row r="6189" spans="2:7">
      <c r="B6189" s="6"/>
      <c r="E6189" s="7"/>
      <c r="F6189" t="str">
        <f t="shared" si="217"/>
        <v/>
      </c>
      <c r="G6189" t="str">
        <f t="shared" si="218"/>
        <v/>
      </c>
    </row>
    <row r="6190" spans="2:7">
      <c r="B6190" s="6"/>
      <c r="E6190" s="7"/>
      <c r="F6190" t="str">
        <f t="shared" si="217"/>
        <v/>
      </c>
      <c r="G6190" t="str">
        <f t="shared" si="218"/>
        <v/>
      </c>
    </row>
    <row r="6191" spans="2:7">
      <c r="B6191" s="6"/>
      <c r="E6191" s="7"/>
      <c r="F6191" t="str">
        <f t="shared" si="217"/>
        <v/>
      </c>
      <c r="G6191" t="str">
        <f t="shared" si="218"/>
        <v/>
      </c>
    </row>
    <row r="6192" spans="2:7">
      <c r="B6192" s="6"/>
      <c r="E6192" s="7"/>
      <c r="F6192" t="str">
        <f t="shared" si="217"/>
        <v/>
      </c>
      <c r="G6192" t="str">
        <f t="shared" si="218"/>
        <v/>
      </c>
    </row>
    <row r="6193" spans="2:7">
      <c r="B6193" s="6"/>
      <c r="E6193" s="7"/>
      <c r="F6193" t="str">
        <f t="shared" si="217"/>
        <v/>
      </c>
      <c r="G6193" t="str">
        <f t="shared" si="218"/>
        <v/>
      </c>
    </row>
    <row r="6194" spans="2:7">
      <c r="B6194" s="6"/>
      <c r="E6194" s="7"/>
      <c r="F6194" t="str">
        <f t="shared" si="217"/>
        <v/>
      </c>
      <c r="G6194" t="str">
        <f t="shared" si="218"/>
        <v/>
      </c>
    </row>
    <row r="6195" spans="2:7">
      <c r="B6195" s="6"/>
      <c r="E6195" s="7"/>
      <c r="F6195" t="str">
        <f t="shared" si="217"/>
        <v/>
      </c>
      <c r="G6195" t="str">
        <f t="shared" si="218"/>
        <v/>
      </c>
    </row>
    <row r="6196" spans="2:7">
      <c r="B6196" s="6"/>
      <c r="E6196" s="7"/>
      <c r="F6196" t="str">
        <f t="shared" si="217"/>
        <v/>
      </c>
      <c r="G6196" t="str">
        <f t="shared" si="218"/>
        <v/>
      </c>
    </row>
    <row r="6197" spans="2:7">
      <c r="B6197" s="6"/>
      <c r="E6197" s="7"/>
      <c r="F6197" t="str">
        <f t="shared" si="217"/>
        <v/>
      </c>
      <c r="G6197" t="str">
        <f t="shared" si="218"/>
        <v/>
      </c>
    </row>
    <row r="6198" spans="2:7">
      <c r="B6198" s="6"/>
      <c r="E6198" s="7"/>
      <c r="F6198" t="str">
        <f t="shared" si="217"/>
        <v/>
      </c>
      <c r="G6198" t="str">
        <f t="shared" si="218"/>
        <v/>
      </c>
    </row>
    <row r="6199" spans="2:7">
      <c r="B6199" s="6"/>
      <c r="E6199" s="7"/>
      <c r="F6199" t="str">
        <f t="shared" si="217"/>
        <v/>
      </c>
      <c r="G6199" t="str">
        <f t="shared" si="218"/>
        <v/>
      </c>
    </row>
    <row r="6200" spans="2:7">
      <c r="B6200" s="6"/>
      <c r="E6200" s="7"/>
      <c r="F6200" t="str">
        <f t="shared" si="217"/>
        <v/>
      </c>
      <c r="G6200" t="str">
        <f t="shared" si="218"/>
        <v/>
      </c>
    </row>
    <row r="6201" spans="2:7">
      <c r="B6201" s="6"/>
      <c r="E6201" s="7"/>
      <c r="F6201" t="str">
        <f t="shared" si="217"/>
        <v/>
      </c>
      <c r="G6201" t="str">
        <f t="shared" si="218"/>
        <v/>
      </c>
    </row>
    <row r="6202" spans="2:7">
      <c r="B6202" s="6"/>
      <c r="E6202" s="7"/>
      <c r="F6202" t="str">
        <f t="shared" si="217"/>
        <v/>
      </c>
      <c r="G6202" t="str">
        <f t="shared" si="218"/>
        <v/>
      </c>
    </row>
    <row r="6203" spans="2:7">
      <c r="B6203" s="6"/>
      <c r="E6203" s="7"/>
      <c r="F6203" t="str">
        <f t="shared" si="217"/>
        <v/>
      </c>
      <c r="G6203" t="str">
        <f t="shared" si="218"/>
        <v/>
      </c>
    </row>
    <row r="6204" spans="2:7">
      <c r="B6204" s="6"/>
      <c r="E6204" s="7"/>
      <c r="F6204" t="str">
        <f t="shared" si="217"/>
        <v/>
      </c>
      <c r="G6204" t="str">
        <f t="shared" si="218"/>
        <v/>
      </c>
    </row>
    <row r="6205" spans="2:7">
      <c r="B6205" s="6"/>
      <c r="E6205" s="7"/>
      <c r="F6205" t="str">
        <f t="shared" si="217"/>
        <v/>
      </c>
      <c r="G6205" t="str">
        <f t="shared" si="218"/>
        <v/>
      </c>
    </row>
    <row r="6206" spans="2:7">
      <c r="B6206" s="6"/>
      <c r="E6206" s="7"/>
      <c r="F6206" t="str">
        <f t="shared" si="217"/>
        <v/>
      </c>
      <c r="G6206" t="str">
        <f t="shared" si="218"/>
        <v/>
      </c>
    </row>
    <row r="6207" spans="2:7">
      <c r="B6207" s="6"/>
      <c r="E6207" s="7"/>
      <c r="F6207" t="str">
        <f t="shared" si="217"/>
        <v/>
      </c>
      <c r="G6207" t="str">
        <f t="shared" si="218"/>
        <v/>
      </c>
    </row>
    <row r="6208" spans="2:7">
      <c r="B6208" s="6"/>
      <c r="E6208" s="7"/>
      <c r="F6208" t="str">
        <f t="shared" si="217"/>
        <v/>
      </c>
      <c r="G6208" t="str">
        <f t="shared" si="218"/>
        <v/>
      </c>
    </row>
    <row r="6209" spans="2:7">
      <c r="B6209" s="6"/>
      <c r="E6209" s="7"/>
      <c r="F6209" t="str">
        <f t="shared" si="217"/>
        <v/>
      </c>
      <c r="G6209" t="str">
        <f t="shared" si="218"/>
        <v/>
      </c>
    </row>
    <row r="6210" spans="2:7">
      <c r="B6210" s="6"/>
      <c r="E6210" s="7"/>
      <c r="F6210" t="str">
        <f t="shared" si="217"/>
        <v/>
      </c>
      <c r="G6210" t="str">
        <f t="shared" si="218"/>
        <v/>
      </c>
    </row>
    <row r="6211" spans="2:7">
      <c r="B6211" s="6"/>
      <c r="E6211" s="7"/>
      <c r="F6211" t="str">
        <f t="shared" si="217"/>
        <v/>
      </c>
      <c r="G6211" t="str">
        <f t="shared" si="218"/>
        <v/>
      </c>
    </row>
    <row r="6212" spans="2:7">
      <c r="B6212" s="6"/>
      <c r="E6212" s="7"/>
      <c r="F6212" t="str">
        <f t="shared" ref="F6212:F6275" si="219">IF(B6212="","",LOG10(D6212))</f>
        <v/>
      </c>
      <c r="G6212" t="str">
        <f t="shared" ref="G6212:G6275" si="220">IF(E6212="", "",0.434*E6212/D6212)</f>
        <v/>
      </c>
    </row>
    <row r="6213" spans="2:7">
      <c r="B6213" s="6"/>
      <c r="E6213" s="7"/>
      <c r="F6213" t="str">
        <f t="shared" si="219"/>
        <v/>
      </c>
      <c r="G6213" t="str">
        <f t="shared" si="220"/>
        <v/>
      </c>
    </row>
    <row r="6214" spans="2:7">
      <c r="B6214" s="6"/>
      <c r="E6214" s="7"/>
      <c r="F6214" t="str">
        <f t="shared" si="219"/>
        <v/>
      </c>
      <c r="G6214" t="str">
        <f t="shared" si="220"/>
        <v/>
      </c>
    </row>
    <row r="6215" spans="2:7">
      <c r="B6215" s="6"/>
      <c r="E6215" s="7"/>
      <c r="F6215" t="str">
        <f t="shared" si="219"/>
        <v/>
      </c>
      <c r="G6215" t="str">
        <f t="shared" si="220"/>
        <v/>
      </c>
    </row>
    <row r="6216" spans="2:7">
      <c r="B6216" s="6"/>
      <c r="E6216" s="7"/>
      <c r="F6216" t="str">
        <f t="shared" si="219"/>
        <v/>
      </c>
      <c r="G6216" t="str">
        <f t="shared" si="220"/>
        <v/>
      </c>
    </row>
    <row r="6217" spans="2:7">
      <c r="B6217" s="6"/>
      <c r="E6217" s="7"/>
      <c r="F6217" t="str">
        <f t="shared" si="219"/>
        <v/>
      </c>
      <c r="G6217" t="str">
        <f t="shared" si="220"/>
        <v/>
      </c>
    </row>
    <row r="6218" spans="2:7">
      <c r="B6218" s="6"/>
      <c r="E6218" s="7"/>
      <c r="F6218" t="str">
        <f t="shared" si="219"/>
        <v/>
      </c>
      <c r="G6218" t="str">
        <f t="shared" si="220"/>
        <v/>
      </c>
    </row>
    <row r="6219" spans="2:7">
      <c r="B6219" s="6"/>
      <c r="E6219" s="7"/>
      <c r="F6219" t="str">
        <f t="shared" si="219"/>
        <v/>
      </c>
      <c r="G6219" t="str">
        <f t="shared" si="220"/>
        <v/>
      </c>
    </row>
    <row r="6220" spans="2:7">
      <c r="B6220" s="6"/>
      <c r="E6220" s="7"/>
      <c r="F6220" t="str">
        <f t="shared" si="219"/>
        <v/>
      </c>
      <c r="G6220" t="str">
        <f t="shared" si="220"/>
        <v/>
      </c>
    </row>
    <row r="6221" spans="2:7">
      <c r="B6221" s="6"/>
      <c r="E6221" s="7"/>
      <c r="F6221" t="str">
        <f t="shared" si="219"/>
        <v/>
      </c>
      <c r="G6221" t="str">
        <f t="shared" si="220"/>
        <v/>
      </c>
    </row>
    <row r="6222" spans="2:7">
      <c r="B6222" s="6"/>
      <c r="E6222" s="7"/>
      <c r="F6222" t="str">
        <f t="shared" si="219"/>
        <v/>
      </c>
      <c r="G6222" t="str">
        <f t="shared" si="220"/>
        <v/>
      </c>
    </row>
    <row r="6223" spans="2:7">
      <c r="B6223" s="6"/>
      <c r="E6223" s="7"/>
      <c r="F6223" t="str">
        <f t="shared" si="219"/>
        <v/>
      </c>
      <c r="G6223" t="str">
        <f t="shared" si="220"/>
        <v/>
      </c>
    </row>
    <row r="6224" spans="2:7">
      <c r="B6224" s="6"/>
      <c r="E6224" s="7"/>
      <c r="F6224" t="str">
        <f t="shared" si="219"/>
        <v/>
      </c>
      <c r="G6224" t="str">
        <f t="shared" si="220"/>
        <v/>
      </c>
    </row>
    <row r="6225" spans="2:7">
      <c r="B6225" s="6"/>
      <c r="E6225" s="7"/>
      <c r="F6225" t="str">
        <f t="shared" si="219"/>
        <v/>
      </c>
      <c r="G6225" t="str">
        <f t="shared" si="220"/>
        <v/>
      </c>
    </row>
    <row r="6226" spans="2:7">
      <c r="B6226" s="6"/>
      <c r="E6226" s="7"/>
      <c r="F6226" t="str">
        <f t="shared" si="219"/>
        <v/>
      </c>
      <c r="G6226" t="str">
        <f t="shared" si="220"/>
        <v/>
      </c>
    </row>
    <row r="6227" spans="2:7">
      <c r="B6227" s="6"/>
      <c r="E6227" s="7"/>
      <c r="F6227" t="str">
        <f t="shared" si="219"/>
        <v/>
      </c>
      <c r="G6227" t="str">
        <f t="shared" si="220"/>
        <v/>
      </c>
    </row>
    <row r="6228" spans="2:7">
      <c r="B6228" s="6"/>
      <c r="E6228" s="7"/>
      <c r="F6228" t="str">
        <f t="shared" si="219"/>
        <v/>
      </c>
      <c r="G6228" t="str">
        <f t="shared" si="220"/>
        <v/>
      </c>
    </row>
    <row r="6229" spans="2:7">
      <c r="B6229" s="6"/>
      <c r="E6229" s="7"/>
      <c r="F6229" t="str">
        <f t="shared" si="219"/>
        <v/>
      </c>
      <c r="G6229" t="str">
        <f t="shared" si="220"/>
        <v/>
      </c>
    </row>
    <row r="6230" spans="2:7">
      <c r="B6230" s="6"/>
      <c r="E6230" s="7"/>
      <c r="F6230" t="str">
        <f t="shared" si="219"/>
        <v/>
      </c>
      <c r="G6230" t="str">
        <f t="shared" si="220"/>
        <v/>
      </c>
    </row>
    <row r="6231" spans="2:7">
      <c r="B6231" s="6"/>
      <c r="E6231" s="7"/>
      <c r="F6231" t="str">
        <f t="shared" si="219"/>
        <v/>
      </c>
      <c r="G6231" t="str">
        <f t="shared" si="220"/>
        <v/>
      </c>
    </row>
    <row r="6232" spans="2:7">
      <c r="B6232" s="6"/>
      <c r="E6232" s="7"/>
      <c r="F6232" t="str">
        <f t="shared" si="219"/>
        <v/>
      </c>
      <c r="G6232" t="str">
        <f t="shared" si="220"/>
        <v/>
      </c>
    </row>
    <row r="6233" spans="2:7">
      <c r="B6233" s="6"/>
      <c r="E6233" s="7"/>
      <c r="F6233" t="str">
        <f t="shared" si="219"/>
        <v/>
      </c>
      <c r="G6233" t="str">
        <f t="shared" si="220"/>
        <v/>
      </c>
    </row>
    <row r="6234" spans="2:7">
      <c r="B6234" s="6"/>
      <c r="E6234" s="7"/>
      <c r="F6234" t="str">
        <f t="shared" si="219"/>
        <v/>
      </c>
      <c r="G6234" t="str">
        <f t="shared" si="220"/>
        <v/>
      </c>
    </row>
    <row r="6235" spans="2:7">
      <c r="B6235" s="6"/>
      <c r="E6235" s="7"/>
      <c r="F6235" t="str">
        <f t="shared" si="219"/>
        <v/>
      </c>
      <c r="G6235" t="str">
        <f t="shared" si="220"/>
        <v/>
      </c>
    </row>
    <row r="6236" spans="2:7">
      <c r="B6236" s="6"/>
      <c r="E6236" s="7"/>
      <c r="F6236" t="str">
        <f t="shared" si="219"/>
        <v/>
      </c>
      <c r="G6236" t="str">
        <f t="shared" si="220"/>
        <v/>
      </c>
    </row>
    <row r="6237" spans="2:7">
      <c r="B6237" s="6"/>
      <c r="E6237" s="7"/>
      <c r="F6237" t="str">
        <f t="shared" si="219"/>
        <v/>
      </c>
      <c r="G6237" t="str">
        <f t="shared" si="220"/>
        <v/>
      </c>
    </row>
    <row r="6238" spans="2:7">
      <c r="B6238" s="6"/>
      <c r="E6238" s="7"/>
      <c r="F6238" t="str">
        <f t="shared" si="219"/>
        <v/>
      </c>
      <c r="G6238" t="str">
        <f t="shared" si="220"/>
        <v/>
      </c>
    </row>
    <row r="6239" spans="2:7">
      <c r="B6239" s="6"/>
      <c r="E6239" s="7"/>
      <c r="F6239" t="str">
        <f t="shared" si="219"/>
        <v/>
      </c>
      <c r="G6239" t="str">
        <f t="shared" si="220"/>
        <v/>
      </c>
    </row>
    <row r="6240" spans="2:7">
      <c r="B6240" s="6"/>
      <c r="E6240" s="7"/>
      <c r="F6240" t="str">
        <f t="shared" si="219"/>
        <v/>
      </c>
      <c r="G6240" t="str">
        <f t="shared" si="220"/>
        <v/>
      </c>
    </row>
    <row r="6241" spans="2:7">
      <c r="B6241" s="6"/>
      <c r="E6241" s="7"/>
      <c r="F6241" t="str">
        <f t="shared" si="219"/>
        <v/>
      </c>
      <c r="G6241" t="str">
        <f t="shared" si="220"/>
        <v/>
      </c>
    </row>
    <row r="6242" spans="2:7">
      <c r="B6242" s="6"/>
      <c r="E6242" s="7"/>
      <c r="F6242" t="str">
        <f t="shared" si="219"/>
        <v/>
      </c>
      <c r="G6242" t="str">
        <f t="shared" si="220"/>
        <v/>
      </c>
    </row>
    <row r="6243" spans="2:7">
      <c r="B6243" s="6"/>
      <c r="E6243" s="7"/>
      <c r="F6243" t="str">
        <f t="shared" si="219"/>
        <v/>
      </c>
      <c r="G6243" t="str">
        <f t="shared" si="220"/>
        <v/>
      </c>
    </row>
    <row r="6244" spans="2:7">
      <c r="B6244" s="6"/>
      <c r="E6244" s="7"/>
      <c r="F6244" t="str">
        <f t="shared" si="219"/>
        <v/>
      </c>
      <c r="G6244" t="str">
        <f t="shared" si="220"/>
        <v/>
      </c>
    </row>
    <row r="6245" spans="2:7">
      <c r="B6245" s="6"/>
      <c r="E6245" s="7"/>
      <c r="F6245" t="str">
        <f t="shared" si="219"/>
        <v/>
      </c>
      <c r="G6245" t="str">
        <f t="shared" si="220"/>
        <v/>
      </c>
    </row>
    <row r="6246" spans="2:7">
      <c r="B6246" s="6"/>
      <c r="E6246" s="7"/>
      <c r="F6246" t="str">
        <f t="shared" si="219"/>
        <v/>
      </c>
      <c r="G6246" t="str">
        <f t="shared" si="220"/>
        <v/>
      </c>
    </row>
    <row r="6247" spans="2:7">
      <c r="B6247" s="6"/>
      <c r="E6247" s="7"/>
      <c r="F6247" t="str">
        <f t="shared" si="219"/>
        <v/>
      </c>
      <c r="G6247" t="str">
        <f t="shared" si="220"/>
        <v/>
      </c>
    </row>
    <row r="6248" spans="2:7">
      <c r="B6248" s="6"/>
      <c r="E6248" s="7"/>
      <c r="F6248" t="str">
        <f t="shared" si="219"/>
        <v/>
      </c>
      <c r="G6248" t="str">
        <f t="shared" si="220"/>
        <v/>
      </c>
    </row>
    <row r="6249" spans="2:7">
      <c r="B6249" s="6"/>
      <c r="E6249" s="7"/>
      <c r="F6249" t="str">
        <f t="shared" si="219"/>
        <v/>
      </c>
      <c r="G6249" t="str">
        <f t="shared" si="220"/>
        <v/>
      </c>
    </row>
    <row r="6250" spans="2:7">
      <c r="B6250" s="6"/>
      <c r="E6250" s="7"/>
      <c r="F6250" t="str">
        <f t="shared" si="219"/>
        <v/>
      </c>
      <c r="G6250" t="str">
        <f t="shared" si="220"/>
        <v/>
      </c>
    </row>
    <row r="6251" spans="2:7">
      <c r="B6251" s="6"/>
      <c r="E6251" s="7"/>
      <c r="F6251" t="str">
        <f t="shared" si="219"/>
        <v/>
      </c>
      <c r="G6251" t="str">
        <f t="shared" si="220"/>
        <v/>
      </c>
    </row>
    <row r="6252" spans="2:7">
      <c r="B6252" s="6"/>
      <c r="E6252" s="7"/>
      <c r="F6252" t="str">
        <f t="shared" si="219"/>
        <v/>
      </c>
      <c r="G6252" t="str">
        <f t="shared" si="220"/>
        <v/>
      </c>
    </row>
    <row r="6253" spans="2:7">
      <c r="B6253" s="6"/>
      <c r="E6253" s="7"/>
      <c r="F6253" t="str">
        <f t="shared" si="219"/>
        <v/>
      </c>
      <c r="G6253" t="str">
        <f t="shared" si="220"/>
        <v/>
      </c>
    </row>
    <row r="6254" spans="2:7">
      <c r="B6254" s="6"/>
      <c r="E6254" s="7"/>
      <c r="F6254" t="str">
        <f t="shared" si="219"/>
        <v/>
      </c>
      <c r="G6254" t="str">
        <f t="shared" si="220"/>
        <v/>
      </c>
    </row>
    <row r="6255" spans="2:7">
      <c r="B6255" s="6"/>
      <c r="E6255" s="7"/>
      <c r="F6255" t="str">
        <f t="shared" si="219"/>
        <v/>
      </c>
      <c r="G6255" t="str">
        <f t="shared" si="220"/>
        <v/>
      </c>
    </row>
    <row r="6256" spans="2:7">
      <c r="B6256" s="6"/>
      <c r="E6256" s="7"/>
      <c r="F6256" t="str">
        <f t="shared" si="219"/>
        <v/>
      </c>
      <c r="G6256" t="str">
        <f t="shared" si="220"/>
        <v/>
      </c>
    </row>
    <row r="6257" spans="2:7">
      <c r="B6257" s="6"/>
      <c r="E6257" s="7"/>
      <c r="F6257" t="str">
        <f t="shared" si="219"/>
        <v/>
      </c>
      <c r="G6257" t="str">
        <f t="shared" si="220"/>
        <v/>
      </c>
    </row>
    <row r="6258" spans="2:7">
      <c r="B6258" s="6"/>
      <c r="E6258" s="7"/>
      <c r="F6258" t="str">
        <f t="shared" si="219"/>
        <v/>
      </c>
      <c r="G6258" t="str">
        <f t="shared" si="220"/>
        <v/>
      </c>
    </row>
    <row r="6259" spans="2:7">
      <c r="B6259" s="6"/>
      <c r="E6259" s="7"/>
      <c r="F6259" t="str">
        <f t="shared" si="219"/>
        <v/>
      </c>
      <c r="G6259" t="str">
        <f t="shared" si="220"/>
        <v/>
      </c>
    </row>
    <row r="6260" spans="2:7">
      <c r="B6260" s="6"/>
      <c r="E6260" s="7"/>
      <c r="F6260" t="str">
        <f t="shared" si="219"/>
        <v/>
      </c>
      <c r="G6260" t="str">
        <f t="shared" si="220"/>
        <v/>
      </c>
    </row>
    <row r="6261" spans="2:7">
      <c r="B6261" s="6"/>
      <c r="E6261" s="7"/>
      <c r="F6261" t="str">
        <f t="shared" si="219"/>
        <v/>
      </c>
      <c r="G6261" t="str">
        <f t="shared" si="220"/>
        <v/>
      </c>
    </row>
    <row r="6262" spans="2:7">
      <c r="B6262" s="6"/>
      <c r="E6262" s="7"/>
      <c r="F6262" t="str">
        <f t="shared" si="219"/>
        <v/>
      </c>
      <c r="G6262" t="str">
        <f t="shared" si="220"/>
        <v/>
      </c>
    </row>
    <row r="6263" spans="2:7">
      <c r="B6263" s="6"/>
      <c r="E6263" s="7"/>
      <c r="F6263" t="str">
        <f t="shared" si="219"/>
        <v/>
      </c>
      <c r="G6263" t="str">
        <f t="shared" si="220"/>
        <v/>
      </c>
    </row>
    <row r="6264" spans="2:7">
      <c r="B6264" s="6"/>
      <c r="E6264" s="7"/>
      <c r="F6264" t="str">
        <f t="shared" si="219"/>
        <v/>
      </c>
      <c r="G6264" t="str">
        <f t="shared" si="220"/>
        <v/>
      </c>
    </row>
    <row r="6265" spans="2:7">
      <c r="B6265" s="6"/>
      <c r="E6265" s="7"/>
      <c r="F6265" t="str">
        <f t="shared" si="219"/>
        <v/>
      </c>
      <c r="G6265" t="str">
        <f t="shared" si="220"/>
        <v/>
      </c>
    </row>
    <row r="6266" spans="2:7">
      <c r="B6266" s="6"/>
      <c r="E6266" s="7"/>
      <c r="F6266" t="str">
        <f t="shared" si="219"/>
        <v/>
      </c>
      <c r="G6266" t="str">
        <f t="shared" si="220"/>
        <v/>
      </c>
    </row>
    <row r="6267" spans="2:7">
      <c r="B6267" s="6"/>
      <c r="E6267" s="7"/>
      <c r="F6267" t="str">
        <f t="shared" si="219"/>
        <v/>
      </c>
      <c r="G6267" t="str">
        <f t="shared" si="220"/>
        <v/>
      </c>
    </row>
    <row r="6268" spans="2:7">
      <c r="B6268" s="6"/>
      <c r="E6268" s="7"/>
      <c r="F6268" t="str">
        <f t="shared" si="219"/>
        <v/>
      </c>
      <c r="G6268" t="str">
        <f t="shared" si="220"/>
        <v/>
      </c>
    </row>
    <row r="6269" spans="2:7">
      <c r="B6269" s="6"/>
      <c r="E6269" s="7"/>
      <c r="F6269" t="str">
        <f t="shared" si="219"/>
        <v/>
      </c>
      <c r="G6269" t="str">
        <f t="shared" si="220"/>
        <v/>
      </c>
    </row>
    <row r="6270" spans="2:7">
      <c r="B6270" s="6"/>
      <c r="E6270" s="7"/>
      <c r="F6270" t="str">
        <f t="shared" si="219"/>
        <v/>
      </c>
      <c r="G6270" t="str">
        <f t="shared" si="220"/>
        <v/>
      </c>
    </row>
    <row r="6271" spans="2:7">
      <c r="B6271" s="6"/>
      <c r="E6271" s="7"/>
      <c r="F6271" t="str">
        <f t="shared" si="219"/>
        <v/>
      </c>
      <c r="G6271" t="str">
        <f t="shared" si="220"/>
        <v/>
      </c>
    </row>
    <row r="6272" spans="2:7">
      <c r="B6272" s="6"/>
      <c r="E6272" s="7"/>
      <c r="F6272" t="str">
        <f t="shared" si="219"/>
        <v/>
      </c>
      <c r="G6272" t="str">
        <f t="shared" si="220"/>
        <v/>
      </c>
    </row>
    <row r="6273" spans="2:7">
      <c r="B6273" s="6"/>
      <c r="E6273" s="7"/>
      <c r="F6273" t="str">
        <f t="shared" si="219"/>
        <v/>
      </c>
      <c r="G6273" t="str">
        <f t="shared" si="220"/>
        <v/>
      </c>
    </row>
    <row r="6274" spans="2:7">
      <c r="B6274" s="6"/>
      <c r="E6274" s="7"/>
      <c r="F6274" t="str">
        <f t="shared" si="219"/>
        <v/>
      </c>
      <c r="G6274" t="str">
        <f t="shared" si="220"/>
        <v/>
      </c>
    </row>
    <row r="6275" spans="2:7">
      <c r="B6275" s="6"/>
      <c r="E6275" s="7"/>
      <c r="F6275" t="str">
        <f t="shared" si="219"/>
        <v/>
      </c>
      <c r="G6275" t="str">
        <f t="shared" si="220"/>
        <v/>
      </c>
    </row>
    <row r="6276" spans="2:7">
      <c r="B6276" s="6"/>
      <c r="E6276" s="7"/>
      <c r="F6276" t="str">
        <f t="shared" ref="F6276:F6339" si="221">IF(B6276="","",LOG10(D6276))</f>
        <v/>
      </c>
      <c r="G6276" t="str">
        <f t="shared" ref="G6276:G6339" si="222">IF(E6276="", "",0.434*E6276/D6276)</f>
        <v/>
      </c>
    </row>
    <row r="6277" spans="2:7">
      <c r="B6277" s="6"/>
      <c r="E6277" s="7"/>
      <c r="F6277" t="str">
        <f t="shared" si="221"/>
        <v/>
      </c>
      <c r="G6277" t="str">
        <f t="shared" si="222"/>
        <v/>
      </c>
    </row>
    <row r="6278" spans="2:7">
      <c r="B6278" s="6"/>
      <c r="E6278" s="7"/>
      <c r="F6278" t="str">
        <f t="shared" si="221"/>
        <v/>
      </c>
      <c r="G6278" t="str">
        <f t="shared" si="222"/>
        <v/>
      </c>
    </row>
    <row r="6279" spans="2:7">
      <c r="B6279" s="6"/>
      <c r="E6279" s="7"/>
      <c r="F6279" t="str">
        <f t="shared" si="221"/>
        <v/>
      </c>
      <c r="G6279" t="str">
        <f t="shared" si="222"/>
        <v/>
      </c>
    </row>
    <row r="6280" spans="2:7">
      <c r="B6280" s="6"/>
      <c r="E6280" s="7"/>
      <c r="F6280" t="str">
        <f t="shared" si="221"/>
        <v/>
      </c>
      <c r="G6280" t="str">
        <f t="shared" si="222"/>
        <v/>
      </c>
    </row>
    <row r="6281" spans="2:7">
      <c r="B6281" s="6"/>
      <c r="E6281" s="7"/>
      <c r="F6281" t="str">
        <f t="shared" si="221"/>
        <v/>
      </c>
      <c r="G6281" t="str">
        <f t="shared" si="222"/>
        <v/>
      </c>
    </row>
    <row r="6282" spans="2:7">
      <c r="B6282" s="6"/>
      <c r="E6282" s="7"/>
      <c r="F6282" t="str">
        <f t="shared" si="221"/>
        <v/>
      </c>
      <c r="G6282" t="str">
        <f t="shared" si="222"/>
        <v/>
      </c>
    </row>
    <row r="6283" spans="2:7">
      <c r="B6283" s="6"/>
      <c r="E6283" s="7"/>
      <c r="F6283" t="str">
        <f t="shared" si="221"/>
        <v/>
      </c>
      <c r="G6283" t="str">
        <f t="shared" si="222"/>
        <v/>
      </c>
    </row>
    <row r="6284" spans="2:7">
      <c r="B6284" s="6"/>
      <c r="E6284" s="7"/>
      <c r="F6284" t="str">
        <f t="shared" si="221"/>
        <v/>
      </c>
      <c r="G6284" t="str">
        <f t="shared" si="222"/>
        <v/>
      </c>
    </row>
    <row r="6285" spans="2:7">
      <c r="B6285" s="6"/>
      <c r="E6285" s="7"/>
      <c r="F6285" t="str">
        <f t="shared" si="221"/>
        <v/>
      </c>
      <c r="G6285" t="str">
        <f t="shared" si="222"/>
        <v/>
      </c>
    </row>
    <row r="6286" spans="2:7">
      <c r="B6286" s="6"/>
      <c r="E6286" s="7"/>
      <c r="F6286" t="str">
        <f t="shared" si="221"/>
        <v/>
      </c>
      <c r="G6286" t="str">
        <f t="shared" si="222"/>
        <v/>
      </c>
    </row>
    <row r="6287" spans="2:7">
      <c r="B6287" s="6"/>
      <c r="E6287" s="7"/>
      <c r="F6287" t="str">
        <f t="shared" si="221"/>
        <v/>
      </c>
      <c r="G6287" t="str">
        <f t="shared" si="222"/>
        <v/>
      </c>
    </row>
    <row r="6288" spans="2:7">
      <c r="B6288" s="6"/>
      <c r="E6288" s="7"/>
      <c r="F6288" t="str">
        <f t="shared" si="221"/>
        <v/>
      </c>
      <c r="G6288" t="str">
        <f t="shared" si="222"/>
        <v/>
      </c>
    </row>
    <row r="6289" spans="2:7">
      <c r="B6289" s="6"/>
      <c r="E6289" s="7"/>
      <c r="F6289" t="str">
        <f t="shared" si="221"/>
        <v/>
      </c>
      <c r="G6289" t="str">
        <f t="shared" si="222"/>
        <v/>
      </c>
    </row>
    <row r="6290" spans="2:7">
      <c r="B6290" s="6"/>
      <c r="E6290" s="7"/>
      <c r="F6290" t="str">
        <f t="shared" si="221"/>
        <v/>
      </c>
      <c r="G6290" t="str">
        <f t="shared" si="222"/>
        <v/>
      </c>
    </row>
    <row r="6291" spans="2:7">
      <c r="B6291" s="6"/>
      <c r="E6291" s="7"/>
      <c r="F6291" t="str">
        <f t="shared" si="221"/>
        <v/>
      </c>
      <c r="G6291" t="str">
        <f t="shared" si="222"/>
        <v/>
      </c>
    </row>
    <row r="6292" spans="2:7">
      <c r="B6292" s="6"/>
      <c r="E6292" s="7"/>
      <c r="F6292" t="str">
        <f t="shared" si="221"/>
        <v/>
      </c>
      <c r="G6292" t="str">
        <f t="shared" si="222"/>
        <v/>
      </c>
    </row>
    <row r="6293" spans="2:7">
      <c r="B6293" s="6"/>
      <c r="E6293" s="7"/>
      <c r="F6293" t="str">
        <f t="shared" si="221"/>
        <v/>
      </c>
      <c r="G6293" t="str">
        <f t="shared" si="222"/>
        <v/>
      </c>
    </row>
    <row r="6294" spans="2:7">
      <c r="B6294" s="6"/>
      <c r="E6294" s="7"/>
      <c r="F6294" t="str">
        <f t="shared" si="221"/>
        <v/>
      </c>
      <c r="G6294" t="str">
        <f t="shared" si="222"/>
        <v/>
      </c>
    </row>
    <row r="6295" spans="2:7">
      <c r="B6295" s="6"/>
      <c r="E6295" s="7"/>
      <c r="F6295" t="str">
        <f t="shared" si="221"/>
        <v/>
      </c>
      <c r="G6295" t="str">
        <f t="shared" si="222"/>
        <v/>
      </c>
    </row>
    <row r="6296" spans="2:7">
      <c r="B6296" s="6"/>
      <c r="E6296" s="7"/>
      <c r="F6296" t="str">
        <f t="shared" si="221"/>
        <v/>
      </c>
      <c r="G6296" t="str">
        <f t="shared" si="222"/>
        <v/>
      </c>
    </row>
    <row r="6297" spans="2:7">
      <c r="B6297" s="6"/>
      <c r="E6297" s="7"/>
      <c r="F6297" t="str">
        <f t="shared" si="221"/>
        <v/>
      </c>
      <c r="G6297" t="str">
        <f t="shared" si="222"/>
        <v/>
      </c>
    </row>
    <row r="6298" spans="2:7">
      <c r="B6298" s="6"/>
      <c r="E6298" s="7"/>
      <c r="F6298" t="str">
        <f t="shared" si="221"/>
        <v/>
      </c>
      <c r="G6298" t="str">
        <f t="shared" si="222"/>
        <v/>
      </c>
    </row>
    <row r="6299" spans="2:7">
      <c r="B6299" s="6"/>
      <c r="E6299" s="7"/>
      <c r="F6299" t="str">
        <f t="shared" si="221"/>
        <v/>
      </c>
      <c r="G6299" t="str">
        <f t="shared" si="222"/>
        <v/>
      </c>
    </row>
    <row r="6300" spans="2:7">
      <c r="B6300" s="6"/>
      <c r="E6300" s="7"/>
      <c r="F6300" t="str">
        <f t="shared" si="221"/>
        <v/>
      </c>
      <c r="G6300" t="str">
        <f t="shared" si="222"/>
        <v/>
      </c>
    </row>
    <row r="6301" spans="2:7">
      <c r="B6301" s="6"/>
      <c r="E6301" s="7"/>
      <c r="F6301" t="str">
        <f t="shared" si="221"/>
        <v/>
      </c>
      <c r="G6301" t="str">
        <f t="shared" si="222"/>
        <v/>
      </c>
    </row>
    <row r="6302" spans="2:7">
      <c r="B6302" s="6"/>
      <c r="E6302" s="7"/>
      <c r="F6302" t="str">
        <f t="shared" si="221"/>
        <v/>
      </c>
      <c r="G6302" t="str">
        <f t="shared" si="222"/>
        <v/>
      </c>
    </row>
    <row r="6303" spans="2:7">
      <c r="B6303" s="6"/>
      <c r="E6303" s="7"/>
      <c r="F6303" t="str">
        <f t="shared" si="221"/>
        <v/>
      </c>
      <c r="G6303" t="str">
        <f t="shared" si="222"/>
        <v/>
      </c>
    </row>
    <row r="6304" spans="2:7">
      <c r="B6304" s="6"/>
      <c r="E6304" s="7"/>
      <c r="F6304" t="str">
        <f t="shared" si="221"/>
        <v/>
      </c>
      <c r="G6304" t="str">
        <f t="shared" si="222"/>
        <v/>
      </c>
    </row>
    <row r="6305" spans="2:7">
      <c r="B6305" s="6"/>
      <c r="E6305" s="7"/>
      <c r="F6305" t="str">
        <f t="shared" si="221"/>
        <v/>
      </c>
      <c r="G6305" t="str">
        <f t="shared" si="222"/>
        <v/>
      </c>
    </row>
    <row r="6306" spans="2:7">
      <c r="B6306" s="6"/>
      <c r="E6306" s="7"/>
      <c r="F6306" t="str">
        <f t="shared" si="221"/>
        <v/>
      </c>
      <c r="G6306" t="str">
        <f t="shared" si="222"/>
        <v/>
      </c>
    </row>
    <row r="6307" spans="2:7">
      <c r="B6307" s="6"/>
      <c r="E6307" s="7"/>
      <c r="F6307" t="str">
        <f t="shared" si="221"/>
        <v/>
      </c>
      <c r="G6307" t="str">
        <f t="shared" si="222"/>
        <v/>
      </c>
    </row>
    <row r="6308" spans="2:7">
      <c r="B6308" s="6"/>
      <c r="E6308" s="7"/>
      <c r="F6308" t="str">
        <f t="shared" si="221"/>
        <v/>
      </c>
      <c r="G6308" t="str">
        <f t="shared" si="222"/>
        <v/>
      </c>
    </row>
    <row r="6309" spans="2:7">
      <c r="B6309" s="6"/>
      <c r="E6309" s="7"/>
      <c r="F6309" t="str">
        <f t="shared" si="221"/>
        <v/>
      </c>
      <c r="G6309" t="str">
        <f t="shared" si="222"/>
        <v/>
      </c>
    </row>
    <row r="6310" spans="2:7">
      <c r="B6310" s="6"/>
      <c r="E6310" s="7"/>
      <c r="F6310" t="str">
        <f t="shared" si="221"/>
        <v/>
      </c>
      <c r="G6310" t="str">
        <f t="shared" si="222"/>
        <v/>
      </c>
    </row>
    <row r="6311" spans="2:7">
      <c r="B6311" s="6"/>
      <c r="E6311" s="7"/>
      <c r="F6311" t="str">
        <f t="shared" si="221"/>
        <v/>
      </c>
      <c r="G6311" t="str">
        <f t="shared" si="222"/>
        <v/>
      </c>
    </row>
    <row r="6312" spans="2:7">
      <c r="B6312" s="6"/>
      <c r="E6312" s="7"/>
      <c r="F6312" t="str">
        <f t="shared" si="221"/>
        <v/>
      </c>
      <c r="G6312" t="str">
        <f t="shared" si="222"/>
        <v/>
      </c>
    </row>
    <row r="6313" spans="2:7">
      <c r="B6313" s="6"/>
      <c r="E6313" s="7"/>
      <c r="F6313" t="str">
        <f t="shared" si="221"/>
        <v/>
      </c>
      <c r="G6313" t="str">
        <f t="shared" si="222"/>
        <v/>
      </c>
    </row>
    <row r="6314" spans="2:7">
      <c r="B6314" s="6"/>
      <c r="E6314" s="7"/>
      <c r="F6314" t="str">
        <f t="shared" si="221"/>
        <v/>
      </c>
      <c r="G6314" t="str">
        <f t="shared" si="222"/>
        <v/>
      </c>
    </row>
    <row r="6315" spans="2:7">
      <c r="B6315" s="6"/>
      <c r="E6315" s="7"/>
      <c r="F6315" t="str">
        <f t="shared" si="221"/>
        <v/>
      </c>
      <c r="G6315" t="str">
        <f t="shared" si="222"/>
        <v/>
      </c>
    </row>
    <row r="6316" spans="2:7">
      <c r="B6316" s="6"/>
      <c r="E6316" s="7"/>
      <c r="F6316" t="str">
        <f t="shared" si="221"/>
        <v/>
      </c>
      <c r="G6316" t="str">
        <f t="shared" si="222"/>
        <v/>
      </c>
    </row>
    <row r="6317" spans="2:7">
      <c r="B6317" s="6"/>
      <c r="E6317" s="7"/>
      <c r="F6317" t="str">
        <f t="shared" si="221"/>
        <v/>
      </c>
      <c r="G6317" t="str">
        <f t="shared" si="222"/>
        <v/>
      </c>
    </row>
    <row r="6318" spans="2:7">
      <c r="B6318" s="6"/>
      <c r="E6318" s="7"/>
      <c r="F6318" t="str">
        <f t="shared" si="221"/>
        <v/>
      </c>
      <c r="G6318" t="str">
        <f t="shared" si="222"/>
        <v/>
      </c>
    </row>
    <row r="6319" spans="2:7">
      <c r="B6319" s="6"/>
      <c r="E6319" s="7"/>
      <c r="F6319" t="str">
        <f t="shared" si="221"/>
        <v/>
      </c>
      <c r="G6319" t="str">
        <f t="shared" si="222"/>
        <v/>
      </c>
    </row>
    <row r="6320" spans="2:7">
      <c r="B6320" s="6"/>
      <c r="E6320" s="7"/>
      <c r="F6320" t="str">
        <f t="shared" si="221"/>
        <v/>
      </c>
      <c r="G6320" t="str">
        <f t="shared" si="222"/>
        <v/>
      </c>
    </row>
    <row r="6321" spans="2:7">
      <c r="B6321" s="6"/>
      <c r="E6321" s="7"/>
      <c r="F6321" t="str">
        <f t="shared" si="221"/>
        <v/>
      </c>
      <c r="G6321" t="str">
        <f t="shared" si="222"/>
        <v/>
      </c>
    </row>
    <row r="6322" spans="2:7">
      <c r="B6322" s="6"/>
      <c r="E6322" s="7"/>
      <c r="F6322" t="str">
        <f t="shared" si="221"/>
        <v/>
      </c>
      <c r="G6322" t="str">
        <f t="shared" si="222"/>
        <v/>
      </c>
    </row>
    <row r="6323" spans="2:7">
      <c r="B6323" s="6"/>
      <c r="E6323" s="7"/>
      <c r="F6323" t="str">
        <f t="shared" si="221"/>
        <v/>
      </c>
      <c r="G6323" t="str">
        <f t="shared" si="222"/>
        <v/>
      </c>
    </row>
    <row r="6324" spans="2:7">
      <c r="B6324" s="6"/>
      <c r="E6324" s="7"/>
      <c r="F6324" t="str">
        <f t="shared" si="221"/>
        <v/>
      </c>
      <c r="G6324" t="str">
        <f t="shared" si="222"/>
        <v/>
      </c>
    </row>
    <row r="6325" spans="2:7">
      <c r="B6325" s="6"/>
      <c r="E6325" s="7"/>
      <c r="F6325" t="str">
        <f t="shared" si="221"/>
        <v/>
      </c>
      <c r="G6325" t="str">
        <f t="shared" si="222"/>
        <v/>
      </c>
    </row>
    <row r="6326" spans="2:7">
      <c r="B6326" s="6"/>
      <c r="E6326" s="7"/>
      <c r="F6326" t="str">
        <f t="shared" si="221"/>
        <v/>
      </c>
      <c r="G6326" t="str">
        <f t="shared" si="222"/>
        <v/>
      </c>
    </row>
    <row r="6327" spans="2:7">
      <c r="B6327" s="6"/>
      <c r="E6327" s="7"/>
      <c r="F6327" t="str">
        <f t="shared" si="221"/>
        <v/>
      </c>
      <c r="G6327" t="str">
        <f t="shared" si="222"/>
        <v/>
      </c>
    </row>
    <row r="6328" spans="2:7">
      <c r="B6328" s="6"/>
      <c r="E6328" s="7"/>
      <c r="F6328" t="str">
        <f t="shared" si="221"/>
        <v/>
      </c>
      <c r="G6328" t="str">
        <f t="shared" si="222"/>
        <v/>
      </c>
    </row>
    <row r="6329" spans="2:7">
      <c r="B6329" s="6"/>
      <c r="E6329" s="7"/>
      <c r="F6329" t="str">
        <f t="shared" si="221"/>
        <v/>
      </c>
      <c r="G6329" t="str">
        <f t="shared" si="222"/>
        <v/>
      </c>
    </row>
    <row r="6330" spans="2:7">
      <c r="B6330" s="6"/>
      <c r="E6330" s="7"/>
      <c r="F6330" t="str">
        <f t="shared" si="221"/>
        <v/>
      </c>
      <c r="G6330" t="str">
        <f t="shared" si="222"/>
        <v/>
      </c>
    </row>
    <row r="6331" spans="2:7">
      <c r="B6331" s="6"/>
      <c r="E6331" s="7"/>
      <c r="F6331" t="str">
        <f t="shared" si="221"/>
        <v/>
      </c>
      <c r="G6331" t="str">
        <f t="shared" si="222"/>
        <v/>
      </c>
    </row>
    <row r="6332" spans="2:7">
      <c r="B6332" s="6"/>
      <c r="E6332" s="7"/>
      <c r="F6332" t="str">
        <f t="shared" si="221"/>
        <v/>
      </c>
      <c r="G6332" t="str">
        <f t="shared" si="222"/>
        <v/>
      </c>
    </row>
    <row r="6333" spans="2:7">
      <c r="B6333" s="6"/>
      <c r="E6333" s="7"/>
      <c r="F6333" t="str">
        <f t="shared" si="221"/>
        <v/>
      </c>
      <c r="G6333" t="str">
        <f t="shared" si="222"/>
        <v/>
      </c>
    </row>
    <row r="6334" spans="2:7">
      <c r="B6334" s="6"/>
      <c r="E6334" s="7"/>
      <c r="F6334" t="str">
        <f t="shared" si="221"/>
        <v/>
      </c>
      <c r="G6334" t="str">
        <f t="shared" si="222"/>
        <v/>
      </c>
    </row>
    <row r="6335" spans="2:7">
      <c r="B6335" s="6"/>
      <c r="E6335" s="7"/>
      <c r="F6335" t="str">
        <f t="shared" si="221"/>
        <v/>
      </c>
      <c r="G6335" t="str">
        <f t="shared" si="222"/>
        <v/>
      </c>
    </row>
    <row r="6336" spans="2:7">
      <c r="B6336" s="6"/>
      <c r="E6336" s="7"/>
      <c r="F6336" t="str">
        <f t="shared" si="221"/>
        <v/>
      </c>
      <c r="G6336" t="str">
        <f t="shared" si="222"/>
        <v/>
      </c>
    </row>
    <row r="6337" spans="2:7">
      <c r="B6337" s="6"/>
      <c r="E6337" s="7"/>
      <c r="F6337" t="str">
        <f t="shared" si="221"/>
        <v/>
      </c>
      <c r="G6337" t="str">
        <f t="shared" si="222"/>
        <v/>
      </c>
    </row>
    <row r="6338" spans="2:7">
      <c r="B6338" s="6"/>
      <c r="E6338" s="7"/>
      <c r="F6338" t="str">
        <f t="shared" si="221"/>
        <v/>
      </c>
      <c r="G6338" t="str">
        <f t="shared" si="222"/>
        <v/>
      </c>
    </row>
    <row r="6339" spans="2:7">
      <c r="B6339" s="6"/>
      <c r="E6339" s="7"/>
      <c r="F6339" t="str">
        <f t="shared" si="221"/>
        <v/>
      </c>
      <c r="G6339" t="str">
        <f t="shared" si="222"/>
        <v/>
      </c>
    </row>
    <row r="6340" spans="2:7">
      <c r="B6340" s="6"/>
      <c r="E6340" s="7"/>
      <c r="F6340" t="str">
        <f t="shared" ref="F6340:F6403" si="223">IF(B6340="","",LOG10(D6340))</f>
        <v/>
      </c>
      <c r="G6340" t="str">
        <f t="shared" ref="G6340:G6403" si="224">IF(E6340="", "",0.434*E6340/D6340)</f>
        <v/>
      </c>
    </row>
    <row r="6341" spans="2:7">
      <c r="B6341" s="6"/>
      <c r="E6341" s="7"/>
      <c r="F6341" t="str">
        <f t="shared" si="223"/>
        <v/>
      </c>
      <c r="G6341" t="str">
        <f t="shared" si="224"/>
        <v/>
      </c>
    </row>
    <row r="6342" spans="2:7">
      <c r="B6342" s="6"/>
      <c r="E6342" s="7"/>
      <c r="F6342" t="str">
        <f t="shared" si="223"/>
        <v/>
      </c>
      <c r="G6342" t="str">
        <f t="shared" si="224"/>
        <v/>
      </c>
    </row>
    <row r="6343" spans="2:7">
      <c r="B6343" s="6"/>
      <c r="E6343" s="7"/>
      <c r="F6343" t="str">
        <f t="shared" si="223"/>
        <v/>
      </c>
      <c r="G6343" t="str">
        <f t="shared" si="224"/>
        <v/>
      </c>
    </row>
    <row r="6344" spans="2:7">
      <c r="B6344" s="6"/>
      <c r="E6344" s="7"/>
      <c r="F6344" t="str">
        <f t="shared" si="223"/>
        <v/>
      </c>
      <c r="G6344" t="str">
        <f t="shared" si="224"/>
        <v/>
      </c>
    </row>
    <row r="6345" spans="2:7">
      <c r="B6345" s="6"/>
      <c r="E6345" s="7"/>
      <c r="F6345" t="str">
        <f t="shared" si="223"/>
        <v/>
      </c>
      <c r="G6345" t="str">
        <f t="shared" si="224"/>
        <v/>
      </c>
    </row>
    <row r="6346" spans="2:7">
      <c r="B6346" s="6"/>
      <c r="E6346" s="7"/>
      <c r="F6346" t="str">
        <f t="shared" si="223"/>
        <v/>
      </c>
      <c r="G6346" t="str">
        <f t="shared" si="224"/>
        <v/>
      </c>
    </row>
    <row r="6347" spans="2:7">
      <c r="B6347" s="6"/>
      <c r="E6347" s="7"/>
      <c r="F6347" t="str">
        <f t="shared" si="223"/>
        <v/>
      </c>
      <c r="G6347" t="str">
        <f t="shared" si="224"/>
        <v/>
      </c>
    </row>
    <row r="6348" spans="2:7">
      <c r="B6348" s="6"/>
      <c r="E6348" s="7"/>
      <c r="F6348" t="str">
        <f t="shared" si="223"/>
        <v/>
      </c>
      <c r="G6348" t="str">
        <f t="shared" si="224"/>
        <v/>
      </c>
    </row>
    <row r="6349" spans="2:7">
      <c r="B6349" s="6"/>
      <c r="E6349" s="7"/>
      <c r="F6349" t="str">
        <f t="shared" si="223"/>
        <v/>
      </c>
      <c r="G6349" t="str">
        <f t="shared" si="224"/>
        <v/>
      </c>
    </row>
    <row r="6350" spans="2:7">
      <c r="B6350" s="6"/>
      <c r="E6350" s="7"/>
      <c r="F6350" t="str">
        <f t="shared" si="223"/>
        <v/>
      </c>
      <c r="G6350" t="str">
        <f t="shared" si="224"/>
        <v/>
      </c>
    </row>
    <row r="6351" spans="2:7">
      <c r="B6351" s="6"/>
      <c r="E6351" s="7"/>
      <c r="F6351" t="str">
        <f t="shared" si="223"/>
        <v/>
      </c>
      <c r="G6351" t="str">
        <f t="shared" si="224"/>
        <v/>
      </c>
    </row>
    <row r="6352" spans="2:7">
      <c r="B6352" s="6"/>
      <c r="E6352" s="7"/>
      <c r="F6352" t="str">
        <f t="shared" si="223"/>
        <v/>
      </c>
      <c r="G6352" t="str">
        <f t="shared" si="224"/>
        <v/>
      </c>
    </row>
    <row r="6353" spans="2:7">
      <c r="B6353" s="6"/>
      <c r="E6353" s="7"/>
      <c r="F6353" t="str">
        <f t="shared" si="223"/>
        <v/>
      </c>
      <c r="G6353" t="str">
        <f t="shared" si="224"/>
        <v/>
      </c>
    </row>
    <row r="6354" spans="2:7">
      <c r="B6354" s="6"/>
      <c r="E6354" s="7"/>
      <c r="F6354" t="str">
        <f t="shared" si="223"/>
        <v/>
      </c>
      <c r="G6354" t="str">
        <f t="shared" si="224"/>
        <v/>
      </c>
    </row>
    <row r="6355" spans="2:7">
      <c r="B6355" s="6"/>
      <c r="E6355" s="7"/>
      <c r="F6355" t="str">
        <f t="shared" si="223"/>
        <v/>
      </c>
      <c r="G6355" t="str">
        <f t="shared" si="224"/>
        <v/>
      </c>
    </row>
    <row r="6356" spans="2:7">
      <c r="B6356" s="6"/>
      <c r="E6356" s="7"/>
      <c r="F6356" t="str">
        <f t="shared" si="223"/>
        <v/>
      </c>
      <c r="G6356" t="str">
        <f t="shared" si="224"/>
        <v/>
      </c>
    </row>
    <row r="6357" spans="2:7">
      <c r="B6357" s="6"/>
      <c r="E6357" s="7"/>
      <c r="F6357" t="str">
        <f t="shared" si="223"/>
        <v/>
      </c>
      <c r="G6357" t="str">
        <f t="shared" si="224"/>
        <v/>
      </c>
    </row>
    <row r="6358" spans="2:7">
      <c r="B6358" s="6"/>
      <c r="E6358" s="7"/>
      <c r="F6358" t="str">
        <f t="shared" si="223"/>
        <v/>
      </c>
      <c r="G6358" t="str">
        <f t="shared" si="224"/>
        <v/>
      </c>
    </row>
    <row r="6359" spans="2:7">
      <c r="B6359" s="6"/>
      <c r="E6359" s="7"/>
      <c r="F6359" t="str">
        <f t="shared" si="223"/>
        <v/>
      </c>
      <c r="G6359" t="str">
        <f t="shared" si="224"/>
        <v/>
      </c>
    </row>
    <row r="6360" spans="2:7">
      <c r="B6360" s="6"/>
      <c r="E6360" s="7"/>
      <c r="F6360" t="str">
        <f t="shared" si="223"/>
        <v/>
      </c>
      <c r="G6360" t="str">
        <f t="shared" si="224"/>
        <v/>
      </c>
    </row>
    <row r="6361" spans="2:7">
      <c r="B6361" s="6"/>
      <c r="E6361" s="7"/>
      <c r="F6361" t="str">
        <f t="shared" si="223"/>
        <v/>
      </c>
      <c r="G6361" t="str">
        <f t="shared" si="224"/>
        <v/>
      </c>
    </row>
    <row r="6362" spans="2:7">
      <c r="B6362" s="6"/>
      <c r="E6362" s="7"/>
      <c r="F6362" t="str">
        <f t="shared" si="223"/>
        <v/>
      </c>
      <c r="G6362" t="str">
        <f t="shared" si="224"/>
        <v/>
      </c>
    </row>
    <row r="6363" spans="2:7">
      <c r="B6363" s="6"/>
      <c r="E6363" s="7"/>
      <c r="F6363" t="str">
        <f t="shared" si="223"/>
        <v/>
      </c>
      <c r="G6363" t="str">
        <f t="shared" si="224"/>
        <v/>
      </c>
    </row>
    <row r="6364" spans="2:7">
      <c r="B6364" s="6"/>
      <c r="E6364" s="7"/>
      <c r="F6364" t="str">
        <f t="shared" si="223"/>
        <v/>
      </c>
      <c r="G6364" t="str">
        <f t="shared" si="224"/>
        <v/>
      </c>
    </row>
    <row r="6365" spans="2:7">
      <c r="B6365" s="6"/>
      <c r="E6365" s="7"/>
      <c r="F6365" t="str">
        <f t="shared" si="223"/>
        <v/>
      </c>
      <c r="G6365" t="str">
        <f t="shared" si="224"/>
        <v/>
      </c>
    </row>
    <row r="6366" spans="2:7">
      <c r="B6366" s="6"/>
      <c r="E6366" s="7"/>
      <c r="F6366" t="str">
        <f t="shared" si="223"/>
        <v/>
      </c>
      <c r="G6366" t="str">
        <f t="shared" si="224"/>
        <v/>
      </c>
    </row>
    <row r="6367" spans="2:7">
      <c r="B6367" s="6"/>
      <c r="E6367" s="7"/>
      <c r="F6367" t="str">
        <f t="shared" si="223"/>
        <v/>
      </c>
      <c r="G6367" t="str">
        <f t="shared" si="224"/>
        <v/>
      </c>
    </row>
    <row r="6368" spans="2:7">
      <c r="B6368" s="6"/>
      <c r="E6368" s="7"/>
      <c r="F6368" t="str">
        <f t="shared" si="223"/>
        <v/>
      </c>
      <c r="G6368" t="str">
        <f t="shared" si="224"/>
        <v/>
      </c>
    </row>
    <row r="6369" spans="2:7">
      <c r="B6369" s="6"/>
      <c r="E6369" s="7"/>
      <c r="F6369" t="str">
        <f t="shared" si="223"/>
        <v/>
      </c>
      <c r="G6369" t="str">
        <f t="shared" si="224"/>
        <v/>
      </c>
    </row>
    <row r="6370" spans="2:7">
      <c r="B6370" s="6"/>
      <c r="E6370" s="7"/>
      <c r="F6370" t="str">
        <f t="shared" si="223"/>
        <v/>
      </c>
      <c r="G6370" t="str">
        <f t="shared" si="224"/>
        <v/>
      </c>
    </row>
    <row r="6371" spans="2:7">
      <c r="B6371" s="6"/>
      <c r="E6371" s="7"/>
      <c r="F6371" t="str">
        <f t="shared" si="223"/>
        <v/>
      </c>
      <c r="G6371" t="str">
        <f t="shared" si="224"/>
        <v/>
      </c>
    </row>
    <row r="6372" spans="2:7">
      <c r="B6372" s="6"/>
      <c r="E6372" s="7"/>
      <c r="F6372" t="str">
        <f t="shared" si="223"/>
        <v/>
      </c>
      <c r="G6372" t="str">
        <f t="shared" si="224"/>
        <v/>
      </c>
    </row>
    <row r="6373" spans="2:7">
      <c r="B6373" s="6"/>
      <c r="E6373" s="7"/>
      <c r="F6373" t="str">
        <f t="shared" si="223"/>
        <v/>
      </c>
      <c r="G6373" t="str">
        <f t="shared" si="224"/>
        <v/>
      </c>
    </row>
    <row r="6374" spans="2:7">
      <c r="B6374" s="6"/>
      <c r="E6374" s="7"/>
      <c r="F6374" t="str">
        <f t="shared" si="223"/>
        <v/>
      </c>
      <c r="G6374" t="str">
        <f t="shared" si="224"/>
        <v/>
      </c>
    </row>
    <row r="6375" spans="2:7">
      <c r="B6375" s="6"/>
      <c r="E6375" s="7"/>
      <c r="F6375" t="str">
        <f t="shared" si="223"/>
        <v/>
      </c>
      <c r="G6375" t="str">
        <f t="shared" si="224"/>
        <v/>
      </c>
    </row>
    <row r="6376" spans="2:7">
      <c r="B6376" s="6"/>
      <c r="E6376" s="7"/>
      <c r="F6376" t="str">
        <f t="shared" si="223"/>
        <v/>
      </c>
      <c r="G6376" t="str">
        <f t="shared" si="224"/>
        <v/>
      </c>
    </row>
    <row r="6377" spans="2:7">
      <c r="B6377" s="6"/>
      <c r="E6377" s="7"/>
      <c r="F6377" t="str">
        <f t="shared" si="223"/>
        <v/>
      </c>
      <c r="G6377" t="str">
        <f t="shared" si="224"/>
        <v/>
      </c>
    </row>
    <row r="6378" spans="2:7">
      <c r="B6378" s="6"/>
      <c r="E6378" s="7"/>
      <c r="F6378" t="str">
        <f t="shared" si="223"/>
        <v/>
      </c>
      <c r="G6378" t="str">
        <f t="shared" si="224"/>
        <v/>
      </c>
    </row>
    <row r="6379" spans="2:7">
      <c r="B6379" s="6"/>
      <c r="E6379" s="7"/>
      <c r="F6379" t="str">
        <f t="shared" si="223"/>
        <v/>
      </c>
      <c r="G6379" t="str">
        <f t="shared" si="224"/>
        <v/>
      </c>
    </row>
    <row r="6380" spans="2:7">
      <c r="B6380" s="6"/>
      <c r="E6380" s="7"/>
      <c r="F6380" t="str">
        <f t="shared" si="223"/>
        <v/>
      </c>
      <c r="G6380" t="str">
        <f t="shared" si="224"/>
        <v/>
      </c>
    </row>
    <row r="6381" spans="2:7">
      <c r="B6381" s="6"/>
      <c r="E6381" s="7"/>
      <c r="F6381" t="str">
        <f t="shared" si="223"/>
        <v/>
      </c>
      <c r="G6381" t="str">
        <f t="shared" si="224"/>
        <v/>
      </c>
    </row>
    <row r="6382" spans="2:7">
      <c r="B6382" s="6"/>
      <c r="E6382" s="7"/>
      <c r="F6382" t="str">
        <f t="shared" si="223"/>
        <v/>
      </c>
      <c r="G6382" t="str">
        <f t="shared" si="224"/>
        <v/>
      </c>
    </row>
    <row r="6383" spans="2:7">
      <c r="B6383" s="6"/>
      <c r="E6383" s="7"/>
      <c r="F6383" t="str">
        <f t="shared" si="223"/>
        <v/>
      </c>
      <c r="G6383" t="str">
        <f t="shared" si="224"/>
        <v/>
      </c>
    </row>
    <row r="6384" spans="2:7">
      <c r="B6384" s="6"/>
      <c r="E6384" s="7"/>
      <c r="F6384" t="str">
        <f t="shared" si="223"/>
        <v/>
      </c>
      <c r="G6384" t="str">
        <f t="shared" si="224"/>
        <v/>
      </c>
    </row>
    <row r="6385" spans="2:7">
      <c r="B6385" s="6"/>
      <c r="E6385" s="7"/>
      <c r="F6385" t="str">
        <f t="shared" si="223"/>
        <v/>
      </c>
      <c r="G6385" t="str">
        <f t="shared" si="224"/>
        <v/>
      </c>
    </row>
    <row r="6386" spans="2:7">
      <c r="B6386" s="6"/>
      <c r="E6386" s="7"/>
      <c r="F6386" t="str">
        <f t="shared" si="223"/>
        <v/>
      </c>
      <c r="G6386" t="str">
        <f t="shared" si="224"/>
        <v/>
      </c>
    </row>
    <row r="6387" spans="2:7">
      <c r="B6387" s="6"/>
      <c r="E6387" s="7"/>
      <c r="F6387" t="str">
        <f t="shared" si="223"/>
        <v/>
      </c>
      <c r="G6387" t="str">
        <f t="shared" si="224"/>
        <v/>
      </c>
    </row>
    <row r="6388" spans="2:7">
      <c r="B6388" s="6"/>
      <c r="E6388" s="7"/>
      <c r="F6388" t="str">
        <f t="shared" si="223"/>
        <v/>
      </c>
      <c r="G6388" t="str">
        <f t="shared" si="224"/>
        <v/>
      </c>
    </row>
    <row r="6389" spans="2:7">
      <c r="B6389" s="6"/>
      <c r="E6389" s="7"/>
      <c r="F6389" t="str">
        <f t="shared" si="223"/>
        <v/>
      </c>
      <c r="G6389" t="str">
        <f t="shared" si="224"/>
        <v/>
      </c>
    </row>
    <row r="6390" spans="2:7">
      <c r="B6390" s="6"/>
      <c r="E6390" s="7"/>
      <c r="F6390" t="str">
        <f t="shared" si="223"/>
        <v/>
      </c>
      <c r="G6390" t="str">
        <f t="shared" si="224"/>
        <v/>
      </c>
    </row>
    <row r="6391" spans="2:7">
      <c r="B6391" s="6"/>
      <c r="E6391" s="7"/>
      <c r="F6391" t="str">
        <f t="shared" si="223"/>
        <v/>
      </c>
      <c r="G6391" t="str">
        <f t="shared" si="224"/>
        <v/>
      </c>
    </row>
    <row r="6392" spans="2:7">
      <c r="B6392" s="6"/>
      <c r="E6392" s="7"/>
      <c r="F6392" t="str">
        <f t="shared" si="223"/>
        <v/>
      </c>
      <c r="G6392" t="str">
        <f t="shared" si="224"/>
        <v/>
      </c>
    </row>
    <row r="6393" spans="2:7">
      <c r="B6393" s="6"/>
      <c r="E6393" s="7"/>
      <c r="F6393" t="str">
        <f t="shared" si="223"/>
        <v/>
      </c>
      <c r="G6393" t="str">
        <f t="shared" si="224"/>
        <v/>
      </c>
    </row>
    <row r="6394" spans="2:7">
      <c r="B6394" s="6"/>
      <c r="E6394" s="7"/>
      <c r="F6394" t="str">
        <f t="shared" si="223"/>
        <v/>
      </c>
      <c r="G6394" t="str">
        <f t="shared" si="224"/>
        <v/>
      </c>
    </row>
    <row r="6395" spans="2:7">
      <c r="B6395" s="6"/>
      <c r="E6395" s="7"/>
      <c r="F6395" t="str">
        <f t="shared" si="223"/>
        <v/>
      </c>
      <c r="G6395" t="str">
        <f t="shared" si="224"/>
        <v/>
      </c>
    </row>
    <row r="6396" spans="2:7">
      <c r="B6396" s="6"/>
      <c r="E6396" s="7"/>
      <c r="F6396" t="str">
        <f t="shared" si="223"/>
        <v/>
      </c>
      <c r="G6396" t="str">
        <f t="shared" si="224"/>
        <v/>
      </c>
    </row>
    <row r="6397" spans="2:7">
      <c r="B6397" s="6"/>
      <c r="E6397" s="7"/>
      <c r="F6397" t="str">
        <f t="shared" si="223"/>
        <v/>
      </c>
      <c r="G6397" t="str">
        <f t="shared" si="224"/>
        <v/>
      </c>
    </row>
    <row r="6398" spans="2:7">
      <c r="B6398" s="6"/>
      <c r="E6398" s="7"/>
      <c r="F6398" t="str">
        <f t="shared" si="223"/>
        <v/>
      </c>
      <c r="G6398" t="str">
        <f t="shared" si="224"/>
        <v/>
      </c>
    </row>
    <row r="6399" spans="2:7">
      <c r="B6399" s="6"/>
      <c r="E6399" s="7"/>
      <c r="F6399" t="str">
        <f t="shared" si="223"/>
        <v/>
      </c>
      <c r="G6399" t="str">
        <f t="shared" si="224"/>
        <v/>
      </c>
    </row>
    <row r="6400" spans="2:7">
      <c r="B6400" s="6"/>
      <c r="E6400" s="7"/>
      <c r="F6400" t="str">
        <f t="shared" si="223"/>
        <v/>
      </c>
      <c r="G6400" t="str">
        <f t="shared" si="224"/>
        <v/>
      </c>
    </row>
    <row r="6401" spans="2:7">
      <c r="B6401" s="6"/>
      <c r="E6401" s="7"/>
      <c r="F6401" t="str">
        <f t="shared" si="223"/>
        <v/>
      </c>
      <c r="G6401" t="str">
        <f t="shared" si="224"/>
        <v/>
      </c>
    </row>
    <row r="6402" spans="2:7">
      <c r="B6402" s="6"/>
      <c r="E6402" s="7"/>
      <c r="F6402" t="str">
        <f t="shared" si="223"/>
        <v/>
      </c>
      <c r="G6402" t="str">
        <f t="shared" si="224"/>
        <v/>
      </c>
    </row>
    <row r="6403" spans="2:7">
      <c r="B6403" s="6"/>
      <c r="E6403" s="7"/>
      <c r="F6403" t="str">
        <f t="shared" si="223"/>
        <v/>
      </c>
      <c r="G6403" t="str">
        <f t="shared" si="224"/>
        <v/>
      </c>
    </row>
    <row r="6404" spans="2:7">
      <c r="B6404" s="6"/>
      <c r="E6404" s="7"/>
      <c r="F6404" t="str">
        <f t="shared" ref="F6404:F6467" si="225">IF(B6404="","",LOG10(D6404))</f>
        <v/>
      </c>
      <c r="G6404" t="str">
        <f t="shared" ref="G6404:G6467" si="226">IF(E6404="", "",0.434*E6404/D6404)</f>
        <v/>
      </c>
    </row>
    <row r="6405" spans="2:7">
      <c r="B6405" s="6"/>
      <c r="E6405" s="7"/>
      <c r="F6405" t="str">
        <f t="shared" si="225"/>
        <v/>
      </c>
      <c r="G6405" t="str">
        <f t="shared" si="226"/>
        <v/>
      </c>
    </row>
    <row r="6406" spans="2:7">
      <c r="B6406" s="6"/>
      <c r="E6406" s="7"/>
      <c r="F6406" t="str">
        <f t="shared" si="225"/>
        <v/>
      </c>
      <c r="G6406" t="str">
        <f t="shared" si="226"/>
        <v/>
      </c>
    </row>
    <row r="6407" spans="2:7">
      <c r="B6407" s="6"/>
      <c r="E6407" s="7"/>
      <c r="F6407" t="str">
        <f t="shared" si="225"/>
        <v/>
      </c>
      <c r="G6407" t="str">
        <f t="shared" si="226"/>
        <v/>
      </c>
    </row>
    <row r="6408" spans="2:7">
      <c r="B6408" s="6"/>
      <c r="E6408" s="7"/>
      <c r="F6408" t="str">
        <f t="shared" si="225"/>
        <v/>
      </c>
      <c r="G6408" t="str">
        <f t="shared" si="226"/>
        <v/>
      </c>
    </row>
    <row r="6409" spans="2:7">
      <c r="B6409" s="6"/>
      <c r="E6409" s="7"/>
      <c r="F6409" t="str">
        <f t="shared" si="225"/>
        <v/>
      </c>
      <c r="G6409" t="str">
        <f t="shared" si="226"/>
        <v/>
      </c>
    </row>
    <row r="6410" spans="2:7">
      <c r="B6410" s="6"/>
      <c r="E6410" s="7"/>
      <c r="F6410" t="str">
        <f t="shared" si="225"/>
        <v/>
      </c>
      <c r="G6410" t="str">
        <f t="shared" si="226"/>
        <v/>
      </c>
    </row>
    <row r="6411" spans="2:7">
      <c r="B6411" s="6"/>
      <c r="E6411" s="7"/>
      <c r="F6411" t="str">
        <f t="shared" si="225"/>
        <v/>
      </c>
      <c r="G6411" t="str">
        <f t="shared" si="226"/>
        <v/>
      </c>
    </row>
    <row r="6412" spans="2:7">
      <c r="B6412" s="6"/>
      <c r="E6412" s="7"/>
      <c r="F6412" t="str">
        <f t="shared" si="225"/>
        <v/>
      </c>
      <c r="G6412" t="str">
        <f t="shared" si="226"/>
        <v/>
      </c>
    </row>
    <row r="6413" spans="2:7">
      <c r="B6413" s="6"/>
      <c r="E6413" s="7"/>
      <c r="F6413" t="str">
        <f t="shared" si="225"/>
        <v/>
      </c>
      <c r="G6413" t="str">
        <f t="shared" si="226"/>
        <v/>
      </c>
    </row>
    <row r="6414" spans="2:7">
      <c r="B6414" s="6"/>
      <c r="E6414" s="7"/>
      <c r="F6414" t="str">
        <f t="shared" si="225"/>
        <v/>
      </c>
      <c r="G6414" t="str">
        <f t="shared" si="226"/>
        <v/>
      </c>
    </row>
    <row r="6415" spans="2:7">
      <c r="B6415" s="6"/>
      <c r="E6415" s="7"/>
      <c r="F6415" t="str">
        <f t="shared" si="225"/>
        <v/>
      </c>
      <c r="G6415" t="str">
        <f t="shared" si="226"/>
        <v/>
      </c>
    </row>
    <row r="6416" spans="2:7">
      <c r="B6416" s="6"/>
      <c r="E6416" s="7"/>
      <c r="F6416" t="str">
        <f t="shared" si="225"/>
        <v/>
      </c>
      <c r="G6416" t="str">
        <f t="shared" si="226"/>
        <v/>
      </c>
    </row>
    <row r="6417" spans="2:7">
      <c r="B6417" s="6"/>
      <c r="E6417" s="7"/>
      <c r="F6417" t="str">
        <f t="shared" si="225"/>
        <v/>
      </c>
      <c r="G6417" t="str">
        <f t="shared" si="226"/>
        <v/>
      </c>
    </row>
    <row r="6418" spans="2:7">
      <c r="B6418" s="6"/>
      <c r="E6418" s="7"/>
      <c r="F6418" t="str">
        <f t="shared" si="225"/>
        <v/>
      </c>
      <c r="G6418" t="str">
        <f t="shared" si="226"/>
        <v/>
      </c>
    </row>
    <row r="6419" spans="2:7">
      <c r="B6419" s="6"/>
      <c r="E6419" s="7"/>
      <c r="F6419" t="str">
        <f t="shared" si="225"/>
        <v/>
      </c>
      <c r="G6419" t="str">
        <f t="shared" si="226"/>
        <v/>
      </c>
    </row>
    <row r="6420" spans="2:7">
      <c r="B6420" s="6"/>
      <c r="E6420" s="7"/>
      <c r="F6420" t="str">
        <f t="shared" si="225"/>
        <v/>
      </c>
      <c r="G6420" t="str">
        <f t="shared" si="226"/>
        <v/>
      </c>
    </row>
    <row r="6421" spans="2:7">
      <c r="B6421" s="6"/>
      <c r="E6421" s="7"/>
      <c r="F6421" t="str">
        <f t="shared" si="225"/>
        <v/>
      </c>
      <c r="G6421" t="str">
        <f t="shared" si="226"/>
        <v/>
      </c>
    </row>
    <row r="6422" spans="2:7">
      <c r="B6422" s="6"/>
      <c r="E6422" s="7"/>
      <c r="F6422" t="str">
        <f t="shared" si="225"/>
        <v/>
      </c>
      <c r="G6422" t="str">
        <f t="shared" si="226"/>
        <v/>
      </c>
    </row>
    <row r="6423" spans="2:7">
      <c r="B6423" s="6"/>
      <c r="E6423" s="7"/>
      <c r="F6423" t="str">
        <f t="shared" si="225"/>
        <v/>
      </c>
      <c r="G6423" t="str">
        <f t="shared" si="226"/>
        <v/>
      </c>
    </row>
    <row r="6424" spans="2:7">
      <c r="B6424" s="6"/>
      <c r="E6424" s="7"/>
      <c r="F6424" t="str">
        <f t="shared" si="225"/>
        <v/>
      </c>
      <c r="G6424" t="str">
        <f t="shared" si="226"/>
        <v/>
      </c>
    </row>
    <row r="6425" spans="2:7">
      <c r="B6425" s="6"/>
      <c r="E6425" s="7"/>
      <c r="F6425" t="str">
        <f t="shared" si="225"/>
        <v/>
      </c>
      <c r="G6425" t="str">
        <f t="shared" si="226"/>
        <v/>
      </c>
    </row>
    <row r="6426" spans="2:7">
      <c r="B6426" s="6"/>
      <c r="E6426" s="7"/>
      <c r="F6426" t="str">
        <f t="shared" si="225"/>
        <v/>
      </c>
      <c r="G6426" t="str">
        <f t="shared" si="226"/>
        <v/>
      </c>
    </row>
    <row r="6427" spans="2:7">
      <c r="B6427" s="6"/>
      <c r="E6427" s="7"/>
      <c r="F6427" t="str">
        <f t="shared" si="225"/>
        <v/>
      </c>
      <c r="G6427" t="str">
        <f t="shared" si="226"/>
        <v/>
      </c>
    </row>
    <row r="6428" spans="2:7">
      <c r="B6428" s="6"/>
      <c r="E6428" s="7"/>
      <c r="F6428" t="str">
        <f t="shared" si="225"/>
        <v/>
      </c>
      <c r="G6428" t="str">
        <f t="shared" si="226"/>
        <v/>
      </c>
    </row>
    <row r="6429" spans="2:7">
      <c r="B6429" s="6"/>
      <c r="E6429" s="7"/>
      <c r="F6429" t="str">
        <f t="shared" si="225"/>
        <v/>
      </c>
      <c r="G6429" t="str">
        <f t="shared" si="226"/>
        <v/>
      </c>
    </row>
    <row r="6430" spans="2:7">
      <c r="B6430" s="6"/>
      <c r="E6430" s="7"/>
      <c r="F6430" t="str">
        <f t="shared" si="225"/>
        <v/>
      </c>
      <c r="G6430" t="str">
        <f t="shared" si="226"/>
        <v/>
      </c>
    </row>
    <row r="6431" spans="2:7">
      <c r="B6431" s="6"/>
      <c r="E6431" s="7"/>
      <c r="F6431" t="str">
        <f t="shared" si="225"/>
        <v/>
      </c>
      <c r="G6431" t="str">
        <f t="shared" si="226"/>
        <v/>
      </c>
    </row>
    <row r="6432" spans="2:7">
      <c r="B6432" s="6"/>
      <c r="E6432" s="7"/>
      <c r="F6432" t="str">
        <f t="shared" si="225"/>
        <v/>
      </c>
      <c r="G6432" t="str">
        <f t="shared" si="226"/>
        <v/>
      </c>
    </row>
    <row r="6433" spans="2:7">
      <c r="B6433" s="6"/>
      <c r="E6433" s="7"/>
      <c r="F6433" t="str">
        <f t="shared" si="225"/>
        <v/>
      </c>
      <c r="G6433" t="str">
        <f t="shared" si="226"/>
        <v/>
      </c>
    </row>
    <row r="6434" spans="2:7">
      <c r="B6434" s="6"/>
      <c r="E6434" s="7"/>
      <c r="F6434" t="str">
        <f t="shared" si="225"/>
        <v/>
      </c>
      <c r="G6434" t="str">
        <f t="shared" si="226"/>
        <v/>
      </c>
    </row>
    <row r="6435" spans="2:7">
      <c r="B6435" s="6"/>
      <c r="E6435" s="7"/>
      <c r="F6435" t="str">
        <f t="shared" si="225"/>
        <v/>
      </c>
      <c r="G6435" t="str">
        <f t="shared" si="226"/>
        <v/>
      </c>
    </row>
    <row r="6436" spans="2:7">
      <c r="B6436" s="6"/>
      <c r="E6436" s="7"/>
      <c r="F6436" t="str">
        <f t="shared" si="225"/>
        <v/>
      </c>
      <c r="G6436" t="str">
        <f t="shared" si="226"/>
        <v/>
      </c>
    </row>
    <row r="6437" spans="2:7">
      <c r="B6437" s="6"/>
      <c r="E6437" s="7"/>
      <c r="F6437" t="str">
        <f t="shared" si="225"/>
        <v/>
      </c>
      <c r="G6437" t="str">
        <f t="shared" si="226"/>
        <v/>
      </c>
    </row>
    <row r="6438" spans="2:7">
      <c r="B6438" s="6"/>
      <c r="E6438" s="7"/>
      <c r="F6438" t="str">
        <f t="shared" si="225"/>
        <v/>
      </c>
      <c r="G6438" t="str">
        <f t="shared" si="226"/>
        <v/>
      </c>
    </row>
    <row r="6439" spans="2:7">
      <c r="B6439" s="6"/>
      <c r="E6439" s="7"/>
      <c r="F6439" t="str">
        <f t="shared" si="225"/>
        <v/>
      </c>
      <c r="G6439" t="str">
        <f t="shared" si="226"/>
        <v/>
      </c>
    </row>
    <row r="6440" spans="2:7">
      <c r="B6440" s="6"/>
      <c r="E6440" s="7"/>
      <c r="F6440" t="str">
        <f t="shared" si="225"/>
        <v/>
      </c>
      <c r="G6440" t="str">
        <f t="shared" si="226"/>
        <v/>
      </c>
    </row>
    <row r="6441" spans="2:7">
      <c r="B6441" s="6"/>
      <c r="E6441" s="7"/>
      <c r="F6441" t="str">
        <f t="shared" si="225"/>
        <v/>
      </c>
      <c r="G6441" t="str">
        <f t="shared" si="226"/>
        <v/>
      </c>
    </row>
    <row r="6442" spans="2:7">
      <c r="B6442" s="6"/>
      <c r="E6442" s="7"/>
      <c r="F6442" t="str">
        <f t="shared" si="225"/>
        <v/>
      </c>
      <c r="G6442" t="str">
        <f t="shared" si="226"/>
        <v/>
      </c>
    </row>
    <row r="6443" spans="2:7">
      <c r="B6443" s="6"/>
      <c r="E6443" s="7"/>
      <c r="F6443" t="str">
        <f t="shared" si="225"/>
        <v/>
      </c>
      <c r="G6443" t="str">
        <f t="shared" si="226"/>
        <v/>
      </c>
    </row>
    <row r="6444" spans="2:7">
      <c r="B6444" s="6"/>
      <c r="E6444" s="7"/>
      <c r="F6444" t="str">
        <f t="shared" si="225"/>
        <v/>
      </c>
      <c r="G6444" t="str">
        <f t="shared" si="226"/>
        <v/>
      </c>
    </row>
    <row r="6445" spans="2:7">
      <c r="B6445" s="6"/>
      <c r="E6445" s="7"/>
      <c r="F6445" t="str">
        <f t="shared" si="225"/>
        <v/>
      </c>
      <c r="G6445" t="str">
        <f t="shared" si="226"/>
        <v/>
      </c>
    </row>
    <row r="6446" spans="2:7">
      <c r="B6446" s="6"/>
      <c r="E6446" s="7"/>
      <c r="F6446" t="str">
        <f t="shared" si="225"/>
        <v/>
      </c>
      <c r="G6446" t="str">
        <f t="shared" si="226"/>
        <v/>
      </c>
    </row>
    <row r="6447" spans="2:7">
      <c r="B6447" s="6"/>
      <c r="E6447" s="7"/>
      <c r="F6447" t="str">
        <f t="shared" si="225"/>
        <v/>
      </c>
      <c r="G6447" t="str">
        <f t="shared" si="226"/>
        <v/>
      </c>
    </row>
    <row r="6448" spans="2:7">
      <c r="B6448" s="6"/>
      <c r="E6448" s="7"/>
      <c r="F6448" t="str">
        <f t="shared" si="225"/>
        <v/>
      </c>
      <c r="G6448" t="str">
        <f t="shared" si="226"/>
        <v/>
      </c>
    </row>
    <row r="6449" spans="2:7">
      <c r="B6449" s="6"/>
      <c r="E6449" s="7"/>
      <c r="F6449" t="str">
        <f t="shared" si="225"/>
        <v/>
      </c>
      <c r="G6449" t="str">
        <f t="shared" si="226"/>
        <v/>
      </c>
    </row>
    <row r="6450" spans="2:7">
      <c r="B6450" s="6"/>
      <c r="E6450" s="7"/>
      <c r="F6450" t="str">
        <f t="shared" si="225"/>
        <v/>
      </c>
      <c r="G6450" t="str">
        <f t="shared" si="226"/>
        <v/>
      </c>
    </row>
    <row r="6451" spans="2:7">
      <c r="B6451" s="6"/>
      <c r="E6451" s="7"/>
      <c r="F6451" t="str">
        <f t="shared" si="225"/>
        <v/>
      </c>
      <c r="G6451" t="str">
        <f t="shared" si="226"/>
        <v/>
      </c>
    </row>
    <row r="6452" spans="2:7">
      <c r="B6452" s="6"/>
      <c r="E6452" s="7"/>
      <c r="F6452" t="str">
        <f t="shared" si="225"/>
        <v/>
      </c>
      <c r="G6452" t="str">
        <f t="shared" si="226"/>
        <v/>
      </c>
    </row>
    <row r="6453" spans="2:7">
      <c r="B6453" s="6"/>
      <c r="E6453" s="7"/>
      <c r="F6453" t="str">
        <f t="shared" si="225"/>
        <v/>
      </c>
      <c r="G6453" t="str">
        <f t="shared" si="226"/>
        <v/>
      </c>
    </row>
    <row r="6454" spans="2:7">
      <c r="B6454" s="6"/>
      <c r="E6454" s="7"/>
      <c r="F6454" t="str">
        <f t="shared" si="225"/>
        <v/>
      </c>
      <c r="G6454" t="str">
        <f t="shared" si="226"/>
        <v/>
      </c>
    </row>
    <row r="6455" spans="2:7">
      <c r="B6455" s="6"/>
      <c r="E6455" s="7"/>
      <c r="F6455" t="str">
        <f t="shared" si="225"/>
        <v/>
      </c>
      <c r="G6455" t="str">
        <f t="shared" si="226"/>
        <v/>
      </c>
    </row>
    <row r="6456" spans="2:7">
      <c r="B6456" s="6"/>
      <c r="E6456" s="7"/>
      <c r="F6456" t="str">
        <f t="shared" si="225"/>
        <v/>
      </c>
      <c r="G6456" t="str">
        <f t="shared" si="226"/>
        <v/>
      </c>
    </row>
    <row r="6457" spans="2:7">
      <c r="B6457" s="6"/>
      <c r="E6457" s="7"/>
      <c r="F6457" t="str">
        <f t="shared" si="225"/>
        <v/>
      </c>
      <c r="G6457" t="str">
        <f t="shared" si="226"/>
        <v/>
      </c>
    </row>
    <row r="6458" spans="2:7">
      <c r="B6458" s="6"/>
      <c r="E6458" s="7"/>
      <c r="F6458" t="str">
        <f t="shared" si="225"/>
        <v/>
      </c>
      <c r="G6458" t="str">
        <f t="shared" si="226"/>
        <v/>
      </c>
    </row>
    <row r="6459" spans="2:7">
      <c r="B6459" s="6"/>
      <c r="E6459" s="7"/>
      <c r="F6459" t="str">
        <f t="shared" si="225"/>
        <v/>
      </c>
      <c r="G6459" t="str">
        <f t="shared" si="226"/>
        <v/>
      </c>
    </row>
    <row r="6460" spans="2:7">
      <c r="B6460" s="6"/>
      <c r="E6460" s="7"/>
      <c r="F6460" t="str">
        <f t="shared" si="225"/>
        <v/>
      </c>
      <c r="G6460" t="str">
        <f t="shared" si="226"/>
        <v/>
      </c>
    </row>
    <row r="6461" spans="2:7">
      <c r="B6461" s="6"/>
      <c r="E6461" s="7"/>
      <c r="F6461" t="str">
        <f t="shared" si="225"/>
        <v/>
      </c>
      <c r="G6461" t="str">
        <f t="shared" si="226"/>
        <v/>
      </c>
    </row>
    <row r="6462" spans="2:7">
      <c r="B6462" s="6"/>
      <c r="E6462" s="7"/>
      <c r="F6462" t="str">
        <f t="shared" si="225"/>
        <v/>
      </c>
      <c r="G6462" t="str">
        <f t="shared" si="226"/>
        <v/>
      </c>
    </row>
    <row r="6463" spans="2:7">
      <c r="B6463" s="6"/>
      <c r="E6463" s="7"/>
      <c r="F6463" t="str">
        <f t="shared" si="225"/>
        <v/>
      </c>
      <c r="G6463" t="str">
        <f t="shared" si="226"/>
        <v/>
      </c>
    </row>
    <row r="6464" spans="2:7">
      <c r="B6464" s="6"/>
      <c r="E6464" s="7"/>
      <c r="F6464" t="str">
        <f t="shared" si="225"/>
        <v/>
      </c>
      <c r="G6464" t="str">
        <f t="shared" si="226"/>
        <v/>
      </c>
    </row>
    <row r="6465" spans="2:7">
      <c r="B6465" s="6"/>
      <c r="E6465" s="7"/>
      <c r="F6465" t="str">
        <f t="shared" si="225"/>
        <v/>
      </c>
      <c r="G6465" t="str">
        <f t="shared" si="226"/>
        <v/>
      </c>
    </row>
    <row r="6466" spans="2:7">
      <c r="B6466" s="6"/>
      <c r="E6466" s="7"/>
      <c r="F6466" t="str">
        <f t="shared" si="225"/>
        <v/>
      </c>
      <c r="G6466" t="str">
        <f t="shared" si="226"/>
        <v/>
      </c>
    </row>
    <row r="6467" spans="2:7">
      <c r="B6467" s="6"/>
      <c r="E6467" s="7"/>
      <c r="F6467" t="str">
        <f t="shared" si="225"/>
        <v/>
      </c>
      <c r="G6467" t="str">
        <f t="shared" si="226"/>
        <v/>
      </c>
    </row>
    <row r="6468" spans="2:7">
      <c r="B6468" s="6"/>
      <c r="E6468" s="7"/>
      <c r="F6468" t="str">
        <f t="shared" ref="F6468:F6531" si="227">IF(B6468="","",LOG10(D6468))</f>
        <v/>
      </c>
      <c r="G6468" t="str">
        <f t="shared" ref="G6468:G6531" si="228">IF(E6468="", "",0.434*E6468/D6468)</f>
        <v/>
      </c>
    </row>
    <row r="6469" spans="2:7">
      <c r="B6469" s="6"/>
      <c r="E6469" s="7"/>
      <c r="F6469" t="str">
        <f t="shared" si="227"/>
        <v/>
      </c>
      <c r="G6469" t="str">
        <f t="shared" si="228"/>
        <v/>
      </c>
    </row>
    <row r="6470" spans="2:7">
      <c r="B6470" s="6"/>
      <c r="E6470" s="7"/>
      <c r="F6470" t="str">
        <f t="shared" si="227"/>
        <v/>
      </c>
      <c r="G6470" t="str">
        <f t="shared" si="228"/>
        <v/>
      </c>
    </row>
    <row r="6471" spans="2:7">
      <c r="B6471" s="6"/>
      <c r="E6471" s="7"/>
      <c r="F6471" t="str">
        <f t="shared" si="227"/>
        <v/>
      </c>
      <c r="G6471" t="str">
        <f t="shared" si="228"/>
        <v/>
      </c>
    </row>
    <row r="6472" spans="2:7">
      <c r="B6472" s="6"/>
      <c r="E6472" s="7"/>
      <c r="F6472" t="str">
        <f t="shared" si="227"/>
        <v/>
      </c>
      <c r="G6472" t="str">
        <f t="shared" si="228"/>
        <v/>
      </c>
    </row>
    <row r="6473" spans="2:7">
      <c r="B6473" s="6"/>
      <c r="E6473" s="7"/>
      <c r="F6473" t="str">
        <f t="shared" si="227"/>
        <v/>
      </c>
      <c r="G6473" t="str">
        <f t="shared" si="228"/>
        <v/>
      </c>
    </row>
    <row r="6474" spans="2:7">
      <c r="B6474" s="6"/>
      <c r="E6474" s="7"/>
      <c r="F6474" t="str">
        <f t="shared" si="227"/>
        <v/>
      </c>
      <c r="G6474" t="str">
        <f t="shared" si="228"/>
        <v/>
      </c>
    </row>
    <row r="6475" spans="2:7">
      <c r="B6475" s="6"/>
      <c r="E6475" s="7"/>
      <c r="F6475" t="str">
        <f t="shared" si="227"/>
        <v/>
      </c>
      <c r="G6475" t="str">
        <f t="shared" si="228"/>
        <v/>
      </c>
    </row>
    <row r="6476" spans="2:7">
      <c r="B6476" s="6"/>
      <c r="E6476" s="7"/>
      <c r="F6476" t="str">
        <f t="shared" si="227"/>
        <v/>
      </c>
      <c r="G6476" t="str">
        <f t="shared" si="228"/>
        <v/>
      </c>
    </row>
    <row r="6477" spans="2:7">
      <c r="B6477" s="6"/>
      <c r="E6477" s="7"/>
      <c r="F6477" t="str">
        <f t="shared" si="227"/>
        <v/>
      </c>
      <c r="G6477" t="str">
        <f t="shared" si="228"/>
        <v/>
      </c>
    </row>
    <row r="6478" spans="2:7">
      <c r="B6478" s="6"/>
      <c r="E6478" s="7"/>
      <c r="F6478" t="str">
        <f t="shared" si="227"/>
        <v/>
      </c>
      <c r="G6478" t="str">
        <f t="shared" si="228"/>
        <v/>
      </c>
    </row>
    <row r="6479" spans="2:7">
      <c r="B6479" s="6"/>
      <c r="E6479" s="7"/>
      <c r="F6479" t="str">
        <f t="shared" si="227"/>
        <v/>
      </c>
      <c r="G6479" t="str">
        <f t="shared" si="228"/>
        <v/>
      </c>
    </row>
    <row r="6480" spans="2:7">
      <c r="B6480" s="6"/>
      <c r="E6480" s="7"/>
      <c r="F6480" t="str">
        <f t="shared" si="227"/>
        <v/>
      </c>
      <c r="G6480" t="str">
        <f t="shared" si="228"/>
        <v/>
      </c>
    </row>
    <row r="6481" spans="2:7">
      <c r="B6481" s="6"/>
      <c r="E6481" s="7"/>
      <c r="F6481" t="str">
        <f t="shared" si="227"/>
        <v/>
      </c>
      <c r="G6481" t="str">
        <f t="shared" si="228"/>
        <v/>
      </c>
    </row>
    <row r="6482" spans="2:7">
      <c r="B6482" s="6"/>
      <c r="E6482" s="7"/>
      <c r="F6482" t="str">
        <f t="shared" si="227"/>
        <v/>
      </c>
      <c r="G6482" t="str">
        <f t="shared" si="228"/>
        <v/>
      </c>
    </row>
    <row r="6483" spans="2:7">
      <c r="B6483" s="6"/>
      <c r="E6483" s="7"/>
      <c r="F6483" t="str">
        <f t="shared" si="227"/>
        <v/>
      </c>
      <c r="G6483" t="str">
        <f t="shared" si="228"/>
        <v/>
      </c>
    </row>
    <row r="6484" spans="2:7">
      <c r="B6484" s="6"/>
      <c r="E6484" s="7"/>
      <c r="F6484" t="str">
        <f t="shared" si="227"/>
        <v/>
      </c>
      <c r="G6484" t="str">
        <f t="shared" si="228"/>
        <v/>
      </c>
    </row>
    <row r="6485" spans="2:7">
      <c r="B6485" s="6"/>
      <c r="E6485" s="7"/>
      <c r="F6485" t="str">
        <f t="shared" si="227"/>
        <v/>
      </c>
      <c r="G6485" t="str">
        <f t="shared" si="228"/>
        <v/>
      </c>
    </row>
    <row r="6486" spans="2:7">
      <c r="B6486" s="6"/>
      <c r="E6486" s="7"/>
      <c r="F6486" t="str">
        <f t="shared" si="227"/>
        <v/>
      </c>
      <c r="G6486" t="str">
        <f t="shared" si="228"/>
        <v/>
      </c>
    </row>
    <row r="6487" spans="2:7">
      <c r="B6487" s="6"/>
      <c r="E6487" s="7"/>
      <c r="F6487" t="str">
        <f t="shared" si="227"/>
        <v/>
      </c>
      <c r="G6487" t="str">
        <f t="shared" si="228"/>
        <v/>
      </c>
    </row>
    <row r="6488" spans="2:7">
      <c r="B6488" s="6"/>
      <c r="E6488" s="7"/>
      <c r="F6488" t="str">
        <f t="shared" si="227"/>
        <v/>
      </c>
      <c r="G6488" t="str">
        <f t="shared" si="228"/>
        <v/>
      </c>
    </row>
    <row r="6489" spans="2:7">
      <c r="B6489" s="6"/>
      <c r="E6489" s="7"/>
      <c r="F6489" t="str">
        <f t="shared" si="227"/>
        <v/>
      </c>
      <c r="G6489" t="str">
        <f t="shared" si="228"/>
        <v/>
      </c>
    </row>
    <row r="6490" spans="2:7">
      <c r="B6490" s="6"/>
      <c r="E6490" s="7"/>
      <c r="F6490" t="str">
        <f t="shared" si="227"/>
        <v/>
      </c>
      <c r="G6490" t="str">
        <f t="shared" si="228"/>
        <v/>
      </c>
    </row>
    <row r="6491" spans="2:7">
      <c r="B6491" s="6"/>
      <c r="E6491" s="7"/>
      <c r="F6491" t="str">
        <f t="shared" si="227"/>
        <v/>
      </c>
      <c r="G6491" t="str">
        <f t="shared" si="228"/>
        <v/>
      </c>
    </row>
    <row r="6492" spans="2:7">
      <c r="B6492" s="6"/>
      <c r="E6492" s="7"/>
      <c r="F6492" t="str">
        <f t="shared" si="227"/>
        <v/>
      </c>
      <c r="G6492" t="str">
        <f t="shared" si="228"/>
        <v/>
      </c>
    </row>
    <row r="6493" spans="2:7">
      <c r="B6493" s="6"/>
      <c r="E6493" s="7"/>
      <c r="F6493" t="str">
        <f t="shared" si="227"/>
        <v/>
      </c>
      <c r="G6493" t="str">
        <f t="shared" si="228"/>
        <v/>
      </c>
    </row>
    <row r="6494" spans="2:7">
      <c r="B6494" s="6"/>
      <c r="E6494" s="7"/>
      <c r="F6494" t="str">
        <f t="shared" si="227"/>
        <v/>
      </c>
      <c r="G6494" t="str">
        <f t="shared" si="228"/>
        <v/>
      </c>
    </row>
    <row r="6495" spans="2:7">
      <c r="B6495" s="6"/>
      <c r="E6495" s="7"/>
      <c r="F6495" t="str">
        <f t="shared" si="227"/>
        <v/>
      </c>
      <c r="G6495" t="str">
        <f t="shared" si="228"/>
        <v/>
      </c>
    </row>
    <row r="6496" spans="2:7">
      <c r="B6496" s="6"/>
      <c r="E6496" s="7"/>
      <c r="F6496" t="str">
        <f t="shared" si="227"/>
        <v/>
      </c>
      <c r="G6496" t="str">
        <f t="shared" si="228"/>
        <v/>
      </c>
    </row>
    <row r="6497" spans="2:7">
      <c r="B6497" s="6"/>
      <c r="E6497" s="7"/>
      <c r="F6497" t="str">
        <f t="shared" si="227"/>
        <v/>
      </c>
      <c r="G6497" t="str">
        <f t="shared" si="228"/>
        <v/>
      </c>
    </row>
    <row r="6498" spans="2:7">
      <c r="B6498" s="6"/>
      <c r="E6498" s="7"/>
      <c r="F6498" t="str">
        <f t="shared" si="227"/>
        <v/>
      </c>
      <c r="G6498" t="str">
        <f t="shared" si="228"/>
        <v/>
      </c>
    </row>
    <row r="6499" spans="2:7">
      <c r="B6499" s="6"/>
      <c r="E6499" s="7"/>
      <c r="F6499" t="str">
        <f t="shared" si="227"/>
        <v/>
      </c>
      <c r="G6499" t="str">
        <f t="shared" si="228"/>
        <v/>
      </c>
    </row>
    <row r="6500" spans="2:7">
      <c r="B6500" s="6"/>
      <c r="E6500" s="7"/>
      <c r="F6500" t="str">
        <f t="shared" si="227"/>
        <v/>
      </c>
      <c r="G6500" t="str">
        <f t="shared" si="228"/>
        <v/>
      </c>
    </row>
    <row r="6501" spans="2:7">
      <c r="B6501" s="6"/>
      <c r="E6501" s="7"/>
      <c r="F6501" t="str">
        <f t="shared" si="227"/>
        <v/>
      </c>
      <c r="G6501" t="str">
        <f t="shared" si="228"/>
        <v/>
      </c>
    </row>
    <row r="6502" spans="2:7">
      <c r="B6502" s="6"/>
      <c r="E6502" s="7"/>
      <c r="F6502" t="str">
        <f t="shared" si="227"/>
        <v/>
      </c>
      <c r="G6502" t="str">
        <f t="shared" si="228"/>
        <v/>
      </c>
    </row>
    <row r="6503" spans="2:7">
      <c r="B6503" s="6"/>
      <c r="E6503" s="7"/>
      <c r="F6503" t="str">
        <f t="shared" si="227"/>
        <v/>
      </c>
      <c r="G6503" t="str">
        <f t="shared" si="228"/>
        <v/>
      </c>
    </row>
    <row r="6504" spans="2:7">
      <c r="B6504" s="6"/>
      <c r="E6504" s="7"/>
      <c r="F6504" t="str">
        <f t="shared" si="227"/>
        <v/>
      </c>
      <c r="G6504" t="str">
        <f t="shared" si="228"/>
        <v/>
      </c>
    </row>
    <row r="6505" spans="2:7">
      <c r="B6505" s="6"/>
      <c r="E6505" s="7"/>
      <c r="F6505" t="str">
        <f t="shared" si="227"/>
        <v/>
      </c>
      <c r="G6505" t="str">
        <f t="shared" si="228"/>
        <v/>
      </c>
    </row>
    <row r="6506" spans="2:7">
      <c r="B6506" s="6"/>
      <c r="E6506" s="7"/>
      <c r="F6506" t="str">
        <f t="shared" si="227"/>
        <v/>
      </c>
      <c r="G6506" t="str">
        <f t="shared" si="228"/>
        <v/>
      </c>
    </row>
    <row r="6507" spans="2:7">
      <c r="B6507" s="6"/>
      <c r="E6507" s="7"/>
      <c r="F6507" t="str">
        <f t="shared" si="227"/>
        <v/>
      </c>
      <c r="G6507" t="str">
        <f t="shared" si="228"/>
        <v/>
      </c>
    </row>
    <row r="6508" spans="2:7">
      <c r="B6508" s="6"/>
      <c r="E6508" s="7"/>
      <c r="F6508" t="str">
        <f t="shared" si="227"/>
        <v/>
      </c>
      <c r="G6508" t="str">
        <f t="shared" si="228"/>
        <v/>
      </c>
    </row>
    <row r="6509" spans="2:7">
      <c r="B6509" s="6"/>
      <c r="E6509" s="7"/>
      <c r="F6509" t="str">
        <f t="shared" si="227"/>
        <v/>
      </c>
      <c r="G6509" t="str">
        <f t="shared" si="228"/>
        <v/>
      </c>
    </row>
    <row r="6510" spans="2:7">
      <c r="B6510" s="6"/>
      <c r="E6510" s="7"/>
      <c r="F6510" t="str">
        <f t="shared" si="227"/>
        <v/>
      </c>
      <c r="G6510" t="str">
        <f t="shared" si="228"/>
        <v/>
      </c>
    </row>
    <row r="6511" spans="2:7">
      <c r="B6511" s="6"/>
      <c r="E6511" s="7"/>
      <c r="F6511" t="str">
        <f t="shared" si="227"/>
        <v/>
      </c>
      <c r="G6511" t="str">
        <f t="shared" si="228"/>
        <v/>
      </c>
    </row>
    <row r="6512" spans="2:7">
      <c r="B6512" s="6"/>
      <c r="E6512" s="7"/>
      <c r="F6512" t="str">
        <f t="shared" si="227"/>
        <v/>
      </c>
      <c r="G6512" t="str">
        <f t="shared" si="228"/>
        <v/>
      </c>
    </row>
    <row r="6513" spans="2:7">
      <c r="B6513" s="6"/>
      <c r="E6513" s="7"/>
      <c r="F6513" t="str">
        <f t="shared" si="227"/>
        <v/>
      </c>
      <c r="G6513" t="str">
        <f t="shared" si="228"/>
        <v/>
      </c>
    </row>
    <row r="6514" spans="2:7">
      <c r="B6514" s="6"/>
      <c r="E6514" s="7"/>
      <c r="F6514" t="str">
        <f t="shared" si="227"/>
        <v/>
      </c>
      <c r="G6514" t="str">
        <f t="shared" si="228"/>
        <v/>
      </c>
    </row>
    <row r="6515" spans="2:7">
      <c r="B6515" s="6"/>
      <c r="E6515" s="7"/>
      <c r="F6515" t="str">
        <f t="shared" si="227"/>
        <v/>
      </c>
      <c r="G6515" t="str">
        <f t="shared" si="228"/>
        <v/>
      </c>
    </row>
    <row r="6516" spans="2:7">
      <c r="B6516" s="6"/>
      <c r="E6516" s="7"/>
      <c r="F6516" t="str">
        <f t="shared" si="227"/>
        <v/>
      </c>
      <c r="G6516" t="str">
        <f t="shared" si="228"/>
        <v/>
      </c>
    </row>
    <row r="6517" spans="2:7">
      <c r="B6517" s="6"/>
      <c r="E6517" s="7"/>
      <c r="F6517" t="str">
        <f t="shared" si="227"/>
        <v/>
      </c>
      <c r="G6517" t="str">
        <f t="shared" si="228"/>
        <v/>
      </c>
    </row>
    <row r="6518" spans="2:7">
      <c r="B6518" s="6"/>
      <c r="E6518" s="7"/>
      <c r="F6518" t="str">
        <f t="shared" si="227"/>
        <v/>
      </c>
      <c r="G6518" t="str">
        <f t="shared" si="228"/>
        <v/>
      </c>
    </row>
    <row r="6519" spans="2:7">
      <c r="B6519" s="6"/>
      <c r="E6519" s="7"/>
      <c r="F6519" t="str">
        <f t="shared" si="227"/>
        <v/>
      </c>
      <c r="G6519" t="str">
        <f t="shared" si="228"/>
        <v/>
      </c>
    </row>
    <row r="6520" spans="2:7">
      <c r="B6520" s="6"/>
      <c r="E6520" s="7"/>
      <c r="F6520" t="str">
        <f t="shared" si="227"/>
        <v/>
      </c>
      <c r="G6520" t="str">
        <f t="shared" si="228"/>
        <v/>
      </c>
    </row>
    <row r="6521" spans="2:7">
      <c r="B6521" s="6"/>
      <c r="E6521" s="7"/>
      <c r="F6521" t="str">
        <f t="shared" si="227"/>
        <v/>
      </c>
      <c r="G6521" t="str">
        <f t="shared" si="228"/>
        <v/>
      </c>
    </row>
    <row r="6522" spans="2:7">
      <c r="B6522" s="6"/>
      <c r="E6522" s="7"/>
      <c r="F6522" t="str">
        <f t="shared" si="227"/>
        <v/>
      </c>
      <c r="G6522" t="str">
        <f t="shared" si="228"/>
        <v/>
      </c>
    </row>
    <row r="6523" spans="2:7">
      <c r="B6523" s="6"/>
      <c r="E6523" s="7"/>
      <c r="F6523" t="str">
        <f t="shared" si="227"/>
        <v/>
      </c>
      <c r="G6523" t="str">
        <f t="shared" si="228"/>
        <v/>
      </c>
    </row>
    <row r="6524" spans="2:7">
      <c r="B6524" s="6"/>
      <c r="E6524" s="7"/>
      <c r="F6524" t="str">
        <f t="shared" si="227"/>
        <v/>
      </c>
      <c r="G6524" t="str">
        <f t="shared" si="228"/>
        <v/>
      </c>
    </row>
    <row r="6525" spans="2:7">
      <c r="B6525" s="6"/>
      <c r="E6525" s="7"/>
      <c r="F6525" t="str">
        <f t="shared" si="227"/>
        <v/>
      </c>
      <c r="G6525" t="str">
        <f t="shared" si="228"/>
        <v/>
      </c>
    </row>
    <row r="6526" spans="2:7">
      <c r="B6526" s="6"/>
      <c r="E6526" s="7"/>
      <c r="F6526" t="str">
        <f t="shared" si="227"/>
        <v/>
      </c>
      <c r="G6526" t="str">
        <f t="shared" si="228"/>
        <v/>
      </c>
    </row>
    <row r="6527" spans="2:7">
      <c r="B6527" s="6"/>
      <c r="E6527" s="7"/>
      <c r="F6527" t="str">
        <f t="shared" si="227"/>
        <v/>
      </c>
      <c r="G6527" t="str">
        <f t="shared" si="228"/>
        <v/>
      </c>
    </row>
    <row r="6528" spans="2:7">
      <c r="B6528" s="6"/>
      <c r="E6528" s="7"/>
      <c r="F6528" t="str">
        <f t="shared" si="227"/>
        <v/>
      </c>
      <c r="G6528" t="str">
        <f t="shared" si="228"/>
        <v/>
      </c>
    </row>
    <row r="6529" spans="2:7">
      <c r="B6529" s="6"/>
      <c r="E6529" s="7"/>
      <c r="F6529" t="str">
        <f t="shared" si="227"/>
        <v/>
      </c>
      <c r="G6529" t="str">
        <f t="shared" si="228"/>
        <v/>
      </c>
    </row>
    <row r="6530" spans="2:7">
      <c r="B6530" s="6"/>
      <c r="E6530" s="7"/>
      <c r="F6530" t="str">
        <f t="shared" si="227"/>
        <v/>
      </c>
      <c r="G6530" t="str">
        <f t="shared" si="228"/>
        <v/>
      </c>
    </row>
    <row r="6531" spans="2:7">
      <c r="B6531" s="6"/>
      <c r="E6531" s="7"/>
      <c r="F6531" t="str">
        <f t="shared" si="227"/>
        <v/>
      </c>
      <c r="G6531" t="str">
        <f t="shared" si="228"/>
        <v/>
      </c>
    </row>
    <row r="6532" spans="2:7">
      <c r="B6532" s="6"/>
      <c r="E6532" s="7"/>
      <c r="F6532" t="str">
        <f t="shared" ref="F6532:F6595" si="229">IF(B6532="","",LOG10(D6532))</f>
        <v/>
      </c>
      <c r="G6532" t="str">
        <f t="shared" ref="G6532:G6595" si="230">IF(E6532="", "",0.434*E6532/D6532)</f>
        <v/>
      </c>
    </row>
    <row r="6533" spans="2:7">
      <c r="B6533" s="6"/>
      <c r="E6533" s="7"/>
      <c r="F6533" t="str">
        <f t="shared" si="229"/>
        <v/>
      </c>
      <c r="G6533" t="str">
        <f t="shared" si="230"/>
        <v/>
      </c>
    </row>
    <row r="6534" spans="2:7">
      <c r="B6534" s="6"/>
      <c r="E6534" s="7"/>
      <c r="F6534" t="str">
        <f t="shared" si="229"/>
        <v/>
      </c>
      <c r="G6534" t="str">
        <f t="shared" si="230"/>
        <v/>
      </c>
    </row>
    <row r="6535" spans="2:7">
      <c r="B6535" s="6"/>
      <c r="E6535" s="7"/>
      <c r="F6535" t="str">
        <f t="shared" si="229"/>
        <v/>
      </c>
      <c r="G6535" t="str">
        <f t="shared" si="230"/>
        <v/>
      </c>
    </row>
    <row r="6536" spans="2:7">
      <c r="B6536" s="6"/>
      <c r="E6536" s="7"/>
      <c r="F6536" t="str">
        <f t="shared" si="229"/>
        <v/>
      </c>
      <c r="G6536" t="str">
        <f t="shared" si="230"/>
        <v/>
      </c>
    </row>
    <row r="6537" spans="2:7">
      <c r="B6537" s="6"/>
      <c r="E6537" s="7"/>
      <c r="F6537" t="str">
        <f t="shared" si="229"/>
        <v/>
      </c>
      <c r="G6537" t="str">
        <f t="shared" si="230"/>
        <v/>
      </c>
    </row>
    <row r="6538" spans="2:7">
      <c r="B6538" s="6"/>
      <c r="E6538" s="7"/>
      <c r="F6538" t="str">
        <f t="shared" si="229"/>
        <v/>
      </c>
      <c r="G6538" t="str">
        <f t="shared" si="230"/>
        <v/>
      </c>
    </row>
    <row r="6539" spans="2:7">
      <c r="B6539" s="6"/>
      <c r="E6539" s="7"/>
      <c r="F6539" t="str">
        <f t="shared" si="229"/>
        <v/>
      </c>
      <c r="G6539" t="str">
        <f t="shared" si="230"/>
        <v/>
      </c>
    </row>
    <row r="6540" spans="2:7">
      <c r="B6540" s="6"/>
      <c r="E6540" s="7"/>
      <c r="F6540" t="str">
        <f t="shared" si="229"/>
        <v/>
      </c>
      <c r="G6540" t="str">
        <f t="shared" si="230"/>
        <v/>
      </c>
    </row>
    <row r="6541" spans="2:7">
      <c r="B6541" s="6"/>
      <c r="E6541" s="7"/>
      <c r="F6541" t="str">
        <f t="shared" si="229"/>
        <v/>
      </c>
      <c r="G6541" t="str">
        <f t="shared" si="230"/>
        <v/>
      </c>
    </row>
    <row r="6542" spans="2:7">
      <c r="B6542" s="6"/>
      <c r="E6542" s="7"/>
      <c r="F6542" t="str">
        <f t="shared" si="229"/>
        <v/>
      </c>
      <c r="G6542" t="str">
        <f t="shared" si="230"/>
        <v/>
      </c>
    </row>
    <row r="6543" spans="2:7">
      <c r="B6543" s="6"/>
      <c r="E6543" s="7"/>
      <c r="F6543" t="str">
        <f t="shared" si="229"/>
        <v/>
      </c>
      <c r="G6543" t="str">
        <f t="shared" si="230"/>
        <v/>
      </c>
    </row>
    <row r="6544" spans="2:7">
      <c r="B6544" s="6"/>
      <c r="E6544" s="7"/>
      <c r="F6544" t="str">
        <f t="shared" si="229"/>
        <v/>
      </c>
      <c r="G6544" t="str">
        <f t="shared" si="230"/>
        <v/>
      </c>
    </row>
    <row r="6545" spans="2:7">
      <c r="B6545" s="6"/>
      <c r="E6545" s="7"/>
      <c r="F6545" t="str">
        <f t="shared" si="229"/>
        <v/>
      </c>
      <c r="G6545" t="str">
        <f t="shared" si="230"/>
        <v/>
      </c>
    </row>
    <row r="6546" spans="2:7">
      <c r="B6546" s="6"/>
      <c r="E6546" s="7"/>
      <c r="F6546" t="str">
        <f t="shared" si="229"/>
        <v/>
      </c>
      <c r="G6546" t="str">
        <f t="shared" si="230"/>
        <v/>
      </c>
    </row>
    <row r="6547" spans="2:7">
      <c r="B6547" s="6"/>
      <c r="E6547" s="7"/>
      <c r="F6547" t="str">
        <f t="shared" si="229"/>
        <v/>
      </c>
      <c r="G6547" t="str">
        <f t="shared" si="230"/>
        <v/>
      </c>
    </row>
    <row r="6548" spans="2:7">
      <c r="B6548" s="6"/>
      <c r="E6548" s="7"/>
      <c r="F6548" t="str">
        <f t="shared" si="229"/>
        <v/>
      </c>
      <c r="G6548" t="str">
        <f t="shared" si="230"/>
        <v/>
      </c>
    </row>
    <row r="6549" spans="2:7">
      <c r="B6549" s="6"/>
      <c r="E6549" s="7"/>
      <c r="F6549" t="str">
        <f t="shared" si="229"/>
        <v/>
      </c>
      <c r="G6549" t="str">
        <f t="shared" si="230"/>
        <v/>
      </c>
    </row>
    <row r="6550" spans="2:7">
      <c r="B6550" s="6"/>
      <c r="E6550" s="7"/>
      <c r="F6550" t="str">
        <f t="shared" si="229"/>
        <v/>
      </c>
      <c r="G6550" t="str">
        <f t="shared" si="230"/>
        <v/>
      </c>
    </row>
    <row r="6551" spans="2:7">
      <c r="B6551" s="6"/>
      <c r="E6551" s="7"/>
      <c r="F6551" t="str">
        <f t="shared" si="229"/>
        <v/>
      </c>
      <c r="G6551" t="str">
        <f t="shared" si="230"/>
        <v/>
      </c>
    </row>
    <row r="6552" spans="2:7">
      <c r="B6552" s="6"/>
      <c r="E6552" s="7"/>
      <c r="F6552" t="str">
        <f t="shared" si="229"/>
        <v/>
      </c>
      <c r="G6552" t="str">
        <f t="shared" si="230"/>
        <v/>
      </c>
    </row>
    <row r="6553" spans="2:7">
      <c r="B6553" s="6"/>
      <c r="E6553" s="7"/>
      <c r="F6553" t="str">
        <f t="shared" si="229"/>
        <v/>
      </c>
      <c r="G6553" t="str">
        <f t="shared" si="230"/>
        <v/>
      </c>
    </row>
    <row r="6554" spans="2:7">
      <c r="B6554" s="6"/>
      <c r="E6554" s="7"/>
      <c r="F6554" t="str">
        <f t="shared" si="229"/>
        <v/>
      </c>
      <c r="G6554" t="str">
        <f t="shared" si="230"/>
        <v/>
      </c>
    </row>
    <row r="6555" spans="2:7">
      <c r="B6555" s="6"/>
      <c r="E6555" s="7"/>
      <c r="F6555" t="str">
        <f t="shared" si="229"/>
        <v/>
      </c>
      <c r="G6555" t="str">
        <f t="shared" si="230"/>
        <v/>
      </c>
    </row>
    <row r="6556" spans="2:7">
      <c r="B6556" s="6"/>
      <c r="E6556" s="7"/>
      <c r="F6556" t="str">
        <f t="shared" si="229"/>
        <v/>
      </c>
      <c r="G6556" t="str">
        <f t="shared" si="230"/>
        <v/>
      </c>
    </row>
    <row r="6557" spans="2:7">
      <c r="B6557" s="6"/>
      <c r="E6557" s="7"/>
      <c r="F6557" t="str">
        <f t="shared" si="229"/>
        <v/>
      </c>
      <c r="G6557" t="str">
        <f t="shared" si="230"/>
        <v/>
      </c>
    </row>
    <row r="6558" spans="2:7">
      <c r="B6558" s="6"/>
      <c r="E6558" s="7"/>
      <c r="F6558" t="str">
        <f t="shared" si="229"/>
        <v/>
      </c>
      <c r="G6558" t="str">
        <f t="shared" si="230"/>
        <v/>
      </c>
    </row>
    <row r="6559" spans="2:7">
      <c r="B6559" s="6"/>
      <c r="E6559" s="7"/>
      <c r="F6559" t="str">
        <f t="shared" si="229"/>
        <v/>
      </c>
      <c r="G6559" t="str">
        <f t="shared" si="230"/>
        <v/>
      </c>
    </row>
    <row r="6560" spans="2:7">
      <c r="B6560" s="6"/>
      <c r="E6560" s="7"/>
      <c r="F6560" t="str">
        <f t="shared" si="229"/>
        <v/>
      </c>
      <c r="G6560" t="str">
        <f t="shared" si="230"/>
        <v/>
      </c>
    </row>
    <row r="6561" spans="2:7">
      <c r="B6561" s="6"/>
      <c r="E6561" s="7"/>
      <c r="F6561" t="str">
        <f t="shared" si="229"/>
        <v/>
      </c>
      <c r="G6561" t="str">
        <f t="shared" si="230"/>
        <v/>
      </c>
    </row>
    <row r="6562" spans="2:7">
      <c r="B6562" s="6"/>
      <c r="E6562" s="7"/>
      <c r="F6562" t="str">
        <f t="shared" si="229"/>
        <v/>
      </c>
      <c r="G6562" t="str">
        <f t="shared" si="230"/>
        <v/>
      </c>
    </row>
    <row r="6563" spans="2:7">
      <c r="B6563" s="6"/>
      <c r="E6563" s="7"/>
      <c r="F6563" t="str">
        <f t="shared" si="229"/>
        <v/>
      </c>
      <c r="G6563" t="str">
        <f t="shared" si="230"/>
        <v/>
      </c>
    </row>
    <row r="6564" spans="2:7">
      <c r="B6564" s="6"/>
      <c r="E6564" s="7"/>
      <c r="F6564" t="str">
        <f t="shared" si="229"/>
        <v/>
      </c>
      <c r="G6564" t="str">
        <f t="shared" si="230"/>
        <v/>
      </c>
    </row>
    <row r="6565" spans="2:7">
      <c r="B6565" s="6"/>
      <c r="E6565" s="7"/>
      <c r="F6565" t="str">
        <f t="shared" si="229"/>
        <v/>
      </c>
      <c r="G6565" t="str">
        <f t="shared" si="230"/>
        <v/>
      </c>
    </row>
    <row r="6566" spans="2:7">
      <c r="B6566" s="6"/>
      <c r="E6566" s="7"/>
      <c r="F6566" t="str">
        <f t="shared" si="229"/>
        <v/>
      </c>
      <c r="G6566" t="str">
        <f t="shared" si="230"/>
        <v/>
      </c>
    </row>
    <row r="6567" spans="2:7">
      <c r="B6567" s="6"/>
      <c r="E6567" s="7"/>
      <c r="F6567" t="str">
        <f t="shared" si="229"/>
        <v/>
      </c>
      <c r="G6567" t="str">
        <f t="shared" si="230"/>
        <v/>
      </c>
    </row>
    <row r="6568" spans="2:7">
      <c r="B6568" s="6"/>
      <c r="E6568" s="7"/>
      <c r="F6568" t="str">
        <f t="shared" si="229"/>
        <v/>
      </c>
      <c r="G6568" t="str">
        <f t="shared" si="230"/>
        <v/>
      </c>
    </row>
    <row r="6569" spans="2:7">
      <c r="B6569" s="6"/>
      <c r="E6569" s="7"/>
      <c r="F6569" t="str">
        <f t="shared" si="229"/>
        <v/>
      </c>
      <c r="G6569" t="str">
        <f t="shared" si="230"/>
        <v/>
      </c>
    </row>
    <row r="6570" spans="2:7">
      <c r="B6570" s="6"/>
      <c r="E6570" s="7"/>
      <c r="F6570" t="str">
        <f t="shared" si="229"/>
        <v/>
      </c>
      <c r="G6570" t="str">
        <f t="shared" si="230"/>
        <v/>
      </c>
    </row>
    <row r="6571" spans="2:7">
      <c r="B6571" s="6"/>
      <c r="E6571" s="7"/>
      <c r="F6571" t="str">
        <f t="shared" si="229"/>
        <v/>
      </c>
      <c r="G6571" t="str">
        <f t="shared" si="230"/>
        <v/>
      </c>
    </row>
    <row r="6572" spans="2:7">
      <c r="B6572" s="6"/>
      <c r="E6572" s="7"/>
      <c r="F6572" t="str">
        <f t="shared" si="229"/>
        <v/>
      </c>
      <c r="G6572" t="str">
        <f t="shared" si="230"/>
        <v/>
      </c>
    </row>
    <row r="6573" spans="2:7">
      <c r="B6573" s="6"/>
      <c r="E6573" s="7"/>
      <c r="F6573" t="str">
        <f t="shared" si="229"/>
        <v/>
      </c>
      <c r="G6573" t="str">
        <f t="shared" si="230"/>
        <v/>
      </c>
    </row>
    <row r="6574" spans="2:7">
      <c r="B6574" s="6"/>
      <c r="E6574" s="7"/>
      <c r="F6574" t="str">
        <f t="shared" si="229"/>
        <v/>
      </c>
      <c r="G6574" t="str">
        <f t="shared" si="230"/>
        <v/>
      </c>
    </row>
    <row r="6575" spans="2:7">
      <c r="B6575" s="6"/>
      <c r="E6575" s="7"/>
      <c r="F6575" t="str">
        <f t="shared" si="229"/>
        <v/>
      </c>
      <c r="G6575" t="str">
        <f t="shared" si="230"/>
        <v/>
      </c>
    </row>
    <row r="6576" spans="2:7">
      <c r="B6576" s="6"/>
      <c r="E6576" s="7"/>
      <c r="F6576" t="str">
        <f t="shared" si="229"/>
        <v/>
      </c>
      <c r="G6576" t="str">
        <f t="shared" si="230"/>
        <v/>
      </c>
    </row>
    <row r="6577" spans="2:7">
      <c r="B6577" s="6"/>
      <c r="E6577" s="7"/>
      <c r="F6577" t="str">
        <f t="shared" si="229"/>
        <v/>
      </c>
      <c r="G6577" t="str">
        <f t="shared" si="230"/>
        <v/>
      </c>
    </row>
    <row r="6578" spans="2:7">
      <c r="B6578" s="6"/>
      <c r="E6578" s="7"/>
      <c r="F6578" t="str">
        <f t="shared" si="229"/>
        <v/>
      </c>
      <c r="G6578" t="str">
        <f t="shared" si="230"/>
        <v/>
      </c>
    </row>
    <row r="6579" spans="2:7">
      <c r="B6579" s="6"/>
      <c r="E6579" s="7"/>
      <c r="F6579" t="str">
        <f t="shared" si="229"/>
        <v/>
      </c>
      <c r="G6579" t="str">
        <f t="shared" si="230"/>
        <v/>
      </c>
    </row>
    <row r="6580" spans="2:7">
      <c r="B6580" s="6"/>
      <c r="E6580" s="7"/>
      <c r="F6580" t="str">
        <f t="shared" si="229"/>
        <v/>
      </c>
      <c r="G6580" t="str">
        <f t="shared" si="230"/>
        <v/>
      </c>
    </row>
    <row r="6581" spans="2:7">
      <c r="B6581" s="6"/>
      <c r="E6581" s="7"/>
      <c r="F6581" t="str">
        <f t="shared" si="229"/>
        <v/>
      </c>
      <c r="G6581" t="str">
        <f t="shared" si="230"/>
        <v/>
      </c>
    </row>
    <row r="6582" spans="2:7">
      <c r="B6582" s="6"/>
      <c r="E6582" s="7"/>
      <c r="F6582" t="str">
        <f t="shared" si="229"/>
        <v/>
      </c>
      <c r="G6582" t="str">
        <f t="shared" si="230"/>
        <v/>
      </c>
    </row>
    <row r="6583" spans="2:7">
      <c r="B6583" s="6"/>
      <c r="E6583" s="7"/>
      <c r="F6583" t="str">
        <f t="shared" si="229"/>
        <v/>
      </c>
      <c r="G6583" t="str">
        <f t="shared" si="230"/>
        <v/>
      </c>
    </row>
    <row r="6584" spans="2:7">
      <c r="B6584" s="6"/>
      <c r="E6584" s="7"/>
      <c r="F6584" t="str">
        <f t="shared" si="229"/>
        <v/>
      </c>
      <c r="G6584" t="str">
        <f t="shared" si="230"/>
        <v/>
      </c>
    </row>
    <row r="6585" spans="2:7">
      <c r="B6585" s="6"/>
      <c r="E6585" s="7"/>
      <c r="F6585" t="str">
        <f t="shared" si="229"/>
        <v/>
      </c>
      <c r="G6585" t="str">
        <f t="shared" si="230"/>
        <v/>
      </c>
    </row>
    <row r="6586" spans="2:7">
      <c r="B6586" s="6"/>
      <c r="E6586" s="7"/>
      <c r="F6586" t="str">
        <f t="shared" si="229"/>
        <v/>
      </c>
      <c r="G6586" t="str">
        <f t="shared" si="230"/>
        <v/>
      </c>
    </row>
    <row r="6587" spans="2:7">
      <c r="B6587" s="6"/>
      <c r="E6587" s="7"/>
      <c r="F6587" t="str">
        <f t="shared" si="229"/>
        <v/>
      </c>
      <c r="G6587" t="str">
        <f t="shared" si="230"/>
        <v/>
      </c>
    </row>
    <row r="6588" spans="2:7">
      <c r="B6588" s="6"/>
      <c r="E6588" s="7"/>
      <c r="F6588" t="str">
        <f t="shared" si="229"/>
        <v/>
      </c>
      <c r="G6588" t="str">
        <f t="shared" si="230"/>
        <v/>
      </c>
    </row>
    <row r="6589" spans="2:7">
      <c r="B6589" s="6"/>
      <c r="E6589" s="7"/>
      <c r="F6589" t="str">
        <f t="shared" si="229"/>
        <v/>
      </c>
      <c r="G6589" t="str">
        <f t="shared" si="230"/>
        <v/>
      </c>
    </row>
    <row r="6590" spans="2:7">
      <c r="B6590" s="6"/>
      <c r="E6590" s="7"/>
      <c r="F6590" t="str">
        <f t="shared" si="229"/>
        <v/>
      </c>
      <c r="G6590" t="str">
        <f t="shared" si="230"/>
        <v/>
      </c>
    </row>
    <row r="6591" spans="2:7">
      <c r="B6591" s="6"/>
      <c r="E6591" s="7"/>
      <c r="F6591" t="str">
        <f t="shared" si="229"/>
        <v/>
      </c>
      <c r="G6591" t="str">
        <f t="shared" si="230"/>
        <v/>
      </c>
    </row>
    <row r="6592" spans="2:7">
      <c r="B6592" s="6"/>
      <c r="E6592" s="7"/>
      <c r="F6592" t="str">
        <f t="shared" si="229"/>
        <v/>
      </c>
      <c r="G6592" t="str">
        <f t="shared" si="230"/>
        <v/>
      </c>
    </row>
    <row r="6593" spans="2:7">
      <c r="B6593" s="6"/>
      <c r="E6593" s="7"/>
      <c r="F6593" t="str">
        <f t="shared" si="229"/>
        <v/>
      </c>
      <c r="G6593" t="str">
        <f t="shared" si="230"/>
        <v/>
      </c>
    </row>
    <row r="6594" spans="2:7">
      <c r="B6594" s="6"/>
      <c r="E6594" s="7"/>
      <c r="F6594" t="str">
        <f t="shared" si="229"/>
        <v/>
      </c>
      <c r="G6594" t="str">
        <f t="shared" si="230"/>
        <v/>
      </c>
    </row>
    <row r="6595" spans="2:7">
      <c r="B6595" s="6"/>
      <c r="E6595" s="7"/>
      <c r="F6595" t="str">
        <f t="shared" si="229"/>
        <v/>
      </c>
      <c r="G6595" t="str">
        <f t="shared" si="230"/>
        <v/>
      </c>
    </row>
    <row r="6596" spans="2:7">
      <c r="B6596" s="6"/>
      <c r="E6596" s="7"/>
      <c r="F6596" t="str">
        <f t="shared" ref="F6596:F6659" si="231">IF(B6596="","",LOG10(D6596))</f>
        <v/>
      </c>
      <c r="G6596" t="str">
        <f t="shared" ref="G6596:G6659" si="232">IF(E6596="", "",0.434*E6596/D6596)</f>
        <v/>
      </c>
    </row>
    <row r="6597" spans="2:7">
      <c r="B6597" s="6"/>
      <c r="E6597" s="7"/>
      <c r="F6597" t="str">
        <f t="shared" si="231"/>
        <v/>
      </c>
      <c r="G6597" t="str">
        <f t="shared" si="232"/>
        <v/>
      </c>
    </row>
    <row r="6598" spans="2:7">
      <c r="B6598" s="6"/>
      <c r="E6598" s="7"/>
      <c r="F6598" t="str">
        <f t="shared" si="231"/>
        <v/>
      </c>
      <c r="G6598" t="str">
        <f t="shared" si="232"/>
        <v/>
      </c>
    </row>
    <row r="6599" spans="2:7">
      <c r="B6599" s="6"/>
      <c r="E6599" s="7"/>
      <c r="F6599" t="str">
        <f t="shared" si="231"/>
        <v/>
      </c>
      <c r="G6599" t="str">
        <f t="shared" si="232"/>
        <v/>
      </c>
    </row>
    <row r="6600" spans="2:7">
      <c r="B6600" s="6"/>
      <c r="E6600" s="7"/>
      <c r="F6600" t="str">
        <f t="shared" si="231"/>
        <v/>
      </c>
      <c r="G6600" t="str">
        <f t="shared" si="232"/>
        <v/>
      </c>
    </row>
    <row r="6601" spans="2:7">
      <c r="B6601" s="6"/>
      <c r="E6601" s="7"/>
      <c r="F6601" t="str">
        <f t="shared" si="231"/>
        <v/>
      </c>
      <c r="G6601" t="str">
        <f t="shared" si="232"/>
        <v/>
      </c>
    </row>
    <row r="6602" spans="2:7">
      <c r="B6602" s="6"/>
      <c r="E6602" s="7"/>
      <c r="F6602" t="str">
        <f t="shared" si="231"/>
        <v/>
      </c>
      <c r="G6602" t="str">
        <f t="shared" si="232"/>
        <v/>
      </c>
    </row>
    <row r="6603" spans="2:7">
      <c r="B6603" s="6"/>
      <c r="E6603" s="7"/>
      <c r="F6603" t="str">
        <f t="shared" si="231"/>
        <v/>
      </c>
      <c r="G6603" t="str">
        <f t="shared" si="232"/>
        <v/>
      </c>
    </row>
    <row r="6604" spans="2:7">
      <c r="B6604" s="6"/>
      <c r="E6604" s="7"/>
      <c r="F6604" t="str">
        <f t="shared" si="231"/>
        <v/>
      </c>
      <c r="G6604" t="str">
        <f t="shared" si="232"/>
        <v/>
      </c>
    </row>
    <row r="6605" spans="2:7">
      <c r="B6605" s="6"/>
      <c r="E6605" s="7"/>
      <c r="F6605" t="str">
        <f t="shared" si="231"/>
        <v/>
      </c>
      <c r="G6605" t="str">
        <f t="shared" si="232"/>
        <v/>
      </c>
    </row>
    <row r="6606" spans="2:7">
      <c r="B6606" s="6"/>
      <c r="E6606" s="7"/>
      <c r="F6606" t="str">
        <f t="shared" si="231"/>
        <v/>
      </c>
      <c r="G6606" t="str">
        <f t="shared" si="232"/>
        <v/>
      </c>
    </row>
    <row r="6607" spans="2:7">
      <c r="B6607" s="6"/>
      <c r="E6607" s="7"/>
      <c r="F6607" t="str">
        <f t="shared" si="231"/>
        <v/>
      </c>
      <c r="G6607" t="str">
        <f t="shared" si="232"/>
        <v/>
      </c>
    </row>
    <row r="6608" spans="2:7">
      <c r="B6608" s="6"/>
      <c r="E6608" s="7"/>
      <c r="F6608" t="str">
        <f t="shared" si="231"/>
        <v/>
      </c>
      <c r="G6608" t="str">
        <f t="shared" si="232"/>
        <v/>
      </c>
    </row>
    <row r="6609" spans="2:7">
      <c r="B6609" s="6"/>
      <c r="E6609" s="7"/>
      <c r="F6609" t="str">
        <f t="shared" si="231"/>
        <v/>
      </c>
      <c r="G6609" t="str">
        <f t="shared" si="232"/>
        <v/>
      </c>
    </row>
    <row r="6610" spans="2:7">
      <c r="B6610" s="6"/>
      <c r="E6610" s="7"/>
      <c r="F6610" t="str">
        <f t="shared" si="231"/>
        <v/>
      </c>
      <c r="G6610" t="str">
        <f t="shared" si="232"/>
        <v/>
      </c>
    </row>
    <row r="6611" spans="2:7">
      <c r="B6611" s="6"/>
      <c r="E6611" s="7"/>
      <c r="F6611" t="str">
        <f t="shared" si="231"/>
        <v/>
      </c>
      <c r="G6611" t="str">
        <f t="shared" si="232"/>
        <v/>
      </c>
    </row>
    <row r="6612" spans="2:7">
      <c r="B6612" s="6"/>
      <c r="E6612" s="7"/>
      <c r="F6612" t="str">
        <f t="shared" si="231"/>
        <v/>
      </c>
      <c r="G6612" t="str">
        <f t="shared" si="232"/>
        <v/>
      </c>
    </row>
    <row r="6613" spans="2:7">
      <c r="B6613" s="6"/>
      <c r="E6613" s="7"/>
      <c r="F6613" t="str">
        <f t="shared" si="231"/>
        <v/>
      </c>
      <c r="G6613" t="str">
        <f t="shared" si="232"/>
        <v/>
      </c>
    </row>
    <row r="6614" spans="2:7">
      <c r="B6614" s="6"/>
      <c r="E6614" s="7"/>
      <c r="F6614" t="str">
        <f t="shared" si="231"/>
        <v/>
      </c>
      <c r="G6614" t="str">
        <f t="shared" si="232"/>
        <v/>
      </c>
    </row>
    <row r="6615" spans="2:7">
      <c r="B6615" s="6"/>
      <c r="E6615" s="7"/>
      <c r="F6615" t="str">
        <f t="shared" si="231"/>
        <v/>
      </c>
      <c r="G6615" t="str">
        <f t="shared" si="232"/>
        <v/>
      </c>
    </row>
    <row r="6616" spans="2:7">
      <c r="B6616" s="6"/>
      <c r="E6616" s="7"/>
      <c r="F6616" t="str">
        <f t="shared" si="231"/>
        <v/>
      </c>
      <c r="G6616" t="str">
        <f t="shared" si="232"/>
        <v/>
      </c>
    </row>
    <row r="6617" spans="2:7">
      <c r="B6617" s="6"/>
      <c r="E6617" s="7"/>
      <c r="F6617" t="str">
        <f t="shared" si="231"/>
        <v/>
      </c>
      <c r="G6617" t="str">
        <f t="shared" si="232"/>
        <v/>
      </c>
    </row>
    <row r="6618" spans="2:7">
      <c r="B6618" s="6"/>
      <c r="E6618" s="7"/>
      <c r="F6618" t="str">
        <f t="shared" si="231"/>
        <v/>
      </c>
      <c r="G6618" t="str">
        <f t="shared" si="232"/>
        <v/>
      </c>
    </row>
    <row r="6619" spans="2:7">
      <c r="B6619" s="6"/>
      <c r="E6619" s="7"/>
      <c r="F6619" t="str">
        <f t="shared" si="231"/>
        <v/>
      </c>
      <c r="G6619" t="str">
        <f t="shared" si="232"/>
        <v/>
      </c>
    </row>
    <row r="6620" spans="2:7">
      <c r="B6620" s="6"/>
      <c r="E6620" s="7"/>
      <c r="F6620" t="str">
        <f t="shared" si="231"/>
        <v/>
      </c>
      <c r="G6620" t="str">
        <f t="shared" si="232"/>
        <v/>
      </c>
    </row>
    <row r="6621" spans="2:7">
      <c r="B6621" s="6"/>
      <c r="E6621" s="7"/>
      <c r="F6621" t="str">
        <f t="shared" si="231"/>
        <v/>
      </c>
      <c r="G6621" t="str">
        <f t="shared" si="232"/>
        <v/>
      </c>
    </row>
    <row r="6622" spans="2:7">
      <c r="B6622" s="6"/>
      <c r="E6622" s="7"/>
      <c r="F6622" t="str">
        <f t="shared" si="231"/>
        <v/>
      </c>
      <c r="G6622" t="str">
        <f t="shared" si="232"/>
        <v/>
      </c>
    </row>
    <row r="6623" spans="2:7">
      <c r="B6623" s="6"/>
      <c r="E6623" s="7"/>
      <c r="F6623" t="str">
        <f t="shared" si="231"/>
        <v/>
      </c>
      <c r="G6623" t="str">
        <f t="shared" si="232"/>
        <v/>
      </c>
    </row>
    <row r="6624" spans="2:7">
      <c r="B6624" s="6"/>
      <c r="E6624" s="7"/>
      <c r="F6624" t="str">
        <f t="shared" si="231"/>
        <v/>
      </c>
      <c r="G6624" t="str">
        <f t="shared" si="232"/>
        <v/>
      </c>
    </row>
    <row r="6625" spans="2:7">
      <c r="B6625" s="6"/>
      <c r="E6625" s="7"/>
      <c r="F6625" t="str">
        <f t="shared" si="231"/>
        <v/>
      </c>
      <c r="G6625" t="str">
        <f t="shared" si="232"/>
        <v/>
      </c>
    </row>
    <row r="6626" spans="2:7">
      <c r="B6626" s="6"/>
      <c r="E6626" s="7"/>
      <c r="F6626" t="str">
        <f t="shared" si="231"/>
        <v/>
      </c>
      <c r="G6626" t="str">
        <f t="shared" si="232"/>
        <v/>
      </c>
    </row>
    <row r="6627" spans="2:7">
      <c r="B6627" s="6"/>
      <c r="E6627" s="7"/>
      <c r="F6627" t="str">
        <f t="shared" si="231"/>
        <v/>
      </c>
      <c r="G6627" t="str">
        <f t="shared" si="232"/>
        <v/>
      </c>
    </row>
    <row r="6628" spans="2:7">
      <c r="B6628" s="6"/>
      <c r="E6628" s="7"/>
      <c r="F6628" t="str">
        <f t="shared" si="231"/>
        <v/>
      </c>
      <c r="G6628" t="str">
        <f t="shared" si="232"/>
        <v/>
      </c>
    </row>
    <row r="6629" spans="2:7">
      <c r="B6629" s="6"/>
      <c r="E6629" s="7"/>
      <c r="F6629" t="str">
        <f t="shared" si="231"/>
        <v/>
      </c>
      <c r="G6629" t="str">
        <f t="shared" si="232"/>
        <v/>
      </c>
    </row>
    <row r="6630" spans="2:7">
      <c r="B6630" s="6"/>
      <c r="E6630" s="7"/>
      <c r="F6630" t="str">
        <f t="shared" si="231"/>
        <v/>
      </c>
      <c r="G6630" t="str">
        <f t="shared" si="232"/>
        <v/>
      </c>
    </row>
    <row r="6631" spans="2:7">
      <c r="B6631" s="6"/>
      <c r="E6631" s="7"/>
      <c r="F6631" t="str">
        <f t="shared" si="231"/>
        <v/>
      </c>
      <c r="G6631" t="str">
        <f t="shared" si="232"/>
        <v/>
      </c>
    </row>
    <row r="6632" spans="2:7">
      <c r="B6632" s="6"/>
      <c r="E6632" s="7"/>
      <c r="F6632" t="str">
        <f t="shared" si="231"/>
        <v/>
      </c>
      <c r="G6632" t="str">
        <f t="shared" si="232"/>
        <v/>
      </c>
    </row>
    <row r="6633" spans="2:7">
      <c r="B6633" s="6"/>
      <c r="E6633" s="7"/>
      <c r="F6633" t="str">
        <f t="shared" si="231"/>
        <v/>
      </c>
      <c r="G6633" t="str">
        <f t="shared" si="232"/>
        <v/>
      </c>
    </row>
    <row r="6634" spans="2:7">
      <c r="B6634" s="6"/>
      <c r="E6634" s="7"/>
      <c r="F6634" t="str">
        <f t="shared" si="231"/>
        <v/>
      </c>
      <c r="G6634" t="str">
        <f t="shared" si="232"/>
        <v/>
      </c>
    </row>
    <row r="6635" spans="2:7">
      <c r="B6635" s="6"/>
      <c r="E6635" s="7"/>
      <c r="F6635" t="str">
        <f t="shared" si="231"/>
        <v/>
      </c>
      <c r="G6635" t="str">
        <f t="shared" si="232"/>
        <v/>
      </c>
    </row>
    <row r="6636" spans="2:7">
      <c r="B6636" s="6"/>
      <c r="E6636" s="7"/>
      <c r="F6636" t="str">
        <f t="shared" si="231"/>
        <v/>
      </c>
      <c r="G6636" t="str">
        <f t="shared" si="232"/>
        <v/>
      </c>
    </row>
    <row r="6637" spans="2:7">
      <c r="B6637" s="6"/>
      <c r="E6637" s="7"/>
      <c r="F6637" t="str">
        <f t="shared" si="231"/>
        <v/>
      </c>
      <c r="G6637" t="str">
        <f t="shared" si="232"/>
        <v/>
      </c>
    </row>
    <row r="6638" spans="2:7">
      <c r="B6638" s="6"/>
      <c r="E6638" s="7"/>
      <c r="F6638" t="str">
        <f t="shared" si="231"/>
        <v/>
      </c>
      <c r="G6638" t="str">
        <f t="shared" si="232"/>
        <v/>
      </c>
    </row>
    <row r="6639" spans="2:7">
      <c r="B6639" s="6"/>
      <c r="E6639" s="7"/>
      <c r="F6639" t="str">
        <f t="shared" si="231"/>
        <v/>
      </c>
      <c r="G6639" t="str">
        <f t="shared" si="232"/>
        <v/>
      </c>
    </row>
    <row r="6640" spans="2:7">
      <c r="B6640" s="6"/>
      <c r="E6640" s="7"/>
      <c r="F6640" t="str">
        <f t="shared" si="231"/>
        <v/>
      </c>
      <c r="G6640" t="str">
        <f t="shared" si="232"/>
        <v/>
      </c>
    </row>
    <row r="6641" spans="2:7">
      <c r="B6641" s="6"/>
      <c r="E6641" s="7"/>
      <c r="F6641" t="str">
        <f t="shared" si="231"/>
        <v/>
      </c>
      <c r="G6641" t="str">
        <f t="shared" si="232"/>
        <v/>
      </c>
    </row>
    <row r="6642" spans="2:7">
      <c r="B6642" s="6"/>
      <c r="E6642" s="7"/>
      <c r="F6642" t="str">
        <f t="shared" si="231"/>
        <v/>
      </c>
      <c r="G6642" t="str">
        <f t="shared" si="232"/>
        <v/>
      </c>
    </row>
    <row r="6643" spans="2:7">
      <c r="B6643" s="6"/>
      <c r="E6643" s="7"/>
      <c r="F6643" t="str">
        <f t="shared" si="231"/>
        <v/>
      </c>
      <c r="G6643" t="str">
        <f t="shared" si="232"/>
        <v/>
      </c>
    </row>
    <row r="6644" spans="2:7">
      <c r="B6644" s="6"/>
      <c r="E6644" s="7"/>
      <c r="F6644" t="str">
        <f t="shared" si="231"/>
        <v/>
      </c>
      <c r="G6644" t="str">
        <f t="shared" si="232"/>
        <v/>
      </c>
    </row>
    <row r="6645" spans="2:7">
      <c r="B6645" s="6"/>
      <c r="E6645" s="7"/>
      <c r="F6645" t="str">
        <f t="shared" si="231"/>
        <v/>
      </c>
      <c r="G6645" t="str">
        <f t="shared" si="232"/>
        <v/>
      </c>
    </row>
    <row r="6646" spans="2:7">
      <c r="B6646" s="6"/>
      <c r="E6646" s="7"/>
      <c r="F6646" t="str">
        <f t="shared" si="231"/>
        <v/>
      </c>
      <c r="G6646" t="str">
        <f t="shared" si="232"/>
        <v/>
      </c>
    </row>
    <row r="6647" spans="2:7">
      <c r="B6647" s="6"/>
      <c r="E6647" s="7"/>
      <c r="F6647" t="str">
        <f t="shared" si="231"/>
        <v/>
      </c>
      <c r="G6647" t="str">
        <f t="shared" si="232"/>
        <v/>
      </c>
    </row>
    <row r="6648" spans="2:7">
      <c r="B6648" s="6"/>
      <c r="E6648" s="7"/>
      <c r="F6648" t="str">
        <f t="shared" si="231"/>
        <v/>
      </c>
      <c r="G6648" t="str">
        <f t="shared" si="232"/>
        <v/>
      </c>
    </row>
    <row r="6649" spans="2:7">
      <c r="B6649" s="6"/>
      <c r="E6649" s="7"/>
      <c r="F6649" t="str">
        <f t="shared" si="231"/>
        <v/>
      </c>
      <c r="G6649" t="str">
        <f t="shared" si="232"/>
        <v/>
      </c>
    </row>
    <row r="6650" spans="2:7">
      <c r="B6650" s="6"/>
      <c r="E6650" s="7"/>
      <c r="F6650" t="str">
        <f t="shared" si="231"/>
        <v/>
      </c>
      <c r="G6650" t="str">
        <f t="shared" si="232"/>
        <v/>
      </c>
    </row>
    <row r="6651" spans="2:7">
      <c r="B6651" s="6"/>
      <c r="E6651" s="7"/>
      <c r="F6651" t="str">
        <f t="shared" si="231"/>
        <v/>
      </c>
      <c r="G6651" t="str">
        <f t="shared" si="232"/>
        <v/>
      </c>
    </row>
    <row r="6652" spans="2:7">
      <c r="B6652" s="6"/>
      <c r="E6652" s="7"/>
      <c r="F6652" t="str">
        <f t="shared" si="231"/>
        <v/>
      </c>
      <c r="G6652" t="str">
        <f t="shared" si="232"/>
        <v/>
      </c>
    </row>
    <row r="6653" spans="2:7">
      <c r="B6653" s="6"/>
      <c r="E6653" s="7"/>
      <c r="F6653" t="str">
        <f t="shared" si="231"/>
        <v/>
      </c>
      <c r="G6653" t="str">
        <f t="shared" si="232"/>
        <v/>
      </c>
    </row>
    <row r="6654" spans="2:7">
      <c r="B6654" s="6"/>
      <c r="E6654" s="7"/>
      <c r="F6654" t="str">
        <f t="shared" si="231"/>
        <v/>
      </c>
      <c r="G6654" t="str">
        <f t="shared" si="232"/>
        <v/>
      </c>
    </row>
    <row r="6655" spans="2:7">
      <c r="B6655" s="6"/>
      <c r="E6655" s="7"/>
      <c r="F6655" t="str">
        <f t="shared" si="231"/>
        <v/>
      </c>
      <c r="G6655" t="str">
        <f t="shared" si="232"/>
        <v/>
      </c>
    </row>
    <row r="6656" spans="2:7">
      <c r="B6656" s="6"/>
      <c r="E6656" s="7"/>
      <c r="F6656" t="str">
        <f t="shared" si="231"/>
        <v/>
      </c>
      <c r="G6656" t="str">
        <f t="shared" si="232"/>
        <v/>
      </c>
    </row>
    <row r="6657" spans="2:7">
      <c r="B6657" s="6"/>
      <c r="E6657" s="7"/>
      <c r="F6657" t="str">
        <f t="shared" si="231"/>
        <v/>
      </c>
      <c r="G6657" t="str">
        <f t="shared" si="232"/>
        <v/>
      </c>
    </row>
    <row r="6658" spans="2:7">
      <c r="B6658" s="6"/>
      <c r="E6658" s="7"/>
      <c r="F6658" t="str">
        <f t="shared" si="231"/>
        <v/>
      </c>
      <c r="G6658" t="str">
        <f t="shared" si="232"/>
        <v/>
      </c>
    </row>
    <row r="6659" spans="2:7">
      <c r="B6659" s="6"/>
      <c r="E6659" s="7"/>
      <c r="F6659" t="str">
        <f t="shared" si="231"/>
        <v/>
      </c>
      <c r="G6659" t="str">
        <f t="shared" si="232"/>
        <v/>
      </c>
    </row>
    <row r="6660" spans="2:7">
      <c r="B6660" s="6"/>
      <c r="E6660" s="7"/>
      <c r="F6660" t="str">
        <f t="shared" ref="F6660:F6723" si="233">IF(B6660="","",LOG10(D6660))</f>
        <v/>
      </c>
      <c r="G6660" t="str">
        <f t="shared" ref="G6660:G6723" si="234">IF(E6660="", "",0.434*E6660/D6660)</f>
        <v/>
      </c>
    </row>
    <row r="6661" spans="2:7">
      <c r="B6661" s="6"/>
      <c r="E6661" s="7"/>
      <c r="F6661" t="str">
        <f t="shared" si="233"/>
        <v/>
      </c>
      <c r="G6661" t="str">
        <f t="shared" si="234"/>
        <v/>
      </c>
    </row>
    <row r="6662" spans="2:7">
      <c r="B6662" s="6"/>
      <c r="E6662" s="7"/>
      <c r="F6662" t="str">
        <f t="shared" si="233"/>
        <v/>
      </c>
      <c r="G6662" t="str">
        <f t="shared" si="234"/>
        <v/>
      </c>
    </row>
    <row r="6663" spans="2:7">
      <c r="B6663" s="6"/>
      <c r="E6663" s="7"/>
      <c r="F6663" t="str">
        <f t="shared" si="233"/>
        <v/>
      </c>
      <c r="G6663" t="str">
        <f t="shared" si="234"/>
        <v/>
      </c>
    </row>
    <row r="6664" spans="2:7">
      <c r="B6664" s="6"/>
      <c r="E6664" s="7"/>
      <c r="F6664" t="str">
        <f t="shared" si="233"/>
        <v/>
      </c>
      <c r="G6664" t="str">
        <f t="shared" si="234"/>
        <v/>
      </c>
    </row>
    <row r="6665" spans="2:7">
      <c r="B6665" s="6"/>
      <c r="E6665" s="7"/>
      <c r="F6665" t="str">
        <f t="shared" si="233"/>
        <v/>
      </c>
      <c r="G6665" t="str">
        <f t="shared" si="234"/>
        <v/>
      </c>
    </row>
    <row r="6666" spans="2:7">
      <c r="B6666" s="6"/>
      <c r="E6666" s="7"/>
      <c r="F6666" t="str">
        <f t="shared" si="233"/>
        <v/>
      </c>
      <c r="G6666" t="str">
        <f t="shared" si="234"/>
        <v/>
      </c>
    </row>
    <row r="6667" spans="2:7">
      <c r="B6667" s="6"/>
      <c r="E6667" s="7"/>
      <c r="F6667" t="str">
        <f t="shared" si="233"/>
        <v/>
      </c>
      <c r="G6667" t="str">
        <f t="shared" si="234"/>
        <v/>
      </c>
    </row>
    <row r="6668" spans="2:7">
      <c r="B6668" s="6"/>
      <c r="E6668" s="7"/>
      <c r="F6668" t="str">
        <f t="shared" si="233"/>
        <v/>
      </c>
      <c r="G6668" t="str">
        <f t="shared" si="234"/>
        <v/>
      </c>
    </row>
    <row r="6669" spans="2:7">
      <c r="B6669" s="6"/>
      <c r="E6669" s="7"/>
      <c r="F6669" t="str">
        <f t="shared" si="233"/>
        <v/>
      </c>
      <c r="G6669" t="str">
        <f t="shared" si="234"/>
        <v/>
      </c>
    </row>
    <row r="6670" spans="2:7">
      <c r="B6670" s="6"/>
      <c r="E6670" s="7"/>
      <c r="F6670" t="str">
        <f t="shared" si="233"/>
        <v/>
      </c>
      <c r="G6670" t="str">
        <f t="shared" si="234"/>
        <v/>
      </c>
    </row>
    <row r="6671" spans="2:7">
      <c r="B6671" s="6"/>
      <c r="E6671" s="7"/>
      <c r="F6671" t="str">
        <f t="shared" si="233"/>
        <v/>
      </c>
      <c r="G6671" t="str">
        <f t="shared" si="234"/>
        <v/>
      </c>
    </row>
    <row r="6672" spans="2:7">
      <c r="B6672" s="6"/>
      <c r="E6672" s="7"/>
      <c r="F6672" t="str">
        <f t="shared" si="233"/>
        <v/>
      </c>
      <c r="G6672" t="str">
        <f t="shared" si="234"/>
        <v/>
      </c>
    </row>
    <row r="6673" spans="2:7">
      <c r="B6673" s="6"/>
      <c r="E6673" s="7"/>
      <c r="F6673" t="str">
        <f t="shared" si="233"/>
        <v/>
      </c>
      <c r="G6673" t="str">
        <f t="shared" si="234"/>
        <v/>
      </c>
    </row>
    <row r="6674" spans="2:7">
      <c r="B6674" s="6"/>
      <c r="E6674" s="7"/>
      <c r="F6674" t="str">
        <f t="shared" si="233"/>
        <v/>
      </c>
      <c r="G6674" t="str">
        <f t="shared" si="234"/>
        <v/>
      </c>
    </row>
    <row r="6675" spans="2:7">
      <c r="B6675" s="6"/>
      <c r="E6675" s="7"/>
      <c r="F6675" t="str">
        <f t="shared" si="233"/>
        <v/>
      </c>
      <c r="G6675" t="str">
        <f t="shared" si="234"/>
        <v/>
      </c>
    </row>
    <row r="6676" spans="2:7">
      <c r="B6676" s="6"/>
      <c r="E6676" s="7"/>
      <c r="F6676" t="str">
        <f t="shared" si="233"/>
        <v/>
      </c>
      <c r="G6676" t="str">
        <f t="shared" si="234"/>
        <v/>
      </c>
    </row>
    <row r="6677" spans="2:7">
      <c r="B6677" s="6"/>
      <c r="E6677" s="7"/>
      <c r="F6677" t="str">
        <f t="shared" si="233"/>
        <v/>
      </c>
      <c r="G6677" t="str">
        <f t="shared" si="234"/>
        <v/>
      </c>
    </row>
    <row r="6678" spans="2:7">
      <c r="B6678" s="6"/>
      <c r="E6678" s="7"/>
      <c r="F6678" t="str">
        <f t="shared" si="233"/>
        <v/>
      </c>
      <c r="G6678" t="str">
        <f t="shared" si="234"/>
        <v/>
      </c>
    </row>
    <row r="6679" spans="2:7">
      <c r="B6679" s="6"/>
      <c r="E6679" s="7"/>
      <c r="F6679" t="str">
        <f t="shared" si="233"/>
        <v/>
      </c>
      <c r="G6679" t="str">
        <f t="shared" si="234"/>
        <v/>
      </c>
    </row>
    <row r="6680" spans="2:7">
      <c r="B6680" s="6"/>
      <c r="E6680" s="7"/>
      <c r="F6680" t="str">
        <f t="shared" si="233"/>
        <v/>
      </c>
      <c r="G6680" t="str">
        <f t="shared" si="234"/>
        <v/>
      </c>
    </row>
    <row r="6681" spans="2:7">
      <c r="B6681" s="6"/>
      <c r="E6681" s="7"/>
      <c r="F6681" t="str">
        <f t="shared" si="233"/>
        <v/>
      </c>
      <c r="G6681" t="str">
        <f t="shared" si="234"/>
        <v/>
      </c>
    </row>
    <row r="6682" spans="2:7">
      <c r="B6682" s="6"/>
      <c r="E6682" s="7"/>
      <c r="F6682" t="str">
        <f t="shared" si="233"/>
        <v/>
      </c>
      <c r="G6682" t="str">
        <f t="shared" si="234"/>
        <v/>
      </c>
    </row>
    <row r="6683" spans="2:7">
      <c r="B6683" s="6"/>
      <c r="E6683" s="7"/>
      <c r="F6683" t="str">
        <f t="shared" si="233"/>
        <v/>
      </c>
      <c r="G6683" t="str">
        <f t="shared" si="234"/>
        <v/>
      </c>
    </row>
    <row r="6684" spans="2:7">
      <c r="B6684" s="6"/>
      <c r="E6684" s="7"/>
      <c r="F6684" t="str">
        <f t="shared" si="233"/>
        <v/>
      </c>
      <c r="G6684" t="str">
        <f t="shared" si="234"/>
        <v/>
      </c>
    </row>
    <row r="6685" spans="2:7">
      <c r="B6685" s="6"/>
      <c r="E6685" s="7"/>
      <c r="F6685" t="str">
        <f t="shared" si="233"/>
        <v/>
      </c>
      <c r="G6685" t="str">
        <f t="shared" si="234"/>
        <v/>
      </c>
    </row>
    <row r="6686" spans="2:7">
      <c r="B6686" s="6"/>
      <c r="E6686" s="7"/>
      <c r="F6686" t="str">
        <f t="shared" si="233"/>
        <v/>
      </c>
      <c r="G6686" t="str">
        <f t="shared" si="234"/>
        <v/>
      </c>
    </row>
    <row r="6687" spans="2:7">
      <c r="B6687" s="6"/>
      <c r="E6687" s="7"/>
      <c r="F6687" t="str">
        <f t="shared" si="233"/>
        <v/>
      </c>
      <c r="G6687" t="str">
        <f t="shared" si="234"/>
        <v/>
      </c>
    </row>
    <row r="6688" spans="2:7">
      <c r="B6688" s="6"/>
      <c r="E6688" s="7"/>
      <c r="F6688" t="str">
        <f t="shared" si="233"/>
        <v/>
      </c>
      <c r="G6688" t="str">
        <f t="shared" si="234"/>
        <v/>
      </c>
    </row>
    <row r="6689" spans="2:7">
      <c r="B6689" s="6"/>
      <c r="E6689" s="7"/>
      <c r="F6689" t="str">
        <f t="shared" si="233"/>
        <v/>
      </c>
      <c r="G6689" t="str">
        <f t="shared" si="234"/>
        <v/>
      </c>
    </row>
    <row r="6690" spans="2:7">
      <c r="B6690" s="6"/>
      <c r="E6690" s="7"/>
      <c r="F6690" t="str">
        <f t="shared" si="233"/>
        <v/>
      </c>
      <c r="G6690" t="str">
        <f t="shared" si="234"/>
        <v/>
      </c>
    </row>
    <row r="6691" spans="2:7">
      <c r="B6691" s="6"/>
      <c r="E6691" s="7"/>
      <c r="F6691" t="str">
        <f t="shared" si="233"/>
        <v/>
      </c>
      <c r="G6691" t="str">
        <f t="shared" si="234"/>
        <v/>
      </c>
    </row>
    <row r="6692" spans="2:7">
      <c r="B6692" s="6"/>
      <c r="E6692" s="7"/>
      <c r="F6692" t="str">
        <f t="shared" si="233"/>
        <v/>
      </c>
      <c r="G6692" t="str">
        <f t="shared" si="234"/>
        <v/>
      </c>
    </row>
    <row r="6693" spans="2:7">
      <c r="B6693" s="6"/>
      <c r="E6693" s="7"/>
      <c r="F6693" t="str">
        <f t="shared" si="233"/>
        <v/>
      </c>
      <c r="G6693" t="str">
        <f t="shared" si="234"/>
        <v/>
      </c>
    </row>
    <row r="6694" spans="2:7">
      <c r="B6694" s="6"/>
      <c r="E6694" s="7"/>
      <c r="F6694" t="str">
        <f t="shared" si="233"/>
        <v/>
      </c>
      <c r="G6694" t="str">
        <f t="shared" si="234"/>
        <v/>
      </c>
    </row>
    <row r="6695" spans="2:7">
      <c r="B6695" s="6"/>
      <c r="E6695" s="7"/>
      <c r="F6695" t="str">
        <f t="shared" si="233"/>
        <v/>
      </c>
      <c r="G6695" t="str">
        <f t="shared" si="234"/>
        <v/>
      </c>
    </row>
    <row r="6696" spans="2:7">
      <c r="B6696" s="6"/>
      <c r="E6696" s="7"/>
      <c r="F6696" t="str">
        <f t="shared" si="233"/>
        <v/>
      </c>
      <c r="G6696" t="str">
        <f t="shared" si="234"/>
        <v/>
      </c>
    </row>
    <row r="6697" spans="2:7">
      <c r="B6697" s="6"/>
      <c r="E6697" s="7"/>
      <c r="F6697" t="str">
        <f t="shared" si="233"/>
        <v/>
      </c>
      <c r="G6697" t="str">
        <f t="shared" si="234"/>
        <v/>
      </c>
    </row>
    <row r="6698" spans="2:7">
      <c r="B6698" s="6"/>
      <c r="E6698" s="7"/>
      <c r="F6698" t="str">
        <f t="shared" si="233"/>
        <v/>
      </c>
      <c r="G6698" t="str">
        <f t="shared" si="234"/>
        <v/>
      </c>
    </row>
    <row r="6699" spans="2:7">
      <c r="B6699" s="6"/>
      <c r="E6699" s="7"/>
      <c r="F6699" t="str">
        <f t="shared" si="233"/>
        <v/>
      </c>
      <c r="G6699" t="str">
        <f t="shared" si="234"/>
        <v/>
      </c>
    </row>
    <row r="6700" spans="2:7">
      <c r="B6700" s="6"/>
      <c r="E6700" s="7"/>
      <c r="F6700" t="str">
        <f t="shared" si="233"/>
        <v/>
      </c>
      <c r="G6700" t="str">
        <f t="shared" si="234"/>
        <v/>
      </c>
    </row>
    <row r="6701" spans="2:7">
      <c r="B6701" s="6"/>
      <c r="E6701" s="7"/>
      <c r="F6701" t="str">
        <f t="shared" si="233"/>
        <v/>
      </c>
      <c r="G6701" t="str">
        <f t="shared" si="234"/>
        <v/>
      </c>
    </row>
    <row r="6702" spans="2:7">
      <c r="B6702" s="6"/>
      <c r="E6702" s="7"/>
      <c r="F6702" t="str">
        <f t="shared" si="233"/>
        <v/>
      </c>
      <c r="G6702" t="str">
        <f t="shared" si="234"/>
        <v/>
      </c>
    </row>
    <row r="6703" spans="2:7">
      <c r="B6703" s="6"/>
      <c r="E6703" s="7"/>
      <c r="F6703" t="str">
        <f t="shared" si="233"/>
        <v/>
      </c>
      <c r="G6703" t="str">
        <f t="shared" si="234"/>
        <v/>
      </c>
    </row>
    <row r="6704" spans="2:7">
      <c r="B6704" s="6"/>
      <c r="E6704" s="7"/>
      <c r="F6704" t="str">
        <f t="shared" si="233"/>
        <v/>
      </c>
      <c r="G6704" t="str">
        <f t="shared" si="234"/>
        <v/>
      </c>
    </row>
    <row r="6705" spans="2:7">
      <c r="B6705" s="6"/>
      <c r="E6705" s="7"/>
      <c r="F6705" t="str">
        <f t="shared" si="233"/>
        <v/>
      </c>
      <c r="G6705" t="str">
        <f t="shared" si="234"/>
        <v/>
      </c>
    </row>
    <row r="6706" spans="2:7">
      <c r="B6706" s="6"/>
      <c r="E6706" s="7"/>
      <c r="F6706" t="str">
        <f t="shared" si="233"/>
        <v/>
      </c>
      <c r="G6706" t="str">
        <f t="shared" si="234"/>
        <v/>
      </c>
    </row>
    <row r="6707" spans="2:7">
      <c r="B6707" s="6"/>
      <c r="E6707" s="7"/>
      <c r="F6707" t="str">
        <f t="shared" si="233"/>
        <v/>
      </c>
      <c r="G6707" t="str">
        <f t="shared" si="234"/>
        <v/>
      </c>
    </row>
    <row r="6708" spans="2:7">
      <c r="B6708" s="6"/>
      <c r="E6708" s="7"/>
      <c r="F6708" t="str">
        <f t="shared" si="233"/>
        <v/>
      </c>
      <c r="G6708" t="str">
        <f t="shared" si="234"/>
        <v/>
      </c>
    </row>
    <row r="6709" spans="2:7">
      <c r="B6709" s="6"/>
      <c r="E6709" s="7"/>
      <c r="F6709" t="str">
        <f t="shared" si="233"/>
        <v/>
      </c>
      <c r="G6709" t="str">
        <f t="shared" si="234"/>
        <v/>
      </c>
    </row>
    <row r="6710" spans="2:7">
      <c r="B6710" s="6"/>
      <c r="E6710" s="7"/>
      <c r="F6710" t="str">
        <f t="shared" si="233"/>
        <v/>
      </c>
      <c r="G6710" t="str">
        <f t="shared" si="234"/>
        <v/>
      </c>
    </row>
    <row r="6711" spans="2:7">
      <c r="B6711" s="6"/>
      <c r="E6711" s="7"/>
      <c r="F6711" t="str">
        <f t="shared" si="233"/>
        <v/>
      </c>
      <c r="G6711" t="str">
        <f t="shared" si="234"/>
        <v/>
      </c>
    </row>
    <row r="6712" spans="2:7">
      <c r="B6712" s="6"/>
      <c r="E6712" s="7"/>
      <c r="F6712" t="str">
        <f t="shared" si="233"/>
        <v/>
      </c>
      <c r="G6712" t="str">
        <f t="shared" si="234"/>
        <v/>
      </c>
    </row>
    <row r="6713" spans="2:7">
      <c r="B6713" s="6"/>
      <c r="E6713" s="7"/>
      <c r="F6713" t="str">
        <f t="shared" si="233"/>
        <v/>
      </c>
      <c r="G6713" t="str">
        <f t="shared" si="234"/>
        <v/>
      </c>
    </row>
    <row r="6714" spans="2:7">
      <c r="B6714" s="6"/>
      <c r="E6714" s="7"/>
      <c r="F6714" t="str">
        <f t="shared" si="233"/>
        <v/>
      </c>
      <c r="G6714" t="str">
        <f t="shared" si="234"/>
        <v/>
      </c>
    </row>
    <row r="6715" spans="2:7">
      <c r="B6715" s="6"/>
      <c r="E6715" s="7"/>
      <c r="F6715" t="str">
        <f t="shared" si="233"/>
        <v/>
      </c>
      <c r="G6715" t="str">
        <f t="shared" si="234"/>
        <v/>
      </c>
    </row>
    <row r="6716" spans="2:7">
      <c r="B6716" s="6"/>
      <c r="E6716" s="7"/>
      <c r="F6716" t="str">
        <f t="shared" si="233"/>
        <v/>
      </c>
      <c r="G6716" t="str">
        <f t="shared" si="234"/>
        <v/>
      </c>
    </row>
    <row r="6717" spans="2:7">
      <c r="B6717" s="6"/>
      <c r="E6717" s="7"/>
      <c r="F6717" t="str">
        <f t="shared" si="233"/>
        <v/>
      </c>
      <c r="G6717" t="str">
        <f t="shared" si="234"/>
        <v/>
      </c>
    </row>
    <row r="6718" spans="2:7">
      <c r="B6718" s="6"/>
      <c r="E6718" s="7"/>
      <c r="F6718" t="str">
        <f t="shared" si="233"/>
        <v/>
      </c>
      <c r="G6718" t="str">
        <f t="shared" si="234"/>
        <v/>
      </c>
    </row>
    <row r="6719" spans="2:7">
      <c r="B6719" s="6"/>
      <c r="E6719" s="7"/>
      <c r="F6719" t="str">
        <f t="shared" si="233"/>
        <v/>
      </c>
      <c r="G6719" t="str">
        <f t="shared" si="234"/>
        <v/>
      </c>
    </row>
    <row r="6720" spans="2:7">
      <c r="B6720" s="6"/>
      <c r="E6720" s="7"/>
      <c r="F6720" t="str">
        <f t="shared" si="233"/>
        <v/>
      </c>
      <c r="G6720" t="str">
        <f t="shared" si="234"/>
        <v/>
      </c>
    </row>
    <row r="6721" spans="2:7">
      <c r="B6721" s="6"/>
      <c r="E6721" s="7"/>
      <c r="F6721" t="str">
        <f t="shared" si="233"/>
        <v/>
      </c>
      <c r="G6721" t="str">
        <f t="shared" si="234"/>
        <v/>
      </c>
    </row>
    <row r="6722" spans="2:7">
      <c r="B6722" s="6"/>
      <c r="E6722" s="7"/>
      <c r="F6722" t="str">
        <f t="shared" si="233"/>
        <v/>
      </c>
      <c r="G6722" t="str">
        <f t="shared" si="234"/>
        <v/>
      </c>
    </row>
    <row r="6723" spans="2:7">
      <c r="B6723" s="6"/>
      <c r="E6723" s="7"/>
      <c r="F6723" t="str">
        <f t="shared" si="233"/>
        <v/>
      </c>
      <c r="G6723" t="str">
        <f t="shared" si="234"/>
        <v/>
      </c>
    </row>
    <row r="6724" spans="2:7">
      <c r="B6724" s="6"/>
      <c r="E6724" s="7"/>
      <c r="F6724" t="str">
        <f t="shared" ref="F6724:F6787" si="235">IF(B6724="","",LOG10(D6724))</f>
        <v/>
      </c>
      <c r="G6724" t="str">
        <f t="shared" ref="G6724:G6787" si="236">IF(E6724="", "",0.434*E6724/D6724)</f>
        <v/>
      </c>
    </row>
    <row r="6725" spans="2:7">
      <c r="B6725" s="6"/>
      <c r="E6725" s="7"/>
      <c r="F6725" t="str">
        <f t="shared" si="235"/>
        <v/>
      </c>
      <c r="G6725" t="str">
        <f t="shared" si="236"/>
        <v/>
      </c>
    </row>
    <row r="6726" spans="2:7">
      <c r="B6726" s="6"/>
      <c r="E6726" s="7"/>
      <c r="F6726" t="str">
        <f t="shared" si="235"/>
        <v/>
      </c>
      <c r="G6726" t="str">
        <f t="shared" si="236"/>
        <v/>
      </c>
    </row>
    <row r="6727" spans="2:7">
      <c r="B6727" s="6"/>
      <c r="E6727" s="7"/>
      <c r="F6727" t="str">
        <f t="shared" si="235"/>
        <v/>
      </c>
      <c r="G6727" t="str">
        <f t="shared" si="236"/>
        <v/>
      </c>
    </row>
    <row r="6728" spans="2:7">
      <c r="B6728" s="6"/>
      <c r="E6728" s="7"/>
      <c r="F6728" t="str">
        <f t="shared" si="235"/>
        <v/>
      </c>
      <c r="G6728" t="str">
        <f t="shared" si="236"/>
        <v/>
      </c>
    </row>
    <row r="6729" spans="2:7">
      <c r="B6729" s="6"/>
      <c r="E6729" s="7"/>
      <c r="F6729" t="str">
        <f t="shared" si="235"/>
        <v/>
      </c>
      <c r="G6729" t="str">
        <f t="shared" si="236"/>
        <v/>
      </c>
    </row>
    <row r="6730" spans="2:7">
      <c r="B6730" s="6"/>
      <c r="E6730" s="7"/>
      <c r="F6730" t="str">
        <f t="shared" si="235"/>
        <v/>
      </c>
      <c r="G6730" t="str">
        <f t="shared" si="236"/>
        <v/>
      </c>
    </row>
    <row r="6731" spans="2:7">
      <c r="B6731" s="6"/>
      <c r="E6731" s="7"/>
      <c r="F6731" t="str">
        <f t="shared" si="235"/>
        <v/>
      </c>
      <c r="G6731" t="str">
        <f t="shared" si="236"/>
        <v/>
      </c>
    </row>
    <row r="6732" spans="2:7">
      <c r="B6732" s="6"/>
      <c r="E6732" s="7"/>
      <c r="F6732" t="str">
        <f t="shared" si="235"/>
        <v/>
      </c>
      <c r="G6732" t="str">
        <f t="shared" si="236"/>
        <v/>
      </c>
    </row>
    <row r="6733" spans="2:7">
      <c r="B6733" s="6"/>
      <c r="E6733" s="7"/>
      <c r="F6733" t="str">
        <f t="shared" si="235"/>
        <v/>
      </c>
      <c r="G6733" t="str">
        <f t="shared" si="236"/>
        <v/>
      </c>
    </row>
    <row r="6734" spans="2:7">
      <c r="B6734" s="6"/>
      <c r="E6734" s="7"/>
      <c r="F6734" t="str">
        <f t="shared" si="235"/>
        <v/>
      </c>
      <c r="G6734" t="str">
        <f t="shared" si="236"/>
        <v/>
      </c>
    </row>
    <row r="6735" spans="2:7">
      <c r="B6735" s="6"/>
      <c r="E6735" s="7"/>
      <c r="F6735" t="str">
        <f t="shared" si="235"/>
        <v/>
      </c>
      <c r="G6735" t="str">
        <f t="shared" si="236"/>
        <v/>
      </c>
    </row>
    <row r="6736" spans="2:7">
      <c r="B6736" s="6"/>
      <c r="E6736" s="7"/>
      <c r="F6736" t="str">
        <f t="shared" si="235"/>
        <v/>
      </c>
      <c r="G6736" t="str">
        <f t="shared" si="236"/>
        <v/>
      </c>
    </row>
    <row r="6737" spans="2:7">
      <c r="B6737" s="6"/>
      <c r="E6737" s="7"/>
      <c r="F6737" t="str">
        <f t="shared" si="235"/>
        <v/>
      </c>
      <c r="G6737" t="str">
        <f t="shared" si="236"/>
        <v/>
      </c>
    </row>
    <row r="6738" spans="2:7">
      <c r="B6738" s="6"/>
      <c r="E6738" s="7"/>
      <c r="F6738" t="str">
        <f t="shared" si="235"/>
        <v/>
      </c>
      <c r="G6738" t="str">
        <f t="shared" si="236"/>
        <v/>
      </c>
    </row>
    <row r="6739" spans="2:7">
      <c r="B6739" s="6"/>
      <c r="E6739" s="7"/>
      <c r="F6739" t="str">
        <f t="shared" si="235"/>
        <v/>
      </c>
      <c r="G6739" t="str">
        <f t="shared" si="236"/>
        <v/>
      </c>
    </row>
    <row r="6740" spans="2:7">
      <c r="B6740" s="6"/>
      <c r="E6740" s="7"/>
      <c r="F6740" t="str">
        <f t="shared" si="235"/>
        <v/>
      </c>
      <c r="G6740" t="str">
        <f t="shared" si="236"/>
        <v/>
      </c>
    </row>
    <row r="6741" spans="2:7">
      <c r="B6741" s="6"/>
      <c r="E6741" s="7"/>
      <c r="F6741" t="str">
        <f t="shared" si="235"/>
        <v/>
      </c>
      <c r="G6741" t="str">
        <f t="shared" si="236"/>
        <v/>
      </c>
    </row>
    <row r="6742" spans="2:7">
      <c r="B6742" s="6"/>
      <c r="E6742" s="7"/>
      <c r="F6742" t="str">
        <f t="shared" si="235"/>
        <v/>
      </c>
      <c r="G6742" t="str">
        <f t="shared" si="236"/>
        <v/>
      </c>
    </row>
    <row r="6743" spans="2:7">
      <c r="B6743" s="6"/>
      <c r="E6743" s="7"/>
      <c r="F6743" t="str">
        <f t="shared" si="235"/>
        <v/>
      </c>
      <c r="G6743" t="str">
        <f t="shared" si="236"/>
        <v/>
      </c>
    </row>
    <row r="6744" spans="2:7">
      <c r="B6744" s="6"/>
      <c r="E6744" s="7"/>
      <c r="F6744" t="str">
        <f t="shared" si="235"/>
        <v/>
      </c>
      <c r="G6744" t="str">
        <f t="shared" si="236"/>
        <v/>
      </c>
    </row>
    <row r="6745" spans="2:7">
      <c r="B6745" s="6"/>
      <c r="E6745" s="7"/>
      <c r="F6745" t="str">
        <f t="shared" si="235"/>
        <v/>
      </c>
      <c r="G6745" t="str">
        <f t="shared" si="236"/>
        <v/>
      </c>
    </row>
    <row r="6746" spans="2:7">
      <c r="B6746" s="6"/>
      <c r="E6746" s="7"/>
      <c r="F6746" t="str">
        <f t="shared" si="235"/>
        <v/>
      </c>
      <c r="G6746" t="str">
        <f t="shared" si="236"/>
        <v/>
      </c>
    </row>
    <row r="6747" spans="2:7">
      <c r="B6747" s="6"/>
      <c r="E6747" s="7"/>
      <c r="F6747" t="str">
        <f t="shared" si="235"/>
        <v/>
      </c>
      <c r="G6747" t="str">
        <f t="shared" si="236"/>
        <v/>
      </c>
    </row>
    <row r="6748" spans="2:7">
      <c r="B6748" s="6"/>
      <c r="E6748" s="7"/>
      <c r="F6748" t="str">
        <f t="shared" si="235"/>
        <v/>
      </c>
      <c r="G6748" t="str">
        <f t="shared" si="236"/>
        <v/>
      </c>
    </row>
    <row r="6749" spans="2:7">
      <c r="B6749" s="6"/>
      <c r="E6749" s="7"/>
      <c r="F6749" t="str">
        <f t="shared" si="235"/>
        <v/>
      </c>
      <c r="G6749" t="str">
        <f t="shared" si="236"/>
        <v/>
      </c>
    </row>
    <row r="6750" spans="2:7">
      <c r="B6750" s="6"/>
      <c r="E6750" s="7"/>
      <c r="F6750" t="str">
        <f t="shared" si="235"/>
        <v/>
      </c>
      <c r="G6750" t="str">
        <f t="shared" si="236"/>
        <v/>
      </c>
    </row>
    <row r="6751" spans="2:7">
      <c r="B6751" s="6"/>
      <c r="E6751" s="7"/>
      <c r="F6751" t="str">
        <f t="shared" si="235"/>
        <v/>
      </c>
      <c r="G6751" t="str">
        <f t="shared" si="236"/>
        <v/>
      </c>
    </row>
    <row r="6752" spans="2:7">
      <c r="B6752" s="6"/>
      <c r="E6752" s="7"/>
      <c r="F6752" t="str">
        <f t="shared" si="235"/>
        <v/>
      </c>
      <c r="G6752" t="str">
        <f t="shared" si="236"/>
        <v/>
      </c>
    </row>
    <row r="6753" spans="2:7">
      <c r="B6753" s="6"/>
      <c r="E6753" s="7"/>
      <c r="F6753" t="str">
        <f t="shared" si="235"/>
        <v/>
      </c>
      <c r="G6753" t="str">
        <f t="shared" si="236"/>
        <v/>
      </c>
    </row>
    <row r="6754" spans="2:7">
      <c r="B6754" s="6"/>
      <c r="E6754" s="7"/>
      <c r="F6754" t="str">
        <f t="shared" si="235"/>
        <v/>
      </c>
      <c r="G6754" t="str">
        <f t="shared" si="236"/>
        <v/>
      </c>
    </row>
    <row r="6755" spans="2:7">
      <c r="B6755" s="6"/>
      <c r="E6755" s="7"/>
      <c r="F6755" t="str">
        <f t="shared" si="235"/>
        <v/>
      </c>
      <c r="G6755" t="str">
        <f t="shared" si="236"/>
        <v/>
      </c>
    </row>
    <row r="6756" spans="2:7">
      <c r="B6756" s="6"/>
      <c r="E6756" s="7"/>
      <c r="F6756" t="str">
        <f t="shared" si="235"/>
        <v/>
      </c>
      <c r="G6756" t="str">
        <f t="shared" si="236"/>
        <v/>
      </c>
    </row>
    <row r="6757" spans="2:7">
      <c r="B6757" s="6"/>
      <c r="E6757" s="7"/>
      <c r="F6757" t="str">
        <f t="shared" si="235"/>
        <v/>
      </c>
      <c r="G6757" t="str">
        <f t="shared" si="236"/>
        <v/>
      </c>
    </row>
    <row r="6758" spans="2:7">
      <c r="B6758" s="6"/>
      <c r="E6758" s="7"/>
      <c r="F6758" t="str">
        <f t="shared" si="235"/>
        <v/>
      </c>
      <c r="G6758" t="str">
        <f t="shared" si="236"/>
        <v/>
      </c>
    </row>
    <row r="6759" spans="2:7">
      <c r="B6759" s="6"/>
      <c r="E6759" s="7"/>
      <c r="F6759" t="str">
        <f t="shared" si="235"/>
        <v/>
      </c>
      <c r="G6759" t="str">
        <f t="shared" si="236"/>
        <v/>
      </c>
    </row>
    <row r="6760" spans="2:7">
      <c r="B6760" s="6"/>
      <c r="E6760" s="7"/>
      <c r="F6760" t="str">
        <f t="shared" si="235"/>
        <v/>
      </c>
      <c r="G6760" t="str">
        <f t="shared" si="236"/>
        <v/>
      </c>
    </row>
    <row r="6761" spans="2:7">
      <c r="B6761" s="6"/>
      <c r="E6761" s="7"/>
      <c r="F6761" t="str">
        <f t="shared" si="235"/>
        <v/>
      </c>
      <c r="G6761" t="str">
        <f t="shared" si="236"/>
        <v/>
      </c>
    </row>
    <row r="6762" spans="2:7">
      <c r="B6762" s="6"/>
      <c r="E6762" s="7"/>
      <c r="F6762" t="str">
        <f t="shared" si="235"/>
        <v/>
      </c>
      <c r="G6762" t="str">
        <f t="shared" si="236"/>
        <v/>
      </c>
    </row>
    <row r="6763" spans="2:7">
      <c r="B6763" s="6"/>
      <c r="E6763" s="7"/>
      <c r="F6763" t="str">
        <f t="shared" si="235"/>
        <v/>
      </c>
      <c r="G6763" t="str">
        <f t="shared" si="236"/>
        <v/>
      </c>
    </row>
    <row r="6764" spans="2:7">
      <c r="B6764" s="6"/>
      <c r="E6764" s="7"/>
      <c r="F6764" t="str">
        <f t="shared" si="235"/>
        <v/>
      </c>
      <c r="G6764" t="str">
        <f t="shared" si="236"/>
        <v/>
      </c>
    </row>
    <row r="6765" spans="2:7">
      <c r="B6765" s="6"/>
      <c r="E6765" s="7"/>
      <c r="F6765" t="str">
        <f t="shared" si="235"/>
        <v/>
      </c>
      <c r="G6765" t="str">
        <f t="shared" si="236"/>
        <v/>
      </c>
    </row>
    <row r="6766" spans="2:7">
      <c r="B6766" s="6"/>
      <c r="E6766" s="7"/>
      <c r="F6766" t="str">
        <f t="shared" si="235"/>
        <v/>
      </c>
      <c r="G6766" t="str">
        <f t="shared" si="236"/>
        <v/>
      </c>
    </row>
    <row r="6767" spans="2:7">
      <c r="B6767" s="6"/>
      <c r="E6767" s="7"/>
      <c r="F6767" t="str">
        <f t="shared" si="235"/>
        <v/>
      </c>
      <c r="G6767" t="str">
        <f t="shared" si="236"/>
        <v/>
      </c>
    </row>
    <row r="6768" spans="2:7">
      <c r="B6768" s="6"/>
      <c r="E6768" s="7"/>
      <c r="F6768" t="str">
        <f t="shared" si="235"/>
        <v/>
      </c>
      <c r="G6768" t="str">
        <f t="shared" si="236"/>
        <v/>
      </c>
    </row>
    <row r="6769" spans="2:7">
      <c r="B6769" s="6"/>
      <c r="E6769" s="7"/>
      <c r="F6769" t="str">
        <f t="shared" si="235"/>
        <v/>
      </c>
      <c r="G6769" t="str">
        <f t="shared" si="236"/>
        <v/>
      </c>
    </row>
    <row r="6770" spans="2:7">
      <c r="B6770" s="6"/>
      <c r="E6770" s="7"/>
      <c r="F6770" t="str">
        <f t="shared" si="235"/>
        <v/>
      </c>
      <c r="G6770" t="str">
        <f t="shared" si="236"/>
        <v/>
      </c>
    </row>
    <row r="6771" spans="2:7">
      <c r="B6771" s="6"/>
      <c r="E6771" s="7"/>
      <c r="F6771" t="str">
        <f t="shared" si="235"/>
        <v/>
      </c>
      <c r="G6771" t="str">
        <f t="shared" si="236"/>
        <v/>
      </c>
    </row>
    <row r="6772" spans="2:7">
      <c r="B6772" s="6"/>
      <c r="E6772" s="7"/>
      <c r="F6772" t="str">
        <f t="shared" si="235"/>
        <v/>
      </c>
      <c r="G6772" t="str">
        <f t="shared" si="236"/>
        <v/>
      </c>
    </row>
    <row r="6773" spans="2:7">
      <c r="B6773" s="6"/>
      <c r="E6773" s="7"/>
      <c r="F6773" t="str">
        <f t="shared" si="235"/>
        <v/>
      </c>
      <c r="G6773" t="str">
        <f t="shared" si="236"/>
        <v/>
      </c>
    </row>
    <row r="6774" spans="2:7">
      <c r="B6774" s="6"/>
      <c r="E6774" s="7"/>
      <c r="F6774" t="str">
        <f t="shared" si="235"/>
        <v/>
      </c>
      <c r="G6774" t="str">
        <f t="shared" si="236"/>
        <v/>
      </c>
    </row>
    <row r="6775" spans="2:7">
      <c r="B6775" s="6"/>
      <c r="E6775" s="7"/>
      <c r="F6775" t="str">
        <f t="shared" si="235"/>
        <v/>
      </c>
      <c r="G6775" t="str">
        <f t="shared" si="236"/>
        <v/>
      </c>
    </row>
    <row r="6776" spans="2:7">
      <c r="B6776" s="6"/>
      <c r="E6776" s="7"/>
      <c r="F6776" t="str">
        <f t="shared" si="235"/>
        <v/>
      </c>
      <c r="G6776" t="str">
        <f t="shared" si="236"/>
        <v/>
      </c>
    </row>
    <row r="6777" spans="2:7">
      <c r="B6777" s="6"/>
      <c r="E6777" s="7"/>
      <c r="F6777" t="str">
        <f t="shared" si="235"/>
        <v/>
      </c>
      <c r="G6777" t="str">
        <f t="shared" si="236"/>
        <v/>
      </c>
    </row>
    <row r="6778" spans="2:7">
      <c r="B6778" s="6"/>
      <c r="E6778" s="7"/>
      <c r="F6778" t="str">
        <f t="shared" si="235"/>
        <v/>
      </c>
      <c r="G6778" t="str">
        <f t="shared" si="236"/>
        <v/>
      </c>
    </row>
    <row r="6779" spans="2:7">
      <c r="B6779" s="6"/>
      <c r="E6779" s="7"/>
      <c r="F6779" t="str">
        <f t="shared" si="235"/>
        <v/>
      </c>
      <c r="G6779" t="str">
        <f t="shared" si="236"/>
        <v/>
      </c>
    </row>
    <row r="6780" spans="2:7">
      <c r="B6780" s="6"/>
      <c r="E6780" s="7"/>
      <c r="F6780" t="str">
        <f t="shared" si="235"/>
        <v/>
      </c>
      <c r="G6780" t="str">
        <f t="shared" si="236"/>
        <v/>
      </c>
    </row>
    <row r="6781" spans="2:7">
      <c r="B6781" s="6"/>
      <c r="E6781" s="7"/>
      <c r="F6781" t="str">
        <f t="shared" si="235"/>
        <v/>
      </c>
      <c r="G6781" t="str">
        <f t="shared" si="236"/>
        <v/>
      </c>
    </row>
    <row r="6782" spans="2:7">
      <c r="B6782" s="6"/>
      <c r="E6782" s="7"/>
      <c r="F6782" t="str">
        <f t="shared" si="235"/>
        <v/>
      </c>
      <c r="G6782" t="str">
        <f t="shared" si="236"/>
        <v/>
      </c>
    </row>
    <row r="6783" spans="2:7">
      <c r="B6783" s="6"/>
      <c r="E6783" s="7"/>
      <c r="F6783" t="str">
        <f t="shared" si="235"/>
        <v/>
      </c>
      <c r="G6783" t="str">
        <f t="shared" si="236"/>
        <v/>
      </c>
    </row>
    <row r="6784" spans="2:7">
      <c r="B6784" s="6"/>
      <c r="E6784" s="7"/>
      <c r="F6784" t="str">
        <f t="shared" si="235"/>
        <v/>
      </c>
      <c r="G6784" t="str">
        <f t="shared" si="236"/>
        <v/>
      </c>
    </row>
    <row r="6785" spans="2:7">
      <c r="B6785" s="6"/>
      <c r="E6785" s="7"/>
      <c r="F6785" t="str">
        <f t="shared" si="235"/>
        <v/>
      </c>
      <c r="G6785" t="str">
        <f t="shared" si="236"/>
        <v/>
      </c>
    </row>
    <row r="6786" spans="2:7">
      <c r="B6786" s="6"/>
      <c r="E6786" s="7"/>
      <c r="F6786" t="str">
        <f t="shared" si="235"/>
        <v/>
      </c>
      <c r="G6786" t="str">
        <f t="shared" si="236"/>
        <v/>
      </c>
    </row>
    <row r="6787" spans="2:7">
      <c r="B6787" s="6"/>
      <c r="E6787" s="7"/>
      <c r="F6787" t="str">
        <f t="shared" si="235"/>
        <v/>
      </c>
      <c r="G6787" t="str">
        <f t="shared" si="236"/>
        <v/>
      </c>
    </row>
    <row r="6788" spans="2:7">
      <c r="B6788" s="6"/>
      <c r="E6788" s="7"/>
      <c r="F6788" t="str">
        <f t="shared" ref="F6788:F6851" si="237">IF(B6788="","",LOG10(D6788))</f>
        <v/>
      </c>
      <c r="G6788" t="str">
        <f t="shared" ref="G6788:G6851" si="238">IF(E6788="", "",0.434*E6788/D6788)</f>
        <v/>
      </c>
    </row>
    <row r="6789" spans="2:7">
      <c r="B6789" s="6"/>
      <c r="E6789" s="7"/>
      <c r="F6789" t="str">
        <f t="shared" si="237"/>
        <v/>
      </c>
      <c r="G6789" t="str">
        <f t="shared" si="238"/>
        <v/>
      </c>
    </row>
    <row r="6790" spans="2:7">
      <c r="B6790" s="6"/>
      <c r="E6790" s="7"/>
      <c r="F6790" t="str">
        <f t="shared" si="237"/>
        <v/>
      </c>
      <c r="G6790" t="str">
        <f t="shared" si="238"/>
        <v/>
      </c>
    </row>
    <row r="6791" spans="2:7">
      <c r="B6791" s="6"/>
      <c r="E6791" s="7"/>
      <c r="F6791" t="str">
        <f t="shared" si="237"/>
        <v/>
      </c>
      <c r="G6791" t="str">
        <f t="shared" si="238"/>
        <v/>
      </c>
    </row>
    <row r="6792" spans="2:7">
      <c r="B6792" s="6"/>
      <c r="E6792" s="7"/>
      <c r="F6792" t="str">
        <f t="shared" si="237"/>
        <v/>
      </c>
      <c r="G6792" t="str">
        <f t="shared" si="238"/>
        <v/>
      </c>
    </row>
    <row r="6793" spans="2:7">
      <c r="B6793" s="6"/>
      <c r="E6793" s="7"/>
      <c r="F6793" t="str">
        <f t="shared" si="237"/>
        <v/>
      </c>
      <c r="G6793" t="str">
        <f t="shared" si="238"/>
        <v/>
      </c>
    </row>
    <row r="6794" spans="2:7">
      <c r="B6794" s="6"/>
      <c r="E6794" s="7"/>
      <c r="F6794" t="str">
        <f t="shared" si="237"/>
        <v/>
      </c>
      <c r="G6794" t="str">
        <f t="shared" si="238"/>
        <v/>
      </c>
    </row>
    <row r="6795" spans="2:7">
      <c r="B6795" s="6"/>
      <c r="E6795" s="7"/>
      <c r="F6795" t="str">
        <f t="shared" si="237"/>
        <v/>
      </c>
      <c r="G6795" t="str">
        <f t="shared" si="238"/>
        <v/>
      </c>
    </row>
    <row r="6796" spans="2:7">
      <c r="B6796" s="6"/>
      <c r="E6796" s="7"/>
      <c r="F6796" t="str">
        <f t="shared" si="237"/>
        <v/>
      </c>
      <c r="G6796" t="str">
        <f t="shared" si="238"/>
        <v/>
      </c>
    </row>
    <row r="6797" spans="2:7">
      <c r="B6797" s="6"/>
      <c r="E6797" s="7"/>
      <c r="F6797" t="str">
        <f t="shared" si="237"/>
        <v/>
      </c>
      <c r="G6797" t="str">
        <f t="shared" si="238"/>
        <v/>
      </c>
    </row>
    <row r="6798" spans="2:7">
      <c r="B6798" s="6"/>
      <c r="E6798" s="7"/>
      <c r="F6798" t="str">
        <f t="shared" si="237"/>
        <v/>
      </c>
      <c r="G6798" t="str">
        <f t="shared" si="238"/>
        <v/>
      </c>
    </row>
    <row r="6799" spans="2:7">
      <c r="B6799" s="6"/>
      <c r="E6799" s="7"/>
      <c r="F6799" t="str">
        <f t="shared" si="237"/>
        <v/>
      </c>
      <c r="G6799" t="str">
        <f t="shared" si="238"/>
        <v/>
      </c>
    </row>
    <row r="6800" spans="2:7">
      <c r="B6800" s="6"/>
      <c r="E6800" s="7"/>
      <c r="F6800" t="str">
        <f t="shared" si="237"/>
        <v/>
      </c>
      <c r="G6800" t="str">
        <f t="shared" si="238"/>
        <v/>
      </c>
    </row>
    <row r="6801" spans="2:7">
      <c r="B6801" s="6"/>
      <c r="E6801" s="7"/>
      <c r="F6801" t="str">
        <f t="shared" si="237"/>
        <v/>
      </c>
      <c r="G6801" t="str">
        <f t="shared" si="238"/>
        <v/>
      </c>
    </row>
    <row r="6802" spans="2:7">
      <c r="B6802" s="6"/>
      <c r="E6802" s="7"/>
      <c r="F6802" t="str">
        <f t="shared" si="237"/>
        <v/>
      </c>
      <c r="G6802" t="str">
        <f t="shared" si="238"/>
        <v/>
      </c>
    </row>
    <row r="6803" spans="2:7">
      <c r="B6803" s="6"/>
      <c r="E6803" s="7"/>
      <c r="F6803" t="str">
        <f t="shared" si="237"/>
        <v/>
      </c>
      <c r="G6803" t="str">
        <f t="shared" si="238"/>
        <v/>
      </c>
    </row>
    <row r="6804" spans="2:7">
      <c r="B6804" s="6"/>
      <c r="E6804" s="7"/>
      <c r="F6804" t="str">
        <f t="shared" si="237"/>
        <v/>
      </c>
      <c r="G6804" t="str">
        <f t="shared" si="238"/>
        <v/>
      </c>
    </row>
    <row r="6805" spans="2:7">
      <c r="B6805" s="6"/>
      <c r="E6805" s="7"/>
      <c r="F6805" t="str">
        <f t="shared" si="237"/>
        <v/>
      </c>
      <c r="G6805" t="str">
        <f t="shared" si="238"/>
        <v/>
      </c>
    </row>
    <row r="6806" spans="2:7">
      <c r="B6806" s="6"/>
      <c r="E6806" s="7"/>
      <c r="F6806" t="str">
        <f t="shared" si="237"/>
        <v/>
      </c>
      <c r="G6806" t="str">
        <f t="shared" si="238"/>
        <v/>
      </c>
    </row>
    <row r="6807" spans="2:7">
      <c r="B6807" s="6"/>
      <c r="E6807" s="7"/>
      <c r="F6807" t="str">
        <f t="shared" si="237"/>
        <v/>
      </c>
      <c r="G6807" t="str">
        <f t="shared" si="238"/>
        <v/>
      </c>
    </row>
    <row r="6808" spans="2:7">
      <c r="B6808" s="6"/>
      <c r="E6808" s="7"/>
      <c r="F6808" t="str">
        <f t="shared" si="237"/>
        <v/>
      </c>
      <c r="G6808" t="str">
        <f t="shared" si="238"/>
        <v/>
      </c>
    </row>
    <row r="6809" spans="2:7">
      <c r="B6809" s="6"/>
      <c r="E6809" s="7"/>
      <c r="F6809" t="str">
        <f t="shared" si="237"/>
        <v/>
      </c>
      <c r="G6809" t="str">
        <f t="shared" si="238"/>
        <v/>
      </c>
    </row>
    <row r="6810" spans="2:7">
      <c r="B6810" s="6"/>
      <c r="E6810" s="7"/>
      <c r="F6810" t="str">
        <f t="shared" si="237"/>
        <v/>
      </c>
      <c r="G6810" t="str">
        <f t="shared" si="238"/>
        <v/>
      </c>
    </row>
    <row r="6811" spans="2:7">
      <c r="B6811" s="6"/>
      <c r="E6811" s="7"/>
      <c r="F6811" t="str">
        <f t="shared" si="237"/>
        <v/>
      </c>
      <c r="G6811" t="str">
        <f t="shared" si="238"/>
        <v/>
      </c>
    </row>
    <row r="6812" spans="2:7">
      <c r="B6812" s="6"/>
      <c r="E6812" s="7"/>
      <c r="F6812" t="str">
        <f t="shared" si="237"/>
        <v/>
      </c>
      <c r="G6812" t="str">
        <f t="shared" si="238"/>
        <v/>
      </c>
    </row>
    <row r="6813" spans="2:7">
      <c r="B6813" s="6"/>
      <c r="E6813" s="7"/>
      <c r="F6813" t="str">
        <f t="shared" si="237"/>
        <v/>
      </c>
      <c r="G6813" t="str">
        <f t="shared" si="238"/>
        <v/>
      </c>
    </row>
    <row r="6814" spans="2:7">
      <c r="B6814" s="6"/>
      <c r="E6814" s="7"/>
      <c r="F6814" t="str">
        <f t="shared" si="237"/>
        <v/>
      </c>
      <c r="G6814" t="str">
        <f t="shared" si="238"/>
        <v/>
      </c>
    </row>
    <row r="6815" spans="2:7">
      <c r="B6815" s="6"/>
      <c r="E6815" s="7"/>
      <c r="F6815" t="str">
        <f t="shared" si="237"/>
        <v/>
      </c>
      <c r="G6815" t="str">
        <f t="shared" si="238"/>
        <v/>
      </c>
    </row>
    <row r="6816" spans="2:7">
      <c r="B6816" s="6"/>
      <c r="E6816" s="7"/>
      <c r="F6816" t="str">
        <f t="shared" si="237"/>
        <v/>
      </c>
      <c r="G6816" t="str">
        <f t="shared" si="238"/>
        <v/>
      </c>
    </row>
    <row r="6817" spans="2:7">
      <c r="B6817" s="6"/>
      <c r="E6817" s="7"/>
      <c r="F6817" t="str">
        <f t="shared" si="237"/>
        <v/>
      </c>
      <c r="G6817" t="str">
        <f t="shared" si="238"/>
        <v/>
      </c>
    </row>
    <row r="6818" spans="2:7">
      <c r="B6818" s="6"/>
      <c r="E6818" s="7"/>
      <c r="F6818" t="str">
        <f t="shared" si="237"/>
        <v/>
      </c>
      <c r="G6818" t="str">
        <f t="shared" si="238"/>
        <v/>
      </c>
    </row>
    <row r="6819" spans="2:7">
      <c r="B6819" s="6"/>
      <c r="E6819" s="7"/>
      <c r="F6819" t="str">
        <f t="shared" si="237"/>
        <v/>
      </c>
      <c r="G6819" t="str">
        <f t="shared" si="238"/>
        <v/>
      </c>
    </row>
    <row r="6820" spans="2:7">
      <c r="B6820" s="6"/>
      <c r="E6820" s="7"/>
      <c r="F6820" t="str">
        <f t="shared" si="237"/>
        <v/>
      </c>
      <c r="G6820" t="str">
        <f t="shared" si="238"/>
        <v/>
      </c>
    </row>
    <row r="6821" spans="2:7">
      <c r="B6821" s="6"/>
      <c r="E6821" s="7"/>
      <c r="F6821" t="str">
        <f t="shared" si="237"/>
        <v/>
      </c>
      <c r="G6821" t="str">
        <f t="shared" si="238"/>
        <v/>
      </c>
    </row>
    <row r="6822" spans="2:7">
      <c r="B6822" s="6"/>
      <c r="E6822" s="7"/>
      <c r="F6822" t="str">
        <f t="shared" si="237"/>
        <v/>
      </c>
      <c r="G6822" t="str">
        <f t="shared" si="238"/>
        <v/>
      </c>
    </row>
    <row r="6823" spans="2:7">
      <c r="B6823" s="6"/>
      <c r="E6823" s="7"/>
      <c r="F6823" t="str">
        <f t="shared" si="237"/>
        <v/>
      </c>
      <c r="G6823" t="str">
        <f t="shared" si="238"/>
        <v/>
      </c>
    </row>
    <row r="6824" spans="2:7">
      <c r="B6824" s="6"/>
      <c r="E6824" s="7"/>
      <c r="F6824" t="str">
        <f t="shared" si="237"/>
        <v/>
      </c>
      <c r="G6824" t="str">
        <f t="shared" si="238"/>
        <v/>
      </c>
    </row>
    <row r="6825" spans="2:7">
      <c r="B6825" s="6"/>
      <c r="E6825" s="7"/>
      <c r="F6825" t="str">
        <f t="shared" si="237"/>
        <v/>
      </c>
      <c r="G6825" t="str">
        <f t="shared" si="238"/>
        <v/>
      </c>
    </row>
    <row r="6826" spans="2:7">
      <c r="B6826" s="6"/>
      <c r="E6826" s="7"/>
      <c r="F6826" t="str">
        <f t="shared" si="237"/>
        <v/>
      </c>
      <c r="G6826" t="str">
        <f t="shared" si="238"/>
        <v/>
      </c>
    </row>
    <row r="6827" spans="2:7">
      <c r="B6827" s="6"/>
      <c r="E6827" s="7"/>
      <c r="F6827" t="str">
        <f t="shared" si="237"/>
        <v/>
      </c>
      <c r="G6827" t="str">
        <f t="shared" si="238"/>
        <v/>
      </c>
    </row>
    <row r="6828" spans="2:7">
      <c r="B6828" s="6"/>
      <c r="E6828" s="7"/>
      <c r="F6828" t="str">
        <f t="shared" si="237"/>
        <v/>
      </c>
      <c r="G6828" t="str">
        <f t="shared" si="238"/>
        <v/>
      </c>
    </row>
    <row r="6829" spans="2:7">
      <c r="B6829" s="6"/>
      <c r="E6829" s="7"/>
      <c r="F6829" t="str">
        <f t="shared" si="237"/>
        <v/>
      </c>
      <c r="G6829" t="str">
        <f t="shared" si="238"/>
        <v/>
      </c>
    </row>
    <row r="6830" spans="2:7">
      <c r="B6830" s="6"/>
      <c r="E6830" s="7"/>
      <c r="F6830" t="str">
        <f t="shared" si="237"/>
        <v/>
      </c>
      <c r="G6830" t="str">
        <f t="shared" si="238"/>
        <v/>
      </c>
    </row>
    <row r="6831" spans="2:7">
      <c r="B6831" s="6"/>
      <c r="E6831" s="7"/>
      <c r="F6831" t="str">
        <f t="shared" si="237"/>
        <v/>
      </c>
      <c r="G6831" t="str">
        <f t="shared" si="238"/>
        <v/>
      </c>
    </row>
    <row r="6832" spans="2:7">
      <c r="B6832" s="6"/>
      <c r="E6832" s="7"/>
      <c r="F6832" t="str">
        <f t="shared" si="237"/>
        <v/>
      </c>
      <c r="G6832" t="str">
        <f t="shared" si="238"/>
        <v/>
      </c>
    </row>
    <row r="6833" spans="2:7">
      <c r="B6833" s="6"/>
      <c r="E6833" s="7"/>
      <c r="F6833" t="str">
        <f t="shared" si="237"/>
        <v/>
      </c>
      <c r="G6833" t="str">
        <f t="shared" si="238"/>
        <v/>
      </c>
    </row>
    <row r="6834" spans="2:7">
      <c r="B6834" s="6"/>
      <c r="E6834" s="7"/>
      <c r="F6834" t="str">
        <f t="shared" si="237"/>
        <v/>
      </c>
      <c r="G6834" t="str">
        <f t="shared" si="238"/>
        <v/>
      </c>
    </row>
    <row r="6835" spans="2:7">
      <c r="B6835" s="6"/>
      <c r="E6835" s="7"/>
      <c r="F6835" t="str">
        <f t="shared" si="237"/>
        <v/>
      </c>
      <c r="G6835" t="str">
        <f t="shared" si="238"/>
        <v/>
      </c>
    </row>
    <row r="6836" spans="2:7">
      <c r="B6836" s="6"/>
      <c r="E6836" s="7"/>
      <c r="F6836" t="str">
        <f t="shared" si="237"/>
        <v/>
      </c>
      <c r="G6836" t="str">
        <f t="shared" si="238"/>
        <v/>
      </c>
    </row>
    <row r="6837" spans="2:7">
      <c r="B6837" s="6"/>
      <c r="E6837" s="7"/>
      <c r="F6837" t="str">
        <f t="shared" si="237"/>
        <v/>
      </c>
      <c r="G6837" t="str">
        <f t="shared" si="238"/>
        <v/>
      </c>
    </row>
    <row r="6838" spans="2:7">
      <c r="B6838" s="6"/>
      <c r="E6838" s="7"/>
      <c r="F6838" t="str">
        <f t="shared" si="237"/>
        <v/>
      </c>
      <c r="G6838" t="str">
        <f t="shared" si="238"/>
        <v/>
      </c>
    </row>
    <row r="6839" spans="2:7">
      <c r="B6839" s="6"/>
      <c r="E6839" s="7"/>
      <c r="F6839" t="str">
        <f t="shared" si="237"/>
        <v/>
      </c>
      <c r="G6839" t="str">
        <f t="shared" si="238"/>
        <v/>
      </c>
    </row>
    <row r="6840" spans="2:7">
      <c r="B6840" s="6"/>
      <c r="E6840" s="7"/>
      <c r="F6840" t="str">
        <f t="shared" si="237"/>
        <v/>
      </c>
      <c r="G6840" t="str">
        <f t="shared" si="238"/>
        <v/>
      </c>
    </row>
    <row r="6841" spans="2:7">
      <c r="B6841" s="6"/>
      <c r="E6841" s="7"/>
      <c r="F6841" t="str">
        <f t="shared" si="237"/>
        <v/>
      </c>
      <c r="G6841" t="str">
        <f t="shared" si="238"/>
        <v/>
      </c>
    </row>
    <row r="6842" spans="2:7">
      <c r="B6842" s="6"/>
      <c r="E6842" s="7"/>
      <c r="F6842" t="str">
        <f t="shared" si="237"/>
        <v/>
      </c>
      <c r="G6842" t="str">
        <f t="shared" si="238"/>
        <v/>
      </c>
    </row>
    <row r="6843" spans="2:7">
      <c r="B6843" s="6"/>
      <c r="E6843" s="7"/>
      <c r="F6843" t="str">
        <f t="shared" si="237"/>
        <v/>
      </c>
      <c r="G6843" t="str">
        <f t="shared" si="238"/>
        <v/>
      </c>
    </row>
    <row r="6844" spans="2:7">
      <c r="B6844" s="6"/>
      <c r="E6844" s="7"/>
      <c r="F6844" t="str">
        <f t="shared" si="237"/>
        <v/>
      </c>
      <c r="G6844" t="str">
        <f t="shared" si="238"/>
        <v/>
      </c>
    </row>
    <row r="6845" spans="2:7">
      <c r="B6845" s="6"/>
      <c r="E6845" s="7"/>
      <c r="F6845" t="str">
        <f t="shared" si="237"/>
        <v/>
      </c>
      <c r="G6845" t="str">
        <f t="shared" si="238"/>
        <v/>
      </c>
    </row>
    <row r="6846" spans="2:7">
      <c r="B6846" s="6"/>
      <c r="E6846" s="7"/>
      <c r="F6846" t="str">
        <f t="shared" si="237"/>
        <v/>
      </c>
      <c r="G6846" t="str">
        <f t="shared" si="238"/>
        <v/>
      </c>
    </row>
    <row r="6847" spans="2:7">
      <c r="B6847" s="6"/>
      <c r="E6847" s="7"/>
      <c r="F6847" t="str">
        <f t="shared" si="237"/>
        <v/>
      </c>
      <c r="G6847" t="str">
        <f t="shared" si="238"/>
        <v/>
      </c>
    </row>
    <row r="6848" spans="2:7">
      <c r="B6848" s="6"/>
      <c r="E6848" s="7"/>
      <c r="F6848" t="str">
        <f t="shared" si="237"/>
        <v/>
      </c>
      <c r="G6848" t="str">
        <f t="shared" si="238"/>
        <v/>
      </c>
    </row>
    <row r="6849" spans="2:7">
      <c r="B6849" s="6"/>
      <c r="E6849" s="7"/>
      <c r="F6849" t="str">
        <f t="shared" si="237"/>
        <v/>
      </c>
      <c r="G6849" t="str">
        <f t="shared" si="238"/>
        <v/>
      </c>
    </row>
    <row r="6850" spans="2:7">
      <c r="B6850" s="6"/>
      <c r="E6850" s="7"/>
      <c r="F6850" t="str">
        <f t="shared" si="237"/>
        <v/>
      </c>
      <c r="G6850" t="str">
        <f t="shared" si="238"/>
        <v/>
      </c>
    </row>
    <row r="6851" spans="2:7">
      <c r="B6851" s="6"/>
      <c r="E6851" s="7"/>
      <c r="F6851" t="str">
        <f t="shared" si="237"/>
        <v/>
      </c>
      <c r="G6851" t="str">
        <f t="shared" si="238"/>
        <v/>
      </c>
    </row>
    <row r="6852" spans="2:7">
      <c r="B6852" s="6"/>
      <c r="E6852" s="7"/>
      <c r="F6852" t="str">
        <f t="shared" ref="F6852:F6915" si="239">IF(B6852="","",LOG10(D6852))</f>
        <v/>
      </c>
      <c r="G6852" t="str">
        <f t="shared" ref="G6852:G6915" si="240">IF(E6852="", "",0.434*E6852/D6852)</f>
        <v/>
      </c>
    </row>
    <row r="6853" spans="2:7">
      <c r="B6853" s="6"/>
      <c r="E6853" s="7"/>
      <c r="F6853" t="str">
        <f t="shared" si="239"/>
        <v/>
      </c>
      <c r="G6853" t="str">
        <f t="shared" si="240"/>
        <v/>
      </c>
    </row>
    <row r="6854" spans="2:7">
      <c r="B6854" s="6"/>
      <c r="E6854" s="7"/>
      <c r="F6854" t="str">
        <f t="shared" si="239"/>
        <v/>
      </c>
      <c r="G6854" t="str">
        <f t="shared" si="240"/>
        <v/>
      </c>
    </row>
    <row r="6855" spans="2:7">
      <c r="B6855" s="6"/>
      <c r="E6855" s="7"/>
      <c r="F6855" t="str">
        <f t="shared" si="239"/>
        <v/>
      </c>
      <c r="G6855" t="str">
        <f t="shared" si="240"/>
        <v/>
      </c>
    </row>
    <row r="6856" spans="2:7">
      <c r="B6856" s="6"/>
      <c r="E6856" s="7"/>
      <c r="F6856" t="str">
        <f t="shared" si="239"/>
        <v/>
      </c>
      <c r="G6856" t="str">
        <f t="shared" si="240"/>
        <v/>
      </c>
    </row>
    <row r="6857" spans="2:7">
      <c r="B6857" s="6"/>
      <c r="E6857" s="7"/>
      <c r="F6857" t="str">
        <f t="shared" si="239"/>
        <v/>
      </c>
      <c r="G6857" t="str">
        <f t="shared" si="240"/>
        <v/>
      </c>
    </row>
    <row r="6858" spans="2:7">
      <c r="B6858" s="6"/>
      <c r="E6858" s="7"/>
      <c r="F6858" t="str">
        <f t="shared" si="239"/>
        <v/>
      </c>
      <c r="G6858" t="str">
        <f t="shared" si="240"/>
        <v/>
      </c>
    </row>
    <row r="6859" spans="2:7">
      <c r="B6859" s="6"/>
      <c r="E6859" s="7"/>
      <c r="F6859" t="str">
        <f t="shared" si="239"/>
        <v/>
      </c>
      <c r="G6859" t="str">
        <f t="shared" si="240"/>
        <v/>
      </c>
    </row>
    <row r="6860" spans="2:7">
      <c r="B6860" s="6"/>
      <c r="E6860" s="7"/>
      <c r="F6860" t="str">
        <f t="shared" si="239"/>
        <v/>
      </c>
      <c r="G6860" t="str">
        <f t="shared" si="240"/>
        <v/>
      </c>
    </row>
    <row r="6861" spans="2:7">
      <c r="B6861" s="6"/>
      <c r="E6861" s="7"/>
      <c r="F6861" t="str">
        <f t="shared" si="239"/>
        <v/>
      </c>
      <c r="G6861" t="str">
        <f t="shared" si="240"/>
        <v/>
      </c>
    </row>
    <row r="6862" spans="2:7">
      <c r="B6862" s="6"/>
      <c r="E6862" s="7"/>
      <c r="F6862" t="str">
        <f t="shared" si="239"/>
        <v/>
      </c>
      <c r="G6862" t="str">
        <f t="shared" si="240"/>
        <v/>
      </c>
    </row>
    <row r="6863" spans="2:7">
      <c r="B6863" s="6"/>
      <c r="E6863" s="7"/>
      <c r="F6863" t="str">
        <f t="shared" si="239"/>
        <v/>
      </c>
      <c r="G6863" t="str">
        <f t="shared" si="240"/>
        <v/>
      </c>
    </row>
    <row r="6864" spans="2:7">
      <c r="B6864" s="6"/>
      <c r="E6864" s="7"/>
      <c r="F6864" t="str">
        <f t="shared" si="239"/>
        <v/>
      </c>
      <c r="G6864" t="str">
        <f t="shared" si="240"/>
        <v/>
      </c>
    </row>
    <row r="6865" spans="2:7">
      <c r="B6865" s="6"/>
      <c r="E6865" s="7"/>
      <c r="F6865" t="str">
        <f t="shared" si="239"/>
        <v/>
      </c>
      <c r="G6865" t="str">
        <f t="shared" si="240"/>
        <v/>
      </c>
    </row>
    <row r="6866" spans="2:7">
      <c r="B6866" s="6"/>
      <c r="E6866" s="7"/>
      <c r="F6866" t="str">
        <f t="shared" si="239"/>
        <v/>
      </c>
      <c r="G6866" t="str">
        <f t="shared" si="240"/>
        <v/>
      </c>
    </row>
    <row r="6867" spans="2:7">
      <c r="B6867" s="6"/>
      <c r="E6867" s="7"/>
      <c r="F6867" t="str">
        <f t="shared" si="239"/>
        <v/>
      </c>
      <c r="G6867" t="str">
        <f t="shared" si="240"/>
        <v/>
      </c>
    </row>
    <row r="6868" spans="2:7">
      <c r="B6868" s="6"/>
      <c r="E6868" s="7"/>
      <c r="F6868" t="str">
        <f t="shared" si="239"/>
        <v/>
      </c>
      <c r="G6868" t="str">
        <f t="shared" si="240"/>
        <v/>
      </c>
    </row>
    <row r="6869" spans="2:7">
      <c r="B6869" s="6"/>
      <c r="E6869" s="7"/>
      <c r="F6869" t="str">
        <f t="shared" si="239"/>
        <v/>
      </c>
      <c r="G6869" t="str">
        <f t="shared" si="240"/>
        <v/>
      </c>
    </row>
    <row r="6870" spans="2:7">
      <c r="B6870" s="6"/>
      <c r="E6870" s="7"/>
      <c r="F6870" t="str">
        <f t="shared" si="239"/>
        <v/>
      </c>
      <c r="G6870" t="str">
        <f t="shared" si="240"/>
        <v/>
      </c>
    </row>
    <row r="6871" spans="2:7">
      <c r="B6871" s="6"/>
      <c r="E6871" s="7"/>
      <c r="F6871" t="str">
        <f t="shared" si="239"/>
        <v/>
      </c>
      <c r="G6871" t="str">
        <f t="shared" si="240"/>
        <v/>
      </c>
    </row>
    <row r="6872" spans="2:7">
      <c r="B6872" s="6"/>
      <c r="E6872" s="7"/>
      <c r="F6872" t="str">
        <f t="shared" si="239"/>
        <v/>
      </c>
      <c r="G6872" t="str">
        <f t="shared" si="240"/>
        <v/>
      </c>
    </row>
    <row r="6873" spans="2:7">
      <c r="B6873" s="6"/>
      <c r="E6873" s="7"/>
      <c r="F6873" t="str">
        <f t="shared" si="239"/>
        <v/>
      </c>
      <c r="G6873" t="str">
        <f t="shared" si="240"/>
        <v/>
      </c>
    </row>
    <row r="6874" spans="2:7">
      <c r="B6874" s="6"/>
      <c r="E6874" s="7"/>
      <c r="F6874" t="str">
        <f t="shared" si="239"/>
        <v/>
      </c>
      <c r="G6874" t="str">
        <f t="shared" si="240"/>
        <v/>
      </c>
    </row>
    <row r="6875" spans="2:7">
      <c r="B6875" s="6"/>
      <c r="E6875" s="7"/>
      <c r="F6875" t="str">
        <f t="shared" si="239"/>
        <v/>
      </c>
      <c r="G6875" t="str">
        <f t="shared" si="240"/>
        <v/>
      </c>
    </row>
    <row r="6876" spans="2:7">
      <c r="B6876" s="6"/>
      <c r="E6876" s="7"/>
      <c r="F6876" t="str">
        <f t="shared" si="239"/>
        <v/>
      </c>
      <c r="G6876" t="str">
        <f t="shared" si="240"/>
        <v/>
      </c>
    </row>
    <row r="6877" spans="2:7">
      <c r="B6877" s="6"/>
      <c r="E6877" s="7"/>
      <c r="F6877" t="str">
        <f t="shared" si="239"/>
        <v/>
      </c>
      <c r="G6877" t="str">
        <f t="shared" si="240"/>
        <v/>
      </c>
    </row>
    <row r="6878" spans="2:7">
      <c r="B6878" s="6"/>
      <c r="E6878" s="7"/>
      <c r="F6878" t="str">
        <f t="shared" si="239"/>
        <v/>
      </c>
      <c r="G6878" t="str">
        <f t="shared" si="240"/>
        <v/>
      </c>
    </row>
    <row r="6879" spans="2:7">
      <c r="B6879" s="6"/>
      <c r="E6879" s="7"/>
      <c r="F6879" t="str">
        <f t="shared" si="239"/>
        <v/>
      </c>
      <c r="G6879" t="str">
        <f t="shared" si="240"/>
        <v/>
      </c>
    </row>
    <row r="6880" spans="2:7">
      <c r="B6880" s="6"/>
      <c r="E6880" s="7"/>
      <c r="F6880" t="str">
        <f t="shared" si="239"/>
        <v/>
      </c>
      <c r="G6880" t="str">
        <f t="shared" si="240"/>
        <v/>
      </c>
    </row>
    <row r="6881" spans="2:7">
      <c r="B6881" s="6"/>
      <c r="E6881" s="7"/>
      <c r="F6881" t="str">
        <f t="shared" si="239"/>
        <v/>
      </c>
      <c r="G6881" t="str">
        <f t="shared" si="240"/>
        <v/>
      </c>
    </row>
    <row r="6882" spans="2:7">
      <c r="B6882" s="6"/>
      <c r="E6882" s="7"/>
      <c r="F6882" t="str">
        <f t="shared" si="239"/>
        <v/>
      </c>
      <c r="G6882" t="str">
        <f t="shared" si="240"/>
        <v/>
      </c>
    </row>
    <row r="6883" spans="2:7">
      <c r="B6883" s="6"/>
      <c r="E6883" s="7"/>
      <c r="F6883" t="str">
        <f t="shared" si="239"/>
        <v/>
      </c>
      <c r="G6883" t="str">
        <f t="shared" si="240"/>
        <v/>
      </c>
    </row>
    <row r="6884" spans="2:7">
      <c r="B6884" s="6"/>
      <c r="E6884" s="7"/>
      <c r="F6884" t="str">
        <f t="shared" si="239"/>
        <v/>
      </c>
      <c r="G6884" t="str">
        <f t="shared" si="240"/>
        <v/>
      </c>
    </row>
    <row r="6885" spans="2:7">
      <c r="B6885" s="6"/>
      <c r="E6885" s="7"/>
      <c r="F6885" t="str">
        <f t="shared" si="239"/>
        <v/>
      </c>
      <c r="G6885" t="str">
        <f t="shared" si="240"/>
        <v/>
      </c>
    </row>
    <row r="6886" spans="2:7">
      <c r="B6886" s="6"/>
      <c r="E6886" s="7"/>
      <c r="F6886" t="str">
        <f t="shared" si="239"/>
        <v/>
      </c>
      <c r="G6886" t="str">
        <f t="shared" si="240"/>
        <v/>
      </c>
    </row>
    <row r="6887" spans="2:7">
      <c r="B6887" s="6"/>
      <c r="E6887" s="7"/>
      <c r="F6887" t="str">
        <f t="shared" si="239"/>
        <v/>
      </c>
      <c r="G6887" t="str">
        <f t="shared" si="240"/>
        <v/>
      </c>
    </row>
    <row r="6888" spans="2:7">
      <c r="B6888" s="6"/>
      <c r="E6888" s="7"/>
      <c r="F6888" t="str">
        <f t="shared" si="239"/>
        <v/>
      </c>
      <c r="G6888" t="str">
        <f t="shared" si="240"/>
        <v/>
      </c>
    </row>
    <row r="6889" spans="2:7">
      <c r="B6889" s="6"/>
      <c r="E6889" s="7"/>
      <c r="F6889" t="str">
        <f t="shared" si="239"/>
        <v/>
      </c>
      <c r="G6889" t="str">
        <f t="shared" si="240"/>
        <v/>
      </c>
    </row>
    <row r="6890" spans="2:7">
      <c r="B6890" s="6"/>
      <c r="E6890" s="7"/>
      <c r="F6890" t="str">
        <f t="shared" si="239"/>
        <v/>
      </c>
      <c r="G6890" t="str">
        <f t="shared" si="240"/>
        <v/>
      </c>
    </row>
    <row r="6891" spans="2:7">
      <c r="B6891" s="6"/>
      <c r="E6891" s="7"/>
      <c r="F6891" t="str">
        <f t="shared" si="239"/>
        <v/>
      </c>
      <c r="G6891" t="str">
        <f t="shared" si="240"/>
        <v/>
      </c>
    </row>
    <row r="6892" spans="2:7">
      <c r="B6892" s="6"/>
      <c r="E6892" s="7"/>
      <c r="F6892" t="str">
        <f t="shared" si="239"/>
        <v/>
      </c>
      <c r="G6892" t="str">
        <f t="shared" si="240"/>
        <v/>
      </c>
    </row>
    <row r="6893" spans="2:7">
      <c r="B6893" s="6"/>
      <c r="E6893" s="7"/>
      <c r="F6893" t="str">
        <f t="shared" si="239"/>
        <v/>
      </c>
      <c r="G6893" t="str">
        <f t="shared" si="240"/>
        <v/>
      </c>
    </row>
    <row r="6894" spans="2:7">
      <c r="B6894" s="6"/>
      <c r="E6894" s="7"/>
      <c r="F6894" t="str">
        <f t="shared" si="239"/>
        <v/>
      </c>
      <c r="G6894" t="str">
        <f t="shared" si="240"/>
        <v/>
      </c>
    </row>
    <row r="6895" spans="2:7">
      <c r="B6895" s="6"/>
      <c r="E6895" s="7"/>
      <c r="F6895" t="str">
        <f t="shared" si="239"/>
        <v/>
      </c>
      <c r="G6895" t="str">
        <f t="shared" si="240"/>
        <v/>
      </c>
    </row>
    <row r="6896" spans="2:7">
      <c r="B6896" s="6"/>
      <c r="E6896" s="7"/>
      <c r="F6896" t="str">
        <f t="shared" si="239"/>
        <v/>
      </c>
      <c r="G6896" t="str">
        <f t="shared" si="240"/>
        <v/>
      </c>
    </row>
    <row r="6897" spans="2:7">
      <c r="B6897" s="6"/>
      <c r="E6897" s="7"/>
      <c r="F6897" t="str">
        <f t="shared" si="239"/>
        <v/>
      </c>
      <c r="G6897" t="str">
        <f t="shared" si="240"/>
        <v/>
      </c>
    </row>
    <row r="6898" spans="2:7">
      <c r="B6898" s="6"/>
      <c r="E6898" s="7"/>
      <c r="F6898" t="str">
        <f t="shared" si="239"/>
        <v/>
      </c>
      <c r="G6898" t="str">
        <f t="shared" si="240"/>
        <v/>
      </c>
    </row>
    <row r="6899" spans="2:7">
      <c r="B6899" s="6"/>
      <c r="E6899" s="7"/>
      <c r="F6899" t="str">
        <f t="shared" si="239"/>
        <v/>
      </c>
      <c r="G6899" t="str">
        <f t="shared" si="240"/>
        <v/>
      </c>
    </row>
    <row r="6900" spans="2:7">
      <c r="B6900" s="6"/>
      <c r="E6900" s="7"/>
      <c r="F6900" t="str">
        <f t="shared" si="239"/>
        <v/>
      </c>
      <c r="G6900" t="str">
        <f t="shared" si="240"/>
        <v/>
      </c>
    </row>
    <row r="6901" spans="2:7">
      <c r="B6901" s="6"/>
      <c r="E6901" s="7"/>
      <c r="F6901" t="str">
        <f t="shared" si="239"/>
        <v/>
      </c>
      <c r="G6901" t="str">
        <f t="shared" si="240"/>
        <v/>
      </c>
    </row>
    <row r="6902" spans="2:7">
      <c r="B6902" s="6"/>
      <c r="E6902" s="7"/>
      <c r="F6902" t="str">
        <f t="shared" si="239"/>
        <v/>
      </c>
      <c r="G6902" t="str">
        <f t="shared" si="240"/>
        <v/>
      </c>
    </row>
    <row r="6903" spans="2:7">
      <c r="B6903" s="6"/>
      <c r="E6903" s="7"/>
      <c r="F6903" t="str">
        <f t="shared" si="239"/>
        <v/>
      </c>
      <c r="G6903" t="str">
        <f t="shared" si="240"/>
        <v/>
      </c>
    </row>
    <row r="6904" spans="2:7">
      <c r="B6904" s="6"/>
      <c r="E6904" s="7"/>
      <c r="F6904" t="str">
        <f t="shared" si="239"/>
        <v/>
      </c>
      <c r="G6904" t="str">
        <f t="shared" si="240"/>
        <v/>
      </c>
    </row>
    <row r="6905" spans="2:7">
      <c r="B6905" s="6"/>
      <c r="E6905" s="7"/>
      <c r="F6905" t="str">
        <f t="shared" si="239"/>
        <v/>
      </c>
      <c r="G6905" t="str">
        <f t="shared" si="240"/>
        <v/>
      </c>
    </row>
    <row r="6906" spans="2:7">
      <c r="B6906" s="6"/>
      <c r="E6906" s="7"/>
      <c r="F6906" t="str">
        <f t="shared" si="239"/>
        <v/>
      </c>
      <c r="G6906" t="str">
        <f t="shared" si="240"/>
        <v/>
      </c>
    </row>
    <row r="6907" spans="2:7">
      <c r="B6907" s="6"/>
      <c r="E6907" s="7"/>
      <c r="F6907" t="str">
        <f t="shared" si="239"/>
        <v/>
      </c>
      <c r="G6907" t="str">
        <f t="shared" si="240"/>
        <v/>
      </c>
    </row>
    <row r="6908" spans="2:7">
      <c r="B6908" s="6"/>
      <c r="E6908" s="7"/>
      <c r="F6908" t="str">
        <f t="shared" si="239"/>
        <v/>
      </c>
      <c r="G6908" t="str">
        <f t="shared" si="240"/>
        <v/>
      </c>
    </row>
    <row r="6909" spans="2:7">
      <c r="B6909" s="6"/>
      <c r="E6909" s="7"/>
      <c r="F6909" t="str">
        <f t="shared" si="239"/>
        <v/>
      </c>
      <c r="G6909" t="str">
        <f t="shared" si="240"/>
        <v/>
      </c>
    </row>
    <row r="6910" spans="2:7">
      <c r="B6910" s="6"/>
      <c r="E6910" s="7"/>
      <c r="F6910" t="str">
        <f t="shared" si="239"/>
        <v/>
      </c>
      <c r="G6910" t="str">
        <f t="shared" si="240"/>
        <v/>
      </c>
    </row>
    <row r="6911" spans="2:7">
      <c r="B6911" s="6"/>
      <c r="E6911" s="7"/>
      <c r="F6911" t="str">
        <f t="shared" si="239"/>
        <v/>
      </c>
      <c r="G6911" t="str">
        <f t="shared" si="240"/>
        <v/>
      </c>
    </row>
    <row r="6912" spans="2:7">
      <c r="B6912" s="6"/>
      <c r="E6912" s="7"/>
      <c r="F6912" t="str">
        <f t="shared" si="239"/>
        <v/>
      </c>
      <c r="G6912" t="str">
        <f t="shared" si="240"/>
        <v/>
      </c>
    </row>
    <row r="6913" spans="2:7">
      <c r="B6913" s="6"/>
      <c r="E6913" s="7"/>
      <c r="F6913" t="str">
        <f t="shared" si="239"/>
        <v/>
      </c>
      <c r="G6913" t="str">
        <f t="shared" si="240"/>
        <v/>
      </c>
    </row>
    <row r="6914" spans="2:7">
      <c r="B6914" s="6"/>
      <c r="E6914" s="7"/>
      <c r="F6914" t="str">
        <f t="shared" si="239"/>
        <v/>
      </c>
      <c r="G6914" t="str">
        <f t="shared" si="240"/>
        <v/>
      </c>
    </row>
    <row r="6915" spans="2:7">
      <c r="B6915" s="6"/>
      <c r="E6915" s="7"/>
      <c r="F6915" t="str">
        <f t="shared" si="239"/>
        <v/>
      </c>
      <c r="G6915" t="str">
        <f t="shared" si="240"/>
        <v/>
      </c>
    </row>
    <row r="6916" spans="2:7">
      <c r="B6916" s="6"/>
      <c r="E6916" s="7"/>
      <c r="F6916" t="str">
        <f t="shared" ref="F6916:F6979" si="241">IF(B6916="","",LOG10(D6916))</f>
        <v/>
      </c>
      <c r="G6916" t="str">
        <f t="shared" ref="G6916:G6979" si="242">IF(E6916="", "",0.434*E6916/D6916)</f>
        <v/>
      </c>
    </row>
    <row r="6917" spans="2:7">
      <c r="B6917" s="6"/>
      <c r="E6917" s="7"/>
      <c r="F6917" t="str">
        <f t="shared" si="241"/>
        <v/>
      </c>
      <c r="G6917" t="str">
        <f t="shared" si="242"/>
        <v/>
      </c>
    </row>
    <row r="6918" spans="2:7">
      <c r="B6918" s="6"/>
      <c r="E6918" s="7"/>
      <c r="F6918" t="str">
        <f t="shared" si="241"/>
        <v/>
      </c>
      <c r="G6918" t="str">
        <f t="shared" si="242"/>
        <v/>
      </c>
    </row>
    <row r="6919" spans="2:7">
      <c r="B6919" s="6"/>
      <c r="E6919" s="7"/>
      <c r="F6919" t="str">
        <f t="shared" si="241"/>
        <v/>
      </c>
      <c r="G6919" t="str">
        <f t="shared" si="242"/>
        <v/>
      </c>
    </row>
    <row r="6920" spans="2:7">
      <c r="B6920" s="6"/>
      <c r="E6920" s="7"/>
      <c r="F6920" t="str">
        <f t="shared" si="241"/>
        <v/>
      </c>
      <c r="G6920" t="str">
        <f t="shared" si="242"/>
        <v/>
      </c>
    </row>
    <row r="6921" spans="2:7">
      <c r="B6921" s="6"/>
      <c r="E6921" s="7"/>
      <c r="F6921" t="str">
        <f t="shared" si="241"/>
        <v/>
      </c>
      <c r="G6921" t="str">
        <f t="shared" si="242"/>
        <v/>
      </c>
    </row>
    <row r="6922" spans="2:7">
      <c r="B6922" s="6"/>
      <c r="E6922" s="7"/>
      <c r="F6922" t="str">
        <f t="shared" si="241"/>
        <v/>
      </c>
      <c r="G6922" t="str">
        <f t="shared" si="242"/>
        <v/>
      </c>
    </row>
    <row r="6923" spans="2:7">
      <c r="B6923" s="6"/>
      <c r="E6923" s="7"/>
      <c r="F6923" t="str">
        <f t="shared" si="241"/>
        <v/>
      </c>
      <c r="G6923" t="str">
        <f t="shared" si="242"/>
        <v/>
      </c>
    </row>
    <row r="6924" spans="2:7">
      <c r="B6924" s="6"/>
      <c r="E6924" s="7"/>
      <c r="F6924" t="str">
        <f t="shared" si="241"/>
        <v/>
      </c>
      <c r="G6924" t="str">
        <f t="shared" si="242"/>
        <v/>
      </c>
    </row>
    <row r="6925" spans="2:7">
      <c r="B6925" s="6"/>
      <c r="E6925" s="7"/>
      <c r="F6925" t="str">
        <f t="shared" si="241"/>
        <v/>
      </c>
      <c r="G6925" t="str">
        <f t="shared" si="242"/>
        <v/>
      </c>
    </row>
    <row r="6926" spans="2:7">
      <c r="B6926" s="6"/>
      <c r="E6926" s="7"/>
      <c r="F6926" t="str">
        <f t="shared" si="241"/>
        <v/>
      </c>
      <c r="G6926" t="str">
        <f t="shared" si="242"/>
        <v/>
      </c>
    </row>
    <row r="6927" spans="2:7">
      <c r="B6927" s="6"/>
      <c r="E6927" s="7"/>
      <c r="F6927" t="str">
        <f t="shared" si="241"/>
        <v/>
      </c>
      <c r="G6927" t="str">
        <f t="shared" si="242"/>
        <v/>
      </c>
    </row>
    <row r="6928" spans="2:7">
      <c r="B6928" s="6"/>
      <c r="E6928" s="7"/>
      <c r="F6928" t="str">
        <f t="shared" si="241"/>
        <v/>
      </c>
      <c r="G6928" t="str">
        <f t="shared" si="242"/>
        <v/>
      </c>
    </row>
    <row r="6929" spans="2:7">
      <c r="B6929" s="6"/>
      <c r="E6929" s="7"/>
      <c r="F6929" t="str">
        <f t="shared" si="241"/>
        <v/>
      </c>
      <c r="G6929" t="str">
        <f t="shared" si="242"/>
        <v/>
      </c>
    </row>
    <row r="6930" spans="2:7">
      <c r="B6930" s="6"/>
      <c r="E6930" s="7"/>
      <c r="F6930" t="str">
        <f t="shared" si="241"/>
        <v/>
      </c>
      <c r="G6930" t="str">
        <f t="shared" si="242"/>
        <v/>
      </c>
    </row>
    <row r="6931" spans="2:7">
      <c r="B6931" s="6"/>
      <c r="E6931" s="7"/>
      <c r="F6931" t="str">
        <f t="shared" si="241"/>
        <v/>
      </c>
      <c r="G6931" t="str">
        <f t="shared" si="242"/>
        <v/>
      </c>
    </row>
    <row r="6932" spans="2:7">
      <c r="B6932" s="6"/>
      <c r="E6932" s="7"/>
      <c r="F6932" t="str">
        <f t="shared" si="241"/>
        <v/>
      </c>
      <c r="G6932" t="str">
        <f t="shared" si="242"/>
        <v/>
      </c>
    </row>
    <row r="6933" spans="2:7">
      <c r="B6933" s="6"/>
      <c r="E6933" s="7"/>
      <c r="F6933" t="str">
        <f t="shared" si="241"/>
        <v/>
      </c>
      <c r="G6933" t="str">
        <f t="shared" si="242"/>
        <v/>
      </c>
    </row>
    <row r="6934" spans="2:7">
      <c r="B6934" s="6"/>
      <c r="E6934" s="7"/>
      <c r="F6934" t="str">
        <f t="shared" si="241"/>
        <v/>
      </c>
      <c r="G6934" t="str">
        <f t="shared" si="242"/>
        <v/>
      </c>
    </row>
    <row r="6935" spans="2:7">
      <c r="B6935" s="6"/>
      <c r="E6935" s="7"/>
      <c r="F6935" t="str">
        <f t="shared" si="241"/>
        <v/>
      </c>
      <c r="G6935" t="str">
        <f t="shared" si="242"/>
        <v/>
      </c>
    </row>
    <row r="6936" spans="2:7">
      <c r="B6936" s="6"/>
      <c r="E6936" s="7"/>
      <c r="F6936" t="str">
        <f t="shared" si="241"/>
        <v/>
      </c>
      <c r="G6936" t="str">
        <f t="shared" si="242"/>
        <v/>
      </c>
    </row>
    <row r="6937" spans="2:7">
      <c r="B6937" s="6"/>
      <c r="E6937" s="7"/>
      <c r="F6937" t="str">
        <f t="shared" si="241"/>
        <v/>
      </c>
      <c r="G6937" t="str">
        <f t="shared" si="242"/>
        <v/>
      </c>
    </row>
    <row r="6938" spans="2:7">
      <c r="B6938" s="6"/>
      <c r="E6938" s="7"/>
      <c r="F6938" t="str">
        <f t="shared" si="241"/>
        <v/>
      </c>
      <c r="G6938" t="str">
        <f t="shared" si="242"/>
        <v/>
      </c>
    </row>
    <row r="6939" spans="2:7">
      <c r="B6939" s="6"/>
      <c r="E6939" s="7"/>
      <c r="F6939" t="str">
        <f t="shared" si="241"/>
        <v/>
      </c>
      <c r="G6939" t="str">
        <f t="shared" si="242"/>
        <v/>
      </c>
    </row>
    <row r="6940" spans="2:7">
      <c r="B6940" s="6"/>
      <c r="E6940" s="7"/>
      <c r="F6940" t="str">
        <f t="shared" si="241"/>
        <v/>
      </c>
      <c r="G6940" t="str">
        <f t="shared" si="242"/>
        <v/>
      </c>
    </row>
    <row r="6941" spans="2:7">
      <c r="B6941" s="6"/>
      <c r="E6941" s="7"/>
      <c r="F6941" t="str">
        <f t="shared" si="241"/>
        <v/>
      </c>
      <c r="G6941" t="str">
        <f t="shared" si="242"/>
        <v/>
      </c>
    </row>
    <row r="6942" spans="2:7">
      <c r="B6942" s="6"/>
      <c r="E6942" s="7"/>
      <c r="F6942" t="str">
        <f t="shared" si="241"/>
        <v/>
      </c>
      <c r="G6942" t="str">
        <f t="shared" si="242"/>
        <v/>
      </c>
    </row>
    <row r="6943" spans="2:7">
      <c r="B6943" s="6"/>
      <c r="E6943" s="7"/>
      <c r="F6943" t="str">
        <f t="shared" si="241"/>
        <v/>
      </c>
      <c r="G6943" t="str">
        <f t="shared" si="242"/>
        <v/>
      </c>
    </row>
    <row r="6944" spans="2:7">
      <c r="B6944" s="6"/>
      <c r="E6944" s="7"/>
      <c r="F6944" t="str">
        <f t="shared" si="241"/>
        <v/>
      </c>
      <c r="G6944" t="str">
        <f t="shared" si="242"/>
        <v/>
      </c>
    </row>
    <row r="6945" spans="2:7">
      <c r="B6945" s="6"/>
      <c r="E6945" s="7"/>
      <c r="F6945" t="str">
        <f t="shared" si="241"/>
        <v/>
      </c>
      <c r="G6945" t="str">
        <f t="shared" si="242"/>
        <v/>
      </c>
    </row>
    <row r="6946" spans="2:7">
      <c r="B6946" s="6"/>
      <c r="E6946" s="7"/>
      <c r="F6946" t="str">
        <f t="shared" si="241"/>
        <v/>
      </c>
      <c r="G6946" t="str">
        <f t="shared" si="242"/>
        <v/>
      </c>
    </row>
    <row r="6947" spans="2:7">
      <c r="B6947" s="6"/>
      <c r="E6947" s="7"/>
      <c r="F6947" t="str">
        <f t="shared" si="241"/>
        <v/>
      </c>
      <c r="G6947" t="str">
        <f t="shared" si="242"/>
        <v/>
      </c>
    </row>
    <row r="6948" spans="2:7">
      <c r="B6948" s="6"/>
      <c r="E6948" s="7"/>
      <c r="F6948" t="str">
        <f t="shared" si="241"/>
        <v/>
      </c>
      <c r="G6948" t="str">
        <f t="shared" si="242"/>
        <v/>
      </c>
    </row>
    <row r="6949" spans="2:7">
      <c r="B6949" s="6"/>
      <c r="E6949" s="7"/>
      <c r="F6949" t="str">
        <f t="shared" si="241"/>
        <v/>
      </c>
      <c r="G6949" t="str">
        <f t="shared" si="242"/>
        <v/>
      </c>
    </row>
    <row r="6950" spans="2:7">
      <c r="B6950" s="6"/>
      <c r="E6950" s="7"/>
      <c r="F6950" t="str">
        <f t="shared" si="241"/>
        <v/>
      </c>
      <c r="G6950" t="str">
        <f t="shared" si="242"/>
        <v/>
      </c>
    </row>
    <row r="6951" spans="2:7">
      <c r="B6951" s="6"/>
      <c r="E6951" s="7"/>
      <c r="F6951" t="str">
        <f t="shared" si="241"/>
        <v/>
      </c>
      <c r="G6951" t="str">
        <f t="shared" si="242"/>
        <v/>
      </c>
    </row>
    <row r="6952" spans="2:7">
      <c r="B6952" s="6"/>
      <c r="E6952" s="7"/>
      <c r="F6952" t="str">
        <f t="shared" si="241"/>
        <v/>
      </c>
      <c r="G6952" t="str">
        <f t="shared" si="242"/>
        <v/>
      </c>
    </row>
    <row r="6953" spans="2:7">
      <c r="B6953" s="6"/>
      <c r="E6953" s="7"/>
      <c r="F6953" t="str">
        <f t="shared" si="241"/>
        <v/>
      </c>
      <c r="G6953" t="str">
        <f t="shared" si="242"/>
        <v/>
      </c>
    </row>
    <row r="6954" spans="2:7">
      <c r="B6954" s="6"/>
      <c r="E6954" s="7"/>
      <c r="F6954" t="str">
        <f t="shared" si="241"/>
        <v/>
      </c>
      <c r="G6954" t="str">
        <f t="shared" si="242"/>
        <v/>
      </c>
    </row>
    <row r="6955" spans="2:7">
      <c r="B6955" s="6"/>
      <c r="E6955" s="7"/>
      <c r="F6955" t="str">
        <f t="shared" si="241"/>
        <v/>
      </c>
      <c r="G6955" t="str">
        <f t="shared" si="242"/>
        <v/>
      </c>
    </row>
    <row r="6956" spans="2:7">
      <c r="B6956" s="6"/>
      <c r="E6956" s="7"/>
      <c r="F6956" t="str">
        <f t="shared" si="241"/>
        <v/>
      </c>
      <c r="G6956" t="str">
        <f t="shared" si="242"/>
        <v/>
      </c>
    </row>
    <row r="6957" spans="2:7">
      <c r="B6957" s="6"/>
      <c r="E6957" s="7"/>
      <c r="F6957" t="str">
        <f t="shared" si="241"/>
        <v/>
      </c>
      <c r="G6957" t="str">
        <f t="shared" si="242"/>
        <v/>
      </c>
    </row>
    <row r="6958" spans="2:7">
      <c r="B6958" s="6"/>
      <c r="E6958" s="7"/>
      <c r="F6958" t="str">
        <f t="shared" si="241"/>
        <v/>
      </c>
      <c r="G6958" t="str">
        <f t="shared" si="242"/>
        <v/>
      </c>
    </row>
    <row r="6959" spans="2:7">
      <c r="B6959" s="6"/>
      <c r="E6959" s="7"/>
      <c r="F6959" t="str">
        <f t="shared" si="241"/>
        <v/>
      </c>
      <c r="G6959" t="str">
        <f t="shared" si="242"/>
        <v/>
      </c>
    </row>
    <row r="6960" spans="2:7">
      <c r="B6960" s="6"/>
      <c r="E6960" s="7"/>
      <c r="F6960" t="str">
        <f t="shared" si="241"/>
        <v/>
      </c>
      <c r="G6960" t="str">
        <f t="shared" si="242"/>
        <v/>
      </c>
    </row>
    <row r="6961" spans="2:7">
      <c r="B6961" s="6"/>
      <c r="E6961" s="7"/>
      <c r="F6961" t="str">
        <f t="shared" si="241"/>
        <v/>
      </c>
      <c r="G6961" t="str">
        <f t="shared" si="242"/>
        <v/>
      </c>
    </row>
    <row r="6962" spans="2:7">
      <c r="B6962" s="6"/>
      <c r="E6962" s="7"/>
      <c r="F6962" t="str">
        <f t="shared" si="241"/>
        <v/>
      </c>
      <c r="G6962" t="str">
        <f t="shared" si="242"/>
        <v/>
      </c>
    </row>
    <row r="6963" spans="2:7">
      <c r="B6963" s="6"/>
      <c r="E6963" s="7"/>
      <c r="F6963" t="str">
        <f t="shared" si="241"/>
        <v/>
      </c>
      <c r="G6963" t="str">
        <f t="shared" si="242"/>
        <v/>
      </c>
    </row>
    <row r="6964" spans="2:7">
      <c r="B6964" s="6"/>
      <c r="E6964" s="7"/>
      <c r="F6964" t="str">
        <f t="shared" si="241"/>
        <v/>
      </c>
      <c r="G6964" t="str">
        <f t="shared" si="242"/>
        <v/>
      </c>
    </row>
    <row r="6965" spans="2:7">
      <c r="B6965" s="6"/>
      <c r="E6965" s="7"/>
      <c r="F6965" t="str">
        <f t="shared" si="241"/>
        <v/>
      </c>
      <c r="G6965" t="str">
        <f t="shared" si="242"/>
        <v/>
      </c>
    </row>
    <row r="6966" spans="2:7">
      <c r="B6966" s="6"/>
      <c r="E6966" s="7"/>
      <c r="F6966" t="str">
        <f t="shared" si="241"/>
        <v/>
      </c>
      <c r="G6966" t="str">
        <f t="shared" si="242"/>
        <v/>
      </c>
    </row>
    <row r="6967" spans="2:7">
      <c r="B6967" s="6"/>
      <c r="E6967" s="7"/>
      <c r="F6967" t="str">
        <f t="shared" si="241"/>
        <v/>
      </c>
      <c r="G6967" t="str">
        <f t="shared" si="242"/>
        <v/>
      </c>
    </row>
    <row r="6968" spans="2:7">
      <c r="B6968" s="6"/>
      <c r="E6968" s="7"/>
      <c r="F6968" t="str">
        <f t="shared" si="241"/>
        <v/>
      </c>
      <c r="G6968" t="str">
        <f t="shared" si="242"/>
        <v/>
      </c>
    </row>
    <row r="6969" spans="2:7">
      <c r="B6969" s="6"/>
      <c r="E6969" s="7"/>
      <c r="F6969" t="str">
        <f t="shared" si="241"/>
        <v/>
      </c>
      <c r="G6969" t="str">
        <f t="shared" si="242"/>
        <v/>
      </c>
    </row>
    <row r="6970" spans="2:7">
      <c r="B6970" s="6"/>
      <c r="E6970" s="7"/>
      <c r="F6970" t="str">
        <f t="shared" si="241"/>
        <v/>
      </c>
      <c r="G6970" t="str">
        <f t="shared" si="242"/>
        <v/>
      </c>
    </row>
    <row r="6971" spans="2:7">
      <c r="B6971" s="6"/>
      <c r="E6971" s="7"/>
      <c r="F6971" t="str">
        <f t="shared" si="241"/>
        <v/>
      </c>
      <c r="G6971" t="str">
        <f t="shared" si="242"/>
        <v/>
      </c>
    </row>
    <row r="6972" spans="2:7">
      <c r="B6972" s="6"/>
      <c r="E6972" s="7"/>
      <c r="F6972" t="str">
        <f t="shared" si="241"/>
        <v/>
      </c>
      <c r="G6972" t="str">
        <f t="shared" si="242"/>
        <v/>
      </c>
    </row>
    <row r="6973" spans="2:7">
      <c r="B6973" s="6"/>
      <c r="E6973" s="7"/>
      <c r="F6973" t="str">
        <f t="shared" si="241"/>
        <v/>
      </c>
      <c r="G6973" t="str">
        <f t="shared" si="242"/>
        <v/>
      </c>
    </row>
    <row r="6974" spans="2:7">
      <c r="B6974" s="6"/>
      <c r="E6974" s="7"/>
      <c r="F6974" t="str">
        <f t="shared" si="241"/>
        <v/>
      </c>
      <c r="G6974" t="str">
        <f t="shared" si="242"/>
        <v/>
      </c>
    </row>
    <row r="6975" spans="2:7">
      <c r="B6975" s="6"/>
      <c r="E6975" s="7"/>
      <c r="F6975" t="str">
        <f t="shared" si="241"/>
        <v/>
      </c>
      <c r="G6975" t="str">
        <f t="shared" si="242"/>
        <v/>
      </c>
    </row>
    <row r="6976" spans="2:7">
      <c r="B6976" s="6"/>
      <c r="E6976" s="7"/>
      <c r="F6976" t="str">
        <f t="shared" si="241"/>
        <v/>
      </c>
      <c r="G6976" t="str">
        <f t="shared" si="242"/>
        <v/>
      </c>
    </row>
    <row r="6977" spans="2:7">
      <c r="B6977" s="6"/>
      <c r="E6977" s="7"/>
      <c r="F6977" t="str">
        <f t="shared" si="241"/>
        <v/>
      </c>
      <c r="G6977" t="str">
        <f t="shared" si="242"/>
        <v/>
      </c>
    </row>
    <row r="6978" spans="2:7">
      <c r="B6978" s="6"/>
      <c r="E6978" s="7"/>
      <c r="F6978" t="str">
        <f t="shared" si="241"/>
        <v/>
      </c>
      <c r="G6978" t="str">
        <f t="shared" si="242"/>
        <v/>
      </c>
    </row>
    <row r="6979" spans="2:7">
      <c r="B6979" s="6"/>
      <c r="E6979" s="7"/>
      <c r="F6979" t="str">
        <f t="shared" si="241"/>
        <v/>
      </c>
      <c r="G6979" t="str">
        <f t="shared" si="242"/>
        <v/>
      </c>
    </row>
    <row r="6980" spans="2:7">
      <c r="B6980" s="6"/>
      <c r="E6980" s="7"/>
      <c r="F6980" t="str">
        <f t="shared" ref="F6980:F7043" si="243">IF(B6980="","",LOG10(D6980))</f>
        <v/>
      </c>
      <c r="G6980" t="str">
        <f t="shared" ref="G6980:G7043" si="244">IF(E6980="", "",0.434*E6980/D6980)</f>
        <v/>
      </c>
    </row>
    <row r="6981" spans="2:7">
      <c r="B6981" s="6"/>
      <c r="E6981" s="7"/>
      <c r="F6981" t="str">
        <f t="shared" si="243"/>
        <v/>
      </c>
      <c r="G6981" t="str">
        <f t="shared" si="244"/>
        <v/>
      </c>
    </row>
    <row r="6982" spans="2:7">
      <c r="B6982" s="6"/>
      <c r="E6982" s="7"/>
      <c r="F6982" t="str">
        <f t="shared" si="243"/>
        <v/>
      </c>
      <c r="G6982" t="str">
        <f t="shared" si="244"/>
        <v/>
      </c>
    </row>
    <row r="6983" spans="2:7">
      <c r="B6983" s="6"/>
      <c r="E6983" s="7"/>
      <c r="F6983" t="str">
        <f t="shared" si="243"/>
        <v/>
      </c>
      <c r="G6983" t="str">
        <f t="shared" si="244"/>
        <v/>
      </c>
    </row>
    <row r="6984" spans="2:7">
      <c r="B6984" s="6"/>
      <c r="E6984" s="7"/>
      <c r="F6984" t="str">
        <f t="shared" si="243"/>
        <v/>
      </c>
      <c r="G6984" t="str">
        <f t="shared" si="244"/>
        <v/>
      </c>
    </row>
    <row r="6985" spans="2:7">
      <c r="B6985" s="6"/>
      <c r="E6985" s="7"/>
      <c r="F6985" t="str">
        <f t="shared" si="243"/>
        <v/>
      </c>
      <c r="G6985" t="str">
        <f t="shared" si="244"/>
        <v/>
      </c>
    </row>
    <row r="6986" spans="2:7">
      <c r="B6986" s="6"/>
      <c r="E6986" s="7"/>
      <c r="F6986" t="str">
        <f t="shared" si="243"/>
        <v/>
      </c>
      <c r="G6986" t="str">
        <f t="shared" si="244"/>
        <v/>
      </c>
    </row>
    <row r="6987" spans="2:7">
      <c r="B6987" s="6"/>
      <c r="E6987" s="7"/>
      <c r="F6987" t="str">
        <f t="shared" si="243"/>
        <v/>
      </c>
      <c r="G6987" t="str">
        <f t="shared" si="244"/>
        <v/>
      </c>
    </row>
    <row r="6988" spans="2:7">
      <c r="B6988" s="6"/>
      <c r="E6988" s="7"/>
      <c r="F6988" t="str">
        <f t="shared" si="243"/>
        <v/>
      </c>
      <c r="G6988" t="str">
        <f t="shared" si="244"/>
        <v/>
      </c>
    </row>
    <row r="6989" spans="2:7">
      <c r="B6989" s="6"/>
      <c r="E6989" s="7"/>
      <c r="F6989" t="str">
        <f t="shared" si="243"/>
        <v/>
      </c>
      <c r="G6989" t="str">
        <f t="shared" si="244"/>
        <v/>
      </c>
    </row>
    <row r="6990" spans="2:7">
      <c r="B6990" s="6"/>
      <c r="E6990" s="7"/>
      <c r="F6990" t="str">
        <f t="shared" si="243"/>
        <v/>
      </c>
      <c r="G6990" t="str">
        <f t="shared" si="244"/>
        <v/>
      </c>
    </row>
    <row r="6991" spans="2:7">
      <c r="B6991" s="6"/>
      <c r="E6991" s="7"/>
      <c r="F6991" t="str">
        <f t="shared" si="243"/>
        <v/>
      </c>
      <c r="G6991" t="str">
        <f t="shared" si="244"/>
        <v/>
      </c>
    </row>
    <row r="6992" spans="2:7">
      <c r="B6992" s="6"/>
      <c r="E6992" s="7"/>
      <c r="F6992" t="str">
        <f t="shared" si="243"/>
        <v/>
      </c>
      <c r="G6992" t="str">
        <f t="shared" si="244"/>
        <v/>
      </c>
    </row>
    <row r="6993" spans="2:7">
      <c r="B6993" s="6"/>
      <c r="E6993" s="7"/>
      <c r="F6993" t="str">
        <f t="shared" si="243"/>
        <v/>
      </c>
      <c r="G6993" t="str">
        <f t="shared" si="244"/>
        <v/>
      </c>
    </row>
    <row r="6994" spans="2:7">
      <c r="B6994" s="6"/>
      <c r="E6994" s="7"/>
      <c r="F6994" t="str">
        <f t="shared" si="243"/>
        <v/>
      </c>
      <c r="G6994" t="str">
        <f t="shared" si="244"/>
        <v/>
      </c>
    </row>
    <row r="6995" spans="2:7">
      <c r="B6995" s="6"/>
      <c r="E6995" s="7"/>
      <c r="F6995" t="str">
        <f t="shared" si="243"/>
        <v/>
      </c>
      <c r="G6995" t="str">
        <f t="shared" si="244"/>
        <v/>
      </c>
    </row>
    <row r="6996" spans="2:7">
      <c r="B6996" s="6"/>
      <c r="E6996" s="7"/>
      <c r="F6996" t="str">
        <f t="shared" si="243"/>
        <v/>
      </c>
      <c r="G6996" t="str">
        <f t="shared" si="244"/>
        <v/>
      </c>
    </row>
    <row r="6997" spans="2:7">
      <c r="B6997" s="6"/>
      <c r="E6997" s="7"/>
      <c r="F6997" t="str">
        <f t="shared" si="243"/>
        <v/>
      </c>
      <c r="G6997" t="str">
        <f t="shared" si="244"/>
        <v/>
      </c>
    </row>
    <row r="6998" spans="2:7">
      <c r="B6998" s="6"/>
      <c r="E6998" s="7"/>
      <c r="F6998" t="str">
        <f t="shared" si="243"/>
        <v/>
      </c>
      <c r="G6998" t="str">
        <f t="shared" si="244"/>
        <v/>
      </c>
    </row>
    <row r="6999" spans="2:7">
      <c r="B6999" s="6"/>
      <c r="E6999" s="7"/>
      <c r="F6999" t="str">
        <f t="shared" si="243"/>
        <v/>
      </c>
      <c r="G6999" t="str">
        <f t="shared" si="244"/>
        <v/>
      </c>
    </row>
    <row r="7000" spans="2:7">
      <c r="B7000" s="6"/>
      <c r="E7000" s="7"/>
      <c r="F7000" t="str">
        <f t="shared" si="243"/>
        <v/>
      </c>
      <c r="G7000" t="str">
        <f t="shared" si="244"/>
        <v/>
      </c>
    </row>
    <row r="7001" spans="2:7">
      <c r="B7001" s="6"/>
      <c r="E7001" s="7"/>
      <c r="F7001" t="str">
        <f t="shared" si="243"/>
        <v/>
      </c>
      <c r="G7001" t="str">
        <f t="shared" si="244"/>
        <v/>
      </c>
    </row>
    <row r="7002" spans="2:7">
      <c r="B7002" s="6"/>
      <c r="E7002" s="7"/>
      <c r="F7002" t="str">
        <f t="shared" si="243"/>
        <v/>
      </c>
      <c r="G7002" t="str">
        <f t="shared" si="244"/>
        <v/>
      </c>
    </row>
    <row r="7003" spans="2:7">
      <c r="B7003" s="6"/>
      <c r="E7003" s="7"/>
      <c r="F7003" t="str">
        <f t="shared" si="243"/>
        <v/>
      </c>
      <c r="G7003" t="str">
        <f t="shared" si="244"/>
        <v/>
      </c>
    </row>
    <row r="7004" spans="2:7">
      <c r="B7004" s="6"/>
      <c r="E7004" s="7"/>
      <c r="F7004" t="str">
        <f t="shared" si="243"/>
        <v/>
      </c>
      <c r="G7004" t="str">
        <f t="shared" si="244"/>
        <v/>
      </c>
    </row>
    <row r="7005" spans="2:7">
      <c r="B7005" s="6"/>
      <c r="E7005" s="7"/>
      <c r="F7005" t="str">
        <f t="shared" si="243"/>
        <v/>
      </c>
      <c r="G7005" t="str">
        <f t="shared" si="244"/>
        <v/>
      </c>
    </row>
    <row r="7006" spans="2:7">
      <c r="B7006" s="6"/>
      <c r="E7006" s="7"/>
      <c r="F7006" t="str">
        <f t="shared" si="243"/>
        <v/>
      </c>
      <c r="G7006" t="str">
        <f t="shared" si="244"/>
        <v/>
      </c>
    </row>
    <row r="7007" spans="2:7">
      <c r="B7007" s="6"/>
      <c r="E7007" s="7"/>
      <c r="F7007" t="str">
        <f t="shared" si="243"/>
        <v/>
      </c>
      <c r="G7007" t="str">
        <f t="shared" si="244"/>
        <v/>
      </c>
    </row>
    <row r="7008" spans="2:7">
      <c r="B7008" s="6"/>
      <c r="E7008" s="7"/>
      <c r="F7008" t="str">
        <f t="shared" si="243"/>
        <v/>
      </c>
      <c r="G7008" t="str">
        <f t="shared" si="244"/>
        <v/>
      </c>
    </row>
    <row r="7009" spans="2:7">
      <c r="B7009" s="6"/>
      <c r="E7009" s="7"/>
      <c r="F7009" t="str">
        <f t="shared" si="243"/>
        <v/>
      </c>
      <c r="G7009" t="str">
        <f t="shared" si="244"/>
        <v/>
      </c>
    </row>
    <row r="7010" spans="2:7">
      <c r="B7010" s="6"/>
      <c r="E7010" s="7"/>
      <c r="F7010" t="str">
        <f t="shared" si="243"/>
        <v/>
      </c>
      <c r="G7010" t="str">
        <f t="shared" si="244"/>
        <v/>
      </c>
    </row>
    <row r="7011" spans="2:7">
      <c r="B7011" s="6"/>
      <c r="E7011" s="7"/>
      <c r="F7011" t="str">
        <f t="shared" si="243"/>
        <v/>
      </c>
      <c r="G7011" t="str">
        <f t="shared" si="244"/>
        <v/>
      </c>
    </row>
    <row r="7012" spans="2:7">
      <c r="B7012" s="6"/>
      <c r="E7012" s="7"/>
      <c r="F7012" t="str">
        <f t="shared" si="243"/>
        <v/>
      </c>
      <c r="G7012" t="str">
        <f t="shared" si="244"/>
        <v/>
      </c>
    </row>
    <row r="7013" spans="2:7">
      <c r="B7013" s="6"/>
      <c r="E7013" s="7"/>
      <c r="F7013" t="str">
        <f t="shared" si="243"/>
        <v/>
      </c>
      <c r="G7013" t="str">
        <f t="shared" si="244"/>
        <v/>
      </c>
    </row>
    <row r="7014" spans="2:7">
      <c r="B7014" s="6"/>
      <c r="E7014" s="7"/>
      <c r="F7014" t="str">
        <f t="shared" si="243"/>
        <v/>
      </c>
      <c r="G7014" t="str">
        <f t="shared" si="244"/>
        <v/>
      </c>
    </row>
    <row r="7015" spans="2:7">
      <c r="B7015" s="6"/>
      <c r="E7015" s="7"/>
      <c r="F7015" t="str">
        <f t="shared" si="243"/>
        <v/>
      </c>
      <c r="G7015" t="str">
        <f t="shared" si="244"/>
        <v/>
      </c>
    </row>
    <row r="7016" spans="2:7">
      <c r="B7016" s="6"/>
      <c r="E7016" s="7"/>
      <c r="F7016" t="str">
        <f t="shared" si="243"/>
        <v/>
      </c>
      <c r="G7016" t="str">
        <f t="shared" si="244"/>
        <v/>
      </c>
    </row>
    <row r="7017" spans="2:7">
      <c r="B7017" s="6"/>
      <c r="E7017" s="7"/>
      <c r="F7017" t="str">
        <f t="shared" si="243"/>
        <v/>
      </c>
      <c r="G7017" t="str">
        <f t="shared" si="244"/>
        <v/>
      </c>
    </row>
    <row r="7018" spans="2:7">
      <c r="B7018" s="6"/>
      <c r="E7018" s="7"/>
      <c r="F7018" t="str">
        <f t="shared" si="243"/>
        <v/>
      </c>
      <c r="G7018" t="str">
        <f t="shared" si="244"/>
        <v/>
      </c>
    </row>
    <row r="7019" spans="2:7">
      <c r="B7019" s="6"/>
      <c r="E7019" s="7"/>
      <c r="F7019" t="str">
        <f t="shared" si="243"/>
        <v/>
      </c>
      <c r="G7019" t="str">
        <f t="shared" si="244"/>
        <v/>
      </c>
    </row>
    <row r="7020" spans="2:7">
      <c r="B7020" s="6"/>
      <c r="E7020" s="7"/>
      <c r="F7020" t="str">
        <f t="shared" si="243"/>
        <v/>
      </c>
      <c r="G7020" t="str">
        <f t="shared" si="244"/>
        <v/>
      </c>
    </row>
    <row r="7021" spans="2:7">
      <c r="B7021" s="6"/>
      <c r="E7021" s="7"/>
      <c r="F7021" t="str">
        <f t="shared" si="243"/>
        <v/>
      </c>
      <c r="G7021" t="str">
        <f t="shared" si="244"/>
        <v/>
      </c>
    </row>
    <row r="7022" spans="2:7">
      <c r="B7022" s="6"/>
      <c r="E7022" s="7"/>
      <c r="F7022" t="str">
        <f t="shared" si="243"/>
        <v/>
      </c>
      <c r="G7022" t="str">
        <f t="shared" si="244"/>
        <v/>
      </c>
    </row>
    <row r="7023" spans="2:7">
      <c r="B7023" s="6"/>
      <c r="E7023" s="7"/>
      <c r="F7023" t="str">
        <f t="shared" si="243"/>
        <v/>
      </c>
      <c r="G7023" t="str">
        <f t="shared" si="244"/>
        <v/>
      </c>
    </row>
    <row r="7024" spans="2:7">
      <c r="B7024" s="6"/>
      <c r="E7024" s="7"/>
      <c r="F7024" t="str">
        <f t="shared" si="243"/>
        <v/>
      </c>
      <c r="G7024" t="str">
        <f t="shared" si="244"/>
        <v/>
      </c>
    </row>
    <row r="7025" spans="2:7">
      <c r="B7025" s="6"/>
      <c r="E7025" s="7"/>
      <c r="F7025" t="str">
        <f t="shared" si="243"/>
        <v/>
      </c>
      <c r="G7025" t="str">
        <f t="shared" si="244"/>
        <v/>
      </c>
    </row>
    <row r="7026" spans="2:7">
      <c r="B7026" s="6"/>
      <c r="E7026" s="7"/>
      <c r="F7026" t="str">
        <f t="shared" si="243"/>
        <v/>
      </c>
      <c r="G7026" t="str">
        <f t="shared" si="244"/>
        <v/>
      </c>
    </row>
    <row r="7027" spans="2:7">
      <c r="B7027" s="6"/>
      <c r="E7027" s="7"/>
      <c r="F7027" t="str">
        <f t="shared" si="243"/>
        <v/>
      </c>
      <c r="G7027" t="str">
        <f t="shared" si="244"/>
        <v/>
      </c>
    </row>
    <row r="7028" spans="2:7">
      <c r="B7028" s="6"/>
      <c r="E7028" s="7"/>
      <c r="F7028" t="str">
        <f t="shared" si="243"/>
        <v/>
      </c>
      <c r="G7028" t="str">
        <f t="shared" si="244"/>
        <v/>
      </c>
    </row>
    <row r="7029" spans="2:7">
      <c r="B7029" s="6"/>
      <c r="E7029" s="7"/>
      <c r="F7029" t="str">
        <f t="shared" si="243"/>
        <v/>
      </c>
      <c r="G7029" t="str">
        <f t="shared" si="244"/>
        <v/>
      </c>
    </row>
    <row r="7030" spans="2:7">
      <c r="B7030" s="6"/>
      <c r="E7030" s="7"/>
      <c r="F7030" t="str">
        <f t="shared" si="243"/>
        <v/>
      </c>
      <c r="G7030" t="str">
        <f t="shared" si="244"/>
        <v/>
      </c>
    </row>
    <row r="7031" spans="2:7">
      <c r="B7031" s="6"/>
      <c r="E7031" s="7"/>
      <c r="F7031" t="str">
        <f t="shared" si="243"/>
        <v/>
      </c>
      <c r="G7031" t="str">
        <f t="shared" si="244"/>
        <v/>
      </c>
    </row>
    <row r="7032" spans="2:7">
      <c r="B7032" s="6"/>
      <c r="E7032" s="7"/>
      <c r="F7032" t="str">
        <f t="shared" si="243"/>
        <v/>
      </c>
      <c r="G7032" t="str">
        <f t="shared" si="244"/>
        <v/>
      </c>
    </row>
    <row r="7033" spans="2:7">
      <c r="B7033" s="6"/>
      <c r="E7033" s="7"/>
      <c r="F7033" t="str">
        <f t="shared" si="243"/>
        <v/>
      </c>
      <c r="G7033" t="str">
        <f t="shared" si="244"/>
        <v/>
      </c>
    </row>
    <row r="7034" spans="2:7">
      <c r="B7034" s="6"/>
      <c r="E7034" s="7"/>
      <c r="F7034" t="str">
        <f t="shared" si="243"/>
        <v/>
      </c>
      <c r="G7034" t="str">
        <f t="shared" si="244"/>
        <v/>
      </c>
    </row>
    <row r="7035" spans="2:7">
      <c r="B7035" s="6"/>
      <c r="E7035" s="7"/>
      <c r="F7035" t="str">
        <f t="shared" si="243"/>
        <v/>
      </c>
      <c r="G7035" t="str">
        <f t="shared" si="244"/>
        <v/>
      </c>
    </row>
    <row r="7036" spans="2:7">
      <c r="B7036" s="6"/>
      <c r="E7036" s="7"/>
      <c r="F7036" t="str">
        <f t="shared" si="243"/>
        <v/>
      </c>
      <c r="G7036" t="str">
        <f t="shared" si="244"/>
        <v/>
      </c>
    </row>
    <row r="7037" spans="2:7">
      <c r="B7037" s="6"/>
      <c r="E7037" s="7"/>
      <c r="F7037" t="str">
        <f t="shared" si="243"/>
        <v/>
      </c>
      <c r="G7037" t="str">
        <f t="shared" si="244"/>
        <v/>
      </c>
    </row>
    <row r="7038" spans="2:7">
      <c r="B7038" s="6"/>
      <c r="E7038" s="7"/>
      <c r="F7038" t="str">
        <f t="shared" si="243"/>
        <v/>
      </c>
      <c r="G7038" t="str">
        <f t="shared" si="244"/>
        <v/>
      </c>
    </row>
    <row r="7039" spans="2:7">
      <c r="B7039" s="6"/>
      <c r="E7039" s="7"/>
      <c r="F7039" t="str">
        <f t="shared" si="243"/>
        <v/>
      </c>
      <c r="G7039" t="str">
        <f t="shared" si="244"/>
        <v/>
      </c>
    </row>
    <row r="7040" spans="2:7">
      <c r="B7040" s="6"/>
      <c r="E7040" s="7"/>
      <c r="F7040" t="str">
        <f t="shared" si="243"/>
        <v/>
      </c>
      <c r="G7040" t="str">
        <f t="shared" si="244"/>
        <v/>
      </c>
    </row>
    <row r="7041" spans="2:7">
      <c r="B7041" s="6"/>
      <c r="E7041" s="7"/>
      <c r="F7041" t="str">
        <f t="shared" si="243"/>
        <v/>
      </c>
      <c r="G7041" t="str">
        <f t="shared" si="244"/>
        <v/>
      </c>
    </row>
    <row r="7042" spans="2:7">
      <c r="B7042" s="6"/>
      <c r="E7042" s="7"/>
      <c r="F7042" t="str">
        <f t="shared" si="243"/>
        <v/>
      </c>
      <c r="G7042" t="str">
        <f t="shared" si="244"/>
        <v/>
      </c>
    </row>
    <row r="7043" spans="2:7">
      <c r="B7043" s="6"/>
      <c r="E7043" s="7"/>
      <c r="F7043" t="str">
        <f t="shared" si="243"/>
        <v/>
      </c>
      <c r="G7043" t="str">
        <f t="shared" si="244"/>
        <v/>
      </c>
    </row>
    <row r="7044" spans="2:7">
      <c r="B7044" s="6"/>
      <c r="E7044" s="7"/>
      <c r="F7044" t="str">
        <f t="shared" ref="F7044:F7107" si="245">IF(B7044="","",LOG10(D7044))</f>
        <v/>
      </c>
      <c r="G7044" t="str">
        <f t="shared" ref="G7044:G7107" si="246">IF(E7044="", "",0.434*E7044/D7044)</f>
        <v/>
      </c>
    </row>
    <row r="7045" spans="2:7">
      <c r="B7045" s="6"/>
      <c r="E7045" s="7"/>
      <c r="F7045" t="str">
        <f t="shared" si="245"/>
        <v/>
      </c>
      <c r="G7045" t="str">
        <f t="shared" si="246"/>
        <v/>
      </c>
    </row>
    <row r="7046" spans="2:7">
      <c r="B7046" s="6"/>
      <c r="E7046" s="7"/>
      <c r="F7046" t="str">
        <f t="shared" si="245"/>
        <v/>
      </c>
      <c r="G7046" t="str">
        <f t="shared" si="246"/>
        <v/>
      </c>
    </row>
    <row r="7047" spans="2:7">
      <c r="B7047" s="6"/>
      <c r="E7047" s="7"/>
      <c r="F7047" t="str">
        <f t="shared" si="245"/>
        <v/>
      </c>
      <c r="G7047" t="str">
        <f t="shared" si="246"/>
        <v/>
      </c>
    </row>
    <row r="7048" spans="2:7">
      <c r="B7048" s="6"/>
      <c r="E7048" s="7"/>
      <c r="F7048" t="str">
        <f t="shared" si="245"/>
        <v/>
      </c>
      <c r="G7048" t="str">
        <f t="shared" si="246"/>
        <v/>
      </c>
    </row>
    <row r="7049" spans="2:7">
      <c r="B7049" s="6"/>
      <c r="E7049" s="7"/>
      <c r="F7049" t="str">
        <f t="shared" si="245"/>
        <v/>
      </c>
      <c r="G7049" t="str">
        <f t="shared" si="246"/>
        <v/>
      </c>
    </row>
    <row r="7050" spans="2:7">
      <c r="B7050" s="6"/>
      <c r="E7050" s="7"/>
      <c r="F7050" t="str">
        <f t="shared" si="245"/>
        <v/>
      </c>
      <c r="G7050" t="str">
        <f t="shared" si="246"/>
        <v/>
      </c>
    </row>
    <row r="7051" spans="2:7">
      <c r="B7051" s="6"/>
      <c r="E7051" s="7"/>
      <c r="F7051" t="str">
        <f t="shared" si="245"/>
        <v/>
      </c>
      <c r="G7051" t="str">
        <f t="shared" si="246"/>
        <v/>
      </c>
    </row>
    <row r="7052" spans="2:7">
      <c r="B7052" s="6"/>
      <c r="E7052" s="7"/>
      <c r="F7052" t="str">
        <f t="shared" si="245"/>
        <v/>
      </c>
      <c r="G7052" t="str">
        <f t="shared" si="246"/>
        <v/>
      </c>
    </row>
    <row r="7053" spans="2:7">
      <c r="B7053" s="6"/>
      <c r="E7053" s="7"/>
      <c r="F7053" t="str">
        <f t="shared" si="245"/>
        <v/>
      </c>
      <c r="G7053" t="str">
        <f t="shared" si="246"/>
        <v/>
      </c>
    </row>
    <row r="7054" spans="2:7">
      <c r="B7054" s="6"/>
      <c r="E7054" s="7"/>
      <c r="F7054" t="str">
        <f t="shared" si="245"/>
        <v/>
      </c>
      <c r="G7054" t="str">
        <f t="shared" si="246"/>
        <v/>
      </c>
    </row>
    <row r="7055" spans="2:7">
      <c r="B7055" s="6"/>
      <c r="E7055" s="7"/>
      <c r="F7055" t="str">
        <f t="shared" si="245"/>
        <v/>
      </c>
      <c r="G7055" t="str">
        <f t="shared" si="246"/>
        <v/>
      </c>
    </row>
    <row r="7056" spans="2:7">
      <c r="B7056" s="6"/>
      <c r="E7056" s="7"/>
      <c r="F7056" t="str">
        <f t="shared" si="245"/>
        <v/>
      </c>
      <c r="G7056" t="str">
        <f t="shared" si="246"/>
        <v/>
      </c>
    </row>
    <row r="7057" spans="2:7">
      <c r="B7057" s="6"/>
      <c r="E7057" s="7"/>
      <c r="F7057" t="str">
        <f t="shared" si="245"/>
        <v/>
      </c>
      <c r="G7057" t="str">
        <f t="shared" si="246"/>
        <v/>
      </c>
    </row>
    <row r="7058" spans="2:7">
      <c r="B7058" s="6"/>
      <c r="E7058" s="7"/>
      <c r="F7058" t="str">
        <f t="shared" si="245"/>
        <v/>
      </c>
      <c r="G7058" t="str">
        <f t="shared" si="246"/>
        <v/>
      </c>
    </row>
    <row r="7059" spans="2:7">
      <c r="B7059" s="6"/>
      <c r="E7059" s="7"/>
      <c r="F7059" t="str">
        <f t="shared" si="245"/>
        <v/>
      </c>
      <c r="G7059" t="str">
        <f t="shared" si="246"/>
        <v/>
      </c>
    </row>
    <row r="7060" spans="2:7">
      <c r="B7060" s="6"/>
      <c r="E7060" s="7"/>
      <c r="F7060" t="str">
        <f t="shared" si="245"/>
        <v/>
      </c>
      <c r="G7060" t="str">
        <f t="shared" si="246"/>
        <v/>
      </c>
    </row>
    <row r="7061" spans="2:7">
      <c r="B7061" s="6"/>
      <c r="E7061" s="7"/>
      <c r="F7061" t="str">
        <f t="shared" si="245"/>
        <v/>
      </c>
      <c r="G7061" t="str">
        <f t="shared" si="246"/>
        <v/>
      </c>
    </row>
    <row r="7062" spans="2:7">
      <c r="B7062" s="6"/>
      <c r="E7062" s="7"/>
      <c r="F7062" t="str">
        <f t="shared" si="245"/>
        <v/>
      </c>
      <c r="G7062" t="str">
        <f t="shared" si="246"/>
        <v/>
      </c>
    </row>
    <row r="7063" spans="2:7">
      <c r="B7063" s="6"/>
      <c r="E7063" s="7"/>
      <c r="F7063" t="str">
        <f t="shared" si="245"/>
        <v/>
      </c>
      <c r="G7063" t="str">
        <f t="shared" si="246"/>
        <v/>
      </c>
    </row>
    <row r="7064" spans="2:7">
      <c r="B7064" s="6"/>
      <c r="E7064" s="7"/>
      <c r="F7064" t="str">
        <f t="shared" si="245"/>
        <v/>
      </c>
      <c r="G7064" t="str">
        <f t="shared" si="246"/>
        <v/>
      </c>
    </row>
    <row r="7065" spans="2:7">
      <c r="B7065" s="6"/>
      <c r="E7065" s="7"/>
      <c r="F7065" t="str">
        <f t="shared" si="245"/>
        <v/>
      </c>
      <c r="G7065" t="str">
        <f t="shared" si="246"/>
        <v/>
      </c>
    </row>
    <row r="7066" spans="2:7">
      <c r="B7066" s="6"/>
      <c r="E7066" s="7"/>
      <c r="F7066" t="str">
        <f t="shared" si="245"/>
        <v/>
      </c>
      <c r="G7066" t="str">
        <f t="shared" si="246"/>
        <v/>
      </c>
    </row>
    <row r="7067" spans="2:7">
      <c r="B7067" s="6"/>
      <c r="E7067" s="7"/>
      <c r="F7067" t="str">
        <f t="shared" si="245"/>
        <v/>
      </c>
      <c r="G7067" t="str">
        <f t="shared" si="246"/>
        <v/>
      </c>
    </row>
    <row r="7068" spans="2:7">
      <c r="B7068" s="6"/>
      <c r="E7068" s="7"/>
      <c r="F7068" t="str">
        <f t="shared" si="245"/>
        <v/>
      </c>
      <c r="G7068" t="str">
        <f t="shared" si="246"/>
        <v/>
      </c>
    </row>
    <row r="7069" spans="2:7">
      <c r="B7069" s="6"/>
      <c r="E7069" s="7"/>
      <c r="F7069" t="str">
        <f t="shared" si="245"/>
        <v/>
      </c>
      <c r="G7069" t="str">
        <f t="shared" si="246"/>
        <v/>
      </c>
    </row>
    <row r="7070" spans="2:7">
      <c r="B7070" s="6"/>
      <c r="E7070" s="7"/>
      <c r="F7070" t="str">
        <f t="shared" si="245"/>
        <v/>
      </c>
      <c r="G7070" t="str">
        <f t="shared" si="246"/>
        <v/>
      </c>
    </row>
    <row r="7071" spans="2:7">
      <c r="B7071" s="6"/>
      <c r="E7071" s="7"/>
      <c r="F7071" t="str">
        <f t="shared" si="245"/>
        <v/>
      </c>
      <c r="G7071" t="str">
        <f t="shared" si="246"/>
        <v/>
      </c>
    </row>
    <row r="7072" spans="2:7">
      <c r="B7072" s="6"/>
      <c r="E7072" s="7"/>
      <c r="F7072" t="str">
        <f t="shared" si="245"/>
        <v/>
      </c>
      <c r="G7072" t="str">
        <f t="shared" si="246"/>
        <v/>
      </c>
    </row>
    <row r="7073" spans="2:7">
      <c r="B7073" s="6"/>
      <c r="E7073" s="7"/>
      <c r="F7073" t="str">
        <f t="shared" si="245"/>
        <v/>
      </c>
      <c r="G7073" t="str">
        <f t="shared" si="246"/>
        <v/>
      </c>
    </row>
    <row r="7074" spans="2:7">
      <c r="B7074" s="6"/>
      <c r="E7074" s="7"/>
      <c r="F7074" t="str">
        <f t="shared" si="245"/>
        <v/>
      </c>
      <c r="G7074" t="str">
        <f t="shared" si="246"/>
        <v/>
      </c>
    </row>
    <row r="7075" spans="2:7">
      <c r="B7075" s="6"/>
      <c r="E7075" s="7"/>
      <c r="F7075" t="str">
        <f t="shared" si="245"/>
        <v/>
      </c>
      <c r="G7075" t="str">
        <f t="shared" si="246"/>
        <v/>
      </c>
    </row>
    <row r="7076" spans="2:7">
      <c r="B7076" s="6"/>
      <c r="E7076" s="7"/>
      <c r="F7076" t="str">
        <f t="shared" si="245"/>
        <v/>
      </c>
      <c r="G7076" t="str">
        <f t="shared" si="246"/>
        <v/>
      </c>
    </row>
    <row r="7077" spans="2:7">
      <c r="B7077" s="6"/>
      <c r="E7077" s="7"/>
      <c r="F7077" t="str">
        <f t="shared" si="245"/>
        <v/>
      </c>
      <c r="G7077" t="str">
        <f t="shared" si="246"/>
        <v/>
      </c>
    </row>
    <row r="7078" spans="2:7">
      <c r="B7078" s="6"/>
      <c r="E7078" s="7"/>
      <c r="F7078" t="str">
        <f t="shared" si="245"/>
        <v/>
      </c>
      <c r="G7078" t="str">
        <f t="shared" si="246"/>
        <v/>
      </c>
    </row>
    <row r="7079" spans="2:7">
      <c r="B7079" s="6"/>
      <c r="E7079" s="7"/>
      <c r="F7079" t="str">
        <f t="shared" si="245"/>
        <v/>
      </c>
      <c r="G7079" t="str">
        <f t="shared" si="246"/>
        <v/>
      </c>
    </row>
    <row r="7080" spans="2:7">
      <c r="B7080" s="6"/>
      <c r="E7080" s="7"/>
      <c r="F7080" t="str">
        <f t="shared" si="245"/>
        <v/>
      </c>
      <c r="G7080" t="str">
        <f t="shared" si="246"/>
        <v/>
      </c>
    </row>
    <row r="7081" spans="2:7">
      <c r="B7081" s="6"/>
      <c r="E7081" s="7"/>
      <c r="F7081" t="str">
        <f t="shared" si="245"/>
        <v/>
      </c>
      <c r="G7081" t="str">
        <f t="shared" si="246"/>
        <v/>
      </c>
    </row>
    <row r="7082" spans="2:7">
      <c r="B7082" s="6"/>
      <c r="E7082" s="7"/>
      <c r="F7082" t="str">
        <f t="shared" si="245"/>
        <v/>
      </c>
      <c r="G7082" t="str">
        <f t="shared" si="246"/>
        <v/>
      </c>
    </row>
    <row r="7083" spans="2:7">
      <c r="B7083" s="6"/>
      <c r="E7083" s="7"/>
      <c r="F7083" t="str">
        <f t="shared" si="245"/>
        <v/>
      </c>
      <c r="G7083" t="str">
        <f t="shared" si="246"/>
        <v/>
      </c>
    </row>
    <row r="7084" spans="2:7">
      <c r="B7084" s="6"/>
      <c r="E7084" s="7"/>
      <c r="F7084" t="str">
        <f t="shared" si="245"/>
        <v/>
      </c>
      <c r="G7084" t="str">
        <f t="shared" si="246"/>
        <v/>
      </c>
    </row>
    <row r="7085" spans="2:7">
      <c r="B7085" s="6"/>
      <c r="E7085" s="7"/>
      <c r="F7085" t="str">
        <f t="shared" si="245"/>
        <v/>
      </c>
      <c r="G7085" t="str">
        <f t="shared" si="246"/>
        <v/>
      </c>
    </row>
    <row r="7086" spans="2:7">
      <c r="B7086" s="6"/>
      <c r="E7086" s="7"/>
      <c r="F7086" t="str">
        <f t="shared" si="245"/>
        <v/>
      </c>
      <c r="G7086" t="str">
        <f t="shared" si="246"/>
        <v/>
      </c>
    </row>
    <row r="7087" spans="2:7">
      <c r="B7087" s="6"/>
      <c r="E7087" s="7"/>
      <c r="F7087" t="str">
        <f t="shared" si="245"/>
        <v/>
      </c>
      <c r="G7087" t="str">
        <f t="shared" si="246"/>
        <v/>
      </c>
    </row>
    <row r="7088" spans="2:7">
      <c r="B7088" s="6"/>
      <c r="E7088" s="7"/>
      <c r="F7088" t="str">
        <f t="shared" si="245"/>
        <v/>
      </c>
      <c r="G7088" t="str">
        <f t="shared" si="246"/>
        <v/>
      </c>
    </row>
    <row r="7089" spans="2:7">
      <c r="B7089" s="6"/>
      <c r="E7089" s="7"/>
      <c r="F7089" t="str">
        <f t="shared" si="245"/>
        <v/>
      </c>
      <c r="G7089" t="str">
        <f t="shared" si="246"/>
        <v/>
      </c>
    </row>
    <row r="7090" spans="2:7">
      <c r="B7090" s="6"/>
      <c r="E7090" s="7"/>
      <c r="F7090" t="str">
        <f t="shared" si="245"/>
        <v/>
      </c>
      <c r="G7090" t="str">
        <f t="shared" si="246"/>
        <v/>
      </c>
    </row>
    <row r="7091" spans="2:7">
      <c r="B7091" s="6"/>
      <c r="E7091" s="7"/>
      <c r="F7091" t="str">
        <f t="shared" si="245"/>
        <v/>
      </c>
      <c r="G7091" t="str">
        <f t="shared" si="246"/>
        <v/>
      </c>
    </row>
    <row r="7092" spans="2:7">
      <c r="B7092" s="6"/>
      <c r="E7092" s="7"/>
      <c r="F7092" t="str">
        <f t="shared" si="245"/>
        <v/>
      </c>
      <c r="G7092" t="str">
        <f t="shared" si="246"/>
        <v/>
      </c>
    </row>
    <row r="7093" spans="2:7">
      <c r="B7093" s="6"/>
      <c r="E7093" s="7"/>
      <c r="F7093" t="str">
        <f t="shared" si="245"/>
        <v/>
      </c>
      <c r="G7093" t="str">
        <f t="shared" si="246"/>
        <v/>
      </c>
    </row>
    <row r="7094" spans="2:7">
      <c r="B7094" s="6"/>
      <c r="E7094" s="7"/>
      <c r="F7094" t="str">
        <f t="shared" si="245"/>
        <v/>
      </c>
      <c r="G7094" t="str">
        <f t="shared" si="246"/>
        <v/>
      </c>
    </row>
    <row r="7095" spans="2:7">
      <c r="B7095" s="6"/>
      <c r="E7095" s="7"/>
      <c r="F7095" t="str">
        <f t="shared" si="245"/>
        <v/>
      </c>
      <c r="G7095" t="str">
        <f t="shared" si="246"/>
        <v/>
      </c>
    </row>
    <row r="7096" spans="2:7">
      <c r="B7096" s="6"/>
      <c r="E7096" s="7"/>
      <c r="F7096" t="str">
        <f t="shared" si="245"/>
        <v/>
      </c>
      <c r="G7096" t="str">
        <f t="shared" si="246"/>
        <v/>
      </c>
    </row>
    <row r="7097" spans="2:7">
      <c r="B7097" s="6"/>
      <c r="E7097" s="7"/>
      <c r="F7097" t="str">
        <f t="shared" si="245"/>
        <v/>
      </c>
      <c r="G7097" t="str">
        <f t="shared" si="246"/>
        <v/>
      </c>
    </row>
    <row r="7098" spans="2:7">
      <c r="B7098" s="6"/>
      <c r="E7098" s="7"/>
      <c r="F7098" t="str">
        <f t="shared" si="245"/>
        <v/>
      </c>
      <c r="G7098" t="str">
        <f t="shared" si="246"/>
        <v/>
      </c>
    </row>
    <row r="7099" spans="2:7">
      <c r="B7099" s="6"/>
      <c r="E7099" s="7"/>
      <c r="F7099" t="str">
        <f t="shared" si="245"/>
        <v/>
      </c>
      <c r="G7099" t="str">
        <f t="shared" si="246"/>
        <v/>
      </c>
    </row>
    <row r="7100" spans="2:7">
      <c r="B7100" s="6"/>
      <c r="E7100" s="7"/>
      <c r="F7100" t="str">
        <f t="shared" si="245"/>
        <v/>
      </c>
      <c r="G7100" t="str">
        <f t="shared" si="246"/>
        <v/>
      </c>
    </row>
    <row r="7101" spans="2:7">
      <c r="B7101" s="6"/>
      <c r="E7101" s="7"/>
      <c r="F7101" t="str">
        <f t="shared" si="245"/>
        <v/>
      </c>
      <c r="G7101" t="str">
        <f t="shared" si="246"/>
        <v/>
      </c>
    </row>
    <row r="7102" spans="2:7">
      <c r="B7102" s="6"/>
      <c r="E7102" s="7"/>
      <c r="F7102" t="str">
        <f t="shared" si="245"/>
        <v/>
      </c>
      <c r="G7102" t="str">
        <f t="shared" si="246"/>
        <v/>
      </c>
    </row>
    <row r="7103" spans="2:7">
      <c r="B7103" s="6"/>
      <c r="E7103" s="7"/>
      <c r="F7103" t="str">
        <f t="shared" si="245"/>
        <v/>
      </c>
      <c r="G7103" t="str">
        <f t="shared" si="246"/>
        <v/>
      </c>
    </row>
    <row r="7104" spans="2:7">
      <c r="B7104" s="6"/>
      <c r="E7104" s="7"/>
      <c r="F7104" t="str">
        <f t="shared" si="245"/>
        <v/>
      </c>
      <c r="G7104" t="str">
        <f t="shared" si="246"/>
        <v/>
      </c>
    </row>
    <row r="7105" spans="2:7">
      <c r="B7105" s="6"/>
      <c r="E7105" s="7"/>
      <c r="F7105" t="str">
        <f t="shared" si="245"/>
        <v/>
      </c>
      <c r="G7105" t="str">
        <f t="shared" si="246"/>
        <v/>
      </c>
    </row>
    <row r="7106" spans="2:7">
      <c r="B7106" s="6"/>
      <c r="E7106" s="7"/>
      <c r="F7106" t="str">
        <f t="shared" si="245"/>
        <v/>
      </c>
      <c r="G7106" t="str">
        <f t="shared" si="246"/>
        <v/>
      </c>
    </row>
    <row r="7107" spans="2:7">
      <c r="B7107" s="6"/>
      <c r="E7107" s="7"/>
      <c r="F7107" t="str">
        <f t="shared" si="245"/>
        <v/>
      </c>
      <c r="G7107" t="str">
        <f t="shared" si="246"/>
        <v/>
      </c>
    </row>
    <row r="7108" spans="2:7">
      <c r="B7108" s="6"/>
      <c r="E7108" s="7"/>
      <c r="F7108" t="str">
        <f t="shared" ref="F7108:F7171" si="247">IF(B7108="","",LOG10(D7108))</f>
        <v/>
      </c>
      <c r="G7108" t="str">
        <f t="shared" ref="G7108:G7171" si="248">IF(E7108="", "",0.434*E7108/D7108)</f>
        <v/>
      </c>
    </row>
    <row r="7109" spans="2:7">
      <c r="B7109" s="6"/>
      <c r="E7109" s="7"/>
      <c r="F7109" t="str">
        <f t="shared" si="247"/>
        <v/>
      </c>
      <c r="G7109" t="str">
        <f t="shared" si="248"/>
        <v/>
      </c>
    </row>
    <row r="7110" spans="2:7">
      <c r="B7110" s="6"/>
      <c r="E7110" s="7"/>
      <c r="F7110" t="str">
        <f t="shared" si="247"/>
        <v/>
      </c>
      <c r="G7110" t="str">
        <f t="shared" si="248"/>
        <v/>
      </c>
    </row>
    <row r="7111" spans="2:7">
      <c r="B7111" s="6"/>
      <c r="E7111" s="7"/>
      <c r="F7111" t="str">
        <f t="shared" si="247"/>
        <v/>
      </c>
      <c r="G7111" t="str">
        <f t="shared" si="248"/>
        <v/>
      </c>
    </row>
    <row r="7112" spans="2:7">
      <c r="B7112" s="6"/>
      <c r="E7112" s="7"/>
      <c r="F7112" t="str">
        <f t="shared" si="247"/>
        <v/>
      </c>
      <c r="G7112" t="str">
        <f t="shared" si="248"/>
        <v/>
      </c>
    </row>
    <row r="7113" spans="2:7">
      <c r="B7113" s="6"/>
      <c r="E7113" s="7"/>
      <c r="F7113" t="str">
        <f t="shared" si="247"/>
        <v/>
      </c>
      <c r="G7113" t="str">
        <f t="shared" si="248"/>
        <v/>
      </c>
    </row>
    <row r="7114" spans="2:7">
      <c r="B7114" s="6"/>
      <c r="E7114" s="7"/>
      <c r="F7114" t="str">
        <f t="shared" si="247"/>
        <v/>
      </c>
      <c r="G7114" t="str">
        <f t="shared" si="248"/>
        <v/>
      </c>
    </row>
    <row r="7115" spans="2:7">
      <c r="B7115" s="6"/>
      <c r="E7115" s="7"/>
      <c r="F7115" t="str">
        <f t="shared" si="247"/>
        <v/>
      </c>
      <c r="G7115" t="str">
        <f t="shared" si="248"/>
        <v/>
      </c>
    </row>
    <row r="7116" spans="2:7">
      <c r="B7116" s="6"/>
      <c r="E7116" s="7"/>
      <c r="F7116" t="str">
        <f t="shared" si="247"/>
        <v/>
      </c>
      <c r="G7116" t="str">
        <f t="shared" si="248"/>
        <v/>
      </c>
    </row>
    <row r="7117" spans="2:7">
      <c r="B7117" s="6"/>
      <c r="E7117" s="7"/>
      <c r="F7117" t="str">
        <f t="shared" si="247"/>
        <v/>
      </c>
      <c r="G7117" t="str">
        <f t="shared" si="248"/>
        <v/>
      </c>
    </row>
    <row r="7118" spans="2:7">
      <c r="B7118" s="6"/>
      <c r="E7118" s="7"/>
      <c r="F7118" t="str">
        <f t="shared" si="247"/>
        <v/>
      </c>
      <c r="G7118" t="str">
        <f t="shared" si="248"/>
        <v/>
      </c>
    </row>
    <row r="7119" spans="2:7">
      <c r="B7119" s="6"/>
      <c r="E7119" s="7"/>
      <c r="F7119" t="str">
        <f t="shared" si="247"/>
        <v/>
      </c>
      <c r="G7119" t="str">
        <f t="shared" si="248"/>
        <v/>
      </c>
    </row>
    <row r="7120" spans="2:7">
      <c r="B7120" s="6"/>
      <c r="E7120" s="7"/>
      <c r="F7120" t="str">
        <f t="shared" si="247"/>
        <v/>
      </c>
      <c r="G7120" t="str">
        <f t="shared" si="248"/>
        <v/>
      </c>
    </row>
    <row r="7121" spans="2:7">
      <c r="B7121" s="6"/>
      <c r="E7121" s="7"/>
      <c r="F7121" t="str">
        <f t="shared" si="247"/>
        <v/>
      </c>
      <c r="G7121" t="str">
        <f t="shared" si="248"/>
        <v/>
      </c>
    </row>
    <row r="7122" spans="2:7">
      <c r="B7122" s="6"/>
      <c r="E7122" s="7"/>
      <c r="F7122" t="str">
        <f t="shared" si="247"/>
        <v/>
      </c>
      <c r="G7122" t="str">
        <f t="shared" si="248"/>
        <v/>
      </c>
    </row>
    <row r="7123" spans="2:7">
      <c r="B7123" s="6"/>
      <c r="E7123" s="7"/>
      <c r="F7123" t="str">
        <f t="shared" si="247"/>
        <v/>
      </c>
      <c r="G7123" t="str">
        <f t="shared" si="248"/>
        <v/>
      </c>
    </row>
    <row r="7124" spans="2:7">
      <c r="B7124" s="6"/>
      <c r="E7124" s="7"/>
      <c r="F7124" t="str">
        <f t="shared" si="247"/>
        <v/>
      </c>
      <c r="G7124" t="str">
        <f t="shared" si="248"/>
        <v/>
      </c>
    </row>
    <row r="7125" spans="2:7">
      <c r="B7125" s="6"/>
      <c r="E7125" s="7"/>
      <c r="F7125" t="str">
        <f t="shared" si="247"/>
        <v/>
      </c>
      <c r="G7125" t="str">
        <f t="shared" si="248"/>
        <v/>
      </c>
    </row>
    <row r="7126" spans="2:7">
      <c r="B7126" s="6"/>
      <c r="E7126" s="7"/>
      <c r="F7126" t="str">
        <f t="shared" si="247"/>
        <v/>
      </c>
      <c r="G7126" t="str">
        <f t="shared" si="248"/>
        <v/>
      </c>
    </row>
    <row r="7127" spans="2:7">
      <c r="B7127" s="6"/>
      <c r="E7127" s="7"/>
      <c r="F7127" t="str">
        <f t="shared" si="247"/>
        <v/>
      </c>
      <c r="G7127" t="str">
        <f t="shared" si="248"/>
        <v/>
      </c>
    </row>
    <row r="7128" spans="2:7">
      <c r="B7128" s="6"/>
      <c r="E7128" s="7"/>
      <c r="F7128" t="str">
        <f t="shared" si="247"/>
        <v/>
      </c>
      <c r="G7128" t="str">
        <f t="shared" si="248"/>
        <v/>
      </c>
    </row>
    <row r="7129" spans="2:7">
      <c r="B7129" s="6"/>
      <c r="E7129" s="7"/>
      <c r="F7129" t="str">
        <f t="shared" si="247"/>
        <v/>
      </c>
      <c r="G7129" t="str">
        <f t="shared" si="248"/>
        <v/>
      </c>
    </row>
    <row r="7130" spans="2:7">
      <c r="B7130" s="6"/>
      <c r="E7130" s="7"/>
      <c r="F7130" t="str">
        <f t="shared" si="247"/>
        <v/>
      </c>
      <c r="G7130" t="str">
        <f t="shared" si="248"/>
        <v/>
      </c>
    </row>
    <row r="7131" spans="2:7">
      <c r="B7131" s="6"/>
      <c r="E7131" s="7"/>
      <c r="F7131" t="str">
        <f t="shared" si="247"/>
        <v/>
      </c>
      <c r="G7131" t="str">
        <f t="shared" si="248"/>
        <v/>
      </c>
    </row>
    <row r="7132" spans="2:7">
      <c r="B7132" s="6"/>
      <c r="E7132" s="7"/>
      <c r="F7132" t="str">
        <f t="shared" si="247"/>
        <v/>
      </c>
      <c r="G7132" t="str">
        <f t="shared" si="248"/>
        <v/>
      </c>
    </row>
    <row r="7133" spans="2:7">
      <c r="B7133" s="6"/>
      <c r="E7133" s="7"/>
      <c r="F7133" t="str">
        <f t="shared" si="247"/>
        <v/>
      </c>
      <c r="G7133" t="str">
        <f t="shared" si="248"/>
        <v/>
      </c>
    </row>
    <row r="7134" spans="2:7">
      <c r="B7134" s="6"/>
      <c r="E7134" s="7"/>
      <c r="F7134" t="str">
        <f t="shared" si="247"/>
        <v/>
      </c>
      <c r="G7134" t="str">
        <f t="shared" si="248"/>
        <v/>
      </c>
    </row>
    <row r="7135" spans="2:7">
      <c r="B7135" s="6"/>
      <c r="E7135" s="7"/>
      <c r="F7135" t="str">
        <f t="shared" si="247"/>
        <v/>
      </c>
      <c r="G7135" t="str">
        <f t="shared" si="248"/>
        <v/>
      </c>
    </row>
    <row r="7136" spans="2:7">
      <c r="B7136" s="6"/>
      <c r="E7136" s="7"/>
      <c r="F7136" t="str">
        <f t="shared" si="247"/>
        <v/>
      </c>
      <c r="G7136" t="str">
        <f t="shared" si="248"/>
        <v/>
      </c>
    </row>
    <row r="7137" spans="2:7">
      <c r="B7137" s="6"/>
      <c r="E7137" s="7"/>
      <c r="F7137" t="str">
        <f t="shared" si="247"/>
        <v/>
      </c>
      <c r="G7137" t="str">
        <f t="shared" si="248"/>
        <v/>
      </c>
    </row>
    <row r="7138" spans="2:7">
      <c r="B7138" s="6"/>
      <c r="E7138" s="7"/>
      <c r="F7138" t="str">
        <f t="shared" si="247"/>
        <v/>
      </c>
      <c r="G7138" t="str">
        <f t="shared" si="248"/>
        <v/>
      </c>
    </row>
    <row r="7139" spans="2:7">
      <c r="B7139" s="6"/>
      <c r="E7139" s="7"/>
      <c r="F7139" t="str">
        <f t="shared" si="247"/>
        <v/>
      </c>
      <c r="G7139" t="str">
        <f t="shared" si="248"/>
        <v/>
      </c>
    </row>
    <row r="7140" spans="2:7">
      <c r="B7140" s="6"/>
      <c r="E7140" s="7"/>
      <c r="F7140" t="str">
        <f t="shared" si="247"/>
        <v/>
      </c>
      <c r="G7140" t="str">
        <f t="shared" si="248"/>
        <v/>
      </c>
    </row>
    <row r="7141" spans="2:7">
      <c r="B7141" s="6"/>
      <c r="E7141" s="7"/>
      <c r="F7141" t="str">
        <f t="shared" si="247"/>
        <v/>
      </c>
      <c r="G7141" t="str">
        <f t="shared" si="248"/>
        <v/>
      </c>
    </row>
    <row r="7142" spans="2:7">
      <c r="B7142" s="6"/>
      <c r="E7142" s="7"/>
      <c r="F7142" t="str">
        <f t="shared" si="247"/>
        <v/>
      </c>
      <c r="G7142" t="str">
        <f t="shared" si="248"/>
        <v/>
      </c>
    </row>
    <row r="7143" spans="2:7">
      <c r="B7143" s="6"/>
      <c r="E7143" s="7"/>
      <c r="F7143" t="str">
        <f t="shared" si="247"/>
        <v/>
      </c>
      <c r="G7143" t="str">
        <f t="shared" si="248"/>
        <v/>
      </c>
    </row>
    <row r="7144" spans="2:7">
      <c r="B7144" s="6"/>
      <c r="E7144" s="7"/>
      <c r="F7144" t="str">
        <f t="shared" si="247"/>
        <v/>
      </c>
      <c r="G7144" t="str">
        <f t="shared" si="248"/>
        <v/>
      </c>
    </row>
    <row r="7145" spans="2:7">
      <c r="B7145" s="6"/>
      <c r="E7145" s="7"/>
      <c r="F7145" t="str">
        <f t="shared" si="247"/>
        <v/>
      </c>
      <c r="G7145" t="str">
        <f t="shared" si="248"/>
        <v/>
      </c>
    </row>
    <row r="7146" spans="2:7">
      <c r="B7146" s="6"/>
      <c r="E7146" s="7"/>
      <c r="F7146" t="str">
        <f t="shared" si="247"/>
        <v/>
      </c>
      <c r="G7146" t="str">
        <f t="shared" si="248"/>
        <v/>
      </c>
    </row>
    <row r="7147" spans="2:7">
      <c r="B7147" s="6"/>
      <c r="E7147" s="7"/>
      <c r="F7147" t="str">
        <f t="shared" si="247"/>
        <v/>
      </c>
      <c r="G7147" t="str">
        <f t="shared" si="248"/>
        <v/>
      </c>
    </row>
    <row r="7148" spans="2:7">
      <c r="B7148" s="6"/>
      <c r="E7148" s="7"/>
      <c r="F7148" t="str">
        <f t="shared" si="247"/>
        <v/>
      </c>
      <c r="G7148" t="str">
        <f t="shared" si="248"/>
        <v/>
      </c>
    </row>
    <row r="7149" spans="2:7">
      <c r="B7149" s="6"/>
      <c r="E7149" s="7"/>
      <c r="F7149" t="str">
        <f t="shared" si="247"/>
        <v/>
      </c>
      <c r="G7149" t="str">
        <f t="shared" si="248"/>
        <v/>
      </c>
    </row>
    <row r="7150" spans="2:7">
      <c r="B7150" s="6"/>
      <c r="E7150" s="7"/>
      <c r="F7150" t="str">
        <f t="shared" si="247"/>
        <v/>
      </c>
      <c r="G7150" t="str">
        <f t="shared" si="248"/>
        <v/>
      </c>
    </row>
    <row r="7151" spans="2:7">
      <c r="B7151" s="6"/>
      <c r="E7151" s="7"/>
      <c r="F7151" t="str">
        <f t="shared" si="247"/>
        <v/>
      </c>
      <c r="G7151" t="str">
        <f t="shared" si="248"/>
        <v/>
      </c>
    </row>
    <row r="7152" spans="2:7">
      <c r="B7152" s="6"/>
      <c r="E7152" s="7"/>
      <c r="F7152" t="str">
        <f t="shared" si="247"/>
        <v/>
      </c>
      <c r="G7152" t="str">
        <f t="shared" si="248"/>
        <v/>
      </c>
    </row>
    <row r="7153" spans="2:7">
      <c r="B7153" s="6"/>
      <c r="E7153" s="7"/>
      <c r="F7153" t="str">
        <f t="shared" si="247"/>
        <v/>
      </c>
      <c r="G7153" t="str">
        <f t="shared" si="248"/>
        <v/>
      </c>
    </row>
    <row r="7154" spans="2:7">
      <c r="B7154" s="6"/>
      <c r="E7154" s="7"/>
      <c r="F7154" t="str">
        <f t="shared" si="247"/>
        <v/>
      </c>
      <c r="G7154" t="str">
        <f t="shared" si="248"/>
        <v/>
      </c>
    </row>
    <row r="7155" spans="2:7">
      <c r="B7155" s="6"/>
      <c r="E7155" s="7"/>
      <c r="F7155" t="str">
        <f t="shared" si="247"/>
        <v/>
      </c>
      <c r="G7155" t="str">
        <f t="shared" si="248"/>
        <v/>
      </c>
    </row>
    <row r="7156" spans="2:7">
      <c r="B7156" s="6"/>
      <c r="E7156" s="7"/>
      <c r="F7156" t="str">
        <f t="shared" si="247"/>
        <v/>
      </c>
      <c r="G7156" t="str">
        <f t="shared" si="248"/>
        <v/>
      </c>
    </row>
    <row r="7157" spans="2:7">
      <c r="B7157" s="6"/>
      <c r="E7157" s="7"/>
      <c r="F7157" t="str">
        <f t="shared" si="247"/>
        <v/>
      </c>
      <c r="G7157" t="str">
        <f t="shared" si="248"/>
        <v/>
      </c>
    </row>
    <row r="7158" spans="2:7">
      <c r="B7158" s="6"/>
      <c r="E7158" s="7"/>
      <c r="F7158" t="str">
        <f t="shared" si="247"/>
        <v/>
      </c>
      <c r="G7158" t="str">
        <f t="shared" si="248"/>
        <v/>
      </c>
    </row>
    <row r="7159" spans="2:7">
      <c r="B7159" s="6"/>
      <c r="E7159" s="7"/>
      <c r="F7159" t="str">
        <f t="shared" si="247"/>
        <v/>
      </c>
      <c r="G7159" t="str">
        <f t="shared" si="248"/>
        <v/>
      </c>
    </row>
    <row r="7160" spans="2:7">
      <c r="B7160" s="6"/>
      <c r="E7160" s="7"/>
      <c r="F7160" t="str">
        <f t="shared" si="247"/>
        <v/>
      </c>
      <c r="G7160" t="str">
        <f t="shared" si="248"/>
        <v/>
      </c>
    </row>
    <row r="7161" spans="2:7">
      <c r="B7161" s="6"/>
      <c r="E7161" s="7"/>
      <c r="F7161" t="str">
        <f t="shared" si="247"/>
        <v/>
      </c>
      <c r="G7161" t="str">
        <f t="shared" si="248"/>
        <v/>
      </c>
    </row>
    <row r="7162" spans="2:7">
      <c r="B7162" s="6"/>
      <c r="E7162" s="7"/>
      <c r="F7162" t="str">
        <f t="shared" si="247"/>
        <v/>
      </c>
      <c r="G7162" t="str">
        <f t="shared" si="248"/>
        <v/>
      </c>
    </row>
    <row r="7163" spans="2:7">
      <c r="B7163" s="6"/>
      <c r="E7163" s="7"/>
      <c r="F7163" t="str">
        <f t="shared" si="247"/>
        <v/>
      </c>
      <c r="G7163" t="str">
        <f t="shared" si="248"/>
        <v/>
      </c>
    </row>
    <row r="7164" spans="2:7">
      <c r="B7164" s="6"/>
      <c r="E7164" s="7"/>
      <c r="F7164" t="str">
        <f t="shared" si="247"/>
        <v/>
      </c>
      <c r="G7164" t="str">
        <f t="shared" si="248"/>
        <v/>
      </c>
    </row>
    <row r="7165" spans="2:7">
      <c r="B7165" s="6"/>
      <c r="E7165" s="7"/>
      <c r="F7165" t="str">
        <f t="shared" si="247"/>
        <v/>
      </c>
      <c r="G7165" t="str">
        <f t="shared" si="248"/>
        <v/>
      </c>
    </row>
    <row r="7166" spans="2:7">
      <c r="B7166" s="6"/>
      <c r="E7166" s="7"/>
      <c r="F7166" t="str">
        <f t="shared" si="247"/>
        <v/>
      </c>
      <c r="G7166" t="str">
        <f t="shared" si="248"/>
        <v/>
      </c>
    </row>
    <row r="7167" spans="2:7">
      <c r="B7167" s="6"/>
      <c r="E7167" s="7"/>
      <c r="F7167" t="str">
        <f t="shared" si="247"/>
        <v/>
      </c>
      <c r="G7167" t="str">
        <f t="shared" si="248"/>
        <v/>
      </c>
    </row>
    <row r="7168" spans="2:7">
      <c r="B7168" s="6"/>
      <c r="E7168" s="7"/>
      <c r="F7168" t="str">
        <f t="shared" si="247"/>
        <v/>
      </c>
      <c r="G7168" t="str">
        <f t="shared" si="248"/>
        <v/>
      </c>
    </row>
    <row r="7169" spans="2:7">
      <c r="B7169" s="6"/>
      <c r="E7169" s="7"/>
      <c r="F7169" t="str">
        <f t="shared" si="247"/>
        <v/>
      </c>
      <c r="G7169" t="str">
        <f t="shared" si="248"/>
        <v/>
      </c>
    </row>
    <row r="7170" spans="2:7">
      <c r="B7170" s="6"/>
      <c r="E7170" s="7"/>
      <c r="F7170" t="str">
        <f t="shared" si="247"/>
        <v/>
      </c>
      <c r="G7170" t="str">
        <f t="shared" si="248"/>
        <v/>
      </c>
    </row>
    <row r="7171" spans="2:7">
      <c r="B7171" s="6"/>
      <c r="E7171" s="7"/>
      <c r="F7171" t="str">
        <f t="shared" si="247"/>
        <v/>
      </c>
      <c r="G7171" t="str">
        <f t="shared" si="248"/>
        <v/>
      </c>
    </row>
    <row r="7172" spans="2:7">
      <c r="B7172" s="6"/>
      <c r="E7172" s="7"/>
      <c r="F7172" t="str">
        <f t="shared" ref="F7172:F7235" si="249">IF(B7172="","",LOG10(D7172))</f>
        <v/>
      </c>
      <c r="G7172" t="str">
        <f t="shared" ref="G7172:G7235" si="250">IF(E7172="", "",0.434*E7172/D7172)</f>
        <v/>
      </c>
    </row>
    <row r="7173" spans="2:7">
      <c r="B7173" s="6"/>
      <c r="E7173" s="7"/>
      <c r="F7173" t="str">
        <f t="shared" si="249"/>
        <v/>
      </c>
      <c r="G7173" t="str">
        <f t="shared" si="250"/>
        <v/>
      </c>
    </row>
    <row r="7174" spans="2:7">
      <c r="B7174" s="6"/>
      <c r="E7174" s="7"/>
      <c r="F7174" t="str">
        <f t="shared" si="249"/>
        <v/>
      </c>
      <c r="G7174" t="str">
        <f t="shared" si="250"/>
        <v/>
      </c>
    </row>
    <row r="7175" spans="2:7">
      <c r="B7175" s="6"/>
      <c r="E7175" s="7"/>
      <c r="F7175" t="str">
        <f t="shared" si="249"/>
        <v/>
      </c>
      <c r="G7175" t="str">
        <f t="shared" si="250"/>
        <v/>
      </c>
    </row>
    <row r="7176" spans="2:7">
      <c r="B7176" s="6"/>
      <c r="E7176" s="7"/>
      <c r="F7176" t="str">
        <f t="shared" si="249"/>
        <v/>
      </c>
      <c r="G7176" t="str">
        <f t="shared" si="250"/>
        <v/>
      </c>
    </row>
    <row r="7177" spans="2:7">
      <c r="B7177" s="6"/>
      <c r="E7177" s="7"/>
      <c r="F7177" t="str">
        <f t="shared" si="249"/>
        <v/>
      </c>
      <c r="G7177" t="str">
        <f t="shared" si="250"/>
        <v/>
      </c>
    </row>
    <row r="7178" spans="2:7">
      <c r="B7178" s="6"/>
      <c r="E7178" s="7"/>
      <c r="F7178" t="str">
        <f t="shared" si="249"/>
        <v/>
      </c>
      <c r="G7178" t="str">
        <f t="shared" si="250"/>
        <v/>
      </c>
    </row>
    <row r="7179" spans="2:7">
      <c r="B7179" s="6"/>
      <c r="E7179" s="7"/>
      <c r="F7179" t="str">
        <f t="shared" si="249"/>
        <v/>
      </c>
      <c r="G7179" t="str">
        <f t="shared" si="250"/>
        <v/>
      </c>
    </row>
    <row r="7180" spans="2:7">
      <c r="B7180" s="6"/>
      <c r="E7180" s="7"/>
      <c r="F7180" t="str">
        <f t="shared" si="249"/>
        <v/>
      </c>
      <c r="G7180" t="str">
        <f t="shared" si="250"/>
        <v/>
      </c>
    </row>
    <row r="7181" spans="2:7">
      <c r="B7181" s="6"/>
      <c r="E7181" s="7"/>
      <c r="F7181" t="str">
        <f t="shared" si="249"/>
        <v/>
      </c>
      <c r="G7181" t="str">
        <f t="shared" si="250"/>
        <v/>
      </c>
    </row>
    <row r="7182" spans="2:7">
      <c r="B7182" s="6"/>
      <c r="E7182" s="7"/>
      <c r="F7182" t="str">
        <f t="shared" si="249"/>
        <v/>
      </c>
      <c r="G7182" t="str">
        <f t="shared" si="250"/>
        <v/>
      </c>
    </row>
    <row r="7183" spans="2:7">
      <c r="B7183" s="6"/>
      <c r="E7183" s="7"/>
      <c r="F7183" t="str">
        <f t="shared" si="249"/>
        <v/>
      </c>
      <c r="G7183" t="str">
        <f t="shared" si="250"/>
        <v/>
      </c>
    </row>
    <row r="7184" spans="2:7">
      <c r="B7184" s="6"/>
      <c r="E7184" s="7"/>
      <c r="F7184" t="str">
        <f t="shared" si="249"/>
        <v/>
      </c>
      <c r="G7184" t="str">
        <f t="shared" si="250"/>
        <v/>
      </c>
    </row>
    <row r="7185" spans="2:7">
      <c r="B7185" s="6"/>
      <c r="E7185" s="7"/>
      <c r="F7185" t="str">
        <f t="shared" si="249"/>
        <v/>
      </c>
      <c r="G7185" t="str">
        <f t="shared" si="250"/>
        <v/>
      </c>
    </row>
    <row r="7186" spans="2:7">
      <c r="B7186" s="6"/>
      <c r="E7186" s="7"/>
      <c r="F7186" t="str">
        <f t="shared" si="249"/>
        <v/>
      </c>
      <c r="G7186" t="str">
        <f t="shared" si="250"/>
        <v/>
      </c>
    </row>
    <row r="7187" spans="2:7">
      <c r="B7187" s="6"/>
      <c r="E7187" s="7"/>
      <c r="F7187" t="str">
        <f t="shared" si="249"/>
        <v/>
      </c>
      <c r="G7187" t="str">
        <f t="shared" si="250"/>
        <v/>
      </c>
    </row>
    <row r="7188" spans="2:7">
      <c r="B7188" s="6"/>
      <c r="E7188" s="7"/>
      <c r="F7188" t="str">
        <f t="shared" si="249"/>
        <v/>
      </c>
      <c r="G7188" t="str">
        <f t="shared" si="250"/>
        <v/>
      </c>
    </row>
    <row r="7189" spans="2:7">
      <c r="B7189" s="6"/>
      <c r="E7189" s="7"/>
      <c r="F7189" t="str">
        <f t="shared" si="249"/>
        <v/>
      </c>
      <c r="G7189" t="str">
        <f t="shared" si="250"/>
        <v/>
      </c>
    </row>
    <row r="7190" spans="2:7">
      <c r="B7190" s="6"/>
      <c r="E7190" s="7"/>
      <c r="F7190" t="str">
        <f t="shared" si="249"/>
        <v/>
      </c>
      <c r="G7190" t="str">
        <f t="shared" si="250"/>
        <v/>
      </c>
    </row>
    <row r="7191" spans="2:7">
      <c r="B7191" s="6"/>
      <c r="E7191" s="7"/>
      <c r="F7191" t="str">
        <f t="shared" si="249"/>
        <v/>
      </c>
      <c r="G7191" t="str">
        <f t="shared" si="250"/>
        <v/>
      </c>
    </row>
    <row r="7192" spans="2:7">
      <c r="B7192" s="6"/>
      <c r="E7192" s="7"/>
      <c r="F7192" t="str">
        <f t="shared" si="249"/>
        <v/>
      </c>
      <c r="G7192" t="str">
        <f t="shared" si="250"/>
        <v/>
      </c>
    </row>
    <row r="7193" spans="2:7">
      <c r="B7193" s="6"/>
      <c r="E7193" s="7"/>
      <c r="F7193" t="str">
        <f t="shared" si="249"/>
        <v/>
      </c>
      <c r="G7193" t="str">
        <f t="shared" si="250"/>
        <v/>
      </c>
    </row>
    <row r="7194" spans="2:7">
      <c r="B7194" s="6"/>
      <c r="E7194" s="7"/>
      <c r="F7194" t="str">
        <f t="shared" si="249"/>
        <v/>
      </c>
      <c r="G7194" t="str">
        <f t="shared" si="250"/>
        <v/>
      </c>
    </row>
    <row r="7195" spans="2:7">
      <c r="B7195" s="6"/>
      <c r="E7195" s="7"/>
      <c r="F7195" t="str">
        <f t="shared" si="249"/>
        <v/>
      </c>
      <c r="G7195" t="str">
        <f t="shared" si="250"/>
        <v/>
      </c>
    </row>
    <row r="7196" spans="2:7">
      <c r="B7196" s="6"/>
      <c r="E7196" s="7"/>
      <c r="F7196" t="str">
        <f t="shared" si="249"/>
        <v/>
      </c>
      <c r="G7196" t="str">
        <f t="shared" si="250"/>
        <v/>
      </c>
    </row>
    <row r="7197" spans="2:7">
      <c r="B7197" s="6"/>
      <c r="E7197" s="7"/>
      <c r="F7197" t="str">
        <f t="shared" si="249"/>
        <v/>
      </c>
      <c r="G7197" t="str">
        <f t="shared" si="250"/>
        <v/>
      </c>
    </row>
    <row r="7198" spans="2:7">
      <c r="B7198" s="6"/>
      <c r="E7198" s="7"/>
      <c r="F7198" t="str">
        <f t="shared" si="249"/>
        <v/>
      </c>
      <c r="G7198" t="str">
        <f t="shared" si="250"/>
        <v/>
      </c>
    </row>
    <row r="7199" spans="2:7">
      <c r="B7199" s="6"/>
      <c r="E7199" s="7"/>
      <c r="F7199" t="str">
        <f t="shared" si="249"/>
        <v/>
      </c>
      <c r="G7199" t="str">
        <f t="shared" si="250"/>
        <v/>
      </c>
    </row>
    <row r="7200" spans="2:7">
      <c r="B7200" s="6"/>
      <c r="E7200" s="7"/>
      <c r="F7200" t="str">
        <f t="shared" si="249"/>
        <v/>
      </c>
      <c r="G7200" t="str">
        <f t="shared" si="250"/>
        <v/>
      </c>
    </row>
    <row r="7201" spans="2:7">
      <c r="B7201" s="6"/>
      <c r="E7201" s="7"/>
      <c r="F7201" t="str">
        <f t="shared" si="249"/>
        <v/>
      </c>
      <c r="G7201" t="str">
        <f t="shared" si="250"/>
        <v/>
      </c>
    </row>
    <row r="7202" spans="2:7">
      <c r="B7202" s="6"/>
      <c r="E7202" s="7"/>
      <c r="F7202" t="str">
        <f t="shared" si="249"/>
        <v/>
      </c>
      <c r="G7202" t="str">
        <f t="shared" si="250"/>
        <v/>
      </c>
    </row>
    <row r="7203" spans="2:7">
      <c r="B7203" s="6"/>
      <c r="E7203" s="7"/>
      <c r="F7203" t="str">
        <f t="shared" si="249"/>
        <v/>
      </c>
      <c r="G7203" t="str">
        <f t="shared" si="250"/>
        <v/>
      </c>
    </row>
    <row r="7204" spans="2:7">
      <c r="B7204" s="6"/>
      <c r="E7204" s="7"/>
      <c r="F7204" t="str">
        <f t="shared" si="249"/>
        <v/>
      </c>
      <c r="G7204" t="str">
        <f t="shared" si="250"/>
        <v/>
      </c>
    </row>
    <row r="7205" spans="2:7">
      <c r="B7205" s="6"/>
      <c r="E7205" s="7"/>
      <c r="F7205" t="str">
        <f t="shared" si="249"/>
        <v/>
      </c>
      <c r="G7205" t="str">
        <f t="shared" si="250"/>
        <v/>
      </c>
    </row>
    <row r="7206" spans="2:7">
      <c r="B7206" s="6"/>
      <c r="E7206" s="7"/>
      <c r="F7206" t="str">
        <f t="shared" si="249"/>
        <v/>
      </c>
      <c r="G7206" t="str">
        <f t="shared" si="250"/>
        <v/>
      </c>
    </row>
    <row r="7207" spans="2:7">
      <c r="B7207" s="6"/>
      <c r="E7207" s="7"/>
      <c r="F7207" t="str">
        <f t="shared" si="249"/>
        <v/>
      </c>
      <c r="G7207" t="str">
        <f t="shared" si="250"/>
        <v/>
      </c>
    </row>
    <row r="7208" spans="2:7">
      <c r="B7208" s="6"/>
      <c r="E7208" s="7"/>
      <c r="F7208" t="str">
        <f t="shared" si="249"/>
        <v/>
      </c>
      <c r="G7208" t="str">
        <f t="shared" si="250"/>
        <v/>
      </c>
    </row>
    <row r="7209" spans="2:7">
      <c r="B7209" s="6"/>
      <c r="E7209" s="7"/>
      <c r="F7209" t="str">
        <f t="shared" si="249"/>
        <v/>
      </c>
      <c r="G7209" t="str">
        <f t="shared" si="250"/>
        <v/>
      </c>
    </row>
    <row r="7210" spans="2:7">
      <c r="B7210" s="6"/>
      <c r="E7210" s="7"/>
      <c r="F7210" t="str">
        <f t="shared" si="249"/>
        <v/>
      </c>
      <c r="G7210" t="str">
        <f t="shared" si="250"/>
        <v/>
      </c>
    </row>
    <row r="7211" spans="2:7">
      <c r="B7211" s="6"/>
      <c r="E7211" s="7"/>
      <c r="F7211" t="str">
        <f t="shared" si="249"/>
        <v/>
      </c>
      <c r="G7211" t="str">
        <f t="shared" si="250"/>
        <v/>
      </c>
    </row>
    <row r="7212" spans="2:7">
      <c r="B7212" s="6"/>
      <c r="E7212" s="7"/>
      <c r="F7212" t="str">
        <f t="shared" si="249"/>
        <v/>
      </c>
      <c r="G7212" t="str">
        <f t="shared" si="250"/>
        <v/>
      </c>
    </row>
    <row r="7213" spans="2:7">
      <c r="B7213" s="6"/>
      <c r="E7213" s="7"/>
      <c r="F7213" t="str">
        <f t="shared" si="249"/>
        <v/>
      </c>
      <c r="G7213" t="str">
        <f t="shared" si="250"/>
        <v/>
      </c>
    </row>
    <row r="7214" spans="2:7">
      <c r="B7214" s="6"/>
      <c r="E7214" s="7"/>
      <c r="F7214" t="str">
        <f t="shared" si="249"/>
        <v/>
      </c>
      <c r="G7214" t="str">
        <f t="shared" si="250"/>
        <v/>
      </c>
    </row>
    <row r="7215" spans="2:7">
      <c r="B7215" s="6"/>
      <c r="E7215" s="7"/>
      <c r="F7215" t="str">
        <f t="shared" si="249"/>
        <v/>
      </c>
      <c r="G7215" t="str">
        <f t="shared" si="250"/>
        <v/>
      </c>
    </row>
    <row r="7216" spans="2:7">
      <c r="B7216" s="6"/>
      <c r="E7216" s="7"/>
      <c r="F7216" t="str">
        <f t="shared" si="249"/>
        <v/>
      </c>
      <c r="G7216" t="str">
        <f t="shared" si="250"/>
        <v/>
      </c>
    </row>
    <row r="7217" spans="2:7">
      <c r="B7217" s="6"/>
      <c r="E7217" s="7"/>
      <c r="F7217" t="str">
        <f t="shared" si="249"/>
        <v/>
      </c>
      <c r="G7217" t="str">
        <f t="shared" si="250"/>
        <v/>
      </c>
    </row>
    <row r="7218" spans="2:7">
      <c r="B7218" s="6"/>
      <c r="E7218" s="7"/>
      <c r="F7218" t="str">
        <f t="shared" si="249"/>
        <v/>
      </c>
      <c r="G7218" t="str">
        <f t="shared" si="250"/>
        <v/>
      </c>
    </row>
    <row r="7219" spans="2:7">
      <c r="B7219" s="6"/>
      <c r="E7219" s="7"/>
      <c r="F7219" t="str">
        <f t="shared" si="249"/>
        <v/>
      </c>
      <c r="G7219" t="str">
        <f t="shared" si="250"/>
        <v/>
      </c>
    </row>
    <row r="7220" spans="2:7">
      <c r="B7220" s="6"/>
      <c r="E7220" s="7"/>
      <c r="F7220" t="str">
        <f t="shared" si="249"/>
        <v/>
      </c>
      <c r="G7220" t="str">
        <f t="shared" si="250"/>
        <v/>
      </c>
    </row>
    <row r="7221" spans="2:7">
      <c r="B7221" s="6"/>
      <c r="E7221" s="7"/>
      <c r="F7221" t="str">
        <f t="shared" si="249"/>
        <v/>
      </c>
      <c r="G7221" t="str">
        <f t="shared" si="250"/>
        <v/>
      </c>
    </row>
    <row r="7222" spans="2:7">
      <c r="B7222" s="6"/>
      <c r="E7222" s="7"/>
      <c r="F7222" t="str">
        <f t="shared" si="249"/>
        <v/>
      </c>
      <c r="G7222" t="str">
        <f t="shared" si="250"/>
        <v/>
      </c>
    </row>
    <row r="7223" spans="2:7">
      <c r="B7223" s="6"/>
      <c r="E7223" s="7"/>
      <c r="F7223" t="str">
        <f t="shared" si="249"/>
        <v/>
      </c>
      <c r="G7223" t="str">
        <f t="shared" si="250"/>
        <v/>
      </c>
    </row>
    <row r="7224" spans="2:7">
      <c r="B7224" s="6"/>
      <c r="E7224" s="7"/>
      <c r="F7224" t="str">
        <f t="shared" si="249"/>
        <v/>
      </c>
      <c r="G7224" t="str">
        <f t="shared" si="250"/>
        <v/>
      </c>
    </row>
    <row r="7225" spans="2:7">
      <c r="B7225" s="6"/>
      <c r="E7225" s="7"/>
      <c r="F7225" t="str">
        <f t="shared" si="249"/>
        <v/>
      </c>
      <c r="G7225" t="str">
        <f t="shared" si="250"/>
        <v/>
      </c>
    </row>
    <row r="7226" spans="2:7">
      <c r="B7226" s="6"/>
      <c r="E7226" s="7"/>
      <c r="F7226" t="str">
        <f t="shared" si="249"/>
        <v/>
      </c>
      <c r="G7226" t="str">
        <f t="shared" si="250"/>
        <v/>
      </c>
    </row>
    <row r="7227" spans="2:7">
      <c r="B7227" s="6"/>
      <c r="E7227" s="7"/>
      <c r="F7227" t="str">
        <f t="shared" si="249"/>
        <v/>
      </c>
      <c r="G7227" t="str">
        <f t="shared" si="250"/>
        <v/>
      </c>
    </row>
    <row r="7228" spans="2:7">
      <c r="B7228" s="6"/>
      <c r="E7228" s="7"/>
      <c r="F7228" t="str">
        <f t="shared" si="249"/>
        <v/>
      </c>
      <c r="G7228" t="str">
        <f t="shared" si="250"/>
        <v/>
      </c>
    </row>
    <row r="7229" spans="2:7">
      <c r="B7229" s="6"/>
      <c r="E7229" s="7"/>
      <c r="F7229" t="str">
        <f t="shared" si="249"/>
        <v/>
      </c>
      <c r="G7229" t="str">
        <f t="shared" si="250"/>
        <v/>
      </c>
    </row>
    <row r="7230" spans="2:7">
      <c r="B7230" s="6"/>
      <c r="E7230" s="7"/>
      <c r="F7230" t="str">
        <f t="shared" si="249"/>
        <v/>
      </c>
      <c r="G7230" t="str">
        <f t="shared" si="250"/>
        <v/>
      </c>
    </row>
    <row r="7231" spans="2:7">
      <c r="B7231" s="6"/>
      <c r="E7231" s="7"/>
      <c r="F7231" t="str">
        <f t="shared" si="249"/>
        <v/>
      </c>
      <c r="G7231" t="str">
        <f t="shared" si="250"/>
        <v/>
      </c>
    </row>
    <row r="7232" spans="2:7">
      <c r="B7232" s="6"/>
      <c r="E7232" s="7"/>
      <c r="F7232" t="str">
        <f t="shared" si="249"/>
        <v/>
      </c>
      <c r="G7232" t="str">
        <f t="shared" si="250"/>
        <v/>
      </c>
    </row>
    <row r="7233" spans="2:7">
      <c r="B7233" s="6"/>
      <c r="E7233" s="7"/>
      <c r="F7233" t="str">
        <f t="shared" si="249"/>
        <v/>
      </c>
      <c r="G7233" t="str">
        <f t="shared" si="250"/>
        <v/>
      </c>
    </row>
    <row r="7234" spans="2:7">
      <c r="B7234" s="6"/>
      <c r="E7234" s="7"/>
      <c r="F7234" t="str">
        <f t="shared" si="249"/>
        <v/>
      </c>
      <c r="G7234" t="str">
        <f t="shared" si="250"/>
        <v/>
      </c>
    </row>
    <row r="7235" spans="2:7">
      <c r="B7235" s="6"/>
      <c r="E7235" s="7"/>
      <c r="F7235" t="str">
        <f t="shared" si="249"/>
        <v/>
      </c>
      <c r="G7235" t="str">
        <f t="shared" si="250"/>
        <v/>
      </c>
    </row>
    <row r="7236" spans="2:7">
      <c r="B7236" s="6"/>
      <c r="E7236" s="7"/>
      <c r="F7236" t="str">
        <f t="shared" ref="F7236:F7299" si="251">IF(B7236="","",LOG10(D7236))</f>
        <v/>
      </c>
      <c r="G7236" t="str">
        <f t="shared" ref="G7236:G7299" si="252">IF(E7236="", "",0.434*E7236/D7236)</f>
        <v/>
      </c>
    </row>
    <row r="7237" spans="2:7">
      <c r="B7237" s="6"/>
      <c r="E7237" s="7"/>
      <c r="F7237" t="str">
        <f t="shared" si="251"/>
        <v/>
      </c>
      <c r="G7237" t="str">
        <f t="shared" si="252"/>
        <v/>
      </c>
    </row>
    <row r="7238" spans="2:7">
      <c r="B7238" s="6"/>
      <c r="E7238" s="7"/>
      <c r="F7238" t="str">
        <f t="shared" si="251"/>
        <v/>
      </c>
      <c r="G7238" t="str">
        <f t="shared" si="252"/>
        <v/>
      </c>
    </row>
    <row r="7239" spans="2:7">
      <c r="B7239" s="6"/>
      <c r="E7239" s="7"/>
      <c r="F7239" t="str">
        <f t="shared" si="251"/>
        <v/>
      </c>
      <c r="G7239" t="str">
        <f t="shared" si="252"/>
        <v/>
      </c>
    </row>
    <row r="7240" spans="2:7">
      <c r="B7240" s="6"/>
      <c r="E7240" s="7"/>
      <c r="F7240" t="str">
        <f t="shared" si="251"/>
        <v/>
      </c>
      <c r="G7240" t="str">
        <f t="shared" si="252"/>
        <v/>
      </c>
    </row>
    <row r="7241" spans="2:7">
      <c r="B7241" s="6"/>
      <c r="E7241" s="7"/>
      <c r="F7241" t="str">
        <f t="shared" si="251"/>
        <v/>
      </c>
      <c r="G7241" t="str">
        <f t="shared" si="252"/>
        <v/>
      </c>
    </row>
    <row r="7242" spans="2:7">
      <c r="B7242" s="6"/>
      <c r="E7242" s="7"/>
      <c r="F7242" t="str">
        <f t="shared" si="251"/>
        <v/>
      </c>
      <c r="G7242" t="str">
        <f t="shared" si="252"/>
        <v/>
      </c>
    </row>
    <row r="7243" spans="2:7">
      <c r="B7243" s="6"/>
      <c r="E7243" s="7"/>
      <c r="F7243" t="str">
        <f t="shared" si="251"/>
        <v/>
      </c>
      <c r="G7243" t="str">
        <f t="shared" si="252"/>
        <v/>
      </c>
    </row>
    <row r="7244" spans="2:7">
      <c r="B7244" s="6"/>
      <c r="E7244" s="7"/>
      <c r="F7244" t="str">
        <f t="shared" si="251"/>
        <v/>
      </c>
      <c r="G7244" t="str">
        <f t="shared" si="252"/>
        <v/>
      </c>
    </row>
    <row r="7245" spans="2:7">
      <c r="B7245" s="6"/>
      <c r="E7245" s="7"/>
      <c r="F7245" t="str">
        <f t="shared" si="251"/>
        <v/>
      </c>
      <c r="G7245" t="str">
        <f t="shared" si="252"/>
        <v/>
      </c>
    </row>
    <row r="7246" spans="2:7">
      <c r="B7246" s="6"/>
      <c r="E7246" s="7"/>
      <c r="F7246" t="str">
        <f t="shared" si="251"/>
        <v/>
      </c>
      <c r="G7246" t="str">
        <f t="shared" si="252"/>
        <v/>
      </c>
    </row>
    <row r="7247" spans="2:7">
      <c r="B7247" s="6"/>
      <c r="E7247" s="7"/>
      <c r="F7247" t="str">
        <f t="shared" si="251"/>
        <v/>
      </c>
      <c r="G7247" t="str">
        <f t="shared" si="252"/>
        <v/>
      </c>
    </row>
    <row r="7248" spans="2:7">
      <c r="B7248" s="6"/>
      <c r="E7248" s="7"/>
      <c r="F7248" t="str">
        <f t="shared" si="251"/>
        <v/>
      </c>
      <c r="G7248" t="str">
        <f t="shared" si="252"/>
        <v/>
      </c>
    </row>
    <row r="7249" spans="2:7">
      <c r="B7249" s="6"/>
      <c r="E7249" s="7"/>
      <c r="F7249" t="str">
        <f t="shared" si="251"/>
        <v/>
      </c>
      <c r="G7249" t="str">
        <f t="shared" si="252"/>
        <v/>
      </c>
    </row>
    <row r="7250" spans="2:7">
      <c r="B7250" s="6"/>
      <c r="E7250" s="7"/>
      <c r="F7250" t="str">
        <f t="shared" si="251"/>
        <v/>
      </c>
      <c r="G7250" t="str">
        <f t="shared" si="252"/>
        <v/>
      </c>
    </row>
    <row r="7251" spans="2:7">
      <c r="B7251" s="6"/>
      <c r="E7251" s="7"/>
      <c r="F7251" t="str">
        <f t="shared" si="251"/>
        <v/>
      </c>
      <c r="G7251" t="str">
        <f t="shared" si="252"/>
        <v/>
      </c>
    </row>
    <row r="7252" spans="2:7">
      <c r="B7252" s="6"/>
      <c r="E7252" s="7"/>
      <c r="F7252" t="str">
        <f t="shared" si="251"/>
        <v/>
      </c>
      <c r="G7252" t="str">
        <f t="shared" si="252"/>
        <v/>
      </c>
    </row>
    <row r="7253" spans="2:7">
      <c r="B7253" s="6"/>
      <c r="E7253" s="7"/>
      <c r="F7253" t="str">
        <f t="shared" si="251"/>
        <v/>
      </c>
      <c r="G7253" t="str">
        <f t="shared" si="252"/>
        <v/>
      </c>
    </row>
    <row r="7254" spans="2:7">
      <c r="B7254" s="6"/>
      <c r="E7254" s="7"/>
      <c r="F7254" t="str">
        <f t="shared" si="251"/>
        <v/>
      </c>
      <c r="G7254" t="str">
        <f t="shared" si="252"/>
        <v/>
      </c>
    </row>
    <row r="7255" spans="2:7">
      <c r="B7255" s="6"/>
      <c r="E7255" s="7"/>
      <c r="F7255" t="str">
        <f t="shared" si="251"/>
        <v/>
      </c>
      <c r="G7255" t="str">
        <f t="shared" si="252"/>
        <v/>
      </c>
    </row>
    <row r="7256" spans="2:7">
      <c r="B7256" s="6"/>
      <c r="E7256" s="7"/>
      <c r="F7256" t="str">
        <f t="shared" si="251"/>
        <v/>
      </c>
      <c r="G7256" t="str">
        <f t="shared" si="252"/>
        <v/>
      </c>
    </row>
    <row r="7257" spans="2:7">
      <c r="B7257" s="6"/>
      <c r="E7257" s="7"/>
      <c r="F7257" t="str">
        <f t="shared" si="251"/>
        <v/>
      </c>
      <c r="G7257" t="str">
        <f t="shared" si="252"/>
        <v/>
      </c>
    </row>
    <row r="7258" spans="2:7">
      <c r="B7258" s="6"/>
      <c r="E7258" s="7"/>
      <c r="F7258" t="str">
        <f t="shared" si="251"/>
        <v/>
      </c>
      <c r="G7258" t="str">
        <f t="shared" si="252"/>
        <v/>
      </c>
    </row>
    <row r="7259" spans="2:7">
      <c r="B7259" s="6"/>
      <c r="E7259" s="7"/>
      <c r="F7259" t="str">
        <f t="shared" si="251"/>
        <v/>
      </c>
      <c r="G7259" t="str">
        <f t="shared" si="252"/>
        <v/>
      </c>
    </row>
    <row r="7260" spans="2:7">
      <c r="B7260" s="6"/>
      <c r="E7260" s="7"/>
      <c r="F7260" t="str">
        <f t="shared" si="251"/>
        <v/>
      </c>
      <c r="G7260" t="str">
        <f t="shared" si="252"/>
        <v/>
      </c>
    </row>
    <row r="7261" spans="2:7">
      <c r="B7261" s="6"/>
      <c r="E7261" s="7"/>
      <c r="F7261" t="str">
        <f t="shared" si="251"/>
        <v/>
      </c>
      <c r="G7261" t="str">
        <f t="shared" si="252"/>
        <v/>
      </c>
    </row>
    <row r="7262" spans="2:7">
      <c r="B7262" s="6"/>
      <c r="E7262" s="7"/>
      <c r="F7262" t="str">
        <f t="shared" si="251"/>
        <v/>
      </c>
      <c r="G7262" t="str">
        <f t="shared" si="252"/>
        <v/>
      </c>
    </row>
    <row r="7263" spans="2:7">
      <c r="B7263" s="6"/>
      <c r="E7263" s="7"/>
      <c r="F7263" t="str">
        <f t="shared" si="251"/>
        <v/>
      </c>
      <c r="G7263" t="str">
        <f t="shared" si="252"/>
        <v/>
      </c>
    </row>
    <row r="7264" spans="2:7">
      <c r="B7264" s="6"/>
      <c r="E7264" s="7"/>
      <c r="F7264" t="str">
        <f t="shared" si="251"/>
        <v/>
      </c>
      <c r="G7264" t="str">
        <f t="shared" si="252"/>
        <v/>
      </c>
    </row>
    <row r="7265" spans="2:7">
      <c r="B7265" s="6"/>
      <c r="E7265" s="7"/>
      <c r="F7265" t="str">
        <f t="shared" si="251"/>
        <v/>
      </c>
      <c r="G7265" t="str">
        <f t="shared" si="252"/>
        <v/>
      </c>
    </row>
    <row r="7266" spans="2:7">
      <c r="B7266" s="6"/>
      <c r="E7266" s="7"/>
      <c r="F7266" t="str">
        <f t="shared" si="251"/>
        <v/>
      </c>
      <c r="G7266" t="str">
        <f t="shared" si="252"/>
        <v/>
      </c>
    </row>
    <row r="7267" spans="2:7">
      <c r="B7267" s="6"/>
      <c r="E7267" s="7"/>
      <c r="F7267" t="str">
        <f t="shared" si="251"/>
        <v/>
      </c>
      <c r="G7267" t="str">
        <f t="shared" si="252"/>
        <v/>
      </c>
    </row>
    <row r="7268" spans="2:7">
      <c r="B7268" s="6"/>
      <c r="E7268" s="7"/>
      <c r="F7268" t="str">
        <f t="shared" si="251"/>
        <v/>
      </c>
      <c r="G7268" t="str">
        <f t="shared" si="252"/>
        <v/>
      </c>
    </row>
    <row r="7269" spans="2:7">
      <c r="B7269" s="6"/>
      <c r="E7269" s="7"/>
      <c r="F7269" t="str">
        <f t="shared" si="251"/>
        <v/>
      </c>
      <c r="G7269" t="str">
        <f t="shared" si="252"/>
        <v/>
      </c>
    </row>
    <row r="7270" spans="2:7">
      <c r="B7270" s="6"/>
      <c r="E7270" s="7"/>
      <c r="F7270" t="str">
        <f t="shared" si="251"/>
        <v/>
      </c>
      <c r="G7270" t="str">
        <f t="shared" si="252"/>
        <v/>
      </c>
    </row>
    <row r="7271" spans="2:7">
      <c r="B7271" s="6"/>
      <c r="E7271" s="7"/>
      <c r="F7271" t="str">
        <f t="shared" si="251"/>
        <v/>
      </c>
      <c r="G7271" t="str">
        <f t="shared" si="252"/>
        <v/>
      </c>
    </row>
    <row r="7272" spans="2:7">
      <c r="B7272" s="6"/>
      <c r="E7272" s="7"/>
      <c r="F7272" t="str">
        <f t="shared" si="251"/>
        <v/>
      </c>
      <c r="G7272" t="str">
        <f t="shared" si="252"/>
        <v/>
      </c>
    </row>
    <row r="7273" spans="2:7">
      <c r="B7273" s="6"/>
      <c r="E7273" s="7"/>
      <c r="F7273" t="str">
        <f t="shared" si="251"/>
        <v/>
      </c>
      <c r="G7273" t="str">
        <f t="shared" si="252"/>
        <v/>
      </c>
    </row>
    <row r="7274" spans="2:7">
      <c r="B7274" s="6"/>
      <c r="E7274" s="7"/>
      <c r="F7274" t="str">
        <f t="shared" si="251"/>
        <v/>
      </c>
      <c r="G7274" t="str">
        <f t="shared" si="252"/>
        <v/>
      </c>
    </row>
    <row r="7275" spans="2:7">
      <c r="B7275" s="6"/>
      <c r="E7275" s="7"/>
      <c r="F7275" t="str">
        <f t="shared" si="251"/>
        <v/>
      </c>
      <c r="G7275" t="str">
        <f t="shared" si="252"/>
        <v/>
      </c>
    </row>
    <row r="7276" spans="2:7">
      <c r="B7276" s="6"/>
      <c r="E7276" s="7"/>
      <c r="F7276" t="str">
        <f t="shared" si="251"/>
        <v/>
      </c>
      <c r="G7276" t="str">
        <f t="shared" si="252"/>
        <v/>
      </c>
    </row>
    <row r="7277" spans="2:7">
      <c r="B7277" s="6"/>
      <c r="E7277" s="7"/>
      <c r="F7277" t="str">
        <f t="shared" si="251"/>
        <v/>
      </c>
      <c r="G7277" t="str">
        <f t="shared" si="252"/>
        <v/>
      </c>
    </row>
    <row r="7278" spans="2:7">
      <c r="B7278" s="6"/>
      <c r="E7278" s="7"/>
      <c r="F7278" t="str">
        <f t="shared" si="251"/>
        <v/>
      </c>
      <c r="G7278" t="str">
        <f t="shared" si="252"/>
        <v/>
      </c>
    </row>
    <row r="7279" spans="2:7">
      <c r="B7279" s="6"/>
      <c r="E7279" s="7"/>
      <c r="F7279" t="str">
        <f t="shared" si="251"/>
        <v/>
      </c>
      <c r="G7279" t="str">
        <f t="shared" si="252"/>
        <v/>
      </c>
    </row>
    <row r="7280" spans="2:7">
      <c r="B7280" s="6"/>
      <c r="E7280" s="7"/>
      <c r="F7280" t="str">
        <f t="shared" si="251"/>
        <v/>
      </c>
      <c r="G7280" t="str">
        <f t="shared" si="252"/>
        <v/>
      </c>
    </row>
    <row r="7281" spans="2:7">
      <c r="B7281" s="6"/>
      <c r="E7281" s="7"/>
      <c r="F7281" t="str">
        <f t="shared" si="251"/>
        <v/>
      </c>
      <c r="G7281" t="str">
        <f t="shared" si="252"/>
        <v/>
      </c>
    </row>
    <row r="7282" spans="2:7">
      <c r="B7282" s="6"/>
      <c r="E7282" s="7"/>
      <c r="F7282" t="str">
        <f t="shared" si="251"/>
        <v/>
      </c>
      <c r="G7282" t="str">
        <f t="shared" si="252"/>
        <v/>
      </c>
    </row>
    <row r="7283" spans="2:7">
      <c r="B7283" s="6"/>
      <c r="E7283" s="7"/>
      <c r="F7283" t="str">
        <f t="shared" si="251"/>
        <v/>
      </c>
      <c r="G7283" t="str">
        <f t="shared" si="252"/>
        <v/>
      </c>
    </row>
    <row r="7284" spans="2:7">
      <c r="B7284" s="6"/>
      <c r="E7284" s="7"/>
      <c r="F7284" t="str">
        <f t="shared" si="251"/>
        <v/>
      </c>
      <c r="G7284" t="str">
        <f t="shared" si="252"/>
        <v/>
      </c>
    </row>
    <row r="7285" spans="2:7">
      <c r="B7285" s="6"/>
      <c r="E7285" s="7"/>
      <c r="F7285" t="str">
        <f t="shared" si="251"/>
        <v/>
      </c>
      <c r="G7285" t="str">
        <f t="shared" si="252"/>
        <v/>
      </c>
    </row>
    <row r="7286" spans="2:7">
      <c r="B7286" s="6"/>
      <c r="E7286" s="7"/>
      <c r="F7286" t="str">
        <f t="shared" si="251"/>
        <v/>
      </c>
      <c r="G7286" t="str">
        <f t="shared" si="252"/>
        <v/>
      </c>
    </row>
    <row r="7287" spans="2:7">
      <c r="B7287" s="6"/>
      <c r="E7287" s="7"/>
      <c r="F7287" t="str">
        <f t="shared" si="251"/>
        <v/>
      </c>
      <c r="G7287" t="str">
        <f t="shared" si="252"/>
        <v/>
      </c>
    </row>
    <row r="7288" spans="2:7">
      <c r="B7288" s="6"/>
      <c r="E7288" s="7"/>
      <c r="F7288" t="str">
        <f t="shared" si="251"/>
        <v/>
      </c>
      <c r="G7288" t="str">
        <f t="shared" si="252"/>
        <v/>
      </c>
    </row>
    <row r="7289" spans="2:7">
      <c r="B7289" s="6"/>
      <c r="E7289" s="7"/>
      <c r="F7289" t="str">
        <f t="shared" si="251"/>
        <v/>
      </c>
      <c r="G7289" t="str">
        <f t="shared" si="252"/>
        <v/>
      </c>
    </row>
    <row r="7290" spans="2:7">
      <c r="B7290" s="6"/>
      <c r="E7290" s="7"/>
      <c r="F7290" t="str">
        <f t="shared" si="251"/>
        <v/>
      </c>
      <c r="G7290" t="str">
        <f t="shared" si="252"/>
        <v/>
      </c>
    </row>
    <row r="7291" spans="2:7">
      <c r="B7291" s="6"/>
      <c r="E7291" s="7"/>
      <c r="F7291" t="str">
        <f t="shared" si="251"/>
        <v/>
      </c>
      <c r="G7291" t="str">
        <f t="shared" si="252"/>
        <v/>
      </c>
    </row>
    <row r="7292" spans="2:7">
      <c r="B7292" s="6"/>
      <c r="E7292" s="7"/>
      <c r="F7292" t="str">
        <f t="shared" si="251"/>
        <v/>
      </c>
      <c r="G7292" t="str">
        <f t="shared" si="252"/>
        <v/>
      </c>
    </row>
    <row r="7293" spans="2:7">
      <c r="B7293" s="6"/>
      <c r="E7293" s="7"/>
      <c r="F7293" t="str">
        <f t="shared" si="251"/>
        <v/>
      </c>
      <c r="G7293" t="str">
        <f t="shared" si="252"/>
        <v/>
      </c>
    </row>
    <row r="7294" spans="2:7">
      <c r="B7294" s="6"/>
      <c r="E7294" s="7"/>
      <c r="F7294" t="str">
        <f t="shared" si="251"/>
        <v/>
      </c>
      <c r="G7294" t="str">
        <f t="shared" si="252"/>
        <v/>
      </c>
    </row>
    <row r="7295" spans="2:7">
      <c r="B7295" s="6"/>
      <c r="E7295" s="7"/>
      <c r="F7295" t="str">
        <f t="shared" si="251"/>
        <v/>
      </c>
      <c r="G7295" t="str">
        <f t="shared" si="252"/>
        <v/>
      </c>
    </row>
    <row r="7296" spans="2:7">
      <c r="B7296" s="6"/>
      <c r="E7296" s="7"/>
      <c r="F7296" t="str">
        <f t="shared" si="251"/>
        <v/>
      </c>
      <c r="G7296" t="str">
        <f t="shared" si="252"/>
        <v/>
      </c>
    </row>
    <row r="7297" spans="2:7">
      <c r="B7297" s="6"/>
      <c r="E7297" s="7"/>
      <c r="F7297" t="str">
        <f t="shared" si="251"/>
        <v/>
      </c>
      <c r="G7297" t="str">
        <f t="shared" si="252"/>
        <v/>
      </c>
    </row>
    <row r="7298" spans="2:7">
      <c r="B7298" s="6"/>
      <c r="E7298" s="7"/>
      <c r="F7298" t="str">
        <f t="shared" si="251"/>
        <v/>
      </c>
      <c r="G7298" t="str">
        <f t="shared" si="252"/>
        <v/>
      </c>
    </row>
    <row r="7299" spans="2:7">
      <c r="B7299" s="6"/>
      <c r="E7299" s="7"/>
      <c r="F7299" t="str">
        <f t="shared" si="251"/>
        <v/>
      </c>
      <c r="G7299" t="str">
        <f t="shared" si="252"/>
        <v/>
      </c>
    </row>
    <row r="7300" spans="2:7">
      <c r="B7300" s="6"/>
      <c r="E7300" s="7"/>
      <c r="F7300" t="str">
        <f t="shared" ref="F7300:F7363" si="253">IF(B7300="","",LOG10(D7300))</f>
        <v/>
      </c>
      <c r="G7300" t="str">
        <f t="shared" ref="G7300:G7363" si="254">IF(E7300="", "",0.434*E7300/D7300)</f>
        <v/>
      </c>
    </row>
    <row r="7301" spans="2:7">
      <c r="B7301" s="6"/>
      <c r="E7301" s="7"/>
      <c r="F7301" t="str">
        <f t="shared" si="253"/>
        <v/>
      </c>
      <c r="G7301" t="str">
        <f t="shared" si="254"/>
        <v/>
      </c>
    </row>
    <row r="7302" spans="2:7">
      <c r="B7302" s="6"/>
      <c r="E7302" s="7"/>
      <c r="F7302" t="str">
        <f t="shared" si="253"/>
        <v/>
      </c>
      <c r="G7302" t="str">
        <f t="shared" si="254"/>
        <v/>
      </c>
    </row>
    <row r="7303" spans="2:7">
      <c r="B7303" s="6"/>
      <c r="E7303" s="7"/>
      <c r="F7303" t="str">
        <f t="shared" si="253"/>
        <v/>
      </c>
      <c r="G7303" t="str">
        <f t="shared" si="254"/>
        <v/>
      </c>
    </row>
    <row r="7304" spans="2:7">
      <c r="B7304" s="6"/>
      <c r="E7304" s="7"/>
      <c r="F7304" t="str">
        <f t="shared" si="253"/>
        <v/>
      </c>
      <c r="G7304" t="str">
        <f t="shared" si="254"/>
        <v/>
      </c>
    </row>
    <row r="7305" spans="2:7">
      <c r="B7305" s="6"/>
      <c r="E7305" s="7"/>
      <c r="F7305" t="str">
        <f t="shared" si="253"/>
        <v/>
      </c>
      <c r="G7305" t="str">
        <f t="shared" si="254"/>
        <v/>
      </c>
    </row>
    <row r="7306" spans="2:7">
      <c r="B7306" s="6"/>
      <c r="E7306" s="7"/>
      <c r="F7306" t="str">
        <f t="shared" si="253"/>
        <v/>
      </c>
      <c r="G7306" t="str">
        <f t="shared" si="254"/>
        <v/>
      </c>
    </row>
    <row r="7307" spans="2:7">
      <c r="B7307" s="6"/>
      <c r="E7307" s="7"/>
      <c r="F7307" t="str">
        <f t="shared" si="253"/>
        <v/>
      </c>
      <c r="G7307" t="str">
        <f t="shared" si="254"/>
        <v/>
      </c>
    </row>
    <row r="7308" spans="2:7">
      <c r="B7308" s="6"/>
      <c r="E7308" s="7"/>
      <c r="F7308" t="str">
        <f t="shared" si="253"/>
        <v/>
      </c>
      <c r="G7308" t="str">
        <f t="shared" si="254"/>
        <v/>
      </c>
    </row>
    <row r="7309" spans="2:7">
      <c r="B7309" s="6"/>
      <c r="E7309" s="7"/>
      <c r="F7309" t="str">
        <f t="shared" si="253"/>
        <v/>
      </c>
      <c r="G7309" t="str">
        <f t="shared" si="254"/>
        <v/>
      </c>
    </row>
    <row r="7310" spans="2:7">
      <c r="B7310" s="6"/>
      <c r="E7310" s="7"/>
      <c r="F7310" t="str">
        <f t="shared" si="253"/>
        <v/>
      </c>
      <c r="G7310" t="str">
        <f t="shared" si="254"/>
        <v/>
      </c>
    </row>
    <row r="7311" spans="2:7">
      <c r="B7311" s="6"/>
      <c r="E7311" s="7"/>
      <c r="F7311" t="str">
        <f t="shared" si="253"/>
        <v/>
      </c>
      <c r="G7311" t="str">
        <f t="shared" si="254"/>
        <v/>
      </c>
    </row>
    <row r="7312" spans="2:7">
      <c r="B7312" s="6"/>
      <c r="E7312" s="7"/>
      <c r="F7312" t="str">
        <f t="shared" si="253"/>
        <v/>
      </c>
      <c r="G7312" t="str">
        <f t="shared" si="254"/>
        <v/>
      </c>
    </row>
    <row r="7313" spans="2:7">
      <c r="B7313" s="6"/>
      <c r="E7313" s="7"/>
      <c r="F7313" t="str">
        <f t="shared" si="253"/>
        <v/>
      </c>
      <c r="G7313" t="str">
        <f t="shared" si="254"/>
        <v/>
      </c>
    </row>
    <row r="7314" spans="2:7">
      <c r="B7314" s="6"/>
      <c r="E7314" s="7"/>
      <c r="F7314" t="str">
        <f t="shared" si="253"/>
        <v/>
      </c>
      <c r="G7314" t="str">
        <f t="shared" si="254"/>
        <v/>
      </c>
    </row>
    <row r="7315" spans="2:7">
      <c r="B7315" s="6"/>
      <c r="E7315" s="7"/>
      <c r="F7315" t="str">
        <f t="shared" si="253"/>
        <v/>
      </c>
      <c r="G7315" t="str">
        <f t="shared" si="254"/>
        <v/>
      </c>
    </row>
    <row r="7316" spans="2:7">
      <c r="B7316" s="6"/>
      <c r="E7316" s="7"/>
      <c r="F7316" t="str">
        <f t="shared" si="253"/>
        <v/>
      </c>
      <c r="G7316" t="str">
        <f t="shared" si="254"/>
        <v/>
      </c>
    </row>
    <row r="7317" spans="2:7">
      <c r="B7317" s="6"/>
      <c r="E7317" s="7"/>
      <c r="F7317" t="str">
        <f t="shared" si="253"/>
        <v/>
      </c>
      <c r="G7317" t="str">
        <f t="shared" si="254"/>
        <v/>
      </c>
    </row>
    <row r="7318" spans="2:7">
      <c r="B7318" s="6"/>
      <c r="E7318" s="7"/>
      <c r="F7318" t="str">
        <f t="shared" si="253"/>
        <v/>
      </c>
      <c r="G7318" t="str">
        <f t="shared" si="254"/>
        <v/>
      </c>
    </row>
    <row r="7319" spans="2:7">
      <c r="B7319" s="6"/>
      <c r="E7319" s="7"/>
      <c r="F7319" t="str">
        <f t="shared" si="253"/>
        <v/>
      </c>
      <c r="G7319" t="str">
        <f t="shared" si="254"/>
        <v/>
      </c>
    </row>
    <row r="7320" spans="2:7">
      <c r="B7320" s="6"/>
      <c r="E7320" s="7"/>
      <c r="F7320" t="str">
        <f t="shared" si="253"/>
        <v/>
      </c>
      <c r="G7320" t="str">
        <f t="shared" si="254"/>
        <v/>
      </c>
    </row>
    <row r="7321" spans="2:7">
      <c r="B7321" s="6"/>
      <c r="E7321" s="7"/>
      <c r="F7321" t="str">
        <f t="shared" si="253"/>
        <v/>
      </c>
      <c r="G7321" t="str">
        <f t="shared" si="254"/>
        <v/>
      </c>
    </row>
    <row r="7322" spans="2:7">
      <c r="B7322" s="6"/>
      <c r="E7322" s="7"/>
      <c r="F7322" t="str">
        <f t="shared" si="253"/>
        <v/>
      </c>
      <c r="G7322" t="str">
        <f t="shared" si="254"/>
        <v/>
      </c>
    </row>
    <row r="7323" spans="2:7">
      <c r="B7323" s="6"/>
      <c r="E7323" s="7"/>
      <c r="F7323" t="str">
        <f t="shared" si="253"/>
        <v/>
      </c>
      <c r="G7323" t="str">
        <f t="shared" si="254"/>
        <v/>
      </c>
    </row>
    <row r="7324" spans="2:7">
      <c r="B7324" s="6"/>
      <c r="E7324" s="7"/>
      <c r="F7324" t="str">
        <f t="shared" si="253"/>
        <v/>
      </c>
      <c r="G7324" t="str">
        <f t="shared" si="254"/>
        <v/>
      </c>
    </row>
    <row r="7325" spans="2:7">
      <c r="B7325" s="6"/>
      <c r="E7325" s="7"/>
      <c r="F7325" t="str">
        <f t="shared" si="253"/>
        <v/>
      </c>
      <c r="G7325" t="str">
        <f t="shared" si="254"/>
        <v/>
      </c>
    </row>
    <row r="7326" spans="2:7">
      <c r="B7326" s="6"/>
      <c r="E7326" s="7"/>
      <c r="F7326" t="str">
        <f t="shared" si="253"/>
        <v/>
      </c>
      <c r="G7326" t="str">
        <f t="shared" si="254"/>
        <v/>
      </c>
    </row>
    <row r="7327" spans="2:7">
      <c r="B7327" s="6"/>
      <c r="E7327" s="7"/>
      <c r="F7327" t="str">
        <f t="shared" si="253"/>
        <v/>
      </c>
      <c r="G7327" t="str">
        <f t="shared" si="254"/>
        <v/>
      </c>
    </row>
    <row r="7328" spans="2:7">
      <c r="B7328" s="6"/>
      <c r="E7328" s="7"/>
      <c r="F7328" t="str">
        <f t="shared" si="253"/>
        <v/>
      </c>
      <c r="G7328" t="str">
        <f t="shared" si="254"/>
        <v/>
      </c>
    </row>
    <row r="7329" spans="2:7">
      <c r="B7329" s="6"/>
      <c r="E7329" s="7"/>
      <c r="F7329" t="str">
        <f t="shared" si="253"/>
        <v/>
      </c>
      <c r="G7329" t="str">
        <f t="shared" si="254"/>
        <v/>
      </c>
    </row>
    <row r="7330" spans="2:7">
      <c r="B7330" s="6"/>
      <c r="E7330" s="7"/>
      <c r="F7330" t="str">
        <f t="shared" si="253"/>
        <v/>
      </c>
      <c r="G7330" t="str">
        <f t="shared" si="254"/>
        <v/>
      </c>
    </row>
    <row r="7331" spans="2:7">
      <c r="B7331" s="6"/>
      <c r="E7331" s="7"/>
      <c r="F7331" t="str">
        <f t="shared" si="253"/>
        <v/>
      </c>
      <c r="G7331" t="str">
        <f t="shared" si="254"/>
        <v/>
      </c>
    </row>
    <row r="7332" spans="2:7">
      <c r="B7332" s="6"/>
      <c r="E7332" s="7"/>
      <c r="F7332" t="str">
        <f t="shared" si="253"/>
        <v/>
      </c>
      <c r="G7332" t="str">
        <f t="shared" si="254"/>
        <v/>
      </c>
    </row>
    <row r="7333" spans="2:7">
      <c r="B7333" s="6"/>
      <c r="E7333" s="7"/>
      <c r="F7333" t="str">
        <f t="shared" si="253"/>
        <v/>
      </c>
      <c r="G7333" t="str">
        <f t="shared" si="254"/>
        <v/>
      </c>
    </row>
    <row r="7334" spans="2:7">
      <c r="B7334" s="6"/>
      <c r="E7334" s="7"/>
      <c r="F7334" t="str">
        <f t="shared" si="253"/>
        <v/>
      </c>
      <c r="G7334" t="str">
        <f t="shared" si="254"/>
        <v/>
      </c>
    </row>
    <row r="7335" spans="2:7">
      <c r="B7335" s="6"/>
      <c r="E7335" s="7"/>
      <c r="F7335" t="str">
        <f t="shared" si="253"/>
        <v/>
      </c>
      <c r="G7335" t="str">
        <f t="shared" si="254"/>
        <v/>
      </c>
    </row>
    <row r="7336" spans="2:7">
      <c r="B7336" s="6"/>
      <c r="E7336" s="7"/>
      <c r="F7336" t="str">
        <f t="shared" si="253"/>
        <v/>
      </c>
      <c r="G7336" t="str">
        <f t="shared" si="254"/>
        <v/>
      </c>
    </row>
    <row r="7337" spans="2:7">
      <c r="B7337" s="6"/>
      <c r="E7337" s="7"/>
      <c r="F7337" t="str">
        <f t="shared" si="253"/>
        <v/>
      </c>
      <c r="G7337" t="str">
        <f t="shared" si="254"/>
        <v/>
      </c>
    </row>
    <row r="7338" spans="2:7">
      <c r="B7338" s="6"/>
      <c r="E7338" s="7"/>
      <c r="F7338" t="str">
        <f t="shared" si="253"/>
        <v/>
      </c>
      <c r="G7338" t="str">
        <f t="shared" si="254"/>
        <v/>
      </c>
    </row>
    <row r="7339" spans="2:7">
      <c r="B7339" s="6"/>
      <c r="E7339" s="7"/>
      <c r="F7339" t="str">
        <f t="shared" si="253"/>
        <v/>
      </c>
      <c r="G7339" t="str">
        <f t="shared" si="254"/>
        <v/>
      </c>
    </row>
    <row r="7340" spans="2:7">
      <c r="B7340" s="6"/>
      <c r="E7340" s="7"/>
      <c r="F7340" t="str">
        <f t="shared" si="253"/>
        <v/>
      </c>
      <c r="G7340" t="str">
        <f t="shared" si="254"/>
        <v/>
      </c>
    </row>
    <row r="7341" spans="2:7">
      <c r="B7341" s="6"/>
      <c r="E7341" s="7"/>
      <c r="F7341" t="str">
        <f t="shared" si="253"/>
        <v/>
      </c>
      <c r="G7341" t="str">
        <f t="shared" si="254"/>
        <v/>
      </c>
    </row>
    <row r="7342" spans="2:7">
      <c r="B7342" s="6"/>
      <c r="E7342" s="7"/>
      <c r="F7342" t="str">
        <f t="shared" si="253"/>
        <v/>
      </c>
      <c r="G7342" t="str">
        <f t="shared" si="254"/>
        <v/>
      </c>
    </row>
    <row r="7343" spans="2:7">
      <c r="B7343" s="6"/>
      <c r="E7343" s="7"/>
      <c r="F7343" t="str">
        <f t="shared" si="253"/>
        <v/>
      </c>
      <c r="G7343" t="str">
        <f t="shared" si="254"/>
        <v/>
      </c>
    </row>
    <row r="7344" spans="2:7">
      <c r="B7344" s="6"/>
      <c r="E7344" s="7"/>
      <c r="F7344" t="str">
        <f t="shared" si="253"/>
        <v/>
      </c>
      <c r="G7344" t="str">
        <f t="shared" si="254"/>
        <v/>
      </c>
    </row>
    <row r="7345" spans="2:7">
      <c r="B7345" s="6"/>
      <c r="E7345" s="7"/>
      <c r="F7345" t="str">
        <f t="shared" si="253"/>
        <v/>
      </c>
      <c r="G7345" t="str">
        <f t="shared" si="254"/>
        <v/>
      </c>
    </row>
    <row r="7346" spans="2:7">
      <c r="B7346" s="6"/>
      <c r="E7346" s="7"/>
      <c r="F7346" t="str">
        <f t="shared" si="253"/>
        <v/>
      </c>
      <c r="G7346" t="str">
        <f t="shared" si="254"/>
        <v/>
      </c>
    </row>
    <row r="7347" spans="2:7">
      <c r="B7347" s="6"/>
      <c r="E7347" s="7"/>
      <c r="F7347" t="str">
        <f t="shared" si="253"/>
        <v/>
      </c>
      <c r="G7347" t="str">
        <f t="shared" si="254"/>
        <v/>
      </c>
    </row>
    <row r="7348" spans="2:7">
      <c r="B7348" s="6"/>
      <c r="E7348" s="7"/>
      <c r="F7348" t="str">
        <f t="shared" si="253"/>
        <v/>
      </c>
      <c r="G7348" t="str">
        <f t="shared" si="254"/>
        <v/>
      </c>
    </row>
    <row r="7349" spans="2:7">
      <c r="B7349" s="6"/>
      <c r="E7349" s="7"/>
      <c r="F7349" t="str">
        <f t="shared" si="253"/>
        <v/>
      </c>
      <c r="G7349" t="str">
        <f t="shared" si="254"/>
        <v/>
      </c>
    </row>
    <row r="7350" spans="2:7">
      <c r="B7350" s="6"/>
      <c r="E7350" s="7"/>
      <c r="F7350" t="str">
        <f t="shared" si="253"/>
        <v/>
      </c>
      <c r="G7350" t="str">
        <f t="shared" si="254"/>
        <v/>
      </c>
    </row>
    <row r="7351" spans="2:7">
      <c r="B7351" s="6"/>
      <c r="E7351" s="7"/>
      <c r="F7351" t="str">
        <f t="shared" si="253"/>
        <v/>
      </c>
      <c r="G7351" t="str">
        <f t="shared" si="254"/>
        <v/>
      </c>
    </row>
    <row r="7352" spans="2:7">
      <c r="B7352" s="6"/>
      <c r="E7352" s="7"/>
      <c r="F7352" t="str">
        <f t="shared" si="253"/>
        <v/>
      </c>
      <c r="G7352" t="str">
        <f t="shared" si="254"/>
        <v/>
      </c>
    </row>
    <row r="7353" spans="2:7">
      <c r="B7353" s="6"/>
      <c r="E7353" s="7"/>
      <c r="F7353" t="str">
        <f t="shared" si="253"/>
        <v/>
      </c>
      <c r="G7353" t="str">
        <f t="shared" si="254"/>
        <v/>
      </c>
    </row>
    <row r="7354" spans="2:7">
      <c r="B7354" s="6"/>
      <c r="E7354" s="7"/>
      <c r="F7354" t="str">
        <f t="shared" si="253"/>
        <v/>
      </c>
      <c r="G7354" t="str">
        <f t="shared" si="254"/>
        <v/>
      </c>
    </row>
    <row r="7355" spans="2:7">
      <c r="B7355" s="6"/>
      <c r="E7355" s="7"/>
      <c r="F7355" t="str">
        <f t="shared" si="253"/>
        <v/>
      </c>
      <c r="G7355" t="str">
        <f t="shared" si="254"/>
        <v/>
      </c>
    </row>
    <row r="7356" spans="2:7">
      <c r="B7356" s="6"/>
      <c r="E7356" s="7"/>
      <c r="F7356" t="str">
        <f t="shared" si="253"/>
        <v/>
      </c>
      <c r="G7356" t="str">
        <f t="shared" si="254"/>
        <v/>
      </c>
    </row>
    <row r="7357" spans="2:7">
      <c r="B7357" s="6"/>
      <c r="E7357" s="7"/>
      <c r="F7357" t="str">
        <f t="shared" si="253"/>
        <v/>
      </c>
      <c r="G7357" t="str">
        <f t="shared" si="254"/>
        <v/>
      </c>
    </row>
    <row r="7358" spans="2:7">
      <c r="B7358" s="6"/>
      <c r="E7358" s="7"/>
      <c r="F7358" t="str">
        <f t="shared" si="253"/>
        <v/>
      </c>
      <c r="G7358" t="str">
        <f t="shared" si="254"/>
        <v/>
      </c>
    </row>
    <row r="7359" spans="2:7">
      <c r="B7359" s="6"/>
      <c r="E7359" s="7"/>
      <c r="F7359" t="str">
        <f t="shared" si="253"/>
        <v/>
      </c>
      <c r="G7359" t="str">
        <f t="shared" si="254"/>
        <v/>
      </c>
    </row>
    <row r="7360" spans="2:7">
      <c r="B7360" s="6"/>
      <c r="E7360" s="7"/>
      <c r="F7360" t="str">
        <f t="shared" si="253"/>
        <v/>
      </c>
      <c r="G7360" t="str">
        <f t="shared" si="254"/>
        <v/>
      </c>
    </row>
    <row r="7361" spans="2:7">
      <c r="B7361" s="6"/>
      <c r="E7361" s="7"/>
      <c r="F7361" t="str">
        <f t="shared" si="253"/>
        <v/>
      </c>
      <c r="G7361" t="str">
        <f t="shared" si="254"/>
        <v/>
      </c>
    </row>
    <row r="7362" spans="2:7">
      <c r="B7362" s="6"/>
      <c r="E7362" s="7"/>
      <c r="F7362" t="str">
        <f t="shared" si="253"/>
        <v/>
      </c>
      <c r="G7362" t="str">
        <f t="shared" si="254"/>
        <v/>
      </c>
    </row>
    <row r="7363" spans="2:7">
      <c r="B7363" s="6"/>
      <c r="E7363" s="7"/>
      <c r="F7363" t="str">
        <f t="shared" si="253"/>
        <v/>
      </c>
      <c r="G7363" t="str">
        <f t="shared" si="254"/>
        <v/>
      </c>
    </row>
    <row r="7364" spans="2:7">
      <c r="B7364" s="6"/>
      <c r="E7364" s="7"/>
      <c r="F7364" t="str">
        <f t="shared" ref="F7364:F7427" si="255">IF(B7364="","",LOG10(D7364))</f>
        <v/>
      </c>
      <c r="G7364" t="str">
        <f t="shared" ref="G7364:G7427" si="256">IF(E7364="", "",0.434*E7364/D7364)</f>
        <v/>
      </c>
    </row>
    <row r="7365" spans="2:7">
      <c r="B7365" s="6"/>
      <c r="E7365" s="7"/>
      <c r="F7365" t="str">
        <f t="shared" si="255"/>
        <v/>
      </c>
      <c r="G7365" t="str">
        <f t="shared" si="256"/>
        <v/>
      </c>
    </row>
    <row r="7366" spans="2:7">
      <c r="B7366" s="6"/>
      <c r="E7366" s="7"/>
      <c r="F7366" t="str">
        <f t="shared" si="255"/>
        <v/>
      </c>
      <c r="G7366" t="str">
        <f t="shared" si="256"/>
        <v/>
      </c>
    </row>
    <row r="7367" spans="2:7">
      <c r="B7367" s="6"/>
      <c r="E7367" s="7"/>
      <c r="F7367" t="str">
        <f t="shared" si="255"/>
        <v/>
      </c>
      <c r="G7367" t="str">
        <f t="shared" si="256"/>
        <v/>
      </c>
    </row>
    <row r="7368" spans="2:7">
      <c r="B7368" s="6"/>
      <c r="E7368" s="7"/>
      <c r="F7368" t="str">
        <f t="shared" si="255"/>
        <v/>
      </c>
      <c r="G7368" t="str">
        <f t="shared" si="256"/>
        <v/>
      </c>
    </row>
    <row r="7369" spans="2:7">
      <c r="B7369" s="6"/>
      <c r="E7369" s="7"/>
      <c r="F7369" t="str">
        <f t="shared" si="255"/>
        <v/>
      </c>
      <c r="G7369" t="str">
        <f t="shared" si="256"/>
        <v/>
      </c>
    </row>
    <row r="7370" spans="2:7">
      <c r="B7370" s="6"/>
      <c r="E7370" s="7"/>
      <c r="F7370" t="str">
        <f t="shared" si="255"/>
        <v/>
      </c>
      <c r="G7370" t="str">
        <f t="shared" si="256"/>
        <v/>
      </c>
    </row>
    <row r="7371" spans="2:7">
      <c r="B7371" s="6"/>
      <c r="E7371" s="7"/>
      <c r="F7371" t="str">
        <f t="shared" si="255"/>
        <v/>
      </c>
      <c r="G7371" t="str">
        <f t="shared" si="256"/>
        <v/>
      </c>
    </row>
    <row r="7372" spans="2:7">
      <c r="B7372" s="6"/>
      <c r="E7372" s="7"/>
      <c r="F7372" t="str">
        <f t="shared" si="255"/>
        <v/>
      </c>
      <c r="G7372" t="str">
        <f t="shared" si="256"/>
        <v/>
      </c>
    </row>
    <row r="7373" spans="2:7">
      <c r="B7373" s="6"/>
      <c r="E7373" s="7"/>
      <c r="F7373" t="str">
        <f t="shared" si="255"/>
        <v/>
      </c>
      <c r="G7373" t="str">
        <f t="shared" si="256"/>
        <v/>
      </c>
    </row>
    <row r="7374" spans="2:7">
      <c r="B7374" s="6"/>
      <c r="E7374" s="7"/>
      <c r="F7374" t="str">
        <f t="shared" si="255"/>
        <v/>
      </c>
      <c r="G7374" t="str">
        <f t="shared" si="256"/>
        <v/>
      </c>
    </row>
    <row r="7375" spans="2:7">
      <c r="B7375" s="6"/>
      <c r="E7375" s="7"/>
      <c r="F7375" t="str">
        <f t="shared" si="255"/>
        <v/>
      </c>
      <c r="G7375" t="str">
        <f t="shared" si="256"/>
        <v/>
      </c>
    </row>
    <row r="7376" spans="2:7">
      <c r="B7376" s="6"/>
      <c r="E7376" s="7"/>
      <c r="F7376" t="str">
        <f t="shared" si="255"/>
        <v/>
      </c>
      <c r="G7376" t="str">
        <f t="shared" si="256"/>
        <v/>
      </c>
    </row>
    <row r="7377" spans="2:7">
      <c r="B7377" s="6"/>
      <c r="E7377" s="7"/>
      <c r="F7377" t="str">
        <f t="shared" si="255"/>
        <v/>
      </c>
      <c r="G7377" t="str">
        <f t="shared" si="256"/>
        <v/>
      </c>
    </row>
    <row r="7378" spans="2:7">
      <c r="B7378" s="6"/>
      <c r="E7378" s="7"/>
      <c r="F7378" t="str">
        <f t="shared" si="255"/>
        <v/>
      </c>
      <c r="G7378" t="str">
        <f t="shared" si="256"/>
        <v/>
      </c>
    </row>
    <row r="7379" spans="2:7">
      <c r="B7379" s="6"/>
      <c r="E7379" s="7"/>
      <c r="F7379" t="str">
        <f t="shared" si="255"/>
        <v/>
      </c>
      <c r="G7379" t="str">
        <f t="shared" si="256"/>
        <v/>
      </c>
    </row>
    <row r="7380" spans="2:7">
      <c r="B7380" s="6"/>
      <c r="E7380" s="7"/>
      <c r="F7380" t="str">
        <f t="shared" si="255"/>
        <v/>
      </c>
      <c r="G7380" t="str">
        <f t="shared" si="256"/>
        <v/>
      </c>
    </row>
    <row r="7381" spans="2:7">
      <c r="B7381" s="6"/>
      <c r="E7381" s="7"/>
      <c r="F7381" t="str">
        <f t="shared" si="255"/>
        <v/>
      </c>
      <c r="G7381" t="str">
        <f t="shared" si="256"/>
        <v/>
      </c>
    </row>
    <row r="7382" spans="2:7">
      <c r="B7382" s="6"/>
      <c r="E7382" s="7"/>
      <c r="F7382" t="str">
        <f t="shared" si="255"/>
        <v/>
      </c>
      <c r="G7382" t="str">
        <f t="shared" si="256"/>
        <v/>
      </c>
    </row>
    <row r="7383" spans="2:7">
      <c r="B7383" s="6"/>
      <c r="E7383" s="7"/>
      <c r="F7383" t="str">
        <f t="shared" si="255"/>
        <v/>
      </c>
      <c r="G7383" t="str">
        <f t="shared" si="256"/>
        <v/>
      </c>
    </row>
    <row r="7384" spans="2:7">
      <c r="B7384" s="6"/>
      <c r="E7384" s="7"/>
      <c r="F7384" t="str">
        <f t="shared" si="255"/>
        <v/>
      </c>
      <c r="G7384" t="str">
        <f t="shared" si="256"/>
        <v/>
      </c>
    </row>
    <row r="7385" spans="2:7">
      <c r="B7385" s="6"/>
      <c r="E7385" s="7"/>
      <c r="F7385" t="str">
        <f t="shared" si="255"/>
        <v/>
      </c>
      <c r="G7385" t="str">
        <f t="shared" si="256"/>
        <v/>
      </c>
    </row>
    <row r="7386" spans="2:7">
      <c r="B7386" s="6"/>
      <c r="E7386" s="7"/>
      <c r="F7386" t="str">
        <f t="shared" si="255"/>
        <v/>
      </c>
      <c r="G7386" t="str">
        <f t="shared" si="256"/>
        <v/>
      </c>
    </row>
    <row r="7387" spans="2:7">
      <c r="B7387" s="6"/>
      <c r="E7387" s="7"/>
      <c r="F7387" t="str">
        <f t="shared" si="255"/>
        <v/>
      </c>
      <c r="G7387" t="str">
        <f t="shared" si="256"/>
        <v/>
      </c>
    </row>
    <row r="7388" spans="2:7">
      <c r="B7388" s="6"/>
      <c r="E7388" s="7"/>
      <c r="F7388" t="str">
        <f t="shared" si="255"/>
        <v/>
      </c>
      <c r="G7388" t="str">
        <f t="shared" si="256"/>
        <v/>
      </c>
    </row>
    <row r="7389" spans="2:7">
      <c r="B7389" s="6"/>
      <c r="E7389" s="7"/>
      <c r="F7389" t="str">
        <f t="shared" si="255"/>
        <v/>
      </c>
      <c r="G7389" t="str">
        <f t="shared" si="256"/>
        <v/>
      </c>
    </row>
    <row r="7390" spans="2:7">
      <c r="B7390" s="6"/>
      <c r="E7390" s="7"/>
      <c r="F7390" t="str">
        <f t="shared" si="255"/>
        <v/>
      </c>
      <c r="G7390" t="str">
        <f t="shared" si="256"/>
        <v/>
      </c>
    </row>
    <row r="7391" spans="2:7">
      <c r="B7391" s="6"/>
      <c r="E7391" s="7"/>
      <c r="F7391" t="str">
        <f t="shared" si="255"/>
        <v/>
      </c>
      <c r="G7391" t="str">
        <f t="shared" si="256"/>
        <v/>
      </c>
    </row>
    <row r="7392" spans="2:7">
      <c r="B7392" s="6"/>
      <c r="E7392" s="7"/>
      <c r="F7392" t="str">
        <f t="shared" si="255"/>
        <v/>
      </c>
      <c r="G7392" t="str">
        <f t="shared" si="256"/>
        <v/>
      </c>
    </row>
    <row r="7393" spans="2:7">
      <c r="B7393" s="6"/>
      <c r="E7393" s="7"/>
      <c r="F7393" t="str">
        <f t="shared" si="255"/>
        <v/>
      </c>
      <c r="G7393" t="str">
        <f t="shared" si="256"/>
        <v/>
      </c>
    </row>
    <row r="7394" spans="2:7">
      <c r="B7394" s="6"/>
      <c r="E7394" s="7"/>
      <c r="F7394" t="str">
        <f t="shared" si="255"/>
        <v/>
      </c>
      <c r="G7394" t="str">
        <f t="shared" si="256"/>
        <v/>
      </c>
    </row>
    <row r="7395" spans="2:7">
      <c r="B7395" s="6"/>
      <c r="E7395" s="7"/>
      <c r="F7395" t="str">
        <f t="shared" si="255"/>
        <v/>
      </c>
      <c r="G7395" t="str">
        <f t="shared" si="256"/>
        <v/>
      </c>
    </row>
    <row r="7396" spans="2:7">
      <c r="B7396" s="6"/>
      <c r="E7396" s="7"/>
      <c r="F7396" t="str">
        <f t="shared" si="255"/>
        <v/>
      </c>
      <c r="G7396" t="str">
        <f t="shared" si="256"/>
        <v/>
      </c>
    </row>
    <row r="7397" spans="2:7">
      <c r="B7397" s="6"/>
      <c r="E7397" s="7"/>
      <c r="F7397" t="str">
        <f t="shared" si="255"/>
        <v/>
      </c>
      <c r="G7397" t="str">
        <f t="shared" si="256"/>
        <v/>
      </c>
    </row>
    <row r="7398" spans="2:7">
      <c r="B7398" s="6"/>
      <c r="E7398" s="7"/>
      <c r="F7398" t="str">
        <f t="shared" si="255"/>
        <v/>
      </c>
      <c r="G7398" t="str">
        <f t="shared" si="256"/>
        <v/>
      </c>
    </row>
    <row r="7399" spans="2:7">
      <c r="B7399" s="6"/>
      <c r="E7399" s="7"/>
      <c r="F7399" t="str">
        <f t="shared" si="255"/>
        <v/>
      </c>
      <c r="G7399" t="str">
        <f t="shared" si="256"/>
        <v/>
      </c>
    </row>
    <row r="7400" spans="2:7">
      <c r="B7400" s="6"/>
      <c r="E7400" s="7"/>
      <c r="F7400" t="str">
        <f t="shared" si="255"/>
        <v/>
      </c>
      <c r="G7400" t="str">
        <f t="shared" si="256"/>
        <v/>
      </c>
    </row>
    <row r="7401" spans="2:7">
      <c r="B7401" s="6"/>
      <c r="E7401" s="7"/>
      <c r="F7401" t="str">
        <f t="shared" si="255"/>
        <v/>
      </c>
      <c r="G7401" t="str">
        <f t="shared" si="256"/>
        <v/>
      </c>
    </row>
    <row r="7402" spans="2:7">
      <c r="B7402" s="6"/>
      <c r="E7402" s="7"/>
      <c r="F7402" t="str">
        <f t="shared" si="255"/>
        <v/>
      </c>
      <c r="G7402" t="str">
        <f t="shared" si="256"/>
        <v/>
      </c>
    </row>
    <row r="7403" spans="2:7">
      <c r="B7403" s="6"/>
      <c r="E7403" s="7"/>
      <c r="F7403" t="str">
        <f t="shared" si="255"/>
        <v/>
      </c>
      <c r="G7403" t="str">
        <f t="shared" si="256"/>
        <v/>
      </c>
    </row>
    <row r="7404" spans="2:7">
      <c r="B7404" s="6"/>
      <c r="E7404" s="7"/>
      <c r="F7404" t="str">
        <f t="shared" si="255"/>
        <v/>
      </c>
      <c r="G7404" t="str">
        <f t="shared" si="256"/>
        <v/>
      </c>
    </row>
    <row r="7405" spans="2:7">
      <c r="B7405" s="6"/>
      <c r="E7405" s="7"/>
      <c r="F7405" t="str">
        <f t="shared" si="255"/>
        <v/>
      </c>
      <c r="G7405" t="str">
        <f t="shared" si="256"/>
        <v/>
      </c>
    </row>
    <row r="7406" spans="2:7">
      <c r="B7406" s="6"/>
      <c r="E7406" s="7"/>
      <c r="F7406" t="str">
        <f t="shared" si="255"/>
        <v/>
      </c>
      <c r="G7406" t="str">
        <f t="shared" si="256"/>
        <v/>
      </c>
    </row>
    <row r="7407" spans="2:7">
      <c r="B7407" s="6"/>
      <c r="E7407" s="7"/>
      <c r="F7407" t="str">
        <f t="shared" si="255"/>
        <v/>
      </c>
      <c r="G7407" t="str">
        <f t="shared" si="256"/>
        <v/>
      </c>
    </row>
    <row r="7408" spans="2:7">
      <c r="B7408" s="6"/>
      <c r="E7408" s="7"/>
      <c r="F7408" t="str">
        <f t="shared" si="255"/>
        <v/>
      </c>
      <c r="G7408" t="str">
        <f t="shared" si="256"/>
        <v/>
      </c>
    </row>
    <row r="7409" spans="2:7">
      <c r="B7409" s="6"/>
      <c r="E7409" s="7"/>
      <c r="F7409" t="str">
        <f t="shared" si="255"/>
        <v/>
      </c>
      <c r="G7409" t="str">
        <f t="shared" si="256"/>
        <v/>
      </c>
    </row>
    <row r="7410" spans="2:7">
      <c r="B7410" s="6"/>
      <c r="E7410" s="7"/>
      <c r="F7410" t="str">
        <f t="shared" si="255"/>
        <v/>
      </c>
      <c r="G7410" t="str">
        <f t="shared" si="256"/>
        <v/>
      </c>
    </row>
    <row r="7411" spans="2:7">
      <c r="B7411" s="6"/>
      <c r="E7411" s="7"/>
      <c r="F7411" t="str">
        <f t="shared" si="255"/>
        <v/>
      </c>
      <c r="G7411" t="str">
        <f t="shared" si="256"/>
        <v/>
      </c>
    </row>
    <row r="7412" spans="2:7">
      <c r="B7412" s="6"/>
      <c r="E7412" s="7"/>
      <c r="F7412" t="str">
        <f t="shared" si="255"/>
        <v/>
      </c>
      <c r="G7412" t="str">
        <f t="shared" si="256"/>
        <v/>
      </c>
    </row>
    <row r="7413" spans="2:7">
      <c r="B7413" s="6"/>
      <c r="E7413" s="7"/>
      <c r="F7413" t="str">
        <f t="shared" si="255"/>
        <v/>
      </c>
      <c r="G7413" t="str">
        <f t="shared" si="256"/>
        <v/>
      </c>
    </row>
    <row r="7414" spans="2:7">
      <c r="B7414" s="6"/>
      <c r="E7414" s="7"/>
      <c r="F7414" t="str">
        <f t="shared" si="255"/>
        <v/>
      </c>
      <c r="G7414" t="str">
        <f t="shared" si="256"/>
        <v/>
      </c>
    </row>
    <row r="7415" spans="2:7">
      <c r="B7415" s="6"/>
      <c r="E7415" s="7"/>
      <c r="F7415" t="str">
        <f t="shared" si="255"/>
        <v/>
      </c>
      <c r="G7415" t="str">
        <f t="shared" si="256"/>
        <v/>
      </c>
    </row>
    <row r="7416" spans="2:7">
      <c r="B7416" s="6"/>
      <c r="E7416" s="7"/>
      <c r="F7416" t="str">
        <f t="shared" si="255"/>
        <v/>
      </c>
      <c r="G7416" t="str">
        <f t="shared" si="256"/>
        <v/>
      </c>
    </row>
    <row r="7417" spans="2:7">
      <c r="B7417" s="6"/>
      <c r="E7417" s="7"/>
      <c r="F7417" t="str">
        <f t="shared" si="255"/>
        <v/>
      </c>
      <c r="G7417" t="str">
        <f t="shared" si="256"/>
        <v/>
      </c>
    </row>
    <row r="7418" spans="2:7">
      <c r="B7418" s="6"/>
      <c r="E7418" s="7"/>
      <c r="F7418" t="str">
        <f t="shared" si="255"/>
        <v/>
      </c>
      <c r="G7418" t="str">
        <f t="shared" si="256"/>
        <v/>
      </c>
    </row>
    <row r="7419" spans="2:7">
      <c r="B7419" s="6"/>
      <c r="E7419" s="7"/>
      <c r="F7419" t="str">
        <f t="shared" si="255"/>
        <v/>
      </c>
      <c r="G7419" t="str">
        <f t="shared" si="256"/>
        <v/>
      </c>
    </row>
    <row r="7420" spans="2:7">
      <c r="B7420" s="6"/>
      <c r="E7420" s="7"/>
      <c r="F7420" t="str">
        <f t="shared" si="255"/>
        <v/>
      </c>
      <c r="G7420" t="str">
        <f t="shared" si="256"/>
        <v/>
      </c>
    </row>
    <row r="7421" spans="2:7">
      <c r="B7421" s="6"/>
      <c r="E7421" s="7"/>
      <c r="F7421" t="str">
        <f t="shared" si="255"/>
        <v/>
      </c>
      <c r="G7421" t="str">
        <f t="shared" si="256"/>
        <v/>
      </c>
    </row>
    <row r="7422" spans="2:7">
      <c r="B7422" s="6"/>
      <c r="E7422" s="7"/>
      <c r="F7422" t="str">
        <f t="shared" si="255"/>
        <v/>
      </c>
      <c r="G7422" t="str">
        <f t="shared" si="256"/>
        <v/>
      </c>
    </row>
    <row r="7423" spans="2:7">
      <c r="B7423" s="6"/>
      <c r="E7423" s="7"/>
      <c r="F7423" t="str">
        <f t="shared" si="255"/>
        <v/>
      </c>
      <c r="G7423" t="str">
        <f t="shared" si="256"/>
        <v/>
      </c>
    </row>
    <row r="7424" spans="2:7">
      <c r="B7424" s="6"/>
      <c r="E7424" s="7"/>
      <c r="F7424" t="str">
        <f t="shared" si="255"/>
        <v/>
      </c>
      <c r="G7424" t="str">
        <f t="shared" si="256"/>
        <v/>
      </c>
    </row>
    <row r="7425" spans="2:7">
      <c r="B7425" s="6"/>
      <c r="E7425" s="7"/>
      <c r="F7425" t="str">
        <f t="shared" si="255"/>
        <v/>
      </c>
      <c r="G7425" t="str">
        <f t="shared" si="256"/>
        <v/>
      </c>
    </row>
    <row r="7426" spans="2:7">
      <c r="B7426" s="6"/>
      <c r="E7426" s="7"/>
      <c r="F7426" t="str">
        <f t="shared" si="255"/>
        <v/>
      </c>
      <c r="G7426" t="str">
        <f t="shared" si="256"/>
        <v/>
      </c>
    </row>
    <row r="7427" spans="2:7">
      <c r="B7427" s="6"/>
      <c r="E7427" s="7"/>
      <c r="F7427" t="str">
        <f t="shared" si="255"/>
        <v/>
      </c>
      <c r="G7427" t="str">
        <f t="shared" si="256"/>
        <v/>
      </c>
    </row>
    <row r="7428" spans="2:7">
      <c r="B7428" s="6"/>
      <c r="E7428" s="7"/>
      <c r="F7428" t="str">
        <f t="shared" ref="F7428:F7491" si="257">IF(B7428="","",LOG10(D7428))</f>
        <v/>
      </c>
      <c r="G7428" t="str">
        <f t="shared" ref="G7428:G7491" si="258">IF(E7428="", "",0.434*E7428/D7428)</f>
        <v/>
      </c>
    </row>
    <row r="7429" spans="2:7">
      <c r="B7429" s="6"/>
      <c r="E7429" s="7"/>
      <c r="F7429" t="str">
        <f t="shared" si="257"/>
        <v/>
      </c>
      <c r="G7429" t="str">
        <f t="shared" si="258"/>
        <v/>
      </c>
    </row>
    <row r="7430" spans="2:7">
      <c r="B7430" s="6"/>
      <c r="E7430" s="7"/>
      <c r="F7430" t="str">
        <f t="shared" si="257"/>
        <v/>
      </c>
      <c r="G7430" t="str">
        <f t="shared" si="258"/>
        <v/>
      </c>
    </row>
    <row r="7431" spans="2:7">
      <c r="B7431" s="6"/>
      <c r="E7431" s="7"/>
      <c r="F7431" t="str">
        <f t="shared" si="257"/>
        <v/>
      </c>
      <c r="G7431" t="str">
        <f t="shared" si="258"/>
        <v/>
      </c>
    </row>
    <row r="7432" spans="2:7">
      <c r="B7432" s="6"/>
      <c r="E7432" s="7"/>
      <c r="F7432" t="str">
        <f t="shared" si="257"/>
        <v/>
      </c>
      <c r="G7432" t="str">
        <f t="shared" si="258"/>
        <v/>
      </c>
    </row>
    <row r="7433" spans="2:7">
      <c r="B7433" s="6"/>
      <c r="E7433" s="7"/>
      <c r="F7433" t="str">
        <f t="shared" si="257"/>
        <v/>
      </c>
      <c r="G7433" t="str">
        <f t="shared" si="258"/>
        <v/>
      </c>
    </row>
    <row r="7434" spans="2:7">
      <c r="B7434" s="6"/>
      <c r="E7434" s="7"/>
      <c r="F7434" t="str">
        <f t="shared" si="257"/>
        <v/>
      </c>
      <c r="G7434" t="str">
        <f t="shared" si="258"/>
        <v/>
      </c>
    </row>
    <row r="7435" spans="2:7">
      <c r="B7435" s="6"/>
      <c r="E7435" s="7"/>
      <c r="F7435" t="str">
        <f t="shared" si="257"/>
        <v/>
      </c>
      <c r="G7435" t="str">
        <f t="shared" si="258"/>
        <v/>
      </c>
    </row>
    <row r="7436" spans="2:7">
      <c r="B7436" s="6"/>
      <c r="E7436" s="7"/>
      <c r="F7436" t="str">
        <f t="shared" si="257"/>
        <v/>
      </c>
      <c r="G7436" t="str">
        <f t="shared" si="258"/>
        <v/>
      </c>
    </row>
    <row r="7437" spans="2:7">
      <c r="B7437" s="6"/>
      <c r="E7437" s="7"/>
      <c r="F7437" t="str">
        <f t="shared" si="257"/>
        <v/>
      </c>
      <c r="G7437" t="str">
        <f t="shared" si="258"/>
        <v/>
      </c>
    </row>
    <row r="7438" spans="2:7">
      <c r="B7438" s="6"/>
      <c r="E7438" s="7"/>
      <c r="F7438" t="str">
        <f t="shared" si="257"/>
        <v/>
      </c>
      <c r="G7438" t="str">
        <f t="shared" si="258"/>
        <v/>
      </c>
    </row>
    <row r="7439" spans="2:7">
      <c r="B7439" s="6"/>
      <c r="E7439" s="7"/>
      <c r="F7439" t="str">
        <f t="shared" si="257"/>
        <v/>
      </c>
      <c r="G7439" t="str">
        <f t="shared" si="258"/>
        <v/>
      </c>
    </row>
    <row r="7440" spans="2:7">
      <c r="B7440" s="6"/>
      <c r="E7440" s="7"/>
      <c r="F7440" t="str">
        <f t="shared" si="257"/>
        <v/>
      </c>
      <c r="G7440" t="str">
        <f t="shared" si="258"/>
        <v/>
      </c>
    </row>
    <row r="7441" spans="2:7">
      <c r="B7441" s="6"/>
      <c r="E7441" s="7"/>
      <c r="F7441" t="str">
        <f t="shared" si="257"/>
        <v/>
      </c>
      <c r="G7441" t="str">
        <f t="shared" si="258"/>
        <v/>
      </c>
    </row>
    <row r="7442" spans="2:7">
      <c r="B7442" s="6"/>
      <c r="E7442" s="7"/>
      <c r="F7442" t="str">
        <f t="shared" si="257"/>
        <v/>
      </c>
      <c r="G7442" t="str">
        <f t="shared" si="258"/>
        <v/>
      </c>
    </row>
    <row r="7443" spans="2:7">
      <c r="B7443" s="6"/>
      <c r="E7443" s="7"/>
      <c r="F7443" t="str">
        <f t="shared" si="257"/>
        <v/>
      </c>
      <c r="G7443" t="str">
        <f t="shared" si="258"/>
        <v/>
      </c>
    </row>
    <row r="7444" spans="2:7">
      <c r="B7444" s="6"/>
      <c r="E7444" s="7"/>
      <c r="F7444" t="str">
        <f t="shared" si="257"/>
        <v/>
      </c>
      <c r="G7444" t="str">
        <f t="shared" si="258"/>
        <v/>
      </c>
    </row>
    <row r="7445" spans="2:7">
      <c r="B7445" s="6"/>
      <c r="E7445" s="7"/>
      <c r="F7445" t="str">
        <f t="shared" si="257"/>
        <v/>
      </c>
      <c r="G7445" t="str">
        <f t="shared" si="258"/>
        <v/>
      </c>
    </row>
    <row r="7446" spans="2:7">
      <c r="B7446" s="6"/>
      <c r="E7446" s="7"/>
      <c r="F7446" t="str">
        <f t="shared" si="257"/>
        <v/>
      </c>
      <c r="G7446" t="str">
        <f t="shared" si="258"/>
        <v/>
      </c>
    </row>
    <row r="7447" spans="2:7">
      <c r="B7447" s="6"/>
      <c r="E7447" s="7"/>
      <c r="F7447" t="str">
        <f t="shared" si="257"/>
        <v/>
      </c>
      <c r="G7447" t="str">
        <f t="shared" si="258"/>
        <v/>
      </c>
    </row>
    <row r="7448" spans="2:7">
      <c r="B7448" s="6"/>
      <c r="E7448" s="7"/>
      <c r="F7448" t="str">
        <f t="shared" si="257"/>
        <v/>
      </c>
      <c r="G7448" t="str">
        <f t="shared" si="258"/>
        <v/>
      </c>
    </row>
    <row r="7449" spans="2:7">
      <c r="B7449" s="6"/>
      <c r="E7449" s="7"/>
      <c r="F7449" t="str">
        <f t="shared" si="257"/>
        <v/>
      </c>
      <c r="G7449" t="str">
        <f t="shared" si="258"/>
        <v/>
      </c>
    </row>
    <row r="7450" spans="2:7">
      <c r="B7450" s="6"/>
      <c r="E7450" s="7"/>
      <c r="F7450" t="str">
        <f t="shared" si="257"/>
        <v/>
      </c>
      <c r="G7450" t="str">
        <f t="shared" si="258"/>
        <v/>
      </c>
    </row>
    <row r="7451" spans="2:7">
      <c r="B7451" s="6"/>
      <c r="E7451" s="7"/>
      <c r="F7451" t="str">
        <f t="shared" si="257"/>
        <v/>
      </c>
      <c r="G7451" t="str">
        <f t="shared" si="258"/>
        <v/>
      </c>
    </row>
    <row r="7452" spans="2:7">
      <c r="B7452" s="6"/>
      <c r="E7452" s="7"/>
      <c r="F7452" t="str">
        <f t="shared" si="257"/>
        <v/>
      </c>
      <c r="G7452" t="str">
        <f t="shared" si="258"/>
        <v/>
      </c>
    </row>
    <row r="7453" spans="2:7">
      <c r="B7453" s="6"/>
      <c r="E7453" s="7"/>
      <c r="F7453" t="str">
        <f t="shared" si="257"/>
        <v/>
      </c>
      <c r="G7453" t="str">
        <f t="shared" si="258"/>
        <v/>
      </c>
    </row>
    <row r="7454" spans="2:7">
      <c r="B7454" s="6"/>
      <c r="E7454" s="7"/>
      <c r="F7454" t="str">
        <f t="shared" si="257"/>
        <v/>
      </c>
      <c r="G7454" t="str">
        <f t="shared" si="258"/>
        <v/>
      </c>
    </row>
    <row r="7455" spans="2:7">
      <c r="B7455" s="6"/>
      <c r="E7455" s="7"/>
      <c r="F7455" t="str">
        <f t="shared" si="257"/>
        <v/>
      </c>
      <c r="G7455" t="str">
        <f t="shared" si="258"/>
        <v/>
      </c>
    </row>
    <row r="7456" spans="2:7">
      <c r="B7456" s="6"/>
      <c r="E7456" s="7"/>
      <c r="F7456" t="str">
        <f t="shared" si="257"/>
        <v/>
      </c>
      <c r="G7456" t="str">
        <f t="shared" si="258"/>
        <v/>
      </c>
    </row>
    <row r="7457" spans="2:7">
      <c r="B7457" s="6"/>
      <c r="E7457" s="7"/>
      <c r="F7457" t="str">
        <f t="shared" si="257"/>
        <v/>
      </c>
      <c r="G7457" t="str">
        <f t="shared" si="258"/>
        <v/>
      </c>
    </row>
    <row r="7458" spans="2:7">
      <c r="B7458" s="6"/>
      <c r="E7458" s="7"/>
      <c r="F7458" t="str">
        <f t="shared" si="257"/>
        <v/>
      </c>
      <c r="G7458" t="str">
        <f t="shared" si="258"/>
        <v/>
      </c>
    </row>
    <row r="7459" spans="2:7">
      <c r="B7459" s="6"/>
      <c r="E7459" s="7"/>
      <c r="F7459" t="str">
        <f t="shared" si="257"/>
        <v/>
      </c>
      <c r="G7459" t="str">
        <f t="shared" si="258"/>
        <v/>
      </c>
    </row>
    <row r="7460" spans="2:7">
      <c r="B7460" s="6"/>
      <c r="E7460" s="7"/>
      <c r="F7460" t="str">
        <f t="shared" si="257"/>
        <v/>
      </c>
      <c r="G7460" t="str">
        <f t="shared" si="258"/>
        <v/>
      </c>
    </row>
    <row r="7461" spans="2:7">
      <c r="B7461" s="6"/>
      <c r="E7461" s="7"/>
      <c r="F7461" t="str">
        <f t="shared" si="257"/>
        <v/>
      </c>
      <c r="G7461" t="str">
        <f t="shared" si="258"/>
        <v/>
      </c>
    </row>
    <row r="7462" spans="2:7">
      <c r="B7462" s="6"/>
      <c r="E7462" s="7"/>
      <c r="F7462" t="str">
        <f t="shared" si="257"/>
        <v/>
      </c>
      <c r="G7462" t="str">
        <f t="shared" si="258"/>
        <v/>
      </c>
    </row>
    <row r="7463" spans="2:7">
      <c r="B7463" s="6"/>
      <c r="E7463" s="7"/>
      <c r="F7463" t="str">
        <f t="shared" si="257"/>
        <v/>
      </c>
      <c r="G7463" t="str">
        <f t="shared" si="258"/>
        <v/>
      </c>
    </row>
    <row r="7464" spans="2:7">
      <c r="B7464" s="6"/>
      <c r="E7464" s="7"/>
      <c r="F7464" t="str">
        <f t="shared" si="257"/>
        <v/>
      </c>
      <c r="G7464" t="str">
        <f t="shared" si="258"/>
        <v/>
      </c>
    </row>
    <row r="7465" spans="2:7">
      <c r="B7465" s="6"/>
      <c r="E7465" s="7"/>
      <c r="F7465" t="str">
        <f t="shared" si="257"/>
        <v/>
      </c>
      <c r="G7465" t="str">
        <f t="shared" si="258"/>
        <v/>
      </c>
    </row>
    <row r="7466" spans="2:7">
      <c r="B7466" s="6"/>
      <c r="E7466" s="7"/>
      <c r="F7466" t="str">
        <f t="shared" si="257"/>
        <v/>
      </c>
      <c r="G7466" t="str">
        <f t="shared" si="258"/>
        <v/>
      </c>
    </row>
    <row r="7467" spans="2:7">
      <c r="B7467" s="6"/>
      <c r="E7467" s="7"/>
      <c r="F7467" t="str">
        <f t="shared" si="257"/>
        <v/>
      </c>
      <c r="G7467" t="str">
        <f t="shared" si="258"/>
        <v/>
      </c>
    </row>
    <row r="7468" spans="2:7">
      <c r="B7468" s="6"/>
      <c r="E7468" s="7"/>
      <c r="F7468" t="str">
        <f t="shared" si="257"/>
        <v/>
      </c>
      <c r="G7468" t="str">
        <f t="shared" si="258"/>
        <v/>
      </c>
    </row>
    <row r="7469" spans="2:7">
      <c r="B7469" s="6"/>
      <c r="E7469" s="7"/>
      <c r="F7469" t="str">
        <f t="shared" si="257"/>
        <v/>
      </c>
      <c r="G7469" t="str">
        <f t="shared" si="258"/>
        <v/>
      </c>
    </row>
    <row r="7470" spans="2:7">
      <c r="B7470" s="6"/>
      <c r="E7470" s="7"/>
      <c r="F7470" t="str">
        <f t="shared" si="257"/>
        <v/>
      </c>
      <c r="G7470" t="str">
        <f t="shared" si="258"/>
        <v/>
      </c>
    </row>
    <row r="7471" spans="2:7">
      <c r="B7471" s="6"/>
      <c r="E7471" s="7"/>
      <c r="F7471" t="str">
        <f t="shared" si="257"/>
        <v/>
      </c>
      <c r="G7471" t="str">
        <f t="shared" si="258"/>
        <v/>
      </c>
    </row>
    <row r="7472" spans="2:7">
      <c r="B7472" s="6"/>
      <c r="E7472" s="7"/>
      <c r="F7472" t="str">
        <f t="shared" si="257"/>
        <v/>
      </c>
      <c r="G7472" t="str">
        <f t="shared" si="258"/>
        <v/>
      </c>
    </row>
    <row r="7473" spans="2:7">
      <c r="B7473" s="6"/>
      <c r="E7473" s="7"/>
      <c r="F7473" t="str">
        <f t="shared" si="257"/>
        <v/>
      </c>
      <c r="G7473" t="str">
        <f t="shared" si="258"/>
        <v/>
      </c>
    </row>
    <row r="7474" spans="2:7">
      <c r="B7474" s="6"/>
      <c r="E7474" s="7"/>
      <c r="F7474" t="str">
        <f t="shared" si="257"/>
        <v/>
      </c>
      <c r="G7474" t="str">
        <f t="shared" si="258"/>
        <v/>
      </c>
    </row>
    <row r="7475" spans="2:7">
      <c r="B7475" s="6"/>
      <c r="E7475" s="7"/>
      <c r="F7475" t="str">
        <f t="shared" si="257"/>
        <v/>
      </c>
      <c r="G7475" t="str">
        <f t="shared" si="258"/>
        <v/>
      </c>
    </row>
    <row r="7476" spans="2:7">
      <c r="B7476" s="6"/>
      <c r="E7476" s="7"/>
      <c r="F7476" t="str">
        <f t="shared" si="257"/>
        <v/>
      </c>
      <c r="G7476" t="str">
        <f t="shared" si="258"/>
        <v/>
      </c>
    </row>
    <row r="7477" spans="2:7">
      <c r="B7477" s="6"/>
      <c r="E7477" s="7"/>
      <c r="F7477" t="str">
        <f t="shared" si="257"/>
        <v/>
      </c>
      <c r="G7477" t="str">
        <f t="shared" si="258"/>
        <v/>
      </c>
    </row>
    <row r="7478" spans="2:7">
      <c r="B7478" s="6"/>
      <c r="E7478" s="7"/>
      <c r="F7478" t="str">
        <f t="shared" si="257"/>
        <v/>
      </c>
      <c r="G7478" t="str">
        <f t="shared" si="258"/>
        <v/>
      </c>
    </row>
    <row r="7479" spans="2:7">
      <c r="B7479" s="6"/>
      <c r="E7479" s="7"/>
      <c r="F7479" t="str">
        <f t="shared" si="257"/>
        <v/>
      </c>
      <c r="G7479" t="str">
        <f t="shared" si="258"/>
        <v/>
      </c>
    </row>
    <row r="7480" spans="2:7">
      <c r="B7480" s="6"/>
      <c r="E7480" s="7"/>
      <c r="F7480" t="str">
        <f t="shared" si="257"/>
        <v/>
      </c>
      <c r="G7480" t="str">
        <f t="shared" si="258"/>
        <v/>
      </c>
    </row>
    <row r="7481" spans="2:7">
      <c r="B7481" s="6"/>
      <c r="E7481" s="7"/>
      <c r="F7481" t="str">
        <f t="shared" si="257"/>
        <v/>
      </c>
      <c r="G7481" t="str">
        <f t="shared" si="258"/>
        <v/>
      </c>
    </row>
    <row r="7482" spans="2:7">
      <c r="B7482" s="6"/>
      <c r="E7482" s="7"/>
      <c r="F7482" t="str">
        <f t="shared" si="257"/>
        <v/>
      </c>
      <c r="G7482" t="str">
        <f t="shared" si="258"/>
        <v/>
      </c>
    </row>
    <row r="7483" spans="2:7">
      <c r="B7483" s="6"/>
      <c r="E7483" s="7"/>
      <c r="F7483" t="str">
        <f t="shared" si="257"/>
        <v/>
      </c>
      <c r="G7483" t="str">
        <f t="shared" si="258"/>
        <v/>
      </c>
    </row>
    <row r="7484" spans="2:7">
      <c r="B7484" s="6"/>
      <c r="E7484" s="7"/>
      <c r="F7484" t="str">
        <f t="shared" si="257"/>
        <v/>
      </c>
      <c r="G7484" t="str">
        <f t="shared" si="258"/>
        <v/>
      </c>
    </row>
    <row r="7485" spans="2:7">
      <c r="B7485" s="6"/>
      <c r="E7485" s="7"/>
      <c r="F7485" t="str">
        <f t="shared" si="257"/>
        <v/>
      </c>
      <c r="G7485" t="str">
        <f t="shared" si="258"/>
        <v/>
      </c>
    </row>
    <row r="7486" spans="2:7">
      <c r="B7486" s="6"/>
      <c r="E7486" s="7"/>
      <c r="F7486" t="str">
        <f t="shared" si="257"/>
        <v/>
      </c>
      <c r="G7486" t="str">
        <f t="shared" si="258"/>
        <v/>
      </c>
    </row>
    <row r="7487" spans="2:7">
      <c r="B7487" s="6"/>
      <c r="E7487" s="7"/>
      <c r="F7487" t="str">
        <f t="shared" si="257"/>
        <v/>
      </c>
      <c r="G7487" t="str">
        <f t="shared" si="258"/>
        <v/>
      </c>
    </row>
    <row r="7488" spans="2:7">
      <c r="B7488" s="6"/>
      <c r="E7488" s="7"/>
      <c r="F7488" t="str">
        <f t="shared" si="257"/>
        <v/>
      </c>
      <c r="G7488" t="str">
        <f t="shared" si="258"/>
        <v/>
      </c>
    </row>
    <row r="7489" spans="2:7">
      <c r="B7489" s="6"/>
      <c r="E7489" s="7"/>
      <c r="F7489" t="str">
        <f t="shared" si="257"/>
        <v/>
      </c>
      <c r="G7489" t="str">
        <f t="shared" si="258"/>
        <v/>
      </c>
    </row>
    <row r="7490" spans="2:7">
      <c r="B7490" s="6"/>
      <c r="E7490" s="7"/>
      <c r="F7490" t="str">
        <f t="shared" si="257"/>
        <v/>
      </c>
      <c r="G7490" t="str">
        <f t="shared" si="258"/>
        <v/>
      </c>
    </row>
    <row r="7491" spans="2:7">
      <c r="B7491" s="6"/>
      <c r="E7491" s="7"/>
      <c r="F7491" t="str">
        <f t="shared" si="257"/>
        <v/>
      </c>
      <c r="G7491" t="str">
        <f t="shared" si="258"/>
        <v/>
      </c>
    </row>
    <row r="7492" spans="2:7">
      <c r="B7492" s="6"/>
      <c r="E7492" s="7"/>
      <c r="F7492" t="str">
        <f t="shared" ref="F7492:F7555" si="259">IF(B7492="","",LOG10(D7492))</f>
        <v/>
      </c>
      <c r="G7492" t="str">
        <f t="shared" ref="G7492:G7555" si="260">IF(E7492="", "",0.434*E7492/D7492)</f>
        <v/>
      </c>
    </row>
    <row r="7493" spans="2:7">
      <c r="B7493" s="6"/>
      <c r="E7493" s="7"/>
      <c r="F7493" t="str">
        <f t="shared" si="259"/>
        <v/>
      </c>
      <c r="G7493" t="str">
        <f t="shared" si="260"/>
        <v/>
      </c>
    </row>
    <row r="7494" spans="2:7">
      <c r="B7494" s="6"/>
      <c r="E7494" s="7"/>
      <c r="F7494" t="str">
        <f t="shared" si="259"/>
        <v/>
      </c>
      <c r="G7494" t="str">
        <f t="shared" si="260"/>
        <v/>
      </c>
    </row>
    <row r="7495" spans="2:7">
      <c r="B7495" s="6"/>
      <c r="E7495" s="7"/>
      <c r="F7495" t="str">
        <f t="shared" si="259"/>
        <v/>
      </c>
      <c r="G7495" t="str">
        <f t="shared" si="260"/>
        <v/>
      </c>
    </row>
    <row r="7496" spans="2:7">
      <c r="B7496" s="6"/>
      <c r="E7496" s="7"/>
      <c r="F7496" t="str">
        <f t="shared" si="259"/>
        <v/>
      </c>
      <c r="G7496" t="str">
        <f t="shared" si="260"/>
        <v/>
      </c>
    </row>
    <row r="7497" spans="2:7">
      <c r="B7497" s="6"/>
      <c r="E7497" s="7"/>
      <c r="F7497" t="str">
        <f t="shared" si="259"/>
        <v/>
      </c>
      <c r="G7497" t="str">
        <f t="shared" si="260"/>
        <v/>
      </c>
    </row>
    <row r="7498" spans="2:7">
      <c r="B7498" s="6"/>
      <c r="E7498" s="7"/>
      <c r="F7498" t="str">
        <f t="shared" si="259"/>
        <v/>
      </c>
      <c r="G7498" t="str">
        <f t="shared" si="260"/>
        <v/>
      </c>
    </row>
    <row r="7499" spans="2:7">
      <c r="B7499" s="6"/>
      <c r="E7499" s="7"/>
      <c r="F7499" t="str">
        <f t="shared" si="259"/>
        <v/>
      </c>
      <c r="G7499" t="str">
        <f t="shared" si="260"/>
        <v/>
      </c>
    </row>
    <row r="7500" spans="2:7">
      <c r="B7500" s="6"/>
      <c r="E7500" s="7"/>
      <c r="F7500" t="str">
        <f t="shared" si="259"/>
        <v/>
      </c>
      <c r="G7500" t="str">
        <f t="shared" si="260"/>
        <v/>
      </c>
    </row>
    <row r="7501" spans="2:7">
      <c r="B7501" s="6"/>
      <c r="E7501" s="7"/>
      <c r="F7501" t="str">
        <f t="shared" si="259"/>
        <v/>
      </c>
      <c r="G7501" t="str">
        <f t="shared" si="260"/>
        <v/>
      </c>
    </row>
    <row r="7502" spans="2:7">
      <c r="B7502" s="6"/>
      <c r="E7502" s="7"/>
      <c r="F7502" t="str">
        <f t="shared" si="259"/>
        <v/>
      </c>
      <c r="G7502" t="str">
        <f t="shared" si="260"/>
        <v/>
      </c>
    </row>
    <row r="7503" spans="2:7">
      <c r="B7503" s="6"/>
      <c r="E7503" s="7"/>
      <c r="F7503" t="str">
        <f t="shared" si="259"/>
        <v/>
      </c>
      <c r="G7503" t="str">
        <f t="shared" si="260"/>
        <v/>
      </c>
    </row>
    <row r="7504" spans="2:7">
      <c r="B7504" s="6"/>
      <c r="E7504" s="7"/>
      <c r="F7504" t="str">
        <f t="shared" si="259"/>
        <v/>
      </c>
      <c r="G7504" t="str">
        <f t="shared" si="260"/>
        <v/>
      </c>
    </row>
    <row r="7505" spans="2:7">
      <c r="B7505" s="6"/>
      <c r="E7505" s="7"/>
      <c r="F7505" t="str">
        <f t="shared" si="259"/>
        <v/>
      </c>
      <c r="G7505" t="str">
        <f t="shared" si="260"/>
        <v/>
      </c>
    </row>
    <row r="7506" spans="2:7">
      <c r="B7506" s="6"/>
      <c r="E7506" s="7"/>
      <c r="F7506" t="str">
        <f t="shared" si="259"/>
        <v/>
      </c>
      <c r="G7506" t="str">
        <f t="shared" si="260"/>
        <v/>
      </c>
    </row>
    <row r="7507" spans="2:7">
      <c r="B7507" s="6"/>
      <c r="E7507" s="7"/>
      <c r="F7507" t="str">
        <f t="shared" si="259"/>
        <v/>
      </c>
      <c r="G7507" t="str">
        <f t="shared" si="260"/>
        <v/>
      </c>
    </row>
    <row r="7508" spans="2:7">
      <c r="B7508" s="6"/>
      <c r="E7508" s="7"/>
      <c r="F7508" t="str">
        <f t="shared" si="259"/>
        <v/>
      </c>
      <c r="G7508" t="str">
        <f t="shared" si="260"/>
        <v/>
      </c>
    </row>
    <row r="7509" spans="2:7">
      <c r="B7509" s="6"/>
      <c r="E7509" s="7"/>
      <c r="F7509" t="str">
        <f t="shared" si="259"/>
        <v/>
      </c>
      <c r="G7509" t="str">
        <f t="shared" si="260"/>
        <v/>
      </c>
    </row>
    <row r="7510" spans="2:7">
      <c r="B7510" s="6"/>
      <c r="E7510" s="7"/>
      <c r="F7510" t="str">
        <f t="shared" si="259"/>
        <v/>
      </c>
      <c r="G7510" t="str">
        <f t="shared" si="260"/>
        <v/>
      </c>
    </row>
    <row r="7511" spans="2:7">
      <c r="B7511" s="6"/>
      <c r="E7511" s="7"/>
      <c r="F7511" t="str">
        <f t="shared" si="259"/>
        <v/>
      </c>
      <c r="G7511" t="str">
        <f t="shared" si="260"/>
        <v/>
      </c>
    </row>
    <row r="7512" spans="2:7">
      <c r="B7512" s="6"/>
      <c r="E7512" s="7"/>
      <c r="F7512" t="str">
        <f t="shared" si="259"/>
        <v/>
      </c>
      <c r="G7512" t="str">
        <f t="shared" si="260"/>
        <v/>
      </c>
    </row>
    <row r="7513" spans="2:7">
      <c r="B7513" s="6"/>
      <c r="E7513" s="7"/>
      <c r="F7513" t="str">
        <f t="shared" si="259"/>
        <v/>
      </c>
      <c r="G7513" t="str">
        <f t="shared" si="260"/>
        <v/>
      </c>
    </row>
    <row r="7514" spans="2:7">
      <c r="B7514" s="6"/>
      <c r="E7514" s="7"/>
      <c r="F7514" t="str">
        <f t="shared" si="259"/>
        <v/>
      </c>
      <c r="G7514" t="str">
        <f t="shared" si="260"/>
        <v/>
      </c>
    </row>
    <row r="7515" spans="2:7">
      <c r="B7515" s="6"/>
      <c r="E7515" s="7"/>
      <c r="F7515" t="str">
        <f t="shared" si="259"/>
        <v/>
      </c>
      <c r="G7515" t="str">
        <f t="shared" si="260"/>
        <v/>
      </c>
    </row>
    <row r="7516" spans="2:7">
      <c r="B7516" s="6"/>
      <c r="E7516" s="7"/>
      <c r="F7516" t="str">
        <f t="shared" si="259"/>
        <v/>
      </c>
      <c r="G7516" t="str">
        <f t="shared" si="260"/>
        <v/>
      </c>
    </row>
    <row r="7517" spans="2:7">
      <c r="B7517" s="6"/>
      <c r="E7517" s="7"/>
      <c r="F7517" t="str">
        <f t="shared" si="259"/>
        <v/>
      </c>
      <c r="G7517" t="str">
        <f t="shared" si="260"/>
        <v/>
      </c>
    </row>
    <row r="7518" spans="2:7">
      <c r="B7518" s="6"/>
      <c r="E7518" s="7"/>
      <c r="F7518" t="str">
        <f t="shared" si="259"/>
        <v/>
      </c>
      <c r="G7518" t="str">
        <f t="shared" si="260"/>
        <v/>
      </c>
    </row>
    <row r="7519" spans="2:7">
      <c r="B7519" s="6"/>
      <c r="E7519" s="7"/>
      <c r="F7519" t="str">
        <f t="shared" si="259"/>
        <v/>
      </c>
      <c r="G7519" t="str">
        <f t="shared" si="260"/>
        <v/>
      </c>
    </row>
    <row r="7520" spans="2:7">
      <c r="B7520" s="6"/>
      <c r="E7520" s="7"/>
      <c r="F7520" t="str">
        <f t="shared" si="259"/>
        <v/>
      </c>
      <c r="G7520" t="str">
        <f t="shared" si="260"/>
        <v/>
      </c>
    </row>
    <row r="7521" spans="2:7">
      <c r="B7521" s="6"/>
      <c r="E7521" s="7"/>
      <c r="F7521" t="str">
        <f t="shared" si="259"/>
        <v/>
      </c>
      <c r="G7521" t="str">
        <f t="shared" si="260"/>
        <v/>
      </c>
    </row>
    <row r="7522" spans="2:7">
      <c r="B7522" s="6"/>
      <c r="E7522" s="7"/>
      <c r="F7522" t="str">
        <f t="shared" si="259"/>
        <v/>
      </c>
      <c r="G7522" t="str">
        <f t="shared" si="260"/>
        <v/>
      </c>
    </row>
    <row r="7523" spans="2:7">
      <c r="B7523" s="6"/>
      <c r="E7523" s="7"/>
      <c r="F7523" t="str">
        <f t="shared" si="259"/>
        <v/>
      </c>
      <c r="G7523" t="str">
        <f t="shared" si="260"/>
        <v/>
      </c>
    </row>
    <row r="7524" spans="2:7">
      <c r="B7524" s="6"/>
      <c r="E7524" s="7"/>
      <c r="F7524" t="str">
        <f t="shared" si="259"/>
        <v/>
      </c>
      <c r="G7524" t="str">
        <f t="shared" si="260"/>
        <v/>
      </c>
    </row>
    <row r="7525" spans="2:7">
      <c r="B7525" s="6"/>
      <c r="E7525" s="7"/>
      <c r="F7525" t="str">
        <f t="shared" si="259"/>
        <v/>
      </c>
      <c r="G7525" t="str">
        <f t="shared" si="260"/>
        <v/>
      </c>
    </row>
    <row r="7526" spans="2:7">
      <c r="B7526" s="6"/>
      <c r="E7526" s="7"/>
      <c r="F7526" t="str">
        <f t="shared" si="259"/>
        <v/>
      </c>
      <c r="G7526" t="str">
        <f t="shared" si="260"/>
        <v/>
      </c>
    </row>
    <row r="7527" spans="2:7">
      <c r="B7527" s="6"/>
      <c r="E7527" s="7"/>
      <c r="F7527" t="str">
        <f t="shared" si="259"/>
        <v/>
      </c>
      <c r="G7527" t="str">
        <f t="shared" si="260"/>
        <v/>
      </c>
    </row>
    <row r="7528" spans="2:7">
      <c r="B7528" s="6"/>
      <c r="E7528" s="7"/>
      <c r="F7528" t="str">
        <f t="shared" si="259"/>
        <v/>
      </c>
      <c r="G7528" t="str">
        <f t="shared" si="260"/>
        <v/>
      </c>
    </row>
    <row r="7529" spans="2:7">
      <c r="B7529" s="6"/>
      <c r="E7529" s="7"/>
      <c r="F7529" t="str">
        <f t="shared" si="259"/>
        <v/>
      </c>
      <c r="G7529" t="str">
        <f t="shared" si="260"/>
        <v/>
      </c>
    </row>
    <row r="7530" spans="2:7">
      <c r="B7530" s="6"/>
      <c r="E7530" s="7"/>
      <c r="F7530" t="str">
        <f t="shared" si="259"/>
        <v/>
      </c>
      <c r="G7530" t="str">
        <f t="shared" si="260"/>
        <v/>
      </c>
    </row>
    <row r="7531" spans="2:7">
      <c r="B7531" s="6"/>
      <c r="E7531" s="7"/>
      <c r="F7531" t="str">
        <f t="shared" si="259"/>
        <v/>
      </c>
      <c r="G7531" t="str">
        <f t="shared" si="260"/>
        <v/>
      </c>
    </row>
    <row r="7532" spans="2:7">
      <c r="B7532" s="6"/>
      <c r="E7532" s="7"/>
      <c r="F7532" t="str">
        <f t="shared" si="259"/>
        <v/>
      </c>
      <c r="G7532" t="str">
        <f t="shared" si="260"/>
        <v/>
      </c>
    </row>
    <row r="7533" spans="2:7">
      <c r="B7533" s="6"/>
      <c r="E7533" s="7"/>
      <c r="F7533" t="str">
        <f t="shared" si="259"/>
        <v/>
      </c>
      <c r="G7533" t="str">
        <f t="shared" si="260"/>
        <v/>
      </c>
    </row>
    <row r="7534" spans="2:7">
      <c r="B7534" s="6"/>
      <c r="E7534" s="7"/>
      <c r="F7534" t="str">
        <f t="shared" si="259"/>
        <v/>
      </c>
      <c r="G7534" t="str">
        <f t="shared" si="260"/>
        <v/>
      </c>
    </row>
    <row r="7535" spans="2:7">
      <c r="B7535" s="6"/>
      <c r="E7535" s="7"/>
      <c r="F7535" t="str">
        <f t="shared" si="259"/>
        <v/>
      </c>
      <c r="G7535" t="str">
        <f t="shared" si="260"/>
        <v/>
      </c>
    </row>
    <row r="7536" spans="2:7">
      <c r="B7536" s="6"/>
      <c r="E7536" s="7"/>
      <c r="F7536" t="str">
        <f t="shared" si="259"/>
        <v/>
      </c>
      <c r="G7536" t="str">
        <f t="shared" si="260"/>
        <v/>
      </c>
    </row>
    <row r="7537" spans="2:7">
      <c r="B7537" s="6"/>
      <c r="E7537" s="7"/>
      <c r="F7537" t="str">
        <f t="shared" si="259"/>
        <v/>
      </c>
      <c r="G7537" t="str">
        <f t="shared" si="260"/>
        <v/>
      </c>
    </row>
    <row r="7538" spans="2:7">
      <c r="B7538" s="6"/>
      <c r="E7538" s="7"/>
      <c r="F7538" t="str">
        <f t="shared" si="259"/>
        <v/>
      </c>
      <c r="G7538" t="str">
        <f t="shared" si="260"/>
        <v/>
      </c>
    </row>
    <row r="7539" spans="2:7">
      <c r="B7539" s="6"/>
      <c r="E7539" s="7"/>
      <c r="F7539" t="str">
        <f t="shared" si="259"/>
        <v/>
      </c>
      <c r="G7539" t="str">
        <f t="shared" si="260"/>
        <v/>
      </c>
    </row>
    <row r="7540" spans="2:7">
      <c r="B7540" s="6"/>
      <c r="E7540" s="7"/>
      <c r="F7540" t="str">
        <f t="shared" si="259"/>
        <v/>
      </c>
      <c r="G7540" t="str">
        <f t="shared" si="260"/>
        <v/>
      </c>
    </row>
    <row r="7541" spans="2:7">
      <c r="B7541" s="6"/>
      <c r="E7541" s="7"/>
      <c r="F7541" t="str">
        <f t="shared" si="259"/>
        <v/>
      </c>
      <c r="G7541" t="str">
        <f t="shared" si="260"/>
        <v/>
      </c>
    </row>
    <row r="7542" spans="2:7">
      <c r="B7542" s="6"/>
      <c r="E7542" s="7"/>
      <c r="F7542" t="str">
        <f t="shared" si="259"/>
        <v/>
      </c>
      <c r="G7542" t="str">
        <f t="shared" si="260"/>
        <v/>
      </c>
    </row>
    <row r="7543" spans="2:7">
      <c r="B7543" s="6"/>
      <c r="E7543" s="7"/>
      <c r="F7543" t="str">
        <f t="shared" si="259"/>
        <v/>
      </c>
      <c r="G7543" t="str">
        <f t="shared" si="260"/>
        <v/>
      </c>
    </row>
    <row r="7544" spans="2:7">
      <c r="B7544" s="6"/>
      <c r="E7544" s="7"/>
      <c r="F7544" t="str">
        <f t="shared" si="259"/>
        <v/>
      </c>
      <c r="G7544" t="str">
        <f t="shared" si="260"/>
        <v/>
      </c>
    </row>
    <row r="7545" spans="2:7">
      <c r="B7545" s="6"/>
      <c r="E7545" s="7"/>
      <c r="F7545" t="str">
        <f t="shared" si="259"/>
        <v/>
      </c>
      <c r="G7545" t="str">
        <f t="shared" si="260"/>
        <v/>
      </c>
    </row>
    <row r="7546" spans="2:7">
      <c r="B7546" s="6"/>
      <c r="E7546" s="7"/>
      <c r="F7546" t="str">
        <f t="shared" si="259"/>
        <v/>
      </c>
      <c r="G7546" t="str">
        <f t="shared" si="260"/>
        <v/>
      </c>
    </row>
    <row r="7547" spans="2:7">
      <c r="B7547" s="6"/>
      <c r="E7547" s="7"/>
      <c r="F7547" t="str">
        <f t="shared" si="259"/>
        <v/>
      </c>
      <c r="G7547" t="str">
        <f t="shared" si="260"/>
        <v/>
      </c>
    </row>
    <row r="7548" spans="2:7">
      <c r="B7548" s="6"/>
      <c r="E7548" s="7"/>
      <c r="F7548" t="str">
        <f t="shared" si="259"/>
        <v/>
      </c>
      <c r="G7548" t="str">
        <f t="shared" si="260"/>
        <v/>
      </c>
    </row>
    <row r="7549" spans="2:7">
      <c r="B7549" s="6"/>
      <c r="E7549" s="7"/>
      <c r="F7549" t="str">
        <f t="shared" si="259"/>
        <v/>
      </c>
      <c r="G7549" t="str">
        <f t="shared" si="260"/>
        <v/>
      </c>
    </row>
    <row r="7550" spans="2:7">
      <c r="B7550" s="6"/>
      <c r="E7550" s="7"/>
      <c r="F7550" t="str">
        <f t="shared" si="259"/>
        <v/>
      </c>
      <c r="G7550" t="str">
        <f t="shared" si="260"/>
        <v/>
      </c>
    </row>
    <row r="7551" spans="2:7">
      <c r="B7551" s="6"/>
      <c r="E7551" s="7"/>
      <c r="F7551" t="str">
        <f t="shared" si="259"/>
        <v/>
      </c>
      <c r="G7551" t="str">
        <f t="shared" si="260"/>
        <v/>
      </c>
    </row>
    <row r="7552" spans="2:7">
      <c r="B7552" s="6"/>
      <c r="E7552" s="7"/>
      <c r="F7552" t="str">
        <f t="shared" si="259"/>
        <v/>
      </c>
      <c r="G7552" t="str">
        <f t="shared" si="260"/>
        <v/>
      </c>
    </row>
    <row r="7553" spans="2:7">
      <c r="B7553" s="6"/>
      <c r="E7553" s="7"/>
      <c r="F7553" t="str">
        <f t="shared" si="259"/>
        <v/>
      </c>
      <c r="G7553" t="str">
        <f t="shared" si="260"/>
        <v/>
      </c>
    </row>
    <row r="7554" spans="2:7">
      <c r="B7554" s="6"/>
      <c r="E7554" s="7"/>
      <c r="F7554" t="str">
        <f t="shared" si="259"/>
        <v/>
      </c>
      <c r="G7554" t="str">
        <f t="shared" si="260"/>
        <v/>
      </c>
    </row>
    <row r="7555" spans="2:7">
      <c r="B7555" s="6"/>
      <c r="E7555" s="7"/>
      <c r="F7555" t="str">
        <f t="shared" si="259"/>
        <v/>
      </c>
      <c r="G7555" t="str">
        <f t="shared" si="260"/>
        <v/>
      </c>
    </row>
    <row r="7556" spans="2:7">
      <c r="B7556" s="6"/>
      <c r="E7556" s="7"/>
      <c r="F7556" t="str">
        <f t="shared" ref="F7556:F7619" si="261">IF(B7556="","",LOG10(D7556))</f>
        <v/>
      </c>
      <c r="G7556" t="str">
        <f t="shared" ref="G7556:G7619" si="262">IF(E7556="", "",0.434*E7556/D7556)</f>
        <v/>
      </c>
    </row>
    <row r="7557" spans="2:7">
      <c r="B7557" s="6"/>
      <c r="E7557" s="7"/>
      <c r="F7557" t="str">
        <f t="shared" si="261"/>
        <v/>
      </c>
      <c r="G7557" t="str">
        <f t="shared" si="262"/>
        <v/>
      </c>
    </row>
    <row r="7558" spans="2:7">
      <c r="B7558" s="6"/>
      <c r="E7558" s="7"/>
      <c r="F7558" t="str">
        <f t="shared" si="261"/>
        <v/>
      </c>
      <c r="G7558" t="str">
        <f t="shared" si="262"/>
        <v/>
      </c>
    </row>
    <row r="7559" spans="2:7">
      <c r="B7559" s="6"/>
      <c r="E7559" s="7"/>
      <c r="F7559" t="str">
        <f t="shared" si="261"/>
        <v/>
      </c>
      <c r="G7559" t="str">
        <f t="shared" si="262"/>
        <v/>
      </c>
    </row>
    <row r="7560" spans="2:7">
      <c r="B7560" s="6"/>
      <c r="E7560" s="7"/>
      <c r="F7560" t="str">
        <f t="shared" si="261"/>
        <v/>
      </c>
      <c r="G7560" t="str">
        <f t="shared" si="262"/>
        <v/>
      </c>
    </row>
    <row r="7561" spans="2:7">
      <c r="B7561" s="6"/>
      <c r="E7561" s="7"/>
      <c r="F7561" t="str">
        <f t="shared" si="261"/>
        <v/>
      </c>
      <c r="G7561" t="str">
        <f t="shared" si="262"/>
        <v/>
      </c>
    </row>
    <row r="7562" spans="2:7">
      <c r="B7562" s="6"/>
      <c r="E7562" s="7"/>
      <c r="F7562" t="str">
        <f t="shared" si="261"/>
        <v/>
      </c>
      <c r="G7562" t="str">
        <f t="shared" si="262"/>
        <v/>
      </c>
    </row>
    <row r="7563" spans="2:7">
      <c r="B7563" s="6"/>
      <c r="E7563" s="7"/>
      <c r="F7563" t="str">
        <f t="shared" si="261"/>
        <v/>
      </c>
      <c r="G7563" t="str">
        <f t="shared" si="262"/>
        <v/>
      </c>
    </row>
    <row r="7564" spans="2:7">
      <c r="B7564" s="6"/>
      <c r="E7564" s="7"/>
      <c r="F7564" t="str">
        <f t="shared" si="261"/>
        <v/>
      </c>
      <c r="G7564" t="str">
        <f t="shared" si="262"/>
        <v/>
      </c>
    </row>
    <row r="7565" spans="2:7">
      <c r="B7565" s="6"/>
      <c r="E7565" s="7"/>
      <c r="F7565" t="str">
        <f t="shared" si="261"/>
        <v/>
      </c>
      <c r="G7565" t="str">
        <f t="shared" si="262"/>
        <v/>
      </c>
    </row>
    <row r="7566" spans="2:7">
      <c r="B7566" s="6"/>
      <c r="E7566" s="7"/>
      <c r="F7566" t="str">
        <f t="shared" si="261"/>
        <v/>
      </c>
      <c r="G7566" t="str">
        <f t="shared" si="262"/>
        <v/>
      </c>
    </row>
    <row r="7567" spans="2:7">
      <c r="B7567" s="6"/>
      <c r="E7567" s="7"/>
      <c r="F7567" t="str">
        <f t="shared" si="261"/>
        <v/>
      </c>
      <c r="G7567" t="str">
        <f t="shared" si="262"/>
        <v/>
      </c>
    </row>
    <row r="7568" spans="2:7">
      <c r="B7568" s="6"/>
      <c r="E7568" s="7"/>
      <c r="F7568" t="str">
        <f t="shared" si="261"/>
        <v/>
      </c>
      <c r="G7568" t="str">
        <f t="shared" si="262"/>
        <v/>
      </c>
    </row>
    <row r="7569" spans="2:7">
      <c r="B7569" s="6"/>
      <c r="E7569" s="7"/>
      <c r="F7569" t="str">
        <f t="shared" si="261"/>
        <v/>
      </c>
      <c r="G7569" t="str">
        <f t="shared" si="262"/>
        <v/>
      </c>
    </row>
    <row r="7570" spans="2:7">
      <c r="B7570" s="6"/>
      <c r="E7570" s="7"/>
      <c r="F7570" t="str">
        <f t="shared" si="261"/>
        <v/>
      </c>
      <c r="G7570" t="str">
        <f t="shared" si="262"/>
        <v/>
      </c>
    </row>
    <row r="7571" spans="2:7">
      <c r="B7571" s="6"/>
      <c r="E7571" s="7"/>
      <c r="F7571" t="str">
        <f t="shared" si="261"/>
        <v/>
      </c>
      <c r="G7571" t="str">
        <f t="shared" si="262"/>
        <v/>
      </c>
    </row>
    <row r="7572" spans="2:7">
      <c r="B7572" s="6"/>
      <c r="E7572" s="7"/>
      <c r="F7572" t="str">
        <f t="shared" si="261"/>
        <v/>
      </c>
      <c r="G7572" t="str">
        <f t="shared" si="262"/>
        <v/>
      </c>
    </row>
    <row r="7573" spans="2:7">
      <c r="B7573" s="6"/>
      <c r="E7573" s="7"/>
      <c r="F7573" t="str">
        <f t="shared" si="261"/>
        <v/>
      </c>
      <c r="G7573" t="str">
        <f t="shared" si="262"/>
        <v/>
      </c>
    </row>
    <row r="7574" spans="2:7">
      <c r="B7574" s="6"/>
      <c r="E7574" s="7"/>
      <c r="F7574" t="str">
        <f t="shared" si="261"/>
        <v/>
      </c>
      <c r="G7574" t="str">
        <f t="shared" si="262"/>
        <v/>
      </c>
    </row>
    <row r="7575" spans="2:7">
      <c r="B7575" s="6"/>
      <c r="E7575" s="7"/>
      <c r="F7575" t="str">
        <f t="shared" si="261"/>
        <v/>
      </c>
      <c r="G7575" t="str">
        <f t="shared" si="262"/>
        <v/>
      </c>
    </row>
    <row r="7576" spans="2:7">
      <c r="B7576" s="6"/>
      <c r="E7576" s="7"/>
      <c r="F7576" t="str">
        <f t="shared" si="261"/>
        <v/>
      </c>
      <c r="G7576" t="str">
        <f t="shared" si="262"/>
        <v/>
      </c>
    </row>
    <row r="7577" spans="2:7">
      <c r="B7577" s="6"/>
      <c r="E7577" s="7"/>
      <c r="F7577" t="str">
        <f t="shared" si="261"/>
        <v/>
      </c>
      <c r="G7577" t="str">
        <f t="shared" si="262"/>
        <v/>
      </c>
    </row>
    <row r="7578" spans="2:7">
      <c r="B7578" s="6"/>
      <c r="E7578" s="7"/>
      <c r="F7578" t="str">
        <f t="shared" si="261"/>
        <v/>
      </c>
      <c r="G7578" t="str">
        <f t="shared" si="262"/>
        <v/>
      </c>
    </row>
    <row r="7579" spans="2:7">
      <c r="B7579" s="6"/>
      <c r="E7579" s="7"/>
      <c r="F7579" t="str">
        <f t="shared" si="261"/>
        <v/>
      </c>
      <c r="G7579" t="str">
        <f t="shared" si="262"/>
        <v/>
      </c>
    </row>
    <row r="7580" spans="2:7">
      <c r="B7580" s="6"/>
      <c r="E7580" s="7"/>
      <c r="F7580" t="str">
        <f t="shared" si="261"/>
        <v/>
      </c>
      <c r="G7580" t="str">
        <f t="shared" si="262"/>
        <v/>
      </c>
    </row>
    <row r="7581" spans="2:7">
      <c r="B7581" s="6"/>
      <c r="E7581" s="7"/>
      <c r="F7581" t="str">
        <f t="shared" si="261"/>
        <v/>
      </c>
      <c r="G7581" t="str">
        <f t="shared" si="262"/>
        <v/>
      </c>
    </row>
    <row r="7582" spans="2:7">
      <c r="B7582" s="6"/>
      <c r="E7582" s="7"/>
      <c r="F7582" t="str">
        <f t="shared" si="261"/>
        <v/>
      </c>
      <c r="G7582" t="str">
        <f t="shared" si="262"/>
        <v/>
      </c>
    </row>
    <row r="7583" spans="2:7">
      <c r="B7583" s="6"/>
      <c r="E7583" s="7"/>
      <c r="F7583" t="str">
        <f t="shared" si="261"/>
        <v/>
      </c>
      <c r="G7583" t="str">
        <f t="shared" si="262"/>
        <v/>
      </c>
    </row>
    <row r="7584" spans="2:7">
      <c r="B7584" s="6"/>
      <c r="E7584" s="7"/>
      <c r="F7584" t="str">
        <f t="shared" si="261"/>
        <v/>
      </c>
      <c r="G7584" t="str">
        <f t="shared" si="262"/>
        <v/>
      </c>
    </row>
    <row r="7585" spans="2:7">
      <c r="B7585" s="6"/>
      <c r="E7585" s="7"/>
      <c r="F7585" t="str">
        <f t="shared" si="261"/>
        <v/>
      </c>
      <c r="G7585" t="str">
        <f t="shared" si="262"/>
        <v/>
      </c>
    </row>
    <row r="7586" spans="2:7">
      <c r="B7586" s="6"/>
      <c r="E7586" s="7"/>
      <c r="F7586" t="str">
        <f t="shared" si="261"/>
        <v/>
      </c>
      <c r="G7586" t="str">
        <f t="shared" si="262"/>
        <v/>
      </c>
    </row>
    <row r="7587" spans="2:7">
      <c r="B7587" s="6"/>
      <c r="E7587" s="7"/>
      <c r="F7587" t="str">
        <f t="shared" si="261"/>
        <v/>
      </c>
      <c r="G7587" t="str">
        <f t="shared" si="262"/>
        <v/>
      </c>
    </row>
    <row r="7588" spans="2:7">
      <c r="B7588" s="6"/>
      <c r="E7588" s="7"/>
      <c r="F7588" t="str">
        <f t="shared" si="261"/>
        <v/>
      </c>
      <c r="G7588" t="str">
        <f t="shared" si="262"/>
        <v/>
      </c>
    </row>
    <row r="7589" spans="2:7">
      <c r="B7589" s="6"/>
      <c r="E7589" s="7"/>
      <c r="F7589" t="str">
        <f t="shared" si="261"/>
        <v/>
      </c>
      <c r="G7589" t="str">
        <f t="shared" si="262"/>
        <v/>
      </c>
    </row>
    <row r="7590" spans="2:7">
      <c r="B7590" s="6"/>
      <c r="E7590" s="7"/>
      <c r="F7590" t="str">
        <f t="shared" si="261"/>
        <v/>
      </c>
      <c r="G7590" t="str">
        <f t="shared" si="262"/>
        <v/>
      </c>
    </row>
    <row r="7591" spans="2:7">
      <c r="B7591" s="6"/>
      <c r="E7591" s="7"/>
      <c r="F7591" t="str">
        <f t="shared" si="261"/>
        <v/>
      </c>
      <c r="G7591" t="str">
        <f t="shared" si="262"/>
        <v/>
      </c>
    </row>
    <row r="7592" spans="2:7">
      <c r="B7592" s="6"/>
      <c r="E7592" s="7"/>
      <c r="F7592" t="str">
        <f t="shared" si="261"/>
        <v/>
      </c>
      <c r="G7592" t="str">
        <f t="shared" si="262"/>
        <v/>
      </c>
    </row>
    <row r="7593" spans="2:7">
      <c r="B7593" s="6"/>
      <c r="E7593" s="7"/>
      <c r="F7593" t="str">
        <f t="shared" si="261"/>
        <v/>
      </c>
      <c r="G7593" t="str">
        <f t="shared" si="262"/>
        <v/>
      </c>
    </row>
    <row r="7594" spans="2:7">
      <c r="B7594" s="6"/>
      <c r="E7594" s="7"/>
      <c r="F7594" t="str">
        <f t="shared" si="261"/>
        <v/>
      </c>
      <c r="G7594" t="str">
        <f t="shared" si="262"/>
        <v/>
      </c>
    </row>
    <row r="7595" spans="2:7">
      <c r="B7595" s="6"/>
      <c r="E7595" s="7"/>
      <c r="F7595" t="str">
        <f t="shared" si="261"/>
        <v/>
      </c>
      <c r="G7595" t="str">
        <f t="shared" si="262"/>
        <v/>
      </c>
    </row>
    <row r="7596" spans="2:7">
      <c r="B7596" s="6"/>
      <c r="E7596" s="7"/>
      <c r="F7596" t="str">
        <f t="shared" si="261"/>
        <v/>
      </c>
      <c r="G7596" t="str">
        <f t="shared" si="262"/>
        <v/>
      </c>
    </row>
    <row r="7597" spans="2:7">
      <c r="B7597" s="6"/>
      <c r="E7597" s="7"/>
      <c r="F7597" t="str">
        <f t="shared" si="261"/>
        <v/>
      </c>
      <c r="G7597" t="str">
        <f t="shared" si="262"/>
        <v/>
      </c>
    </row>
    <row r="7598" spans="2:7">
      <c r="B7598" s="6"/>
      <c r="E7598" s="7"/>
      <c r="F7598" t="str">
        <f t="shared" si="261"/>
        <v/>
      </c>
      <c r="G7598" t="str">
        <f t="shared" si="262"/>
        <v/>
      </c>
    </row>
    <row r="7599" spans="2:7">
      <c r="B7599" s="6"/>
      <c r="E7599" s="7"/>
      <c r="F7599" t="str">
        <f t="shared" si="261"/>
        <v/>
      </c>
      <c r="G7599" t="str">
        <f t="shared" si="262"/>
        <v/>
      </c>
    </row>
    <row r="7600" spans="2:7">
      <c r="B7600" s="6"/>
      <c r="E7600" s="7"/>
      <c r="F7600" t="str">
        <f t="shared" si="261"/>
        <v/>
      </c>
      <c r="G7600" t="str">
        <f t="shared" si="262"/>
        <v/>
      </c>
    </row>
    <row r="7601" spans="2:7">
      <c r="B7601" s="6"/>
      <c r="E7601" s="7"/>
      <c r="F7601" t="str">
        <f t="shared" si="261"/>
        <v/>
      </c>
      <c r="G7601" t="str">
        <f t="shared" si="262"/>
        <v/>
      </c>
    </row>
    <row r="7602" spans="2:7">
      <c r="B7602" s="6"/>
      <c r="E7602" s="7"/>
      <c r="F7602" t="str">
        <f t="shared" si="261"/>
        <v/>
      </c>
      <c r="G7602" t="str">
        <f t="shared" si="262"/>
        <v/>
      </c>
    </row>
    <row r="7603" spans="2:7">
      <c r="B7603" s="6"/>
      <c r="E7603" s="7"/>
      <c r="F7603" t="str">
        <f t="shared" si="261"/>
        <v/>
      </c>
      <c r="G7603" t="str">
        <f t="shared" si="262"/>
        <v/>
      </c>
    </row>
    <row r="7604" spans="2:7">
      <c r="B7604" s="6"/>
      <c r="E7604" s="7"/>
      <c r="F7604" t="str">
        <f t="shared" si="261"/>
        <v/>
      </c>
      <c r="G7604" t="str">
        <f t="shared" si="262"/>
        <v/>
      </c>
    </row>
    <row r="7605" spans="2:7">
      <c r="B7605" s="6"/>
      <c r="E7605" s="7"/>
      <c r="F7605" t="str">
        <f t="shared" si="261"/>
        <v/>
      </c>
      <c r="G7605" t="str">
        <f t="shared" si="262"/>
        <v/>
      </c>
    </row>
    <row r="7606" spans="2:7">
      <c r="B7606" s="6"/>
      <c r="E7606" s="7"/>
      <c r="F7606" t="str">
        <f t="shared" si="261"/>
        <v/>
      </c>
      <c r="G7606" t="str">
        <f t="shared" si="262"/>
        <v/>
      </c>
    </row>
    <row r="7607" spans="2:7">
      <c r="B7607" s="6"/>
      <c r="E7607" s="7"/>
      <c r="F7607" t="str">
        <f t="shared" si="261"/>
        <v/>
      </c>
      <c r="G7607" t="str">
        <f t="shared" si="262"/>
        <v/>
      </c>
    </row>
    <row r="7608" spans="2:7">
      <c r="B7608" s="6"/>
      <c r="E7608" s="7"/>
      <c r="F7608" t="str">
        <f t="shared" si="261"/>
        <v/>
      </c>
      <c r="G7608" t="str">
        <f t="shared" si="262"/>
        <v/>
      </c>
    </row>
    <row r="7609" spans="2:7">
      <c r="B7609" s="6"/>
      <c r="E7609" s="7"/>
      <c r="F7609" t="str">
        <f t="shared" si="261"/>
        <v/>
      </c>
      <c r="G7609" t="str">
        <f t="shared" si="262"/>
        <v/>
      </c>
    </row>
    <row r="7610" spans="2:7">
      <c r="B7610" s="6"/>
      <c r="E7610" s="7"/>
      <c r="F7610" t="str">
        <f t="shared" si="261"/>
        <v/>
      </c>
      <c r="G7610" t="str">
        <f t="shared" si="262"/>
        <v/>
      </c>
    </row>
    <row r="7611" spans="2:7">
      <c r="B7611" s="6"/>
      <c r="E7611" s="7"/>
      <c r="F7611" t="str">
        <f t="shared" si="261"/>
        <v/>
      </c>
      <c r="G7611" t="str">
        <f t="shared" si="262"/>
        <v/>
      </c>
    </row>
    <row r="7612" spans="2:7">
      <c r="B7612" s="6"/>
      <c r="E7612" s="7"/>
      <c r="F7612" t="str">
        <f t="shared" si="261"/>
        <v/>
      </c>
      <c r="G7612" t="str">
        <f t="shared" si="262"/>
        <v/>
      </c>
    </row>
    <row r="7613" spans="2:7">
      <c r="B7613" s="6"/>
      <c r="E7613" s="7"/>
      <c r="F7613" t="str">
        <f t="shared" si="261"/>
        <v/>
      </c>
      <c r="G7613" t="str">
        <f t="shared" si="262"/>
        <v/>
      </c>
    </row>
    <row r="7614" spans="2:7">
      <c r="B7614" s="6"/>
      <c r="E7614" s="7"/>
      <c r="F7614" t="str">
        <f t="shared" si="261"/>
        <v/>
      </c>
      <c r="G7614" t="str">
        <f t="shared" si="262"/>
        <v/>
      </c>
    </row>
    <row r="7615" spans="2:7">
      <c r="B7615" s="6"/>
      <c r="E7615" s="7"/>
      <c r="F7615" t="str">
        <f t="shared" si="261"/>
        <v/>
      </c>
      <c r="G7615" t="str">
        <f t="shared" si="262"/>
        <v/>
      </c>
    </row>
    <row r="7616" spans="2:7">
      <c r="B7616" s="6"/>
      <c r="E7616" s="7"/>
      <c r="F7616" t="str">
        <f t="shared" si="261"/>
        <v/>
      </c>
      <c r="G7616" t="str">
        <f t="shared" si="262"/>
        <v/>
      </c>
    </row>
    <row r="7617" spans="2:7">
      <c r="B7617" s="6"/>
      <c r="E7617" s="7"/>
      <c r="F7617" t="str">
        <f t="shared" si="261"/>
        <v/>
      </c>
      <c r="G7617" t="str">
        <f t="shared" si="262"/>
        <v/>
      </c>
    </row>
    <row r="7618" spans="2:7">
      <c r="B7618" s="6"/>
      <c r="E7618" s="7"/>
      <c r="F7618" t="str">
        <f t="shared" si="261"/>
        <v/>
      </c>
      <c r="G7618" t="str">
        <f t="shared" si="262"/>
        <v/>
      </c>
    </row>
    <row r="7619" spans="2:7">
      <c r="B7619" s="6"/>
      <c r="E7619" s="7"/>
      <c r="F7619" t="str">
        <f t="shared" si="261"/>
        <v/>
      </c>
      <c r="G7619" t="str">
        <f t="shared" si="262"/>
        <v/>
      </c>
    </row>
    <row r="7620" spans="2:7">
      <c r="B7620" s="6"/>
      <c r="E7620" s="7"/>
      <c r="F7620" t="str">
        <f t="shared" ref="F7620:F7683" si="263">IF(B7620="","",LOG10(D7620))</f>
        <v/>
      </c>
      <c r="G7620" t="str">
        <f t="shared" ref="G7620:G7683" si="264">IF(E7620="", "",0.434*E7620/D7620)</f>
        <v/>
      </c>
    </row>
    <row r="7621" spans="2:7">
      <c r="B7621" s="6"/>
      <c r="E7621" s="7"/>
      <c r="F7621" t="str">
        <f t="shared" si="263"/>
        <v/>
      </c>
      <c r="G7621" t="str">
        <f t="shared" si="264"/>
        <v/>
      </c>
    </row>
    <row r="7622" spans="2:7">
      <c r="B7622" s="6"/>
      <c r="E7622" s="7"/>
      <c r="F7622" t="str">
        <f t="shared" si="263"/>
        <v/>
      </c>
      <c r="G7622" t="str">
        <f t="shared" si="264"/>
        <v/>
      </c>
    </row>
    <row r="7623" spans="2:7">
      <c r="B7623" s="6"/>
      <c r="E7623" s="7"/>
      <c r="F7623" t="str">
        <f t="shared" si="263"/>
        <v/>
      </c>
      <c r="G7623" t="str">
        <f t="shared" si="264"/>
        <v/>
      </c>
    </row>
    <row r="7624" spans="2:7">
      <c r="B7624" s="6"/>
      <c r="E7624" s="7"/>
      <c r="F7624" t="str">
        <f t="shared" si="263"/>
        <v/>
      </c>
      <c r="G7624" t="str">
        <f t="shared" si="264"/>
        <v/>
      </c>
    </row>
    <row r="7625" spans="2:7">
      <c r="B7625" s="6"/>
      <c r="E7625" s="7"/>
      <c r="F7625" t="str">
        <f t="shared" si="263"/>
        <v/>
      </c>
      <c r="G7625" t="str">
        <f t="shared" si="264"/>
        <v/>
      </c>
    </row>
    <row r="7626" spans="2:7">
      <c r="B7626" s="6"/>
      <c r="E7626" s="7"/>
      <c r="F7626" t="str">
        <f t="shared" si="263"/>
        <v/>
      </c>
      <c r="G7626" t="str">
        <f t="shared" si="264"/>
        <v/>
      </c>
    </row>
    <row r="7627" spans="2:7">
      <c r="B7627" s="6"/>
      <c r="E7627" s="7"/>
      <c r="F7627" t="str">
        <f t="shared" si="263"/>
        <v/>
      </c>
      <c r="G7627" t="str">
        <f t="shared" si="264"/>
        <v/>
      </c>
    </row>
    <row r="7628" spans="2:7">
      <c r="B7628" s="6"/>
      <c r="E7628" s="7"/>
      <c r="F7628" t="str">
        <f t="shared" si="263"/>
        <v/>
      </c>
      <c r="G7628" t="str">
        <f t="shared" si="264"/>
        <v/>
      </c>
    </row>
    <row r="7629" spans="2:7">
      <c r="B7629" s="6"/>
      <c r="E7629" s="7"/>
      <c r="F7629" t="str">
        <f t="shared" si="263"/>
        <v/>
      </c>
      <c r="G7629" t="str">
        <f t="shared" si="264"/>
        <v/>
      </c>
    </row>
    <row r="7630" spans="2:7">
      <c r="B7630" s="6"/>
      <c r="E7630" s="7"/>
      <c r="F7630" t="str">
        <f t="shared" si="263"/>
        <v/>
      </c>
      <c r="G7630" t="str">
        <f t="shared" si="264"/>
        <v/>
      </c>
    </row>
    <row r="7631" spans="2:7">
      <c r="B7631" s="6"/>
      <c r="E7631" s="7"/>
      <c r="F7631" t="str">
        <f t="shared" si="263"/>
        <v/>
      </c>
      <c r="G7631" t="str">
        <f t="shared" si="264"/>
        <v/>
      </c>
    </row>
    <row r="7632" spans="2:7">
      <c r="B7632" s="6"/>
      <c r="E7632" s="7"/>
      <c r="F7632" t="str">
        <f t="shared" si="263"/>
        <v/>
      </c>
      <c r="G7632" t="str">
        <f t="shared" si="264"/>
        <v/>
      </c>
    </row>
    <row r="7633" spans="2:7">
      <c r="B7633" s="6"/>
      <c r="E7633" s="7"/>
      <c r="F7633" t="str">
        <f t="shared" si="263"/>
        <v/>
      </c>
      <c r="G7633" t="str">
        <f t="shared" si="264"/>
        <v/>
      </c>
    </row>
    <row r="7634" spans="2:7">
      <c r="B7634" s="6"/>
      <c r="E7634" s="7"/>
      <c r="F7634" t="str">
        <f t="shared" si="263"/>
        <v/>
      </c>
      <c r="G7634" t="str">
        <f t="shared" si="264"/>
        <v/>
      </c>
    </row>
    <row r="7635" spans="2:7">
      <c r="B7635" s="6"/>
      <c r="E7635" s="7"/>
      <c r="F7635" t="str">
        <f t="shared" si="263"/>
        <v/>
      </c>
      <c r="G7635" t="str">
        <f t="shared" si="264"/>
        <v/>
      </c>
    </row>
    <row r="7636" spans="2:7">
      <c r="B7636" s="6"/>
      <c r="E7636" s="7"/>
      <c r="F7636" t="str">
        <f t="shared" si="263"/>
        <v/>
      </c>
      <c r="G7636" t="str">
        <f t="shared" si="264"/>
        <v/>
      </c>
    </row>
    <row r="7637" spans="2:7">
      <c r="B7637" s="6"/>
      <c r="E7637" s="7"/>
      <c r="F7637" t="str">
        <f t="shared" si="263"/>
        <v/>
      </c>
      <c r="G7637" t="str">
        <f t="shared" si="264"/>
        <v/>
      </c>
    </row>
    <row r="7638" spans="2:7">
      <c r="B7638" s="6"/>
      <c r="E7638" s="7"/>
      <c r="F7638" t="str">
        <f t="shared" si="263"/>
        <v/>
      </c>
      <c r="G7638" t="str">
        <f t="shared" si="264"/>
        <v/>
      </c>
    </row>
    <row r="7639" spans="2:7">
      <c r="B7639" s="6"/>
      <c r="E7639" s="7"/>
      <c r="F7639" t="str">
        <f t="shared" si="263"/>
        <v/>
      </c>
      <c r="G7639" t="str">
        <f t="shared" si="264"/>
        <v/>
      </c>
    </row>
    <row r="7640" spans="2:7">
      <c r="B7640" s="6"/>
      <c r="E7640" s="7"/>
      <c r="F7640" t="str">
        <f t="shared" si="263"/>
        <v/>
      </c>
      <c r="G7640" t="str">
        <f t="shared" si="264"/>
        <v/>
      </c>
    </row>
    <row r="7641" spans="2:7">
      <c r="B7641" s="6"/>
      <c r="E7641" s="7"/>
      <c r="F7641" t="str">
        <f t="shared" si="263"/>
        <v/>
      </c>
      <c r="G7641" t="str">
        <f t="shared" si="264"/>
        <v/>
      </c>
    </row>
    <row r="7642" spans="2:7">
      <c r="B7642" s="6"/>
      <c r="E7642" s="7"/>
      <c r="F7642" t="str">
        <f t="shared" si="263"/>
        <v/>
      </c>
      <c r="G7642" t="str">
        <f t="shared" si="264"/>
        <v/>
      </c>
    </row>
    <row r="7643" spans="2:7">
      <c r="B7643" s="6"/>
      <c r="E7643" s="7"/>
      <c r="F7643" t="str">
        <f t="shared" si="263"/>
        <v/>
      </c>
      <c r="G7643" t="str">
        <f t="shared" si="264"/>
        <v/>
      </c>
    </row>
    <row r="7644" spans="2:7">
      <c r="B7644" s="6"/>
      <c r="E7644" s="7"/>
      <c r="F7644" t="str">
        <f t="shared" si="263"/>
        <v/>
      </c>
      <c r="G7644" t="str">
        <f t="shared" si="264"/>
        <v/>
      </c>
    </row>
    <row r="7645" spans="2:7">
      <c r="B7645" s="6"/>
      <c r="E7645" s="7"/>
      <c r="F7645" t="str">
        <f t="shared" si="263"/>
        <v/>
      </c>
      <c r="G7645" t="str">
        <f t="shared" si="264"/>
        <v/>
      </c>
    </row>
    <row r="7646" spans="2:7">
      <c r="B7646" s="6"/>
      <c r="E7646" s="7"/>
      <c r="F7646" t="str">
        <f t="shared" si="263"/>
        <v/>
      </c>
      <c r="G7646" t="str">
        <f t="shared" si="264"/>
        <v/>
      </c>
    </row>
    <row r="7647" spans="2:7">
      <c r="B7647" s="6"/>
      <c r="E7647" s="7"/>
      <c r="F7647" t="str">
        <f t="shared" si="263"/>
        <v/>
      </c>
      <c r="G7647" t="str">
        <f t="shared" si="264"/>
        <v/>
      </c>
    </row>
    <row r="7648" spans="2:7">
      <c r="B7648" s="6"/>
      <c r="E7648" s="7"/>
      <c r="F7648" t="str">
        <f t="shared" si="263"/>
        <v/>
      </c>
      <c r="G7648" t="str">
        <f t="shared" si="264"/>
        <v/>
      </c>
    </row>
    <row r="7649" spans="2:7">
      <c r="B7649" s="6"/>
      <c r="E7649" s="7"/>
      <c r="F7649" t="str">
        <f t="shared" si="263"/>
        <v/>
      </c>
      <c r="G7649" t="str">
        <f t="shared" si="264"/>
        <v/>
      </c>
    </row>
    <row r="7650" spans="2:7">
      <c r="B7650" s="6"/>
      <c r="E7650" s="7"/>
      <c r="F7650" t="str">
        <f t="shared" si="263"/>
        <v/>
      </c>
      <c r="G7650" t="str">
        <f t="shared" si="264"/>
        <v/>
      </c>
    </row>
    <row r="7651" spans="2:7">
      <c r="B7651" s="6"/>
      <c r="E7651" s="7"/>
      <c r="F7651" t="str">
        <f t="shared" si="263"/>
        <v/>
      </c>
      <c r="G7651" t="str">
        <f t="shared" si="264"/>
        <v/>
      </c>
    </row>
    <row r="7652" spans="2:7">
      <c r="B7652" s="6"/>
      <c r="E7652" s="7"/>
      <c r="F7652" t="str">
        <f t="shared" si="263"/>
        <v/>
      </c>
      <c r="G7652" t="str">
        <f t="shared" si="264"/>
        <v/>
      </c>
    </row>
    <row r="7653" spans="2:7">
      <c r="B7653" s="6"/>
      <c r="E7653" s="7"/>
      <c r="F7653" t="str">
        <f t="shared" si="263"/>
        <v/>
      </c>
      <c r="G7653" t="str">
        <f t="shared" si="264"/>
        <v/>
      </c>
    </row>
    <row r="7654" spans="2:7">
      <c r="B7654" s="6"/>
      <c r="E7654" s="7"/>
      <c r="F7654" t="str">
        <f t="shared" si="263"/>
        <v/>
      </c>
      <c r="G7654" t="str">
        <f t="shared" si="264"/>
        <v/>
      </c>
    </row>
    <row r="7655" spans="2:7">
      <c r="B7655" s="6"/>
      <c r="E7655" s="7"/>
      <c r="F7655" t="str">
        <f t="shared" si="263"/>
        <v/>
      </c>
      <c r="G7655" t="str">
        <f t="shared" si="264"/>
        <v/>
      </c>
    </row>
    <row r="7656" spans="2:7">
      <c r="B7656" s="6"/>
      <c r="E7656" s="7"/>
      <c r="F7656" t="str">
        <f t="shared" si="263"/>
        <v/>
      </c>
      <c r="G7656" t="str">
        <f t="shared" si="264"/>
        <v/>
      </c>
    </row>
    <row r="7657" spans="2:7">
      <c r="B7657" s="6"/>
      <c r="E7657" s="7"/>
      <c r="F7657" t="str">
        <f t="shared" si="263"/>
        <v/>
      </c>
      <c r="G7657" t="str">
        <f t="shared" si="264"/>
        <v/>
      </c>
    </row>
    <row r="7658" spans="2:7">
      <c r="B7658" s="6"/>
      <c r="E7658" s="7"/>
      <c r="F7658" t="str">
        <f t="shared" si="263"/>
        <v/>
      </c>
      <c r="G7658" t="str">
        <f t="shared" si="264"/>
        <v/>
      </c>
    </row>
    <row r="7659" spans="2:7">
      <c r="B7659" s="6"/>
      <c r="E7659" s="7"/>
      <c r="F7659" t="str">
        <f t="shared" si="263"/>
        <v/>
      </c>
      <c r="G7659" t="str">
        <f t="shared" si="264"/>
        <v/>
      </c>
    </row>
    <row r="7660" spans="2:7">
      <c r="B7660" s="6"/>
      <c r="E7660" s="7"/>
      <c r="F7660" t="str">
        <f t="shared" si="263"/>
        <v/>
      </c>
      <c r="G7660" t="str">
        <f t="shared" si="264"/>
        <v/>
      </c>
    </row>
    <row r="7661" spans="2:7">
      <c r="B7661" s="6"/>
      <c r="E7661" s="7"/>
      <c r="F7661" t="str">
        <f t="shared" si="263"/>
        <v/>
      </c>
      <c r="G7661" t="str">
        <f t="shared" si="264"/>
        <v/>
      </c>
    </row>
    <row r="7662" spans="2:7">
      <c r="B7662" s="6"/>
      <c r="E7662" s="7"/>
      <c r="F7662" t="str">
        <f t="shared" si="263"/>
        <v/>
      </c>
      <c r="G7662" t="str">
        <f t="shared" si="264"/>
        <v/>
      </c>
    </row>
    <row r="7663" spans="2:7">
      <c r="B7663" s="6"/>
      <c r="E7663" s="7"/>
      <c r="F7663" t="str">
        <f t="shared" si="263"/>
        <v/>
      </c>
      <c r="G7663" t="str">
        <f t="shared" si="264"/>
        <v/>
      </c>
    </row>
    <row r="7664" spans="2:7">
      <c r="B7664" s="6"/>
      <c r="E7664" s="7"/>
      <c r="F7664" t="str">
        <f t="shared" si="263"/>
        <v/>
      </c>
      <c r="G7664" t="str">
        <f t="shared" si="264"/>
        <v/>
      </c>
    </row>
    <row r="7665" spans="2:7">
      <c r="B7665" s="6"/>
      <c r="E7665" s="7"/>
      <c r="F7665" t="str">
        <f t="shared" si="263"/>
        <v/>
      </c>
      <c r="G7665" t="str">
        <f t="shared" si="264"/>
        <v/>
      </c>
    </row>
    <row r="7666" spans="2:7">
      <c r="B7666" s="6"/>
      <c r="E7666" s="7"/>
      <c r="F7666" t="str">
        <f t="shared" si="263"/>
        <v/>
      </c>
      <c r="G7666" t="str">
        <f t="shared" si="264"/>
        <v/>
      </c>
    </row>
    <row r="7667" spans="2:7">
      <c r="B7667" s="6"/>
      <c r="E7667" s="7"/>
      <c r="F7667" t="str">
        <f t="shared" si="263"/>
        <v/>
      </c>
      <c r="G7667" t="str">
        <f t="shared" si="264"/>
        <v/>
      </c>
    </row>
    <row r="7668" spans="2:7">
      <c r="B7668" s="6"/>
      <c r="E7668" s="7"/>
      <c r="F7668" t="str">
        <f t="shared" si="263"/>
        <v/>
      </c>
      <c r="G7668" t="str">
        <f t="shared" si="264"/>
        <v/>
      </c>
    </row>
    <row r="7669" spans="2:7">
      <c r="B7669" s="6"/>
      <c r="E7669" s="7"/>
      <c r="F7669" t="str">
        <f t="shared" si="263"/>
        <v/>
      </c>
      <c r="G7669" t="str">
        <f t="shared" si="264"/>
        <v/>
      </c>
    </row>
    <row r="7670" spans="2:7">
      <c r="B7670" s="6"/>
      <c r="E7670" s="7"/>
      <c r="F7670" t="str">
        <f t="shared" si="263"/>
        <v/>
      </c>
      <c r="G7670" t="str">
        <f t="shared" si="264"/>
        <v/>
      </c>
    </row>
    <row r="7671" spans="2:7">
      <c r="B7671" s="6"/>
      <c r="E7671" s="7"/>
      <c r="F7671" t="str">
        <f t="shared" si="263"/>
        <v/>
      </c>
      <c r="G7671" t="str">
        <f t="shared" si="264"/>
        <v/>
      </c>
    </row>
    <row r="7672" spans="2:7">
      <c r="B7672" s="6"/>
      <c r="E7672" s="7"/>
      <c r="F7672" t="str">
        <f t="shared" si="263"/>
        <v/>
      </c>
      <c r="G7672" t="str">
        <f t="shared" si="264"/>
        <v/>
      </c>
    </row>
    <row r="7673" spans="2:7">
      <c r="B7673" s="6"/>
      <c r="E7673" s="7"/>
      <c r="F7673" t="str">
        <f t="shared" si="263"/>
        <v/>
      </c>
      <c r="G7673" t="str">
        <f t="shared" si="264"/>
        <v/>
      </c>
    </row>
    <row r="7674" spans="2:7">
      <c r="B7674" s="6"/>
      <c r="E7674" s="7"/>
      <c r="F7674" t="str">
        <f t="shared" si="263"/>
        <v/>
      </c>
      <c r="G7674" t="str">
        <f t="shared" si="264"/>
        <v/>
      </c>
    </row>
    <row r="7675" spans="2:7">
      <c r="B7675" s="6"/>
      <c r="E7675" s="7"/>
      <c r="F7675" t="str">
        <f t="shared" si="263"/>
        <v/>
      </c>
      <c r="G7675" t="str">
        <f t="shared" si="264"/>
        <v/>
      </c>
    </row>
    <row r="7676" spans="2:7">
      <c r="B7676" s="6"/>
      <c r="E7676" s="7"/>
      <c r="F7676" t="str">
        <f t="shared" si="263"/>
        <v/>
      </c>
      <c r="G7676" t="str">
        <f t="shared" si="264"/>
        <v/>
      </c>
    </row>
    <row r="7677" spans="2:7">
      <c r="B7677" s="6"/>
      <c r="E7677" s="7"/>
      <c r="F7677" t="str">
        <f t="shared" si="263"/>
        <v/>
      </c>
      <c r="G7677" t="str">
        <f t="shared" si="264"/>
        <v/>
      </c>
    </row>
    <row r="7678" spans="2:7">
      <c r="B7678" s="6"/>
      <c r="E7678" s="7"/>
      <c r="F7678" t="str">
        <f t="shared" si="263"/>
        <v/>
      </c>
      <c r="G7678" t="str">
        <f t="shared" si="264"/>
        <v/>
      </c>
    </row>
    <row r="7679" spans="2:7">
      <c r="B7679" s="6"/>
      <c r="E7679" s="7"/>
      <c r="F7679" t="str">
        <f t="shared" si="263"/>
        <v/>
      </c>
      <c r="G7679" t="str">
        <f t="shared" si="264"/>
        <v/>
      </c>
    </row>
    <row r="7680" spans="2:7">
      <c r="B7680" s="6"/>
      <c r="E7680" s="7"/>
      <c r="F7680" t="str">
        <f t="shared" si="263"/>
        <v/>
      </c>
      <c r="G7680" t="str">
        <f t="shared" si="264"/>
        <v/>
      </c>
    </row>
    <row r="7681" spans="2:7">
      <c r="B7681" s="6"/>
      <c r="E7681" s="7"/>
      <c r="F7681" t="str">
        <f t="shared" si="263"/>
        <v/>
      </c>
      <c r="G7681" t="str">
        <f t="shared" si="264"/>
        <v/>
      </c>
    </row>
    <row r="7682" spans="2:7">
      <c r="B7682" s="6"/>
      <c r="E7682" s="7"/>
      <c r="F7682" t="str">
        <f t="shared" si="263"/>
        <v/>
      </c>
      <c r="G7682" t="str">
        <f t="shared" si="264"/>
        <v/>
      </c>
    </row>
    <row r="7683" spans="2:7">
      <c r="B7683" s="6"/>
      <c r="E7683" s="7"/>
      <c r="F7683" t="str">
        <f t="shared" si="263"/>
        <v/>
      </c>
      <c r="G7683" t="str">
        <f t="shared" si="264"/>
        <v/>
      </c>
    </row>
    <row r="7684" spans="2:7">
      <c r="B7684" s="6"/>
      <c r="E7684" s="7"/>
      <c r="F7684" t="str">
        <f t="shared" ref="F7684:F7747" si="265">IF(B7684="","",LOG10(D7684))</f>
        <v/>
      </c>
      <c r="G7684" t="str">
        <f t="shared" ref="G7684:G7747" si="266">IF(E7684="", "",0.434*E7684/D7684)</f>
        <v/>
      </c>
    </row>
    <row r="7685" spans="2:7">
      <c r="B7685" s="6"/>
      <c r="E7685" s="7"/>
      <c r="F7685" t="str">
        <f t="shared" si="265"/>
        <v/>
      </c>
      <c r="G7685" t="str">
        <f t="shared" si="266"/>
        <v/>
      </c>
    </row>
    <row r="7686" spans="2:7">
      <c r="B7686" s="6"/>
      <c r="E7686" s="7"/>
      <c r="F7686" t="str">
        <f t="shared" si="265"/>
        <v/>
      </c>
      <c r="G7686" t="str">
        <f t="shared" si="266"/>
        <v/>
      </c>
    </row>
    <row r="7687" spans="2:7">
      <c r="B7687" s="6"/>
      <c r="E7687" s="7"/>
      <c r="F7687" t="str">
        <f t="shared" si="265"/>
        <v/>
      </c>
      <c r="G7687" t="str">
        <f t="shared" si="266"/>
        <v/>
      </c>
    </row>
    <row r="7688" spans="2:7">
      <c r="B7688" s="6"/>
      <c r="E7688" s="7"/>
      <c r="F7688" t="str">
        <f t="shared" si="265"/>
        <v/>
      </c>
      <c r="G7688" t="str">
        <f t="shared" si="266"/>
        <v/>
      </c>
    </row>
    <row r="7689" spans="2:7">
      <c r="B7689" s="6"/>
      <c r="E7689" s="7"/>
      <c r="F7689" t="str">
        <f t="shared" si="265"/>
        <v/>
      </c>
      <c r="G7689" t="str">
        <f t="shared" si="266"/>
        <v/>
      </c>
    </row>
    <row r="7690" spans="2:7">
      <c r="B7690" s="6"/>
      <c r="E7690" s="7"/>
      <c r="F7690" t="str">
        <f t="shared" si="265"/>
        <v/>
      </c>
      <c r="G7690" t="str">
        <f t="shared" si="266"/>
        <v/>
      </c>
    </row>
    <row r="7691" spans="2:7">
      <c r="B7691" s="6"/>
      <c r="E7691" s="7"/>
      <c r="F7691" t="str">
        <f t="shared" si="265"/>
        <v/>
      </c>
      <c r="G7691" t="str">
        <f t="shared" si="266"/>
        <v/>
      </c>
    </row>
    <row r="7692" spans="2:7">
      <c r="B7692" s="6"/>
      <c r="E7692" s="7"/>
      <c r="F7692" t="str">
        <f t="shared" si="265"/>
        <v/>
      </c>
      <c r="G7692" t="str">
        <f t="shared" si="266"/>
        <v/>
      </c>
    </row>
    <row r="7693" spans="2:7">
      <c r="B7693" s="6"/>
      <c r="E7693" s="7"/>
      <c r="F7693" t="str">
        <f t="shared" si="265"/>
        <v/>
      </c>
      <c r="G7693" t="str">
        <f t="shared" si="266"/>
        <v/>
      </c>
    </row>
    <row r="7694" spans="2:7">
      <c r="B7694" s="6"/>
      <c r="E7694" s="7"/>
      <c r="F7694" t="str">
        <f t="shared" si="265"/>
        <v/>
      </c>
      <c r="G7694" t="str">
        <f t="shared" si="266"/>
        <v/>
      </c>
    </row>
    <row r="7695" spans="2:7">
      <c r="B7695" s="6"/>
      <c r="E7695" s="7"/>
      <c r="F7695" t="str">
        <f t="shared" si="265"/>
        <v/>
      </c>
      <c r="G7695" t="str">
        <f t="shared" si="266"/>
        <v/>
      </c>
    </row>
    <row r="7696" spans="2:7">
      <c r="B7696" s="6"/>
      <c r="E7696" s="7"/>
      <c r="F7696" t="str">
        <f t="shared" si="265"/>
        <v/>
      </c>
      <c r="G7696" t="str">
        <f t="shared" si="266"/>
        <v/>
      </c>
    </row>
    <row r="7697" spans="2:7">
      <c r="B7697" s="6"/>
      <c r="E7697" s="7"/>
      <c r="F7697" t="str">
        <f t="shared" si="265"/>
        <v/>
      </c>
      <c r="G7697" t="str">
        <f t="shared" si="266"/>
        <v/>
      </c>
    </row>
    <row r="7698" spans="2:7">
      <c r="B7698" s="6"/>
      <c r="E7698" s="7"/>
      <c r="F7698" t="str">
        <f t="shared" si="265"/>
        <v/>
      </c>
      <c r="G7698" t="str">
        <f t="shared" si="266"/>
        <v/>
      </c>
    </row>
    <row r="7699" spans="2:7">
      <c r="B7699" s="6"/>
      <c r="E7699" s="7"/>
      <c r="F7699" t="str">
        <f t="shared" si="265"/>
        <v/>
      </c>
      <c r="G7699" t="str">
        <f t="shared" si="266"/>
        <v/>
      </c>
    </row>
    <row r="7700" spans="2:7">
      <c r="B7700" s="6"/>
      <c r="E7700" s="7"/>
      <c r="F7700" t="str">
        <f t="shared" si="265"/>
        <v/>
      </c>
      <c r="G7700" t="str">
        <f t="shared" si="266"/>
        <v/>
      </c>
    </row>
    <row r="7701" spans="2:7">
      <c r="B7701" s="6"/>
      <c r="E7701" s="7"/>
      <c r="F7701" t="str">
        <f t="shared" si="265"/>
        <v/>
      </c>
      <c r="G7701" t="str">
        <f t="shared" si="266"/>
        <v/>
      </c>
    </row>
    <row r="7702" spans="2:7">
      <c r="B7702" s="6"/>
      <c r="E7702" s="7"/>
      <c r="F7702" t="str">
        <f t="shared" si="265"/>
        <v/>
      </c>
      <c r="G7702" t="str">
        <f t="shared" si="266"/>
        <v/>
      </c>
    </row>
    <row r="7703" spans="2:7">
      <c r="B7703" s="6"/>
      <c r="E7703" s="7"/>
      <c r="F7703" t="str">
        <f t="shared" si="265"/>
        <v/>
      </c>
      <c r="G7703" t="str">
        <f t="shared" si="266"/>
        <v/>
      </c>
    </row>
    <row r="7704" spans="2:7">
      <c r="B7704" s="6"/>
      <c r="E7704" s="7"/>
      <c r="F7704" t="str">
        <f t="shared" si="265"/>
        <v/>
      </c>
      <c r="G7704" t="str">
        <f t="shared" si="266"/>
        <v/>
      </c>
    </row>
    <row r="7705" spans="2:7">
      <c r="B7705" s="6"/>
      <c r="E7705" s="7"/>
      <c r="F7705" t="str">
        <f t="shared" si="265"/>
        <v/>
      </c>
      <c r="G7705" t="str">
        <f t="shared" si="266"/>
        <v/>
      </c>
    </row>
    <row r="7706" spans="2:7">
      <c r="B7706" s="6"/>
      <c r="E7706" s="7"/>
      <c r="F7706" t="str">
        <f t="shared" si="265"/>
        <v/>
      </c>
      <c r="G7706" t="str">
        <f t="shared" si="266"/>
        <v/>
      </c>
    </row>
    <row r="7707" spans="2:7">
      <c r="B7707" s="6"/>
      <c r="E7707" s="7"/>
      <c r="F7707" t="str">
        <f t="shared" si="265"/>
        <v/>
      </c>
      <c r="G7707" t="str">
        <f t="shared" si="266"/>
        <v/>
      </c>
    </row>
    <row r="7708" spans="2:7">
      <c r="B7708" s="6"/>
      <c r="E7708" s="7"/>
      <c r="F7708" t="str">
        <f t="shared" si="265"/>
        <v/>
      </c>
      <c r="G7708" t="str">
        <f t="shared" si="266"/>
        <v/>
      </c>
    </row>
    <row r="7709" spans="2:7">
      <c r="B7709" s="6"/>
      <c r="E7709" s="7"/>
      <c r="F7709" t="str">
        <f t="shared" si="265"/>
        <v/>
      </c>
      <c r="G7709" t="str">
        <f t="shared" si="266"/>
        <v/>
      </c>
    </row>
    <row r="7710" spans="2:7">
      <c r="B7710" s="6"/>
      <c r="E7710" s="7"/>
      <c r="F7710" t="str">
        <f t="shared" si="265"/>
        <v/>
      </c>
      <c r="G7710" t="str">
        <f t="shared" si="266"/>
        <v/>
      </c>
    </row>
    <row r="7711" spans="2:7">
      <c r="B7711" s="6"/>
      <c r="E7711" s="7"/>
      <c r="F7711" t="str">
        <f t="shared" si="265"/>
        <v/>
      </c>
      <c r="G7711" t="str">
        <f t="shared" si="266"/>
        <v/>
      </c>
    </row>
    <row r="7712" spans="2:7">
      <c r="B7712" s="6"/>
      <c r="E7712" s="7"/>
      <c r="F7712" t="str">
        <f t="shared" si="265"/>
        <v/>
      </c>
      <c r="G7712" t="str">
        <f t="shared" si="266"/>
        <v/>
      </c>
    </row>
    <row r="7713" spans="2:7">
      <c r="B7713" s="6"/>
      <c r="E7713" s="7"/>
      <c r="F7713" t="str">
        <f t="shared" si="265"/>
        <v/>
      </c>
      <c r="G7713" t="str">
        <f t="shared" si="266"/>
        <v/>
      </c>
    </row>
    <row r="7714" spans="2:7">
      <c r="B7714" s="6"/>
      <c r="E7714" s="7"/>
      <c r="F7714" t="str">
        <f t="shared" si="265"/>
        <v/>
      </c>
      <c r="G7714" t="str">
        <f t="shared" si="266"/>
        <v/>
      </c>
    </row>
    <row r="7715" spans="2:7">
      <c r="B7715" s="6"/>
      <c r="E7715" s="7"/>
      <c r="F7715" t="str">
        <f t="shared" si="265"/>
        <v/>
      </c>
      <c r="G7715" t="str">
        <f t="shared" si="266"/>
        <v/>
      </c>
    </row>
    <row r="7716" spans="2:7">
      <c r="B7716" s="6"/>
      <c r="E7716" s="7"/>
      <c r="F7716" t="str">
        <f t="shared" si="265"/>
        <v/>
      </c>
      <c r="G7716" t="str">
        <f t="shared" si="266"/>
        <v/>
      </c>
    </row>
    <row r="7717" spans="2:7">
      <c r="B7717" s="6"/>
      <c r="E7717" s="7"/>
      <c r="F7717" t="str">
        <f t="shared" si="265"/>
        <v/>
      </c>
      <c r="G7717" t="str">
        <f t="shared" si="266"/>
        <v/>
      </c>
    </row>
    <row r="7718" spans="2:7">
      <c r="B7718" s="6"/>
      <c r="E7718" s="7"/>
      <c r="F7718" t="str">
        <f t="shared" si="265"/>
        <v/>
      </c>
      <c r="G7718" t="str">
        <f t="shared" si="266"/>
        <v/>
      </c>
    </row>
    <row r="7719" spans="2:7">
      <c r="B7719" s="6"/>
      <c r="E7719" s="7"/>
      <c r="F7719" t="str">
        <f t="shared" si="265"/>
        <v/>
      </c>
      <c r="G7719" t="str">
        <f t="shared" si="266"/>
        <v/>
      </c>
    </row>
    <row r="7720" spans="2:7">
      <c r="B7720" s="6"/>
      <c r="E7720" s="7"/>
      <c r="F7720" t="str">
        <f t="shared" si="265"/>
        <v/>
      </c>
      <c r="G7720" t="str">
        <f t="shared" si="266"/>
        <v/>
      </c>
    </row>
    <row r="7721" spans="2:7">
      <c r="B7721" s="6"/>
      <c r="E7721" s="7"/>
      <c r="F7721" t="str">
        <f t="shared" si="265"/>
        <v/>
      </c>
      <c r="G7721" t="str">
        <f t="shared" si="266"/>
        <v/>
      </c>
    </row>
    <row r="7722" spans="2:7">
      <c r="B7722" s="6"/>
      <c r="E7722" s="7"/>
      <c r="F7722" t="str">
        <f t="shared" si="265"/>
        <v/>
      </c>
      <c r="G7722" t="str">
        <f t="shared" si="266"/>
        <v/>
      </c>
    </row>
    <row r="7723" spans="2:7">
      <c r="B7723" s="6"/>
      <c r="E7723" s="7"/>
      <c r="F7723" t="str">
        <f t="shared" si="265"/>
        <v/>
      </c>
      <c r="G7723" t="str">
        <f t="shared" si="266"/>
        <v/>
      </c>
    </row>
    <row r="7724" spans="2:7">
      <c r="B7724" s="6"/>
      <c r="E7724" s="7"/>
      <c r="F7724" t="str">
        <f t="shared" si="265"/>
        <v/>
      </c>
      <c r="G7724" t="str">
        <f t="shared" si="266"/>
        <v/>
      </c>
    </row>
    <row r="7725" spans="2:7">
      <c r="B7725" s="6"/>
      <c r="E7725" s="7"/>
      <c r="F7725" t="str">
        <f t="shared" si="265"/>
        <v/>
      </c>
      <c r="G7725" t="str">
        <f t="shared" si="266"/>
        <v/>
      </c>
    </row>
    <row r="7726" spans="2:7">
      <c r="B7726" s="6"/>
      <c r="E7726" s="7"/>
      <c r="F7726" t="str">
        <f t="shared" si="265"/>
        <v/>
      </c>
      <c r="G7726" t="str">
        <f t="shared" si="266"/>
        <v/>
      </c>
    </row>
    <row r="7727" spans="2:7">
      <c r="B7727" s="6"/>
      <c r="E7727" s="7"/>
      <c r="F7727" t="str">
        <f t="shared" si="265"/>
        <v/>
      </c>
      <c r="G7727" t="str">
        <f t="shared" si="266"/>
        <v/>
      </c>
    </row>
    <row r="7728" spans="2:7">
      <c r="B7728" s="6"/>
      <c r="E7728" s="7"/>
      <c r="F7728" t="str">
        <f t="shared" si="265"/>
        <v/>
      </c>
      <c r="G7728" t="str">
        <f t="shared" si="266"/>
        <v/>
      </c>
    </row>
    <row r="7729" spans="2:7">
      <c r="B7729" s="6"/>
      <c r="E7729" s="7"/>
      <c r="F7729" t="str">
        <f t="shared" si="265"/>
        <v/>
      </c>
      <c r="G7729" t="str">
        <f t="shared" si="266"/>
        <v/>
      </c>
    </row>
    <row r="7730" spans="2:7">
      <c r="B7730" s="6"/>
      <c r="E7730" s="7"/>
      <c r="F7730" t="str">
        <f t="shared" si="265"/>
        <v/>
      </c>
      <c r="G7730" t="str">
        <f t="shared" si="266"/>
        <v/>
      </c>
    </row>
    <row r="7731" spans="2:7">
      <c r="B7731" s="6"/>
      <c r="E7731" s="7"/>
      <c r="F7731" t="str">
        <f t="shared" si="265"/>
        <v/>
      </c>
      <c r="G7731" t="str">
        <f t="shared" si="266"/>
        <v/>
      </c>
    </row>
    <row r="7732" spans="2:7">
      <c r="B7732" s="6"/>
      <c r="E7732" s="7"/>
      <c r="F7732" t="str">
        <f t="shared" si="265"/>
        <v/>
      </c>
      <c r="G7732" t="str">
        <f t="shared" si="266"/>
        <v/>
      </c>
    </row>
    <row r="7733" spans="2:7">
      <c r="B7733" s="6"/>
      <c r="E7733" s="7"/>
      <c r="F7733" t="str">
        <f t="shared" si="265"/>
        <v/>
      </c>
      <c r="G7733" t="str">
        <f t="shared" si="266"/>
        <v/>
      </c>
    </row>
    <row r="7734" spans="2:7">
      <c r="B7734" s="6"/>
      <c r="E7734" s="7"/>
      <c r="F7734" t="str">
        <f t="shared" si="265"/>
        <v/>
      </c>
      <c r="G7734" t="str">
        <f t="shared" si="266"/>
        <v/>
      </c>
    </row>
    <row r="7735" spans="2:7">
      <c r="B7735" s="6"/>
      <c r="E7735" s="7"/>
      <c r="F7735" t="str">
        <f t="shared" si="265"/>
        <v/>
      </c>
      <c r="G7735" t="str">
        <f t="shared" si="266"/>
        <v/>
      </c>
    </row>
    <row r="7736" spans="2:7">
      <c r="B7736" s="6"/>
      <c r="E7736" s="7"/>
      <c r="F7736" t="str">
        <f t="shared" si="265"/>
        <v/>
      </c>
      <c r="G7736" t="str">
        <f t="shared" si="266"/>
        <v/>
      </c>
    </row>
    <row r="7737" spans="2:7">
      <c r="B7737" s="6"/>
      <c r="E7737" s="7"/>
      <c r="F7737" t="str">
        <f t="shared" si="265"/>
        <v/>
      </c>
      <c r="G7737" t="str">
        <f t="shared" si="266"/>
        <v/>
      </c>
    </row>
    <row r="7738" spans="2:7">
      <c r="B7738" s="6"/>
      <c r="E7738" s="7"/>
      <c r="F7738" t="str">
        <f t="shared" si="265"/>
        <v/>
      </c>
      <c r="G7738" t="str">
        <f t="shared" si="266"/>
        <v/>
      </c>
    </row>
    <row r="7739" spans="2:7">
      <c r="B7739" s="6"/>
      <c r="E7739" s="7"/>
      <c r="F7739" t="str">
        <f t="shared" si="265"/>
        <v/>
      </c>
      <c r="G7739" t="str">
        <f t="shared" si="266"/>
        <v/>
      </c>
    </row>
    <row r="7740" spans="2:7">
      <c r="B7740" s="6"/>
      <c r="E7740" s="7"/>
      <c r="F7740" t="str">
        <f t="shared" si="265"/>
        <v/>
      </c>
      <c r="G7740" t="str">
        <f t="shared" si="266"/>
        <v/>
      </c>
    </row>
    <row r="7741" spans="2:7">
      <c r="B7741" s="6"/>
      <c r="E7741" s="7"/>
      <c r="F7741" t="str">
        <f t="shared" si="265"/>
        <v/>
      </c>
      <c r="G7741" t="str">
        <f t="shared" si="266"/>
        <v/>
      </c>
    </row>
    <row r="7742" spans="2:7">
      <c r="B7742" s="6"/>
      <c r="E7742" s="7"/>
      <c r="F7742" t="str">
        <f t="shared" si="265"/>
        <v/>
      </c>
      <c r="G7742" t="str">
        <f t="shared" si="266"/>
        <v/>
      </c>
    </row>
    <row r="7743" spans="2:7">
      <c r="B7743" s="6"/>
      <c r="E7743" s="7"/>
      <c r="F7743" t="str">
        <f t="shared" si="265"/>
        <v/>
      </c>
      <c r="G7743" t="str">
        <f t="shared" si="266"/>
        <v/>
      </c>
    </row>
    <row r="7744" spans="2:7">
      <c r="B7744" s="6"/>
      <c r="E7744" s="7"/>
      <c r="F7744" t="str">
        <f t="shared" si="265"/>
        <v/>
      </c>
      <c r="G7744" t="str">
        <f t="shared" si="266"/>
        <v/>
      </c>
    </row>
    <row r="7745" spans="2:7">
      <c r="B7745" s="6"/>
      <c r="E7745" s="7"/>
      <c r="F7745" t="str">
        <f t="shared" si="265"/>
        <v/>
      </c>
      <c r="G7745" t="str">
        <f t="shared" si="266"/>
        <v/>
      </c>
    </row>
    <row r="7746" spans="2:7">
      <c r="B7746" s="6"/>
      <c r="E7746" s="7"/>
      <c r="F7746" t="str">
        <f t="shared" si="265"/>
        <v/>
      </c>
      <c r="G7746" t="str">
        <f t="shared" si="266"/>
        <v/>
      </c>
    </row>
    <row r="7747" spans="2:7">
      <c r="B7747" s="6"/>
      <c r="E7747" s="7"/>
      <c r="F7747" t="str">
        <f t="shared" si="265"/>
        <v/>
      </c>
      <c r="G7747" t="str">
        <f t="shared" si="266"/>
        <v/>
      </c>
    </row>
    <row r="7748" spans="2:7">
      <c r="B7748" s="6"/>
      <c r="E7748" s="7"/>
      <c r="F7748" t="str">
        <f t="shared" ref="F7748:F7811" si="267">IF(B7748="","",LOG10(D7748))</f>
        <v/>
      </c>
      <c r="G7748" t="str">
        <f t="shared" ref="G7748:G7811" si="268">IF(E7748="", "",0.434*E7748/D7748)</f>
        <v/>
      </c>
    </row>
    <row r="7749" spans="2:7">
      <c r="B7749" s="6"/>
      <c r="E7749" s="7"/>
      <c r="F7749" t="str">
        <f t="shared" si="267"/>
        <v/>
      </c>
      <c r="G7749" t="str">
        <f t="shared" si="268"/>
        <v/>
      </c>
    </row>
    <row r="7750" spans="2:7">
      <c r="B7750" s="6"/>
      <c r="E7750" s="7"/>
      <c r="F7750" t="str">
        <f t="shared" si="267"/>
        <v/>
      </c>
      <c r="G7750" t="str">
        <f t="shared" si="268"/>
        <v/>
      </c>
    </row>
    <row r="7751" spans="2:7">
      <c r="B7751" s="6"/>
      <c r="E7751" s="7"/>
      <c r="F7751" t="str">
        <f t="shared" si="267"/>
        <v/>
      </c>
      <c r="G7751" t="str">
        <f t="shared" si="268"/>
        <v/>
      </c>
    </row>
    <row r="7752" spans="2:7">
      <c r="B7752" s="6"/>
      <c r="E7752" s="7"/>
      <c r="F7752" t="str">
        <f t="shared" si="267"/>
        <v/>
      </c>
      <c r="G7752" t="str">
        <f t="shared" si="268"/>
        <v/>
      </c>
    </row>
    <row r="7753" spans="2:7">
      <c r="B7753" s="6"/>
      <c r="E7753" s="7"/>
      <c r="F7753" t="str">
        <f t="shared" si="267"/>
        <v/>
      </c>
      <c r="G7753" t="str">
        <f t="shared" si="268"/>
        <v/>
      </c>
    </row>
    <row r="7754" spans="2:7">
      <c r="B7754" s="6"/>
      <c r="E7754" s="7"/>
      <c r="F7754" t="str">
        <f t="shared" si="267"/>
        <v/>
      </c>
      <c r="G7754" t="str">
        <f t="shared" si="268"/>
        <v/>
      </c>
    </row>
    <row r="7755" spans="2:7">
      <c r="B7755" s="6"/>
      <c r="E7755" s="7"/>
      <c r="F7755" t="str">
        <f t="shared" si="267"/>
        <v/>
      </c>
      <c r="G7755" t="str">
        <f t="shared" si="268"/>
        <v/>
      </c>
    </row>
    <row r="7756" spans="2:7">
      <c r="B7756" s="6"/>
      <c r="E7756" s="7"/>
      <c r="F7756" t="str">
        <f t="shared" si="267"/>
        <v/>
      </c>
      <c r="G7756" t="str">
        <f t="shared" si="268"/>
        <v/>
      </c>
    </row>
    <row r="7757" spans="2:7">
      <c r="B7757" s="6"/>
      <c r="E7757" s="7"/>
      <c r="F7757" t="str">
        <f t="shared" si="267"/>
        <v/>
      </c>
      <c r="G7757" t="str">
        <f t="shared" si="268"/>
        <v/>
      </c>
    </row>
    <row r="7758" spans="2:7">
      <c r="B7758" s="6"/>
      <c r="E7758" s="7"/>
      <c r="F7758" t="str">
        <f t="shared" si="267"/>
        <v/>
      </c>
      <c r="G7758" t="str">
        <f t="shared" si="268"/>
        <v/>
      </c>
    </row>
    <row r="7759" spans="2:7">
      <c r="B7759" s="6"/>
      <c r="E7759" s="7"/>
      <c r="F7759" t="str">
        <f t="shared" si="267"/>
        <v/>
      </c>
      <c r="G7759" t="str">
        <f t="shared" si="268"/>
        <v/>
      </c>
    </row>
    <row r="7760" spans="2:7">
      <c r="B7760" s="6"/>
      <c r="E7760" s="7"/>
      <c r="F7760" t="str">
        <f t="shared" si="267"/>
        <v/>
      </c>
      <c r="G7760" t="str">
        <f t="shared" si="268"/>
        <v/>
      </c>
    </row>
    <row r="7761" spans="2:7">
      <c r="B7761" s="6"/>
      <c r="E7761" s="7"/>
      <c r="F7761" t="str">
        <f t="shared" si="267"/>
        <v/>
      </c>
      <c r="G7761" t="str">
        <f t="shared" si="268"/>
        <v/>
      </c>
    </row>
    <row r="7762" spans="2:7">
      <c r="B7762" s="6"/>
      <c r="E7762" s="7"/>
      <c r="F7762" t="str">
        <f t="shared" si="267"/>
        <v/>
      </c>
      <c r="G7762" t="str">
        <f t="shared" si="268"/>
        <v/>
      </c>
    </row>
    <row r="7763" spans="2:7">
      <c r="B7763" s="6"/>
      <c r="E7763" s="7"/>
      <c r="F7763" t="str">
        <f t="shared" si="267"/>
        <v/>
      </c>
      <c r="G7763" t="str">
        <f t="shared" si="268"/>
        <v/>
      </c>
    </row>
    <row r="7764" spans="2:7">
      <c r="B7764" s="6"/>
      <c r="E7764" s="7"/>
      <c r="F7764" t="str">
        <f t="shared" si="267"/>
        <v/>
      </c>
      <c r="G7764" t="str">
        <f t="shared" si="268"/>
        <v/>
      </c>
    </row>
    <row r="7765" spans="2:7">
      <c r="B7765" s="6"/>
      <c r="E7765" s="7"/>
      <c r="F7765" t="str">
        <f t="shared" si="267"/>
        <v/>
      </c>
      <c r="G7765" t="str">
        <f t="shared" si="268"/>
        <v/>
      </c>
    </row>
    <row r="7766" spans="2:7">
      <c r="B7766" s="6"/>
      <c r="E7766" s="7"/>
      <c r="F7766" t="str">
        <f t="shared" si="267"/>
        <v/>
      </c>
      <c r="G7766" t="str">
        <f t="shared" si="268"/>
        <v/>
      </c>
    </row>
    <row r="7767" spans="2:7">
      <c r="B7767" s="6"/>
      <c r="E7767" s="7"/>
      <c r="F7767" t="str">
        <f t="shared" si="267"/>
        <v/>
      </c>
      <c r="G7767" t="str">
        <f t="shared" si="268"/>
        <v/>
      </c>
    </row>
    <row r="7768" spans="2:7">
      <c r="B7768" s="6"/>
      <c r="E7768" s="7"/>
      <c r="F7768" t="str">
        <f t="shared" si="267"/>
        <v/>
      </c>
      <c r="G7768" t="str">
        <f t="shared" si="268"/>
        <v/>
      </c>
    </row>
    <row r="7769" spans="2:7">
      <c r="B7769" s="6"/>
      <c r="E7769" s="7"/>
      <c r="F7769" t="str">
        <f t="shared" si="267"/>
        <v/>
      </c>
      <c r="G7769" t="str">
        <f t="shared" si="268"/>
        <v/>
      </c>
    </row>
    <row r="7770" spans="2:7">
      <c r="B7770" s="6"/>
      <c r="E7770" s="7"/>
      <c r="F7770" t="str">
        <f t="shared" si="267"/>
        <v/>
      </c>
      <c r="G7770" t="str">
        <f t="shared" si="268"/>
        <v/>
      </c>
    </row>
    <row r="7771" spans="2:7">
      <c r="B7771" s="6"/>
      <c r="E7771" s="7"/>
      <c r="F7771" t="str">
        <f t="shared" si="267"/>
        <v/>
      </c>
      <c r="G7771" t="str">
        <f t="shared" si="268"/>
        <v/>
      </c>
    </row>
    <row r="7772" spans="2:7">
      <c r="B7772" s="6"/>
      <c r="E7772" s="7"/>
      <c r="F7772" t="str">
        <f t="shared" si="267"/>
        <v/>
      </c>
      <c r="G7772" t="str">
        <f t="shared" si="268"/>
        <v/>
      </c>
    </row>
    <row r="7773" spans="2:7">
      <c r="B7773" s="6"/>
      <c r="E7773" s="7"/>
      <c r="F7773" t="str">
        <f t="shared" si="267"/>
        <v/>
      </c>
      <c r="G7773" t="str">
        <f t="shared" si="268"/>
        <v/>
      </c>
    </row>
    <row r="7774" spans="2:7">
      <c r="B7774" s="6"/>
      <c r="E7774" s="7"/>
      <c r="F7774" t="str">
        <f t="shared" si="267"/>
        <v/>
      </c>
      <c r="G7774" t="str">
        <f t="shared" si="268"/>
        <v/>
      </c>
    </row>
    <row r="7775" spans="2:7">
      <c r="B7775" s="6"/>
      <c r="E7775" s="7"/>
      <c r="F7775" t="str">
        <f t="shared" si="267"/>
        <v/>
      </c>
      <c r="G7775" t="str">
        <f t="shared" si="268"/>
        <v/>
      </c>
    </row>
    <row r="7776" spans="2:7">
      <c r="B7776" s="6"/>
      <c r="E7776" s="7"/>
      <c r="F7776" t="str">
        <f t="shared" si="267"/>
        <v/>
      </c>
      <c r="G7776" t="str">
        <f t="shared" si="268"/>
        <v/>
      </c>
    </row>
    <row r="7777" spans="2:7">
      <c r="B7777" s="6"/>
      <c r="E7777" s="7"/>
      <c r="F7777" t="str">
        <f t="shared" si="267"/>
        <v/>
      </c>
      <c r="G7777" t="str">
        <f t="shared" si="268"/>
        <v/>
      </c>
    </row>
    <row r="7778" spans="2:7">
      <c r="B7778" s="6"/>
      <c r="E7778" s="7"/>
      <c r="F7778" t="str">
        <f t="shared" si="267"/>
        <v/>
      </c>
      <c r="G7778" t="str">
        <f t="shared" si="268"/>
        <v/>
      </c>
    </row>
    <row r="7779" spans="2:7">
      <c r="B7779" s="6"/>
      <c r="E7779" s="7"/>
      <c r="F7779" t="str">
        <f t="shared" si="267"/>
        <v/>
      </c>
      <c r="G7779" t="str">
        <f t="shared" si="268"/>
        <v/>
      </c>
    </row>
    <row r="7780" spans="2:7">
      <c r="B7780" s="6"/>
      <c r="E7780" s="7"/>
      <c r="F7780" t="str">
        <f t="shared" si="267"/>
        <v/>
      </c>
      <c r="G7780" t="str">
        <f t="shared" si="268"/>
        <v/>
      </c>
    </row>
    <row r="7781" spans="2:7">
      <c r="B7781" s="6"/>
      <c r="E7781" s="7"/>
      <c r="F7781" t="str">
        <f t="shared" si="267"/>
        <v/>
      </c>
      <c r="G7781" t="str">
        <f t="shared" si="268"/>
        <v/>
      </c>
    </row>
    <row r="7782" spans="2:7">
      <c r="B7782" s="6"/>
      <c r="E7782" s="7"/>
      <c r="F7782" t="str">
        <f t="shared" si="267"/>
        <v/>
      </c>
      <c r="G7782" t="str">
        <f t="shared" si="268"/>
        <v/>
      </c>
    </row>
    <row r="7783" spans="2:7">
      <c r="B7783" s="6"/>
      <c r="E7783" s="7"/>
      <c r="F7783" t="str">
        <f t="shared" si="267"/>
        <v/>
      </c>
      <c r="G7783" t="str">
        <f t="shared" si="268"/>
        <v/>
      </c>
    </row>
    <row r="7784" spans="2:7">
      <c r="B7784" s="6"/>
      <c r="E7784" s="7"/>
      <c r="F7784" t="str">
        <f t="shared" si="267"/>
        <v/>
      </c>
      <c r="G7784" t="str">
        <f t="shared" si="268"/>
        <v/>
      </c>
    </row>
    <row r="7785" spans="2:7">
      <c r="B7785" s="6"/>
      <c r="E7785" s="7"/>
      <c r="F7785" t="str">
        <f t="shared" si="267"/>
        <v/>
      </c>
      <c r="G7785" t="str">
        <f t="shared" si="268"/>
        <v/>
      </c>
    </row>
    <row r="7786" spans="2:7">
      <c r="B7786" s="6"/>
      <c r="E7786" s="7"/>
      <c r="F7786" t="str">
        <f t="shared" si="267"/>
        <v/>
      </c>
      <c r="G7786" t="str">
        <f t="shared" si="268"/>
        <v/>
      </c>
    </row>
    <row r="7787" spans="2:7">
      <c r="B7787" s="6"/>
      <c r="E7787" s="7"/>
      <c r="F7787" t="str">
        <f t="shared" si="267"/>
        <v/>
      </c>
      <c r="G7787" t="str">
        <f t="shared" si="268"/>
        <v/>
      </c>
    </row>
    <row r="7788" spans="2:7">
      <c r="B7788" s="6"/>
      <c r="E7788" s="7"/>
      <c r="F7788" t="str">
        <f t="shared" si="267"/>
        <v/>
      </c>
      <c r="G7788" t="str">
        <f t="shared" si="268"/>
        <v/>
      </c>
    </row>
    <row r="7789" spans="2:7">
      <c r="B7789" s="6"/>
      <c r="E7789" s="7"/>
      <c r="F7789" t="str">
        <f t="shared" si="267"/>
        <v/>
      </c>
      <c r="G7789" t="str">
        <f t="shared" si="268"/>
        <v/>
      </c>
    </row>
    <row r="7790" spans="2:7">
      <c r="B7790" s="6"/>
      <c r="E7790" s="7"/>
      <c r="F7790" t="str">
        <f t="shared" si="267"/>
        <v/>
      </c>
      <c r="G7790" t="str">
        <f t="shared" si="268"/>
        <v/>
      </c>
    </row>
    <row r="7791" spans="2:7">
      <c r="B7791" s="6"/>
      <c r="E7791" s="7"/>
      <c r="F7791" t="str">
        <f t="shared" si="267"/>
        <v/>
      </c>
      <c r="G7791" t="str">
        <f t="shared" si="268"/>
        <v/>
      </c>
    </row>
    <row r="7792" spans="2:7">
      <c r="B7792" s="6"/>
      <c r="E7792" s="7"/>
      <c r="F7792" t="str">
        <f t="shared" si="267"/>
        <v/>
      </c>
      <c r="G7792" t="str">
        <f t="shared" si="268"/>
        <v/>
      </c>
    </row>
    <row r="7793" spans="2:7">
      <c r="B7793" s="6"/>
      <c r="E7793" s="7"/>
      <c r="F7793" t="str">
        <f t="shared" si="267"/>
        <v/>
      </c>
      <c r="G7793" t="str">
        <f t="shared" si="268"/>
        <v/>
      </c>
    </row>
    <row r="7794" spans="2:7">
      <c r="B7794" s="6"/>
      <c r="E7794" s="7"/>
      <c r="F7794" t="str">
        <f t="shared" si="267"/>
        <v/>
      </c>
      <c r="G7794" t="str">
        <f t="shared" si="268"/>
        <v/>
      </c>
    </row>
    <row r="7795" spans="2:7">
      <c r="B7795" s="6"/>
      <c r="E7795" s="7"/>
      <c r="F7795" t="str">
        <f t="shared" si="267"/>
        <v/>
      </c>
      <c r="G7795" t="str">
        <f t="shared" si="268"/>
        <v/>
      </c>
    </row>
    <row r="7796" spans="2:7">
      <c r="B7796" s="6"/>
      <c r="E7796" s="7"/>
      <c r="F7796" t="str">
        <f t="shared" si="267"/>
        <v/>
      </c>
      <c r="G7796" t="str">
        <f t="shared" si="268"/>
        <v/>
      </c>
    </row>
    <row r="7797" spans="2:7">
      <c r="B7797" s="6"/>
      <c r="E7797" s="7"/>
      <c r="F7797" t="str">
        <f t="shared" si="267"/>
        <v/>
      </c>
      <c r="G7797" t="str">
        <f t="shared" si="268"/>
        <v/>
      </c>
    </row>
    <row r="7798" spans="2:7">
      <c r="B7798" s="6"/>
      <c r="E7798" s="7"/>
      <c r="F7798" t="str">
        <f t="shared" si="267"/>
        <v/>
      </c>
      <c r="G7798" t="str">
        <f t="shared" si="268"/>
        <v/>
      </c>
    </row>
    <row r="7799" spans="2:7">
      <c r="B7799" s="6"/>
      <c r="E7799" s="7"/>
      <c r="F7799" t="str">
        <f t="shared" si="267"/>
        <v/>
      </c>
      <c r="G7799" t="str">
        <f t="shared" si="268"/>
        <v/>
      </c>
    </row>
    <row r="7800" spans="2:7">
      <c r="B7800" s="6"/>
      <c r="E7800" s="7"/>
      <c r="F7800" t="str">
        <f t="shared" si="267"/>
        <v/>
      </c>
      <c r="G7800" t="str">
        <f t="shared" si="268"/>
        <v/>
      </c>
    </row>
    <row r="7801" spans="2:7">
      <c r="B7801" s="6"/>
      <c r="E7801" s="7"/>
      <c r="F7801" t="str">
        <f t="shared" si="267"/>
        <v/>
      </c>
      <c r="G7801" t="str">
        <f t="shared" si="268"/>
        <v/>
      </c>
    </row>
    <row r="7802" spans="2:7">
      <c r="B7802" s="6"/>
      <c r="E7802" s="7"/>
      <c r="F7802" t="str">
        <f t="shared" si="267"/>
        <v/>
      </c>
      <c r="G7802" t="str">
        <f t="shared" si="268"/>
        <v/>
      </c>
    </row>
    <row r="7803" spans="2:7">
      <c r="B7803" s="6"/>
      <c r="E7803" s="7"/>
      <c r="F7803" t="str">
        <f t="shared" si="267"/>
        <v/>
      </c>
      <c r="G7803" t="str">
        <f t="shared" si="268"/>
        <v/>
      </c>
    </row>
    <row r="7804" spans="2:7">
      <c r="B7804" s="6"/>
      <c r="E7804" s="7"/>
      <c r="F7804" t="str">
        <f t="shared" si="267"/>
        <v/>
      </c>
      <c r="G7804" t="str">
        <f t="shared" si="268"/>
        <v/>
      </c>
    </row>
    <row r="7805" spans="2:7">
      <c r="B7805" s="6"/>
      <c r="E7805" s="7"/>
      <c r="F7805" t="str">
        <f t="shared" si="267"/>
        <v/>
      </c>
      <c r="G7805" t="str">
        <f t="shared" si="268"/>
        <v/>
      </c>
    </row>
    <row r="7806" spans="2:7">
      <c r="B7806" s="6"/>
      <c r="E7806" s="7"/>
      <c r="F7806" t="str">
        <f t="shared" si="267"/>
        <v/>
      </c>
      <c r="G7806" t="str">
        <f t="shared" si="268"/>
        <v/>
      </c>
    </row>
    <row r="7807" spans="2:7">
      <c r="B7807" s="6"/>
      <c r="E7807" s="7"/>
      <c r="F7807" t="str">
        <f t="shared" si="267"/>
        <v/>
      </c>
      <c r="G7807" t="str">
        <f t="shared" si="268"/>
        <v/>
      </c>
    </row>
    <row r="7808" spans="2:7">
      <c r="B7808" s="6"/>
      <c r="E7808" s="7"/>
      <c r="F7808" t="str">
        <f t="shared" si="267"/>
        <v/>
      </c>
      <c r="G7808" t="str">
        <f t="shared" si="268"/>
        <v/>
      </c>
    </row>
    <row r="7809" spans="2:7">
      <c r="B7809" s="6"/>
      <c r="E7809" s="7"/>
      <c r="F7809" t="str">
        <f t="shared" si="267"/>
        <v/>
      </c>
      <c r="G7809" t="str">
        <f t="shared" si="268"/>
        <v/>
      </c>
    </row>
    <row r="7810" spans="2:7">
      <c r="B7810" s="6"/>
      <c r="E7810" s="7"/>
      <c r="F7810" t="str">
        <f t="shared" si="267"/>
        <v/>
      </c>
      <c r="G7810" t="str">
        <f t="shared" si="268"/>
        <v/>
      </c>
    </row>
    <row r="7811" spans="2:7">
      <c r="B7811" s="6"/>
      <c r="E7811" s="7"/>
      <c r="F7811" t="str">
        <f t="shared" si="267"/>
        <v/>
      </c>
      <c r="G7811" t="str">
        <f t="shared" si="268"/>
        <v/>
      </c>
    </row>
    <row r="7812" spans="2:7">
      <c r="B7812" s="6"/>
      <c r="E7812" s="7"/>
      <c r="F7812" t="str">
        <f t="shared" ref="F7812:F7875" si="269">IF(B7812="","",LOG10(D7812))</f>
        <v/>
      </c>
      <c r="G7812" t="str">
        <f t="shared" ref="G7812:G7875" si="270">IF(E7812="", "",0.434*E7812/D7812)</f>
        <v/>
      </c>
    </row>
    <row r="7813" spans="2:7">
      <c r="B7813" s="6"/>
      <c r="E7813" s="7"/>
      <c r="F7813" t="str">
        <f t="shared" si="269"/>
        <v/>
      </c>
      <c r="G7813" t="str">
        <f t="shared" si="270"/>
        <v/>
      </c>
    </row>
    <row r="7814" spans="2:7">
      <c r="B7814" s="6"/>
      <c r="E7814" s="7"/>
      <c r="F7814" t="str">
        <f t="shared" si="269"/>
        <v/>
      </c>
      <c r="G7814" t="str">
        <f t="shared" si="270"/>
        <v/>
      </c>
    </row>
    <row r="7815" spans="2:7">
      <c r="B7815" s="6"/>
      <c r="E7815" s="7"/>
      <c r="F7815" t="str">
        <f t="shared" si="269"/>
        <v/>
      </c>
      <c r="G7815" t="str">
        <f t="shared" si="270"/>
        <v/>
      </c>
    </row>
    <row r="7816" spans="2:7">
      <c r="B7816" s="6"/>
      <c r="E7816" s="7"/>
      <c r="F7816" t="str">
        <f t="shared" si="269"/>
        <v/>
      </c>
      <c r="G7816" t="str">
        <f t="shared" si="270"/>
        <v/>
      </c>
    </row>
    <row r="7817" spans="2:7">
      <c r="B7817" s="6"/>
      <c r="E7817" s="7"/>
      <c r="F7817" t="str">
        <f t="shared" si="269"/>
        <v/>
      </c>
      <c r="G7817" t="str">
        <f t="shared" si="270"/>
        <v/>
      </c>
    </row>
    <row r="7818" spans="2:7">
      <c r="B7818" s="6"/>
      <c r="E7818" s="7"/>
      <c r="F7818" t="str">
        <f t="shared" si="269"/>
        <v/>
      </c>
      <c r="G7818" t="str">
        <f t="shared" si="270"/>
        <v/>
      </c>
    </row>
    <row r="7819" spans="2:7">
      <c r="B7819" s="6"/>
      <c r="E7819" s="7"/>
      <c r="F7819" t="str">
        <f t="shared" si="269"/>
        <v/>
      </c>
      <c r="G7819" t="str">
        <f t="shared" si="270"/>
        <v/>
      </c>
    </row>
    <row r="7820" spans="2:7">
      <c r="B7820" s="6"/>
      <c r="E7820" s="7"/>
      <c r="F7820" t="str">
        <f t="shared" si="269"/>
        <v/>
      </c>
      <c r="G7820" t="str">
        <f t="shared" si="270"/>
        <v/>
      </c>
    </row>
    <row r="7821" spans="2:7">
      <c r="B7821" s="6"/>
      <c r="E7821" s="7"/>
      <c r="F7821" t="str">
        <f t="shared" si="269"/>
        <v/>
      </c>
      <c r="G7821" t="str">
        <f t="shared" si="270"/>
        <v/>
      </c>
    </row>
    <row r="7822" spans="2:7">
      <c r="B7822" s="6"/>
      <c r="E7822" s="7"/>
      <c r="F7822" t="str">
        <f t="shared" si="269"/>
        <v/>
      </c>
      <c r="G7822" t="str">
        <f t="shared" si="270"/>
        <v/>
      </c>
    </row>
    <row r="7823" spans="2:7">
      <c r="B7823" s="6"/>
      <c r="E7823" s="7"/>
      <c r="F7823" t="str">
        <f t="shared" si="269"/>
        <v/>
      </c>
      <c r="G7823" t="str">
        <f t="shared" si="270"/>
        <v/>
      </c>
    </row>
    <row r="7824" spans="2:7">
      <c r="B7824" s="6"/>
      <c r="E7824" s="7"/>
      <c r="F7824" t="str">
        <f t="shared" si="269"/>
        <v/>
      </c>
      <c r="G7824" t="str">
        <f t="shared" si="270"/>
        <v/>
      </c>
    </row>
    <row r="7825" spans="2:7">
      <c r="B7825" s="6"/>
      <c r="E7825" s="7"/>
      <c r="F7825" t="str">
        <f t="shared" si="269"/>
        <v/>
      </c>
      <c r="G7825" t="str">
        <f t="shared" si="270"/>
        <v/>
      </c>
    </row>
    <row r="7826" spans="2:7">
      <c r="B7826" s="6"/>
      <c r="E7826" s="7"/>
      <c r="F7826" t="str">
        <f t="shared" si="269"/>
        <v/>
      </c>
      <c r="G7826" t="str">
        <f t="shared" si="270"/>
        <v/>
      </c>
    </row>
    <row r="7827" spans="2:7">
      <c r="B7827" s="6"/>
      <c r="E7827" s="7"/>
      <c r="F7827" t="str">
        <f t="shared" si="269"/>
        <v/>
      </c>
      <c r="G7827" t="str">
        <f t="shared" si="270"/>
        <v/>
      </c>
    </row>
    <row r="7828" spans="2:7">
      <c r="B7828" s="6"/>
      <c r="E7828" s="7"/>
      <c r="F7828" t="str">
        <f t="shared" si="269"/>
        <v/>
      </c>
      <c r="G7828" t="str">
        <f t="shared" si="270"/>
        <v/>
      </c>
    </row>
    <row r="7829" spans="2:7">
      <c r="B7829" s="6"/>
      <c r="E7829" s="7"/>
      <c r="F7829" t="str">
        <f t="shared" si="269"/>
        <v/>
      </c>
      <c r="G7829" t="str">
        <f t="shared" si="270"/>
        <v/>
      </c>
    </row>
    <row r="7830" spans="2:7">
      <c r="B7830" s="6"/>
      <c r="E7830" s="7"/>
      <c r="F7830" t="str">
        <f t="shared" si="269"/>
        <v/>
      </c>
      <c r="G7830" t="str">
        <f t="shared" si="270"/>
        <v/>
      </c>
    </row>
    <row r="7831" spans="2:7">
      <c r="B7831" s="6"/>
      <c r="E7831" s="7"/>
      <c r="F7831" t="str">
        <f t="shared" si="269"/>
        <v/>
      </c>
      <c r="G7831" t="str">
        <f t="shared" si="270"/>
        <v/>
      </c>
    </row>
    <row r="7832" spans="2:7">
      <c r="B7832" s="6"/>
      <c r="E7832" s="7"/>
      <c r="F7832" t="str">
        <f t="shared" si="269"/>
        <v/>
      </c>
      <c r="G7832" t="str">
        <f t="shared" si="270"/>
        <v/>
      </c>
    </row>
    <row r="7833" spans="2:7">
      <c r="B7833" s="6"/>
      <c r="E7833" s="7"/>
      <c r="F7833" t="str">
        <f t="shared" si="269"/>
        <v/>
      </c>
      <c r="G7833" t="str">
        <f t="shared" si="270"/>
        <v/>
      </c>
    </row>
    <row r="7834" spans="2:7">
      <c r="B7834" s="6"/>
      <c r="E7834" s="7"/>
      <c r="F7834" t="str">
        <f t="shared" si="269"/>
        <v/>
      </c>
      <c r="G7834" t="str">
        <f t="shared" si="270"/>
        <v/>
      </c>
    </row>
    <row r="7835" spans="2:7">
      <c r="B7835" s="6"/>
      <c r="E7835" s="7"/>
      <c r="F7835" t="str">
        <f t="shared" si="269"/>
        <v/>
      </c>
      <c r="G7835" t="str">
        <f t="shared" si="270"/>
        <v/>
      </c>
    </row>
    <row r="7836" spans="2:7">
      <c r="B7836" s="6"/>
      <c r="E7836" s="7"/>
      <c r="F7836" t="str">
        <f t="shared" si="269"/>
        <v/>
      </c>
      <c r="G7836" t="str">
        <f t="shared" si="270"/>
        <v/>
      </c>
    </row>
    <row r="7837" spans="2:7">
      <c r="B7837" s="6"/>
      <c r="E7837" s="7"/>
      <c r="F7837" t="str">
        <f t="shared" si="269"/>
        <v/>
      </c>
      <c r="G7837" t="str">
        <f t="shared" si="270"/>
        <v/>
      </c>
    </row>
    <row r="7838" spans="2:7">
      <c r="B7838" s="6"/>
      <c r="E7838" s="7"/>
      <c r="F7838" t="str">
        <f t="shared" si="269"/>
        <v/>
      </c>
      <c r="G7838" t="str">
        <f t="shared" si="270"/>
        <v/>
      </c>
    </row>
    <row r="7839" spans="2:7">
      <c r="B7839" s="6"/>
      <c r="E7839" s="7"/>
      <c r="F7839" t="str">
        <f t="shared" si="269"/>
        <v/>
      </c>
      <c r="G7839" t="str">
        <f t="shared" si="270"/>
        <v/>
      </c>
    </row>
    <row r="7840" spans="2:7">
      <c r="B7840" s="6"/>
      <c r="E7840" s="7"/>
      <c r="F7840" t="str">
        <f t="shared" si="269"/>
        <v/>
      </c>
      <c r="G7840" t="str">
        <f t="shared" si="270"/>
        <v/>
      </c>
    </row>
    <row r="7841" spans="2:7">
      <c r="B7841" s="6"/>
      <c r="E7841" s="7"/>
      <c r="F7841" t="str">
        <f t="shared" si="269"/>
        <v/>
      </c>
      <c r="G7841" t="str">
        <f t="shared" si="270"/>
        <v/>
      </c>
    </row>
    <row r="7842" spans="2:7">
      <c r="B7842" s="6"/>
      <c r="E7842" s="7"/>
      <c r="F7842" t="str">
        <f t="shared" si="269"/>
        <v/>
      </c>
      <c r="G7842" t="str">
        <f t="shared" si="270"/>
        <v/>
      </c>
    </row>
    <row r="7843" spans="2:7">
      <c r="B7843" s="6"/>
      <c r="E7843" s="7"/>
      <c r="F7843" t="str">
        <f t="shared" si="269"/>
        <v/>
      </c>
      <c r="G7843" t="str">
        <f t="shared" si="270"/>
        <v/>
      </c>
    </row>
    <row r="7844" spans="2:7">
      <c r="B7844" s="6"/>
      <c r="E7844" s="7"/>
      <c r="F7844" t="str">
        <f t="shared" si="269"/>
        <v/>
      </c>
      <c r="G7844" t="str">
        <f t="shared" si="270"/>
        <v/>
      </c>
    </row>
    <row r="7845" spans="2:7">
      <c r="B7845" s="6"/>
      <c r="E7845" s="7"/>
      <c r="F7845" t="str">
        <f t="shared" si="269"/>
        <v/>
      </c>
      <c r="G7845" t="str">
        <f t="shared" si="270"/>
        <v/>
      </c>
    </row>
    <row r="7846" spans="2:7">
      <c r="B7846" s="6"/>
      <c r="E7846" s="7"/>
      <c r="F7846" t="str">
        <f t="shared" si="269"/>
        <v/>
      </c>
      <c r="G7846" t="str">
        <f t="shared" si="270"/>
        <v/>
      </c>
    </row>
    <row r="7847" spans="2:7">
      <c r="B7847" s="6"/>
      <c r="E7847" s="7"/>
      <c r="F7847" t="str">
        <f t="shared" si="269"/>
        <v/>
      </c>
      <c r="G7847" t="str">
        <f t="shared" si="270"/>
        <v/>
      </c>
    </row>
    <row r="7848" spans="2:7">
      <c r="B7848" s="6"/>
      <c r="E7848" s="7"/>
      <c r="F7848" t="str">
        <f t="shared" si="269"/>
        <v/>
      </c>
      <c r="G7848" t="str">
        <f t="shared" si="270"/>
        <v/>
      </c>
    </row>
    <row r="7849" spans="2:7">
      <c r="B7849" s="6"/>
      <c r="E7849" s="7"/>
      <c r="F7849" t="str">
        <f t="shared" si="269"/>
        <v/>
      </c>
      <c r="G7849" t="str">
        <f t="shared" si="270"/>
        <v/>
      </c>
    </row>
    <row r="7850" spans="2:7">
      <c r="B7850" s="6"/>
      <c r="E7850" s="7"/>
      <c r="F7850" t="str">
        <f t="shared" si="269"/>
        <v/>
      </c>
      <c r="G7850" t="str">
        <f t="shared" si="270"/>
        <v/>
      </c>
    </row>
    <row r="7851" spans="2:7">
      <c r="B7851" s="6"/>
      <c r="E7851" s="7"/>
      <c r="F7851" t="str">
        <f t="shared" si="269"/>
        <v/>
      </c>
      <c r="G7851" t="str">
        <f t="shared" si="270"/>
        <v/>
      </c>
    </row>
    <row r="7852" spans="2:7">
      <c r="B7852" s="6"/>
      <c r="E7852" s="7"/>
      <c r="F7852" t="str">
        <f t="shared" si="269"/>
        <v/>
      </c>
      <c r="G7852" t="str">
        <f t="shared" si="270"/>
        <v/>
      </c>
    </row>
    <row r="7853" spans="2:7">
      <c r="B7853" s="6"/>
      <c r="E7853" s="7"/>
      <c r="F7853" t="str">
        <f t="shared" si="269"/>
        <v/>
      </c>
      <c r="G7853" t="str">
        <f t="shared" si="270"/>
        <v/>
      </c>
    </row>
    <row r="7854" spans="2:7">
      <c r="B7854" s="6"/>
      <c r="E7854" s="7"/>
      <c r="F7854" t="str">
        <f t="shared" si="269"/>
        <v/>
      </c>
      <c r="G7854" t="str">
        <f t="shared" si="270"/>
        <v/>
      </c>
    </row>
    <row r="7855" spans="2:7">
      <c r="B7855" s="6"/>
      <c r="E7855" s="7"/>
      <c r="F7855" t="str">
        <f t="shared" si="269"/>
        <v/>
      </c>
      <c r="G7855" t="str">
        <f t="shared" si="270"/>
        <v/>
      </c>
    </row>
    <row r="7856" spans="2:7">
      <c r="B7856" s="6"/>
      <c r="E7856" s="7"/>
      <c r="F7856" t="str">
        <f t="shared" si="269"/>
        <v/>
      </c>
      <c r="G7856" t="str">
        <f t="shared" si="270"/>
        <v/>
      </c>
    </row>
    <row r="7857" spans="2:7">
      <c r="B7857" s="6"/>
      <c r="E7857" s="7"/>
      <c r="F7857" t="str">
        <f t="shared" si="269"/>
        <v/>
      </c>
      <c r="G7857" t="str">
        <f t="shared" si="270"/>
        <v/>
      </c>
    </row>
    <row r="7858" spans="2:7">
      <c r="B7858" s="6"/>
      <c r="E7858" s="7"/>
      <c r="F7858" t="str">
        <f t="shared" si="269"/>
        <v/>
      </c>
      <c r="G7858" t="str">
        <f t="shared" si="270"/>
        <v/>
      </c>
    </row>
    <row r="7859" spans="2:7">
      <c r="B7859" s="6"/>
      <c r="E7859" s="7"/>
      <c r="F7859" t="str">
        <f t="shared" si="269"/>
        <v/>
      </c>
      <c r="G7859" t="str">
        <f t="shared" si="270"/>
        <v/>
      </c>
    </row>
    <row r="7860" spans="2:7">
      <c r="B7860" s="6"/>
      <c r="E7860" s="7"/>
      <c r="F7860" t="str">
        <f t="shared" si="269"/>
        <v/>
      </c>
      <c r="G7860" t="str">
        <f t="shared" si="270"/>
        <v/>
      </c>
    </row>
    <row r="7861" spans="2:7">
      <c r="B7861" s="6"/>
      <c r="E7861" s="7"/>
      <c r="F7861" t="str">
        <f t="shared" si="269"/>
        <v/>
      </c>
      <c r="G7861" t="str">
        <f t="shared" si="270"/>
        <v/>
      </c>
    </row>
    <row r="7862" spans="2:7">
      <c r="B7862" s="6"/>
      <c r="E7862" s="7"/>
      <c r="F7862" t="str">
        <f t="shared" si="269"/>
        <v/>
      </c>
      <c r="G7862" t="str">
        <f t="shared" si="270"/>
        <v/>
      </c>
    </row>
    <row r="7863" spans="2:7">
      <c r="B7863" s="6"/>
      <c r="E7863" s="7"/>
      <c r="F7863" t="str">
        <f t="shared" si="269"/>
        <v/>
      </c>
      <c r="G7863" t="str">
        <f t="shared" si="270"/>
        <v/>
      </c>
    </row>
    <row r="7864" spans="2:7">
      <c r="B7864" s="6"/>
      <c r="E7864" s="7"/>
      <c r="F7864" t="str">
        <f t="shared" si="269"/>
        <v/>
      </c>
      <c r="G7864" t="str">
        <f t="shared" si="270"/>
        <v/>
      </c>
    </row>
    <row r="7865" spans="2:7">
      <c r="B7865" s="6"/>
      <c r="E7865" s="7"/>
      <c r="F7865" t="str">
        <f t="shared" si="269"/>
        <v/>
      </c>
      <c r="G7865" t="str">
        <f t="shared" si="270"/>
        <v/>
      </c>
    </row>
    <row r="7866" spans="2:7">
      <c r="B7866" s="6"/>
      <c r="E7866" s="7"/>
      <c r="F7866" t="str">
        <f t="shared" si="269"/>
        <v/>
      </c>
      <c r="G7866" t="str">
        <f t="shared" si="270"/>
        <v/>
      </c>
    </row>
    <row r="7867" spans="2:7">
      <c r="B7867" s="6"/>
      <c r="E7867" s="7"/>
      <c r="F7867" t="str">
        <f t="shared" si="269"/>
        <v/>
      </c>
      <c r="G7867" t="str">
        <f t="shared" si="270"/>
        <v/>
      </c>
    </row>
    <row r="7868" spans="2:7">
      <c r="B7868" s="6"/>
      <c r="E7868" s="7"/>
      <c r="F7868" t="str">
        <f t="shared" si="269"/>
        <v/>
      </c>
      <c r="G7868" t="str">
        <f t="shared" si="270"/>
        <v/>
      </c>
    </row>
    <row r="7869" spans="2:7">
      <c r="B7869" s="6"/>
      <c r="E7869" s="7"/>
      <c r="F7869" t="str">
        <f t="shared" si="269"/>
        <v/>
      </c>
      <c r="G7869" t="str">
        <f t="shared" si="270"/>
        <v/>
      </c>
    </row>
    <row r="7870" spans="2:7">
      <c r="B7870" s="6"/>
      <c r="E7870" s="7"/>
      <c r="F7870" t="str">
        <f t="shared" si="269"/>
        <v/>
      </c>
      <c r="G7870" t="str">
        <f t="shared" si="270"/>
        <v/>
      </c>
    </row>
    <row r="7871" spans="2:7">
      <c r="B7871" s="6"/>
      <c r="E7871" s="7"/>
      <c r="F7871" t="str">
        <f t="shared" si="269"/>
        <v/>
      </c>
      <c r="G7871" t="str">
        <f t="shared" si="270"/>
        <v/>
      </c>
    </row>
    <row r="7872" spans="2:7">
      <c r="B7872" s="6"/>
      <c r="E7872" s="7"/>
      <c r="F7872" t="str">
        <f t="shared" si="269"/>
        <v/>
      </c>
      <c r="G7872" t="str">
        <f t="shared" si="270"/>
        <v/>
      </c>
    </row>
    <row r="7873" spans="2:7">
      <c r="B7873" s="6"/>
      <c r="E7873" s="7"/>
      <c r="F7873" t="str">
        <f t="shared" si="269"/>
        <v/>
      </c>
      <c r="G7873" t="str">
        <f t="shared" si="270"/>
        <v/>
      </c>
    </row>
    <row r="7874" spans="2:7">
      <c r="B7874" s="6"/>
      <c r="E7874" s="7"/>
      <c r="F7874" t="str">
        <f t="shared" si="269"/>
        <v/>
      </c>
      <c r="G7874" t="str">
        <f t="shared" si="270"/>
        <v/>
      </c>
    </row>
    <row r="7875" spans="2:7">
      <c r="B7875" s="6"/>
      <c r="E7875" s="7"/>
      <c r="F7875" t="str">
        <f t="shared" si="269"/>
        <v/>
      </c>
      <c r="G7875" t="str">
        <f t="shared" si="270"/>
        <v/>
      </c>
    </row>
    <row r="7876" spans="2:7">
      <c r="B7876" s="6"/>
      <c r="E7876" s="7"/>
      <c r="F7876" t="str">
        <f t="shared" ref="F7876:F7939" si="271">IF(B7876="","",LOG10(D7876))</f>
        <v/>
      </c>
      <c r="G7876" t="str">
        <f t="shared" ref="G7876:G7939" si="272">IF(E7876="", "",0.434*E7876/D7876)</f>
        <v/>
      </c>
    </row>
    <row r="7877" spans="2:7">
      <c r="B7877" s="6"/>
      <c r="E7877" s="7"/>
      <c r="F7877" t="str">
        <f t="shared" si="271"/>
        <v/>
      </c>
      <c r="G7877" t="str">
        <f t="shared" si="272"/>
        <v/>
      </c>
    </row>
    <row r="7878" spans="2:7">
      <c r="B7878" s="6"/>
      <c r="E7878" s="7"/>
      <c r="F7878" t="str">
        <f t="shared" si="271"/>
        <v/>
      </c>
      <c r="G7878" t="str">
        <f t="shared" si="272"/>
        <v/>
      </c>
    </row>
    <row r="7879" spans="2:7">
      <c r="B7879" s="6"/>
      <c r="E7879" s="7"/>
      <c r="F7879" t="str">
        <f t="shared" si="271"/>
        <v/>
      </c>
      <c r="G7879" t="str">
        <f t="shared" si="272"/>
        <v/>
      </c>
    </row>
    <row r="7880" spans="2:7">
      <c r="B7880" s="6"/>
      <c r="E7880" s="7"/>
      <c r="F7880" t="str">
        <f t="shared" si="271"/>
        <v/>
      </c>
      <c r="G7880" t="str">
        <f t="shared" si="272"/>
        <v/>
      </c>
    </row>
    <row r="7881" spans="2:7">
      <c r="B7881" s="6"/>
      <c r="E7881" s="7"/>
      <c r="F7881" t="str">
        <f t="shared" si="271"/>
        <v/>
      </c>
      <c r="G7881" t="str">
        <f t="shared" si="272"/>
        <v/>
      </c>
    </row>
    <row r="7882" spans="2:7">
      <c r="B7882" s="6"/>
      <c r="E7882" s="7"/>
      <c r="F7882" t="str">
        <f t="shared" si="271"/>
        <v/>
      </c>
      <c r="G7882" t="str">
        <f t="shared" si="272"/>
        <v/>
      </c>
    </row>
    <row r="7883" spans="2:7">
      <c r="B7883" s="6"/>
      <c r="E7883" s="7"/>
      <c r="F7883" t="str">
        <f t="shared" si="271"/>
        <v/>
      </c>
      <c r="G7883" t="str">
        <f t="shared" si="272"/>
        <v/>
      </c>
    </row>
    <row r="7884" spans="2:7">
      <c r="B7884" s="6"/>
      <c r="E7884" s="7"/>
      <c r="F7884" t="str">
        <f t="shared" si="271"/>
        <v/>
      </c>
      <c r="G7884" t="str">
        <f t="shared" si="272"/>
        <v/>
      </c>
    </row>
    <row r="7885" spans="2:7">
      <c r="B7885" s="6"/>
      <c r="E7885" s="7"/>
      <c r="F7885" t="str">
        <f t="shared" si="271"/>
        <v/>
      </c>
      <c r="G7885" t="str">
        <f t="shared" si="272"/>
        <v/>
      </c>
    </row>
    <row r="7886" spans="2:7">
      <c r="B7886" s="6"/>
      <c r="E7886" s="7"/>
      <c r="F7886" t="str">
        <f t="shared" si="271"/>
        <v/>
      </c>
      <c r="G7886" t="str">
        <f t="shared" si="272"/>
        <v/>
      </c>
    </row>
    <row r="7887" spans="2:7">
      <c r="B7887" s="6"/>
      <c r="E7887" s="7"/>
      <c r="F7887" t="str">
        <f t="shared" si="271"/>
        <v/>
      </c>
      <c r="G7887" t="str">
        <f t="shared" si="272"/>
        <v/>
      </c>
    </row>
    <row r="7888" spans="2:7">
      <c r="B7888" s="6"/>
      <c r="E7888" s="7"/>
      <c r="F7888" t="str">
        <f t="shared" si="271"/>
        <v/>
      </c>
      <c r="G7888" t="str">
        <f t="shared" si="272"/>
        <v/>
      </c>
    </row>
    <row r="7889" spans="2:7">
      <c r="B7889" s="6"/>
      <c r="E7889" s="7"/>
      <c r="F7889" t="str">
        <f t="shared" si="271"/>
        <v/>
      </c>
      <c r="G7889" t="str">
        <f t="shared" si="272"/>
        <v/>
      </c>
    </row>
    <row r="7890" spans="2:7">
      <c r="B7890" s="6"/>
      <c r="E7890" s="7"/>
      <c r="F7890" t="str">
        <f t="shared" si="271"/>
        <v/>
      </c>
      <c r="G7890" t="str">
        <f t="shared" si="272"/>
        <v/>
      </c>
    </row>
    <row r="7891" spans="2:7">
      <c r="B7891" s="6"/>
      <c r="E7891" s="7"/>
      <c r="F7891" t="str">
        <f t="shared" si="271"/>
        <v/>
      </c>
      <c r="G7891" t="str">
        <f t="shared" si="272"/>
        <v/>
      </c>
    </row>
    <row r="7892" spans="2:7">
      <c r="B7892" s="6"/>
      <c r="E7892" s="7"/>
      <c r="F7892" t="str">
        <f t="shared" si="271"/>
        <v/>
      </c>
      <c r="G7892" t="str">
        <f t="shared" si="272"/>
        <v/>
      </c>
    </row>
    <row r="7893" spans="2:7">
      <c r="B7893" s="6"/>
      <c r="E7893" s="7"/>
      <c r="F7893" t="str">
        <f t="shared" si="271"/>
        <v/>
      </c>
      <c r="G7893" t="str">
        <f t="shared" si="272"/>
        <v/>
      </c>
    </row>
    <row r="7894" spans="2:7">
      <c r="B7894" s="6"/>
      <c r="E7894" s="7"/>
      <c r="F7894" t="str">
        <f t="shared" si="271"/>
        <v/>
      </c>
      <c r="G7894" t="str">
        <f t="shared" si="272"/>
        <v/>
      </c>
    </row>
    <row r="7895" spans="2:7">
      <c r="B7895" s="6"/>
      <c r="E7895" s="7"/>
      <c r="F7895" t="str">
        <f t="shared" si="271"/>
        <v/>
      </c>
      <c r="G7895" t="str">
        <f t="shared" si="272"/>
        <v/>
      </c>
    </row>
    <row r="7896" spans="2:7">
      <c r="B7896" s="6"/>
      <c r="E7896" s="7"/>
      <c r="F7896" t="str">
        <f t="shared" si="271"/>
        <v/>
      </c>
      <c r="G7896" t="str">
        <f t="shared" si="272"/>
        <v/>
      </c>
    </row>
    <row r="7897" spans="2:7">
      <c r="B7897" s="6"/>
      <c r="E7897" s="7"/>
      <c r="F7897" t="str">
        <f t="shared" si="271"/>
        <v/>
      </c>
      <c r="G7897" t="str">
        <f t="shared" si="272"/>
        <v/>
      </c>
    </row>
    <row r="7898" spans="2:7">
      <c r="B7898" s="6"/>
      <c r="E7898" s="7"/>
      <c r="F7898" t="str">
        <f t="shared" si="271"/>
        <v/>
      </c>
      <c r="G7898" t="str">
        <f t="shared" si="272"/>
        <v/>
      </c>
    </row>
    <row r="7899" spans="2:7">
      <c r="B7899" s="6"/>
      <c r="E7899" s="7"/>
      <c r="F7899" t="str">
        <f t="shared" si="271"/>
        <v/>
      </c>
      <c r="G7899" t="str">
        <f t="shared" si="272"/>
        <v/>
      </c>
    </row>
    <row r="7900" spans="2:7">
      <c r="B7900" s="6"/>
      <c r="E7900" s="7"/>
      <c r="F7900" t="str">
        <f t="shared" si="271"/>
        <v/>
      </c>
      <c r="G7900" t="str">
        <f t="shared" si="272"/>
        <v/>
      </c>
    </row>
    <row r="7901" spans="2:7">
      <c r="B7901" s="6"/>
      <c r="E7901" s="7"/>
      <c r="F7901" t="str">
        <f t="shared" si="271"/>
        <v/>
      </c>
      <c r="G7901" t="str">
        <f t="shared" si="272"/>
        <v/>
      </c>
    </row>
    <row r="7902" spans="2:7">
      <c r="B7902" s="6"/>
      <c r="E7902" s="7"/>
      <c r="F7902" t="str">
        <f t="shared" si="271"/>
        <v/>
      </c>
      <c r="G7902" t="str">
        <f t="shared" si="272"/>
        <v/>
      </c>
    </row>
    <row r="7903" spans="2:7">
      <c r="B7903" s="6"/>
      <c r="E7903" s="7"/>
      <c r="F7903" t="str">
        <f t="shared" si="271"/>
        <v/>
      </c>
      <c r="G7903" t="str">
        <f t="shared" si="272"/>
        <v/>
      </c>
    </row>
    <row r="7904" spans="2:7">
      <c r="B7904" s="6"/>
      <c r="E7904" s="7"/>
      <c r="F7904" t="str">
        <f t="shared" si="271"/>
        <v/>
      </c>
      <c r="G7904" t="str">
        <f t="shared" si="272"/>
        <v/>
      </c>
    </row>
    <row r="7905" spans="2:7">
      <c r="B7905" s="6"/>
      <c r="E7905" s="7"/>
      <c r="F7905" t="str">
        <f t="shared" si="271"/>
        <v/>
      </c>
      <c r="G7905" t="str">
        <f t="shared" si="272"/>
        <v/>
      </c>
    </row>
    <row r="7906" spans="2:7">
      <c r="B7906" s="6"/>
      <c r="E7906" s="7"/>
      <c r="F7906" t="str">
        <f t="shared" si="271"/>
        <v/>
      </c>
      <c r="G7906" t="str">
        <f t="shared" si="272"/>
        <v/>
      </c>
    </row>
    <row r="7907" spans="2:7">
      <c r="B7907" s="6"/>
      <c r="E7907" s="7"/>
      <c r="F7907" t="str">
        <f t="shared" si="271"/>
        <v/>
      </c>
      <c r="G7907" t="str">
        <f t="shared" si="272"/>
        <v/>
      </c>
    </row>
    <row r="7908" spans="2:7">
      <c r="B7908" s="6"/>
      <c r="E7908" s="7"/>
      <c r="F7908" t="str">
        <f t="shared" si="271"/>
        <v/>
      </c>
      <c r="G7908" t="str">
        <f t="shared" si="272"/>
        <v/>
      </c>
    </row>
    <row r="7909" spans="2:7">
      <c r="B7909" s="6"/>
      <c r="E7909" s="7"/>
      <c r="F7909" t="str">
        <f t="shared" si="271"/>
        <v/>
      </c>
      <c r="G7909" t="str">
        <f t="shared" si="272"/>
        <v/>
      </c>
    </row>
    <row r="7910" spans="2:7">
      <c r="B7910" s="6"/>
      <c r="E7910" s="7"/>
      <c r="F7910" t="str">
        <f t="shared" si="271"/>
        <v/>
      </c>
      <c r="G7910" t="str">
        <f t="shared" si="272"/>
        <v/>
      </c>
    </row>
    <row r="7911" spans="2:7">
      <c r="B7911" s="6"/>
      <c r="E7911" s="7"/>
      <c r="F7911" t="str">
        <f t="shared" si="271"/>
        <v/>
      </c>
      <c r="G7911" t="str">
        <f t="shared" si="272"/>
        <v/>
      </c>
    </row>
    <row r="7912" spans="2:7">
      <c r="B7912" s="6"/>
      <c r="E7912" s="7"/>
      <c r="F7912" t="str">
        <f t="shared" si="271"/>
        <v/>
      </c>
      <c r="G7912" t="str">
        <f t="shared" si="272"/>
        <v/>
      </c>
    </row>
    <row r="7913" spans="2:7">
      <c r="B7913" s="6"/>
      <c r="E7913" s="7"/>
      <c r="F7913" t="str">
        <f t="shared" si="271"/>
        <v/>
      </c>
      <c r="G7913" t="str">
        <f t="shared" si="272"/>
        <v/>
      </c>
    </row>
    <row r="7914" spans="2:7">
      <c r="B7914" s="6"/>
      <c r="E7914" s="7"/>
      <c r="F7914" t="str">
        <f t="shared" si="271"/>
        <v/>
      </c>
      <c r="G7914" t="str">
        <f t="shared" si="272"/>
        <v/>
      </c>
    </row>
    <row r="7915" spans="2:7">
      <c r="B7915" s="6"/>
      <c r="E7915" s="7"/>
      <c r="F7915" t="str">
        <f t="shared" si="271"/>
        <v/>
      </c>
      <c r="G7915" t="str">
        <f t="shared" si="272"/>
        <v/>
      </c>
    </row>
    <row r="7916" spans="2:7">
      <c r="B7916" s="6"/>
      <c r="E7916" s="7"/>
      <c r="F7916" t="str">
        <f t="shared" si="271"/>
        <v/>
      </c>
      <c r="G7916" t="str">
        <f t="shared" si="272"/>
        <v/>
      </c>
    </row>
    <row r="7917" spans="2:7">
      <c r="B7917" s="6"/>
      <c r="E7917" s="7"/>
      <c r="F7917" t="str">
        <f t="shared" si="271"/>
        <v/>
      </c>
      <c r="G7917" t="str">
        <f t="shared" si="272"/>
        <v/>
      </c>
    </row>
    <row r="7918" spans="2:7">
      <c r="B7918" s="6"/>
      <c r="E7918" s="7"/>
      <c r="F7918" t="str">
        <f t="shared" si="271"/>
        <v/>
      </c>
      <c r="G7918" t="str">
        <f t="shared" si="272"/>
        <v/>
      </c>
    </row>
    <row r="7919" spans="2:7">
      <c r="B7919" s="6"/>
      <c r="E7919" s="7"/>
      <c r="F7919" t="str">
        <f t="shared" si="271"/>
        <v/>
      </c>
      <c r="G7919" t="str">
        <f t="shared" si="272"/>
        <v/>
      </c>
    </row>
    <row r="7920" spans="2:7">
      <c r="B7920" s="6"/>
      <c r="E7920" s="7"/>
      <c r="F7920" t="str">
        <f t="shared" si="271"/>
        <v/>
      </c>
      <c r="G7920" t="str">
        <f t="shared" si="272"/>
        <v/>
      </c>
    </row>
    <row r="7921" spans="2:7">
      <c r="B7921" s="6"/>
      <c r="E7921" s="7"/>
      <c r="F7921" t="str">
        <f t="shared" si="271"/>
        <v/>
      </c>
      <c r="G7921" t="str">
        <f t="shared" si="272"/>
        <v/>
      </c>
    </row>
    <row r="7922" spans="2:7">
      <c r="B7922" s="6"/>
      <c r="E7922" s="7"/>
      <c r="F7922" t="str">
        <f t="shared" si="271"/>
        <v/>
      </c>
      <c r="G7922" t="str">
        <f t="shared" si="272"/>
        <v/>
      </c>
    </row>
    <row r="7923" spans="2:7">
      <c r="B7923" s="6"/>
      <c r="E7923" s="7"/>
      <c r="F7923" t="str">
        <f t="shared" si="271"/>
        <v/>
      </c>
      <c r="G7923" t="str">
        <f t="shared" si="272"/>
        <v/>
      </c>
    </row>
    <row r="7924" spans="2:7">
      <c r="B7924" s="6"/>
      <c r="E7924" s="7"/>
      <c r="F7924" t="str">
        <f t="shared" si="271"/>
        <v/>
      </c>
      <c r="G7924" t="str">
        <f t="shared" si="272"/>
        <v/>
      </c>
    </row>
    <row r="7925" spans="2:7">
      <c r="B7925" s="6"/>
      <c r="E7925" s="7"/>
      <c r="F7925" t="str">
        <f t="shared" si="271"/>
        <v/>
      </c>
      <c r="G7925" t="str">
        <f t="shared" si="272"/>
        <v/>
      </c>
    </row>
    <row r="7926" spans="2:7">
      <c r="B7926" s="6"/>
      <c r="E7926" s="7"/>
      <c r="F7926" t="str">
        <f t="shared" si="271"/>
        <v/>
      </c>
      <c r="G7926" t="str">
        <f t="shared" si="272"/>
        <v/>
      </c>
    </row>
    <row r="7927" spans="2:7">
      <c r="B7927" s="6"/>
      <c r="E7927" s="7"/>
      <c r="F7927" t="str">
        <f t="shared" si="271"/>
        <v/>
      </c>
      <c r="G7927" t="str">
        <f t="shared" si="272"/>
        <v/>
      </c>
    </row>
    <row r="7928" spans="2:7">
      <c r="B7928" s="6"/>
      <c r="E7928" s="7"/>
      <c r="F7928" t="str">
        <f t="shared" si="271"/>
        <v/>
      </c>
      <c r="G7928" t="str">
        <f t="shared" si="272"/>
        <v/>
      </c>
    </row>
    <row r="7929" spans="2:7">
      <c r="B7929" s="6"/>
      <c r="E7929" s="7"/>
      <c r="F7929" t="str">
        <f t="shared" si="271"/>
        <v/>
      </c>
      <c r="G7929" t="str">
        <f t="shared" si="272"/>
        <v/>
      </c>
    </row>
    <row r="7930" spans="2:7">
      <c r="B7930" s="6"/>
      <c r="E7930" s="7"/>
      <c r="F7930" t="str">
        <f t="shared" si="271"/>
        <v/>
      </c>
      <c r="G7930" t="str">
        <f t="shared" si="272"/>
        <v/>
      </c>
    </row>
    <row r="7931" spans="2:7">
      <c r="B7931" s="6"/>
      <c r="E7931" s="7"/>
      <c r="F7931" t="str">
        <f t="shared" si="271"/>
        <v/>
      </c>
      <c r="G7931" t="str">
        <f t="shared" si="272"/>
        <v/>
      </c>
    </row>
    <row r="7932" spans="2:7">
      <c r="B7932" s="6"/>
      <c r="E7932" s="7"/>
      <c r="F7932" t="str">
        <f t="shared" si="271"/>
        <v/>
      </c>
      <c r="G7932" t="str">
        <f t="shared" si="272"/>
        <v/>
      </c>
    </row>
    <row r="7933" spans="2:7">
      <c r="B7933" s="6"/>
      <c r="E7933" s="7"/>
      <c r="F7933" t="str">
        <f t="shared" si="271"/>
        <v/>
      </c>
      <c r="G7933" t="str">
        <f t="shared" si="272"/>
        <v/>
      </c>
    </row>
    <row r="7934" spans="2:7">
      <c r="B7934" s="6"/>
      <c r="E7934" s="7"/>
      <c r="F7934" t="str">
        <f t="shared" si="271"/>
        <v/>
      </c>
      <c r="G7934" t="str">
        <f t="shared" si="272"/>
        <v/>
      </c>
    </row>
    <row r="7935" spans="2:7">
      <c r="B7935" s="6"/>
      <c r="E7935" s="7"/>
      <c r="F7935" t="str">
        <f t="shared" si="271"/>
        <v/>
      </c>
      <c r="G7935" t="str">
        <f t="shared" si="272"/>
        <v/>
      </c>
    </row>
    <row r="7936" spans="2:7">
      <c r="B7936" s="6"/>
      <c r="E7936" s="7"/>
      <c r="F7936" t="str">
        <f t="shared" si="271"/>
        <v/>
      </c>
      <c r="G7936" t="str">
        <f t="shared" si="272"/>
        <v/>
      </c>
    </row>
    <row r="7937" spans="2:7">
      <c r="B7937" s="6"/>
      <c r="E7937" s="7"/>
      <c r="F7937" t="str">
        <f t="shared" si="271"/>
        <v/>
      </c>
      <c r="G7937" t="str">
        <f t="shared" si="272"/>
        <v/>
      </c>
    </row>
    <row r="7938" spans="2:7">
      <c r="B7938" s="6"/>
      <c r="E7938" s="7"/>
      <c r="F7938" t="str">
        <f t="shared" si="271"/>
        <v/>
      </c>
      <c r="G7938" t="str">
        <f t="shared" si="272"/>
        <v/>
      </c>
    </row>
    <row r="7939" spans="2:7">
      <c r="B7939" s="6"/>
      <c r="E7939" s="7"/>
      <c r="F7939" t="str">
        <f t="shared" si="271"/>
        <v/>
      </c>
      <c r="G7939" t="str">
        <f t="shared" si="272"/>
        <v/>
      </c>
    </row>
    <row r="7940" spans="2:7">
      <c r="B7940" s="6"/>
      <c r="E7940" s="7"/>
      <c r="F7940" t="str">
        <f t="shared" ref="F7940:F8003" si="273">IF(B7940="","",LOG10(D7940))</f>
        <v/>
      </c>
      <c r="G7940" t="str">
        <f t="shared" ref="G7940:G8003" si="274">IF(E7940="", "",0.434*E7940/D7940)</f>
        <v/>
      </c>
    </row>
    <row r="7941" spans="2:7">
      <c r="B7941" s="6"/>
      <c r="E7941" s="7"/>
      <c r="F7941" t="str">
        <f t="shared" si="273"/>
        <v/>
      </c>
      <c r="G7941" t="str">
        <f t="shared" si="274"/>
        <v/>
      </c>
    </row>
    <row r="7942" spans="2:7">
      <c r="B7942" s="6"/>
      <c r="E7942" s="7"/>
      <c r="F7942" t="str">
        <f t="shared" si="273"/>
        <v/>
      </c>
      <c r="G7942" t="str">
        <f t="shared" si="274"/>
        <v/>
      </c>
    </row>
    <row r="7943" spans="2:7">
      <c r="B7943" s="6"/>
      <c r="E7943" s="7"/>
      <c r="F7943" t="str">
        <f t="shared" si="273"/>
        <v/>
      </c>
      <c r="G7943" t="str">
        <f t="shared" si="274"/>
        <v/>
      </c>
    </row>
    <row r="7944" spans="2:7">
      <c r="B7944" s="6"/>
      <c r="E7944" s="7"/>
      <c r="F7944" t="str">
        <f t="shared" si="273"/>
        <v/>
      </c>
      <c r="G7944" t="str">
        <f t="shared" si="274"/>
        <v/>
      </c>
    </row>
    <row r="7945" spans="2:7">
      <c r="B7945" s="6"/>
      <c r="E7945" s="7"/>
      <c r="F7945" t="str">
        <f t="shared" si="273"/>
        <v/>
      </c>
      <c r="G7945" t="str">
        <f t="shared" si="274"/>
        <v/>
      </c>
    </row>
    <row r="7946" spans="2:7">
      <c r="B7946" s="6"/>
      <c r="E7946" s="7"/>
      <c r="F7946" t="str">
        <f t="shared" si="273"/>
        <v/>
      </c>
      <c r="G7946" t="str">
        <f t="shared" si="274"/>
        <v/>
      </c>
    </row>
    <row r="7947" spans="2:7">
      <c r="B7947" s="6"/>
      <c r="E7947" s="7"/>
      <c r="F7947" t="str">
        <f t="shared" si="273"/>
        <v/>
      </c>
      <c r="G7947" t="str">
        <f t="shared" si="274"/>
        <v/>
      </c>
    </row>
    <row r="7948" spans="2:7">
      <c r="B7948" s="6"/>
      <c r="E7948" s="7"/>
      <c r="F7948" t="str">
        <f t="shared" si="273"/>
        <v/>
      </c>
      <c r="G7948" t="str">
        <f t="shared" si="274"/>
        <v/>
      </c>
    </row>
    <row r="7949" spans="2:7">
      <c r="B7949" s="6"/>
      <c r="E7949" s="7"/>
      <c r="F7949" t="str">
        <f t="shared" si="273"/>
        <v/>
      </c>
      <c r="G7949" t="str">
        <f t="shared" si="274"/>
        <v/>
      </c>
    </row>
    <row r="7950" spans="2:7">
      <c r="B7950" s="6"/>
      <c r="E7950" s="7"/>
      <c r="F7950" t="str">
        <f t="shared" si="273"/>
        <v/>
      </c>
      <c r="G7950" t="str">
        <f t="shared" si="274"/>
        <v/>
      </c>
    </row>
    <row r="7951" spans="2:7">
      <c r="B7951" s="6"/>
      <c r="E7951" s="7"/>
      <c r="F7951" t="str">
        <f t="shared" si="273"/>
        <v/>
      </c>
      <c r="G7951" t="str">
        <f t="shared" si="274"/>
        <v/>
      </c>
    </row>
    <row r="7952" spans="2:7">
      <c r="B7952" s="6"/>
      <c r="E7952" s="7"/>
      <c r="F7952" t="str">
        <f t="shared" si="273"/>
        <v/>
      </c>
      <c r="G7952" t="str">
        <f t="shared" si="274"/>
        <v/>
      </c>
    </row>
    <row r="7953" spans="2:7">
      <c r="B7953" s="6"/>
      <c r="E7953" s="7"/>
      <c r="F7953" t="str">
        <f t="shared" si="273"/>
        <v/>
      </c>
      <c r="G7953" t="str">
        <f t="shared" si="274"/>
        <v/>
      </c>
    </row>
    <row r="7954" spans="2:7">
      <c r="B7954" s="6"/>
      <c r="E7954" s="7"/>
      <c r="F7954" t="str">
        <f t="shared" si="273"/>
        <v/>
      </c>
      <c r="G7954" t="str">
        <f t="shared" si="274"/>
        <v/>
      </c>
    </row>
    <row r="7955" spans="2:7">
      <c r="B7955" s="6"/>
      <c r="E7955" s="7"/>
      <c r="F7955" t="str">
        <f t="shared" si="273"/>
        <v/>
      </c>
      <c r="G7955" t="str">
        <f t="shared" si="274"/>
        <v/>
      </c>
    </row>
    <row r="7956" spans="2:7">
      <c r="B7956" s="6"/>
      <c r="E7956" s="7"/>
      <c r="F7956" t="str">
        <f t="shared" si="273"/>
        <v/>
      </c>
      <c r="G7956" t="str">
        <f t="shared" si="274"/>
        <v/>
      </c>
    </row>
    <row r="7957" spans="2:7">
      <c r="B7957" s="6"/>
      <c r="E7957" s="7"/>
      <c r="F7957" t="str">
        <f t="shared" si="273"/>
        <v/>
      </c>
      <c r="G7957" t="str">
        <f t="shared" si="274"/>
        <v/>
      </c>
    </row>
    <row r="7958" spans="2:7">
      <c r="B7958" s="6"/>
      <c r="E7958" s="7"/>
      <c r="F7958" t="str">
        <f t="shared" si="273"/>
        <v/>
      </c>
      <c r="G7958" t="str">
        <f t="shared" si="274"/>
        <v/>
      </c>
    </row>
    <row r="7959" spans="2:7">
      <c r="B7959" s="6"/>
      <c r="E7959" s="7"/>
      <c r="F7959" t="str">
        <f t="shared" si="273"/>
        <v/>
      </c>
      <c r="G7959" t="str">
        <f t="shared" si="274"/>
        <v/>
      </c>
    </row>
    <row r="7960" spans="2:7">
      <c r="B7960" s="6"/>
      <c r="E7960" s="7"/>
      <c r="F7960" t="str">
        <f t="shared" si="273"/>
        <v/>
      </c>
      <c r="G7960" t="str">
        <f t="shared" si="274"/>
        <v/>
      </c>
    </row>
    <row r="7961" spans="2:7">
      <c r="B7961" s="6"/>
      <c r="E7961" s="7"/>
      <c r="F7961" t="str">
        <f t="shared" si="273"/>
        <v/>
      </c>
      <c r="G7961" t="str">
        <f t="shared" si="274"/>
        <v/>
      </c>
    </row>
    <row r="7962" spans="2:7">
      <c r="B7962" s="6"/>
      <c r="E7962" s="7"/>
      <c r="F7962" t="str">
        <f t="shared" si="273"/>
        <v/>
      </c>
      <c r="G7962" t="str">
        <f t="shared" si="274"/>
        <v/>
      </c>
    </row>
    <row r="7963" spans="2:7">
      <c r="B7963" s="6"/>
      <c r="E7963" s="7"/>
      <c r="F7963" t="str">
        <f t="shared" si="273"/>
        <v/>
      </c>
      <c r="G7963" t="str">
        <f t="shared" si="274"/>
        <v/>
      </c>
    </row>
    <row r="7964" spans="2:7">
      <c r="B7964" s="6"/>
      <c r="E7964" s="7"/>
      <c r="F7964" t="str">
        <f t="shared" si="273"/>
        <v/>
      </c>
      <c r="G7964" t="str">
        <f t="shared" si="274"/>
        <v/>
      </c>
    </row>
    <row r="7965" spans="2:7">
      <c r="B7965" s="6"/>
      <c r="E7965" s="7"/>
      <c r="F7965" t="str">
        <f t="shared" si="273"/>
        <v/>
      </c>
      <c r="G7965" t="str">
        <f t="shared" si="274"/>
        <v/>
      </c>
    </row>
    <row r="7966" spans="2:7">
      <c r="B7966" s="6"/>
      <c r="E7966" s="7"/>
      <c r="F7966" t="str">
        <f t="shared" si="273"/>
        <v/>
      </c>
      <c r="G7966" t="str">
        <f t="shared" si="274"/>
        <v/>
      </c>
    </row>
    <row r="7967" spans="2:7">
      <c r="B7967" s="6"/>
      <c r="E7967" s="7"/>
      <c r="F7967" t="str">
        <f t="shared" si="273"/>
        <v/>
      </c>
      <c r="G7967" t="str">
        <f t="shared" si="274"/>
        <v/>
      </c>
    </row>
    <row r="7968" spans="2:7">
      <c r="B7968" s="6"/>
      <c r="E7968" s="7"/>
      <c r="F7968" t="str">
        <f t="shared" si="273"/>
        <v/>
      </c>
      <c r="G7968" t="str">
        <f t="shared" si="274"/>
        <v/>
      </c>
    </row>
    <row r="7969" spans="2:7">
      <c r="B7969" s="6"/>
      <c r="E7969" s="7"/>
      <c r="F7969" t="str">
        <f t="shared" si="273"/>
        <v/>
      </c>
      <c r="G7969" t="str">
        <f t="shared" si="274"/>
        <v/>
      </c>
    </row>
    <row r="7970" spans="2:7">
      <c r="B7970" s="6"/>
      <c r="E7970" s="7"/>
      <c r="F7970" t="str">
        <f t="shared" si="273"/>
        <v/>
      </c>
      <c r="G7970" t="str">
        <f t="shared" si="274"/>
        <v/>
      </c>
    </row>
    <row r="7971" spans="2:7">
      <c r="B7971" s="6"/>
      <c r="E7971" s="7"/>
      <c r="F7971" t="str">
        <f t="shared" si="273"/>
        <v/>
      </c>
      <c r="G7971" t="str">
        <f t="shared" si="274"/>
        <v/>
      </c>
    </row>
    <row r="7972" spans="2:7">
      <c r="B7972" s="6"/>
      <c r="E7972" s="7"/>
      <c r="F7972" t="str">
        <f t="shared" si="273"/>
        <v/>
      </c>
      <c r="G7972" t="str">
        <f t="shared" si="274"/>
        <v/>
      </c>
    </row>
    <row r="7973" spans="2:7">
      <c r="B7973" s="6"/>
      <c r="E7973" s="7"/>
      <c r="F7973" t="str">
        <f t="shared" si="273"/>
        <v/>
      </c>
      <c r="G7973" t="str">
        <f t="shared" si="274"/>
        <v/>
      </c>
    </row>
    <row r="7974" spans="2:7">
      <c r="B7974" s="6"/>
      <c r="E7974" s="7"/>
      <c r="F7974" t="str">
        <f t="shared" si="273"/>
        <v/>
      </c>
      <c r="G7974" t="str">
        <f t="shared" si="274"/>
        <v/>
      </c>
    </row>
    <row r="7975" spans="2:7">
      <c r="B7975" s="6"/>
      <c r="E7975" s="7"/>
      <c r="F7975" t="str">
        <f t="shared" si="273"/>
        <v/>
      </c>
      <c r="G7975" t="str">
        <f t="shared" si="274"/>
        <v/>
      </c>
    </row>
    <row r="7976" spans="2:7">
      <c r="B7976" s="6"/>
      <c r="E7976" s="7"/>
      <c r="F7976" t="str">
        <f t="shared" si="273"/>
        <v/>
      </c>
      <c r="G7976" t="str">
        <f t="shared" si="274"/>
        <v/>
      </c>
    </row>
    <row r="7977" spans="2:7">
      <c r="B7977" s="6"/>
      <c r="E7977" s="7"/>
      <c r="F7977" t="str">
        <f t="shared" si="273"/>
        <v/>
      </c>
      <c r="G7977" t="str">
        <f t="shared" si="274"/>
        <v/>
      </c>
    </row>
    <row r="7978" spans="2:7">
      <c r="B7978" s="6"/>
      <c r="E7978" s="7"/>
      <c r="F7978" t="str">
        <f t="shared" si="273"/>
        <v/>
      </c>
      <c r="G7978" t="str">
        <f t="shared" si="274"/>
        <v/>
      </c>
    </row>
    <row r="7979" spans="2:7">
      <c r="B7979" s="6"/>
      <c r="E7979" s="7"/>
      <c r="F7979" t="str">
        <f t="shared" si="273"/>
        <v/>
      </c>
      <c r="G7979" t="str">
        <f t="shared" si="274"/>
        <v/>
      </c>
    </row>
    <row r="7980" spans="2:7">
      <c r="B7980" s="6"/>
      <c r="E7980" s="7"/>
      <c r="F7980" t="str">
        <f t="shared" si="273"/>
        <v/>
      </c>
      <c r="G7980" t="str">
        <f t="shared" si="274"/>
        <v/>
      </c>
    </row>
    <row r="7981" spans="2:7">
      <c r="B7981" s="6"/>
      <c r="E7981" s="7"/>
      <c r="F7981" t="str">
        <f t="shared" si="273"/>
        <v/>
      </c>
      <c r="G7981" t="str">
        <f t="shared" si="274"/>
        <v/>
      </c>
    </row>
    <row r="7982" spans="2:7">
      <c r="B7982" s="6"/>
      <c r="E7982" s="7"/>
      <c r="F7982" t="str">
        <f t="shared" si="273"/>
        <v/>
      </c>
      <c r="G7982" t="str">
        <f t="shared" si="274"/>
        <v/>
      </c>
    </row>
    <row r="7983" spans="2:7">
      <c r="B7983" s="6"/>
      <c r="E7983" s="7"/>
      <c r="F7983" t="str">
        <f t="shared" si="273"/>
        <v/>
      </c>
      <c r="G7983" t="str">
        <f t="shared" si="274"/>
        <v/>
      </c>
    </row>
    <row r="7984" spans="2:7">
      <c r="B7984" s="6"/>
      <c r="E7984" s="7"/>
      <c r="F7984" t="str">
        <f t="shared" si="273"/>
        <v/>
      </c>
      <c r="G7984" t="str">
        <f t="shared" si="274"/>
        <v/>
      </c>
    </row>
    <row r="7985" spans="2:7">
      <c r="B7985" s="6"/>
      <c r="E7985" s="7"/>
      <c r="F7985" t="str">
        <f t="shared" si="273"/>
        <v/>
      </c>
      <c r="G7985" t="str">
        <f t="shared" si="274"/>
        <v/>
      </c>
    </row>
    <row r="7986" spans="2:7">
      <c r="B7986" s="6"/>
      <c r="E7986" s="7"/>
      <c r="F7986" t="str">
        <f t="shared" si="273"/>
        <v/>
      </c>
      <c r="G7986" t="str">
        <f t="shared" si="274"/>
        <v/>
      </c>
    </row>
    <row r="7987" spans="2:7">
      <c r="B7987" s="6"/>
      <c r="E7987" s="7"/>
      <c r="F7987" t="str">
        <f t="shared" si="273"/>
        <v/>
      </c>
      <c r="G7987" t="str">
        <f t="shared" si="274"/>
        <v/>
      </c>
    </row>
    <row r="7988" spans="2:7">
      <c r="B7988" s="6"/>
      <c r="E7988" s="7"/>
      <c r="F7988" t="str">
        <f t="shared" si="273"/>
        <v/>
      </c>
      <c r="G7988" t="str">
        <f t="shared" si="274"/>
        <v/>
      </c>
    </row>
    <row r="7989" spans="2:7">
      <c r="B7989" s="6"/>
      <c r="E7989" s="7"/>
      <c r="F7989" t="str">
        <f t="shared" si="273"/>
        <v/>
      </c>
      <c r="G7989" t="str">
        <f t="shared" si="274"/>
        <v/>
      </c>
    </row>
    <row r="7990" spans="2:7">
      <c r="B7990" s="6"/>
      <c r="E7990" s="7"/>
      <c r="F7990" t="str">
        <f t="shared" si="273"/>
        <v/>
      </c>
      <c r="G7990" t="str">
        <f t="shared" si="274"/>
        <v/>
      </c>
    </row>
    <row r="7991" spans="2:7">
      <c r="B7991" s="6"/>
      <c r="E7991" s="7"/>
      <c r="F7991" t="str">
        <f t="shared" si="273"/>
        <v/>
      </c>
      <c r="G7991" t="str">
        <f t="shared" si="274"/>
        <v/>
      </c>
    </row>
    <row r="7992" spans="2:7">
      <c r="B7992" s="6"/>
      <c r="E7992" s="7"/>
      <c r="F7992" t="str">
        <f t="shared" si="273"/>
        <v/>
      </c>
      <c r="G7992" t="str">
        <f t="shared" si="274"/>
        <v/>
      </c>
    </row>
    <row r="7993" spans="2:7">
      <c r="B7993" s="6"/>
      <c r="E7993" s="7"/>
      <c r="F7993" t="str">
        <f t="shared" si="273"/>
        <v/>
      </c>
      <c r="G7993" t="str">
        <f t="shared" si="274"/>
        <v/>
      </c>
    </row>
    <row r="7994" spans="2:7">
      <c r="B7994" s="6"/>
      <c r="E7994" s="7"/>
      <c r="F7994" t="str">
        <f t="shared" si="273"/>
        <v/>
      </c>
      <c r="G7994" t="str">
        <f t="shared" si="274"/>
        <v/>
      </c>
    </row>
    <row r="7995" spans="2:7">
      <c r="B7995" s="6"/>
      <c r="E7995" s="7"/>
      <c r="F7995" t="str">
        <f t="shared" si="273"/>
        <v/>
      </c>
      <c r="G7995" t="str">
        <f t="shared" si="274"/>
        <v/>
      </c>
    </row>
    <row r="7996" spans="2:7">
      <c r="B7996" s="6"/>
      <c r="E7996" s="7"/>
      <c r="F7996" t="str">
        <f t="shared" si="273"/>
        <v/>
      </c>
      <c r="G7996" t="str">
        <f t="shared" si="274"/>
        <v/>
      </c>
    </row>
    <row r="7997" spans="2:7">
      <c r="B7997" s="6"/>
      <c r="E7997" s="7"/>
      <c r="F7997" t="str">
        <f t="shared" si="273"/>
        <v/>
      </c>
      <c r="G7997" t="str">
        <f t="shared" si="274"/>
        <v/>
      </c>
    </row>
    <row r="7998" spans="2:7">
      <c r="B7998" s="6"/>
      <c r="E7998" s="7"/>
      <c r="F7998" t="str">
        <f t="shared" si="273"/>
        <v/>
      </c>
      <c r="G7998" t="str">
        <f t="shared" si="274"/>
        <v/>
      </c>
    </row>
    <row r="7999" spans="2:7">
      <c r="B7999" s="6"/>
      <c r="E7999" s="7"/>
      <c r="F7999" t="str">
        <f t="shared" si="273"/>
        <v/>
      </c>
      <c r="G7999" t="str">
        <f t="shared" si="274"/>
        <v/>
      </c>
    </row>
    <row r="8000" spans="2:7">
      <c r="B8000" s="6"/>
      <c r="E8000" s="7"/>
      <c r="F8000" t="str">
        <f t="shared" si="273"/>
        <v/>
      </c>
      <c r="G8000" t="str">
        <f t="shared" si="274"/>
        <v/>
      </c>
    </row>
    <row r="8001" spans="2:7">
      <c r="B8001" s="6"/>
      <c r="E8001" s="7"/>
      <c r="F8001" t="str">
        <f t="shared" si="273"/>
        <v/>
      </c>
      <c r="G8001" t="str">
        <f t="shared" si="274"/>
        <v/>
      </c>
    </row>
    <row r="8002" spans="2:7">
      <c r="B8002" s="6"/>
      <c r="E8002" s="7"/>
      <c r="F8002" t="str">
        <f t="shared" si="273"/>
        <v/>
      </c>
      <c r="G8002" t="str">
        <f t="shared" si="274"/>
        <v/>
      </c>
    </row>
    <row r="8003" spans="2:7" ht="16.5" thickBot="1">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404"/>
  <sheetViews>
    <sheetView zoomScale="69" workbookViewId="0">
      <selection activeCell="B1" sqref="B1"/>
    </sheetView>
  </sheetViews>
  <sheetFormatPr defaultColWidth="11" defaultRowHeight="15.75"/>
  <cols>
    <col min="6" max="6" width="15" bestFit="1" customWidth="1"/>
    <col min="7" max="7" width="17.125" bestFit="1" customWidth="1"/>
    <col min="17" max="17" width="18.625" bestFit="1" customWidth="1"/>
    <col min="20" max="20" width="25.375" bestFit="1" customWidth="1"/>
  </cols>
  <sheetData>
    <row r="1" spans="1:21">
      <c r="B1" s="2" t="s">
        <v>2</v>
      </c>
      <c r="J1" s="2" t="s">
        <v>12</v>
      </c>
      <c r="K1" s="2"/>
      <c r="L1" s="2"/>
      <c r="M1" s="2"/>
      <c r="Q1" s="2" t="s">
        <v>13</v>
      </c>
      <c r="T1" s="2" t="s">
        <v>62</v>
      </c>
    </row>
    <row r="2" spans="1:21">
      <c r="B2" t="s">
        <v>0</v>
      </c>
      <c r="C2" t="s">
        <v>2</v>
      </c>
      <c r="D2" t="s">
        <v>3</v>
      </c>
      <c r="E2" t="s">
        <v>10</v>
      </c>
      <c r="F2" t="s">
        <v>11</v>
      </c>
      <c r="G2" t="s">
        <v>24</v>
      </c>
      <c r="H2" t="s">
        <v>25</v>
      </c>
      <c r="O2" t="s">
        <v>58</v>
      </c>
    </row>
    <row r="3" spans="1:21">
      <c r="A3" s="13" t="s">
        <v>27</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60</v>
      </c>
      <c r="M3" t="s">
        <v>59</v>
      </c>
      <c r="N3" t="s">
        <v>57</v>
      </c>
      <c r="O3" t="s">
        <v>65</v>
      </c>
      <c r="Q3" t="s">
        <v>14</v>
      </c>
      <c r="R3">
        <f>MIN(G4:G404)</f>
        <v>0</v>
      </c>
      <c r="T3" t="s">
        <v>69</v>
      </c>
    </row>
    <row r="4" spans="1:21">
      <c r="A4" t="s">
        <v>27</v>
      </c>
      <c r="B4" t="str">
        <f>'Input and Summary Results'!G$8</f>
        <v xml:space="preserve"> </v>
      </c>
      <c r="C4" t="b">
        <f>IF(B4=0,FALSE,IF(ISNUMBER('Input and Summary Results'!$D$5),'Input and Summary Results'!$D$5,FALSE))</f>
        <v>0</v>
      </c>
      <c r="D4">
        <f>IF(B4=0,FALSE,'Input and Summary Results'!$E$5)</f>
        <v>0</v>
      </c>
      <c r="E4" t="b">
        <f t="shared" ref="E4:E67" si="0">IF(C4=FALSE,FALSE,LOG10(C4))</f>
        <v>0</v>
      </c>
      <c r="F4" t="e">
        <f>IF(D4=FALSE, FALSE,0.434*D4/C4)</f>
        <v>#DIV/0!</v>
      </c>
      <c r="G4" t="b">
        <f>IF(B4=" ",FALSE,(IF('Input and Summary Results'!$J$4="yes",'Data Transformation'!E4,'Data Transformation'!C4)))</f>
        <v>0</v>
      </c>
      <c r="H4" t="b">
        <f>IF(B4=" ",FALSE,(IF('Input and Summary Results'!$J$4="yes",'Data Transformation'!F4,'Data Transformation'!D4)))</f>
        <v>0</v>
      </c>
      <c r="J4" t="s">
        <v>28</v>
      </c>
      <c r="M4" t="str">
        <f>J4</f>
        <v>all</v>
      </c>
      <c r="N4">
        <f>COUNTIF(B24:B404,"&gt;0")+COUNTIF(B4,"&gt;0")</f>
        <v>0</v>
      </c>
      <c r="O4" t="b">
        <f t="shared" ref="O4:O25" si="1">IF(N4&gt;4,N4,FALSE)</f>
        <v>0</v>
      </c>
      <c r="Q4" t="s">
        <v>15</v>
      </c>
      <c r="R4">
        <f>IF('Input and Summary Results'!J4="yes",MAX('Data Transformation'!E24:E404),MAX(C24:C404))</f>
        <v>0</v>
      </c>
      <c r="T4" t="s">
        <v>61</v>
      </c>
    </row>
    <row r="5" spans="1:21">
      <c r="A5" t="s">
        <v>27</v>
      </c>
      <c r="B5" t="str">
        <f>'Input and Summary Results'!$G9</f>
        <v xml:space="preserve"> </v>
      </c>
      <c r="C5" t="b">
        <f>IF(B5=0,FALSE,IF(ISNUMBER('Input and Summary Results'!$D$5),'Input and Summary Results'!$D$5,FALSE))</f>
        <v>0</v>
      </c>
      <c r="D5">
        <f>IF(B5=0,FALSE,'Input and Summary Results'!$E$5)</f>
        <v>0</v>
      </c>
      <c r="E5" t="b">
        <f t="shared" si="0"/>
        <v>0</v>
      </c>
      <c r="F5" t="e">
        <f t="shared" ref="F5:F67" si="2">IF(D5=FALSE, FALSE,0.434*D5/C5)</f>
        <v>#DIV/0!</v>
      </c>
      <c r="G5" t="b">
        <f>IF(B5=" ",FALSE,(IF('Input and Summary Results'!$J$4="yes",'Data Transformation'!E5,'Data Transformation'!C5)))</f>
        <v>0</v>
      </c>
      <c r="H5" t="b">
        <f>IF(B5=" ",FALSE,(IF('Input and Summary Results'!$J$4="yes",'Data Transformation'!F5,'Data Transformation'!D5)))</f>
        <v>0</v>
      </c>
      <c r="J5" s="18">
        <f>LOOKUP(2,1/(COUNTIF($J$4:J4,'Input and Summary Results'!$B$7:$B$404)=0),'Input and Summary Results'!$B$7:$B$404)</f>
        <v>0</v>
      </c>
      <c r="K5" s="18">
        <f>IFERROR(J5," ")</f>
        <v>0</v>
      </c>
      <c r="L5" s="18"/>
      <c r="N5">
        <f>COUNTIF($B$4:$B$404,$J5)</f>
        <v>0</v>
      </c>
      <c r="O5" t="b">
        <f t="shared" si="1"/>
        <v>0</v>
      </c>
      <c r="Q5" t="s">
        <v>5</v>
      </c>
      <c r="R5" t="e">
        <f>$G$3</f>
        <v>#NUM!</v>
      </c>
      <c r="T5" t="s">
        <v>63</v>
      </c>
    </row>
    <row r="6" spans="1:21">
      <c r="A6" t="s">
        <v>27</v>
      </c>
      <c r="B6" t="str">
        <f>'Input and Summary Results'!$G10</f>
        <v xml:space="preserve"> </v>
      </c>
      <c r="C6" t="b">
        <f>IF(B6=0,FALSE,IF(ISNUMBER('Input and Summary Results'!$D$5),'Input and Summary Results'!$D$5,FALSE))</f>
        <v>0</v>
      </c>
      <c r="D6">
        <f>IF(B6=0,FALSE,'Input and Summary Results'!$E$5)</f>
        <v>0</v>
      </c>
      <c r="E6" t="b">
        <f t="shared" si="0"/>
        <v>0</v>
      </c>
      <c r="F6" t="e">
        <f t="shared" si="2"/>
        <v>#DIV/0!</v>
      </c>
      <c r="G6" t="b">
        <f>IF(B6=" ",FALSE,(IF('Input and Summary Results'!$J$4="yes",'Data Transformation'!E6,'Data Transformation'!C6)))</f>
        <v>0</v>
      </c>
      <c r="H6" t="b">
        <f>IF(B6=" ",FALSE,(IF('Input and Summary Results'!$J$4="yes",'Data Transformation'!F6,'Data Transformation'!D6)))</f>
        <v>0</v>
      </c>
      <c r="J6" s="18" t="e">
        <f>LOOKUP(2,1/(COUNTIF($J$4:J5,'Input and Summary Results'!$B$7:$B$404)=0),'Input and Summary Results'!$B$7:$B$404)</f>
        <v>#N/A</v>
      </c>
      <c r="K6" s="18" t="str">
        <f t="shared" ref="K6:K25" si="3">IFERROR(J6," ")</f>
        <v xml:space="preserve"> </v>
      </c>
      <c r="L6" s="18">
        <v>1</v>
      </c>
      <c r="M6" t="e">
        <f>SMALL($K$6:$K$25,L6)</f>
        <v>#NUM!</v>
      </c>
      <c r="N6">
        <f>COUNTIF($B$4:$B$404,$M6)</f>
        <v>0</v>
      </c>
      <c r="O6" t="b">
        <f t="shared" si="1"/>
        <v>0</v>
      </c>
      <c r="Q6" t="s">
        <v>16</v>
      </c>
      <c r="R6" s="52">
        <f>IF('Input and Summary Results'!J4="yes",LOG('Input and Summary Results'!J17,10),'Input and Summary Results'!J17)</f>
        <v>0</v>
      </c>
    </row>
    <row r="7" spans="1:21">
      <c r="A7" t="s">
        <v>27</v>
      </c>
      <c r="B7" t="str">
        <f>'Input and Summary Results'!$G11</f>
        <v xml:space="preserve"> </v>
      </c>
      <c r="C7" t="b">
        <f>IF(B7=0,FALSE,IF(ISNUMBER('Input and Summary Results'!$D$5),'Input and Summary Results'!$D$5,FALSE))</f>
        <v>0</v>
      </c>
      <c r="D7">
        <f>IF(B7=0,FALSE,'Input and Summary Results'!$E$5)</f>
        <v>0</v>
      </c>
      <c r="E7" t="b">
        <f t="shared" si="0"/>
        <v>0</v>
      </c>
      <c r="F7" t="e">
        <f t="shared" si="2"/>
        <v>#DIV/0!</v>
      </c>
      <c r="G7" t="b">
        <f>IF(B7=" ",FALSE,(IF('Input and Summary Results'!$J$4="yes",'Data Transformation'!E7,'Data Transformation'!C7)))</f>
        <v>0</v>
      </c>
      <c r="H7" t="b">
        <f>IF(B7=" ",FALSE,(IF('Input and Summary Results'!$J$4="yes",'Data Transformation'!F7,'Data Transformation'!D7)))</f>
        <v>0</v>
      </c>
      <c r="J7" s="18" t="e">
        <f>LOOKUP(2,1/(COUNTIF($J$4:J6,'Input and Summary Results'!$B$7:$B$404)=0),'Input and Summary Results'!$B$7:$B$404)</f>
        <v>#N/A</v>
      </c>
      <c r="K7" s="18" t="str">
        <f t="shared" si="3"/>
        <v xml:space="preserve"> </v>
      </c>
      <c r="L7" s="18">
        <v>2</v>
      </c>
      <c r="M7" t="e">
        <f t="shared" ref="M7:M25" si="4">SMALL($K$6:$K$25,L7)</f>
        <v>#NUM!</v>
      </c>
      <c r="N7">
        <f t="shared" ref="N7:N25" si="5">COUNTIF($B$4:$B$404,$M7)</f>
        <v>0</v>
      </c>
      <c r="O7" t="b">
        <f t="shared" si="1"/>
        <v>0</v>
      </c>
      <c r="T7" t="s">
        <v>70</v>
      </c>
    </row>
    <row r="8" spans="1:21">
      <c r="A8" t="s">
        <v>27</v>
      </c>
      <c r="B8" t="str">
        <f>'Input and Summary Results'!$G12</f>
        <v xml:space="preserve"> </v>
      </c>
      <c r="C8" t="b">
        <f>IF(B8=0,FALSE,IF(ISNUMBER('Input and Summary Results'!$D$5),'Input and Summary Results'!$D$5,FALSE))</f>
        <v>0</v>
      </c>
      <c r="D8">
        <f>IF(B8=0,FALSE,'Input and Summary Results'!$E$5)</f>
        <v>0</v>
      </c>
      <c r="E8" t="b">
        <f t="shared" si="0"/>
        <v>0</v>
      </c>
      <c r="F8" t="e">
        <f t="shared" si="2"/>
        <v>#DIV/0!</v>
      </c>
      <c r="G8" t="b">
        <f>IF(B8=" ",FALSE,(IF('Input and Summary Results'!$J$4="yes",'Data Transformation'!E8,'Data Transformation'!C8)))</f>
        <v>0</v>
      </c>
      <c r="H8" t="b">
        <f>IF(B8=" ",FALSE,(IF('Input and Summary Results'!$J$4="yes",'Data Transformation'!F8,'Data Transformation'!D8)))</f>
        <v>0</v>
      </c>
      <c r="J8" s="18" t="e">
        <f>LOOKUP(2,1/(COUNTIF($J$4:J7,'Input and Summary Results'!$B$7:$B$404)=0),'Input and Summary Results'!$B$7:$B$404)</f>
        <v>#N/A</v>
      </c>
      <c r="K8" s="18" t="str">
        <f t="shared" si="3"/>
        <v xml:space="preserve"> </v>
      </c>
      <c r="L8" s="18">
        <v>3</v>
      </c>
      <c r="M8" t="e">
        <f t="shared" si="4"/>
        <v>#NUM!</v>
      </c>
      <c r="N8">
        <f t="shared" si="5"/>
        <v>0</v>
      </c>
      <c r="O8" t="b">
        <f t="shared" si="1"/>
        <v>0</v>
      </c>
      <c r="Q8" t="s">
        <v>68</v>
      </c>
      <c r="T8" t="s">
        <v>33</v>
      </c>
      <c r="U8">
        <f>IF('Input and Summary Results'!J4="yes",10^R9,R9)</f>
        <v>1</v>
      </c>
    </row>
    <row r="9" spans="1:21">
      <c r="A9" t="s">
        <v>27</v>
      </c>
      <c r="B9" t="str">
        <f>'Input and Summary Results'!$G13</f>
        <v xml:space="preserve"> </v>
      </c>
      <c r="C9" t="b">
        <f>IF(B9=0,FALSE,IF(ISNUMBER('Input and Summary Results'!$D$5),'Input and Summary Results'!$D$5,FALSE))</f>
        <v>0</v>
      </c>
      <c r="D9">
        <f>IF(B9=0,FALSE,'Input and Summary Results'!$E$5)</f>
        <v>0</v>
      </c>
      <c r="E9" t="b">
        <f t="shared" si="0"/>
        <v>0</v>
      </c>
      <c r="F9" t="e">
        <f t="shared" si="2"/>
        <v>#DIV/0!</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v>
      </c>
      <c r="T9" t="s">
        <v>88</v>
      </c>
      <c r="U9">
        <f>IF('Input and Summary Results'!J4="yes",10^R10,R10)</f>
        <v>1</v>
      </c>
    </row>
    <row r="10" spans="1:21">
      <c r="A10" t="s">
        <v>27</v>
      </c>
      <c r="B10" t="str">
        <f>'Input and Summary Results'!$G14</f>
        <v xml:space="preserve"> </v>
      </c>
      <c r="C10" t="b">
        <f>IF(B10=0,FALSE,IF(ISNUMBER('Input and Summary Results'!$D$5),'Input and Summary Results'!$D$5,FALSE))</f>
        <v>0</v>
      </c>
      <c r="D10">
        <f>IF(B10=0,FALSE,'Input and Summary Results'!$E$5)</f>
        <v>0</v>
      </c>
      <c r="E10" t="b">
        <f t="shared" si="0"/>
        <v>0</v>
      </c>
      <c r="F10" t="e">
        <f t="shared" si="2"/>
        <v>#DIV/0!</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0</v>
      </c>
    </row>
    <row r="11" spans="1:21">
      <c r="A11" t="s">
        <v>27</v>
      </c>
      <c r="B11" t="str">
        <f>'Input and Summary Results'!$G15</f>
        <v xml:space="preserve"> </v>
      </c>
      <c r="C11" t="b">
        <f>IF(B11=0,FALSE,IF(ISNUMBER('Input and Summary Results'!$D$5),'Input and Summary Results'!$D$5,FALSE))</f>
        <v>0</v>
      </c>
      <c r="D11">
        <f>IF(B11=0,FALSE,'Input and Summary Results'!$E$5)</f>
        <v>0</v>
      </c>
      <c r="E11" t="b">
        <f t="shared" si="0"/>
        <v>0</v>
      </c>
      <c r="F11" t="e">
        <f t="shared" si="2"/>
        <v>#DIV/0!</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109</v>
      </c>
      <c r="U11" t="e">
        <f>'Data Transformation'!$G$3+0.5*'Data Transformation'!$U$25</f>
        <v>#NUM!</v>
      </c>
    </row>
    <row r="12" spans="1:21">
      <c r="A12" t="s">
        <v>27</v>
      </c>
      <c r="B12" t="str">
        <f>'Input and Summary Results'!$G16</f>
        <v xml:space="preserve"> </v>
      </c>
      <c r="C12" t="b">
        <f>IF(B12=0,FALSE,IF(ISNUMBER('Input and Summary Results'!$D$5),'Input and Summary Results'!$D$5,FALSE))</f>
        <v>0</v>
      </c>
      <c r="D12">
        <f>IF(B12=0,FALSE,'Input and Summary Results'!$E$5)</f>
        <v>0</v>
      </c>
      <c r="E12" t="b">
        <f t="shared" si="0"/>
        <v>0</v>
      </c>
      <c r="F12" t="e">
        <f t="shared" si="2"/>
        <v>#DIV/0!</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112</v>
      </c>
      <c r="U12" t="e">
        <f>U11-U25</f>
        <v>#NUM!</v>
      </c>
    </row>
    <row r="13" spans="1:21">
      <c r="A13" t="s">
        <v>27</v>
      </c>
      <c r="B13" t="str">
        <f>'Input and Summary Results'!$G17</f>
        <v xml:space="preserve"> </v>
      </c>
      <c r="C13" t="b">
        <f>IF(B13=0,FALSE,IF(ISNUMBER('Input and Summary Results'!$D$5),'Input and Summary Results'!$D$5,FALSE))</f>
        <v>0</v>
      </c>
      <c r="D13">
        <f>IF(B13=0,FALSE,'Input and Summary Results'!$E$5)</f>
        <v>0</v>
      </c>
      <c r="E13" t="b">
        <f t="shared" si="0"/>
        <v>0</v>
      </c>
      <c r="F13" t="e">
        <f t="shared" si="2"/>
        <v>#DIV/0!</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1">
      <c r="A14" t="s">
        <v>27</v>
      </c>
      <c r="B14" t="str">
        <f>'Input and Summary Results'!$G18</f>
        <v xml:space="preserve"> </v>
      </c>
      <c r="C14" t="b">
        <f>IF(B14=0,FALSE,IF(ISNUMBER('Input and Summary Results'!$D$5),'Input and Summary Results'!$D$5,FALSE))</f>
        <v>0</v>
      </c>
      <c r="D14">
        <f>IF(B14=0,FALSE,'Input and Summary Results'!$E$5)</f>
        <v>0</v>
      </c>
      <c r="E14" t="b">
        <f t="shared" si="0"/>
        <v>0</v>
      </c>
      <c r="F14" t="e">
        <f t="shared" si="2"/>
        <v>#DIV/0!</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92</v>
      </c>
      <c r="R14" t="e">
        <f>_xlfn.AGGREGATE(1,6,H3,H24:H404)</f>
        <v>#DIV/0!</v>
      </c>
    </row>
    <row r="15" spans="1:21">
      <c r="A15" t="s">
        <v>27</v>
      </c>
      <c r="B15" t="str">
        <f>'Input and Summary Results'!$G19</f>
        <v xml:space="preserve"> </v>
      </c>
      <c r="C15" t="b">
        <f>IF(B15=0,FALSE,IF(ISNUMBER('Input and Summary Results'!$D$5),'Input and Summary Results'!$D$5,FALSE))</f>
        <v>0</v>
      </c>
      <c r="D15">
        <f>IF(B15=0,FALSE,'Input and Summary Results'!$E$5)</f>
        <v>0</v>
      </c>
      <c r="E15" t="b">
        <f t="shared" si="0"/>
        <v>0</v>
      </c>
      <c r="F15" t="e">
        <f t="shared" si="2"/>
        <v>#DIV/0!</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93</v>
      </c>
      <c r="R15" t="e">
        <f>IF('Input and Summary Results'!J19="",'Data Transformation'!R14,(IF('Input and Summary Results'!J4="yes",'Input and Summary Results'!J19*0.434/C3,'Input and Summary Results'!J19)))</f>
        <v>#DIV/0!</v>
      </c>
    </row>
    <row r="16" spans="1:21">
      <c r="A16" t="s">
        <v>27</v>
      </c>
      <c r="B16" t="str">
        <f>'Input and Summary Results'!$G20</f>
        <v xml:space="preserve"> </v>
      </c>
      <c r="C16" t="b">
        <f>IF(B16=0,FALSE,IF(ISNUMBER('Input and Summary Results'!$D$5),'Input and Summary Results'!$D$5,FALSE))</f>
        <v>0</v>
      </c>
      <c r="D16">
        <f>IF(B16=0,FALSE,'Input and Summary Results'!$E$5)</f>
        <v>0</v>
      </c>
      <c r="E16" t="b">
        <f t="shared" si="0"/>
        <v>0</v>
      </c>
      <c r="F16" t="e">
        <f t="shared" si="2"/>
        <v>#DIV/0!</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102</v>
      </c>
      <c r="R16" t="e">
        <f>R15*2</f>
        <v>#DIV/0!</v>
      </c>
    </row>
    <row r="17" spans="1:23">
      <c r="A17" t="s">
        <v>27</v>
      </c>
      <c r="B17" t="str">
        <f>'Input and Summary Results'!$G21</f>
        <v xml:space="preserve"> </v>
      </c>
      <c r="C17" t="b">
        <f>IF(B17=0,FALSE,IF(ISNUMBER('Input and Summary Results'!$D$5),'Input and Summary Results'!$D$5,FALSE))</f>
        <v>0</v>
      </c>
      <c r="D17">
        <f>IF(B17=0,FALSE,'Input and Summary Results'!$E$5)</f>
        <v>0</v>
      </c>
      <c r="E17" t="b">
        <f t="shared" si="0"/>
        <v>0</v>
      </c>
      <c r="F17" t="e">
        <f t="shared" si="2"/>
        <v>#DIV/0!</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c r="A18" t="s">
        <v>27</v>
      </c>
      <c r="B18" t="str">
        <f>'Input and Summary Results'!$G22</f>
        <v xml:space="preserve"> </v>
      </c>
      <c r="C18" t="b">
        <f>IF(B18=0,FALSE,IF(ISNUMBER('Input and Summary Results'!$D$5),'Input and Summary Results'!$D$5,FALSE))</f>
        <v>0</v>
      </c>
      <c r="D18">
        <f>IF(B18=0,FALSE,'Input and Summary Results'!$E$5)</f>
        <v>0</v>
      </c>
      <c r="E18" t="b">
        <f t="shared" si="0"/>
        <v>0</v>
      </c>
      <c r="F18" t="e">
        <f t="shared" si="2"/>
        <v>#DIV/0!</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c r="A19" t="s">
        <v>27</v>
      </c>
      <c r="B19" t="str">
        <f>'Input and Summary Results'!$G23</f>
        <v xml:space="preserve"> </v>
      </c>
      <c r="C19" t="b">
        <f>IF(B19=0,FALSE,IF(ISNUMBER('Input and Summary Results'!$D$5),'Input and Summary Results'!$D$5,FALSE))</f>
        <v>0</v>
      </c>
      <c r="D19">
        <f>IF(B19=0,FALSE,'Input and Summary Results'!$E$5)</f>
        <v>0</v>
      </c>
      <c r="E19" t="b">
        <f t="shared" si="0"/>
        <v>0</v>
      </c>
      <c r="F19" t="e">
        <f t="shared" si="2"/>
        <v>#DIV/0!</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t="e">
        <f>(R10-R9)/R16</f>
        <v>#DIV/0!</v>
      </c>
    </row>
    <row r="20" spans="1:23">
      <c r="A20" t="s">
        <v>27</v>
      </c>
      <c r="B20" t="str">
        <f>'Input and Summary Results'!$G24</f>
        <v xml:space="preserve"> </v>
      </c>
      <c r="C20" t="b">
        <f>IF(B20=0,FALSE,IF(ISNUMBER('Input and Summary Results'!$D$5),'Input and Summary Results'!$D$5,FALSE))</f>
        <v>0</v>
      </c>
      <c r="D20">
        <f>IF(B20=0,FALSE,'Input and Summary Results'!$E$5)</f>
        <v>0</v>
      </c>
      <c r="E20" t="b">
        <f t="shared" si="0"/>
        <v>0</v>
      </c>
      <c r="F20" t="e">
        <f t="shared" si="2"/>
        <v>#DIV/0!</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t="e">
        <f>AVERAGE(O5:O24)</f>
        <v>#DIV/0!</v>
      </c>
    </row>
    <row r="21" spans="1:23">
      <c r="A21" t="s">
        <v>27</v>
      </c>
      <c r="B21" t="str">
        <f>'Input and Summary Results'!$G25</f>
        <v xml:space="preserve"> </v>
      </c>
      <c r="C21" t="b">
        <f>IF(B21=0,FALSE,IF(ISNUMBER('Input and Summary Results'!$D$5),'Input and Summary Results'!$D$5,FALSE))</f>
        <v>0</v>
      </c>
      <c r="D21">
        <f>IF(B21=0,FALSE,'Input and Summary Results'!$E$5)</f>
        <v>0</v>
      </c>
      <c r="E21" t="b">
        <f t="shared" si="0"/>
        <v>0</v>
      </c>
      <c r="F21" t="e">
        <f t="shared" si="2"/>
        <v>#DIV/0!</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t="e">
        <f>MEDIAN(O5:O24)</f>
        <v>#NUM!</v>
      </c>
    </row>
    <row r="22" spans="1:23">
      <c r="A22" t="s">
        <v>27</v>
      </c>
      <c r="B22" t="str">
        <f>'Input and Summary Results'!$G26</f>
        <v xml:space="preserve"> </v>
      </c>
      <c r="C22" t="b">
        <f>IF(B22=0,FALSE,IF(ISNUMBER('Input and Summary Results'!$D$5),'Input and Summary Results'!$D$5,FALSE))</f>
        <v>0</v>
      </c>
      <c r="D22">
        <f>IF(B22=0,FALSE,'Input and Summary Results'!$E$5)</f>
        <v>0</v>
      </c>
      <c r="E22" t="b">
        <f t="shared" si="0"/>
        <v>0</v>
      </c>
      <c r="F22" t="e">
        <f t="shared" si="2"/>
        <v>#DIV/0!</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c r="A23" t="s">
        <v>27</v>
      </c>
      <c r="B23" t="str">
        <f>'Input and Summary Results'!$G27</f>
        <v xml:space="preserve"> </v>
      </c>
      <c r="C23" t="b">
        <f>IF(B23=0,FALSE,IF(ISNUMBER('Input and Summary Results'!$D$5),'Input and Summary Results'!$D$5,FALSE))</f>
        <v>0</v>
      </c>
      <c r="D23">
        <f>IF(B23=0,FALSE,'Input and Summary Results'!$E$5)</f>
        <v>0</v>
      </c>
      <c r="E23" t="b">
        <f t="shared" si="0"/>
        <v>0</v>
      </c>
      <c r="F23" t="e">
        <f t="shared" si="2"/>
        <v>#DIV/0!</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t="e">
        <f>ROUNDDOWN(MIN(R19:R21),0)</f>
        <v>#DIV/0!</v>
      </c>
    </row>
    <row r="24" spans="1:23">
      <c r="B24" t="b">
        <f>IF('Input and Summary Results'!D7="",FALSE,'Input and Summary Results'!$B7)</f>
        <v>0</v>
      </c>
      <c r="C24" t="b">
        <f>IF(OR(B24=0,'Input and Summary Results'!D7=0,'Input and Summary Results'!D7=""),FALSE,'Input and Summary Results'!$D7)</f>
        <v>0</v>
      </c>
      <c r="D24" t="b">
        <f>IF(OR(B24=0,'Input and Summary Results'!E7=0),FALSE,'Input and Summary Results'!$E7)</f>
        <v>0</v>
      </c>
      <c r="E24" t="b">
        <f t="shared" si="0"/>
        <v>0</v>
      </c>
      <c r="F24" t="b">
        <f t="shared" si="2"/>
        <v>0</v>
      </c>
      <c r="G24" t="b">
        <f>IF('Input and Summary Results'!$J$4="yes",IF(C24=FALSE,FALSE,IF(E24&lt;$R$10,'Data Transformation'!E24,$R$10)),IF(C24=FALSE,FALSE,IF('Data Transformation'!C24&lt;$R$10,C24,$R$10)))</f>
        <v>0</v>
      </c>
      <c r="H24" t="b">
        <f>IF('Input and Summary Results'!$J$4="yes",'Data Transformation'!F24,'Data Transformation'!D24)</f>
        <v>0</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t="e">
        <f>IF('Input and Summary Results'!J23&gt;0,(ROUNDDOWN('Input and Summary Results'!J23,0)),'Data Transformation'!R23)</f>
        <v>#DIV/0!</v>
      </c>
    </row>
    <row r="25" spans="1:23">
      <c r="B25" t="b">
        <f>IF('Input and Summary Results'!D8="",FALSE,'Input and Summary Results'!$B8)</f>
        <v>0</v>
      </c>
      <c r="C25" t="b">
        <f>IF(OR(B25=0,'Input and Summary Results'!D8=0,'Input and Summary Results'!D8=""),FALSE,'Input and Summary Results'!$D8)</f>
        <v>0</v>
      </c>
      <c r="D25" t="b">
        <f>IF(OR(B25=0,'Input and Summary Results'!E8=0),FALSE,'Input and Summary Results'!$E8)</f>
        <v>0</v>
      </c>
      <c r="E25" t="b">
        <f t="shared" si="0"/>
        <v>0</v>
      </c>
      <c r="F25" t="b">
        <f t="shared" si="2"/>
        <v>0</v>
      </c>
      <c r="G25" t="b">
        <f>IF('Input and Summary Results'!$J$4="yes",IF(C25=FALSE,FALSE,IF(E25&lt;$R$10,'Data Transformation'!E25,$R$10)),IF(C25=FALSE,FALSE,IF('Data Transformation'!C25&lt;$R$10,C25,$R$10)))</f>
        <v>0</v>
      </c>
      <c r="H25" t="b">
        <f>IF('Input and Summary Results'!$J$4="yes",'Data Transformation'!F25,'Data Transformation'!D25)</f>
        <v>0</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t="e">
        <f>(R10-R9)/R24</f>
        <v>#DIV/0!</v>
      </c>
      <c r="T25" t="s">
        <v>114</v>
      </c>
      <c r="U25" t="e">
        <f>IF(ISNUMBER('Input and Summary Results'!J27),'Input and Summary Results'!J27,IF(OR(ISNUMBER('Input and Summary Results'!E5),ISNUMBER('Input and Summary Results'!J19),),'Data Transformation'!W25*4,'Data Transformation'!U26))</f>
        <v>#DIV/0!</v>
      </c>
      <c r="V25" t="s">
        <v>138</v>
      </c>
      <c r="W25">
        <f>IF(ISNUMBER('Input and Summary Results'!J19),'Data Transformation'!R15,IF(ISNUMBER('Input and Summary Results'!E5),'Data Transformation'!H3,))</f>
        <v>0</v>
      </c>
    </row>
    <row r="26" spans="1:23">
      <c r="B26" t="b">
        <f>IF('Input and Summary Results'!D9="",FALSE,'Input and Summary Results'!$B9)</f>
        <v>0</v>
      </c>
      <c r="C26" t="b">
        <f>IF(OR(B26=0,'Input and Summary Results'!D9=0,'Input and Summary Results'!D9=""),FALSE,'Input and Summary Results'!$D9)</f>
        <v>0</v>
      </c>
      <c r="D26" t="b">
        <f>IF(OR(B26=0,'Input and Summary Results'!E9=0),FALSE,'Input and Summary Results'!$E9)</f>
        <v>0</v>
      </c>
      <c r="E26" t="b">
        <f t="shared" si="0"/>
        <v>0</v>
      </c>
      <c r="F26" t="b">
        <f t="shared" si="2"/>
        <v>0</v>
      </c>
      <c r="G26" t="b">
        <f>IF('Input and Summary Results'!$J$4="yes",IF(C26=FALSE,FALSE,IF(E26&lt;$R$10,'Data Transformation'!E26,$R$10)),IF(C26=FALSE,FALSE,IF('Data Transformation'!C26&lt;$R$10,C26,$R$10)))</f>
        <v>0</v>
      </c>
      <c r="H26" t="b">
        <f>IF('Input and Summary Results'!$J$4="yes",'Data Transformation'!F26,'Data Transformation'!D26)</f>
        <v>0</v>
      </c>
      <c r="J26" t="s">
        <v>30</v>
      </c>
      <c r="N26">
        <f>SUM(N5:N25)</f>
        <v>0</v>
      </c>
      <c r="Q26" t="s">
        <v>89</v>
      </c>
      <c r="R26" t="e">
        <f>10^R25</f>
        <v>#DIV/0!</v>
      </c>
      <c r="T26" t="s">
        <v>107</v>
      </c>
      <c r="U26" t="e">
        <f>R25*2</f>
        <v>#DIV/0!</v>
      </c>
    </row>
    <row r="27" spans="1:23">
      <c r="B27" t="b">
        <f>IF('Input and Summary Results'!D10="",FALSE,'Input and Summary Results'!$B10)</f>
        <v>0</v>
      </c>
      <c r="C27" t="b">
        <f>IF(OR(B27=0,'Input and Summary Results'!D10=0,'Input and Summary Results'!D10=""),FALSE,'Input and Summary Results'!$D10)</f>
        <v>0</v>
      </c>
      <c r="D27" t="b">
        <f>IF(OR(B27=0,'Input and Summary Results'!E10=0),FALSE,'Input and Summary Results'!$E10)</f>
        <v>0</v>
      </c>
      <c r="E27" t="b">
        <f t="shared" si="0"/>
        <v>0</v>
      </c>
      <c r="F27" t="b">
        <f t="shared" si="2"/>
        <v>0</v>
      </c>
      <c r="G27" t="b">
        <f>IF('Input and Summary Results'!$J$4="yes",IF(C27=FALSE,FALSE,IF(E27&lt;$R$10,'Data Transformation'!E27,$R$10)),IF(C27=FALSE,FALSE,IF('Data Transformation'!C27&lt;$R$10,C27,$R$10)))</f>
        <v>0</v>
      </c>
      <c r="H27" t="b">
        <f>IF('Input and Summary Results'!$J$4="yes",'Data Transformation'!F27,'Data Transformation'!D27)</f>
        <v>0</v>
      </c>
    </row>
    <row r="28" spans="1:23">
      <c r="B28" t="b">
        <f>IF('Input and Summary Results'!D11="",FALSE,'Input and Summary Results'!$B11)</f>
        <v>0</v>
      </c>
      <c r="C28" t="b">
        <f>IF(OR(B28=0,'Input and Summary Results'!D11=0,'Input and Summary Results'!D11=""),FALSE,'Input and Summary Results'!$D11)</f>
        <v>0</v>
      </c>
      <c r="D28" t="b">
        <f>IF(OR(B28=0,'Input and Summary Results'!E11=0),FALSE,'Input and Summary Results'!$E11)</f>
        <v>0</v>
      </c>
      <c r="E28" t="b">
        <f t="shared" si="0"/>
        <v>0</v>
      </c>
      <c r="F28" t="b">
        <f t="shared" si="2"/>
        <v>0</v>
      </c>
      <c r="G28" t="b">
        <f>IF('Input and Summary Results'!$J$4="yes",IF(C28=FALSE,FALSE,IF(E28&lt;$R$10,'Data Transformation'!E28,$R$10)),IF(C28=FALSE,FALSE,IF('Data Transformation'!C28&lt;$R$10,C28,$R$10)))</f>
        <v>0</v>
      </c>
      <c r="H28" t="b">
        <f>IF('Input and Summary Results'!$J$4="yes",'Data Transformation'!F28,'Data Transformation'!D28)</f>
        <v>0</v>
      </c>
      <c r="Q28" t="s">
        <v>126</v>
      </c>
      <c r="R28">
        <f>IF(ISNUMBER('Input and Summary Results'!J36),'Input and Summary Results'!J36,'Input and Summary Results'!J37)</f>
        <v>0.5</v>
      </c>
    </row>
    <row r="29" spans="1:23">
      <c r="B29" t="b">
        <f>IF('Input and Summary Results'!D12="",FALSE,'Input and Summary Results'!$B12)</f>
        <v>0</v>
      </c>
      <c r="C29" t="b">
        <f>IF(OR(B29=0,'Input and Summary Results'!D12=0,'Input and Summary Results'!D12=""),FALSE,'Input and Summary Results'!$D12)</f>
        <v>0</v>
      </c>
      <c r="D29" t="b">
        <f>IF(OR(B29=0,'Input and Summary Results'!E12=0),FALSE,'Input and Summary Results'!$E12)</f>
        <v>0</v>
      </c>
      <c r="E29" t="b">
        <f t="shared" si="0"/>
        <v>0</v>
      </c>
      <c r="F29" t="b">
        <f t="shared" si="2"/>
        <v>0</v>
      </c>
      <c r="G29" t="b">
        <f>IF('Input and Summary Results'!$J$4="yes",IF(C29=FALSE,FALSE,IF(E29&lt;$R$10,'Data Transformation'!E29,$R$10)),IF(C29=FALSE,FALSE,IF('Data Transformation'!C29&lt;$R$10,C29,$R$10)))</f>
        <v>0</v>
      </c>
      <c r="H29" t="b">
        <f>IF('Input and Summary Results'!$J$4="yes",'Data Transformation'!F29,'Data Transformation'!D29)</f>
        <v>0</v>
      </c>
      <c r="Q29" t="s">
        <v>127</v>
      </c>
      <c r="R29">
        <f>IF(ISNUMBER('Input and Summary Results'!J33),'Input and Summary Results'!J33,'Input and Summary Results'!J34)</f>
        <v>0.7</v>
      </c>
    </row>
    <row r="30" spans="1:23">
      <c r="B30" t="b">
        <f>IF('Input and Summary Results'!D13="",FALSE,'Input and Summary Results'!$B13)</f>
        <v>0</v>
      </c>
      <c r="C30" t="b">
        <f>IF(OR(B30=0,'Input and Summary Results'!D13=0,'Input and Summary Results'!D13=""),FALSE,'Input and Summary Results'!$D13)</f>
        <v>0</v>
      </c>
      <c r="D30" t="b">
        <f>IF(OR(B30=0,'Input and Summary Results'!E13=0),FALSE,'Input and Summary Results'!$E13)</f>
        <v>0</v>
      </c>
      <c r="E30" t="b">
        <f t="shared" si="0"/>
        <v>0</v>
      </c>
      <c r="F30" t="b">
        <f t="shared" si="2"/>
        <v>0</v>
      </c>
      <c r="G30" t="b">
        <f>IF('Input and Summary Results'!$J$4="yes",IF(C30=FALSE,FALSE,IF(E30&lt;$R$10,'Data Transformation'!E30,$R$10)),IF(C30=FALSE,FALSE,IF('Data Transformation'!C30&lt;$R$10,C30,$R$10)))</f>
        <v>0</v>
      </c>
      <c r="H30" t="b">
        <f>IF('Input and Summary Results'!$J$4="yes",'Data Transformation'!F30,'Data Transformation'!D30)</f>
        <v>0</v>
      </c>
      <c r="Q30" t="s">
        <v>128</v>
      </c>
      <c r="R30">
        <f>IF(ISNUMBER('Input and Summary Results'!J39),'Input and Summary Results'!J39,'Input and Summary Results'!J40)</f>
        <v>0.64</v>
      </c>
    </row>
    <row r="31" spans="1:23">
      <c r="B31" t="b">
        <f>IF('Input and Summary Results'!D14="",FALSE,'Input and Summary Results'!$B14)</f>
        <v>0</v>
      </c>
      <c r="C31" t="b">
        <f>IF(OR(B31=0,'Input and Summary Results'!D14=0,'Input and Summary Results'!D14=""),FALSE,'Input and Summary Results'!$D14)</f>
        <v>0</v>
      </c>
      <c r="D31" t="b">
        <f>IF(OR(B31=0,'Input and Summary Results'!E14=0),FALSE,'Input and Summary Results'!$E14)</f>
        <v>0</v>
      </c>
      <c r="E31" t="b">
        <f t="shared" si="0"/>
        <v>0</v>
      </c>
      <c r="F31" t="b">
        <f t="shared" si="2"/>
        <v>0</v>
      </c>
      <c r="G31" t="b">
        <f>IF('Input and Summary Results'!$J$4="yes",IF(C31=FALSE,FALSE,IF(E31&lt;$R$10,'Data Transformation'!E31,$R$10)),IF(C31=FALSE,FALSE,IF('Data Transformation'!C31&lt;$R$10,C31,$R$10)))</f>
        <v>0</v>
      </c>
      <c r="H31" t="b">
        <f>IF('Input and Summary Results'!$J$4="yes",'Data Transformation'!F31,'Data Transformation'!D31)</f>
        <v>0</v>
      </c>
      <c r="Q31" t="s">
        <v>129</v>
      </c>
      <c r="R31">
        <f>IF(ISNUMBER('Input and Summary Results'!J30),'Input and Summary Results'!J30,'Input and Summary Results'!J31)</f>
        <v>0.8</v>
      </c>
    </row>
    <row r="32" spans="1:23">
      <c r="B32" t="b">
        <f>IF('Input and Summary Results'!D15="",FALSE,'Input and Summary Results'!$B15)</f>
        <v>0</v>
      </c>
      <c r="C32" t="b">
        <f>IF(OR(B32=0,'Input and Summary Results'!D15=0,'Input and Summary Results'!D15=""),FALSE,'Input and Summary Results'!$D15)</f>
        <v>0</v>
      </c>
      <c r="D32" t="b">
        <f>IF(OR(B32=0,'Input and Summary Results'!E15=0),FALSE,'Input and Summary Results'!$E15)</f>
        <v>0</v>
      </c>
      <c r="E32" t="b">
        <f t="shared" si="0"/>
        <v>0</v>
      </c>
      <c r="F32" t="b">
        <f t="shared" si="2"/>
        <v>0</v>
      </c>
      <c r="G32" t="b">
        <f>IF('Input and Summary Results'!$J$4="yes",IF(C32=FALSE,FALSE,IF(E32&lt;$R$10,'Data Transformation'!E32,$R$10)),IF(C32=FALSE,FALSE,IF('Data Transformation'!C32&lt;$R$10,C32,$R$10)))</f>
        <v>0</v>
      </c>
      <c r="H32" t="b">
        <f>IF('Input and Summary Results'!$J$4="yes",'Data Transformation'!F32,'Data Transformation'!D32)</f>
        <v>0</v>
      </c>
    </row>
    <row r="33" spans="2:8">
      <c r="B33" t="b">
        <f>IF('Input and Summary Results'!D16="",FALSE,'Input and Summary Results'!$B16)</f>
        <v>0</v>
      </c>
      <c r="C33" t="b">
        <f>IF(OR(B33=0,'Input and Summary Results'!D16=0,'Input and Summary Results'!D16=""),FALSE,'Input and Summary Results'!$D16)</f>
        <v>0</v>
      </c>
      <c r="D33" t="b">
        <f>IF(OR(B33=0,'Input and Summary Results'!E16=0),FALSE,'Input and Summary Results'!$E16)</f>
        <v>0</v>
      </c>
      <c r="E33" t="b">
        <f t="shared" si="0"/>
        <v>0</v>
      </c>
      <c r="F33" t="b">
        <f t="shared" si="2"/>
        <v>0</v>
      </c>
      <c r="G33" t="b">
        <f>IF('Input and Summary Results'!$J$4="yes",IF(C33=FALSE,FALSE,IF(E33&lt;$R$10,'Data Transformation'!E33,$R$10)),IF(C33=FALSE,FALSE,IF('Data Transformation'!C33&lt;$R$10,C33,$R$10)))</f>
        <v>0</v>
      </c>
      <c r="H33" t="b">
        <f>IF('Input and Summary Results'!$J$4="yes",'Data Transformation'!F33,'Data Transformation'!D33)</f>
        <v>0</v>
      </c>
    </row>
    <row r="34" spans="2:8">
      <c r="B34" t="b">
        <f>IF('Input and Summary Results'!D17="",FALSE,'Input and Summary Results'!$B17)</f>
        <v>0</v>
      </c>
      <c r="C34" t="b">
        <f>IF(OR(B34=0,'Input and Summary Results'!D17=0,'Input and Summary Results'!D17=""),FALSE,'Input and Summary Results'!$D17)</f>
        <v>0</v>
      </c>
      <c r="D34" t="b">
        <f>IF(OR(B34=0,'Input and Summary Results'!E17=0),FALSE,'Input and Summary Results'!$E17)</f>
        <v>0</v>
      </c>
      <c r="E34" t="b">
        <f t="shared" si="0"/>
        <v>0</v>
      </c>
      <c r="F34" t="b">
        <f t="shared" si="2"/>
        <v>0</v>
      </c>
      <c r="G34" t="b">
        <f>IF('Input and Summary Results'!$J$4="yes",IF(C34=FALSE,FALSE,IF(E34&lt;$R$10,'Data Transformation'!E34,$R$10)),IF(C34=FALSE,FALSE,IF('Data Transformation'!C34&lt;$R$10,C34,$R$10)))</f>
        <v>0</v>
      </c>
      <c r="H34" t="b">
        <f>IF('Input and Summary Results'!$J$4="yes",'Data Transformation'!F34,'Data Transformation'!D34)</f>
        <v>0</v>
      </c>
    </row>
    <row r="35" spans="2:8">
      <c r="B35" t="b">
        <f>IF('Input and Summary Results'!D18="",FALSE,'Input and Summary Results'!$B18)</f>
        <v>0</v>
      </c>
      <c r="C35" t="b">
        <f>IF(OR(B35=0,'Input and Summary Results'!D18=0,'Input and Summary Results'!D18=""),FALSE,'Input and Summary Results'!$D18)</f>
        <v>0</v>
      </c>
      <c r="D35" t="b">
        <f>IF(OR(B35=0,'Input and Summary Results'!E18=0),FALSE,'Input and Summary Results'!$E18)</f>
        <v>0</v>
      </c>
      <c r="E35" t="b">
        <f t="shared" si="0"/>
        <v>0</v>
      </c>
      <c r="F35" t="b">
        <f t="shared" si="2"/>
        <v>0</v>
      </c>
      <c r="G35" t="b">
        <f>IF('Input and Summary Results'!$J$4="yes",IF(C35=FALSE,FALSE,IF(E35&lt;$R$10,'Data Transformation'!E35,$R$10)),IF(C35=FALSE,FALSE,IF('Data Transformation'!C35&lt;$R$10,C35,$R$10)))</f>
        <v>0</v>
      </c>
      <c r="H35" t="b">
        <f>IF('Input and Summary Results'!$J$4="yes",'Data Transformation'!F35,'Data Transformation'!D35)</f>
        <v>0</v>
      </c>
    </row>
    <row r="36" spans="2:8">
      <c r="B36" t="b">
        <f>IF('Input and Summary Results'!D19="",FALSE,'Input and Summary Results'!$B19)</f>
        <v>0</v>
      </c>
      <c r="C36" t="b">
        <f>IF(OR(B36=0,'Input and Summary Results'!D19=0,'Input and Summary Results'!D19=""),FALSE,'Input and Summary Results'!$D19)</f>
        <v>0</v>
      </c>
      <c r="D36" t="b">
        <f>IF(OR(B36=0,'Input and Summary Results'!E19=0),FALSE,'Input and Summary Results'!$E19)</f>
        <v>0</v>
      </c>
      <c r="E36" t="b">
        <f t="shared" si="0"/>
        <v>0</v>
      </c>
      <c r="F36" t="b">
        <f t="shared" si="2"/>
        <v>0</v>
      </c>
      <c r="G36" t="b">
        <f>IF('Input and Summary Results'!$J$4="yes",IF(C36=FALSE,FALSE,IF(E36&lt;$R$10,'Data Transformation'!E36,$R$10)),IF(C36=FALSE,FALSE,IF('Data Transformation'!C36&lt;$R$10,C36,$R$10)))</f>
        <v>0</v>
      </c>
      <c r="H36" t="b">
        <f>IF('Input and Summary Results'!$J$4="yes",'Data Transformation'!F36,'Data Transformation'!D36)</f>
        <v>0</v>
      </c>
    </row>
    <row r="37" spans="2:8">
      <c r="B37" t="b">
        <f>IF('Input and Summary Results'!D20="",FALSE,'Input and Summary Results'!$B20)</f>
        <v>0</v>
      </c>
      <c r="C37" t="b">
        <f>IF(OR(B37=0,'Input and Summary Results'!D20=0,'Input and Summary Results'!D20=""),FALSE,'Input and Summary Results'!$D20)</f>
        <v>0</v>
      </c>
      <c r="D37" t="b">
        <f>IF(OR(B37=0,'Input and Summary Results'!E20=0),FALSE,'Input and Summary Results'!$E20)</f>
        <v>0</v>
      </c>
      <c r="E37" t="b">
        <f t="shared" si="0"/>
        <v>0</v>
      </c>
      <c r="F37" t="b">
        <f t="shared" si="2"/>
        <v>0</v>
      </c>
      <c r="G37" t="b">
        <f>IF('Input and Summary Results'!$J$4="yes",IF(C37=FALSE,FALSE,IF(E37&lt;$R$10,'Data Transformation'!E37,$R$10)),IF(C37=FALSE,FALSE,IF('Data Transformation'!C37&lt;$R$10,C37,$R$10)))</f>
        <v>0</v>
      </c>
      <c r="H37" t="b">
        <f>IF('Input and Summary Results'!$J$4="yes",'Data Transformation'!F37,'Data Transformation'!D37)</f>
        <v>0</v>
      </c>
    </row>
    <row r="38" spans="2:8">
      <c r="B38" t="b">
        <f>IF('Input and Summary Results'!D21="",FALSE,'Input and Summary Results'!$B21)</f>
        <v>0</v>
      </c>
      <c r="C38" t="b">
        <f>IF(OR(B38=0,'Input and Summary Results'!D21=0,'Input and Summary Results'!D21=""),FALSE,'Input and Summary Results'!$D21)</f>
        <v>0</v>
      </c>
      <c r="D38" t="b">
        <f>IF(OR(B38=0,'Input and Summary Results'!E21=0),FALSE,'Input and Summary Results'!$E21)</f>
        <v>0</v>
      </c>
      <c r="E38" t="b">
        <f t="shared" si="0"/>
        <v>0</v>
      </c>
      <c r="F38" t="b">
        <f t="shared" si="2"/>
        <v>0</v>
      </c>
      <c r="G38" t="b">
        <f>IF('Input and Summary Results'!$J$4="yes",IF(C38=FALSE,FALSE,IF(E38&lt;$R$10,'Data Transformation'!E38,$R$10)),IF(C38=FALSE,FALSE,IF('Data Transformation'!C38&lt;$R$10,C38,$R$10)))</f>
        <v>0</v>
      </c>
      <c r="H38" t="b">
        <f>IF('Input and Summary Results'!$J$4="yes",'Data Transformation'!F38,'Data Transformation'!D38)</f>
        <v>0</v>
      </c>
    </row>
    <row r="39" spans="2:8">
      <c r="B39" t="b">
        <f>IF('Input and Summary Results'!D22="",FALSE,'Input and Summary Results'!$B22)</f>
        <v>0</v>
      </c>
      <c r="C39" t="b">
        <f>IF(OR(B39=0,'Input and Summary Results'!D22=0,'Input and Summary Results'!D22=""),FALSE,'Input and Summary Results'!$D22)</f>
        <v>0</v>
      </c>
      <c r="D39" t="b">
        <f>IF(OR(B39=0,'Input and Summary Results'!E22=0),FALSE,'Input and Summary Results'!$E22)</f>
        <v>0</v>
      </c>
      <c r="E39" t="b">
        <f t="shared" si="0"/>
        <v>0</v>
      </c>
      <c r="F39" t="b">
        <f t="shared" si="2"/>
        <v>0</v>
      </c>
      <c r="G39" t="b">
        <f>IF('Input and Summary Results'!$J$4="yes",IF(C39=FALSE,FALSE,IF(E39&lt;$R$10,'Data Transformation'!E39,$R$10)),IF(C39=FALSE,FALSE,IF('Data Transformation'!C39&lt;$R$10,C39,$R$10)))</f>
        <v>0</v>
      </c>
      <c r="H39" t="b">
        <f>IF('Input and Summary Results'!$J$4="yes",'Data Transformation'!F39,'Data Transformation'!D39)</f>
        <v>0</v>
      </c>
    </row>
    <row r="40" spans="2:8">
      <c r="B40" t="b">
        <f>IF('Input and Summary Results'!D23="",FALSE,'Input and Summary Results'!$B23)</f>
        <v>0</v>
      </c>
      <c r="C40" t="b">
        <f>IF(OR(B40=0,'Input and Summary Results'!D23=0,'Input and Summary Results'!D23=""),FALSE,'Input and Summary Results'!$D23)</f>
        <v>0</v>
      </c>
      <c r="D40" t="b">
        <f>IF(OR(B40=0,'Input and Summary Results'!E23=0),FALSE,'Input and Summary Results'!$E23)</f>
        <v>0</v>
      </c>
      <c r="E40" t="b">
        <f t="shared" si="0"/>
        <v>0</v>
      </c>
      <c r="F40" t="b">
        <f t="shared" si="2"/>
        <v>0</v>
      </c>
      <c r="G40" t="b">
        <f>IF('Input and Summary Results'!$J$4="yes",IF(C40=FALSE,FALSE,IF(E40&lt;$R$10,'Data Transformation'!E40,$R$10)),IF(C40=FALSE,FALSE,IF('Data Transformation'!C40&lt;$R$10,C40,$R$10)))</f>
        <v>0</v>
      </c>
      <c r="H40" t="b">
        <f>IF('Input and Summary Results'!$J$4="yes",'Data Transformation'!F40,'Data Transformation'!D40)</f>
        <v>0</v>
      </c>
    </row>
    <row r="41" spans="2:8">
      <c r="B41" t="b">
        <f>IF('Input and Summary Results'!D24="",FALSE,'Input and Summary Results'!$B24)</f>
        <v>0</v>
      </c>
      <c r="C41" t="b">
        <f>IF(OR(B41=0,'Input and Summary Results'!D24=0,'Input and Summary Results'!D24=""),FALSE,'Input and Summary Results'!$D24)</f>
        <v>0</v>
      </c>
      <c r="D41" t="b">
        <f>IF(OR(B41=0,'Input and Summary Results'!E24=0),FALSE,'Input and Summary Results'!$E24)</f>
        <v>0</v>
      </c>
      <c r="E41" t="b">
        <f t="shared" si="0"/>
        <v>0</v>
      </c>
      <c r="F41" t="b">
        <f t="shared" si="2"/>
        <v>0</v>
      </c>
      <c r="G41" t="b">
        <f>IF('Input and Summary Results'!$J$4="yes",IF(C41=FALSE,FALSE,IF(E41&lt;$R$10,'Data Transformation'!E41,$R$10)),IF(C41=FALSE,FALSE,IF('Data Transformation'!C41&lt;$R$10,C41,$R$10)))</f>
        <v>0</v>
      </c>
      <c r="H41" t="b">
        <f>IF('Input and Summary Results'!$J$4="yes",'Data Transformation'!F41,'Data Transformation'!D41)</f>
        <v>0</v>
      </c>
    </row>
    <row r="42" spans="2:8">
      <c r="B42" t="b">
        <f>IF('Input and Summary Results'!D25="",FALSE,'Input and Summary Results'!$B25)</f>
        <v>0</v>
      </c>
      <c r="C42" t="b">
        <f>IF(OR(B42=0,'Input and Summary Results'!D25=0,'Input and Summary Results'!D25=""),FALSE,'Input and Summary Results'!$D25)</f>
        <v>0</v>
      </c>
      <c r="D42" t="b">
        <f>IF(OR(B42=0,'Input and Summary Results'!E25=0),FALSE,'Input and Summary Results'!$E25)</f>
        <v>0</v>
      </c>
      <c r="E42" t="b">
        <f t="shared" si="0"/>
        <v>0</v>
      </c>
      <c r="F42" t="b">
        <f t="shared" si="2"/>
        <v>0</v>
      </c>
      <c r="G42" t="b">
        <f>IF('Input and Summary Results'!$J$4="yes",IF(C42=FALSE,FALSE,IF(E42&lt;$R$10,'Data Transformation'!E42,$R$10)),IF(C42=FALSE,FALSE,IF('Data Transformation'!C42&lt;$R$10,C42,$R$10)))</f>
        <v>0</v>
      </c>
      <c r="H42" t="b">
        <f>IF('Input and Summary Results'!$J$4="yes",'Data Transformation'!F42,'Data Transformation'!D42)</f>
        <v>0</v>
      </c>
    </row>
    <row r="43" spans="2:8">
      <c r="B43" t="b">
        <f>IF('Input and Summary Results'!D26="",FALSE,'Input and Summary Results'!$B26)</f>
        <v>0</v>
      </c>
      <c r="C43" t="b">
        <f>IF(OR(B43=0,'Input and Summary Results'!D26=0,'Input and Summary Results'!D26=""),FALSE,'Input and Summary Results'!$D26)</f>
        <v>0</v>
      </c>
      <c r="D43" t="b">
        <f>IF(OR(B43=0,'Input and Summary Results'!E26=0),FALSE,'Input and Summary Results'!$E26)</f>
        <v>0</v>
      </c>
      <c r="E43" t="b">
        <f t="shared" si="0"/>
        <v>0</v>
      </c>
      <c r="F43" t="b">
        <f t="shared" si="2"/>
        <v>0</v>
      </c>
      <c r="G43" t="b">
        <f>IF('Input and Summary Results'!$J$4="yes",IF(C43=FALSE,FALSE,IF(E43&lt;$R$10,'Data Transformation'!E43,$R$10)),IF(C43=FALSE,FALSE,IF('Data Transformation'!C43&lt;$R$10,C43,$R$10)))</f>
        <v>0</v>
      </c>
      <c r="H43" t="b">
        <f>IF('Input and Summary Results'!$J$4="yes",'Data Transformation'!F43,'Data Transformation'!D43)</f>
        <v>0</v>
      </c>
    </row>
    <row r="44" spans="2:8">
      <c r="B44" t="b">
        <f>IF('Input and Summary Results'!D27="",FALSE,'Input and Summary Results'!$B27)</f>
        <v>0</v>
      </c>
      <c r="C44" t="b">
        <f>IF(OR(B44=0,'Input and Summary Results'!D27=0,'Input and Summary Results'!D27=""),FALSE,'Input and Summary Results'!$D27)</f>
        <v>0</v>
      </c>
      <c r="D44" t="b">
        <f>IF(OR(B44=0,'Input and Summary Results'!E27=0),FALSE,'Input and Summary Results'!$E27)</f>
        <v>0</v>
      </c>
      <c r="E44" t="b">
        <f t="shared" si="0"/>
        <v>0</v>
      </c>
      <c r="F44" t="b">
        <f t="shared" si="2"/>
        <v>0</v>
      </c>
      <c r="G44" t="b">
        <f>IF('Input and Summary Results'!$J$4="yes",IF(C44=FALSE,FALSE,IF(E44&lt;$R$10,'Data Transformation'!E44,$R$10)),IF(C44=FALSE,FALSE,IF('Data Transformation'!C44&lt;$R$10,C44,$R$10)))</f>
        <v>0</v>
      </c>
      <c r="H44" t="b">
        <f>IF('Input and Summary Results'!$J$4="yes",'Data Transformation'!F44,'Data Transformation'!D44)</f>
        <v>0</v>
      </c>
    </row>
    <row r="45" spans="2:8">
      <c r="B45" t="b">
        <f>IF('Input and Summary Results'!D28="",FALSE,'Input and Summary Results'!$B28)</f>
        <v>0</v>
      </c>
      <c r="C45" t="b">
        <f>IF(OR(B45=0,'Input and Summary Results'!D28=0,'Input and Summary Results'!D28=""),FALSE,'Input and Summary Results'!$D28)</f>
        <v>0</v>
      </c>
      <c r="D45" t="b">
        <f>IF(OR(B45=0,'Input and Summary Results'!E28=0),FALSE,'Input and Summary Results'!$E28)</f>
        <v>0</v>
      </c>
      <c r="E45" t="b">
        <f t="shared" si="0"/>
        <v>0</v>
      </c>
      <c r="F45" t="b">
        <f t="shared" si="2"/>
        <v>0</v>
      </c>
      <c r="G45" t="b">
        <f>IF('Input and Summary Results'!$J$4="yes",IF(C45=FALSE,FALSE,IF(E45&lt;$R$10,'Data Transformation'!E45,$R$10)),IF(C45=FALSE,FALSE,IF('Data Transformation'!C45&lt;$R$10,C45,$R$10)))</f>
        <v>0</v>
      </c>
      <c r="H45" t="b">
        <f>IF('Input and Summary Results'!$J$4="yes",'Data Transformation'!F45,'Data Transformation'!D45)</f>
        <v>0</v>
      </c>
    </row>
    <row r="46" spans="2:8">
      <c r="B46" t="b">
        <f>IF('Input and Summary Results'!D29="",FALSE,'Input and Summary Results'!$B29)</f>
        <v>0</v>
      </c>
      <c r="C46" t="b">
        <f>IF(OR(B46=0,'Input and Summary Results'!D29=0,'Input and Summary Results'!D29=""),FALSE,'Input and Summary Results'!$D29)</f>
        <v>0</v>
      </c>
      <c r="D46" t="b">
        <f>IF(OR(B46=0,'Input and Summary Results'!E29=0),FALSE,'Input and Summary Results'!$E29)</f>
        <v>0</v>
      </c>
      <c r="E46" t="b">
        <f t="shared" si="0"/>
        <v>0</v>
      </c>
      <c r="F46" t="b">
        <f t="shared" si="2"/>
        <v>0</v>
      </c>
      <c r="G46" t="b">
        <f>IF('Input and Summary Results'!$J$4="yes",IF(C46=FALSE,FALSE,IF(E46&lt;$R$10,'Data Transformation'!E46,$R$10)),IF(C46=FALSE,FALSE,IF('Data Transformation'!C46&lt;$R$10,C46,$R$10)))</f>
        <v>0</v>
      </c>
      <c r="H46" t="b">
        <f>IF('Input and Summary Results'!$J$4="yes",'Data Transformation'!F46,'Data Transformation'!D46)</f>
        <v>0</v>
      </c>
    </row>
    <row r="47" spans="2:8">
      <c r="B47" t="b">
        <f>IF('Input and Summary Results'!D30="",FALSE,'Input and Summary Results'!$B30)</f>
        <v>0</v>
      </c>
      <c r="C47" t="b">
        <f>IF(OR(B47=0,'Input and Summary Results'!D30=0,'Input and Summary Results'!D30=""),FALSE,'Input and Summary Results'!$D30)</f>
        <v>0</v>
      </c>
      <c r="D47" t="b">
        <f>IF(OR(B47=0,'Input and Summary Results'!E30=0),FALSE,'Input and Summary Results'!$E30)</f>
        <v>0</v>
      </c>
      <c r="E47" t="b">
        <f t="shared" si="0"/>
        <v>0</v>
      </c>
      <c r="F47" t="b">
        <f t="shared" si="2"/>
        <v>0</v>
      </c>
      <c r="G47" t="b">
        <f>IF('Input and Summary Results'!$J$4="yes",IF(C47=FALSE,FALSE,IF(E47&lt;$R$10,'Data Transformation'!E47,$R$10)),IF(C47=FALSE,FALSE,IF('Data Transformation'!C47&lt;$R$10,C47,$R$10)))</f>
        <v>0</v>
      </c>
      <c r="H47" t="b">
        <f>IF('Input and Summary Results'!$J$4="yes",'Data Transformation'!F47,'Data Transformation'!D47)</f>
        <v>0</v>
      </c>
    </row>
    <row r="48" spans="2:8">
      <c r="B48" t="b">
        <f>IF('Input and Summary Results'!D31="",FALSE,'Input and Summary Results'!$B31)</f>
        <v>0</v>
      </c>
      <c r="C48" t="b">
        <f>IF(OR(B48=0,'Input and Summary Results'!D31=0,'Input and Summary Results'!D31=""),FALSE,'Input and Summary Results'!$D31)</f>
        <v>0</v>
      </c>
      <c r="D48" t="b">
        <f>IF(OR(B48=0,'Input and Summary Results'!E31=0),FALSE,'Input and Summary Results'!$E31)</f>
        <v>0</v>
      </c>
      <c r="E48" t="b">
        <f t="shared" si="0"/>
        <v>0</v>
      </c>
      <c r="F48" t="b">
        <f t="shared" si="2"/>
        <v>0</v>
      </c>
      <c r="G48" t="b">
        <f>IF('Input and Summary Results'!$J$4="yes",IF(C48=FALSE,FALSE,IF(E48&lt;$R$10,'Data Transformation'!E48,$R$10)),IF(C48=FALSE,FALSE,IF('Data Transformation'!C48&lt;$R$10,C48,$R$10)))</f>
        <v>0</v>
      </c>
      <c r="H48" t="b">
        <f>IF('Input and Summary Results'!$J$4="yes",'Data Transformation'!F48,'Data Transformation'!D48)</f>
        <v>0</v>
      </c>
    </row>
    <row r="49" spans="2:8">
      <c r="B49" t="b">
        <f>IF('Input and Summary Results'!D32="",FALSE,'Input and Summary Results'!$B32)</f>
        <v>0</v>
      </c>
      <c r="C49" t="b">
        <f>IF(OR(B49=0,'Input and Summary Results'!D32=0,'Input and Summary Results'!D32=""),FALSE,'Input and Summary Results'!$D32)</f>
        <v>0</v>
      </c>
      <c r="D49" t="b">
        <f>IF(OR(B49=0,'Input and Summary Results'!E32=0),FALSE,'Input and Summary Results'!$E32)</f>
        <v>0</v>
      </c>
      <c r="E49" t="b">
        <f t="shared" si="0"/>
        <v>0</v>
      </c>
      <c r="F49" t="b">
        <f t="shared" si="2"/>
        <v>0</v>
      </c>
      <c r="G49" t="b">
        <f>IF('Input and Summary Results'!$J$4="yes",IF(C49=FALSE,FALSE,IF(E49&lt;$R$10,'Data Transformation'!E49,$R$10)),IF(C49=FALSE,FALSE,IF('Data Transformation'!C49&lt;$R$10,C49,$R$10)))</f>
        <v>0</v>
      </c>
      <c r="H49" t="b">
        <f>IF('Input and Summary Results'!$J$4="yes",'Data Transformation'!F49,'Data Transformation'!D49)</f>
        <v>0</v>
      </c>
    </row>
    <row r="50" spans="2:8">
      <c r="B50" t="b">
        <f>IF('Input and Summary Results'!D33="",FALSE,'Input and Summary Results'!$B33)</f>
        <v>0</v>
      </c>
      <c r="C50" t="b">
        <f>IF(OR(B50=0,'Input and Summary Results'!D33=0,'Input and Summary Results'!D33=""),FALSE,'Input and Summary Results'!$D33)</f>
        <v>0</v>
      </c>
      <c r="D50" t="b">
        <f>IF(OR(B50=0,'Input and Summary Results'!E33=0),FALSE,'Input and Summary Results'!$E33)</f>
        <v>0</v>
      </c>
      <c r="E50" t="b">
        <f t="shared" si="0"/>
        <v>0</v>
      </c>
      <c r="F50" t="b">
        <f t="shared" si="2"/>
        <v>0</v>
      </c>
      <c r="G50" t="b">
        <f>IF('Input and Summary Results'!$J$4="yes",IF(C50=FALSE,FALSE,IF(E50&lt;$R$10,'Data Transformation'!E50,$R$10)),IF(C50=FALSE,FALSE,IF('Data Transformation'!C50&lt;$R$10,C50,$R$10)))</f>
        <v>0</v>
      </c>
      <c r="H50" t="b">
        <f>IF('Input and Summary Results'!$J$4="yes",'Data Transformation'!F50,'Data Transformation'!D50)</f>
        <v>0</v>
      </c>
    </row>
    <row r="51" spans="2:8">
      <c r="B51" t="b">
        <f>IF('Input and Summary Results'!D34="",FALSE,'Input and Summary Results'!$B34)</f>
        <v>0</v>
      </c>
      <c r="C51" t="b">
        <f>IF(OR(B51=0,'Input and Summary Results'!D34=0,'Input and Summary Results'!D34=""),FALSE,'Input and Summary Results'!$D34)</f>
        <v>0</v>
      </c>
      <c r="D51" t="b">
        <f>IF(OR(B51=0,'Input and Summary Results'!E34=0),FALSE,'Input and Summary Results'!$E34)</f>
        <v>0</v>
      </c>
      <c r="E51" t="b">
        <f t="shared" si="0"/>
        <v>0</v>
      </c>
      <c r="F51" t="b">
        <f t="shared" si="2"/>
        <v>0</v>
      </c>
      <c r="G51" t="b">
        <f>IF('Input and Summary Results'!$J$4="yes",IF(C51=FALSE,FALSE,IF(E51&lt;$R$10,'Data Transformation'!E51,$R$10)),IF(C51=FALSE,FALSE,IF('Data Transformation'!C51&lt;$R$10,C51,$R$10)))</f>
        <v>0</v>
      </c>
      <c r="H51" t="b">
        <f>IF('Input and Summary Results'!$J$4="yes",'Data Transformation'!F51,'Data Transformation'!D51)</f>
        <v>0</v>
      </c>
    </row>
    <row r="52" spans="2:8">
      <c r="B52" t="b">
        <f>IF('Input and Summary Results'!D35="",FALSE,'Input and Summary Results'!$B35)</f>
        <v>0</v>
      </c>
      <c r="C52" t="b">
        <f>IF(OR(B52=0,'Input and Summary Results'!D35=0,'Input and Summary Results'!D35=""),FALSE,'Input and Summary Results'!$D35)</f>
        <v>0</v>
      </c>
      <c r="D52" t="b">
        <f>IF(OR(B52=0,'Input and Summary Results'!E35=0),FALSE,'Input and Summary Results'!$E35)</f>
        <v>0</v>
      </c>
      <c r="E52" t="b">
        <f t="shared" si="0"/>
        <v>0</v>
      </c>
      <c r="F52" t="b">
        <f t="shared" si="2"/>
        <v>0</v>
      </c>
      <c r="G52" t="b">
        <f>IF('Input and Summary Results'!$J$4="yes",IF(C52=FALSE,FALSE,IF(E52&lt;$R$10,'Data Transformation'!E52,$R$10)),IF(C52=FALSE,FALSE,IF('Data Transformation'!C52&lt;$R$10,C52,$R$10)))</f>
        <v>0</v>
      </c>
      <c r="H52" t="b">
        <f>IF('Input and Summary Results'!$J$4="yes",'Data Transformation'!F52,'Data Transformation'!D52)</f>
        <v>0</v>
      </c>
    </row>
    <row r="53" spans="2:8">
      <c r="B53" t="b">
        <f>IF('Input and Summary Results'!D36="",FALSE,'Input and Summary Results'!$B36)</f>
        <v>0</v>
      </c>
      <c r="C53" t="b">
        <f>IF(OR(B53=0,'Input and Summary Results'!D36=0,'Input and Summary Results'!D36=""),FALSE,'Input and Summary Results'!$D36)</f>
        <v>0</v>
      </c>
      <c r="D53" t="b">
        <f>IF(OR(B53=0,'Input and Summary Results'!E36=0),FALSE,'Input and Summary Results'!$E36)</f>
        <v>0</v>
      </c>
      <c r="E53" t="b">
        <f t="shared" si="0"/>
        <v>0</v>
      </c>
      <c r="F53" t="b">
        <f t="shared" si="2"/>
        <v>0</v>
      </c>
      <c r="G53" t="b">
        <f>IF('Input and Summary Results'!$J$4="yes",IF(C53=FALSE,FALSE,IF(E53&lt;$R$10,'Data Transformation'!E53,$R$10)),IF(C53=FALSE,FALSE,IF('Data Transformation'!C53&lt;$R$10,C53,$R$10)))</f>
        <v>0</v>
      </c>
      <c r="H53" t="b">
        <f>IF('Input and Summary Results'!$J$4="yes",'Data Transformation'!F53,'Data Transformation'!D53)</f>
        <v>0</v>
      </c>
    </row>
    <row r="54" spans="2:8">
      <c r="B54" t="b">
        <f>IF('Input and Summary Results'!D37="",FALSE,'Input and Summary Results'!$B37)</f>
        <v>0</v>
      </c>
      <c r="C54" t="b">
        <f>IF(OR(B54=0,'Input and Summary Results'!D37=0,'Input and Summary Results'!D37=""),FALSE,'Input and Summary Results'!$D37)</f>
        <v>0</v>
      </c>
      <c r="D54" t="b">
        <f>IF(OR(B54=0,'Input and Summary Results'!E37=0),FALSE,'Input and Summary Results'!$E37)</f>
        <v>0</v>
      </c>
      <c r="E54" t="b">
        <f t="shared" si="0"/>
        <v>0</v>
      </c>
      <c r="F54" t="b">
        <f t="shared" si="2"/>
        <v>0</v>
      </c>
      <c r="G54" t="b">
        <f>IF('Input and Summary Results'!$J$4="yes",IF(C54=FALSE,FALSE,IF(E54&lt;$R$10,'Data Transformation'!E54,$R$10)),IF(C54=FALSE,FALSE,IF('Data Transformation'!C54&lt;$R$10,C54,$R$10)))</f>
        <v>0</v>
      </c>
      <c r="H54" t="b">
        <f>IF('Input and Summary Results'!$J$4="yes",'Data Transformation'!F54,'Data Transformation'!D54)</f>
        <v>0</v>
      </c>
    </row>
    <row r="55" spans="2:8">
      <c r="B55" t="b">
        <f>IF('Input and Summary Results'!D38="",FALSE,'Input and Summary Results'!$B38)</f>
        <v>0</v>
      </c>
      <c r="C55" t="b">
        <f>IF(OR(B55=0,'Input and Summary Results'!D38=0,'Input and Summary Results'!D38=""),FALSE,'Input and Summary Results'!$D38)</f>
        <v>0</v>
      </c>
      <c r="D55" t="b">
        <f>IF(OR(B55=0,'Input and Summary Results'!E38=0),FALSE,'Input and Summary Results'!$E38)</f>
        <v>0</v>
      </c>
      <c r="E55" t="b">
        <f t="shared" si="0"/>
        <v>0</v>
      </c>
      <c r="F55" t="b">
        <f t="shared" si="2"/>
        <v>0</v>
      </c>
      <c r="G55" t="b">
        <f>IF('Input and Summary Results'!$J$4="yes",IF(C55=FALSE,FALSE,IF(E55&lt;$R$10,'Data Transformation'!E55,$R$10)),IF(C55=FALSE,FALSE,IF('Data Transformation'!C55&lt;$R$10,C55,$R$10)))</f>
        <v>0</v>
      </c>
      <c r="H55" t="b">
        <f>IF('Input and Summary Results'!$J$4="yes",'Data Transformation'!F55,'Data Transformation'!D55)</f>
        <v>0</v>
      </c>
    </row>
    <row r="56" spans="2:8">
      <c r="B56" t="b">
        <f>IF('Input and Summary Results'!D39="",FALSE,'Input and Summary Results'!$B39)</f>
        <v>0</v>
      </c>
      <c r="C56" t="b">
        <f>IF(OR(B56=0,'Input and Summary Results'!D39=0,'Input and Summary Results'!D39=""),FALSE,'Input and Summary Results'!$D39)</f>
        <v>0</v>
      </c>
      <c r="D56" t="b">
        <f>IF(OR(B56=0,'Input and Summary Results'!E39=0),FALSE,'Input and Summary Results'!$E39)</f>
        <v>0</v>
      </c>
      <c r="E56" t="b">
        <f t="shared" si="0"/>
        <v>0</v>
      </c>
      <c r="F56" t="b">
        <f t="shared" si="2"/>
        <v>0</v>
      </c>
      <c r="G56" t="b">
        <f>IF('Input and Summary Results'!$J$4="yes",IF(C56=FALSE,FALSE,IF(E56&lt;$R$10,'Data Transformation'!E56,$R$10)),IF(C56=FALSE,FALSE,IF('Data Transformation'!C56&lt;$R$10,C56,$R$10)))</f>
        <v>0</v>
      </c>
      <c r="H56" t="b">
        <f>IF('Input and Summary Results'!$J$4="yes",'Data Transformation'!F56,'Data Transformation'!D56)</f>
        <v>0</v>
      </c>
    </row>
    <row r="57" spans="2:8">
      <c r="B57" t="b">
        <f>IF('Input and Summary Results'!D40="",FALSE,'Input and Summary Results'!$B40)</f>
        <v>0</v>
      </c>
      <c r="C57" t="b">
        <f>IF(OR(B57=0,'Input and Summary Results'!D40=0,'Input and Summary Results'!D40=""),FALSE,'Input and Summary Results'!$D40)</f>
        <v>0</v>
      </c>
      <c r="D57" t="b">
        <f>IF(OR(B57=0,'Input and Summary Results'!E40=0),FALSE,'Input and Summary Results'!$E40)</f>
        <v>0</v>
      </c>
      <c r="E57" t="b">
        <f t="shared" si="0"/>
        <v>0</v>
      </c>
      <c r="F57" t="b">
        <f t="shared" si="2"/>
        <v>0</v>
      </c>
      <c r="G57" t="b">
        <f>IF('Input and Summary Results'!$J$4="yes",IF(C57=FALSE,FALSE,IF(E57&lt;$R$10,'Data Transformation'!E57,$R$10)),IF(C57=FALSE,FALSE,IF('Data Transformation'!C57&lt;$R$10,C57,$R$10)))</f>
        <v>0</v>
      </c>
      <c r="H57" t="b">
        <f>IF('Input and Summary Results'!$J$4="yes",'Data Transformation'!F57,'Data Transformation'!D57)</f>
        <v>0</v>
      </c>
    </row>
    <row r="58" spans="2:8">
      <c r="B58" t="b">
        <f>IF('Input and Summary Results'!D41="",FALSE,'Input and Summary Results'!$B41)</f>
        <v>0</v>
      </c>
      <c r="C58" t="b">
        <f>IF(OR(B58=0,'Input and Summary Results'!D41=0,'Input and Summary Results'!D41=""),FALSE,'Input and Summary Results'!$D41)</f>
        <v>0</v>
      </c>
      <c r="D58" t="b">
        <f>IF(OR(B58=0,'Input and Summary Results'!E41=0),FALSE,'Input and Summary Results'!$E41)</f>
        <v>0</v>
      </c>
      <c r="E58" t="b">
        <f t="shared" si="0"/>
        <v>0</v>
      </c>
      <c r="F58" t="b">
        <f t="shared" si="2"/>
        <v>0</v>
      </c>
      <c r="G58" t="b">
        <f>IF('Input and Summary Results'!$J$4="yes",IF(C58=FALSE,FALSE,IF(E58&lt;$R$10,'Data Transformation'!E58,$R$10)),IF(C58=FALSE,FALSE,IF('Data Transformation'!C58&lt;$R$10,C58,$R$10)))</f>
        <v>0</v>
      </c>
      <c r="H58" t="b">
        <f>IF('Input and Summary Results'!$J$4="yes",'Data Transformation'!F58,'Data Transformation'!D58)</f>
        <v>0</v>
      </c>
    </row>
    <row r="59" spans="2:8">
      <c r="B59" t="b">
        <f>IF('Input and Summary Results'!D42="",FALSE,'Input and Summary Results'!$B42)</f>
        <v>0</v>
      </c>
      <c r="C59" t="b">
        <f>IF(OR(B59=0,'Input and Summary Results'!D42=0,'Input and Summary Results'!D42=""),FALSE,'Input and Summary Results'!$D42)</f>
        <v>0</v>
      </c>
      <c r="D59" t="b">
        <f>IF(OR(B59=0,'Input and Summary Results'!E42=0),FALSE,'Input and Summary Results'!$E42)</f>
        <v>0</v>
      </c>
      <c r="E59" t="b">
        <f t="shared" si="0"/>
        <v>0</v>
      </c>
      <c r="F59" t="b">
        <f t="shared" si="2"/>
        <v>0</v>
      </c>
      <c r="G59" t="b">
        <f>IF('Input and Summary Results'!$J$4="yes",IF(C59=FALSE,FALSE,IF(E59&lt;$R$10,'Data Transformation'!E59,$R$10)),IF(C59=FALSE,FALSE,IF('Data Transformation'!C59&lt;$R$10,C59,$R$10)))</f>
        <v>0</v>
      </c>
      <c r="H59" t="b">
        <f>IF('Input and Summary Results'!$J$4="yes",'Data Transformation'!F59,'Data Transformation'!D59)</f>
        <v>0</v>
      </c>
    </row>
    <row r="60" spans="2:8">
      <c r="B60" t="b">
        <f>IF('Input and Summary Results'!D43="",FALSE,'Input and Summary Results'!$B43)</f>
        <v>0</v>
      </c>
      <c r="C60" t="b">
        <f>IF(OR(B60=0,'Input and Summary Results'!D43=0,'Input and Summary Results'!D43=""),FALSE,'Input and Summary Results'!$D43)</f>
        <v>0</v>
      </c>
      <c r="D60" t="b">
        <f>IF(OR(B60=0,'Input and Summary Results'!E43=0),FALSE,'Input and Summary Results'!$E43)</f>
        <v>0</v>
      </c>
      <c r="E60" t="b">
        <f t="shared" si="0"/>
        <v>0</v>
      </c>
      <c r="F60" t="b">
        <f t="shared" si="2"/>
        <v>0</v>
      </c>
      <c r="G60" t="b">
        <f>IF('Input and Summary Results'!$J$4="yes",IF(C60=FALSE,FALSE,IF(E60&lt;$R$10,'Data Transformation'!E60,$R$10)),IF(C60=FALSE,FALSE,IF('Data Transformation'!C60&lt;$R$10,C60,$R$10)))</f>
        <v>0</v>
      </c>
      <c r="H60" t="b">
        <f>IF('Input and Summary Results'!$J$4="yes",'Data Transformation'!F60,'Data Transformation'!D60)</f>
        <v>0</v>
      </c>
    </row>
    <row r="61" spans="2:8">
      <c r="B61" t="b">
        <f>IF('Input and Summary Results'!D44="",FALSE,'Input and Summary Results'!$B44)</f>
        <v>0</v>
      </c>
      <c r="C61" t="b">
        <f>IF(OR(B61=0,'Input and Summary Results'!D44=0,'Input and Summary Results'!D44=""),FALSE,'Input and Summary Results'!$D44)</f>
        <v>0</v>
      </c>
      <c r="D61" t="b">
        <f>IF(OR(B61=0,'Input and Summary Results'!E44=0),FALSE,'Input and Summary Results'!$E44)</f>
        <v>0</v>
      </c>
      <c r="E61" t="b">
        <f t="shared" si="0"/>
        <v>0</v>
      </c>
      <c r="F61" t="b">
        <f t="shared" si="2"/>
        <v>0</v>
      </c>
      <c r="G61" t="b">
        <f>IF('Input and Summary Results'!$J$4="yes",IF(C61=FALSE,FALSE,IF(E61&lt;$R$10,'Data Transformation'!E61,$R$10)),IF(C61=FALSE,FALSE,IF('Data Transformation'!C61&lt;$R$10,C61,$R$10)))</f>
        <v>0</v>
      </c>
      <c r="H61" t="b">
        <f>IF('Input and Summary Results'!$J$4="yes",'Data Transformation'!F61,'Data Transformation'!D61)</f>
        <v>0</v>
      </c>
    </row>
    <row r="62" spans="2:8">
      <c r="B62" t="b">
        <f>IF('Input and Summary Results'!D45="",FALSE,'Input and Summary Results'!$B45)</f>
        <v>0</v>
      </c>
      <c r="C62" t="b">
        <f>IF(OR(B62=0,'Input and Summary Results'!D45=0,'Input and Summary Results'!D45=""),FALSE,'Input and Summary Results'!$D45)</f>
        <v>0</v>
      </c>
      <c r="D62" t="b">
        <f>IF(OR(B62=0,'Input and Summary Results'!E45=0),FALSE,'Input and Summary Results'!$E45)</f>
        <v>0</v>
      </c>
      <c r="E62" t="b">
        <f t="shared" si="0"/>
        <v>0</v>
      </c>
      <c r="F62" t="b">
        <f t="shared" si="2"/>
        <v>0</v>
      </c>
      <c r="G62" t="b">
        <f>IF('Input and Summary Results'!$J$4="yes",IF(C62=FALSE,FALSE,IF(E62&lt;$R$10,'Data Transformation'!E62,$R$10)),IF(C62=FALSE,FALSE,IF('Data Transformation'!C62&lt;$R$10,C62,$R$10)))</f>
        <v>0</v>
      </c>
      <c r="H62" t="b">
        <f>IF('Input and Summary Results'!$J$4="yes",'Data Transformation'!F62,'Data Transformation'!D62)</f>
        <v>0</v>
      </c>
    </row>
    <row r="63" spans="2:8">
      <c r="B63" t="b">
        <f>IF('Input and Summary Results'!D46="",FALSE,'Input and Summary Results'!$B46)</f>
        <v>0</v>
      </c>
      <c r="C63" t="b">
        <f>IF(OR(B63=0,'Input and Summary Results'!D46=0,'Input and Summary Results'!D46=""),FALSE,'Input and Summary Results'!$D46)</f>
        <v>0</v>
      </c>
      <c r="D63" t="b">
        <f>IF(OR(B63=0,'Input and Summary Results'!E46=0),FALSE,'Input and Summary Results'!$E46)</f>
        <v>0</v>
      </c>
      <c r="E63" t="b">
        <f t="shared" si="0"/>
        <v>0</v>
      </c>
      <c r="F63" t="b">
        <f t="shared" si="2"/>
        <v>0</v>
      </c>
      <c r="G63" t="b">
        <f>IF('Input and Summary Results'!$J$4="yes",IF(C63=FALSE,FALSE,IF(E63&lt;$R$10,'Data Transformation'!E63,$R$10)),IF(C63=FALSE,FALSE,IF('Data Transformation'!C63&lt;$R$10,C63,$R$10)))</f>
        <v>0</v>
      </c>
      <c r="H63" t="b">
        <f>IF('Input and Summary Results'!$J$4="yes",'Data Transformation'!F63,'Data Transformation'!D63)</f>
        <v>0</v>
      </c>
    </row>
    <row r="64" spans="2:8">
      <c r="B64" t="b">
        <f>IF('Input and Summary Results'!D47="",FALSE,'Input and Summary Results'!$B47)</f>
        <v>0</v>
      </c>
      <c r="C64" t="b">
        <f>IF(OR(B64=0,'Input and Summary Results'!D47=0,'Input and Summary Results'!D47=""),FALSE,'Input and Summary Results'!$D47)</f>
        <v>0</v>
      </c>
      <c r="D64" t="b">
        <f>IF(OR(B64=0,'Input and Summary Results'!E47=0),FALSE,'Input and Summary Results'!$E47)</f>
        <v>0</v>
      </c>
      <c r="E64" t="b">
        <f t="shared" si="0"/>
        <v>0</v>
      </c>
      <c r="F64" t="b">
        <f t="shared" si="2"/>
        <v>0</v>
      </c>
      <c r="G64" t="b">
        <f>IF('Input and Summary Results'!$J$4="yes",IF(C64=FALSE,FALSE,IF(E64&lt;$R$10,'Data Transformation'!E64,$R$10)),IF(C64=FALSE,FALSE,IF('Data Transformation'!C64&lt;$R$10,C64,$R$10)))</f>
        <v>0</v>
      </c>
      <c r="H64" t="b">
        <f>IF('Input and Summary Results'!$J$4="yes",'Data Transformation'!F64,'Data Transformation'!D64)</f>
        <v>0</v>
      </c>
    </row>
    <row r="65" spans="2:8">
      <c r="B65" t="b">
        <f>IF('Input and Summary Results'!D48="",FALSE,'Input and Summary Results'!$B48)</f>
        <v>0</v>
      </c>
      <c r="C65" t="b">
        <f>IF(OR(B65=0,'Input and Summary Results'!D48=0,'Input and Summary Results'!D48=""),FALSE,'Input and Summary Results'!$D48)</f>
        <v>0</v>
      </c>
      <c r="D65" t="b">
        <f>IF(OR(B65=0,'Input and Summary Results'!E48=0),FALSE,'Input and Summary Results'!$E48)</f>
        <v>0</v>
      </c>
      <c r="E65" t="b">
        <f t="shared" si="0"/>
        <v>0</v>
      </c>
      <c r="F65" t="b">
        <f t="shared" si="2"/>
        <v>0</v>
      </c>
      <c r="G65" t="b">
        <f>IF('Input and Summary Results'!$J$4="yes",IF(C65=FALSE,FALSE,IF(E65&lt;$R$10,'Data Transformation'!E65,$R$10)),IF(C65=FALSE,FALSE,IF('Data Transformation'!C65&lt;$R$10,C65,$R$10)))</f>
        <v>0</v>
      </c>
      <c r="H65" t="b">
        <f>IF('Input and Summary Results'!$J$4="yes",'Data Transformation'!F65,'Data Transformation'!D65)</f>
        <v>0</v>
      </c>
    </row>
    <row r="66" spans="2:8">
      <c r="B66" t="b">
        <f>IF('Input and Summary Results'!D49="",FALSE,'Input and Summary Results'!$B49)</f>
        <v>0</v>
      </c>
      <c r="C66" t="b">
        <f>IF(OR(B66=0,'Input and Summary Results'!D49=0,'Input and Summary Results'!D49=""),FALSE,'Input and Summary Results'!$D49)</f>
        <v>0</v>
      </c>
      <c r="D66" t="b">
        <f>IF(OR(B66=0,'Input and Summary Results'!E49=0),FALSE,'Input and Summary Results'!$E49)</f>
        <v>0</v>
      </c>
      <c r="E66" t="b">
        <f t="shared" si="0"/>
        <v>0</v>
      </c>
      <c r="F66" t="b">
        <f t="shared" si="2"/>
        <v>0</v>
      </c>
      <c r="G66" t="b">
        <f>IF('Input and Summary Results'!$J$4="yes",IF(C66=FALSE,FALSE,IF(E66&lt;$R$10,'Data Transformation'!E66,$R$10)),IF(C66=FALSE,FALSE,IF('Data Transformation'!C66&lt;$R$10,C66,$R$10)))</f>
        <v>0</v>
      </c>
      <c r="H66" t="b">
        <f>IF('Input and Summary Results'!$J$4="yes",'Data Transformation'!F66,'Data Transformation'!D66)</f>
        <v>0</v>
      </c>
    </row>
    <row r="67" spans="2:8">
      <c r="B67" t="b">
        <f>IF('Input and Summary Results'!D50="",FALSE,'Input and Summary Results'!$B50)</f>
        <v>0</v>
      </c>
      <c r="C67" t="b">
        <f>IF(OR(B67=0,'Input and Summary Results'!D50=0,'Input and Summary Results'!D50=""),FALSE,'Input and Summary Results'!$D50)</f>
        <v>0</v>
      </c>
      <c r="D67" t="b">
        <f>IF(OR(B67=0,'Input and Summary Results'!E50=0),FALSE,'Input and Summary Results'!$E50)</f>
        <v>0</v>
      </c>
      <c r="E67" t="b">
        <f t="shared" si="0"/>
        <v>0</v>
      </c>
      <c r="F67" t="b">
        <f t="shared" si="2"/>
        <v>0</v>
      </c>
      <c r="G67" t="b">
        <f>IF('Input and Summary Results'!$J$4="yes",IF(C67=FALSE,FALSE,IF(E67&lt;$R$10,'Data Transformation'!E67,$R$10)),IF(C67=FALSE,FALSE,IF('Data Transformation'!C67&lt;$R$10,C67,$R$10)))</f>
        <v>0</v>
      </c>
      <c r="H67" t="b">
        <f>IF('Input and Summary Results'!$J$4="yes",'Data Transformation'!F67,'Data Transformation'!D67)</f>
        <v>0</v>
      </c>
    </row>
    <row r="68" spans="2:8">
      <c r="B68" t="b">
        <f>IF('Input and Summary Results'!D51="",FALSE,'Input and Summary Results'!$B51)</f>
        <v>0</v>
      </c>
      <c r="C68" t="b">
        <f>IF(OR(B68=0,'Input and Summary Results'!D51=0,'Input and Summary Results'!D51=""),FALSE,'Input and Summary Results'!$D51)</f>
        <v>0</v>
      </c>
      <c r="D68" t="b">
        <f>IF(OR(B68=0,'Input and Summary Results'!E51=0),FALSE,'Input and Summary Results'!$E51)</f>
        <v>0</v>
      </c>
      <c r="E68" t="b">
        <f t="shared" ref="E68:E131" si="6">IF(C68=FALSE,FALSE,LOG10(C68))</f>
        <v>0</v>
      </c>
      <c r="F68" t="b">
        <f t="shared" ref="F68:F131" si="7">IF(D68=FALSE, FALSE,0.434*D68/C68)</f>
        <v>0</v>
      </c>
      <c r="G68" t="b">
        <f>IF('Input and Summary Results'!$J$4="yes",IF(C68=FALSE,FALSE,IF(E68&lt;$R$10,'Data Transformation'!E68,$R$10)),IF(C68=FALSE,FALSE,IF('Data Transformation'!C68&lt;$R$10,C68,$R$10)))</f>
        <v>0</v>
      </c>
      <c r="H68" t="b">
        <f>IF('Input and Summary Results'!$J$4="yes",'Data Transformation'!F68,'Data Transformation'!D68)</f>
        <v>0</v>
      </c>
    </row>
    <row r="69" spans="2:8">
      <c r="B69" t="b">
        <f>IF('Input and Summary Results'!D52="",FALSE,'Input and Summary Results'!$B52)</f>
        <v>0</v>
      </c>
      <c r="C69" t="b">
        <f>IF(OR(B69=0,'Input and Summary Results'!D52=0,'Input and Summary Results'!D52=""),FALSE,'Input and Summary Results'!$D52)</f>
        <v>0</v>
      </c>
      <c r="D69" t="b">
        <f>IF(OR(B69=0,'Input and Summary Results'!E52=0),FALSE,'Input and Summary Results'!$E52)</f>
        <v>0</v>
      </c>
      <c r="E69" t="b">
        <f t="shared" si="6"/>
        <v>0</v>
      </c>
      <c r="F69" t="b">
        <f t="shared" si="7"/>
        <v>0</v>
      </c>
      <c r="G69" t="b">
        <f>IF('Input and Summary Results'!$J$4="yes",IF(C69=FALSE,FALSE,IF(E69&lt;$R$10,'Data Transformation'!E69,$R$10)),IF(C69=FALSE,FALSE,IF('Data Transformation'!C69&lt;$R$10,C69,$R$10)))</f>
        <v>0</v>
      </c>
      <c r="H69" t="b">
        <f>IF('Input and Summary Results'!$J$4="yes",'Data Transformation'!F69,'Data Transformation'!D69)</f>
        <v>0</v>
      </c>
    </row>
    <row r="70" spans="2:8">
      <c r="B70" t="b">
        <f>IF('Input and Summary Results'!D53="",FALSE,'Input and Summary Results'!$B53)</f>
        <v>0</v>
      </c>
      <c r="C70" t="b">
        <f>IF(OR(B70=0,'Input and Summary Results'!D53=0,'Input and Summary Results'!D53=""),FALSE,'Input and Summary Results'!$D53)</f>
        <v>0</v>
      </c>
      <c r="D70" t="b">
        <f>IF(OR(B70=0,'Input and Summary Results'!E53=0),FALSE,'Input and Summary Results'!$E53)</f>
        <v>0</v>
      </c>
      <c r="E70" t="b">
        <f t="shared" si="6"/>
        <v>0</v>
      </c>
      <c r="F70" t="b">
        <f t="shared" si="7"/>
        <v>0</v>
      </c>
      <c r="G70" t="b">
        <f>IF('Input and Summary Results'!$J$4="yes",IF(C70=FALSE,FALSE,IF(E70&lt;$R$10,'Data Transformation'!E70,$R$10)),IF(C70=FALSE,FALSE,IF('Data Transformation'!C70&lt;$R$10,C70,$R$10)))</f>
        <v>0</v>
      </c>
      <c r="H70" t="b">
        <f>IF('Input and Summary Results'!$J$4="yes",'Data Transformation'!F70,'Data Transformation'!D70)</f>
        <v>0</v>
      </c>
    </row>
    <row r="71" spans="2:8">
      <c r="B71" t="b">
        <f>IF('Input and Summary Results'!D54="",FALSE,'Input and Summary Results'!$B54)</f>
        <v>0</v>
      </c>
      <c r="C71" t="b">
        <f>IF(OR(B71=0,'Input and Summary Results'!D54=0,'Input and Summary Results'!D54=""),FALSE,'Input and Summary Results'!$D54)</f>
        <v>0</v>
      </c>
      <c r="D71" t="b">
        <f>IF(OR(B71=0,'Input and Summary Results'!E54=0),FALSE,'Input and Summary Results'!$E54)</f>
        <v>0</v>
      </c>
      <c r="E71" t="b">
        <f t="shared" si="6"/>
        <v>0</v>
      </c>
      <c r="F71" t="b">
        <f t="shared" si="7"/>
        <v>0</v>
      </c>
      <c r="G71" t="b">
        <f>IF('Input and Summary Results'!$J$4="yes",IF(C71=FALSE,FALSE,IF(E71&lt;$R$10,'Data Transformation'!E71,$R$10)),IF(C71=FALSE,FALSE,IF('Data Transformation'!C71&lt;$R$10,C71,$R$10)))</f>
        <v>0</v>
      </c>
      <c r="H71" t="b">
        <f>IF('Input and Summary Results'!$J$4="yes",'Data Transformation'!F71,'Data Transformation'!D71)</f>
        <v>0</v>
      </c>
    </row>
    <row r="72" spans="2:8">
      <c r="B72" t="b">
        <f>IF('Input and Summary Results'!D55="",FALSE,'Input and Summary Results'!$B55)</f>
        <v>0</v>
      </c>
      <c r="C72" t="b">
        <f>IF(OR(B72=0,'Input and Summary Results'!D55=0,'Input and Summary Results'!D55=""),FALSE,'Input and Summary Results'!$D55)</f>
        <v>0</v>
      </c>
      <c r="D72" t="b">
        <f>IF(OR(B72=0,'Input and Summary Results'!E55=0),FALSE,'Input and Summary Results'!$E55)</f>
        <v>0</v>
      </c>
      <c r="E72" t="b">
        <f t="shared" si="6"/>
        <v>0</v>
      </c>
      <c r="F72" t="b">
        <f t="shared" si="7"/>
        <v>0</v>
      </c>
      <c r="G72" t="b">
        <f>IF('Input and Summary Results'!$J$4="yes",IF(C72=FALSE,FALSE,IF(E72&lt;$R$10,'Data Transformation'!E72,$R$10)),IF(C72=FALSE,FALSE,IF('Data Transformation'!C72&lt;$R$10,C72,$R$10)))</f>
        <v>0</v>
      </c>
      <c r="H72" t="b">
        <f>IF('Input and Summary Results'!$J$4="yes",'Data Transformation'!F72,'Data Transformation'!D72)</f>
        <v>0</v>
      </c>
    </row>
    <row r="73" spans="2:8">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t="e">
        <f>IF('Input and Summary Results'!$J$4="yes",'Data Transformation'!F178,'Data Transformation'!D178)</f>
        <v>#DIV/0!</v>
      </c>
    </row>
    <row r="179" spans="2:8">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75"/>
  <cols>
    <col min="1" max="1" width="17" customWidth="1"/>
    <col min="2" max="2" width="12.625" bestFit="1" customWidth="1"/>
    <col min="3" max="3" width="19.625" bestFit="1" customWidth="1"/>
    <col min="4" max="4" width="5" customWidth="1"/>
    <col min="5" max="5" width="5.625" customWidth="1"/>
    <col min="6" max="6" width="4.625" customWidth="1"/>
    <col min="7" max="7" width="6.875" customWidth="1"/>
    <col min="11" max="11" width="13" bestFit="1" customWidth="1"/>
    <col min="12" max="12" width="4.125" customWidth="1"/>
    <col min="13" max="13" width="6.875" customWidth="1"/>
    <col min="14" max="14" width="9" customWidth="1"/>
    <col min="16" max="16" width="10.875" customWidth="1"/>
    <col min="17" max="17" width="22" bestFit="1" customWidth="1"/>
  </cols>
  <sheetData>
    <row r="1" spans="1:22" ht="63">
      <c r="A1" s="44" t="s">
        <v>81</v>
      </c>
      <c r="B1" t="str">
        <f>IF('Input and Summary Results'!J17&gt;'Input and Summary Results'!D5,"yes","no")</f>
        <v>yes</v>
      </c>
    </row>
    <row r="2" spans="1:22" ht="21">
      <c r="A2" s="43" t="s">
        <v>83</v>
      </c>
    </row>
    <row r="3" spans="1:22">
      <c r="B3" t="s">
        <v>50</v>
      </c>
      <c r="C3" t="s">
        <v>99</v>
      </c>
      <c r="D3" s="89" t="s">
        <v>41</v>
      </c>
      <c r="E3" s="89"/>
      <c r="F3" s="89" t="s">
        <v>42</v>
      </c>
      <c r="G3" s="89"/>
      <c r="H3" s="90" t="s">
        <v>40</v>
      </c>
      <c r="I3" s="90"/>
      <c r="J3" s="90"/>
      <c r="K3" s="90"/>
      <c r="L3" s="89" t="s">
        <v>46</v>
      </c>
      <c r="M3" s="89"/>
      <c r="N3" s="89"/>
      <c r="O3" s="2" t="s">
        <v>47</v>
      </c>
    </row>
    <row r="4" spans="1:22">
      <c r="A4" s="2" t="s">
        <v>19</v>
      </c>
      <c r="B4" s="16" t="e">
        <f>'Data Transformation'!$R$24</f>
        <v>#DIV/0!</v>
      </c>
      <c r="C4" s="16"/>
      <c r="D4" t="s">
        <v>34</v>
      </c>
      <c r="E4" t="s">
        <v>35</v>
      </c>
      <c r="F4" t="s">
        <v>34</v>
      </c>
      <c r="G4" t="s">
        <v>35</v>
      </c>
      <c r="H4" s="14" t="s">
        <v>37</v>
      </c>
      <c r="I4" s="14" t="s">
        <v>38</v>
      </c>
      <c r="J4" s="14" t="s">
        <v>39</v>
      </c>
      <c r="K4" s="14" t="s">
        <v>45</v>
      </c>
      <c r="L4" t="s">
        <v>34</v>
      </c>
      <c r="M4" t="s">
        <v>35</v>
      </c>
      <c r="N4" t="s">
        <v>36</v>
      </c>
      <c r="T4" s="49" t="s">
        <v>87</v>
      </c>
      <c r="V4" t="s">
        <v>82</v>
      </c>
    </row>
    <row r="5" spans="1:22" ht="16.5" thickBot="1">
      <c r="A5" t="s">
        <v>33</v>
      </c>
      <c r="B5">
        <f>'Data Transformation'!$R$9</f>
        <v>0</v>
      </c>
      <c r="C5" t="e">
        <f>IF(AND('Data Transformation'!$R$10&gt;=Weighting!B5,'Data Transformation'!$R$10&lt;Weighting!B6),B5+0.00001,B5)</f>
        <v>#DIV/0!</v>
      </c>
      <c r="Q5" s="2" t="s">
        <v>44</v>
      </c>
      <c r="R5" s="15">
        <f>IF(B1="yes",COUNTIF(O6:O25,"&gt;0"),COUNTIF(O32:O51,"&gt;0"))</f>
        <v>0</v>
      </c>
    </row>
    <row r="6" spans="1:22">
      <c r="B6" t="e">
        <f>B5+'Data Transformation'!$R$25</f>
        <v>#DIV/0!</v>
      </c>
      <c r="C6" t="e">
        <f>IF(AND('Data Transformation'!$R$10&gt;=Weighting!B6,'Data Transformation'!$R$10&lt;Weighting!B7),B6+0.00001,B6)</f>
        <v>#DIV/0!</v>
      </c>
      <c r="D6" t="e">
        <f>IF(FREQUENCY('Data Transformation'!$R$5,$C6),1,0)</f>
        <v>#NUM!</v>
      </c>
      <c r="E6" t="e">
        <f>D6-D5</f>
        <v>#NUM!</v>
      </c>
      <c r="F6">
        <f>IF(FREQUENCY('Data Transformation'!$R$6,$C6),1,0)</f>
        <v>1</v>
      </c>
      <c r="G6">
        <f>F6-F5</f>
        <v>1</v>
      </c>
      <c r="H6" t="e">
        <f>IF(D6=1,H5+1,E6)</f>
        <v>#NUM!</v>
      </c>
      <c r="I6" t="e">
        <f>IF(H6=0,I7+1,H6)</f>
        <v>#NUM!</v>
      </c>
      <c r="J6">
        <f t="shared" ref="J6:J24" si="0">IF(F6=1,1,J7+1)</f>
        <v>1</v>
      </c>
      <c r="K6" t="e">
        <f t="shared" ref="K6:K25" si="1">IF(MIN(I6,J6)&gt;3,3,MIN(I6,J6))</f>
        <v>#NUM!</v>
      </c>
      <c r="L6">
        <f>IF(FREQUENCY('Data Transformation'!$R$10,$C6),1,0)</f>
        <v>1</v>
      </c>
      <c r="M6">
        <f>L6-L5</f>
        <v>1</v>
      </c>
      <c r="N6">
        <f>N5+1*M5</f>
        <v>0</v>
      </c>
      <c r="O6" t="e">
        <f>IF(N6=0,K6,0)</f>
        <v>#NUM!</v>
      </c>
      <c r="Q6" s="2" t="s">
        <v>43</v>
      </c>
      <c r="R6" t="e">
        <f>IF(B1="yes",SUM(O6:O25),SUM(O32:O51))</f>
        <v>#NUM!</v>
      </c>
      <c r="T6" s="45"/>
      <c r="V6" t="e">
        <f t="shared" ref="V6:V25" si="2">IF(T6="",IF($B$1="yes",O6,O32),T6)</f>
        <v>#NUM!</v>
      </c>
    </row>
    <row r="7" spans="1:22">
      <c r="B7" t="e">
        <f>B6+'Data Transformation'!$R$25</f>
        <v>#DIV/0!</v>
      </c>
      <c r="C7" t="e">
        <f>IF(AND('Data Transformation'!$R$10&gt;=Weighting!B7,'Data Transformation'!$R$10&lt;Weighting!B8),B7+0.00001,B7)</f>
        <v>#DIV/0!</v>
      </c>
      <c r="D7" t="e">
        <f>IF(FREQUENCY('Data Transformation'!$R$5,$C7),1,0)</f>
        <v>#NUM!</v>
      </c>
      <c r="E7" t="e">
        <f t="shared" ref="E7:E25" si="3">D7-D6</f>
        <v>#NUM!</v>
      </c>
      <c r="F7">
        <f>IF(FREQUENCY('Data Transformation'!$R$6,$C7),1,0)</f>
        <v>1</v>
      </c>
      <c r="G7">
        <f t="shared" ref="G7:G25" si="4">F7-F6</f>
        <v>0</v>
      </c>
      <c r="H7" t="e">
        <f t="shared" ref="H7:H15" si="5">IF(D7=1,H6+1,E7)</f>
        <v>#NUM!</v>
      </c>
      <c r="I7" t="e">
        <f t="shared" ref="I7:I14" si="6">IF(H7=0,I8+1,H7)</f>
        <v>#NUM!</v>
      </c>
      <c r="J7">
        <f t="shared" si="0"/>
        <v>1</v>
      </c>
      <c r="K7" t="e">
        <f t="shared" si="1"/>
        <v>#NUM!</v>
      </c>
      <c r="L7">
        <f>IF(FREQUENCY('Data Transformation'!$R$10,$C7),1,0)</f>
        <v>1</v>
      </c>
      <c r="M7">
        <f t="shared" ref="M7:M25" si="7">L7-L6</f>
        <v>0</v>
      </c>
      <c r="N7">
        <f t="shared" ref="N7:N25" si="8">N6+1*M6</f>
        <v>1</v>
      </c>
      <c r="O7">
        <f t="shared" ref="O7:O25" si="9">IF(N7=0,K7,0)</f>
        <v>0</v>
      </c>
      <c r="T7" s="46"/>
      <c r="V7">
        <f t="shared" si="2"/>
        <v>0</v>
      </c>
    </row>
    <row r="8" spans="1:22">
      <c r="B8" t="e">
        <f>B7+'Data Transformation'!$R$25</f>
        <v>#DIV/0!</v>
      </c>
      <c r="C8" t="e">
        <f>IF(AND('Data Transformation'!$R$10&gt;=Weighting!B8,'Data Transformation'!$R$10&lt;Weighting!B9),B8+0.00001,B8)</f>
        <v>#DIV/0!</v>
      </c>
      <c r="D8" t="e">
        <f>IF(FREQUENCY('Data Transformation'!$R$5,$C8),1,0)</f>
        <v>#NUM!</v>
      </c>
      <c r="E8" t="e">
        <f t="shared" si="3"/>
        <v>#NUM!</v>
      </c>
      <c r="F8">
        <f>IF(FREQUENCY('Data Transformation'!$R$6,$C8),1,0)</f>
        <v>1</v>
      </c>
      <c r="G8">
        <f t="shared" si="4"/>
        <v>0</v>
      </c>
      <c r="H8" t="e">
        <f t="shared" si="5"/>
        <v>#NUM!</v>
      </c>
      <c r="I8" t="e">
        <f t="shared" si="6"/>
        <v>#NUM!</v>
      </c>
      <c r="J8">
        <f t="shared" si="0"/>
        <v>1</v>
      </c>
      <c r="K8" t="e">
        <f t="shared" si="1"/>
        <v>#NUM!</v>
      </c>
      <c r="L8">
        <f>IF(FREQUENCY('Data Transformation'!$R$10,$C8),1,0)</f>
        <v>1</v>
      </c>
      <c r="M8">
        <f t="shared" si="7"/>
        <v>0</v>
      </c>
      <c r="N8">
        <f t="shared" si="8"/>
        <v>1</v>
      </c>
      <c r="O8">
        <f t="shared" si="9"/>
        <v>0</v>
      </c>
      <c r="T8" s="46"/>
      <c r="V8">
        <f t="shared" si="2"/>
        <v>0</v>
      </c>
    </row>
    <row r="9" spans="1:22">
      <c r="B9" t="e">
        <f>B8+'Data Transformation'!$R$25</f>
        <v>#DIV/0!</v>
      </c>
      <c r="C9" t="e">
        <f>IF(AND('Data Transformation'!$R$10&gt;=Weighting!B9,'Data Transformation'!$R$10&lt;Weighting!B10),B9+0.00001,B9)</f>
        <v>#DIV/0!</v>
      </c>
      <c r="D9" t="e">
        <f>IF(FREQUENCY('Data Transformation'!$R$5,$C9),1,0)</f>
        <v>#NUM!</v>
      </c>
      <c r="E9" t="e">
        <f t="shared" si="3"/>
        <v>#NUM!</v>
      </c>
      <c r="F9">
        <f>IF(FREQUENCY('Data Transformation'!$R$6,$C9),1,0)</f>
        <v>1</v>
      </c>
      <c r="G9">
        <f t="shared" si="4"/>
        <v>0</v>
      </c>
      <c r="H9" t="e">
        <f t="shared" si="5"/>
        <v>#NUM!</v>
      </c>
      <c r="I9" t="e">
        <f t="shared" si="6"/>
        <v>#NUM!</v>
      </c>
      <c r="J9">
        <f t="shared" si="0"/>
        <v>1</v>
      </c>
      <c r="K9" t="e">
        <f t="shared" si="1"/>
        <v>#NUM!</v>
      </c>
      <c r="L9">
        <f>IF(FREQUENCY('Data Transformation'!$R$10,$C9),1,0)</f>
        <v>1</v>
      </c>
      <c r="M9">
        <f t="shared" si="7"/>
        <v>0</v>
      </c>
      <c r="N9">
        <f t="shared" si="8"/>
        <v>1</v>
      </c>
      <c r="O9">
        <f t="shared" si="9"/>
        <v>0</v>
      </c>
      <c r="T9" s="46"/>
      <c r="V9">
        <f t="shared" si="2"/>
        <v>0</v>
      </c>
    </row>
    <row r="10" spans="1:22">
      <c r="B10" t="e">
        <f>B9+'Data Transformation'!$R$25</f>
        <v>#DIV/0!</v>
      </c>
      <c r="C10" t="e">
        <f>IF(AND('Data Transformation'!$R$10&gt;=Weighting!B10,'Data Transformation'!$R$10&lt;Weighting!B11),B10+0.00001,B10)</f>
        <v>#DIV/0!</v>
      </c>
      <c r="D10" t="e">
        <f>IF(FREQUENCY('Data Transformation'!$R$5,$C10),1,0)</f>
        <v>#NUM!</v>
      </c>
      <c r="E10" t="e">
        <f t="shared" si="3"/>
        <v>#NUM!</v>
      </c>
      <c r="F10">
        <f>IF(FREQUENCY('Data Transformation'!$R$6,$C10),1,0)</f>
        <v>1</v>
      </c>
      <c r="G10">
        <f t="shared" si="4"/>
        <v>0</v>
      </c>
      <c r="H10" t="e">
        <f t="shared" si="5"/>
        <v>#NUM!</v>
      </c>
      <c r="I10" t="e">
        <f t="shared" si="6"/>
        <v>#NUM!</v>
      </c>
      <c r="J10">
        <f t="shared" si="0"/>
        <v>1</v>
      </c>
      <c r="K10" t="e">
        <f t="shared" si="1"/>
        <v>#NUM!</v>
      </c>
      <c r="L10">
        <f>IF(FREQUENCY('Data Transformation'!$R$10,$C10),1,0)</f>
        <v>1</v>
      </c>
      <c r="M10">
        <f t="shared" si="7"/>
        <v>0</v>
      </c>
      <c r="N10">
        <f t="shared" si="8"/>
        <v>1</v>
      </c>
      <c r="O10">
        <f t="shared" si="9"/>
        <v>0</v>
      </c>
      <c r="T10" s="46"/>
      <c r="V10">
        <f t="shared" si="2"/>
        <v>0</v>
      </c>
    </row>
    <row r="11" spans="1:22" ht="23.25">
      <c r="B11" t="e">
        <f>B10+'Data Transformation'!$R$25</f>
        <v>#DIV/0!</v>
      </c>
      <c r="C11" t="e">
        <f>IF(AND('Data Transformation'!$R$10&gt;=Weighting!B11,'Data Transformation'!$R$10&lt;Weighting!B12),B11+0.00001,B11)</f>
        <v>#DIV/0!</v>
      </c>
      <c r="D11" t="e">
        <f>IF(FREQUENCY('Data Transformation'!$R$5,$C11),1,0)</f>
        <v>#NUM!</v>
      </c>
      <c r="E11" t="e">
        <f t="shared" si="3"/>
        <v>#NUM!</v>
      </c>
      <c r="F11">
        <f>IF(FREQUENCY('Data Transformation'!$R$6,$C11),1,0)</f>
        <v>1</v>
      </c>
      <c r="G11">
        <f t="shared" si="4"/>
        <v>0</v>
      </c>
      <c r="H11" t="e">
        <f t="shared" si="5"/>
        <v>#NUM!</v>
      </c>
      <c r="I11" t="e">
        <f t="shared" si="6"/>
        <v>#NUM!</v>
      </c>
      <c r="J11">
        <f t="shared" si="0"/>
        <v>1</v>
      </c>
      <c r="K11" t="e">
        <f t="shared" si="1"/>
        <v>#NUM!</v>
      </c>
      <c r="L11">
        <f>IF(FREQUENCY('Data Transformation'!$R$10,$C11),1,0)</f>
        <v>1</v>
      </c>
      <c r="M11">
        <f t="shared" si="7"/>
        <v>0</v>
      </c>
      <c r="N11">
        <f t="shared" si="8"/>
        <v>1</v>
      </c>
      <c r="O11">
        <f t="shared" si="9"/>
        <v>0</v>
      </c>
      <c r="Q11" s="38"/>
      <c r="T11" s="46"/>
      <c r="V11">
        <f t="shared" si="2"/>
        <v>0</v>
      </c>
    </row>
    <row r="12" spans="1:22">
      <c r="B12" t="e">
        <f>B11+'Data Transformation'!$R$25</f>
        <v>#DIV/0!</v>
      </c>
      <c r="C12" t="e">
        <f>IF(AND('Data Transformation'!$R$10&gt;=Weighting!B12,'Data Transformation'!$R$10&lt;Weighting!B13),B12+0.00001,B12)</f>
        <v>#DIV/0!</v>
      </c>
      <c r="D12" t="e">
        <f>IF(FREQUENCY('Data Transformation'!$R$5,$C12),1,0)</f>
        <v>#NUM!</v>
      </c>
      <c r="E12" t="e">
        <f t="shared" si="3"/>
        <v>#NUM!</v>
      </c>
      <c r="F12">
        <f>IF(FREQUENCY('Data Transformation'!$R$6,$C12),1,0)</f>
        <v>1</v>
      </c>
      <c r="G12">
        <f t="shared" si="4"/>
        <v>0</v>
      </c>
      <c r="H12" t="e">
        <f t="shared" si="5"/>
        <v>#NUM!</v>
      </c>
      <c r="I12" t="e">
        <f t="shared" si="6"/>
        <v>#NUM!</v>
      </c>
      <c r="J12">
        <f t="shared" si="0"/>
        <v>1</v>
      </c>
      <c r="K12" t="e">
        <f t="shared" si="1"/>
        <v>#NUM!</v>
      </c>
      <c r="L12">
        <f>IF(FREQUENCY('Data Transformation'!$R$10,$C12),1,0)</f>
        <v>1</v>
      </c>
      <c r="M12">
        <f t="shared" si="7"/>
        <v>0</v>
      </c>
      <c r="N12">
        <f t="shared" si="8"/>
        <v>1</v>
      </c>
      <c r="O12">
        <f t="shared" si="9"/>
        <v>0</v>
      </c>
      <c r="T12" s="46"/>
      <c r="V12">
        <f t="shared" si="2"/>
        <v>0</v>
      </c>
    </row>
    <row r="13" spans="1:22">
      <c r="B13" t="e">
        <f>B12+'Data Transformation'!$R$25</f>
        <v>#DIV/0!</v>
      </c>
      <c r="C13" t="e">
        <f>IF(AND('Data Transformation'!$R$10&gt;=Weighting!B13,'Data Transformation'!$R$10&lt;Weighting!B14),B13+0.00001,B13)</f>
        <v>#DIV/0!</v>
      </c>
      <c r="D13" t="e">
        <f>IF(FREQUENCY('Data Transformation'!$R$5,$C13),1,0)</f>
        <v>#NUM!</v>
      </c>
      <c r="E13" t="e">
        <f t="shared" si="3"/>
        <v>#NUM!</v>
      </c>
      <c r="F13">
        <f>IF(FREQUENCY('Data Transformation'!$R$6,$C13),1,0)</f>
        <v>1</v>
      </c>
      <c r="G13">
        <f t="shared" si="4"/>
        <v>0</v>
      </c>
      <c r="H13" t="e">
        <f t="shared" si="5"/>
        <v>#NUM!</v>
      </c>
      <c r="I13" t="e">
        <f t="shared" si="6"/>
        <v>#NUM!</v>
      </c>
      <c r="J13">
        <f t="shared" si="0"/>
        <v>1</v>
      </c>
      <c r="K13" t="e">
        <f t="shared" si="1"/>
        <v>#NUM!</v>
      </c>
      <c r="L13">
        <f>IF(FREQUENCY('Data Transformation'!$R$10,$C13),1,0)</f>
        <v>1</v>
      </c>
      <c r="M13">
        <f t="shared" si="7"/>
        <v>0</v>
      </c>
      <c r="N13">
        <f t="shared" si="8"/>
        <v>1</v>
      </c>
      <c r="O13">
        <f t="shared" si="9"/>
        <v>0</v>
      </c>
      <c r="T13" s="46"/>
      <c r="V13">
        <f t="shared" si="2"/>
        <v>0</v>
      </c>
    </row>
    <row r="14" spans="1:22">
      <c r="B14" t="e">
        <f>B13+'Data Transformation'!$R$25</f>
        <v>#DIV/0!</v>
      </c>
      <c r="C14" t="e">
        <f>IF(AND('Data Transformation'!$R$10&gt;=Weighting!B14,'Data Transformation'!$R$10&lt;Weighting!B15),B14+0.00001,B14)</f>
        <v>#DIV/0!</v>
      </c>
      <c r="D14" t="e">
        <f>IF(FREQUENCY('Data Transformation'!$R$5,$C14),1,0)</f>
        <v>#NUM!</v>
      </c>
      <c r="E14" t="e">
        <f t="shared" si="3"/>
        <v>#NUM!</v>
      </c>
      <c r="F14">
        <f>IF(FREQUENCY('Data Transformation'!$R$6,$C14),1,0)</f>
        <v>1</v>
      </c>
      <c r="G14">
        <f t="shared" si="4"/>
        <v>0</v>
      </c>
      <c r="H14" t="e">
        <f t="shared" si="5"/>
        <v>#NUM!</v>
      </c>
      <c r="I14" t="e">
        <f t="shared" si="6"/>
        <v>#NUM!</v>
      </c>
      <c r="J14">
        <f t="shared" si="0"/>
        <v>1</v>
      </c>
      <c r="K14" t="e">
        <f t="shared" si="1"/>
        <v>#NUM!</v>
      </c>
      <c r="L14">
        <f>IF(FREQUENCY('Data Transformation'!$R$10,$C14),1,0)</f>
        <v>1</v>
      </c>
      <c r="M14">
        <f t="shared" si="7"/>
        <v>0</v>
      </c>
      <c r="N14">
        <f t="shared" si="8"/>
        <v>1</v>
      </c>
      <c r="O14">
        <f t="shared" si="9"/>
        <v>0</v>
      </c>
      <c r="T14" s="46"/>
      <c r="V14">
        <f t="shared" si="2"/>
        <v>0</v>
      </c>
    </row>
    <row r="15" spans="1:22">
      <c r="B15" t="e">
        <f>B14+'Data Transformation'!$R$25</f>
        <v>#DIV/0!</v>
      </c>
      <c r="C15" t="e">
        <f>IF(AND('Data Transformation'!$R$10&gt;=Weighting!B15,'Data Transformation'!$R$10&lt;Weighting!B16),B15+0.00001,B15)</f>
        <v>#DIV/0!</v>
      </c>
      <c r="D15" t="e">
        <f>IF(FREQUENCY('Data Transformation'!$R$5,$C15),1,0)</f>
        <v>#NUM!</v>
      </c>
      <c r="E15" t="e">
        <f t="shared" si="3"/>
        <v>#NUM!</v>
      </c>
      <c r="F15">
        <f>IF(FREQUENCY('Data Transformation'!$R$6,$C15),1,0)</f>
        <v>1</v>
      </c>
      <c r="G15">
        <f t="shared" si="4"/>
        <v>0</v>
      </c>
      <c r="H15" t="e">
        <f t="shared" si="5"/>
        <v>#NUM!</v>
      </c>
      <c r="I15" t="e">
        <f t="shared" ref="I15:I24" si="10">IF(H15=0,I22+1,H15)</f>
        <v>#NUM!</v>
      </c>
      <c r="J15">
        <f t="shared" si="0"/>
        <v>1</v>
      </c>
      <c r="K15" t="e">
        <f t="shared" si="1"/>
        <v>#NUM!</v>
      </c>
      <c r="L15">
        <f>IF(FREQUENCY('Data Transformation'!$R$10,$C15),1,0)</f>
        <v>1</v>
      </c>
      <c r="M15">
        <f t="shared" si="7"/>
        <v>0</v>
      </c>
      <c r="N15">
        <f t="shared" si="8"/>
        <v>1</v>
      </c>
      <c r="O15">
        <f t="shared" si="9"/>
        <v>0</v>
      </c>
      <c r="T15" s="46"/>
      <c r="V15">
        <f t="shared" si="2"/>
        <v>0</v>
      </c>
    </row>
    <row r="16" spans="1:22">
      <c r="B16" t="e">
        <f>B15+'Data Transformation'!$R$25</f>
        <v>#DIV/0!</v>
      </c>
      <c r="C16" t="e">
        <f>IF(AND('Data Transformation'!$R$10&gt;=Weighting!B16,'Data Transformation'!$R$10&lt;Weighting!B17),B16+0.00001,B16)</f>
        <v>#DIV/0!</v>
      </c>
      <c r="D16" t="e">
        <f>IF(FREQUENCY('Data Transformation'!$R$5,$C16),1,0)</f>
        <v>#NUM!</v>
      </c>
      <c r="E16" t="e">
        <f t="shared" si="3"/>
        <v>#NUM!</v>
      </c>
      <c r="F16">
        <f>IF(FREQUENCY('Data Transformation'!$R$6,$C16),1,0)</f>
        <v>1</v>
      </c>
      <c r="G16">
        <f t="shared" si="4"/>
        <v>0</v>
      </c>
      <c r="H16" t="e">
        <f t="shared" ref="H16:H25" si="11">IF(D16=1,H15+1,E16)</f>
        <v>#NUM!</v>
      </c>
      <c r="I16" t="e">
        <f t="shared" si="10"/>
        <v>#NUM!</v>
      </c>
      <c r="J16">
        <f t="shared" si="0"/>
        <v>1</v>
      </c>
      <c r="K16" t="e">
        <f t="shared" si="1"/>
        <v>#NUM!</v>
      </c>
      <c r="L16">
        <f>IF(FREQUENCY('Data Transformation'!$R$10,$C16),1,0)</f>
        <v>1</v>
      </c>
      <c r="M16">
        <f t="shared" si="7"/>
        <v>0</v>
      </c>
      <c r="N16">
        <f t="shared" si="8"/>
        <v>1</v>
      </c>
      <c r="O16">
        <f t="shared" si="9"/>
        <v>0</v>
      </c>
      <c r="T16" s="46"/>
      <c r="V16">
        <f t="shared" si="2"/>
        <v>0</v>
      </c>
    </row>
    <row r="17" spans="1:22">
      <c r="B17" t="e">
        <f>B16+'Data Transformation'!$R$25</f>
        <v>#DIV/0!</v>
      </c>
      <c r="C17" t="e">
        <f>IF(AND('Data Transformation'!$R$10&gt;=Weighting!B17,'Data Transformation'!$R$10&lt;Weighting!B18),B17+0.00001,B17)</f>
        <v>#DIV/0!</v>
      </c>
      <c r="D17" t="e">
        <f>IF(FREQUENCY('Data Transformation'!$R$5,$C17),1,0)</f>
        <v>#NUM!</v>
      </c>
      <c r="E17" t="e">
        <f t="shared" si="3"/>
        <v>#NUM!</v>
      </c>
      <c r="F17">
        <f>IF(FREQUENCY('Data Transformation'!$R$6,$C17),1,0)</f>
        <v>1</v>
      </c>
      <c r="G17">
        <f t="shared" si="4"/>
        <v>0</v>
      </c>
      <c r="H17" t="e">
        <f t="shared" si="11"/>
        <v>#NUM!</v>
      </c>
      <c r="I17" t="e">
        <f t="shared" si="10"/>
        <v>#NUM!</v>
      </c>
      <c r="J17">
        <f t="shared" si="0"/>
        <v>1</v>
      </c>
      <c r="K17" t="e">
        <f t="shared" si="1"/>
        <v>#NUM!</v>
      </c>
      <c r="L17">
        <f>IF(FREQUENCY('Data Transformation'!$R$10,$C17),1,0)</f>
        <v>1</v>
      </c>
      <c r="M17">
        <f t="shared" si="7"/>
        <v>0</v>
      </c>
      <c r="N17">
        <f t="shared" si="8"/>
        <v>1</v>
      </c>
      <c r="O17">
        <f t="shared" si="9"/>
        <v>0</v>
      </c>
      <c r="T17" s="46"/>
      <c r="V17">
        <f t="shared" si="2"/>
        <v>0</v>
      </c>
    </row>
    <row r="18" spans="1:22">
      <c r="B18" t="e">
        <f>B17+'Data Transformation'!$R$25</f>
        <v>#DIV/0!</v>
      </c>
      <c r="C18" t="e">
        <f>IF(AND('Data Transformation'!$R$10&gt;=Weighting!B18,'Data Transformation'!$R$10&lt;Weighting!B19),B18+0.00001,B18)</f>
        <v>#DIV/0!</v>
      </c>
      <c r="D18" t="e">
        <f>IF(FREQUENCY('Data Transformation'!$R$5,$C18),1,0)</f>
        <v>#NUM!</v>
      </c>
      <c r="E18" t="e">
        <f t="shared" si="3"/>
        <v>#NUM!</v>
      </c>
      <c r="F18">
        <f>IF(FREQUENCY('Data Transformation'!$R$6,$C18),1,0)</f>
        <v>1</v>
      </c>
      <c r="G18">
        <f t="shared" si="4"/>
        <v>0</v>
      </c>
      <c r="H18" t="e">
        <f t="shared" si="11"/>
        <v>#NUM!</v>
      </c>
      <c r="I18" t="e">
        <f t="shared" si="10"/>
        <v>#NUM!</v>
      </c>
      <c r="J18">
        <f t="shared" si="0"/>
        <v>1</v>
      </c>
      <c r="K18" t="e">
        <f t="shared" si="1"/>
        <v>#NUM!</v>
      </c>
      <c r="L18">
        <f>IF(FREQUENCY('Data Transformation'!$R$10,$C18),1,0)</f>
        <v>1</v>
      </c>
      <c r="M18">
        <f t="shared" si="7"/>
        <v>0</v>
      </c>
      <c r="N18">
        <f t="shared" si="8"/>
        <v>1</v>
      </c>
      <c r="O18">
        <f t="shared" si="9"/>
        <v>0</v>
      </c>
      <c r="T18" s="46"/>
      <c r="V18">
        <f t="shared" si="2"/>
        <v>0</v>
      </c>
    </row>
    <row r="19" spans="1:22">
      <c r="B19" t="e">
        <f>B18+'Data Transformation'!$R$25</f>
        <v>#DIV/0!</v>
      </c>
      <c r="C19" t="e">
        <f>IF(AND('Data Transformation'!$R$10&gt;=Weighting!B19,'Data Transformation'!$R$10&lt;Weighting!B20),B19+0.00001,B19)</f>
        <v>#DIV/0!</v>
      </c>
      <c r="D19" t="e">
        <f>IF(FREQUENCY('Data Transformation'!$R$5,$C19),1,0)</f>
        <v>#NUM!</v>
      </c>
      <c r="E19" t="e">
        <f t="shared" si="3"/>
        <v>#NUM!</v>
      </c>
      <c r="F19">
        <f>IF(FREQUENCY('Data Transformation'!$R$6,$C19),1,0)</f>
        <v>1</v>
      </c>
      <c r="G19">
        <f t="shared" si="4"/>
        <v>0</v>
      </c>
      <c r="H19" t="e">
        <f t="shared" si="11"/>
        <v>#NUM!</v>
      </c>
      <c r="I19" t="e">
        <f t="shared" si="10"/>
        <v>#NUM!</v>
      </c>
      <c r="J19">
        <f t="shared" si="0"/>
        <v>1</v>
      </c>
      <c r="K19" t="e">
        <f t="shared" si="1"/>
        <v>#NUM!</v>
      </c>
      <c r="L19">
        <f>IF(FREQUENCY('Data Transformation'!$R$10,$C19),1,0)</f>
        <v>1</v>
      </c>
      <c r="M19">
        <f t="shared" si="7"/>
        <v>0</v>
      </c>
      <c r="N19">
        <f t="shared" si="8"/>
        <v>1</v>
      </c>
      <c r="O19">
        <f t="shared" si="9"/>
        <v>0</v>
      </c>
      <c r="T19" s="46"/>
      <c r="V19">
        <f t="shared" si="2"/>
        <v>0</v>
      </c>
    </row>
    <row r="20" spans="1:22">
      <c r="B20" t="e">
        <f>B19+'Data Transformation'!$R$25</f>
        <v>#DIV/0!</v>
      </c>
      <c r="C20" t="e">
        <f>IF(AND('Data Transformation'!$R$10&gt;=Weighting!B20,'Data Transformation'!$R$10&lt;Weighting!B21),B20+0.00001,B20)</f>
        <v>#DIV/0!</v>
      </c>
      <c r="D20" t="e">
        <f>IF(FREQUENCY('Data Transformation'!$R$5,$C20),1,0)</f>
        <v>#NUM!</v>
      </c>
      <c r="E20" t="e">
        <f t="shared" si="3"/>
        <v>#NUM!</v>
      </c>
      <c r="F20">
        <f>IF(FREQUENCY('Data Transformation'!$R$6,$C20),1,0)</f>
        <v>1</v>
      </c>
      <c r="G20">
        <f t="shared" si="4"/>
        <v>0</v>
      </c>
      <c r="H20" t="e">
        <f t="shared" si="11"/>
        <v>#NUM!</v>
      </c>
      <c r="I20" t="e">
        <f t="shared" si="10"/>
        <v>#NUM!</v>
      </c>
      <c r="J20">
        <f t="shared" si="0"/>
        <v>1</v>
      </c>
      <c r="K20" t="e">
        <f t="shared" si="1"/>
        <v>#NUM!</v>
      </c>
      <c r="L20">
        <f>IF(FREQUENCY('Data Transformation'!$R$10,$C20),1,0)</f>
        <v>1</v>
      </c>
      <c r="M20">
        <f t="shared" si="7"/>
        <v>0</v>
      </c>
      <c r="N20">
        <f t="shared" si="8"/>
        <v>1</v>
      </c>
      <c r="O20">
        <f t="shared" si="9"/>
        <v>0</v>
      </c>
      <c r="T20" s="46"/>
      <c r="V20">
        <f t="shared" si="2"/>
        <v>0</v>
      </c>
    </row>
    <row r="21" spans="1:22">
      <c r="B21" t="e">
        <f>B20+'Data Transformation'!$R$25</f>
        <v>#DIV/0!</v>
      </c>
      <c r="C21" t="e">
        <f>IF(AND('Data Transformation'!$R$10&gt;=Weighting!B21,'Data Transformation'!$R$10&lt;Weighting!B22),B21+0.00001,B21)</f>
        <v>#DIV/0!</v>
      </c>
      <c r="D21" t="e">
        <f>IF(FREQUENCY('Data Transformation'!$R$5,$C21),1,0)</f>
        <v>#NUM!</v>
      </c>
      <c r="E21" t="e">
        <f t="shared" si="3"/>
        <v>#NUM!</v>
      </c>
      <c r="F21">
        <f>IF(FREQUENCY('Data Transformation'!$R$6,$C21),1,0)</f>
        <v>1</v>
      </c>
      <c r="G21">
        <f t="shared" si="4"/>
        <v>0</v>
      </c>
      <c r="H21" t="e">
        <f t="shared" si="11"/>
        <v>#NUM!</v>
      </c>
      <c r="I21" t="e">
        <f t="shared" si="10"/>
        <v>#NUM!</v>
      </c>
      <c r="J21">
        <f t="shared" si="0"/>
        <v>1</v>
      </c>
      <c r="K21" t="e">
        <f t="shared" si="1"/>
        <v>#NUM!</v>
      </c>
      <c r="L21">
        <f>IF(FREQUENCY('Data Transformation'!$R$10,$C21),1,0)</f>
        <v>1</v>
      </c>
      <c r="M21">
        <f t="shared" si="7"/>
        <v>0</v>
      </c>
      <c r="N21">
        <f t="shared" si="8"/>
        <v>1</v>
      </c>
      <c r="O21">
        <f t="shared" si="9"/>
        <v>0</v>
      </c>
      <c r="T21" s="46"/>
      <c r="V21">
        <f t="shared" si="2"/>
        <v>0</v>
      </c>
    </row>
    <row r="22" spans="1:22">
      <c r="B22" t="e">
        <f>B21+'Data Transformation'!$R$25</f>
        <v>#DIV/0!</v>
      </c>
      <c r="C22" t="e">
        <f>IF(AND('Data Transformation'!$R$10&gt;=Weighting!B22,'Data Transformation'!$R$10&lt;Weighting!B23),B22+0.00001,B22)</f>
        <v>#DIV/0!</v>
      </c>
      <c r="D22" t="e">
        <f>IF(FREQUENCY('Data Transformation'!$R$5,$C22),1,0)</f>
        <v>#NUM!</v>
      </c>
      <c r="E22" t="e">
        <f t="shared" si="3"/>
        <v>#NUM!</v>
      </c>
      <c r="F22">
        <f>IF(FREQUENCY('Data Transformation'!$R$6,$C22),1,0)</f>
        <v>1</v>
      </c>
      <c r="G22">
        <f t="shared" si="4"/>
        <v>0</v>
      </c>
      <c r="H22" t="e">
        <f t="shared" si="11"/>
        <v>#NUM!</v>
      </c>
      <c r="I22" t="e">
        <f t="shared" si="10"/>
        <v>#NUM!</v>
      </c>
      <c r="J22">
        <f t="shared" si="0"/>
        <v>1</v>
      </c>
      <c r="K22" t="e">
        <f t="shared" si="1"/>
        <v>#NUM!</v>
      </c>
      <c r="L22">
        <f>IF(FREQUENCY('Data Transformation'!$R$10,$C22),1,0)</f>
        <v>1</v>
      </c>
      <c r="M22">
        <f t="shared" si="7"/>
        <v>0</v>
      </c>
      <c r="N22">
        <f t="shared" si="8"/>
        <v>1</v>
      </c>
      <c r="O22">
        <f t="shared" si="9"/>
        <v>0</v>
      </c>
      <c r="T22" s="46"/>
      <c r="V22">
        <f t="shared" si="2"/>
        <v>0</v>
      </c>
    </row>
    <row r="23" spans="1:22">
      <c r="B23" t="e">
        <f>B22+'Data Transformation'!$R$25</f>
        <v>#DIV/0!</v>
      </c>
      <c r="C23" t="e">
        <f>IF(AND('Data Transformation'!$R$10&gt;=Weighting!B23,'Data Transformation'!$R$10&lt;Weighting!B24),B23+0.00001,B23)</f>
        <v>#DIV/0!</v>
      </c>
      <c r="D23" t="e">
        <f>IF(FREQUENCY('Data Transformation'!$R$5,$C23),1,0)</f>
        <v>#NUM!</v>
      </c>
      <c r="E23" t="e">
        <f t="shared" si="3"/>
        <v>#NUM!</v>
      </c>
      <c r="F23">
        <f>IF(FREQUENCY('Data Transformation'!$R$6,$C23),1,0)</f>
        <v>1</v>
      </c>
      <c r="G23">
        <f t="shared" si="4"/>
        <v>0</v>
      </c>
      <c r="H23" t="e">
        <f t="shared" si="11"/>
        <v>#NUM!</v>
      </c>
      <c r="I23" t="e">
        <f t="shared" si="10"/>
        <v>#NUM!</v>
      </c>
      <c r="J23">
        <f t="shared" si="0"/>
        <v>1</v>
      </c>
      <c r="K23" t="e">
        <f t="shared" si="1"/>
        <v>#NUM!</v>
      </c>
      <c r="L23">
        <f>IF(FREQUENCY('Data Transformation'!$R$10,$C23),1,0)</f>
        <v>1</v>
      </c>
      <c r="M23">
        <f t="shared" si="7"/>
        <v>0</v>
      </c>
      <c r="N23">
        <f t="shared" si="8"/>
        <v>1</v>
      </c>
      <c r="O23">
        <f t="shared" si="9"/>
        <v>0</v>
      </c>
      <c r="T23" s="46"/>
      <c r="V23">
        <f t="shared" si="2"/>
        <v>0</v>
      </c>
    </row>
    <row r="24" spans="1:22">
      <c r="B24" t="e">
        <f>B23+'Data Transformation'!$R$25</f>
        <v>#DIV/0!</v>
      </c>
      <c r="C24" t="e">
        <f>IF(AND('Data Transformation'!$R$10&gt;=Weighting!B24,'Data Transformation'!$R$10&lt;Weighting!B25),B24+0.00001,B24)</f>
        <v>#DIV/0!</v>
      </c>
      <c r="D24" t="e">
        <f>IF(FREQUENCY('Data Transformation'!$R$5,$C24),1,0)</f>
        <v>#NUM!</v>
      </c>
      <c r="E24" t="e">
        <f t="shared" si="3"/>
        <v>#NUM!</v>
      </c>
      <c r="F24">
        <f>IF(FREQUENCY('Data Transformation'!$R$6,$C24),1,0)</f>
        <v>1</v>
      </c>
      <c r="G24">
        <f t="shared" si="4"/>
        <v>0</v>
      </c>
      <c r="H24" t="e">
        <f t="shared" si="11"/>
        <v>#NUM!</v>
      </c>
      <c r="I24" t="e">
        <f t="shared" si="10"/>
        <v>#NUM!</v>
      </c>
      <c r="J24">
        <f t="shared" si="0"/>
        <v>1</v>
      </c>
      <c r="K24" t="e">
        <f t="shared" si="1"/>
        <v>#NUM!</v>
      </c>
      <c r="L24">
        <f>IF(FREQUENCY('Data Transformation'!$R$10,$C24),1,0)</f>
        <v>1</v>
      </c>
      <c r="M24">
        <f t="shared" si="7"/>
        <v>0</v>
      </c>
      <c r="N24">
        <f t="shared" si="8"/>
        <v>1</v>
      </c>
      <c r="O24">
        <f t="shared" si="9"/>
        <v>0</v>
      </c>
      <c r="T24" s="46"/>
      <c r="V24">
        <f t="shared" si="2"/>
        <v>0</v>
      </c>
    </row>
    <row r="25" spans="1:22" ht="16.5" thickBot="1">
      <c r="B25" t="e">
        <f>B24+'Data Transformation'!$R$25</f>
        <v>#DIV/0!</v>
      </c>
      <c r="C25" t="e">
        <f>IF(AND('Data Transformation'!$R$10&gt;=Weighting!B25,'Data Transformation'!$R$10&lt;Weighting!B26),B25+0.00001,B25)</f>
        <v>#DIV/0!</v>
      </c>
      <c r="D25" t="e">
        <f>IF(FREQUENCY('Data Transformation'!$R$5,$C25),1,0)</f>
        <v>#NUM!</v>
      </c>
      <c r="E25" t="e">
        <f t="shared" si="3"/>
        <v>#NUM!</v>
      </c>
      <c r="F25">
        <f>IF(FREQUENCY('Data Transformation'!$R$6,$C25),1,0)</f>
        <v>1</v>
      </c>
      <c r="G25">
        <f t="shared" si="4"/>
        <v>0</v>
      </c>
      <c r="H25" t="e">
        <f t="shared" si="11"/>
        <v>#NUM!</v>
      </c>
      <c r="I25" t="e">
        <f>IF(H25=0,#REF!+1,H25)</f>
        <v>#NUM!</v>
      </c>
      <c r="J25">
        <f>IF(F25=1,1,J26+1)</f>
        <v>1</v>
      </c>
      <c r="K25" t="e">
        <f t="shared" si="1"/>
        <v>#NUM!</v>
      </c>
      <c r="L25">
        <f>IF(FREQUENCY('Data Transformation'!$R$10,$C25),1,0)</f>
        <v>1</v>
      </c>
      <c r="M25">
        <f t="shared" si="7"/>
        <v>0</v>
      </c>
      <c r="N25">
        <f t="shared" si="8"/>
        <v>1</v>
      </c>
      <c r="O25">
        <f t="shared" si="9"/>
        <v>0</v>
      </c>
      <c r="T25" s="47"/>
      <c r="V25">
        <f t="shared" si="2"/>
        <v>0</v>
      </c>
    </row>
    <row r="26" spans="1:22">
      <c r="B26" t="e">
        <f>B25+'Data Transformation'!$R$25</f>
        <v>#DIV/0!</v>
      </c>
      <c r="C26" t="e">
        <f>IF(AND('Data Transformation'!$R$10&gt;=Weighting!B26,'Data Transformation'!$R$10&lt;Weighting!B27),B26+0.00001,B26)</f>
        <v>#DIV/0!</v>
      </c>
    </row>
    <row r="28" spans="1:22" ht="21">
      <c r="A28" s="43" t="s">
        <v>84</v>
      </c>
    </row>
    <row r="29" spans="1:22">
      <c r="D29" s="89" t="s">
        <v>41</v>
      </c>
      <c r="E29" s="89"/>
      <c r="F29" s="89" t="s">
        <v>42</v>
      </c>
      <c r="G29" s="89"/>
      <c r="H29" s="89" t="s">
        <v>40</v>
      </c>
      <c r="I29" s="89"/>
      <c r="J29" s="89"/>
      <c r="K29" s="89"/>
      <c r="L29" s="89" t="s">
        <v>46</v>
      </c>
      <c r="M29" s="89"/>
      <c r="N29" s="89"/>
      <c r="O29" s="2" t="s">
        <v>47</v>
      </c>
    </row>
    <row r="30" spans="1:22">
      <c r="A30" s="2" t="s">
        <v>19</v>
      </c>
      <c r="B30" s="16" t="e">
        <f>'Data Transformation'!$R$24</f>
        <v>#DIV/0!</v>
      </c>
      <c r="C30" s="16"/>
      <c r="D30" t="s">
        <v>34</v>
      </c>
      <c r="E30" t="s">
        <v>35</v>
      </c>
      <c r="F30" t="s">
        <v>34</v>
      </c>
      <c r="G30" t="s">
        <v>35</v>
      </c>
      <c r="H30" s="14" t="s">
        <v>37</v>
      </c>
      <c r="I30" s="14" t="s">
        <v>85</v>
      </c>
      <c r="J30" s="14" t="s">
        <v>86</v>
      </c>
      <c r="K30" s="14" t="s">
        <v>45</v>
      </c>
      <c r="L30" t="s">
        <v>34</v>
      </c>
      <c r="M30" t="s">
        <v>35</v>
      </c>
      <c r="N30" t="s">
        <v>36</v>
      </c>
    </row>
    <row r="31" spans="1:22">
      <c r="A31" t="s">
        <v>33</v>
      </c>
      <c r="B31" t="e">
        <f>C5</f>
        <v>#DIV/0!</v>
      </c>
    </row>
    <row r="32" spans="1:22">
      <c r="B32" t="e">
        <f t="shared" ref="B32:B51" si="12">C6</f>
        <v>#DIV/0!</v>
      </c>
      <c r="D32" t="e">
        <f>IF(FREQUENCY('Data Transformation'!$R$5,$B32),1,0)</f>
        <v>#NUM!</v>
      </c>
      <c r="E32" t="e">
        <f t="shared" ref="E32:E51" si="13">D32-D31</f>
        <v>#NUM!</v>
      </c>
      <c r="F32">
        <f>IF(FREQUENCY('Data Transformation'!$R$6,$B32),1,0)</f>
        <v>1</v>
      </c>
      <c r="G32">
        <f>F32-F31</f>
        <v>1</v>
      </c>
      <c r="H32">
        <f>IF(F32=1,H31+1,G32)</f>
        <v>1</v>
      </c>
      <c r="I32" t="e">
        <f t="shared" ref="I32:I50" si="14">IF(D32=1,1,I33+1)</f>
        <v>#NUM!</v>
      </c>
      <c r="J32" t="e">
        <f>IF(I31=1,J31+1,I32)</f>
        <v>#NUM!</v>
      </c>
      <c r="K32" t="e">
        <f>IF(MIN(J32,H32)&gt;3,3,MIN(J32,H32))</f>
        <v>#NUM!</v>
      </c>
      <c r="L32">
        <f>IF(FREQUENCY('Data Transformation'!$R$10,$B32),1,0)</f>
        <v>1</v>
      </c>
      <c r="M32">
        <f>L32-L31</f>
        <v>1</v>
      </c>
      <c r="N32">
        <f>N31+1*M31</f>
        <v>0</v>
      </c>
      <c r="O32" t="e">
        <f>IF(N32=0,K32,0)</f>
        <v>#NUM!</v>
      </c>
    </row>
    <row r="33" spans="2:15">
      <c r="B33" t="e">
        <f t="shared" si="12"/>
        <v>#DIV/0!</v>
      </c>
      <c r="D33" t="e">
        <f>IF(FREQUENCY('Data Transformation'!$R$5,$B33),1,0)</f>
        <v>#NUM!</v>
      </c>
      <c r="E33" t="e">
        <f t="shared" si="13"/>
        <v>#NUM!</v>
      </c>
      <c r="F33">
        <f>IF(FREQUENCY('Data Transformation'!$R$6,$B33),1,0)</f>
        <v>1</v>
      </c>
      <c r="G33">
        <f t="shared" ref="G33:G51" si="15">F33-F32</f>
        <v>0</v>
      </c>
      <c r="H33">
        <f t="shared" ref="H33:H51" si="16">IF(F33=1,H32+1,G33)</f>
        <v>2</v>
      </c>
      <c r="I33" t="e">
        <f t="shared" si="14"/>
        <v>#NUM!</v>
      </c>
      <c r="J33" t="e">
        <f t="shared" ref="J33:J51" si="17">IF(I32=1,J32+1,I33)</f>
        <v>#NUM!</v>
      </c>
      <c r="K33" t="e">
        <f t="shared" ref="K33:K51" si="18">IF(MIN(J33,H33)&gt;3,3,MIN(J33,H33))</f>
        <v>#NUM!</v>
      </c>
      <c r="L33">
        <f>IF(FREQUENCY('Data Transformation'!$R$10,$B33),1,0)</f>
        <v>1</v>
      </c>
      <c r="M33">
        <f t="shared" ref="M33:M51" si="19">L33-L32</f>
        <v>0</v>
      </c>
      <c r="N33">
        <f t="shared" ref="N33:N51" si="20">N32+1*M32</f>
        <v>1</v>
      </c>
      <c r="O33">
        <f t="shared" ref="O33:O51" si="21">IF(N33=0,K33,0)</f>
        <v>0</v>
      </c>
    </row>
    <row r="34" spans="2:15">
      <c r="B34" t="e">
        <f t="shared" si="12"/>
        <v>#DIV/0!</v>
      </c>
      <c r="D34" t="e">
        <f>IF(FREQUENCY('Data Transformation'!$R$5,$B34),1,0)</f>
        <v>#NUM!</v>
      </c>
      <c r="E34" t="e">
        <f t="shared" si="13"/>
        <v>#NUM!</v>
      </c>
      <c r="F34">
        <f>IF(FREQUENCY('Data Transformation'!$R$6,$B34),1,0)</f>
        <v>1</v>
      </c>
      <c r="G34">
        <f t="shared" si="15"/>
        <v>0</v>
      </c>
      <c r="H34">
        <f t="shared" si="16"/>
        <v>3</v>
      </c>
      <c r="I34" t="e">
        <f t="shared" si="14"/>
        <v>#NUM!</v>
      </c>
      <c r="J34" t="e">
        <f t="shared" si="17"/>
        <v>#NUM!</v>
      </c>
      <c r="K34" t="e">
        <f t="shared" si="18"/>
        <v>#NUM!</v>
      </c>
      <c r="L34">
        <f>IF(FREQUENCY('Data Transformation'!$R$10,$B34),1,0)</f>
        <v>1</v>
      </c>
      <c r="M34">
        <f t="shared" si="19"/>
        <v>0</v>
      </c>
      <c r="N34">
        <f t="shared" si="20"/>
        <v>1</v>
      </c>
      <c r="O34">
        <f t="shared" si="21"/>
        <v>0</v>
      </c>
    </row>
    <row r="35" spans="2:15">
      <c r="B35" t="e">
        <f t="shared" si="12"/>
        <v>#DIV/0!</v>
      </c>
      <c r="D35" t="e">
        <f>IF(FREQUENCY('Data Transformation'!$R$5,$B35),1,0)</f>
        <v>#NUM!</v>
      </c>
      <c r="E35" t="e">
        <f t="shared" si="13"/>
        <v>#NUM!</v>
      </c>
      <c r="F35">
        <f>IF(FREQUENCY('Data Transformation'!$R$6,$B35),1,0)</f>
        <v>1</v>
      </c>
      <c r="G35">
        <f t="shared" si="15"/>
        <v>0</v>
      </c>
      <c r="H35">
        <f t="shared" si="16"/>
        <v>4</v>
      </c>
      <c r="I35" t="e">
        <f t="shared" si="14"/>
        <v>#NUM!</v>
      </c>
      <c r="J35" t="e">
        <f t="shared" si="17"/>
        <v>#NUM!</v>
      </c>
      <c r="K35" t="e">
        <f t="shared" si="18"/>
        <v>#NUM!</v>
      </c>
      <c r="L35">
        <f>IF(FREQUENCY('Data Transformation'!$R$10,$B35),1,0)</f>
        <v>1</v>
      </c>
      <c r="M35">
        <f t="shared" si="19"/>
        <v>0</v>
      </c>
      <c r="N35">
        <f t="shared" si="20"/>
        <v>1</v>
      </c>
      <c r="O35">
        <f t="shared" si="21"/>
        <v>0</v>
      </c>
    </row>
    <row r="36" spans="2:15">
      <c r="B36" t="e">
        <f t="shared" si="12"/>
        <v>#DIV/0!</v>
      </c>
      <c r="D36" t="e">
        <f>IF(FREQUENCY('Data Transformation'!$R$5,$B36),1,0)</f>
        <v>#NUM!</v>
      </c>
      <c r="E36" t="e">
        <f t="shared" si="13"/>
        <v>#NUM!</v>
      </c>
      <c r="F36">
        <f>IF(FREQUENCY('Data Transformation'!$R$6,$B36),1,0)</f>
        <v>1</v>
      </c>
      <c r="G36">
        <f t="shared" si="15"/>
        <v>0</v>
      </c>
      <c r="H36">
        <f t="shared" si="16"/>
        <v>5</v>
      </c>
      <c r="I36" t="e">
        <f t="shared" si="14"/>
        <v>#NUM!</v>
      </c>
      <c r="J36" t="e">
        <f t="shared" si="17"/>
        <v>#NUM!</v>
      </c>
      <c r="K36" t="e">
        <f t="shared" si="18"/>
        <v>#NUM!</v>
      </c>
      <c r="L36">
        <f>IF(FREQUENCY('Data Transformation'!$R$10,$B36),1,0)</f>
        <v>1</v>
      </c>
      <c r="M36">
        <f t="shared" si="19"/>
        <v>0</v>
      </c>
      <c r="N36">
        <f t="shared" si="20"/>
        <v>1</v>
      </c>
      <c r="O36">
        <f t="shared" si="21"/>
        <v>0</v>
      </c>
    </row>
    <row r="37" spans="2:15">
      <c r="B37" t="e">
        <f t="shared" si="12"/>
        <v>#DIV/0!</v>
      </c>
      <c r="D37" t="e">
        <f>IF(FREQUENCY('Data Transformation'!$R$5,$B37),1,0)</f>
        <v>#NUM!</v>
      </c>
      <c r="E37" t="e">
        <f t="shared" si="13"/>
        <v>#NUM!</v>
      </c>
      <c r="F37">
        <f>IF(FREQUENCY('Data Transformation'!$R$6,$B37),1,0)</f>
        <v>1</v>
      </c>
      <c r="G37">
        <f t="shared" si="15"/>
        <v>0</v>
      </c>
      <c r="H37">
        <f t="shared" si="16"/>
        <v>6</v>
      </c>
      <c r="I37" t="e">
        <f t="shared" si="14"/>
        <v>#NUM!</v>
      </c>
      <c r="J37" t="e">
        <f t="shared" si="17"/>
        <v>#NUM!</v>
      </c>
      <c r="K37" t="e">
        <f t="shared" si="18"/>
        <v>#NUM!</v>
      </c>
      <c r="L37">
        <f>IF(FREQUENCY('Data Transformation'!$R$10,$B37),1,0)</f>
        <v>1</v>
      </c>
      <c r="M37">
        <f t="shared" si="19"/>
        <v>0</v>
      </c>
      <c r="N37">
        <f t="shared" si="20"/>
        <v>1</v>
      </c>
      <c r="O37">
        <f t="shared" si="21"/>
        <v>0</v>
      </c>
    </row>
    <row r="38" spans="2:15">
      <c r="B38" t="e">
        <f t="shared" si="12"/>
        <v>#DIV/0!</v>
      </c>
      <c r="D38" t="e">
        <f>IF(FREQUENCY('Data Transformation'!$R$5,$B38),1,0)</f>
        <v>#NUM!</v>
      </c>
      <c r="E38" t="e">
        <f t="shared" si="13"/>
        <v>#NUM!</v>
      </c>
      <c r="F38">
        <f>IF(FREQUENCY('Data Transformation'!$R$6,$B38),1,0)</f>
        <v>1</v>
      </c>
      <c r="G38">
        <f t="shared" si="15"/>
        <v>0</v>
      </c>
      <c r="H38">
        <f t="shared" si="16"/>
        <v>7</v>
      </c>
      <c r="I38" t="e">
        <f t="shared" si="14"/>
        <v>#NUM!</v>
      </c>
      <c r="J38" t="e">
        <f t="shared" si="17"/>
        <v>#NUM!</v>
      </c>
      <c r="K38" t="e">
        <f t="shared" si="18"/>
        <v>#NUM!</v>
      </c>
      <c r="L38">
        <f>IF(FREQUENCY('Data Transformation'!$R$10,$B38),1,0)</f>
        <v>1</v>
      </c>
      <c r="M38">
        <f t="shared" si="19"/>
        <v>0</v>
      </c>
      <c r="N38">
        <f t="shared" si="20"/>
        <v>1</v>
      </c>
      <c r="O38">
        <f t="shared" si="21"/>
        <v>0</v>
      </c>
    </row>
    <row r="39" spans="2:15">
      <c r="B39" t="e">
        <f t="shared" si="12"/>
        <v>#DIV/0!</v>
      </c>
      <c r="D39" t="e">
        <f>IF(FREQUENCY('Data Transformation'!$R$5,$B39),1,0)</f>
        <v>#NUM!</v>
      </c>
      <c r="E39" t="e">
        <f t="shared" si="13"/>
        <v>#NUM!</v>
      </c>
      <c r="F39">
        <f>IF(FREQUENCY('Data Transformation'!$R$6,$B39),1,0)</f>
        <v>1</v>
      </c>
      <c r="G39">
        <f t="shared" si="15"/>
        <v>0</v>
      </c>
      <c r="H39">
        <f t="shared" si="16"/>
        <v>8</v>
      </c>
      <c r="I39" t="e">
        <f t="shared" si="14"/>
        <v>#NUM!</v>
      </c>
      <c r="J39" t="e">
        <f t="shared" si="17"/>
        <v>#NUM!</v>
      </c>
      <c r="K39" t="e">
        <f t="shared" si="18"/>
        <v>#NUM!</v>
      </c>
      <c r="L39">
        <f>IF(FREQUENCY('Data Transformation'!$R$10,$B39),1,0)</f>
        <v>1</v>
      </c>
      <c r="M39">
        <f t="shared" si="19"/>
        <v>0</v>
      </c>
      <c r="N39">
        <f t="shared" si="20"/>
        <v>1</v>
      </c>
      <c r="O39">
        <f t="shared" si="21"/>
        <v>0</v>
      </c>
    </row>
    <row r="40" spans="2:15">
      <c r="B40" t="e">
        <f t="shared" si="12"/>
        <v>#DIV/0!</v>
      </c>
      <c r="D40" t="e">
        <f>IF(FREQUENCY('Data Transformation'!$R$5,$B40),1,0)</f>
        <v>#NUM!</v>
      </c>
      <c r="E40" t="e">
        <f t="shared" si="13"/>
        <v>#NUM!</v>
      </c>
      <c r="F40">
        <f>IF(FREQUENCY('Data Transformation'!$R$6,$B40),1,0)</f>
        <v>1</v>
      </c>
      <c r="G40">
        <f t="shared" si="15"/>
        <v>0</v>
      </c>
      <c r="H40">
        <f t="shared" si="16"/>
        <v>9</v>
      </c>
      <c r="I40" t="e">
        <f t="shared" si="14"/>
        <v>#NUM!</v>
      </c>
      <c r="J40" t="e">
        <f t="shared" si="17"/>
        <v>#NUM!</v>
      </c>
      <c r="K40" t="e">
        <f t="shared" si="18"/>
        <v>#NUM!</v>
      </c>
      <c r="L40">
        <f>IF(FREQUENCY('Data Transformation'!$R$10,$B40),1,0)</f>
        <v>1</v>
      </c>
      <c r="M40">
        <f t="shared" si="19"/>
        <v>0</v>
      </c>
      <c r="N40">
        <f t="shared" si="20"/>
        <v>1</v>
      </c>
      <c r="O40">
        <f t="shared" si="21"/>
        <v>0</v>
      </c>
    </row>
    <row r="41" spans="2:15">
      <c r="B41" t="e">
        <f t="shared" si="12"/>
        <v>#DIV/0!</v>
      </c>
      <c r="D41" t="e">
        <f>IF(FREQUENCY('Data Transformation'!$R$5,$B41),1,0)</f>
        <v>#NUM!</v>
      </c>
      <c r="E41" t="e">
        <f t="shared" si="13"/>
        <v>#NUM!</v>
      </c>
      <c r="F41">
        <f>IF(FREQUENCY('Data Transformation'!$R$6,$B41),1,0)</f>
        <v>1</v>
      </c>
      <c r="G41">
        <f t="shared" si="15"/>
        <v>0</v>
      </c>
      <c r="H41">
        <f t="shared" si="16"/>
        <v>10</v>
      </c>
      <c r="I41" t="e">
        <f t="shared" si="14"/>
        <v>#NUM!</v>
      </c>
      <c r="J41" t="e">
        <f t="shared" si="17"/>
        <v>#NUM!</v>
      </c>
      <c r="K41" t="e">
        <f t="shared" si="18"/>
        <v>#NUM!</v>
      </c>
      <c r="L41">
        <f>IF(FREQUENCY('Data Transformation'!$R$10,$B41),1,0)</f>
        <v>1</v>
      </c>
      <c r="M41">
        <f t="shared" si="19"/>
        <v>0</v>
      </c>
      <c r="N41">
        <f t="shared" si="20"/>
        <v>1</v>
      </c>
      <c r="O41">
        <f t="shared" si="21"/>
        <v>0</v>
      </c>
    </row>
    <row r="42" spans="2:15">
      <c r="B42" t="e">
        <f t="shared" si="12"/>
        <v>#DIV/0!</v>
      </c>
      <c r="D42" t="e">
        <f>IF(FREQUENCY('Data Transformation'!$R$5,$B42),1,0)</f>
        <v>#NUM!</v>
      </c>
      <c r="E42" t="e">
        <f t="shared" si="13"/>
        <v>#NUM!</v>
      </c>
      <c r="F42">
        <f>IF(FREQUENCY('Data Transformation'!$R$6,$B42),1,0)</f>
        <v>1</v>
      </c>
      <c r="G42">
        <f t="shared" si="15"/>
        <v>0</v>
      </c>
      <c r="H42">
        <f t="shared" si="16"/>
        <v>11</v>
      </c>
      <c r="I42" t="e">
        <f t="shared" si="14"/>
        <v>#NUM!</v>
      </c>
      <c r="J42" t="e">
        <f t="shared" si="17"/>
        <v>#NUM!</v>
      </c>
      <c r="K42" t="e">
        <f t="shared" si="18"/>
        <v>#NUM!</v>
      </c>
      <c r="L42">
        <f>IF(FREQUENCY('Data Transformation'!$R$10,$B42),1,0)</f>
        <v>1</v>
      </c>
      <c r="M42">
        <f t="shared" si="19"/>
        <v>0</v>
      </c>
      <c r="N42">
        <f t="shared" si="20"/>
        <v>1</v>
      </c>
      <c r="O42">
        <f t="shared" si="21"/>
        <v>0</v>
      </c>
    </row>
    <row r="43" spans="2:15">
      <c r="B43" t="e">
        <f t="shared" si="12"/>
        <v>#DIV/0!</v>
      </c>
      <c r="D43" t="e">
        <f>IF(FREQUENCY('Data Transformation'!$R$5,$B43),1,0)</f>
        <v>#NUM!</v>
      </c>
      <c r="E43" t="e">
        <f t="shared" si="13"/>
        <v>#NUM!</v>
      </c>
      <c r="F43">
        <f>IF(FREQUENCY('Data Transformation'!$R$6,$B43),1,0)</f>
        <v>1</v>
      </c>
      <c r="G43">
        <f t="shared" si="15"/>
        <v>0</v>
      </c>
      <c r="H43">
        <f t="shared" si="16"/>
        <v>12</v>
      </c>
      <c r="I43" t="e">
        <f t="shared" si="14"/>
        <v>#NUM!</v>
      </c>
      <c r="J43" t="e">
        <f t="shared" si="17"/>
        <v>#NUM!</v>
      </c>
      <c r="K43" t="e">
        <f t="shared" si="18"/>
        <v>#NUM!</v>
      </c>
      <c r="L43">
        <f>IF(FREQUENCY('Data Transformation'!$R$10,$B43),1,0)</f>
        <v>1</v>
      </c>
      <c r="M43">
        <f t="shared" si="19"/>
        <v>0</v>
      </c>
      <c r="N43">
        <f t="shared" si="20"/>
        <v>1</v>
      </c>
      <c r="O43">
        <f t="shared" si="21"/>
        <v>0</v>
      </c>
    </row>
    <row r="44" spans="2:15">
      <c r="B44" t="e">
        <f t="shared" si="12"/>
        <v>#DIV/0!</v>
      </c>
      <c r="D44" t="e">
        <f>IF(FREQUENCY('Data Transformation'!$R$5,$B44),1,0)</f>
        <v>#NUM!</v>
      </c>
      <c r="E44" t="e">
        <f t="shared" si="13"/>
        <v>#NUM!</v>
      </c>
      <c r="F44">
        <f>IF(FREQUENCY('Data Transformation'!$R$6,$B44),1,0)</f>
        <v>1</v>
      </c>
      <c r="G44">
        <f t="shared" si="15"/>
        <v>0</v>
      </c>
      <c r="H44">
        <f t="shared" si="16"/>
        <v>13</v>
      </c>
      <c r="I44" t="e">
        <f t="shared" si="14"/>
        <v>#NUM!</v>
      </c>
      <c r="J44" t="e">
        <f t="shared" si="17"/>
        <v>#NUM!</v>
      </c>
      <c r="K44" t="e">
        <f t="shared" si="18"/>
        <v>#NUM!</v>
      </c>
      <c r="L44">
        <f>IF(FREQUENCY('Data Transformation'!$R$10,$B44),1,0)</f>
        <v>1</v>
      </c>
      <c r="M44">
        <f t="shared" si="19"/>
        <v>0</v>
      </c>
      <c r="N44">
        <f t="shared" si="20"/>
        <v>1</v>
      </c>
      <c r="O44">
        <f t="shared" si="21"/>
        <v>0</v>
      </c>
    </row>
    <row r="45" spans="2:15">
      <c r="B45" t="e">
        <f t="shared" si="12"/>
        <v>#DIV/0!</v>
      </c>
      <c r="D45" t="e">
        <f>IF(FREQUENCY('Data Transformation'!$R$5,$B45),1,0)</f>
        <v>#NUM!</v>
      </c>
      <c r="E45" t="e">
        <f t="shared" si="13"/>
        <v>#NUM!</v>
      </c>
      <c r="F45">
        <f>IF(FREQUENCY('Data Transformation'!$R$6,$B45),1,0)</f>
        <v>1</v>
      </c>
      <c r="G45">
        <f t="shared" si="15"/>
        <v>0</v>
      </c>
      <c r="H45">
        <f t="shared" si="16"/>
        <v>14</v>
      </c>
      <c r="I45" t="e">
        <f t="shared" si="14"/>
        <v>#NUM!</v>
      </c>
      <c r="J45" t="e">
        <f t="shared" si="17"/>
        <v>#NUM!</v>
      </c>
      <c r="K45" t="e">
        <f t="shared" si="18"/>
        <v>#NUM!</v>
      </c>
      <c r="L45">
        <f>IF(FREQUENCY('Data Transformation'!$R$10,$B45),1,0)</f>
        <v>1</v>
      </c>
      <c r="M45">
        <f t="shared" si="19"/>
        <v>0</v>
      </c>
      <c r="N45">
        <f t="shared" si="20"/>
        <v>1</v>
      </c>
      <c r="O45">
        <f t="shared" si="21"/>
        <v>0</v>
      </c>
    </row>
    <row r="46" spans="2:15">
      <c r="B46" t="e">
        <f t="shared" si="12"/>
        <v>#DIV/0!</v>
      </c>
      <c r="D46" t="e">
        <f>IF(FREQUENCY('Data Transformation'!$R$5,$B46),1,0)</f>
        <v>#NUM!</v>
      </c>
      <c r="E46" t="e">
        <f t="shared" si="13"/>
        <v>#NUM!</v>
      </c>
      <c r="F46">
        <f>IF(FREQUENCY('Data Transformation'!$R$6,$B46),1,0)</f>
        <v>1</v>
      </c>
      <c r="G46">
        <f t="shared" si="15"/>
        <v>0</v>
      </c>
      <c r="H46">
        <f t="shared" si="16"/>
        <v>15</v>
      </c>
      <c r="I46" t="e">
        <f t="shared" si="14"/>
        <v>#NUM!</v>
      </c>
      <c r="J46" t="e">
        <f t="shared" si="17"/>
        <v>#NUM!</v>
      </c>
      <c r="K46" t="e">
        <f t="shared" si="18"/>
        <v>#NUM!</v>
      </c>
      <c r="L46">
        <f>IF(FREQUENCY('Data Transformation'!$R$10,$B46),1,0)</f>
        <v>1</v>
      </c>
      <c r="M46">
        <f t="shared" si="19"/>
        <v>0</v>
      </c>
      <c r="N46">
        <f t="shared" si="20"/>
        <v>1</v>
      </c>
      <c r="O46">
        <f t="shared" si="21"/>
        <v>0</v>
      </c>
    </row>
    <row r="47" spans="2:15">
      <c r="B47" t="e">
        <f t="shared" si="12"/>
        <v>#DIV/0!</v>
      </c>
      <c r="D47" t="e">
        <f>IF(FREQUENCY('Data Transformation'!$R$5,$B47),1,0)</f>
        <v>#NUM!</v>
      </c>
      <c r="E47" t="e">
        <f t="shared" si="13"/>
        <v>#NUM!</v>
      </c>
      <c r="F47">
        <f>IF(FREQUENCY('Data Transformation'!$R$6,$B47),1,0)</f>
        <v>1</v>
      </c>
      <c r="G47">
        <f t="shared" si="15"/>
        <v>0</v>
      </c>
      <c r="H47">
        <f t="shared" si="16"/>
        <v>16</v>
      </c>
      <c r="I47" t="e">
        <f t="shared" si="14"/>
        <v>#NUM!</v>
      </c>
      <c r="J47" t="e">
        <f t="shared" si="17"/>
        <v>#NUM!</v>
      </c>
      <c r="K47" t="e">
        <f t="shared" si="18"/>
        <v>#NUM!</v>
      </c>
      <c r="L47">
        <f>IF(FREQUENCY('Data Transformation'!$R$10,$B47),1,0)</f>
        <v>1</v>
      </c>
      <c r="M47">
        <f t="shared" si="19"/>
        <v>0</v>
      </c>
      <c r="N47">
        <f t="shared" si="20"/>
        <v>1</v>
      </c>
      <c r="O47">
        <f t="shared" si="21"/>
        <v>0</v>
      </c>
    </row>
    <row r="48" spans="2:15">
      <c r="B48" t="e">
        <f t="shared" si="12"/>
        <v>#DIV/0!</v>
      </c>
      <c r="D48" t="e">
        <f>IF(FREQUENCY('Data Transformation'!$R$5,$B48),1,0)</f>
        <v>#NUM!</v>
      </c>
      <c r="E48" t="e">
        <f t="shared" si="13"/>
        <v>#NUM!</v>
      </c>
      <c r="F48">
        <f>IF(FREQUENCY('Data Transformation'!$R$6,$B48),1,0)</f>
        <v>1</v>
      </c>
      <c r="G48">
        <f t="shared" si="15"/>
        <v>0</v>
      </c>
      <c r="H48">
        <f t="shared" si="16"/>
        <v>17</v>
      </c>
      <c r="I48" t="e">
        <f t="shared" si="14"/>
        <v>#NUM!</v>
      </c>
      <c r="J48" t="e">
        <f t="shared" si="17"/>
        <v>#NUM!</v>
      </c>
      <c r="K48" t="e">
        <f t="shared" si="18"/>
        <v>#NUM!</v>
      </c>
      <c r="L48">
        <f>IF(FREQUENCY('Data Transformation'!$R$10,$B48),1,0)</f>
        <v>1</v>
      </c>
      <c r="M48">
        <f t="shared" si="19"/>
        <v>0</v>
      </c>
      <c r="N48">
        <f t="shared" si="20"/>
        <v>1</v>
      </c>
      <c r="O48">
        <f t="shared" si="21"/>
        <v>0</v>
      </c>
    </row>
    <row r="49" spans="2:15">
      <c r="B49" t="e">
        <f t="shared" si="12"/>
        <v>#DIV/0!</v>
      </c>
      <c r="D49" t="e">
        <f>IF(FREQUENCY('Data Transformation'!$R$5,$B49),1,0)</f>
        <v>#NUM!</v>
      </c>
      <c r="E49" t="e">
        <f t="shared" si="13"/>
        <v>#NUM!</v>
      </c>
      <c r="F49">
        <f>IF(FREQUENCY('Data Transformation'!$R$6,$B49),1,0)</f>
        <v>1</v>
      </c>
      <c r="G49">
        <f t="shared" si="15"/>
        <v>0</v>
      </c>
      <c r="H49">
        <f t="shared" si="16"/>
        <v>18</v>
      </c>
      <c r="I49" t="e">
        <f t="shared" si="14"/>
        <v>#NUM!</v>
      </c>
      <c r="J49" t="e">
        <f t="shared" si="17"/>
        <v>#NUM!</v>
      </c>
      <c r="K49" t="e">
        <f t="shared" si="18"/>
        <v>#NUM!</v>
      </c>
      <c r="L49">
        <f>IF(FREQUENCY('Data Transformation'!$R$10,$B49),1,0)</f>
        <v>1</v>
      </c>
      <c r="M49">
        <f t="shared" si="19"/>
        <v>0</v>
      </c>
      <c r="N49">
        <f t="shared" si="20"/>
        <v>1</v>
      </c>
      <c r="O49">
        <f t="shared" si="21"/>
        <v>0</v>
      </c>
    </row>
    <row r="50" spans="2:15">
      <c r="B50" t="e">
        <f t="shared" si="12"/>
        <v>#DIV/0!</v>
      </c>
      <c r="D50" t="e">
        <f>IF(FREQUENCY('Data Transformation'!$R$5,$B50),1,0)</f>
        <v>#NUM!</v>
      </c>
      <c r="E50" t="e">
        <f t="shared" si="13"/>
        <v>#NUM!</v>
      </c>
      <c r="F50">
        <f>IF(FREQUENCY('Data Transformation'!$R$6,$B50),1,0)</f>
        <v>1</v>
      </c>
      <c r="G50">
        <f t="shared" si="15"/>
        <v>0</v>
      </c>
      <c r="H50">
        <f t="shared" si="16"/>
        <v>19</v>
      </c>
      <c r="I50" t="e">
        <f t="shared" si="14"/>
        <v>#NUM!</v>
      </c>
      <c r="J50" t="e">
        <f t="shared" si="17"/>
        <v>#NUM!</v>
      </c>
      <c r="K50" t="e">
        <f t="shared" si="18"/>
        <v>#NUM!</v>
      </c>
      <c r="L50">
        <f>IF(FREQUENCY('Data Transformation'!$R$10,$B50),1,0)</f>
        <v>1</v>
      </c>
      <c r="M50">
        <f t="shared" si="19"/>
        <v>0</v>
      </c>
      <c r="N50">
        <f t="shared" si="20"/>
        <v>1</v>
      </c>
      <c r="O50">
        <f t="shared" si="21"/>
        <v>0</v>
      </c>
    </row>
    <row r="51" spans="2:15">
      <c r="B51" t="e">
        <f t="shared" si="12"/>
        <v>#DIV/0!</v>
      </c>
      <c r="D51" t="e">
        <f>IF(FREQUENCY('Data Transformation'!$R$5,$B51),1,0)</f>
        <v>#NUM!</v>
      </c>
      <c r="E51" t="e">
        <f t="shared" si="13"/>
        <v>#NUM!</v>
      </c>
      <c r="F51">
        <f>IF(FREQUENCY('Data Transformation'!$R$6,$B51),1,0)</f>
        <v>1</v>
      </c>
      <c r="G51">
        <f t="shared" si="15"/>
        <v>0</v>
      </c>
      <c r="H51">
        <f t="shared" si="16"/>
        <v>20</v>
      </c>
      <c r="I51" t="e">
        <f>IF(D51=1,1,J52+1)</f>
        <v>#NUM!</v>
      </c>
      <c r="J51" t="e">
        <f t="shared" si="17"/>
        <v>#NUM!</v>
      </c>
      <c r="K51" t="e">
        <f t="shared" si="18"/>
        <v>#NUM!</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zoomScale="55" zoomScaleNormal="55" workbookViewId="0">
      <pane ySplit="2" topLeftCell="A4" activePane="bottomLeft" state="frozen"/>
      <selection pane="bottomLeft" activeCell="A28" sqref="A28:B28"/>
    </sheetView>
  </sheetViews>
  <sheetFormatPr defaultColWidth="11" defaultRowHeight="15.75"/>
  <cols>
    <col min="4" max="4" width="11" bestFit="1" customWidth="1"/>
    <col min="5" max="5" width="4" bestFit="1" customWidth="1"/>
    <col min="6" max="6" width="9" customWidth="1"/>
    <col min="7" max="7" width="6.625" customWidth="1"/>
    <col min="8" max="8" width="6.875" customWidth="1"/>
    <col min="9" max="9" width="12.125" bestFit="1" customWidth="1"/>
    <col min="10" max="10" width="5.625" customWidth="1"/>
    <col min="11" max="11" width="6.875" customWidth="1"/>
    <col min="12" max="12" width="12.875" bestFit="1" customWidth="1"/>
    <col min="13" max="13" width="12.625" bestFit="1" customWidth="1"/>
    <col min="15" max="15" width="15.375" style="14" bestFit="1" customWidth="1"/>
    <col min="16" max="16" width="15.375" style="14" customWidth="1"/>
    <col min="17" max="17" width="12.125" style="35" bestFit="1" customWidth="1"/>
    <col min="18" max="18" width="25.125" style="35" bestFit="1" customWidth="1"/>
    <col min="19" max="19" width="22.5" style="35" bestFit="1" customWidth="1"/>
    <col min="20" max="20" width="8.5" style="35" bestFit="1" customWidth="1"/>
    <col min="26" max="26" width="29.375" bestFit="1" customWidth="1"/>
  </cols>
  <sheetData>
    <row r="1" spans="1:27" ht="21">
      <c r="O1" s="33"/>
      <c r="P1" s="33"/>
      <c r="Q1" s="92" t="s">
        <v>52</v>
      </c>
      <c r="R1" s="92"/>
      <c r="S1" s="92"/>
      <c r="T1" s="92"/>
    </row>
    <row r="2" spans="1:27" ht="21">
      <c r="O2" s="34" t="s">
        <v>65</v>
      </c>
      <c r="P2" s="57" t="s">
        <v>103</v>
      </c>
      <c r="Q2" s="19" t="s">
        <v>53</v>
      </c>
      <c r="R2" s="19" t="s">
        <v>54</v>
      </c>
      <c r="S2" s="19" t="s">
        <v>55</v>
      </c>
      <c r="T2" s="19" t="s">
        <v>56</v>
      </c>
      <c r="U2" s="19" t="s">
        <v>80</v>
      </c>
      <c r="Z2" s="78" t="s">
        <v>110</v>
      </c>
      <c r="AA2" s="78" t="s">
        <v>111</v>
      </c>
    </row>
    <row r="3" spans="1:27" ht="23.25">
      <c r="D3" s="30" t="s">
        <v>51</v>
      </c>
      <c r="E3" s="38"/>
      <c r="F3" s="38"/>
      <c r="G3" s="38"/>
      <c r="H3" s="38"/>
      <c r="I3" s="38"/>
      <c r="J3" s="39"/>
      <c r="K3" s="39"/>
      <c r="L3" s="39"/>
      <c r="N3" s="38" t="str">
        <f>D3</f>
        <v>All</v>
      </c>
      <c r="O3" s="32" t="b">
        <f>INDEX('Data Transformation'!$O$4:$O$25,MATCH($D3,'Data Transformation'!$M$4:$M$25,0),MATCH($O$2,'Data Transformation'!$O$3,0))</f>
        <v>0</v>
      </c>
      <c r="P3" s="36">
        <f>IF('Input and Summary Results'!$J$16="minimum",'Bin Analysis and Plots'!Z4/('Bin Analysis and Plots'!O3-1),'Bin Analysis and Plots'!AA3/('Bin Analysis and Plots'!O3-1))</f>
        <v>0</v>
      </c>
      <c r="Q3" s="36" t="e">
        <f>IF(O3=FALSE,NA(),(VLOOKUP(1,E6:M25,4,FALSE)/(O3-1)))</f>
        <v>#N/A</v>
      </c>
      <c r="R3" s="36" t="e">
        <f>IF(O3=FALSE,NA(),SUM(L6:L25)/Weighting!$R$5)</f>
        <v>#N/A</v>
      </c>
      <c r="S3" s="36" t="e">
        <f>IF(O3=FALSE,NA(),SUM(M6:M25)/Weighting!$R$6)</f>
        <v>#N/A</v>
      </c>
      <c r="T3" s="36" t="e">
        <f>IF(O3=FALSE,NA(),(VLOOKUP(1,I6:M25,3,FALSE))/(O3-1))</f>
        <v>#N/A</v>
      </c>
      <c r="U3" s="31" t="e">
        <f>IF(O3=FALSE,NA(),IF(SUM(L6:L25)=2,"yes","no"))</f>
        <v>#N/A</v>
      </c>
      <c r="Z3" s="78" cm="1">
        <f t="array" ref="Z3:Z4">FREQUENCY('Data Transformation'!$G$24:$G$404,'Data Transformation'!$U$11)</f>
        <v>0</v>
      </c>
      <c r="AA3" s="78" cm="1">
        <f t="array" ref="AA3:AA4">FREQUENCY('Data Transformation'!$G$24:$G$404,'Data Transformation'!$U$12)</f>
        <v>0</v>
      </c>
    </row>
    <row r="4" spans="1:27" ht="21">
      <c r="D4" t="s">
        <v>50</v>
      </c>
      <c r="E4" t="s">
        <v>5</v>
      </c>
      <c r="F4" t="s">
        <v>97</v>
      </c>
      <c r="G4" t="s">
        <v>100</v>
      </c>
      <c r="H4" t="s">
        <v>101</v>
      </c>
      <c r="I4" t="s">
        <v>74</v>
      </c>
      <c r="J4" t="s">
        <v>34</v>
      </c>
      <c r="K4" t="s">
        <v>35</v>
      </c>
      <c r="L4" t="s">
        <v>49</v>
      </c>
      <c r="M4" s="14" t="s">
        <v>48</v>
      </c>
      <c r="Z4" s="78">
        <v>0</v>
      </c>
      <c r="AA4" s="78">
        <v>0</v>
      </c>
    </row>
    <row r="5" spans="1:27">
      <c r="F5" t="e">
        <f>IF(E5=1,'Data Transformation'!$G$3+0.5*'Data Transformation'!$U$25,IF(E6=1,F6-'Data Transformation'!$U$25,FALSE))</f>
        <v>#NUM!</v>
      </c>
      <c r="G5">
        <f>IF(ISLOGICAL(F5),"",FREQUENCY('Data Transformation'!$G$24:$G$404,'Bin Analysis and Plots'!F5))</f>
        <v>0</v>
      </c>
      <c r="H5" t="e">
        <f>IF(ISLOGICAL(F5),"",G5-G4)</f>
        <v>#VALUE!</v>
      </c>
    </row>
    <row r="6" spans="1:27">
      <c r="C6" s="41" t="e">
        <f>IF(Weighting!$O$6&gt;0,D6,"")</f>
        <v>#NUM!</v>
      </c>
      <c r="D6" t="e">
        <f>Weighting!$C$6</f>
        <v>#DIV/0!</v>
      </c>
      <c r="E6" t="e">
        <f>Weighting!$E$6</f>
        <v>#NUM!</v>
      </c>
      <c r="F6" t="e">
        <f>IF(E6=1,'Data Transformation'!$G$3+0.5*'Data Transformation'!$U$25,IF(E7=1,F7-'Data Transformation'!$U$25,FALSE))</f>
        <v>#NUM!</v>
      </c>
      <c r="G6">
        <f>IF(ISLOGICAL(F6),"",FREQUENCY('Data Transformation'!$G$24:$G$404,'Bin Analysis and Plots'!F6))</f>
        <v>0</v>
      </c>
      <c r="H6">
        <f>IF(ISLOGICAL(F6),"",G6-G5)</f>
        <v>0</v>
      </c>
      <c r="I6">
        <f>Weighting!$G$6</f>
        <v>1</v>
      </c>
      <c r="J6">
        <f>FREQUENCY('Data Transformation'!$G$24:$G$404, $D6)</f>
        <v>0</v>
      </c>
      <c r="K6" t="e">
        <f t="shared" ref="K6:K25" si="0">J6-J5+E6</f>
        <v>#NUM!</v>
      </c>
      <c r="L6" t="e">
        <f>IF(K6=0,0,1)</f>
        <v>#NUM!</v>
      </c>
      <c r="M6" t="e">
        <f>L6*Weighting!$V$6</f>
        <v>#NUM!</v>
      </c>
    </row>
    <row r="7" spans="1:27">
      <c r="C7" s="41" t="str">
        <f>IF(Weighting!$O$7&gt;0,D7,"")</f>
        <v/>
      </c>
      <c r="D7" t="e">
        <f>Weighting!$C$7</f>
        <v>#DIV/0!</v>
      </c>
      <c r="E7" t="e">
        <f>Weighting!$E$7</f>
        <v>#NUM!</v>
      </c>
      <c r="F7" t="e">
        <f>IF(E7=1,'Data Transformation'!$G$3+0.5*'Data Transformation'!$U$25,IF(E8=1,F8-'Data Transformation'!$U$25,FALSE))</f>
        <v>#NUM!</v>
      </c>
      <c r="G7">
        <f>IF(ISLOGICAL(F7),"",FREQUENCY('Data Transformation'!$G$24:$G$404,'Bin Analysis and Plots'!F7))</f>
        <v>0</v>
      </c>
      <c r="H7">
        <f t="shared" ref="H7:H25" si="1">IF(ISLOGICAL(F7),"",G7-G6)</f>
        <v>0</v>
      </c>
      <c r="I7">
        <f>Weighting!$G$7</f>
        <v>0</v>
      </c>
      <c r="J7">
        <f>FREQUENCY('Data Transformation'!$G$24:$G$404, $D7)</f>
        <v>0</v>
      </c>
      <c r="K7" t="e">
        <f t="shared" si="0"/>
        <v>#NUM!</v>
      </c>
      <c r="L7" t="e">
        <f>IF(K7=0,0,1)</f>
        <v>#NUM!</v>
      </c>
      <c r="M7" t="e">
        <f>L7*Weighting!$V$7</f>
        <v>#NUM!</v>
      </c>
    </row>
    <row r="8" spans="1:27">
      <c r="C8" s="41" t="str">
        <f>IF(Weighting!$O$8&gt;0,D8,"")</f>
        <v/>
      </c>
      <c r="D8" t="e">
        <f>Weighting!$C$8</f>
        <v>#DIV/0!</v>
      </c>
      <c r="E8" t="e">
        <f>Weighting!$E$8</f>
        <v>#NUM!</v>
      </c>
      <c r="F8" t="e">
        <f>IF(E8=1,'Data Transformation'!$G$3+0.5*'Data Transformation'!$U$25,IF(E9=1,F9-'Data Transformation'!$U$25,FALSE))</f>
        <v>#NUM!</v>
      </c>
      <c r="G8">
        <f>IF(ISLOGICAL(F8),"",FREQUENCY('Data Transformation'!$G$24:$G$404,'Bin Analysis and Plots'!F8))</f>
        <v>0</v>
      </c>
      <c r="H8">
        <f t="shared" si="1"/>
        <v>0</v>
      </c>
      <c r="I8">
        <f>Weighting!$G$8</f>
        <v>0</v>
      </c>
      <c r="J8">
        <f>FREQUENCY('Data Transformation'!$G$24:$G$404, $D8)</f>
        <v>0</v>
      </c>
      <c r="K8" t="e">
        <f t="shared" si="0"/>
        <v>#NUM!</v>
      </c>
      <c r="L8" t="e">
        <f t="shared" ref="L8:L25" si="2">IF(K8=0,0,1)</f>
        <v>#NUM!</v>
      </c>
      <c r="M8" t="e">
        <f>L8*Weighting!$V$8</f>
        <v>#NUM!</v>
      </c>
    </row>
    <row r="9" spans="1:27">
      <c r="C9" s="41" t="str">
        <f>IF(Weighting!$O$9&gt;0,D9,"")</f>
        <v/>
      </c>
      <c r="D9" t="e">
        <f>Weighting!$C$9</f>
        <v>#DIV/0!</v>
      </c>
      <c r="E9" t="e">
        <f>Weighting!$E$9</f>
        <v>#NUM!</v>
      </c>
      <c r="F9" t="e">
        <f>IF(E9=1,'Data Transformation'!$G$3+0.5*'Data Transformation'!$U$25,IF(E10=1,F10-'Data Transformation'!$U$25,FALSE))</f>
        <v>#NUM!</v>
      </c>
      <c r="G9">
        <f>IF(ISLOGICAL(F9),"",FREQUENCY('Data Transformation'!$G$24:$G$404,'Bin Analysis and Plots'!F9))</f>
        <v>0</v>
      </c>
      <c r="H9">
        <f t="shared" si="1"/>
        <v>0</v>
      </c>
      <c r="I9">
        <f>Weighting!$G$9</f>
        <v>0</v>
      </c>
      <c r="J9">
        <f>FREQUENCY('Data Transformation'!$G$24:$G$404, $D9)</f>
        <v>0</v>
      </c>
      <c r="K9" t="e">
        <f t="shared" si="0"/>
        <v>#NUM!</v>
      </c>
      <c r="L9" t="e">
        <f t="shared" si="2"/>
        <v>#NUM!</v>
      </c>
      <c r="M9" t="e">
        <f>L9*Weighting!$V$9</f>
        <v>#NUM!</v>
      </c>
      <c r="Q9" s="35" t="s">
        <v>90</v>
      </c>
    </row>
    <row r="10" spans="1:27">
      <c r="C10" s="41" t="str">
        <f>IF(Weighting!$O$10&gt;0,D10,"")</f>
        <v/>
      </c>
      <c r="D10" t="e">
        <f>Weighting!$C$10</f>
        <v>#DIV/0!</v>
      </c>
      <c r="E10" t="e">
        <f>Weighting!$E$10</f>
        <v>#NUM!</v>
      </c>
      <c r="F10" t="e">
        <f>IF(E10=1,'Data Transformation'!$G$3+0.5*'Data Transformation'!$U$25,IF(E11=1,F11-'Data Transformation'!$U$25,FALSE))</f>
        <v>#NUM!</v>
      </c>
      <c r="G10">
        <f>IF(ISLOGICAL(F10),"",FREQUENCY('Data Transformation'!$G$24:$G$404,'Bin Analysis and Plots'!F10))</f>
        <v>0</v>
      </c>
      <c r="H10">
        <f t="shared" si="1"/>
        <v>0</v>
      </c>
      <c r="I10">
        <f>Weighting!$G$10</f>
        <v>0</v>
      </c>
      <c r="J10">
        <f>FREQUENCY('Data Transformation'!$G$24:$G$404, $D10)</f>
        <v>0</v>
      </c>
      <c r="K10" t="e">
        <f t="shared" si="0"/>
        <v>#NUM!</v>
      </c>
      <c r="L10" t="e">
        <f t="shared" si="2"/>
        <v>#NUM!</v>
      </c>
      <c r="M10" t="e">
        <f>L10*Weighting!$V$10</f>
        <v>#NUM!</v>
      </c>
    </row>
    <row r="11" spans="1:27">
      <c r="C11" s="41" t="str">
        <f>IF(Weighting!$O$11&gt;0,D11,"")</f>
        <v/>
      </c>
      <c r="D11" t="e">
        <f>Weighting!$C$11</f>
        <v>#DIV/0!</v>
      </c>
      <c r="E11" t="e">
        <f>Weighting!$E$11</f>
        <v>#NUM!</v>
      </c>
      <c r="F11" t="e">
        <f>IF(E11=1,'Data Transformation'!$G$3+0.5*'Data Transformation'!$U$25,IF(E12=1,F12-'Data Transformation'!$U$25,FALSE))</f>
        <v>#NUM!</v>
      </c>
      <c r="G11">
        <f>IF(ISLOGICAL(F11),"",FREQUENCY('Data Transformation'!$G$24:$G$404,'Bin Analysis and Plots'!F11))</f>
        <v>0</v>
      </c>
      <c r="H11">
        <f t="shared" si="1"/>
        <v>0</v>
      </c>
      <c r="I11">
        <f>Weighting!$G$11</f>
        <v>0</v>
      </c>
      <c r="J11">
        <f>FREQUENCY('Data Transformation'!$G$24:$G$404, $D11)</f>
        <v>0</v>
      </c>
      <c r="K11" t="e">
        <f t="shared" si="0"/>
        <v>#NUM!</v>
      </c>
      <c r="L11" t="e">
        <f t="shared" si="2"/>
        <v>#NUM!</v>
      </c>
      <c r="M11" t="e">
        <f>L11*Weighting!$V$11</f>
        <v>#NUM!</v>
      </c>
    </row>
    <row r="12" spans="1:27">
      <c r="C12" s="41" t="str">
        <f>IF(Weighting!$O$12&gt;0,D12,"")</f>
        <v/>
      </c>
      <c r="D12" t="e">
        <f>Weighting!$C$12</f>
        <v>#DIV/0!</v>
      </c>
      <c r="E12" t="e">
        <f>Weighting!$E$12</f>
        <v>#NUM!</v>
      </c>
      <c r="F12" t="e">
        <f>IF(E12=1,'Data Transformation'!$G$3+0.5*'Data Transformation'!$U$25,IF(E13=1,F13-'Data Transformation'!$U$25,FALSE))</f>
        <v>#NUM!</v>
      </c>
      <c r="G12">
        <f>IF(ISLOGICAL(F12),"",FREQUENCY('Data Transformation'!$G$24:$G$404,'Bin Analysis and Plots'!F12))</f>
        <v>0</v>
      </c>
      <c r="H12">
        <f t="shared" si="1"/>
        <v>0</v>
      </c>
      <c r="I12">
        <f>Weighting!$G$12</f>
        <v>0</v>
      </c>
      <c r="J12">
        <f>FREQUENCY('Data Transformation'!$G$24:$G$404, $D12)</f>
        <v>0</v>
      </c>
      <c r="K12" t="e">
        <f t="shared" si="0"/>
        <v>#NUM!</v>
      </c>
      <c r="L12" t="e">
        <f t="shared" si="2"/>
        <v>#NUM!</v>
      </c>
      <c r="M12" t="e">
        <f>L12*Weighting!$V$12</f>
        <v>#NUM!</v>
      </c>
    </row>
    <row r="13" spans="1:27">
      <c r="C13" s="41" t="str">
        <f>IF(Weighting!$O$13&gt;0,D13,"")</f>
        <v/>
      </c>
      <c r="D13" t="e">
        <f>Weighting!$C$13</f>
        <v>#DIV/0!</v>
      </c>
      <c r="E13" t="e">
        <f>Weighting!$E$13</f>
        <v>#NUM!</v>
      </c>
      <c r="F13" t="e">
        <f>IF(E13=1,'Data Transformation'!$G$3+0.5*'Data Transformation'!$U$25,IF(E14=1,F14-'Data Transformation'!$U$25,FALSE))</f>
        <v>#NUM!</v>
      </c>
      <c r="G13">
        <f>IF(ISLOGICAL(F13),"",FREQUENCY('Data Transformation'!$G$24:$G$404,'Bin Analysis and Plots'!F13))</f>
        <v>0</v>
      </c>
      <c r="H13">
        <f t="shared" si="1"/>
        <v>0</v>
      </c>
      <c r="I13">
        <f>Weighting!$G$13</f>
        <v>0</v>
      </c>
      <c r="J13">
        <f>FREQUENCY('Data Transformation'!$G$24:$G$404, $D13)</f>
        <v>0</v>
      </c>
      <c r="K13" t="e">
        <f t="shared" si="0"/>
        <v>#NUM!</v>
      </c>
      <c r="L13" t="e">
        <f t="shared" si="2"/>
        <v>#NUM!</v>
      </c>
      <c r="M13" t="e">
        <f>L13*Weighting!$V$13</f>
        <v>#NUM!</v>
      </c>
    </row>
    <row r="14" spans="1:27">
      <c r="C14" s="41" t="str">
        <f>IF(Weighting!$O$14&gt;0,D14,"")</f>
        <v/>
      </c>
      <c r="D14" t="e">
        <f>Weighting!$C$14</f>
        <v>#DIV/0!</v>
      </c>
      <c r="E14" t="e">
        <f>Weighting!$E$14</f>
        <v>#NUM!</v>
      </c>
      <c r="F14" t="e">
        <f>IF(E14=1,'Data Transformation'!$G$3+0.5*'Data Transformation'!$U$25,IF(E15=1,F15-'Data Transformation'!$U$25,FALSE))</f>
        <v>#NUM!</v>
      </c>
      <c r="G14">
        <f>IF(ISLOGICAL(F14),"",FREQUENCY('Data Transformation'!$G$24:$G$404,'Bin Analysis and Plots'!F14))</f>
        <v>0</v>
      </c>
      <c r="H14">
        <f t="shared" si="1"/>
        <v>0</v>
      </c>
      <c r="I14">
        <f>Weighting!$G$14</f>
        <v>0</v>
      </c>
      <c r="J14">
        <f>FREQUENCY('Data Transformation'!$G$24:$G$404, $D14)</f>
        <v>0</v>
      </c>
      <c r="K14" t="e">
        <f t="shared" si="0"/>
        <v>#NUM!</v>
      </c>
      <c r="L14" t="e">
        <f t="shared" si="2"/>
        <v>#NUM!</v>
      </c>
      <c r="M14" t="e">
        <f>L14*Weighting!$V$14</f>
        <v>#NUM!</v>
      </c>
    </row>
    <row r="15" spans="1:27">
      <c r="C15" s="41" t="str">
        <f>IF(Weighting!$O$15&gt;0,D15,"")</f>
        <v/>
      </c>
      <c r="D15" t="e">
        <f>Weighting!$C$15</f>
        <v>#DIV/0!</v>
      </c>
      <c r="E15" t="e">
        <f>Weighting!$E$15</f>
        <v>#NUM!</v>
      </c>
      <c r="F15" t="e">
        <f>IF(E15=1,'Data Transformation'!$G$3+0.5*'Data Transformation'!$U$25,IF(E16=1,F16-'Data Transformation'!$U$25,FALSE))</f>
        <v>#NUM!</v>
      </c>
      <c r="G15">
        <f>IF(ISLOGICAL(F15),"",FREQUENCY('Data Transformation'!$G$24:$G$404,'Bin Analysis and Plots'!F15))</f>
        <v>0</v>
      </c>
      <c r="H15">
        <f t="shared" si="1"/>
        <v>0</v>
      </c>
      <c r="I15">
        <f>Weighting!$G$15</f>
        <v>0</v>
      </c>
      <c r="J15">
        <f>FREQUENCY('Data Transformation'!$G$24:$G$404, $D15)</f>
        <v>0</v>
      </c>
      <c r="K15" t="e">
        <f t="shared" si="0"/>
        <v>#NUM!</v>
      </c>
      <c r="L15" t="e">
        <f t="shared" si="2"/>
        <v>#NUM!</v>
      </c>
      <c r="M15" t="e">
        <f>L15*Weighting!$V$15</f>
        <v>#NUM!</v>
      </c>
    </row>
    <row r="16" spans="1:27">
      <c r="A16" t="str">
        <f>""</f>
        <v/>
      </c>
      <c r="C16" s="41" t="str">
        <f>IF(Weighting!$O$16&gt;0,D16,"")</f>
        <v/>
      </c>
      <c r="D16" t="e">
        <f>Weighting!$C$16</f>
        <v>#DIV/0!</v>
      </c>
      <c r="E16" t="e">
        <f>Weighting!$E$16</f>
        <v>#NUM!</v>
      </c>
      <c r="F16" t="e">
        <f>IF(E16=1,'Data Transformation'!$G$3+0.5*'Data Transformation'!$U$25,IF(E17=1,F17-'Data Transformation'!$U$25,FALSE))</f>
        <v>#NUM!</v>
      </c>
      <c r="G16">
        <f>IF(ISLOGICAL(F16),"",FREQUENCY('Data Transformation'!$G$24:$G$404,'Bin Analysis and Plots'!F16))</f>
        <v>0</v>
      </c>
      <c r="H16">
        <f t="shared" si="1"/>
        <v>0</v>
      </c>
      <c r="I16">
        <f>Weighting!$G$16</f>
        <v>0</v>
      </c>
      <c r="J16">
        <f>FREQUENCY('Data Transformation'!$G$24:$G$404, $D16)</f>
        <v>0</v>
      </c>
      <c r="K16" t="e">
        <f t="shared" si="0"/>
        <v>#NUM!</v>
      </c>
      <c r="L16" t="e">
        <f t="shared" si="2"/>
        <v>#NUM!</v>
      </c>
      <c r="M16" t="e">
        <f>L16*Weighting!$V$16</f>
        <v>#NUM!</v>
      </c>
    </row>
    <row r="17" spans="1:27">
      <c r="C17" s="41" t="str">
        <f>IF(Weighting!$O$17&gt;0,D17,"")</f>
        <v/>
      </c>
      <c r="D17" t="e">
        <f>Weighting!$C$17</f>
        <v>#DIV/0!</v>
      </c>
      <c r="E17" t="e">
        <f>Weighting!$E$17</f>
        <v>#NUM!</v>
      </c>
      <c r="F17" t="e">
        <f>IF(E17=1,'Data Transformation'!$G$3+0.5*'Data Transformation'!$U$25,IF(E18=1,F18-'Data Transformation'!$U$25,FALSE))</f>
        <v>#NUM!</v>
      </c>
      <c r="G17">
        <f>IF(ISLOGICAL(F17),"",FREQUENCY('Data Transformation'!$G$24:$G$404,'Bin Analysis and Plots'!F17))</f>
        <v>0</v>
      </c>
      <c r="H17">
        <f t="shared" si="1"/>
        <v>0</v>
      </c>
      <c r="I17">
        <f>Weighting!$G$17</f>
        <v>0</v>
      </c>
      <c r="J17">
        <f>FREQUENCY('Data Transformation'!$G$24:$G$404, $D17)</f>
        <v>0</v>
      </c>
      <c r="K17" t="e">
        <f t="shared" si="0"/>
        <v>#NUM!</v>
      </c>
      <c r="L17" t="e">
        <f t="shared" si="2"/>
        <v>#NUM!</v>
      </c>
      <c r="M17" t="e">
        <f>L17*Weighting!$V$17</f>
        <v>#NUM!</v>
      </c>
    </row>
    <row r="18" spans="1:27">
      <c r="C18" s="41" t="str">
        <f>IF(Weighting!$O$18&gt;0,D18,"")</f>
        <v/>
      </c>
      <c r="D18" t="e">
        <f>Weighting!$C$18</f>
        <v>#DIV/0!</v>
      </c>
      <c r="E18" t="e">
        <f>Weighting!$E$18</f>
        <v>#NUM!</v>
      </c>
      <c r="F18" t="e">
        <f>IF(E18=1,'Data Transformation'!$G$3+0.5*'Data Transformation'!$U$25,IF(E19=1,F19-'Data Transformation'!$U$25,FALSE))</f>
        <v>#NUM!</v>
      </c>
      <c r="G18">
        <f>IF(ISLOGICAL(F18),"",FREQUENCY('Data Transformation'!$G$24:$G$404,'Bin Analysis and Plots'!F18))</f>
        <v>0</v>
      </c>
      <c r="H18">
        <f t="shared" si="1"/>
        <v>0</v>
      </c>
      <c r="I18">
        <f>Weighting!$G$18</f>
        <v>0</v>
      </c>
      <c r="J18">
        <f>FREQUENCY('Data Transformation'!$G$24:$G$404, $D18)</f>
        <v>0</v>
      </c>
      <c r="K18" t="e">
        <f t="shared" si="0"/>
        <v>#NUM!</v>
      </c>
      <c r="L18" t="e">
        <f t="shared" si="2"/>
        <v>#NUM!</v>
      </c>
      <c r="M18" t="e">
        <f>L18*Weighting!$V$18</f>
        <v>#NUM!</v>
      </c>
    </row>
    <row r="19" spans="1:27">
      <c r="C19" s="41" t="str">
        <f>IF(Weighting!$O$19&gt;0,D19,"")</f>
        <v/>
      </c>
      <c r="D19" t="e">
        <f>Weighting!$C$19</f>
        <v>#DIV/0!</v>
      </c>
      <c r="E19" t="e">
        <f>Weighting!$E$19</f>
        <v>#NUM!</v>
      </c>
      <c r="F19" t="e">
        <f>IF(E19=1,'Data Transformation'!$G$3+0.5*'Data Transformation'!$U$25,IF(E20=1,F20-'Data Transformation'!$U$25,FALSE))</f>
        <v>#NUM!</v>
      </c>
      <c r="G19">
        <f>IF(ISLOGICAL(F19),"",FREQUENCY('Data Transformation'!$G$24:$G$404,'Bin Analysis and Plots'!F19))</f>
        <v>0</v>
      </c>
      <c r="H19">
        <f t="shared" si="1"/>
        <v>0</v>
      </c>
      <c r="I19">
        <f>Weighting!$G$19</f>
        <v>0</v>
      </c>
      <c r="J19">
        <f>FREQUENCY('Data Transformation'!$G$24:$G$404, $D19)</f>
        <v>0</v>
      </c>
      <c r="K19" t="e">
        <f t="shared" si="0"/>
        <v>#NUM!</v>
      </c>
      <c r="L19" t="e">
        <f t="shared" si="2"/>
        <v>#NUM!</v>
      </c>
      <c r="M19" t="e">
        <f>L19*Weighting!$V$19</f>
        <v>#NUM!</v>
      </c>
    </row>
    <row r="20" spans="1:27">
      <c r="C20" s="41" t="str">
        <f>IF(Weighting!$O$20&gt;0,D20,"")</f>
        <v/>
      </c>
      <c r="D20" t="e">
        <f>Weighting!$C$20</f>
        <v>#DIV/0!</v>
      </c>
      <c r="E20" t="e">
        <f>Weighting!$E$20</f>
        <v>#NUM!</v>
      </c>
      <c r="F20" t="e">
        <f>IF(E20=1,'Data Transformation'!$G$3+0.5*'Data Transformation'!$U$25,IF(E21=1,F21-'Data Transformation'!$U$25,FALSE))</f>
        <v>#NUM!</v>
      </c>
      <c r="G20">
        <f>IF(ISLOGICAL(F20),"",FREQUENCY('Data Transformation'!$G$24:$G$404,'Bin Analysis and Plots'!F20))</f>
        <v>0</v>
      </c>
      <c r="H20">
        <f t="shared" si="1"/>
        <v>0</v>
      </c>
      <c r="I20">
        <f>Weighting!$G$20</f>
        <v>0</v>
      </c>
      <c r="J20">
        <f>FREQUENCY('Data Transformation'!$G$24:$G$404, $D20)</f>
        <v>0</v>
      </c>
      <c r="K20" t="e">
        <f t="shared" si="0"/>
        <v>#NUM!</v>
      </c>
      <c r="L20" t="e">
        <f t="shared" si="2"/>
        <v>#NUM!</v>
      </c>
      <c r="M20" t="e">
        <f>L20*Weighting!$V$20</f>
        <v>#NUM!</v>
      </c>
    </row>
    <row r="21" spans="1:27">
      <c r="C21" s="41" t="str">
        <f>IF(Weighting!$O$21&gt;0,D21,"")</f>
        <v/>
      </c>
      <c r="D21" t="e">
        <f>Weighting!$C$21</f>
        <v>#DIV/0!</v>
      </c>
      <c r="E21" t="e">
        <f>Weighting!$E$21</f>
        <v>#NUM!</v>
      </c>
      <c r="F21" t="e">
        <f>IF(E21=1,'Data Transformation'!$G$3+0.5*'Data Transformation'!$U$25,IF(E22=1,F22-'Data Transformation'!$U$25,FALSE))</f>
        <v>#NUM!</v>
      </c>
      <c r="G21">
        <f>IF(ISLOGICAL(F21),"",FREQUENCY('Data Transformation'!$G$24:$G$404,'Bin Analysis and Plots'!F21))</f>
        <v>0</v>
      </c>
      <c r="H21">
        <f t="shared" si="1"/>
        <v>0</v>
      </c>
      <c r="I21">
        <f>Weighting!$G$21</f>
        <v>0</v>
      </c>
      <c r="J21">
        <f>FREQUENCY('Data Transformation'!$G$24:$G$404, $D21)</f>
        <v>0</v>
      </c>
      <c r="K21" t="e">
        <f t="shared" si="0"/>
        <v>#NUM!</v>
      </c>
      <c r="L21" t="e">
        <f t="shared" si="2"/>
        <v>#NUM!</v>
      </c>
      <c r="M21" t="e">
        <f>L21*Weighting!$V$21</f>
        <v>#NUM!</v>
      </c>
    </row>
    <row r="22" spans="1:27">
      <c r="C22" s="41" t="str">
        <f>IF(Weighting!$O$22&gt;0,D22,"")</f>
        <v/>
      </c>
      <c r="D22" t="e">
        <f>Weighting!$C$22</f>
        <v>#DIV/0!</v>
      </c>
      <c r="E22" t="e">
        <f>Weighting!$E$22</f>
        <v>#NUM!</v>
      </c>
      <c r="F22" t="e">
        <f>IF(E22=1,'Data Transformation'!$G$3+0.5*'Data Transformation'!$U$25,IF(E23=1,F23-'Data Transformation'!$U$25,FALSE))</f>
        <v>#NUM!</v>
      </c>
      <c r="G22">
        <f>IF(ISLOGICAL(F22),"",FREQUENCY('Data Transformation'!$G$24:$G$404,'Bin Analysis and Plots'!F22))</f>
        <v>0</v>
      </c>
      <c r="H22">
        <f t="shared" si="1"/>
        <v>0</v>
      </c>
      <c r="I22">
        <f>Weighting!$G$22</f>
        <v>0</v>
      </c>
      <c r="J22">
        <f>FREQUENCY('Data Transformation'!$G$24:$G$404, $D22)</f>
        <v>0</v>
      </c>
      <c r="K22" t="e">
        <f t="shared" si="0"/>
        <v>#NUM!</v>
      </c>
      <c r="L22" t="e">
        <f t="shared" si="2"/>
        <v>#NUM!</v>
      </c>
      <c r="M22" t="e">
        <f>L22*Weighting!$V$22</f>
        <v>#NUM!</v>
      </c>
    </row>
    <row r="23" spans="1:27">
      <c r="C23" s="41" t="str">
        <f>IF(Weighting!$O$23&gt;0,D23,"")</f>
        <v/>
      </c>
      <c r="D23" t="e">
        <f>Weighting!$C$23</f>
        <v>#DIV/0!</v>
      </c>
      <c r="E23" t="e">
        <f>Weighting!$E$23</f>
        <v>#NUM!</v>
      </c>
      <c r="F23" t="e">
        <f>IF(E23=1,'Data Transformation'!$G$3+0.5*'Data Transformation'!$U$25,IF(E24=1,F24-'Data Transformation'!$U$25,FALSE))</f>
        <v>#NUM!</v>
      </c>
      <c r="G23">
        <f>IF(ISLOGICAL(F23),"",FREQUENCY('Data Transformation'!$G$24:$G$404,'Bin Analysis and Plots'!F23))</f>
        <v>0</v>
      </c>
      <c r="H23">
        <f t="shared" si="1"/>
        <v>0</v>
      </c>
      <c r="I23">
        <f>Weighting!$G$23</f>
        <v>0</v>
      </c>
      <c r="J23">
        <f>FREQUENCY('Data Transformation'!$G$24:$G$404, $D23)</f>
        <v>0</v>
      </c>
      <c r="K23" t="e">
        <f t="shared" si="0"/>
        <v>#NUM!</v>
      </c>
      <c r="L23" t="e">
        <f t="shared" si="2"/>
        <v>#NUM!</v>
      </c>
      <c r="M23" t="e">
        <f>L23*Weighting!$V$23</f>
        <v>#NUM!</v>
      </c>
    </row>
    <row r="24" spans="1:27">
      <c r="C24" s="41" t="str">
        <f>IF(Weighting!$O$24&gt;0,D24,"")</f>
        <v/>
      </c>
      <c r="D24" t="e">
        <f>Weighting!$C$24</f>
        <v>#DIV/0!</v>
      </c>
      <c r="E24" t="e">
        <f>Weighting!$E$24</f>
        <v>#NUM!</v>
      </c>
      <c r="F24" t="e">
        <f>IF(E24=1,'Data Transformation'!$G$3+0.5*'Data Transformation'!$U$25,IF(E25=1,F25-'Data Transformation'!$U$25,FALSE))</f>
        <v>#NUM!</v>
      </c>
      <c r="G24">
        <f>IF(ISLOGICAL(F24),"",FREQUENCY('Data Transformation'!$G$24:$G$404,'Bin Analysis and Plots'!F24))</f>
        <v>0</v>
      </c>
      <c r="H24">
        <f t="shared" si="1"/>
        <v>0</v>
      </c>
      <c r="I24">
        <f>Weighting!$G$24</f>
        <v>0</v>
      </c>
      <c r="J24">
        <f>FREQUENCY('Data Transformation'!$G$24:$G$404, $D24)</f>
        <v>0</v>
      </c>
      <c r="K24" t="e">
        <f t="shared" si="0"/>
        <v>#NUM!</v>
      </c>
      <c r="L24" t="e">
        <f t="shared" si="2"/>
        <v>#NUM!</v>
      </c>
      <c r="M24" t="e">
        <f>L24*Weighting!$V$24</f>
        <v>#NUM!</v>
      </c>
    </row>
    <row r="25" spans="1:27">
      <c r="C25" s="41" t="str">
        <f>IF(Weighting!$O$25&gt;0,D25,"")</f>
        <v/>
      </c>
      <c r="D25" t="e">
        <f>Weighting!$C$25</f>
        <v>#DIV/0!</v>
      </c>
      <c r="E25" t="e">
        <f>Weighting!$E$25</f>
        <v>#NUM!</v>
      </c>
      <c r="F25" t="e">
        <f>IF(E25=1,'Data Transformation'!$G$3+0.5*'Data Transformation'!$U$25,IF(E26=1,F26-'Data Transformation'!$U$25,FALSE))</f>
        <v>#NUM!</v>
      </c>
      <c r="G25">
        <f>IF(ISLOGICAL(F25),"",FREQUENCY('Data Transformation'!$G$24:$G$404,'Bin Analysis and Plots'!F25))</f>
        <v>0</v>
      </c>
      <c r="H25">
        <f t="shared" si="1"/>
        <v>0</v>
      </c>
      <c r="I25">
        <f>Weighting!$G$25</f>
        <v>0</v>
      </c>
      <c r="J25">
        <f>FREQUENCY('Data Transformation'!$G$24:$G$404, $D25)</f>
        <v>0</v>
      </c>
      <c r="K25" t="e">
        <f t="shared" si="0"/>
        <v>#NUM!</v>
      </c>
      <c r="L25" t="e">
        <f t="shared" si="2"/>
        <v>#NUM!</v>
      </c>
      <c r="M25" t="e">
        <f>L25*Weighting!$V$25</f>
        <v>#NUM!</v>
      </c>
    </row>
    <row r="27" spans="1:27" ht="23.25">
      <c r="A27" s="30"/>
      <c r="C27" s="30" t="s">
        <v>0</v>
      </c>
      <c r="D27" s="30" t="str">
        <f>'Input and Summary Results'!G8</f>
        <v xml:space="preserve"> </v>
      </c>
      <c r="E27" s="30"/>
      <c r="F27" s="30"/>
      <c r="G27" s="30"/>
      <c r="H27" s="30"/>
      <c r="I27" s="36"/>
      <c r="J27" s="30"/>
      <c r="K27" s="31"/>
      <c r="N27" s="30" t="str">
        <f>D27</f>
        <v xml:space="preserve"> </v>
      </c>
      <c r="O27" s="32" t="e">
        <f>INDEX('Data Transformation'!$O$4:$O$25,MATCH($D27,'Data Transformation'!$M$4:$M$25,0),MATCH($O$2,'Data Transformation'!$O$3,0))</f>
        <v>#N/A</v>
      </c>
      <c r="P27" s="36" t="e">
        <f>IF('Input and Summary Results'!$J$16="minimum",'Bin Analysis and Plots'!Z28/('Bin Analysis and Plots'!O27-1),'Bin Analysis and Plots'!AA27/('Bin Analysis and Plots'!O27-1))</f>
        <v>#N/A</v>
      </c>
      <c r="Q27" s="36" t="e">
        <f>IF(O27=FALSE,NA(),(VLOOKUP(1,E30:M49,4,FALSE))/(O27-1))</f>
        <v>#N/A</v>
      </c>
      <c r="R27" s="36" t="e">
        <f>IF(O27=FALSE,NA(),SUM(L30:L49)/Weighting!$R$5)</f>
        <v>#N/A</v>
      </c>
      <c r="S27" s="36" t="e">
        <f>IF(O27=FALSE,NA(),SUM(M30:M49)/Weighting!$R$6)</f>
        <v>#N/A</v>
      </c>
      <c r="T27" s="36" t="e">
        <f>IF(O27=FALSE,NA(),(VLOOKUP(1,I30:M49,3,FALSE))/(O27-1))</f>
        <v>#N/A</v>
      </c>
      <c r="U27" s="31" t="e">
        <f>IF(O27=FALSE,NA(),IF(SUM(L30:L49)=2,"yes","no"))</f>
        <v>#N/A</v>
      </c>
      <c r="V27" s="30"/>
      <c r="W27" s="30"/>
      <c r="X27" s="30"/>
      <c r="Y27" s="30"/>
      <c r="Z27" s="78" cm="1">
        <f t="array" ref="Z27:Z28">FREQUENCY(IF('Data Transformation'!$B$24:$B$404='Bin Analysis and Plots'!N27,'Data Transformation'!$G$24:$G$404),'Data Transformation'!$U$11)</f>
        <v>0</v>
      </c>
      <c r="AA27" s="78" cm="1">
        <f t="array" ref="AA27:AA28">FREQUENCY(IF('Data Transformation'!$B$24:$B$404='Bin Analysis and Plots'!N27,'Data Transformation'!$G$24:$G$404),'Data Transformation'!$U$12)</f>
        <v>0</v>
      </c>
    </row>
    <row r="28" spans="1:27" ht="21">
      <c r="A28" s="91" t="s">
        <v>64</v>
      </c>
      <c r="B28" s="91"/>
      <c r="C28" s="14" t="s">
        <v>72</v>
      </c>
      <c r="D28" t="s">
        <v>50</v>
      </c>
      <c r="E28" t="s">
        <v>96</v>
      </c>
      <c r="F28" t="s">
        <v>97</v>
      </c>
      <c r="G28" t="s">
        <v>100</v>
      </c>
      <c r="H28" t="s">
        <v>101</v>
      </c>
      <c r="I28" t="s">
        <v>74</v>
      </c>
      <c r="J28" t="s">
        <v>34</v>
      </c>
      <c r="K28" t="s">
        <v>35</v>
      </c>
      <c r="L28" t="s">
        <v>49</v>
      </c>
      <c r="M28" s="14" t="s">
        <v>48</v>
      </c>
      <c r="Z28" s="78">
        <v>0</v>
      </c>
      <c r="AA28" s="78">
        <v>0</v>
      </c>
    </row>
    <row r="29" spans="1:27">
      <c r="F29" t="e">
        <f>IF(E29=1,'Data Transformation'!$G$3+0.5*'Data Transformation'!$U$25,IF(E30=1,F30-'Data Transformation'!$U$25,FALSE))</f>
        <v>#NUM!</v>
      </c>
      <c r="G29">
        <f t="array" ref="G29">IF(ISLOGICAL(F29),"",FREQUENCY(IF('Data Transformation'!$B$24:$B$404='Bin Analysis and Plots'!$D$27,'Data Transformation'!$G$24:$G$404),'Bin Analysis and Plots'!F29))</f>
        <v>0</v>
      </c>
      <c r="H29" t="e">
        <f>IF(ISLOGICAL(F29),"",G29-G28)</f>
        <v>#VALUE!</v>
      </c>
    </row>
    <row r="30" spans="1:27">
      <c r="A30" s="29" t="b">
        <f t="array" ref="A30">IF(ISERROR(INDEX('Data Transformation'!$B$4:$G$450,SMALL(IF('Data Transformation'!$B$4:$B$450='Bin Analysis and Plots'!D27,ROW('Data Transformation'!$B$4:$B$450)),ROW($1:$1))-3,3)),"",INDEX('Data Transformation'!$B$4:$G$450,SMALL(IF('Data Transformation'!$B$4:$B$450='Bin Analysis and Plots'!D27,ROW('Data Transformation'!$B$4:$B$450)),ROW($1:$1))-3,6))</f>
        <v>0</v>
      </c>
      <c r="B30" s="29" t="str">
        <f>IFERROR(SMALL(A30:A49,'Data Transformation'!$L$6),"")</f>
        <v/>
      </c>
      <c r="C30" s="41" t="e">
        <f>IF(Weighting!$O$6&gt;0,D30,"")</f>
        <v>#NUM!</v>
      </c>
      <c r="D30" t="e">
        <f>Weighting!$C$6</f>
        <v>#DIV/0!</v>
      </c>
      <c r="E30" t="e">
        <f>Weighting!$E$6</f>
        <v>#NUM!</v>
      </c>
      <c r="F30" t="e">
        <f>IF(E30=1,'Data Transformation'!$G$3+0.5*'Data Transformation'!$U$25,IF(E31=1,F31-'Data Transformation'!$U$25,FALSE))</f>
        <v>#NUM!</v>
      </c>
      <c r="G30">
        <f t="array" ref="G30">IF(ISLOGICAL(F30),"",FREQUENCY(IF('Data Transformation'!$B$24:$B$404='Bin Analysis and Plots'!$D$27,'Data Transformation'!$G$24:$G$404),'Bin Analysis and Plots'!F30))</f>
        <v>0</v>
      </c>
      <c r="H30">
        <f>IF(ISLOGICAL(F30),"",G30-G29)</f>
        <v>0</v>
      </c>
      <c r="I30">
        <f>Weighting!$G$6</f>
        <v>1</v>
      </c>
      <c r="J30">
        <f t="array" ref="J30">FREQUENCY(IF('Data Transformation'!$B$4:$B$404=D27,'Data Transformation'!$G$4:$G$404),'Bin Analysis and Plots'!$D30)</f>
        <v>0</v>
      </c>
      <c r="K30">
        <f>J30-J29</f>
        <v>0</v>
      </c>
      <c r="L30">
        <f>IF(K30=0,0,1)</f>
        <v>0</v>
      </c>
      <c r="M30" t="e">
        <f>L30*Weighting!$V$6</f>
        <v>#NUM!</v>
      </c>
    </row>
    <row r="31" spans="1:27">
      <c r="A31" s="29" t="b">
        <f t="array" ref="A31">IF(ISERROR(INDEX('Data Transformation'!$B$4:$G$450,SMALL(IF('Data Transformation'!$B$4:$B$450='Bin Analysis and Plots'!D27,ROW('Data Transformation'!$B$4:$B$450)),ROW($2:$2))-3,3)),"",INDEX('Data Transformation'!$B$4:$G$450,SMALL(IF('Data Transformation'!$B$4:$B$450='Bin Analysis and Plots'!D27,ROW('Data Transformation'!$B$4:$B$450)),ROW($2:$2))-3,6))</f>
        <v>0</v>
      </c>
      <c r="B31" s="29" t="str">
        <f>IFERROR(SMALL(A30:A49,'Data Transformation'!$L$7),"")</f>
        <v/>
      </c>
      <c r="C31" s="41" t="str">
        <f>IF(Weighting!$O$7&gt;0,D31,"")</f>
        <v/>
      </c>
      <c r="D31" t="e">
        <f>Weighting!$C$7</f>
        <v>#DIV/0!</v>
      </c>
      <c r="E31" t="e">
        <f>Weighting!$E$7</f>
        <v>#NUM!</v>
      </c>
      <c r="F31" t="e">
        <f>IF(E31=1,'Data Transformation'!$G$3+0.5*'Data Transformation'!$U$25,IF(E32=1,F32-'Data Transformation'!$U$25,FALSE))</f>
        <v>#NUM!</v>
      </c>
      <c r="G31">
        <f t="array" ref="G31">IF(ISLOGICAL(F31),"",FREQUENCY(IF('Data Transformation'!$B$24:$B$404='Bin Analysis and Plots'!$D$27,'Data Transformation'!$G$24:$G$404),'Bin Analysis and Plots'!F31))</f>
        <v>0</v>
      </c>
      <c r="H31">
        <f t="shared" ref="H31:H49" si="3">IF(ISLOGICAL(F31),"",G31-G30)</f>
        <v>0</v>
      </c>
      <c r="I31">
        <f>Weighting!$G$7</f>
        <v>0</v>
      </c>
      <c r="J31">
        <f t="array" ref="J31">FREQUENCY(IF('Data Transformation'!$B$4:$B$404=D27,'Data Transformation'!$G$4:$G$404),'Bin Analysis and Plots'!$D31)</f>
        <v>0</v>
      </c>
      <c r="K31">
        <f t="shared" ref="K31:K49" si="4">J31-J30</f>
        <v>0</v>
      </c>
      <c r="L31">
        <f>IF(K31=0,0,1)</f>
        <v>0</v>
      </c>
      <c r="M31">
        <f>L31*Weighting!$V$7</f>
        <v>0</v>
      </c>
    </row>
    <row r="32" spans="1:27">
      <c r="A32" s="29" t="b">
        <f t="array" ref="A32">IF(ISERROR(INDEX('Data Transformation'!$B$4:$G$450,SMALL(IF('Data Transformation'!$B$4:$B$450='Bin Analysis and Plots'!D27,ROW('Data Transformation'!$B$4:$B$450)),ROW($3:$3))-3,3)),"",INDEX('Data Transformation'!$B$4:$G$450,SMALL(IF('Data Transformation'!$B$4:$B$450='Bin Analysis and Plots'!D27,ROW('Data Transformation'!$B$4:$B$450)),ROW($3:$3))-3,6))</f>
        <v>0</v>
      </c>
      <c r="B32" s="29" t="str">
        <f>IFERROR(SMALL(A30:A49,'Data Transformation'!$L$8),"")</f>
        <v/>
      </c>
      <c r="C32" s="41" t="str">
        <f>IF(Weighting!$O$8&gt;0,D32,"")</f>
        <v/>
      </c>
      <c r="D32" t="e">
        <f>Weighting!$C$8</f>
        <v>#DIV/0!</v>
      </c>
      <c r="E32" t="e">
        <f>Weighting!$E$8</f>
        <v>#NUM!</v>
      </c>
      <c r="F32" t="e">
        <f>IF(E32=1,'Data Transformation'!$G$3+0.5*'Data Transformation'!$U$25,IF(E33=1,F33-'Data Transformation'!$U$25,FALSE))</f>
        <v>#NUM!</v>
      </c>
      <c r="G32">
        <f t="array" ref="G32">IF(ISLOGICAL(F32),"",FREQUENCY(IF('Data Transformation'!$B$24:$B$404='Bin Analysis and Plots'!$D$27,'Data Transformation'!$G$24:$G$404),'Bin Analysis and Plots'!F32))</f>
        <v>0</v>
      </c>
      <c r="H32">
        <f t="shared" si="3"/>
        <v>0</v>
      </c>
      <c r="I32">
        <f>Weighting!$G$8</f>
        <v>0</v>
      </c>
      <c r="J32">
        <f t="array" ref="J32">FREQUENCY(IF('Data Transformation'!$B$4:$B$404=D27,'Data Transformation'!$G$4:$G$404),'Bin Analysis and Plots'!$D32)</f>
        <v>0</v>
      </c>
      <c r="K32">
        <f t="shared" si="4"/>
        <v>0</v>
      </c>
      <c r="L32">
        <f t="shared" ref="L32:L49" si="5">IF(K32=0,0,1)</f>
        <v>0</v>
      </c>
      <c r="M32">
        <f>L32*Weighting!$V$8</f>
        <v>0</v>
      </c>
    </row>
    <row r="33" spans="1:13">
      <c r="A33" s="29" t="b">
        <f t="array" ref="A33">IF(ISERROR(INDEX('Data Transformation'!$B$4:$G$450,SMALL(IF('Data Transformation'!$B$4:$B$450='Bin Analysis and Plots'!D27,ROW('Data Transformation'!$B$4:$B$450)),ROW($4:$4))-3,3)),"",INDEX('Data Transformation'!$B$4:$G$450,SMALL(IF('Data Transformation'!$B$4:$B$450='Bin Analysis and Plots'!D27,ROW('Data Transformation'!$B$4:$B$450)),ROW($4:$4))-3,6))</f>
        <v>0</v>
      </c>
      <c r="B33" s="29" t="str">
        <f>IFERROR(SMALL(A30:A49,'Data Transformation'!$L$9),"")</f>
        <v/>
      </c>
      <c r="C33" s="41" t="str">
        <f>IF(Weighting!$O$9&gt;0,D33,"")</f>
        <v/>
      </c>
      <c r="D33" t="e">
        <f>Weighting!$C$9</f>
        <v>#DIV/0!</v>
      </c>
      <c r="E33" t="e">
        <f>Weighting!$E$9</f>
        <v>#NUM!</v>
      </c>
      <c r="F33" t="e">
        <f>IF(E33=1,'Data Transformation'!$G$3+0.5*'Data Transformation'!$U$25,IF(E34=1,F34-'Data Transformation'!$U$25,FALSE))</f>
        <v>#NUM!</v>
      </c>
      <c r="G33">
        <f t="array" ref="G33">IF(ISLOGICAL(F33),"",FREQUENCY(IF('Data Transformation'!$B$24:$B$404='Bin Analysis and Plots'!$D$27,'Data Transformation'!$G$24:$G$404),'Bin Analysis and Plots'!F33))</f>
        <v>0</v>
      </c>
      <c r="H33">
        <f t="shared" si="3"/>
        <v>0</v>
      </c>
      <c r="I33">
        <f>Weighting!$G$9</f>
        <v>0</v>
      </c>
      <c r="J33">
        <f t="array" ref="J33">FREQUENCY(IF('Data Transformation'!$B$4:$B$404=D27,'Data Transformation'!$G$4:$G$404),'Bin Analysis and Plots'!$D33)</f>
        <v>0</v>
      </c>
      <c r="K33">
        <f t="shared" si="4"/>
        <v>0</v>
      </c>
      <c r="L33">
        <f t="shared" si="5"/>
        <v>0</v>
      </c>
      <c r="M33">
        <f>L33*Weighting!$V$9</f>
        <v>0</v>
      </c>
    </row>
    <row r="34" spans="1:13">
      <c r="A34" s="29" t="b">
        <f t="array" ref="A34">IF(ISERROR(INDEX('Data Transformation'!$B$4:$G$450,SMALL(IF('Data Transformation'!$B$4:$B$450='Bin Analysis and Plots'!D27,ROW('Data Transformation'!$B$4:$B$450)),ROW($5:$5))-3,3)),"",INDEX('Data Transformation'!$B$4:$G$450,SMALL(IF('Data Transformation'!$B$4:$B$450='Bin Analysis and Plots'!D27,ROW('Data Transformation'!$B$4:$B$450)),ROW($5:$5))-3,6))</f>
        <v>0</v>
      </c>
      <c r="B34" s="29" t="str">
        <f>IFERROR(SMALL(A30:A49,'Data Transformation'!$L$10),"")</f>
        <v/>
      </c>
      <c r="C34" s="41" t="str">
        <f>IF(Weighting!$O$10&gt;0,D34,"")</f>
        <v/>
      </c>
      <c r="D34" t="e">
        <f>Weighting!$C$10</f>
        <v>#DIV/0!</v>
      </c>
      <c r="E34" t="e">
        <f>Weighting!$E$10</f>
        <v>#NUM!</v>
      </c>
      <c r="F34" t="e">
        <f>IF(E34=1,'Data Transformation'!$G$3+0.5*'Data Transformation'!$U$25,IF(E35=1,F35-'Data Transformation'!$U$25,FALSE))</f>
        <v>#NUM!</v>
      </c>
      <c r="G34">
        <f t="array" ref="G34">IF(ISLOGICAL(F34),"",FREQUENCY(IF('Data Transformation'!$B$24:$B$404='Bin Analysis and Plots'!$D$27,'Data Transformation'!$G$24:$G$404),'Bin Analysis and Plots'!F34))</f>
        <v>0</v>
      </c>
      <c r="H34">
        <f t="shared" si="3"/>
        <v>0</v>
      </c>
      <c r="I34">
        <f>Weighting!$G$10</f>
        <v>0</v>
      </c>
      <c r="J34">
        <f t="array" ref="J34">FREQUENCY(IF('Data Transformation'!$B$4:$B$404=D27,'Data Transformation'!$G$4:$G$404),'Bin Analysis and Plots'!$D34)</f>
        <v>0</v>
      </c>
      <c r="K34">
        <f t="shared" si="4"/>
        <v>0</v>
      </c>
      <c r="L34">
        <f t="shared" si="5"/>
        <v>0</v>
      </c>
      <c r="M34">
        <f>L34*Weighting!$V$10</f>
        <v>0</v>
      </c>
    </row>
    <row r="35" spans="1:13">
      <c r="A35" s="29" t="b">
        <f t="array" ref="A35">IF(ISERROR(INDEX('Data Transformation'!$B$4:$G$450,SMALL(IF('Data Transformation'!$B$4:$B$450='Bin Analysis and Plots'!D27,ROW('Data Transformation'!$B$4:$B$450)),ROW($6:$6))-3,3)),"",INDEX('Data Transformation'!$B$4:$G$450,SMALL(IF('Data Transformation'!$B$4:$B$450='Bin Analysis and Plots'!D27,ROW('Data Transformation'!$B$4:$B$450)),ROW($6:$6))-3,6))</f>
        <v>0</v>
      </c>
      <c r="B35" s="29" t="str">
        <f>IFERROR(SMALL(A30:A49,'Data Transformation'!$L$11),"")</f>
        <v/>
      </c>
      <c r="C35" s="41" t="str">
        <f>IF(Weighting!$O$11&gt;0,D35,"")</f>
        <v/>
      </c>
      <c r="D35" t="e">
        <f>Weighting!$C$11</f>
        <v>#DIV/0!</v>
      </c>
      <c r="E35" t="e">
        <f>Weighting!$E$11</f>
        <v>#NUM!</v>
      </c>
      <c r="F35" t="e">
        <f>IF(E35=1,'Data Transformation'!$G$3+0.5*'Data Transformation'!$U$25,IF(E36=1,F36-'Data Transformation'!$U$25,FALSE))</f>
        <v>#NUM!</v>
      </c>
      <c r="G35">
        <f t="array" ref="G35">IF(ISLOGICAL(F35),"",FREQUENCY(IF('Data Transformation'!$B$24:$B$404='Bin Analysis and Plots'!$D$27,'Data Transformation'!$G$24:$G$404),'Bin Analysis and Plots'!F35))</f>
        <v>0</v>
      </c>
      <c r="H35">
        <f t="shared" si="3"/>
        <v>0</v>
      </c>
      <c r="I35">
        <f>Weighting!$G$11</f>
        <v>0</v>
      </c>
      <c r="J35">
        <f t="array" ref="J35">FREQUENCY(IF('Data Transformation'!$B$4:$B$404=D27,'Data Transformation'!$G$4:$G$404),'Bin Analysis and Plots'!$D35)</f>
        <v>0</v>
      </c>
      <c r="K35">
        <f t="shared" si="4"/>
        <v>0</v>
      </c>
      <c r="L35">
        <f t="shared" si="5"/>
        <v>0</v>
      </c>
      <c r="M35">
        <f>L35*Weighting!$V$11</f>
        <v>0</v>
      </c>
    </row>
    <row r="36" spans="1:13">
      <c r="A36" s="29" t="b">
        <f t="array" ref="A36">IF(ISERROR(INDEX('Data Transformation'!$B$4:$G$450,SMALL(IF('Data Transformation'!$B$4:$B$450='Bin Analysis and Plots'!D27,ROW('Data Transformation'!$B$4:$B$450)),ROW($7:$7))-3,3)),"",INDEX('Data Transformation'!$B$4:$G$450,SMALL(IF('Data Transformation'!$B$4:$B$450='Bin Analysis and Plots'!D27,ROW('Data Transformation'!$B$4:$B$450)),ROW($7:$7))-3,6))</f>
        <v>0</v>
      </c>
      <c r="B36" s="29" t="str">
        <f>IFERROR(SMALL(A30:A49,'Data Transformation'!$L$12),"")</f>
        <v/>
      </c>
      <c r="C36" s="41" t="str">
        <f>IF(Weighting!$O$12&gt;0,D36,"")</f>
        <v/>
      </c>
      <c r="D36" t="e">
        <f>Weighting!$C$12</f>
        <v>#DIV/0!</v>
      </c>
      <c r="E36" t="e">
        <f>Weighting!$E$12</f>
        <v>#NUM!</v>
      </c>
      <c r="F36" t="e">
        <f>IF(E36=1,'Data Transformation'!$G$3+0.5*'Data Transformation'!$U$25,IF(E37=1,F37-'Data Transformation'!$U$25,FALSE))</f>
        <v>#NUM!</v>
      </c>
      <c r="G36">
        <f t="array" ref="G36">IF(ISLOGICAL(F36),"",FREQUENCY(IF('Data Transformation'!$B$24:$B$404='Bin Analysis and Plots'!$D$27,'Data Transformation'!$G$24:$G$404),'Bin Analysis and Plots'!F36))</f>
        <v>0</v>
      </c>
      <c r="H36">
        <f t="shared" si="3"/>
        <v>0</v>
      </c>
      <c r="I36">
        <f>Weighting!$G$12</f>
        <v>0</v>
      </c>
      <c r="J36">
        <f t="array" ref="J36">FREQUENCY(IF('Data Transformation'!$B$4:$B$404=D27,'Data Transformation'!$G$4:$G$404),'Bin Analysis and Plots'!$D36)</f>
        <v>0</v>
      </c>
      <c r="K36">
        <f t="shared" si="4"/>
        <v>0</v>
      </c>
      <c r="L36">
        <f t="shared" si="5"/>
        <v>0</v>
      </c>
      <c r="M36">
        <f>L36*Weighting!$V$12</f>
        <v>0</v>
      </c>
    </row>
    <row r="37" spans="1:13">
      <c r="A37" s="29" t="b">
        <f t="array" ref="A37">IF(ISERROR(INDEX('Data Transformation'!$B$4:$G$450,SMALL(IF('Data Transformation'!$B$4:$B$450='Bin Analysis and Plots'!D27,ROW('Data Transformation'!$B$4:$B$450)),ROW($8:$8))-3,3)),"",INDEX('Data Transformation'!$B$4:$G$450,SMALL(IF('Data Transformation'!$B$4:$B$450='Bin Analysis and Plots'!D27,ROW('Data Transformation'!$B$4:$B$450)),ROW($8:$8))-3,6))</f>
        <v>0</v>
      </c>
      <c r="B37" s="29" t="str">
        <f>IFERROR(SMALL(A30:A49,'Data Transformation'!$L$13),"")</f>
        <v/>
      </c>
      <c r="C37" s="41" t="str">
        <f>IF(Weighting!$O$13&gt;0,D37,"")</f>
        <v/>
      </c>
      <c r="D37" t="e">
        <f>Weighting!$C$13</f>
        <v>#DIV/0!</v>
      </c>
      <c r="E37" t="e">
        <f>Weighting!$E$13</f>
        <v>#NUM!</v>
      </c>
      <c r="F37" t="e">
        <f>IF(E37=1,'Data Transformation'!$G$3+0.5*'Data Transformation'!$U$25,IF(E38=1,F38-'Data Transformation'!$U$25,FALSE))</f>
        <v>#NUM!</v>
      </c>
      <c r="G37">
        <f t="array" ref="G37">IF(ISLOGICAL(F37),"",FREQUENCY(IF('Data Transformation'!$B$24:$B$404='Bin Analysis and Plots'!$D$27,'Data Transformation'!$G$24:$G$404),'Bin Analysis and Plots'!F37))</f>
        <v>0</v>
      </c>
      <c r="H37">
        <f t="shared" si="3"/>
        <v>0</v>
      </c>
      <c r="I37">
        <f>Weighting!$G$13</f>
        <v>0</v>
      </c>
      <c r="J37">
        <f t="array" ref="J37">FREQUENCY(IF('Data Transformation'!$B$4:$B$404=D27,'Data Transformation'!$G$4:$G$404),'Bin Analysis and Plots'!$D37)</f>
        <v>0</v>
      </c>
      <c r="K37">
        <f t="shared" si="4"/>
        <v>0</v>
      </c>
      <c r="L37">
        <f t="shared" si="5"/>
        <v>0</v>
      </c>
      <c r="M37">
        <f>L37*Weighting!$V$13</f>
        <v>0</v>
      </c>
    </row>
    <row r="38" spans="1:13">
      <c r="A38" s="29" t="b">
        <f t="array" ref="A38">IF(ISERROR(INDEX('Data Transformation'!$B$4:$G$450,SMALL(IF('Data Transformation'!$B$4:$B$450='Bin Analysis and Plots'!D27,ROW('Data Transformation'!$B$4:$B$450)),ROW($9:$9))-3,3)),"",INDEX('Data Transformation'!$B$4:$G$450,SMALL(IF('Data Transformation'!$B$4:$B$450='Bin Analysis and Plots'!D27,ROW('Data Transformation'!$B$4:$B$450)),ROW($9:$9))-3,6))</f>
        <v>0</v>
      </c>
      <c r="B38" s="29" t="str">
        <f>IFERROR(SMALL(A30:A49,'Data Transformation'!$L$14),"")</f>
        <v/>
      </c>
      <c r="C38" s="41" t="str">
        <f>IF(Weighting!$O$14&gt;0,D38,"")</f>
        <v/>
      </c>
      <c r="D38" t="e">
        <f>Weighting!$C$14</f>
        <v>#DIV/0!</v>
      </c>
      <c r="E38" t="e">
        <f>Weighting!$E$14</f>
        <v>#NUM!</v>
      </c>
      <c r="F38" t="e">
        <f>IF(E38=1,'Data Transformation'!$G$3+0.5*'Data Transformation'!$U$25,IF(E39=1,F39-'Data Transformation'!$U$25,FALSE))</f>
        <v>#NUM!</v>
      </c>
      <c r="G38">
        <f t="array" ref="G38">IF(ISLOGICAL(F38),"",FREQUENCY(IF('Data Transformation'!$B$24:$B$404='Bin Analysis and Plots'!$D$27,'Data Transformation'!$G$24:$G$404),'Bin Analysis and Plots'!F38))</f>
        <v>0</v>
      </c>
      <c r="H38">
        <f t="shared" si="3"/>
        <v>0</v>
      </c>
      <c r="I38">
        <f>Weighting!$G$14</f>
        <v>0</v>
      </c>
      <c r="J38">
        <f t="array" ref="J38">FREQUENCY(IF('Data Transformation'!$B$4:$B$404=D27,'Data Transformation'!$G$4:$G$404),'Bin Analysis and Plots'!$D38)</f>
        <v>0</v>
      </c>
      <c r="K38">
        <f t="shared" si="4"/>
        <v>0</v>
      </c>
      <c r="L38">
        <f t="shared" si="5"/>
        <v>0</v>
      </c>
      <c r="M38">
        <f>L38*Weighting!$V$14</f>
        <v>0</v>
      </c>
    </row>
    <row r="39" spans="1:13">
      <c r="A39" s="29" t="b">
        <f t="array" ref="A39">IF(ISERROR(INDEX('Data Transformation'!$B$4:$G$450,SMALL(IF('Data Transformation'!$B$4:$B$450='Bin Analysis and Plots'!D27,ROW('Data Transformation'!$B$4:$B$450)),ROW($10:$10))-3,3)),"",INDEX('Data Transformation'!$B$4:$G$450,SMALL(IF('Data Transformation'!$B$4:$B$450='Bin Analysis and Plots'!D27,ROW('Data Transformation'!$B$4:$B$450)),ROW($10:$10))-3,6))</f>
        <v>0</v>
      </c>
      <c r="B39" s="29" t="str">
        <f>IFERROR(SMALL(A30:A49,'Data Transformation'!$L$15),"")</f>
        <v/>
      </c>
      <c r="C39" s="41" t="str">
        <f>IF(Weighting!$O$15&gt;0,D39,"")</f>
        <v/>
      </c>
      <c r="D39" t="e">
        <f>Weighting!$C$15</f>
        <v>#DIV/0!</v>
      </c>
      <c r="E39" t="e">
        <f>Weighting!$E$15</f>
        <v>#NUM!</v>
      </c>
      <c r="F39" t="e">
        <f>IF(E39=1,'Data Transformation'!$G$3+0.5*'Data Transformation'!$U$25,IF(E40=1,F40-'Data Transformation'!$U$25,FALSE))</f>
        <v>#NUM!</v>
      </c>
      <c r="G39">
        <f t="array" ref="G39">IF(ISLOGICAL(F39),"",FREQUENCY(IF('Data Transformation'!$B$24:$B$404='Bin Analysis and Plots'!$D$27,'Data Transformation'!$G$24:$G$404),'Bin Analysis and Plots'!F39))</f>
        <v>0</v>
      </c>
      <c r="H39">
        <f t="shared" si="3"/>
        <v>0</v>
      </c>
      <c r="I39">
        <f>Weighting!$G$15</f>
        <v>0</v>
      </c>
      <c r="J39">
        <f t="array" ref="J39">FREQUENCY(IF('Data Transformation'!$B$4:$B$404=D27,'Data Transformation'!$G$4:$G$404),'Bin Analysis and Plots'!$D39)</f>
        <v>0</v>
      </c>
      <c r="K39">
        <f t="shared" si="4"/>
        <v>0</v>
      </c>
      <c r="L39">
        <f t="shared" si="5"/>
        <v>0</v>
      </c>
      <c r="M39">
        <f>L39*Weighting!$V$15</f>
        <v>0</v>
      </c>
    </row>
    <row r="40" spans="1:13">
      <c r="A40" s="29" t="b">
        <f t="array" ref="A40">IF(ISERROR(INDEX('Data Transformation'!$B$4:$G$450,SMALL(IF('Data Transformation'!$B$4:$B$450='Bin Analysis and Plots'!D27,ROW('Data Transformation'!$B$4:$B$450)),ROW($11:$11))-3,3)),"",INDEX('Data Transformation'!$B$4:$G$450,SMALL(IF('Data Transformation'!$B$4:$B$450='Bin Analysis and Plots'!D27,ROW('Data Transformation'!$B$4:$B$450)),ROW($11:$11))-3,6))</f>
        <v>0</v>
      </c>
      <c r="B40" s="29" t="str">
        <f>IFERROR(SMALL(A30:A49,'Data Transformation'!$L$16),"")</f>
        <v/>
      </c>
      <c r="C40" s="41" t="str">
        <f>IF(Weighting!$O$16&gt;0,D40,"")</f>
        <v/>
      </c>
      <c r="D40" t="e">
        <f>Weighting!$C$16</f>
        <v>#DIV/0!</v>
      </c>
      <c r="E40" t="e">
        <f>Weighting!$E$16</f>
        <v>#NUM!</v>
      </c>
      <c r="F40" t="e">
        <f>IF(E40=1,'Data Transformation'!$G$3+0.5*'Data Transformation'!$U$25,IF(E41=1,F41-'Data Transformation'!$U$25,FALSE))</f>
        <v>#NUM!</v>
      </c>
      <c r="G40">
        <f t="array" ref="G40">IF(ISLOGICAL(F40),"",FREQUENCY(IF('Data Transformation'!$B$24:$B$404='Bin Analysis and Plots'!$D$27,'Data Transformation'!$G$24:$G$404),'Bin Analysis and Plots'!F40))</f>
        <v>0</v>
      </c>
      <c r="H40">
        <f t="shared" si="3"/>
        <v>0</v>
      </c>
      <c r="I40">
        <f>Weighting!$G$16</f>
        <v>0</v>
      </c>
      <c r="J40">
        <f t="array" ref="J40">FREQUENCY(IF('Data Transformation'!$B$4:$B$404=D27,'Data Transformation'!$G$4:$G$404),'Bin Analysis and Plots'!$D40)</f>
        <v>0</v>
      </c>
      <c r="K40">
        <f t="shared" si="4"/>
        <v>0</v>
      </c>
      <c r="L40">
        <f t="shared" si="5"/>
        <v>0</v>
      </c>
      <c r="M40">
        <f>L40*Weighting!$V$16</f>
        <v>0</v>
      </c>
    </row>
    <row r="41" spans="1:13">
      <c r="A41" s="29" t="b">
        <f t="array" ref="A41">IF(ISERROR(INDEX('Data Transformation'!$B$4:$G$450,SMALL(IF('Data Transformation'!$B$4:$B$450='Bin Analysis and Plots'!D27,ROW('Data Transformation'!$B$4:$B$450)),ROW($12:$12))-3,3)),"",INDEX('Data Transformation'!$B$4:$G$450,SMALL(IF('Data Transformation'!$B$4:$B$450='Bin Analysis and Plots'!D27,ROW('Data Transformation'!$B$4:$B$450)),ROW($12:$12))-3,6))</f>
        <v>0</v>
      </c>
      <c r="B41" s="29" t="str">
        <f>IFERROR(SMALL(A30:A49,'Data Transformation'!$L$17),"")</f>
        <v/>
      </c>
      <c r="C41" s="41" t="str">
        <f>IF(Weighting!$O$17&gt;0,D41,"")</f>
        <v/>
      </c>
      <c r="D41" t="e">
        <f>Weighting!$C$17</f>
        <v>#DIV/0!</v>
      </c>
      <c r="E41" t="e">
        <f>Weighting!$E$17</f>
        <v>#NUM!</v>
      </c>
      <c r="F41" t="e">
        <f>IF(E41=1,'Data Transformation'!$G$3+0.5*'Data Transformation'!$U$25,IF(E42=1,F42-'Data Transformation'!$U$25,FALSE))</f>
        <v>#NUM!</v>
      </c>
      <c r="G41">
        <f t="array" ref="G41">IF(ISLOGICAL(F41),"",FREQUENCY(IF('Data Transformation'!$B$24:$B$404='Bin Analysis and Plots'!$D$27,'Data Transformation'!$G$24:$G$404),'Bin Analysis and Plots'!F41))</f>
        <v>0</v>
      </c>
      <c r="H41">
        <f t="shared" si="3"/>
        <v>0</v>
      </c>
      <c r="I41">
        <f>Weighting!$G$17</f>
        <v>0</v>
      </c>
      <c r="J41">
        <f t="array" ref="J41">FREQUENCY(IF('Data Transformation'!$B$4:$B$404=D27,'Data Transformation'!$G$4:$G$404),'Bin Analysis and Plots'!$D41)</f>
        <v>0</v>
      </c>
      <c r="K41">
        <f t="shared" si="4"/>
        <v>0</v>
      </c>
      <c r="L41">
        <f t="shared" si="5"/>
        <v>0</v>
      </c>
      <c r="M41">
        <f>L41*Weighting!$V$17</f>
        <v>0</v>
      </c>
    </row>
    <row r="42" spans="1:13">
      <c r="A42" s="29" t="b">
        <f t="array" ref="A42">IF(ISERROR(INDEX('Data Transformation'!$B$4:$G$450,SMALL(IF('Data Transformation'!$B$4:$B$450='Bin Analysis and Plots'!D27,ROW('Data Transformation'!$B$4:$B$450)),ROW($13:$13))-3,3)),"",INDEX('Data Transformation'!$B$4:$G$450,SMALL(IF('Data Transformation'!$B$4:$B$450='Bin Analysis and Plots'!D27,ROW('Data Transformation'!$B$4:$B$450)),ROW($13:$13))-3,6))</f>
        <v>0</v>
      </c>
      <c r="B42" s="29" t="str">
        <f>IFERROR(SMALL(A30:A49,'Data Transformation'!$L$18),"")</f>
        <v/>
      </c>
      <c r="C42" s="41" t="str">
        <f>IF(Weighting!$O$18&gt;0,D42,"")</f>
        <v/>
      </c>
      <c r="D42" t="e">
        <f>Weighting!$C$18</f>
        <v>#DIV/0!</v>
      </c>
      <c r="E42" t="e">
        <f>Weighting!$E$18</f>
        <v>#NUM!</v>
      </c>
      <c r="F42" t="e">
        <f>IF(E42=1,'Data Transformation'!$G$3+0.5*'Data Transformation'!$U$25,IF(E43=1,F43-'Data Transformation'!$U$25,FALSE))</f>
        <v>#NUM!</v>
      </c>
      <c r="G42">
        <f t="array" ref="G42">IF(ISLOGICAL(F42),"",FREQUENCY(IF('Data Transformation'!$B$24:$B$404='Bin Analysis and Plots'!$D$27,'Data Transformation'!$G$24:$G$404),'Bin Analysis and Plots'!F42))</f>
        <v>0</v>
      </c>
      <c r="H42">
        <f t="shared" si="3"/>
        <v>0</v>
      </c>
      <c r="I42">
        <f>Weighting!$G$18</f>
        <v>0</v>
      </c>
      <c r="J42">
        <f t="array" ref="J42">FREQUENCY(IF('Data Transformation'!$B$4:$B$404=D27,'Data Transformation'!$G$4:$G$404),'Bin Analysis and Plots'!$D42)</f>
        <v>0</v>
      </c>
      <c r="K42">
        <f t="shared" si="4"/>
        <v>0</v>
      </c>
      <c r="L42">
        <f t="shared" si="5"/>
        <v>0</v>
      </c>
      <c r="M42">
        <f>L42*Weighting!$V$18</f>
        <v>0</v>
      </c>
    </row>
    <row r="43" spans="1:13">
      <c r="A43" s="29" t="b">
        <f t="array" ref="A43">IF(ISERROR(INDEX('Data Transformation'!$B$4:$G$450,SMALL(IF('Data Transformation'!$B$4:$B$450='Bin Analysis and Plots'!D27,ROW('Data Transformation'!$B$4:$B$450)),ROW($14:$14))-3,3)),"",INDEX('Data Transformation'!$B$4:$G$450,SMALL(IF('Data Transformation'!$B$4:$B$450='Bin Analysis and Plots'!D27,ROW('Data Transformation'!$B$4:$B$450)),ROW($14:$14))-3,6))</f>
        <v>0</v>
      </c>
      <c r="B43" s="29" t="str">
        <f>IFERROR(SMALL(A30:A49,'Data Transformation'!$L$19),"")</f>
        <v/>
      </c>
      <c r="C43" s="41" t="str">
        <f>IF(Weighting!$O$19&gt;0,D43,"")</f>
        <v/>
      </c>
      <c r="D43" t="e">
        <f>Weighting!$C$19</f>
        <v>#DIV/0!</v>
      </c>
      <c r="E43" t="e">
        <f>Weighting!$E$19</f>
        <v>#NUM!</v>
      </c>
      <c r="F43" t="e">
        <f>IF(E43=1,'Data Transformation'!$G$3+0.5*'Data Transformation'!$U$25,IF(E44=1,F44-'Data Transformation'!$U$25,FALSE))</f>
        <v>#NUM!</v>
      </c>
      <c r="G43">
        <f t="array" ref="G43">IF(ISLOGICAL(F43),"",FREQUENCY(IF('Data Transformation'!$B$24:$B$404='Bin Analysis and Plots'!$D$27,'Data Transformation'!$G$24:$G$404),'Bin Analysis and Plots'!F43))</f>
        <v>0</v>
      </c>
      <c r="H43">
        <f t="shared" si="3"/>
        <v>0</v>
      </c>
      <c r="I43">
        <f>Weighting!$G$19</f>
        <v>0</v>
      </c>
      <c r="J43">
        <f t="array" ref="J43">FREQUENCY(IF('Data Transformation'!$B$4:$B$404=D27,'Data Transformation'!$G$4:$G$404),'Bin Analysis and Plots'!$D43)</f>
        <v>0</v>
      </c>
      <c r="K43">
        <f t="shared" si="4"/>
        <v>0</v>
      </c>
      <c r="L43">
        <f t="shared" si="5"/>
        <v>0</v>
      </c>
      <c r="M43">
        <f>L43*Weighting!$V$19</f>
        <v>0</v>
      </c>
    </row>
    <row r="44" spans="1:13">
      <c r="A44" s="29" t="b">
        <f t="array" ref="A44">IF(ISERROR(INDEX('Data Transformation'!$B$4:$G$450,SMALL(IF('Data Transformation'!$B$4:$B$450='Bin Analysis and Plots'!D27,ROW('Data Transformation'!$B$4:$B$450)),ROW($15:$15))-3,3)),"",INDEX('Data Transformation'!$B$4:$G$450,SMALL(IF('Data Transformation'!$B$4:$B$450='Bin Analysis and Plots'!D27,ROW('Data Transformation'!$B$4:$B$450)),ROW($15:$15))-3,6))</f>
        <v>0</v>
      </c>
      <c r="B44" s="29" t="str">
        <f>IFERROR(SMALL(A30:A49,'Data Transformation'!$L$20),"")</f>
        <v/>
      </c>
      <c r="C44" s="41" t="str">
        <f>IF(Weighting!$O$20&gt;0,D44,"")</f>
        <v/>
      </c>
      <c r="D44" t="e">
        <f>Weighting!$C$20</f>
        <v>#DIV/0!</v>
      </c>
      <c r="E44" t="e">
        <f>Weighting!$E$20</f>
        <v>#NUM!</v>
      </c>
      <c r="F44" t="e">
        <f>IF(E44=1,'Data Transformation'!$G$3+0.5*'Data Transformation'!$U$25,IF(E45=1,F45-'Data Transformation'!$U$25,FALSE))</f>
        <v>#NUM!</v>
      </c>
      <c r="G44">
        <f t="array" ref="G44">IF(ISLOGICAL(F44),"",FREQUENCY(IF('Data Transformation'!$B$24:$B$404='Bin Analysis and Plots'!$D$27,'Data Transformation'!$G$24:$G$404),'Bin Analysis and Plots'!F44))</f>
        <v>0</v>
      </c>
      <c r="H44">
        <f t="shared" si="3"/>
        <v>0</v>
      </c>
      <c r="I44">
        <f>Weighting!$G$20</f>
        <v>0</v>
      </c>
      <c r="J44">
        <f t="array" ref="J44">FREQUENCY(IF('Data Transformation'!$B$4:$B$404=D27,'Data Transformation'!$G$4:$G$404),'Bin Analysis and Plots'!$D44)</f>
        <v>0</v>
      </c>
      <c r="K44">
        <f t="shared" si="4"/>
        <v>0</v>
      </c>
      <c r="L44">
        <f t="shared" si="5"/>
        <v>0</v>
      </c>
      <c r="M44">
        <f>L44*Weighting!$V$20</f>
        <v>0</v>
      </c>
    </row>
    <row r="45" spans="1:13">
      <c r="A45" s="29" t="b">
        <f t="array" ref="A45">IF(ISERROR(INDEX('Data Transformation'!$B$4:$G$450,SMALL(IF('Data Transformation'!$B$4:$B$450='Bin Analysis and Plots'!D27,ROW('Data Transformation'!$B$4:$B$450)),ROW($16:$16))-3,3)),"",INDEX('Data Transformation'!$B$4:$G$450,SMALL(IF('Data Transformation'!$B$4:$B$450='Bin Analysis and Plots'!D27,ROW('Data Transformation'!$B$4:$B$450)),ROW($16:$16))-3,6))</f>
        <v>0</v>
      </c>
      <c r="B45" s="29" t="str">
        <f>IFERROR(SMALL(A30:A49,'Data Transformation'!$L$21),"")</f>
        <v/>
      </c>
      <c r="C45" s="41" t="str">
        <f>IF(Weighting!$O$21&gt;0,D45,"")</f>
        <v/>
      </c>
      <c r="D45" t="e">
        <f>Weighting!$C$21</f>
        <v>#DIV/0!</v>
      </c>
      <c r="E45" t="e">
        <f>Weighting!$E$21</f>
        <v>#NUM!</v>
      </c>
      <c r="F45" t="e">
        <f>IF(E45=1,'Data Transformation'!$G$3+0.5*'Data Transformation'!$U$25,IF(E46=1,F46-'Data Transformation'!$U$25,FALSE))</f>
        <v>#NUM!</v>
      </c>
      <c r="G45">
        <f t="array" ref="G45">IF(ISLOGICAL(F45),"",FREQUENCY(IF('Data Transformation'!$B$24:$B$404='Bin Analysis and Plots'!$D$27,'Data Transformation'!$G$24:$G$404),'Bin Analysis and Plots'!F45))</f>
        <v>0</v>
      </c>
      <c r="H45">
        <f t="shared" si="3"/>
        <v>0</v>
      </c>
      <c r="I45">
        <f>Weighting!$G$21</f>
        <v>0</v>
      </c>
      <c r="J45">
        <f t="array" ref="J45">FREQUENCY(IF('Data Transformation'!$B$4:$B$404=D27,'Data Transformation'!$G$4:$G$404),'Bin Analysis and Plots'!$D45)</f>
        <v>0</v>
      </c>
      <c r="K45">
        <f t="shared" si="4"/>
        <v>0</v>
      </c>
      <c r="L45">
        <f t="shared" si="5"/>
        <v>0</v>
      </c>
      <c r="M45">
        <f>L45*Weighting!$V$21</f>
        <v>0</v>
      </c>
    </row>
    <row r="46" spans="1:13">
      <c r="A46" s="29" t="b">
        <f t="array" ref="A46">IF(ISERROR(INDEX('Data Transformation'!$B$4:$G$450,SMALL(IF('Data Transformation'!$B$4:$B$450='Bin Analysis and Plots'!D27,ROW('Data Transformation'!$B$4:$B$450)),ROW($17:$17))-3,3)),"",INDEX('Data Transformation'!$B$4:$G$450,SMALL(IF('Data Transformation'!$B$4:$B$450='Bin Analysis and Plots'!D27,ROW('Data Transformation'!$B$4:$B$450)),ROW($17:$17))-3,6))</f>
        <v>0</v>
      </c>
      <c r="B46" s="29" t="str">
        <f>IFERROR(SMALL(A30:A49,'Data Transformation'!$L$22),"")</f>
        <v/>
      </c>
      <c r="C46" s="41" t="str">
        <f>IF(Weighting!$O$22&gt;0,D46,"")</f>
        <v/>
      </c>
      <c r="D46" t="e">
        <f>Weighting!$C$22</f>
        <v>#DIV/0!</v>
      </c>
      <c r="E46" t="e">
        <f>Weighting!$E$22</f>
        <v>#NUM!</v>
      </c>
      <c r="F46" t="e">
        <f>IF(E46=1,'Data Transformation'!$G$3+0.5*'Data Transformation'!$U$25,IF(E47=1,F47-'Data Transformation'!$U$25,FALSE))</f>
        <v>#NUM!</v>
      </c>
      <c r="G46">
        <f t="array" ref="G46">IF(ISLOGICAL(F46),"",FREQUENCY(IF('Data Transformation'!$B$24:$B$404='Bin Analysis and Plots'!$D$27,'Data Transformation'!$G$24:$G$404),'Bin Analysis and Plots'!F46))</f>
        <v>0</v>
      </c>
      <c r="H46">
        <f t="shared" si="3"/>
        <v>0</v>
      </c>
      <c r="I46">
        <f>Weighting!$G$22</f>
        <v>0</v>
      </c>
      <c r="J46">
        <f t="array" ref="J46">FREQUENCY(IF('Data Transformation'!$B$4:$B$404=D27,'Data Transformation'!$G$4:$G$404),'Bin Analysis and Plots'!$D46)</f>
        <v>0</v>
      </c>
      <c r="K46">
        <f t="shared" si="4"/>
        <v>0</v>
      </c>
      <c r="L46">
        <f t="shared" si="5"/>
        <v>0</v>
      </c>
      <c r="M46">
        <f>L46*Weighting!$V$22</f>
        <v>0</v>
      </c>
    </row>
    <row r="47" spans="1:13">
      <c r="A47" s="29" t="b">
        <f t="array" ref="A47">IF(ISERROR(INDEX('Data Transformation'!$B$4:$G$450,SMALL(IF('Data Transformation'!$B$4:$B$450='Bin Analysis and Plots'!D27,ROW('Data Transformation'!$B$4:$B$450)),ROW($18:$18))-3,3)),"",INDEX('Data Transformation'!$B$4:$G$450,SMALL(IF('Data Transformation'!$B$4:$B$450='Bin Analysis and Plots'!D27,ROW('Data Transformation'!$B$4:$B$450)),ROW($18:$18))-3,6))</f>
        <v>0</v>
      </c>
      <c r="B47" s="29" t="str">
        <f>IFERROR(SMALL(A30:A49,'Data Transformation'!$L$23),"")</f>
        <v/>
      </c>
      <c r="C47" s="41" t="str">
        <f>IF(Weighting!$O$23&gt;0,D47,"")</f>
        <v/>
      </c>
      <c r="D47" t="e">
        <f>Weighting!$C$23</f>
        <v>#DIV/0!</v>
      </c>
      <c r="E47" t="e">
        <f>Weighting!$E$23</f>
        <v>#NUM!</v>
      </c>
      <c r="F47" t="e">
        <f>IF(E47=1,'Data Transformation'!$G$3+0.5*'Data Transformation'!$U$25,IF(E48=1,F48-'Data Transformation'!$U$25,FALSE))</f>
        <v>#NUM!</v>
      </c>
      <c r="G47">
        <f t="array" ref="G47">IF(ISLOGICAL(F47),"",FREQUENCY(IF('Data Transformation'!$B$24:$B$404='Bin Analysis and Plots'!$D$27,'Data Transformation'!$G$24:$G$404),'Bin Analysis and Plots'!F47))</f>
        <v>0</v>
      </c>
      <c r="H47">
        <f t="shared" si="3"/>
        <v>0</v>
      </c>
      <c r="I47">
        <f>Weighting!$G$23</f>
        <v>0</v>
      </c>
      <c r="J47">
        <f t="array" ref="J47">FREQUENCY(IF('Data Transformation'!$B$4:$B$404=D27,'Data Transformation'!$G$4:$G$404),'Bin Analysis and Plots'!$D47)</f>
        <v>0</v>
      </c>
      <c r="K47">
        <f t="shared" si="4"/>
        <v>0</v>
      </c>
      <c r="L47">
        <f t="shared" si="5"/>
        <v>0</v>
      </c>
      <c r="M47">
        <f>L47*Weighting!$V$23</f>
        <v>0</v>
      </c>
    </row>
    <row r="48" spans="1:13">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t="e">
        <f>Weighting!$C$24</f>
        <v>#DIV/0!</v>
      </c>
      <c r="E48" t="e">
        <f>Weighting!$E$24</f>
        <v>#NUM!</v>
      </c>
      <c r="F48" t="e">
        <f>IF(E48=1,'Data Transformation'!$G$3+0.5*'Data Transformation'!$U$25,IF(E49=1,F49-'Data Transformation'!$U$25,FALSE))</f>
        <v>#NUM!</v>
      </c>
      <c r="G48">
        <f t="array" ref="G48">IF(ISLOGICAL(F48),"",FREQUENCY(IF('Data Transformation'!$B$24:$B$404='Bin Analysis and Plots'!$D$27,'Data Transformation'!$G$24:$G$404),'Bin Analysis and Plots'!F48))</f>
        <v>0</v>
      </c>
      <c r="H48">
        <f t="shared" si="3"/>
        <v>0</v>
      </c>
      <c r="I48">
        <f>Weighting!$G$24</f>
        <v>0</v>
      </c>
      <c r="J48">
        <f t="array" ref="J48">FREQUENCY(IF('Data Transformation'!$B$4:$B$404=D27,'Data Transformation'!$G$4:$G$404),'Bin Analysis and Plots'!$D48)</f>
        <v>0</v>
      </c>
      <c r="K48">
        <f t="shared" si="4"/>
        <v>0</v>
      </c>
      <c r="L48">
        <f t="shared" si="5"/>
        <v>0</v>
      </c>
      <c r="M48">
        <f>L48*Weighting!$V$24</f>
        <v>0</v>
      </c>
    </row>
    <row r="49" spans="1:27">
      <c r="A49" s="29" t="b">
        <f t="array" ref="A49">IF(ISERROR(INDEX('Data Transformation'!$B$4:$G$450,SMALL(IF('Data Transformation'!$B$4:$B$450='Bin Analysis and Plots'!D27,ROW('Data Transformation'!$B$4:$B$450)),ROW($20:$20))-3,3)),"",INDEX('Data Transformation'!$B$4:$G$450,SMALL(IF('Data Transformation'!$B$4:$B$450='Bin Analysis and Plots'!D27,ROW('Data Transformation'!$B$4:$B$450)),ROW($20:$20))-3,6))</f>
        <v>0</v>
      </c>
      <c r="B49" s="29" t="str">
        <f>IFERROR(SMALL(A30:A49,'Data Transformation'!$L$25),"")</f>
        <v/>
      </c>
      <c r="C49" s="41" t="str">
        <f>IF(Weighting!$O$25&gt;0,D49,"")</f>
        <v/>
      </c>
      <c r="D49" t="e">
        <f>Weighting!$C$25</f>
        <v>#DIV/0!</v>
      </c>
      <c r="E49" t="e">
        <f>Weighting!$E$25</f>
        <v>#NUM!</v>
      </c>
      <c r="F49" t="e">
        <f>IF(E49=1,'Data Transformation'!$G$3+0.5*'Data Transformation'!$U$25,IF(E50=1,F50-'Data Transformation'!$U$25,FALSE))</f>
        <v>#NUM!</v>
      </c>
      <c r="G49">
        <f t="array" ref="G49">IF(ISLOGICAL(F49),"",FREQUENCY(IF('Data Transformation'!$B$24:$B$404='Bin Analysis and Plots'!$D$27,'Data Transformation'!$G$24:$G$404),'Bin Analysis and Plots'!F49))</f>
        <v>0</v>
      </c>
      <c r="H49">
        <f t="shared" si="3"/>
        <v>0</v>
      </c>
      <c r="I49">
        <f>Weighting!$G$25</f>
        <v>0</v>
      </c>
      <c r="J49">
        <f t="array" ref="J49">FREQUENCY(IF('Data Transformation'!$B$4:$B$404=D27,'Data Transformation'!$G$4:$G$404),'Bin Analysis and Plots'!$D49)</f>
        <v>0</v>
      </c>
      <c r="K49">
        <f t="shared" si="4"/>
        <v>0</v>
      </c>
      <c r="L49">
        <f t="shared" si="5"/>
        <v>0</v>
      </c>
      <c r="M49">
        <f>L49*Weighting!$V$25</f>
        <v>0</v>
      </c>
    </row>
    <row r="50" spans="1:27">
      <c r="C50" s="41" t="str">
        <f>IF(B50="","",D50)</f>
        <v/>
      </c>
    </row>
    <row r="51" spans="1:27" ht="23.25">
      <c r="B51" s="30"/>
      <c r="C51" s="30" t="s">
        <v>0</v>
      </c>
      <c r="D51" s="30" t="str">
        <f>'Input and Summary Results'!G9</f>
        <v xml:space="preserve"> </v>
      </c>
      <c r="E51" s="30"/>
      <c r="F51" s="30"/>
      <c r="G51" s="30"/>
      <c r="H51" s="30"/>
      <c r="I51" s="30"/>
      <c r="J51" s="31"/>
      <c r="K51" s="31"/>
      <c r="L51" s="31"/>
      <c r="M51" s="30"/>
      <c r="N51" s="30" t="str">
        <f>D51</f>
        <v xml:space="preserve"> </v>
      </c>
      <c r="O51" s="32" t="e">
        <f>INDEX('Data Transformation'!$O$4:$O$25,MATCH($D51,'Data Transformation'!$M$4:$M$25,0),MATCH($O$2,'Data Transformation'!$O$3,0))</f>
        <v>#N/A</v>
      </c>
      <c r="P51" s="36" t="e">
        <f>IF('Input and Summary Results'!$J$16="minimum",'Bin Analysis and Plots'!Z52/('Bin Analysis and Plots'!O51-1),'Bin Analysis and Plots'!AA51/('Bin Analysis and Plots'!O51-1))</f>
        <v>#N/A</v>
      </c>
      <c r="Q51" s="36" t="e">
        <f>IF(O51=FALSE,NA(),(VLOOKUP(1,E54:M73,4,FALSE))/(O51-1))</f>
        <v>#N/A</v>
      </c>
      <c r="R51" s="36" t="e">
        <f>IF(O51=FALSE,NA(),SUM(L54:L73)/Weighting!$R$5)</f>
        <v>#N/A</v>
      </c>
      <c r="S51" s="36" t="e">
        <f>IF(O51=FALSE,NA(),SUM(M54:M73)/Weighting!$R$6)</f>
        <v>#N/A</v>
      </c>
      <c r="T51" s="36" t="e">
        <f>IF(O51=FALSE,NA(),(VLOOKUP(1,I54:M73,3,FALSE))/(O51-1))</f>
        <v>#N/A</v>
      </c>
      <c r="U51" s="31" t="e">
        <f>IF(O51=FALSE,NA(),IF(SUM(L54:L73)=2,"yes","no"))</f>
        <v>#N/A</v>
      </c>
      <c r="Z51" s="78" cm="1">
        <f t="array" ref="Z51:Z52">FREQUENCY(IF('Data Transformation'!$B$24:$B$404='Bin Analysis and Plots'!N51,'Data Transformation'!$G$24:$G$404),'Data Transformation'!$U$11)</f>
        <v>0</v>
      </c>
      <c r="AA51" s="78" cm="1">
        <f t="array" ref="AA51:AA52">FREQUENCY(IF('Data Transformation'!$B$24:$B$404='Bin Analysis and Plots'!N51,'Data Transformation'!$G$24:$G$404),'Data Transformation'!$U$12)</f>
        <v>0</v>
      </c>
    </row>
    <row r="52" spans="1:27" ht="21">
      <c r="A52" s="91" t="s">
        <v>64</v>
      </c>
      <c r="B52" s="91"/>
      <c r="C52" s="14" t="s">
        <v>72</v>
      </c>
      <c r="D52" t="s">
        <v>50</v>
      </c>
      <c r="E52" t="s">
        <v>5</v>
      </c>
      <c r="F52" t="s">
        <v>97</v>
      </c>
      <c r="G52" t="s">
        <v>98</v>
      </c>
      <c r="I52" t="s">
        <v>74</v>
      </c>
      <c r="J52" t="s">
        <v>34</v>
      </c>
      <c r="K52" t="s">
        <v>35</v>
      </c>
      <c r="L52" t="s">
        <v>49</v>
      </c>
      <c r="M52" s="14" t="s">
        <v>48</v>
      </c>
      <c r="Z52" s="78">
        <v>0</v>
      </c>
      <c r="AA52" s="78">
        <v>0</v>
      </c>
    </row>
    <row r="53" spans="1:27">
      <c r="C53" s="41" t="str">
        <f>IF(B53="","",D53)</f>
        <v/>
      </c>
      <c r="F53" t="e">
        <f>IF(E53=1,'Data Transformation'!$G$3+0.5*'Data Transformation'!$U$25,IF(E54=1,F54-'Data Transformation'!$U$25,FALSE))</f>
        <v>#NUM!</v>
      </c>
      <c r="G53">
        <f t="array" ref="G53">IF(ISLOGICAL(F53),"",FREQUENCY(IF('Data Transformation'!$B$24:$B$404='Bin Analysis and Plots'!$D$51,'Data Transformation'!$G$24:$G$404),'Bin Analysis and Plots'!F53))</f>
        <v>0</v>
      </c>
      <c r="H53" t="e">
        <f>IF(ISLOGICAL(F53),"",G53-G52)</f>
        <v>#VALUE!</v>
      </c>
    </row>
    <row r="54" spans="1:27">
      <c r="A54" s="29" t="b">
        <f t="array" ref="A54">IF(ISERROR(INDEX('Data Transformation'!$B$4:$G$450,SMALL(IF('Data Transformation'!$B$4:$B$450='Bin Analysis and Plots'!D51,ROW('Data Transformation'!$B$4:$B$450)),ROW($1:$1))-3,3)),"",INDEX('Data Transformation'!$B$4:$G$450,SMALL(IF('Data Transformation'!$B$4:$B$450='Bin Analysis and Plots'!D51,ROW('Data Transformation'!$B$4:$B$450)),ROW($1:$1))-3,6))</f>
        <v>0</v>
      </c>
      <c r="B54" s="29" t="str">
        <f>IFERROR(SMALL(A54:A73,'Data Transformation'!$L$6),"")</f>
        <v/>
      </c>
      <c r="C54" s="41" t="e">
        <f>IF(Weighting!$O$6&gt;0,D54,"")</f>
        <v>#NUM!</v>
      </c>
      <c r="D54" t="e">
        <f>Weighting!$C$6</f>
        <v>#DIV/0!</v>
      </c>
      <c r="E54" t="e">
        <f>Weighting!$E$6</f>
        <v>#NUM!</v>
      </c>
      <c r="F54" t="e">
        <f>IF(E54=1,'Data Transformation'!$G$3+0.5*'Data Transformation'!$U$25,IF(E55=1,F55-'Data Transformation'!$U$25,FALSE))</f>
        <v>#NUM!</v>
      </c>
      <c r="G54">
        <f t="array" ref="G54">IF(ISLOGICAL(F54),"",FREQUENCY(IF('Data Transformation'!$B$24:$B$404='Bin Analysis and Plots'!$D$51,'Data Transformation'!$G$24:$G$404),'Bin Analysis and Plots'!F54))</f>
        <v>0</v>
      </c>
      <c r="H54">
        <f>IF(ISLOGICAL(F54),"",G54-G53)</f>
        <v>0</v>
      </c>
      <c r="I54">
        <f>Weighting!$G$6</f>
        <v>1</v>
      </c>
      <c r="J54">
        <f t="array" ref="J54">FREQUENCY(IF('Data Transformation'!$B$4:$B$404=D51,'Data Transformation'!$G$4:$G$404),'Bin Analysis and Plots'!$D54)</f>
        <v>0</v>
      </c>
      <c r="K54">
        <f>J54-J53</f>
        <v>0</v>
      </c>
      <c r="L54">
        <f>IF(K54=0,0,1)</f>
        <v>0</v>
      </c>
      <c r="M54" t="e">
        <f>L54*Weighting!$V$6</f>
        <v>#NUM!</v>
      </c>
    </row>
    <row r="55" spans="1:27">
      <c r="A55" s="29" t="b">
        <f t="array" ref="A55">IF(ISERROR(INDEX('Data Transformation'!$B$4:$G$450,SMALL(IF('Data Transformation'!$B$4:$B$450='Bin Analysis and Plots'!D51,ROW('Data Transformation'!$B$4:$B$450)),ROW($2:$2))-3,3)),"",INDEX('Data Transformation'!$B$4:$G$450,SMALL(IF('Data Transformation'!$B$4:$B$450='Bin Analysis and Plots'!D51,ROW('Data Transformation'!$B$4:$B$450)),ROW($2:$2))-3,6))</f>
        <v>0</v>
      </c>
      <c r="B55" s="29" t="str">
        <f>IFERROR(SMALL(A54:A73,'Data Transformation'!$L$7),"")</f>
        <v/>
      </c>
      <c r="C55" s="41" t="str">
        <f>IF(Weighting!$O$7&gt;0,D55,"")</f>
        <v/>
      </c>
      <c r="D55" t="e">
        <f>Weighting!$C$7</f>
        <v>#DIV/0!</v>
      </c>
      <c r="E55" t="e">
        <f>Weighting!$E$7</f>
        <v>#NUM!</v>
      </c>
      <c r="F55" t="e">
        <f>IF(E55=1,'Data Transformation'!$G$3+0.5*'Data Transformation'!$U$25,IF(E56=1,F56-'Data Transformation'!$U$25,FALSE))</f>
        <v>#NUM!</v>
      </c>
      <c r="G55">
        <f t="array" ref="G55">IF(ISLOGICAL(F55),"",FREQUENCY(IF('Data Transformation'!$B$24:$B$404='Bin Analysis and Plots'!$D$51,'Data Transformation'!$G$24:$G$404),'Bin Analysis and Plots'!F55))</f>
        <v>0</v>
      </c>
      <c r="H55">
        <f t="shared" ref="H55:H73" si="6">IF(ISLOGICAL(F55),"",G55-G54)</f>
        <v>0</v>
      </c>
      <c r="I55">
        <f>Weighting!$G$7</f>
        <v>0</v>
      </c>
      <c r="J55">
        <f t="array" ref="J55">FREQUENCY(IF('Data Transformation'!$B$4:$B$404=D51,'Data Transformation'!$G$4:$G$404),'Bin Analysis and Plots'!$D55)</f>
        <v>0</v>
      </c>
      <c r="K55">
        <f t="shared" ref="K55:K73" si="7">J55-J54</f>
        <v>0</v>
      </c>
      <c r="L55">
        <f>IF(K55=0,0,1)</f>
        <v>0</v>
      </c>
      <c r="M55">
        <f>L55*Weighting!$V$7</f>
        <v>0</v>
      </c>
    </row>
    <row r="56" spans="1:27">
      <c r="A56" s="29" t="b">
        <f t="array" ref="A56">IF(ISERROR(INDEX('Data Transformation'!$B$4:$G$450,SMALL(IF('Data Transformation'!$B$4:$B$450='Bin Analysis and Plots'!D51,ROW('Data Transformation'!$B$4:$B$450)),ROW($3:$3))-3,3)),"",INDEX('Data Transformation'!$B$4:$G$450,SMALL(IF('Data Transformation'!$B$4:$B$450='Bin Analysis and Plots'!D51,ROW('Data Transformation'!$B$4:$B$450)),ROW($3:$3))-3,6))</f>
        <v>0</v>
      </c>
      <c r="B56" s="29" t="str">
        <f>IFERROR(SMALL(A54:A73,'Data Transformation'!$L$8),"")</f>
        <v/>
      </c>
      <c r="C56" s="41" t="str">
        <f>IF(Weighting!$O$8&gt;0,D56,"")</f>
        <v/>
      </c>
      <c r="D56" t="e">
        <f>Weighting!$C$8</f>
        <v>#DIV/0!</v>
      </c>
      <c r="E56" t="e">
        <f>Weighting!$E$8</f>
        <v>#NUM!</v>
      </c>
      <c r="F56" t="e">
        <f>IF(E56=1,'Data Transformation'!$G$3+0.5*'Data Transformation'!$U$25,IF(E57=1,F57-'Data Transformation'!$U$25,FALSE))</f>
        <v>#NUM!</v>
      </c>
      <c r="G56">
        <f t="array" ref="G56">IF(ISLOGICAL(F56),"",FREQUENCY(IF('Data Transformation'!$B$24:$B$404='Bin Analysis and Plots'!$D$51,'Data Transformation'!$G$24:$G$404),'Bin Analysis and Plots'!F56))</f>
        <v>0</v>
      </c>
      <c r="H56">
        <f t="shared" si="6"/>
        <v>0</v>
      </c>
      <c r="I56">
        <f>Weighting!$G$8</f>
        <v>0</v>
      </c>
      <c r="J56">
        <f t="array" ref="J56">FREQUENCY(IF('Data Transformation'!$B$4:$B$404=D51,'Data Transformation'!$G$4:$G$404),'Bin Analysis and Plots'!$D56)</f>
        <v>0</v>
      </c>
      <c r="K56">
        <f t="shared" si="7"/>
        <v>0</v>
      </c>
      <c r="L56">
        <f t="shared" ref="L56:L73" si="8">IF(K56=0,0,1)</f>
        <v>0</v>
      </c>
      <c r="M56">
        <f>L56*Weighting!$V$8</f>
        <v>0</v>
      </c>
    </row>
    <row r="57" spans="1:27">
      <c r="A57" s="29" t="b">
        <f t="array" ref="A57">IF(ISERROR(INDEX('Data Transformation'!$B$4:$G$450,SMALL(IF('Data Transformation'!$B$4:$B$450='Bin Analysis and Plots'!D51,ROW('Data Transformation'!$B$4:$B$450)),ROW($4:$4))-3,3)),"",INDEX('Data Transformation'!$B$4:$G$450,SMALL(IF('Data Transformation'!$B$4:$B$450='Bin Analysis and Plots'!D51,ROW('Data Transformation'!$B$4:$B$450)),ROW($4:$4))-3,6))</f>
        <v>0</v>
      </c>
      <c r="B57" s="29" t="str">
        <f>IFERROR(SMALL(A54:A73,'Data Transformation'!$L$9),"")</f>
        <v/>
      </c>
      <c r="C57" s="41" t="str">
        <f>IF(Weighting!$O$9&gt;0,D57,"")</f>
        <v/>
      </c>
      <c r="D57" t="e">
        <f>Weighting!$C$9</f>
        <v>#DIV/0!</v>
      </c>
      <c r="E57" t="e">
        <f>Weighting!$E$9</f>
        <v>#NUM!</v>
      </c>
      <c r="F57" t="e">
        <f>IF(E57=1,'Data Transformation'!$G$3+0.5*'Data Transformation'!$U$25,IF(E58=1,F58-'Data Transformation'!$U$25,FALSE))</f>
        <v>#NUM!</v>
      </c>
      <c r="G57">
        <f t="array" ref="G57">IF(ISLOGICAL(F57),"",FREQUENCY(IF('Data Transformation'!$B$24:$B$404='Bin Analysis and Plots'!$D$51,'Data Transformation'!$G$24:$G$404),'Bin Analysis and Plots'!F57))</f>
        <v>0</v>
      </c>
      <c r="H57">
        <f t="shared" si="6"/>
        <v>0</v>
      </c>
      <c r="I57">
        <f>Weighting!$G$9</f>
        <v>0</v>
      </c>
      <c r="J57">
        <f t="array" ref="J57">FREQUENCY(IF('Data Transformation'!$B$4:$B$404=D51,'Data Transformation'!$G$4:$G$404),'Bin Analysis and Plots'!$D57)</f>
        <v>0</v>
      </c>
      <c r="K57">
        <f t="shared" si="7"/>
        <v>0</v>
      </c>
      <c r="L57">
        <f t="shared" si="8"/>
        <v>0</v>
      </c>
      <c r="M57">
        <f>L57*Weighting!$V$9</f>
        <v>0</v>
      </c>
    </row>
    <row r="58" spans="1:27">
      <c r="A58" s="29" t="b">
        <f t="array" ref="A58">IF(ISERROR(INDEX('Data Transformation'!$B$4:$G$450,SMALL(IF('Data Transformation'!$B$4:$B$450='Bin Analysis and Plots'!D51,ROW('Data Transformation'!$B$4:$B$450)),ROW($5:$5))-3,3)),"",INDEX('Data Transformation'!$B$4:$G$450,SMALL(IF('Data Transformation'!$B$4:$B$450='Bin Analysis and Plots'!D51,ROW('Data Transformation'!$B$4:$B$450)),ROW($5:$5))-3,6))</f>
        <v>0</v>
      </c>
      <c r="B58" s="29" t="str">
        <f>IFERROR(SMALL(A54:A73,'Data Transformation'!$L$10),"")</f>
        <v/>
      </c>
      <c r="C58" s="41" t="str">
        <f>IF(Weighting!$O$10&gt;0,D58,"")</f>
        <v/>
      </c>
      <c r="D58" t="e">
        <f>Weighting!$C$10</f>
        <v>#DIV/0!</v>
      </c>
      <c r="E58" t="e">
        <f>Weighting!$E$10</f>
        <v>#NUM!</v>
      </c>
      <c r="F58" t="e">
        <f>IF(E58=1,'Data Transformation'!$G$3+0.5*'Data Transformation'!$U$25,IF(E59=1,F59-'Data Transformation'!$U$25,FALSE))</f>
        <v>#NUM!</v>
      </c>
      <c r="G58">
        <f t="array" ref="G58">IF(ISLOGICAL(F58),"",FREQUENCY(IF('Data Transformation'!$B$24:$B$404='Bin Analysis and Plots'!$D$51,'Data Transformation'!$G$24:$G$404),'Bin Analysis and Plots'!F58))</f>
        <v>0</v>
      </c>
      <c r="H58">
        <f t="shared" si="6"/>
        <v>0</v>
      </c>
      <c r="I58">
        <f>Weighting!$G$10</f>
        <v>0</v>
      </c>
      <c r="J58">
        <f t="array" ref="J58">FREQUENCY(IF('Data Transformation'!$B$4:$B$404=D51,'Data Transformation'!$G$4:$G$404),'Bin Analysis and Plots'!$D58)</f>
        <v>0</v>
      </c>
      <c r="K58">
        <f t="shared" si="7"/>
        <v>0</v>
      </c>
      <c r="L58">
        <f t="shared" si="8"/>
        <v>0</v>
      </c>
      <c r="M58">
        <f>L58*Weighting!$V$10</f>
        <v>0</v>
      </c>
    </row>
    <row r="59" spans="1:27">
      <c r="A59" s="29" t="b">
        <f t="array" ref="A59">IF(ISERROR(INDEX('Data Transformation'!$B$4:$G$450,SMALL(IF('Data Transformation'!$B$4:$B$450='Bin Analysis and Plots'!D51,ROW('Data Transformation'!$B$4:$B$450)),ROW($6:$6))-3,3)),"",INDEX('Data Transformation'!$B$4:$G$450,SMALL(IF('Data Transformation'!$B$4:$B$450='Bin Analysis and Plots'!D51,ROW('Data Transformation'!$B$4:$B$450)),ROW($6:$6))-3,6))</f>
        <v>0</v>
      </c>
      <c r="B59" s="29" t="str">
        <f>IFERROR(SMALL(A54:A73,'Data Transformation'!$L$11),"")</f>
        <v/>
      </c>
      <c r="C59" s="41" t="str">
        <f>IF(Weighting!$O$11&gt;0,D59,"")</f>
        <v/>
      </c>
      <c r="D59" t="e">
        <f>Weighting!$C$11</f>
        <v>#DIV/0!</v>
      </c>
      <c r="E59" t="e">
        <f>Weighting!$E$11</f>
        <v>#NUM!</v>
      </c>
      <c r="F59" t="e">
        <f>IF(E59=1,'Data Transformation'!$G$3+0.5*'Data Transformation'!$U$25,IF(E60=1,F60-'Data Transformation'!$U$25,FALSE))</f>
        <v>#NUM!</v>
      </c>
      <c r="G59">
        <f t="array" ref="G59">IF(ISLOGICAL(F59),"",FREQUENCY(IF('Data Transformation'!$B$24:$B$404='Bin Analysis and Plots'!$D$51,'Data Transformation'!$G$24:$G$404),'Bin Analysis and Plots'!F59))</f>
        <v>0</v>
      </c>
      <c r="H59">
        <f t="shared" si="6"/>
        <v>0</v>
      </c>
      <c r="I59">
        <f>Weighting!$G$11</f>
        <v>0</v>
      </c>
      <c r="J59">
        <f t="array" ref="J59">FREQUENCY(IF('Data Transformation'!$B$4:$B$404=D51,'Data Transformation'!$G$4:$G$404),'Bin Analysis and Plots'!$D59)</f>
        <v>0</v>
      </c>
      <c r="K59">
        <f t="shared" si="7"/>
        <v>0</v>
      </c>
      <c r="L59">
        <f t="shared" si="8"/>
        <v>0</v>
      </c>
      <c r="M59">
        <f>L59*Weighting!$V$11</f>
        <v>0</v>
      </c>
    </row>
    <row r="60" spans="1:27">
      <c r="A60" s="29" t="b">
        <f t="array" ref="A60">IF(ISERROR(INDEX('Data Transformation'!$B$4:$G$450,SMALL(IF('Data Transformation'!$B$4:$B$450='Bin Analysis and Plots'!D51,ROW('Data Transformation'!$B$4:$B$450)),ROW($7:$7))-3,3)),"",INDEX('Data Transformation'!$B$4:$G$450,SMALL(IF('Data Transformation'!$B$4:$B$450='Bin Analysis and Plots'!D51,ROW('Data Transformation'!$B$4:$B$450)),ROW($7:$7))-3,6))</f>
        <v>0</v>
      </c>
      <c r="B60" s="29" t="str">
        <f>IFERROR(SMALL(A54:A73,'Data Transformation'!$L$12),"")</f>
        <v/>
      </c>
      <c r="C60" s="41" t="str">
        <f>IF(Weighting!$O$12&gt;0,D60,"")</f>
        <v/>
      </c>
      <c r="D60" t="e">
        <f>Weighting!$C$12</f>
        <v>#DIV/0!</v>
      </c>
      <c r="E60" t="e">
        <f>Weighting!$E$12</f>
        <v>#NUM!</v>
      </c>
      <c r="F60" t="e">
        <f>IF(E60=1,'Data Transformation'!$G$3+0.5*'Data Transformation'!$U$25,IF(E61=1,F61-'Data Transformation'!$U$25,FALSE))</f>
        <v>#NUM!</v>
      </c>
      <c r="G60">
        <f t="array" ref="G60">IF(ISLOGICAL(F60),"",FREQUENCY(IF('Data Transformation'!$B$24:$B$404='Bin Analysis and Plots'!$D$51,'Data Transformation'!$G$24:$G$404),'Bin Analysis and Plots'!F60))</f>
        <v>0</v>
      </c>
      <c r="H60">
        <f t="shared" si="6"/>
        <v>0</v>
      </c>
      <c r="I60">
        <f>Weighting!$G$12</f>
        <v>0</v>
      </c>
      <c r="J60">
        <f t="array" ref="J60">FREQUENCY(IF('Data Transformation'!$B$4:$B$404=D51,'Data Transformation'!$G$4:$G$404),'Bin Analysis and Plots'!$D60)</f>
        <v>0</v>
      </c>
      <c r="K60">
        <f t="shared" si="7"/>
        <v>0</v>
      </c>
      <c r="L60">
        <f t="shared" si="8"/>
        <v>0</v>
      </c>
      <c r="M60">
        <f>L60*Weighting!$V$12</f>
        <v>0</v>
      </c>
    </row>
    <row r="61" spans="1:27">
      <c r="A61" s="29" t="b">
        <f t="array" ref="A61">IF(ISERROR(INDEX('Data Transformation'!$B$4:$G$450,SMALL(IF('Data Transformation'!$B$4:$B$450='Bin Analysis and Plots'!D51,ROW('Data Transformation'!$B$4:$B$450)),ROW($8:$8))-3,3)),"",INDEX('Data Transformation'!$B$4:$G$450,SMALL(IF('Data Transformation'!$B$4:$B$450='Bin Analysis and Plots'!D51,ROW('Data Transformation'!$B$4:$B$450)),ROW($8:$8))-3,6))</f>
        <v>0</v>
      </c>
      <c r="B61" s="29" t="str">
        <f>IFERROR(SMALL(A54:A73,'Data Transformation'!$L$13),"")</f>
        <v/>
      </c>
      <c r="C61" s="41" t="str">
        <f>IF(Weighting!$O$13&gt;0,D61,"")</f>
        <v/>
      </c>
      <c r="D61" t="e">
        <f>Weighting!$C$13</f>
        <v>#DIV/0!</v>
      </c>
      <c r="E61" t="e">
        <f>Weighting!$E$13</f>
        <v>#NUM!</v>
      </c>
      <c r="F61" t="e">
        <f>IF(E61=1,'Data Transformation'!$G$3+0.5*'Data Transformation'!$U$25,IF(E62=1,F62-'Data Transformation'!$U$25,FALSE))</f>
        <v>#NUM!</v>
      </c>
      <c r="G61">
        <f t="array" ref="G61">IF(ISLOGICAL(F61),"",FREQUENCY(IF('Data Transformation'!$B$24:$B$404='Bin Analysis and Plots'!$D$51,'Data Transformation'!$G$24:$G$404),'Bin Analysis and Plots'!F61))</f>
        <v>0</v>
      </c>
      <c r="H61">
        <f t="shared" si="6"/>
        <v>0</v>
      </c>
      <c r="I61">
        <f>Weighting!$G$13</f>
        <v>0</v>
      </c>
      <c r="J61">
        <f t="array" ref="J61">FREQUENCY(IF('Data Transformation'!$B$4:$B$404=D51,'Data Transformation'!$G$4:$G$404),'Bin Analysis and Plots'!$D61)</f>
        <v>0</v>
      </c>
      <c r="K61">
        <f t="shared" si="7"/>
        <v>0</v>
      </c>
      <c r="L61">
        <f t="shared" si="8"/>
        <v>0</v>
      </c>
      <c r="M61">
        <f>L61*Weighting!$V$13</f>
        <v>0</v>
      </c>
    </row>
    <row r="62" spans="1:27">
      <c r="A62" s="29" t="b">
        <f t="array" ref="A62">IF(ISERROR(INDEX('Data Transformation'!$B$4:$G$450,SMALL(IF('Data Transformation'!$B$4:$B$450='Bin Analysis and Plots'!D51,ROW('Data Transformation'!$B$4:$B$450)),ROW($9:$9))-3,3)),"",INDEX('Data Transformation'!$B$4:$G$450,SMALL(IF('Data Transformation'!$B$4:$B$450='Bin Analysis and Plots'!D51,ROW('Data Transformation'!$B$4:$B$450)),ROW($9:$9))-3,6))</f>
        <v>0</v>
      </c>
      <c r="B62" s="29" t="str">
        <f>IFERROR(SMALL(A54:A73,'Data Transformation'!$L$14),"")</f>
        <v/>
      </c>
      <c r="C62" s="41" t="str">
        <f>IF(Weighting!$O$14&gt;0,D62,"")</f>
        <v/>
      </c>
      <c r="D62" t="e">
        <f>Weighting!$C$14</f>
        <v>#DIV/0!</v>
      </c>
      <c r="E62" t="e">
        <f>Weighting!$E$14</f>
        <v>#NUM!</v>
      </c>
      <c r="F62" t="e">
        <f>IF(E62=1,'Data Transformation'!$G$3+0.5*'Data Transformation'!$U$25,IF(E63=1,F63-'Data Transformation'!$U$25,FALSE))</f>
        <v>#NUM!</v>
      </c>
      <c r="G62">
        <f t="array" ref="G62">IF(ISLOGICAL(F62),"",FREQUENCY(IF('Data Transformation'!$B$24:$B$404='Bin Analysis and Plots'!$D$51,'Data Transformation'!$G$24:$G$404),'Bin Analysis and Plots'!F62))</f>
        <v>0</v>
      </c>
      <c r="H62">
        <f t="shared" si="6"/>
        <v>0</v>
      </c>
      <c r="I62">
        <f>Weighting!$G$14</f>
        <v>0</v>
      </c>
      <c r="J62">
        <f t="array" ref="J62">FREQUENCY(IF('Data Transformation'!$B$4:$B$404=D51,'Data Transformation'!$G$4:$G$404),'Bin Analysis and Plots'!$D62)</f>
        <v>0</v>
      </c>
      <c r="K62">
        <f t="shared" si="7"/>
        <v>0</v>
      </c>
      <c r="L62">
        <f t="shared" si="8"/>
        <v>0</v>
      </c>
      <c r="M62">
        <f>L62*Weighting!$V$14</f>
        <v>0</v>
      </c>
    </row>
    <row r="63" spans="1:27">
      <c r="A63" s="29" t="b">
        <f t="array" ref="A63">IF(ISERROR(INDEX('Data Transformation'!$B$4:$G$450,SMALL(IF('Data Transformation'!$B$4:$B$450='Bin Analysis and Plots'!D51,ROW('Data Transformation'!$B$4:$B$450)),ROW($10:$10))-3,3)),"",INDEX('Data Transformation'!$B$4:$G$450,SMALL(IF('Data Transformation'!$B$4:$B$450='Bin Analysis and Plots'!D51,ROW('Data Transformation'!$B$4:$B$450)),ROW($10:$10))-3,6))</f>
        <v>0</v>
      </c>
      <c r="B63" s="29" t="str">
        <f>IFERROR(SMALL(A54:A73,'Data Transformation'!$L$15),"")</f>
        <v/>
      </c>
      <c r="C63" s="41" t="str">
        <f>IF(Weighting!$O$15&gt;0,D63,"")</f>
        <v/>
      </c>
      <c r="D63" t="e">
        <f>Weighting!$C$15</f>
        <v>#DIV/0!</v>
      </c>
      <c r="E63" t="e">
        <f>Weighting!$E$15</f>
        <v>#NUM!</v>
      </c>
      <c r="F63" t="e">
        <f>IF(E63=1,'Data Transformation'!$G$3+0.5*'Data Transformation'!$U$25,IF(E64=1,F64-'Data Transformation'!$U$25,FALSE))</f>
        <v>#NUM!</v>
      </c>
      <c r="G63">
        <f t="array" ref="G63">IF(ISLOGICAL(F63),"",FREQUENCY(IF('Data Transformation'!$B$24:$B$404='Bin Analysis and Plots'!$D$51,'Data Transformation'!$G$24:$G$404),'Bin Analysis and Plots'!F63))</f>
        <v>0</v>
      </c>
      <c r="H63">
        <f t="shared" si="6"/>
        <v>0</v>
      </c>
      <c r="I63">
        <f>Weighting!$G$15</f>
        <v>0</v>
      </c>
      <c r="J63">
        <f t="array" ref="J63">FREQUENCY(IF('Data Transformation'!$B$4:$B$404=D51,'Data Transformation'!$G$4:$G$404),'Bin Analysis and Plots'!$D63)</f>
        <v>0</v>
      </c>
      <c r="K63">
        <f t="shared" si="7"/>
        <v>0</v>
      </c>
      <c r="L63">
        <f t="shared" si="8"/>
        <v>0</v>
      </c>
      <c r="M63">
        <f>L63*Weighting!$V$15</f>
        <v>0</v>
      </c>
    </row>
    <row r="64" spans="1:27">
      <c r="A64" s="29" t="b">
        <f t="array" ref="A64">IF(ISERROR(INDEX('Data Transformation'!$B$4:$G$450,SMALL(IF('Data Transformation'!$B$4:$B$450='Bin Analysis and Plots'!D51,ROW('Data Transformation'!$B$4:$B$450)),ROW($11:$11))-3,3)),"",INDEX('Data Transformation'!$B$4:$G$450,SMALL(IF('Data Transformation'!$B$4:$B$450='Bin Analysis and Plots'!D51,ROW('Data Transformation'!$B$4:$B$450)),ROW($11:$11))-3,6))</f>
        <v>0</v>
      </c>
      <c r="B64" s="29" t="str">
        <f>IFERROR(SMALL(A54:A73,'Data Transformation'!$L$16),"")</f>
        <v/>
      </c>
      <c r="C64" s="41" t="str">
        <f>IF(Weighting!$O$16&gt;0,D64,"")</f>
        <v/>
      </c>
      <c r="D64" t="e">
        <f>Weighting!$C$16</f>
        <v>#DIV/0!</v>
      </c>
      <c r="E64" t="e">
        <f>Weighting!$E$16</f>
        <v>#NUM!</v>
      </c>
      <c r="F64" t="e">
        <f>IF(E64=1,'Data Transformation'!$G$3+0.5*'Data Transformation'!$U$25,IF(E65=1,F65-'Data Transformation'!$U$25,FALSE))</f>
        <v>#NUM!</v>
      </c>
      <c r="G64">
        <f t="array" ref="G64">IF(ISLOGICAL(F64),"",FREQUENCY(IF('Data Transformation'!$B$24:$B$404='Bin Analysis and Plots'!$D$51,'Data Transformation'!$G$24:$G$404),'Bin Analysis and Plots'!F64))</f>
        <v>0</v>
      </c>
      <c r="H64">
        <f t="shared" si="6"/>
        <v>0</v>
      </c>
      <c r="I64">
        <f>Weighting!$G$16</f>
        <v>0</v>
      </c>
      <c r="J64">
        <f t="array" ref="J64">FREQUENCY(IF('Data Transformation'!$B$4:$B$404=D51,'Data Transformation'!$G$4:$G$404),'Bin Analysis and Plots'!$D64)</f>
        <v>0</v>
      </c>
      <c r="K64">
        <f t="shared" si="7"/>
        <v>0</v>
      </c>
      <c r="L64">
        <f t="shared" si="8"/>
        <v>0</v>
      </c>
      <c r="M64">
        <f>L64*Weighting!$V$16</f>
        <v>0</v>
      </c>
    </row>
    <row r="65" spans="1:27">
      <c r="A65" s="29" t="b">
        <f t="array" ref="A65">IF(ISERROR(INDEX('Data Transformation'!$B$4:$G$450,SMALL(IF('Data Transformation'!$B$4:$B$450='Bin Analysis and Plots'!D51,ROW('Data Transformation'!$B$4:$B$450)),ROW($12:$12))-3,3)),"",INDEX('Data Transformation'!$B$4:$G$450,SMALL(IF('Data Transformation'!$B$4:$B$450='Bin Analysis and Plots'!D51,ROW('Data Transformation'!$B$4:$B$450)),ROW($12:$12))-3,6))</f>
        <v>0</v>
      </c>
      <c r="B65" s="29" t="str">
        <f>IFERROR(SMALL(A54:A73,'Data Transformation'!$L$17),"")</f>
        <v/>
      </c>
      <c r="C65" s="41" t="str">
        <f>IF(Weighting!$O$17&gt;0,D65,"")</f>
        <v/>
      </c>
      <c r="D65" t="e">
        <f>Weighting!$C$17</f>
        <v>#DIV/0!</v>
      </c>
      <c r="E65" t="e">
        <f>Weighting!$E$17</f>
        <v>#NUM!</v>
      </c>
      <c r="F65" t="e">
        <f>IF(E65=1,'Data Transformation'!$G$3+0.5*'Data Transformation'!$U$25,IF(E66=1,F66-'Data Transformation'!$U$25,FALSE))</f>
        <v>#NUM!</v>
      </c>
      <c r="G65">
        <f t="array" ref="G65">IF(ISLOGICAL(F65),"",FREQUENCY(IF('Data Transformation'!$B$24:$B$404='Bin Analysis and Plots'!$D$51,'Data Transformation'!$G$24:$G$404),'Bin Analysis and Plots'!F65))</f>
        <v>0</v>
      </c>
      <c r="H65">
        <f t="shared" si="6"/>
        <v>0</v>
      </c>
      <c r="I65">
        <f>Weighting!$G$17</f>
        <v>0</v>
      </c>
      <c r="J65">
        <f t="array" ref="J65">FREQUENCY(IF('Data Transformation'!$B$4:$B$404=D51,'Data Transformation'!$G$4:$G$404),'Bin Analysis and Plots'!$D65)</f>
        <v>0</v>
      </c>
      <c r="K65">
        <f t="shared" si="7"/>
        <v>0</v>
      </c>
      <c r="L65">
        <f t="shared" si="8"/>
        <v>0</v>
      </c>
      <c r="M65">
        <f>L65*Weighting!$V$17</f>
        <v>0</v>
      </c>
    </row>
    <row r="66" spans="1:27">
      <c r="A66" s="29" t="b">
        <f t="array" ref="A66">IF(ISERROR(INDEX('Data Transformation'!$B$4:$G$450,SMALL(IF('Data Transformation'!$B$4:$B$450='Bin Analysis and Plots'!D51,ROW('Data Transformation'!$B$4:$B$450)),ROW($13:$13))-3,3)),"",INDEX('Data Transformation'!$B$4:$G$450,SMALL(IF('Data Transformation'!$B$4:$B$450='Bin Analysis and Plots'!D51,ROW('Data Transformation'!$B$4:$B$450)),ROW($13:$13))-3,6))</f>
        <v>0</v>
      </c>
      <c r="B66" s="29" t="str">
        <f>IFERROR(SMALL(A54:A73,'Data Transformation'!$L$18),"")</f>
        <v/>
      </c>
      <c r="C66" s="41" t="str">
        <f>IF(Weighting!$O$18&gt;0,D66,"")</f>
        <v/>
      </c>
      <c r="D66" t="e">
        <f>Weighting!$C$18</f>
        <v>#DIV/0!</v>
      </c>
      <c r="E66" t="e">
        <f>Weighting!$E$18</f>
        <v>#NUM!</v>
      </c>
      <c r="F66" t="e">
        <f>IF(E66=1,'Data Transformation'!$G$3+0.5*'Data Transformation'!$U$25,IF(E67=1,F67-'Data Transformation'!$U$25,FALSE))</f>
        <v>#NUM!</v>
      </c>
      <c r="G66">
        <f t="array" ref="G66">IF(ISLOGICAL(F66),"",FREQUENCY(IF('Data Transformation'!$B$24:$B$404='Bin Analysis and Plots'!$D$51,'Data Transformation'!$G$24:$G$404),'Bin Analysis and Plots'!F66))</f>
        <v>0</v>
      </c>
      <c r="H66">
        <f t="shared" si="6"/>
        <v>0</v>
      </c>
      <c r="I66">
        <f>Weighting!$G$18</f>
        <v>0</v>
      </c>
      <c r="J66">
        <f t="array" ref="J66">FREQUENCY(IF('Data Transformation'!$B$4:$B$404=D51,'Data Transformation'!$G$4:$G$404),'Bin Analysis and Plots'!$D66)</f>
        <v>0</v>
      </c>
      <c r="K66">
        <f t="shared" si="7"/>
        <v>0</v>
      </c>
      <c r="L66">
        <f t="shared" si="8"/>
        <v>0</v>
      </c>
      <c r="M66">
        <f>L66*Weighting!$V$18</f>
        <v>0</v>
      </c>
    </row>
    <row r="67" spans="1:27">
      <c r="A67" s="29" t="b">
        <f t="array" ref="A67">IF(ISERROR(INDEX('Data Transformation'!$B$4:$G$450,SMALL(IF('Data Transformation'!$B$4:$B$450='Bin Analysis and Plots'!D51,ROW('Data Transformation'!$B$4:$B$450)),ROW($14:$14))-3,3)),"",INDEX('Data Transformation'!$B$4:$G$450,SMALL(IF('Data Transformation'!$B$4:$B$450='Bin Analysis and Plots'!D51,ROW('Data Transformation'!$B$4:$B$450)),ROW($14:$14))-3,6))</f>
        <v>0</v>
      </c>
      <c r="B67" s="29" t="str">
        <f>IFERROR(SMALL(A54:A73,'Data Transformation'!$L$19),"")</f>
        <v/>
      </c>
      <c r="C67" s="41" t="str">
        <f>IF(Weighting!$O$19&gt;0,D67,"")</f>
        <v/>
      </c>
      <c r="D67" t="e">
        <f>Weighting!$C$19</f>
        <v>#DIV/0!</v>
      </c>
      <c r="E67" t="e">
        <f>Weighting!$E$19</f>
        <v>#NUM!</v>
      </c>
      <c r="F67" t="e">
        <f>IF(E67=1,'Data Transformation'!$G$3+0.5*'Data Transformation'!$U$25,IF(E68=1,F68-'Data Transformation'!$U$25,FALSE))</f>
        <v>#NUM!</v>
      </c>
      <c r="G67">
        <f t="array" ref="G67">IF(ISLOGICAL(F67),"",FREQUENCY(IF('Data Transformation'!$B$24:$B$404='Bin Analysis and Plots'!$D$51,'Data Transformation'!$G$24:$G$404),'Bin Analysis and Plots'!F67))</f>
        <v>0</v>
      </c>
      <c r="H67">
        <f t="shared" si="6"/>
        <v>0</v>
      </c>
      <c r="I67">
        <f>Weighting!$G$19</f>
        <v>0</v>
      </c>
      <c r="J67">
        <f t="array" ref="J67">FREQUENCY(IF('Data Transformation'!$B$4:$B$404=D51,'Data Transformation'!$G$4:$G$404),'Bin Analysis and Plots'!$D67)</f>
        <v>0</v>
      </c>
      <c r="K67">
        <f t="shared" si="7"/>
        <v>0</v>
      </c>
      <c r="L67">
        <f t="shared" si="8"/>
        <v>0</v>
      </c>
      <c r="M67">
        <f>L67*Weighting!$V$19</f>
        <v>0</v>
      </c>
    </row>
    <row r="68" spans="1:27">
      <c r="A68" s="29" t="b">
        <f t="array" ref="A68">IF(ISERROR(INDEX('Data Transformation'!$B$4:$G$450,SMALL(IF('Data Transformation'!$B$4:$B$450='Bin Analysis and Plots'!D51,ROW('Data Transformation'!$B$4:$B$450)),ROW($15:$15))-3,3)),"",INDEX('Data Transformation'!$B$4:$G$450,SMALL(IF('Data Transformation'!$B$4:$B$450='Bin Analysis and Plots'!D51,ROW('Data Transformation'!$B$4:$B$450)),ROW($15:$15))-3,6))</f>
        <v>0</v>
      </c>
      <c r="B68" s="29" t="str">
        <f>IFERROR(SMALL(A54:A73,'Data Transformation'!$L$20),"")</f>
        <v/>
      </c>
      <c r="C68" s="41" t="str">
        <f>IF(Weighting!$O$20&gt;0,D68,"")</f>
        <v/>
      </c>
      <c r="D68" t="e">
        <f>Weighting!$C$20</f>
        <v>#DIV/0!</v>
      </c>
      <c r="E68" t="e">
        <f>Weighting!$E$20</f>
        <v>#NUM!</v>
      </c>
      <c r="F68" t="e">
        <f>IF(E68=1,'Data Transformation'!$G$3+0.5*'Data Transformation'!$U$25,IF(E69=1,F69-'Data Transformation'!$U$25,FALSE))</f>
        <v>#NUM!</v>
      </c>
      <c r="G68">
        <f t="array" ref="G68">IF(ISLOGICAL(F68),"",FREQUENCY(IF('Data Transformation'!$B$24:$B$404='Bin Analysis and Plots'!$D$51,'Data Transformation'!$G$24:$G$404),'Bin Analysis and Plots'!F68))</f>
        <v>0</v>
      </c>
      <c r="H68">
        <f t="shared" si="6"/>
        <v>0</v>
      </c>
      <c r="I68">
        <f>Weighting!$G$20</f>
        <v>0</v>
      </c>
      <c r="J68">
        <f t="array" ref="J68">FREQUENCY(IF('Data Transformation'!$B$4:$B$404=D51,'Data Transformation'!$G$4:$G$404),'Bin Analysis and Plots'!$D68)</f>
        <v>0</v>
      </c>
      <c r="K68">
        <f t="shared" si="7"/>
        <v>0</v>
      </c>
      <c r="L68">
        <f t="shared" si="8"/>
        <v>0</v>
      </c>
      <c r="M68">
        <f>L68*Weighting!$V$20</f>
        <v>0</v>
      </c>
    </row>
    <row r="69" spans="1:27">
      <c r="A69" s="29" t="b">
        <f t="array" ref="A69">IF(ISERROR(INDEX('Data Transformation'!$B$4:$G$450,SMALL(IF('Data Transformation'!$B$4:$B$450='Bin Analysis and Plots'!D51,ROW('Data Transformation'!$B$4:$B$450)),ROW($16:$16))-3,3)),"",INDEX('Data Transformation'!$B$4:$G$450,SMALL(IF('Data Transformation'!$B$4:$B$450='Bin Analysis and Plots'!D51,ROW('Data Transformation'!$B$4:$B$450)),ROW($16:$16))-3,6))</f>
        <v>0</v>
      </c>
      <c r="B69" s="29" t="str">
        <f>IFERROR(SMALL(A54:A73,'Data Transformation'!$L$21),"")</f>
        <v/>
      </c>
      <c r="C69" s="41" t="str">
        <f>IF(Weighting!$O$21&gt;0,D69,"")</f>
        <v/>
      </c>
      <c r="D69" t="e">
        <f>Weighting!$C$21</f>
        <v>#DIV/0!</v>
      </c>
      <c r="E69" t="e">
        <f>Weighting!$E$21</f>
        <v>#NUM!</v>
      </c>
      <c r="F69" t="e">
        <f>IF(E69=1,'Data Transformation'!$G$3+0.5*'Data Transformation'!$U$25,IF(E70=1,F70-'Data Transformation'!$U$25,FALSE))</f>
        <v>#NUM!</v>
      </c>
      <c r="G69">
        <f t="array" ref="G69">IF(ISLOGICAL(F69),"",FREQUENCY(IF('Data Transformation'!$B$24:$B$404='Bin Analysis and Plots'!$D$51,'Data Transformation'!$G$24:$G$404),'Bin Analysis and Plots'!F69))</f>
        <v>0</v>
      </c>
      <c r="H69">
        <f t="shared" si="6"/>
        <v>0</v>
      </c>
      <c r="I69">
        <f>Weighting!$G$21</f>
        <v>0</v>
      </c>
      <c r="J69">
        <f t="array" ref="J69">FREQUENCY(IF('Data Transformation'!$B$4:$B$404=D51,'Data Transformation'!$G$4:$G$404),'Bin Analysis and Plots'!$D69)</f>
        <v>0</v>
      </c>
      <c r="K69">
        <f t="shared" si="7"/>
        <v>0</v>
      </c>
      <c r="L69">
        <f t="shared" si="8"/>
        <v>0</v>
      </c>
      <c r="M69">
        <f>L69*Weighting!$V$21</f>
        <v>0</v>
      </c>
    </row>
    <row r="70" spans="1:27">
      <c r="A70" s="29" t="b">
        <f t="array" ref="A70">IF(ISERROR(INDEX('Data Transformation'!$B$4:$G$450,SMALL(IF('Data Transformation'!$B$4:$B$450='Bin Analysis and Plots'!D51,ROW('Data Transformation'!$B$4:$B$450)),ROW($17:$17))-3,3)),"",INDEX('Data Transformation'!$B$4:$G$450,SMALL(IF('Data Transformation'!$B$4:$B$450='Bin Analysis and Plots'!D51,ROW('Data Transformation'!$B$4:$B$450)),ROW($17:$17))-3,6))</f>
        <v>0</v>
      </c>
      <c r="B70" s="29" t="str">
        <f>IFERROR(SMALL(A54:A73,'Data Transformation'!$L$22),"")</f>
        <v/>
      </c>
      <c r="C70" s="41" t="str">
        <f>IF(Weighting!$O$22&gt;0,D70,"")</f>
        <v/>
      </c>
      <c r="D70" t="e">
        <f>Weighting!$C$22</f>
        <v>#DIV/0!</v>
      </c>
      <c r="E70" t="e">
        <f>Weighting!$E$22</f>
        <v>#NUM!</v>
      </c>
      <c r="F70" t="e">
        <f>IF(E70=1,'Data Transformation'!$G$3+0.5*'Data Transformation'!$U$25,IF(E71=1,F71-'Data Transformation'!$U$25,FALSE))</f>
        <v>#NUM!</v>
      </c>
      <c r="G70">
        <f t="array" ref="G70">IF(ISLOGICAL(F70),"",FREQUENCY(IF('Data Transformation'!$B$24:$B$404='Bin Analysis and Plots'!$D$51,'Data Transformation'!$G$24:$G$404),'Bin Analysis and Plots'!F70))</f>
        <v>0</v>
      </c>
      <c r="H70">
        <f t="shared" si="6"/>
        <v>0</v>
      </c>
      <c r="I70">
        <f>Weighting!$G$22</f>
        <v>0</v>
      </c>
      <c r="J70">
        <f t="array" ref="J70">FREQUENCY(IF('Data Transformation'!$B$4:$B$404=D51,'Data Transformation'!$G$4:$G$404),'Bin Analysis and Plots'!$D70)</f>
        <v>0</v>
      </c>
      <c r="K70">
        <f t="shared" si="7"/>
        <v>0</v>
      </c>
      <c r="L70">
        <f t="shared" si="8"/>
        <v>0</v>
      </c>
      <c r="M70">
        <f>L70*Weighting!$V$22</f>
        <v>0</v>
      </c>
    </row>
    <row r="71" spans="1:27">
      <c r="A71" s="29" t="b">
        <f t="array" ref="A71">IF(ISERROR(INDEX('Data Transformation'!$B$4:$G$450,SMALL(IF('Data Transformation'!$B$4:$B$450='Bin Analysis and Plots'!D51,ROW('Data Transformation'!$B$4:$B$450)),ROW($18:$18))-3,3)),"",INDEX('Data Transformation'!$B$4:$G$450,SMALL(IF('Data Transformation'!$B$4:$B$450='Bin Analysis and Plots'!D51,ROW('Data Transformation'!$B$4:$B$450)),ROW($18:$18))-3,6))</f>
        <v>0</v>
      </c>
      <c r="B71" s="29" t="str">
        <f>IFERROR(SMALL(A54:A73,'Data Transformation'!$L$23),"")</f>
        <v/>
      </c>
      <c r="C71" s="41" t="str">
        <f>IF(Weighting!$O$23&gt;0,D71,"")</f>
        <v/>
      </c>
      <c r="D71" t="e">
        <f>Weighting!$C$23</f>
        <v>#DIV/0!</v>
      </c>
      <c r="E71" t="e">
        <f>Weighting!$E$23</f>
        <v>#NUM!</v>
      </c>
      <c r="F71" t="e">
        <f>IF(E71=1,'Data Transformation'!$G$3+0.5*'Data Transformation'!$U$25,IF(E72=1,F72-'Data Transformation'!$U$25,FALSE))</f>
        <v>#NUM!</v>
      </c>
      <c r="G71">
        <f t="array" ref="G71">IF(ISLOGICAL(F71),"",FREQUENCY(IF('Data Transformation'!$B$24:$B$404='Bin Analysis and Plots'!$D$51,'Data Transformation'!$G$24:$G$404),'Bin Analysis and Plots'!F71))</f>
        <v>0</v>
      </c>
      <c r="H71">
        <f t="shared" si="6"/>
        <v>0</v>
      </c>
      <c r="I71">
        <f>Weighting!$G$23</f>
        <v>0</v>
      </c>
      <c r="J71">
        <f t="array" ref="J71">FREQUENCY(IF('Data Transformation'!$B$4:$B$404=D51,'Data Transformation'!$G$4:$G$404),'Bin Analysis and Plots'!$D71)</f>
        <v>0</v>
      </c>
      <c r="K71">
        <f t="shared" si="7"/>
        <v>0</v>
      </c>
      <c r="L71">
        <f t="shared" si="8"/>
        <v>0</v>
      </c>
      <c r="M71">
        <f>L71*Weighting!$V$23</f>
        <v>0</v>
      </c>
    </row>
    <row r="72" spans="1:27">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t="e">
        <f>Weighting!$C$24</f>
        <v>#DIV/0!</v>
      </c>
      <c r="E72" t="e">
        <f>Weighting!$E$24</f>
        <v>#NUM!</v>
      </c>
      <c r="F72" t="e">
        <f>IF(E72=1,'Data Transformation'!$G$3+0.5*'Data Transformation'!$U$25,IF(E73=1,F73-'Data Transformation'!$U$25,FALSE))</f>
        <v>#NUM!</v>
      </c>
      <c r="G72">
        <f t="array" ref="G72">IF(ISLOGICAL(F72),"",FREQUENCY(IF('Data Transformation'!$B$24:$B$404='Bin Analysis and Plots'!$D$51,'Data Transformation'!$G$24:$G$404),'Bin Analysis and Plots'!F72))</f>
        <v>0</v>
      </c>
      <c r="H72">
        <f t="shared" si="6"/>
        <v>0</v>
      </c>
      <c r="I72">
        <f>Weighting!$G$24</f>
        <v>0</v>
      </c>
      <c r="J72">
        <f t="array" ref="J72">FREQUENCY(IF('Data Transformation'!$B$4:$B$404=D51,'Data Transformation'!$G$4:$G$404),'Bin Analysis and Plots'!$D72)</f>
        <v>0</v>
      </c>
      <c r="K72">
        <f t="shared" si="7"/>
        <v>0</v>
      </c>
      <c r="L72">
        <f t="shared" si="8"/>
        <v>0</v>
      </c>
      <c r="M72">
        <f>L72*Weighting!$V$24</f>
        <v>0</v>
      </c>
    </row>
    <row r="73" spans="1:27">
      <c r="A73" s="29" t="b">
        <f t="array" ref="A73">IF(ISERROR(INDEX('Data Transformation'!$B$4:$G$450,SMALL(IF('Data Transformation'!$B$4:$B$450='Bin Analysis and Plots'!D51,ROW('Data Transformation'!$B$4:$B$450)),ROW($20:$20))-3,3)),"",INDEX('Data Transformation'!$B$4:$G$450,SMALL(IF('Data Transformation'!$B$4:$B$450='Bin Analysis and Plots'!D51,ROW('Data Transformation'!$B$4:$B$450)),ROW($20:$20))-3,6))</f>
        <v>0</v>
      </c>
      <c r="B73" s="29" t="str">
        <f>IFERROR(SMALL(A54:A73,'Data Transformation'!$L$25),"")</f>
        <v/>
      </c>
      <c r="C73" s="41" t="str">
        <f>IF(Weighting!$O$25&gt;0,D73,"")</f>
        <v/>
      </c>
      <c r="D73" t="e">
        <f>Weighting!$C$25</f>
        <v>#DIV/0!</v>
      </c>
      <c r="E73" t="e">
        <f>Weighting!$E$25</f>
        <v>#NUM!</v>
      </c>
      <c r="F73" t="e">
        <f>IF(E73=1,'Data Transformation'!$G$3+0.5*'Data Transformation'!$U$25,IF(E74=1,F74-'Data Transformation'!$U$25,FALSE))</f>
        <v>#NUM!</v>
      </c>
      <c r="G73">
        <f t="array" ref="G73">IF(ISLOGICAL(F73),"",FREQUENCY(IF('Data Transformation'!$B$24:$B$404='Bin Analysis and Plots'!$D$51,'Data Transformation'!$G$24:$G$404),'Bin Analysis and Plots'!F73))</f>
        <v>0</v>
      </c>
      <c r="H73">
        <f t="shared" si="6"/>
        <v>0</v>
      </c>
      <c r="I73">
        <f>Weighting!$G$25</f>
        <v>0</v>
      </c>
      <c r="J73">
        <f t="array" ref="J73">FREQUENCY(IF('Data Transformation'!$B$4:$B$404=D51,'Data Transformation'!$G$4:$G$404),'Bin Analysis and Plots'!$D73)</f>
        <v>0</v>
      </c>
      <c r="K73">
        <f t="shared" si="7"/>
        <v>0</v>
      </c>
      <c r="L73">
        <f t="shared" si="8"/>
        <v>0</v>
      </c>
      <c r="M73">
        <f>L73*Weighting!$V$25</f>
        <v>0</v>
      </c>
    </row>
    <row r="74" spans="1:27">
      <c r="C74" s="41" t="str">
        <f>IF(B74="","",D74)</f>
        <v/>
      </c>
    </row>
    <row r="75" spans="1:27" ht="23.25">
      <c r="C75" s="30" t="s">
        <v>0</v>
      </c>
      <c r="D75" s="30" t="str">
        <f>'Input and Summary Results'!G10</f>
        <v xml:space="preserve"> </v>
      </c>
      <c r="E75" s="30"/>
      <c r="F75" s="30"/>
      <c r="G75" s="30"/>
      <c r="H75" s="30"/>
      <c r="I75" s="30"/>
      <c r="J75" s="31"/>
      <c r="K75" s="31"/>
      <c r="L75" s="31"/>
      <c r="M75" s="30"/>
      <c r="N75" s="30" t="str">
        <f>D75</f>
        <v xml:space="preserve"> </v>
      </c>
      <c r="O75" s="32" t="e">
        <f>INDEX('Data Transformation'!$O$4:$O$25,MATCH($D75,'Data Transformation'!$M$4:$M$25,0),MATCH($O$2,'Data Transformation'!$O$3,0))</f>
        <v>#N/A</v>
      </c>
      <c r="P75" s="36" t="e">
        <f>IF('Input and Summary Results'!$J$16="minimum",'Bin Analysis and Plots'!Z76/('Bin Analysis and Plots'!O75-1),'Bin Analysis and Plots'!AA75/('Bin Analysis and Plots'!O75-1))</f>
        <v>#N/A</v>
      </c>
      <c r="Q75" s="36" t="e">
        <f>IF(O75=FALSE,NA(),(VLOOKUP(1,E78:M97,4,FALSE))/(O75-1))</f>
        <v>#N/A</v>
      </c>
      <c r="R75" s="36" t="e">
        <f>IF(O75=FALSE,NA(),SUM(L78:L97)/Weighting!$R$5)</f>
        <v>#N/A</v>
      </c>
      <c r="S75" s="36" t="e">
        <f>IF(O75=FALSE,NA(),SUM(M78:M97)/Weighting!$R$6)</f>
        <v>#N/A</v>
      </c>
      <c r="T75" s="36" t="e">
        <f>IF(O75=FALSE,NA(),(VLOOKUP(1,I78:M97,3,FALSE))/(O75-1))</f>
        <v>#N/A</v>
      </c>
      <c r="U75" s="31" t="e">
        <f>IF(O75=FALSE,NA(),IF(SUM(L78:L97)=2,"yes","no"))</f>
        <v>#N/A</v>
      </c>
      <c r="Z75" s="78" cm="1">
        <f t="array" ref="Z75:Z76">FREQUENCY(IF('Data Transformation'!$B$24:$B$404='Bin Analysis and Plots'!N75,'Data Transformation'!$G$24:$G$404),'Data Transformation'!$U$11)</f>
        <v>0</v>
      </c>
      <c r="AA75" s="78" cm="1">
        <f t="array" ref="AA75:AA76">FREQUENCY(IF('Data Transformation'!$B$24:$B$404='Bin Analysis and Plots'!N75,'Data Transformation'!$G$24:$G$404),'Data Transformation'!$U$12)</f>
        <v>0</v>
      </c>
    </row>
    <row r="76" spans="1:27" ht="21">
      <c r="A76" s="91" t="s">
        <v>64</v>
      </c>
      <c r="B76" s="91"/>
      <c r="C76" s="14" t="s">
        <v>72</v>
      </c>
      <c r="D76" t="s">
        <v>50</v>
      </c>
      <c r="E76" t="s">
        <v>5</v>
      </c>
      <c r="I76" t="s">
        <v>74</v>
      </c>
      <c r="J76" t="s">
        <v>34</v>
      </c>
      <c r="K76" t="s">
        <v>35</v>
      </c>
      <c r="L76" t="s">
        <v>49</v>
      </c>
      <c r="M76" s="14" t="s">
        <v>48</v>
      </c>
      <c r="Z76" s="78">
        <v>0</v>
      </c>
      <c r="AA76" s="78">
        <v>0</v>
      </c>
    </row>
    <row r="77" spans="1:27">
      <c r="C77" s="41" t="str">
        <f>IF(B77="","",D77)</f>
        <v/>
      </c>
      <c r="F77" t="e">
        <f>IF(E77=1,'Data Transformation'!$G$3+0.5*'Data Transformation'!$U$25,IF(E78=1,F78-'Data Transformation'!$U$25,FALSE))</f>
        <v>#NUM!</v>
      </c>
      <c r="G77">
        <f t="array" ref="G77">IF(ISLOGICAL(F77),"",FREQUENCY(IF('Data Transformation'!$B$24:$B$404='Bin Analysis and Plots'!$D$75,'Data Transformation'!$G$24:$G$404),'Bin Analysis and Plots'!F77))</f>
        <v>0</v>
      </c>
      <c r="H77">
        <f>IF(ISLOGICAL(F77),"",G77-G76)</f>
        <v>0</v>
      </c>
    </row>
    <row r="78" spans="1:27">
      <c r="A78" s="29" t="b" cm="1">
        <f t="array" ref="A78">IF(ISERROR(INDEX('Data Transformation'!$B$4:$G$450,SMALL(IF('Data Transformation'!$B$4:$B$450='Bin Analysis and Plots'!D75,ROW('Data Transformation'!$B$4:$B$450)),ROW($1:$1))-3,3)),"",INDEX('Data Transformation'!$B$4:$G$450,SMALL(IF('Data Transformation'!$B$4:$B$450='Bin Analysis and Plots'!D75,ROW('Data Transformation'!$B$4:$B$450)),ROW($1:$1))-3,6))</f>
        <v>0</v>
      </c>
      <c r="B78" s="29" t="str">
        <f>IFERROR(SMALL(A78:A97,'Data Transformation'!$L$6),"")</f>
        <v/>
      </c>
      <c r="C78" s="41" t="e">
        <f>IF(Weighting!$O$6&gt;0,D78,"")</f>
        <v>#NUM!</v>
      </c>
      <c r="D78" t="e">
        <f>Weighting!$C$6</f>
        <v>#DIV/0!</v>
      </c>
      <c r="E78" t="e">
        <f>Weighting!$E$6</f>
        <v>#NUM!</v>
      </c>
      <c r="F78" t="e">
        <f>IF(E78=1,'Data Transformation'!$G$3+0.5*'Data Transformation'!$U$25,IF(E79=1,F79-'Data Transformation'!$U$25,FALSE))</f>
        <v>#NUM!</v>
      </c>
      <c r="G78">
        <f t="array" ref="G78">IF(ISLOGICAL(F78),"",FREQUENCY(IF('Data Transformation'!$B$24:$B$404='Bin Analysis and Plots'!$D$75,'Data Transformation'!$G$24:$G$404),'Bin Analysis and Plots'!F78))</f>
        <v>0</v>
      </c>
      <c r="H78">
        <f>IF(ISLOGICAL(F78),"",G78-G77)</f>
        <v>0</v>
      </c>
      <c r="I78">
        <f>Weighting!$G$6</f>
        <v>1</v>
      </c>
      <c r="J78">
        <f t="array" ref="J78">FREQUENCY(IF('Data Transformation'!$B$4:$B$404=D75,'Data Transformation'!$G$4:$G$404),'Bin Analysis and Plots'!$D78)</f>
        <v>0</v>
      </c>
      <c r="K78">
        <f>J78-J77</f>
        <v>0</v>
      </c>
      <c r="L78">
        <f>IF(K78=0,0,1)</f>
        <v>0</v>
      </c>
      <c r="M78" t="e">
        <f>L78*Weighting!$V$6</f>
        <v>#NUM!</v>
      </c>
    </row>
    <row r="79" spans="1:27">
      <c r="A79" s="29" t="b" cm="1">
        <f t="array" ref="A79">IF(ISERROR(INDEX('Data Transformation'!$B$4:$G$450,SMALL(IF('Data Transformation'!$B$4:$B$450='Bin Analysis and Plots'!D75,ROW('Data Transformation'!$B$4:$B$450)),ROW($2:$2))-3,3)),"",INDEX('Data Transformation'!$B$4:$G$450,SMALL(IF('Data Transformation'!$B$4:$B$450='Bin Analysis and Plots'!D75,ROW('Data Transformation'!$B$4:$B$450)),ROW($2:$2))-3,6))</f>
        <v>0</v>
      </c>
      <c r="B79" s="29" t="str">
        <f>IFERROR(SMALL(A78:A97,'Data Transformation'!$L$7),"")</f>
        <v/>
      </c>
      <c r="C79" s="41" t="str">
        <f>IF(Weighting!$O$7&gt;0,D79,"")</f>
        <v/>
      </c>
      <c r="D79" t="e">
        <f>Weighting!$C$7</f>
        <v>#DIV/0!</v>
      </c>
      <c r="E79" t="e">
        <f>Weighting!$E$7</f>
        <v>#NUM!</v>
      </c>
      <c r="F79" t="e">
        <f>IF(E79=1,'Data Transformation'!$G$3+0.5*'Data Transformation'!$U$25,IF(E80=1,F80-'Data Transformation'!$U$25,FALSE))</f>
        <v>#NUM!</v>
      </c>
      <c r="G79">
        <f t="array" ref="G79">IF(ISLOGICAL(F79),"",FREQUENCY(IF('Data Transformation'!$B$24:$B$404='Bin Analysis and Plots'!$D$75,'Data Transformation'!$G$24:$G$404),'Bin Analysis and Plots'!F79))</f>
        <v>0</v>
      </c>
      <c r="H79">
        <f t="shared" ref="H79:H97" si="9">IF(ISLOGICAL(F79),"",G79-G78)</f>
        <v>0</v>
      </c>
      <c r="I79">
        <f>Weighting!$G$7</f>
        <v>0</v>
      </c>
      <c r="J79">
        <f t="array" ref="J79">FREQUENCY(IF('Data Transformation'!$B$4:$B$404=D75,'Data Transformation'!$G$4:$G$404),'Bin Analysis and Plots'!$D79)</f>
        <v>0</v>
      </c>
      <c r="K79">
        <f t="shared" ref="K79:K97" si="10">J79-J78</f>
        <v>0</v>
      </c>
      <c r="L79">
        <f>IF(K79=0,0,1)</f>
        <v>0</v>
      </c>
      <c r="M79">
        <f>L79*Weighting!$V$7</f>
        <v>0</v>
      </c>
    </row>
    <row r="80" spans="1:27">
      <c r="A80" s="29" t="b" cm="1">
        <f t="array" ref="A80">IF(ISERROR(INDEX('Data Transformation'!$B$4:$G$450,SMALL(IF('Data Transformation'!$B$4:$B$450='Bin Analysis and Plots'!D75,ROW('Data Transformation'!$B$4:$B$450)),ROW($3:$3))-3,3)),"",INDEX('Data Transformation'!$B$4:$G$450,SMALL(IF('Data Transformation'!$B$4:$B$450='Bin Analysis and Plots'!D75,ROW('Data Transformation'!$B$4:$B$450)),ROW($3:$3))-3,6))</f>
        <v>0</v>
      </c>
      <c r="B80" s="29" t="str">
        <f>IFERROR(SMALL(A78:A97,'Data Transformation'!$L$8),"")</f>
        <v/>
      </c>
      <c r="C80" s="41" t="str">
        <f>IF(Weighting!$O$8&gt;0,D80,"")</f>
        <v/>
      </c>
      <c r="D80" t="e">
        <f>Weighting!$C$8</f>
        <v>#DIV/0!</v>
      </c>
      <c r="E80" t="e">
        <f>Weighting!$E$8</f>
        <v>#NUM!</v>
      </c>
      <c r="F80" t="e">
        <f>IF(E80=1,'Data Transformation'!$G$3+0.5*'Data Transformation'!$U$25,IF(E81=1,F81-'Data Transformation'!$U$25,FALSE))</f>
        <v>#NUM!</v>
      </c>
      <c r="G80">
        <f t="array" ref="G80">IF(ISLOGICAL(F80),"",FREQUENCY(IF('Data Transformation'!$B$24:$B$404='Bin Analysis and Plots'!$D$75,'Data Transformation'!$G$24:$G$404),'Bin Analysis and Plots'!F80))</f>
        <v>0</v>
      </c>
      <c r="H80">
        <f t="shared" si="9"/>
        <v>0</v>
      </c>
      <c r="I80">
        <f>Weighting!$G$8</f>
        <v>0</v>
      </c>
      <c r="J80">
        <f t="array" ref="J80">FREQUENCY(IF('Data Transformation'!$B$4:$B$404=D75,'Data Transformation'!$G$4:$G$404),'Bin Analysis and Plots'!$D80)</f>
        <v>0</v>
      </c>
      <c r="K80">
        <f t="shared" si="10"/>
        <v>0</v>
      </c>
      <c r="L80">
        <f t="shared" ref="L80:L97" si="11">IF(K80=0,0,1)</f>
        <v>0</v>
      </c>
      <c r="M80">
        <f>L80*Weighting!$V$8</f>
        <v>0</v>
      </c>
    </row>
    <row r="81" spans="1:29">
      <c r="A81" s="29" t="b">
        <f t="array" ref="A81">IF(ISERROR(INDEX('Data Transformation'!$B$4:$G$450,SMALL(IF('Data Transformation'!$B$4:$B$450='Bin Analysis and Plots'!D75,ROW('Data Transformation'!$B$4:$B$450)),ROW($4:$4))-3,3)),"",INDEX('Data Transformation'!$B$4:$G$450,SMALL(IF('Data Transformation'!$B$4:$B$450='Bin Analysis and Plots'!D75,ROW('Data Transformation'!$B$4:$B$450)),ROW($4:$4))-3,6))</f>
        <v>0</v>
      </c>
      <c r="B81" s="29" t="str">
        <f>IFERROR(SMALL(A78:A97,'Data Transformation'!$L$9),"")</f>
        <v/>
      </c>
      <c r="C81" s="41" t="str">
        <f>IF(Weighting!$O$9&gt;0,D81,"")</f>
        <v/>
      </c>
      <c r="D81" t="e">
        <f>Weighting!$B$9</f>
        <v>#DIV/0!</v>
      </c>
      <c r="E81" t="e">
        <f>Weighting!$E$9</f>
        <v>#NUM!</v>
      </c>
      <c r="F81" t="e">
        <f>IF(E81=1,'Data Transformation'!$G$3+0.5*'Data Transformation'!$U$25,IF(E82=1,F82-'Data Transformation'!$U$25,FALSE))</f>
        <v>#NUM!</v>
      </c>
      <c r="G81">
        <f t="array" ref="G81">IF(ISLOGICAL(F81),"",FREQUENCY(IF('Data Transformation'!$B$24:$B$404='Bin Analysis and Plots'!$D$75,'Data Transformation'!$G$24:$G$404),'Bin Analysis and Plots'!F81))</f>
        <v>0</v>
      </c>
      <c r="H81">
        <f t="shared" si="9"/>
        <v>0</v>
      </c>
      <c r="I81">
        <f>Weighting!$G$9</f>
        <v>0</v>
      </c>
      <c r="J81">
        <f t="array" ref="J81">FREQUENCY(IF('Data Transformation'!$B$4:$B$404=D75,'Data Transformation'!$G$4:$G$404),'Bin Analysis and Plots'!$D81)</f>
        <v>0</v>
      </c>
      <c r="K81">
        <f t="shared" si="10"/>
        <v>0</v>
      </c>
      <c r="L81">
        <f t="shared" si="11"/>
        <v>0</v>
      </c>
      <c r="M81">
        <f>L81*Weighting!$V$9</f>
        <v>0</v>
      </c>
    </row>
    <row r="82" spans="1:29">
      <c r="A82" s="29" t="b" cm="1">
        <f t="array" ref="A82">IF(ISERROR(INDEX('Data Transformation'!$B$4:$G$450,SMALL(IF('Data Transformation'!$B$4:$B$450='Bin Analysis and Plots'!D75,ROW('Data Transformation'!$B$4:$B$450)),ROW($5:$5))-3,3)),"",INDEX('Data Transformation'!$B$4:$G$450,SMALL(IF('Data Transformation'!$B$4:$B$450='Bin Analysis and Plots'!D75,ROW('Data Transformation'!$B$4:$B$450)),ROW($5:$5))-3,6))</f>
        <v>0</v>
      </c>
      <c r="B82" s="29" t="str">
        <f>IFERROR(SMALL(A78:A97,'Data Transformation'!$L$10),"")</f>
        <v/>
      </c>
      <c r="C82" s="41" t="str">
        <f>IF(Weighting!$O$10&gt;0,D82,"")</f>
        <v/>
      </c>
      <c r="D82" t="e">
        <f>Weighting!$C$10</f>
        <v>#DIV/0!</v>
      </c>
      <c r="E82" t="e">
        <f>Weighting!$E$10</f>
        <v>#NUM!</v>
      </c>
      <c r="F82" t="e">
        <f>IF(E82=1,'Data Transformation'!$G$3+0.5*'Data Transformation'!$U$25,IF(E83=1,F83-'Data Transformation'!$U$25,FALSE))</f>
        <v>#NUM!</v>
      </c>
      <c r="G82">
        <f t="array" ref="G82">IF(ISLOGICAL(F82),"",FREQUENCY(IF('Data Transformation'!$B$24:$B$404='Bin Analysis and Plots'!$D$75,'Data Transformation'!$G$24:$G$404),'Bin Analysis and Plots'!F82))</f>
        <v>0</v>
      </c>
      <c r="H82">
        <f t="shared" si="9"/>
        <v>0</v>
      </c>
      <c r="I82">
        <f>Weighting!$G$10</f>
        <v>0</v>
      </c>
      <c r="J82">
        <f t="array" ref="J82">FREQUENCY(IF('Data Transformation'!$B$4:$B$404=D75,'Data Transformation'!$G$4:$G$404),'Bin Analysis and Plots'!$D82)</f>
        <v>0</v>
      </c>
      <c r="K82">
        <f t="shared" si="10"/>
        <v>0</v>
      </c>
      <c r="L82">
        <f t="shared" si="11"/>
        <v>0</v>
      </c>
      <c r="M82">
        <f>L82*Weighting!$V$10</f>
        <v>0</v>
      </c>
    </row>
    <row r="83" spans="1:29">
      <c r="A83" s="29" t="b">
        <f t="array" ref="A83">IF(ISERROR(INDEX('Data Transformation'!$B$4:$G$450,SMALL(IF('Data Transformation'!$B$4:$B$450='Bin Analysis and Plots'!D75,ROW('Data Transformation'!$B$4:$B$450)),ROW($6:$6))-3,3)),"",INDEX('Data Transformation'!$B$4:$G$450,SMALL(IF('Data Transformation'!$B$4:$B$450='Bin Analysis and Plots'!D75,ROW('Data Transformation'!$B$4:$B$450)),ROW($6:$6))-3,6))</f>
        <v>0</v>
      </c>
      <c r="B83" s="29" t="str">
        <f>IFERROR(SMALL(A78:A97,'Data Transformation'!$L$11),"")</f>
        <v/>
      </c>
      <c r="C83" s="41" t="str">
        <f>IF(Weighting!$O$11&gt;0,D83,"")</f>
        <v/>
      </c>
      <c r="D83" t="e">
        <f>Weighting!$C$11</f>
        <v>#DIV/0!</v>
      </c>
      <c r="E83" t="e">
        <f>Weighting!$E$11</f>
        <v>#NUM!</v>
      </c>
      <c r="F83" t="e">
        <f>IF(E83=1,'Data Transformation'!$G$3+0.5*'Data Transformation'!$U$25,IF(E84=1,F84-'Data Transformation'!$U$25,FALSE))</f>
        <v>#NUM!</v>
      </c>
      <c r="G83">
        <f t="array" ref="G83">IF(ISLOGICAL(F83),"",FREQUENCY(IF('Data Transformation'!$B$24:$B$404='Bin Analysis and Plots'!$D$75,'Data Transformation'!$G$24:$G$404),'Bin Analysis and Plots'!F83))</f>
        <v>0</v>
      </c>
      <c r="H83">
        <f>IF(ISLOGICAL(F83),"",G83-G82)</f>
        <v>0</v>
      </c>
      <c r="I83">
        <f>Weighting!$G$11</f>
        <v>0</v>
      </c>
      <c r="J83">
        <f t="array" ref="J83">FREQUENCY(IF('Data Transformation'!$B$4:$B$404=D75,'Data Transformation'!$G$4:$G$404),'Bin Analysis and Plots'!$D83)</f>
        <v>0</v>
      </c>
      <c r="K83">
        <f t="shared" si="10"/>
        <v>0</v>
      </c>
      <c r="L83">
        <f t="shared" si="11"/>
        <v>0</v>
      </c>
      <c r="M83">
        <f>L83*Weighting!$V$11</f>
        <v>0</v>
      </c>
    </row>
    <row r="84" spans="1:29">
      <c r="A84" s="29" t="b">
        <f t="array" ref="A84">IF(ISERROR(INDEX('Data Transformation'!$B$4:$G$450,SMALL(IF('Data Transformation'!$B$4:$B$450='Bin Analysis and Plots'!D75,ROW('Data Transformation'!$B$4:$B$450)),ROW($7:$7))-3,3)),"",INDEX('Data Transformation'!$B$4:$G$450,SMALL(IF('Data Transformation'!$B$4:$B$450='Bin Analysis and Plots'!D75,ROW('Data Transformation'!$B$4:$B$450)),ROW($7:$7))-3,6))</f>
        <v>0</v>
      </c>
      <c r="B84" s="29" t="str">
        <f>IFERROR(SMALL(A78:A97,'Data Transformation'!$L$12),"")</f>
        <v/>
      </c>
      <c r="C84" s="41" t="str">
        <f>IF(Weighting!$O$12&gt;0,D84,"")</f>
        <v/>
      </c>
      <c r="D84" t="e">
        <f>Weighting!$C$12</f>
        <v>#DIV/0!</v>
      </c>
      <c r="E84" t="e">
        <f>Weighting!$E$12</f>
        <v>#NUM!</v>
      </c>
      <c r="F84" t="e">
        <f>IF(E84=1,'Data Transformation'!$G$3+0.5*'Data Transformation'!$U$25,IF(E85=1,F85-'Data Transformation'!$U$25,FALSE))</f>
        <v>#NUM!</v>
      </c>
      <c r="G84">
        <f t="array" ref="G84">IF(ISLOGICAL(F84),"",FREQUENCY(IF('Data Transformation'!$B$24:$B$404='Bin Analysis and Plots'!$D$75,'Data Transformation'!$G$24:$G$404),'Bin Analysis and Plots'!F84))</f>
        <v>0</v>
      </c>
      <c r="H84">
        <f t="shared" si="9"/>
        <v>0</v>
      </c>
      <c r="I84">
        <f>Weighting!$G$12</f>
        <v>0</v>
      </c>
      <c r="J84">
        <f t="array" ref="J84">FREQUENCY(IF('Data Transformation'!$B$4:$B$404=D75,'Data Transformation'!$G$4:$G$404),'Bin Analysis and Plots'!$D84)</f>
        <v>0</v>
      </c>
      <c r="K84">
        <f t="shared" si="10"/>
        <v>0</v>
      </c>
      <c r="L84">
        <f t="shared" si="11"/>
        <v>0</v>
      </c>
      <c r="M84">
        <f>L84*Weighting!$V$12</f>
        <v>0</v>
      </c>
    </row>
    <row r="85" spans="1:29">
      <c r="A85" s="29" t="b">
        <f t="array" ref="A85">IF(ISERROR(INDEX('Data Transformation'!$B$4:$G$450,SMALL(IF('Data Transformation'!$B$4:$B$450='Bin Analysis and Plots'!D75,ROW('Data Transformation'!$B$4:$B$450)),ROW($8:$8))-3,3)),"",INDEX('Data Transformation'!$B$4:$G$450,SMALL(IF('Data Transformation'!$B$4:$B$450='Bin Analysis and Plots'!D75,ROW('Data Transformation'!$B$4:$B$450)),ROW($8:$8))-3,6))</f>
        <v>0</v>
      </c>
      <c r="B85" s="29" t="str">
        <f>IFERROR(SMALL(A78:A97,'Data Transformation'!$L$13),"")</f>
        <v/>
      </c>
      <c r="C85" s="41" t="str">
        <f>IF(Weighting!$O$13&gt;0,D85,"")</f>
        <v/>
      </c>
      <c r="D85" t="e">
        <f>Weighting!$C$13</f>
        <v>#DIV/0!</v>
      </c>
      <c r="E85" t="e">
        <f>Weighting!$E$13</f>
        <v>#NUM!</v>
      </c>
      <c r="F85" t="e">
        <f>IF(E85=1,'Data Transformation'!$G$3+0.5*'Data Transformation'!$U$25,IF(E86=1,F86-'Data Transformation'!$U$25,FALSE))</f>
        <v>#NUM!</v>
      </c>
      <c r="G85">
        <f t="array" ref="G85">IF(ISLOGICAL(F85),"",FREQUENCY(IF('Data Transformation'!$B$24:$B$404='Bin Analysis and Plots'!$D$75,'Data Transformation'!$G$24:$G$404),'Bin Analysis and Plots'!F85))</f>
        <v>0</v>
      </c>
      <c r="H85">
        <f t="shared" si="9"/>
        <v>0</v>
      </c>
      <c r="I85">
        <f>Weighting!$G$13</f>
        <v>0</v>
      </c>
      <c r="J85">
        <f t="array" ref="J85">FREQUENCY(IF('Data Transformation'!$B$4:$B$404=D75,'Data Transformation'!$G$4:$G$404),'Bin Analysis and Plots'!$D85)</f>
        <v>0</v>
      </c>
      <c r="K85">
        <f t="shared" si="10"/>
        <v>0</v>
      </c>
      <c r="L85">
        <f t="shared" si="11"/>
        <v>0</v>
      </c>
      <c r="M85">
        <f>L85*Weighting!$V$13</f>
        <v>0</v>
      </c>
    </row>
    <row r="86" spans="1:29">
      <c r="A86" s="29" t="b">
        <f t="array" ref="A86">IF(ISERROR(INDEX('Data Transformation'!$B$4:$G$450,SMALL(IF('Data Transformation'!$B$4:$B$450='Bin Analysis and Plots'!D75,ROW('Data Transformation'!$B$4:$B$450)),ROW($9:$9))-3,3)),"",INDEX('Data Transformation'!$B$4:$G$450,SMALL(IF('Data Transformation'!$B$4:$B$450='Bin Analysis and Plots'!D75,ROW('Data Transformation'!$B$4:$B$450)),ROW($9:$9))-3,6))</f>
        <v>0</v>
      </c>
      <c r="B86" s="29" t="str">
        <f>IFERROR(SMALL(A78:A97,'Data Transformation'!$L$14),"")</f>
        <v/>
      </c>
      <c r="C86" s="41" t="str">
        <f>IF(Weighting!$O$14&gt;0,D86,"")</f>
        <v/>
      </c>
      <c r="D86" t="e">
        <f>Weighting!$C$14</f>
        <v>#DIV/0!</v>
      </c>
      <c r="E86" t="e">
        <f>Weighting!$E$14</f>
        <v>#NUM!</v>
      </c>
      <c r="F86" t="e">
        <f>IF(E86=1,'Data Transformation'!$G$3+0.5*'Data Transformation'!$U$25,IF(E87=1,F87-'Data Transformation'!$U$25,FALSE))</f>
        <v>#NUM!</v>
      </c>
      <c r="G86">
        <f t="array" ref="G86">IF(ISLOGICAL(F86),"",FREQUENCY(IF('Data Transformation'!$B$24:$B$404='Bin Analysis and Plots'!$D$75,'Data Transformation'!$G$24:$G$404),'Bin Analysis and Plots'!F86))</f>
        <v>0</v>
      </c>
      <c r="H86">
        <f t="shared" si="9"/>
        <v>0</v>
      </c>
      <c r="I86">
        <f>Weighting!$G$14</f>
        <v>0</v>
      </c>
      <c r="J86">
        <f t="array" ref="J86">FREQUENCY(IF('Data Transformation'!$B$4:$B$404=D75,'Data Transformation'!$G$4:$G$404),'Bin Analysis and Plots'!$D86)</f>
        <v>0</v>
      </c>
      <c r="K86">
        <f t="shared" si="10"/>
        <v>0</v>
      </c>
      <c r="L86">
        <f t="shared" si="11"/>
        <v>0</v>
      </c>
      <c r="M86">
        <f>L86*Weighting!$V$14</f>
        <v>0</v>
      </c>
    </row>
    <row r="87" spans="1:29">
      <c r="A87" s="29" t="b">
        <f t="array" ref="A87">IF(ISERROR(INDEX('Data Transformation'!$B$4:$G$450,SMALL(IF('Data Transformation'!$B$4:$B$450='Bin Analysis and Plots'!D75,ROW('Data Transformation'!$B$4:$B$450)),ROW($10:$10))-3,3)),"",INDEX('Data Transformation'!$B$4:$G$450,SMALL(IF('Data Transformation'!$B$4:$B$450='Bin Analysis and Plots'!D75,ROW('Data Transformation'!$B$4:$B$450)),ROW($10:$10))-3,6))</f>
        <v>0</v>
      </c>
      <c r="B87" s="29" t="str">
        <f>IFERROR(SMALL(A78:A97,'Data Transformation'!$L$15),"")</f>
        <v/>
      </c>
      <c r="C87" s="41" t="str">
        <f>IF(Weighting!$O$15&gt;0,D87,"")</f>
        <v/>
      </c>
      <c r="D87" t="e">
        <f>Weighting!$C$15</f>
        <v>#DIV/0!</v>
      </c>
      <c r="E87" t="e">
        <f>Weighting!$E$15</f>
        <v>#NUM!</v>
      </c>
      <c r="F87" t="e">
        <f>IF(E87=1,'Data Transformation'!$G$3+0.5*'Data Transformation'!$U$25,IF(E88=1,F88-'Data Transformation'!$U$25,FALSE))</f>
        <v>#NUM!</v>
      </c>
      <c r="G87">
        <f t="array" ref="G87">IF(ISLOGICAL(F87),"",FREQUENCY(IF('Data Transformation'!$B$24:$B$404='Bin Analysis and Plots'!$D$75,'Data Transformation'!$G$24:$G$404),'Bin Analysis and Plots'!F87))</f>
        <v>0</v>
      </c>
      <c r="H87">
        <f t="shared" si="9"/>
        <v>0</v>
      </c>
      <c r="I87">
        <f>Weighting!$G$15</f>
        <v>0</v>
      </c>
      <c r="J87">
        <f t="array" ref="J87">FREQUENCY(IF('Data Transformation'!$B$4:$B$404=D75,'Data Transformation'!$G$4:$G$404),'Bin Analysis and Plots'!$D87)</f>
        <v>0</v>
      </c>
      <c r="K87">
        <f t="shared" si="10"/>
        <v>0</v>
      </c>
      <c r="L87">
        <f t="shared" si="11"/>
        <v>0</v>
      </c>
      <c r="M87">
        <f>L87*Weighting!$V$15</f>
        <v>0</v>
      </c>
    </row>
    <row r="88" spans="1:29">
      <c r="A88" s="29" t="b">
        <f t="array" ref="A88">IF(ISERROR(INDEX('Data Transformation'!$B$4:$G$450,SMALL(IF('Data Transformation'!$B$4:$B$450='Bin Analysis and Plots'!D75,ROW('Data Transformation'!$B$4:$B$450)),ROW($11:$11))-3,3)),"",INDEX('Data Transformation'!$B$4:$G$450,SMALL(IF('Data Transformation'!$B$4:$B$450='Bin Analysis and Plots'!D75,ROW('Data Transformation'!$B$4:$B$450)),ROW($11:$11))-3,6))</f>
        <v>0</v>
      </c>
      <c r="B88" s="29" t="str">
        <f>IFERROR(SMALL(A78:A97,'Data Transformation'!$L$16),"")</f>
        <v/>
      </c>
      <c r="C88" s="41" t="str">
        <f>IF(Weighting!$O$16&gt;0,D88,"")</f>
        <v/>
      </c>
      <c r="D88" t="e">
        <f>Weighting!$C$16</f>
        <v>#DIV/0!</v>
      </c>
      <c r="E88" t="e">
        <f>Weighting!$E$16</f>
        <v>#NUM!</v>
      </c>
      <c r="F88" t="e">
        <f>IF(E88=1,'Data Transformation'!$G$3+0.5*'Data Transformation'!$U$25,IF(E89=1,F89-'Data Transformation'!$U$25,FALSE))</f>
        <v>#NUM!</v>
      </c>
      <c r="G88">
        <f t="array" ref="G88">IF(ISLOGICAL(F88),"",FREQUENCY(IF('Data Transformation'!$B$24:$B$404='Bin Analysis and Plots'!$D$75,'Data Transformation'!$G$24:$G$404),'Bin Analysis and Plots'!F88))</f>
        <v>0</v>
      </c>
      <c r="H88">
        <f t="shared" si="9"/>
        <v>0</v>
      </c>
      <c r="I88">
        <f>Weighting!$G$16</f>
        <v>0</v>
      </c>
      <c r="J88">
        <f t="array" ref="J88">FREQUENCY(IF('Data Transformation'!$B$4:$B$404=D75,'Data Transformation'!$G$4:$G$404),'Bin Analysis and Plots'!$D88)</f>
        <v>0</v>
      </c>
      <c r="K88">
        <f t="shared" si="10"/>
        <v>0</v>
      </c>
      <c r="L88">
        <f t="shared" si="11"/>
        <v>0</v>
      </c>
      <c r="M88">
        <f>L88*Weighting!$V$16</f>
        <v>0</v>
      </c>
    </row>
    <row r="89" spans="1:29">
      <c r="A89" s="29" t="b">
        <f t="array" ref="A89">IF(ISERROR(INDEX('Data Transformation'!$B$4:$G$450,SMALL(IF('Data Transformation'!$B$4:$B$450='Bin Analysis and Plots'!D75,ROW('Data Transformation'!$B$4:$B$450)),ROW($12:$12))-3,3)),"",INDEX('Data Transformation'!$B$4:$G$450,SMALL(IF('Data Transformation'!$B$4:$B$450='Bin Analysis and Plots'!D75,ROW('Data Transformation'!$B$4:$B$450)),ROW($12:$12))-3,6))</f>
        <v>0</v>
      </c>
      <c r="B89" s="29" t="str">
        <f>IFERROR(SMALL(A78:A97,'Data Transformation'!$L$17),"")</f>
        <v/>
      </c>
      <c r="C89" s="41" t="str">
        <f>IF(Weighting!$O$17&gt;0,D89,"")</f>
        <v/>
      </c>
      <c r="D89" t="e">
        <f>Weighting!$C$17</f>
        <v>#DIV/0!</v>
      </c>
      <c r="E89" t="e">
        <f>Weighting!$E$17</f>
        <v>#NUM!</v>
      </c>
      <c r="F89" t="e">
        <f>IF(E89=1,'Data Transformation'!$G$3+0.5*'Data Transformation'!$U$25,IF(E90=1,F90-'Data Transformation'!$U$25,FALSE))</f>
        <v>#NUM!</v>
      </c>
      <c r="G89">
        <f t="array" ref="G89">IF(ISLOGICAL(F89),"",FREQUENCY(IF('Data Transformation'!$B$24:$B$404='Bin Analysis and Plots'!$D$75,'Data Transformation'!$G$24:$G$404),'Bin Analysis and Plots'!F89))</f>
        <v>0</v>
      </c>
      <c r="H89">
        <f t="shared" si="9"/>
        <v>0</v>
      </c>
      <c r="I89">
        <f>Weighting!$G$17</f>
        <v>0</v>
      </c>
      <c r="J89">
        <f t="array" ref="J89">FREQUENCY(IF('Data Transformation'!$B$4:$B$404=D75,'Data Transformation'!$G$4:$G$404),'Bin Analysis and Plots'!$D89)</f>
        <v>0</v>
      </c>
      <c r="K89">
        <f t="shared" si="10"/>
        <v>0</v>
      </c>
      <c r="L89">
        <f t="shared" si="11"/>
        <v>0</v>
      </c>
      <c r="M89">
        <f>L89*Weighting!$V$17</f>
        <v>0</v>
      </c>
    </row>
    <row r="90" spans="1:29">
      <c r="A90" s="29" t="b">
        <f t="array" ref="A90">IF(ISERROR(INDEX('Data Transformation'!$B$4:$G$450,SMALL(IF('Data Transformation'!$B$4:$B$450='Bin Analysis and Plots'!D75,ROW('Data Transformation'!$B$4:$B$450)),ROW($13:$13))-3,3)),"",INDEX('Data Transformation'!$B$4:$G$450,SMALL(IF('Data Transformation'!$B$4:$B$450='Bin Analysis and Plots'!D75,ROW('Data Transformation'!$B$4:$B$450)),ROW($13:$13))-3,6))</f>
        <v>0</v>
      </c>
      <c r="B90" s="29" t="str">
        <f>IFERROR(SMALL(A78:A97,'Data Transformation'!$L$18),"")</f>
        <v/>
      </c>
      <c r="C90" s="41" t="str">
        <f>IF(Weighting!$O$18&gt;0,D90,"")</f>
        <v/>
      </c>
      <c r="D90" t="e">
        <f>Weighting!$C$18</f>
        <v>#DIV/0!</v>
      </c>
      <c r="E90" t="e">
        <f>Weighting!$E$18</f>
        <v>#NUM!</v>
      </c>
      <c r="F90" t="e">
        <f>IF(E90=1,'Data Transformation'!$G$3+0.5*'Data Transformation'!$U$25,IF(E91=1,F91-'Data Transformation'!$U$25,FALSE))</f>
        <v>#NUM!</v>
      </c>
      <c r="G90">
        <f t="array" ref="G90">IF(ISLOGICAL(F90),"",FREQUENCY(IF('Data Transformation'!$B$24:$B$404='Bin Analysis and Plots'!$D$75,'Data Transformation'!$G$24:$G$404),'Bin Analysis and Plots'!F90))</f>
        <v>0</v>
      </c>
      <c r="H90">
        <f t="shared" si="9"/>
        <v>0</v>
      </c>
      <c r="I90">
        <f>Weighting!$G$18</f>
        <v>0</v>
      </c>
      <c r="J90">
        <f t="array" ref="J90">FREQUENCY(IF('Data Transformation'!$B$4:$B$404=D75,'Data Transformation'!$G$4:$G$404),'Bin Analysis and Plots'!$D90)</f>
        <v>0</v>
      </c>
      <c r="K90">
        <f t="shared" si="10"/>
        <v>0</v>
      </c>
      <c r="L90">
        <f t="shared" si="11"/>
        <v>0</v>
      </c>
      <c r="M90">
        <f>L90*Weighting!$V$18</f>
        <v>0</v>
      </c>
    </row>
    <row r="91" spans="1:29">
      <c r="A91" s="29" t="b">
        <f t="array" ref="A91">IF(ISERROR(INDEX('Data Transformation'!$B$4:$G$450,SMALL(IF('Data Transformation'!$B$4:$B$450='Bin Analysis and Plots'!D75,ROW('Data Transformation'!$B$4:$B$450)),ROW($14:$14))-3,3)),"",INDEX('Data Transformation'!$B$4:$G$450,SMALL(IF('Data Transformation'!$B$4:$B$450='Bin Analysis and Plots'!D75,ROW('Data Transformation'!$B$4:$B$450)),ROW($14:$14))-3,6))</f>
        <v>0</v>
      </c>
      <c r="B91" s="29" t="str">
        <f>IFERROR(SMALL(A78:A97,'Data Transformation'!$L$19),"")</f>
        <v/>
      </c>
      <c r="C91" s="41" t="str">
        <f>IF(Weighting!$O$19&gt;0,D91,"")</f>
        <v/>
      </c>
      <c r="D91" t="e">
        <f>Weighting!$C$19</f>
        <v>#DIV/0!</v>
      </c>
      <c r="E91" t="e">
        <f>Weighting!$E$19</f>
        <v>#NUM!</v>
      </c>
      <c r="F91" t="e">
        <f>IF(E91=1,'Data Transformation'!$G$3+0.5*'Data Transformation'!$U$25,IF(E92=1,F92-'Data Transformation'!$U$25,FALSE))</f>
        <v>#NUM!</v>
      </c>
      <c r="G91">
        <f t="array" ref="G91">IF(ISLOGICAL(F91),"",FREQUENCY(IF('Data Transformation'!$B$24:$B$404='Bin Analysis and Plots'!$D$75,'Data Transformation'!$G$24:$G$404),'Bin Analysis and Plots'!F91))</f>
        <v>0</v>
      </c>
      <c r="H91">
        <f t="shared" si="9"/>
        <v>0</v>
      </c>
      <c r="I91">
        <f>Weighting!$G$19</f>
        <v>0</v>
      </c>
      <c r="J91">
        <f t="array" ref="J91">FREQUENCY(IF('Data Transformation'!$B$4:$B$404=D75,'Data Transformation'!$G$4:$G$404),'Bin Analysis and Plots'!$D91)</f>
        <v>0</v>
      </c>
      <c r="K91">
        <f t="shared" si="10"/>
        <v>0</v>
      </c>
      <c r="L91">
        <f t="shared" si="11"/>
        <v>0</v>
      </c>
      <c r="M91">
        <f>L91*Weighting!$V$19</f>
        <v>0</v>
      </c>
    </row>
    <row r="92" spans="1:29">
      <c r="A92" s="29" t="b">
        <f t="array" ref="A92">IF(ISERROR(INDEX('Data Transformation'!$B$4:$G$450,SMALL(IF('Data Transformation'!$B$4:$B$450='Bin Analysis and Plots'!D75,ROW('Data Transformation'!$B$4:$B$450)),ROW($15:$15))-3,3)),"",INDEX('Data Transformation'!$B$4:$G$450,SMALL(IF('Data Transformation'!$B$4:$B$450='Bin Analysis and Plots'!D75,ROW('Data Transformation'!$B$4:$B$450)),ROW($15:$15))-3,6))</f>
        <v>0</v>
      </c>
      <c r="B92" s="29" t="str">
        <f>IFERROR(SMALL(A78:A97,'Data Transformation'!$L$20),"")</f>
        <v/>
      </c>
      <c r="C92" s="41" t="str">
        <f>IF(Weighting!$O$20&gt;0,D92,"")</f>
        <v/>
      </c>
      <c r="D92" t="e">
        <f>Weighting!$C$20</f>
        <v>#DIV/0!</v>
      </c>
      <c r="E92" t="e">
        <f>Weighting!$E$20</f>
        <v>#NUM!</v>
      </c>
      <c r="F92" t="e">
        <f>IF(E92=1,'Data Transformation'!$G$3+0.5*'Data Transformation'!$U$25,IF(E93=1,F93-'Data Transformation'!$U$25,FALSE))</f>
        <v>#NUM!</v>
      </c>
      <c r="G92">
        <f t="array" ref="G92">IF(ISLOGICAL(F92),"",FREQUENCY(IF('Data Transformation'!$B$24:$B$404='Bin Analysis and Plots'!$D$75,'Data Transformation'!$G$24:$G$404),'Bin Analysis and Plots'!F92))</f>
        <v>0</v>
      </c>
      <c r="H92">
        <f t="shared" si="9"/>
        <v>0</v>
      </c>
      <c r="I92">
        <f>Weighting!$G$20</f>
        <v>0</v>
      </c>
      <c r="J92">
        <f t="array" ref="J92">FREQUENCY(IF('Data Transformation'!$B$4:$B$404=D75,'Data Transformation'!$G$4:$G$404),'Bin Analysis and Plots'!$D92)</f>
        <v>0</v>
      </c>
      <c r="K92">
        <f t="shared" si="10"/>
        <v>0</v>
      </c>
      <c r="L92">
        <f t="shared" si="11"/>
        <v>0</v>
      </c>
      <c r="M92">
        <f>L92*Weighting!$V$20</f>
        <v>0</v>
      </c>
    </row>
    <row r="93" spans="1:29">
      <c r="A93" s="29" t="b">
        <f t="array" ref="A93">IF(ISERROR(INDEX('Data Transformation'!$B$4:$G$450,SMALL(IF('Data Transformation'!$B$4:$B$450='Bin Analysis and Plots'!D75,ROW('Data Transformation'!$B$4:$B$450)),ROW($16:$16))-3,3)),"",INDEX('Data Transformation'!$B$4:$G$450,SMALL(IF('Data Transformation'!$B$4:$B$450='Bin Analysis and Plots'!D75,ROW('Data Transformation'!$B$4:$B$450)),ROW($16:$16))-3,6))</f>
        <v>0</v>
      </c>
      <c r="B93" s="29" t="str">
        <f>IFERROR(SMALL(A78:A97,'Data Transformation'!$L$21),"")</f>
        <v/>
      </c>
      <c r="C93" s="41" t="str">
        <f>IF(Weighting!$O$21&gt;0,D93,"")</f>
        <v/>
      </c>
      <c r="D93" t="e">
        <f>Weighting!$C$21</f>
        <v>#DIV/0!</v>
      </c>
      <c r="E93" t="e">
        <f>Weighting!$E$21</f>
        <v>#NUM!</v>
      </c>
      <c r="F93" t="e">
        <f>IF(E93=1,'Data Transformation'!$G$3+0.5*'Data Transformation'!$U$25,IF(E94=1,F94-'Data Transformation'!$U$25,FALSE))</f>
        <v>#NUM!</v>
      </c>
      <c r="G93">
        <f t="array" ref="G93">IF(ISLOGICAL(F93),"",FREQUENCY(IF('Data Transformation'!$B$24:$B$404='Bin Analysis and Plots'!$D$75,'Data Transformation'!$G$24:$G$404),'Bin Analysis and Plots'!F93))</f>
        <v>0</v>
      </c>
      <c r="H93">
        <f t="shared" si="9"/>
        <v>0</v>
      </c>
      <c r="I93">
        <f>Weighting!$G$21</f>
        <v>0</v>
      </c>
      <c r="J93">
        <f t="array" ref="J93">FREQUENCY(IF('Data Transformation'!$B$4:$B$404=D75,'Data Transformation'!$G$4:$G$404),'Bin Analysis and Plots'!$D93)</f>
        <v>0</v>
      </c>
      <c r="K93">
        <f t="shared" si="10"/>
        <v>0</v>
      </c>
      <c r="L93">
        <f t="shared" si="11"/>
        <v>0</v>
      </c>
      <c r="M93">
        <f>L93*Weighting!$V$21</f>
        <v>0</v>
      </c>
      <c r="AC93" s="14"/>
    </row>
    <row r="94" spans="1:29">
      <c r="A94" s="29" t="b">
        <f t="array" ref="A94">IF(ISERROR(INDEX('Data Transformation'!$B$4:$G$450,SMALL(IF('Data Transformation'!$B$4:$B$450='Bin Analysis and Plots'!D75,ROW('Data Transformation'!$B$4:$B$450)),ROW($17:$17))-3,3)),"",INDEX('Data Transformation'!$B$4:$G$450,SMALL(IF('Data Transformation'!$B$4:$B$450='Bin Analysis and Plots'!D75,ROW('Data Transformation'!$B$4:$B$450)),ROW($17:$17))-3,6))</f>
        <v>0</v>
      </c>
      <c r="B94" s="29" t="str">
        <f>IFERROR(SMALL(A78:A97,'Data Transformation'!$L$22),"")</f>
        <v/>
      </c>
      <c r="C94" s="41" t="str">
        <f>IF(Weighting!$O$22&gt;0,D94,"")</f>
        <v/>
      </c>
      <c r="D94" t="e">
        <f>Weighting!$C$22</f>
        <v>#DIV/0!</v>
      </c>
      <c r="E94" t="e">
        <f>Weighting!$E$22</f>
        <v>#NUM!</v>
      </c>
      <c r="F94" t="e">
        <f>IF(E94=1,'Data Transformation'!$G$3+0.5*'Data Transformation'!$U$25,IF(E95=1,F95-'Data Transformation'!$U$25,FALSE))</f>
        <v>#NUM!</v>
      </c>
      <c r="G94">
        <f t="array" ref="G94">IF(ISLOGICAL(F94),"",FREQUENCY(IF('Data Transformation'!$B$24:$B$404='Bin Analysis and Plots'!$D$75,'Data Transformation'!$G$24:$G$404),'Bin Analysis and Plots'!F94))</f>
        <v>0</v>
      </c>
      <c r="H94">
        <f t="shared" si="9"/>
        <v>0</v>
      </c>
      <c r="I94">
        <f>Weighting!$G$22</f>
        <v>0</v>
      </c>
      <c r="J94">
        <f t="array" ref="J94">FREQUENCY(IF('Data Transformation'!$B$4:$B$404=D75,'Data Transformation'!$G$4:$G$404),'Bin Analysis and Plots'!$D94)</f>
        <v>0</v>
      </c>
      <c r="K94">
        <f t="shared" si="10"/>
        <v>0</v>
      </c>
      <c r="L94">
        <f t="shared" si="11"/>
        <v>0</v>
      </c>
      <c r="M94">
        <f>L94*Weighting!$V$22</f>
        <v>0</v>
      </c>
    </row>
    <row r="95" spans="1:29">
      <c r="A95" s="29" t="b">
        <f t="array" ref="A95">IF(ISERROR(INDEX('Data Transformation'!$B$4:$G$450,SMALL(IF('Data Transformation'!$B$4:$B$450='Bin Analysis and Plots'!D75,ROW('Data Transformation'!$B$4:$B$450)),ROW($18:$18))-3,3)),"",INDEX('Data Transformation'!$B$4:$G$450,SMALL(IF('Data Transformation'!$B$4:$B$450='Bin Analysis and Plots'!D75,ROW('Data Transformation'!$B$4:$B$450)),ROW($18:$18))-3,6))</f>
        <v>0</v>
      </c>
      <c r="B95" s="29" t="str">
        <f>IFERROR(SMALL(A78:A97,'Data Transformation'!$L$23),"")</f>
        <v/>
      </c>
      <c r="C95" s="41" t="str">
        <f>IF(Weighting!$O$23&gt;0,D95,"")</f>
        <v/>
      </c>
      <c r="D95" t="e">
        <f>Weighting!$C$23</f>
        <v>#DIV/0!</v>
      </c>
      <c r="E95" t="e">
        <f>Weighting!$E$23</f>
        <v>#NUM!</v>
      </c>
      <c r="F95" t="e">
        <f>IF(E95=1,'Data Transformation'!$G$3+0.5*'Data Transformation'!$U$25,IF(E96=1,F96-'Data Transformation'!$U$25,FALSE))</f>
        <v>#NUM!</v>
      </c>
      <c r="G95">
        <f t="array" ref="G95">IF(ISLOGICAL(F95),"",FREQUENCY(IF('Data Transformation'!$B$24:$B$404='Bin Analysis and Plots'!$D$75,'Data Transformation'!$G$24:$G$404),'Bin Analysis and Plots'!F95))</f>
        <v>0</v>
      </c>
      <c r="H95">
        <f t="shared" si="9"/>
        <v>0</v>
      </c>
      <c r="I95">
        <f>Weighting!$G$23</f>
        <v>0</v>
      </c>
      <c r="J95">
        <f t="array" ref="J95">FREQUENCY(IF('Data Transformation'!$B$4:$B$404=D75,'Data Transformation'!$G$4:$G$404),'Bin Analysis and Plots'!$D95)</f>
        <v>0</v>
      </c>
      <c r="K95">
        <f t="shared" si="10"/>
        <v>0</v>
      </c>
      <c r="L95">
        <f t="shared" si="11"/>
        <v>0</v>
      </c>
      <c r="M95">
        <f>L95*Weighting!$V$23</f>
        <v>0</v>
      </c>
    </row>
    <row r="96" spans="1:29">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t="e">
        <f>Weighting!$C$24</f>
        <v>#DIV/0!</v>
      </c>
      <c r="E96" t="e">
        <f>Weighting!$E$24</f>
        <v>#NUM!</v>
      </c>
      <c r="F96" t="e">
        <f>IF(E96=1,'Data Transformation'!$G$3+0.5*'Data Transformation'!$U$25,IF(E97=1,F97-'Data Transformation'!$U$25,FALSE))</f>
        <v>#NUM!</v>
      </c>
      <c r="G96">
        <f t="array" ref="G96">IF(ISLOGICAL(F96),"",FREQUENCY(IF('Data Transformation'!$B$24:$B$404='Bin Analysis and Plots'!$D$75,'Data Transformation'!$G$24:$G$404),'Bin Analysis and Plots'!F96))</f>
        <v>0</v>
      </c>
      <c r="H96">
        <f t="shared" si="9"/>
        <v>0</v>
      </c>
      <c r="I96">
        <f>Weighting!$G$24</f>
        <v>0</v>
      </c>
      <c r="J96">
        <f t="array" ref="J96">FREQUENCY(IF('Data Transformation'!$B$4:$B$404=D75,'Data Transformation'!$G$4:$G$404),'Bin Analysis and Plots'!$D96)</f>
        <v>0</v>
      </c>
      <c r="K96">
        <f t="shared" si="10"/>
        <v>0</v>
      </c>
      <c r="L96">
        <f t="shared" si="11"/>
        <v>0</v>
      </c>
      <c r="M96">
        <f>L96*Weighting!$V$24</f>
        <v>0</v>
      </c>
    </row>
    <row r="97" spans="1:27">
      <c r="A97" s="29" t="b">
        <f t="array" ref="A97">IF(ISERROR(INDEX('Data Transformation'!$B$4:$G$450,SMALL(IF('Data Transformation'!$B$4:$B$450='Bin Analysis and Plots'!D75,ROW('Data Transformation'!$B$4:$B$450)),ROW($20:$20))-3,3)),"",INDEX('Data Transformation'!$B$4:$G$450,SMALL(IF('Data Transformation'!$B$4:$B$450='Bin Analysis and Plots'!D75,ROW('Data Transformation'!$B$4:$B$450)),ROW($20:$20))-3,6))</f>
        <v>0</v>
      </c>
      <c r="B97" s="29" t="str">
        <f>IFERROR(SMALL(A78:A97,'Data Transformation'!$L$25),"")</f>
        <v/>
      </c>
      <c r="C97" s="41" t="str">
        <f>IF(Weighting!$O$25&gt;0,D97,"")</f>
        <v/>
      </c>
      <c r="D97" t="e">
        <f>Weighting!$C$25</f>
        <v>#DIV/0!</v>
      </c>
      <c r="E97" t="e">
        <f>Weighting!$E$25</f>
        <v>#NUM!</v>
      </c>
      <c r="F97" t="e">
        <f>IF(E97=1,'Data Transformation'!$G$3+0.5*'Data Transformation'!$U$25,IF(E98=1,F98-'Data Transformation'!$U$25,FALSE))</f>
        <v>#NUM!</v>
      </c>
      <c r="G97">
        <f t="array" ref="G97">IF(ISLOGICAL(F97),"",FREQUENCY(IF('Data Transformation'!$B$24:$B$404='Bin Analysis and Plots'!$D$75,'Data Transformation'!$G$24:$G$404),'Bin Analysis and Plots'!F97))</f>
        <v>0</v>
      </c>
      <c r="H97">
        <f t="shared" si="9"/>
        <v>0</v>
      </c>
      <c r="I97">
        <f>Weighting!$G$25</f>
        <v>0</v>
      </c>
      <c r="J97">
        <f t="array" ref="J97">FREQUENCY(IF('Data Transformation'!$B$4:$B$404=D75,'Data Transformation'!$G$4:$G$404),'Bin Analysis and Plots'!$D97)</f>
        <v>0</v>
      </c>
      <c r="K97">
        <f t="shared" si="10"/>
        <v>0</v>
      </c>
      <c r="L97">
        <f t="shared" si="11"/>
        <v>0</v>
      </c>
      <c r="M97">
        <f>L97*Weighting!$V$25</f>
        <v>0</v>
      </c>
    </row>
    <row r="98" spans="1:27">
      <c r="C98" s="41" t="str">
        <f>IF(B98="","",D98)</f>
        <v/>
      </c>
    </row>
    <row r="99" spans="1:27" ht="23.2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8" cm="1">
        <f t="array" ref="Z99:Z100">FREQUENCY(IF('Data Transformation'!$B$24:$B$404='Bin Analysis and Plots'!N99,'Data Transformation'!$G$24:$G$404),'Data Transformation'!$U$11)</f>
        <v>0</v>
      </c>
      <c r="AA99" s="78" cm="1">
        <f t="array" ref="AA99:AA100">FREQUENCY(IF('Data Transformation'!$B$24:$B$404='Bin Analysis and Plots'!N99,'Data Transformation'!$G$24:$G$404),'Data Transformation'!$U$12)</f>
        <v>0</v>
      </c>
    </row>
    <row r="100" spans="1:27" ht="21">
      <c r="A100" s="91" t="s">
        <v>64</v>
      </c>
      <c r="B100" s="91"/>
      <c r="C100" s="14" t="s">
        <v>72</v>
      </c>
      <c r="D100" t="s">
        <v>50</v>
      </c>
      <c r="E100" t="s">
        <v>5</v>
      </c>
      <c r="I100" t="s">
        <v>74</v>
      </c>
      <c r="J100" t="s">
        <v>34</v>
      </c>
      <c r="K100" t="s">
        <v>35</v>
      </c>
      <c r="L100" t="s">
        <v>49</v>
      </c>
      <c r="M100" s="14" t="s">
        <v>48</v>
      </c>
      <c r="Z100" s="78">
        <v>0</v>
      </c>
      <c r="AA100" s="78">
        <v>0</v>
      </c>
    </row>
    <row r="101" spans="1:27">
      <c r="C101" s="41" t="str">
        <f>IF(B101="","",D101)</f>
        <v/>
      </c>
      <c r="F101" t="e">
        <f>IF(E101=1,'Data Transformation'!$G$3+0.5*'Data Transformation'!$U$25,IF(E102=1,F102-'Data Transformation'!$U$25,FALSE))</f>
        <v>#NUM!</v>
      </c>
      <c r="G101">
        <f t="array" ref="G101">IF(ISLOGICAL(F101),"",FREQUENCY(IF('Data Transformation'!$B$24:$B$404='Bin Analysis and Plots'!$D$99,'Data Transformation'!$G$24:$G$404),'Bin Analysis and Plots'!F101))</f>
        <v>0</v>
      </c>
      <c r="H101">
        <f>IF(ISLOGICAL(F101),"",G101-G100)</f>
        <v>0</v>
      </c>
    </row>
    <row r="102" spans="1:27">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t="e">
        <f>IF(Weighting!$O$6&gt;0,D102,"")</f>
        <v>#NUM!</v>
      </c>
      <c r="D102" t="e">
        <f>Weighting!$C$6</f>
        <v>#DIV/0!</v>
      </c>
      <c r="E102" t="e">
        <f>Weighting!$E$6</f>
        <v>#NUM!</v>
      </c>
      <c r="F102" t="e">
        <f>IF(E102=1,'Data Transformation'!$G$3+0.5*'Data Transformation'!$U$25,IF(E103=1,F103-'Data Transformation'!$U$25,FALSE))</f>
        <v>#NUM!</v>
      </c>
      <c r="G102">
        <f t="array" ref="G102">IF(ISLOGICAL(F102),"",FREQUENCY(IF('Data Transformation'!$B$24:$B$404='Bin Analysis and Plots'!$D$99,'Data Transformation'!$G$24:$G$404),'Bin Analysis and Plots'!F102))</f>
        <v>0</v>
      </c>
      <c r="H102">
        <f>IF(ISLOGICAL(F102),"",G102-G101)</f>
        <v>0</v>
      </c>
      <c r="I102">
        <f>Weighting!$G$6</f>
        <v>1</v>
      </c>
      <c r="J102">
        <f t="array" ref="J102">FREQUENCY(IF('Data Transformation'!$B$4:$B$404=D99,'Data Transformation'!$G$4:$G$404),'Bin Analysis and Plots'!$D102)</f>
        <v>0</v>
      </c>
      <c r="K102">
        <f>J102-J101</f>
        <v>0</v>
      </c>
      <c r="L102">
        <f>IF(K102=0,0,1)</f>
        <v>0</v>
      </c>
      <c r="M102" t="e">
        <f>L102*Weighting!$V$6</f>
        <v>#NUM!</v>
      </c>
    </row>
    <row r="103" spans="1:27">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t="str">
        <f>IF(Weighting!$O$7&gt;0,D103,"")</f>
        <v/>
      </c>
      <c r="D103" t="e">
        <f>Weighting!$C$7</f>
        <v>#DIV/0!</v>
      </c>
      <c r="E103" t="e">
        <f>Weighting!$E$7</f>
        <v>#NUM!</v>
      </c>
      <c r="F103" t="e">
        <f>IF(E103=1,'Data Transformation'!$G$3+0.5*'Data Transformation'!$U$25,IF(E104=1,F104-'Data Transformation'!$U$25,FALSE))</f>
        <v>#NUM!</v>
      </c>
      <c r="G103">
        <f t="array" ref="G103">IF(ISLOGICAL(F103),"",FREQUENCY(IF('Data Transformation'!$B$24:$B$404='Bin Analysis and Plots'!$D$99,'Data Transformation'!$G$24:$G$404),'Bin Analysis and Plots'!F103))</f>
        <v>0</v>
      </c>
      <c r="H103">
        <f t="shared" ref="H103:H121" si="12">IF(ISLOGICAL(F103),"",G103-G102)</f>
        <v>0</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t="str">
        <f>IF(Weighting!$O$8&gt;0,D104,"")</f>
        <v/>
      </c>
      <c r="D104" t="e">
        <f>Weighting!$C$8</f>
        <v>#DIV/0!</v>
      </c>
      <c r="E104" t="e">
        <f>Weighting!$E$8</f>
        <v>#NUM!</v>
      </c>
      <c r="F104" t="e">
        <f>IF(E104=1,'Data Transformation'!$G$3+0.5*'Data Transformation'!$U$25,IF(E105=1,F105-'Data Transformation'!$U$25,FALSE))</f>
        <v>#NUM!</v>
      </c>
      <c r="G104">
        <f t="array" ref="G104">IF(ISLOGICAL(F104),"",FREQUENCY(IF('Data Transformation'!$B$24:$B$404='Bin Analysis and Plots'!$D$99,'Data Transformation'!$G$24:$G$404),'Bin Analysis and Plots'!F104))</f>
        <v>0</v>
      </c>
      <c r="H104">
        <f t="shared" si="12"/>
        <v>0</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t="str">
        <f>IF(Weighting!$O$9&gt;0,D105,"")</f>
        <v/>
      </c>
      <c r="D105" t="e">
        <f>Weighting!$B$9</f>
        <v>#DIV/0!</v>
      </c>
      <c r="E105" t="e">
        <f>Weighting!$E$9</f>
        <v>#NUM!</v>
      </c>
      <c r="F105" t="e">
        <f>IF(E105=1,'Data Transformation'!$G$3+0.5*'Data Transformation'!$U$25,IF(E106=1,F106-'Data Transformation'!$U$25,FALSE))</f>
        <v>#NUM!</v>
      </c>
      <c r="G105">
        <f t="array" ref="G105">IF(ISLOGICAL(F105),"",FREQUENCY(IF('Data Transformation'!$B$24:$B$404='Bin Analysis and Plots'!$D$99,'Data Transformation'!$G$24:$G$404),'Bin Analysis and Plots'!F105))</f>
        <v>0</v>
      </c>
      <c r="H105">
        <f t="shared" si="12"/>
        <v>0</v>
      </c>
      <c r="I105">
        <f>Weighting!$G$9</f>
        <v>0</v>
      </c>
      <c r="J105">
        <f t="array" ref="J105">FREQUENCY(IF('Data Transformation'!$B$4:$B$404=D99,'Data Transformation'!$G$4:$G$404),'Bin Analysis and Plots'!$D105)</f>
        <v>0</v>
      </c>
      <c r="K105">
        <f t="shared" si="13"/>
        <v>0</v>
      </c>
      <c r="L105">
        <f t="shared" si="14"/>
        <v>0</v>
      </c>
      <c r="M105">
        <f>L105*Weighting!$V$9</f>
        <v>0</v>
      </c>
    </row>
    <row r="106" spans="1:27">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t="str">
        <f>IF(Weighting!$O$10&gt;0,D106,"")</f>
        <v/>
      </c>
      <c r="D106" t="e">
        <f>Weighting!$C$10</f>
        <v>#DIV/0!</v>
      </c>
      <c r="E106" t="e">
        <f>Weighting!$E$10</f>
        <v>#NUM!</v>
      </c>
      <c r="F106" t="e">
        <f>IF(E106=1,'Data Transformation'!$G$3+0.5*'Data Transformation'!$U$25,IF(E107=1,F107-'Data Transformation'!$U$25,FALSE))</f>
        <v>#NUM!</v>
      </c>
      <c r="G106">
        <f t="array" ref="G106">IF(ISLOGICAL(F106),"",FREQUENCY(IF('Data Transformation'!$B$24:$B$404='Bin Analysis and Plots'!$D$99,'Data Transformation'!$G$24:$G$404),'Bin Analysis and Plots'!F106))</f>
        <v>0</v>
      </c>
      <c r="H106">
        <f t="shared" si="12"/>
        <v>0</v>
      </c>
      <c r="I106">
        <f>Weighting!$G$10</f>
        <v>0</v>
      </c>
      <c r="J106">
        <f t="array" ref="J106">FREQUENCY(IF('Data Transformation'!$B$4:$B$404=D99,'Data Transformation'!$G$4:$G$404),'Bin Analysis and Plots'!$D106)</f>
        <v>0</v>
      </c>
      <c r="K106">
        <f t="shared" si="13"/>
        <v>0</v>
      </c>
      <c r="L106">
        <f t="shared" si="14"/>
        <v>0</v>
      </c>
      <c r="M106">
        <f>L106*Weighting!$V$10</f>
        <v>0</v>
      </c>
    </row>
    <row r="107" spans="1:27">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t="str">
        <f>IF(Weighting!$O$11&gt;0,D107,"")</f>
        <v/>
      </c>
      <c r="D107" t="e">
        <f>Weighting!$C$11</f>
        <v>#DIV/0!</v>
      </c>
      <c r="E107" t="e">
        <f>Weighting!$E$11</f>
        <v>#NUM!</v>
      </c>
      <c r="F107" t="e">
        <f>IF(E107=1,'Data Transformation'!$G$3+0.5*'Data Transformation'!$U$25,IF(E108=1,F108-'Data Transformation'!$U$25,FALSE))</f>
        <v>#NUM!</v>
      </c>
      <c r="G107">
        <f t="array" ref="G107">IF(ISLOGICAL(F107),"",FREQUENCY(IF('Data Transformation'!$B$24:$B$404='Bin Analysis and Plots'!$D$99,'Data Transformation'!$G$24:$G$404),'Bin Analysis and Plots'!F107))</f>
        <v>0</v>
      </c>
      <c r="H107">
        <f t="shared" si="12"/>
        <v>0</v>
      </c>
      <c r="I107">
        <f>Weighting!$G$11</f>
        <v>0</v>
      </c>
      <c r="J107">
        <f t="array" ref="J107">FREQUENCY(IF('Data Transformation'!$B$4:$B$404=D99,'Data Transformation'!$G$4:$G$404),'Bin Analysis and Plots'!$D107)</f>
        <v>0</v>
      </c>
      <c r="K107">
        <f t="shared" si="13"/>
        <v>0</v>
      </c>
      <c r="L107">
        <f t="shared" si="14"/>
        <v>0</v>
      </c>
      <c r="M107">
        <f>L107*Weighting!$V$11</f>
        <v>0</v>
      </c>
    </row>
    <row r="108" spans="1:27">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t="str">
        <f>IF(Weighting!$O$12&gt;0,D108,"")</f>
        <v/>
      </c>
      <c r="D108" t="e">
        <f>Weighting!$C$12</f>
        <v>#DIV/0!</v>
      </c>
      <c r="E108" t="e">
        <f>Weighting!$E$12</f>
        <v>#NUM!</v>
      </c>
      <c r="F108" t="e">
        <f>IF(E108=1,'Data Transformation'!$G$3+0.5*'Data Transformation'!$U$25,IF(E109=1,F109-'Data Transformation'!$U$25,FALSE))</f>
        <v>#NUM!</v>
      </c>
      <c r="G108">
        <f t="array" ref="G108">IF(ISLOGICAL(F108),"",FREQUENCY(IF('Data Transformation'!$B$24:$B$404='Bin Analysis and Plots'!$D$99,'Data Transformation'!$G$24:$G$404),'Bin Analysis and Plots'!F108))</f>
        <v>0</v>
      </c>
      <c r="H108">
        <f t="shared" si="12"/>
        <v>0</v>
      </c>
      <c r="I108">
        <f>Weighting!$G$12</f>
        <v>0</v>
      </c>
      <c r="J108">
        <f t="array" ref="J108">FREQUENCY(IF('Data Transformation'!$B$4:$B$404=D99,'Data Transformation'!$G$4:$G$404),'Bin Analysis and Plots'!$D108)</f>
        <v>0</v>
      </c>
      <c r="K108">
        <f t="shared" si="13"/>
        <v>0</v>
      </c>
      <c r="L108">
        <f t="shared" si="14"/>
        <v>0</v>
      </c>
      <c r="M108">
        <f>L108*Weighting!$V$12</f>
        <v>0</v>
      </c>
    </row>
    <row r="109" spans="1:27">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t="str">
        <f>IF(Weighting!$O$13&gt;0,D109,"")</f>
        <v/>
      </c>
      <c r="D109" t="e">
        <f>Weighting!$C$13</f>
        <v>#DIV/0!</v>
      </c>
      <c r="E109" t="e">
        <f>Weighting!$E$13</f>
        <v>#NUM!</v>
      </c>
      <c r="F109" t="e">
        <f>IF(E109=1,'Data Transformation'!$G$3+0.5*'Data Transformation'!$U$25,IF(E110=1,F110-'Data Transformation'!$U$25,FALSE))</f>
        <v>#NUM!</v>
      </c>
      <c r="G109">
        <f t="array" ref="G109">IF(ISLOGICAL(F109),"",FREQUENCY(IF('Data Transformation'!$B$24:$B$404='Bin Analysis and Plots'!$D$99,'Data Transformation'!$G$24:$G$404),'Bin Analysis and Plots'!F109))</f>
        <v>0</v>
      </c>
      <c r="H109">
        <f t="shared" si="12"/>
        <v>0</v>
      </c>
      <c r="I109">
        <f>Weighting!$G$13</f>
        <v>0</v>
      </c>
      <c r="J109">
        <f t="array" ref="J109">FREQUENCY(IF('Data Transformation'!$B$4:$B$404=D99,'Data Transformation'!$G$4:$G$404),'Bin Analysis and Plots'!$D109)</f>
        <v>0</v>
      </c>
      <c r="K109">
        <f t="shared" si="13"/>
        <v>0</v>
      </c>
      <c r="L109">
        <f t="shared" si="14"/>
        <v>0</v>
      </c>
      <c r="M109">
        <f>L109*Weighting!$V$13</f>
        <v>0</v>
      </c>
    </row>
    <row r="110" spans="1:27">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t="str">
        <f>IF(Weighting!$O$14&gt;0,D110,"")</f>
        <v/>
      </c>
      <c r="D110" t="e">
        <f>Weighting!$C$14</f>
        <v>#DIV/0!</v>
      </c>
      <c r="E110" t="e">
        <f>Weighting!$E$14</f>
        <v>#NUM!</v>
      </c>
      <c r="F110" t="e">
        <f>IF(E110=1,'Data Transformation'!$G$3+0.5*'Data Transformation'!$U$25,IF(E111=1,F111-'Data Transformation'!$U$25,FALSE))</f>
        <v>#NUM!</v>
      </c>
      <c r="G110">
        <f t="array" ref="G110">IF(ISLOGICAL(F110),"",FREQUENCY(IF('Data Transformation'!$B$24:$B$404='Bin Analysis and Plots'!$D$99,'Data Transformation'!$G$24:$G$404),'Bin Analysis and Plots'!F110))</f>
        <v>0</v>
      </c>
      <c r="H110">
        <f t="shared" si="12"/>
        <v>0</v>
      </c>
      <c r="I110">
        <f>Weighting!$G$14</f>
        <v>0</v>
      </c>
      <c r="J110">
        <f t="array" ref="J110">FREQUENCY(IF('Data Transformation'!$B$4:$B$404=D99,'Data Transformation'!$G$4:$G$404),'Bin Analysis and Plots'!$D110)</f>
        <v>0</v>
      </c>
      <c r="K110">
        <f t="shared" si="13"/>
        <v>0</v>
      </c>
      <c r="L110">
        <f t="shared" si="14"/>
        <v>0</v>
      </c>
      <c r="M110">
        <f>L110*Weighting!$V$14</f>
        <v>0</v>
      </c>
    </row>
    <row r="111" spans="1:27">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t="str">
        <f>IF(Weighting!$O$15&gt;0,D111,"")</f>
        <v/>
      </c>
      <c r="D111" t="e">
        <f>Weighting!$C$15</f>
        <v>#DIV/0!</v>
      </c>
      <c r="E111" t="e">
        <f>Weighting!$E$15</f>
        <v>#NUM!</v>
      </c>
      <c r="F111" t="e">
        <f>IF(E111=1,'Data Transformation'!$G$3+0.5*'Data Transformation'!$U$25,IF(E112=1,F112-'Data Transformation'!$U$25,FALSE))</f>
        <v>#NUM!</v>
      </c>
      <c r="G111">
        <f t="array" ref="G111">IF(ISLOGICAL(F111),"",FREQUENCY(IF('Data Transformation'!$B$24:$B$404='Bin Analysis and Plots'!$D$99,'Data Transformation'!$G$24:$G$404),'Bin Analysis and Plots'!F111))</f>
        <v>0</v>
      </c>
      <c r="H111">
        <f t="shared" si="12"/>
        <v>0</v>
      </c>
      <c r="I111">
        <f>Weighting!$G$15</f>
        <v>0</v>
      </c>
      <c r="J111">
        <f t="array" ref="J111">FREQUENCY(IF('Data Transformation'!$B$4:$B$404=D99,'Data Transformation'!$G$4:$G$404),'Bin Analysis and Plots'!$D111)</f>
        <v>0</v>
      </c>
      <c r="K111">
        <f t="shared" si="13"/>
        <v>0</v>
      </c>
      <c r="L111">
        <f t="shared" si="14"/>
        <v>0</v>
      </c>
      <c r="M111">
        <f>L111*Weighting!$V$15</f>
        <v>0</v>
      </c>
    </row>
    <row r="112" spans="1:27">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t="e">
        <f>Weighting!$C$16</f>
        <v>#DIV/0!</v>
      </c>
      <c r="E112" t="e">
        <f>Weighting!$E$16</f>
        <v>#NUM!</v>
      </c>
      <c r="F112" t="e">
        <f>IF(E112=1,'Data Transformation'!$G$3+0.5*'Data Transformation'!$U$25,IF(E113=1,F113-'Data Transformation'!$U$25,FALSE))</f>
        <v>#NUM!</v>
      </c>
      <c r="G112">
        <f t="array" ref="G112">IF(ISLOGICAL(F112),"",FREQUENCY(IF('Data Transformation'!$B$24:$B$404='Bin Analysis and Plots'!$D$99,'Data Transformation'!$G$24:$G$404),'Bin Analysis and Plots'!F112))</f>
        <v>0</v>
      </c>
      <c r="H112">
        <f t="shared" si="12"/>
        <v>0</v>
      </c>
      <c r="I112">
        <f>Weighting!$G$16</f>
        <v>0</v>
      </c>
      <c r="J112">
        <f t="array" ref="J112">FREQUENCY(IF('Data Transformation'!$B$4:$B$404=D99,'Data Transformation'!$G$4:$G$404),'Bin Analysis and Plots'!$D112)</f>
        <v>0</v>
      </c>
      <c r="K112">
        <f t="shared" si="13"/>
        <v>0</v>
      </c>
      <c r="L112">
        <f t="shared" si="14"/>
        <v>0</v>
      </c>
      <c r="M112">
        <f>L112*Weighting!$V$16</f>
        <v>0</v>
      </c>
    </row>
    <row r="113" spans="1:27">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t="e">
        <f>Weighting!$C$17</f>
        <v>#DIV/0!</v>
      </c>
      <c r="E113" t="e">
        <f>Weighting!$E$17</f>
        <v>#NUM!</v>
      </c>
      <c r="F113" t="e">
        <f>IF(E113=1,'Data Transformation'!$G$3+0.5*'Data Transformation'!$U$25,IF(E114=1,F114-'Data Transformation'!$U$25,FALSE))</f>
        <v>#NUM!</v>
      </c>
      <c r="G113">
        <f t="array" ref="G113">IF(ISLOGICAL(F113),"",FREQUENCY(IF('Data Transformation'!$B$24:$B$404='Bin Analysis and Plots'!$D$99,'Data Transformation'!$G$24:$G$404),'Bin Analysis and Plots'!F113))</f>
        <v>0</v>
      </c>
      <c r="H113">
        <f t="shared" si="12"/>
        <v>0</v>
      </c>
      <c r="I113">
        <f>Weighting!$G$17</f>
        <v>0</v>
      </c>
      <c r="J113">
        <f t="array" ref="J113">FREQUENCY(IF('Data Transformation'!$B$4:$B$404=D99,'Data Transformation'!$G$4:$G$404),'Bin Analysis and Plots'!$D113)</f>
        <v>0</v>
      </c>
      <c r="K113">
        <f t="shared" si="13"/>
        <v>0</v>
      </c>
      <c r="L113">
        <f t="shared" si="14"/>
        <v>0</v>
      </c>
      <c r="M113">
        <f>L113*Weighting!$V$17</f>
        <v>0</v>
      </c>
    </row>
    <row r="114" spans="1:27">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t="e">
        <f>Weighting!$C$18</f>
        <v>#DIV/0!</v>
      </c>
      <c r="E114" t="e">
        <f>Weighting!$E$18</f>
        <v>#NUM!</v>
      </c>
      <c r="F114" t="e">
        <f>IF(E114=1,'Data Transformation'!$G$3+0.5*'Data Transformation'!$U$25,IF(E115=1,F115-'Data Transformation'!$U$25,FALSE))</f>
        <v>#NUM!</v>
      </c>
      <c r="G114">
        <f t="array" ref="G114">IF(ISLOGICAL(F114),"",FREQUENCY(IF('Data Transformation'!$B$24:$B$404='Bin Analysis and Plots'!$D$99,'Data Transformation'!$G$24:$G$404),'Bin Analysis and Plots'!F114))</f>
        <v>0</v>
      </c>
      <c r="H114">
        <f t="shared" si="12"/>
        <v>0</v>
      </c>
      <c r="I114">
        <f>Weighting!$G$18</f>
        <v>0</v>
      </c>
      <c r="J114">
        <f t="array" ref="J114">FREQUENCY(IF('Data Transformation'!$B$4:$B$404=D99,'Data Transformation'!$G$4:$G$404),'Bin Analysis and Plots'!$D114)</f>
        <v>0</v>
      </c>
      <c r="K114">
        <f t="shared" si="13"/>
        <v>0</v>
      </c>
      <c r="L114">
        <f t="shared" si="14"/>
        <v>0</v>
      </c>
      <c r="M114">
        <f>L114*Weighting!$V$18</f>
        <v>0</v>
      </c>
    </row>
    <row r="115" spans="1:27">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t="e">
        <f>Weighting!$C$19</f>
        <v>#DIV/0!</v>
      </c>
      <c r="E115" t="e">
        <f>Weighting!$E$19</f>
        <v>#NUM!</v>
      </c>
      <c r="F115" t="e">
        <f>IF(E115=1,'Data Transformation'!$G$3+0.5*'Data Transformation'!$U$25,IF(E116=1,F116-'Data Transformation'!$U$25,FALSE))</f>
        <v>#NUM!</v>
      </c>
      <c r="G115">
        <f t="array" ref="G115">IF(ISLOGICAL(F115),"",FREQUENCY(IF('Data Transformation'!$B$24:$B$404='Bin Analysis and Plots'!$D$99,'Data Transformation'!$G$24:$G$404),'Bin Analysis and Plots'!F115))</f>
        <v>0</v>
      </c>
      <c r="H115">
        <f t="shared" si="12"/>
        <v>0</v>
      </c>
      <c r="I115">
        <f>Weighting!$G$19</f>
        <v>0</v>
      </c>
      <c r="J115">
        <f t="array" ref="J115">FREQUENCY(IF('Data Transformation'!$B$4:$B$404=D99,'Data Transformation'!$G$4:$G$404),'Bin Analysis and Plots'!$D115)</f>
        <v>0</v>
      </c>
      <c r="K115">
        <f t="shared" si="13"/>
        <v>0</v>
      </c>
      <c r="L115">
        <f t="shared" si="14"/>
        <v>0</v>
      </c>
      <c r="M115">
        <f>L115*Weighting!$V$19</f>
        <v>0</v>
      </c>
    </row>
    <row r="116" spans="1:27">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t="e">
        <f>Weighting!$C$20</f>
        <v>#DIV/0!</v>
      </c>
      <c r="E116" t="e">
        <f>Weighting!$E$20</f>
        <v>#NUM!</v>
      </c>
      <c r="F116" t="e">
        <f>IF(E116=1,'Data Transformation'!$G$3+0.5*'Data Transformation'!$U$25,IF(E117=1,F117-'Data Transformation'!$U$25,FALSE))</f>
        <v>#NUM!</v>
      </c>
      <c r="G116">
        <f t="array" ref="G116">IF(ISLOGICAL(F116),"",FREQUENCY(IF('Data Transformation'!$B$24:$B$404='Bin Analysis and Plots'!$D$99,'Data Transformation'!$G$24:$G$404),'Bin Analysis and Plots'!F116))</f>
        <v>0</v>
      </c>
      <c r="H116">
        <f t="shared" si="12"/>
        <v>0</v>
      </c>
      <c r="I116">
        <f>Weighting!$G$20</f>
        <v>0</v>
      </c>
      <c r="J116">
        <f t="array" ref="J116">FREQUENCY(IF('Data Transformation'!$B$4:$B$404=D99,'Data Transformation'!$G$4:$G$404),'Bin Analysis and Plots'!$D116)</f>
        <v>0</v>
      </c>
      <c r="K116">
        <f t="shared" si="13"/>
        <v>0</v>
      </c>
      <c r="L116">
        <f t="shared" si="14"/>
        <v>0</v>
      </c>
      <c r="M116">
        <f>L116*Weighting!$V$20</f>
        <v>0</v>
      </c>
    </row>
    <row r="117" spans="1:27">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t="e">
        <f>Weighting!$C$21</f>
        <v>#DIV/0!</v>
      </c>
      <c r="E117" t="e">
        <f>Weighting!$E$21</f>
        <v>#NUM!</v>
      </c>
      <c r="F117" t="e">
        <f>IF(E117=1,'Data Transformation'!$G$3+0.5*'Data Transformation'!$U$25,IF(E118=1,F118-'Data Transformation'!$U$25,FALSE))</f>
        <v>#NUM!</v>
      </c>
      <c r="G117">
        <f t="array" ref="G117">IF(ISLOGICAL(F117),"",FREQUENCY(IF('Data Transformation'!$B$24:$B$404='Bin Analysis and Plots'!$D$99,'Data Transformation'!$G$24:$G$404),'Bin Analysis and Plots'!F117))</f>
        <v>0</v>
      </c>
      <c r="H117">
        <f t="shared" si="12"/>
        <v>0</v>
      </c>
      <c r="I117">
        <f>Weighting!$G$21</f>
        <v>0</v>
      </c>
      <c r="J117">
        <f t="array" ref="J117">FREQUENCY(IF('Data Transformation'!$B$4:$B$404=D99,'Data Transformation'!$G$4:$G$404),'Bin Analysis and Plots'!$D117)</f>
        <v>0</v>
      </c>
      <c r="K117">
        <f t="shared" si="13"/>
        <v>0</v>
      </c>
      <c r="L117">
        <f t="shared" si="14"/>
        <v>0</v>
      </c>
      <c r="M117">
        <f>L117*Weighting!$V$21</f>
        <v>0</v>
      </c>
    </row>
    <row r="118" spans="1:27">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t="e">
        <f>Weighting!$C$22</f>
        <v>#DIV/0!</v>
      </c>
      <c r="E118" t="e">
        <f>Weighting!$E$22</f>
        <v>#NUM!</v>
      </c>
      <c r="F118" t="e">
        <f>IF(E118=1,'Data Transformation'!$G$3+0.5*'Data Transformation'!$U$25,IF(E119=1,F119-'Data Transformation'!$U$25,FALSE))</f>
        <v>#NUM!</v>
      </c>
      <c r="G118">
        <f t="array" ref="G118">IF(ISLOGICAL(F118),"",FREQUENCY(IF('Data Transformation'!$B$24:$B$404='Bin Analysis and Plots'!$D$99,'Data Transformation'!$G$24:$G$404),'Bin Analysis and Plots'!F118))</f>
        <v>0</v>
      </c>
      <c r="H118">
        <f t="shared" si="12"/>
        <v>0</v>
      </c>
      <c r="I118">
        <f>Weighting!$G$22</f>
        <v>0</v>
      </c>
      <c r="J118">
        <f t="array" ref="J118">FREQUENCY(IF('Data Transformation'!$B$4:$B$404=D99,'Data Transformation'!$G$4:$G$404),'Bin Analysis and Plots'!$D118)</f>
        <v>0</v>
      </c>
      <c r="K118">
        <f t="shared" si="13"/>
        <v>0</v>
      </c>
      <c r="L118">
        <f t="shared" si="14"/>
        <v>0</v>
      </c>
      <c r="M118">
        <f>L118*Weighting!$V$22</f>
        <v>0</v>
      </c>
    </row>
    <row r="119" spans="1:27">
      <c r="A119" s="29" t="b">
        <f t="array" ref="A119">IF(ISERROR(INDEX('Data Transformation'!$B$4:$G$450,SMALL(IF('Data Transformation'!$B$4:$B$450='Bin Analysis and Plots'!D99,ROW('Data Transformation'!$B$4:$B$450)),ROW($18:$18))-3,3)),"",INDEX('Data Transformation'!$B$4:$G$450,SMALL(IF('Data Transformation'!$B$4:$B$450='Bin Analysis and Plots'!D99,ROW('Data Transformation'!$B$4:$B$450)),ROW($18:$18))-3,6))</f>
        <v>0</v>
      </c>
      <c r="B119" s="29" t="str">
        <f>IFERROR(SMALL(A102:A121,'Data Transformation'!$L$23),"")</f>
        <v/>
      </c>
      <c r="C119" s="41" t="str">
        <f>IF(Weighting!$O$23&gt;0,D119,"")</f>
        <v/>
      </c>
      <c r="D119" t="e">
        <f>Weighting!$C$23</f>
        <v>#DIV/0!</v>
      </c>
      <c r="E119" t="e">
        <f>Weighting!$E$23</f>
        <v>#NUM!</v>
      </c>
      <c r="F119" t="e">
        <f>IF(E119=1,'Data Transformation'!$G$3+0.5*'Data Transformation'!$U$25,IF(E120=1,F120-'Data Transformation'!$U$25,FALSE))</f>
        <v>#NUM!</v>
      </c>
      <c r="G119">
        <f t="array" ref="G119">IF(ISLOGICAL(F119),"",FREQUENCY(IF('Data Transformation'!$B$24:$B$404='Bin Analysis and Plots'!$D$99,'Data Transformation'!$G$24:$G$404),'Bin Analysis and Plots'!F119))</f>
        <v>0</v>
      </c>
      <c r="H119">
        <f t="shared" si="12"/>
        <v>0</v>
      </c>
      <c r="I119">
        <f>Weighting!$G$23</f>
        <v>0</v>
      </c>
      <c r="J119">
        <f t="array" ref="J119">FREQUENCY(IF('Data Transformation'!$B$4:$B$404=D99,'Data Transformation'!$G$4:$G$404),'Bin Analysis and Plots'!$D119)</f>
        <v>0</v>
      </c>
      <c r="K119">
        <f t="shared" si="13"/>
        <v>0</v>
      </c>
      <c r="L119">
        <f t="shared" si="14"/>
        <v>0</v>
      </c>
      <c r="M119">
        <f>L119*Weighting!$V$23</f>
        <v>0</v>
      </c>
    </row>
    <row r="120" spans="1:27">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t="e">
        <f>Weighting!$C$24</f>
        <v>#DIV/0!</v>
      </c>
      <c r="E120" t="e">
        <f>Weighting!$E$24</f>
        <v>#NUM!</v>
      </c>
      <c r="F120" t="e">
        <f>IF(E120=1,'Data Transformation'!$G$3+0.5*'Data Transformation'!$U$25,IF(E121=1,F121-'Data Transformation'!$U$25,FALSE))</f>
        <v>#NUM!</v>
      </c>
      <c r="G120">
        <f t="array" ref="G120">IF(ISLOGICAL(F120),"",FREQUENCY(IF('Data Transformation'!$B$24:$B$404='Bin Analysis and Plots'!$D$99,'Data Transformation'!$G$24:$G$404),'Bin Analysis and Plots'!F120))</f>
        <v>0</v>
      </c>
      <c r="H120">
        <f t="shared" si="12"/>
        <v>0</v>
      </c>
      <c r="I120">
        <f>Weighting!$G$24</f>
        <v>0</v>
      </c>
      <c r="J120">
        <f t="array" ref="J120">FREQUENCY(IF('Data Transformation'!$B$4:$B$404=D99,'Data Transformation'!$G$4:$G$404),'Bin Analysis and Plots'!$D120)</f>
        <v>0</v>
      </c>
      <c r="K120">
        <f t="shared" si="13"/>
        <v>0</v>
      </c>
      <c r="L120">
        <f t="shared" si="14"/>
        <v>0</v>
      </c>
      <c r="M120">
        <f>L120*Weighting!$V$24</f>
        <v>0</v>
      </c>
    </row>
    <row r="121" spans="1:27">
      <c r="A121" s="29" t="b">
        <f t="array" ref="A121">IF(ISERROR(INDEX('Data Transformation'!$B$4:$G$450,SMALL(IF('Data Transformation'!$B$4:$B$450='Bin Analysis and Plots'!D99,ROW('Data Transformation'!$B$4:$B$450)),ROW($20:$20))-3,3)),"",INDEX('Data Transformation'!$B$4:$G$450,SMALL(IF('Data Transformation'!$B$4:$B$450='Bin Analysis and Plots'!D99,ROW('Data Transformation'!$B$4:$B$450)),ROW($20:$20))-3,6))</f>
        <v>0</v>
      </c>
      <c r="B121" s="29" t="str">
        <f>IFERROR(SMALL(A102:A121,'Data Transformation'!$L$25),"")</f>
        <v/>
      </c>
      <c r="C121" s="41" t="str">
        <f>IF(Weighting!$O$25&gt;0,D121,"")</f>
        <v/>
      </c>
      <c r="D121" t="e">
        <f>Weighting!$C$25</f>
        <v>#DIV/0!</v>
      </c>
      <c r="E121" t="e">
        <f>Weighting!$E$25</f>
        <v>#NUM!</v>
      </c>
      <c r="F121" t="e">
        <f>IF(E121=1,'Data Transformation'!$G$3+0.5*'Data Transformation'!$U$25,IF(E122=1,F122-'Data Transformation'!$U$25,FALSE))</f>
        <v>#NUM!</v>
      </c>
      <c r="G121">
        <f t="array" ref="G121">IF(ISLOGICAL(F121),"",FREQUENCY(IF('Data Transformation'!$B$24:$B$404='Bin Analysis and Plots'!$D$99,'Data Transformation'!$G$24:$G$404),'Bin Analysis and Plots'!F121))</f>
        <v>0</v>
      </c>
      <c r="H121">
        <f t="shared" si="12"/>
        <v>0</v>
      </c>
      <c r="I121">
        <f>Weighting!$G$25</f>
        <v>0</v>
      </c>
      <c r="J121">
        <f t="array" ref="J121">FREQUENCY(IF('Data Transformation'!$B$4:$B$404=D99,'Data Transformation'!$G$4:$G$404),'Bin Analysis and Plots'!$D121)</f>
        <v>0</v>
      </c>
      <c r="K121">
        <f t="shared" si="13"/>
        <v>0</v>
      </c>
      <c r="L121">
        <f t="shared" si="14"/>
        <v>0</v>
      </c>
      <c r="M121">
        <f>L121*Weighting!$V$25</f>
        <v>0</v>
      </c>
    </row>
    <row r="122" spans="1:27">
      <c r="C122" s="41" t="str">
        <f>IF(B122="","",D122)</f>
        <v/>
      </c>
    </row>
    <row r="123" spans="1:27" ht="23.2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8" cm="1">
        <f t="array" ref="Z123:Z124">FREQUENCY(IF('Data Transformation'!$B$24:$B$404='Bin Analysis and Plots'!N123,'Data Transformation'!$G$24:$G$404),'Data Transformation'!$U$11)</f>
        <v>0</v>
      </c>
      <c r="AA123" s="78" cm="1">
        <f t="array" ref="AA123:AA124">FREQUENCY(IF('Data Transformation'!$B$24:$B$404='Bin Analysis and Plots'!N123,'Data Transformation'!$G$24:$G$404),'Data Transformation'!$U$12)</f>
        <v>0</v>
      </c>
    </row>
    <row r="124" spans="1:27" ht="21">
      <c r="A124" s="91" t="s">
        <v>64</v>
      </c>
      <c r="B124" s="91"/>
      <c r="C124" s="14" t="s">
        <v>72</v>
      </c>
      <c r="D124" t="s">
        <v>50</v>
      </c>
      <c r="E124" t="s">
        <v>5</v>
      </c>
      <c r="I124" t="s">
        <v>74</v>
      </c>
      <c r="J124" t="s">
        <v>34</v>
      </c>
      <c r="K124" t="s">
        <v>35</v>
      </c>
      <c r="L124" t="s">
        <v>49</v>
      </c>
      <c r="M124" s="14" t="s">
        <v>48</v>
      </c>
      <c r="Z124" s="78">
        <v>0</v>
      </c>
      <c r="AA124" s="78">
        <v>0</v>
      </c>
    </row>
    <row r="125" spans="1:27">
      <c r="C125" s="41" t="str">
        <f>IF(B125="","",D125)</f>
        <v/>
      </c>
      <c r="F125" t="e">
        <f>IF(E125=1,'Data Transformation'!$G$3+0.5*'Data Transformation'!$U$25,IF(E126=1,F126-'Data Transformation'!$U$25,FALSE))</f>
        <v>#NUM!</v>
      </c>
      <c r="G125">
        <f t="array" ref="G125">IF(ISLOGICAL(F125),"",FREQUENCY(IF('Data Transformation'!$B$24:$B$404='Bin Analysis and Plots'!$D$123,'Data Transformation'!$G$24:$G$404),'Bin Analysis and Plots'!F125))</f>
        <v>0</v>
      </c>
      <c r="H125">
        <f>IF(ISLOGICAL(F125),"",G125-G124)</f>
        <v>0</v>
      </c>
    </row>
    <row r="126" spans="1:27">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t="e">
        <f>IF(Weighting!$O$6&gt;0,D126,"")</f>
        <v>#NUM!</v>
      </c>
      <c r="D126" t="e">
        <f>Weighting!$C$6</f>
        <v>#DIV/0!</v>
      </c>
      <c r="E126" t="e">
        <f>Weighting!$E$6</f>
        <v>#NUM!</v>
      </c>
      <c r="F126" t="e">
        <f>IF(E126=1,'Data Transformation'!$G$3+0.5*'Data Transformation'!$U$25,IF(E127=1,F127-'Data Transformation'!$U$25,FALSE))</f>
        <v>#NUM!</v>
      </c>
      <c r="G126">
        <f t="array" ref="G126">IF(ISLOGICAL(F126),"",FREQUENCY(IF('Data Transformation'!$B$24:$B$404='Bin Analysis and Plots'!$D$123,'Data Transformation'!$G$24:$G$404),'Bin Analysis and Plots'!F126))</f>
        <v>0</v>
      </c>
      <c r="H126">
        <f>IF(ISLOGICAL(F126),"",G126-G125)</f>
        <v>0</v>
      </c>
      <c r="I126">
        <f>Weighting!$G$6</f>
        <v>1</v>
      </c>
      <c r="J126">
        <f t="array" ref="J126">FREQUENCY(IF('Data Transformation'!$B$4:$B$404=D123,'Data Transformation'!$G$4:$G$404),'Bin Analysis and Plots'!$D126)</f>
        <v>0</v>
      </c>
      <c r="K126">
        <f>J126-J125</f>
        <v>0</v>
      </c>
      <c r="L126">
        <f>IF(K126=0,0,1)</f>
        <v>0</v>
      </c>
      <c r="M126" t="e">
        <f>L126*Weighting!$V$6</f>
        <v>#NUM!</v>
      </c>
    </row>
    <row r="127" spans="1:27">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t="str">
        <f>IF(Weighting!$O$7&gt;0,D127,"")</f>
        <v/>
      </c>
      <c r="D127" t="e">
        <f>Weighting!$C$7</f>
        <v>#DIV/0!</v>
      </c>
      <c r="E127" t="e">
        <f>Weighting!$E$7</f>
        <v>#NUM!</v>
      </c>
      <c r="F127" t="e">
        <f>IF(E127=1,'Data Transformation'!$G$3+0.5*'Data Transformation'!$U$25,IF(E128=1,F128-'Data Transformation'!$U$25,FALSE))</f>
        <v>#NUM!</v>
      </c>
      <c r="G127">
        <f t="array" ref="G127">IF(ISLOGICAL(F127),"",FREQUENCY(IF('Data Transformation'!$B$24:$B$404='Bin Analysis and Plots'!$D$123,'Data Transformation'!$G$24:$G$404),'Bin Analysis and Plots'!F127))</f>
        <v>0</v>
      </c>
      <c r="H127">
        <f t="shared" ref="H127:H145" si="15">IF(ISLOGICAL(F127),"",G127-G126)</f>
        <v>0</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t="str">
        <f>IF(Weighting!$O$8&gt;0,D128,"")</f>
        <v/>
      </c>
      <c r="D128" t="e">
        <f>Weighting!$C$8</f>
        <v>#DIV/0!</v>
      </c>
      <c r="E128" t="e">
        <f>Weighting!$E$8</f>
        <v>#NUM!</v>
      </c>
      <c r="F128" t="e">
        <f>IF(E128=1,'Data Transformation'!$G$3+0.5*'Data Transformation'!$U$25,IF(E129=1,F129-'Data Transformation'!$U$25,FALSE))</f>
        <v>#NUM!</v>
      </c>
      <c r="G128">
        <f t="array" ref="G128">IF(ISLOGICAL(F128),"",FREQUENCY(IF('Data Transformation'!$B$24:$B$404='Bin Analysis and Plots'!$D$123,'Data Transformation'!$G$24:$G$404),'Bin Analysis and Plots'!F128))</f>
        <v>0</v>
      </c>
      <c r="H128">
        <f t="shared" si="15"/>
        <v>0</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t="str">
        <f>IF(Weighting!$O$9&gt;0,D129,"")</f>
        <v/>
      </c>
      <c r="D129" t="e">
        <f>Weighting!$B$9</f>
        <v>#DIV/0!</v>
      </c>
      <c r="E129" t="e">
        <f>Weighting!$E$9</f>
        <v>#NUM!</v>
      </c>
      <c r="F129" t="e">
        <f>IF(E129=1,'Data Transformation'!$G$3+0.5*'Data Transformation'!$U$25,IF(E130=1,F130-'Data Transformation'!$U$25,FALSE))</f>
        <v>#NUM!</v>
      </c>
      <c r="G129">
        <f t="array" ref="G129">IF(ISLOGICAL(F129),"",FREQUENCY(IF('Data Transformation'!$B$24:$B$404='Bin Analysis and Plots'!$D$123,'Data Transformation'!$G$24:$G$404),'Bin Analysis and Plots'!F129))</f>
        <v>0</v>
      </c>
      <c r="H129">
        <f t="shared" si="15"/>
        <v>0</v>
      </c>
      <c r="I129">
        <f>Weighting!$G$9</f>
        <v>0</v>
      </c>
      <c r="J129">
        <f t="array" ref="J129">FREQUENCY(IF('Data Transformation'!$B$4:$B$404=D123,'Data Transformation'!$G$4:$G$404),'Bin Analysis and Plots'!$D129)</f>
        <v>0</v>
      </c>
      <c r="K129">
        <f t="shared" si="16"/>
        <v>0</v>
      </c>
      <c r="L129">
        <f t="shared" si="17"/>
        <v>0</v>
      </c>
      <c r="M129">
        <f>L129*Weighting!$V$9</f>
        <v>0</v>
      </c>
    </row>
    <row r="130" spans="1:13">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t="str">
        <f>IF(Weighting!$O$10&gt;0,D130,"")</f>
        <v/>
      </c>
      <c r="D130" t="e">
        <f>Weighting!$C$10</f>
        <v>#DIV/0!</v>
      </c>
      <c r="E130" t="e">
        <f>Weighting!$E$10</f>
        <v>#NUM!</v>
      </c>
      <c r="F130" t="e">
        <f>IF(E130=1,'Data Transformation'!$G$3+0.5*'Data Transformation'!$U$25,IF(E131=1,F131-'Data Transformation'!$U$25,FALSE))</f>
        <v>#NUM!</v>
      </c>
      <c r="G130">
        <f t="array" ref="G130">IF(ISLOGICAL(F130),"",FREQUENCY(IF('Data Transformation'!$B$24:$B$404='Bin Analysis and Plots'!$D$123,'Data Transformation'!$G$24:$G$404),'Bin Analysis and Plots'!F130))</f>
        <v>0</v>
      </c>
      <c r="H130">
        <f t="shared" si="15"/>
        <v>0</v>
      </c>
      <c r="I130">
        <f>Weighting!$G$10</f>
        <v>0</v>
      </c>
      <c r="J130">
        <f t="array" ref="J130">FREQUENCY(IF('Data Transformation'!$B$4:$B$404=D123,'Data Transformation'!$G$4:$G$404),'Bin Analysis and Plots'!$D130)</f>
        <v>0</v>
      </c>
      <c r="K130">
        <f t="shared" si="16"/>
        <v>0</v>
      </c>
      <c r="L130">
        <f t="shared" si="17"/>
        <v>0</v>
      </c>
      <c r="M130">
        <f>L130*Weighting!$V$10</f>
        <v>0</v>
      </c>
    </row>
    <row r="131" spans="1:13">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t="str">
        <f>IF(Weighting!$O$11&gt;0,D131,"")</f>
        <v/>
      </c>
      <c r="D131" t="e">
        <f>Weighting!$C$11</f>
        <v>#DIV/0!</v>
      </c>
      <c r="E131" t="e">
        <f>Weighting!$E$11</f>
        <v>#NUM!</v>
      </c>
      <c r="F131" t="e">
        <f>IF(E131=1,'Data Transformation'!$G$3+0.5*'Data Transformation'!$U$25,IF(E132=1,F132-'Data Transformation'!$U$25,FALSE))</f>
        <v>#NUM!</v>
      </c>
      <c r="G131">
        <f t="array" ref="G131">IF(ISLOGICAL(F131),"",FREQUENCY(IF('Data Transformation'!$B$24:$B$404='Bin Analysis and Plots'!$D$123,'Data Transformation'!$G$24:$G$404),'Bin Analysis and Plots'!F131))</f>
        <v>0</v>
      </c>
      <c r="H131">
        <f t="shared" si="15"/>
        <v>0</v>
      </c>
      <c r="I131">
        <f>Weighting!$G$11</f>
        <v>0</v>
      </c>
      <c r="J131">
        <f t="array" ref="J131">FREQUENCY(IF('Data Transformation'!$B$4:$B$404=D123,'Data Transformation'!$G$4:$G$404),'Bin Analysis and Plots'!$D131)</f>
        <v>0</v>
      </c>
      <c r="K131">
        <f t="shared" si="16"/>
        <v>0</v>
      </c>
      <c r="L131">
        <f t="shared" si="17"/>
        <v>0</v>
      </c>
      <c r="M131">
        <f>L131*Weighting!$V$11</f>
        <v>0</v>
      </c>
    </row>
    <row r="132" spans="1:13">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t="str">
        <f>IF(Weighting!$O$12&gt;0,D132,"")</f>
        <v/>
      </c>
      <c r="D132" t="e">
        <f>Weighting!$C$12</f>
        <v>#DIV/0!</v>
      </c>
      <c r="E132" t="e">
        <f>Weighting!$E$12</f>
        <v>#NUM!</v>
      </c>
      <c r="F132" t="e">
        <f>IF(E132=1,'Data Transformation'!$G$3+0.5*'Data Transformation'!$U$25,IF(E133=1,F133-'Data Transformation'!$U$25,FALSE))</f>
        <v>#NUM!</v>
      </c>
      <c r="G132">
        <f t="array" ref="G132">IF(ISLOGICAL(F132),"",FREQUENCY(IF('Data Transformation'!$B$24:$B$404='Bin Analysis and Plots'!$D$123,'Data Transformation'!$G$24:$G$404),'Bin Analysis and Plots'!F132))</f>
        <v>0</v>
      </c>
      <c r="H132">
        <f t="shared" si="15"/>
        <v>0</v>
      </c>
      <c r="I132">
        <f>Weighting!$G$12</f>
        <v>0</v>
      </c>
      <c r="J132">
        <f t="array" ref="J132">FREQUENCY(IF('Data Transformation'!$B$4:$B$404=D123,'Data Transformation'!$G$4:$G$404),'Bin Analysis and Plots'!$D132)</f>
        <v>0</v>
      </c>
      <c r="K132">
        <f t="shared" si="16"/>
        <v>0</v>
      </c>
      <c r="L132">
        <f t="shared" si="17"/>
        <v>0</v>
      </c>
      <c r="M132">
        <f>L132*Weighting!$V$12</f>
        <v>0</v>
      </c>
    </row>
    <row r="133" spans="1:13">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t="str">
        <f>IF(Weighting!$O$13&gt;0,D133,"")</f>
        <v/>
      </c>
      <c r="D133" t="e">
        <f>Weighting!$C$13</f>
        <v>#DIV/0!</v>
      </c>
      <c r="E133" t="e">
        <f>Weighting!$E$13</f>
        <v>#NUM!</v>
      </c>
      <c r="F133" t="e">
        <f>IF(E133=1,'Data Transformation'!$G$3+0.5*'Data Transformation'!$U$25,IF(E134=1,F134-'Data Transformation'!$U$25,FALSE))</f>
        <v>#NUM!</v>
      </c>
      <c r="G133">
        <f t="array" ref="G133">IF(ISLOGICAL(F133),"",FREQUENCY(IF('Data Transformation'!$B$24:$B$404='Bin Analysis and Plots'!$D$123,'Data Transformation'!$G$24:$G$404),'Bin Analysis and Plots'!F133))</f>
        <v>0</v>
      </c>
      <c r="H133">
        <f t="shared" si="15"/>
        <v>0</v>
      </c>
      <c r="I133">
        <f>Weighting!$G$13</f>
        <v>0</v>
      </c>
      <c r="J133">
        <f t="array" ref="J133">FREQUENCY(IF('Data Transformation'!$B$4:$B$404=D123,'Data Transformation'!$G$4:$G$404),'Bin Analysis and Plots'!$D133)</f>
        <v>0</v>
      </c>
      <c r="K133">
        <f t="shared" si="16"/>
        <v>0</v>
      </c>
      <c r="L133">
        <f t="shared" si="17"/>
        <v>0</v>
      </c>
      <c r="M133">
        <f>L133*Weighting!$V$13</f>
        <v>0</v>
      </c>
    </row>
    <row r="134" spans="1:13">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t="str">
        <f>IF(Weighting!$O$14&gt;0,D134,"")</f>
        <v/>
      </c>
      <c r="D134" t="e">
        <f>Weighting!$C$14</f>
        <v>#DIV/0!</v>
      </c>
      <c r="E134" t="e">
        <f>Weighting!$E$14</f>
        <v>#NUM!</v>
      </c>
      <c r="F134" t="e">
        <f>IF(E134=1,'Data Transformation'!$G$3+0.5*'Data Transformation'!$U$25,IF(E135=1,F135-'Data Transformation'!$U$25,FALSE))</f>
        <v>#NUM!</v>
      </c>
      <c r="G134">
        <f t="array" ref="G134">IF(ISLOGICAL(F134),"",FREQUENCY(IF('Data Transformation'!$B$24:$B$404='Bin Analysis and Plots'!$D$123,'Data Transformation'!$G$24:$G$404),'Bin Analysis and Plots'!F134))</f>
        <v>0</v>
      </c>
      <c r="H134">
        <f t="shared" si="15"/>
        <v>0</v>
      </c>
      <c r="I134">
        <f>Weighting!$G$14</f>
        <v>0</v>
      </c>
      <c r="J134">
        <f t="array" ref="J134">FREQUENCY(IF('Data Transformation'!$B$4:$B$404=D123,'Data Transformation'!$G$4:$G$404),'Bin Analysis and Plots'!$D134)</f>
        <v>0</v>
      </c>
      <c r="K134">
        <f t="shared" si="16"/>
        <v>0</v>
      </c>
      <c r="L134">
        <f t="shared" si="17"/>
        <v>0</v>
      </c>
      <c r="M134">
        <f>L134*Weighting!$V$14</f>
        <v>0</v>
      </c>
    </row>
    <row r="135" spans="1:13">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t="str">
        <f>IF(Weighting!$O$15&gt;0,D135,"")</f>
        <v/>
      </c>
      <c r="D135" t="e">
        <f>Weighting!$C$15</f>
        <v>#DIV/0!</v>
      </c>
      <c r="E135" t="e">
        <f>Weighting!$E$15</f>
        <v>#NUM!</v>
      </c>
      <c r="F135" t="e">
        <f>IF(E135=1,'Data Transformation'!$G$3+0.5*'Data Transformation'!$U$25,IF(E136=1,F136-'Data Transformation'!$U$25,FALSE))</f>
        <v>#NUM!</v>
      </c>
      <c r="G135">
        <f t="array" ref="G135">IF(ISLOGICAL(F135),"",FREQUENCY(IF('Data Transformation'!$B$24:$B$404='Bin Analysis and Plots'!$D$123,'Data Transformation'!$G$24:$G$404),'Bin Analysis and Plots'!F135))</f>
        <v>0</v>
      </c>
      <c r="H135">
        <f t="shared" si="15"/>
        <v>0</v>
      </c>
      <c r="I135">
        <f>Weighting!$G$15</f>
        <v>0</v>
      </c>
      <c r="J135">
        <f t="array" ref="J135">FREQUENCY(IF('Data Transformation'!$B$4:$B$404=D123,'Data Transformation'!$G$4:$G$404),'Bin Analysis and Plots'!$D135)</f>
        <v>0</v>
      </c>
      <c r="K135">
        <f t="shared" si="16"/>
        <v>0</v>
      </c>
      <c r="L135">
        <f t="shared" si="17"/>
        <v>0</v>
      </c>
      <c r="M135">
        <f>L135*Weighting!$V$15</f>
        <v>0</v>
      </c>
    </row>
    <row r="136" spans="1:13">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t="e">
        <f>Weighting!$C$16</f>
        <v>#DIV/0!</v>
      </c>
      <c r="E136" t="e">
        <f>Weighting!$E$16</f>
        <v>#NUM!</v>
      </c>
      <c r="F136" t="e">
        <f>IF(E136=1,'Data Transformation'!$G$3+0.5*'Data Transformation'!$U$25,IF(E137=1,F137-'Data Transformation'!$U$25,FALSE))</f>
        <v>#NUM!</v>
      </c>
      <c r="G136">
        <f t="array" ref="G136">IF(ISLOGICAL(F136),"",FREQUENCY(IF('Data Transformation'!$B$24:$B$404='Bin Analysis and Plots'!$D$123,'Data Transformation'!$G$24:$G$404),'Bin Analysis and Plots'!F136))</f>
        <v>0</v>
      </c>
      <c r="H136">
        <f t="shared" si="15"/>
        <v>0</v>
      </c>
      <c r="I136">
        <f>Weighting!$G$16</f>
        <v>0</v>
      </c>
      <c r="J136">
        <f t="array" ref="J136">FREQUENCY(IF('Data Transformation'!$B$4:$B$404=D123,'Data Transformation'!$G$4:$G$404),'Bin Analysis and Plots'!$D136)</f>
        <v>0</v>
      </c>
      <c r="K136">
        <f t="shared" si="16"/>
        <v>0</v>
      </c>
      <c r="L136">
        <f t="shared" si="17"/>
        <v>0</v>
      </c>
      <c r="M136">
        <f>L136*Weighting!$V$16</f>
        <v>0</v>
      </c>
    </row>
    <row r="137" spans="1:13">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t="e">
        <f>Weighting!$C$17</f>
        <v>#DIV/0!</v>
      </c>
      <c r="E137" t="e">
        <f>Weighting!$E$17</f>
        <v>#NUM!</v>
      </c>
      <c r="F137" t="e">
        <f>IF(E137=1,'Data Transformation'!$G$3+0.5*'Data Transformation'!$U$25,IF(E138=1,F138-'Data Transformation'!$U$25,FALSE))</f>
        <v>#NUM!</v>
      </c>
      <c r="G137">
        <f t="array" ref="G137">IF(ISLOGICAL(F137),"",FREQUENCY(IF('Data Transformation'!$B$24:$B$404='Bin Analysis and Plots'!$D$123,'Data Transformation'!$G$24:$G$404),'Bin Analysis and Plots'!F137))</f>
        <v>0</v>
      </c>
      <c r="H137">
        <f t="shared" si="15"/>
        <v>0</v>
      </c>
      <c r="I137">
        <f>Weighting!$G$17</f>
        <v>0</v>
      </c>
      <c r="J137">
        <f t="array" ref="J137">FREQUENCY(IF('Data Transformation'!$B$4:$B$404=D123,'Data Transformation'!$G$4:$G$404),'Bin Analysis and Plots'!$D137)</f>
        <v>0</v>
      </c>
      <c r="K137">
        <f t="shared" si="16"/>
        <v>0</v>
      </c>
      <c r="L137">
        <f t="shared" si="17"/>
        <v>0</v>
      </c>
      <c r="M137">
        <f>L137*Weighting!$V$17</f>
        <v>0</v>
      </c>
    </row>
    <row r="138" spans="1:13">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t="e">
        <f>Weighting!$C$18</f>
        <v>#DIV/0!</v>
      </c>
      <c r="E138" t="e">
        <f>Weighting!$E$18</f>
        <v>#NUM!</v>
      </c>
      <c r="F138" t="e">
        <f>IF(E138=1,'Data Transformation'!$G$3+0.5*'Data Transformation'!$U$25,IF(E139=1,F139-'Data Transformation'!$U$25,FALSE))</f>
        <v>#NUM!</v>
      </c>
      <c r="G138">
        <f t="array" ref="G138">IF(ISLOGICAL(F138),"",FREQUENCY(IF('Data Transformation'!$B$24:$B$404='Bin Analysis and Plots'!$D$123,'Data Transformation'!$G$24:$G$404),'Bin Analysis and Plots'!F138))</f>
        <v>0</v>
      </c>
      <c r="H138">
        <f t="shared" si="15"/>
        <v>0</v>
      </c>
      <c r="I138">
        <f>Weighting!$G$18</f>
        <v>0</v>
      </c>
      <c r="J138">
        <f t="array" ref="J138">FREQUENCY(IF('Data Transformation'!$B$4:$B$404=D123,'Data Transformation'!$G$4:$G$404),'Bin Analysis and Plots'!$D138)</f>
        <v>0</v>
      </c>
      <c r="K138">
        <f t="shared" si="16"/>
        <v>0</v>
      </c>
      <c r="L138">
        <f t="shared" si="17"/>
        <v>0</v>
      </c>
      <c r="M138">
        <f>L138*Weighting!$V$18</f>
        <v>0</v>
      </c>
    </row>
    <row r="139" spans="1:13">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t="e">
        <f>Weighting!$C$19</f>
        <v>#DIV/0!</v>
      </c>
      <c r="E139" t="e">
        <f>Weighting!$E$19</f>
        <v>#NUM!</v>
      </c>
      <c r="F139" t="e">
        <f>IF(E139=1,'Data Transformation'!$G$3+0.5*'Data Transformation'!$U$25,IF(E140=1,F140-'Data Transformation'!$U$25,FALSE))</f>
        <v>#NUM!</v>
      </c>
      <c r="G139">
        <f t="array" ref="G139">IF(ISLOGICAL(F139),"",FREQUENCY(IF('Data Transformation'!$B$24:$B$404='Bin Analysis and Plots'!$D$123,'Data Transformation'!$G$24:$G$404),'Bin Analysis and Plots'!F139))</f>
        <v>0</v>
      </c>
      <c r="H139">
        <f t="shared" si="15"/>
        <v>0</v>
      </c>
      <c r="I139">
        <f>Weighting!$G$19</f>
        <v>0</v>
      </c>
      <c r="J139">
        <f t="array" ref="J139">FREQUENCY(IF('Data Transformation'!$B$4:$B$404=D123,'Data Transformation'!$G$4:$G$404),'Bin Analysis and Plots'!$D139)</f>
        <v>0</v>
      </c>
      <c r="K139">
        <f t="shared" si="16"/>
        <v>0</v>
      </c>
      <c r="L139">
        <f t="shared" si="17"/>
        <v>0</v>
      </c>
      <c r="M139">
        <f>L139*Weighting!$V$19</f>
        <v>0</v>
      </c>
    </row>
    <row r="140" spans="1:13">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t="e">
        <f>Weighting!$C$20</f>
        <v>#DIV/0!</v>
      </c>
      <c r="E140" t="e">
        <f>Weighting!$E$20</f>
        <v>#NUM!</v>
      </c>
      <c r="F140" t="e">
        <f>IF(E140=1,'Data Transformation'!$G$3+0.5*'Data Transformation'!$U$25,IF(E141=1,F141-'Data Transformation'!$U$25,FALSE))</f>
        <v>#NUM!</v>
      </c>
      <c r="G140">
        <f t="array" ref="G140">IF(ISLOGICAL(F140),"",FREQUENCY(IF('Data Transformation'!$B$24:$B$404='Bin Analysis and Plots'!$D$123,'Data Transformation'!$G$24:$G$404),'Bin Analysis and Plots'!F140))</f>
        <v>0</v>
      </c>
      <c r="H140">
        <f t="shared" si="15"/>
        <v>0</v>
      </c>
      <c r="I140">
        <f>Weighting!$G$20</f>
        <v>0</v>
      </c>
      <c r="J140">
        <f t="array" ref="J140">FREQUENCY(IF('Data Transformation'!$B$4:$B$404=D123,'Data Transformation'!$G$4:$G$404),'Bin Analysis and Plots'!$D140)</f>
        <v>0</v>
      </c>
      <c r="K140">
        <f t="shared" si="16"/>
        <v>0</v>
      </c>
      <c r="L140">
        <f t="shared" si="17"/>
        <v>0</v>
      </c>
      <c r="M140">
        <f>L140*Weighting!$V$20</f>
        <v>0</v>
      </c>
    </row>
    <row r="141" spans="1:13">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t="e">
        <f>Weighting!$C$21</f>
        <v>#DIV/0!</v>
      </c>
      <c r="E141" t="e">
        <f>Weighting!$E$21</f>
        <v>#NUM!</v>
      </c>
      <c r="F141" t="e">
        <f>IF(E141=1,'Data Transformation'!$G$3+0.5*'Data Transformation'!$U$25,IF(E142=1,F142-'Data Transformation'!$U$25,FALSE))</f>
        <v>#NUM!</v>
      </c>
      <c r="G141">
        <f t="array" ref="G141">IF(ISLOGICAL(F141),"",FREQUENCY(IF('Data Transformation'!$B$24:$B$404='Bin Analysis and Plots'!$D$123,'Data Transformation'!$G$24:$G$404),'Bin Analysis and Plots'!F141))</f>
        <v>0</v>
      </c>
      <c r="H141">
        <f t="shared" si="15"/>
        <v>0</v>
      </c>
      <c r="I141">
        <f>Weighting!$G$21</f>
        <v>0</v>
      </c>
      <c r="J141">
        <f t="array" ref="J141">FREQUENCY(IF('Data Transformation'!$B$4:$B$404=D123,'Data Transformation'!$G$4:$G$404),'Bin Analysis and Plots'!$D141)</f>
        <v>0</v>
      </c>
      <c r="K141">
        <f t="shared" si="16"/>
        <v>0</v>
      </c>
      <c r="L141">
        <f t="shared" si="17"/>
        <v>0</v>
      </c>
      <c r="M141">
        <f>L141*Weighting!$V$21</f>
        <v>0</v>
      </c>
    </row>
    <row r="142" spans="1:13">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t="e">
        <f>Weighting!$C$22</f>
        <v>#DIV/0!</v>
      </c>
      <c r="E142" t="e">
        <f>Weighting!$E$22</f>
        <v>#NUM!</v>
      </c>
      <c r="F142" t="e">
        <f>IF(E142=1,'Data Transformation'!$G$3+0.5*'Data Transformation'!$U$25,IF(E143=1,F143-'Data Transformation'!$U$25,FALSE))</f>
        <v>#NUM!</v>
      </c>
      <c r="G142">
        <f t="array" ref="G142">IF(ISLOGICAL(F142),"",FREQUENCY(IF('Data Transformation'!$B$24:$B$404='Bin Analysis and Plots'!$D$123,'Data Transformation'!$G$24:$G$404),'Bin Analysis and Plots'!F142))</f>
        <v>0</v>
      </c>
      <c r="H142">
        <f t="shared" si="15"/>
        <v>0</v>
      </c>
      <c r="I142">
        <f>Weighting!$G$22</f>
        <v>0</v>
      </c>
      <c r="J142">
        <f t="array" ref="J142">FREQUENCY(IF('Data Transformation'!$B$4:$B$404=D123,'Data Transformation'!$G$4:$G$404),'Bin Analysis and Plots'!$D142)</f>
        <v>0</v>
      </c>
      <c r="K142">
        <f t="shared" si="16"/>
        <v>0</v>
      </c>
      <c r="L142">
        <f t="shared" si="17"/>
        <v>0</v>
      </c>
      <c r="M142">
        <f>L142*Weighting!$V$22</f>
        <v>0</v>
      </c>
    </row>
    <row r="143" spans="1:13">
      <c r="A143" s="29" t="b">
        <f t="array" ref="A143">IF(ISERROR(INDEX('Data Transformation'!$B$4:$G$450,SMALL(IF('Data Transformation'!$B$4:$B$450='Bin Analysis and Plots'!D123,ROW('Data Transformation'!$B$4:$B$450)),ROW($18:$18))-3,3)),"",INDEX('Data Transformation'!$B$4:$G$450,SMALL(IF('Data Transformation'!$B$4:$B$450='Bin Analysis and Plots'!D123,ROW('Data Transformation'!$B$4:$B$450)),ROW($18:$18))-3,6))</f>
        <v>0</v>
      </c>
      <c r="B143" s="29" t="str">
        <f>IFERROR(SMALL(A126:A145,'Data Transformation'!$L$23),"")</f>
        <v/>
      </c>
      <c r="C143" s="41" t="str">
        <f>IF(Weighting!$O$23&gt;0,D143,"")</f>
        <v/>
      </c>
      <c r="D143" t="e">
        <f>Weighting!$C$23</f>
        <v>#DIV/0!</v>
      </c>
      <c r="E143" t="e">
        <f>Weighting!$E$23</f>
        <v>#NUM!</v>
      </c>
      <c r="F143" t="e">
        <f>IF(E143=1,'Data Transformation'!$G$3+0.5*'Data Transformation'!$U$25,IF(E144=1,F144-'Data Transformation'!$U$25,FALSE))</f>
        <v>#NUM!</v>
      </c>
      <c r="G143">
        <f t="array" ref="G143">IF(ISLOGICAL(F143),"",FREQUENCY(IF('Data Transformation'!$B$24:$B$404='Bin Analysis and Plots'!$D$123,'Data Transformation'!$G$24:$G$404),'Bin Analysis and Plots'!F143))</f>
        <v>0</v>
      </c>
      <c r="H143">
        <f t="shared" si="15"/>
        <v>0</v>
      </c>
      <c r="I143">
        <f>Weighting!$G$23</f>
        <v>0</v>
      </c>
      <c r="J143">
        <f t="array" ref="J143">FREQUENCY(IF('Data Transformation'!$B$4:$B$404=D123,'Data Transformation'!$G$4:$G$404),'Bin Analysis and Plots'!$D143)</f>
        <v>0</v>
      </c>
      <c r="K143">
        <f t="shared" si="16"/>
        <v>0</v>
      </c>
      <c r="L143">
        <f t="shared" si="17"/>
        <v>0</v>
      </c>
      <c r="M143">
        <f>L143*Weighting!$V$23</f>
        <v>0</v>
      </c>
    </row>
    <row r="144" spans="1:13">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t="e">
        <f>Weighting!$C$24</f>
        <v>#DIV/0!</v>
      </c>
      <c r="E144" t="e">
        <f>Weighting!$E$24</f>
        <v>#NUM!</v>
      </c>
      <c r="F144" t="e">
        <f>IF(E144=1,'Data Transformation'!$G$3+0.5*'Data Transformation'!$U$25,IF(E145=1,F145-'Data Transformation'!$U$25,FALSE))</f>
        <v>#NUM!</v>
      </c>
      <c r="G144">
        <f t="array" ref="G144">IF(ISLOGICAL(F144),"",FREQUENCY(IF('Data Transformation'!$B$24:$B$404='Bin Analysis and Plots'!$D$123,'Data Transformation'!$G$24:$G$404),'Bin Analysis and Plots'!F144))</f>
        <v>0</v>
      </c>
      <c r="H144">
        <f t="shared" si="15"/>
        <v>0</v>
      </c>
      <c r="I144">
        <f>Weighting!$G$24</f>
        <v>0</v>
      </c>
      <c r="J144">
        <f t="array" ref="J144">FREQUENCY(IF('Data Transformation'!$B$4:$B$404=D123,'Data Transformation'!$G$4:$G$404),'Bin Analysis and Plots'!$D144)</f>
        <v>0</v>
      </c>
      <c r="K144">
        <f t="shared" si="16"/>
        <v>0</v>
      </c>
      <c r="L144">
        <f t="shared" si="17"/>
        <v>0</v>
      </c>
      <c r="M144">
        <f>L144*Weighting!$V$24</f>
        <v>0</v>
      </c>
    </row>
    <row r="145" spans="1:27">
      <c r="A145" s="29" t="b">
        <f t="array" ref="A145">IF(ISERROR(INDEX('Data Transformation'!$B$4:$G$450,SMALL(IF('Data Transformation'!$B$4:$B$450='Bin Analysis and Plots'!D123,ROW('Data Transformation'!$B$4:$B$450)),ROW($20:$20))-3,3)),"",INDEX('Data Transformation'!$B$4:$G$450,SMALL(IF('Data Transformation'!$B$4:$B$450='Bin Analysis and Plots'!D123,ROW('Data Transformation'!$B$4:$B$450)),ROW($20:$20))-3,6))</f>
        <v>0</v>
      </c>
      <c r="B145" s="29" t="str">
        <f>IFERROR(SMALL(A126:A145,'Data Transformation'!$L$25),"")</f>
        <v/>
      </c>
      <c r="C145" s="41" t="str">
        <f>IF(Weighting!$O$25&gt;0,D145,"")</f>
        <v/>
      </c>
      <c r="D145" t="e">
        <f>Weighting!$C$25</f>
        <v>#DIV/0!</v>
      </c>
      <c r="E145" t="e">
        <f>Weighting!$E$25</f>
        <v>#NUM!</v>
      </c>
      <c r="F145" t="e">
        <f>IF(E145=1,'Data Transformation'!$G$3+0.5*'Data Transformation'!$U$25,IF(E146=1,F146-'Data Transformation'!$U$25,FALSE))</f>
        <v>#NUM!</v>
      </c>
      <c r="G145">
        <f t="array" ref="G145">IF(ISLOGICAL(F145),"",FREQUENCY(IF('Data Transformation'!$B$24:$B$404='Bin Analysis and Plots'!$D$123,'Data Transformation'!$G$24:$G$404),'Bin Analysis and Plots'!F145))</f>
        <v>0</v>
      </c>
      <c r="H145">
        <f t="shared" si="15"/>
        <v>0</v>
      </c>
      <c r="I145">
        <f>Weighting!$G$25</f>
        <v>0</v>
      </c>
      <c r="J145">
        <f t="array" ref="J145">FREQUENCY(IF('Data Transformation'!$B$4:$B$404=D123,'Data Transformation'!$G$4:$G$404),'Bin Analysis and Plots'!$D145)</f>
        <v>0</v>
      </c>
      <c r="K145">
        <f t="shared" si="16"/>
        <v>0</v>
      </c>
      <c r="L145">
        <f t="shared" si="17"/>
        <v>0</v>
      </c>
      <c r="M145">
        <f>L145*Weighting!$V$25</f>
        <v>0</v>
      </c>
    </row>
    <row r="146" spans="1:27">
      <c r="C146" s="41" t="str">
        <f>IF(B146="","",D146)</f>
        <v/>
      </c>
    </row>
    <row r="147" spans="1:27" ht="23.2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8" cm="1">
        <f t="array" ref="Z147:Z148">FREQUENCY(IF('Data Transformation'!$B$24:$B$404='Bin Analysis and Plots'!N147,'Data Transformation'!$G$24:$G$404),'Data Transformation'!$U$11)</f>
        <v>0</v>
      </c>
      <c r="AA147" s="78" cm="1">
        <f t="array" ref="AA147:AA148">FREQUENCY(IF('Data Transformation'!$B$24:$B$404='Bin Analysis and Plots'!N147,'Data Transformation'!$G$24:$G$404),'Data Transformation'!$U$12)</f>
        <v>0</v>
      </c>
    </row>
    <row r="148" spans="1:27" ht="21">
      <c r="A148" s="91" t="s">
        <v>64</v>
      </c>
      <c r="B148" s="91"/>
      <c r="C148" s="14" t="s">
        <v>72</v>
      </c>
      <c r="D148" t="s">
        <v>50</v>
      </c>
      <c r="E148" t="s">
        <v>5</v>
      </c>
      <c r="I148" t="s">
        <v>74</v>
      </c>
      <c r="J148" t="s">
        <v>34</v>
      </c>
      <c r="K148" t="s">
        <v>35</v>
      </c>
      <c r="L148" t="s">
        <v>49</v>
      </c>
      <c r="M148" s="14" t="s">
        <v>48</v>
      </c>
      <c r="Z148" s="78">
        <v>0</v>
      </c>
      <c r="AA148" s="78">
        <v>0</v>
      </c>
    </row>
    <row r="149" spans="1:27">
      <c r="C149" s="41" t="str">
        <f>IF(B149="","",D149)</f>
        <v/>
      </c>
      <c r="F149" t="e">
        <f>IF(E149=1,'Data Transformation'!$G$3+0.5*'Data Transformation'!$U$25,IF(E150=1,F150-'Data Transformation'!$U$25,FALSE))</f>
        <v>#NUM!</v>
      </c>
      <c r="G149">
        <f t="array" ref="G149">IF(ISLOGICAL(F149),"",FREQUENCY(IF('Data Transformation'!$B$24:$B$404='Bin Analysis and Plots'!$D$147,'Data Transformation'!$G$24:$G$404),'Bin Analysis and Plots'!F149))</f>
        <v>0</v>
      </c>
      <c r="H149">
        <f>IF(ISLOGICAL(F149),"",G149-G148)</f>
        <v>0</v>
      </c>
    </row>
    <row r="150" spans="1:27">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t="e">
        <f>IF(Weighting!$O$6&gt;0,D150,"")</f>
        <v>#NUM!</v>
      </c>
      <c r="D150" t="e">
        <f>Weighting!$C$6</f>
        <v>#DIV/0!</v>
      </c>
      <c r="E150" t="e">
        <f>Weighting!$E$6</f>
        <v>#NUM!</v>
      </c>
      <c r="F150" t="e">
        <f>IF(E150=1,'Data Transformation'!$G$3+0.5*'Data Transformation'!$U$25,IF(E151=1,F151-'Data Transformation'!$U$25,FALSE))</f>
        <v>#NUM!</v>
      </c>
      <c r="G150">
        <f t="array" ref="G150">IF(ISLOGICAL(F150),"",FREQUENCY(IF('Data Transformation'!$B$24:$B$404='Bin Analysis and Plots'!$D$147,'Data Transformation'!$G$24:$G$404),'Bin Analysis and Plots'!F150))</f>
        <v>0</v>
      </c>
      <c r="H150">
        <f>IF(ISLOGICAL(F150),"",G150-G149)</f>
        <v>0</v>
      </c>
      <c r="I150">
        <f>Weighting!$G$6</f>
        <v>1</v>
      </c>
      <c r="J150">
        <f t="array" ref="J150">FREQUENCY(IF('Data Transformation'!$B$4:$B$404=D147,'Data Transformation'!$G$4:$G$404),'Bin Analysis and Plots'!$D150)</f>
        <v>0</v>
      </c>
      <c r="K150">
        <f>J150-J149</f>
        <v>0</v>
      </c>
      <c r="L150">
        <f>IF(K150=0,0,1)</f>
        <v>0</v>
      </c>
      <c r="M150" t="e">
        <f>L150*Weighting!$V$6</f>
        <v>#NUM!</v>
      </c>
    </row>
    <row r="151" spans="1:27">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t="str">
        <f>IF(Weighting!$O$7&gt;0,D151,"")</f>
        <v/>
      </c>
      <c r="D151" t="e">
        <f>Weighting!$C$7</f>
        <v>#DIV/0!</v>
      </c>
      <c r="E151" t="e">
        <f>Weighting!$E$7</f>
        <v>#NUM!</v>
      </c>
      <c r="F151" t="e">
        <f>IF(E151=1,'Data Transformation'!$G$3+0.5*'Data Transformation'!$U$25,IF(E152=1,F152-'Data Transformation'!$U$25,FALSE))</f>
        <v>#NUM!</v>
      </c>
      <c r="G151">
        <f t="array" ref="G151">IF(ISLOGICAL(F151),"",FREQUENCY(IF('Data Transformation'!$B$24:$B$404='Bin Analysis and Plots'!$D$147,'Data Transformation'!$G$24:$G$404),'Bin Analysis and Plots'!F151))</f>
        <v>0</v>
      </c>
      <c r="H151">
        <f t="shared" ref="H151:H169" si="18">IF(ISLOGICAL(F151),"",G151-G150)</f>
        <v>0</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t="str">
        <f>IF(Weighting!$O$8&gt;0,D152,"")</f>
        <v/>
      </c>
      <c r="D152" t="e">
        <f>Weighting!$C$8</f>
        <v>#DIV/0!</v>
      </c>
      <c r="E152" t="e">
        <f>Weighting!$E$8</f>
        <v>#NUM!</v>
      </c>
      <c r="F152" t="e">
        <f>IF(E152=1,'Data Transformation'!$G$3+0.5*'Data Transformation'!$U$25,IF(E153=1,F153-'Data Transformation'!$U$25,FALSE))</f>
        <v>#NUM!</v>
      </c>
      <c r="G152">
        <f t="array" ref="G152">IF(ISLOGICAL(F152),"",FREQUENCY(IF('Data Transformation'!$B$24:$B$404='Bin Analysis and Plots'!$D$147,'Data Transformation'!$G$24:$G$404),'Bin Analysis and Plots'!F152))</f>
        <v>0</v>
      </c>
      <c r="H152">
        <f t="shared" si="18"/>
        <v>0</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t="str">
        <f>IF(Weighting!$O$9&gt;0,D153,"")</f>
        <v/>
      </c>
      <c r="D153" t="e">
        <f>Weighting!$B$9</f>
        <v>#DIV/0!</v>
      </c>
      <c r="E153" t="e">
        <f>Weighting!$E$9</f>
        <v>#NUM!</v>
      </c>
      <c r="F153" t="e">
        <f>IF(E153=1,'Data Transformation'!$G$3+0.5*'Data Transformation'!$U$25,IF(E154=1,F154-'Data Transformation'!$U$25,FALSE))</f>
        <v>#NUM!</v>
      </c>
      <c r="G153">
        <f t="array" ref="G153">IF(ISLOGICAL(F153),"",FREQUENCY(IF('Data Transformation'!$B$24:$B$404='Bin Analysis and Plots'!$D$147,'Data Transformation'!$G$24:$G$404),'Bin Analysis and Plots'!F153))</f>
        <v>0</v>
      </c>
      <c r="H153">
        <f t="shared" si="18"/>
        <v>0</v>
      </c>
      <c r="I153">
        <f>Weighting!$G$9</f>
        <v>0</v>
      </c>
      <c r="J153">
        <f t="array" ref="J153">FREQUENCY(IF('Data Transformation'!$B$4:$B$404=D147,'Data Transformation'!$G$4:$G$404),'Bin Analysis and Plots'!$D153)</f>
        <v>0</v>
      </c>
      <c r="K153">
        <f t="shared" si="19"/>
        <v>0</v>
      </c>
      <c r="L153">
        <f t="shared" si="20"/>
        <v>0</v>
      </c>
      <c r="M153">
        <f>L153*Weighting!$V$9</f>
        <v>0</v>
      </c>
    </row>
    <row r="154" spans="1:27">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t="str">
        <f>IF(Weighting!$O$10&gt;0,D154,"")</f>
        <v/>
      </c>
      <c r="D154" t="e">
        <f>Weighting!$C$10</f>
        <v>#DIV/0!</v>
      </c>
      <c r="E154" t="e">
        <f>Weighting!$E$10</f>
        <v>#NUM!</v>
      </c>
      <c r="F154" t="e">
        <f>IF(E154=1,'Data Transformation'!$G$3+0.5*'Data Transformation'!$U$25,IF(E155=1,F155-'Data Transformation'!$U$25,FALSE))</f>
        <v>#NUM!</v>
      </c>
      <c r="G154">
        <f t="array" ref="G154">IF(ISLOGICAL(F154),"",FREQUENCY(IF('Data Transformation'!$B$24:$B$404='Bin Analysis and Plots'!$D$147,'Data Transformation'!$G$24:$G$404),'Bin Analysis and Plots'!F154))</f>
        <v>0</v>
      </c>
      <c r="H154">
        <f t="shared" si="18"/>
        <v>0</v>
      </c>
      <c r="I154">
        <f>Weighting!$G$10</f>
        <v>0</v>
      </c>
      <c r="J154">
        <f t="array" ref="J154">FREQUENCY(IF('Data Transformation'!$B$4:$B$404=D147,'Data Transformation'!$G$4:$G$404),'Bin Analysis and Plots'!$D154)</f>
        <v>0</v>
      </c>
      <c r="K154">
        <f t="shared" si="19"/>
        <v>0</v>
      </c>
      <c r="L154">
        <f t="shared" si="20"/>
        <v>0</v>
      </c>
      <c r="M154">
        <f>L154*Weighting!$V$10</f>
        <v>0</v>
      </c>
    </row>
    <row r="155" spans="1:27">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t="str">
        <f>IF(Weighting!$O$11&gt;0,D155,"")</f>
        <v/>
      </c>
      <c r="D155" t="e">
        <f>Weighting!$C$11</f>
        <v>#DIV/0!</v>
      </c>
      <c r="E155" t="e">
        <f>Weighting!$E$11</f>
        <v>#NUM!</v>
      </c>
      <c r="F155" t="e">
        <f>IF(E155=1,'Data Transformation'!$G$3+0.5*'Data Transformation'!$U$25,IF(E156=1,F156-'Data Transformation'!$U$25,FALSE))</f>
        <v>#NUM!</v>
      </c>
      <c r="G155">
        <f t="array" ref="G155">IF(ISLOGICAL(F155),"",FREQUENCY(IF('Data Transformation'!$B$24:$B$404='Bin Analysis and Plots'!$D$147,'Data Transformation'!$G$24:$G$404),'Bin Analysis and Plots'!F155))</f>
        <v>0</v>
      </c>
      <c r="H155">
        <f t="shared" si="18"/>
        <v>0</v>
      </c>
      <c r="I155">
        <f>Weighting!$G$11</f>
        <v>0</v>
      </c>
      <c r="J155">
        <f t="array" ref="J155">FREQUENCY(IF('Data Transformation'!$B$4:$B$404=D147,'Data Transformation'!$G$4:$G$404),'Bin Analysis and Plots'!$D155)</f>
        <v>0</v>
      </c>
      <c r="K155">
        <f t="shared" si="19"/>
        <v>0</v>
      </c>
      <c r="L155">
        <f t="shared" si="20"/>
        <v>0</v>
      </c>
      <c r="M155">
        <f>L155*Weighting!$V$11</f>
        <v>0</v>
      </c>
    </row>
    <row r="156" spans="1:27">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t="str">
        <f>IF(Weighting!$O$12&gt;0,D156,"")</f>
        <v/>
      </c>
      <c r="D156" t="e">
        <f>Weighting!$C$12</f>
        <v>#DIV/0!</v>
      </c>
      <c r="E156" t="e">
        <f>Weighting!$E$12</f>
        <v>#NUM!</v>
      </c>
      <c r="F156" t="e">
        <f>IF(E156=1,'Data Transformation'!$G$3+0.5*'Data Transformation'!$U$25,IF(E157=1,F157-'Data Transformation'!$U$25,FALSE))</f>
        <v>#NUM!</v>
      </c>
      <c r="G156">
        <f t="array" ref="G156">IF(ISLOGICAL(F156),"",FREQUENCY(IF('Data Transformation'!$B$24:$B$404='Bin Analysis and Plots'!$D$147,'Data Transformation'!$G$24:$G$404),'Bin Analysis and Plots'!F156))</f>
        <v>0</v>
      </c>
      <c r="H156">
        <f t="shared" si="18"/>
        <v>0</v>
      </c>
      <c r="I156">
        <f>Weighting!$G$12</f>
        <v>0</v>
      </c>
      <c r="J156">
        <f t="array" ref="J156">FREQUENCY(IF('Data Transformation'!$B$4:$B$404=D147,'Data Transformation'!$G$4:$G$404),'Bin Analysis and Plots'!$D156)</f>
        <v>0</v>
      </c>
      <c r="K156">
        <f t="shared" si="19"/>
        <v>0</v>
      </c>
      <c r="L156">
        <f t="shared" si="20"/>
        <v>0</v>
      </c>
      <c r="M156">
        <f>L156*Weighting!$V$12</f>
        <v>0</v>
      </c>
    </row>
    <row r="157" spans="1:27">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t="str">
        <f>IF(Weighting!$O$13&gt;0,D157,"")</f>
        <v/>
      </c>
      <c r="D157" t="e">
        <f>Weighting!$C$13</f>
        <v>#DIV/0!</v>
      </c>
      <c r="E157" t="e">
        <f>Weighting!$E$13</f>
        <v>#NUM!</v>
      </c>
      <c r="F157" t="e">
        <f>IF(E157=1,'Data Transformation'!$G$3+0.5*'Data Transformation'!$U$25,IF(E158=1,F158-'Data Transformation'!$U$25,FALSE))</f>
        <v>#NUM!</v>
      </c>
      <c r="G157">
        <f t="array" ref="G157">IF(ISLOGICAL(F157),"",FREQUENCY(IF('Data Transformation'!$B$24:$B$404='Bin Analysis and Plots'!$D$147,'Data Transformation'!$G$24:$G$404),'Bin Analysis and Plots'!F157))</f>
        <v>0</v>
      </c>
      <c r="H157">
        <f t="shared" si="18"/>
        <v>0</v>
      </c>
      <c r="I157">
        <f>Weighting!$G$13</f>
        <v>0</v>
      </c>
      <c r="J157">
        <f t="array" ref="J157">FREQUENCY(IF('Data Transformation'!$B$4:$B$404=D147,'Data Transformation'!$G$4:$G$404),'Bin Analysis and Plots'!$D157)</f>
        <v>0</v>
      </c>
      <c r="K157">
        <f t="shared" si="19"/>
        <v>0</v>
      </c>
      <c r="L157">
        <f t="shared" si="20"/>
        <v>0</v>
      </c>
      <c r="M157">
        <f>L157*Weighting!$V$13</f>
        <v>0</v>
      </c>
    </row>
    <row r="158" spans="1:27">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t="str">
        <f>IF(Weighting!$O$14&gt;0,D158,"")</f>
        <v/>
      </c>
      <c r="D158" t="e">
        <f>Weighting!$C$14</f>
        <v>#DIV/0!</v>
      </c>
      <c r="E158" t="e">
        <f>Weighting!$E$14</f>
        <v>#NUM!</v>
      </c>
      <c r="F158" t="e">
        <f>IF(E158=1,'Data Transformation'!$G$3+0.5*'Data Transformation'!$U$25,IF(E159=1,F159-'Data Transformation'!$U$25,FALSE))</f>
        <v>#NUM!</v>
      </c>
      <c r="G158">
        <f t="array" ref="G158">IF(ISLOGICAL(F158),"",FREQUENCY(IF('Data Transformation'!$B$24:$B$404='Bin Analysis and Plots'!$D$147,'Data Transformation'!$G$24:$G$404),'Bin Analysis and Plots'!F158))</f>
        <v>0</v>
      </c>
      <c r="H158">
        <f t="shared" si="18"/>
        <v>0</v>
      </c>
      <c r="I158">
        <f>Weighting!$G$14</f>
        <v>0</v>
      </c>
      <c r="J158">
        <f t="array" ref="J158">FREQUENCY(IF('Data Transformation'!$B$4:$B$404=D147,'Data Transformation'!$G$4:$G$404),'Bin Analysis and Plots'!$D158)</f>
        <v>0</v>
      </c>
      <c r="K158">
        <f t="shared" si="19"/>
        <v>0</v>
      </c>
      <c r="L158">
        <f t="shared" si="20"/>
        <v>0</v>
      </c>
      <c r="M158">
        <f>L158*Weighting!$V$14</f>
        <v>0</v>
      </c>
    </row>
    <row r="159" spans="1:27">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t="str">
        <f>IF(Weighting!$O$15&gt;0,D159,"")</f>
        <v/>
      </c>
      <c r="D159" t="e">
        <f>Weighting!$C$15</f>
        <v>#DIV/0!</v>
      </c>
      <c r="E159" t="e">
        <f>Weighting!$E$15</f>
        <v>#NUM!</v>
      </c>
      <c r="F159" t="e">
        <f>IF(E159=1,'Data Transformation'!$G$3+0.5*'Data Transformation'!$U$25,IF(E160=1,F160-'Data Transformation'!$U$25,FALSE))</f>
        <v>#NUM!</v>
      </c>
      <c r="G159">
        <f t="array" ref="G159">IF(ISLOGICAL(F159),"",FREQUENCY(IF('Data Transformation'!$B$24:$B$404='Bin Analysis and Plots'!$D$147,'Data Transformation'!$G$24:$G$404),'Bin Analysis and Plots'!F159))</f>
        <v>0</v>
      </c>
      <c r="H159">
        <f t="shared" si="18"/>
        <v>0</v>
      </c>
      <c r="I159">
        <f>Weighting!$G$15</f>
        <v>0</v>
      </c>
      <c r="J159">
        <f t="array" ref="J159">FREQUENCY(IF('Data Transformation'!$B$4:$B$404=D147,'Data Transformation'!$G$4:$G$404),'Bin Analysis and Plots'!$D159)</f>
        <v>0</v>
      </c>
      <c r="K159">
        <f t="shared" si="19"/>
        <v>0</v>
      </c>
      <c r="L159">
        <f t="shared" si="20"/>
        <v>0</v>
      </c>
      <c r="M159">
        <f>L159*Weighting!$V$15</f>
        <v>0</v>
      </c>
    </row>
    <row r="160" spans="1:27">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t="e">
        <f>Weighting!$C$16</f>
        <v>#DIV/0!</v>
      </c>
      <c r="E160" t="e">
        <f>Weighting!$E$16</f>
        <v>#NUM!</v>
      </c>
      <c r="F160" t="e">
        <f>IF(E160=1,'Data Transformation'!$G$3+0.5*'Data Transformation'!$U$25,IF(E161=1,F161-'Data Transformation'!$U$25,FALSE))</f>
        <v>#NUM!</v>
      </c>
      <c r="G160">
        <f t="array" ref="G160">IF(ISLOGICAL(F160),"",FREQUENCY(IF('Data Transformation'!$B$24:$B$404='Bin Analysis and Plots'!$D$147,'Data Transformation'!$G$24:$G$404),'Bin Analysis and Plots'!F160))</f>
        <v>0</v>
      </c>
      <c r="H160">
        <f t="shared" si="18"/>
        <v>0</v>
      </c>
      <c r="I160">
        <f>Weighting!$G$16</f>
        <v>0</v>
      </c>
      <c r="J160">
        <f t="array" ref="J160">FREQUENCY(IF('Data Transformation'!$B$4:$B$404=D147,'Data Transformation'!$G$4:$G$404),'Bin Analysis and Plots'!$D160)</f>
        <v>0</v>
      </c>
      <c r="K160">
        <f t="shared" si="19"/>
        <v>0</v>
      </c>
      <c r="L160">
        <f t="shared" si="20"/>
        <v>0</v>
      </c>
      <c r="M160">
        <f>L160*Weighting!$V$16</f>
        <v>0</v>
      </c>
    </row>
    <row r="161" spans="1:27">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t="e">
        <f>Weighting!$C$17</f>
        <v>#DIV/0!</v>
      </c>
      <c r="E161" t="e">
        <f>Weighting!$E$17</f>
        <v>#NUM!</v>
      </c>
      <c r="F161" t="e">
        <f>IF(E161=1,'Data Transformation'!$G$3+0.5*'Data Transformation'!$U$25,IF(E162=1,F162-'Data Transformation'!$U$25,FALSE))</f>
        <v>#NUM!</v>
      </c>
      <c r="G161">
        <f t="array" ref="G161">IF(ISLOGICAL(F161),"",FREQUENCY(IF('Data Transformation'!$B$24:$B$404='Bin Analysis and Plots'!$D$147,'Data Transformation'!$G$24:$G$404),'Bin Analysis and Plots'!F161))</f>
        <v>0</v>
      </c>
      <c r="H161">
        <f t="shared" si="18"/>
        <v>0</v>
      </c>
      <c r="I161">
        <f>Weighting!$G$17</f>
        <v>0</v>
      </c>
      <c r="J161">
        <f t="array" ref="J161">FREQUENCY(IF('Data Transformation'!$B$4:$B$404=D147,'Data Transformation'!$G$4:$G$404),'Bin Analysis and Plots'!$D161)</f>
        <v>0</v>
      </c>
      <c r="K161">
        <f t="shared" si="19"/>
        <v>0</v>
      </c>
      <c r="L161">
        <f t="shared" si="20"/>
        <v>0</v>
      </c>
      <c r="M161">
        <f>L161*Weighting!$V$17</f>
        <v>0</v>
      </c>
    </row>
    <row r="162" spans="1:27">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t="e">
        <f>Weighting!$C$18</f>
        <v>#DIV/0!</v>
      </c>
      <c r="E162" t="e">
        <f>Weighting!$E$18</f>
        <v>#NUM!</v>
      </c>
      <c r="F162" t="e">
        <f>IF(E162=1,'Data Transformation'!$G$3+0.5*'Data Transformation'!$U$25,IF(E163=1,F163-'Data Transformation'!$U$25,FALSE))</f>
        <v>#NUM!</v>
      </c>
      <c r="G162">
        <f t="array" ref="G162">IF(ISLOGICAL(F162),"",FREQUENCY(IF('Data Transformation'!$B$24:$B$404='Bin Analysis and Plots'!$D$147,'Data Transformation'!$G$24:$G$404),'Bin Analysis and Plots'!F162))</f>
        <v>0</v>
      </c>
      <c r="H162">
        <f t="shared" si="18"/>
        <v>0</v>
      </c>
      <c r="I162">
        <f>Weighting!$G$18</f>
        <v>0</v>
      </c>
      <c r="J162">
        <f t="array" ref="J162">FREQUENCY(IF('Data Transformation'!$B$4:$B$404=D147,'Data Transformation'!$G$4:$G$404),'Bin Analysis and Plots'!$D162)</f>
        <v>0</v>
      </c>
      <c r="K162">
        <f t="shared" si="19"/>
        <v>0</v>
      </c>
      <c r="L162">
        <f t="shared" si="20"/>
        <v>0</v>
      </c>
      <c r="M162">
        <f>L162*Weighting!$V$18</f>
        <v>0</v>
      </c>
    </row>
    <row r="163" spans="1:27">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t="e">
        <f>Weighting!$C$19</f>
        <v>#DIV/0!</v>
      </c>
      <c r="E163" t="e">
        <f>Weighting!$E$19</f>
        <v>#NUM!</v>
      </c>
      <c r="F163" t="e">
        <f>IF(E163=1,'Data Transformation'!$G$3+0.5*'Data Transformation'!$U$25,IF(E164=1,F164-'Data Transformation'!$U$25,FALSE))</f>
        <v>#NUM!</v>
      </c>
      <c r="G163">
        <f t="array" ref="G163">IF(ISLOGICAL(F163),"",FREQUENCY(IF('Data Transformation'!$B$24:$B$404='Bin Analysis and Plots'!$D$147,'Data Transformation'!$G$24:$G$404),'Bin Analysis and Plots'!F163))</f>
        <v>0</v>
      </c>
      <c r="H163">
        <f t="shared" si="18"/>
        <v>0</v>
      </c>
      <c r="I163">
        <f>Weighting!$G$19</f>
        <v>0</v>
      </c>
      <c r="J163">
        <f t="array" ref="J163">FREQUENCY(IF('Data Transformation'!$B$4:$B$404=D147,'Data Transformation'!$G$4:$G$404),'Bin Analysis and Plots'!$D163)</f>
        <v>0</v>
      </c>
      <c r="K163">
        <f t="shared" si="19"/>
        <v>0</v>
      </c>
      <c r="L163">
        <f t="shared" si="20"/>
        <v>0</v>
      </c>
      <c r="M163">
        <f>L163*Weighting!$V$19</f>
        <v>0</v>
      </c>
    </row>
    <row r="164" spans="1:27">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t="e">
        <f>Weighting!$C$20</f>
        <v>#DIV/0!</v>
      </c>
      <c r="E164" t="e">
        <f>Weighting!$E$20</f>
        <v>#NUM!</v>
      </c>
      <c r="F164" t="e">
        <f>IF(E164=1,'Data Transformation'!$G$3+0.5*'Data Transformation'!$U$25,IF(E165=1,F165-'Data Transformation'!$U$25,FALSE))</f>
        <v>#NUM!</v>
      </c>
      <c r="G164">
        <f t="array" ref="G164">IF(ISLOGICAL(F164),"",FREQUENCY(IF('Data Transformation'!$B$24:$B$404='Bin Analysis and Plots'!$D$147,'Data Transformation'!$G$24:$G$404),'Bin Analysis and Plots'!F164))</f>
        <v>0</v>
      </c>
      <c r="H164">
        <f t="shared" si="18"/>
        <v>0</v>
      </c>
      <c r="I164">
        <f>Weighting!$G$20</f>
        <v>0</v>
      </c>
      <c r="J164">
        <f t="array" ref="J164">FREQUENCY(IF('Data Transformation'!$B$4:$B$404=D147,'Data Transformation'!$G$4:$G$404),'Bin Analysis and Plots'!$D164)</f>
        <v>0</v>
      </c>
      <c r="K164">
        <f t="shared" si="19"/>
        <v>0</v>
      </c>
      <c r="L164">
        <f t="shared" si="20"/>
        <v>0</v>
      </c>
      <c r="M164">
        <f>L164*Weighting!$V$20</f>
        <v>0</v>
      </c>
    </row>
    <row r="165" spans="1:27">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t="e">
        <f>Weighting!$C$21</f>
        <v>#DIV/0!</v>
      </c>
      <c r="E165" t="e">
        <f>Weighting!$E$21</f>
        <v>#NUM!</v>
      </c>
      <c r="F165" t="e">
        <f>IF(E165=1,'Data Transformation'!$G$3+0.5*'Data Transformation'!$U$25,IF(E166=1,F166-'Data Transformation'!$U$25,FALSE))</f>
        <v>#NUM!</v>
      </c>
      <c r="G165">
        <f t="array" ref="G165">IF(ISLOGICAL(F165),"",FREQUENCY(IF('Data Transformation'!$B$24:$B$404='Bin Analysis and Plots'!$D$147,'Data Transformation'!$G$24:$G$404),'Bin Analysis and Plots'!F165))</f>
        <v>0</v>
      </c>
      <c r="H165">
        <f t="shared" si="18"/>
        <v>0</v>
      </c>
      <c r="I165">
        <f>Weighting!$G$21</f>
        <v>0</v>
      </c>
      <c r="J165">
        <f t="array" ref="J165">FREQUENCY(IF('Data Transformation'!$B$4:$B$404=D147,'Data Transformation'!$G$4:$G$404),'Bin Analysis and Plots'!$D165)</f>
        <v>0</v>
      </c>
      <c r="K165">
        <f t="shared" si="19"/>
        <v>0</v>
      </c>
      <c r="L165">
        <f t="shared" si="20"/>
        <v>0</v>
      </c>
      <c r="M165">
        <f>L165*Weighting!$V$21</f>
        <v>0</v>
      </c>
    </row>
    <row r="166" spans="1:27">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t="e">
        <f>Weighting!$C$22</f>
        <v>#DIV/0!</v>
      </c>
      <c r="E166" t="e">
        <f>Weighting!$E$22</f>
        <v>#NUM!</v>
      </c>
      <c r="F166" t="e">
        <f>IF(E166=1,'Data Transformation'!$G$3+0.5*'Data Transformation'!$U$25,IF(E167=1,F167-'Data Transformation'!$U$25,FALSE))</f>
        <v>#NUM!</v>
      </c>
      <c r="G166">
        <f t="array" ref="G166">IF(ISLOGICAL(F166),"",FREQUENCY(IF('Data Transformation'!$B$24:$B$404='Bin Analysis and Plots'!$D$147,'Data Transformation'!$G$24:$G$404),'Bin Analysis and Plots'!F166))</f>
        <v>0</v>
      </c>
      <c r="H166">
        <f t="shared" si="18"/>
        <v>0</v>
      </c>
      <c r="I166">
        <f>Weighting!$G$22</f>
        <v>0</v>
      </c>
      <c r="J166">
        <f t="array" ref="J166">FREQUENCY(IF('Data Transformation'!$B$4:$B$404=D147,'Data Transformation'!$G$4:$G$404),'Bin Analysis and Plots'!$D166)</f>
        <v>0</v>
      </c>
      <c r="K166">
        <f t="shared" si="19"/>
        <v>0</v>
      </c>
      <c r="L166">
        <f t="shared" si="20"/>
        <v>0</v>
      </c>
      <c r="M166">
        <f>L166*Weighting!$V$22</f>
        <v>0</v>
      </c>
    </row>
    <row r="167" spans="1:27">
      <c r="A167" s="29" t="b">
        <f t="array" ref="A167">IF(ISERROR(INDEX('Data Transformation'!$B$4:$G$450,SMALL(IF('Data Transformation'!$B$4:$B$450='Bin Analysis and Plots'!D147,ROW('Data Transformation'!$B$4:$B$450)),ROW($18:$18))-3,3)),"",INDEX('Data Transformation'!$B$4:$G$450,SMALL(IF('Data Transformation'!$B$4:$B$450='Bin Analysis and Plots'!D147,ROW('Data Transformation'!$B$4:$B$450)),ROW($18:$18))-3,6))</f>
        <v>0</v>
      </c>
      <c r="B167" s="29" t="str">
        <f>IFERROR(SMALL(A150:A169,'Data Transformation'!$L$23),"")</f>
        <v/>
      </c>
      <c r="C167" s="41" t="str">
        <f>IF(Weighting!$O$23&gt;0,D167,"")</f>
        <v/>
      </c>
      <c r="D167" t="e">
        <f>Weighting!$C$23</f>
        <v>#DIV/0!</v>
      </c>
      <c r="E167" t="e">
        <f>Weighting!$E$23</f>
        <v>#NUM!</v>
      </c>
      <c r="F167" t="e">
        <f>IF(E167=1,'Data Transformation'!$G$3+0.5*'Data Transformation'!$U$25,IF(E168=1,F168-'Data Transformation'!$U$25,FALSE))</f>
        <v>#NUM!</v>
      </c>
      <c r="G167">
        <f t="array" ref="G167">IF(ISLOGICAL(F167),"",FREQUENCY(IF('Data Transformation'!$B$24:$B$404='Bin Analysis and Plots'!$D$147,'Data Transformation'!$G$24:$G$404),'Bin Analysis and Plots'!F167))</f>
        <v>0</v>
      </c>
      <c r="H167">
        <f t="shared" si="18"/>
        <v>0</v>
      </c>
      <c r="I167">
        <f>Weighting!$G$23</f>
        <v>0</v>
      </c>
      <c r="J167">
        <f t="array" ref="J167">FREQUENCY(IF('Data Transformation'!$B$4:$B$404=D147,'Data Transformation'!$G$4:$G$404),'Bin Analysis and Plots'!$D167)</f>
        <v>0</v>
      </c>
      <c r="K167">
        <f t="shared" si="19"/>
        <v>0</v>
      </c>
      <c r="L167">
        <f t="shared" si="20"/>
        <v>0</v>
      </c>
      <c r="M167">
        <f>L167*Weighting!$V$23</f>
        <v>0</v>
      </c>
    </row>
    <row r="168" spans="1:27">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t="e">
        <f>Weighting!$C$24</f>
        <v>#DIV/0!</v>
      </c>
      <c r="E168" t="e">
        <f>Weighting!$E$24</f>
        <v>#NUM!</v>
      </c>
      <c r="F168" t="e">
        <f>IF(E168=1,'Data Transformation'!$G$3+0.5*'Data Transformation'!$U$25,IF(E169=1,F169-'Data Transformation'!$U$25,FALSE))</f>
        <v>#NUM!</v>
      </c>
      <c r="G168">
        <f t="array" ref="G168">IF(ISLOGICAL(F168),"",FREQUENCY(IF('Data Transformation'!$B$24:$B$404='Bin Analysis and Plots'!$D$147,'Data Transformation'!$G$24:$G$404),'Bin Analysis and Plots'!F168))</f>
        <v>0</v>
      </c>
      <c r="H168">
        <f t="shared" si="18"/>
        <v>0</v>
      </c>
      <c r="I168">
        <f>Weighting!$G$24</f>
        <v>0</v>
      </c>
      <c r="J168">
        <f t="array" ref="J168">FREQUENCY(IF('Data Transformation'!$B$4:$B$404=D147,'Data Transformation'!$G$4:$G$404),'Bin Analysis and Plots'!$D168)</f>
        <v>0</v>
      </c>
      <c r="K168">
        <f t="shared" si="19"/>
        <v>0</v>
      </c>
      <c r="L168">
        <f t="shared" si="20"/>
        <v>0</v>
      </c>
      <c r="M168">
        <f>L168*Weighting!$V$24</f>
        <v>0</v>
      </c>
    </row>
    <row r="169" spans="1:27">
      <c r="A169" s="29" t="b">
        <f t="array" ref="A169">IF(ISERROR(INDEX('Data Transformation'!$B$4:$G$450,SMALL(IF('Data Transformation'!$B$4:$B$450='Bin Analysis and Plots'!D147,ROW('Data Transformation'!$B$4:$B$450)),ROW($20:$20))-3,3)),"",INDEX('Data Transformation'!$B$4:$G$450,SMALL(IF('Data Transformation'!$B$4:$B$450='Bin Analysis and Plots'!D147,ROW('Data Transformation'!$B$4:$B$450)),ROW($20:$20))-3,6))</f>
        <v>0</v>
      </c>
      <c r="B169" s="29" t="str">
        <f>IFERROR(SMALL(A150:A169,'Data Transformation'!$L$25),"")</f>
        <v/>
      </c>
      <c r="C169" s="41" t="str">
        <f>IF(Weighting!$O$25&gt;0,D169,"")</f>
        <v/>
      </c>
      <c r="D169" t="e">
        <f>Weighting!$C$25</f>
        <v>#DIV/0!</v>
      </c>
      <c r="E169" t="e">
        <f>Weighting!$E$25</f>
        <v>#NUM!</v>
      </c>
      <c r="F169" t="e">
        <f>IF(E169=1,'Data Transformation'!$G$3+0.5*'Data Transformation'!$U$25,IF(E170=1,F170-'Data Transformation'!$U$25,FALSE))</f>
        <v>#NUM!</v>
      </c>
      <c r="G169">
        <f t="array" ref="G169">IF(ISLOGICAL(F169),"",FREQUENCY(IF('Data Transformation'!$B$24:$B$404='Bin Analysis and Plots'!$D$147,'Data Transformation'!$G$24:$G$404),'Bin Analysis and Plots'!F169))</f>
        <v>0</v>
      </c>
      <c r="H169">
        <f t="shared" si="18"/>
        <v>0</v>
      </c>
      <c r="I169">
        <f>Weighting!$G$25</f>
        <v>0</v>
      </c>
      <c r="J169">
        <f t="array" ref="J169">FREQUENCY(IF('Data Transformation'!$B$4:$B$404=D147,'Data Transformation'!$G$4:$G$404),'Bin Analysis and Plots'!$D169)</f>
        <v>0</v>
      </c>
      <c r="K169">
        <f t="shared" si="19"/>
        <v>0</v>
      </c>
      <c r="L169">
        <f t="shared" si="20"/>
        <v>0</v>
      </c>
      <c r="M169">
        <f>L169*Weighting!$V$25</f>
        <v>0</v>
      </c>
    </row>
    <row r="170" spans="1:27">
      <c r="C170" s="41" t="str">
        <f>IF(B170="","",D170)</f>
        <v/>
      </c>
    </row>
    <row r="171" spans="1:27" ht="23.2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8" cm="1">
        <f t="array" ref="Z171:Z172">FREQUENCY(IF('Data Transformation'!$B$24:$B$404='Bin Analysis and Plots'!N171,'Data Transformation'!$G$24:$G$404),'Data Transformation'!$U$11)</f>
        <v>0</v>
      </c>
      <c r="AA171" s="78" cm="1">
        <f t="array" ref="AA171:AA172">FREQUENCY(IF('Data Transformation'!$B$24:$B$404='Bin Analysis and Plots'!N171,'Data Transformation'!$G$24:$G$404),'Data Transformation'!$U$12)</f>
        <v>0</v>
      </c>
    </row>
    <row r="172" spans="1:27" ht="21">
      <c r="A172" s="91" t="s">
        <v>64</v>
      </c>
      <c r="B172" s="91"/>
      <c r="C172" s="14" t="s">
        <v>72</v>
      </c>
      <c r="D172" t="s">
        <v>50</v>
      </c>
      <c r="E172" t="s">
        <v>5</v>
      </c>
      <c r="I172" t="s">
        <v>74</v>
      </c>
      <c r="J172" t="s">
        <v>34</v>
      </c>
      <c r="K172" t="s">
        <v>35</v>
      </c>
      <c r="L172" t="s">
        <v>49</v>
      </c>
      <c r="M172" s="14" t="s">
        <v>48</v>
      </c>
      <c r="Z172" s="78">
        <v>0</v>
      </c>
      <c r="AA172" s="78">
        <v>0</v>
      </c>
    </row>
    <row r="173" spans="1:27">
      <c r="C173" s="41" t="str">
        <f>IF(B173="","",D173)</f>
        <v/>
      </c>
      <c r="F173" t="e">
        <f>IF(E173=1,'Data Transformation'!$G$3+0.5*'Data Transformation'!$U$25,IF(E174=1,F174-'Data Transformation'!$U$25,FALSE))</f>
        <v>#NUM!</v>
      </c>
      <c r="G173">
        <f t="array" ref="G173">IF(ISLOGICAL(F173),"",FREQUENCY(IF('Data Transformation'!$B$24:$B$404='Bin Analysis and Plots'!$D$171,'Data Transformation'!$G$24:$G$404),'Bin Analysis and Plots'!F173))</f>
        <v>0</v>
      </c>
      <c r="H173">
        <f>IF(ISLOGICAL(F173),"",G173-G172)</f>
        <v>0</v>
      </c>
    </row>
    <row r="174" spans="1:27">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t="e">
        <f>IF(Weighting!$O$6&gt;0,D174,"")</f>
        <v>#NUM!</v>
      </c>
      <c r="D174" t="e">
        <f>Weighting!$C$6</f>
        <v>#DIV/0!</v>
      </c>
      <c r="E174" t="e">
        <f>Weighting!$E$6</f>
        <v>#NUM!</v>
      </c>
      <c r="F174" t="e">
        <f>IF(E174=1,'Data Transformation'!$G$3+0.5*'Data Transformation'!$U$25,IF(E175=1,F175-'Data Transformation'!$U$25,FALSE))</f>
        <v>#NUM!</v>
      </c>
      <c r="G174">
        <f t="array" ref="G174">IF(ISLOGICAL(F174),"",FREQUENCY(IF('Data Transformation'!$B$24:$B$404='Bin Analysis and Plots'!$D$171,'Data Transformation'!$G$24:$G$404),'Bin Analysis and Plots'!F174))</f>
        <v>0</v>
      </c>
      <c r="H174">
        <f>IF(ISLOGICAL(F174),"",G174-G173)</f>
        <v>0</v>
      </c>
      <c r="I174">
        <f>Weighting!$G$6</f>
        <v>1</v>
      </c>
      <c r="J174">
        <f t="array" ref="J174">FREQUENCY(IF('Data Transformation'!$B$4:$B$404=D171,'Data Transformation'!$G$4:$G$404),'Bin Analysis and Plots'!$D174)</f>
        <v>0</v>
      </c>
      <c r="K174">
        <f>J174-J173</f>
        <v>0</v>
      </c>
      <c r="L174">
        <f>IF(K174=0,0,1)</f>
        <v>0</v>
      </c>
      <c r="M174" t="e">
        <f>L174*Weighting!$V$6</f>
        <v>#NUM!</v>
      </c>
    </row>
    <row r="175" spans="1:27">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t="str">
        <f>IF(Weighting!$O$7&gt;0,D175,"")</f>
        <v/>
      </c>
      <c r="D175" t="e">
        <f>Weighting!$C$7</f>
        <v>#DIV/0!</v>
      </c>
      <c r="E175" t="e">
        <f>Weighting!$E$7</f>
        <v>#NUM!</v>
      </c>
      <c r="F175" t="e">
        <f>IF(E175=1,'Data Transformation'!$G$3+0.5*'Data Transformation'!$U$25,IF(E176=1,F176-'Data Transformation'!$U$25,FALSE))</f>
        <v>#NUM!</v>
      </c>
      <c r="G175">
        <f t="array" ref="G175">IF(ISLOGICAL(F175),"",FREQUENCY(IF('Data Transformation'!$B$24:$B$404='Bin Analysis and Plots'!$D$171,'Data Transformation'!$G$24:$G$404),'Bin Analysis and Plots'!F175))</f>
        <v>0</v>
      </c>
      <c r="H175">
        <f t="shared" ref="H175:H193" si="21">IF(ISLOGICAL(F175),"",G175-G174)</f>
        <v>0</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t="str">
        <f>IF(Weighting!$O$8&gt;0,D176,"")</f>
        <v/>
      </c>
      <c r="D176" t="e">
        <f>Weighting!$C$8</f>
        <v>#DIV/0!</v>
      </c>
      <c r="E176" t="e">
        <f>Weighting!$E$8</f>
        <v>#NUM!</v>
      </c>
      <c r="F176" t="e">
        <f>IF(E176=1,'Data Transformation'!$G$3+0.5*'Data Transformation'!$U$25,IF(E177=1,F177-'Data Transformation'!$U$25,FALSE))</f>
        <v>#NUM!</v>
      </c>
      <c r="G176">
        <f t="array" ref="G176">IF(ISLOGICAL(F176),"",FREQUENCY(IF('Data Transformation'!$B$24:$B$404='Bin Analysis and Plots'!$D$171,'Data Transformation'!$G$24:$G$404),'Bin Analysis and Plots'!F176))</f>
        <v>0</v>
      </c>
      <c r="H176">
        <f t="shared" si="21"/>
        <v>0</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t="str">
        <f>IF(Weighting!$O$9&gt;0,D177,"")</f>
        <v/>
      </c>
      <c r="D177" t="e">
        <f>Weighting!$B$9</f>
        <v>#DIV/0!</v>
      </c>
      <c r="E177" t="e">
        <f>Weighting!$E$9</f>
        <v>#NUM!</v>
      </c>
      <c r="F177" t="e">
        <f>IF(E177=1,'Data Transformation'!$G$3+0.5*'Data Transformation'!$U$25,IF(E178=1,F178-'Data Transformation'!$U$25,FALSE))</f>
        <v>#NUM!</v>
      </c>
      <c r="G177">
        <f t="array" ref="G177">IF(ISLOGICAL(F177),"",FREQUENCY(IF('Data Transformation'!$B$24:$B$404='Bin Analysis and Plots'!$D$171,'Data Transformation'!$G$24:$G$404),'Bin Analysis and Plots'!F177))</f>
        <v>0</v>
      </c>
      <c r="H177">
        <f t="shared" si="21"/>
        <v>0</v>
      </c>
      <c r="I177">
        <f>Weighting!$G$9</f>
        <v>0</v>
      </c>
      <c r="J177">
        <f t="array" ref="J177">FREQUENCY(IF('Data Transformation'!$B$4:$B$404=D171,'Data Transformation'!$G$4:$G$404),'Bin Analysis and Plots'!$D177)</f>
        <v>0</v>
      </c>
      <c r="K177">
        <f t="shared" si="22"/>
        <v>0</v>
      </c>
      <c r="L177">
        <f t="shared" si="23"/>
        <v>0</v>
      </c>
      <c r="M177">
        <f>L177*Weighting!$V$9</f>
        <v>0</v>
      </c>
    </row>
    <row r="178" spans="1:13">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t="str">
        <f>IF(Weighting!$O$10&gt;0,D178,"")</f>
        <v/>
      </c>
      <c r="D178" t="e">
        <f>Weighting!$C$10</f>
        <v>#DIV/0!</v>
      </c>
      <c r="E178" t="e">
        <f>Weighting!$E$10</f>
        <v>#NUM!</v>
      </c>
      <c r="F178" t="e">
        <f>IF(E178=1,'Data Transformation'!$G$3+0.5*'Data Transformation'!$U$25,IF(E179=1,F179-'Data Transformation'!$U$25,FALSE))</f>
        <v>#NUM!</v>
      </c>
      <c r="G178">
        <f t="array" ref="G178">IF(ISLOGICAL(F178),"",FREQUENCY(IF('Data Transformation'!$B$24:$B$404='Bin Analysis and Plots'!$D$171,'Data Transformation'!$G$24:$G$404),'Bin Analysis and Plots'!F178))</f>
        <v>0</v>
      </c>
      <c r="H178">
        <f t="shared" si="21"/>
        <v>0</v>
      </c>
      <c r="I178">
        <f>Weighting!$G$10</f>
        <v>0</v>
      </c>
      <c r="J178">
        <f t="array" ref="J178">FREQUENCY(IF('Data Transformation'!$B$4:$B$404=D171,'Data Transformation'!$G$4:$G$404),'Bin Analysis and Plots'!$D178)</f>
        <v>0</v>
      </c>
      <c r="K178">
        <f t="shared" si="22"/>
        <v>0</v>
      </c>
      <c r="L178">
        <f t="shared" si="23"/>
        <v>0</v>
      </c>
      <c r="M178">
        <f>L178*Weighting!$V$10</f>
        <v>0</v>
      </c>
    </row>
    <row r="179" spans="1:13">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t="str">
        <f>IF(Weighting!$O$11&gt;0,D179,"")</f>
        <v/>
      </c>
      <c r="D179" t="e">
        <f>Weighting!$C$11</f>
        <v>#DIV/0!</v>
      </c>
      <c r="E179" t="e">
        <f>Weighting!$E$11</f>
        <v>#NUM!</v>
      </c>
      <c r="F179" t="e">
        <f>IF(E179=1,'Data Transformation'!$G$3+0.5*'Data Transformation'!$U$25,IF(E180=1,F180-'Data Transformation'!$U$25,FALSE))</f>
        <v>#NUM!</v>
      </c>
      <c r="G179">
        <f t="array" ref="G179">IF(ISLOGICAL(F179),"",FREQUENCY(IF('Data Transformation'!$B$24:$B$404='Bin Analysis and Plots'!$D$171,'Data Transformation'!$G$24:$G$404),'Bin Analysis and Plots'!F179))</f>
        <v>0</v>
      </c>
      <c r="H179">
        <f t="shared" si="21"/>
        <v>0</v>
      </c>
      <c r="I179">
        <f>Weighting!$G$11</f>
        <v>0</v>
      </c>
      <c r="J179">
        <f t="array" ref="J179">FREQUENCY(IF('Data Transformation'!$B$4:$B$404=D171,'Data Transformation'!$G$4:$G$404),'Bin Analysis and Plots'!$D179)</f>
        <v>0</v>
      </c>
      <c r="K179">
        <f t="shared" si="22"/>
        <v>0</v>
      </c>
      <c r="L179">
        <f t="shared" si="23"/>
        <v>0</v>
      </c>
      <c r="M179">
        <f>L179*Weighting!$V$11</f>
        <v>0</v>
      </c>
    </row>
    <row r="180" spans="1:13">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t="str">
        <f>IF(Weighting!$O$12&gt;0,D180,"")</f>
        <v/>
      </c>
      <c r="D180" t="e">
        <f>Weighting!$C$12</f>
        <v>#DIV/0!</v>
      </c>
      <c r="E180" t="e">
        <f>Weighting!$E$12</f>
        <v>#NUM!</v>
      </c>
      <c r="F180" t="e">
        <f>IF(E180=1,'Data Transformation'!$G$3+0.5*'Data Transformation'!$U$25,IF(E181=1,F181-'Data Transformation'!$U$25,FALSE))</f>
        <v>#NUM!</v>
      </c>
      <c r="G180">
        <f t="array" ref="G180">IF(ISLOGICAL(F180),"",FREQUENCY(IF('Data Transformation'!$B$24:$B$404='Bin Analysis and Plots'!$D$171,'Data Transformation'!$G$24:$G$404),'Bin Analysis and Plots'!F180))</f>
        <v>0</v>
      </c>
      <c r="H180">
        <f t="shared" si="21"/>
        <v>0</v>
      </c>
      <c r="I180">
        <f>Weighting!$G$12</f>
        <v>0</v>
      </c>
      <c r="J180">
        <f t="array" ref="J180">FREQUENCY(IF('Data Transformation'!$B$4:$B$404=D171,'Data Transformation'!$G$4:$G$404),'Bin Analysis and Plots'!$D180)</f>
        <v>0</v>
      </c>
      <c r="K180">
        <f t="shared" si="22"/>
        <v>0</v>
      </c>
      <c r="L180">
        <f t="shared" si="23"/>
        <v>0</v>
      </c>
      <c r="M180">
        <f>L180*Weighting!$V$12</f>
        <v>0</v>
      </c>
    </row>
    <row r="181" spans="1:13">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t="str">
        <f>IF(Weighting!$O$13&gt;0,D181,"")</f>
        <v/>
      </c>
      <c r="D181" t="e">
        <f>Weighting!$C$13</f>
        <v>#DIV/0!</v>
      </c>
      <c r="E181" t="e">
        <f>Weighting!$E$13</f>
        <v>#NUM!</v>
      </c>
      <c r="F181" t="e">
        <f>IF(E181=1,'Data Transformation'!$G$3+0.5*'Data Transformation'!$U$25,IF(E182=1,F182-'Data Transformation'!$U$25,FALSE))</f>
        <v>#NUM!</v>
      </c>
      <c r="G181">
        <f t="array" ref="G181">IF(ISLOGICAL(F181),"",FREQUENCY(IF('Data Transformation'!$B$24:$B$404='Bin Analysis and Plots'!$D$171,'Data Transformation'!$G$24:$G$404),'Bin Analysis and Plots'!F181))</f>
        <v>0</v>
      </c>
      <c r="H181">
        <f t="shared" si="21"/>
        <v>0</v>
      </c>
      <c r="I181">
        <f>Weighting!$G$13</f>
        <v>0</v>
      </c>
      <c r="J181">
        <f t="array" ref="J181">FREQUENCY(IF('Data Transformation'!$B$4:$B$404=D171,'Data Transformation'!$G$4:$G$404),'Bin Analysis and Plots'!$D181)</f>
        <v>0</v>
      </c>
      <c r="K181">
        <f t="shared" si="22"/>
        <v>0</v>
      </c>
      <c r="L181">
        <f t="shared" si="23"/>
        <v>0</v>
      </c>
      <c r="M181">
        <f>L181*Weighting!$V$13</f>
        <v>0</v>
      </c>
    </row>
    <row r="182" spans="1:13">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t="str">
        <f>IF(Weighting!$O$14&gt;0,D182,"")</f>
        <v/>
      </c>
      <c r="D182" t="e">
        <f>Weighting!$C$14</f>
        <v>#DIV/0!</v>
      </c>
      <c r="E182" t="e">
        <f>Weighting!$E$14</f>
        <v>#NUM!</v>
      </c>
      <c r="F182" t="e">
        <f>IF(E182=1,'Data Transformation'!$G$3+0.5*'Data Transformation'!$U$25,IF(E183=1,F183-'Data Transformation'!$U$25,FALSE))</f>
        <v>#NUM!</v>
      </c>
      <c r="G182">
        <f t="array" ref="G182">IF(ISLOGICAL(F182),"",FREQUENCY(IF('Data Transformation'!$B$24:$B$404='Bin Analysis and Plots'!$D$171,'Data Transformation'!$G$24:$G$404),'Bin Analysis and Plots'!F182))</f>
        <v>0</v>
      </c>
      <c r="H182">
        <f t="shared" si="21"/>
        <v>0</v>
      </c>
      <c r="I182">
        <f>Weighting!$G$14</f>
        <v>0</v>
      </c>
      <c r="J182">
        <f t="array" ref="J182">FREQUENCY(IF('Data Transformation'!$B$4:$B$404=D171,'Data Transformation'!$G$4:$G$404),'Bin Analysis and Plots'!$D182)</f>
        <v>0</v>
      </c>
      <c r="K182">
        <f t="shared" si="22"/>
        <v>0</v>
      </c>
      <c r="L182">
        <f t="shared" si="23"/>
        <v>0</v>
      </c>
      <c r="M182">
        <f>L182*Weighting!$V$14</f>
        <v>0</v>
      </c>
    </row>
    <row r="183" spans="1:13">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t="str">
        <f>IF(Weighting!$O$15&gt;0,D183,"")</f>
        <v/>
      </c>
      <c r="D183" t="e">
        <f>Weighting!$C$15</f>
        <v>#DIV/0!</v>
      </c>
      <c r="E183" t="e">
        <f>Weighting!$E$15</f>
        <v>#NUM!</v>
      </c>
      <c r="F183" t="e">
        <f>IF(E183=1,'Data Transformation'!$G$3+0.5*'Data Transformation'!$U$25,IF(E184=1,F184-'Data Transformation'!$U$25,FALSE))</f>
        <v>#NUM!</v>
      </c>
      <c r="G183">
        <f t="array" ref="G183">IF(ISLOGICAL(F183),"",FREQUENCY(IF('Data Transformation'!$B$24:$B$404='Bin Analysis and Plots'!$D$171,'Data Transformation'!$G$24:$G$404),'Bin Analysis and Plots'!F183))</f>
        <v>0</v>
      </c>
      <c r="H183">
        <f t="shared" si="21"/>
        <v>0</v>
      </c>
      <c r="I183">
        <f>Weighting!$G$15</f>
        <v>0</v>
      </c>
      <c r="J183">
        <f t="array" ref="J183">FREQUENCY(IF('Data Transformation'!$B$4:$B$404=D171,'Data Transformation'!$G$4:$G$404),'Bin Analysis and Plots'!$D183)</f>
        <v>0</v>
      </c>
      <c r="K183">
        <f t="shared" si="22"/>
        <v>0</v>
      </c>
      <c r="L183">
        <f t="shared" si="23"/>
        <v>0</v>
      </c>
      <c r="M183">
        <f>L183*Weighting!$V$15</f>
        <v>0</v>
      </c>
    </row>
    <row r="184" spans="1:13">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t="e">
        <f>Weighting!$C$16</f>
        <v>#DIV/0!</v>
      </c>
      <c r="E184" t="e">
        <f>Weighting!$E$16</f>
        <v>#NUM!</v>
      </c>
      <c r="F184" t="e">
        <f>IF(E184=1,'Data Transformation'!$G$3+0.5*'Data Transformation'!$U$25,IF(E185=1,F185-'Data Transformation'!$U$25,FALSE))</f>
        <v>#NUM!</v>
      </c>
      <c r="G184">
        <f t="array" ref="G184">IF(ISLOGICAL(F184),"",FREQUENCY(IF('Data Transformation'!$B$24:$B$404='Bin Analysis and Plots'!$D$171,'Data Transformation'!$G$24:$G$404),'Bin Analysis and Plots'!F184))</f>
        <v>0</v>
      </c>
      <c r="H184">
        <f t="shared" si="21"/>
        <v>0</v>
      </c>
      <c r="I184">
        <f>Weighting!$G$16</f>
        <v>0</v>
      </c>
      <c r="J184">
        <f t="array" ref="J184">FREQUENCY(IF('Data Transformation'!$B$4:$B$404=D171,'Data Transformation'!$G$4:$G$404),'Bin Analysis and Plots'!$D184)</f>
        <v>0</v>
      </c>
      <c r="K184">
        <f t="shared" si="22"/>
        <v>0</v>
      </c>
      <c r="L184">
        <f t="shared" si="23"/>
        <v>0</v>
      </c>
      <c r="M184">
        <f>L184*Weighting!$V$16</f>
        <v>0</v>
      </c>
    </row>
    <row r="185" spans="1:13">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t="e">
        <f>Weighting!$C$17</f>
        <v>#DIV/0!</v>
      </c>
      <c r="E185" t="e">
        <f>Weighting!$E$17</f>
        <v>#NUM!</v>
      </c>
      <c r="F185" t="e">
        <f>IF(E185=1,'Data Transformation'!$G$3+0.5*'Data Transformation'!$U$25,IF(E186=1,F186-'Data Transformation'!$U$25,FALSE))</f>
        <v>#NUM!</v>
      </c>
      <c r="G185">
        <f t="array" ref="G185">IF(ISLOGICAL(F185),"",FREQUENCY(IF('Data Transformation'!$B$24:$B$404='Bin Analysis and Plots'!$D$171,'Data Transformation'!$G$24:$G$404),'Bin Analysis and Plots'!F185))</f>
        <v>0</v>
      </c>
      <c r="H185">
        <f t="shared" si="21"/>
        <v>0</v>
      </c>
      <c r="I185">
        <f>Weighting!$G$17</f>
        <v>0</v>
      </c>
      <c r="J185">
        <f t="array" ref="J185">FREQUENCY(IF('Data Transformation'!$B$4:$B$404=D171,'Data Transformation'!$G$4:$G$404),'Bin Analysis and Plots'!$D185)</f>
        <v>0</v>
      </c>
      <c r="K185">
        <f t="shared" si="22"/>
        <v>0</v>
      </c>
      <c r="L185">
        <f t="shared" si="23"/>
        <v>0</v>
      </c>
      <c r="M185">
        <f>L185*Weighting!$V$17</f>
        <v>0</v>
      </c>
    </row>
    <row r="186" spans="1:13">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t="e">
        <f>Weighting!$C$18</f>
        <v>#DIV/0!</v>
      </c>
      <c r="E186" t="e">
        <f>Weighting!$E$18</f>
        <v>#NUM!</v>
      </c>
      <c r="F186" t="e">
        <f>IF(E186=1,'Data Transformation'!$G$3+0.5*'Data Transformation'!$U$25,IF(E187=1,F187-'Data Transformation'!$U$25,FALSE))</f>
        <v>#NUM!</v>
      </c>
      <c r="G186">
        <f t="array" ref="G186">IF(ISLOGICAL(F186),"",FREQUENCY(IF('Data Transformation'!$B$24:$B$404='Bin Analysis and Plots'!$D$171,'Data Transformation'!$G$24:$G$404),'Bin Analysis and Plots'!F186))</f>
        <v>0</v>
      </c>
      <c r="H186">
        <f t="shared" si="21"/>
        <v>0</v>
      </c>
      <c r="I186">
        <f>Weighting!$G$18</f>
        <v>0</v>
      </c>
      <c r="J186">
        <f t="array" ref="J186">FREQUENCY(IF('Data Transformation'!$B$4:$B$404=D171,'Data Transformation'!$G$4:$G$404),'Bin Analysis and Plots'!$D186)</f>
        <v>0</v>
      </c>
      <c r="K186">
        <f t="shared" si="22"/>
        <v>0</v>
      </c>
      <c r="L186">
        <f t="shared" si="23"/>
        <v>0</v>
      </c>
      <c r="M186">
        <f>L186*Weighting!$V$18</f>
        <v>0</v>
      </c>
    </row>
    <row r="187" spans="1:13">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t="e">
        <f>Weighting!$C$19</f>
        <v>#DIV/0!</v>
      </c>
      <c r="E187" t="e">
        <f>Weighting!$E$19</f>
        <v>#NUM!</v>
      </c>
      <c r="F187" t="e">
        <f>IF(E187=1,'Data Transformation'!$G$3+0.5*'Data Transformation'!$U$25,IF(E188=1,F188-'Data Transformation'!$U$25,FALSE))</f>
        <v>#NUM!</v>
      </c>
      <c r="G187">
        <f t="array" ref="G187">IF(ISLOGICAL(F187),"",FREQUENCY(IF('Data Transformation'!$B$24:$B$404='Bin Analysis and Plots'!$D$171,'Data Transformation'!$G$24:$G$404),'Bin Analysis and Plots'!F187))</f>
        <v>0</v>
      </c>
      <c r="H187">
        <f t="shared" si="21"/>
        <v>0</v>
      </c>
      <c r="I187">
        <f>Weighting!$G$19</f>
        <v>0</v>
      </c>
      <c r="J187">
        <f t="array" ref="J187">FREQUENCY(IF('Data Transformation'!$B$4:$B$404=D171,'Data Transformation'!$G$4:$G$404),'Bin Analysis and Plots'!$D187)</f>
        <v>0</v>
      </c>
      <c r="K187">
        <f t="shared" si="22"/>
        <v>0</v>
      </c>
      <c r="L187">
        <f t="shared" si="23"/>
        <v>0</v>
      </c>
      <c r="M187">
        <f>L187*Weighting!$V$19</f>
        <v>0</v>
      </c>
    </row>
    <row r="188" spans="1:13">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t="e">
        <f>Weighting!$C$20</f>
        <v>#DIV/0!</v>
      </c>
      <c r="E188" t="e">
        <f>Weighting!$E$20</f>
        <v>#NUM!</v>
      </c>
      <c r="F188" t="e">
        <f>IF(E188=1,'Data Transformation'!$G$3+0.5*'Data Transformation'!$U$25,IF(E189=1,F189-'Data Transformation'!$U$25,FALSE))</f>
        <v>#NUM!</v>
      </c>
      <c r="G188">
        <f t="array" ref="G188">IF(ISLOGICAL(F188),"",FREQUENCY(IF('Data Transformation'!$B$24:$B$404='Bin Analysis and Plots'!$D$171,'Data Transformation'!$G$24:$G$404),'Bin Analysis and Plots'!F188))</f>
        <v>0</v>
      </c>
      <c r="H188">
        <f t="shared" si="21"/>
        <v>0</v>
      </c>
      <c r="I188">
        <f>Weighting!$G$20</f>
        <v>0</v>
      </c>
      <c r="J188">
        <f t="array" ref="J188">FREQUENCY(IF('Data Transformation'!$B$4:$B$404=D171,'Data Transformation'!$G$4:$G$404),'Bin Analysis and Plots'!$D188)</f>
        <v>0</v>
      </c>
      <c r="K188">
        <f t="shared" si="22"/>
        <v>0</v>
      </c>
      <c r="L188">
        <f t="shared" si="23"/>
        <v>0</v>
      </c>
      <c r="M188">
        <f>L188*Weighting!$V$20</f>
        <v>0</v>
      </c>
    </row>
    <row r="189" spans="1:13">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t="e">
        <f>Weighting!$C$21</f>
        <v>#DIV/0!</v>
      </c>
      <c r="E189" t="e">
        <f>Weighting!$E$21</f>
        <v>#NUM!</v>
      </c>
      <c r="F189" t="e">
        <f>IF(E189=1,'Data Transformation'!$G$3+0.5*'Data Transformation'!$U$25,IF(E190=1,F190-'Data Transformation'!$U$25,FALSE))</f>
        <v>#NUM!</v>
      </c>
      <c r="G189">
        <f t="array" ref="G189">IF(ISLOGICAL(F189),"",FREQUENCY(IF('Data Transformation'!$B$24:$B$404='Bin Analysis and Plots'!$D$171,'Data Transformation'!$G$24:$G$404),'Bin Analysis and Plots'!F189))</f>
        <v>0</v>
      </c>
      <c r="H189">
        <f t="shared" si="21"/>
        <v>0</v>
      </c>
      <c r="I189">
        <f>Weighting!$G$21</f>
        <v>0</v>
      </c>
      <c r="J189">
        <f t="array" ref="J189">FREQUENCY(IF('Data Transformation'!$B$4:$B$404=D171,'Data Transformation'!$G$4:$G$404),'Bin Analysis and Plots'!$D189)</f>
        <v>0</v>
      </c>
      <c r="K189">
        <f t="shared" si="22"/>
        <v>0</v>
      </c>
      <c r="L189">
        <f t="shared" si="23"/>
        <v>0</v>
      </c>
      <c r="M189">
        <f>L189*Weighting!$V$21</f>
        <v>0</v>
      </c>
    </row>
    <row r="190" spans="1:13">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t="e">
        <f>Weighting!$C$22</f>
        <v>#DIV/0!</v>
      </c>
      <c r="E190" t="e">
        <f>Weighting!$E$22</f>
        <v>#NUM!</v>
      </c>
      <c r="F190" t="e">
        <f>IF(E190=1,'Data Transformation'!$G$3+0.5*'Data Transformation'!$U$25,IF(E191=1,F191-'Data Transformation'!$U$25,FALSE))</f>
        <v>#NUM!</v>
      </c>
      <c r="G190">
        <f t="array" ref="G190">IF(ISLOGICAL(F190),"",FREQUENCY(IF('Data Transformation'!$B$24:$B$404='Bin Analysis and Plots'!$D$171,'Data Transformation'!$G$24:$G$404),'Bin Analysis and Plots'!F190))</f>
        <v>0</v>
      </c>
      <c r="H190">
        <f t="shared" si="21"/>
        <v>0</v>
      </c>
      <c r="I190">
        <f>Weighting!$G$22</f>
        <v>0</v>
      </c>
      <c r="J190">
        <f t="array" ref="J190">FREQUENCY(IF('Data Transformation'!$B$4:$B$404=D171,'Data Transformation'!$G$4:$G$404),'Bin Analysis and Plots'!$D190)</f>
        <v>0</v>
      </c>
      <c r="K190">
        <f t="shared" si="22"/>
        <v>0</v>
      </c>
      <c r="L190">
        <f t="shared" si="23"/>
        <v>0</v>
      </c>
      <c r="M190">
        <f>L190*Weighting!$V$22</f>
        <v>0</v>
      </c>
    </row>
    <row r="191" spans="1:13">
      <c r="A191" s="29" t="b">
        <f t="array" ref="A191">IF(ISERROR(INDEX('Data Transformation'!$B$4:$G$450,SMALL(IF('Data Transformation'!$B$4:$B$450='Bin Analysis and Plots'!D171,ROW('Data Transformation'!$B$4:$B$450)),ROW($18:$18))-3,3)),"",INDEX('Data Transformation'!$B$4:$G$450,SMALL(IF('Data Transformation'!$B$4:$B$450='Bin Analysis and Plots'!D171,ROW('Data Transformation'!$B$4:$B$450)),ROW($18:$18))-3,6))</f>
        <v>0</v>
      </c>
      <c r="B191" s="29" t="str">
        <f>IFERROR(SMALL(A174:A193,'Data Transformation'!$L$23),"")</f>
        <v/>
      </c>
      <c r="C191" s="41" t="str">
        <f>IF(Weighting!$O$23&gt;0,D191,"")</f>
        <v/>
      </c>
      <c r="D191" t="e">
        <f>Weighting!$C$23</f>
        <v>#DIV/0!</v>
      </c>
      <c r="E191" t="e">
        <f>Weighting!$E$23</f>
        <v>#NUM!</v>
      </c>
      <c r="F191" t="e">
        <f>IF(E191=1,'Data Transformation'!$G$3+0.5*'Data Transformation'!$U$25,IF(E192=1,F192-'Data Transformation'!$U$25,FALSE))</f>
        <v>#NUM!</v>
      </c>
      <c r="G191">
        <f t="array" ref="G191">IF(ISLOGICAL(F191),"",FREQUENCY(IF('Data Transformation'!$B$24:$B$404='Bin Analysis and Plots'!$D$171,'Data Transformation'!$G$24:$G$404),'Bin Analysis and Plots'!F191))</f>
        <v>0</v>
      </c>
      <c r="H191">
        <f t="shared" si="21"/>
        <v>0</v>
      </c>
      <c r="I191">
        <f>Weighting!$G$23</f>
        <v>0</v>
      </c>
      <c r="J191">
        <f t="array" ref="J191">FREQUENCY(IF('Data Transformation'!$B$4:$B$404=D171,'Data Transformation'!$G$4:$G$404),'Bin Analysis and Plots'!$D191)</f>
        <v>0</v>
      </c>
      <c r="K191">
        <f t="shared" si="22"/>
        <v>0</v>
      </c>
      <c r="L191">
        <f t="shared" si="23"/>
        <v>0</v>
      </c>
      <c r="M191">
        <f>L191*Weighting!$V$23</f>
        <v>0</v>
      </c>
    </row>
    <row r="192" spans="1:13">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t="e">
        <f>Weighting!$C$24</f>
        <v>#DIV/0!</v>
      </c>
      <c r="E192" t="e">
        <f>Weighting!$E$24</f>
        <v>#NUM!</v>
      </c>
      <c r="F192" t="e">
        <f>IF(E192=1,'Data Transformation'!$G$3+0.5*'Data Transformation'!$U$25,IF(E193=1,F193-'Data Transformation'!$U$25,FALSE))</f>
        <v>#NUM!</v>
      </c>
      <c r="G192">
        <f t="array" ref="G192">IF(ISLOGICAL(F192),"",FREQUENCY(IF('Data Transformation'!$B$24:$B$404='Bin Analysis and Plots'!$D$171,'Data Transformation'!$G$24:$G$404),'Bin Analysis and Plots'!F192))</f>
        <v>0</v>
      </c>
      <c r="H192">
        <f t="shared" si="21"/>
        <v>0</v>
      </c>
      <c r="I192">
        <f>Weighting!$G$24</f>
        <v>0</v>
      </c>
      <c r="J192">
        <f t="array" ref="J192">FREQUENCY(IF('Data Transformation'!$B$4:$B$404=D171,'Data Transformation'!$G$4:$G$404),'Bin Analysis and Plots'!$D192)</f>
        <v>0</v>
      </c>
      <c r="K192">
        <f t="shared" si="22"/>
        <v>0</v>
      </c>
      <c r="L192">
        <f t="shared" si="23"/>
        <v>0</v>
      </c>
      <c r="M192">
        <f>L192*Weighting!$V$24</f>
        <v>0</v>
      </c>
    </row>
    <row r="193" spans="1:27">
      <c r="A193" s="29" t="b">
        <f t="array" ref="A193">IF(ISERROR(INDEX('Data Transformation'!$B$4:$G$450,SMALL(IF('Data Transformation'!$B$4:$B$450='Bin Analysis and Plots'!D171,ROW('Data Transformation'!$B$4:$B$450)),ROW($20:$20))-3,3)),"",INDEX('Data Transformation'!$B$4:$G$450,SMALL(IF('Data Transformation'!$B$4:$B$450='Bin Analysis and Plots'!D171,ROW('Data Transformation'!$B$4:$B$450)),ROW($20:$20))-3,6))</f>
        <v>0</v>
      </c>
      <c r="B193" s="29" t="str">
        <f>IFERROR(SMALL(A174:A193,'Data Transformation'!$L$25),"")</f>
        <v/>
      </c>
      <c r="C193" s="41" t="str">
        <f>IF(Weighting!$O$25&gt;0,D193,"")</f>
        <v/>
      </c>
      <c r="D193" t="e">
        <f>Weighting!$C$25</f>
        <v>#DIV/0!</v>
      </c>
      <c r="E193" t="e">
        <f>Weighting!$E$25</f>
        <v>#NUM!</v>
      </c>
      <c r="F193" t="e">
        <f>IF(E193=1,'Data Transformation'!$G$3+0.5*'Data Transformation'!$U$25,IF(E194=1,F194-'Data Transformation'!$U$25,FALSE))</f>
        <v>#NUM!</v>
      </c>
      <c r="G193">
        <f t="array" ref="G193">IF(ISLOGICAL(F193),"",FREQUENCY(IF('Data Transformation'!$B$24:$B$404='Bin Analysis and Plots'!$D$171,'Data Transformation'!$G$24:$G$404),'Bin Analysis and Plots'!F193))</f>
        <v>0</v>
      </c>
      <c r="H193">
        <f t="shared" si="21"/>
        <v>0</v>
      </c>
      <c r="I193">
        <f>Weighting!$G$25</f>
        <v>0</v>
      </c>
      <c r="J193">
        <f t="array" ref="J193">FREQUENCY(IF('Data Transformation'!$B$4:$B$404=D171,'Data Transformation'!$G$4:$G$404),'Bin Analysis and Plots'!$D193)</f>
        <v>0</v>
      </c>
      <c r="K193">
        <f t="shared" si="22"/>
        <v>0</v>
      </c>
      <c r="L193">
        <f t="shared" si="23"/>
        <v>0</v>
      </c>
      <c r="M193">
        <f>L193*Weighting!$V$25</f>
        <v>0</v>
      </c>
    </row>
    <row r="194" spans="1:27">
      <c r="C194" s="41" t="str">
        <f>IF(B194="","",D194)</f>
        <v/>
      </c>
    </row>
    <row r="195" spans="1:27" ht="23.2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8" cm="1">
        <f t="array" ref="Z195:Z196">FREQUENCY(IF('Data Transformation'!$B$24:$B$404='Bin Analysis and Plots'!N195,'Data Transformation'!$G$24:$G$404),'Data Transformation'!$U$11)</f>
        <v>0</v>
      </c>
      <c r="AA195" s="78" cm="1">
        <f t="array" ref="AA195:AA196">FREQUENCY(IF('Data Transformation'!$B$24:$B$404='Bin Analysis and Plots'!N195,'Data Transformation'!$G$24:$G$404),'Data Transformation'!$U$12)</f>
        <v>0</v>
      </c>
    </row>
    <row r="196" spans="1:27" ht="21">
      <c r="A196" s="91" t="s">
        <v>64</v>
      </c>
      <c r="B196" s="91"/>
      <c r="C196" s="14" t="s">
        <v>72</v>
      </c>
      <c r="D196" t="s">
        <v>50</v>
      </c>
      <c r="E196" t="s">
        <v>5</v>
      </c>
      <c r="I196" t="s">
        <v>74</v>
      </c>
      <c r="J196" t="s">
        <v>34</v>
      </c>
      <c r="K196" t="s">
        <v>35</v>
      </c>
      <c r="L196" t="s">
        <v>49</v>
      </c>
      <c r="M196" s="14" t="s">
        <v>48</v>
      </c>
      <c r="Z196" s="78">
        <v>0</v>
      </c>
      <c r="AA196" s="78">
        <v>0</v>
      </c>
    </row>
    <row r="197" spans="1:27">
      <c r="C197" s="41" t="str">
        <f>IF(B197="","",D197)</f>
        <v/>
      </c>
      <c r="F197" t="e">
        <f>IF(E197=1,'Data Transformation'!$G$3+0.5*'Data Transformation'!$U$25,IF(E198=1,F198-'Data Transformation'!$U$25,FALSE))</f>
        <v>#NUM!</v>
      </c>
      <c r="G197">
        <f t="array" ref="G197">IF(ISLOGICAL(F197),"",FREQUENCY(IF('Data Transformation'!$B$24:$B$404='Bin Analysis and Plots'!$D$195,'Data Transformation'!$G$24:$G$404),'Bin Analysis and Plots'!F197))</f>
        <v>0</v>
      </c>
      <c r="H197">
        <f>IF(ISLOGICAL(F197),"",G197-G196)</f>
        <v>0</v>
      </c>
    </row>
    <row r="198" spans="1:27">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t="e">
        <f>IF(Weighting!$O$6&gt;0,D198,"")</f>
        <v>#NUM!</v>
      </c>
      <c r="D198" t="e">
        <f>Weighting!$C$6</f>
        <v>#DIV/0!</v>
      </c>
      <c r="E198" t="e">
        <f>Weighting!$E$6</f>
        <v>#NUM!</v>
      </c>
      <c r="F198" t="e">
        <f>IF(E198=1,'Data Transformation'!$G$3+0.5*'Data Transformation'!$U$25,IF(E199=1,F199-'Data Transformation'!$U$25,FALSE))</f>
        <v>#NUM!</v>
      </c>
      <c r="G198">
        <f t="array" ref="G198">IF(ISLOGICAL(F198),"",FREQUENCY(IF('Data Transformation'!$B$24:$B$404='Bin Analysis and Plots'!$D$195,'Data Transformation'!$G$24:$G$404),'Bin Analysis and Plots'!F198))</f>
        <v>0</v>
      </c>
      <c r="H198">
        <f>IF(ISLOGICAL(F198),"",G198-G197)</f>
        <v>0</v>
      </c>
      <c r="I198">
        <f>Weighting!$G$6</f>
        <v>1</v>
      </c>
      <c r="J198">
        <f t="array" ref="J198">FREQUENCY(IF('Data Transformation'!$B$4:$B$404=D195,'Data Transformation'!$G$4:$G$404),'Bin Analysis and Plots'!$D198)</f>
        <v>0</v>
      </c>
      <c r="K198">
        <f>J198-J197</f>
        <v>0</v>
      </c>
      <c r="L198">
        <f>IF(K198=0,0,1)</f>
        <v>0</v>
      </c>
      <c r="M198" t="e">
        <f>L198*Weighting!$V$6</f>
        <v>#NUM!</v>
      </c>
    </row>
    <row r="199" spans="1:27">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t="str">
        <f>IF(Weighting!$O$7&gt;0,D199,"")</f>
        <v/>
      </c>
      <c r="D199" t="e">
        <f>Weighting!$C$7</f>
        <v>#DIV/0!</v>
      </c>
      <c r="E199" t="e">
        <f>Weighting!$E$7</f>
        <v>#NUM!</v>
      </c>
      <c r="F199" t="e">
        <f>IF(E199=1,'Data Transformation'!$G$3+0.5*'Data Transformation'!$U$25,IF(E200=1,F200-'Data Transformation'!$U$25,FALSE))</f>
        <v>#NUM!</v>
      </c>
      <c r="G199">
        <f t="array" ref="G199">IF(ISLOGICAL(F199),"",FREQUENCY(IF('Data Transformation'!$B$24:$B$404='Bin Analysis and Plots'!$D$195,'Data Transformation'!$G$24:$G$404),'Bin Analysis and Plots'!F199))</f>
        <v>0</v>
      </c>
      <c r="H199">
        <f t="shared" ref="H199:H217" si="24">IF(ISLOGICAL(F199),"",G199-G198)</f>
        <v>0</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t="str">
        <f>IF(Weighting!$O$8&gt;0,D200,"")</f>
        <v/>
      </c>
      <c r="D200" t="e">
        <f>Weighting!$C$8</f>
        <v>#DIV/0!</v>
      </c>
      <c r="E200" t="e">
        <f>Weighting!$E$8</f>
        <v>#NUM!</v>
      </c>
      <c r="F200" t="e">
        <f>IF(E200=1,'Data Transformation'!$G$3+0.5*'Data Transformation'!$U$25,IF(E201=1,F201-'Data Transformation'!$U$25,FALSE))</f>
        <v>#NUM!</v>
      </c>
      <c r="G200">
        <f t="array" ref="G200">IF(ISLOGICAL(F200),"",FREQUENCY(IF('Data Transformation'!$B$24:$B$404='Bin Analysis and Plots'!$D$195,'Data Transformation'!$G$24:$G$404),'Bin Analysis and Plots'!F200))</f>
        <v>0</v>
      </c>
      <c r="H200">
        <f t="shared" si="24"/>
        <v>0</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t="str">
        <f>IF(Weighting!$O$9&gt;0,D201,"")</f>
        <v/>
      </c>
      <c r="D201" t="e">
        <f>Weighting!$B$9</f>
        <v>#DIV/0!</v>
      </c>
      <c r="E201" t="e">
        <f>Weighting!$E$9</f>
        <v>#NUM!</v>
      </c>
      <c r="F201" t="e">
        <f>IF(E201=1,'Data Transformation'!$G$3+0.5*'Data Transformation'!$U$25,IF(E202=1,F202-'Data Transformation'!$U$25,FALSE))</f>
        <v>#NUM!</v>
      </c>
      <c r="G201">
        <f t="array" ref="G201">IF(ISLOGICAL(F201),"",FREQUENCY(IF('Data Transformation'!$B$24:$B$404='Bin Analysis and Plots'!$D$195,'Data Transformation'!$G$24:$G$404),'Bin Analysis and Plots'!F201))</f>
        <v>0</v>
      </c>
      <c r="H201">
        <f t="shared" si="24"/>
        <v>0</v>
      </c>
      <c r="I201">
        <f>Weighting!$G$9</f>
        <v>0</v>
      </c>
      <c r="J201">
        <f t="array" ref="J201">FREQUENCY(IF('Data Transformation'!$B$4:$B$404=D195,'Data Transformation'!$G$4:$G$404),'Bin Analysis and Plots'!$D201)</f>
        <v>0</v>
      </c>
      <c r="K201">
        <f t="shared" si="25"/>
        <v>0</v>
      </c>
      <c r="L201">
        <f t="shared" si="26"/>
        <v>0</v>
      </c>
      <c r="M201">
        <f>L201*Weighting!$V$9</f>
        <v>0</v>
      </c>
    </row>
    <row r="202" spans="1:27">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t="str">
        <f>IF(Weighting!$O$10&gt;0,D202,"")</f>
        <v/>
      </c>
      <c r="D202" t="e">
        <f>Weighting!$C$10</f>
        <v>#DIV/0!</v>
      </c>
      <c r="E202" t="e">
        <f>Weighting!$E$10</f>
        <v>#NUM!</v>
      </c>
      <c r="F202" t="e">
        <f>IF(E202=1,'Data Transformation'!$G$3+0.5*'Data Transformation'!$U$25,IF(E203=1,F203-'Data Transformation'!$U$25,FALSE))</f>
        <v>#NUM!</v>
      </c>
      <c r="G202">
        <f t="array" ref="G202">IF(ISLOGICAL(F202),"",FREQUENCY(IF('Data Transformation'!$B$24:$B$404='Bin Analysis and Plots'!$D$195,'Data Transformation'!$G$24:$G$404),'Bin Analysis and Plots'!F202))</f>
        <v>0</v>
      </c>
      <c r="H202">
        <f t="shared" si="24"/>
        <v>0</v>
      </c>
      <c r="I202">
        <f>Weighting!$G$10</f>
        <v>0</v>
      </c>
      <c r="J202">
        <f t="array" ref="J202">FREQUENCY(IF('Data Transformation'!$B$4:$B$404=D195,'Data Transformation'!$G$4:$G$404),'Bin Analysis and Plots'!$D202)</f>
        <v>0</v>
      </c>
      <c r="K202">
        <f t="shared" si="25"/>
        <v>0</v>
      </c>
      <c r="L202">
        <f t="shared" si="26"/>
        <v>0</v>
      </c>
      <c r="M202">
        <f>L202*Weighting!$V$10</f>
        <v>0</v>
      </c>
    </row>
    <row r="203" spans="1:27">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t="str">
        <f>IF(Weighting!$O$11&gt;0,D203,"")</f>
        <v/>
      </c>
      <c r="D203" t="e">
        <f>Weighting!$C$11</f>
        <v>#DIV/0!</v>
      </c>
      <c r="E203" t="e">
        <f>Weighting!$E$11</f>
        <v>#NUM!</v>
      </c>
      <c r="F203" t="e">
        <f>IF(E203=1,'Data Transformation'!$G$3+0.5*'Data Transformation'!$U$25,IF(E204=1,F204-'Data Transformation'!$U$25,FALSE))</f>
        <v>#NUM!</v>
      </c>
      <c r="G203">
        <f t="array" ref="G203">IF(ISLOGICAL(F203),"",FREQUENCY(IF('Data Transformation'!$B$24:$B$404='Bin Analysis and Plots'!$D$195,'Data Transformation'!$G$24:$G$404),'Bin Analysis and Plots'!F203))</f>
        <v>0</v>
      </c>
      <c r="H203">
        <f t="shared" si="24"/>
        <v>0</v>
      </c>
      <c r="I203">
        <f>Weighting!$G$11</f>
        <v>0</v>
      </c>
      <c r="J203">
        <f t="array" ref="J203">FREQUENCY(IF('Data Transformation'!$B$4:$B$404=D195,'Data Transformation'!$G$4:$G$404),'Bin Analysis and Plots'!$D203)</f>
        <v>0</v>
      </c>
      <c r="K203">
        <f t="shared" si="25"/>
        <v>0</v>
      </c>
      <c r="L203">
        <f t="shared" si="26"/>
        <v>0</v>
      </c>
      <c r="M203">
        <f>L203*Weighting!$V$11</f>
        <v>0</v>
      </c>
    </row>
    <row r="204" spans="1:27">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t="str">
        <f>IF(Weighting!$O$12&gt;0,D204,"")</f>
        <v/>
      </c>
      <c r="D204" t="e">
        <f>Weighting!$C$12</f>
        <v>#DIV/0!</v>
      </c>
      <c r="E204" t="e">
        <f>Weighting!$E$12</f>
        <v>#NUM!</v>
      </c>
      <c r="F204" t="e">
        <f>IF(E204=1,'Data Transformation'!$G$3+0.5*'Data Transformation'!$U$25,IF(E205=1,F205-'Data Transformation'!$U$25,FALSE))</f>
        <v>#NUM!</v>
      </c>
      <c r="G204">
        <f t="array" ref="G204">IF(ISLOGICAL(F204),"",FREQUENCY(IF('Data Transformation'!$B$24:$B$404='Bin Analysis and Plots'!$D$195,'Data Transformation'!$G$24:$G$404),'Bin Analysis and Plots'!F204))</f>
        <v>0</v>
      </c>
      <c r="H204">
        <f t="shared" si="24"/>
        <v>0</v>
      </c>
      <c r="I204">
        <f>Weighting!$G$12</f>
        <v>0</v>
      </c>
      <c r="J204">
        <f t="array" ref="J204">FREQUENCY(IF('Data Transformation'!$B$4:$B$404=D195,'Data Transformation'!$G$4:$G$404),'Bin Analysis and Plots'!$D204)</f>
        <v>0</v>
      </c>
      <c r="K204">
        <f t="shared" si="25"/>
        <v>0</v>
      </c>
      <c r="L204">
        <f t="shared" si="26"/>
        <v>0</v>
      </c>
      <c r="M204">
        <f>L204*Weighting!$V$12</f>
        <v>0</v>
      </c>
    </row>
    <row r="205" spans="1:27">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t="str">
        <f>IF(Weighting!$O$13&gt;0,D205,"")</f>
        <v/>
      </c>
      <c r="D205" t="e">
        <f>Weighting!$C$13</f>
        <v>#DIV/0!</v>
      </c>
      <c r="E205" t="e">
        <f>Weighting!$E$13</f>
        <v>#NUM!</v>
      </c>
      <c r="F205" t="e">
        <f>IF(E205=1,'Data Transformation'!$G$3+0.5*'Data Transformation'!$U$25,IF(E206=1,F206-'Data Transformation'!$U$25,FALSE))</f>
        <v>#NUM!</v>
      </c>
      <c r="G205">
        <f t="array" ref="G205">IF(ISLOGICAL(F205),"",FREQUENCY(IF('Data Transformation'!$B$24:$B$404='Bin Analysis and Plots'!$D$195,'Data Transformation'!$G$24:$G$404),'Bin Analysis and Plots'!F205))</f>
        <v>0</v>
      </c>
      <c r="H205">
        <f t="shared" si="24"/>
        <v>0</v>
      </c>
      <c r="I205">
        <f>Weighting!$G$13</f>
        <v>0</v>
      </c>
      <c r="J205">
        <f t="array" ref="J205">FREQUENCY(IF('Data Transformation'!$B$4:$B$404=D195,'Data Transformation'!$G$4:$G$404),'Bin Analysis and Plots'!$D205)</f>
        <v>0</v>
      </c>
      <c r="K205">
        <f t="shared" si="25"/>
        <v>0</v>
      </c>
      <c r="L205">
        <f t="shared" si="26"/>
        <v>0</v>
      </c>
      <c r="M205">
        <f>L205*Weighting!$V$13</f>
        <v>0</v>
      </c>
    </row>
    <row r="206" spans="1:27">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t="str">
        <f>IF(Weighting!$O$14&gt;0,D206,"")</f>
        <v/>
      </c>
      <c r="D206" t="e">
        <f>Weighting!$C$14</f>
        <v>#DIV/0!</v>
      </c>
      <c r="E206" t="e">
        <f>Weighting!$E$14</f>
        <v>#NUM!</v>
      </c>
      <c r="F206" t="e">
        <f>IF(E206=1,'Data Transformation'!$G$3+0.5*'Data Transformation'!$U$25,IF(E207=1,F207-'Data Transformation'!$U$25,FALSE))</f>
        <v>#NUM!</v>
      </c>
      <c r="G206">
        <f t="array" ref="G206">IF(ISLOGICAL(F206),"",FREQUENCY(IF('Data Transformation'!$B$24:$B$404='Bin Analysis and Plots'!$D$195,'Data Transformation'!$G$24:$G$404),'Bin Analysis and Plots'!F206))</f>
        <v>0</v>
      </c>
      <c r="H206">
        <f t="shared" si="24"/>
        <v>0</v>
      </c>
      <c r="I206">
        <f>Weighting!$G$14</f>
        <v>0</v>
      </c>
      <c r="J206">
        <f t="array" ref="J206">FREQUENCY(IF('Data Transformation'!$B$4:$B$404=D195,'Data Transformation'!$G$4:$G$404),'Bin Analysis and Plots'!$D206)</f>
        <v>0</v>
      </c>
      <c r="K206">
        <f t="shared" si="25"/>
        <v>0</v>
      </c>
      <c r="L206">
        <f t="shared" si="26"/>
        <v>0</v>
      </c>
      <c r="M206">
        <f>L206*Weighting!$V$14</f>
        <v>0</v>
      </c>
    </row>
    <row r="207" spans="1:27">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t="str">
        <f>IF(Weighting!$O$15&gt;0,D207,"")</f>
        <v/>
      </c>
      <c r="D207" t="e">
        <f>Weighting!$C$15</f>
        <v>#DIV/0!</v>
      </c>
      <c r="E207" t="e">
        <f>Weighting!$E$15</f>
        <v>#NUM!</v>
      </c>
      <c r="F207" t="e">
        <f>IF(E207=1,'Data Transformation'!$G$3+0.5*'Data Transformation'!$U$25,IF(E208=1,F208-'Data Transformation'!$U$25,FALSE))</f>
        <v>#NUM!</v>
      </c>
      <c r="G207">
        <f t="array" ref="G207">IF(ISLOGICAL(F207),"",FREQUENCY(IF('Data Transformation'!$B$24:$B$404='Bin Analysis and Plots'!$D$195,'Data Transformation'!$G$24:$G$404),'Bin Analysis and Plots'!F207))</f>
        <v>0</v>
      </c>
      <c r="H207">
        <f t="shared" si="24"/>
        <v>0</v>
      </c>
      <c r="I207">
        <f>Weighting!$G$15</f>
        <v>0</v>
      </c>
      <c r="J207">
        <f t="array" ref="J207">FREQUENCY(IF('Data Transformation'!$B$4:$B$404=D195,'Data Transformation'!$G$4:$G$404),'Bin Analysis and Plots'!$D207)</f>
        <v>0</v>
      </c>
      <c r="K207">
        <f t="shared" si="25"/>
        <v>0</v>
      </c>
      <c r="L207">
        <f t="shared" si="26"/>
        <v>0</v>
      </c>
      <c r="M207">
        <f>L207*Weighting!$V$15</f>
        <v>0</v>
      </c>
    </row>
    <row r="208" spans="1:27">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t="e">
        <f>Weighting!$C$16</f>
        <v>#DIV/0!</v>
      </c>
      <c r="E208" t="e">
        <f>Weighting!$E$16</f>
        <v>#NUM!</v>
      </c>
      <c r="F208" t="e">
        <f>IF(E208=1,'Data Transformation'!$G$3+0.5*'Data Transformation'!$U$25,IF(E209=1,F209-'Data Transformation'!$U$25,FALSE))</f>
        <v>#NUM!</v>
      </c>
      <c r="G208">
        <f t="array" ref="G208">IF(ISLOGICAL(F208),"",FREQUENCY(IF('Data Transformation'!$B$24:$B$404='Bin Analysis and Plots'!$D$195,'Data Transformation'!$G$24:$G$404),'Bin Analysis and Plots'!F208))</f>
        <v>0</v>
      </c>
      <c r="H208">
        <f t="shared" si="24"/>
        <v>0</v>
      </c>
      <c r="I208">
        <f>Weighting!$G$16</f>
        <v>0</v>
      </c>
      <c r="J208">
        <f t="array" ref="J208">FREQUENCY(IF('Data Transformation'!$B$4:$B$404=D195,'Data Transformation'!$G$4:$G$404),'Bin Analysis and Plots'!$D208)</f>
        <v>0</v>
      </c>
      <c r="K208">
        <f t="shared" si="25"/>
        <v>0</v>
      </c>
      <c r="L208">
        <f t="shared" si="26"/>
        <v>0</v>
      </c>
      <c r="M208">
        <f>L208*Weighting!$V$16</f>
        <v>0</v>
      </c>
    </row>
    <row r="209" spans="1:27">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t="e">
        <f>Weighting!$C$17</f>
        <v>#DIV/0!</v>
      </c>
      <c r="E209" t="e">
        <f>Weighting!$E$17</f>
        <v>#NUM!</v>
      </c>
      <c r="F209" t="e">
        <f>IF(E209=1,'Data Transformation'!$G$3+0.5*'Data Transformation'!$U$25,IF(E210=1,F210-'Data Transformation'!$U$25,FALSE))</f>
        <v>#NUM!</v>
      </c>
      <c r="G209">
        <f t="array" ref="G209">IF(ISLOGICAL(F209),"",FREQUENCY(IF('Data Transformation'!$B$24:$B$404='Bin Analysis and Plots'!$D$195,'Data Transformation'!$G$24:$G$404),'Bin Analysis and Plots'!F209))</f>
        <v>0</v>
      </c>
      <c r="H209">
        <f t="shared" si="24"/>
        <v>0</v>
      </c>
      <c r="I209">
        <f>Weighting!$G$17</f>
        <v>0</v>
      </c>
      <c r="J209">
        <f t="array" ref="J209">FREQUENCY(IF('Data Transformation'!$B$4:$B$404=D195,'Data Transformation'!$G$4:$G$404),'Bin Analysis and Plots'!$D209)</f>
        <v>0</v>
      </c>
      <c r="K209">
        <f t="shared" si="25"/>
        <v>0</v>
      </c>
      <c r="L209">
        <f t="shared" si="26"/>
        <v>0</v>
      </c>
      <c r="M209">
        <f>L209*Weighting!$V$17</f>
        <v>0</v>
      </c>
    </row>
    <row r="210" spans="1:27">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t="e">
        <f>Weighting!$C$18</f>
        <v>#DIV/0!</v>
      </c>
      <c r="E210" t="e">
        <f>Weighting!$E$18</f>
        <v>#NUM!</v>
      </c>
      <c r="F210" t="e">
        <f>IF(E210=1,'Data Transformation'!$G$3+0.5*'Data Transformation'!$U$25,IF(E211=1,F211-'Data Transformation'!$U$25,FALSE))</f>
        <v>#NUM!</v>
      </c>
      <c r="G210">
        <f t="array" ref="G210">IF(ISLOGICAL(F210),"",FREQUENCY(IF('Data Transformation'!$B$24:$B$404='Bin Analysis and Plots'!$D$195,'Data Transformation'!$G$24:$G$404),'Bin Analysis and Plots'!F210))</f>
        <v>0</v>
      </c>
      <c r="H210">
        <f t="shared" si="24"/>
        <v>0</v>
      </c>
      <c r="I210">
        <f>Weighting!$G$18</f>
        <v>0</v>
      </c>
      <c r="J210">
        <f t="array" ref="J210">FREQUENCY(IF('Data Transformation'!$B$4:$B$404=D195,'Data Transformation'!$G$4:$G$404),'Bin Analysis and Plots'!$D210)</f>
        <v>0</v>
      </c>
      <c r="K210">
        <f t="shared" si="25"/>
        <v>0</v>
      </c>
      <c r="L210">
        <f t="shared" si="26"/>
        <v>0</v>
      </c>
      <c r="M210">
        <f>L210*Weighting!$V$18</f>
        <v>0</v>
      </c>
    </row>
    <row r="211" spans="1:27">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t="e">
        <f>Weighting!$C$19</f>
        <v>#DIV/0!</v>
      </c>
      <c r="E211" t="e">
        <f>Weighting!$E$19</f>
        <v>#NUM!</v>
      </c>
      <c r="F211" t="e">
        <f>IF(E211=1,'Data Transformation'!$G$3+0.5*'Data Transformation'!$U$25,IF(E212=1,F212-'Data Transformation'!$U$25,FALSE))</f>
        <v>#NUM!</v>
      </c>
      <c r="G211">
        <f t="array" ref="G211">IF(ISLOGICAL(F211),"",FREQUENCY(IF('Data Transformation'!$B$24:$B$404='Bin Analysis and Plots'!$D$195,'Data Transformation'!$G$24:$G$404),'Bin Analysis and Plots'!F211))</f>
        <v>0</v>
      </c>
      <c r="H211">
        <f t="shared" si="24"/>
        <v>0</v>
      </c>
      <c r="I211">
        <f>Weighting!$G$19</f>
        <v>0</v>
      </c>
      <c r="J211">
        <f t="array" ref="J211">FREQUENCY(IF('Data Transformation'!$B$4:$B$404=D195,'Data Transformation'!$G$4:$G$404),'Bin Analysis and Plots'!$D211)</f>
        <v>0</v>
      </c>
      <c r="K211">
        <f t="shared" si="25"/>
        <v>0</v>
      </c>
      <c r="L211">
        <f t="shared" si="26"/>
        <v>0</v>
      </c>
      <c r="M211">
        <f>L211*Weighting!$V$19</f>
        <v>0</v>
      </c>
    </row>
    <row r="212" spans="1:27">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t="e">
        <f>Weighting!$C$20</f>
        <v>#DIV/0!</v>
      </c>
      <c r="E212" t="e">
        <f>Weighting!$E$20</f>
        <v>#NUM!</v>
      </c>
      <c r="F212" t="e">
        <f>IF(E212=1,'Data Transformation'!$G$3+0.5*'Data Transformation'!$U$25,IF(E213=1,F213-'Data Transformation'!$U$25,FALSE))</f>
        <v>#NUM!</v>
      </c>
      <c r="G212">
        <f t="array" ref="G212">IF(ISLOGICAL(F212),"",FREQUENCY(IF('Data Transformation'!$B$24:$B$404='Bin Analysis and Plots'!$D$195,'Data Transformation'!$G$24:$G$404),'Bin Analysis and Plots'!F212))</f>
        <v>0</v>
      </c>
      <c r="H212">
        <f t="shared" si="24"/>
        <v>0</v>
      </c>
      <c r="I212">
        <f>Weighting!$G$20</f>
        <v>0</v>
      </c>
      <c r="J212">
        <f t="array" ref="J212">FREQUENCY(IF('Data Transformation'!$B$4:$B$404=D195,'Data Transformation'!$G$4:$G$404),'Bin Analysis and Plots'!$D212)</f>
        <v>0</v>
      </c>
      <c r="K212">
        <f t="shared" si="25"/>
        <v>0</v>
      </c>
      <c r="L212">
        <f t="shared" si="26"/>
        <v>0</v>
      </c>
      <c r="M212">
        <f>L212*Weighting!$V$20</f>
        <v>0</v>
      </c>
    </row>
    <row r="213" spans="1:27">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t="e">
        <f>Weighting!$C$21</f>
        <v>#DIV/0!</v>
      </c>
      <c r="E213" t="e">
        <f>Weighting!$E$21</f>
        <v>#NUM!</v>
      </c>
      <c r="F213" t="e">
        <f>IF(E213=1,'Data Transformation'!$G$3+0.5*'Data Transformation'!$U$25,IF(E214=1,F214-'Data Transformation'!$U$25,FALSE))</f>
        <v>#NUM!</v>
      </c>
      <c r="G213">
        <f t="array" ref="G213">IF(ISLOGICAL(F213),"",FREQUENCY(IF('Data Transformation'!$B$24:$B$404='Bin Analysis and Plots'!$D$195,'Data Transformation'!$G$24:$G$404),'Bin Analysis and Plots'!F213))</f>
        <v>0</v>
      </c>
      <c r="H213">
        <f t="shared" si="24"/>
        <v>0</v>
      </c>
      <c r="I213">
        <f>Weighting!$G$21</f>
        <v>0</v>
      </c>
      <c r="J213">
        <f t="array" ref="J213">FREQUENCY(IF('Data Transformation'!$B$4:$B$404=D195,'Data Transformation'!$G$4:$G$404),'Bin Analysis and Plots'!$D213)</f>
        <v>0</v>
      </c>
      <c r="K213">
        <f t="shared" si="25"/>
        <v>0</v>
      </c>
      <c r="L213">
        <f t="shared" si="26"/>
        <v>0</v>
      </c>
      <c r="M213">
        <f>L213*Weighting!$V$21</f>
        <v>0</v>
      </c>
    </row>
    <row r="214" spans="1:27">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t="e">
        <f>Weighting!$C$22</f>
        <v>#DIV/0!</v>
      </c>
      <c r="E214" t="e">
        <f>Weighting!$E$22</f>
        <v>#NUM!</v>
      </c>
      <c r="F214" t="e">
        <f>IF(E214=1,'Data Transformation'!$G$3+0.5*'Data Transformation'!$U$25,IF(E215=1,F215-'Data Transformation'!$U$25,FALSE))</f>
        <v>#NUM!</v>
      </c>
      <c r="G214">
        <f t="array" ref="G214">IF(ISLOGICAL(F214),"",FREQUENCY(IF('Data Transformation'!$B$24:$B$404='Bin Analysis and Plots'!$D$195,'Data Transformation'!$G$24:$G$404),'Bin Analysis and Plots'!F214))</f>
        <v>0</v>
      </c>
      <c r="H214">
        <f t="shared" si="24"/>
        <v>0</v>
      </c>
      <c r="I214">
        <f>Weighting!$G$22</f>
        <v>0</v>
      </c>
      <c r="J214">
        <f t="array" ref="J214">FREQUENCY(IF('Data Transformation'!$B$4:$B$404=D195,'Data Transformation'!$G$4:$G$404),'Bin Analysis and Plots'!$D214)</f>
        <v>0</v>
      </c>
      <c r="K214">
        <f t="shared" si="25"/>
        <v>0</v>
      </c>
      <c r="L214">
        <f t="shared" si="26"/>
        <v>0</v>
      </c>
      <c r="M214">
        <f>L214*Weighting!$V$22</f>
        <v>0</v>
      </c>
    </row>
    <row r="215" spans="1:27">
      <c r="A215" s="29" t="b">
        <f t="array" ref="A215">IF(ISERROR(INDEX('Data Transformation'!$B$4:$G$450,SMALL(IF('Data Transformation'!$B$4:$B$450='Bin Analysis and Plots'!D195,ROW('Data Transformation'!$B$4:$B$450)),ROW($18:$18))-3,3)),"",INDEX('Data Transformation'!$B$4:$G$450,SMALL(IF('Data Transformation'!$B$4:$B$450='Bin Analysis and Plots'!D195,ROW('Data Transformation'!$B$4:$B$450)),ROW($18:$18))-3,6))</f>
        <v>0</v>
      </c>
      <c r="B215" s="29" t="str">
        <f>IFERROR(SMALL(A198:A217,'Data Transformation'!$L$23),"")</f>
        <v/>
      </c>
      <c r="C215" s="41" t="str">
        <f>IF(Weighting!$O$23&gt;0,D215,"")</f>
        <v/>
      </c>
      <c r="D215" t="e">
        <f>Weighting!$C$23</f>
        <v>#DIV/0!</v>
      </c>
      <c r="E215" t="e">
        <f>Weighting!$E$23</f>
        <v>#NUM!</v>
      </c>
      <c r="F215" t="e">
        <f>IF(E215=1,'Data Transformation'!$G$3+0.5*'Data Transformation'!$U$25,IF(E216=1,F216-'Data Transformation'!$U$25,FALSE))</f>
        <v>#NUM!</v>
      </c>
      <c r="G215">
        <f t="array" ref="G215">IF(ISLOGICAL(F215),"",FREQUENCY(IF('Data Transformation'!$B$24:$B$404='Bin Analysis and Plots'!$D$195,'Data Transformation'!$G$24:$G$404),'Bin Analysis and Plots'!F215))</f>
        <v>0</v>
      </c>
      <c r="H215">
        <f t="shared" si="24"/>
        <v>0</v>
      </c>
      <c r="I215">
        <f>Weighting!$G$23</f>
        <v>0</v>
      </c>
      <c r="J215">
        <f t="array" ref="J215">FREQUENCY(IF('Data Transformation'!$B$4:$B$404=D195,'Data Transformation'!$G$4:$G$404),'Bin Analysis and Plots'!$D215)</f>
        <v>0</v>
      </c>
      <c r="K215">
        <f t="shared" si="25"/>
        <v>0</v>
      </c>
      <c r="L215">
        <f t="shared" si="26"/>
        <v>0</v>
      </c>
      <c r="M215">
        <f>L215*Weighting!$V$23</f>
        <v>0</v>
      </c>
    </row>
    <row r="216" spans="1:27">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t="e">
        <f>Weighting!$C$24</f>
        <v>#DIV/0!</v>
      </c>
      <c r="E216" t="e">
        <f>Weighting!$E$24</f>
        <v>#NUM!</v>
      </c>
      <c r="F216" t="e">
        <f>IF(E216=1,'Data Transformation'!$G$3+0.5*'Data Transformation'!$U$25,IF(E217=1,F217-'Data Transformation'!$U$25,FALSE))</f>
        <v>#NUM!</v>
      </c>
      <c r="G216">
        <f t="array" ref="G216">IF(ISLOGICAL(F216),"",FREQUENCY(IF('Data Transformation'!$B$24:$B$404='Bin Analysis and Plots'!$D$195,'Data Transformation'!$G$24:$G$404),'Bin Analysis and Plots'!F216))</f>
        <v>0</v>
      </c>
      <c r="H216">
        <f t="shared" si="24"/>
        <v>0</v>
      </c>
      <c r="I216">
        <f>Weighting!$G$24</f>
        <v>0</v>
      </c>
      <c r="J216">
        <f t="array" ref="J216">FREQUENCY(IF('Data Transformation'!$B$4:$B$404=D195,'Data Transformation'!$G$4:$G$404),'Bin Analysis and Plots'!$D216)</f>
        <v>0</v>
      </c>
      <c r="K216">
        <f t="shared" si="25"/>
        <v>0</v>
      </c>
      <c r="L216">
        <f t="shared" si="26"/>
        <v>0</v>
      </c>
      <c r="M216">
        <f>L216*Weighting!$V$24</f>
        <v>0</v>
      </c>
    </row>
    <row r="217" spans="1:27">
      <c r="A217" s="29" t="b">
        <f t="array" ref="A217">IF(ISERROR(INDEX('Data Transformation'!$B$4:$G$450,SMALL(IF('Data Transformation'!$B$4:$B$450='Bin Analysis and Plots'!D195,ROW('Data Transformation'!$B$4:$B$450)),ROW($20:$20))-3,3)),"",INDEX('Data Transformation'!$B$4:$G$450,SMALL(IF('Data Transformation'!$B$4:$B$450='Bin Analysis and Plots'!D195,ROW('Data Transformation'!$B$4:$B$450)),ROW($20:$20))-3,6))</f>
        <v>0</v>
      </c>
      <c r="B217" s="29" t="str">
        <f>IFERROR(SMALL(A198:A217,'Data Transformation'!$L$25),"")</f>
        <v/>
      </c>
      <c r="C217" s="41" t="str">
        <f>IF(Weighting!$O$25&gt;0,D217,"")</f>
        <v/>
      </c>
      <c r="D217" t="e">
        <f>Weighting!$C$25</f>
        <v>#DIV/0!</v>
      </c>
      <c r="E217" t="e">
        <f>Weighting!$E$25</f>
        <v>#NUM!</v>
      </c>
      <c r="F217" t="e">
        <f>IF(E217=1,'Data Transformation'!$G$3+0.5*'Data Transformation'!$U$25,IF(E218=1,F218-'Data Transformation'!$U$25,FALSE))</f>
        <v>#NUM!</v>
      </c>
      <c r="G217">
        <f t="array" ref="G217">IF(ISLOGICAL(F217),"",FREQUENCY(IF('Data Transformation'!$B$24:$B$404='Bin Analysis and Plots'!$D$195,'Data Transformation'!$G$24:$G$404),'Bin Analysis and Plots'!F217))</f>
        <v>0</v>
      </c>
      <c r="H217">
        <f t="shared" si="24"/>
        <v>0</v>
      </c>
      <c r="I217">
        <f>Weighting!$G$25</f>
        <v>0</v>
      </c>
      <c r="J217">
        <f t="array" ref="J217">FREQUENCY(IF('Data Transformation'!$B$4:$B$404=D195,'Data Transformation'!$G$4:$G$404),'Bin Analysis and Plots'!$D217)</f>
        <v>0</v>
      </c>
      <c r="K217">
        <f t="shared" si="25"/>
        <v>0</v>
      </c>
      <c r="L217">
        <f t="shared" si="26"/>
        <v>0</v>
      </c>
      <c r="M217">
        <f>L217*Weighting!$V$25</f>
        <v>0</v>
      </c>
    </row>
    <row r="218" spans="1:27">
      <c r="C218" s="41" t="str">
        <f>IF(B218="","",D218)</f>
        <v/>
      </c>
    </row>
    <row r="219" spans="1:27" ht="23.2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8" cm="1">
        <f t="array" ref="Z219:Z220">FREQUENCY(IF('Data Transformation'!$B$24:$B$404='Bin Analysis and Plots'!N219,'Data Transformation'!$G$24:$G$404),'Data Transformation'!$U$11)</f>
        <v>0</v>
      </c>
      <c r="AA219" s="78" cm="1">
        <f t="array" ref="AA219:AA220">FREQUENCY(IF('Data Transformation'!$B$24:$B$404='Bin Analysis and Plots'!N219,'Data Transformation'!$G$24:$G$404),'Data Transformation'!$U$12)</f>
        <v>0</v>
      </c>
    </row>
    <row r="220" spans="1:27" ht="21">
      <c r="A220" s="91" t="s">
        <v>64</v>
      </c>
      <c r="B220" s="91"/>
      <c r="C220" s="14" t="s">
        <v>72</v>
      </c>
      <c r="D220" t="s">
        <v>50</v>
      </c>
      <c r="E220" t="s">
        <v>5</v>
      </c>
      <c r="I220" t="s">
        <v>74</v>
      </c>
      <c r="J220" t="s">
        <v>34</v>
      </c>
      <c r="K220" t="s">
        <v>35</v>
      </c>
      <c r="L220" t="s">
        <v>49</v>
      </c>
      <c r="M220" s="14" t="s">
        <v>48</v>
      </c>
      <c r="Z220" s="78">
        <v>0</v>
      </c>
      <c r="AA220" s="78">
        <v>0</v>
      </c>
    </row>
    <row r="221" spans="1:27">
      <c r="C221" s="41" t="str">
        <f>IF(B221="","",D221)</f>
        <v/>
      </c>
      <c r="F221" t="e">
        <f>IF(E221=1,'Data Transformation'!$G$3+0.5*'Data Transformation'!$U$25,IF(E222=1,F222-'Data Transformation'!$U$25,FALSE))</f>
        <v>#NUM!</v>
      </c>
      <c r="G221">
        <f t="array" ref="G221">IF(ISLOGICAL(F221),"",FREQUENCY(IF('Data Transformation'!$B$24:$B$404='Bin Analysis and Plots'!$D$219,'Data Transformation'!$G$24:$G$404),'Bin Analysis and Plots'!F221))</f>
        <v>0</v>
      </c>
      <c r="H221">
        <f>IF(ISLOGICAL(F221),"",G221-G220)</f>
        <v>0</v>
      </c>
    </row>
    <row r="222" spans="1:27">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t="e">
        <f>IF(Weighting!$O$6&gt;0,D222,"")</f>
        <v>#NUM!</v>
      </c>
      <c r="D222" t="e">
        <f>Weighting!$C$6</f>
        <v>#DIV/0!</v>
      </c>
      <c r="E222" t="e">
        <f>Weighting!$E$6</f>
        <v>#NUM!</v>
      </c>
      <c r="F222" t="e">
        <f>IF(E222=1,'Data Transformation'!$G$3+0.5*'Data Transformation'!$U$25,IF(E223=1,F223-'Data Transformation'!$U$25,FALSE))</f>
        <v>#NUM!</v>
      </c>
      <c r="G222">
        <f t="array" ref="G222">IF(ISLOGICAL(F222),"",FREQUENCY(IF('Data Transformation'!$B$24:$B$404='Bin Analysis and Plots'!$D$219,'Data Transformation'!$G$24:$G$404),'Bin Analysis and Plots'!F222))</f>
        <v>0</v>
      </c>
      <c r="H222">
        <f>IF(ISLOGICAL(F222),"",G222-G221)</f>
        <v>0</v>
      </c>
      <c r="I222">
        <f>Weighting!$G$6</f>
        <v>1</v>
      </c>
      <c r="J222">
        <f t="array" ref="J222">FREQUENCY(IF('Data Transformation'!$B$4:$B$404=D219,'Data Transformation'!$G$4:$G$404),'Bin Analysis and Plots'!$D222)</f>
        <v>0</v>
      </c>
      <c r="K222">
        <f>J222-J221</f>
        <v>0</v>
      </c>
      <c r="L222">
        <f>IF(K222=0,0,1)</f>
        <v>0</v>
      </c>
      <c r="M222" t="e">
        <f>L222*Weighting!$V$6</f>
        <v>#NUM!</v>
      </c>
    </row>
    <row r="223" spans="1:27">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t="str">
        <f>IF(Weighting!$O$7&gt;0,D223,"")</f>
        <v/>
      </c>
      <c r="D223" t="e">
        <f>Weighting!$C$7</f>
        <v>#DIV/0!</v>
      </c>
      <c r="E223" t="e">
        <f>Weighting!$E$7</f>
        <v>#NUM!</v>
      </c>
      <c r="F223" t="e">
        <f>IF(E223=1,'Data Transformation'!$G$3+0.5*'Data Transformation'!$U$25,IF(E224=1,F224-'Data Transformation'!$U$25,FALSE))</f>
        <v>#NUM!</v>
      </c>
      <c r="G223">
        <f t="array" ref="G223">IF(ISLOGICAL(F223),"",FREQUENCY(IF('Data Transformation'!$B$24:$B$404='Bin Analysis and Plots'!$D$219,'Data Transformation'!$G$24:$G$404),'Bin Analysis and Plots'!F223))</f>
        <v>0</v>
      </c>
      <c r="H223">
        <f t="shared" ref="H223:H241" si="27">IF(ISLOGICAL(F223),"",G223-G222)</f>
        <v>0</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t="str">
        <f>IF(Weighting!$O$8&gt;0,D224,"")</f>
        <v/>
      </c>
      <c r="D224" t="e">
        <f>Weighting!$C$8</f>
        <v>#DIV/0!</v>
      </c>
      <c r="E224" t="e">
        <f>Weighting!$E$8</f>
        <v>#NUM!</v>
      </c>
      <c r="F224" t="e">
        <f>IF(E224=1,'Data Transformation'!$G$3+0.5*'Data Transformation'!$U$25,IF(E225=1,F225-'Data Transformation'!$U$25,FALSE))</f>
        <v>#NUM!</v>
      </c>
      <c r="G224">
        <f t="array" ref="G224">IF(ISLOGICAL(F224),"",FREQUENCY(IF('Data Transformation'!$B$24:$B$404='Bin Analysis and Plots'!$D$219,'Data Transformation'!$G$24:$G$404),'Bin Analysis and Plots'!F224))</f>
        <v>0</v>
      </c>
      <c r="H224">
        <f t="shared" si="27"/>
        <v>0</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t="str">
        <f>IF(Weighting!$O$9&gt;0,D225,"")</f>
        <v/>
      </c>
      <c r="D225" t="e">
        <f>Weighting!$B$9</f>
        <v>#DIV/0!</v>
      </c>
      <c r="E225" t="e">
        <f>Weighting!$E$9</f>
        <v>#NUM!</v>
      </c>
      <c r="F225" t="e">
        <f>IF(E225=1,'Data Transformation'!$G$3+0.5*'Data Transformation'!$U$25,IF(E226=1,F226-'Data Transformation'!$U$25,FALSE))</f>
        <v>#NUM!</v>
      </c>
      <c r="G225">
        <f t="array" ref="G225">IF(ISLOGICAL(F225),"",FREQUENCY(IF('Data Transformation'!$B$24:$B$404='Bin Analysis and Plots'!$D$219,'Data Transformation'!$G$24:$G$404),'Bin Analysis and Plots'!F225))</f>
        <v>0</v>
      </c>
      <c r="H225">
        <f t="shared" si="27"/>
        <v>0</v>
      </c>
      <c r="I225">
        <f>Weighting!$G$9</f>
        <v>0</v>
      </c>
      <c r="J225">
        <f t="array" ref="J225">FREQUENCY(IF('Data Transformation'!$B$4:$B$404=D219,'Data Transformation'!$G$4:$G$404),'Bin Analysis and Plots'!$D225)</f>
        <v>0</v>
      </c>
      <c r="K225">
        <f t="shared" si="28"/>
        <v>0</v>
      </c>
      <c r="L225">
        <f t="shared" si="29"/>
        <v>0</v>
      </c>
      <c r="M225">
        <f>L225*Weighting!$V$9</f>
        <v>0</v>
      </c>
    </row>
    <row r="226" spans="1:13">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t="str">
        <f>IF(Weighting!$O$10&gt;0,D226,"")</f>
        <v/>
      </c>
      <c r="D226" t="e">
        <f>Weighting!$C$10</f>
        <v>#DIV/0!</v>
      </c>
      <c r="E226" t="e">
        <f>Weighting!$E$10</f>
        <v>#NUM!</v>
      </c>
      <c r="F226" t="e">
        <f>IF(E226=1,'Data Transformation'!$G$3+0.5*'Data Transformation'!$U$25,IF(E227=1,F227-'Data Transformation'!$U$25,FALSE))</f>
        <v>#NUM!</v>
      </c>
      <c r="G226">
        <f t="array" ref="G226">IF(ISLOGICAL(F226),"",FREQUENCY(IF('Data Transformation'!$B$24:$B$404='Bin Analysis and Plots'!$D$219,'Data Transformation'!$G$24:$G$404),'Bin Analysis and Plots'!F226))</f>
        <v>0</v>
      </c>
      <c r="H226">
        <f t="shared" si="27"/>
        <v>0</v>
      </c>
      <c r="I226">
        <f>Weighting!$G$10</f>
        <v>0</v>
      </c>
      <c r="J226">
        <f t="array" ref="J226">FREQUENCY(IF('Data Transformation'!$B$4:$B$404=D219,'Data Transformation'!$G$4:$G$404),'Bin Analysis and Plots'!$D226)</f>
        <v>0</v>
      </c>
      <c r="K226">
        <f t="shared" si="28"/>
        <v>0</v>
      </c>
      <c r="L226">
        <f t="shared" si="29"/>
        <v>0</v>
      </c>
      <c r="M226">
        <f>L226*Weighting!$V$10</f>
        <v>0</v>
      </c>
    </row>
    <row r="227" spans="1:13">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t="str">
        <f>IF(Weighting!$O$11&gt;0,D227,"")</f>
        <v/>
      </c>
      <c r="D227" t="e">
        <f>Weighting!$C$11</f>
        <v>#DIV/0!</v>
      </c>
      <c r="E227" t="e">
        <f>Weighting!$E$11</f>
        <v>#NUM!</v>
      </c>
      <c r="F227" t="e">
        <f>IF(E227=1,'Data Transformation'!$G$3+0.5*'Data Transformation'!$U$25,IF(E228=1,F228-'Data Transformation'!$U$25,FALSE))</f>
        <v>#NUM!</v>
      </c>
      <c r="G227">
        <f t="array" ref="G227">IF(ISLOGICAL(F227),"",FREQUENCY(IF('Data Transformation'!$B$24:$B$404='Bin Analysis and Plots'!$D$219,'Data Transformation'!$G$24:$G$404),'Bin Analysis and Plots'!F227))</f>
        <v>0</v>
      </c>
      <c r="H227">
        <f t="shared" si="27"/>
        <v>0</v>
      </c>
      <c r="I227">
        <f>Weighting!$G$11</f>
        <v>0</v>
      </c>
      <c r="J227">
        <f t="array" ref="J227">FREQUENCY(IF('Data Transformation'!$B$4:$B$404=D219,'Data Transformation'!$G$4:$G$404),'Bin Analysis and Plots'!$D227)</f>
        <v>0</v>
      </c>
      <c r="K227">
        <f t="shared" si="28"/>
        <v>0</v>
      </c>
      <c r="L227">
        <f t="shared" si="29"/>
        <v>0</v>
      </c>
      <c r="M227">
        <f>L227*Weighting!$V$11</f>
        <v>0</v>
      </c>
    </row>
    <row r="228" spans="1:13">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t="str">
        <f>IF(Weighting!$O$12&gt;0,D228,"")</f>
        <v/>
      </c>
      <c r="D228" t="e">
        <f>Weighting!$C$12</f>
        <v>#DIV/0!</v>
      </c>
      <c r="E228" t="e">
        <f>Weighting!$E$12</f>
        <v>#NUM!</v>
      </c>
      <c r="F228" t="e">
        <f>IF(E228=1,'Data Transformation'!$G$3+0.5*'Data Transformation'!$U$25,IF(E229=1,F229-'Data Transformation'!$U$25,FALSE))</f>
        <v>#NUM!</v>
      </c>
      <c r="G228">
        <f t="array" ref="G228">IF(ISLOGICAL(F228),"",FREQUENCY(IF('Data Transformation'!$B$24:$B$404='Bin Analysis and Plots'!$D$219,'Data Transformation'!$G$24:$G$404),'Bin Analysis and Plots'!F228))</f>
        <v>0</v>
      </c>
      <c r="H228">
        <f t="shared" si="27"/>
        <v>0</v>
      </c>
      <c r="I228">
        <f>Weighting!$G$12</f>
        <v>0</v>
      </c>
      <c r="J228">
        <f t="array" ref="J228">FREQUENCY(IF('Data Transformation'!$B$4:$B$404=D219,'Data Transformation'!$G$4:$G$404),'Bin Analysis and Plots'!$D228)</f>
        <v>0</v>
      </c>
      <c r="K228">
        <f t="shared" si="28"/>
        <v>0</v>
      </c>
      <c r="L228">
        <f t="shared" si="29"/>
        <v>0</v>
      </c>
      <c r="M228">
        <f>L228*Weighting!$V$12</f>
        <v>0</v>
      </c>
    </row>
    <row r="229" spans="1:13">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t="str">
        <f>IF(Weighting!$O$13&gt;0,D229,"")</f>
        <v/>
      </c>
      <c r="D229" t="e">
        <f>Weighting!$C$13</f>
        <v>#DIV/0!</v>
      </c>
      <c r="E229" t="e">
        <f>Weighting!$E$13</f>
        <v>#NUM!</v>
      </c>
      <c r="F229" t="e">
        <f>IF(E229=1,'Data Transformation'!$G$3+0.5*'Data Transformation'!$U$25,IF(E230=1,F230-'Data Transformation'!$U$25,FALSE))</f>
        <v>#NUM!</v>
      </c>
      <c r="G229">
        <f t="array" ref="G229">IF(ISLOGICAL(F229),"",FREQUENCY(IF('Data Transformation'!$B$24:$B$404='Bin Analysis and Plots'!$D$219,'Data Transformation'!$G$24:$G$404),'Bin Analysis and Plots'!F229))</f>
        <v>0</v>
      </c>
      <c r="H229">
        <f t="shared" si="27"/>
        <v>0</v>
      </c>
      <c r="I229">
        <f>Weighting!$G$13</f>
        <v>0</v>
      </c>
      <c r="J229">
        <f t="array" ref="J229">FREQUENCY(IF('Data Transformation'!$B$4:$B$404=D219,'Data Transformation'!$G$4:$G$404),'Bin Analysis and Plots'!$D229)</f>
        <v>0</v>
      </c>
      <c r="K229">
        <f t="shared" si="28"/>
        <v>0</v>
      </c>
      <c r="L229">
        <f t="shared" si="29"/>
        <v>0</v>
      </c>
      <c r="M229">
        <f>L229*Weighting!$V$13</f>
        <v>0</v>
      </c>
    </row>
    <row r="230" spans="1:13">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t="str">
        <f>IF(Weighting!$O$14&gt;0,D230,"")</f>
        <v/>
      </c>
      <c r="D230" t="e">
        <f>Weighting!$C$14</f>
        <v>#DIV/0!</v>
      </c>
      <c r="E230" t="e">
        <f>Weighting!$E$14</f>
        <v>#NUM!</v>
      </c>
      <c r="F230" t="e">
        <f>IF(E230=1,'Data Transformation'!$G$3+0.5*'Data Transformation'!$U$25,IF(E231=1,F231-'Data Transformation'!$U$25,FALSE))</f>
        <v>#NUM!</v>
      </c>
      <c r="G230">
        <f t="array" ref="G230">IF(ISLOGICAL(F230),"",FREQUENCY(IF('Data Transformation'!$B$24:$B$404='Bin Analysis and Plots'!$D$219,'Data Transformation'!$G$24:$G$404),'Bin Analysis and Plots'!F230))</f>
        <v>0</v>
      </c>
      <c r="H230">
        <f t="shared" si="27"/>
        <v>0</v>
      </c>
      <c r="I230">
        <f>Weighting!$G$14</f>
        <v>0</v>
      </c>
      <c r="J230">
        <f t="array" ref="J230">FREQUENCY(IF('Data Transformation'!$B$4:$B$404=D219,'Data Transformation'!$G$4:$G$404),'Bin Analysis and Plots'!$D230)</f>
        <v>0</v>
      </c>
      <c r="K230">
        <f t="shared" si="28"/>
        <v>0</v>
      </c>
      <c r="L230">
        <f t="shared" si="29"/>
        <v>0</v>
      </c>
      <c r="M230">
        <f>L230*Weighting!$V$14</f>
        <v>0</v>
      </c>
    </row>
    <row r="231" spans="1:13">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t="str">
        <f>IF(Weighting!$O$15&gt;0,D231,"")</f>
        <v/>
      </c>
      <c r="D231" t="e">
        <f>Weighting!$C$15</f>
        <v>#DIV/0!</v>
      </c>
      <c r="E231" t="e">
        <f>Weighting!$E$15</f>
        <v>#NUM!</v>
      </c>
      <c r="F231" t="e">
        <f>IF(E231=1,'Data Transformation'!$G$3+0.5*'Data Transformation'!$U$25,IF(E232=1,F232-'Data Transformation'!$U$25,FALSE))</f>
        <v>#NUM!</v>
      </c>
      <c r="G231">
        <f t="array" ref="G231">IF(ISLOGICAL(F231),"",FREQUENCY(IF('Data Transformation'!$B$24:$B$404='Bin Analysis and Plots'!$D$219,'Data Transformation'!$G$24:$G$404),'Bin Analysis and Plots'!F231))</f>
        <v>0</v>
      </c>
      <c r="H231">
        <f t="shared" si="27"/>
        <v>0</v>
      </c>
      <c r="I231">
        <f>Weighting!$G$15</f>
        <v>0</v>
      </c>
      <c r="J231">
        <f t="array" ref="J231">FREQUENCY(IF('Data Transformation'!$B$4:$B$404=D219,'Data Transformation'!$G$4:$G$404),'Bin Analysis and Plots'!$D231)</f>
        <v>0</v>
      </c>
      <c r="K231">
        <f t="shared" si="28"/>
        <v>0</v>
      </c>
      <c r="L231">
        <f t="shared" si="29"/>
        <v>0</v>
      </c>
      <c r="M231">
        <f>L231*Weighting!$V$15</f>
        <v>0</v>
      </c>
    </row>
    <row r="232" spans="1:13">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t="e">
        <f>Weighting!$C$16</f>
        <v>#DIV/0!</v>
      </c>
      <c r="E232" t="e">
        <f>Weighting!$E$16</f>
        <v>#NUM!</v>
      </c>
      <c r="F232" t="e">
        <f>IF(E232=1,'Data Transformation'!$G$3+0.5*'Data Transformation'!$U$25,IF(E233=1,F233-'Data Transformation'!$U$25,FALSE))</f>
        <v>#NUM!</v>
      </c>
      <c r="G232">
        <f t="array" ref="G232">IF(ISLOGICAL(F232),"",FREQUENCY(IF('Data Transformation'!$B$24:$B$404='Bin Analysis and Plots'!$D$219,'Data Transformation'!$G$24:$G$404),'Bin Analysis and Plots'!F232))</f>
        <v>0</v>
      </c>
      <c r="H232">
        <f t="shared" si="27"/>
        <v>0</v>
      </c>
      <c r="I232">
        <f>Weighting!$G$16</f>
        <v>0</v>
      </c>
      <c r="J232">
        <f t="array" ref="J232">FREQUENCY(IF('Data Transformation'!$B$4:$B$404=D219,'Data Transformation'!$G$4:$G$404),'Bin Analysis and Plots'!$D232)</f>
        <v>0</v>
      </c>
      <c r="K232">
        <f t="shared" si="28"/>
        <v>0</v>
      </c>
      <c r="L232">
        <f t="shared" si="29"/>
        <v>0</v>
      </c>
      <c r="M232">
        <f>L232*Weighting!$V$16</f>
        <v>0</v>
      </c>
    </row>
    <row r="233" spans="1:13">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t="e">
        <f>Weighting!$C$17</f>
        <v>#DIV/0!</v>
      </c>
      <c r="E233" t="e">
        <f>Weighting!$E$17</f>
        <v>#NUM!</v>
      </c>
      <c r="F233" t="e">
        <f>IF(E233=1,'Data Transformation'!$G$3+0.5*'Data Transformation'!$U$25,IF(E234=1,F234-'Data Transformation'!$U$25,FALSE))</f>
        <v>#NUM!</v>
      </c>
      <c r="G233">
        <f t="array" ref="G233">IF(ISLOGICAL(F233),"",FREQUENCY(IF('Data Transformation'!$B$24:$B$404='Bin Analysis and Plots'!$D$219,'Data Transformation'!$G$24:$G$404),'Bin Analysis and Plots'!F233))</f>
        <v>0</v>
      </c>
      <c r="H233">
        <f t="shared" si="27"/>
        <v>0</v>
      </c>
      <c r="I233">
        <f>Weighting!$G$17</f>
        <v>0</v>
      </c>
      <c r="J233">
        <f t="array" ref="J233">FREQUENCY(IF('Data Transformation'!$B$4:$B$404=D219,'Data Transformation'!$G$4:$G$404),'Bin Analysis and Plots'!$D233)</f>
        <v>0</v>
      </c>
      <c r="K233">
        <f t="shared" si="28"/>
        <v>0</v>
      </c>
      <c r="L233">
        <f t="shared" si="29"/>
        <v>0</v>
      </c>
      <c r="M233">
        <f>L233*Weighting!$V$17</f>
        <v>0</v>
      </c>
    </row>
    <row r="234" spans="1:13">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t="e">
        <f>Weighting!$C$18</f>
        <v>#DIV/0!</v>
      </c>
      <c r="E234" t="e">
        <f>Weighting!$E$18</f>
        <v>#NUM!</v>
      </c>
      <c r="F234" t="e">
        <f>IF(E234=1,'Data Transformation'!$G$3+0.5*'Data Transformation'!$U$25,IF(E235=1,F235-'Data Transformation'!$U$25,FALSE))</f>
        <v>#NUM!</v>
      </c>
      <c r="G234">
        <f t="array" ref="G234">IF(ISLOGICAL(F234),"",FREQUENCY(IF('Data Transformation'!$B$24:$B$404='Bin Analysis and Plots'!$D$219,'Data Transformation'!$G$24:$G$404),'Bin Analysis and Plots'!F234))</f>
        <v>0</v>
      </c>
      <c r="H234">
        <f t="shared" si="27"/>
        <v>0</v>
      </c>
      <c r="I234">
        <f>Weighting!$G$18</f>
        <v>0</v>
      </c>
      <c r="J234">
        <f t="array" ref="J234">FREQUENCY(IF('Data Transformation'!$B$4:$B$404=D219,'Data Transformation'!$G$4:$G$404),'Bin Analysis and Plots'!$D234)</f>
        <v>0</v>
      </c>
      <c r="K234">
        <f t="shared" si="28"/>
        <v>0</v>
      </c>
      <c r="L234">
        <f t="shared" si="29"/>
        <v>0</v>
      </c>
      <c r="M234">
        <f>L234*Weighting!$V$18</f>
        <v>0</v>
      </c>
    </row>
    <row r="235" spans="1:13">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t="e">
        <f>Weighting!$C$19</f>
        <v>#DIV/0!</v>
      </c>
      <c r="E235" t="e">
        <f>Weighting!$E$19</f>
        <v>#NUM!</v>
      </c>
      <c r="F235" t="e">
        <f>IF(E235=1,'Data Transformation'!$G$3+0.5*'Data Transformation'!$U$25,IF(E236=1,F236-'Data Transformation'!$U$25,FALSE))</f>
        <v>#NUM!</v>
      </c>
      <c r="G235">
        <f t="array" ref="G235">IF(ISLOGICAL(F235),"",FREQUENCY(IF('Data Transformation'!$B$24:$B$404='Bin Analysis and Plots'!$D$219,'Data Transformation'!$G$24:$G$404),'Bin Analysis and Plots'!F235))</f>
        <v>0</v>
      </c>
      <c r="H235">
        <f t="shared" si="27"/>
        <v>0</v>
      </c>
      <c r="I235">
        <f>Weighting!$G$19</f>
        <v>0</v>
      </c>
      <c r="J235">
        <f t="array" ref="J235">FREQUENCY(IF('Data Transformation'!$B$4:$B$404=D219,'Data Transformation'!$G$4:$G$404),'Bin Analysis and Plots'!$D235)</f>
        <v>0</v>
      </c>
      <c r="K235">
        <f t="shared" si="28"/>
        <v>0</v>
      </c>
      <c r="L235">
        <f t="shared" si="29"/>
        <v>0</v>
      </c>
      <c r="M235">
        <f>L235*Weighting!$V$19</f>
        <v>0</v>
      </c>
    </row>
    <row r="236" spans="1:13">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t="e">
        <f>Weighting!$C$20</f>
        <v>#DIV/0!</v>
      </c>
      <c r="E236" t="e">
        <f>Weighting!$E$20</f>
        <v>#NUM!</v>
      </c>
      <c r="F236" t="e">
        <f>IF(E236=1,'Data Transformation'!$G$3+0.5*'Data Transformation'!$U$25,IF(E237=1,F237-'Data Transformation'!$U$25,FALSE))</f>
        <v>#NUM!</v>
      </c>
      <c r="G236">
        <f t="array" ref="G236">IF(ISLOGICAL(F236),"",FREQUENCY(IF('Data Transformation'!$B$24:$B$404='Bin Analysis and Plots'!$D$219,'Data Transformation'!$G$24:$G$404),'Bin Analysis and Plots'!F236))</f>
        <v>0</v>
      </c>
      <c r="H236">
        <f t="shared" si="27"/>
        <v>0</v>
      </c>
      <c r="I236">
        <f>Weighting!$G$20</f>
        <v>0</v>
      </c>
      <c r="J236">
        <f t="array" ref="J236">FREQUENCY(IF('Data Transformation'!$B$4:$B$404=D219,'Data Transformation'!$G$4:$G$404),'Bin Analysis and Plots'!$D236)</f>
        <v>0</v>
      </c>
      <c r="K236">
        <f t="shared" si="28"/>
        <v>0</v>
      </c>
      <c r="L236">
        <f t="shared" si="29"/>
        <v>0</v>
      </c>
      <c r="M236">
        <f>L236*Weighting!$V$20</f>
        <v>0</v>
      </c>
    </row>
    <row r="237" spans="1:13">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t="e">
        <f>Weighting!$C$21</f>
        <v>#DIV/0!</v>
      </c>
      <c r="E237" t="e">
        <f>Weighting!$E$21</f>
        <v>#NUM!</v>
      </c>
      <c r="F237" t="e">
        <f>IF(E237=1,'Data Transformation'!$G$3+0.5*'Data Transformation'!$U$25,IF(E238=1,F238-'Data Transformation'!$U$25,FALSE))</f>
        <v>#NUM!</v>
      </c>
      <c r="G237">
        <f t="array" ref="G237">IF(ISLOGICAL(F237),"",FREQUENCY(IF('Data Transformation'!$B$24:$B$404='Bin Analysis and Plots'!$D$219,'Data Transformation'!$G$24:$G$404),'Bin Analysis and Plots'!F237))</f>
        <v>0</v>
      </c>
      <c r="H237">
        <f t="shared" si="27"/>
        <v>0</v>
      </c>
      <c r="I237">
        <f>Weighting!$G$21</f>
        <v>0</v>
      </c>
      <c r="J237">
        <f t="array" ref="J237">FREQUENCY(IF('Data Transformation'!$B$4:$B$404=D219,'Data Transformation'!$G$4:$G$404),'Bin Analysis and Plots'!$D237)</f>
        <v>0</v>
      </c>
      <c r="K237">
        <f t="shared" si="28"/>
        <v>0</v>
      </c>
      <c r="L237">
        <f t="shared" si="29"/>
        <v>0</v>
      </c>
      <c r="M237">
        <f>L237*Weighting!$V$21</f>
        <v>0</v>
      </c>
    </row>
    <row r="238" spans="1:13">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t="e">
        <f>Weighting!$C$22</f>
        <v>#DIV/0!</v>
      </c>
      <c r="E238" t="e">
        <f>Weighting!$E$22</f>
        <v>#NUM!</v>
      </c>
      <c r="F238" t="e">
        <f>IF(E238=1,'Data Transformation'!$G$3+0.5*'Data Transformation'!$U$25,IF(E239=1,F239-'Data Transformation'!$U$25,FALSE))</f>
        <v>#NUM!</v>
      </c>
      <c r="G238">
        <f t="array" ref="G238">IF(ISLOGICAL(F238),"",FREQUENCY(IF('Data Transformation'!$B$24:$B$404='Bin Analysis and Plots'!$D$219,'Data Transformation'!$G$24:$G$404),'Bin Analysis and Plots'!F238))</f>
        <v>0</v>
      </c>
      <c r="H238">
        <f t="shared" si="27"/>
        <v>0</v>
      </c>
      <c r="I238">
        <f>Weighting!$G$22</f>
        <v>0</v>
      </c>
      <c r="J238">
        <f t="array" ref="J238">FREQUENCY(IF('Data Transformation'!$B$4:$B$404=D219,'Data Transformation'!$G$4:$G$404),'Bin Analysis and Plots'!$D238)</f>
        <v>0</v>
      </c>
      <c r="K238">
        <f t="shared" si="28"/>
        <v>0</v>
      </c>
      <c r="L238">
        <f t="shared" si="29"/>
        <v>0</v>
      </c>
      <c r="M238">
        <f>L238*Weighting!$V$22</f>
        <v>0</v>
      </c>
    </row>
    <row r="239" spans="1:13">
      <c r="A239" s="29" t="b">
        <f t="array" ref="A239">IF(ISERROR(INDEX('Data Transformation'!$B$4:$G$450,SMALL(IF('Data Transformation'!$B$4:$B$450='Bin Analysis and Plots'!D219,ROW('Data Transformation'!$B$4:$B$450)),ROW($18:$18))-3,3)),"",INDEX('Data Transformation'!$B$4:$G$450,SMALL(IF('Data Transformation'!$B$4:$B$450='Bin Analysis and Plots'!D219,ROW('Data Transformation'!$B$4:$B$450)),ROW($18:$18))-3,6))</f>
        <v>0</v>
      </c>
      <c r="B239" s="29" t="str">
        <f>IFERROR(SMALL(A222:A241,'Data Transformation'!$L$23),"")</f>
        <v/>
      </c>
      <c r="C239" s="41" t="str">
        <f>IF(Weighting!$O$23&gt;0,D239,"")</f>
        <v/>
      </c>
      <c r="D239" t="e">
        <f>Weighting!$C$23</f>
        <v>#DIV/0!</v>
      </c>
      <c r="E239" t="e">
        <f>Weighting!$E$23</f>
        <v>#NUM!</v>
      </c>
      <c r="F239" t="e">
        <f>IF(E239=1,'Data Transformation'!$G$3+0.5*'Data Transformation'!$U$25,IF(E240=1,F240-'Data Transformation'!$U$25,FALSE))</f>
        <v>#NUM!</v>
      </c>
      <c r="G239">
        <f t="array" ref="G239">IF(ISLOGICAL(F239),"",FREQUENCY(IF('Data Transformation'!$B$24:$B$404='Bin Analysis and Plots'!$D$219,'Data Transformation'!$G$24:$G$404),'Bin Analysis and Plots'!F239))</f>
        <v>0</v>
      </c>
      <c r="H239">
        <f t="shared" si="27"/>
        <v>0</v>
      </c>
      <c r="I239">
        <f>Weighting!$G$23</f>
        <v>0</v>
      </c>
      <c r="J239">
        <f t="array" ref="J239">FREQUENCY(IF('Data Transformation'!$B$4:$B$404=D219,'Data Transformation'!$G$4:$G$404),'Bin Analysis and Plots'!$D239)</f>
        <v>0</v>
      </c>
      <c r="K239">
        <f t="shared" si="28"/>
        <v>0</v>
      </c>
      <c r="L239">
        <f t="shared" si="29"/>
        <v>0</v>
      </c>
      <c r="M239">
        <f>L239*Weighting!$V$23</f>
        <v>0</v>
      </c>
    </row>
    <row r="240" spans="1:13">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t="e">
        <f>Weighting!$C$24</f>
        <v>#DIV/0!</v>
      </c>
      <c r="E240" t="e">
        <f>Weighting!$E$24</f>
        <v>#NUM!</v>
      </c>
      <c r="F240" t="e">
        <f>IF(E240=1,'Data Transformation'!$G$3+0.5*'Data Transformation'!$U$25,IF(E241=1,F241-'Data Transformation'!$U$25,FALSE))</f>
        <v>#NUM!</v>
      </c>
      <c r="G240">
        <f t="array" ref="G240">IF(ISLOGICAL(F240),"",FREQUENCY(IF('Data Transformation'!$B$24:$B$404='Bin Analysis and Plots'!$D$219,'Data Transformation'!$G$24:$G$404),'Bin Analysis and Plots'!F240))</f>
        <v>0</v>
      </c>
      <c r="H240">
        <f t="shared" si="27"/>
        <v>0</v>
      </c>
      <c r="I240">
        <f>Weighting!$G$24</f>
        <v>0</v>
      </c>
      <c r="J240">
        <f t="array" ref="J240">FREQUENCY(IF('Data Transformation'!$B$4:$B$404=D219,'Data Transformation'!$G$4:$G$404),'Bin Analysis and Plots'!$D240)</f>
        <v>0</v>
      </c>
      <c r="K240">
        <f t="shared" si="28"/>
        <v>0</v>
      </c>
      <c r="L240">
        <f t="shared" si="29"/>
        <v>0</v>
      </c>
      <c r="M240">
        <f>L240*Weighting!$V$24</f>
        <v>0</v>
      </c>
    </row>
    <row r="241" spans="1:27">
      <c r="A241" s="29" t="b">
        <f t="array" ref="A241">IF(ISERROR(INDEX('Data Transformation'!$B$4:$G$450,SMALL(IF('Data Transformation'!$B$4:$B$450='Bin Analysis and Plots'!D219,ROW('Data Transformation'!$B$4:$B$450)),ROW($20:$20))-3,3)),"",INDEX('Data Transformation'!$B$4:$G$450,SMALL(IF('Data Transformation'!$B$4:$B$450='Bin Analysis and Plots'!D219,ROW('Data Transformation'!$B$4:$B$450)),ROW($20:$20))-3,6))</f>
        <v>0</v>
      </c>
      <c r="B241" s="29" t="str">
        <f>IFERROR(SMALL(A222:A241,'Data Transformation'!$L$25),"")</f>
        <v/>
      </c>
      <c r="C241" s="41" t="str">
        <f>IF(Weighting!$O$25&gt;0,D241,"")</f>
        <v/>
      </c>
      <c r="D241" t="e">
        <f>Weighting!$C$25</f>
        <v>#DIV/0!</v>
      </c>
      <c r="E241" t="e">
        <f>Weighting!$E$25</f>
        <v>#NUM!</v>
      </c>
      <c r="F241" t="e">
        <f>IF(E241=1,'Data Transformation'!$G$3+0.5*'Data Transformation'!$U$25,IF(E242=1,F242-'Data Transformation'!$U$25,FALSE))</f>
        <v>#NUM!</v>
      </c>
      <c r="G241">
        <f t="array" ref="G241">IF(ISLOGICAL(F241),"",FREQUENCY(IF('Data Transformation'!$B$24:$B$404='Bin Analysis and Plots'!$D$219,'Data Transformation'!$G$24:$G$404),'Bin Analysis and Plots'!F241))</f>
        <v>0</v>
      </c>
      <c r="H241">
        <f t="shared" si="27"/>
        <v>0</v>
      </c>
      <c r="I241">
        <f>Weighting!$G$25</f>
        <v>0</v>
      </c>
      <c r="J241">
        <f t="array" ref="J241">FREQUENCY(IF('Data Transformation'!$B$4:$B$404=D219,'Data Transformation'!$G$4:$G$404),'Bin Analysis and Plots'!$D241)</f>
        <v>0</v>
      </c>
      <c r="K241">
        <f t="shared" si="28"/>
        <v>0</v>
      </c>
      <c r="L241">
        <f t="shared" si="29"/>
        <v>0</v>
      </c>
      <c r="M241">
        <f>L241*Weighting!$V$25</f>
        <v>0</v>
      </c>
    </row>
    <row r="242" spans="1:27">
      <c r="C242" s="41" t="str">
        <f>IF(B242="","",D242)</f>
        <v/>
      </c>
    </row>
    <row r="243" spans="1:27" ht="23.2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8" cm="1">
        <f t="array" ref="Z243:Z244">FREQUENCY(IF('Data Transformation'!$B$24:$B$404='Bin Analysis and Plots'!N243,'Data Transformation'!$G$24:$G$404),'Data Transformation'!$U$11)</f>
        <v>0</v>
      </c>
      <c r="AA243" s="78" cm="1">
        <f t="array" ref="AA243:AA244">FREQUENCY(IF('Data Transformation'!$B$24:$B$404='Bin Analysis and Plots'!N243,'Data Transformation'!$G$24:$G$404),'Data Transformation'!$U$12)</f>
        <v>0</v>
      </c>
    </row>
    <row r="244" spans="1:27" ht="21">
      <c r="A244" s="91" t="s">
        <v>64</v>
      </c>
      <c r="B244" s="91"/>
      <c r="C244" s="14" t="s">
        <v>72</v>
      </c>
      <c r="D244" t="s">
        <v>50</v>
      </c>
      <c r="E244" t="s">
        <v>5</v>
      </c>
      <c r="I244" t="s">
        <v>74</v>
      </c>
      <c r="J244" t="s">
        <v>34</v>
      </c>
      <c r="K244" t="s">
        <v>35</v>
      </c>
      <c r="L244" t="s">
        <v>49</v>
      </c>
      <c r="M244" s="14" t="s">
        <v>48</v>
      </c>
      <c r="Z244" s="78">
        <v>0</v>
      </c>
      <c r="AA244" s="78">
        <v>0</v>
      </c>
    </row>
    <row r="245" spans="1:27">
      <c r="C245" s="41" t="str">
        <f>IF(B245="","",D245)</f>
        <v/>
      </c>
      <c r="F245" t="e">
        <f>IF(E245=1,'Data Transformation'!$G$3+0.5*'Data Transformation'!$U$25,IF(E246=1,F246-'Data Transformation'!$U$25,FALSE))</f>
        <v>#NUM!</v>
      </c>
      <c r="G245">
        <f t="array" ref="G245">IF(ISLOGICAL(F245),"",FREQUENCY(IF('Data Transformation'!$B$24:$B$404='Bin Analysis and Plots'!$D$243,'Data Transformation'!$G$24:$G$404),'Bin Analysis and Plots'!F245))</f>
        <v>0</v>
      </c>
      <c r="H245">
        <f>IF(ISLOGICAL(F245),"",G245-G244)</f>
        <v>0</v>
      </c>
    </row>
    <row r="246" spans="1:27">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t="e">
        <f>IF(Weighting!$O$6&gt;0,D246,"")</f>
        <v>#NUM!</v>
      </c>
      <c r="D246" t="e">
        <f>Weighting!$C$6</f>
        <v>#DIV/0!</v>
      </c>
      <c r="E246" t="e">
        <f>Weighting!$E$6</f>
        <v>#NUM!</v>
      </c>
      <c r="F246" t="e">
        <f>IF(E246=1,'Data Transformation'!$G$3+0.5*'Data Transformation'!$U$25,IF(E247=1,F247-'Data Transformation'!$U$25,FALSE))</f>
        <v>#NUM!</v>
      </c>
      <c r="G246">
        <f t="array" ref="G246">IF(ISLOGICAL(F246),"",FREQUENCY(IF('Data Transformation'!$B$24:$B$404='Bin Analysis and Plots'!$D$243,'Data Transformation'!$G$24:$G$404),'Bin Analysis and Plots'!F246))</f>
        <v>0</v>
      </c>
      <c r="H246">
        <f>IF(ISLOGICAL(F246),"",G246-G245)</f>
        <v>0</v>
      </c>
      <c r="I246">
        <f>Weighting!$G$6</f>
        <v>1</v>
      </c>
      <c r="J246">
        <f t="array" ref="J246">FREQUENCY(IF('Data Transformation'!$B$4:$B$404=D243,'Data Transformation'!$G$4:$G$404),'Bin Analysis and Plots'!$D246)</f>
        <v>0</v>
      </c>
      <c r="K246">
        <f>J246-J245</f>
        <v>0</v>
      </c>
      <c r="L246">
        <f>IF(K246=0,0,1)</f>
        <v>0</v>
      </c>
      <c r="M246" t="e">
        <f>L246*Weighting!$V$6</f>
        <v>#NUM!</v>
      </c>
    </row>
    <row r="247" spans="1:27">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t="str">
        <f>IF(Weighting!$O$7&gt;0,D247,"")</f>
        <v/>
      </c>
      <c r="D247" t="e">
        <f>Weighting!$C$7</f>
        <v>#DIV/0!</v>
      </c>
      <c r="E247" t="e">
        <f>Weighting!$E$7</f>
        <v>#NUM!</v>
      </c>
      <c r="F247" t="e">
        <f>IF(E247=1,'Data Transformation'!$G$3+0.5*'Data Transformation'!$U$25,IF(E248=1,F248-'Data Transformation'!$U$25,FALSE))</f>
        <v>#NUM!</v>
      </c>
      <c r="G247">
        <f t="array" ref="G247">IF(ISLOGICAL(F247),"",FREQUENCY(IF('Data Transformation'!$B$24:$B$404='Bin Analysis and Plots'!$D$243,'Data Transformation'!$G$24:$G$404),'Bin Analysis and Plots'!F247))</f>
        <v>0</v>
      </c>
      <c r="H247">
        <f t="shared" ref="H247:H265" si="30">IF(ISLOGICAL(F247),"",G247-G246)</f>
        <v>0</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t="str">
        <f>IF(Weighting!$O$8&gt;0,D248,"")</f>
        <v/>
      </c>
      <c r="D248" t="e">
        <f>Weighting!$C$8</f>
        <v>#DIV/0!</v>
      </c>
      <c r="E248" t="e">
        <f>Weighting!$E$8</f>
        <v>#NUM!</v>
      </c>
      <c r="F248" t="e">
        <f>IF(E248=1,'Data Transformation'!$G$3+0.5*'Data Transformation'!$U$25,IF(E249=1,F249-'Data Transformation'!$U$25,FALSE))</f>
        <v>#NUM!</v>
      </c>
      <c r="G248">
        <f t="array" ref="G248">IF(ISLOGICAL(F248),"",FREQUENCY(IF('Data Transformation'!$B$24:$B$404='Bin Analysis and Plots'!$D$243,'Data Transformation'!$G$24:$G$404),'Bin Analysis and Plots'!F248))</f>
        <v>0</v>
      </c>
      <c r="H248">
        <f t="shared" si="30"/>
        <v>0</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t="str">
        <f>IF(Weighting!$O$9&gt;0,D249,"")</f>
        <v/>
      </c>
      <c r="D249" t="e">
        <f>Weighting!$B$9</f>
        <v>#DIV/0!</v>
      </c>
      <c r="E249" t="e">
        <f>Weighting!$E$9</f>
        <v>#NUM!</v>
      </c>
      <c r="F249" t="e">
        <f>IF(E249=1,'Data Transformation'!$G$3+0.5*'Data Transformation'!$U$25,IF(E250=1,F250-'Data Transformation'!$U$25,FALSE))</f>
        <v>#NUM!</v>
      </c>
      <c r="G249">
        <f t="array" ref="G249">IF(ISLOGICAL(F249),"",FREQUENCY(IF('Data Transformation'!$B$24:$B$404='Bin Analysis and Plots'!$D$243,'Data Transformation'!$G$24:$G$404),'Bin Analysis and Plots'!F249))</f>
        <v>0</v>
      </c>
      <c r="H249">
        <f t="shared" si="30"/>
        <v>0</v>
      </c>
      <c r="I249">
        <f>Weighting!$G$9</f>
        <v>0</v>
      </c>
      <c r="J249">
        <f t="array" ref="J249">FREQUENCY(IF('Data Transformation'!$B$4:$B$404=D243,'Data Transformation'!$G$4:$G$404),'Bin Analysis and Plots'!$D249)</f>
        <v>0</v>
      </c>
      <c r="K249">
        <f t="shared" si="31"/>
        <v>0</v>
      </c>
      <c r="L249">
        <f t="shared" si="32"/>
        <v>0</v>
      </c>
      <c r="M249">
        <f>L249*Weighting!$V$9</f>
        <v>0</v>
      </c>
    </row>
    <row r="250" spans="1:27">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t="str">
        <f>IF(Weighting!$O$10&gt;0,D250,"")</f>
        <v/>
      </c>
      <c r="D250" t="e">
        <f>Weighting!$C$10</f>
        <v>#DIV/0!</v>
      </c>
      <c r="E250" t="e">
        <f>Weighting!$E$10</f>
        <v>#NUM!</v>
      </c>
      <c r="F250" t="e">
        <f>IF(E250=1,'Data Transformation'!$G$3+0.5*'Data Transformation'!$U$25,IF(E251=1,F251-'Data Transformation'!$U$25,FALSE))</f>
        <v>#NUM!</v>
      </c>
      <c r="G250">
        <f t="array" ref="G250">IF(ISLOGICAL(F250),"",FREQUENCY(IF('Data Transformation'!$B$24:$B$404='Bin Analysis and Plots'!$D$243,'Data Transformation'!$G$24:$G$404),'Bin Analysis and Plots'!F250))</f>
        <v>0</v>
      </c>
      <c r="H250">
        <f t="shared" si="30"/>
        <v>0</v>
      </c>
      <c r="I250">
        <f>Weighting!$G$10</f>
        <v>0</v>
      </c>
      <c r="J250">
        <f t="array" ref="J250">FREQUENCY(IF('Data Transformation'!$B$4:$B$404=D243,'Data Transformation'!$G$4:$G$404),'Bin Analysis and Plots'!$D250)</f>
        <v>0</v>
      </c>
      <c r="K250">
        <f t="shared" si="31"/>
        <v>0</v>
      </c>
      <c r="L250">
        <f t="shared" si="32"/>
        <v>0</v>
      </c>
      <c r="M250">
        <f>L250*Weighting!$V$10</f>
        <v>0</v>
      </c>
    </row>
    <row r="251" spans="1:27">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t="str">
        <f>IF(Weighting!$O$11&gt;0,D251,"")</f>
        <v/>
      </c>
      <c r="D251" t="e">
        <f>Weighting!$C$11</f>
        <v>#DIV/0!</v>
      </c>
      <c r="E251" t="e">
        <f>Weighting!$E$11</f>
        <v>#NUM!</v>
      </c>
      <c r="F251" t="e">
        <f>IF(E251=1,'Data Transformation'!$G$3+0.5*'Data Transformation'!$U$25,IF(E252=1,F252-'Data Transformation'!$U$25,FALSE))</f>
        <v>#NUM!</v>
      </c>
      <c r="G251">
        <f t="array" ref="G251">IF(ISLOGICAL(F251),"",FREQUENCY(IF('Data Transformation'!$B$24:$B$404='Bin Analysis and Plots'!$D$243,'Data Transformation'!$G$24:$G$404),'Bin Analysis and Plots'!F251))</f>
        <v>0</v>
      </c>
      <c r="H251">
        <f t="shared" si="30"/>
        <v>0</v>
      </c>
      <c r="I251">
        <f>Weighting!$G$11</f>
        <v>0</v>
      </c>
      <c r="J251">
        <f t="array" ref="J251">FREQUENCY(IF('Data Transformation'!$B$4:$B$404=D243,'Data Transformation'!$G$4:$G$404),'Bin Analysis and Plots'!$D251)</f>
        <v>0</v>
      </c>
      <c r="K251">
        <f t="shared" si="31"/>
        <v>0</v>
      </c>
      <c r="L251">
        <f t="shared" si="32"/>
        <v>0</v>
      </c>
      <c r="M251">
        <f>L251*Weighting!$V$11</f>
        <v>0</v>
      </c>
    </row>
    <row r="252" spans="1:27">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t="str">
        <f>IF(Weighting!$O$12&gt;0,D252,"")</f>
        <v/>
      </c>
      <c r="D252" t="e">
        <f>Weighting!$C$12</f>
        <v>#DIV/0!</v>
      </c>
      <c r="E252" t="e">
        <f>Weighting!$E$12</f>
        <v>#NUM!</v>
      </c>
      <c r="F252" t="e">
        <f>IF(E252=1,'Data Transformation'!$G$3+0.5*'Data Transformation'!$U$25,IF(E253=1,F253-'Data Transformation'!$U$25,FALSE))</f>
        <v>#NUM!</v>
      </c>
      <c r="G252">
        <f t="array" ref="G252">IF(ISLOGICAL(F252),"",FREQUENCY(IF('Data Transformation'!$B$24:$B$404='Bin Analysis and Plots'!$D$243,'Data Transformation'!$G$24:$G$404),'Bin Analysis and Plots'!F252))</f>
        <v>0</v>
      </c>
      <c r="H252">
        <f t="shared" si="30"/>
        <v>0</v>
      </c>
      <c r="I252">
        <f>Weighting!$G$12</f>
        <v>0</v>
      </c>
      <c r="J252">
        <f t="array" ref="J252">FREQUENCY(IF('Data Transformation'!$B$4:$B$404=D243,'Data Transformation'!$G$4:$G$404),'Bin Analysis and Plots'!$D252)</f>
        <v>0</v>
      </c>
      <c r="K252">
        <f t="shared" si="31"/>
        <v>0</v>
      </c>
      <c r="L252">
        <f t="shared" si="32"/>
        <v>0</v>
      </c>
      <c r="M252">
        <f>L252*Weighting!$V$12</f>
        <v>0</v>
      </c>
    </row>
    <row r="253" spans="1:27">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t="str">
        <f>IF(Weighting!$O$13&gt;0,D253,"")</f>
        <v/>
      </c>
      <c r="D253" t="e">
        <f>Weighting!$C$13</f>
        <v>#DIV/0!</v>
      </c>
      <c r="E253" t="e">
        <f>Weighting!$E$13</f>
        <v>#NUM!</v>
      </c>
      <c r="F253" t="e">
        <f>IF(E253=1,'Data Transformation'!$G$3+0.5*'Data Transformation'!$U$25,IF(E254=1,F254-'Data Transformation'!$U$25,FALSE))</f>
        <v>#NUM!</v>
      </c>
      <c r="G253">
        <f t="array" ref="G253">IF(ISLOGICAL(F253),"",FREQUENCY(IF('Data Transformation'!$B$24:$B$404='Bin Analysis and Plots'!$D$243,'Data Transformation'!$G$24:$G$404),'Bin Analysis and Plots'!F253))</f>
        <v>0</v>
      </c>
      <c r="H253">
        <f t="shared" si="30"/>
        <v>0</v>
      </c>
      <c r="I253">
        <f>Weighting!$G$13</f>
        <v>0</v>
      </c>
      <c r="J253">
        <f t="array" ref="J253">FREQUENCY(IF('Data Transformation'!$B$4:$B$404=D243,'Data Transformation'!$G$4:$G$404),'Bin Analysis and Plots'!$D253)</f>
        <v>0</v>
      </c>
      <c r="K253">
        <f t="shared" si="31"/>
        <v>0</v>
      </c>
      <c r="L253">
        <f t="shared" si="32"/>
        <v>0</v>
      </c>
      <c r="M253">
        <f>L253*Weighting!$V$13</f>
        <v>0</v>
      </c>
    </row>
    <row r="254" spans="1:27">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t="str">
        <f>IF(Weighting!$O$14&gt;0,D254,"")</f>
        <v/>
      </c>
      <c r="D254" t="e">
        <f>Weighting!$C$14</f>
        <v>#DIV/0!</v>
      </c>
      <c r="E254" t="e">
        <f>Weighting!$E$14</f>
        <v>#NUM!</v>
      </c>
      <c r="F254" t="e">
        <f>IF(E254=1,'Data Transformation'!$G$3+0.5*'Data Transformation'!$U$25,IF(E255=1,F255-'Data Transformation'!$U$25,FALSE))</f>
        <v>#NUM!</v>
      </c>
      <c r="G254">
        <f t="array" ref="G254">IF(ISLOGICAL(F254),"",FREQUENCY(IF('Data Transformation'!$B$24:$B$404='Bin Analysis and Plots'!$D$243,'Data Transformation'!$G$24:$G$404),'Bin Analysis and Plots'!F254))</f>
        <v>0</v>
      </c>
      <c r="H254">
        <f t="shared" si="30"/>
        <v>0</v>
      </c>
      <c r="I254">
        <f>Weighting!$G$14</f>
        <v>0</v>
      </c>
      <c r="J254">
        <f t="array" ref="J254">FREQUENCY(IF('Data Transformation'!$B$4:$B$404=D243,'Data Transformation'!$G$4:$G$404),'Bin Analysis and Plots'!$D254)</f>
        <v>0</v>
      </c>
      <c r="K254">
        <f t="shared" si="31"/>
        <v>0</v>
      </c>
      <c r="L254">
        <f t="shared" si="32"/>
        <v>0</v>
      </c>
      <c r="M254">
        <f>L254*Weighting!$V$14</f>
        <v>0</v>
      </c>
    </row>
    <row r="255" spans="1:27">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t="str">
        <f>IF(Weighting!$O$15&gt;0,D255,"")</f>
        <v/>
      </c>
      <c r="D255" t="e">
        <f>Weighting!$C$15</f>
        <v>#DIV/0!</v>
      </c>
      <c r="E255" t="e">
        <f>Weighting!$E$15</f>
        <v>#NUM!</v>
      </c>
      <c r="F255" t="e">
        <f>IF(E255=1,'Data Transformation'!$G$3+0.5*'Data Transformation'!$U$25,IF(E256=1,F256-'Data Transformation'!$U$25,FALSE))</f>
        <v>#NUM!</v>
      </c>
      <c r="G255">
        <f t="array" ref="G255">IF(ISLOGICAL(F255),"",FREQUENCY(IF('Data Transformation'!$B$24:$B$404='Bin Analysis and Plots'!$D$243,'Data Transformation'!$G$24:$G$404),'Bin Analysis and Plots'!F255))</f>
        <v>0</v>
      </c>
      <c r="H255">
        <f t="shared" si="30"/>
        <v>0</v>
      </c>
      <c r="I255">
        <f>Weighting!$G$15</f>
        <v>0</v>
      </c>
      <c r="J255">
        <f t="array" ref="J255">FREQUENCY(IF('Data Transformation'!$B$4:$B$404=D243,'Data Transformation'!$G$4:$G$404),'Bin Analysis and Plots'!$D255)</f>
        <v>0</v>
      </c>
      <c r="K255">
        <f t="shared" si="31"/>
        <v>0</v>
      </c>
      <c r="L255">
        <f t="shared" si="32"/>
        <v>0</v>
      </c>
      <c r="M255">
        <f>L255*Weighting!$V$15</f>
        <v>0</v>
      </c>
    </row>
    <row r="256" spans="1:27">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t="e">
        <f>Weighting!$C$16</f>
        <v>#DIV/0!</v>
      </c>
      <c r="E256" t="e">
        <f>Weighting!$E$16</f>
        <v>#NUM!</v>
      </c>
      <c r="F256" t="e">
        <f>IF(E256=1,'Data Transformation'!$G$3+0.5*'Data Transformation'!$U$25,IF(E257=1,F257-'Data Transformation'!$U$25,FALSE))</f>
        <v>#NUM!</v>
      </c>
      <c r="G256">
        <f t="array" ref="G256">IF(ISLOGICAL(F256),"",FREQUENCY(IF('Data Transformation'!$B$24:$B$404='Bin Analysis and Plots'!$D$243,'Data Transformation'!$G$24:$G$404),'Bin Analysis and Plots'!F256))</f>
        <v>0</v>
      </c>
      <c r="H256">
        <f t="shared" si="30"/>
        <v>0</v>
      </c>
      <c r="I256">
        <f>Weighting!$G$16</f>
        <v>0</v>
      </c>
      <c r="J256">
        <f t="array" ref="J256">FREQUENCY(IF('Data Transformation'!$B$4:$B$404=D243,'Data Transformation'!$G$4:$G$404),'Bin Analysis and Plots'!$D256)</f>
        <v>0</v>
      </c>
      <c r="K256">
        <f t="shared" si="31"/>
        <v>0</v>
      </c>
      <c r="L256">
        <f t="shared" si="32"/>
        <v>0</v>
      </c>
      <c r="M256">
        <f>L256*Weighting!$V$16</f>
        <v>0</v>
      </c>
    </row>
    <row r="257" spans="1:27">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t="e">
        <f>Weighting!$C$17</f>
        <v>#DIV/0!</v>
      </c>
      <c r="E257" t="e">
        <f>Weighting!$E$17</f>
        <v>#NUM!</v>
      </c>
      <c r="F257" t="e">
        <f>IF(E257=1,'Data Transformation'!$G$3+0.5*'Data Transformation'!$U$25,IF(E258=1,F258-'Data Transformation'!$U$25,FALSE))</f>
        <v>#NUM!</v>
      </c>
      <c r="G257">
        <f t="array" ref="G257">IF(ISLOGICAL(F257),"",FREQUENCY(IF('Data Transformation'!$B$24:$B$404='Bin Analysis and Plots'!$D$243,'Data Transformation'!$G$24:$G$404),'Bin Analysis and Plots'!F257))</f>
        <v>0</v>
      </c>
      <c r="H257">
        <f t="shared" si="30"/>
        <v>0</v>
      </c>
      <c r="I257">
        <f>Weighting!$G$17</f>
        <v>0</v>
      </c>
      <c r="J257">
        <f t="array" ref="J257">FREQUENCY(IF('Data Transformation'!$B$4:$B$404=D243,'Data Transformation'!$G$4:$G$404),'Bin Analysis and Plots'!$D257)</f>
        <v>0</v>
      </c>
      <c r="K257">
        <f t="shared" si="31"/>
        <v>0</v>
      </c>
      <c r="L257">
        <f t="shared" si="32"/>
        <v>0</v>
      </c>
      <c r="M257">
        <f>L257*Weighting!$V$17</f>
        <v>0</v>
      </c>
    </row>
    <row r="258" spans="1:27">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t="e">
        <f>Weighting!$C$18</f>
        <v>#DIV/0!</v>
      </c>
      <c r="E258" t="e">
        <f>Weighting!$E$18</f>
        <v>#NUM!</v>
      </c>
      <c r="F258" t="e">
        <f>IF(E258=1,'Data Transformation'!$G$3+0.5*'Data Transformation'!$U$25,IF(E259=1,F259-'Data Transformation'!$U$25,FALSE))</f>
        <v>#NUM!</v>
      </c>
      <c r="G258">
        <f t="array" ref="G258">IF(ISLOGICAL(F258),"",FREQUENCY(IF('Data Transformation'!$B$24:$B$404='Bin Analysis and Plots'!$D$243,'Data Transformation'!$G$24:$G$404),'Bin Analysis and Plots'!F258))</f>
        <v>0</v>
      </c>
      <c r="H258">
        <f t="shared" si="30"/>
        <v>0</v>
      </c>
      <c r="I258">
        <f>Weighting!$G$18</f>
        <v>0</v>
      </c>
      <c r="J258">
        <f t="array" ref="J258">FREQUENCY(IF('Data Transformation'!$B$4:$B$404=D243,'Data Transformation'!$G$4:$G$404),'Bin Analysis and Plots'!$D258)</f>
        <v>0</v>
      </c>
      <c r="K258">
        <f t="shared" si="31"/>
        <v>0</v>
      </c>
      <c r="L258">
        <f t="shared" si="32"/>
        <v>0</v>
      </c>
      <c r="M258">
        <f>L258*Weighting!$V$18</f>
        <v>0</v>
      </c>
    </row>
    <row r="259" spans="1:27">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t="e">
        <f>Weighting!$C$19</f>
        <v>#DIV/0!</v>
      </c>
      <c r="E259" t="e">
        <f>Weighting!$E$19</f>
        <v>#NUM!</v>
      </c>
      <c r="F259" t="e">
        <f>IF(E259=1,'Data Transformation'!$G$3+0.5*'Data Transformation'!$U$25,IF(E260=1,F260-'Data Transformation'!$U$25,FALSE))</f>
        <v>#NUM!</v>
      </c>
      <c r="G259">
        <f t="array" ref="G259">IF(ISLOGICAL(F259),"",FREQUENCY(IF('Data Transformation'!$B$24:$B$404='Bin Analysis and Plots'!$D$243,'Data Transformation'!$G$24:$G$404),'Bin Analysis and Plots'!F259))</f>
        <v>0</v>
      </c>
      <c r="H259">
        <f t="shared" si="30"/>
        <v>0</v>
      </c>
      <c r="I259">
        <f>Weighting!$G$19</f>
        <v>0</v>
      </c>
      <c r="J259">
        <f t="array" ref="J259">FREQUENCY(IF('Data Transformation'!$B$4:$B$404=D243,'Data Transformation'!$G$4:$G$404),'Bin Analysis and Plots'!$D259)</f>
        <v>0</v>
      </c>
      <c r="K259">
        <f t="shared" si="31"/>
        <v>0</v>
      </c>
      <c r="L259">
        <f t="shared" si="32"/>
        <v>0</v>
      </c>
      <c r="M259">
        <f>L259*Weighting!$V$19</f>
        <v>0</v>
      </c>
    </row>
    <row r="260" spans="1:27">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t="e">
        <f>Weighting!$C$20</f>
        <v>#DIV/0!</v>
      </c>
      <c r="E260" t="e">
        <f>Weighting!$E$20</f>
        <v>#NUM!</v>
      </c>
      <c r="F260" t="e">
        <f>IF(E260=1,'Data Transformation'!$G$3+0.5*'Data Transformation'!$U$25,IF(E261=1,F261-'Data Transformation'!$U$25,FALSE))</f>
        <v>#NUM!</v>
      </c>
      <c r="G260">
        <f t="array" ref="G260">IF(ISLOGICAL(F260),"",FREQUENCY(IF('Data Transformation'!$B$24:$B$404='Bin Analysis and Plots'!$D$243,'Data Transformation'!$G$24:$G$404),'Bin Analysis and Plots'!F260))</f>
        <v>0</v>
      </c>
      <c r="H260">
        <f t="shared" si="30"/>
        <v>0</v>
      </c>
      <c r="I260">
        <f>Weighting!$G$20</f>
        <v>0</v>
      </c>
      <c r="J260">
        <f t="array" ref="J260">FREQUENCY(IF('Data Transformation'!$B$4:$B$404=D243,'Data Transformation'!$G$4:$G$404),'Bin Analysis and Plots'!$D260)</f>
        <v>0</v>
      </c>
      <c r="K260">
        <f t="shared" si="31"/>
        <v>0</v>
      </c>
      <c r="L260">
        <f t="shared" si="32"/>
        <v>0</v>
      </c>
      <c r="M260">
        <f>L260*Weighting!$V$20</f>
        <v>0</v>
      </c>
    </row>
    <row r="261" spans="1:27">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t="e">
        <f>Weighting!$C$21</f>
        <v>#DIV/0!</v>
      </c>
      <c r="E261" t="e">
        <f>Weighting!$E$21</f>
        <v>#NUM!</v>
      </c>
      <c r="F261" t="e">
        <f>IF(E261=1,'Data Transformation'!$G$3+0.5*'Data Transformation'!$U$25,IF(E262=1,F262-'Data Transformation'!$U$25,FALSE))</f>
        <v>#NUM!</v>
      </c>
      <c r="G261">
        <f t="array" ref="G261">IF(ISLOGICAL(F261),"",FREQUENCY(IF('Data Transformation'!$B$24:$B$404='Bin Analysis and Plots'!$D$243,'Data Transformation'!$G$24:$G$404),'Bin Analysis and Plots'!F261))</f>
        <v>0</v>
      </c>
      <c r="H261">
        <f t="shared" si="30"/>
        <v>0</v>
      </c>
      <c r="I261">
        <f>Weighting!$G$21</f>
        <v>0</v>
      </c>
      <c r="J261">
        <f t="array" ref="J261">FREQUENCY(IF('Data Transformation'!$B$4:$B$404=D243,'Data Transformation'!$G$4:$G$404),'Bin Analysis and Plots'!$D261)</f>
        <v>0</v>
      </c>
      <c r="K261">
        <f t="shared" si="31"/>
        <v>0</v>
      </c>
      <c r="L261">
        <f t="shared" si="32"/>
        <v>0</v>
      </c>
      <c r="M261">
        <f>L261*Weighting!$V$21</f>
        <v>0</v>
      </c>
    </row>
    <row r="262" spans="1:27">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t="e">
        <f>Weighting!$C$22</f>
        <v>#DIV/0!</v>
      </c>
      <c r="E262" t="e">
        <f>Weighting!$E$22</f>
        <v>#NUM!</v>
      </c>
      <c r="F262" t="e">
        <f>IF(E262=1,'Data Transformation'!$G$3+0.5*'Data Transformation'!$U$25,IF(E263=1,F263-'Data Transformation'!$U$25,FALSE))</f>
        <v>#NUM!</v>
      </c>
      <c r="G262">
        <f t="array" ref="G262">IF(ISLOGICAL(F262),"",FREQUENCY(IF('Data Transformation'!$B$24:$B$404='Bin Analysis and Plots'!$D$243,'Data Transformation'!$G$24:$G$404),'Bin Analysis and Plots'!F262))</f>
        <v>0</v>
      </c>
      <c r="H262">
        <f t="shared" si="30"/>
        <v>0</v>
      </c>
      <c r="I262">
        <f>Weighting!$G$22</f>
        <v>0</v>
      </c>
      <c r="J262">
        <f t="array" ref="J262">FREQUENCY(IF('Data Transformation'!$B$4:$B$404=D243,'Data Transformation'!$G$4:$G$404),'Bin Analysis and Plots'!$D262)</f>
        <v>0</v>
      </c>
      <c r="K262">
        <f t="shared" si="31"/>
        <v>0</v>
      </c>
      <c r="L262">
        <f t="shared" si="32"/>
        <v>0</v>
      </c>
      <c r="M262">
        <f>L262*Weighting!$V$22</f>
        <v>0</v>
      </c>
    </row>
    <row r="263" spans="1:27">
      <c r="A263" s="29" t="b">
        <f t="array" ref="A263">IF(ISERROR(INDEX('Data Transformation'!$B$4:$G$450,SMALL(IF('Data Transformation'!$B$4:$B$450='Bin Analysis and Plots'!D243,ROW('Data Transformation'!$B$4:$B$450)),ROW($18:$18))-3,3)),"",INDEX('Data Transformation'!$B$4:$G$450,SMALL(IF('Data Transformation'!$B$4:$B$450='Bin Analysis and Plots'!D243,ROW('Data Transformation'!$B$4:$B$450)),ROW($18:$18))-3,6))</f>
        <v>0</v>
      </c>
      <c r="B263" s="29" t="str">
        <f>IFERROR(SMALL(A246:A265,'Data Transformation'!$L$23),"")</f>
        <v/>
      </c>
      <c r="C263" s="41" t="str">
        <f>IF(Weighting!$O$23&gt;0,D263,"")</f>
        <v/>
      </c>
      <c r="D263" t="e">
        <f>Weighting!$C$23</f>
        <v>#DIV/0!</v>
      </c>
      <c r="E263" t="e">
        <f>Weighting!$E$23</f>
        <v>#NUM!</v>
      </c>
      <c r="F263" t="e">
        <f>IF(E263=1,'Data Transformation'!$G$3+0.5*'Data Transformation'!$U$25,IF(E264=1,F264-'Data Transformation'!$U$25,FALSE))</f>
        <v>#NUM!</v>
      </c>
      <c r="G263">
        <f t="array" ref="G263">IF(ISLOGICAL(F263),"",FREQUENCY(IF('Data Transformation'!$B$24:$B$404='Bin Analysis and Plots'!$D$243,'Data Transformation'!$G$24:$G$404),'Bin Analysis and Plots'!F263))</f>
        <v>0</v>
      </c>
      <c r="H263">
        <f t="shared" si="30"/>
        <v>0</v>
      </c>
      <c r="I263">
        <f>Weighting!$G$23</f>
        <v>0</v>
      </c>
      <c r="J263">
        <f t="array" ref="J263">FREQUENCY(IF('Data Transformation'!$B$4:$B$404=D243,'Data Transformation'!$G$4:$G$404),'Bin Analysis and Plots'!$D263)</f>
        <v>0</v>
      </c>
      <c r="K263">
        <f t="shared" si="31"/>
        <v>0</v>
      </c>
      <c r="L263">
        <f t="shared" si="32"/>
        <v>0</v>
      </c>
      <c r="M263">
        <f>L263*Weighting!$V$23</f>
        <v>0</v>
      </c>
    </row>
    <row r="264" spans="1:27">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t="e">
        <f>Weighting!$C$24</f>
        <v>#DIV/0!</v>
      </c>
      <c r="E264" t="e">
        <f>Weighting!$E$24</f>
        <v>#NUM!</v>
      </c>
      <c r="F264" t="e">
        <f>IF(E264=1,'Data Transformation'!$G$3+0.5*'Data Transformation'!$U$25,IF(E265=1,F265-'Data Transformation'!$U$25,FALSE))</f>
        <v>#NUM!</v>
      </c>
      <c r="G264">
        <f t="array" ref="G264">IF(ISLOGICAL(F264),"",FREQUENCY(IF('Data Transformation'!$B$24:$B$404='Bin Analysis and Plots'!$D$243,'Data Transformation'!$G$24:$G$404),'Bin Analysis and Plots'!F264))</f>
        <v>0</v>
      </c>
      <c r="H264">
        <f t="shared" si="30"/>
        <v>0</v>
      </c>
      <c r="I264">
        <f>Weighting!$G$24</f>
        <v>0</v>
      </c>
      <c r="J264">
        <f t="array" ref="J264">FREQUENCY(IF('Data Transformation'!$B$4:$B$404=D243,'Data Transformation'!$G$4:$G$404),'Bin Analysis and Plots'!$D264)</f>
        <v>0</v>
      </c>
      <c r="K264">
        <f t="shared" si="31"/>
        <v>0</v>
      </c>
      <c r="L264">
        <f t="shared" si="32"/>
        <v>0</v>
      </c>
      <c r="M264">
        <f>L264*Weighting!$V$24</f>
        <v>0</v>
      </c>
    </row>
    <row r="265" spans="1:27">
      <c r="A265" s="29" t="b">
        <f t="array" ref="A265">IF(ISERROR(INDEX('Data Transformation'!$B$4:$G$450,SMALL(IF('Data Transformation'!$B$4:$B$450='Bin Analysis and Plots'!D243,ROW('Data Transformation'!$B$4:$B$450)),ROW($20:$20))-3,3)),"",INDEX('Data Transformation'!$B$4:$G$450,SMALL(IF('Data Transformation'!$B$4:$B$450='Bin Analysis and Plots'!D243,ROW('Data Transformation'!$B$4:$B$450)),ROW($20:$20))-3,6))</f>
        <v>0</v>
      </c>
      <c r="B265" s="29" t="str">
        <f>IFERROR(SMALL(A246:A265,'Data Transformation'!$L$25),"")</f>
        <v/>
      </c>
      <c r="C265" s="41" t="str">
        <f>IF(Weighting!$O$25&gt;0,D265,"")</f>
        <v/>
      </c>
      <c r="D265" t="e">
        <f>Weighting!$C$25</f>
        <v>#DIV/0!</v>
      </c>
      <c r="E265" t="e">
        <f>Weighting!$E$25</f>
        <v>#NUM!</v>
      </c>
      <c r="F265" t="e">
        <f>IF(E265=1,'Data Transformation'!$G$3+0.5*'Data Transformation'!$U$25,IF(E266=1,F266-'Data Transformation'!$U$25,FALSE))</f>
        <v>#NUM!</v>
      </c>
      <c r="G265">
        <f t="array" ref="G265">IF(ISLOGICAL(F265),"",FREQUENCY(IF('Data Transformation'!$B$24:$B$404='Bin Analysis and Plots'!$D$243,'Data Transformation'!$G$24:$G$404),'Bin Analysis and Plots'!F265))</f>
        <v>0</v>
      </c>
      <c r="H265">
        <f t="shared" si="30"/>
        <v>0</v>
      </c>
      <c r="I265">
        <f>Weighting!$G$25</f>
        <v>0</v>
      </c>
      <c r="J265">
        <f t="array" ref="J265">FREQUENCY(IF('Data Transformation'!$B$4:$B$404=D243,'Data Transformation'!$G$4:$G$404),'Bin Analysis and Plots'!$D265)</f>
        <v>0</v>
      </c>
      <c r="K265">
        <f t="shared" si="31"/>
        <v>0</v>
      </c>
      <c r="L265">
        <f t="shared" si="32"/>
        <v>0</v>
      </c>
      <c r="M265">
        <f>L265*Weighting!$V$25</f>
        <v>0</v>
      </c>
    </row>
    <row r="266" spans="1:27">
      <c r="C266" s="41" t="str">
        <f>IF(B266="","",D266)</f>
        <v/>
      </c>
    </row>
    <row r="267" spans="1:27" ht="23.2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8" cm="1">
        <f t="array" ref="Z267:Z268">FREQUENCY(IF('Data Transformation'!$B$24:$B$404='Bin Analysis and Plots'!N267,'Data Transformation'!$G$24:$G$404),'Data Transformation'!$U$11)</f>
        <v>0</v>
      </c>
      <c r="AA267" s="78" cm="1">
        <f t="array" ref="AA267:AA268">FREQUENCY(IF('Data Transformation'!$B$24:$B$404='Bin Analysis and Plots'!N267,'Data Transformation'!$G$24:$G$404),'Data Transformation'!$U$12)</f>
        <v>0</v>
      </c>
    </row>
    <row r="268" spans="1:27" ht="21">
      <c r="A268" s="91" t="s">
        <v>64</v>
      </c>
      <c r="B268" s="91"/>
      <c r="C268" s="14" t="s">
        <v>72</v>
      </c>
      <c r="D268" t="s">
        <v>50</v>
      </c>
      <c r="E268" t="s">
        <v>5</v>
      </c>
      <c r="I268" t="s">
        <v>74</v>
      </c>
      <c r="J268" t="s">
        <v>34</v>
      </c>
      <c r="K268" t="s">
        <v>35</v>
      </c>
      <c r="L268" t="s">
        <v>49</v>
      </c>
      <c r="M268" s="14" t="s">
        <v>48</v>
      </c>
      <c r="Z268" s="78">
        <v>0</v>
      </c>
      <c r="AA268" s="78">
        <v>0</v>
      </c>
    </row>
    <row r="269" spans="1:27">
      <c r="C269" s="41" t="str">
        <f>IF(B269="","",D269)</f>
        <v/>
      </c>
      <c r="F269" t="e">
        <f>IF(E269=1,'Data Transformation'!$G$3+0.5*'Data Transformation'!$U$25,IF(E270=1,F270-'Data Transformation'!$U$25,FALSE))</f>
        <v>#NUM!</v>
      </c>
      <c r="G269">
        <f t="array" ref="G269">IF(ISLOGICAL(F269),"",FREQUENCY(IF('Data Transformation'!$B$24:$B$404='Bin Analysis and Plots'!$D$267,'Data Transformation'!$G$24:$G$404),'Bin Analysis and Plots'!F269))</f>
        <v>0</v>
      </c>
      <c r="H269">
        <f>IF(ISLOGICAL(F269),"",G269-G268)</f>
        <v>0</v>
      </c>
    </row>
    <row r="270" spans="1:27">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t="e">
        <f>IF(Weighting!$O$6&gt;0,D270,"")</f>
        <v>#NUM!</v>
      </c>
      <c r="D270" t="e">
        <f>Weighting!$C$6</f>
        <v>#DIV/0!</v>
      </c>
      <c r="E270" t="e">
        <f>Weighting!$E$6</f>
        <v>#NUM!</v>
      </c>
      <c r="F270" t="e">
        <f>IF(E270=1,'Data Transformation'!$G$3+0.5*'Data Transformation'!$U$25,IF(E271=1,F271-'Data Transformation'!$U$25,FALSE))</f>
        <v>#NUM!</v>
      </c>
      <c r="G270">
        <f t="array" ref="G270">IF(ISLOGICAL(F270),"",FREQUENCY(IF('Data Transformation'!$B$24:$B$404='Bin Analysis and Plots'!$D$267,'Data Transformation'!$G$24:$G$404),'Bin Analysis and Plots'!F270))</f>
        <v>0</v>
      </c>
      <c r="H270">
        <f>IF(ISLOGICAL(F270),"",G270-G269)</f>
        <v>0</v>
      </c>
      <c r="I270">
        <f>Weighting!$G$6</f>
        <v>1</v>
      </c>
      <c r="J270">
        <f t="array" ref="J270">FREQUENCY(IF('Data Transformation'!$B$4:$B$404=D267,'Data Transformation'!$G$4:$G$404),'Bin Analysis and Plots'!$D270)</f>
        <v>0</v>
      </c>
      <c r="K270">
        <f>J270-J269</f>
        <v>0</v>
      </c>
      <c r="L270">
        <f>IF(K270=0,0,1)</f>
        <v>0</v>
      </c>
      <c r="M270" t="e">
        <f>L270*Weighting!$V$6</f>
        <v>#NUM!</v>
      </c>
    </row>
    <row r="271" spans="1:27">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t="str">
        <f>IF(Weighting!$O$7&gt;0,D271,"")</f>
        <v/>
      </c>
      <c r="D271" t="e">
        <f>Weighting!$C$7</f>
        <v>#DIV/0!</v>
      </c>
      <c r="E271" t="e">
        <f>Weighting!$E$7</f>
        <v>#NUM!</v>
      </c>
      <c r="F271" t="e">
        <f>IF(E271=1,'Data Transformation'!$G$3+0.5*'Data Transformation'!$U$25,IF(E272=1,F272-'Data Transformation'!$U$25,FALSE))</f>
        <v>#NUM!</v>
      </c>
      <c r="G271">
        <f t="array" ref="G271">IF(ISLOGICAL(F271),"",FREQUENCY(IF('Data Transformation'!$B$24:$B$404='Bin Analysis and Plots'!$D$267,'Data Transformation'!$G$24:$G$404),'Bin Analysis and Plots'!F271))</f>
        <v>0</v>
      </c>
      <c r="H271">
        <f t="shared" ref="H271:H289" si="33">IF(ISLOGICAL(F271),"",G271-G270)</f>
        <v>0</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t="str">
        <f>IF(Weighting!$O$8&gt;0,D272,"")</f>
        <v/>
      </c>
      <c r="D272" t="e">
        <f>Weighting!$C$8</f>
        <v>#DIV/0!</v>
      </c>
      <c r="E272" t="e">
        <f>Weighting!$E$8</f>
        <v>#NUM!</v>
      </c>
      <c r="F272" t="e">
        <f>IF(E272=1,'Data Transformation'!$G$3+0.5*'Data Transformation'!$U$25,IF(E273=1,F273-'Data Transformation'!$U$25,FALSE))</f>
        <v>#NUM!</v>
      </c>
      <c r="G272">
        <f t="array" ref="G272">IF(ISLOGICAL(F272),"",FREQUENCY(IF('Data Transformation'!$B$24:$B$404='Bin Analysis and Plots'!$D$267,'Data Transformation'!$G$24:$G$404),'Bin Analysis and Plots'!F272))</f>
        <v>0</v>
      </c>
      <c r="H272">
        <f t="shared" si="33"/>
        <v>0</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t="str">
        <f>IF(Weighting!$O$9&gt;0,D273,"")</f>
        <v/>
      </c>
      <c r="D273" t="e">
        <f>Weighting!$B$9</f>
        <v>#DIV/0!</v>
      </c>
      <c r="E273" t="e">
        <f>Weighting!$E$9</f>
        <v>#NUM!</v>
      </c>
      <c r="F273" t="e">
        <f>IF(E273=1,'Data Transformation'!$G$3+0.5*'Data Transformation'!$U$25,IF(E274=1,F274-'Data Transformation'!$U$25,FALSE))</f>
        <v>#NUM!</v>
      </c>
      <c r="G273">
        <f t="array" ref="G273">IF(ISLOGICAL(F273),"",FREQUENCY(IF('Data Transformation'!$B$24:$B$404='Bin Analysis and Plots'!$D$267,'Data Transformation'!$G$24:$G$404),'Bin Analysis and Plots'!F273))</f>
        <v>0</v>
      </c>
      <c r="H273">
        <f t="shared" si="33"/>
        <v>0</v>
      </c>
      <c r="I273">
        <f>Weighting!$G$9</f>
        <v>0</v>
      </c>
      <c r="J273">
        <f t="array" ref="J273">FREQUENCY(IF('Data Transformation'!$B$4:$B$404=D267,'Data Transformation'!$G$4:$G$404),'Bin Analysis and Plots'!$D273)</f>
        <v>0</v>
      </c>
      <c r="K273">
        <f t="shared" si="34"/>
        <v>0</v>
      </c>
      <c r="L273">
        <f t="shared" si="35"/>
        <v>0</v>
      </c>
      <c r="M273">
        <f>L273*Weighting!$V$9</f>
        <v>0</v>
      </c>
    </row>
    <row r="274" spans="1:13">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t="str">
        <f>IF(Weighting!$O$10&gt;0,D274,"")</f>
        <v/>
      </c>
      <c r="D274" t="e">
        <f>Weighting!$C$10</f>
        <v>#DIV/0!</v>
      </c>
      <c r="E274" t="e">
        <f>Weighting!$E$10</f>
        <v>#NUM!</v>
      </c>
      <c r="F274" t="e">
        <f>IF(E274=1,'Data Transformation'!$G$3+0.5*'Data Transformation'!$U$25,IF(E275=1,F275-'Data Transformation'!$U$25,FALSE))</f>
        <v>#NUM!</v>
      </c>
      <c r="G274">
        <f t="array" ref="G274">IF(ISLOGICAL(F274),"",FREQUENCY(IF('Data Transformation'!$B$24:$B$404='Bin Analysis and Plots'!$D$267,'Data Transformation'!$G$24:$G$404),'Bin Analysis and Plots'!F274))</f>
        <v>0</v>
      </c>
      <c r="H274">
        <f t="shared" si="33"/>
        <v>0</v>
      </c>
      <c r="I274">
        <f>Weighting!$G$10</f>
        <v>0</v>
      </c>
      <c r="J274">
        <f t="array" ref="J274">FREQUENCY(IF('Data Transformation'!$B$4:$B$404=D267,'Data Transformation'!$G$4:$G$404),'Bin Analysis and Plots'!$D274)</f>
        <v>0</v>
      </c>
      <c r="K274">
        <f t="shared" si="34"/>
        <v>0</v>
      </c>
      <c r="L274">
        <f t="shared" si="35"/>
        <v>0</v>
      </c>
      <c r="M274">
        <f>L274*Weighting!$V$10</f>
        <v>0</v>
      </c>
    </row>
    <row r="275" spans="1:13">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t="str">
        <f>IF(Weighting!$O$11&gt;0,D275,"")</f>
        <v/>
      </c>
      <c r="D275" t="e">
        <f>Weighting!$C$11</f>
        <v>#DIV/0!</v>
      </c>
      <c r="E275" t="e">
        <f>Weighting!$E$11</f>
        <v>#NUM!</v>
      </c>
      <c r="F275" t="e">
        <f>IF(E275=1,'Data Transformation'!$G$3+0.5*'Data Transformation'!$U$25,IF(E276=1,F276-'Data Transformation'!$U$25,FALSE))</f>
        <v>#NUM!</v>
      </c>
      <c r="G275">
        <f t="array" ref="G275">IF(ISLOGICAL(F275),"",FREQUENCY(IF('Data Transformation'!$B$24:$B$404='Bin Analysis and Plots'!$D$267,'Data Transformation'!$G$24:$G$404),'Bin Analysis and Plots'!F275))</f>
        <v>0</v>
      </c>
      <c r="H275">
        <f t="shared" si="33"/>
        <v>0</v>
      </c>
      <c r="I275">
        <f>Weighting!$G$11</f>
        <v>0</v>
      </c>
      <c r="J275">
        <f t="array" ref="J275">FREQUENCY(IF('Data Transformation'!$B$4:$B$404=D267,'Data Transformation'!$G$4:$G$404),'Bin Analysis and Plots'!$D275)</f>
        <v>0</v>
      </c>
      <c r="K275">
        <f t="shared" si="34"/>
        <v>0</v>
      </c>
      <c r="L275">
        <f t="shared" si="35"/>
        <v>0</v>
      </c>
      <c r="M275">
        <f>L275*Weighting!$V$11</f>
        <v>0</v>
      </c>
    </row>
    <row r="276" spans="1:13">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t="str">
        <f>IF(Weighting!$O$12&gt;0,D276,"")</f>
        <v/>
      </c>
      <c r="D276" t="e">
        <f>Weighting!$C$12</f>
        <v>#DIV/0!</v>
      </c>
      <c r="E276" t="e">
        <f>Weighting!$E$12</f>
        <v>#NUM!</v>
      </c>
      <c r="F276" t="e">
        <f>IF(E276=1,'Data Transformation'!$G$3+0.5*'Data Transformation'!$U$25,IF(E277=1,F277-'Data Transformation'!$U$25,FALSE))</f>
        <v>#NUM!</v>
      </c>
      <c r="G276">
        <f t="array" ref="G276">IF(ISLOGICAL(F276),"",FREQUENCY(IF('Data Transformation'!$B$24:$B$404='Bin Analysis and Plots'!$D$267,'Data Transformation'!$G$24:$G$404),'Bin Analysis and Plots'!F276))</f>
        <v>0</v>
      </c>
      <c r="H276">
        <f t="shared" si="33"/>
        <v>0</v>
      </c>
      <c r="I276">
        <f>Weighting!$G$12</f>
        <v>0</v>
      </c>
      <c r="J276">
        <f t="array" ref="J276">FREQUENCY(IF('Data Transformation'!$B$4:$B$404=D267,'Data Transformation'!$G$4:$G$404),'Bin Analysis and Plots'!$D276)</f>
        <v>0</v>
      </c>
      <c r="K276">
        <f t="shared" si="34"/>
        <v>0</v>
      </c>
      <c r="L276">
        <f t="shared" si="35"/>
        <v>0</v>
      </c>
      <c r="M276">
        <f>L276*Weighting!$V$12</f>
        <v>0</v>
      </c>
    </row>
    <row r="277" spans="1:13">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t="str">
        <f>IF(Weighting!$O$13&gt;0,D277,"")</f>
        <v/>
      </c>
      <c r="D277" t="e">
        <f>Weighting!$C$13</f>
        <v>#DIV/0!</v>
      </c>
      <c r="E277" t="e">
        <f>Weighting!$E$13</f>
        <v>#NUM!</v>
      </c>
      <c r="F277" t="e">
        <f>IF(E277=1,'Data Transformation'!$G$3+0.5*'Data Transformation'!$U$25,IF(E278=1,F278-'Data Transformation'!$U$25,FALSE))</f>
        <v>#NUM!</v>
      </c>
      <c r="G277">
        <f t="array" ref="G277">IF(ISLOGICAL(F277),"",FREQUENCY(IF('Data Transformation'!$B$24:$B$404='Bin Analysis and Plots'!$D$267,'Data Transformation'!$G$24:$G$404),'Bin Analysis and Plots'!F277))</f>
        <v>0</v>
      </c>
      <c r="H277">
        <f t="shared" si="33"/>
        <v>0</v>
      </c>
      <c r="I277">
        <f>Weighting!$G$13</f>
        <v>0</v>
      </c>
      <c r="J277">
        <f t="array" ref="J277">FREQUENCY(IF('Data Transformation'!$B$4:$B$404=D267,'Data Transformation'!$G$4:$G$404),'Bin Analysis and Plots'!$D277)</f>
        <v>0</v>
      </c>
      <c r="K277">
        <f t="shared" si="34"/>
        <v>0</v>
      </c>
      <c r="L277">
        <f t="shared" si="35"/>
        <v>0</v>
      </c>
      <c r="M277">
        <f>L277*Weighting!$V$13</f>
        <v>0</v>
      </c>
    </row>
    <row r="278" spans="1:13">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t="str">
        <f>IF(Weighting!$O$14&gt;0,D278,"")</f>
        <v/>
      </c>
      <c r="D278" t="e">
        <f>Weighting!$C$14</f>
        <v>#DIV/0!</v>
      </c>
      <c r="E278" t="e">
        <f>Weighting!$E$14</f>
        <v>#NUM!</v>
      </c>
      <c r="F278" t="e">
        <f>IF(E278=1,'Data Transformation'!$G$3+0.5*'Data Transformation'!$U$25,IF(E279=1,F279-'Data Transformation'!$U$25,FALSE))</f>
        <v>#NUM!</v>
      </c>
      <c r="G278">
        <f t="array" ref="G278">IF(ISLOGICAL(F278),"",FREQUENCY(IF('Data Transformation'!$B$24:$B$404='Bin Analysis and Plots'!$D$267,'Data Transformation'!$G$24:$G$404),'Bin Analysis and Plots'!F278))</f>
        <v>0</v>
      </c>
      <c r="H278">
        <f t="shared" si="33"/>
        <v>0</v>
      </c>
      <c r="I278">
        <f>Weighting!$G$14</f>
        <v>0</v>
      </c>
      <c r="J278">
        <f t="array" ref="J278">FREQUENCY(IF('Data Transformation'!$B$4:$B$404=D267,'Data Transformation'!$G$4:$G$404),'Bin Analysis and Plots'!$D278)</f>
        <v>0</v>
      </c>
      <c r="K278">
        <f t="shared" si="34"/>
        <v>0</v>
      </c>
      <c r="L278">
        <f t="shared" si="35"/>
        <v>0</v>
      </c>
      <c r="M278">
        <f>L278*Weighting!$V$14</f>
        <v>0</v>
      </c>
    </row>
    <row r="279" spans="1:13">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t="str">
        <f>IF(Weighting!$O$15&gt;0,D279,"")</f>
        <v/>
      </c>
      <c r="D279" t="e">
        <f>Weighting!$C$15</f>
        <v>#DIV/0!</v>
      </c>
      <c r="E279" t="e">
        <f>Weighting!$E$15</f>
        <v>#NUM!</v>
      </c>
      <c r="F279" t="e">
        <f>IF(E279=1,'Data Transformation'!$G$3+0.5*'Data Transformation'!$U$25,IF(E280=1,F280-'Data Transformation'!$U$25,FALSE))</f>
        <v>#NUM!</v>
      </c>
      <c r="G279">
        <f t="array" ref="G279">IF(ISLOGICAL(F279),"",FREQUENCY(IF('Data Transformation'!$B$24:$B$404='Bin Analysis and Plots'!$D$267,'Data Transformation'!$G$24:$G$404),'Bin Analysis and Plots'!F279))</f>
        <v>0</v>
      </c>
      <c r="H279">
        <f t="shared" si="33"/>
        <v>0</v>
      </c>
      <c r="I279">
        <f>Weighting!$G$15</f>
        <v>0</v>
      </c>
      <c r="J279">
        <f t="array" ref="J279">FREQUENCY(IF('Data Transformation'!$B$4:$B$404=D267,'Data Transformation'!$G$4:$G$404),'Bin Analysis and Plots'!$D279)</f>
        <v>0</v>
      </c>
      <c r="K279">
        <f t="shared" si="34"/>
        <v>0</v>
      </c>
      <c r="L279">
        <f t="shared" si="35"/>
        <v>0</v>
      </c>
      <c r="M279">
        <f>L279*Weighting!$V$15</f>
        <v>0</v>
      </c>
    </row>
    <row r="280" spans="1:13">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t="e">
        <f>Weighting!$C$16</f>
        <v>#DIV/0!</v>
      </c>
      <c r="E280" t="e">
        <f>Weighting!$E$16</f>
        <v>#NUM!</v>
      </c>
      <c r="F280" t="e">
        <f>IF(E280=1,'Data Transformation'!$G$3+0.5*'Data Transformation'!$U$25,IF(E281=1,F281-'Data Transformation'!$U$25,FALSE))</f>
        <v>#NUM!</v>
      </c>
      <c r="G280">
        <f t="array" ref="G280">IF(ISLOGICAL(F280),"",FREQUENCY(IF('Data Transformation'!$B$24:$B$404='Bin Analysis and Plots'!$D$267,'Data Transformation'!$G$24:$G$404),'Bin Analysis and Plots'!F280))</f>
        <v>0</v>
      </c>
      <c r="H280">
        <f t="shared" si="33"/>
        <v>0</v>
      </c>
      <c r="I280">
        <f>Weighting!$G$16</f>
        <v>0</v>
      </c>
      <c r="J280">
        <f t="array" ref="J280">FREQUENCY(IF('Data Transformation'!$B$4:$B$404=D267,'Data Transformation'!$G$4:$G$404),'Bin Analysis and Plots'!$D280)</f>
        <v>0</v>
      </c>
      <c r="K280">
        <f t="shared" si="34"/>
        <v>0</v>
      </c>
      <c r="L280">
        <f t="shared" si="35"/>
        <v>0</v>
      </c>
      <c r="M280">
        <f>L280*Weighting!$V$16</f>
        <v>0</v>
      </c>
    </row>
    <row r="281" spans="1:13">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t="e">
        <f>Weighting!$C$17</f>
        <v>#DIV/0!</v>
      </c>
      <c r="E281" t="e">
        <f>Weighting!$E$17</f>
        <v>#NUM!</v>
      </c>
      <c r="F281" t="e">
        <f>IF(E281=1,'Data Transformation'!$G$3+0.5*'Data Transformation'!$U$25,IF(E282=1,F282-'Data Transformation'!$U$25,FALSE))</f>
        <v>#NUM!</v>
      </c>
      <c r="G281">
        <f t="array" ref="G281">IF(ISLOGICAL(F281),"",FREQUENCY(IF('Data Transformation'!$B$24:$B$404='Bin Analysis and Plots'!$D$267,'Data Transformation'!$G$24:$G$404),'Bin Analysis and Plots'!F281))</f>
        <v>0</v>
      </c>
      <c r="H281">
        <f t="shared" si="33"/>
        <v>0</v>
      </c>
      <c r="I281">
        <f>Weighting!$G$17</f>
        <v>0</v>
      </c>
      <c r="J281">
        <f t="array" ref="J281">FREQUENCY(IF('Data Transformation'!$B$4:$B$404=D267,'Data Transformation'!$G$4:$G$404),'Bin Analysis and Plots'!$D281)</f>
        <v>0</v>
      </c>
      <c r="K281">
        <f t="shared" si="34"/>
        <v>0</v>
      </c>
      <c r="L281">
        <f t="shared" si="35"/>
        <v>0</v>
      </c>
      <c r="M281">
        <f>L281*Weighting!$V$17</f>
        <v>0</v>
      </c>
    </row>
    <row r="282" spans="1:13">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t="e">
        <f>Weighting!$C$18</f>
        <v>#DIV/0!</v>
      </c>
      <c r="E282" t="e">
        <f>Weighting!$E$18</f>
        <v>#NUM!</v>
      </c>
      <c r="F282" t="e">
        <f>IF(E282=1,'Data Transformation'!$G$3+0.5*'Data Transformation'!$U$25,IF(E283=1,F283-'Data Transformation'!$U$25,FALSE))</f>
        <v>#NUM!</v>
      </c>
      <c r="G282">
        <f t="array" ref="G282">IF(ISLOGICAL(F282),"",FREQUENCY(IF('Data Transformation'!$B$24:$B$404='Bin Analysis and Plots'!$D$267,'Data Transformation'!$G$24:$G$404),'Bin Analysis and Plots'!F282))</f>
        <v>0</v>
      </c>
      <c r="H282">
        <f t="shared" si="33"/>
        <v>0</v>
      </c>
      <c r="I282">
        <f>Weighting!$G$18</f>
        <v>0</v>
      </c>
      <c r="J282">
        <f t="array" ref="J282">FREQUENCY(IF('Data Transformation'!$B$4:$B$404=D267,'Data Transformation'!$G$4:$G$404),'Bin Analysis and Plots'!$D282)</f>
        <v>0</v>
      </c>
      <c r="K282">
        <f t="shared" si="34"/>
        <v>0</v>
      </c>
      <c r="L282">
        <f t="shared" si="35"/>
        <v>0</v>
      </c>
      <c r="M282">
        <f>L282*Weighting!$V$18</f>
        <v>0</v>
      </c>
    </row>
    <row r="283" spans="1:13">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t="e">
        <f>Weighting!$C$19</f>
        <v>#DIV/0!</v>
      </c>
      <c r="E283" t="e">
        <f>Weighting!$E$19</f>
        <v>#NUM!</v>
      </c>
      <c r="F283" t="e">
        <f>IF(E283=1,'Data Transformation'!$G$3+0.5*'Data Transformation'!$U$25,IF(E284=1,F284-'Data Transformation'!$U$25,FALSE))</f>
        <v>#NUM!</v>
      </c>
      <c r="G283">
        <f t="array" ref="G283">IF(ISLOGICAL(F283),"",FREQUENCY(IF('Data Transformation'!$B$24:$B$404='Bin Analysis and Plots'!$D$267,'Data Transformation'!$G$24:$G$404),'Bin Analysis and Plots'!F283))</f>
        <v>0</v>
      </c>
      <c r="H283">
        <f t="shared" si="33"/>
        <v>0</v>
      </c>
      <c r="I283">
        <f>Weighting!$G$19</f>
        <v>0</v>
      </c>
      <c r="J283">
        <f t="array" ref="J283">FREQUENCY(IF('Data Transformation'!$B$4:$B$404=D267,'Data Transformation'!$G$4:$G$404),'Bin Analysis and Plots'!$D283)</f>
        <v>0</v>
      </c>
      <c r="K283">
        <f t="shared" si="34"/>
        <v>0</v>
      </c>
      <c r="L283">
        <f t="shared" si="35"/>
        <v>0</v>
      </c>
      <c r="M283">
        <f>L283*Weighting!$V$19</f>
        <v>0</v>
      </c>
    </row>
    <row r="284" spans="1:13">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t="e">
        <f>Weighting!$C$20</f>
        <v>#DIV/0!</v>
      </c>
      <c r="E284" t="e">
        <f>Weighting!$E$20</f>
        <v>#NUM!</v>
      </c>
      <c r="F284" t="e">
        <f>IF(E284=1,'Data Transformation'!$G$3+0.5*'Data Transformation'!$U$25,IF(E285=1,F285-'Data Transformation'!$U$25,FALSE))</f>
        <v>#NUM!</v>
      </c>
      <c r="G284">
        <f t="array" ref="G284">IF(ISLOGICAL(F284),"",FREQUENCY(IF('Data Transformation'!$B$24:$B$404='Bin Analysis and Plots'!$D$267,'Data Transformation'!$G$24:$G$404),'Bin Analysis and Plots'!F284))</f>
        <v>0</v>
      </c>
      <c r="H284">
        <f t="shared" si="33"/>
        <v>0</v>
      </c>
      <c r="I284">
        <f>Weighting!$G$20</f>
        <v>0</v>
      </c>
      <c r="J284">
        <f t="array" ref="J284">FREQUENCY(IF('Data Transformation'!$B$4:$B$404=D267,'Data Transformation'!$G$4:$G$404),'Bin Analysis and Plots'!$D284)</f>
        <v>0</v>
      </c>
      <c r="K284">
        <f t="shared" si="34"/>
        <v>0</v>
      </c>
      <c r="L284">
        <f t="shared" si="35"/>
        <v>0</v>
      </c>
      <c r="M284">
        <f>L284*Weighting!$V$20</f>
        <v>0</v>
      </c>
    </row>
    <row r="285" spans="1:13">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t="e">
        <f>Weighting!$C$21</f>
        <v>#DIV/0!</v>
      </c>
      <c r="E285" t="e">
        <f>Weighting!$E$21</f>
        <v>#NUM!</v>
      </c>
      <c r="F285" t="e">
        <f>IF(E285=1,'Data Transformation'!$G$3+0.5*'Data Transformation'!$U$25,IF(E286=1,F286-'Data Transformation'!$U$25,FALSE))</f>
        <v>#NUM!</v>
      </c>
      <c r="G285">
        <f t="array" ref="G285">IF(ISLOGICAL(F285),"",FREQUENCY(IF('Data Transformation'!$B$24:$B$404='Bin Analysis and Plots'!$D$267,'Data Transformation'!$G$24:$G$404),'Bin Analysis and Plots'!F285))</f>
        <v>0</v>
      </c>
      <c r="H285">
        <f t="shared" si="33"/>
        <v>0</v>
      </c>
      <c r="I285">
        <f>Weighting!$G$21</f>
        <v>0</v>
      </c>
      <c r="J285">
        <f t="array" ref="J285">FREQUENCY(IF('Data Transformation'!$B$4:$B$404=D267,'Data Transformation'!$G$4:$G$404),'Bin Analysis and Plots'!$D285)</f>
        <v>0</v>
      </c>
      <c r="K285">
        <f t="shared" si="34"/>
        <v>0</v>
      </c>
      <c r="L285">
        <f t="shared" si="35"/>
        <v>0</v>
      </c>
      <c r="M285">
        <f>L285*Weighting!$V$21</f>
        <v>0</v>
      </c>
    </row>
    <row r="286" spans="1:13">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t="e">
        <f>Weighting!$C$22</f>
        <v>#DIV/0!</v>
      </c>
      <c r="E286" t="e">
        <f>Weighting!$E$22</f>
        <v>#NUM!</v>
      </c>
      <c r="F286" t="e">
        <f>IF(E286=1,'Data Transformation'!$G$3+0.5*'Data Transformation'!$U$25,IF(E287=1,F287-'Data Transformation'!$U$25,FALSE))</f>
        <v>#NUM!</v>
      </c>
      <c r="G286">
        <f t="array" ref="G286">IF(ISLOGICAL(F286),"",FREQUENCY(IF('Data Transformation'!$B$24:$B$404='Bin Analysis and Plots'!$D$267,'Data Transformation'!$G$24:$G$404),'Bin Analysis and Plots'!F286))</f>
        <v>0</v>
      </c>
      <c r="H286">
        <f t="shared" si="33"/>
        <v>0</v>
      </c>
      <c r="I286">
        <f>Weighting!$G$22</f>
        <v>0</v>
      </c>
      <c r="J286">
        <f t="array" ref="J286">FREQUENCY(IF('Data Transformation'!$B$4:$B$404=D267,'Data Transformation'!$G$4:$G$404),'Bin Analysis and Plots'!$D286)</f>
        <v>0</v>
      </c>
      <c r="K286">
        <f t="shared" si="34"/>
        <v>0</v>
      </c>
      <c r="L286">
        <f t="shared" si="35"/>
        <v>0</v>
      </c>
      <c r="M286">
        <f>L286*Weighting!$V$22</f>
        <v>0</v>
      </c>
    </row>
    <row r="287" spans="1:13">
      <c r="A287" s="29" t="b">
        <f t="array" ref="A287">IF(ISERROR(INDEX('Data Transformation'!$B$4:$G$450,SMALL(IF('Data Transformation'!$B$4:$B$450='Bin Analysis and Plots'!D267,ROW('Data Transformation'!$B$4:$B$450)),ROW($18:$18))-3,3)),"",INDEX('Data Transformation'!$B$4:$G$450,SMALL(IF('Data Transformation'!$B$4:$B$450='Bin Analysis and Plots'!D267,ROW('Data Transformation'!$B$4:$B$450)),ROW($18:$18))-3,6))</f>
        <v>0</v>
      </c>
      <c r="B287" s="29" t="str">
        <f>IFERROR(SMALL(A270:A289,'Data Transformation'!$L$23),"")</f>
        <v/>
      </c>
      <c r="C287" s="41" t="str">
        <f>IF(Weighting!$O$23&gt;0,D287,"")</f>
        <v/>
      </c>
      <c r="D287" t="e">
        <f>Weighting!$C$23</f>
        <v>#DIV/0!</v>
      </c>
      <c r="E287" t="e">
        <f>Weighting!$E$23</f>
        <v>#NUM!</v>
      </c>
      <c r="F287" t="e">
        <f>IF(E287=1,'Data Transformation'!$G$3+0.5*'Data Transformation'!$U$25,IF(E288=1,F288-'Data Transformation'!$U$25,FALSE))</f>
        <v>#NUM!</v>
      </c>
      <c r="G287">
        <f t="array" ref="G287">IF(ISLOGICAL(F287),"",FREQUENCY(IF('Data Transformation'!$B$24:$B$404='Bin Analysis and Plots'!$D$267,'Data Transformation'!$G$24:$G$404),'Bin Analysis and Plots'!F287))</f>
        <v>0</v>
      </c>
      <c r="H287">
        <f t="shared" si="33"/>
        <v>0</v>
      </c>
      <c r="I287">
        <f>Weighting!$G$23</f>
        <v>0</v>
      </c>
      <c r="J287">
        <f t="array" ref="J287">FREQUENCY(IF('Data Transformation'!$B$4:$B$404=D267,'Data Transformation'!$G$4:$G$404),'Bin Analysis and Plots'!$D287)</f>
        <v>0</v>
      </c>
      <c r="K287">
        <f t="shared" si="34"/>
        <v>0</v>
      </c>
      <c r="L287">
        <f t="shared" si="35"/>
        <v>0</v>
      </c>
      <c r="M287">
        <f>L287*Weighting!$V$23</f>
        <v>0</v>
      </c>
    </row>
    <row r="288" spans="1:13">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t="e">
        <f>Weighting!$C$24</f>
        <v>#DIV/0!</v>
      </c>
      <c r="E288" t="e">
        <f>Weighting!$E$24</f>
        <v>#NUM!</v>
      </c>
      <c r="F288" t="e">
        <f>IF(E288=1,'Data Transformation'!$G$3+0.5*'Data Transformation'!$U$25,IF(E289=1,F289-'Data Transformation'!$U$25,FALSE))</f>
        <v>#NUM!</v>
      </c>
      <c r="G288">
        <f t="array" ref="G288">IF(ISLOGICAL(F288),"",FREQUENCY(IF('Data Transformation'!$B$24:$B$404='Bin Analysis and Plots'!$D$267,'Data Transformation'!$G$24:$G$404),'Bin Analysis and Plots'!F288))</f>
        <v>0</v>
      </c>
      <c r="H288">
        <f t="shared" si="33"/>
        <v>0</v>
      </c>
      <c r="I288">
        <f>Weighting!$G$24</f>
        <v>0</v>
      </c>
      <c r="J288">
        <f t="array" ref="J288">FREQUENCY(IF('Data Transformation'!$B$4:$B$404=D267,'Data Transformation'!$G$4:$G$404),'Bin Analysis and Plots'!$D288)</f>
        <v>0</v>
      </c>
      <c r="K288">
        <f t="shared" si="34"/>
        <v>0</v>
      </c>
      <c r="L288">
        <f t="shared" si="35"/>
        <v>0</v>
      </c>
      <c r="M288">
        <f>L288*Weighting!$V$24</f>
        <v>0</v>
      </c>
    </row>
    <row r="289" spans="1:27">
      <c r="A289" s="29" t="b">
        <f t="array" ref="A289">IF(ISERROR(INDEX('Data Transformation'!$B$4:$G$450,SMALL(IF('Data Transformation'!$B$4:$B$450='Bin Analysis and Plots'!D267,ROW('Data Transformation'!$B$4:$B$450)),ROW($20:$20))-3,3)),"",INDEX('Data Transformation'!$B$4:$G$450,SMALL(IF('Data Transformation'!$B$4:$B$450='Bin Analysis and Plots'!D267,ROW('Data Transformation'!$B$4:$B$450)),ROW($20:$20))-3,6))</f>
        <v>0</v>
      </c>
      <c r="B289" s="29" t="str">
        <f>IFERROR(SMALL(A270:A289,'Data Transformation'!$L$25),"")</f>
        <v/>
      </c>
      <c r="C289" s="41" t="str">
        <f>IF(Weighting!$O$25&gt;0,D289,"")</f>
        <v/>
      </c>
      <c r="D289" t="e">
        <f>Weighting!$C$25</f>
        <v>#DIV/0!</v>
      </c>
      <c r="E289" t="e">
        <f>Weighting!$E$25</f>
        <v>#NUM!</v>
      </c>
      <c r="F289" t="e">
        <f>IF(E289=1,'Data Transformation'!$G$3+0.5*'Data Transformation'!$U$25,IF(E290=1,F290-'Data Transformation'!$U$25,FALSE))</f>
        <v>#NUM!</v>
      </c>
      <c r="G289">
        <f t="array" ref="G289">IF(ISLOGICAL(F289),"",FREQUENCY(IF('Data Transformation'!$B$24:$B$404='Bin Analysis and Plots'!$D$267,'Data Transformation'!$G$24:$G$404),'Bin Analysis and Plots'!F289))</f>
        <v>0</v>
      </c>
      <c r="H289">
        <f t="shared" si="33"/>
        <v>0</v>
      </c>
      <c r="I289">
        <f>Weighting!$G$25</f>
        <v>0</v>
      </c>
      <c r="J289">
        <f t="array" ref="J289">FREQUENCY(IF('Data Transformation'!$B$4:$B$404=D267,'Data Transformation'!$G$4:$G$404),'Bin Analysis and Plots'!$D289)</f>
        <v>0</v>
      </c>
      <c r="K289">
        <f t="shared" si="34"/>
        <v>0</v>
      </c>
      <c r="L289">
        <f t="shared" si="35"/>
        <v>0</v>
      </c>
      <c r="M289">
        <f>L289*Weighting!$V$25</f>
        <v>0</v>
      </c>
    </row>
    <row r="290" spans="1:27">
      <c r="C290" s="41" t="str">
        <f>IF(B290="","",D290)</f>
        <v/>
      </c>
    </row>
    <row r="291" spans="1:27" ht="23.2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8" cm="1">
        <f t="array" ref="Z291:Z292">FREQUENCY(IF('Data Transformation'!$B$24:$B$404='Bin Analysis and Plots'!N291,'Data Transformation'!$G$24:$G$404),'Data Transformation'!$U$11)</f>
        <v>0</v>
      </c>
      <c r="AA291" s="78" cm="1">
        <f t="array" ref="AA291:AA292">FREQUENCY(IF('Data Transformation'!$B$24:$B$404='Bin Analysis and Plots'!N291,'Data Transformation'!$G$24:$G$404),'Data Transformation'!$U$12)</f>
        <v>0</v>
      </c>
    </row>
    <row r="292" spans="1:27" ht="21">
      <c r="A292" s="91" t="s">
        <v>64</v>
      </c>
      <c r="B292" s="91"/>
      <c r="C292" s="14" t="s">
        <v>72</v>
      </c>
      <c r="D292" t="s">
        <v>50</v>
      </c>
      <c r="E292" t="s">
        <v>5</v>
      </c>
      <c r="I292" t="s">
        <v>74</v>
      </c>
      <c r="J292" t="s">
        <v>34</v>
      </c>
      <c r="K292" t="s">
        <v>35</v>
      </c>
      <c r="L292" t="s">
        <v>49</v>
      </c>
      <c r="M292" s="14" t="s">
        <v>48</v>
      </c>
      <c r="Z292" s="78">
        <v>0</v>
      </c>
      <c r="AA292" s="78">
        <v>0</v>
      </c>
    </row>
    <row r="293" spans="1:27">
      <c r="C293" s="41" t="str">
        <f>IF(B293="","",D293)</f>
        <v/>
      </c>
      <c r="F293" t="e">
        <f>IF(E293=1,'Data Transformation'!$G$3+0.5*'Data Transformation'!$U$25,IF(E294=1,F294-'Data Transformation'!$U$25,FALSE))</f>
        <v>#NUM!</v>
      </c>
      <c r="G293">
        <f t="array" ref="G293">IF(ISLOGICAL(F293),"",FREQUENCY(IF('Data Transformation'!$B$24:$B$404='Bin Analysis and Plots'!$D$291,'Data Transformation'!$G$24:$G$404),'Bin Analysis and Plots'!F293))</f>
        <v>0</v>
      </c>
      <c r="H293">
        <f>IF(ISLOGICAL(F293),"",G293-G292)</f>
        <v>0</v>
      </c>
    </row>
    <row r="294" spans="1:27">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t="e">
        <f>IF(Weighting!$O$6&gt;0,D294,"")</f>
        <v>#NUM!</v>
      </c>
      <c r="D294" t="e">
        <f>Weighting!$C$6</f>
        <v>#DIV/0!</v>
      </c>
      <c r="E294" t="e">
        <f>Weighting!$E$6</f>
        <v>#NUM!</v>
      </c>
      <c r="F294" t="e">
        <f>IF(E294=1,'Data Transformation'!$G$3+0.5*'Data Transformation'!$U$25,IF(E295=1,F295-'Data Transformation'!$U$25,FALSE))</f>
        <v>#NUM!</v>
      </c>
      <c r="G294">
        <f t="array" ref="G294">IF(ISLOGICAL(F294),"",FREQUENCY(IF('Data Transformation'!$B$24:$B$404='Bin Analysis and Plots'!$D$291,'Data Transformation'!$G$24:$G$404),'Bin Analysis and Plots'!F294))</f>
        <v>0</v>
      </c>
      <c r="H294">
        <f>IF(ISLOGICAL(F294),"",G294-G293)</f>
        <v>0</v>
      </c>
      <c r="I294">
        <f>Weighting!$G$6</f>
        <v>1</v>
      </c>
      <c r="J294">
        <f t="array" ref="J294">FREQUENCY(IF('Data Transformation'!$B$4:$B$404=D291,'Data Transformation'!$G$4:$G$404),'Bin Analysis and Plots'!$D294)</f>
        <v>0</v>
      </c>
      <c r="K294">
        <f>J294-J293</f>
        <v>0</v>
      </c>
      <c r="L294">
        <f>IF(K294=0,0,1)</f>
        <v>0</v>
      </c>
      <c r="M294" t="e">
        <f>L294*Weighting!$V$6</f>
        <v>#NUM!</v>
      </c>
    </row>
    <row r="295" spans="1:27">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t="str">
        <f>IF(Weighting!$O$7&gt;0,D295,"")</f>
        <v/>
      </c>
      <c r="D295" t="e">
        <f>Weighting!$C$7</f>
        <v>#DIV/0!</v>
      </c>
      <c r="E295" t="e">
        <f>Weighting!$E$7</f>
        <v>#NUM!</v>
      </c>
      <c r="F295" t="e">
        <f>IF(E295=1,'Data Transformation'!$G$3+0.5*'Data Transformation'!$U$25,IF(E296=1,F296-'Data Transformation'!$U$25,FALSE))</f>
        <v>#NUM!</v>
      </c>
      <c r="G295">
        <f t="array" ref="G295">IF(ISLOGICAL(F295),"",FREQUENCY(IF('Data Transformation'!$B$24:$B$404='Bin Analysis and Plots'!$D$291,'Data Transformation'!$G$24:$G$404),'Bin Analysis and Plots'!F295))</f>
        <v>0</v>
      </c>
      <c r="H295">
        <f t="shared" ref="H295:H313" si="36">IF(ISLOGICAL(F295),"",G295-G294)</f>
        <v>0</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t="str">
        <f>IF(Weighting!$O$8&gt;0,D296,"")</f>
        <v/>
      </c>
      <c r="D296" t="e">
        <f>Weighting!$C$8</f>
        <v>#DIV/0!</v>
      </c>
      <c r="E296" t="e">
        <f>Weighting!$E$8</f>
        <v>#NUM!</v>
      </c>
      <c r="F296" t="e">
        <f>IF(E296=1,'Data Transformation'!$G$3+0.5*'Data Transformation'!$U$25,IF(E297=1,F297-'Data Transformation'!$U$25,FALSE))</f>
        <v>#NUM!</v>
      </c>
      <c r="G296">
        <f t="array" ref="G296">IF(ISLOGICAL(F296),"",FREQUENCY(IF('Data Transformation'!$B$24:$B$404='Bin Analysis and Plots'!$D$291,'Data Transformation'!$G$24:$G$404),'Bin Analysis and Plots'!F296))</f>
        <v>0</v>
      </c>
      <c r="H296">
        <f t="shared" si="36"/>
        <v>0</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t="str">
        <f>IF(Weighting!$O$9&gt;0,D297,"")</f>
        <v/>
      </c>
      <c r="D297" t="e">
        <f>Weighting!$B$9</f>
        <v>#DIV/0!</v>
      </c>
      <c r="E297" t="e">
        <f>Weighting!$E$9</f>
        <v>#NUM!</v>
      </c>
      <c r="F297" t="e">
        <f>IF(E297=1,'Data Transformation'!$G$3+0.5*'Data Transformation'!$U$25,IF(E298=1,F298-'Data Transformation'!$U$25,FALSE))</f>
        <v>#NUM!</v>
      </c>
      <c r="G297">
        <f t="array" ref="G297">IF(ISLOGICAL(F297),"",FREQUENCY(IF('Data Transformation'!$B$24:$B$404='Bin Analysis and Plots'!$D$291,'Data Transformation'!$G$24:$G$404),'Bin Analysis and Plots'!F297))</f>
        <v>0</v>
      </c>
      <c r="H297">
        <f t="shared" si="36"/>
        <v>0</v>
      </c>
      <c r="I297">
        <f>Weighting!$G$9</f>
        <v>0</v>
      </c>
      <c r="J297">
        <f t="array" ref="J297">FREQUENCY(IF('Data Transformation'!$B$4:$B$404=D291,'Data Transformation'!$G$4:$G$404),'Bin Analysis and Plots'!$D297)</f>
        <v>0</v>
      </c>
      <c r="K297">
        <f t="shared" si="37"/>
        <v>0</v>
      </c>
      <c r="L297">
        <f t="shared" si="38"/>
        <v>0</v>
      </c>
      <c r="M297">
        <f>L297*Weighting!$V$9</f>
        <v>0</v>
      </c>
    </row>
    <row r="298" spans="1:27">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t="str">
        <f>IF(Weighting!$O$10&gt;0,D298,"")</f>
        <v/>
      </c>
      <c r="D298" t="e">
        <f>Weighting!$C$10</f>
        <v>#DIV/0!</v>
      </c>
      <c r="E298" t="e">
        <f>Weighting!$E$10</f>
        <v>#NUM!</v>
      </c>
      <c r="F298" t="e">
        <f>IF(E298=1,'Data Transformation'!$G$3+0.5*'Data Transformation'!$U$25,IF(E299=1,F299-'Data Transformation'!$U$25,FALSE))</f>
        <v>#NUM!</v>
      </c>
      <c r="G298">
        <f t="array" ref="G298">IF(ISLOGICAL(F298),"",FREQUENCY(IF('Data Transformation'!$B$24:$B$404='Bin Analysis and Plots'!$D$291,'Data Transformation'!$G$24:$G$404),'Bin Analysis and Plots'!F298))</f>
        <v>0</v>
      </c>
      <c r="H298">
        <f t="shared" si="36"/>
        <v>0</v>
      </c>
      <c r="I298">
        <f>Weighting!$G$10</f>
        <v>0</v>
      </c>
      <c r="J298">
        <f t="array" ref="J298">FREQUENCY(IF('Data Transformation'!$B$4:$B$404=D291,'Data Transformation'!$G$4:$G$404),'Bin Analysis and Plots'!$D298)</f>
        <v>0</v>
      </c>
      <c r="K298">
        <f t="shared" si="37"/>
        <v>0</v>
      </c>
      <c r="L298">
        <f t="shared" si="38"/>
        <v>0</v>
      </c>
      <c r="M298">
        <f>L298*Weighting!$V$10</f>
        <v>0</v>
      </c>
    </row>
    <row r="299" spans="1:27">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t="str">
        <f>IF(Weighting!$O$11&gt;0,D299,"")</f>
        <v/>
      </c>
      <c r="D299" t="e">
        <f>Weighting!$C$11</f>
        <v>#DIV/0!</v>
      </c>
      <c r="E299" t="e">
        <f>Weighting!$E$11</f>
        <v>#NUM!</v>
      </c>
      <c r="F299" t="e">
        <f>IF(E299=1,'Data Transformation'!$G$3+0.5*'Data Transformation'!$U$25,IF(E300=1,F300-'Data Transformation'!$U$25,FALSE))</f>
        <v>#NUM!</v>
      </c>
      <c r="G299">
        <f t="array" ref="G299">IF(ISLOGICAL(F299),"",FREQUENCY(IF('Data Transformation'!$B$24:$B$404='Bin Analysis and Plots'!$D$291,'Data Transformation'!$G$24:$G$404),'Bin Analysis and Plots'!F299))</f>
        <v>0</v>
      </c>
      <c r="H299">
        <f t="shared" si="36"/>
        <v>0</v>
      </c>
      <c r="I299">
        <f>Weighting!$G$11</f>
        <v>0</v>
      </c>
      <c r="J299">
        <f t="array" ref="J299">FREQUENCY(IF('Data Transformation'!$B$4:$B$404=D291,'Data Transformation'!$G$4:$G$404),'Bin Analysis and Plots'!$D299)</f>
        <v>0</v>
      </c>
      <c r="K299">
        <f t="shared" si="37"/>
        <v>0</v>
      </c>
      <c r="L299">
        <f t="shared" si="38"/>
        <v>0</v>
      </c>
      <c r="M299">
        <f>L299*Weighting!$V$11</f>
        <v>0</v>
      </c>
    </row>
    <row r="300" spans="1:27">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t="str">
        <f>IF(Weighting!$O$12&gt;0,D300,"")</f>
        <v/>
      </c>
      <c r="D300" t="e">
        <f>Weighting!$C$12</f>
        <v>#DIV/0!</v>
      </c>
      <c r="E300" t="e">
        <f>Weighting!$E$12</f>
        <v>#NUM!</v>
      </c>
      <c r="F300" t="e">
        <f>IF(E300=1,'Data Transformation'!$G$3+0.5*'Data Transformation'!$U$25,IF(E301=1,F301-'Data Transformation'!$U$25,FALSE))</f>
        <v>#NUM!</v>
      </c>
      <c r="G300">
        <f t="array" ref="G300">IF(ISLOGICAL(F300),"",FREQUENCY(IF('Data Transformation'!$B$24:$B$404='Bin Analysis and Plots'!$D$291,'Data Transformation'!$G$24:$G$404),'Bin Analysis and Plots'!F300))</f>
        <v>0</v>
      </c>
      <c r="H300">
        <f t="shared" si="36"/>
        <v>0</v>
      </c>
      <c r="I300">
        <f>Weighting!$G$12</f>
        <v>0</v>
      </c>
      <c r="J300">
        <f t="array" ref="J300">FREQUENCY(IF('Data Transformation'!$B$4:$B$404=D291,'Data Transformation'!$G$4:$G$404),'Bin Analysis and Plots'!$D300)</f>
        <v>0</v>
      </c>
      <c r="K300">
        <f t="shared" si="37"/>
        <v>0</v>
      </c>
      <c r="L300">
        <f t="shared" si="38"/>
        <v>0</v>
      </c>
      <c r="M300">
        <f>L300*Weighting!$V$12</f>
        <v>0</v>
      </c>
    </row>
    <row r="301" spans="1:27">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t="str">
        <f>IF(Weighting!$O$13&gt;0,D301,"")</f>
        <v/>
      </c>
      <c r="D301" t="e">
        <f>Weighting!$C$13</f>
        <v>#DIV/0!</v>
      </c>
      <c r="E301" t="e">
        <f>Weighting!$E$13</f>
        <v>#NUM!</v>
      </c>
      <c r="F301" t="e">
        <f>IF(E301=1,'Data Transformation'!$G$3+0.5*'Data Transformation'!$U$25,IF(E302=1,F302-'Data Transformation'!$U$25,FALSE))</f>
        <v>#NUM!</v>
      </c>
      <c r="G301">
        <f t="array" ref="G301">IF(ISLOGICAL(F301),"",FREQUENCY(IF('Data Transformation'!$B$24:$B$404='Bin Analysis and Plots'!$D$291,'Data Transformation'!$G$24:$G$404),'Bin Analysis and Plots'!F301))</f>
        <v>0</v>
      </c>
      <c r="H301">
        <f t="shared" si="36"/>
        <v>0</v>
      </c>
      <c r="I301">
        <f>Weighting!$G$13</f>
        <v>0</v>
      </c>
      <c r="J301">
        <f t="array" ref="J301">FREQUENCY(IF('Data Transformation'!$B$4:$B$404=D291,'Data Transformation'!$G$4:$G$404),'Bin Analysis and Plots'!$D301)</f>
        <v>0</v>
      </c>
      <c r="K301">
        <f t="shared" si="37"/>
        <v>0</v>
      </c>
      <c r="L301">
        <f t="shared" si="38"/>
        <v>0</v>
      </c>
      <c r="M301">
        <f>L301*Weighting!$V$13</f>
        <v>0</v>
      </c>
    </row>
    <row r="302" spans="1:27">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t="str">
        <f>IF(Weighting!$O$14&gt;0,D302,"")</f>
        <v/>
      </c>
      <c r="D302" t="e">
        <f>Weighting!$C$14</f>
        <v>#DIV/0!</v>
      </c>
      <c r="E302" t="e">
        <f>Weighting!$E$14</f>
        <v>#NUM!</v>
      </c>
      <c r="F302" t="e">
        <f>IF(E302=1,'Data Transformation'!$G$3+0.5*'Data Transformation'!$U$25,IF(E303=1,F303-'Data Transformation'!$U$25,FALSE))</f>
        <v>#NUM!</v>
      </c>
      <c r="G302">
        <f t="array" ref="G302">IF(ISLOGICAL(F302),"",FREQUENCY(IF('Data Transformation'!$B$24:$B$404='Bin Analysis and Plots'!$D$291,'Data Transformation'!$G$24:$G$404),'Bin Analysis and Plots'!F302))</f>
        <v>0</v>
      </c>
      <c r="H302">
        <f t="shared" si="36"/>
        <v>0</v>
      </c>
      <c r="I302">
        <f>Weighting!$G$14</f>
        <v>0</v>
      </c>
      <c r="J302">
        <f t="array" ref="J302">FREQUENCY(IF('Data Transformation'!$B$4:$B$404=D291,'Data Transformation'!$G$4:$G$404),'Bin Analysis and Plots'!$D302)</f>
        <v>0</v>
      </c>
      <c r="K302">
        <f t="shared" si="37"/>
        <v>0</v>
      </c>
      <c r="L302">
        <f t="shared" si="38"/>
        <v>0</v>
      </c>
      <c r="M302">
        <f>L302*Weighting!$V$14</f>
        <v>0</v>
      </c>
    </row>
    <row r="303" spans="1:27">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t="str">
        <f>IF(Weighting!$O$15&gt;0,D303,"")</f>
        <v/>
      </c>
      <c r="D303" t="e">
        <f>Weighting!$C$15</f>
        <v>#DIV/0!</v>
      </c>
      <c r="E303" t="e">
        <f>Weighting!$E$15</f>
        <v>#NUM!</v>
      </c>
      <c r="F303" t="e">
        <f>IF(E303=1,'Data Transformation'!$G$3+0.5*'Data Transformation'!$U$25,IF(E304=1,F304-'Data Transformation'!$U$25,FALSE))</f>
        <v>#NUM!</v>
      </c>
      <c r="G303">
        <f t="array" ref="G303">IF(ISLOGICAL(F303),"",FREQUENCY(IF('Data Transformation'!$B$24:$B$404='Bin Analysis and Plots'!$D$291,'Data Transformation'!$G$24:$G$404),'Bin Analysis and Plots'!F303))</f>
        <v>0</v>
      </c>
      <c r="H303">
        <f t="shared" si="36"/>
        <v>0</v>
      </c>
      <c r="I303">
        <f>Weighting!$G$15</f>
        <v>0</v>
      </c>
      <c r="J303">
        <f t="array" ref="J303">FREQUENCY(IF('Data Transformation'!$B$4:$B$404=D291,'Data Transformation'!$G$4:$G$404),'Bin Analysis and Plots'!$D303)</f>
        <v>0</v>
      </c>
      <c r="K303">
        <f t="shared" si="37"/>
        <v>0</v>
      </c>
      <c r="L303">
        <f t="shared" si="38"/>
        <v>0</v>
      </c>
      <c r="M303">
        <f>L303*Weighting!$V$15</f>
        <v>0</v>
      </c>
    </row>
    <row r="304" spans="1:27">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t="e">
        <f>Weighting!$C$16</f>
        <v>#DIV/0!</v>
      </c>
      <c r="E304" t="e">
        <f>Weighting!$E$16</f>
        <v>#NUM!</v>
      </c>
      <c r="F304" t="e">
        <f>IF(E304=1,'Data Transformation'!$G$3+0.5*'Data Transformation'!$U$25,IF(E305=1,F305-'Data Transformation'!$U$25,FALSE))</f>
        <v>#NUM!</v>
      </c>
      <c r="G304">
        <f t="array" ref="G304">IF(ISLOGICAL(F304),"",FREQUENCY(IF('Data Transformation'!$B$24:$B$404='Bin Analysis and Plots'!$D$291,'Data Transformation'!$G$24:$G$404),'Bin Analysis and Plots'!F304))</f>
        <v>0</v>
      </c>
      <c r="H304">
        <f t="shared" si="36"/>
        <v>0</v>
      </c>
      <c r="I304">
        <f>Weighting!$G$16</f>
        <v>0</v>
      </c>
      <c r="J304">
        <f t="array" ref="J304">FREQUENCY(IF('Data Transformation'!$B$4:$B$404=D291,'Data Transformation'!$G$4:$G$404),'Bin Analysis and Plots'!$D304)</f>
        <v>0</v>
      </c>
      <c r="K304">
        <f t="shared" si="37"/>
        <v>0</v>
      </c>
      <c r="L304">
        <f t="shared" si="38"/>
        <v>0</v>
      </c>
      <c r="M304">
        <f>L304*Weighting!$V$16</f>
        <v>0</v>
      </c>
    </row>
    <row r="305" spans="1:27">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t="e">
        <f>Weighting!$C$17</f>
        <v>#DIV/0!</v>
      </c>
      <c r="E305" t="e">
        <f>Weighting!$E$17</f>
        <v>#NUM!</v>
      </c>
      <c r="F305" t="e">
        <f>IF(E305=1,'Data Transformation'!$G$3+0.5*'Data Transformation'!$U$25,IF(E306=1,F306-'Data Transformation'!$U$25,FALSE))</f>
        <v>#NUM!</v>
      </c>
      <c r="G305">
        <f t="array" ref="G305">IF(ISLOGICAL(F305),"",FREQUENCY(IF('Data Transformation'!$B$24:$B$404='Bin Analysis and Plots'!$D$291,'Data Transformation'!$G$24:$G$404),'Bin Analysis and Plots'!F305))</f>
        <v>0</v>
      </c>
      <c r="H305">
        <f t="shared" si="36"/>
        <v>0</v>
      </c>
      <c r="I305">
        <f>Weighting!$G$17</f>
        <v>0</v>
      </c>
      <c r="J305">
        <f t="array" ref="J305">FREQUENCY(IF('Data Transformation'!$B$4:$B$404=D291,'Data Transformation'!$G$4:$G$404),'Bin Analysis and Plots'!$D305)</f>
        <v>0</v>
      </c>
      <c r="K305">
        <f t="shared" si="37"/>
        <v>0</v>
      </c>
      <c r="L305">
        <f t="shared" si="38"/>
        <v>0</v>
      </c>
      <c r="M305">
        <f>L305*Weighting!$V$17</f>
        <v>0</v>
      </c>
    </row>
    <row r="306" spans="1:27">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t="e">
        <f>Weighting!$C$18</f>
        <v>#DIV/0!</v>
      </c>
      <c r="E306" t="e">
        <f>Weighting!$E$18</f>
        <v>#NUM!</v>
      </c>
      <c r="F306" t="e">
        <f>IF(E306=1,'Data Transformation'!$G$3+0.5*'Data Transformation'!$U$25,IF(E307=1,F307-'Data Transformation'!$U$25,FALSE))</f>
        <v>#NUM!</v>
      </c>
      <c r="G306">
        <f t="array" ref="G306">IF(ISLOGICAL(F306),"",FREQUENCY(IF('Data Transformation'!$B$24:$B$404='Bin Analysis and Plots'!$D$291,'Data Transformation'!$G$24:$G$404),'Bin Analysis and Plots'!F306))</f>
        <v>0</v>
      </c>
      <c r="H306">
        <f t="shared" si="36"/>
        <v>0</v>
      </c>
      <c r="I306">
        <f>Weighting!$G$18</f>
        <v>0</v>
      </c>
      <c r="J306">
        <f t="array" ref="J306">FREQUENCY(IF('Data Transformation'!$B$4:$B$404=D291,'Data Transformation'!$G$4:$G$404),'Bin Analysis and Plots'!$D306)</f>
        <v>0</v>
      </c>
      <c r="K306">
        <f t="shared" si="37"/>
        <v>0</v>
      </c>
      <c r="L306">
        <f t="shared" si="38"/>
        <v>0</v>
      </c>
      <c r="M306">
        <f>L306*Weighting!$V$18</f>
        <v>0</v>
      </c>
    </row>
    <row r="307" spans="1:27">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t="e">
        <f>Weighting!$C$19</f>
        <v>#DIV/0!</v>
      </c>
      <c r="E307" t="e">
        <f>Weighting!$E$19</f>
        <v>#NUM!</v>
      </c>
      <c r="F307" t="e">
        <f>IF(E307=1,'Data Transformation'!$G$3+0.5*'Data Transformation'!$U$25,IF(E308=1,F308-'Data Transformation'!$U$25,FALSE))</f>
        <v>#NUM!</v>
      </c>
      <c r="G307">
        <f t="array" ref="G307">IF(ISLOGICAL(F307),"",FREQUENCY(IF('Data Transformation'!$B$24:$B$404='Bin Analysis and Plots'!$D$291,'Data Transformation'!$G$24:$G$404),'Bin Analysis and Plots'!F307))</f>
        <v>0</v>
      </c>
      <c r="H307">
        <f t="shared" si="36"/>
        <v>0</v>
      </c>
      <c r="I307">
        <f>Weighting!$G$19</f>
        <v>0</v>
      </c>
      <c r="J307">
        <f t="array" ref="J307">FREQUENCY(IF('Data Transformation'!$B$4:$B$404=D291,'Data Transformation'!$G$4:$G$404),'Bin Analysis and Plots'!$D307)</f>
        <v>0</v>
      </c>
      <c r="K307">
        <f t="shared" si="37"/>
        <v>0</v>
      </c>
      <c r="L307">
        <f t="shared" si="38"/>
        <v>0</v>
      </c>
      <c r="M307">
        <f>L307*Weighting!$V$19</f>
        <v>0</v>
      </c>
    </row>
    <row r="308" spans="1:27">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t="e">
        <f>Weighting!$C$20</f>
        <v>#DIV/0!</v>
      </c>
      <c r="E308" t="e">
        <f>Weighting!$E$20</f>
        <v>#NUM!</v>
      </c>
      <c r="F308" t="e">
        <f>IF(E308=1,'Data Transformation'!$G$3+0.5*'Data Transformation'!$U$25,IF(E309=1,F309-'Data Transformation'!$U$25,FALSE))</f>
        <v>#NUM!</v>
      </c>
      <c r="G308">
        <f t="array" ref="G308">IF(ISLOGICAL(F308),"",FREQUENCY(IF('Data Transformation'!$B$24:$B$404='Bin Analysis and Plots'!$D$291,'Data Transformation'!$G$24:$G$404),'Bin Analysis and Plots'!F308))</f>
        <v>0</v>
      </c>
      <c r="H308">
        <f t="shared" si="36"/>
        <v>0</v>
      </c>
      <c r="I308">
        <f>Weighting!$G$20</f>
        <v>0</v>
      </c>
      <c r="J308">
        <f t="array" ref="J308">FREQUENCY(IF('Data Transformation'!$B$4:$B$404=D291,'Data Transformation'!$G$4:$G$404),'Bin Analysis and Plots'!$D308)</f>
        <v>0</v>
      </c>
      <c r="K308">
        <f t="shared" si="37"/>
        <v>0</v>
      </c>
      <c r="L308">
        <f t="shared" si="38"/>
        <v>0</v>
      </c>
      <c r="M308">
        <f>L308*Weighting!$V$20</f>
        <v>0</v>
      </c>
    </row>
    <row r="309" spans="1:27">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t="e">
        <f>Weighting!$C$21</f>
        <v>#DIV/0!</v>
      </c>
      <c r="E309" t="e">
        <f>Weighting!$E$21</f>
        <v>#NUM!</v>
      </c>
      <c r="F309" t="e">
        <f>IF(E309=1,'Data Transformation'!$G$3+0.5*'Data Transformation'!$U$25,IF(E310=1,F310-'Data Transformation'!$U$25,FALSE))</f>
        <v>#NUM!</v>
      </c>
      <c r="G309">
        <f t="array" ref="G309">IF(ISLOGICAL(F309),"",FREQUENCY(IF('Data Transformation'!$B$24:$B$404='Bin Analysis and Plots'!$D$291,'Data Transformation'!$G$24:$G$404),'Bin Analysis and Plots'!F309))</f>
        <v>0</v>
      </c>
      <c r="H309">
        <f t="shared" si="36"/>
        <v>0</v>
      </c>
      <c r="I309">
        <f>Weighting!$G$21</f>
        <v>0</v>
      </c>
      <c r="J309">
        <f t="array" ref="J309">FREQUENCY(IF('Data Transformation'!$B$4:$B$404=D291,'Data Transformation'!$G$4:$G$404),'Bin Analysis and Plots'!$D309)</f>
        <v>0</v>
      </c>
      <c r="K309">
        <f t="shared" si="37"/>
        <v>0</v>
      </c>
      <c r="L309">
        <f t="shared" si="38"/>
        <v>0</v>
      </c>
      <c r="M309">
        <f>L309*Weighting!$V$21</f>
        <v>0</v>
      </c>
    </row>
    <row r="310" spans="1:27">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t="e">
        <f>Weighting!$C$22</f>
        <v>#DIV/0!</v>
      </c>
      <c r="E310" t="e">
        <f>Weighting!$E$22</f>
        <v>#NUM!</v>
      </c>
      <c r="F310" t="e">
        <f>IF(E310=1,'Data Transformation'!$G$3+0.5*'Data Transformation'!$U$25,IF(E311=1,F311-'Data Transformation'!$U$25,FALSE))</f>
        <v>#NUM!</v>
      </c>
      <c r="G310">
        <f t="array" ref="G310">IF(ISLOGICAL(F310),"",FREQUENCY(IF('Data Transformation'!$B$24:$B$404='Bin Analysis and Plots'!$D$291,'Data Transformation'!$G$24:$G$404),'Bin Analysis and Plots'!F310))</f>
        <v>0</v>
      </c>
      <c r="H310">
        <f t="shared" si="36"/>
        <v>0</v>
      </c>
      <c r="I310">
        <f>Weighting!$G$22</f>
        <v>0</v>
      </c>
      <c r="J310">
        <f t="array" ref="J310">FREQUENCY(IF('Data Transformation'!$B$4:$B$404=D291,'Data Transformation'!$G$4:$G$404),'Bin Analysis and Plots'!$D310)</f>
        <v>0</v>
      </c>
      <c r="K310">
        <f t="shared" si="37"/>
        <v>0</v>
      </c>
      <c r="L310">
        <f t="shared" si="38"/>
        <v>0</v>
      </c>
      <c r="M310">
        <f>L310*Weighting!$V$22</f>
        <v>0</v>
      </c>
    </row>
    <row r="311" spans="1:27">
      <c r="A311" s="29" t="b">
        <f t="array" ref="A311">IF(ISERROR(INDEX('Data Transformation'!$B$4:$G$450,SMALL(IF('Data Transformation'!$B$4:$B$450='Bin Analysis and Plots'!D291,ROW('Data Transformation'!$B$4:$B$450)),ROW($18:$18))-3,3)),"",INDEX('Data Transformation'!$B$4:$G$450,SMALL(IF('Data Transformation'!$B$4:$B$450='Bin Analysis and Plots'!D291,ROW('Data Transformation'!$B$4:$B$450)),ROW($18:$18))-3,6))</f>
        <v>0</v>
      </c>
      <c r="B311" s="29" t="str">
        <f>IFERROR(SMALL(A294:A313,'Data Transformation'!$L$23),"")</f>
        <v/>
      </c>
      <c r="C311" s="41" t="str">
        <f>IF(Weighting!$O$23&gt;0,D311,"")</f>
        <v/>
      </c>
      <c r="D311" t="e">
        <f>Weighting!$C$23</f>
        <v>#DIV/0!</v>
      </c>
      <c r="E311" t="e">
        <f>Weighting!$E$23</f>
        <v>#NUM!</v>
      </c>
      <c r="F311" t="e">
        <f>IF(E311=1,'Data Transformation'!$G$3+0.5*'Data Transformation'!$U$25,IF(E312=1,F312-'Data Transformation'!$U$25,FALSE))</f>
        <v>#NUM!</v>
      </c>
      <c r="G311">
        <f t="array" ref="G311">IF(ISLOGICAL(F311),"",FREQUENCY(IF('Data Transformation'!$B$24:$B$404='Bin Analysis and Plots'!$D$291,'Data Transformation'!$G$24:$G$404),'Bin Analysis and Plots'!F311))</f>
        <v>0</v>
      </c>
      <c r="H311">
        <f t="shared" si="36"/>
        <v>0</v>
      </c>
      <c r="I311">
        <f>Weighting!$G$23</f>
        <v>0</v>
      </c>
      <c r="J311">
        <f t="array" ref="J311">FREQUENCY(IF('Data Transformation'!$B$4:$B$404=D291,'Data Transformation'!$G$4:$G$404),'Bin Analysis and Plots'!$D311)</f>
        <v>0</v>
      </c>
      <c r="K311">
        <f t="shared" si="37"/>
        <v>0</v>
      </c>
      <c r="L311">
        <f t="shared" si="38"/>
        <v>0</v>
      </c>
      <c r="M311">
        <f>L311*Weighting!$V$23</f>
        <v>0</v>
      </c>
    </row>
    <row r="312" spans="1:27">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t="e">
        <f>Weighting!$C$24</f>
        <v>#DIV/0!</v>
      </c>
      <c r="E312" t="e">
        <f>Weighting!$E$24</f>
        <v>#NUM!</v>
      </c>
      <c r="F312" t="e">
        <f>IF(E312=1,'Data Transformation'!$G$3+0.5*'Data Transformation'!$U$25,IF(E313=1,F313-'Data Transformation'!$U$25,FALSE))</f>
        <v>#NUM!</v>
      </c>
      <c r="G312">
        <f t="array" ref="G312">IF(ISLOGICAL(F312),"",FREQUENCY(IF('Data Transformation'!$B$24:$B$404='Bin Analysis and Plots'!$D$291,'Data Transformation'!$G$24:$G$404),'Bin Analysis and Plots'!F312))</f>
        <v>0</v>
      </c>
      <c r="H312">
        <f t="shared" si="36"/>
        <v>0</v>
      </c>
      <c r="I312">
        <f>Weighting!$G$24</f>
        <v>0</v>
      </c>
      <c r="J312">
        <f t="array" ref="J312">FREQUENCY(IF('Data Transformation'!$B$4:$B$404=D291,'Data Transformation'!$G$4:$G$404),'Bin Analysis and Plots'!$D312)</f>
        <v>0</v>
      </c>
      <c r="K312">
        <f t="shared" si="37"/>
        <v>0</v>
      </c>
      <c r="L312">
        <f t="shared" si="38"/>
        <v>0</v>
      </c>
      <c r="M312">
        <f>L312*Weighting!$V$24</f>
        <v>0</v>
      </c>
    </row>
    <row r="313" spans="1:27">
      <c r="A313" s="29" t="b">
        <f t="array" ref="A313">IF(ISERROR(INDEX('Data Transformation'!$B$4:$G$450,SMALL(IF('Data Transformation'!$B$4:$B$450='Bin Analysis and Plots'!D291,ROW('Data Transformation'!$B$4:$B$450)),ROW($20:$20))-3,3)),"",INDEX('Data Transformation'!$B$4:$G$450,SMALL(IF('Data Transformation'!$B$4:$B$450='Bin Analysis and Plots'!D291,ROW('Data Transformation'!$B$4:$B$450)),ROW($20:$20))-3,6))</f>
        <v>0</v>
      </c>
      <c r="B313" s="29" t="str">
        <f>IFERROR(SMALL(A294:A313,'Data Transformation'!$L$25),"")</f>
        <v/>
      </c>
      <c r="C313" s="41" t="str">
        <f>IF(Weighting!$O$25&gt;0,D313,"")</f>
        <v/>
      </c>
      <c r="D313" t="e">
        <f>Weighting!$C$25</f>
        <v>#DIV/0!</v>
      </c>
      <c r="E313" t="e">
        <f>Weighting!$E$25</f>
        <v>#NUM!</v>
      </c>
      <c r="F313" t="e">
        <f>IF(E313=1,'Data Transformation'!$G$3+0.5*'Data Transformation'!$U$25,IF(E314=1,F314-'Data Transformation'!$U$25,FALSE))</f>
        <v>#NUM!</v>
      </c>
      <c r="G313">
        <f t="array" ref="G313">IF(ISLOGICAL(F313),"",FREQUENCY(IF('Data Transformation'!$B$24:$B$404='Bin Analysis and Plots'!$D$291,'Data Transformation'!$G$24:$G$404),'Bin Analysis and Plots'!F313))</f>
        <v>0</v>
      </c>
      <c r="H313">
        <f t="shared" si="36"/>
        <v>0</v>
      </c>
      <c r="I313">
        <f>Weighting!$G$25</f>
        <v>0</v>
      </c>
      <c r="J313">
        <f t="array" ref="J313">FREQUENCY(IF('Data Transformation'!$B$4:$B$404=D291,'Data Transformation'!$G$4:$G$404),'Bin Analysis and Plots'!$D313)</f>
        <v>0</v>
      </c>
      <c r="K313">
        <f t="shared" si="37"/>
        <v>0</v>
      </c>
      <c r="L313">
        <f t="shared" si="38"/>
        <v>0</v>
      </c>
      <c r="M313">
        <f>L313*Weighting!$V$25</f>
        <v>0</v>
      </c>
    </row>
    <row r="314" spans="1:27">
      <c r="C314" s="41" t="str">
        <f>IF(B314="","",D314)</f>
        <v/>
      </c>
    </row>
    <row r="315" spans="1:27" ht="23.2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8" cm="1">
        <f t="array" ref="Z315:Z316">FREQUENCY(IF('Data Transformation'!$B$24:$B$404='Bin Analysis and Plots'!N315,'Data Transformation'!$G$24:$G$404),'Data Transformation'!$U$11)</f>
        <v>0</v>
      </c>
      <c r="AA315" s="78" cm="1">
        <f t="array" ref="AA315:AA316">FREQUENCY(IF('Data Transformation'!$B$24:$B$404='Bin Analysis and Plots'!N315,'Data Transformation'!$G$24:$G$404),'Data Transformation'!$U$12)</f>
        <v>0</v>
      </c>
    </row>
    <row r="316" spans="1:27" ht="21">
      <c r="A316" s="91" t="s">
        <v>64</v>
      </c>
      <c r="B316" s="91"/>
      <c r="C316" s="14" t="s">
        <v>72</v>
      </c>
      <c r="D316" t="s">
        <v>50</v>
      </c>
      <c r="E316" t="s">
        <v>5</v>
      </c>
      <c r="I316" t="s">
        <v>74</v>
      </c>
      <c r="J316" t="s">
        <v>34</v>
      </c>
      <c r="K316" t="s">
        <v>35</v>
      </c>
      <c r="L316" t="s">
        <v>49</v>
      </c>
      <c r="M316" s="14" t="s">
        <v>48</v>
      </c>
      <c r="Z316" s="78">
        <v>0</v>
      </c>
      <c r="AA316" s="78">
        <v>0</v>
      </c>
    </row>
    <row r="317" spans="1:27">
      <c r="C317" s="41" t="str">
        <f>IF(B317="","",D317)</f>
        <v/>
      </c>
      <c r="F317" t="e">
        <f>IF(E317=1,'Data Transformation'!$G$3+0.5*'Data Transformation'!$U$25,IF(E318=1,F318-'Data Transformation'!$U$25,FALSE))</f>
        <v>#NUM!</v>
      </c>
      <c r="G317">
        <f t="array" ref="G317">IF(ISLOGICAL(F317),"",FREQUENCY(IF('Data Transformation'!$B$24:$B$404='Bin Analysis and Plots'!$D$315,'Data Transformation'!$G$24:$G$404),'Bin Analysis and Plots'!F317))</f>
        <v>0</v>
      </c>
      <c r="H317">
        <f>IF(ISLOGICAL(F317),"",G317-G316)</f>
        <v>0</v>
      </c>
    </row>
    <row r="318" spans="1:27">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t="e">
        <f>IF(Weighting!$O$6&gt;0,D318,"")</f>
        <v>#NUM!</v>
      </c>
      <c r="D318" t="e">
        <f>Weighting!$C$6</f>
        <v>#DIV/0!</v>
      </c>
      <c r="E318" t="e">
        <f>Weighting!$E$6</f>
        <v>#NUM!</v>
      </c>
      <c r="F318" t="e">
        <f>IF(E318=1,'Data Transformation'!$G$3+0.5*'Data Transformation'!$U$25,IF(E319=1,F319-'Data Transformation'!$U$25,FALSE))</f>
        <v>#NUM!</v>
      </c>
      <c r="G318">
        <f t="array" ref="G318">IF(ISLOGICAL(F318),"",FREQUENCY(IF('Data Transformation'!$B$24:$B$404='Bin Analysis and Plots'!$D$315,'Data Transformation'!$G$24:$G$404),'Bin Analysis and Plots'!F318))</f>
        <v>0</v>
      </c>
      <c r="H318">
        <f>IF(ISLOGICAL(F318),"",G318-G317)</f>
        <v>0</v>
      </c>
      <c r="I318">
        <f>Weighting!$G$6</f>
        <v>1</v>
      </c>
      <c r="J318">
        <f t="array" ref="J318">FREQUENCY(IF('Data Transformation'!$B$4:$B$404=D315,'Data Transformation'!$G$4:$G$404),'Bin Analysis and Plots'!$D318)</f>
        <v>0</v>
      </c>
      <c r="K318">
        <f>J318-J317</f>
        <v>0</v>
      </c>
      <c r="L318">
        <f>IF(K318=0,0,1)</f>
        <v>0</v>
      </c>
      <c r="M318" t="e">
        <f>L318*Weighting!$V$6</f>
        <v>#NUM!</v>
      </c>
    </row>
    <row r="319" spans="1:27">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t="str">
        <f>IF(Weighting!$O$7&gt;0,D319,"")</f>
        <v/>
      </c>
      <c r="D319" t="e">
        <f>Weighting!$C$7</f>
        <v>#DIV/0!</v>
      </c>
      <c r="E319" t="e">
        <f>Weighting!$E$7</f>
        <v>#NUM!</v>
      </c>
      <c r="F319" t="e">
        <f>IF(E319=1,'Data Transformation'!$G$3+0.5*'Data Transformation'!$U$25,IF(E320=1,F320-'Data Transformation'!$U$25,FALSE))</f>
        <v>#NUM!</v>
      </c>
      <c r="G319">
        <f t="array" ref="G319">IF(ISLOGICAL(F319),"",FREQUENCY(IF('Data Transformation'!$B$24:$B$404='Bin Analysis and Plots'!$D$315,'Data Transformation'!$G$24:$G$404),'Bin Analysis and Plots'!F319))</f>
        <v>0</v>
      </c>
      <c r="H319">
        <f t="shared" ref="H319:H337" si="39">IF(ISLOGICAL(F319),"",G319-G318)</f>
        <v>0</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t="str">
        <f>IF(Weighting!$O$8&gt;0,D320,"")</f>
        <v/>
      </c>
      <c r="D320" t="e">
        <f>Weighting!$C$8</f>
        <v>#DIV/0!</v>
      </c>
      <c r="E320" t="e">
        <f>Weighting!$E$8</f>
        <v>#NUM!</v>
      </c>
      <c r="F320" t="e">
        <f>IF(E320=1,'Data Transformation'!$G$3+0.5*'Data Transformation'!$U$25,IF(E321=1,F321-'Data Transformation'!$U$25,FALSE))</f>
        <v>#NUM!</v>
      </c>
      <c r="G320">
        <f t="array" ref="G320">IF(ISLOGICAL(F320),"",FREQUENCY(IF('Data Transformation'!$B$24:$B$404='Bin Analysis and Plots'!$D$315,'Data Transformation'!$G$24:$G$404),'Bin Analysis and Plots'!F320))</f>
        <v>0</v>
      </c>
      <c r="H320">
        <f t="shared" si="39"/>
        <v>0</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t="str">
        <f>IF(Weighting!$O$9&gt;0,D321,"")</f>
        <v/>
      </c>
      <c r="D321" t="e">
        <f>Weighting!$B$9</f>
        <v>#DIV/0!</v>
      </c>
      <c r="E321" t="e">
        <f>Weighting!$E$9</f>
        <v>#NUM!</v>
      </c>
      <c r="F321" t="e">
        <f>IF(E321=1,'Data Transformation'!$G$3+0.5*'Data Transformation'!$U$25,IF(E322=1,F322-'Data Transformation'!$U$25,FALSE))</f>
        <v>#NUM!</v>
      </c>
      <c r="G321">
        <f t="array" ref="G321">IF(ISLOGICAL(F321),"",FREQUENCY(IF('Data Transformation'!$B$24:$B$404='Bin Analysis and Plots'!$D$315,'Data Transformation'!$G$24:$G$404),'Bin Analysis and Plots'!F321))</f>
        <v>0</v>
      </c>
      <c r="H321">
        <f t="shared" si="39"/>
        <v>0</v>
      </c>
      <c r="I321">
        <f>Weighting!$G$9</f>
        <v>0</v>
      </c>
      <c r="J321">
        <f t="array" ref="J321">FREQUENCY(IF('Data Transformation'!$B$4:$B$404=D315,'Data Transformation'!$G$4:$G$404),'Bin Analysis and Plots'!$D321)</f>
        <v>0</v>
      </c>
      <c r="K321">
        <f t="shared" si="40"/>
        <v>0</v>
      </c>
      <c r="L321">
        <f t="shared" si="41"/>
        <v>0</v>
      </c>
      <c r="M321">
        <f>L321*Weighting!$V$9</f>
        <v>0</v>
      </c>
    </row>
    <row r="322" spans="1:13">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t="str">
        <f>IF(Weighting!$O$10&gt;0,D322,"")</f>
        <v/>
      </c>
      <c r="D322" t="e">
        <f>Weighting!$C$10</f>
        <v>#DIV/0!</v>
      </c>
      <c r="E322" t="e">
        <f>Weighting!$E$10</f>
        <v>#NUM!</v>
      </c>
      <c r="F322" t="e">
        <f>IF(E322=1,'Data Transformation'!$G$3+0.5*'Data Transformation'!$U$25,IF(E323=1,F323-'Data Transformation'!$U$25,FALSE))</f>
        <v>#NUM!</v>
      </c>
      <c r="G322">
        <f t="array" ref="G322">IF(ISLOGICAL(F322),"",FREQUENCY(IF('Data Transformation'!$B$24:$B$404='Bin Analysis and Plots'!$D$315,'Data Transformation'!$G$24:$G$404),'Bin Analysis and Plots'!F322))</f>
        <v>0</v>
      </c>
      <c r="H322">
        <f t="shared" si="39"/>
        <v>0</v>
      </c>
      <c r="I322">
        <f>Weighting!$G$10</f>
        <v>0</v>
      </c>
      <c r="J322">
        <f t="array" ref="J322">FREQUENCY(IF('Data Transformation'!$B$4:$B$404=D315,'Data Transformation'!$G$4:$G$404),'Bin Analysis and Plots'!$D322)</f>
        <v>0</v>
      </c>
      <c r="K322">
        <f t="shared" si="40"/>
        <v>0</v>
      </c>
      <c r="L322">
        <f t="shared" si="41"/>
        <v>0</v>
      </c>
      <c r="M322">
        <f>L322*Weighting!$V$10</f>
        <v>0</v>
      </c>
    </row>
    <row r="323" spans="1:13">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t="str">
        <f>IF(Weighting!$O$11&gt;0,D323,"")</f>
        <v/>
      </c>
      <c r="D323" t="e">
        <f>Weighting!$C$11</f>
        <v>#DIV/0!</v>
      </c>
      <c r="E323" t="e">
        <f>Weighting!$E$11</f>
        <v>#NUM!</v>
      </c>
      <c r="F323" t="e">
        <f>IF(E323=1,'Data Transformation'!$G$3+0.5*'Data Transformation'!$U$25,IF(E324=1,F324-'Data Transformation'!$U$25,FALSE))</f>
        <v>#NUM!</v>
      </c>
      <c r="G323">
        <f t="array" ref="G323">IF(ISLOGICAL(F323),"",FREQUENCY(IF('Data Transformation'!$B$24:$B$404='Bin Analysis and Plots'!$D$315,'Data Transformation'!$G$24:$G$404),'Bin Analysis and Plots'!F323))</f>
        <v>0</v>
      </c>
      <c r="H323">
        <f t="shared" si="39"/>
        <v>0</v>
      </c>
      <c r="I323">
        <f>Weighting!$G$11</f>
        <v>0</v>
      </c>
      <c r="J323">
        <f t="array" ref="J323">FREQUENCY(IF('Data Transformation'!$B$4:$B$404=D315,'Data Transformation'!$G$4:$G$404),'Bin Analysis and Plots'!$D323)</f>
        <v>0</v>
      </c>
      <c r="K323">
        <f t="shared" si="40"/>
        <v>0</v>
      </c>
      <c r="L323">
        <f t="shared" si="41"/>
        <v>0</v>
      </c>
      <c r="M323">
        <f>L323*Weighting!$V$11</f>
        <v>0</v>
      </c>
    </row>
    <row r="324" spans="1:13">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t="str">
        <f>IF(Weighting!$O$12&gt;0,D324,"")</f>
        <v/>
      </c>
      <c r="D324" t="e">
        <f>Weighting!$C$12</f>
        <v>#DIV/0!</v>
      </c>
      <c r="E324" t="e">
        <f>Weighting!$E$12</f>
        <v>#NUM!</v>
      </c>
      <c r="F324" t="e">
        <f>IF(E324=1,'Data Transformation'!$G$3+0.5*'Data Transformation'!$U$25,IF(E325=1,F325-'Data Transformation'!$U$25,FALSE))</f>
        <v>#NUM!</v>
      </c>
      <c r="G324">
        <f t="array" ref="G324">IF(ISLOGICAL(F324),"",FREQUENCY(IF('Data Transformation'!$B$24:$B$404='Bin Analysis and Plots'!$D$315,'Data Transformation'!$G$24:$G$404),'Bin Analysis and Plots'!F324))</f>
        <v>0</v>
      </c>
      <c r="H324">
        <f t="shared" si="39"/>
        <v>0</v>
      </c>
      <c r="I324">
        <f>Weighting!$G$12</f>
        <v>0</v>
      </c>
      <c r="J324">
        <f t="array" ref="J324">FREQUENCY(IF('Data Transformation'!$B$4:$B$404=D315,'Data Transformation'!$G$4:$G$404),'Bin Analysis and Plots'!$D324)</f>
        <v>0</v>
      </c>
      <c r="K324">
        <f t="shared" si="40"/>
        <v>0</v>
      </c>
      <c r="L324">
        <f t="shared" si="41"/>
        <v>0</v>
      </c>
      <c r="M324">
        <f>L324*Weighting!$V$12</f>
        <v>0</v>
      </c>
    </row>
    <row r="325" spans="1:13">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t="str">
        <f>IF(Weighting!$O$13&gt;0,D325,"")</f>
        <v/>
      </c>
      <c r="D325" t="e">
        <f>Weighting!$C$13</f>
        <v>#DIV/0!</v>
      </c>
      <c r="E325" t="e">
        <f>Weighting!$E$13</f>
        <v>#NUM!</v>
      </c>
      <c r="F325" t="e">
        <f>IF(E325=1,'Data Transformation'!$G$3+0.5*'Data Transformation'!$U$25,IF(E326=1,F326-'Data Transformation'!$U$25,FALSE))</f>
        <v>#NUM!</v>
      </c>
      <c r="G325">
        <f t="array" ref="G325">IF(ISLOGICAL(F325),"",FREQUENCY(IF('Data Transformation'!$B$24:$B$404='Bin Analysis and Plots'!$D$315,'Data Transformation'!$G$24:$G$404),'Bin Analysis and Plots'!F325))</f>
        <v>0</v>
      </c>
      <c r="H325">
        <f t="shared" si="39"/>
        <v>0</v>
      </c>
      <c r="I325">
        <f>Weighting!$G$13</f>
        <v>0</v>
      </c>
      <c r="J325">
        <f t="array" ref="J325">FREQUENCY(IF('Data Transformation'!$B$4:$B$404=D315,'Data Transformation'!$G$4:$G$404),'Bin Analysis and Plots'!$D325)</f>
        <v>0</v>
      </c>
      <c r="K325">
        <f t="shared" si="40"/>
        <v>0</v>
      </c>
      <c r="L325">
        <f t="shared" si="41"/>
        <v>0</v>
      </c>
      <c r="M325">
        <f>L325*Weighting!$V$13</f>
        <v>0</v>
      </c>
    </row>
    <row r="326" spans="1:13">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t="str">
        <f>IF(Weighting!$O$14&gt;0,D326,"")</f>
        <v/>
      </c>
      <c r="D326" t="e">
        <f>Weighting!$C$14</f>
        <v>#DIV/0!</v>
      </c>
      <c r="E326" t="e">
        <f>Weighting!$E$14</f>
        <v>#NUM!</v>
      </c>
      <c r="F326" t="e">
        <f>IF(E326=1,'Data Transformation'!$G$3+0.5*'Data Transformation'!$U$25,IF(E327=1,F327-'Data Transformation'!$U$25,FALSE))</f>
        <v>#NUM!</v>
      </c>
      <c r="G326">
        <f t="array" ref="G326">IF(ISLOGICAL(F326),"",FREQUENCY(IF('Data Transformation'!$B$24:$B$404='Bin Analysis and Plots'!$D$315,'Data Transformation'!$G$24:$G$404),'Bin Analysis and Plots'!F326))</f>
        <v>0</v>
      </c>
      <c r="H326">
        <f t="shared" si="39"/>
        <v>0</v>
      </c>
      <c r="I326">
        <f>Weighting!$G$14</f>
        <v>0</v>
      </c>
      <c r="J326">
        <f t="array" ref="J326">FREQUENCY(IF('Data Transformation'!$B$4:$B$404=D315,'Data Transformation'!$G$4:$G$404),'Bin Analysis and Plots'!$D326)</f>
        <v>0</v>
      </c>
      <c r="K326">
        <f t="shared" si="40"/>
        <v>0</v>
      </c>
      <c r="L326">
        <f t="shared" si="41"/>
        <v>0</v>
      </c>
      <c r="M326">
        <f>L326*Weighting!$V$14</f>
        <v>0</v>
      </c>
    </row>
    <row r="327" spans="1:13">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t="str">
        <f>IF(Weighting!$O$15&gt;0,D327,"")</f>
        <v/>
      </c>
      <c r="D327" t="e">
        <f>Weighting!$C$15</f>
        <v>#DIV/0!</v>
      </c>
      <c r="E327" t="e">
        <f>Weighting!$E$15</f>
        <v>#NUM!</v>
      </c>
      <c r="F327" t="e">
        <f>IF(E327=1,'Data Transformation'!$G$3+0.5*'Data Transformation'!$U$25,IF(E328=1,F328-'Data Transformation'!$U$25,FALSE))</f>
        <v>#NUM!</v>
      </c>
      <c r="G327">
        <f t="array" ref="G327">IF(ISLOGICAL(F327),"",FREQUENCY(IF('Data Transformation'!$B$24:$B$404='Bin Analysis and Plots'!$D$315,'Data Transformation'!$G$24:$G$404),'Bin Analysis and Plots'!F327))</f>
        <v>0</v>
      </c>
      <c r="H327">
        <f t="shared" si="39"/>
        <v>0</v>
      </c>
      <c r="I327">
        <f>Weighting!$G$15</f>
        <v>0</v>
      </c>
      <c r="J327">
        <f t="array" ref="J327">FREQUENCY(IF('Data Transformation'!$B$4:$B$404=D315,'Data Transformation'!$G$4:$G$404),'Bin Analysis and Plots'!$D327)</f>
        <v>0</v>
      </c>
      <c r="K327">
        <f t="shared" si="40"/>
        <v>0</v>
      </c>
      <c r="L327">
        <f t="shared" si="41"/>
        <v>0</v>
      </c>
      <c r="M327">
        <f>L327*Weighting!$V$15</f>
        <v>0</v>
      </c>
    </row>
    <row r="328" spans="1:13">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t="e">
        <f>Weighting!$C$16</f>
        <v>#DIV/0!</v>
      </c>
      <c r="E328" t="e">
        <f>Weighting!$E$16</f>
        <v>#NUM!</v>
      </c>
      <c r="F328" t="e">
        <f>IF(E328=1,'Data Transformation'!$G$3+0.5*'Data Transformation'!$U$25,IF(E329=1,F329-'Data Transformation'!$U$25,FALSE))</f>
        <v>#NUM!</v>
      </c>
      <c r="G328">
        <f t="array" ref="G328">IF(ISLOGICAL(F328),"",FREQUENCY(IF('Data Transformation'!$B$24:$B$404='Bin Analysis and Plots'!$D$315,'Data Transformation'!$G$24:$G$404),'Bin Analysis and Plots'!F328))</f>
        <v>0</v>
      </c>
      <c r="H328">
        <f t="shared" si="39"/>
        <v>0</v>
      </c>
      <c r="I328">
        <f>Weighting!$G$16</f>
        <v>0</v>
      </c>
      <c r="J328">
        <f t="array" ref="J328">FREQUENCY(IF('Data Transformation'!$B$4:$B$404=D315,'Data Transformation'!$G$4:$G$404),'Bin Analysis and Plots'!$D328)</f>
        <v>0</v>
      </c>
      <c r="K328">
        <f t="shared" si="40"/>
        <v>0</v>
      </c>
      <c r="L328">
        <f t="shared" si="41"/>
        <v>0</v>
      </c>
      <c r="M328">
        <f>L328*Weighting!$V$16</f>
        <v>0</v>
      </c>
    </row>
    <row r="329" spans="1:13">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t="e">
        <f>Weighting!$C$17</f>
        <v>#DIV/0!</v>
      </c>
      <c r="E329" t="e">
        <f>Weighting!$E$17</f>
        <v>#NUM!</v>
      </c>
      <c r="F329" t="e">
        <f>IF(E329=1,'Data Transformation'!$G$3+0.5*'Data Transformation'!$U$25,IF(E330=1,F330-'Data Transformation'!$U$25,FALSE))</f>
        <v>#NUM!</v>
      </c>
      <c r="G329">
        <f t="array" ref="G329">IF(ISLOGICAL(F329),"",FREQUENCY(IF('Data Transformation'!$B$24:$B$404='Bin Analysis and Plots'!$D$315,'Data Transformation'!$G$24:$G$404),'Bin Analysis and Plots'!F329))</f>
        <v>0</v>
      </c>
      <c r="H329">
        <f t="shared" si="39"/>
        <v>0</v>
      </c>
      <c r="I329">
        <f>Weighting!$G$17</f>
        <v>0</v>
      </c>
      <c r="J329">
        <f t="array" ref="J329">FREQUENCY(IF('Data Transformation'!$B$4:$B$404=D315,'Data Transformation'!$G$4:$G$404),'Bin Analysis and Plots'!$D329)</f>
        <v>0</v>
      </c>
      <c r="K329">
        <f t="shared" si="40"/>
        <v>0</v>
      </c>
      <c r="L329">
        <f t="shared" si="41"/>
        <v>0</v>
      </c>
      <c r="M329">
        <f>L329*Weighting!$V$17</f>
        <v>0</v>
      </c>
    </row>
    <row r="330" spans="1:13">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t="e">
        <f>Weighting!$C$18</f>
        <v>#DIV/0!</v>
      </c>
      <c r="E330" t="e">
        <f>Weighting!$E$18</f>
        <v>#NUM!</v>
      </c>
      <c r="F330" t="e">
        <f>IF(E330=1,'Data Transformation'!$G$3+0.5*'Data Transformation'!$U$25,IF(E331=1,F331-'Data Transformation'!$U$25,FALSE))</f>
        <v>#NUM!</v>
      </c>
      <c r="G330">
        <f t="array" ref="G330">IF(ISLOGICAL(F330),"",FREQUENCY(IF('Data Transformation'!$B$24:$B$404='Bin Analysis and Plots'!$D$315,'Data Transformation'!$G$24:$G$404),'Bin Analysis and Plots'!F330))</f>
        <v>0</v>
      </c>
      <c r="H330">
        <f t="shared" si="39"/>
        <v>0</v>
      </c>
      <c r="I330">
        <f>Weighting!$G$18</f>
        <v>0</v>
      </c>
      <c r="J330">
        <f t="array" ref="J330">FREQUENCY(IF('Data Transformation'!$B$4:$B$404=D315,'Data Transformation'!$G$4:$G$404),'Bin Analysis and Plots'!$D330)</f>
        <v>0</v>
      </c>
      <c r="K330">
        <f t="shared" si="40"/>
        <v>0</v>
      </c>
      <c r="L330">
        <f t="shared" si="41"/>
        <v>0</v>
      </c>
      <c r="M330">
        <f>L330*Weighting!$V$18</f>
        <v>0</v>
      </c>
    </row>
    <row r="331" spans="1:13">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t="e">
        <f>Weighting!$C$19</f>
        <v>#DIV/0!</v>
      </c>
      <c r="E331" t="e">
        <f>Weighting!$E$19</f>
        <v>#NUM!</v>
      </c>
      <c r="F331" t="e">
        <f>IF(E331=1,'Data Transformation'!$G$3+0.5*'Data Transformation'!$U$25,IF(E332=1,F332-'Data Transformation'!$U$25,FALSE))</f>
        <v>#NUM!</v>
      </c>
      <c r="G331">
        <f t="array" ref="G331">IF(ISLOGICAL(F331),"",FREQUENCY(IF('Data Transformation'!$B$24:$B$404='Bin Analysis and Plots'!$D$315,'Data Transformation'!$G$24:$G$404),'Bin Analysis and Plots'!F331))</f>
        <v>0</v>
      </c>
      <c r="H331">
        <f t="shared" si="39"/>
        <v>0</v>
      </c>
      <c r="I331">
        <f>Weighting!$G$19</f>
        <v>0</v>
      </c>
      <c r="J331">
        <f t="array" ref="J331">FREQUENCY(IF('Data Transformation'!$B$4:$B$404=D315,'Data Transformation'!$G$4:$G$404),'Bin Analysis and Plots'!$D331)</f>
        <v>0</v>
      </c>
      <c r="K331">
        <f t="shared" si="40"/>
        <v>0</v>
      </c>
      <c r="L331">
        <f t="shared" si="41"/>
        <v>0</v>
      </c>
      <c r="M331">
        <f>L331*Weighting!$V$19</f>
        <v>0</v>
      </c>
    </row>
    <row r="332" spans="1:13">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t="e">
        <f>Weighting!$C$20</f>
        <v>#DIV/0!</v>
      </c>
      <c r="E332" t="e">
        <f>Weighting!$E$20</f>
        <v>#NUM!</v>
      </c>
      <c r="F332" t="e">
        <f>IF(E332=1,'Data Transformation'!$G$3+0.5*'Data Transformation'!$U$25,IF(E333=1,F333-'Data Transformation'!$U$25,FALSE))</f>
        <v>#NUM!</v>
      </c>
      <c r="G332">
        <f t="array" ref="G332">IF(ISLOGICAL(F332),"",FREQUENCY(IF('Data Transformation'!$B$24:$B$404='Bin Analysis and Plots'!$D$315,'Data Transformation'!$G$24:$G$404),'Bin Analysis and Plots'!F332))</f>
        <v>0</v>
      </c>
      <c r="H332">
        <f t="shared" si="39"/>
        <v>0</v>
      </c>
      <c r="I332">
        <f>Weighting!$G$20</f>
        <v>0</v>
      </c>
      <c r="J332">
        <f t="array" ref="J332">FREQUENCY(IF('Data Transformation'!$B$4:$B$404=D315,'Data Transformation'!$G$4:$G$404),'Bin Analysis and Plots'!$D332)</f>
        <v>0</v>
      </c>
      <c r="K332">
        <f t="shared" si="40"/>
        <v>0</v>
      </c>
      <c r="L332">
        <f t="shared" si="41"/>
        <v>0</v>
      </c>
      <c r="M332">
        <f>L332*Weighting!$V$20</f>
        <v>0</v>
      </c>
    </row>
    <row r="333" spans="1:13">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t="e">
        <f>Weighting!$C$21</f>
        <v>#DIV/0!</v>
      </c>
      <c r="E333" t="e">
        <f>Weighting!$E$21</f>
        <v>#NUM!</v>
      </c>
      <c r="F333" t="e">
        <f>IF(E333=1,'Data Transformation'!$G$3+0.5*'Data Transformation'!$U$25,IF(E334=1,F334-'Data Transformation'!$U$25,FALSE))</f>
        <v>#NUM!</v>
      </c>
      <c r="G333">
        <f t="array" ref="G333">IF(ISLOGICAL(F333),"",FREQUENCY(IF('Data Transformation'!$B$24:$B$404='Bin Analysis and Plots'!$D$315,'Data Transformation'!$G$24:$G$404),'Bin Analysis and Plots'!F333))</f>
        <v>0</v>
      </c>
      <c r="H333">
        <f t="shared" si="39"/>
        <v>0</v>
      </c>
      <c r="I333">
        <f>Weighting!$G$21</f>
        <v>0</v>
      </c>
      <c r="J333">
        <f t="array" ref="J333">FREQUENCY(IF('Data Transformation'!$B$4:$B$404=D315,'Data Transformation'!$G$4:$G$404),'Bin Analysis and Plots'!$D333)</f>
        <v>0</v>
      </c>
      <c r="K333">
        <f t="shared" si="40"/>
        <v>0</v>
      </c>
      <c r="L333">
        <f t="shared" si="41"/>
        <v>0</v>
      </c>
      <c r="M333">
        <f>L333*Weighting!$V$21</f>
        <v>0</v>
      </c>
    </row>
    <row r="334" spans="1:13">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t="e">
        <f>Weighting!$C$22</f>
        <v>#DIV/0!</v>
      </c>
      <c r="E334" t="e">
        <f>Weighting!$E$22</f>
        <v>#NUM!</v>
      </c>
      <c r="F334" t="e">
        <f>IF(E334=1,'Data Transformation'!$G$3+0.5*'Data Transformation'!$U$25,IF(E335=1,F335-'Data Transformation'!$U$25,FALSE))</f>
        <v>#NUM!</v>
      </c>
      <c r="G334">
        <f t="array" ref="G334">IF(ISLOGICAL(F334),"",FREQUENCY(IF('Data Transformation'!$B$24:$B$404='Bin Analysis and Plots'!$D$315,'Data Transformation'!$G$24:$G$404),'Bin Analysis and Plots'!F334))</f>
        <v>0</v>
      </c>
      <c r="H334">
        <f t="shared" si="39"/>
        <v>0</v>
      </c>
      <c r="I334">
        <f>Weighting!$G$22</f>
        <v>0</v>
      </c>
      <c r="J334">
        <f t="array" ref="J334">FREQUENCY(IF('Data Transformation'!$B$4:$B$404=D315,'Data Transformation'!$G$4:$G$404),'Bin Analysis and Plots'!$D334)</f>
        <v>0</v>
      </c>
      <c r="K334">
        <f t="shared" si="40"/>
        <v>0</v>
      </c>
      <c r="L334">
        <f t="shared" si="41"/>
        <v>0</v>
      </c>
      <c r="M334">
        <f>L334*Weighting!$V$22</f>
        <v>0</v>
      </c>
    </row>
    <row r="335" spans="1:13">
      <c r="A335" s="29" t="b">
        <f t="array" ref="A335">IF(ISERROR(INDEX('Data Transformation'!$B$4:$G$450,SMALL(IF('Data Transformation'!$B$4:$B$450='Bin Analysis and Plots'!D315,ROW('Data Transformation'!$B$4:$B$450)),ROW($18:$18))-3,3)),"",INDEX('Data Transformation'!$B$4:$G$450,SMALL(IF('Data Transformation'!$B$4:$B$450='Bin Analysis and Plots'!D315,ROW('Data Transformation'!$B$4:$B$450)),ROW($18:$18))-3,6))</f>
        <v>0</v>
      </c>
      <c r="B335" s="29" t="str">
        <f>IFERROR(SMALL(A318:A337,'Data Transformation'!$L$23),"")</f>
        <v/>
      </c>
      <c r="C335" s="41" t="str">
        <f>IF(Weighting!$O$23&gt;0,D335,"")</f>
        <v/>
      </c>
      <c r="D335" t="e">
        <f>Weighting!$C$23</f>
        <v>#DIV/0!</v>
      </c>
      <c r="E335" t="e">
        <f>Weighting!$E$23</f>
        <v>#NUM!</v>
      </c>
      <c r="F335" t="e">
        <f>IF(E335=1,'Data Transformation'!$G$3+0.5*'Data Transformation'!$U$25,IF(E336=1,F336-'Data Transformation'!$U$25,FALSE))</f>
        <v>#NUM!</v>
      </c>
      <c r="G335">
        <f t="array" ref="G335">IF(ISLOGICAL(F335),"",FREQUENCY(IF('Data Transformation'!$B$24:$B$404='Bin Analysis and Plots'!$D$315,'Data Transformation'!$G$24:$G$404),'Bin Analysis and Plots'!F335))</f>
        <v>0</v>
      </c>
      <c r="H335">
        <f t="shared" si="39"/>
        <v>0</v>
      </c>
      <c r="I335">
        <f>Weighting!$G$23</f>
        <v>0</v>
      </c>
      <c r="J335">
        <f t="array" ref="J335">FREQUENCY(IF('Data Transformation'!$B$4:$B$404=D315,'Data Transformation'!$G$4:$G$404),'Bin Analysis and Plots'!$D335)</f>
        <v>0</v>
      </c>
      <c r="K335">
        <f t="shared" si="40"/>
        <v>0</v>
      </c>
      <c r="L335">
        <f t="shared" si="41"/>
        <v>0</v>
      </c>
      <c r="M335">
        <f>L335*Weighting!$V$23</f>
        <v>0</v>
      </c>
    </row>
    <row r="336" spans="1:13">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t="e">
        <f>Weighting!$C$24</f>
        <v>#DIV/0!</v>
      </c>
      <c r="E336" t="e">
        <f>Weighting!$E$24</f>
        <v>#NUM!</v>
      </c>
      <c r="F336" t="e">
        <f>IF(E336=1,'Data Transformation'!$G$3+0.5*'Data Transformation'!$U$25,IF(E337=1,F337-'Data Transformation'!$U$25,FALSE))</f>
        <v>#NUM!</v>
      </c>
      <c r="G336">
        <f t="array" ref="G336">IF(ISLOGICAL(F336),"",FREQUENCY(IF('Data Transformation'!$B$24:$B$404='Bin Analysis and Plots'!$D$315,'Data Transformation'!$G$24:$G$404),'Bin Analysis and Plots'!F336))</f>
        <v>0</v>
      </c>
      <c r="H336">
        <f t="shared" si="39"/>
        <v>0</v>
      </c>
      <c r="I336">
        <f>Weighting!$G$24</f>
        <v>0</v>
      </c>
      <c r="J336">
        <f t="array" ref="J336">FREQUENCY(IF('Data Transformation'!$B$4:$B$404=D315,'Data Transformation'!$G$4:$G$404),'Bin Analysis and Plots'!$D336)</f>
        <v>0</v>
      </c>
      <c r="K336">
        <f t="shared" si="40"/>
        <v>0</v>
      </c>
      <c r="L336">
        <f t="shared" si="41"/>
        <v>0</v>
      </c>
      <c r="M336">
        <f>L336*Weighting!$V$24</f>
        <v>0</v>
      </c>
    </row>
    <row r="337" spans="1:27">
      <c r="A337" s="29" t="b">
        <f t="array" ref="A337">IF(ISERROR(INDEX('Data Transformation'!$B$4:$G$450,SMALL(IF('Data Transformation'!$B$4:$B$450='Bin Analysis and Plots'!D315,ROW('Data Transformation'!$B$4:$B$450)),ROW($20:$20))-3,3)),"",INDEX('Data Transformation'!$B$4:$G$450,SMALL(IF('Data Transformation'!$B$4:$B$450='Bin Analysis and Plots'!D315,ROW('Data Transformation'!$B$4:$B$450)),ROW($20:$20))-3,6))</f>
        <v>0</v>
      </c>
      <c r="B337" s="29" t="str">
        <f>IFERROR(SMALL(A318:A337,'Data Transformation'!$L$25),"")</f>
        <v/>
      </c>
      <c r="C337" s="41" t="str">
        <f>IF(Weighting!$O$25&gt;0,D337,"")</f>
        <v/>
      </c>
      <c r="D337" t="e">
        <f>Weighting!$C$25</f>
        <v>#DIV/0!</v>
      </c>
      <c r="E337" t="e">
        <f>Weighting!$E$25</f>
        <v>#NUM!</v>
      </c>
      <c r="F337" t="e">
        <f>IF(E337=1,'Data Transformation'!$G$3+0.5*'Data Transformation'!$U$25,IF(E338=1,F338-'Data Transformation'!$U$25,FALSE))</f>
        <v>#NUM!</v>
      </c>
      <c r="G337">
        <f t="array" ref="G337">IF(ISLOGICAL(F337),"",FREQUENCY(IF('Data Transformation'!$B$24:$B$404='Bin Analysis and Plots'!$D$315,'Data Transformation'!$G$24:$G$404),'Bin Analysis and Plots'!F337))</f>
        <v>0</v>
      </c>
      <c r="H337">
        <f t="shared" si="39"/>
        <v>0</v>
      </c>
      <c r="I337">
        <f>Weighting!$G$25</f>
        <v>0</v>
      </c>
      <c r="J337">
        <f t="array" ref="J337">FREQUENCY(IF('Data Transformation'!$B$4:$B$404=D315,'Data Transformation'!$G$4:$G$404),'Bin Analysis and Plots'!$D337)</f>
        <v>0</v>
      </c>
      <c r="K337">
        <f t="shared" si="40"/>
        <v>0</v>
      </c>
      <c r="L337">
        <f t="shared" si="41"/>
        <v>0</v>
      </c>
      <c r="M337">
        <f>L337*Weighting!$V$25</f>
        <v>0</v>
      </c>
    </row>
    <row r="338" spans="1:27">
      <c r="C338" s="41" t="str">
        <f>IF(B338="","",D338)</f>
        <v/>
      </c>
    </row>
    <row r="339" spans="1:27" ht="23.2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8" cm="1">
        <f t="array" ref="Z339:Z340">FREQUENCY(IF('Data Transformation'!$B$24:$B$404='Bin Analysis and Plots'!N339,'Data Transformation'!$G$24:$G$404),'Data Transformation'!$U$11)</f>
        <v>0</v>
      </c>
      <c r="AA339" s="78" cm="1">
        <f t="array" ref="AA339:AA340">FREQUENCY(IF('Data Transformation'!$B$24:$B$404='Bin Analysis and Plots'!N339,'Data Transformation'!$G$24:$G$404),'Data Transformation'!$U$12)</f>
        <v>0</v>
      </c>
    </row>
    <row r="340" spans="1:27" ht="21">
      <c r="A340" s="91" t="s">
        <v>64</v>
      </c>
      <c r="B340" s="91"/>
      <c r="C340" s="14" t="s">
        <v>72</v>
      </c>
      <c r="D340" t="s">
        <v>50</v>
      </c>
      <c r="E340" t="s">
        <v>5</v>
      </c>
      <c r="I340" t="s">
        <v>74</v>
      </c>
      <c r="J340" t="s">
        <v>34</v>
      </c>
      <c r="K340" t="s">
        <v>35</v>
      </c>
      <c r="L340" t="s">
        <v>49</v>
      </c>
      <c r="M340" s="14" t="s">
        <v>48</v>
      </c>
      <c r="Z340" s="78">
        <v>0</v>
      </c>
      <c r="AA340" s="78">
        <v>0</v>
      </c>
    </row>
    <row r="341" spans="1:27">
      <c r="C341" s="41" t="str">
        <f>IF(B341="","",D341)</f>
        <v/>
      </c>
      <c r="F341" t="e">
        <f>IF(E341=1,'Data Transformation'!$G$3+0.5*'Data Transformation'!$U$25,IF(E342=1,F342-'Data Transformation'!$U$25,FALSE))</f>
        <v>#NUM!</v>
      </c>
      <c r="G341">
        <f t="array" ref="G341">IF(ISLOGICAL(F341),"",FREQUENCY(IF('Data Transformation'!$B$24:$B$404='Bin Analysis and Plots'!$D$339,'Data Transformation'!$G$24:$G$404),'Bin Analysis and Plots'!F341))</f>
        <v>0</v>
      </c>
      <c r="H341">
        <f>IF(ISLOGICAL(F341),"",G341-G340)</f>
        <v>0</v>
      </c>
    </row>
    <row r="342" spans="1:27">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t="e">
        <f>IF(Weighting!$O$6&gt;0,D342,"")</f>
        <v>#NUM!</v>
      </c>
      <c r="D342" t="e">
        <f>Weighting!$C$6</f>
        <v>#DIV/0!</v>
      </c>
      <c r="E342" t="e">
        <f>Weighting!$E$6</f>
        <v>#NUM!</v>
      </c>
      <c r="F342" t="e">
        <f>IF(E342=1,'Data Transformation'!$G$3+0.5*'Data Transformation'!$U$25,IF(E343=1,F343-'Data Transformation'!$U$25,FALSE))</f>
        <v>#NUM!</v>
      </c>
      <c r="G342">
        <f t="array" ref="G342">IF(ISLOGICAL(F342),"",FREQUENCY(IF('Data Transformation'!$B$24:$B$404='Bin Analysis and Plots'!$D$339,'Data Transformation'!$G$24:$G$404),'Bin Analysis and Plots'!F342))</f>
        <v>0</v>
      </c>
      <c r="H342">
        <f>IF(ISLOGICAL(F342),"",G342-G341)</f>
        <v>0</v>
      </c>
      <c r="I342">
        <f>Weighting!$G$6</f>
        <v>1</v>
      </c>
      <c r="J342">
        <f t="array" ref="J342">FREQUENCY(IF('Data Transformation'!$B$4:$B$404=D339,'Data Transformation'!$G$4:$G$404),'Bin Analysis and Plots'!$D342)</f>
        <v>0</v>
      </c>
      <c r="K342">
        <f>J342-J341</f>
        <v>0</v>
      </c>
      <c r="L342">
        <f>IF(K342=0,0,1)</f>
        <v>0</v>
      </c>
      <c r="M342" t="e">
        <f>L342*Weighting!$V$6</f>
        <v>#NUM!</v>
      </c>
    </row>
    <row r="343" spans="1:27">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t="str">
        <f>IF(Weighting!$O$7&gt;0,D343,"")</f>
        <v/>
      </c>
      <c r="D343" t="e">
        <f>Weighting!$C$7</f>
        <v>#DIV/0!</v>
      </c>
      <c r="E343" t="e">
        <f>Weighting!$E$7</f>
        <v>#NUM!</v>
      </c>
      <c r="F343" t="e">
        <f>IF(E343=1,'Data Transformation'!$G$3+0.5*'Data Transformation'!$U$25,IF(E344=1,F344-'Data Transformation'!$U$25,FALSE))</f>
        <v>#NUM!</v>
      </c>
      <c r="G343">
        <f t="array" ref="G343">IF(ISLOGICAL(F343),"",FREQUENCY(IF('Data Transformation'!$B$24:$B$404='Bin Analysis and Plots'!$D$339,'Data Transformation'!$G$24:$G$404),'Bin Analysis and Plots'!F343))</f>
        <v>0</v>
      </c>
      <c r="H343">
        <f t="shared" ref="H343:H361" si="42">IF(ISLOGICAL(F343),"",G343-G342)</f>
        <v>0</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t="str">
        <f>IF(Weighting!$O$8&gt;0,D344,"")</f>
        <v/>
      </c>
      <c r="D344" t="e">
        <f>Weighting!$C$8</f>
        <v>#DIV/0!</v>
      </c>
      <c r="E344" t="e">
        <f>Weighting!$E$8</f>
        <v>#NUM!</v>
      </c>
      <c r="F344" t="e">
        <f>IF(E344=1,'Data Transformation'!$G$3+0.5*'Data Transformation'!$U$25,IF(E345=1,F345-'Data Transformation'!$U$25,FALSE))</f>
        <v>#NUM!</v>
      </c>
      <c r="G344">
        <f t="array" ref="G344">IF(ISLOGICAL(F344),"",FREQUENCY(IF('Data Transformation'!$B$24:$B$404='Bin Analysis and Plots'!$D$339,'Data Transformation'!$G$24:$G$404),'Bin Analysis and Plots'!F344))</f>
        <v>0</v>
      </c>
      <c r="H344">
        <f t="shared" si="42"/>
        <v>0</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t="str">
        <f>IF(Weighting!$O$9&gt;0,D345,"")</f>
        <v/>
      </c>
      <c r="D345" t="e">
        <f>Weighting!$B$9</f>
        <v>#DIV/0!</v>
      </c>
      <c r="E345" t="e">
        <f>Weighting!$E$9</f>
        <v>#NUM!</v>
      </c>
      <c r="F345" t="e">
        <f>IF(E345=1,'Data Transformation'!$G$3+0.5*'Data Transformation'!$U$25,IF(E346=1,F346-'Data Transformation'!$U$25,FALSE))</f>
        <v>#NUM!</v>
      </c>
      <c r="G345">
        <f t="array" ref="G345">IF(ISLOGICAL(F345),"",FREQUENCY(IF('Data Transformation'!$B$24:$B$404='Bin Analysis and Plots'!$D$339,'Data Transformation'!$G$24:$G$404),'Bin Analysis and Plots'!F345))</f>
        <v>0</v>
      </c>
      <c r="H345">
        <f t="shared" si="42"/>
        <v>0</v>
      </c>
      <c r="I345">
        <f>Weighting!$G$9</f>
        <v>0</v>
      </c>
      <c r="J345">
        <f t="array" ref="J345">FREQUENCY(IF('Data Transformation'!$B$4:$B$404=D339,'Data Transformation'!$G$4:$G$404),'Bin Analysis and Plots'!$D345)</f>
        <v>0</v>
      </c>
      <c r="K345">
        <f t="shared" si="43"/>
        <v>0</v>
      </c>
      <c r="L345">
        <f t="shared" si="44"/>
        <v>0</v>
      </c>
      <c r="M345">
        <f>L345*Weighting!$V$9</f>
        <v>0</v>
      </c>
    </row>
    <row r="346" spans="1:27">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t="str">
        <f>IF(Weighting!$O$10&gt;0,D346,"")</f>
        <v/>
      </c>
      <c r="D346" t="e">
        <f>Weighting!$C$10</f>
        <v>#DIV/0!</v>
      </c>
      <c r="E346" t="e">
        <f>Weighting!$E$10</f>
        <v>#NUM!</v>
      </c>
      <c r="F346" t="e">
        <f>IF(E346=1,'Data Transformation'!$G$3+0.5*'Data Transformation'!$U$25,IF(E347=1,F347-'Data Transformation'!$U$25,FALSE))</f>
        <v>#NUM!</v>
      </c>
      <c r="G346">
        <f t="array" ref="G346">IF(ISLOGICAL(F346),"",FREQUENCY(IF('Data Transformation'!$B$24:$B$404='Bin Analysis and Plots'!$D$339,'Data Transformation'!$G$24:$G$404),'Bin Analysis and Plots'!F346))</f>
        <v>0</v>
      </c>
      <c r="H346">
        <f t="shared" si="42"/>
        <v>0</v>
      </c>
      <c r="I346">
        <f>Weighting!$G$10</f>
        <v>0</v>
      </c>
      <c r="J346">
        <f t="array" ref="J346">FREQUENCY(IF('Data Transformation'!$B$4:$B$404=D339,'Data Transformation'!$G$4:$G$404),'Bin Analysis and Plots'!$D346)</f>
        <v>0</v>
      </c>
      <c r="K346">
        <f t="shared" si="43"/>
        <v>0</v>
      </c>
      <c r="L346">
        <f t="shared" si="44"/>
        <v>0</v>
      </c>
      <c r="M346">
        <f>L346*Weighting!$V$10</f>
        <v>0</v>
      </c>
    </row>
    <row r="347" spans="1:27">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t="str">
        <f>IF(Weighting!$O$11&gt;0,D347,"")</f>
        <v/>
      </c>
      <c r="D347" t="e">
        <f>Weighting!$C$11</f>
        <v>#DIV/0!</v>
      </c>
      <c r="E347" t="e">
        <f>Weighting!$E$11</f>
        <v>#NUM!</v>
      </c>
      <c r="F347" t="e">
        <f>IF(E347=1,'Data Transformation'!$G$3+0.5*'Data Transformation'!$U$25,IF(E348=1,F348-'Data Transformation'!$U$25,FALSE))</f>
        <v>#NUM!</v>
      </c>
      <c r="G347">
        <f t="array" ref="G347">IF(ISLOGICAL(F347),"",FREQUENCY(IF('Data Transformation'!$B$24:$B$404='Bin Analysis and Plots'!$D$339,'Data Transformation'!$G$24:$G$404),'Bin Analysis and Plots'!F347))</f>
        <v>0</v>
      </c>
      <c r="H347">
        <f t="shared" si="42"/>
        <v>0</v>
      </c>
      <c r="I347">
        <f>Weighting!$G$11</f>
        <v>0</v>
      </c>
      <c r="J347">
        <f t="array" ref="J347">FREQUENCY(IF('Data Transformation'!$B$4:$B$404=D339,'Data Transformation'!$G$4:$G$404),'Bin Analysis and Plots'!$D347)</f>
        <v>0</v>
      </c>
      <c r="K347">
        <f t="shared" si="43"/>
        <v>0</v>
      </c>
      <c r="L347">
        <f t="shared" si="44"/>
        <v>0</v>
      </c>
      <c r="M347">
        <f>L347*Weighting!$V$11</f>
        <v>0</v>
      </c>
    </row>
    <row r="348" spans="1:27">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t="str">
        <f>IF(Weighting!$O$12&gt;0,D348,"")</f>
        <v/>
      </c>
      <c r="D348" t="e">
        <f>Weighting!$C$12</f>
        <v>#DIV/0!</v>
      </c>
      <c r="E348" t="e">
        <f>Weighting!$E$12</f>
        <v>#NUM!</v>
      </c>
      <c r="F348" t="e">
        <f>IF(E348=1,'Data Transformation'!$G$3+0.5*'Data Transformation'!$U$25,IF(E349=1,F349-'Data Transformation'!$U$25,FALSE))</f>
        <v>#NUM!</v>
      </c>
      <c r="G348">
        <f t="array" ref="G348">IF(ISLOGICAL(F348),"",FREQUENCY(IF('Data Transformation'!$B$24:$B$404='Bin Analysis and Plots'!$D$339,'Data Transformation'!$G$24:$G$404),'Bin Analysis and Plots'!F348))</f>
        <v>0</v>
      </c>
      <c r="H348">
        <f t="shared" si="42"/>
        <v>0</v>
      </c>
      <c r="I348">
        <f>Weighting!$G$12</f>
        <v>0</v>
      </c>
      <c r="J348">
        <f t="array" ref="J348">FREQUENCY(IF('Data Transformation'!$B$4:$B$404=D339,'Data Transformation'!$G$4:$G$404),'Bin Analysis and Plots'!$D348)</f>
        <v>0</v>
      </c>
      <c r="K348">
        <f t="shared" si="43"/>
        <v>0</v>
      </c>
      <c r="L348">
        <f t="shared" si="44"/>
        <v>0</v>
      </c>
      <c r="M348">
        <f>L348*Weighting!$V$12</f>
        <v>0</v>
      </c>
    </row>
    <row r="349" spans="1:27">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t="str">
        <f>IF(Weighting!$O$13&gt;0,D349,"")</f>
        <v/>
      </c>
      <c r="D349" t="e">
        <f>Weighting!$C$13</f>
        <v>#DIV/0!</v>
      </c>
      <c r="E349" t="e">
        <f>Weighting!$E$13</f>
        <v>#NUM!</v>
      </c>
      <c r="F349" t="e">
        <f>IF(E349=1,'Data Transformation'!$G$3+0.5*'Data Transformation'!$U$25,IF(E350=1,F350-'Data Transformation'!$U$25,FALSE))</f>
        <v>#NUM!</v>
      </c>
      <c r="G349">
        <f t="array" ref="G349">IF(ISLOGICAL(F349),"",FREQUENCY(IF('Data Transformation'!$B$24:$B$404='Bin Analysis and Plots'!$D$339,'Data Transformation'!$G$24:$G$404),'Bin Analysis and Plots'!F349))</f>
        <v>0</v>
      </c>
      <c r="H349">
        <f t="shared" si="42"/>
        <v>0</v>
      </c>
      <c r="I349">
        <f>Weighting!$G$13</f>
        <v>0</v>
      </c>
      <c r="J349">
        <f t="array" ref="J349">FREQUENCY(IF('Data Transformation'!$B$4:$B$404=D339,'Data Transformation'!$G$4:$G$404),'Bin Analysis and Plots'!$D349)</f>
        <v>0</v>
      </c>
      <c r="K349">
        <f t="shared" si="43"/>
        <v>0</v>
      </c>
      <c r="L349">
        <f t="shared" si="44"/>
        <v>0</v>
      </c>
      <c r="M349">
        <f>L349*Weighting!$V$13</f>
        <v>0</v>
      </c>
    </row>
    <row r="350" spans="1:27">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t="str">
        <f>IF(Weighting!$O$14&gt;0,D350,"")</f>
        <v/>
      </c>
      <c r="D350" t="e">
        <f>Weighting!$C$14</f>
        <v>#DIV/0!</v>
      </c>
      <c r="E350" t="e">
        <f>Weighting!$E$14</f>
        <v>#NUM!</v>
      </c>
      <c r="F350" t="e">
        <f>IF(E350=1,'Data Transformation'!$G$3+0.5*'Data Transformation'!$U$25,IF(E351=1,F351-'Data Transformation'!$U$25,FALSE))</f>
        <v>#NUM!</v>
      </c>
      <c r="G350">
        <f t="array" ref="G350">IF(ISLOGICAL(F350),"",FREQUENCY(IF('Data Transformation'!$B$24:$B$404='Bin Analysis and Plots'!$D$339,'Data Transformation'!$G$24:$G$404),'Bin Analysis and Plots'!F350))</f>
        <v>0</v>
      </c>
      <c r="H350">
        <f t="shared" si="42"/>
        <v>0</v>
      </c>
      <c r="I350">
        <f>Weighting!$G$14</f>
        <v>0</v>
      </c>
      <c r="J350">
        <f t="array" ref="J350">FREQUENCY(IF('Data Transformation'!$B$4:$B$404=D339,'Data Transformation'!$G$4:$G$404),'Bin Analysis and Plots'!$D350)</f>
        <v>0</v>
      </c>
      <c r="K350">
        <f t="shared" si="43"/>
        <v>0</v>
      </c>
      <c r="L350">
        <f t="shared" si="44"/>
        <v>0</v>
      </c>
      <c r="M350">
        <f>L350*Weighting!$V$14</f>
        <v>0</v>
      </c>
    </row>
    <row r="351" spans="1:27">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t="str">
        <f>IF(Weighting!$O$15&gt;0,D351,"")</f>
        <v/>
      </c>
      <c r="D351" t="e">
        <f>Weighting!$C$15</f>
        <v>#DIV/0!</v>
      </c>
      <c r="E351" t="e">
        <f>Weighting!$E$15</f>
        <v>#NUM!</v>
      </c>
      <c r="F351" t="e">
        <f>IF(E351=1,'Data Transformation'!$G$3+0.5*'Data Transformation'!$U$25,IF(E352=1,F352-'Data Transformation'!$U$25,FALSE))</f>
        <v>#NUM!</v>
      </c>
      <c r="G351">
        <f t="array" ref="G351">IF(ISLOGICAL(F351),"",FREQUENCY(IF('Data Transformation'!$B$24:$B$404='Bin Analysis and Plots'!$D$339,'Data Transformation'!$G$24:$G$404),'Bin Analysis and Plots'!F351))</f>
        <v>0</v>
      </c>
      <c r="H351">
        <f t="shared" si="42"/>
        <v>0</v>
      </c>
      <c r="I351">
        <f>Weighting!$G$15</f>
        <v>0</v>
      </c>
      <c r="J351">
        <f t="array" ref="J351">FREQUENCY(IF('Data Transformation'!$B$4:$B$404=D339,'Data Transformation'!$G$4:$G$404),'Bin Analysis and Plots'!$D351)</f>
        <v>0</v>
      </c>
      <c r="K351">
        <f t="shared" si="43"/>
        <v>0</v>
      </c>
      <c r="L351">
        <f t="shared" si="44"/>
        <v>0</v>
      </c>
      <c r="M351">
        <f>L351*Weighting!$V$15</f>
        <v>0</v>
      </c>
    </row>
    <row r="352" spans="1:27">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t="e">
        <f>Weighting!$C$16</f>
        <v>#DIV/0!</v>
      </c>
      <c r="E352" t="e">
        <f>Weighting!$E$16</f>
        <v>#NUM!</v>
      </c>
      <c r="F352" t="e">
        <f>IF(E352=1,'Data Transformation'!$G$3+0.5*'Data Transformation'!$U$25,IF(E353=1,F353-'Data Transformation'!$U$25,FALSE))</f>
        <v>#NUM!</v>
      </c>
      <c r="G352">
        <f t="array" ref="G352">IF(ISLOGICAL(F352),"",FREQUENCY(IF('Data Transformation'!$B$24:$B$404='Bin Analysis and Plots'!$D$339,'Data Transformation'!$G$24:$G$404),'Bin Analysis and Plots'!F352))</f>
        <v>0</v>
      </c>
      <c r="H352">
        <f t="shared" si="42"/>
        <v>0</v>
      </c>
      <c r="I352">
        <f>Weighting!$G$16</f>
        <v>0</v>
      </c>
      <c r="J352">
        <f t="array" ref="J352">FREQUENCY(IF('Data Transformation'!$B$4:$B$404=D339,'Data Transformation'!$G$4:$G$404),'Bin Analysis and Plots'!$D352)</f>
        <v>0</v>
      </c>
      <c r="K352">
        <f t="shared" si="43"/>
        <v>0</v>
      </c>
      <c r="L352">
        <f t="shared" si="44"/>
        <v>0</v>
      </c>
      <c r="M352">
        <f>L352*Weighting!$V$16</f>
        <v>0</v>
      </c>
    </row>
    <row r="353" spans="1:27">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t="e">
        <f>Weighting!$C$17</f>
        <v>#DIV/0!</v>
      </c>
      <c r="E353" t="e">
        <f>Weighting!$E$17</f>
        <v>#NUM!</v>
      </c>
      <c r="F353" t="e">
        <f>IF(E353=1,'Data Transformation'!$G$3+0.5*'Data Transformation'!$U$25,IF(E354=1,F354-'Data Transformation'!$U$25,FALSE))</f>
        <v>#NUM!</v>
      </c>
      <c r="G353">
        <f t="array" ref="G353">IF(ISLOGICAL(F353),"",FREQUENCY(IF('Data Transformation'!$B$24:$B$404='Bin Analysis and Plots'!$D$339,'Data Transformation'!$G$24:$G$404),'Bin Analysis and Plots'!F353))</f>
        <v>0</v>
      </c>
      <c r="H353">
        <f t="shared" si="42"/>
        <v>0</v>
      </c>
      <c r="I353">
        <f>Weighting!$G$17</f>
        <v>0</v>
      </c>
      <c r="J353">
        <f t="array" ref="J353">FREQUENCY(IF('Data Transformation'!$B$4:$B$404=D339,'Data Transformation'!$G$4:$G$404),'Bin Analysis and Plots'!$D353)</f>
        <v>0</v>
      </c>
      <c r="K353">
        <f t="shared" si="43"/>
        <v>0</v>
      </c>
      <c r="L353">
        <f t="shared" si="44"/>
        <v>0</v>
      </c>
      <c r="M353">
        <f>L353*Weighting!$V$17</f>
        <v>0</v>
      </c>
    </row>
    <row r="354" spans="1:27">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t="e">
        <f>Weighting!$C$18</f>
        <v>#DIV/0!</v>
      </c>
      <c r="E354" t="e">
        <f>Weighting!$E$18</f>
        <v>#NUM!</v>
      </c>
      <c r="F354" t="e">
        <f>IF(E354=1,'Data Transformation'!$G$3+0.5*'Data Transformation'!$U$25,IF(E355=1,F355-'Data Transformation'!$U$25,FALSE))</f>
        <v>#NUM!</v>
      </c>
      <c r="G354">
        <f t="array" ref="G354">IF(ISLOGICAL(F354),"",FREQUENCY(IF('Data Transformation'!$B$24:$B$404='Bin Analysis and Plots'!$D$339,'Data Transformation'!$G$24:$G$404),'Bin Analysis and Plots'!F354))</f>
        <v>0</v>
      </c>
      <c r="H354">
        <f t="shared" si="42"/>
        <v>0</v>
      </c>
      <c r="I354">
        <f>Weighting!$G$18</f>
        <v>0</v>
      </c>
      <c r="J354">
        <f t="array" ref="J354">FREQUENCY(IF('Data Transformation'!$B$4:$B$404=D339,'Data Transformation'!$G$4:$G$404),'Bin Analysis and Plots'!$D354)</f>
        <v>0</v>
      </c>
      <c r="K354">
        <f t="shared" si="43"/>
        <v>0</v>
      </c>
      <c r="L354">
        <f t="shared" si="44"/>
        <v>0</v>
      </c>
      <c r="M354">
        <f>L354*Weighting!$V$18</f>
        <v>0</v>
      </c>
    </row>
    <row r="355" spans="1:27">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t="e">
        <f>Weighting!$C$19</f>
        <v>#DIV/0!</v>
      </c>
      <c r="E355" t="e">
        <f>Weighting!$E$19</f>
        <v>#NUM!</v>
      </c>
      <c r="F355" t="e">
        <f>IF(E355=1,'Data Transformation'!$G$3+0.5*'Data Transformation'!$U$25,IF(E356=1,F356-'Data Transformation'!$U$25,FALSE))</f>
        <v>#NUM!</v>
      </c>
      <c r="G355">
        <f t="array" ref="G355">IF(ISLOGICAL(F355),"",FREQUENCY(IF('Data Transformation'!$B$24:$B$404='Bin Analysis and Plots'!$D$339,'Data Transformation'!$G$24:$G$404),'Bin Analysis and Plots'!F355))</f>
        <v>0</v>
      </c>
      <c r="H355">
        <f t="shared" si="42"/>
        <v>0</v>
      </c>
      <c r="I355">
        <f>Weighting!$G$19</f>
        <v>0</v>
      </c>
      <c r="J355">
        <f t="array" ref="J355">FREQUENCY(IF('Data Transformation'!$B$4:$B$404=D339,'Data Transformation'!$G$4:$G$404),'Bin Analysis and Plots'!$D355)</f>
        <v>0</v>
      </c>
      <c r="K355">
        <f t="shared" si="43"/>
        <v>0</v>
      </c>
      <c r="L355">
        <f t="shared" si="44"/>
        <v>0</v>
      </c>
      <c r="M355">
        <f>L355*Weighting!$V$19</f>
        <v>0</v>
      </c>
    </row>
    <row r="356" spans="1:27">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t="e">
        <f>Weighting!$C$20</f>
        <v>#DIV/0!</v>
      </c>
      <c r="E356" t="e">
        <f>Weighting!$E$20</f>
        <v>#NUM!</v>
      </c>
      <c r="F356" t="e">
        <f>IF(E356=1,'Data Transformation'!$G$3+0.5*'Data Transformation'!$U$25,IF(E357=1,F357-'Data Transformation'!$U$25,FALSE))</f>
        <v>#NUM!</v>
      </c>
      <c r="G356">
        <f t="array" ref="G356">IF(ISLOGICAL(F356),"",FREQUENCY(IF('Data Transformation'!$B$24:$B$404='Bin Analysis and Plots'!$D$339,'Data Transformation'!$G$24:$G$404),'Bin Analysis and Plots'!F356))</f>
        <v>0</v>
      </c>
      <c r="H356">
        <f t="shared" si="42"/>
        <v>0</v>
      </c>
      <c r="I356">
        <f>Weighting!$G$20</f>
        <v>0</v>
      </c>
      <c r="J356">
        <f t="array" ref="J356">FREQUENCY(IF('Data Transformation'!$B$4:$B$404=D339,'Data Transformation'!$G$4:$G$404),'Bin Analysis and Plots'!$D356)</f>
        <v>0</v>
      </c>
      <c r="K356">
        <f t="shared" si="43"/>
        <v>0</v>
      </c>
      <c r="L356">
        <f t="shared" si="44"/>
        <v>0</v>
      </c>
      <c r="M356">
        <f>L356*Weighting!$V$20</f>
        <v>0</v>
      </c>
    </row>
    <row r="357" spans="1:27">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t="e">
        <f>Weighting!$C$21</f>
        <v>#DIV/0!</v>
      </c>
      <c r="E357" t="e">
        <f>Weighting!$E$21</f>
        <v>#NUM!</v>
      </c>
      <c r="F357" t="e">
        <f>IF(E357=1,'Data Transformation'!$G$3+0.5*'Data Transformation'!$U$25,IF(E358=1,F358-'Data Transformation'!$U$25,FALSE))</f>
        <v>#NUM!</v>
      </c>
      <c r="G357">
        <f t="array" ref="G357">IF(ISLOGICAL(F357),"",FREQUENCY(IF('Data Transformation'!$B$24:$B$404='Bin Analysis and Plots'!$D$339,'Data Transformation'!$G$24:$G$404),'Bin Analysis and Plots'!F357))</f>
        <v>0</v>
      </c>
      <c r="H357">
        <f t="shared" si="42"/>
        <v>0</v>
      </c>
      <c r="I357">
        <f>Weighting!$G$21</f>
        <v>0</v>
      </c>
      <c r="J357">
        <f t="array" ref="J357">FREQUENCY(IF('Data Transformation'!$B$4:$B$404=D339,'Data Transformation'!$G$4:$G$404),'Bin Analysis and Plots'!$D357)</f>
        <v>0</v>
      </c>
      <c r="K357">
        <f t="shared" si="43"/>
        <v>0</v>
      </c>
      <c r="L357">
        <f t="shared" si="44"/>
        <v>0</v>
      </c>
      <c r="M357">
        <f>L357*Weighting!$V$21</f>
        <v>0</v>
      </c>
    </row>
    <row r="358" spans="1:27">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t="e">
        <f>Weighting!$C$22</f>
        <v>#DIV/0!</v>
      </c>
      <c r="E358" t="e">
        <f>Weighting!$E$22</f>
        <v>#NUM!</v>
      </c>
      <c r="F358" t="e">
        <f>IF(E358=1,'Data Transformation'!$G$3+0.5*'Data Transformation'!$U$25,IF(E359=1,F359-'Data Transformation'!$U$25,FALSE))</f>
        <v>#NUM!</v>
      </c>
      <c r="G358">
        <f t="array" ref="G358">IF(ISLOGICAL(F358),"",FREQUENCY(IF('Data Transformation'!$B$24:$B$404='Bin Analysis and Plots'!$D$339,'Data Transformation'!$G$24:$G$404),'Bin Analysis and Plots'!F358))</f>
        <v>0</v>
      </c>
      <c r="H358">
        <f t="shared" si="42"/>
        <v>0</v>
      </c>
      <c r="I358">
        <f>Weighting!$G$22</f>
        <v>0</v>
      </c>
      <c r="J358">
        <f t="array" ref="J358">FREQUENCY(IF('Data Transformation'!$B$4:$B$404=D339,'Data Transformation'!$G$4:$G$404),'Bin Analysis and Plots'!$D358)</f>
        <v>0</v>
      </c>
      <c r="K358">
        <f t="shared" si="43"/>
        <v>0</v>
      </c>
      <c r="L358">
        <f t="shared" si="44"/>
        <v>0</v>
      </c>
      <c r="M358">
        <f>L358*Weighting!$V$22</f>
        <v>0</v>
      </c>
    </row>
    <row r="359" spans="1:27">
      <c r="A359" s="29" t="b">
        <f t="array" ref="A359">IF(ISERROR(INDEX('Data Transformation'!$B$4:$G$450,SMALL(IF('Data Transformation'!$B$4:$B$450='Bin Analysis and Plots'!D339,ROW('Data Transformation'!$B$4:$B$450)),ROW($18:$18))-3,3)),"",INDEX('Data Transformation'!$B$4:$G$450,SMALL(IF('Data Transformation'!$B$4:$B$450='Bin Analysis and Plots'!D339,ROW('Data Transformation'!$B$4:$B$450)),ROW($18:$18))-3,6))</f>
        <v>0</v>
      </c>
      <c r="B359" s="29" t="str">
        <f>IFERROR(SMALL(A342:A361,'Data Transformation'!$L$23),"")</f>
        <v/>
      </c>
      <c r="C359" s="41" t="str">
        <f>IF(Weighting!$O$23&gt;0,D359,"")</f>
        <v/>
      </c>
      <c r="D359" t="e">
        <f>Weighting!$C$23</f>
        <v>#DIV/0!</v>
      </c>
      <c r="E359" t="e">
        <f>Weighting!$E$23</f>
        <v>#NUM!</v>
      </c>
      <c r="F359" t="e">
        <f>IF(E359=1,'Data Transformation'!$G$3+0.5*'Data Transformation'!$U$25,IF(E360=1,F360-'Data Transformation'!$U$25,FALSE))</f>
        <v>#NUM!</v>
      </c>
      <c r="G359">
        <f t="array" ref="G359">IF(ISLOGICAL(F359),"",FREQUENCY(IF('Data Transformation'!$B$24:$B$404='Bin Analysis and Plots'!$D$339,'Data Transformation'!$G$24:$G$404),'Bin Analysis and Plots'!F359))</f>
        <v>0</v>
      </c>
      <c r="H359">
        <f t="shared" si="42"/>
        <v>0</v>
      </c>
      <c r="I359">
        <f>Weighting!$G$23</f>
        <v>0</v>
      </c>
      <c r="J359">
        <f t="array" ref="J359">FREQUENCY(IF('Data Transformation'!$B$4:$B$404=D339,'Data Transformation'!$G$4:$G$404),'Bin Analysis and Plots'!$D359)</f>
        <v>0</v>
      </c>
      <c r="K359">
        <f t="shared" si="43"/>
        <v>0</v>
      </c>
      <c r="L359">
        <f t="shared" si="44"/>
        <v>0</v>
      </c>
      <c r="M359">
        <f>L359*Weighting!$V$23</f>
        <v>0</v>
      </c>
    </row>
    <row r="360" spans="1:27">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t="e">
        <f>Weighting!$C$24</f>
        <v>#DIV/0!</v>
      </c>
      <c r="E360" t="e">
        <f>Weighting!$E$24</f>
        <v>#NUM!</v>
      </c>
      <c r="F360" t="e">
        <f>IF(E360=1,'Data Transformation'!$G$3+0.5*'Data Transformation'!$U$25,IF(E361=1,F361-'Data Transformation'!$U$25,FALSE))</f>
        <v>#NUM!</v>
      </c>
      <c r="G360">
        <f t="array" ref="G360">IF(ISLOGICAL(F360),"",FREQUENCY(IF('Data Transformation'!$B$24:$B$404='Bin Analysis and Plots'!$D$339,'Data Transformation'!$G$24:$G$404),'Bin Analysis and Plots'!F360))</f>
        <v>0</v>
      </c>
      <c r="H360">
        <f t="shared" si="42"/>
        <v>0</v>
      </c>
      <c r="I360">
        <f>Weighting!$G$24</f>
        <v>0</v>
      </c>
      <c r="J360">
        <f t="array" ref="J360">FREQUENCY(IF('Data Transformation'!$B$4:$B$404=D339,'Data Transformation'!$G$4:$G$404),'Bin Analysis and Plots'!$D360)</f>
        <v>0</v>
      </c>
      <c r="K360">
        <f t="shared" si="43"/>
        <v>0</v>
      </c>
      <c r="L360">
        <f t="shared" si="44"/>
        <v>0</v>
      </c>
      <c r="M360">
        <f>L360*Weighting!$V$24</f>
        <v>0</v>
      </c>
    </row>
    <row r="361" spans="1:27">
      <c r="A361" s="29" t="b">
        <f t="array" ref="A361">IF(ISERROR(INDEX('Data Transformation'!$B$4:$G$450,SMALL(IF('Data Transformation'!$B$4:$B$450='Bin Analysis and Plots'!D339,ROW('Data Transformation'!$B$4:$B$450)),ROW($20:$20))-3,3)),"",INDEX('Data Transformation'!$B$4:$G$450,SMALL(IF('Data Transformation'!$B$4:$B$450='Bin Analysis and Plots'!D339,ROW('Data Transformation'!$B$4:$B$450)),ROW($20:$20))-3,6))</f>
        <v>0</v>
      </c>
      <c r="B361" s="29" t="str">
        <f>IFERROR(SMALL(A342:A361,'Data Transformation'!$L$25),"")</f>
        <v/>
      </c>
      <c r="C361" s="41" t="str">
        <f>IF(Weighting!$O$25&gt;0,D361,"")</f>
        <v/>
      </c>
      <c r="D361" t="e">
        <f>Weighting!$C$25</f>
        <v>#DIV/0!</v>
      </c>
      <c r="E361" t="e">
        <f>Weighting!$E$25</f>
        <v>#NUM!</v>
      </c>
      <c r="F361" t="e">
        <f>IF(E361=1,'Data Transformation'!$G$3+0.5*'Data Transformation'!$U$25,IF(E362=1,F362-'Data Transformation'!$U$25,FALSE))</f>
        <v>#NUM!</v>
      </c>
      <c r="G361">
        <f t="array" ref="G361">IF(ISLOGICAL(F361),"",FREQUENCY(IF('Data Transformation'!$B$24:$B$404='Bin Analysis and Plots'!$D$339,'Data Transformation'!$G$24:$G$404),'Bin Analysis and Plots'!F361))</f>
        <v>0</v>
      </c>
      <c r="H361">
        <f t="shared" si="42"/>
        <v>0</v>
      </c>
      <c r="I361">
        <f>Weighting!$G$25</f>
        <v>0</v>
      </c>
      <c r="J361">
        <f t="array" ref="J361">FREQUENCY(IF('Data Transformation'!$B$4:$B$404=D339,'Data Transformation'!$G$4:$G$404),'Bin Analysis and Plots'!$D361)</f>
        <v>0</v>
      </c>
      <c r="K361">
        <f t="shared" si="43"/>
        <v>0</v>
      </c>
      <c r="L361">
        <f t="shared" si="44"/>
        <v>0</v>
      </c>
      <c r="M361">
        <f>L361*Weighting!$V$25</f>
        <v>0</v>
      </c>
    </row>
    <row r="362" spans="1:27">
      <c r="C362" s="41" t="str">
        <f>IF(B362="","",D362)</f>
        <v/>
      </c>
    </row>
    <row r="363" spans="1:27" ht="23.2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8" cm="1">
        <f t="array" ref="Z363:Z364">FREQUENCY(IF('Data Transformation'!$B$24:$B$404='Bin Analysis and Plots'!N363,'Data Transformation'!$G$24:$G$404),'Data Transformation'!$U$11)</f>
        <v>0</v>
      </c>
      <c r="AA363" s="78" cm="1">
        <f t="array" ref="AA363:AA364">FREQUENCY(IF('Data Transformation'!$B$24:$B$404='Bin Analysis and Plots'!N363,'Data Transformation'!$G$24:$G$404),'Data Transformation'!$U$12)</f>
        <v>0</v>
      </c>
    </row>
    <row r="364" spans="1:27" ht="21">
      <c r="A364" s="91" t="s">
        <v>64</v>
      </c>
      <c r="B364" s="91"/>
      <c r="C364" s="14" t="s">
        <v>72</v>
      </c>
      <c r="D364" t="s">
        <v>50</v>
      </c>
      <c r="E364" t="s">
        <v>5</v>
      </c>
      <c r="I364" t="s">
        <v>74</v>
      </c>
      <c r="J364" t="s">
        <v>34</v>
      </c>
      <c r="K364" t="s">
        <v>35</v>
      </c>
      <c r="L364" t="s">
        <v>49</v>
      </c>
      <c r="M364" s="14" t="s">
        <v>48</v>
      </c>
      <c r="Z364" s="78">
        <v>0</v>
      </c>
      <c r="AA364" s="78">
        <v>0</v>
      </c>
    </row>
    <row r="365" spans="1:27">
      <c r="C365" s="41" t="str">
        <f>IF(B365="","",D365)</f>
        <v/>
      </c>
      <c r="F365" t="e">
        <f>IF(E365=1,'Data Transformation'!$G$3+0.5*'Data Transformation'!$U$25,IF(E366=1,F366-'Data Transformation'!$U$25,FALSE))</f>
        <v>#NUM!</v>
      </c>
      <c r="G365">
        <f t="array" ref="G365">IF(ISLOGICAL(F365),"",FREQUENCY(IF('Data Transformation'!$B$24:$B$404='Bin Analysis and Plots'!$D$363,'Data Transformation'!$G$24:$G$404),'Bin Analysis and Plots'!F365))</f>
        <v>0</v>
      </c>
      <c r="H365">
        <f>IF(ISLOGICAL(F365),"",G365-G364)</f>
        <v>0</v>
      </c>
    </row>
    <row r="366" spans="1:27">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t="e">
        <f>IF(Weighting!$O$6&gt;0,D366,"")</f>
        <v>#NUM!</v>
      </c>
      <c r="D366" t="e">
        <f>Weighting!$C$6</f>
        <v>#DIV/0!</v>
      </c>
      <c r="E366" t="e">
        <f>Weighting!$E$6</f>
        <v>#NUM!</v>
      </c>
      <c r="F366" t="e">
        <f>IF(E366=1,'Data Transformation'!$G$3+0.5*'Data Transformation'!$U$25,IF(E367=1,F367-'Data Transformation'!$U$25,FALSE))</f>
        <v>#NUM!</v>
      </c>
      <c r="G366">
        <f t="array" ref="G366">IF(ISLOGICAL(F366),"",FREQUENCY(IF('Data Transformation'!$B$24:$B$404='Bin Analysis and Plots'!$D$363,'Data Transformation'!$G$24:$G$404),'Bin Analysis and Plots'!F366))</f>
        <v>0</v>
      </c>
      <c r="H366">
        <f>IF(ISLOGICAL(F366),"",G366-G365)</f>
        <v>0</v>
      </c>
      <c r="I366">
        <f>Weighting!$G$6</f>
        <v>1</v>
      </c>
      <c r="J366">
        <f t="array" ref="J366">FREQUENCY(IF('Data Transformation'!$B$4:$B$404=D363,'Data Transformation'!$G$4:$G$404),'Bin Analysis and Plots'!$D366)</f>
        <v>0</v>
      </c>
      <c r="K366">
        <f>J366-J365</f>
        <v>0</v>
      </c>
      <c r="L366">
        <f>IF(K366=0,0,1)</f>
        <v>0</v>
      </c>
      <c r="M366" t="e">
        <f>L366*Weighting!$V$6</f>
        <v>#NUM!</v>
      </c>
    </row>
    <row r="367" spans="1:27">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t="str">
        <f>IF(Weighting!$O$7&gt;0,D367,"")</f>
        <v/>
      </c>
      <c r="D367" t="e">
        <f>Weighting!$C$7</f>
        <v>#DIV/0!</v>
      </c>
      <c r="E367" t="e">
        <f>Weighting!$E$7</f>
        <v>#NUM!</v>
      </c>
      <c r="F367" t="e">
        <f>IF(E367=1,'Data Transformation'!$G$3+0.5*'Data Transformation'!$U$25,IF(E368=1,F368-'Data Transformation'!$U$25,FALSE))</f>
        <v>#NUM!</v>
      </c>
      <c r="G367">
        <f t="array" ref="G367">IF(ISLOGICAL(F367),"",FREQUENCY(IF('Data Transformation'!$B$24:$B$404='Bin Analysis and Plots'!$D$363,'Data Transformation'!$G$24:$G$404),'Bin Analysis and Plots'!F367))</f>
        <v>0</v>
      </c>
      <c r="H367">
        <f t="shared" ref="H367:H385" si="45">IF(ISLOGICAL(F367),"",G367-G366)</f>
        <v>0</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t="str">
        <f>IF(Weighting!$O$8&gt;0,D368,"")</f>
        <v/>
      </c>
      <c r="D368" t="e">
        <f>Weighting!$C$8</f>
        <v>#DIV/0!</v>
      </c>
      <c r="E368" t="e">
        <f>Weighting!$E$8</f>
        <v>#NUM!</v>
      </c>
      <c r="F368" t="e">
        <f>IF(E368=1,'Data Transformation'!$G$3+0.5*'Data Transformation'!$U$25,IF(E369=1,F369-'Data Transformation'!$U$25,FALSE))</f>
        <v>#NUM!</v>
      </c>
      <c r="G368">
        <f t="array" ref="G368">IF(ISLOGICAL(F368),"",FREQUENCY(IF('Data Transformation'!$B$24:$B$404='Bin Analysis and Plots'!$D$363,'Data Transformation'!$G$24:$G$404),'Bin Analysis and Plots'!F368))</f>
        <v>0</v>
      </c>
      <c r="H368">
        <f t="shared" si="45"/>
        <v>0</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t="str">
        <f>IF(Weighting!$O$9&gt;0,D369,"")</f>
        <v/>
      </c>
      <c r="D369" t="e">
        <f>Weighting!$B$9</f>
        <v>#DIV/0!</v>
      </c>
      <c r="E369" t="e">
        <f>Weighting!$E$9</f>
        <v>#NUM!</v>
      </c>
      <c r="F369" t="e">
        <f>IF(E369=1,'Data Transformation'!$G$3+0.5*'Data Transformation'!$U$25,IF(E370=1,F370-'Data Transformation'!$U$25,FALSE))</f>
        <v>#NUM!</v>
      </c>
      <c r="G369">
        <f t="array" ref="G369">IF(ISLOGICAL(F369),"",FREQUENCY(IF('Data Transformation'!$B$24:$B$404='Bin Analysis and Plots'!$D$363,'Data Transformation'!$G$24:$G$404),'Bin Analysis and Plots'!F369))</f>
        <v>0</v>
      </c>
      <c r="H369">
        <f t="shared" si="45"/>
        <v>0</v>
      </c>
      <c r="I369">
        <f>Weighting!$G$9</f>
        <v>0</v>
      </c>
      <c r="J369">
        <f t="array" ref="J369">FREQUENCY(IF('Data Transformation'!$B$4:$B$404=D363,'Data Transformation'!$G$4:$G$404),'Bin Analysis and Plots'!$D369)</f>
        <v>0</v>
      </c>
      <c r="K369">
        <f t="shared" si="46"/>
        <v>0</v>
      </c>
      <c r="L369">
        <f t="shared" si="47"/>
        <v>0</v>
      </c>
      <c r="M369">
        <f>L369*Weighting!$V$9</f>
        <v>0</v>
      </c>
    </row>
    <row r="370" spans="1:13">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t="str">
        <f>IF(Weighting!$O$10&gt;0,D370,"")</f>
        <v/>
      </c>
      <c r="D370" t="e">
        <f>Weighting!$C$10</f>
        <v>#DIV/0!</v>
      </c>
      <c r="E370" t="e">
        <f>Weighting!$E$10</f>
        <v>#NUM!</v>
      </c>
      <c r="F370" t="e">
        <f>IF(E370=1,'Data Transformation'!$G$3+0.5*'Data Transformation'!$U$25,IF(E371=1,F371-'Data Transformation'!$U$25,FALSE))</f>
        <v>#NUM!</v>
      </c>
      <c r="G370">
        <f t="array" ref="G370">IF(ISLOGICAL(F370),"",FREQUENCY(IF('Data Transformation'!$B$24:$B$404='Bin Analysis and Plots'!$D$363,'Data Transformation'!$G$24:$G$404),'Bin Analysis and Plots'!F370))</f>
        <v>0</v>
      </c>
      <c r="H370">
        <f t="shared" si="45"/>
        <v>0</v>
      </c>
      <c r="I370">
        <f>Weighting!$G$10</f>
        <v>0</v>
      </c>
      <c r="J370">
        <f t="array" ref="J370">FREQUENCY(IF('Data Transformation'!$B$4:$B$404=D363,'Data Transformation'!$G$4:$G$404),'Bin Analysis and Plots'!$D370)</f>
        <v>0</v>
      </c>
      <c r="K370">
        <f t="shared" si="46"/>
        <v>0</v>
      </c>
      <c r="L370">
        <f t="shared" si="47"/>
        <v>0</v>
      </c>
      <c r="M370">
        <f>L370*Weighting!$V$10</f>
        <v>0</v>
      </c>
    </row>
    <row r="371" spans="1:13">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t="str">
        <f>IF(Weighting!$O$11&gt;0,D371,"")</f>
        <v/>
      </c>
      <c r="D371" t="e">
        <f>Weighting!$C$11</f>
        <v>#DIV/0!</v>
      </c>
      <c r="E371" t="e">
        <f>Weighting!$E$11</f>
        <v>#NUM!</v>
      </c>
      <c r="F371" t="e">
        <f>IF(E371=1,'Data Transformation'!$G$3+0.5*'Data Transformation'!$U$25,IF(E372=1,F372-'Data Transformation'!$U$25,FALSE))</f>
        <v>#NUM!</v>
      </c>
      <c r="G371">
        <f t="array" ref="G371">IF(ISLOGICAL(F371),"",FREQUENCY(IF('Data Transformation'!$B$24:$B$404='Bin Analysis and Plots'!$D$363,'Data Transformation'!$G$24:$G$404),'Bin Analysis and Plots'!F371))</f>
        <v>0</v>
      </c>
      <c r="H371">
        <f t="shared" si="45"/>
        <v>0</v>
      </c>
      <c r="I371">
        <f>Weighting!$G$11</f>
        <v>0</v>
      </c>
      <c r="J371">
        <f t="array" ref="J371">FREQUENCY(IF('Data Transformation'!$B$4:$B$404=D363,'Data Transformation'!$G$4:$G$404),'Bin Analysis and Plots'!$D371)</f>
        <v>0</v>
      </c>
      <c r="K371">
        <f t="shared" si="46"/>
        <v>0</v>
      </c>
      <c r="L371">
        <f t="shared" si="47"/>
        <v>0</v>
      </c>
      <c r="M371">
        <f>L371*Weighting!$V$11</f>
        <v>0</v>
      </c>
    </row>
    <row r="372" spans="1:13">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t="str">
        <f>IF(Weighting!$O$12&gt;0,D372,"")</f>
        <v/>
      </c>
      <c r="D372" t="e">
        <f>Weighting!$C$12</f>
        <v>#DIV/0!</v>
      </c>
      <c r="E372" t="e">
        <f>Weighting!$E$12</f>
        <v>#NUM!</v>
      </c>
      <c r="F372" t="e">
        <f>IF(E372=1,'Data Transformation'!$G$3+0.5*'Data Transformation'!$U$25,IF(E373=1,F373-'Data Transformation'!$U$25,FALSE))</f>
        <v>#NUM!</v>
      </c>
      <c r="G372">
        <f t="array" ref="G372">IF(ISLOGICAL(F372),"",FREQUENCY(IF('Data Transformation'!$B$24:$B$404='Bin Analysis and Plots'!$D$363,'Data Transformation'!$G$24:$G$404),'Bin Analysis and Plots'!F372))</f>
        <v>0</v>
      </c>
      <c r="H372">
        <f t="shared" si="45"/>
        <v>0</v>
      </c>
      <c r="I372">
        <f>Weighting!$G$12</f>
        <v>0</v>
      </c>
      <c r="J372">
        <f t="array" ref="J372">FREQUENCY(IF('Data Transformation'!$B$4:$B$404=D363,'Data Transformation'!$G$4:$G$404),'Bin Analysis and Plots'!$D372)</f>
        <v>0</v>
      </c>
      <c r="K372">
        <f t="shared" si="46"/>
        <v>0</v>
      </c>
      <c r="L372">
        <f t="shared" si="47"/>
        <v>0</v>
      </c>
      <c r="M372">
        <f>L372*Weighting!$V$12</f>
        <v>0</v>
      </c>
    </row>
    <row r="373" spans="1:13">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t="str">
        <f>IF(Weighting!$O$13&gt;0,D373,"")</f>
        <v/>
      </c>
      <c r="D373" t="e">
        <f>Weighting!$C$13</f>
        <v>#DIV/0!</v>
      </c>
      <c r="E373" t="e">
        <f>Weighting!$E$13</f>
        <v>#NUM!</v>
      </c>
      <c r="F373" t="e">
        <f>IF(E373=1,'Data Transformation'!$G$3+0.5*'Data Transformation'!$U$25,IF(E374=1,F374-'Data Transformation'!$U$25,FALSE))</f>
        <v>#NUM!</v>
      </c>
      <c r="G373">
        <f t="array" ref="G373">IF(ISLOGICAL(F373),"",FREQUENCY(IF('Data Transformation'!$B$24:$B$404='Bin Analysis and Plots'!$D$363,'Data Transformation'!$G$24:$G$404),'Bin Analysis and Plots'!F373))</f>
        <v>0</v>
      </c>
      <c r="H373">
        <f t="shared" si="45"/>
        <v>0</v>
      </c>
      <c r="I373">
        <f>Weighting!$G$13</f>
        <v>0</v>
      </c>
      <c r="J373">
        <f t="array" ref="J373">FREQUENCY(IF('Data Transformation'!$B$4:$B$404=D363,'Data Transformation'!$G$4:$G$404),'Bin Analysis and Plots'!$D373)</f>
        <v>0</v>
      </c>
      <c r="K373">
        <f t="shared" si="46"/>
        <v>0</v>
      </c>
      <c r="L373">
        <f t="shared" si="47"/>
        <v>0</v>
      </c>
      <c r="M373">
        <f>L373*Weighting!$V$13</f>
        <v>0</v>
      </c>
    </row>
    <row r="374" spans="1:13">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t="str">
        <f>IF(Weighting!$O$14&gt;0,D374,"")</f>
        <v/>
      </c>
      <c r="D374" t="e">
        <f>Weighting!$C$14</f>
        <v>#DIV/0!</v>
      </c>
      <c r="E374" t="e">
        <f>Weighting!$E$14</f>
        <v>#NUM!</v>
      </c>
      <c r="F374" t="e">
        <f>IF(E374=1,'Data Transformation'!$G$3+0.5*'Data Transformation'!$U$25,IF(E375=1,F375-'Data Transformation'!$U$25,FALSE))</f>
        <v>#NUM!</v>
      </c>
      <c r="G374">
        <f t="array" ref="G374">IF(ISLOGICAL(F374),"",FREQUENCY(IF('Data Transformation'!$B$24:$B$404='Bin Analysis and Plots'!$D$363,'Data Transformation'!$G$24:$G$404),'Bin Analysis and Plots'!F374))</f>
        <v>0</v>
      </c>
      <c r="H374">
        <f t="shared" si="45"/>
        <v>0</v>
      </c>
      <c r="I374">
        <f>Weighting!$G$14</f>
        <v>0</v>
      </c>
      <c r="J374">
        <f t="array" ref="J374">FREQUENCY(IF('Data Transformation'!$B$4:$B$404=D363,'Data Transformation'!$G$4:$G$404),'Bin Analysis and Plots'!$D374)</f>
        <v>0</v>
      </c>
      <c r="K374">
        <f t="shared" si="46"/>
        <v>0</v>
      </c>
      <c r="L374">
        <f t="shared" si="47"/>
        <v>0</v>
      </c>
      <c r="M374">
        <f>L374*Weighting!$V$14</f>
        <v>0</v>
      </c>
    </row>
    <row r="375" spans="1:13">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t="str">
        <f>IF(Weighting!$O$15&gt;0,D375,"")</f>
        <v/>
      </c>
      <c r="D375" t="e">
        <f>Weighting!$C$15</f>
        <v>#DIV/0!</v>
      </c>
      <c r="E375" t="e">
        <f>Weighting!$E$15</f>
        <v>#NUM!</v>
      </c>
      <c r="F375" t="e">
        <f>IF(E375=1,'Data Transformation'!$G$3+0.5*'Data Transformation'!$U$25,IF(E376=1,F376-'Data Transformation'!$U$25,FALSE))</f>
        <v>#NUM!</v>
      </c>
      <c r="G375">
        <f t="array" ref="G375">IF(ISLOGICAL(F375),"",FREQUENCY(IF('Data Transformation'!$B$24:$B$404='Bin Analysis and Plots'!$D$363,'Data Transformation'!$G$24:$G$404),'Bin Analysis and Plots'!F375))</f>
        <v>0</v>
      </c>
      <c r="H375">
        <f t="shared" si="45"/>
        <v>0</v>
      </c>
      <c r="I375">
        <f>Weighting!$G$15</f>
        <v>0</v>
      </c>
      <c r="J375">
        <f t="array" ref="J375">FREQUENCY(IF('Data Transformation'!$B$4:$B$404=D363,'Data Transformation'!$G$4:$G$404),'Bin Analysis and Plots'!$D375)</f>
        <v>0</v>
      </c>
      <c r="K375">
        <f t="shared" si="46"/>
        <v>0</v>
      </c>
      <c r="L375">
        <f t="shared" si="47"/>
        <v>0</v>
      </c>
      <c r="M375">
        <f>L375*Weighting!$V$15</f>
        <v>0</v>
      </c>
    </row>
    <row r="376" spans="1:13">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t="e">
        <f>Weighting!$C$16</f>
        <v>#DIV/0!</v>
      </c>
      <c r="E376" t="e">
        <f>Weighting!$E$16</f>
        <v>#NUM!</v>
      </c>
      <c r="F376" t="e">
        <f>IF(E376=1,'Data Transformation'!$G$3+0.5*'Data Transformation'!$U$25,IF(E377=1,F377-'Data Transformation'!$U$25,FALSE))</f>
        <v>#NUM!</v>
      </c>
      <c r="G376">
        <f t="array" ref="G376">IF(ISLOGICAL(F376),"",FREQUENCY(IF('Data Transformation'!$B$24:$B$404='Bin Analysis and Plots'!$D$363,'Data Transformation'!$G$24:$G$404),'Bin Analysis and Plots'!F376))</f>
        <v>0</v>
      </c>
      <c r="H376">
        <f t="shared" si="45"/>
        <v>0</v>
      </c>
      <c r="I376">
        <f>Weighting!$G$16</f>
        <v>0</v>
      </c>
      <c r="J376">
        <f t="array" ref="J376">FREQUENCY(IF('Data Transformation'!$B$4:$B$404=D363,'Data Transformation'!$G$4:$G$404),'Bin Analysis and Plots'!$D376)</f>
        <v>0</v>
      </c>
      <c r="K376">
        <f t="shared" si="46"/>
        <v>0</v>
      </c>
      <c r="L376">
        <f t="shared" si="47"/>
        <v>0</v>
      </c>
      <c r="M376">
        <f>L376*Weighting!$V$16</f>
        <v>0</v>
      </c>
    </row>
    <row r="377" spans="1:13">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t="e">
        <f>Weighting!$C$17</f>
        <v>#DIV/0!</v>
      </c>
      <c r="E377" t="e">
        <f>Weighting!$E$17</f>
        <v>#NUM!</v>
      </c>
      <c r="F377" t="e">
        <f>IF(E377=1,'Data Transformation'!$G$3+0.5*'Data Transformation'!$U$25,IF(E378=1,F378-'Data Transformation'!$U$25,FALSE))</f>
        <v>#NUM!</v>
      </c>
      <c r="G377">
        <f t="array" ref="G377">IF(ISLOGICAL(F377),"",FREQUENCY(IF('Data Transformation'!$B$24:$B$404='Bin Analysis and Plots'!$D$363,'Data Transformation'!$G$24:$G$404),'Bin Analysis and Plots'!F377))</f>
        <v>0</v>
      </c>
      <c r="H377">
        <f t="shared" si="45"/>
        <v>0</v>
      </c>
      <c r="I377">
        <f>Weighting!$G$17</f>
        <v>0</v>
      </c>
      <c r="J377">
        <f t="array" ref="J377">FREQUENCY(IF('Data Transformation'!$B$4:$B$404=D363,'Data Transformation'!$G$4:$G$404),'Bin Analysis and Plots'!$D377)</f>
        <v>0</v>
      </c>
      <c r="K377">
        <f t="shared" si="46"/>
        <v>0</v>
      </c>
      <c r="L377">
        <f t="shared" si="47"/>
        <v>0</v>
      </c>
      <c r="M377">
        <f>L377*Weighting!$V$17</f>
        <v>0</v>
      </c>
    </row>
    <row r="378" spans="1:13">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t="e">
        <f>Weighting!$C$18</f>
        <v>#DIV/0!</v>
      </c>
      <c r="E378" t="e">
        <f>Weighting!$E$18</f>
        <v>#NUM!</v>
      </c>
      <c r="F378" t="e">
        <f>IF(E378=1,'Data Transformation'!$G$3+0.5*'Data Transformation'!$U$25,IF(E379=1,F379-'Data Transformation'!$U$25,FALSE))</f>
        <v>#NUM!</v>
      </c>
      <c r="G378">
        <f t="array" ref="G378">IF(ISLOGICAL(F378),"",FREQUENCY(IF('Data Transformation'!$B$24:$B$404='Bin Analysis and Plots'!$D$363,'Data Transformation'!$G$24:$G$404),'Bin Analysis and Plots'!F378))</f>
        <v>0</v>
      </c>
      <c r="H378">
        <f t="shared" si="45"/>
        <v>0</v>
      </c>
      <c r="I378">
        <f>Weighting!$G$18</f>
        <v>0</v>
      </c>
      <c r="J378">
        <f t="array" ref="J378">FREQUENCY(IF('Data Transformation'!$B$4:$B$404=D363,'Data Transformation'!$G$4:$G$404),'Bin Analysis and Plots'!$D378)</f>
        <v>0</v>
      </c>
      <c r="K378">
        <f t="shared" si="46"/>
        <v>0</v>
      </c>
      <c r="L378">
        <f t="shared" si="47"/>
        <v>0</v>
      </c>
      <c r="M378">
        <f>L378*Weighting!$V$18</f>
        <v>0</v>
      </c>
    </row>
    <row r="379" spans="1:13">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t="e">
        <f>Weighting!$C$19</f>
        <v>#DIV/0!</v>
      </c>
      <c r="E379" t="e">
        <f>Weighting!$E$19</f>
        <v>#NUM!</v>
      </c>
      <c r="F379" t="e">
        <f>IF(E379=1,'Data Transformation'!$G$3+0.5*'Data Transformation'!$U$25,IF(E380=1,F380-'Data Transformation'!$U$25,FALSE))</f>
        <v>#NUM!</v>
      </c>
      <c r="G379">
        <f t="array" ref="G379">IF(ISLOGICAL(F379),"",FREQUENCY(IF('Data Transformation'!$B$24:$B$404='Bin Analysis and Plots'!$D$363,'Data Transformation'!$G$24:$G$404),'Bin Analysis and Plots'!F379))</f>
        <v>0</v>
      </c>
      <c r="H379">
        <f t="shared" si="45"/>
        <v>0</v>
      </c>
      <c r="I379">
        <f>Weighting!$G$19</f>
        <v>0</v>
      </c>
      <c r="J379">
        <f t="array" ref="J379">FREQUENCY(IF('Data Transformation'!$B$4:$B$404=D363,'Data Transformation'!$G$4:$G$404),'Bin Analysis and Plots'!$D379)</f>
        <v>0</v>
      </c>
      <c r="K379">
        <f t="shared" si="46"/>
        <v>0</v>
      </c>
      <c r="L379">
        <f t="shared" si="47"/>
        <v>0</v>
      </c>
      <c r="M379">
        <f>L379*Weighting!$V$19</f>
        <v>0</v>
      </c>
    </row>
    <row r="380" spans="1:13">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t="e">
        <f>Weighting!$C$20</f>
        <v>#DIV/0!</v>
      </c>
      <c r="E380" t="e">
        <f>Weighting!$E$20</f>
        <v>#NUM!</v>
      </c>
      <c r="F380" t="e">
        <f>IF(E380=1,'Data Transformation'!$G$3+0.5*'Data Transformation'!$U$25,IF(E381=1,F381-'Data Transformation'!$U$25,FALSE))</f>
        <v>#NUM!</v>
      </c>
      <c r="G380">
        <f t="array" ref="G380">IF(ISLOGICAL(F380),"",FREQUENCY(IF('Data Transformation'!$B$24:$B$404='Bin Analysis and Plots'!$D$363,'Data Transformation'!$G$24:$G$404),'Bin Analysis and Plots'!F380))</f>
        <v>0</v>
      </c>
      <c r="H380">
        <f t="shared" si="45"/>
        <v>0</v>
      </c>
      <c r="I380">
        <f>Weighting!$G$20</f>
        <v>0</v>
      </c>
      <c r="J380">
        <f t="array" ref="J380">FREQUENCY(IF('Data Transformation'!$B$4:$B$404=D363,'Data Transformation'!$G$4:$G$404),'Bin Analysis and Plots'!$D380)</f>
        <v>0</v>
      </c>
      <c r="K380">
        <f t="shared" si="46"/>
        <v>0</v>
      </c>
      <c r="L380">
        <f t="shared" si="47"/>
        <v>0</v>
      </c>
      <c r="M380">
        <f>L380*Weighting!$V$20</f>
        <v>0</v>
      </c>
    </row>
    <row r="381" spans="1:13">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t="e">
        <f>Weighting!$C$21</f>
        <v>#DIV/0!</v>
      </c>
      <c r="E381" t="e">
        <f>Weighting!$E$21</f>
        <v>#NUM!</v>
      </c>
      <c r="F381" t="e">
        <f>IF(E381=1,'Data Transformation'!$G$3+0.5*'Data Transformation'!$U$25,IF(E382=1,F382-'Data Transformation'!$U$25,FALSE))</f>
        <v>#NUM!</v>
      </c>
      <c r="G381">
        <f t="array" ref="G381">IF(ISLOGICAL(F381),"",FREQUENCY(IF('Data Transformation'!$B$24:$B$404='Bin Analysis and Plots'!$D$363,'Data Transformation'!$G$24:$G$404),'Bin Analysis and Plots'!F381))</f>
        <v>0</v>
      </c>
      <c r="H381">
        <f t="shared" si="45"/>
        <v>0</v>
      </c>
      <c r="I381">
        <f>Weighting!$G$21</f>
        <v>0</v>
      </c>
      <c r="J381">
        <f t="array" ref="J381">FREQUENCY(IF('Data Transformation'!$B$4:$B$404=D363,'Data Transformation'!$G$4:$G$404),'Bin Analysis and Plots'!$D381)</f>
        <v>0</v>
      </c>
      <c r="K381">
        <f t="shared" si="46"/>
        <v>0</v>
      </c>
      <c r="L381">
        <f t="shared" si="47"/>
        <v>0</v>
      </c>
      <c r="M381">
        <f>L381*Weighting!$V$21</f>
        <v>0</v>
      </c>
    </row>
    <row r="382" spans="1:13">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t="e">
        <f>Weighting!$C$22</f>
        <v>#DIV/0!</v>
      </c>
      <c r="E382" t="e">
        <f>Weighting!$E$22</f>
        <v>#NUM!</v>
      </c>
      <c r="F382" t="e">
        <f>IF(E382=1,'Data Transformation'!$G$3+0.5*'Data Transformation'!$U$25,IF(E383=1,F383-'Data Transformation'!$U$25,FALSE))</f>
        <v>#NUM!</v>
      </c>
      <c r="G382">
        <f t="array" ref="G382">IF(ISLOGICAL(F382),"",FREQUENCY(IF('Data Transformation'!$B$24:$B$404='Bin Analysis and Plots'!$D$363,'Data Transformation'!$G$24:$G$404),'Bin Analysis and Plots'!F382))</f>
        <v>0</v>
      </c>
      <c r="H382">
        <f t="shared" si="45"/>
        <v>0</v>
      </c>
      <c r="I382">
        <f>Weighting!$G$22</f>
        <v>0</v>
      </c>
      <c r="J382">
        <f t="array" ref="J382">FREQUENCY(IF('Data Transformation'!$B$4:$B$404=D363,'Data Transformation'!$G$4:$G$404),'Bin Analysis and Plots'!$D382)</f>
        <v>0</v>
      </c>
      <c r="K382">
        <f t="shared" si="46"/>
        <v>0</v>
      </c>
      <c r="L382">
        <f t="shared" si="47"/>
        <v>0</v>
      </c>
      <c r="M382">
        <f>L382*Weighting!$V$22</f>
        <v>0</v>
      </c>
    </row>
    <row r="383" spans="1:13">
      <c r="A383" s="29" t="b">
        <f t="array" ref="A383">IF(ISERROR(INDEX('Data Transformation'!$B$4:$G$450,SMALL(IF('Data Transformation'!$B$4:$B$450='Bin Analysis and Plots'!D363,ROW('Data Transformation'!$B$4:$B$450)),ROW($18:$18))-3,3)),"",INDEX('Data Transformation'!$B$4:$G$450,SMALL(IF('Data Transformation'!$B$4:$B$450='Bin Analysis and Plots'!D363,ROW('Data Transformation'!$B$4:$B$450)),ROW($18:$18))-3,6))</f>
        <v>0</v>
      </c>
      <c r="B383" s="29" t="str">
        <f>IFERROR(SMALL(A366:A385,'Data Transformation'!$L$23),"")</f>
        <v/>
      </c>
      <c r="C383" s="41" t="str">
        <f>IF(Weighting!$O$23&gt;0,D383,"")</f>
        <v/>
      </c>
      <c r="D383" t="e">
        <f>Weighting!$C$23</f>
        <v>#DIV/0!</v>
      </c>
      <c r="E383" t="e">
        <f>Weighting!$E$23</f>
        <v>#NUM!</v>
      </c>
      <c r="F383" t="e">
        <f>IF(E383=1,'Data Transformation'!$G$3+0.5*'Data Transformation'!$U$25,IF(E384=1,F384-'Data Transformation'!$U$25,FALSE))</f>
        <v>#NUM!</v>
      </c>
      <c r="G383">
        <f t="array" ref="G383">IF(ISLOGICAL(F383),"",FREQUENCY(IF('Data Transformation'!$B$24:$B$404='Bin Analysis and Plots'!$D$363,'Data Transformation'!$G$24:$G$404),'Bin Analysis and Plots'!F383))</f>
        <v>0</v>
      </c>
      <c r="H383">
        <f t="shared" si="45"/>
        <v>0</v>
      </c>
      <c r="I383">
        <f>Weighting!$G$23</f>
        <v>0</v>
      </c>
      <c r="J383">
        <f t="array" ref="J383">FREQUENCY(IF('Data Transformation'!$B$4:$B$404=D363,'Data Transformation'!$G$4:$G$404),'Bin Analysis and Plots'!$D383)</f>
        <v>0</v>
      </c>
      <c r="K383">
        <f t="shared" si="46"/>
        <v>0</v>
      </c>
      <c r="L383">
        <f t="shared" si="47"/>
        <v>0</v>
      </c>
      <c r="M383">
        <f>L383*Weighting!$V$23</f>
        <v>0</v>
      </c>
    </row>
    <row r="384" spans="1:13">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t="e">
        <f>Weighting!$C$24</f>
        <v>#DIV/0!</v>
      </c>
      <c r="E384" t="e">
        <f>Weighting!$E$24</f>
        <v>#NUM!</v>
      </c>
      <c r="F384" t="e">
        <f>IF(E384=1,'Data Transformation'!$G$3+0.5*'Data Transformation'!$U$25,IF(E385=1,F385-'Data Transformation'!$U$25,FALSE))</f>
        <v>#NUM!</v>
      </c>
      <c r="G384">
        <f t="array" ref="G384">IF(ISLOGICAL(F384),"",FREQUENCY(IF('Data Transformation'!$B$24:$B$404='Bin Analysis and Plots'!$D$363,'Data Transformation'!$G$24:$G$404),'Bin Analysis and Plots'!F384))</f>
        <v>0</v>
      </c>
      <c r="H384">
        <f t="shared" si="45"/>
        <v>0</v>
      </c>
      <c r="I384">
        <f>Weighting!$G$24</f>
        <v>0</v>
      </c>
      <c r="J384">
        <f t="array" ref="J384">FREQUENCY(IF('Data Transformation'!$B$4:$B$404=D363,'Data Transformation'!$G$4:$G$404),'Bin Analysis and Plots'!$D384)</f>
        <v>0</v>
      </c>
      <c r="K384">
        <f t="shared" si="46"/>
        <v>0</v>
      </c>
      <c r="L384">
        <f t="shared" si="47"/>
        <v>0</v>
      </c>
      <c r="M384">
        <f>L384*Weighting!$V$24</f>
        <v>0</v>
      </c>
    </row>
    <row r="385" spans="1:27">
      <c r="A385" s="29" t="b">
        <f t="array" ref="A385">IF(ISERROR(INDEX('Data Transformation'!$B$4:$G$450,SMALL(IF('Data Transformation'!$B$4:$B$450='Bin Analysis and Plots'!D363,ROW('Data Transformation'!$B$4:$B$450)),ROW($20:$20))-3,3)),"",INDEX('Data Transformation'!$B$4:$G$450,SMALL(IF('Data Transformation'!$B$4:$B$450='Bin Analysis and Plots'!D363,ROW('Data Transformation'!$B$4:$B$450)),ROW($20:$20))-3,6))</f>
        <v>0</v>
      </c>
      <c r="B385" s="29" t="str">
        <f>IFERROR(SMALL(A366:A385,'Data Transformation'!$L$25),"")</f>
        <v/>
      </c>
      <c r="C385" s="41" t="str">
        <f>IF(Weighting!$O$25&gt;0,D385,"")</f>
        <v/>
      </c>
      <c r="D385" t="e">
        <f>Weighting!$C$25</f>
        <v>#DIV/0!</v>
      </c>
      <c r="E385" t="e">
        <f>Weighting!$E$25</f>
        <v>#NUM!</v>
      </c>
      <c r="F385" t="e">
        <f>IF(E385=1,'Data Transformation'!$G$3+0.5*'Data Transformation'!$U$25,IF(E386=1,F386-'Data Transformation'!$U$25,FALSE))</f>
        <v>#NUM!</v>
      </c>
      <c r="G385">
        <f t="array" ref="G385">IF(ISLOGICAL(F385),"",FREQUENCY(IF('Data Transformation'!$B$24:$B$404='Bin Analysis and Plots'!$D$363,'Data Transformation'!$G$24:$G$404),'Bin Analysis and Plots'!F385))</f>
        <v>0</v>
      </c>
      <c r="H385">
        <f t="shared" si="45"/>
        <v>0</v>
      </c>
      <c r="I385">
        <f>Weighting!$G$25</f>
        <v>0</v>
      </c>
      <c r="J385">
        <f t="array" ref="J385">FREQUENCY(IF('Data Transformation'!$B$4:$B$404=D363,'Data Transformation'!$G$4:$G$404),'Bin Analysis and Plots'!$D385)</f>
        <v>0</v>
      </c>
      <c r="K385">
        <f t="shared" si="46"/>
        <v>0</v>
      </c>
      <c r="L385">
        <f t="shared" si="47"/>
        <v>0</v>
      </c>
      <c r="M385">
        <f>L385*Weighting!$V$25</f>
        <v>0</v>
      </c>
    </row>
    <row r="386" spans="1:27">
      <c r="C386" s="41" t="str">
        <f>IF(B386="","",D386)</f>
        <v/>
      </c>
    </row>
    <row r="387" spans="1:27" ht="23.2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8" cm="1">
        <f t="array" ref="Z387:Z388">FREQUENCY(IF('Data Transformation'!$B$24:$B$404='Bin Analysis and Plots'!N387,'Data Transformation'!$G$24:$G$404),'Data Transformation'!$U$11)</f>
        <v>0</v>
      </c>
      <c r="AA387" s="78" cm="1">
        <f t="array" ref="AA387:AA388">FREQUENCY(IF('Data Transformation'!$B$24:$B$404='Bin Analysis and Plots'!N387,'Data Transformation'!$G$24:$G$404),'Data Transformation'!$U$12)</f>
        <v>0</v>
      </c>
    </row>
    <row r="388" spans="1:27" ht="21">
      <c r="A388" s="91" t="s">
        <v>64</v>
      </c>
      <c r="B388" s="91"/>
      <c r="C388" s="14" t="s">
        <v>72</v>
      </c>
      <c r="D388" t="s">
        <v>50</v>
      </c>
      <c r="E388" t="s">
        <v>5</v>
      </c>
      <c r="I388" t="s">
        <v>74</v>
      </c>
      <c r="J388" t="s">
        <v>34</v>
      </c>
      <c r="K388" t="s">
        <v>35</v>
      </c>
      <c r="L388" t="s">
        <v>49</v>
      </c>
      <c r="M388" s="14" t="s">
        <v>48</v>
      </c>
      <c r="Z388" s="78">
        <v>0</v>
      </c>
      <c r="AA388" s="78">
        <v>0</v>
      </c>
    </row>
    <row r="389" spans="1:27">
      <c r="C389" s="41" t="str">
        <f>IF(B389="","",D389)</f>
        <v/>
      </c>
      <c r="F389" t="e">
        <f>IF(E389=1,'Data Transformation'!$G$3+0.5*'Data Transformation'!$U$25,IF(E390=1,F390-'Data Transformation'!$U$25,FALSE))</f>
        <v>#NUM!</v>
      </c>
      <c r="G389">
        <f t="array" ref="G389">IF(ISLOGICAL(F389),"",FREQUENCY(IF('Data Transformation'!$B$24:$B$404='Bin Analysis and Plots'!$D$387,'Data Transformation'!$G$24:$G$404),'Bin Analysis and Plots'!F389))</f>
        <v>0</v>
      </c>
      <c r="H389">
        <f>IF(ISLOGICAL(F389),"",G389-G388)</f>
        <v>0</v>
      </c>
    </row>
    <row r="390" spans="1:27">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t="e">
        <f>IF(Weighting!$O$6&gt;0,D390,"")</f>
        <v>#NUM!</v>
      </c>
      <c r="D390" t="e">
        <f>Weighting!$C$6</f>
        <v>#DIV/0!</v>
      </c>
      <c r="E390" t="e">
        <f>Weighting!$E$6</f>
        <v>#NUM!</v>
      </c>
      <c r="F390" t="e">
        <f>IF(E390=1,'Data Transformation'!$G$3+0.5*'Data Transformation'!$U$25,IF(E391=1,F391-'Data Transformation'!$U$25,FALSE))</f>
        <v>#NUM!</v>
      </c>
      <c r="G390">
        <f t="array" ref="G390">IF(ISLOGICAL(F390),"",FREQUENCY(IF('Data Transformation'!$B$24:$B$404='Bin Analysis and Plots'!$D$387,'Data Transformation'!$G$24:$G$404),'Bin Analysis and Plots'!F390))</f>
        <v>0</v>
      </c>
      <c r="H390">
        <f>IF(ISLOGICAL(F390),"",G390-G389)</f>
        <v>0</v>
      </c>
      <c r="I390">
        <f>Weighting!$G$6</f>
        <v>1</v>
      </c>
      <c r="J390">
        <f t="array" ref="J390">FREQUENCY(IF('Data Transformation'!$B$4:$B$404=D387,'Data Transformation'!$G$4:$G$404),'Bin Analysis and Plots'!$D390)</f>
        <v>0</v>
      </c>
      <c r="K390">
        <f>J390-J389</f>
        <v>0</v>
      </c>
      <c r="L390">
        <f>IF(K390=0,0,1)</f>
        <v>0</v>
      </c>
      <c r="M390" t="e">
        <f>L390*Weighting!$V$6</f>
        <v>#NUM!</v>
      </c>
    </row>
    <row r="391" spans="1:27">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t="str">
        <f>IF(Weighting!$O$7&gt;0,D391,"")</f>
        <v/>
      </c>
      <c r="D391" t="e">
        <f>Weighting!$C$7</f>
        <v>#DIV/0!</v>
      </c>
      <c r="E391" t="e">
        <f>Weighting!$E$7</f>
        <v>#NUM!</v>
      </c>
      <c r="F391" t="e">
        <f>IF(E391=1,'Data Transformation'!$G$3+0.5*'Data Transformation'!$U$25,IF(E392=1,F392-'Data Transformation'!$U$25,FALSE))</f>
        <v>#NUM!</v>
      </c>
      <c r="G391">
        <f t="array" ref="G391">IF(ISLOGICAL(F391),"",FREQUENCY(IF('Data Transformation'!$B$24:$B$404='Bin Analysis and Plots'!$D$387,'Data Transformation'!$G$24:$G$404),'Bin Analysis and Plots'!F391))</f>
        <v>0</v>
      </c>
      <c r="H391">
        <f t="shared" ref="H391:H409" si="48">IF(ISLOGICAL(F391),"",G391-G390)</f>
        <v>0</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t="str">
        <f>IF(Weighting!$O$8&gt;0,D392,"")</f>
        <v/>
      </c>
      <c r="D392" t="e">
        <f>Weighting!$C$8</f>
        <v>#DIV/0!</v>
      </c>
      <c r="E392" t="e">
        <f>Weighting!$E$8</f>
        <v>#NUM!</v>
      </c>
      <c r="F392" t="e">
        <f>IF(E392=1,'Data Transformation'!$G$3+0.5*'Data Transformation'!$U$25,IF(E393=1,F393-'Data Transformation'!$U$25,FALSE))</f>
        <v>#NUM!</v>
      </c>
      <c r="G392">
        <f t="array" ref="G392">IF(ISLOGICAL(F392),"",FREQUENCY(IF('Data Transformation'!$B$24:$B$404='Bin Analysis and Plots'!$D$387,'Data Transformation'!$G$24:$G$404),'Bin Analysis and Plots'!F392))</f>
        <v>0</v>
      </c>
      <c r="H392">
        <f t="shared" si="48"/>
        <v>0</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t="str">
        <f>IF(Weighting!$O$9&gt;0,D393,"")</f>
        <v/>
      </c>
      <c r="D393" t="e">
        <f>Weighting!$B$9</f>
        <v>#DIV/0!</v>
      </c>
      <c r="E393" t="e">
        <f>Weighting!$E$9</f>
        <v>#NUM!</v>
      </c>
      <c r="F393" t="e">
        <f>IF(E393=1,'Data Transformation'!$G$3+0.5*'Data Transformation'!$U$25,IF(E394=1,F394-'Data Transformation'!$U$25,FALSE))</f>
        <v>#NUM!</v>
      </c>
      <c r="G393">
        <f t="array" ref="G393">IF(ISLOGICAL(F393),"",FREQUENCY(IF('Data Transformation'!$B$24:$B$404='Bin Analysis and Plots'!$D$387,'Data Transformation'!$G$24:$G$404),'Bin Analysis and Plots'!F393))</f>
        <v>0</v>
      </c>
      <c r="H393">
        <f t="shared" si="48"/>
        <v>0</v>
      </c>
      <c r="I393">
        <f>Weighting!$G$9</f>
        <v>0</v>
      </c>
      <c r="J393">
        <f t="array" ref="J393">FREQUENCY(IF('Data Transformation'!$B$4:$B$404=D387,'Data Transformation'!$G$4:$G$404),'Bin Analysis and Plots'!$D393)</f>
        <v>0</v>
      </c>
      <c r="K393">
        <f t="shared" si="49"/>
        <v>0</v>
      </c>
      <c r="L393">
        <f t="shared" si="50"/>
        <v>0</v>
      </c>
      <c r="M393">
        <f>L393*Weighting!$V$9</f>
        <v>0</v>
      </c>
    </row>
    <row r="394" spans="1:27">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t="str">
        <f>IF(Weighting!$O$10&gt;0,D394,"")</f>
        <v/>
      </c>
      <c r="D394" t="e">
        <f>Weighting!$C$10</f>
        <v>#DIV/0!</v>
      </c>
      <c r="E394" t="e">
        <f>Weighting!$E$10</f>
        <v>#NUM!</v>
      </c>
      <c r="F394" t="e">
        <f>IF(E394=1,'Data Transformation'!$G$3+0.5*'Data Transformation'!$U$25,IF(E395=1,F395-'Data Transformation'!$U$25,FALSE))</f>
        <v>#NUM!</v>
      </c>
      <c r="G394">
        <f t="array" ref="G394">IF(ISLOGICAL(F394),"",FREQUENCY(IF('Data Transformation'!$B$24:$B$404='Bin Analysis and Plots'!$D$387,'Data Transformation'!$G$24:$G$404),'Bin Analysis and Plots'!F394))</f>
        <v>0</v>
      </c>
      <c r="H394">
        <f t="shared" si="48"/>
        <v>0</v>
      </c>
      <c r="I394">
        <f>Weighting!$G$10</f>
        <v>0</v>
      </c>
      <c r="J394">
        <f t="array" ref="J394">FREQUENCY(IF('Data Transformation'!$B$4:$B$404=D387,'Data Transformation'!$G$4:$G$404),'Bin Analysis and Plots'!$D394)</f>
        <v>0</v>
      </c>
      <c r="K394">
        <f t="shared" si="49"/>
        <v>0</v>
      </c>
      <c r="L394">
        <f t="shared" si="50"/>
        <v>0</v>
      </c>
      <c r="M394">
        <f>L394*Weighting!$V$10</f>
        <v>0</v>
      </c>
    </row>
    <row r="395" spans="1:27">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t="str">
        <f>IF(Weighting!$O$11&gt;0,D395,"")</f>
        <v/>
      </c>
      <c r="D395" t="e">
        <f>Weighting!$C$11</f>
        <v>#DIV/0!</v>
      </c>
      <c r="E395" t="e">
        <f>Weighting!$E$11</f>
        <v>#NUM!</v>
      </c>
      <c r="F395" t="e">
        <f>IF(E395=1,'Data Transformation'!$G$3+0.5*'Data Transformation'!$U$25,IF(E396=1,F396-'Data Transformation'!$U$25,FALSE))</f>
        <v>#NUM!</v>
      </c>
      <c r="G395">
        <f t="array" ref="G395">IF(ISLOGICAL(F395),"",FREQUENCY(IF('Data Transformation'!$B$24:$B$404='Bin Analysis and Plots'!$D$387,'Data Transformation'!$G$24:$G$404),'Bin Analysis and Plots'!F395))</f>
        <v>0</v>
      </c>
      <c r="H395">
        <f t="shared" si="48"/>
        <v>0</v>
      </c>
      <c r="I395">
        <f>Weighting!$G$11</f>
        <v>0</v>
      </c>
      <c r="J395">
        <f t="array" ref="J395">FREQUENCY(IF('Data Transformation'!$B$4:$B$404=D387,'Data Transformation'!$G$4:$G$404),'Bin Analysis and Plots'!$D395)</f>
        <v>0</v>
      </c>
      <c r="K395">
        <f t="shared" si="49"/>
        <v>0</v>
      </c>
      <c r="L395">
        <f t="shared" si="50"/>
        <v>0</v>
      </c>
      <c r="M395">
        <f>L395*Weighting!$V$11</f>
        <v>0</v>
      </c>
    </row>
    <row r="396" spans="1:27">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t="str">
        <f>IF(Weighting!$O$12&gt;0,D396,"")</f>
        <v/>
      </c>
      <c r="D396" t="e">
        <f>Weighting!$C$12</f>
        <v>#DIV/0!</v>
      </c>
      <c r="E396" t="e">
        <f>Weighting!$E$12</f>
        <v>#NUM!</v>
      </c>
      <c r="F396" t="e">
        <f>IF(E396=1,'Data Transformation'!$G$3+0.5*'Data Transformation'!$U$25,IF(E397=1,F397-'Data Transformation'!$U$25,FALSE))</f>
        <v>#NUM!</v>
      </c>
      <c r="G396">
        <f t="array" ref="G396">IF(ISLOGICAL(F396),"",FREQUENCY(IF('Data Transformation'!$B$24:$B$404='Bin Analysis and Plots'!$D$387,'Data Transformation'!$G$24:$G$404),'Bin Analysis and Plots'!F396))</f>
        <v>0</v>
      </c>
      <c r="H396">
        <f t="shared" si="48"/>
        <v>0</v>
      </c>
      <c r="I396">
        <f>Weighting!$G$12</f>
        <v>0</v>
      </c>
      <c r="J396">
        <f t="array" ref="J396">FREQUENCY(IF('Data Transformation'!$B$4:$B$404=D387,'Data Transformation'!$G$4:$G$404),'Bin Analysis and Plots'!$D396)</f>
        <v>0</v>
      </c>
      <c r="K396">
        <f t="shared" si="49"/>
        <v>0</v>
      </c>
      <c r="L396">
        <f t="shared" si="50"/>
        <v>0</v>
      </c>
      <c r="M396">
        <f>L396*Weighting!$V$12</f>
        <v>0</v>
      </c>
    </row>
    <row r="397" spans="1:27">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t="str">
        <f>IF(Weighting!$O$13&gt;0,D397,"")</f>
        <v/>
      </c>
      <c r="D397" t="e">
        <f>Weighting!$C$13</f>
        <v>#DIV/0!</v>
      </c>
      <c r="E397" t="e">
        <f>Weighting!$E$13</f>
        <v>#NUM!</v>
      </c>
      <c r="F397" t="e">
        <f>IF(E397=1,'Data Transformation'!$G$3+0.5*'Data Transformation'!$U$25,IF(E398=1,F398-'Data Transformation'!$U$25,FALSE))</f>
        <v>#NUM!</v>
      </c>
      <c r="G397">
        <f t="array" ref="G397">IF(ISLOGICAL(F397),"",FREQUENCY(IF('Data Transformation'!$B$24:$B$404='Bin Analysis and Plots'!$D$387,'Data Transformation'!$G$24:$G$404),'Bin Analysis and Plots'!F397))</f>
        <v>0</v>
      </c>
      <c r="H397">
        <f t="shared" si="48"/>
        <v>0</v>
      </c>
      <c r="I397">
        <f>Weighting!$G$13</f>
        <v>0</v>
      </c>
      <c r="J397">
        <f t="array" ref="J397">FREQUENCY(IF('Data Transformation'!$B$4:$B$404=D387,'Data Transformation'!$G$4:$G$404),'Bin Analysis and Plots'!$D397)</f>
        <v>0</v>
      </c>
      <c r="K397">
        <f t="shared" si="49"/>
        <v>0</v>
      </c>
      <c r="L397">
        <f t="shared" si="50"/>
        <v>0</v>
      </c>
      <c r="M397">
        <f>L397*Weighting!$V$13</f>
        <v>0</v>
      </c>
    </row>
    <row r="398" spans="1:27">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t="str">
        <f>IF(Weighting!$O$14&gt;0,D398,"")</f>
        <v/>
      </c>
      <c r="D398" t="e">
        <f>Weighting!$C$14</f>
        <v>#DIV/0!</v>
      </c>
      <c r="E398" t="e">
        <f>Weighting!$E$14</f>
        <v>#NUM!</v>
      </c>
      <c r="F398" t="e">
        <f>IF(E398=1,'Data Transformation'!$G$3+0.5*'Data Transformation'!$U$25,IF(E399=1,F399-'Data Transformation'!$U$25,FALSE))</f>
        <v>#NUM!</v>
      </c>
      <c r="G398">
        <f t="array" ref="G398">IF(ISLOGICAL(F398),"",FREQUENCY(IF('Data Transformation'!$B$24:$B$404='Bin Analysis and Plots'!$D$387,'Data Transformation'!$G$24:$G$404),'Bin Analysis and Plots'!F398))</f>
        <v>0</v>
      </c>
      <c r="H398">
        <f t="shared" si="48"/>
        <v>0</v>
      </c>
      <c r="I398">
        <f>Weighting!$G$14</f>
        <v>0</v>
      </c>
      <c r="J398">
        <f t="array" ref="J398">FREQUENCY(IF('Data Transformation'!$B$4:$B$404=D387,'Data Transformation'!$G$4:$G$404),'Bin Analysis and Plots'!$D398)</f>
        <v>0</v>
      </c>
      <c r="K398">
        <f t="shared" si="49"/>
        <v>0</v>
      </c>
      <c r="L398">
        <f t="shared" si="50"/>
        <v>0</v>
      </c>
      <c r="M398">
        <f>L398*Weighting!$V$14</f>
        <v>0</v>
      </c>
    </row>
    <row r="399" spans="1:27">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t="str">
        <f>IF(Weighting!$O$15&gt;0,D399,"")</f>
        <v/>
      </c>
      <c r="D399" t="e">
        <f>Weighting!$C$15</f>
        <v>#DIV/0!</v>
      </c>
      <c r="E399" t="e">
        <f>Weighting!$E$15</f>
        <v>#NUM!</v>
      </c>
      <c r="F399" t="e">
        <f>IF(E399=1,'Data Transformation'!$G$3+0.5*'Data Transformation'!$U$25,IF(E400=1,F400-'Data Transformation'!$U$25,FALSE))</f>
        <v>#NUM!</v>
      </c>
      <c r="G399">
        <f t="array" ref="G399">IF(ISLOGICAL(F399),"",FREQUENCY(IF('Data Transformation'!$B$24:$B$404='Bin Analysis and Plots'!$D$387,'Data Transformation'!$G$24:$G$404),'Bin Analysis and Plots'!F399))</f>
        <v>0</v>
      </c>
      <c r="H399">
        <f t="shared" si="48"/>
        <v>0</v>
      </c>
      <c r="I399">
        <f>Weighting!$G$15</f>
        <v>0</v>
      </c>
      <c r="J399">
        <f t="array" ref="J399">FREQUENCY(IF('Data Transformation'!$B$4:$B$404=D387,'Data Transformation'!$G$4:$G$404),'Bin Analysis and Plots'!$D399)</f>
        <v>0</v>
      </c>
      <c r="K399">
        <f t="shared" si="49"/>
        <v>0</v>
      </c>
      <c r="L399">
        <f t="shared" si="50"/>
        <v>0</v>
      </c>
      <c r="M399">
        <f>L399*Weighting!$V$15</f>
        <v>0</v>
      </c>
    </row>
    <row r="400" spans="1:27">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t="e">
        <f>Weighting!$C$16</f>
        <v>#DIV/0!</v>
      </c>
      <c r="E400" t="e">
        <f>Weighting!$E$16</f>
        <v>#NUM!</v>
      </c>
      <c r="F400" t="e">
        <f>IF(E400=1,'Data Transformation'!$G$3+0.5*'Data Transformation'!$U$25,IF(E401=1,F401-'Data Transformation'!$U$25,FALSE))</f>
        <v>#NUM!</v>
      </c>
      <c r="G400">
        <f t="array" ref="G400">IF(ISLOGICAL(F400),"",FREQUENCY(IF('Data Transformation'!$B$24:$B$404='Bin Analysis and Plots'!$D$387,'Data Transformation'!$G$24:$G$404),'Bin Analysis and Plots'!F400))</f>
        <v>0</v>
      </c>
      <c r="H400">
        <f t="shared" si="48"/>
        <v>0</v>
      </c>
      <c r="I400">
        <f>Weighting!$G$16</f>
        <v>0</v>
      </c>
      <c r="J400">
        <f t="array" ref="J400">FREQUENCY(IF('Data Transformation'!$B$4:$B$404=D387,'Data Transformation'!$G$4:$G$404),'Bin Analysis and Plots'!$D400)</f>
        <v>0</v>
      </c>
      <c r="K400">
        <f t="shared" si="49"/>
        <v>0</v>
      </c>
      <c r="L400">
        <f t="shared" si="50"/>
        <v>0</v>
      </c>
      <c r="M400">
        <f>L400*Weighting!$V$16</f>
        <v>0</v>
      </c>
    </row>
    <row r="401" spans="1:27">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t="e">
        <f>Weighting!$C$17</f>
        <v>#DIV/0!</v>
      </c>
      <c r="E401" t="e">
        <f>Weighting!$E$17</f>
        <v>#NUM!</v>
      </c>
      <c r="F401" t="e">
        <f>IF(E401=1,'Data Transformation'!$G$3+0.5*'Data Transformation'!$U$25,IF(E402=1,F402-'Data Transformation'!$U$25,FALSE))</f>
        <v>#NUM!</v>
      </c>
      <c r="G401">
        <f t="array" ref="G401">IF(ISLOGICAL(F401),"",FREQUENCY(IF('Data Transformation'!$B$24:$B$404='Bin Analysis and Plots'!$D$387,'Data Transformation'!$G$24:$G$404),'Bin Analysis and Plots'!F401))</f>
        <v>0</v>
      </c>
      <c r="H401">
        <f t="shared" si="48"/>
        <v>0</v>
      </c>
      <c r="I401">
        <f>Weighting!$G$17</f>
        <v>0</v>
      </c>
      <c r="J401">
        <f t="array" ref="J401">FREQUENCY(IF('Data Transformation'!$B$4:$B$404=D387,'Data Transformation'!$G$4:$G$404),'Bin Analysis and Plots'!$D401)</f>
        <v>0</v>
      </c>
      <c r="K401">
        <f t="shared" si="49"/>
        <v>0</v>
      </c>
      <c r="L401">
        <f t="shared" si="50"/>
        <v>0</v>
      </c>
      <c r="M401">
        <f>L401*Weighting!$V$17</f>
        <v>0</v>
      </c>
    </row>
    <row r="402" spans="1:27">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t="e">
        <f>Weighting!$C$18</f>
        <v>#DIV/0!</v>
      </c>
      <c r="E402" t="e">
        <f>Weighting!$E$18</f>
        <v>#NUM!</v>
      </c>
      <c r="F402" t="e">
        <f>IF(E402=1,'Data Transformation'!$G$3+0.5*'Data Transformation'!$U$25,IF(E403=1,F403-'Data Transformation'!$U$25,FALSE))</f>
        <v>#NUM!</v>
      </c>
      <c r="G402">
        <f t="array" ref="G402">IF(ISLOGICAL(F402),"",FREQUENCY(IF('Data Transformation'!$B$24:$B$404='Bin Analysis and Plots'!$D$387,'Data Transformation'!$G$24:$G$404),'Bin Analysis and Plots'!F402))</f>
        <v>0</v>
      </c>
      <c r="H402">
        <f t="shared" si="48"/>
        <v>0</v>
      </c>
      <c r="I402">
        <f>Weighting!$G$18</f>
        <v>0</v>
      </c>
      <c r="J402">
        <f t="array" ref="J402">FREQUENCY(IF('Data Transformation'!$B$4:$B$404=D387,'Data Transformation'!$G$4:$G$404),'Bin Analysis and Plots'!$D402)</f>
        <v>0</v>
      </c>
      <c r="K402">
        <f t="shared" si="49"/>
        <v>0</v>
      </c>
      <c r="L402">
        <f t="shared" si="50"/>
        <v>0</v>
      </c>
      <c r="M402">
        <f>L402*Weighting!$V$18</f>
        <v>0</v>
      </c>
    </row>
    <row r="403" spans="1:27">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t="e">
        <f>Weighting!$C$19</f>
        <v>#DIV/0!</v>
      </c>
      <c r="E403" t="e">
        <f>Weighting!$E$19</f>
        <v>#NUM!</v>
      </c>
      <c r="F403" t="e">
        <f>IF(E403=1,'Data Transformation'!$G$3+0.5*'Data Transformation'!$U$25,IF(E404=1,F404-'Data Transformation'!$U$25,FALSE))</f>
        <v>#NUM!</v>
      </c>
      <c r="G403">
        <f t="array" ref="G403">IF(ISLOGICAL(F403),"",FREQUENCY(IF('Data Transformation'!$B$24:$B$404='Bin Analysis and Plots'!$D$387,'Data Transformation'!$G$24:$G$404),'Bin Analysis and Plots'!F403))</f>
        <v>0</v>
      </c>
      <c r="H403">
        <f t="shared" si="48"/>
        <v>0</v>
      </c>
      <c r="I403">
        <f>Weighting!$G$19</f>
        <v>0</v>
      </c>
      <c r="J403">
        <f t="array" ref="J403">FREQUENCY(IF('Data Transformation'!$B$4:$B$404=D387,'Data Transformation'!$G$4:$G$404),'Bin Analysis and Plots'!$D403)</f>
        <v>0</v>
      </c>
      <c r="K403">
        <f t="shared" si="49"/>
        <v>0</v>
      </c>
      <c r="L403">
        <f t="shared" si="50"/>
        <v>0</v>
      </c>
      <c r="M403">
        <f>L403*Weighting!$V$19</f>
        <v>0</v>
      </c>
    </row>
    <row r="404" spans="1:27">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t="e">
        <f>Weighting!$C$20</f>
        <v>#DIV/0!</v>
      </c>
      <c r="E404" t="e">
        <f>Weighting!$E$20</f>
        <v>#NUM!</v>
      </c>
      <c r="F404" t="e">
        <f>IF(E404=1,'Data Transformation'!$G$3+0.5*'Data Transformation'!$U$25,IF(E405=1,F405-'Data Transformation'!$U$25,FALSE))</f>
        <v>#NUM!</v>
      </c>
      <c r="G404">
        <f t="array" ref="G404">IF(ISLOGICAL(F404),"",FREQUENCY(IF('Data Transformation'!$B$24:$B$404='Bin Analysis and Plots'!$D$387,'Data Transformation'!$G$24:$G$404),'Bin Analysis and Plots'!F404))</f>
        <v>0</v>
      </c>
      <c r="H404">
        <f t="shared" si="48"/>
        <v>0</v>
      </c>
      <c r="I404">
        <f>Weighting!$G$20</f>
        <v>0</v>
      </c>
      <c r="J404">
        <f t="array" ref="J404">FREQUENCY(IF('Data Transformation'!$B$4:$B$404=D387,'Data Transformation'!$G$4:$G$404),'Bin Analysis and Plots'!$D404)</f>
        <v>0</v>
      </c>
      <c r="K404">
        <f t="shared" si="49"/>
        <v>0</v>
      </c>
      <c r="L404">
        <f t="shared" si="50"/>
        <v>0</v>
      </c>
      <c r="M404">
        <f>L404*Weighting!$V$20</f>
        <v>0</v>
      </c>
    </row>
    <row r="405" spans="1:27">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t="e">
        <f>Weighting!$C$21</f>
        <v>#DIV/0!</v>
      </c>
      <c r="E405" t="e">
        <f>Weighting!$E$21</f>
        <v>#NUM!</v>
      </c>
      <c r="F405" t="e">
        <f>IF(E405=1,'Data Transformation'!$G$3+0.5*'Data Transformation'!$U$25,IF(E406=1,F406-'Data Transformation'!$U$25,FALSE))</f>
        <v>#NUM!</v>
      </c>
      <c r="G405">
        <f t="array" ref="G405">IF(ISLOGICAL(F405),"",FREQUENCY(IF('Data Transformation'!$B$24:$B$404='Bin Analysis and Plots'!$D$387,'Data Transformation'!$G$24:$G$404),'Bin Analysis and Plots'!F405))</f>
        <v>0</v>
      </c>
      <c r="H405">
        <f t="shared" si="48"/>
        <v>0</v>
      </c>
      <c r="I405">
        <f>Weighting!$G$21</f>
        <v>0</v>
      </c>
      <c r="J405">
        <f t="array" ref="J405">FREQUENCY(IF('Data Transformation'!$B$4:$B$404=D387,'Data Transformation'!$G$4:$G$404),'Bin Analysis and Plots'!$D405)</f>
        <v>0</v>
      </c>
      <c r="K405">
        <f t="shared" si="49"/>
        <v>0</v>
      </c>
      <c r="L405">
        <f t="shared" si="50"/>
        <v>0</v>
      </c>
      <c r="M405">
        <f>L405*Weighting!$V$21</f>
        <v>0</v>
      </c>
    </row>
    <row r="406" spans="1:27">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t="e">
        <f>Weighting!$C$22</f>
        <v>#DIV/0!</v>
      </c>
      <c r="E406" t="e">
        <f>Weighting!$E$22</f>
        <v>#NUM!</v>
      </c>
      <c r="F406" t="e">
        <f>IF(E406=1,'Data Transformation'!$G$3+0.5*'Data Transformation'!$U$25,IF(E407=1,F407-'Data Transformation'!$U$25,FALSE))</f>
        <v>#NUM!</v>
      </c>
      <c r="G406">
        <f t="array" ref="G406">IF(ISLOGICAL(F406),"",FREQUENCY(IF('Data Transformation'!$B$24:$B$404='Bin Analysis and Plots'!$D$387,'Data Transformation'!$G$24:$G$404),'Bin Analysis and Plots'!F406))</f>
        <v>0</v>
      </c>
      <c r="H406">
        <f t="shared" si="48"/>
        <v>0</v>
      </c>
      <c r="I406">
        <f>Weighting!$G$22</f>
        <v>0</v>
      </c>
      <c r="J406">
        <f t="array" ref="J406">FREQUENCY(IF('Data Transformation'!$B$4:$B$404=D387,'Data Transformation'!$G$4:$G$404),'Bin Analysis and Plots'!$D406)</f>
        <v>0</v>
      </c>
      <c r="K406">
        <f t="shared" si="49"/>
        <v>0</v>
      </c>
      <c r="L406">
        <f t="shared" si="50"/>
        <v>0</v>
      </c>
      <c r="M406">
        <f>L406*Weighting!$V$22</f>
        <v>0</v>
      </c>
    </row>
    <row r="407" spans="1:27">
      <c r="A407" s="29" t="b">
        <f t="array" ref="A407">IF(ISERROR(INDEX('Data Transformation'!$B$4:$G$450,SMALL(IF('Data Transformation'!$B$4:$B$450='Bin Analysis and Plots'!D387,ROW('Data Transformation'!$B$4:$B$450)),ROW($18:$18))-3,3)),"",INDEX('Data Transformation'!$B$4:$G$450,SMALL(IF('Data Transformation'!$B$4:$B$450='Bin Analysis and Plots'!D387,ROW('Data Transformation'!$B$4:$B$450)),ROW($18:$18))-3,6))</f>
        <v>0</v>
      </c>
      <c r="B407" s="29" t="str">
        <f>IFERROR(SMALL(A390:A409,'Data Transformation'!$L$23),"")</f>
        <v/>
      </c>
      <c r="C407" s="41" t="str">
        <f>IF(Weighting!$O$23&gt;0,D407,"")</f>
        <v/>
      </c>
      <c r="D407" t="e">
        <f>Weighting!$C$23</f>
        <v>#DIV/0!</v>
      </c>
      <c r="E407" t="e">
        <f>Weighting!$E$23</f>
        <v>#NUM!</v>
      </c>
      <c r="F407" t="e">
        <f>IF(E407=1,'Data Transformation'!$G$3+0.5*'Data Transformation'!$U$25,IF(E408=1,F408-'Data Transformation'!$U$25,FALSE))</f>
        <v>#NUM!</v>
      </c>
      <c r="G407">
        <f t="array" ref="G407">IF(ISLOGICAL(F407),"",FREQUENCY(IF('Data Transformation'!$B$24:$B$404='Bin Analysis and Plots'!$D$387,'Data Transformation'!$G$24:$G$404),'Bin Analysis and Plots'!F407))</f>
        <v>0</v>
      </c>
      <c r="H407">
        <f t="shared" si="48"/>
        <v>0</v>
      </c>
      <c r="I407">
        <f>Weighting!$G$23</f>
        <v>0</v>
      </c>
      <c r="J407">
        <f t="array" ref="J407">FREQUENCY(IF('Data Transformation'!$B$4:$B$404=D387,'Data Transformation'!$G$4:$G$404),'Bin Analysis and Plots'!$D407)</f>
        <v>0</v>
      </c>
      <c r="K407">
        <f t="shared" si="49"/>
        <v>0</v>
      </c>
      <c r="L407">
        <f t="shared" si="50"/>
        <v>0</v>
      </c>
      <c r="M407">
        <f>L407*Weighting!$V$23</f>
        <v>0</v>
      </c>
    </row>
    <row r="408" spans="1:27">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t="e">
        <f>Weighting!$C$24</f>
        <v>#DIV/0!</v>
      </c>
      <c r="E408" t="e">
        <f>Weighting!$E$24</f>
        <v>#NUM!</v>
      </c>
      <c r="F408" t="e">
        <f>IF(E408=1,'Data Transformation'!$G$3+0.5*'Data Transformation'!$U$25,IF(E409=1,F409-'Data Transformation'!$U$25,FALSE))</f>
        <v>#NUM!</v>
      </c>
      <c r="G408">
        <f t="array" ref="G408">IF(ISLOGICAL(F408),"",FREQUENCY(IF('Data Transformation'!$B$24:$B$404='Bin Analysis and Plots'!$D$387,'Data Transformation'!$G$24:$G$404),'Bin Analysis and Plots'!F408))</f>
        <v>0</v>
      </c>
      <c r="H408">
        <f t="shared" si="48"/>
        <v>0</v>
      </c>
      <c r="I408">
        <f>Weighting!$G$24</f>
        <v>0</v>
      </c>
      <c r="J408">
        <f t="array" ref="J408">FREQUENCY(IF('Data Transformation'!$B$4:$B$404=D387,'Data Transformation'!$G$4:$G$404),'Bin Analysis and Plots'!$D408)</f>
        <v>0</v>
      </c>
      <c r="K408">
        <f t="shared" si="49"/>
        <v>0</v>
      </c>
      <c r="L408">
        <f t="shared" si="50"/>
        <v>0</v>
      </c>
      <c r="M408">
        <f>L408*Weighting!$V$24</f>
        <v>0</v>
      </c>
    </row>
    <row r="409" spans="1:27">
      <c r="A409" s="29" t="b">
        <f t="array" ref="A409">IF(ISERROR(INDEX('Data Transformation'!$B$4:$G$450,SMALL(IF('Data Transformation'!$B$4:$B$450='Bin Analysis and Plots'!D387,ROW('Data Transformation'!$B$4:$B$450)),ROW($20:$20))-3,3)),"",INDEX('Data Transformation'!$B$4:$G$450,SMALL(IF('Data Transformation'!$B$4:$B$450='Bin Analysis and Plots'!D387,ROW('Data Transformation'!$B$4:$B$450)),ROW($20:$20))-3,6))</f>
        <v>0</v>
      </c>
      <c r="B409" s="29" t="str">
        <f>IFERROR(SMALL(A390:A409,'Data Transformation'!$L$25),"")</f>
        <v/>
      </c>
      <c r="C409" s="41" t="str">
        <f>IF(Weighting!$O$25&gt;0,D409,"")</f>
        <v/>
      </c>
      <c r="D409" t="e">
        <f>Weighting!$C$25</f>
        <v>#DIV/0!</v>
      </c>
      <c r="E409" t="e">
        <f>Weighting!$E$25</f>
        <v>#NUM!</v>
      </c>
      <c r="F409" t="e">
        <f>IF(E409=1,'Data Transformation'!$G$3+0.5*'Data Transformation'!$U$25,IF(E410=1,F410-'Data Transformation'!$U$25,FALSE))</f>
        <v>#NUM!</v>
      </c>
      <c r="G409">
        <f t="array" ref="G409">IF(ISLOGICAL(F409),"",FREQUENCY(IF('Data Transformation'!$B$24:$B$404='Bin Analysis and Plots'!$D$387,'Data Transformation'!$G$24:$G$404),'Bin Analysis and Plots'!F409))</f>
        <v>0</v>
      </c>
      <c r="H409">
        <f t="shared" si="48"/>
        <v>0</v>
      </c>
      <c r="I409">
        <f>Weighting!$G$25</f>
        <v>0</v>
      </c>
      <c r="J409">
        <f t="array" ref="J409">FREQUENCY(IF('Data Transformation'!$B$4:$B$404=D387,'Data Transformation'!$G$4:$G$404),'Bin Analysis and Plots'!$D409)</f>
        <v>0</v>
      </c>
      <c r="K409">
        <f t="shared" si="49"/>
        <v>0</v>
      </c>
      <c r="L409">
        <f t="shared" si="50"/>
        <v>0</v>
      </c>
      <c r="M409">
        <f>L409*Weighting!$V$25</f>
        <v>0</v>
      </c>
    </row>
    <row r="410" spans="1:27">
      <c r="C410" s="41" t="str">
        <f>IF(B410="","",D410)</f>
        <v/>
      </c>
    </row>
    <row r="411" spans="1:27" ht="23.2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8" cm="1">
        <f t="array" ref="Z411:Z412">FREQUENCY(IF('Data Transformation'!$B$24:$B$404='Bin Analysis and Plots'!N411,'Data Transformation'!$G$24:$G$404),'Data Transformation'!$U$11)</f>
        <v>0</v>
      </c>
      <c r="AA411" s="78" cm="1">
        <f t="array" ref="AA411:AA412">FREQUENCY(IF('Data Transformation'!$B$24:$B$404='Bin Analysis and Plots'!N411,'Data Transformation'!$G$24:$G$404),'Data Transformation'!$U$12)</f>
        <v>0</v>
      </c>
    </row>
    <row r="412" spans="1:27" ht="21">
      <c r="A412" s="91" t="s">
        <v>64</v>
      </c>
      <c r="B412" s="91"/>
      <c r="C412" s="14" t="s">
        <v>72</v>
      </c>
      <c r="D412" t="s">
        <v>50</v>
      </c>
      <c r="E412" t="s">
        <v>5</v>
      </c>
      <c r="I412" t="s">
        <v>74</v>
      </c>
      <c r="J412" t="s">
        <v>34</v>
      </c>
      <c r="K412" t="s">
        <v>35</v>
      </c>
      <c r="L412" t="s">
        <v>49</v>
      </c>
      <c r="M412" s="14" t="s">
        <v>48</v>
      </c>
      <c r="Z412" s="78">
        <v>0</v>
      </c>
      <c r="AA412" s="78">
        <v>0</v>
      </c>
    </row>
    <row r="413" spans="1:27">
      <c r="C413" s="41" t="str">
        <f>IF(B413="","",D413)</f>
        <v/>
      </c>
      <c r="F413" t="e">
        <f>IF(E413=1,'Data Transformation'!$G$3+0.5*'Data Transformation'!$U$25,IF(E414=1,F414-'Data Transformation'!$U$25,FALSE))</f>
        <v>#NUM!</v>
      </c>
      <c r="G413">
        <f t="array" ref="G413">IF(ISLOGICAL(F413),"",FREQUENCY(IF('Data Transformation'!$B$24:$B$404='Bin Analysis and Plots'!$D$411,'Data Transformation'!$G$24:$G$404),'Bin Analysis and Plots'!F413))</f>
        <v>0</v>
      </c>
      <c r="H413">
        <f>IF(ISLOGICAL(F413),"",G413-G412)</f>
        <v>0</v>
      </c>
    </row>
    <row r="414" spans="1:27">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t="e">
        <f>IF(Weighting!$O$6&gt;0,D414,"")</f>
        <v>#NUM!</v>
      </c>
      <c r="D414" t="e">
        <f>Weighting!$C$6</f>
        <v>#DIV/0!</v>
      </c>
      <c r="E414" t="e">
        <f>Weighting!$E$6</f>
        <v>#NUM!</v>
      </c>
      <c r="F414" t="e">
        <f>IF(E414=1,'Data Transformation'!$G$3+0.5*'Data Transformation'!$U$25,IF(E415=1,F415-'Data Transformation'!$U$25,FALSE))</f>
        <v>#NUM!</v>
      </c>
      <c r="G414">
        <f t="array" ref="G414">IF(ISLOGICAL(F414),"",FREQUENCY(IF('Data Transformation'!$B$24:$B$404='Bin Analysis and Plots'!$D$411,'Data Transformation'!$G$24:$G$404),'Bin Analysis and Plots'!F414))</f>
        <v>0</v>
      </c>
      <c r="H414">
        <f>IF(ISLOGICAL(F414),"",G414-G413)</f>
        <v>0</v>
      </c>
      <c r="I414">
        <f>Weighting!$G$6</f>
        <v>1</v>
      </c>
      <c r="J414">
        <f t="array" ref="J414">FREQUENCY(IF('Data Transformation'!$B$4:$B$404=D411,'Data Transformation'!$G$4:$G$404),'Bin Analysis and Plots'!$D414)</f>
        <v>0</v>
      </c>
      <c r="K414">
        <f>J414-J413</f>
        <v>0</v>
      </c>
      <c r="L414">
        <f>IF(K414=0,0,1)</f>
        <v>0</v>
      </c>
      <c r="M414" t="e">
        <f>L414*Weighting!$V$6</f>
        <v>#NUM!</v>
      </c>
    </row>
    <row r="415" spans="1:27">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t="str">
        <f>IF(Weighting!$O$7&gt;0,D415,"")</f>
        <v/>
      </c>
      <c r="D415" t="e">
        <f>Weighting!$C$7</f>
        <v>#DIV/0!</v>
      </c>
      <c r="E415" t="e">
        <f>Weighting!$E$7</f>
        <v>#NUM!</v>
      </c>
      <c r="F415" t="e">
        <f>IF(E415=1,'Data Transformation'!$G$3+0.5*'Data Transformation'!$U$25,IF(E416=1,F416-'Data Transformation'!$U$25,FALSE))</f>
        <v>#NUM!</v>
      </c>
      <c r="G415">
        <f t="array" ref="G415">IF(ISLOGICAL(F415),"",FREQUENCY(IF('Data Transformation'!$B$24:$B$404='Bin Analysis and Plots'!$D$411,'Data Transformation'!$G$24:$G$404),'Bin Analysis and Plots'!F415))</f>
        <v>0</v>
      </c>
      <c r="H415">
        <f t="shared" ref="H415:H433" si="51">IF(ISLOGICAL(F415),"",G415-G414)</f>
        <v>0</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t="str">
        <f>IF(Weighting!$O$8&gt;0,D416,"")</f>
        <v/>
      </c>
      <c r="D416" t="e">
        <f>Weighting!$C$8</f>
        <v>#DIV/0!</v>
      </c>
      <c r="E416" t="e">
        <f>Weighting!$E$8</f>
        <v>#NUM!</v>
      </c>
      <c r="F416" t="e">
        <f>IF(E416=1,'Data Transformation'!$G$3+0.5*'Data Transformation'!$U$25,IF(E417=1,F417-'Data Transformation'!$U$25,FALSE))</f>
        <v>#NUM!</v>
      </c>
      <c r="G416">
        <f t="array" ref="G416">IF(ISLOGICAL(F416),"",FREQUENCY(IF('Data Transformation'!$B$24:$B$404='Bin Analysis and Plots'!$D$411,'Data Transformation'!$G$24:$G$404),'Bin Analysis and Plots'!F416))</f>
        <v>0</v>
      </c>
      <c r="H416">
        <f t="shared" si="51"/>
        <v>0</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t="str">
        <f>IF(Weighting!$O$9&gt;0,D417,"")</f>
        <v/>
      </c>
      <c r="D417" t="e">
        <f>Weighting!$B$9</f>
        <v>#DIV/0!</v>
      </c>
      <c r="E417" t="e">
        <f>Weighting!$E$9</f>
        <v>#NUM!</v>
      </c>
      <c r="F417" t="e">
        <f>IF(E417=1,'Data Transformation'!$G$3+0.5*'Data Transformation'!$U$25,IF(E418=1,F418-'Data Transformation'!$U$25,FALSE))</f>
        <v>#NUM!</v>
      </c>
      <c r="G417">
        <f t="array" ref="G417">IF(ISLOGICAL(F417),"",FREQUENCY(IF('Data Transformation'!$B$24:$B$404='Bin Analysis and Plots'!$D$411,'Data Transformation'!$G$24:$G$404),'Bin Analysis and Plots'!F417))</f>
        <v>0</v>
      </c>
      <c r="H417">
        <f t="shared" si="51"/>
        <v>0</v>
      </c>
      <c r="I417">
        <f>Weighting!$G$9</f>
        <v>0</v>
      </c>
      <c r="J417">
        <f t="array" ref="J417">FREQUENCY(IF('Data Transformation'!$B$4:$B$404=D411,'Data Transformation'!$G$4:$G$404),'Bin Analysis and Plots'!$D417)</f>
        <v>0</v>
      </c>
      <c r="K417">
        <f t="shared" si="52"/>
        <v>0</v>
      </c>
      <c r="L417">
        <f t="shared" si="53"/>
        <v>0</v>
      </c>
      <c r="M417">
        <f>L417*Weighting!$V$9</f>
        <v>0</v>
      </c>
    </row>
    <row r="418" spans="1:13">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t="str">
        <f>IF(Weighting!$O$10&gt;0,D418,"")</f>
        <v/>
      </c>
      <c r="D418" t="e">
        <f>Weighting!$C$10</f>
        <v>#DIV/0!</v>
      </c>
      <c r="E418" t="e">
        <f>Weighting!$E$10</f>
        <v>#NUM!</v>
      </c>
      <c r="F418" t="e">
        <f>IF(E418=1,'Data Transformation'!$G$3+0.5*'Data Transformation'!$U$25,IF(E419=1,F419-'Data Transformation'!$U$25,FALSE))</f>
        <v>#NUM!</v>
      </c>
      <c r="G418">
        <f t="array" ref="G418">IF(ISLOGICAL(F418),"",FREQUENCY(IF('Data Transformation'!$B$24:$B$404='Bin Analysis and Plots'!$D$411,'Data Transformation'!$G$24:$G$404),'Bin Analysis and Plots'!F418))</f>
        <v>0</v>
      </c>
      <c r="H418">
        <f t="shared" si="51"/>
        <v>0</v>
      </c>
      <c r="I418">
        <f>Weighting!$G$10</f>
        <v>0</v>
      </c>
      <c r="J418">
        <f t="array" ref="J418">FREQUENCY(IF('Data Transformation'!$B$4:$B$404=D411,'Data Transformation'!$G$4:$G$404),'Bin Analysis and Plots'!$D418)</f>
        <v>0</v>
      </c>
      <c r="K418">
        <f t="shared" si="52"/>
        <v>0</v>
      </c>
      <c r="L418">
        <f t="shared" si="53"/>
        <v>0</v>
      </c>
      <c r="M418">
        <f>L418*Weighting!$V$10</f>
        <v>0</v>
      </c>
    </row>
    <row r="419" spans="1:13">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t="str">
        <f>IF(Weighting!$O$11&gt;0,D419,"")</f>
        <v/>
      </c>
      <c r="D419" t="e">
        <f>Weighting!$C$11</f>
        <v>#DIV/0!</v>
      </c>
      <c r="E419" t="e">
        <f>Weighting!$E$11</f>
        <v>#NUM!</v>
      </c>
      <c r="F419" t="e">
        <f>IF(E419=1,'Data Transformation'!$G$3+0.5*'Data Transformation'!$U$25,IF(E420=1,F420-'Data Transformation'!$U$25,FALSE))</f>
        <v>#NUM!</v>
      </c>
      <c r="G419">
        <f t="array" ref="G419">IF(ISLOGICAL(F419),"",FREQUENCY(IF('Data Transformation'!$B$24:$B$404='Bin Analysis and Plots'!$D$411,'Data Transformation'!$G$24:$G$404),'Bin Analysis and Plots'!F419))</f>
        <v>0</v>
      </c>
      <c r="H419">
        <f t="shared" si="51"/>
        <v>0</v>
      </c>
      <c r="I419">
        <f>Weighting!$G$11</f>
        <v>0</v>
      </c>
      <c r="J419">
        <f t="array" ref="J419">FREQUENCY(IF('Data Transformation'!$B$4:$B$404=D411,'Data Transformation'!$G$4:$G$404),'Bin Analysis and Plots'!$D419)</f>
        <v>0</v>
      </c>
      <c r="K419">
        <f t="shared" si="52"/>
        <v>0</v>
      </c>
      <c r="L419">
        <f t="shared" si="53"/>
        <v>0</v>
      </c>
      <c r="M419">
        <f>L419*Weighting!$V$11</f>
        <v>0</v>
      </c>
    </row>
    <row r="420" spans="1:13">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t="str">
        <f>IF(Weighting!$O$12&gt;0,D420,"")</f>
        <v/>
      </c>
      <c r="D420" t="e">
        <f>Weighting!$C$12</f>
        <v>#DIV/0!</v>
      </c>
      <c r="E420" t="e">
        <f>Weighting!$E$12</f>
        <v>#NUM!</v>
      </c>
      <c r="F420" t="e">
        <f>IF(E420=1,'Data Transformation'!$G$3+0.5*'Data Transformation'!$U$25,IF(E421=1,F421-'Data Transformation'!$U$25,FALSE))</f>
        <v>#NUM!</v>
      </c>
      <c r="G420">
        <f t="array" ref="G420">IF(ISLOGICAL(F420),"",FREQUENCY(IF('Data Transformation'!$B$24:$B$404='Bin Analysis and Plots'!$D$411,'Data Transformation'!$G$24:$G$404),'Bin Analysis and Plots'!F420))</f>
        <v>0</v>
      </c>
      <c r="H420">
        <f t="shared" si="51"/>
        <v>0</v>
      </c>
      <c r="I420">
        <f>Weighting!$G$12</f>
        <v>0</v>
      </c>
      <c r="J420">
        <f t="array" ref="J420">FREQUENCY(IF('Data Transformation'!$B$4:$B$404=D411,'Data Transformation'!$G$4:$G$404),'Bin Analysis and Plots'!$D420)</f>
        <v>0</v>
      </c>
      <c r="K420">
        <f t="shared" si="52"/>
        <v>0</v>
      </c>
      <c r="L420">
        <f t="shared" si="53"/>
        <v>0</v>
      </c>
      <c r="M420">
        <f>L420*Weighting!$V$12</f>
        <v>0</v>
      </c>
    </row>
    <row r="421" spans="1:13">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t="str">
        <f>IF(Weighting!$O$13&gt;0,D421,"")</f>
        <v/>
      </c>
      <c r="D421" t="e">
        <f>Weighting!$C$13</f>
        <v>#DIV/0!</v>
      </c>
      <c r="E421" t="e">
        <f>Weighting!$E$13</f>
        <v>#NUM!</v>
      </c>
      <c r="F421" t="e">
        <f>IF(E421=1,'Data Transformation'!$G$3+0.5*'Data Transformation'!$U$25,IF(E422=1,F422-'Data Transformation'!$U$25,FALSE))</f>
        <v>#NUM!</v>
      </c>
      <c r="G421">
        <f t="array" ref="G421">IF(ISLOGICAL(F421),"",FREQUENCY(IF('Data Transformation'!$B$24:$B$404='Bin Analysis and Plots'!$D$411,'Data Transformation'!$G$24:$G$404),'Bin Analysis and Plots'!F421))</f>
        <v>0</v>
      </c>
      <c r="H421">
        <f t="shared" si="51"/>
        <v>0</v>
      </c>
      <c r="I421">
        <f>Weighting!$G$13</f>
        <v>0</v>
      </c>
      <c r="J421">
        <f t="array" ref="J421">FREQUENCY(IF('Data Transformation'!$B$4:$B$404=D411,'Data Transformation'!$G$4:$G$404),'Bin Analysis and Plots'!$D421)</f>
        <v>0</v>
      </c>
      <c r="K421">
        <f t="shared" si="52"/>
        <v>0</v>
      </c>
      <c r="L421">
        <f t="shared" si="53"/>
        <v>0</v>
      </c>
      <c r="M421">
        <f>L421*Weighting!$V$13</f>
        <v>0</v>
      </c>
    </row>
    <row r="422" spans="1:13">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t="str">
        <f>IF(Weighting!$O$14&gt;0,D422,"")</f>
        <v/>
      </c>
      <c r="D422" t="e">
        <f>Weighting!$C$14</f>
        <v>#DIV/0!</v>
      </c>
      <c r="E422" t="e">
        <f>Weighting!$E$14</f>
        <v>#NUM!</v>
      </c>
      <c r="F422" t="e">
        <f>IF(E422=1,'Data Transformation'!$G$3+0.5*'Data Transformation'!$U$25,IF(E423=1,F423-'Data Transformation'!$U$25,FALSE))</f>
        <v>#NUM!</v>
      </c>
      <c r="G422">
        <f t="array" ref="G422">IF(ISLOGICAL(F422),"",FREQUENCY(IF('Data Transformation'!$B$24:$B$404='Bin Analysis and Plots'!$D$411,'Data Transformation'!$G$24:$G$404),'Bin Analysis and Plots'!F422))</f>
        <v>0</v>
      </c>
      <c r="H422">
        <f t="shared" si="51"/>
        <v>0</v>
      </c>
      <c r="I422">
        <f>Weighting!$G$14</f>
        <v>0</v>
      </c>
      <c r="J422">
        <f t="array" ref="J422">FREQUENCY(IF('Data Transformation'!$B$4:$B$404=D411,'Data Transformation'!$G$4:$G$404),'Bin Analysis and Plots'!$D422)</f>
        <v>0</v>
      </c>
      <c r="K422">
        <f t="shared" si="52"/>
        <v>0</v>
      </c>
      <c r="L422">
        <f t="shared" si="53"/>
        <v>0</v>
      </c>
      <c r="M422">
        <f>L422*Weighting!$V$14</f>
        <v>0</v>
      </c>
    </row>
    <row r="423" spans="1:13">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t="str">
        <f>IF(Weighting!$O$15&gt;0,D423,"")</f>
        <v/>
      </c>
      <c r="D423" t="e">
        <f>Weighting!$C$15</f>
        <v>#DIV/0!</v>
      </c>
      <c r="E423" t="e">
        <f>Weighting!$E$15</f>
        <v>#NUM!</v>
      </c>
      <c r="F423" t="e">
        <f>IF(E423=1,'Data Transformation'!$G$3+0.5*'Data Transformation'!$U$25,IF(E424=1,F424-'Data Transformation'!$U$25,FALSE))</f>
        <v>#NUM!</v>
      </c>
      <c r="G423">
        <f t="array" ref="G423">IF(ISLOGICAL(F423),"",FREQUENCY(IF('Data Transformation'!$B$24:$B$404='Bin Analysis and Plots'!$D$411,'Data Transformation'!$G$24:$G$404),'Bin Analysis and Plots'!F423))</f>
        <v>0</v>
      </c>
      <c r="H423">
        <f t="shared" si="51"/>
        <v>0</v>
      </c>
      <c r="I423">
        <f>Weighting!$G$15</f>
        <v>0</v>
      </c>
      <c r="J423">
        <f t="array" ref="J423">FREQUENCY(IF('Data Transformation'!$B$4:$B$404=D411,'Data Transformation'!$G$4:$G$404),'Bin Analysis and Plots'!$D423)</f>
        <v>0</v>
      </c>
      <c r="K423">
        <f t="shared" si="52"/>
        <v>0</v>
      </c>
      <c r="L423">
        <f t="shared" si="53"/>
        <v>0</v>
      </c>
      <c r="M423">
        <f>L423*Weighting!$V$15</f>
        <v>0</v>
      </c>
    </row>
    <row r="424" spans="1:13">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t="e">
        <f>Weighting!$C$16</f>
        <v>#DIV/0!</v>
      </c>
      <c r="E424" t="e">
        <f>Weighting!$E$16</f>
        <v>#NUM!</v>
      </c>
      <c r="F424" t="e">
        <f>IF(E424=1,'Data Transformation'!$G$3+0.5*'Data Transformation'!$U$25,IF(E425=1,F425-'Data Transformation'!$U$25,FALSE))</f>
        <v>#NUM!</v>
      </c>
      <c r="G424">
        <f t="array" ref="G424">IF(ISLOGICAL(F424),"",FREQUENCY(IF('Data Transformation'!$B$24:$B$404='Bin Analysis and Plots'!$D$411,'Data Transformation'!$G$24:$G$404),'Bin Analysis and Plots'!F424))</f>
        <v>0</v>
      </c>
      <c r="H424">
        <f t="shared" si="51"/>
        <v>0</v>
      </c>
      <c r="I424">
        <f>Weighting!$G$16</f>
        <v>0</v>
      </c>
      <c r="J424">
        <f t="array" ref="J424">FREQUENCY(IF('Data Transformation'!$B$4:$B$404=D411,'Data Transformation'!$G$4:$G$404),'Bin Analysis and Plots'!$D424)</f>
        <v>0</v>
      </c>
      <c r="K424">
        <f t="shared" si="52"/>
        <v>0</v>
      </c>
      <c r="L424">
        <f t="shared" si="53"/>
        <v>0</v>
      </c>
      <c r="M424">
        <f>L424*Weighting!$V$16</f>
        <v>0</v>
      </c>
    </row>
    <row r="425" spans="1:13">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t="e">
        <f>Weighting!$C$17</f>
        <v>#DIV/0!</v>
      </c>
      <c r="E425" t="e">
        <f>Weighting!$E$17</f>
        <v>#NUM!</v>
      </c>
      <c r="F425" t="e">
        <f>IF(E425=1,'Data Transformation'!$G$3+0.5*'Data Transformation'!$U$25,IF(E426=1,F426-'Data Transformation'!$U$25,FALSE))</f>
        <v>#NUM!</v>
      </c>
      <c r="G425">
        <f t="array" ref="G425">IF(ISLOGICAL(F425),"",FREQUENCY(IF('Data Transformation'!$B$24:$B$404='Bin Analysis and Plots'!$D$411,'Data Transformation'!$G$24:$G$404),'Bin Analysis and Plots'!F425))</f>
        <v>0</v>
      </c>
      <c r="H425">
        <f t="shared" si="51"/>
        <v>0</v>
      </c>
      <c r="I425">
        <f>Weighting!$G$17</f>
        <v>0</v>
      </c>
      <c r="J425">
        <f t="array" ref="J425">FREQUENCY(IF('Data Transformation'!$B$4:$B$404=D411,'Data Transformation'!$G$4:$G$404),'Bin Analysis and Plots'!$D425)</f>
        <v>0</v>
      </c>
      <c r="K425">
        <f t="shared" si="52"/>
        <v>0</v>
      </c>
      <c r="L425">
        <f t="shared" si="53"/>
        <v>0</v>
      </c>
      <c r="M425">
        <f>L425*Weighting!$V$17</f>
        <v>0</v>
      </c>
    </row>
    <row r="426" spans="1:13">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t="e">
        <f>Weighting!$C$18</f>
        <v>#DIV/0!</v>
      </c>
      <c r="E426" t="e">
        <f>Weighting!$E$18</f>
        <v>#NUM!</v>
      </c>
      <c r="F426" t="e">
        <f>IF(E426=1,'Data Transformation'!$G$3+0.5*'Data Transformation'!$U$25,IF(E427=1,F427-'Data Transformation'!$U$25,FALSE))</f>
        <v>#NUM!</v>
      </c>
      <c r="G426">
        <f t="array" ref="G426">IF(ISLOGICAL(F426),"",FREQUENCY(IF('Data Transformation'!$B$24:$B$404='Bin Analysis and Plots'!$D$411,'Data Transformation'!$G$24:$G$404),'Bin Analysis and Plots'!F426))</f>
        <v>0</v>
      </c>
      <c r="H426">
        <f t="shared" si="51"/>
        <v>0</v>
      </c>
      <c r="I426">
        <f>Weighting!$G$18</f>
        <v>0</v>
      </c>
      <c r="J426">
        <f t="array" ref="J426">FREQUENCY(IF('Data Transformation'!$B$4:$B$404=D411,'Data Transformation'!$G$4:$G$404),'Bin Analysis and Plots'!$D426)</f>
        <v>0</v>
      </c>
      <c r="K426">
        <f t="shared" si="52"/>
        <v>0</v>
      </c>
      <c r="L426">
        <f t="shared" si="53"/>
        <v>0</v>
      </c>
      <c r="M426">
        <f>L426*Weighting!$V$18</f>
        <v>0</v>
      </c>
    </row>
    <row r="427" spans="1:13">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t="e">
        <f>Weighting!$C$19</f>
        <v>#DIV/0!</v>
      </c>
      <c r="E427" t="e">
        <f>Weighting!$E$19</f>
        <v>#NUM!</v>
      </c>
      <c r="F427" t="e">
        <f>IF(E427=1,'Data Transformation'!$G$3+0.5*'Data Transformation'!$U$25,IF(E428=1,F428-'Data Transformation'!$U$25,FALSE))</f>
        <v>#NUM!</v>
      </c>
      <c r="G427">
        <f t="array" ref="G427">IF(ISLOGICAL(F427),"",FREQUENCY(IF('Data Transformation'!$B$24:$B$404='Bin Analysis and Plots'!$D$411,'Data Transformation'!$G$24:$G$404),'Bin Analysis and Plots'!F427))</f>
        <v>0</v>
      </c>
      <c r="H427">
        <f t="shared" si="51"/>
        <v>0</v>
      </c>
      <c r="I427">
        <f>Weighting!$G$19</f>
        <v>0</v>
      </c>
      <c r="J427">
        <f t="array" ref="J427">FREQUENCY(IF('Data Transformation'!$B$4:$B$404=D411,'Data Transformation'!$G$4:$G$404),'Bin Analysis and Plots'!$D427)</f>
        <v>0</v>
      </c>
      <c r="K427">
        <f t="shared" si="52"/>
        <v>0</v>
      </c>
      <c r="L427">
        <f t="shared" si="53"/>
        <v>0</v>
      </c>
      <c r="M427">
        <f>L427*Weighting!$V$19</f>
        <v>0</v>
      </c>
    </row>
    <row r="428" spans="1:13">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t="e">
        <f>Weighting!$C$20</f>
        <v>#DIV/0!</v>
      </c>
      <c r="E428" t="e">
        <f>Weighting!$E$20</f>
        <v>#NUM!</v>
      </c>
      <c r="F428" t="e">
        <f>IF(E428=1,'Data Transformation'!$G$3+0.5*'Data Transformation'!$U$25,IF(E429=1,F429-'Data Transformation'!$U$25,FALSE))</f>
        <v>#NUM!</v>
      </c>
      <c r="G428">
        <f t="array" ref="G428">IF(ISLOGICAL(F428),"",FREQUENCY(IF('Data Transformation'!$B$24:$B$404='Bin Analysis and Plots'!$D$411,'Data Transformation'!$G$24:$G$404),'Bin Analysis and Plots'!F428))</f>
        <v>0</v>
      </c>
      <c r="H428">
        <f t="shared" si="51"/>
        <v>0</v>
      </c>
      <c r="I428">
        <f>Weighting!$G$20</f>
        <v>0</v>
      </c>
      <c r="J428">
        <f t="array" ref="J428">FREQUENCY(IF('Data Transformation'!$B$4:$B$404=D411,'Data Transformation'!$G$4:$G$404),'Bin Analysis and Plots'!$D428)</f>
        <v>0</v>
      </c>
      <c r="K428">
        <f t="shared" si="52"/>
        <v>0</v>
      </c>
      <c r="L428">
        <f t="shared" si="53"/>
        <v>0</v>
      </c>
      <c r="M428">
        <f>L428*Weighting!$V$20</f>
        <v>0</v>
      </c>
    </row>
    <row r="429" spans="1:13">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t="e">
        <f>Weighting!$C$21</f>
        <v>#DIV/0!</v>
      </c>
      <c r="E429" t="e">
        <f>Weighting!$E$21</f>
        <v>#NUM!</v>
      </c>
      <c r="F429" t="e">
        <f>IF(E429=1,'Data Transformation'!$G$3+0.5*'Data Transformation'!$U$25,IF(E430=1,F430-'Data Transformation'!$U$25,FALSE))</f>
        <v>#NUM!</v>
      </c>
      <c r="G429">
        <f t="array" ref="G429">IF(ISLOGICAL(F429),"",FREQUENCY(IF('Data Transformation'!$B$24:$B$404='Bin Analysis and Plots'!$D$411,'Data Transformation'!$G$24:$G$404),'Bin Analysis and Plots'!F429))</f>
        <v>0</v>
      </c>
      <c r="H429">
        <f t="shared" si="51"/>
        <v>0</v>
      </c>
      <c r="I429">
        <f>Weighting!$G$21</f>
        <v>0</v>
      </c>
      <c r="J429">
        <f t="array" ref="J429">FREQUENCY(IF('Data Transformation'!$B$4:$B$404=D411,'Data Transformation'!$G$4:$G$404),'Bin Analysis and Plots'!$D429)</f>
        <v>0</v>
      </c>
      <c r="K429">
        <f t="shared" si="52"/>
        <v>0</v>
      </c>
      <c r="L429">
        <f t="shared" si="53"/>
        <v>0</v>
      </c>
      <c r="M429">
        <f>L429*Weighting!$V$21</f>
        <v>0</v>
      </c>
    </row>
    <row r="430" spans="1:13">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t="e">
        <f>Weighting!$C$22</f>
        <v>#DIV/0!</v>
      </c>
      <c r="E430" t="e">
        <f>Weighting!$E$22</f>
        <v>#NUM!</v>
      </c>
      <c r="F430" t="e">
        <f>IF(E430=1,'Data Transformation'!$G$3+0.5*'Data Transformation'!$U$25,IF(E431=1,F431-'Data Transformation'!$U$25,FALSE))</f>
        <v>#NUM!</v>
      </c>
      <c r="G430">
        <f t="array" ref="G430">IF(ISLOGICAL(F430),"",FREQUENCY(IF('Data Transformation'!$B$24:$B$404='Bin Analysis and Plots'!$D$411,'Data Transformation'!$G$24:$G$404),'Bin Analysis and Plots'!F430))</f>
        <v>0</v>
      </c>
      <c r="H430">
        <f t="shared" si="51"/>
        <v>0</v>
      </c>
      <c r="I430">
        <f>Weighting!$G$22</f>
        <v>0</v>
      </c>
      <c r="J430">
        <f t="array" ref="J430">FREQUENCY(IF('Data Transformation'!$B$4:$B$404=D411,'Data Transformation'!$G$4:$G$404),'Bin Analysis and Plots'!$D430)</f>
        <v>0</v>
      </c>
      <c r="K430">
        <f t="shared" si="52"/>
        <v>0</v>
      </c>
      <c r="L430">
        <f t="shared" si="53"/>
        <v>0</v>
      </c>
      <c r="M430">
        <f>L430*Weighting!$V$22</f>
        <v>0</v>
      </c>
    </row>
    <row r="431" spans="1:13">
      <c r="A431" s="29" t="b">
        <f t="array" ref="A431">IF(ISERROR(INDEX('Data Transformation'!$B$4:$G$450,SMALL(IF('Data Transformation'!$B$4:$B$450='Bin Analysis and Plots'!D411,ROW('Data Transformation'!$B$4:$B$450)),ROW($18:$18))-3,3)),"",INDEX('Data Transformation'!$B$4:$G$450,SMALL(IF('Data Transformation'!$B$4:$B$450='Bin Analysis and Plots'!D411,ROW('Data Transformation'!$B$4:$B$450)),ROW($18:$18))-3,6))</f>
        <v>0</v>
      </c>
      <c r="B431" s="29" t="str">
        <f>IFERROR(SMALL(A414:A433,'Data Transformation'!$L$23),"")</f>
        <v/>
      </c>
      <c r="C431" s="41" t="str">
        <f>IF(Weighting!$O$23&gt;0,D431,"")</f>
        <v/>
      </c>
      <c r="D431" t="e">
        <f>Weighting!$C$23</f>
        <v>#DIV/0!</v>
      </c>
      <c r="E431" t="e">
        <f>Weighting!$E$23</f>
        <v>#NUM!</v>
      </c>
      <c r="F431" t="e">
        <f>IF(E431=1,'Data Transformation'!$G$3+0.5*'Data Transformation'!$U$25,IF(E432=1,F432-'Data Transformation'!$U$25,FALSE))</f>
        <v>#NUM!</v>
      </c>
      <c r="G431">
        <f t="array" ref="G431">IF(ISLOGICAL(F431),"",FREQUENCY(IF('Data Transformation'!$B$24:$B$404='Bin Analysis and Plots'!$D$411,'Data Transformation'!$G$24:$G$404),'Bin Analysis and Plots'!F431))</f>
        <v>0</v>
      </c>
      <c r="H431">
        <f t="shared" si="51"/>
        <v>0</v>
      </c>
      <c r="I431">
        <f>Weighting!$G$23</f>
        <v>0</v>
      </c>
      <c r="J431">
        <f t="array" ref="J431">FREQUENCY(IF('Data Transformation'!$B$4:$B$404=D411,'Data Transformation'!$G$4:$G$404),'Bin Analysis and Plots'!$D431)</f>
        <v>0</v>
      </c>
      <c r="K431">
        <f t="shared" si="52"/>
        <v>0</v>
      </c>
      <c r="L431">
        <f t="shared" si="53"/>
        <v>0</v>
      </c>
      <c r="M431">
        <f>L431*Weighting!$V$23</f>
        <v>0</v>
      </c>
    </row>
    <row r="432" spans="1:13">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t="e">
        <f>Weighting!$C$24</f>
        <v>#DIV/0!</v>
      </c>
      <c r="E432" t="e">
        <f>Weighting!$E$24</f>
        <v>#NUM!</v>
      </c>
      <c r="F432" t="e">
        <f>IF(E432=1,'Data Transformation'!$G$3+0.5*'Data Transformation'!$U$25,IF(E433=1,F433-'Data Transformation'!$U$25,FALSE))</f>
        <v>#NUM!</v>
      </c>
      <c r="G432">
        <f t="array" ref="G432">IF(ISLOGICAL(F432),"",FREQUENCY(IF('Data Transformation'!$B$24:$B$404='Bin Analysis and Plots'!$D$411,'Data Transformation'!$G$24:$G$404),'Bin Analysis and Plots'!F432))</f>
        <v>0</v>
      </c>
      <c r="H432">
        <f t="shared" si="51"/>
        <v>0</v>
      </c>
      <c r="I432">
        <f>Weighting!$G$24</f>
        <v>0</v>
      </c>
      <c r="J432">
        <f t="array" ref="J432">FREQUENCY(IF('Data Transformation'!$B$4:$B$404=D411,'Data Transformation'!$G$4:$G$404),'Bin Analysis and Plots'!$D432)</f>
        <v>0</v>
      </c>
      <c r="K432">
        <f t="shared" si="52"/>
        <v>0</v>
      </c>
      <c r="L432">
        <f t="shared" si="53"/>
        <v>0</v>
      </c>
      <c r="M432">
        <f>L432*Weighting!$V$24</f>
        <v>0</v>
      </c>
    </row>
    <row r="433" spans="1:27">
      <c r="A433" s="29" t="b">
        <f t="array" ref="A433">IF(ISERROR(INDEX('Data Transformation'!$B$4:$G$450,SMALL(IF('Data Transformation'!$B$4:$B$450='Bin Analysis and Plots'!D411,ROW('Data Transformation'!$B$4:$B$450)),ROW($20:$20))-3,3)),"",INDEX('Data Transformation'!$B$4:$G$450,SMALL(IF('Data Transformation'!$B$4:$B$450='Bin Analysis and Plots'!D411,ROW('Data Transformation'!$B$4:$B$450)),ROW($20:$20))-3,6))</f>
        <v>0</v>
      </c>
      <c r="B433" s="29" t="str">
        <f>IFERROR(SMALL(A414:A433,'Data Transformation'!$L$25),"")</f>
        <v/>
      </c>
      <c r="C433" s="41" t="str">
        <f>IF(Weighting!$O$25&gt;0,D433,"")</f>
        <v/>
      </c>
      <c r="D433" t="e">
        <f>Weighting!$C$25</f>
        <v>#DIV/0!</v>
      </c>
      <c r="E433" t="e">
        <f>Weighting!$E$25</f>
        <v>#NUM!</v>
      </c>
      <c r="F433" t="e">
        <f>IF(E433=1,'Data Transformation'!$G$3+0.5*'Data Transformation'!$U$25,IF(E434=1,F434-'Data Transformation'!$U$25,FALSE))</f>
        <v>#NUM!</v>
      </c>
      <c r="G433">
        <f t="array" ref="G433">IF(ISLOGICAL(F433),"",FREQUENCY(IF('Data Transformation'!$B$24:$B$404='Bin Analysis and Plots'!$D$411,'Data Transformation'!$G$24:$G$404),'Bin Analysis and Plots'!F433))</f>
        <v>0</v>
      </c>
      <c r="H433">
        <f t="shared" si="51"/>
        <v>0</v>
      </c>
      <c r="I433">
        <f>Weighting!$G$25</f>
        <v>0</v>
      </c>
      <c r="J433">
        <f t="array" ref="J433">FREQUENCY(IF('Data Transformation'!$B$4:$B$404=D411,'Data Transformation'!$G$4:$G$404),'Bin Analysis and Plots'!$D433)</f>
        <v>0</v>
      </c>
      <c r="K433">
        <f t="shared" si="52"/>
        <v>0</v>
      </c>
      <c r="L433">
        <f t="shared" si="53"/>
        <v>0</v>
      </c>
      <c r="M433">
        <f>L433*Weighting!$V$25</f>
        <v>0</v>
      </c>
    </row>
    <row r="434" spans="1:27">
      <c r="C434" s="41" t="str">
        <f>IF(B434="","",D434)</f>
        <v/>
      </c>
    </row>
    <row r="435" spans="1:27" ht="23.2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8" cm="1">
        <f t="array" ref="Z435:Z436">FREQUENCY(IF('Data Transformation'!$B$24:$B$404='Bin Analysis and Plots'!N435,'Data Transformation'!$G$24:$G$404),'Data Transformation'!$U$11)</f>
        <v>0</v>
      </c>
      <c r="AA435" s="78" cm="1">
        <f t="array" ref="AA435:AA436">FREQUENCY(IF('Data Transformation'!$B$24:$B$404='Bin Analysis and Plots'!N435,'Data Transformation'!$G$24:$G$404),'Data Transformation'!$U$12)</f>
        <v>0</v>
      </c>
    </row>
    <row r="436" spans="1:27" ht="21">
      <c r="A436" s="91" t="s">
        <v>64</v>
      </c>
      <c r="B436" s="91"/>
      <c r="C436" s="14" t="s">
        <v>72</v>
      </c>
      <c r="D436" t="s">
        <v>50</v>
      </c>
      <c r="E436" t="s">
        <v>5</v>
      </c>
      <c r="I436" t="s">
        <v>74</v>
      </c>
      <c r="J436" t="s">
        <v>34</v>
      </c>
      <c r="K436" t="s">
        <v>35</v>
      </c>
      <c r="L436" t="s">
        <v>49</v>
      </c>
      <c r="M436" s="14" t="s">
        <v>48</v>
      </c>
      <c r="Z436" s="78">
        <v>0</v>
      </c>
      <c r="AA436" s="78">
        <v>0</v>
      </c>
    </row>
    <row r="437" spans="1:27">
      <c r="C437" s="41" t="str">
        <f>IF(B437="","",D437)</f>
        <v/>
      </c>
      <c r="F437" t="e">
        <f>IF(E437=1,'Data Transformation'!$G$3+0.5*'Data Transformation'!$U$25,IF(E438=1,F438-'Data Transformation'!$U$25,FALSE))</f>
        <v>#NUM!</v>
      </c>
      <c r="G437">
        <f t="array" ref="G437">IF(ISLOGICAL(F437),"",FREQUENCY(IF('Data Transformation'!$B$24:$B$404='Bin Analysis and Plots'!$D$435,'Data Transformation'!$G$24:$G$404),'Bin Analysis and Plots'!F437))</f>
        <v>0</v>
      </c>
      <c r="H437">
        <f>IF(ISLOGICAL(F437),"",G437-G436)</f>
        <v>0</v>
      </c>
    </row>
    <row r="438" spans="1:27">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t="e">
        <f>IF(Weighting!$O$6&gt;0,D438,"")</f>
        <v>#NUM!</v>
      </c>
      <c r="D438" t="e">
        <f>Weighting!$C$6</f>
        <v>#DIV/0!</v>
      </c>
      <c r="E438" t="e">
        <f>Weighting!$E$6</f>
        <v>#NUM!</v>
      </c>
      <c r="F438" t="e">
        <f>IF(E438=1,'Data Transformation'!$G$3+0.5*'Data Transformation'!$U$25,IF(E439=1,F439-'Data Transformation'!$U$25,FALSE))</f>
        <v>#NUM!</v>
      </c>
      <c r="G438">
        <f t="array" ref="G438">IF(ISLOGICAL(F438),"",FREQUENCY(IF('Data Transformation'!$B$24:$B$404='Bin Analysis and Plots'!$D$435,'Data Transformation'!$G$24:$G$404),'Bin Analysis and Plots'!F438))</f>
        <v>0</v>
      </c>
      <c r="H438">
        <f>IF(ISLOGICAL(F438),"",G438-G437)</f>
        <v>0</v>
      </c>
      <c r="I438">
        <f>Weighting!$G$6</f>
        <v>1</v>
      </c>
      <c r="J438">
        <f t="array" ref="J438">FREQUENCY(IF('Data Transformation'!$B$4:$B$404=D435,'Data Transformation'!$G$4:$G$404),'Bin Analysis and Plots'!$D438)</f>
        <v>0</v>
      </c>
      <c r="K438">
        <f>J438-J437</f>
        <v>0</v>
      </c>
      <c r="L438">
        <f>IF(K438=0,0,1)</f>
        <v>0</v>
      </c>
      <c r="M438" t="e">
        <f>L438*Weighting!$V$6</f>
        <v>#NUM!</v>
      </c>
    </row>
    <row r="439" spans="1:27">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t="str">
        <f>IF(Weighting!$O$7&gt;0,D439,"")</f>
        <v/>
      </c>
      <c r="D439" t="e">
        <f>Weighting!$C$7</f>
        <v>#DIV/0!</v>
      </c>
      <c r="E439" t="e">
        <f>Weighting!$E$7</f>
        <v>#NUM!</v>
      </c>
      <c r="F439" t="e">
        <f>IF(E439=1,'Data Transformation'!$G$3+0.5*'Data Transformation'!$U$25,IF(E440=1,F440-'Data Transformation'!$U$25,FALSE))</f>
        <v>#NUM!</v>
      </c>
      <c r="G439">
        <f t="array" ref="G439">IF(ISLOGICAL(F439),"",FREQUENCY(IF('Data Transformation'!$B$24:$B$404='Bin Analysis and Plots'!$D$435,'Data Transformation'!$G$24:$G$404),'Bin Analysis and Plots'!F439))</f>
        <v>0</v>
      </c>
      <c r="H439">
        <f t="shared" ref="H439:H457" si="54">IF(ISLOGICAL(F439),"",G439-G438)</f>
        <v>0</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t="str">
        <f>IF(Weighting!$O$8&gt;0,D440,"")</f>
        <v/>
      </c>
      <c r="D440" t="e">
        <f>Weighting!$C$8</f>
        <v>#DIV/0!</v>
      </c>
      <c r="E440" t="e">
        <f>Weighting!$E$8</f>
        <v>#NUM!</v>
      </c>
      <c r="F440" t="e">
        <f>IF(E440=1,'Data Transformation'!$G$3+0.5*'Data Transformation'!$U$25,IF(E441=1,F441-'Data Transformation'!$U$25,FALSE))</f>
        <v>#NUM!</v>
      </c>
      <c r="G440">
        <f t="array" ref="G440">IF(ISLOGICAL(F440),"",FREQUENCY(IF('Data Transformation'!$B$24:$B$404='Bin Analysis and Plots'!$D$435,'Data Transformation'!$G$24:$G$404),'Bin Analysis and Plots'!F440))</f>
        <v>0</v>
      </c>
      <c r="H440">
        <f t="shared" si="54"/>
        <v>0</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t="str">
        <f>IF(Weighting!$O$9&gt;0,D441,"")</f>
        <v/>
      </c>
      <c r="D441" t="e">
        <f>Weighting!$B$9</f>
        <v>#DIV/0!</v>
      </c>
      <c r="E441" t="e">
        <f>Weighting!$E$9</f>
        <v>#NUM!</v>
      </c>
      <c r="F441" t="e">
        <f>IF(E441=1,'Data Transformation'!$G$3+0.5*'Data Transformation'!$U$25,IF(E442=1,F442-'Data Transformation'!$U$25,FALSE))</f>
        <v>#NUM!</v>
      </c>
      <c r="G441">
        <f t="array" ref="G441">IF(ISLOGICAL(F441),"",FREQUENCY(IF('Data Transformation'!$B$24:$B$404='Bin Analysis and Plots'!$D$435,'Data Transformation'!$G$24:$G$404),'Bin Analysis and Plots'!F441))</f>
        <v>0</v>
      </c>
      <c r="H441">
        <f t="shared" si="54"/>
        <v>0</v>
      </c>
      <c r="I441">
        <f>Weighting!$G$9</f>
        <v>0</v>
      </c>
      <c r="J441">
        <f t="array" ref="J441">FREQUENCY(IF('Data Transformation'!$B$4:$B$404=D435,'Data Transformation'!$G$4:$G$404),'Bin Analysis and Plots'!$D441)</f>
        <v>0</v>
      </c>
      <c r="K441">
        <f t="shared" si="55"/>
        <v>0</v>
      </c>
      <c r="L441">
        <f t="shared" si="56"/>
        <v>0</v>
      </c>
      <c r="M441">
        <f>L441*Weighting!$V$9</f>
        <v>0</v>
      </c>
    </row>
    <row r="442" spans="1:27">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t="str">
        <f>IF(Weighting!$O$10&gt;0,D442,"")</f>
        <v/>
      </c>
      <c r="D442" t="e">
        <f>Weighting!$C$10</f>
        <v>#DIV/0!</v>
      </c>
      <c r="E442" t="e">
        <f>Weighting!$E$10</f>
        <v>#NUM!</v>
      </c>
      <c r="F442" t="e">
        <f>IF(E442=1,'Data Transformation'!$G$3+0.5*'Data Transformation'!$U$25,IF(E443=1,F443-'Data Transformation'!$U$25,FALSE))</f>
        <v>#NUM!</v>
      </c>
      <c r="G442">
        <f t="array" ref="G442">IF(ISLOGICAL(F442),"",FREQUENCY(IF('Data Transformation'!$B$24:$B$404='Bin Analysis and Plots'!$D$435,'Data Transformation'!$G$24:$G$404),'Bin Analysis and Plots'!F442))</f>
        <v>0</v>
      </c>
      <c r="H442">
        <f t="shared" si="54"/>
        <v>0</v>
      </c>
      <c r="I442">
        <f>Weighting!$G$10</f>
        <v>0</v>
      </c>
      <c r="J442">
        <f t="array" ref="J442">FREQUENCY(IF('Data Transformation'!$B$4:$B$404=D435,'Data Transformation'!$G$4:$G$404),'Bin Analysis and Plots'!$D442)</f>
        <v>0</v>
      </c>
      <c r="K442">
        <f t="shared" si="55"/>
        <v>0</v>
      </c>
      <c r="L442">
        <f t="shared" si="56"/>
        <v>0</v>
      </c>
      <c r="M442">
        <f>L442*Weighting!$V$10</f>
        <v>0</v>
      </c>
    </row>
    <row r="443" spans="1:27">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t="str">
        <f>IF(Weighting!$O$11&gt;0,D443,"")</f>
        <v/>
      </c>
      <c r="D443" t="e">
        <f>Weighting!$C$11</f>
        <v>#DIV/0!</v>
      </c>
      <c r="E443" t="e">
        <f>Weighting!$E$11</f>
        <v>#NUM!</v>
      </c>
      <c r="F443" t="e">
        <f>IF(E443=1,'Data Transformation'!$G$3+0.5*'Data Transformation'!$U$25,IF(E444=1,F444-'Data Transformation'!$U$25,FALSE))</f>
        <v>#NUM!</v>
      </c>
      <c r="G443">
        <f t="array" ref="G443">IF(ISLOGICAL(F443),"",FREQUENCY(IF('Data Transformation'!$B$24:$B$404='Bin Analysis and Plots'!$D$435,'Data Transformation'!$G$24:$G$404),'Bin Analysis and Plots'!F443))</f>
        <v>0</v>
      </c>
      <c r="H443">
        <f t="shared" si="54"/>
        <v>0</v>
      </c>
      <c r="I443">
        <f>Weighting!$G$11</f>
        <v>0</v>
      </c>
      <c r="J443">
        <f t="array" ref="J443">FREQUENCY(IF('Data Transformation'!$B$4:$B$404=D435,'Data Transformation'!$G$4:$G$404),'Bin Analysis and Plots'!$D443)</f>
        <v>0</v>
      </c>
      <c r="K443">
        <f t="shared" si="55"/>
        <v>0</v>
      </c>
      <c r="L443">
        <f t="shared" si="56"/>
        <v>0</v>
      </c>
      <c r="M443">
        <f>L443*Weighting!$V$11</f>
        <v>0</v>
      </c>
    </row>
    <row r="444" spans="1:27">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t="str">
        <f>IF(Weighting!$O$12&gt;0,D444,"")</f>
        <v/>
      </c>
      <c r="D444" t="e">
        <f>Weighting!$C$12</f>
        <v>#DIV/0!</v>
      </c>
      <c r="E444" t="e">
        <f>Weighting!$E$12</f>
        <v>#NUM!</v>
      </c>
      <c r="F444" t="e">
        <f>IF(E444=1,'Data Transformation'!$G$3+0.5*'Data Transformation'!$U$25,IF(E445=1,F445-'Data Transformation'!$U$25,FALSE))</f>
        <v>#NUM!</v>
      </c>
      <c r="G444">
        <f t="array" ref="G444">IF(ISLOGICAL(F444),"",FREQUENCY(IF('Data Transformation'!$B$24:$B$404='Bin Analysis and Plots'!$D$435,'Data Transformation'!$G$24:$G$404),'Bin Analysis and Plots'!F444))</f>
        <v>0</v>
      </c>
      <c r="H444">
        <f t="shared" si="54"/>
        <v>0</v>
      </c>
      <c r="I444">
        <f>Weighting!$G$12</f>
        <v>0</v>
      </c>
      <c r="J444">
        <f t="array" ref="J444">FREQUENCY(IF('Data Transformation'!$B$4:$B$404=D435,'Data Transformation'!$G$4:$G$404),'Bin Analysis and Plots'!$D444)</f>
        <v>0</v>
      </c>
      <c r="K444">
        <f t="shared" si="55"/>
        <v>0</v>
      </c>
      <c r="L444">
        <f t="shared" si="56"/>
        <v>0</v>
      </c>
      <c r="M444">
        <f>L444*Weighting!$V$12</f>
        <v>0</v>
      </c>
    </row>
    <row r="445" spans="1:27">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t="str">
        <f>IF(Weighting!$O$13&gt;0,D445,"")</f>
        <v/>
      </c>
      <c r="D445" t="e">
        <f>Weighting!$C$13</f>
        <v>#DIV/0!</v>
      </c>
      <c r="E445" t="e">
        <f>Weighting!$E$13</f>
        <v>#NUM!</v>
      </c>
      <c r="F445" t="e">
        <f>IF(E445=1,'Data Transformation'!$G$3+0.5*'Data Transformation'!$U$25,IF(E446=1,F446-'Data Transformation'!$U$25,FALSE))</f>
        <v>#NUM!</v>
      </c>
      <c r="G445">
        <f t="array" ref="G445">IF(ISLOGICAL(F445),"",FREQUENCY(IF('Data Transformation'!$B$24:$B$404='Bin Analysis and Plots'!$D$435,'Data Transformation'!$G$24:$G$404),'Bin Analysis and Plots'!F445))</f>
        <v>0</v>
      </c>
      <c r="H445">
        <f t="shared" si="54"/>
        <v>0</v>
      </c>
      <c r="I445">
        <f>Weighting!$G$13</f>
        <v>0</v>
      </c>
      <c r="J445">
        <f t="array" ref="J445">FREQUENCY(IF('Data Transformation'!$B$4:$B$404=D435,'Data Transformation'!$G$4:$G$404),'Bin Analysis and Plots'!$D445)</f>
        <v>0</v>
      </c>
      <c r="K445">
        <f t="shared" si="55"/>
        <v>0</v>
      </c>
      <c r="L445">
        <f t="shared" si="56"/>
        <v>0</v>
      </c>
      <c r="M445">
        <f>L445*Weighting!$V$13</f>
        <v>0</v>
      </c>
    </row>
    <row r="446" spans="1:27">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t="str">
        <f>IF(Weighting!$O$14&gt;0,D446,"")</f>
        <v/>
      </c>
      <c r="D446" t="e">
        <f>Weighting!$C$14</f>
        <v>#DIV/0!</v>
      </c>
      <c r="E446" t="e">
        <f>Weighting!$E$14</f>
        <v>#NUM!</v>
      </c>
      <c r="F446" t="e">
        <f>IF(E446=1,'Data Transformation'!$G$3+0.5*'Data Transformation'!$U$25,IF(E447=1,F447-'Data Transformation'!$U$25,FALSE))</f>
        <v>#NUM!</v>
      </c>
      <c r="G446">
        <f t="array" ref="G446">IF(ISLOGICAL(F446),"",FREQUENCY(IF('Data Transformation'!$B$24:$B$404='Bin Analysis and Plots'!$D$435,'Data Transformation'!$G$24:$G$404),'Bin Analysis and Plots'!F446))</f>
        <v>0</v>
      </c>
      <c r="H446">
        <f t="shared" si="54"/>
        <v>0</v>
      </c>
      <c r="I446">
        <f>Weighting!$G$14</f>
        <v>0</v>
      </c>
      <c r="J446">
        <f t="array" ref="J446">FREQUENCY(IF('Data Transformation'!$B$4:$B$404=D435,'Data Transformation'!$G$4:$G$404),'Bin Analysis and Plots'!$D446)</f>
        <v>0</v>
      </c>
      <c r="K446">
        <f t="shared" si="55"/>
        <v>0</v>
      </c>
      <c r="L446">
        <f t="shared" si="56"/>
        <v>0</v>
      </c>
      <c r="M446">
        <f>L446*Weighting!$V$14</f>
        <v>0</v>
      </c>
    </row>
    <row r="447" spans="1:27">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t="str">
        <f>IF(Weighting!$O$15&gt;0,D447,"")</f>
        <v/>
      </c>
      <c r="D447" t="e">
        <f>Weighting!$C$15</f>
        <v>#DIV/0!</v>
      </c>
      <c r="E447" t="e">
        <f>Weighting!$E$15</f>
        <v>#NUM!</v>
      </c>
      <c r="F447" t="e">
        <f>IF(E447=1,'Data Transformation'!$G$3+0.5*'Data Transformation'!$U$25,IF(E448=1,F448-'Data Transformation'!$U$25,FALSE))</f>
        <v>#NUM!</v>
      </c>
      <c r="G447">
        <f t="array" ref="G447">IF(ISLOGICAL(F447),"",FREQUENCY(IF('Data Transformation'!$B$24:$B$404='Bin Analysis and Plots'!$D$435,'Data Transformation'!$G$24:$G$404),'Bin Analysis and Plots'!F447))</f>
        <v>0</v>
      </c>
      <c r="H447">
        <f t="shared" si="54"/>
        <v>0</v>
      </c>
      <c r="I447">
        <f>Weighting!$G$15</f>
        <v>0</v>
      </c>
      <c r="J447">
        <f t="array" ref="J447">FREQUENCY(IF('Data Transformation'!$B$4:$B$404=D435,'Data Transformation'!$G$4:$G$404),'Bin Analysis and Plots'!$D447)</f>
        <v>0</v>
      </c>
      <c r="K447">
        <f t="shared" si="55"/>
        <v>0</v>
      </c>
      <c r="L447">
        <f t="shared" si="56"/>
        <v>0</v>
      </c>
      <c r="M447">
        <f>L447*Weighting!$V$15</f>
        <v>0</v>
      </c>
    </row>
    <row r="448" spans="1:27">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t="e">
        <f>Weighting!$C$16</f>
        <v>#DIV/0!</v>
      </c>
      <c r="E448" t="e">
        <f>Weighting!$E$16</f>
        <v>#NUM!</v>
      </c>
      <c r="F448" t="e">
        <f>IF(E448=1,'Data Transformation'!$G$3+0.5*'Data Transformation'!$U$25,IF(E449=1,F449-'Data Transformation'!$U$25,FALSE))</f>
        <v>#NUM!</v>
      </c>
      <c r="G448">
        <f t="array" ref="G448">IF(ISLOGICAL(F448),"",FREQUENCY(IF('Data Transformation'!$B$24:$B$404='Bin Analysis and Plots'!$D$435,'Data Transformation'!$G$24:$G$404),'Bin Analysis and Plots'!F448))</f>
        <v>0</v>
      </c>
      <c r="H448">
        <f t="shared" si="54"/>
        <v>0</v>
      </c>
      <c r="I448">
        <f>Weighting!$G$16</f>
        <v>0</v>
      </c>
      <c r="J448">
        <f t="array" ref="J448">FREQUENCY(IF('Data Transformation'!$B$4:$B$404=D435,'Data Transformation'!$G$4:$G$404),'Bin Analysis and Plots'!$D448)</f>
        <v>0</v>
      </c>
      <c r="K448">
        <f t="shared" si="55"/>
        <v>0</v>
      </c>
      <c r="L448">
        <f t="shared" si="56"/>
        <v>0</v>
      </c>
      <c r="M448">
        <f>L448*Weighting!$V$16</f>
        <v>0</v>
      </c>
    </row>
    <row r="449" spans="1:27">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t="e">
        <f>Weighting!$C$17</f>
        <v>#DIV/0!</v>
      </c>
      <c r="E449" t="e">
        <f>Weighting!$E$17</f>
        <v>#NUM!</v>
      </c>
      <c r="F449" t="e">
        <f>IF(E449=1,'Data Transformation'!$G$3+0.5*'Data Transformation'!$U$25,IF(E450=1,F450-'Data Transformation'!$U$25,FALSE))</f>
        <v>#NUM!</v>
      </c>
      <c r="G449">
        <f t="array" ref="G449">IF(ISLOGICAL(F449),"",FREQUENCY(IF('Data Transformation'!$B$24:$B$404='Bin Analysis and Plots'!$D$435,'Data Transformation'!$G$24:$G$404),'Bin Analysis and Plots'!F449))</f>
        <v>0</v>
      </c>
      <c r="H449">
        <f t="shared" si="54"/>
        <v>0</v>
      </c>
      <c r="I449">
        <f>Weighting!$G$17</f>
        <v>0</v>
      </c>
      <c r="J449">
        <f t="array" ref="J449">FREQUENCY(IF('Data Transformation'!$B$4:$B$404=D435,'Data Transformation'!$G$4:$G$404),'Bin Analysis and Plots'!$D449)</f>
        <v>0</v>
      </c>
      <c r="K449">
        <f t="shared" si="55"/>
        <v>0</v>
      </c>
      <c r="L449">
        <f t="shared" si="56"/>
        <v>0</v>
      </c>
      <c r="M449">
        <f>L449*Weighting!$V$17</f>
        <v>0</v>
      </c>
    </row>
    <row r="450" spans="1:27">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t="e">
        <f>Weighting!$C$18</f>
        <v>#DIV/0!</v>
      </c>
      <c r="E450" t="e">
        <f>Weighting!$E$18</f>
        <v>#NUM!</v>
      </c>
      <c r="F450" t="e">
        <f>IF(E450=1,'Data Transformation'!$G$3+0.5*'Data Transformation'!$U$25,IF(E451=1,F451-'Data Transformation'!$U$25,FALSE))</f>
        <v>#NUM!</v>
      </c>
      <c r="G450">
        <f t="array" ref="G450">IF(ISLOGICAL(F450),"",FREQUENCY(IF('Data Transformation'!$B$24:$B$404='Bin Analysis and Plots'!$D$435,'Data Transformation'!$G$24:$G$404),'Bin Analysis and Plots'!F450))</f>
        <v>0</v>
      </c>
      <c r="H450">
        <f t="shared" si="54"/>
        <v>0</v>
      </c>
      <c r="I450">
        <f>Weighting!$G$18</f>
        <v>0</v>
      </c>
      <c r="J450">
        <f t="array" ref="J450">FREQUENCY(IF('Data Transformation'!$B$4:$B$404=D435,'Data Transformation'!$G$4:$G$404),'Bin Analysis and Plots'!$D404)</f>
        <v>0</v>
      </c>
      <c r="K450">
        <f t="shared" si="55"/>
        <v>0</v>
      </c>
      <c r="L450">
        <f t="shared" si="56"/>
        <v>0</v>
      </c>
      <c r="M450">
        <f>L450*Weighting!$V$18</f>
        <v>0</v>
      </c>
    </row>
    <row r="451" spans="1:27">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t="e">
        <f>Weighting!$C$19</f>
        <v>#DIV/0!</v>
      </c>
      <c r="E451" t="e">
        <f>Weighting!$E$19</f>
        <v>#NUM!</v>
      </c>
      <c r="F451" t="e">
        <f>IF(E451=1,'Data Transformation'!$G$3+0.5*'Data Transformation'!$U$25,IF(E452=1,F452-'Data Transformation'!$U$25,FALSE))</f>
        <v>#NUM!</v>
      </c>
      <c r="G451">
        <f t="array" ref="G451">IF(ISLOGICAL(F451),"",FREQUENCY(IF('Data Transformation'!$B$24:$B$404='Bin Analysis and Plots'!$D$435,'Data Transformation'!$G$24:$G$404),'Bin Analysis and Plots'!F451))</f>
        <v>0</v>
      </c>
      <c r="H451">
        <f t="shared" si="54"/>
        <v>0</v>
      </c>
      <c r="I451">
        <f>Weighting!$G$19</f>
        <v>0</v>
      </c>
      <c r="J451">
        <f t="array" ref="J451">FREQUENCY(IF('Data Transformation'!$B$4:$B$404=D435,'Data Transformation'!$G$4:$G$404),'Bin Analysis and Plots'!$D451)</f>
        <v>0</v>
      </c>
      <c r="K451">
        <f t="shared" si="55"/>
        <v>0</v>
      </c>
      <c r="L451">
        <f t="shared" si="56"/>
        <v>0</v>
      </c>
      <c r="M451">
        <f>L451*Weighting!$V$19</f>
        <v>0</v>
      </c>
    </row>
    <row r="452" spans="1:27">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t="e">
        <f>Weighting!$C$20</f>
        <v>#DIV/0!</v>
      </c>
      <c r="E452" t="e">
        <f>Weighting!$E$20</f>
        <v>#NUM!</v>
      </c>
      <c r="F452" t="e">
        <f>IF(E452=1,'Data Transformation'!$G$3+0.5*'Data Transformation'!$U$25,IF(E453=1,F453-'Data Transformation'!$U$25,FALSE))</f>
        <v>#NUM!</v>
      </c>
      <c r="G452">
        <f t="array" ref="G452">IF(ISLOGICAL(F452),"",FREQUENCY(IF('Data Transformation'!$B$24:$B$404='Bin Analysis and Plots'!$D$435,'Data Transformation'!$G$24:$G$404),'Bin Analysis and Plots'!F452))</f>
        <v>0</v>
      </c>
      <c r="H452">
        <f t="shared" si="54"/>
        <v>0</v>
      </c>
      <c r="I452">
        <f>Weighting!$G$20</f>
        <v>0</v>
      </c>
      <c r="J452">
        <f t="array" ref="J452">FREQUENCY(IF('Data Transformation'!$B$4:$B$404=D435,'Data Transformation'!$G$4:$G$404),'Bin Analysis and Plots'!$D452)</f>
        <v>0</v>
      </c>
      <c r="K452">
        <f t="shared" si="55"/>
        <v>0</v>
      </c>
      <c r="L452">
        <f t="shared" si="56"/>
        <v>0</v>
      </c>
      <c r="M452">
        <f>L452*Weighting!$V$20</f>
        <v>0</v>
      </c>
    </row>
    <row r="453" spans="1:27">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t="e">
        <f>Weighting!$C$21</f>
        <v>#DIV/0!</v>
      </c>
      <c r="E453" t="e">
        <f>Weighting!$E$21</f>
        <v>#NUM!</v>
      </c>
      <c r="F453" t="e">
        <f>IF(E453=1,'Data Transformation'!$G$3+0.5*'Data Transformation'!$U$25,IF(E454=1,F454-'Data Transformation'!$U$25,FALSE))</f>
        <v>#NUM!</v>
      </c>
      <c r="G453">
        <f t="array" ref="G453">IF(ISLOGICAL(F453),"",FREQUENCY(IF('Data Transformation'!$B$24:$B$404='Bin Analysis and Plots'!$D$435,'Data Transformation'!$G$24:$G$404),'Bin Analysis and Plots'!F453))</f>
        <v>0</v>
      </c>
      <c r="H453">
        <f t="shared" si="54"/>
        <v>0</v>
      </c>
      <c r="I453">
        <f>Weighting!$G$21</f>
        <v>0</v>
      </c>
      <c r="J453">
        <f t="array" ref="J453">FREQUENCY(IF('Data Transformation'!$B$4:$B$404=D435,'Data Transformation'!$G$4:$G$404),'Bin Analysis and Plots'!$D453)</f>
        <v>0</v>
      </c>
      <c r="K453">
        <f t="shared" si="55"/>
        <v>0</v>
      </c>
      <c r="L453">
        <f t="shared" si="56"/>
        <v>0</v>
      </c>
      <c r="M453">
        <f>L453*Weighting!$V$21</f>
        <v>0</v>
      </c>
    </row>
    <row r="454" spans="1:27">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t="e">
        <f>Weighting!$C$22</f>
        <v>#DIV/0!</v>
      </c>
      <c r="E454" t="e">
        <f>Weighting!$E$22</f>
        <v>#NUM!</v>
      </c>
      <c r="F454" t="e">
        <f>IF(E454=1,'Data Transformation'!$G$3+0.5*'Data Transformation'!$U$25,IF(E455=1,F455-'Data Transformation'!$U$25,FALSE))</f>
        <v>#NUM!</v>
      </c>
      <c r="G454">
        <f t="array" ref="G454">IF(ISLOGICAL(F454),"",FREQUENCY(IF('Data Transformation'!$B$24:$B$404='Bin Analysis and Plots'!$D$435,'Data Transformation'!$G$24:$G$404),'Bin Analysis and Plots'!F454))</f>
        <v>0</v>
      </c>
      <c r="H454">
        <f t="shared" si="54"/>
        <v>0</v>
      </c>
      <c r="I454">
        <f>Weighting!$G$22</f>
        <v>0</v>
      </c>
      <c r="J454">
        <f t="array" ref="J454">FREQUENCY(IF('Data Transformation'!$B$4:$B$404=D435,'Data Transformation'!$G$4:$G$404),'Bin Analysis and Plots'!$D454)</f>
        <v>0</v>
      </c>
      <c r="K454">
        <f t="shared" si="55"/>
        <v>0</v>
      </c>
      <c r="L454">
        <f t="shared" si="56"/>
        <v>0</v>
      </c>
      <c r="M454">
        <f>L454*Weighting!$V$22</f>
        <v>0</v>
      </c>
    </row>
    <row r="455" spans="1:27">
      <c r="A455" s="29" t="b">
        <f t="array" ref="A455">IF(ISERROR(INDEX('Data Transformation'!$B$4:$G$450,SMALL(IF('Data Transformation'!$B$4:$B$450='Bin Analysis and Plots'!D435,ROW('Data Transformation'!$B$4:$B$450)),ROW($18:$18))-3,3)),"",INDEX('Data Transformation'!$B$4:$G$450,SMALL(IF('Data Transformation'!$B$4:$B$450='Bin Analysis and Plots'!D435,ROW('Data Transformation'!$B$4:$B$450)),ROW($18:$18))-3,6))</f>
        <v>0</v>
      </c>
      <c r="B455" s="29" t="str">
        <f>IFERROR(SMALL(A438:A457,'Data Transformation'!$L$23),"")</f>
        <v/>
      </c>
      <c r="C455" s="41" t="str">
        <f>IF(Weighting!$O$23&gt;0,D455,"")</f>
        <v/>
      </c>
      <c r="D455" t="e">
        <f>Weighting!$C$23</f>
        <v>#DIV/0!</v>
      </c>
      <c r="E455" t="e">
        <f>Weighting!$E$23</f>
        <v>#NUM!</v>
      </c>
      <c r="F455" t="e">
        <f>IF(E455=1,'Data Transformation'!$G$3+0.5*'Data Transformation'!$U$25,IF(E456=1,F456-'Data Transformation'!$U$25,FALSE))</f>
        <v>#NUM!</v>
      </c>
      <c r="G455">
        <f t="array" ref="G455">IF(ISLOGICAL(F455),"",FREQUENCY(IF('Data Transformation'!$B$24:$B$404='Bin Analysis and Plots'!$D$435,'Data Transformation'!$G$24:$G$404),'Bin Analysis and Plots'!F455))</f>
        <v>0</v>
      </c>
      <c r="H455">
        <f t="shared" si="54"/>
        <v>0</v>
      </c>
      <c r="I455">
        <f>Weighting!$G$23</f>
        <v>0</v>
      </c>
      <c r="J455">
        <f t="array" ref="J455">FREQUENCY(IF('Data Transformation'!$B$4:$B$404=D435,'Data Transformation'!$G$4:$G$404),'Bin Analysis and Plots'!$D455)</f>
        <v>0</v>
      </c>
      <c r="K455">
        <f t="shared" si="55"/>
        <v>0</v>
      </c>
      <c r="L455">
        <f t="shared" si="56"/>
        <v>0</v>
      </c>
      <c r="M455">
        <f>L455*Weighting!$V$23</f>
        <v>0</v>
      </c>
    </row>
    <row r="456" spans="1:27">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t="e">
        <f>Weighting!$C$24</f>
        <v>#DIV/0!</v>
      </c>
      <c r="E456" t="e">
        <f>Weighting!$E$24</f>
        <v>#NUM!</v>
      </c>
      <c r="F456" t="e">
        <f>IF(E456=1,'Data Transformation'!$G$3+0.5*'Data Transformation'!$U$25,IF(E457=1,F457-'Data Transformation'!$U$25,FALSE))</f>
        <v>#NUM!</v>
      </c>
      <c r="G456">
        <f t="array" ref="G456">IF(ISLOGICAL(F456),"",FREQUENCY(IF('Data Transformation'!$B$24:$B$404='Bin Analysis and Plots'!$D$435,'Data Transformation'!$G$24:$G$404),'Bin Analysis and Plots'!F456))</f>
        <v>0</v>
      </c>
      <c r="H456">
        <f t="shared" si="54"/>
        <v>0</v>
      </c>
      <c r="I456">
        <f>Weighting!$G$24</f>
        <v>0</v>
      </c>
      <c r="J456">
        <f t="array" ref="J456">FREQUENCY(IF('Data Transformation'!$B$4:$B$404=D435,'Data Transformation'!$G$4:$G$404),'Bin Analysis and Plots'!$D456)</f>
        <v>0</v>
      </c>
      <c r="K456">
        <f t="shared" si="55"/>
        <v>0</v>
      </c>
      <c r="L456">
        <f t="shared" si="56"/>
        <v>0</v>
      </c>
      <c r="M456">
        <f>L456*Weighting!$V$24</f>
        <v>0</v>
      </c>
    </row>
    <row r="457" spans="1:27">
      <c r="A457" s="29" t="b">
        <f t="array" ref="A457">IF(ISERROR(INDEX('Data Transformation'!$B$4:$G$450,SMALL(IF('Data Transformation'!$B$4:$B$450='Bin Analysis and Plots'!D435,ROW('Data Transformation'!$B$4:$B$450)),ROW($20:$20))-3,3)),"",INDEX('Data Transformation'!$B$4:$G$450,SMALL(IF('Data Transformation'!$B$4:$B$450='Bin Analysis and Plots'!D435,ROW('Data Transformation'!$B$4:$B$450)),ROW($20:$20))-3,6))</f>
        <v>0</v>
      </c>
      <c r="B457" s="29" t="str">
        <f>IFERROR(SMALL(A438:A457,'Data Transformation'!$L$25),"")</f>
        <v/>
      </c>
      <c r="C457" s="41" t="str">
        <f>IF(Weighting!$O$25&gt;0,D457,"")</f>
        <v/>
      </c>
      <c r="D457" t="e">
        <f>Weighting!$C$25</f>
        <v>#DIV/0!</v>
      </c>
      <c r="E457" t="e">
        <f>Weighting!$E$25</f>
        <v>#NUM!</v>
      </c>
      <c r="F457" t="e">
        <f>IF(E457=1,'Data Transformation'!$G$3+0.5*'Data Transformation'!$U$25,IF(E458=1,F458-'Data Transformation'!$U$25,FALSE))</f>
        <v>#NUM!</v>
      </c>
      <c r="G457">
        <f t="array" ref="G457">IF(ISLOGICAL(F457),"",FREQUENCY(IF('Data Transformation'!$B$24:$B$404='Bin Analysis and Plots'!$D$435,'Data Transformation'!$G$24:$G$404),'Bin Analysis and Plots'!F457))</f>
        <v>0</v>
      </c>
      <c r="H457">
        <f t="shared" si="54"/>
        <v>0</v>
      </c>
      <c r="I457">
        <f>Weighting!$G$25</f>
        <v>0</v>
      </c>
      <c r="J457">
        <f t="array" ref="J457">FREQUENCY(IF('Data Transformation'!$B$4:$B$404=D435,'Data Transformation'!$G$4:$G$404),'Bin Analysis and Plots'!$D457)</f>
        <v>0</v>
      </c>
      <c r="K457">
        <f t="shared" si="55"/>
        <v>0</v>
      </c>
      <c r="L457">
        <f t="shared" si="56"/>
        <v>0</v>
      </c>
      <c r="M457">
        <f>L457*Weighting!$V$25</f>
        <v>0</v>
      </c>
    </row>
    <row r="458" spans="1:27">
      <c r="C458" s="41" t="str">
        <f>IF(B458="","",D458)</f>
        <v/>
      </c>
    </row>
    <row r="459" spans="1:27" ht="23.2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8" cm="1">
        <f t="array" ref="Z459:Z460">FREQUENCY(IF('Data Transformation'!$B$24:$B$404='Bin Analysis and Plots'!N459,'Data Transformation'!$G$24:$G$404),'Data Transformation'!$U$11)</f>
        <v>0</v>
      </c>
      <c r="AA459" s="78" cm="1">
        <f t="array" ref="AA459:AA460">FREQUENCY(IF('Data Transformation'!$B$24:$B$404='Bin Analysis and Plots'!N459,'Data Transformation'!$G$24:$G$404),'Data Transformation'!$U$12)</f>
        <v>0</v>
      </c>
    </row>
    <row r="460" spans="1:27" ht="21">
      <c r="A460" s="91" t="s">
        <v>64</v>
      </c>
      <c r="B460" s="91"/>
      <c r="C460" s="14" t="s">
        <v>72</v>
      </c>
      <c r="D460" t="s">
        <v>50</v>
      </c>
      <c r="E460" t="s">
        <v>5</v>
      </c>
      <c r="I460" t="s">
        <v>74</v>
      </c>
      <c r="J460" t="s">
        <v>34</v>
      </c>
      <c r="K460" t="s">
        <v>35</v>
      </c>
      <c r="L460" t="s">
        <v>49</v>
      </c>
      <c r="M460" s="14" t="s">
        <v>48</v>
      </c>
      <c r="Z460" s="78">
        <v>0</v>
      </c>
      <c r="AA460" s="78">
        <v>0</v>
      </c>
    </row>
    <row r="461" spans="1:27">
      <c r="C461" s="41" t="str">
        <f>IF(B461="","",D461)</f>
        <v/>
      </c>
      <c r="F461" t="e">
        <f>IF(E461=1,'Data Transformation'!$G$3+0.5*'Data Transformation'!$U$25,IF(E462=1,F462-'Data Transformation'!$U$25,FALSE))</f>
        <v>#NUM!</v>
      </c>
      <c r="G461">
        <f t="array" ref="G461">IF(ISLOGICAL(F461),"",FREQUENCY(IF('Data Transformation'!$B$24:$B$404='Bin Analysis and Plots'!$D$459,'Data Transformation'!$G$24:$G$404),'Bin Analysis and Plots'!F461))</f>
        <v>0</v>
      </c>
      <c r="H461">
        <f>IF(ISLOGICAL(F461),"",G461-G460)</f>
        <v>0</v>
      </c>
    </row>
    <row r="462" spans="1:27">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t="e">
        <f>IF(Weighting!$O$6&gt;0,D462,"")</f>
        <v>#NUM!</v>
      </c>
      <c r="D462" t="e">
        <f>Weighting!$C$6</f>
        <v>#DIV/0!</v>
      </c>
      <c r="E462" t="e">
        <f>Weighting!$E$6</f>
        <v>#NUM!</v>
      </c>
      <c r="F462" t="e">
        <f>IF(E462=1,'Data Transformation'!$G$3+0.5*'Data Transformation'!$U$25,IF(E463=1,F463-'Data Transformation'!$U$25,FALSE))</f>
        <v>#NUM!</v>
      </c>
      <c r="G462">
        <f t="array" ref="G462">IF(ISLOGICAL(F462),"",FREQUENCY(IF('Data Transformation'!$B$24:$B$404='Bin Analysis and Plots'!$D$459,'Data Transformation'!$G$24:$G$404),'Bin Analysis and Plots'!F462))</f>
        <v>0</v>
      </c>
      <c r="H462">
        <f>IF(ISLOGICAL(F462),"",G462-G461)</f>
        <v>0</v>
      </c>
      <c r="I462">
        <f>Weighting!$G$6</f>
        <v>1</v>
      </c>
      <c r="J462">
        <f t="array" ref="J462">FREQUENCY(IF('Data Transformation'!$B$4:$B$404=D459,'Data Transformation'!$G$4:$G$404),'Bin Analysis and Plots'!$D462)</f>
        <v>0</v>
      </c>
      <c r="K462">
        <f>J462-J461</f>
        <v>0</v>
      </c>
      <c r="L462">
        <f>IF(K462=0,0,1)</f>
        <v>0</v>
      </c>
      <c r="M462" t="e">
        <f>L462*Weighting!$V$6</f>
        <v>#NUM!</v>
      </c>
    </row>
    <row r="463" spans="1:27">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t="str">
        <f>IF(Weighting!$O$7&gt;0,D463,"")</f>
        <v/>
      </c>
      <c r="D463" t="e">
        <f>Weighting!$C$7</f>
        <v>#DIV/0!</v>
      </c>
      <c r="E463" t="e">
        <f>Weighting!$E$7</f>
        <v>#NUM!</v>
      </c>
      <c r="F463" t="e">
        <f>IF(E463=1,'Data Transformation'!$G$3+0.5*'Data Transformation'!$U$25,IF(E464=1,F464-'Data Transformation'!$U$25,FALSE))</f>
        <v>#NUM!</v>
      </c>
      <c r="G463">
        <f t="array" ref="G463">IF(ISLOGICAL(F463),"",FREQUENCY(IF('Data Transformation'!$B$24:$B$404='Bin Analysis and Plots'!$D$459,'Data Transformation'!$G$24:$G$404),'Bin Analysis and Plots'!F463))</f>
        <v>0</v>
      </c>
      <c r="H463">
        <f t="shared" ref="H463:H481" si="57">IF(ISLOGICAL(F463),"",G463-G462)</f>
        <v>0</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t="str">
        <f>IF(Weighting!$O$8&gt;0,D464,"")</f>
        <v/>
      </c>
      <c r="D464" t="e">
        <f>Weighting!$C$8</f>
        <v>#DIV/0!</v>
      </c>
      <c r="E464" t="e">
        <f>Weighting!$E$8</f>
        <v>#NUM!</v>
      </c>
      <c r="F464" t="e">
        <f>IF(E464=1,'Data Transformation'!$G$3+0.5*'Data Transformation'!$U$25,IF(E465=1,F465-'Data Transformation'!$U$25,FALSE))</f>
        <v>#NUM!</v>
      </c>
      <c r="G464">
        <f t="array" ref="G464">IF(ISLOGICAL(F464),"",FREQUENCY(IF('Data Transformation'!$B$24:$B$404='Bin Analysis and Plots'!$D$459,'Data Transformation'!$G$24:$G$404),'Bin Analysis and Plots'!F464))</f>
        <v>0</v>
      </c>
      <c r="H464">
        <f t="shared" si="57"/>
        <v>0</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t="str">
        <f>IF(Weighting!$O$9&gt;0,D465,"")</f>
        <v/>
      </c>
      <c r="D465" t="e">
        <f>Weighting!$B$9</f>
        <v>#DIV/0!</v>
      </c>
      <c r="E465" t="e">
        <f>Weighting!$E$9</f>
        <v>#NUM!</v>
      </c>
      <c r="F465" t="e">
        <f>IF(E465=1,'Data Transformation'!$G$3+0.5*'Data Transformation'!$U$25,IF(E466=1,F466-'Data Transformation'!$U$25,FALSE))</f>
        <v>#NUM!</v>
      </c>
      <c r="G465">
        <f t="array" ref="G465">IF(ISLOGICAL(F465),"",FREQUENCY(IF('Data Transformation'!$B$24:$B$404='Bin Analysis and Plots'!$D$459,'Data Transformation'!$G$24:$G$404),'Bin Analysis and Plots'!F465))</f>
        <v>0</v>
      </c>
      <c r="H465">
        <f t="shared" si="57"/>
        <v>0</v>
      </c>
      <c r="I465">
        <f>Weighting!$G$9</f>
        <v>0</v>
      </c>
      <c r="J465">
        <f t="array" ref="J465">FREQUENCY(IF('Data Transformation'!$B$4:$B$404=D459,'Data Transformation'!$G$4:$G$404),'Bin Analysis and Plots'!$D465)</f>
        <v>0</v>
      </c>
      <c r="K465">
        <f t="shared" si="58"/>
        <v>0</v>
      </c>
      <c r="L465">
        <f t="shared" si="59"/>
        <v>0</v>
      </c>
      <c r="M465">
        <f>L465*Weighting!$V$9</f>
        <v>0</v>
      </c>
    </row>
    <row r="466" spans="1:13">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t="str">
        <f>IF(Weighting!$O$10&gt;0,D466,"")</f>
        <v/>
      </c>
      <c r="D466" t="e">
        <f>Weighting!$C$10</f>
        <v>#DIV/0!</v>
      </c>
      <c r="E466" t="e">
        <f>Weighting!$E$10</f>
        <v>#NUM!</v>
      </c>
      <c r="F466" t="e">
        <f>IF(E466=1,'Data Transformation'!$G$3+0.5*'Data Transformation'!$U$25,IF(E467=1,F467-'Data Transformation'!$U$25,FALSE))</f>
        <v>#NUM!</v>
      </c>
      <c r="G466">
        <f t="array" ref="G466">IF(ISLOGICAL(F466),"",FREQUENCY(IF('Data Transformation'!$B$24:$B$404='Bin Analysis and Plots'!$D$459,'Data Transformation'!$G$24:$G$404),'Bin Analysis and Plots'!F466))</f>
        <v>0</v>
      </c>
      <c r="H466">
        <f t="shared" si="57"/>
        <v>0</v>
      </c>
      <c r="I466">
        <f>Weighting!$G$10</f>
        <v>0</v>
      </c>
      <c r="J466">
        <f t="array" ref="J466">FREQUENCY(IF('Data Transformation'!$B$4:$B$404=D459,'Data Transformation'!$G$4:$G$404),'Bin Analysis and Plots'!$D466)</f>
        <v>0</v>
      </c>
      <c r="K466">
        <f t="shared" si="58"/>
        <v>0</v>
      </c>
      <c r="L466">
        <f t="shared" si="59"/>
        <v>0</v>
      </c>
      <c r="M466">
        <f>L466*Weighting!$V$10</f>
        <v>0</v>
      </c>
    </row>
    <row r="467" spans="1:13">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t="str">
        <f>IF(Weighting!$O$11&gt;0,D467,"")</f>
        <v/>
      </c>
      <c r="D467" t="e">
        <f>Weighting!$C$11</f>
        <v>#DIV/0!</v>
      </c>
      <c r="E467" t="e">
        <f>Weighting!$E$11</f>
        <v>#NUM!</v>
      </c>
      <c r="F467" t="e">
        <f>IF(E467=1,'Data Transformation'!$G$3+0.5*'Data Transformation'!$U$25,IF(E468=1,F468-'Data Transformation'!$U$25,FALSE))</f>
        <v>#NUM!</v>
      </c>
      <c r="G467">
        <f t="array" ref="G467">IF(ISLOGICAL(F467),"",FREQUENCY(IF('Data Transformation'!$B$24:$B$404='Bin Analysis and Plots'!$D$459,'Data Transformation'!$G$24:$G$404),'Bin Analysis and Plots'!F467))</f>
        <v>0</v>
      </c>
      <c r="H467">
        <f t="shared" si="57"/>
        <v>0</v>
      </c>
      <c r="I467">
        <f>Weighting!$G$11</f>
        <v>0</v>
      </c>
      <c r="J467">
        <f t="array" ref="J467">FREQUENCY(IF('Data Transformation'!$B$4:$B$404=D459,'Data Transformation'!$G$4:$G$404),'Bin Analysis and Plots'!$D467)</f>
        <v>0</v>
      </c>
      <c r="K467">
        <f t="shared" si="58"/>
        <v>0</v>
      </c>
      <c r="L467">
        <f t="shared" si="59"/>
        <v>0</v>
      </c>
      <c r="M467">
        <f>L467*Weighting!$V$11</f>
        <v>0</v>
      </c>
    </row>
    <row r="468" spans="1:13">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t="str">
        <f>IF(Weighting!$O$12&gt;0,D468,"")</f>
        <v/>
      </c>
      <c r="D468" t="e">
        <f>Weighting!$C$12</f>
        <v>#DIV/0!</v>
      </c>
      <c r="E468" t="e">
        <f>Weighting!$E$12</f>
        <v>#NUM!</v>
      </c>
      <c r="F468" t="e">
        <f>IF(E468=1,'Data Transformation'!$G$3+0.5*'Data Transformation'!$U$25,IF(E469=1,F469-'Data Transformation'!$U$25,FALSE))</f>
        <v>#NUM!</v>
      </c>
      <c r="G468">
        <f t="array" ref="G468">IF(ISLOGICAL(F468),"",FREQUENCY(IF('Data Transformation'!$B$24:$B$404='Bin Analysis and Plots'!$D$459,'Data Transformation'!$G$24:$G$404),'Bin Analysis and Plots'!F468))</f>
        <v>0</v>
      </c>
      <c r="H468">
        <f t="shared" si="57"/>
        <v>0</v>
      </c>
      <c r="I468">
        <f>Weighting!$G$12</f>
        <v>0</v>
      </c>
      <c r="J468">
        <f t="array" ref="J468">FREQUENCY(IF('Data Transformation'!$B$4:$B$404=D459,'Data Transformation'!$G$4:$G$404),'Bin Analysis and Plots'!$D468)</f>
        <v>0</v>
      </c>
      <c r="K468">
        <f t="shared" si="58"/>
        <v>0</v>
      </c>
      <c r="L468">
        <f t="shared" si="59"/>
        <v>0</v>
      </c>
      <c r="M468">
        <f>L468*Weighting!$V$12</f>
        <v>0</v>
      </c>
    </row>
    <row r="469" spans="1:13">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t="str">
        <f>IF(Weighting!$O$13&gt;0,D469,"")</f>
        <v/>
      </c>
      <c r="D469" t="e">
        <f>Weighting!$C$13</f>
        <v>#DIV/0!</v>
      </c>
      <c r="E469" t="e">
        <f>Weighting!$E$13</f>
        <v>#NUM!</v>
      </c>
      <c r="F469" t="e">
        <f>IF(E469=1,'Data Transformation'!$G$3+0.5*'Data Transformation'!$U$25,IF(E470=1,F470-'Data Transformation'!$U$25,FALSE))</f>
        <v>#NUM!</v>
      </c>
      <c r="G469">
        <f t="array" ref="G469">IF(ISLOGICAL(F469),"",FREQUENCY(IF('Data Transformation'!$B$24:$B$404='Bin Analysis and Plots'!$D$459,'Data Transformation'!$G$24:$G$404),'Bin Analysis and Plots'!F469))</f>
        <v>0</v>
      </c>
      <c r="H469">
        <f t="shared" si="57"/>
        <v>0</v>
      </c>
      <c r="I469">
        <f>Weighting!$G$13</f>
        <v>0</v>
      </c>
      <c r="J469">
        <f t="array" ref="J469">FREQUENCY(IF('Data Transformation'!$B$4:$B$404=D459,'Data Transformation'!$G$4:$G$404),'Bin Analysis and Plots'!$D469)</f>
        <v>0</v>
      </c>
      <c r="K469">
        <f t="shared" si="58"/>
        <v>0</v>
      </c>
      <c r="L469">
        <f t="shared" si="59"/>
        <v>0</v>
      </c>
      <c r="M469">
        <f>L469*Weighting!$V$13</f>
        <v>0</v>
      </c>
    </row>
    <row r="470" spans="1:13">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t="str">
        <f>IF(Weighting!$O$14&gt;0,D470,"")</f>
        <v/>
      </c>
      <c r="D470" t="e">
        <f>Weighting!$C$14</f>
        <v>#DIV/0!</v>
      </c>
      <c r="E470" t="e">
        <f>Weighting!$E$14</f>
        <v>#NUM!</v>
      </c>
      <c r="F470" t="e">
        <f>IF(E470=1,'Data Transformation'!$G$3+0.5*'Data Transformation'!$U$25,IF(E471=1,F471-'Data Transformation'!$U$25,FALSE))</f>
        <v>#NUM!</v>
      </c>
      <c r="G470">
        <f t="array" ref="G470">IF(ISLOGICAL(F470),"",FREQUENCY(IF('Data Transformation'!$B$24:$B$404='Bin Analysis and Plots'!$D$459,'Data Transformation'!$G$24:$G$404),'Bin Analysis and Plots'!F470))</f>
        <v>0</v>
      </c>
      <c r="H470">
        <f t="shared" si="57"/>
        <v>0</v>
      </c>
      <c r="I470">
        <f>Weighting!$G$14</f>
        <v>0</v>
      </c>
      <c r="J470">
        <f t="array" ref="J470">FREQUENCY(IF('Data Transformation'!$B$4:$B$404=D459,'Data Transformation'!$G$4:$G$404),'Bin Analysis and Plots'!$D470)</f>
        <v>0</v>
      </c>
      <c r="K470">
        <f t="shared" si="58"/>
        <v>0</v>
      </c>
      <c r="L470">
        <f t="shared" si="59"/>
        <v>0</v>
      </c>
      <c r="M470">
        <f>L470*Weighting!$V$14</f>
        <v>0</v>
      </c>
    </row>
    <row r="471" spans="1:13">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t="str">
        <f>IF(Weighting!$O$15&gt;0,D471,"")</f>
        <v/>
      </c>
      <c r="D471" t="e">
        <f>Weighting!$C$15</f>
        <v>#DIV/0!</v>
      </c>
      <c r="E471" t="e">
        <f>Weighting!$E$15</f>
        <v>#NUM!</v>
      </c>
      <c r="F471" t="e">
        <f>IF(E471=1,'Data Transformation'!$G$3+0.5*'Data Transformation'!$U$25,IF(E472=1,F472-'Data Transformation'!$U$25,FALSE))</f>
        <v>#NUM!</v>
      </c>
      <c r="G471">
        <f t="array" ref="G471">IF(ISLOGICAL(F471),"",FREQUENCY(IF('Data Transformation'!$B$24:$B$404='Bin Analysis and Plots'!$D$459,'Data Transformation'!$G$24:$G$404),'Bin Analysis and Plots'!F471))</f>
        <v>0</v>
      </c>
      <c r="H471">
        <f t="shared" si="57"/>
        <v>0</v>
      </c>
      <c r="I471">
        <f>Weighting!$G$15</f>
        <v>0</v>
      </c>
      <c r="J471">
        <f t="array" ref="J471">FREQUENCY(IF('Data Transformation'!$B$4:$B$404=D459,'Data Transformation'!$G$4:$G$404),'Bin Analysis and Plots'!$D471)</f>
        <v>0</v>
      </c>
      <c r="K471">
        <f t="shared" si="58"/>
        <v>0</v>
      </c>
      <c r="L471">
        <f t="shared" si="59"/>
        <v>0</v>
      </c>
      <c r="M471">
        <f>L471*Weighting!$V$15</f>
        <v>0</v>
      </c>
    </row>
    <row r="472" spans="1:13">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t="e">
        <f>Weighting!$C$16</f>
        <v>#DIV/0!</v>
      </c>
      <c r="E472" t="e">
        <f>Weighting!$E$16</f>
        <v>#NUM!</v>
      </c>
      <c r="F472" t="e">
        <f>IF(E472=1,'Data Transformation'!$G$3+0.5*'Data Transformation'!$U$25,IF(E473=1,F473-'Data Transformation'!$U$25,FALSE))</f>
        <v>#NUM!</v>
      </c>
      <c r="G472">
        <f t="array" ref="G472">IF(ISLOGICAL(F472),"",FREQUENCY(IF('Data Transformation'!$B$24:$B$404='Bin Analysis and Plots'!$D$459,'Data Transformation'!$G$24:$G$404),'Bin Analysis and Plots'!F472))</f>
        <v>0</v>
      </c>
      <c r="H472">
        <f t="shared" si="57"/>
        <v>0</v>
      </c>
      <c r="I472">
        <f>Weighting!$G$16</f>
        <v>0</v>
      </c>
      <c r="J472">
        <f t="array" ref="J472">FREQUENCY(IF('Data Transformation'!$B$4:$B$404=D459,'Data Transformation'!$G$4:$G$404),'Bin Analysis and Plots'!$D472)</f>
        <v>0</v>
      </c>
      <c r="K472">
        <f t="shared" si="58"/>
        <v>0</v>
      </c>
      <c r="L472">
        <f t="shared" si="59"/>
        <v>0</v>
      </c>
      <c r="M472">
        <f>L472*Weighting!$V$16</f>
        <v>0</v>
      </c>
    </row>
    <row r="473" spans="1:13">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t="e">
        <f>Weighting!$C$17</f>
        <v>#DIV/0!</v>
      </c>
      <c r="E473" t="e">
        <f>Weighting!$E$17</f>
        <v>#NUM!</v>
      </c>
      <c r="F473" t="e">
        <f>IF(E473=1,'Data Transformation'!$G$3+0.5*'Data Transformation'!$U$25,IF(E474=1,F474-'Data Transformation'!$U$25,FALSE))</f>
        <v>#NUM!</v>
      </c>
      <c r="G473">
        <f t="array" ref="G473">IF(ISLOGICAL(F473),"",FREQUENCY(IF('Data Transformation'!$B$24:$B$404='Bin Analysis and Plots'!$D$459,'Data Transformation'!$G$24:$G$404),'Bin Analysis and Plots'!F473))</f>
        <v>0</v>
      </c>
      <c r="H473">
        <f t="shared" si="57"/>
        <v>0</v>
      </c>
      <c r="I473">
        <f>Weighting!$G$17</f>
        <v>0</v>
      </c>
      <c r="J473">
        <f t="array" ref="J473">FREQUENCY(IF('Data Transformation'!$B$4:$B$404=D459,'Data Transformation'!$G$4:$G$404),'Bin Analysis and Plots'!$D473)</f>
        <v>0</v>
      </c>
      <c r="K473">
        <f t="shared" si="58"/>
        <v>0</v>
      </c>
      <c r="L473">
        <f t="shared" si="59"/>
        <v>0</v>
      </c>
      <c r="M473">
        <f>L473*Weighting!$V$17</f>
        <v>0</v>
      </c>
    </row>
    <row r="474" spans="1:13">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t="e">
        <f>Weighting!$C$18</f>
        <v>#DIV/0!</v>
      </c>
      <c r="E474" t="e">
        <f>Weighting!$E$18</f>
        <v>#NUM!</v>
      </c>
      <c r="F474" t="e">
        <f>IF(E474=1,'Data Transformation'!$G$3+0.5*'Data Transformation'!$U$25,IF(E475=1,F475-'Data Transformation'!$U$25,FALSE))</f>
        <v>#NUM!</v>
      </c>
      <c r="G474">
        <f t="array" ref="G474">IF(ISLOGICAL(F474),"",FREQUENCY(IF('Data Transformation'!$B$24:$B$404='Bin Analysis and Plots'!$D$459,'Data Transformation'!$G$24:$G$404),'Bin Analysis and Plots'!F474))</f>
        <v>0</v>
      </c>
      <c r="H474">
        <f t="shared" si="57"/>
        <v>0</v>
      </c>
      <c r="I474">
        <f>Weighting!$G$18</f>
        <v>0</v>
      </c>
      <c r="J474">
        <f t="array" ref="J474">FREQUENCY(IF('Data Transformation'!$B$4:$B$404=D459,'Data Transformation'!$G$4:$G$404),'Bin Analysis and Plots'!$D474)</f>
        <v>0</v>
      </c>
      <c r="K474">
        <f t="shared" si="58"/>
        <v>0</v>
      </c>
      <c r="L474">
        <f t="shared" si="59"/>
        <v>0</v>
      </c>
      <c r="M474">
        <f>L474*Weighting!$V$18</f>
        <v>0</v>
      </c>
    </row>
    <row r="475" spans="1:13">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t="e">
        <f>Weighting!$C$19</f>
        <v>#DIV/0!</v>
      </c>
      <c r="E475" t="e">
        <f>Weighting!$E$19</f>
        <v>#NUM!</v>
      </c>
      <c r="F475" t="e">
        <f>IF(E475=1,'Data Transformation'!$G$3+0.5*'Data Transformation'!$U$25,IF(E476=1,F476-'Data Transformation'!$U$25,FALSE))</f>
        <v>#NUM!</v>
      </c>
      <c r="G475">
        <f t="array" ref="G475">IF(ISLOGICAL(F475),"",FREQUENCY(IF('Data Transformation'!$B$24:$B$404='Bin Analysis and Plots'!$D$459,'Data Transformation'!$G$24:$G$404),'Bin Analysis and Plots'!F475))</f>
        <v>0</v>
      </c>
      <c r="H475">
        <f t="shared" si="57"/>
        <v>0</v>
      </c>
      <c r="I475">
        <f>Weighting!$G$19</f>
        <v>0</v>
      </c>
      <c r="J475">
        <f t="array" ref="J475">FREQUENCY(IF('Data Transformation'!$B$4:$B$404=D459,'Data Transformation'!$G$4:$G$404),'Bin Analysis and Plots'!$D475)</f>
        <v>0</v>
      </c>
      <c r="K475">
        <f t="shared" si="58"/>
        <v>0</v>
      </c>
      <c r="L475">
        <f t="shared" si="59"/>
        <v>0</v>
      </c>
      <c r="M475">
        <f>L475*Weighting!$V$19</f>
        <v>0</v>
      </c>
    </row>
    <row r="476" spans="1:13">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t="e">
        <f>Weighting!$C$20</f>
        <v>#DIV/0!</v>
      </c>
      <c r="E476" t="e">
        <f>Weighting!$E$20</f>
        <v>#NUM!</v>
      </c>
      <c r="F476" t="e">
        <f>IF(E476=1,'Data Transformation'!$G$3+0.5*'Data Transformation'!$U$25,IF(E477=1,F477-'Data Transformation'!$U$25,FALSE))</f>
        <v>#NUM!</v>
      </c>
      <c r="G476">
        <f t="array" ref="G476">IF(ISLOGICAL(F476),"",FREQUENCY(IF('Data Transformation'!$B$24:$B$404='Bin Analysis and Plots'!$D$459,'Data Transformation'!$G$24:$G$404),'Bin Analysis and Plots'!F476))</f>
        <v>0</v>
      </c>
      <c r="H476">
        <f t="shared" si="57"/>
        <v>0</v>
      </c>
      <c r="I476">
        <f>Weighting!$G$20</f>
        <v>0</v>
      </c>
      <c r="J476">
        <f t="array" ref="J476">FREQUENCY(IF('Data Transformation'!$B$4:$B$404=D459,'Data Transformation'!$G$4:$G$404),'Bin Analysis and Plots'!$D476)</f>
        <v>0</v>
      </c>
      <c r="K476">
        <f t="shared" si="58"/>
        <v>0</v>
      </c>
      <c r="L476">
        <f t="shared" si="59"/>
        <v>0</v>
      </c>
      <c r="M476">
        <f>L476*Weighting!$V$20</f>
        <v>0</v>
      </c>
    </row>
    <row r="477" spans="1:13">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t="e">
        <f>Weighting!$C$21</f>
        <v>#DIV/0!</v>
      </c>
      <c r="E477" t="e">
        <f>Weighting!$E$21</f>
        <v>#NUM!</v>
      </c>
      <c r="F477" t="e">
        <f>IF(E477=1,'Data Transformation'!$G$3+0.5*'Data Transformation'!$U$25,IF(E478=1,F478-'Data Transformation'!$U$25,FALSE))</f>
        <v>#NUM!</v>
      </c>
      <c r="G477">
        <f t="array" ref="G477">IF(ISLOGICAL(F477),"",FREQUENCY(IF('Data Transformation'!$B$24:$B$404='Bin Analysis and Plots'!$D$459,'Data Transformation'!$G$24:$G$404),'Bin Analysis and Plots'!F477))</f>
        <v>0</v>
      </c>
      <c r="H477">
        <f t="shared" si="57"/>
        <v>0</v>
      </c>
      <c r="I477">
        <f>Weighting!$G$21</f>
        <v>0</v>
      </c>
      <c r="J477">
        <f t="array" ref="J477">FREQUENCY(IF('Data Transformation'!$B$4:$B$404=D459,'Data Transformation'!$G$4:$G$404),'Bin Analysis and Plots'!$D477)</f>
        <v>0</v>
      </c>
      <c r="K477">
        <f t="shared" si="58"/>
        <v>0</v>
      </c>
      <c r="L477">
        <f t="shared" si="59"/>
        <v>0</v>
      </c>
      <c r="M477">
        <f>L477*Weighting!$V$21</f>
        <v>0</v>
      </c>
    </row>
    <row r="478" spans="1:13">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t="e">
        <f>Weighting!$C$22</f>
        <v>#DIV/0!</v>
      </c>
      <c r="E478" t="e">
        <f>Weighting!$E$22</f>
        <v>#NUM!</v>
      </c>
      <c r="F478" t="e">
        <f>IF(E478=1,'Data Transformation'!$G$3+0.5*'Data Transformation'!$U$25,IF(E479=1,F479-'Data Transformation'!$U$25,FALSE))</f>
        <v>#NUM!</v>
      </c>
      <c r="G478">
        <f t="array" ref="G478">IF(ISLOGICAL(F478),"",FREQUENCY(IF('Data Transformation'!$B$24:$B$404='Bin Analysis and Plots'!$D$459,'Data Transformation'!$G$24:$G$404),'Bin Analysis and Plots'!F478))</f>
        <v>0</v>
      </c>
      <c r="H478">
        <f t="shared" si="57"/>
        <v>0</v>
      </c>
      <c r="I478">
        <f>Weighting!$G$22</f>
        <v>0</v>
      </c>
      <c r="J478">
        <f t="array" ref="J478">FREQUENCY(IF('Data Transformation'!$B$4:$B$404=D459,'Data Transformation'!$G$4:$G$404),'Bin Analysis and Plots'!$D478)</f>
        <v>0</v>
      </c>
      <c r="K478">
        <f t="shared" si="58"/>
        <v>0</v>
      </c>
      <c r="L478">
        <f t="shared" si="59"/>
        <v>0</v>
      </c>
      <c r="M478">
        <f>L478*Weighting!$V$22</f>
        <v>0</v>
      </c>
    </row>
    <row r="479" spans="1:13">
      <c r="A479" s="29" t="b">
        <f t="array" ref="A479">IF(ISERROR(INDEX('Data Transformation'!$B$4:$G$450,SMALL(IF('Data Transformation'!$B$4:$B$450='Bin Analysis and Plots'!D459,ROW('Data Transformation'!$B$4:$B$450)),ROW($18:$18))-3,3)),"",INDEX('Data Transformation'!$B$4:$G$450,SMALL(IF('Data Transformation'!$B$4:$B$450='Bin Analysis and Plots'!D459,ROW('Data Transformation'!$B$4:$B$450)),ROW($18:$18))-3,6))</f>
        <v>0</v>
      </c>
      <c r="B479" s="29" t="str">
        <f>IFERROR(SMALL(A462:A481,'Data Transformation'!$L$23),"")</f>
        <v/>
      </c>
      <c r="C479" s="41" t="str">
        <f>IF(Weighting!$O$23&gt;0,D479,"")</f>
        <v/>
      </c>
      <c r="D479" t="e">
        <f>Weighting!$C$23</f>
        <v>#DIV/0!</v>
      </c>
      <c r="E479" t="e">
        <f>Weighting!$E$23</f>
        <v>#NUM!</v>
      </c>
      <c r="F479" t="e">
        <f>IF(E479=1,'Data Transformation'!$G$3+0.5*'Data Transformation'!$U$25,IF(E480=1,F480-'Data Transformation'!$U$25,FALSE))</f>
        <v>#NUM!</v>
      </c>
      <c r="G479">
        <f t="array" ref="G479">IF(ISLOGICAL(F479),"",FREQUENCY(IF('Data Transformation'!$B$24:$B$404='Bin Analysis and Plots'!$D$459,'Data Transformation'!$G$24:$G$404),'Bin Analysis and Plots'!F479))</f>
        <v>0</v>
      </c>
      <c r="H479">
        <f t="shared" si="57"/>
        <v>0</v>
      </c>
      <c r="I479">
        <f>Weighting!$G$23</f>
        <v>0</v>
      </c>
      <c r="J479">
        <f t="array" ref="J479">FREQUENCY(IF('Data Transformation'!$B$4:$B$404=D459,'Data Transformation'!$G$4:$G$404),'Bin Analysis and Plots'!$D479)</f>
        <v>0</v>
      </c>
      <c r="K479">
        <f t="shared" si="58"/>
        <v>0</v>
      </c>
      <c r="L479">
        <f t="shared" si="59"/>
        <v>0</v>
      </c>
      <c r="M479">
        <f>L479*Weighting!$V$23</f>
        <v>0</v>
      </c>
    </row>
    <row r="480" spans="1:13">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t="e">
        <f>Weighting!$C$24</f>
        <v>#DIV/0!</v>
      </c>
      <c r="E480" t="e">
        <f>Weighting!$E$24</f>
        <v>#NUM!</v>
      </c>
      <c r="F480" t="e">
        <f>IF(E480=1,'Data Transformation'!$G$3+0.5*'Data Transformation'!$U$25,IF(E481=1,F481-'Data Transformation'!$U$25,FALSE))</f>
        <v>#NUM!</v>
      </c>
      <c r="G480">
        <f t="array" ref="G480">IF(ISLOGICAL(F480),"",FREQUENCY(IF('Data Transformation'!$B$24:$B$404='Bin Analysis and Plots'!$D$459,'Data Transformation'!$G$24:$G$404),'Bin Analysis and Plots'!F480))</f>
        <v>0</v>
      </c>
      <c r="H480">
        <f t="shared" si="57"/>
        <v>0</v>
      </c>
      <c r="I480">
        <f>Weighting!$G$24</f>
        <v>0</v>
      </c>
      <c r="J480">
        <f t="array" ref="J480">FREQUENCY(IF('Data Transformation'!$B$4:$B$404=D459,'Data Transformation'!$G$4:$G$404),'Bin Analysis and Plots'!$D480)</f>
        <v>0</v>
      </c>
      <c r="K480">
        <f t="shared" si="58"/>
        <v>0</v>
      </c>
      <c r="L480">
        <f t="shared" si="59"/>
        <v>0</v>
      </c>
      <c r="M480">
        <f>L480*Weighting!$V$24</f>
        <v>0</v>
      </c>
    </row>
    <row r="481" spans="1:27">
      <c r="A481" s="29" t="b">
        <f t="array" ref="A481">IF(ISERROR(INDEX('Data Transformation'!$B$4:$G$450,SMALL(IF('Data Transformation'!$B$4:$B$450='Bin Analysis and Plots'!D459,ROW('Data Transformation'!$B$4:$B$450)),ROW($20:$20))-3,3)),"",INDEX('Data Transformation'!$B$4:$G$450,SMALL(IF('Data Transformation'!$B$4:$B$450='Bin Analysis and Plots'!D459,ROW('Data Transformation'!$B$4:$B$450)),ROW($20:$20))-3,6))</f>
        <v>0</v>
      </c>
      <c r="B481" s="29" t="str">
        <f>IFERROR(SMALL(A462:A481,'Data Transformation'!$L$25),"")</f>
        <v/>
      </c>
      <c r="C481" s="41" t="str">
        <f>IF(Weighting!$O$25&gt;0,D481,"")</f>
        <v/>
      </c>
      <c r="D481" t="e">
        <f>Weighting!$C$25</f>
        <v>#DIV/0!</v>
      </c>
      <c r="E481" t="e">
        <f>Weighting!$E$25</f>
        <v>#NUM!</v>
      </c>
      <c r="F481" t="e">
        <f>IF(E481=1,'Data Transformation'!$G$3+0.5*'Data Transformation'!$U$25,IF(E482=1,F482-'Data Transformation'!$U$25,FALSE))</f>
        <v>#NUM!</v>
      </c>
      <c r="G481">
        <f t="array" ref="G481">IF(ISLOGICAL(F481),"",FREQUENCY(IF('Data Transformation'!$B$24:$B$404='Bin Analysis and Plots'!$D$459,'Data Transformation'!$G$24:$G$404),'Bin Analysis and Plots'!F481))</f>
        <v>0</v>
      </c>
      <c r="H481">
        <f t="shared" si="57"/>
        <v>0</v>
      </c>
      <c r="I481">
        <f>Weighting!$G$25</f>
        <v>0</v>
      </c>
      <c r="J481">
        <f t="array" ref="J481">FREQUENCY(IF('Data Transformation'!$B$4:$B$404=D459,'Data Transformation'!$G$4:$G$404),'Bin Analysis and Plots'!$D481)</f>
        <v>0</v>
      </c>
      <c r="K481">
        <f t="shared" si="58"/>
        <v>0</v>
      </c>
      <c r="L481">
        <f t="shared" si="59"/>
        <v>0</v>
      </c>
      <c r="M481">
        <f>L481*Weighting!$V$25</f>
        <v>0</v>
      </c>
    </row>
    <row r="482" spans="1:27">
      <c r="C482" s="41" t="str">
        <f>IF(B482="","",D482)</f>
        <v/>
      </c>
    </row>
    <row r="483" spans="1:27" ht="23.2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8" cm="1">
        <f t="array" ref="Z483:Z484">FREQUENCY(IF('Data Transformation'!$B$24:$B$404='Bin Analysis and Plots'!N483,'Data Transformation'!$G$24:$G$404),'Data Transformation'!$U$11)</f>
        <v>0</v>
      </c>
      <c r="AA483" s="78" cm="1">
        <f t="array" ref="AA483:AA484">FREQUENCY(IF('Data Transformation'!$B$24:$B$404='Bin Analysis and Plots'!N483,'Data Transformation'!$G$24:$G$404),'Data Transformation'!$U$12)</f>
        <v>0</v>
      </c>
    </row>
    <row r="484" spans="1:27" ht="21">
      <c r="A484" s="91" t="s">
        <v>64</v>
      </c>
      <c r="B484" s="91"/>
      <c r="C484" s="14" t="s">
        <v>72</v>
      </c>
      <c r="D484" t="s">
        <v>50</v>
      </c>
      <c r="E484" t="s">
        <v>5</v>
      </c>
      <c r="I484" t="s">
        <v>74</v>
      </c>
      <c r="J484" t="s">
        <v>34</v>
      </c>
      <c r="K484" t="s">
        <v>35</v>
      </c>
      <c r="L484" t="s">
        <v>49</v>
      </c>
      <c r="M484" s="14" t="s">
        <v>48</v>
      </c>
      <c r="Z484" s="78">
        <v>0</v>
      </c>
      <c r="AA484" s="78">
        <v>0</v>
      </c>
    </row>
    <row r="485" spans="1:27">
      <c r="C485" s="41" t="str">
        <f>IF(B485="","",D485)</f>
        <v/>
      </c>
      <c r="F485" t="e">
        <f>IF(E485=1,'Data Transformation'!$G$3+0.5*'Data Transformation'!$U$25,IF(E486=1,F486-'Data Transformation'!$U$25,FALSE))</f>
        <v>#NUM!</v>
      </c>
      <c r="G485">
        <f t="array" ref="G485">IF(ISLOGICAL(F485),"",FREQUENCY(IF('Data Transformation'!$B$24:$B$404='Bin Analysis and Plots'!$D$483,'Data Transformation'!$G$24:$G$404),'Bin Analysis and Plots'!F485))</f>
        <v>0</v>
      </c>
      <c r="H485">
        <f>IF(ISLOGICAL(F485),"",G485-G484)</f>
        <v>0</v>
      </c>
    </row>
    <row r="486" spans="1:27">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t="e">
        <f>IF(Weighting!$O$6&gt;0,D486,"")</f>
        <v>#NUM!</v>
      </c>
      <c r="D486" t="e">
        <f>Weighting!$C$6</f>
        <v>#DIV/0!</v>
      </c>
      <c r="E486" t="e">
        <f>Weighting!$E$6</f>
        <v>#NUM!</v>
      </c>
      <c r="F486" t="e">
        <f>IF(E486=1,'Data Transformation'!$G$3+0.5*'Data Transformation'!$U$25,IF(E487=1,F487-'Data Transformation'!$U$25,FALSE))</f>
        <v>#NUM!</v>
      </c>
      <c r="G486">
        <f t="array" ref="G486">IF(ISLOGICAL(F486),"",FREQUENCY(IF('Data Transformation'!$B$24:$B$404='Bin Analysis and Plots'!$D$483,'Data Transformation'!$G$24:$G$404),'Bin Analysis and Plots'!F486))</f>
        <v>0</v>
      </c>
      <c r="H486">
        <f>IF(ISLOGICAL(F486),"",G486-G485)</f>
        <v>0</v>
      </c>
      <c r="I486">
        <f>Weighting!$G$6</f>
        <v>1</v>
      </c>
      <c r="J486">
        <f t="array" ref="J486">FREQUENCY(IF('Data Transformation'!$B$4:$B$404=D483,'Data Transformation'!$G$4:$G$404),'Bin Analysis and Plots'!$D486)</f>
        <v>0</v>
      </c>
      <c r="K486">
        <f>J486-J485</f>
        <v>0</v>
      </c>
      <c r="L486">
        <f>IF(K486=0,0,1)</f>
        <v>0</v>
      </c>
      <c r="M486" t="e">
        <f>L486*Weighting!$V$6</f>
        <v>#NUM!</v>
      </c>
    </row>
    <row r="487" spans="1:27">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t="str">
        <f>IF(Weighting!$O$7&gt;0,D487,"")</f>
        <v/>
      </c>
      <c r="D487" t="e">
        <f>Weighting!$C$7</f>
        <v>#DIV/0!</v>
      </c>
      <c r="E487" t="e">
        <f>Weighting!$E$7</f>
        <v>#NUM!</v>
      </c>
      <c r="F487" t="e">
        <f>IF(E487=1,'Data Transformation'!$G$3+0.5*'Data Transformation'!$U$25,IF(E488=1,F488-'Data Transformation'!$U$25,FALSE))</f>
        <v>#NUM!</v>
      </c>
      <c r="G487">
        <f t="array" ref="G487">IF(ISLOGICAL(F487),"",FREQUENCY(IF('Data Transformation'!$B$24:$B$404='Bin Analysis and Plots'!$D$483,'Data Transformation'!$G$24:$G$404),'Bin Analysis and Plots'!F487))</f>
        <v>0</v>
      </c>
      <c r="H487">
        <f t="shared" ref="H487:H505" si="60">IF(ISLOGICAL(F487),"",G487-G486)</f>
        <v>0</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t="str">
        <f>IF(Weighting!$O$8&gt;0,D488,"")</f>
        <v/>
      </c>
      <c r="D488" t="e">
        <f>Weighting!$C$8</f>
        <v>#DIV/0!</v>
      </c>
      <c r="E488" t="e">
        <f>Weighting!$E$8</f>
        <v>#NUM!</v>
      </c>
      <c r="F488" t="e">
        <f>IF(E488=1,'Data Transformation'!$G$3+0.5*'Data Transformation'!$U$25,IF(E489=1,F489-'Data Transformation'!$U$25,FALSE))</f>
        <v>#NUM!</v>
      </c>
      <c r="G488">
        <f t="array" ref="G488">IF(ISLOGICAL(F488),"",FREQUENCY(IF('Data Transformation'!$B$24:$B$404='Bin Analysis and Plots'!$D$483,'Data Transformation'!$G$24:$G$404),'Bin Analysis and Plots'!F488))</f>
        <v>0</v>
      </c>
      <c r="H488">
        <f t="shared" si="60"/>
        <v>0</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t="str">
        <f>IF(Weighting!$O$9&gt;0,D489,"")</f>
        <v/>
      </c>
      <c r="D489" t="e">
        <f>Weighting!$B$9</f>
        <v>#DIV/0!</v>
      </c>
      <c r="E489" t="e">
        <f>Weighting!$E$9</f>
        <v>#NUM!</v>
      </c>
      <c r="F489" t="e">
        <f>IF(E489=1,'Data Transformation'!$G$3+0.5*'Data Transformation'!$U$25,IF(E490=1,F490-'Data Transformation'!$U$25,FALSE))</f>
        <v>#NUM!</v>
      </c>
      <c r="G489">
        <f t="array" ref="G489">IF(ISLOGICAL(F489),"",FREQUENCY(IF('Data Transformation'!$B$24:$B$404='Bin Analysis and Plots'!$D$483,'Data Transformation'!$G$24:$G$404),'Bin Analysis and Plots'!F489))</f>
        <v>0</v>
      </c>
      <c r="H489">
        <f t="shared" si="60"/>
        <v>0</v>
      </c>
      <c r="I489">
        <f>Weighting!$G$9</f>
        <v>0</v>
      </c>
      <c r="J489">
        <f t="array" ref="J489">FREQUENCY(IF('Data Transformation'!$B$4:$B$404=D483,'Data Transformation'!$G$4:$G$404),'Bin Analysis and Plots'!$D489)</f>
        <v>0</v>
      </c>
      <c r="K489">
        <f t="shared" si="61"/>
        <v>0</v>
      </c>
      <c r="L489">
        <f t="shared" si="62"/>
        <v>0</v>
      </c>
      <c r="M489">
        <f>L489*Weighting!$V$9</f>
        <v>0</v>
      </c>
    </row>
    <row r="490" spans="1:27">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t="str">
        <f>IF(Weighting!$O$10&gt;0,D490,"")</f>
        <v/>
      </c>
      <c r="D490" t="e">
        <f>Weighting!$C$10</f>
        <v>#DIV/0!</v>
      </c>
      <c r="E490" t="e">
        <f>Weighting!$E$10</f>
        <v>#NUM!</v>
      </c>
      <c r="F490" t="e">
        <f>IF(E490=1,'Data Transformation'!$G$3+0.5*'Data Transformation'!$U$25,IF(E491=1,F491-'Data Transformation'!$U$25,FALSE))</f>
        <v>#NUM!</v>
      </c>
      <c r="G490">
        <f t="array" ref="G490">IF(ISLOGICAL(F490),"",FREQUENCY(IF('Data Transformation'!$B$24:$B$404='Bin Analysis and Plots'!$D$483,'Data Transformation'!$G$24:$G$404),'Bin Analysis and Plots'!F490))</f>
        <v>0</v>
      </c>
      <c r="H490">
        <f t="shared" si="60"/>
        <v>0</v>
      </c>
      <c r="I490">
        <f>Weighting!$G$10</f>
        <v>0</v>
      </c>
      <c r="J490">
        <f t="array" ref="J490">FREQUENCY(IF('Data Transformation'!$B$4:$B$404=D483,'Data Transformation'!$G$4:$G$404),'Bin Analysis and Plots'!$D490)</f>
        <v>0</v>
      </c>
      <c r="K490">
        <f t="shared" si="61"/>
        <v>0</v>
      </c>
      <c r="L490">
        <f t="shared" si="62"/>
        <v>0</v>
      </c>
      <c r="M490">
        <f>L490*Weighting!$V$10</f>
        <v>0</v>
      </c>
    </row>
    <row r="491" spans="1:27">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t="str">
        <f>IF(Weighting!$O$11&gt;0,D491,"")</f>
        <v/>
      </c>
      <c r="D491" t="e">
        <f>Weighting!$C$11</f>
        <v>#DIV/0!</v>
      </c>
      <c r="E491" t="e">
        <f>Weighting!$E$11</f>
        <v>#NUM!</v>
      </c>
      <c r="F491" t="e">
        <f>IF(E491=1,'Data Transformation'!$G$3+0.5*'Data Transformation'!$U$25,IF(E492=1,F492-'Data Transformation'!$U$25,FALSE))</f>
        <v>#NUM!</v>
      </c>
      <c r="G491">
        <f t="array" ref="G491">IF(ISLOGICAL(F491),"",FREQUENCY(IF('Data Transformation'!$B$24:$B$404='Bin Analysis and Plots'!$D$483,'Data Transformation'!$G$24:$G$404),'Bin Analysis and Plots'!F491))</f>
        <v>0</v>
      </c>
      <c r="H491">
        <f t="shared" si="60"/>
        <v>0</v>
      </c>
      <c r="I491">
        <f>Weighting!$G$11</f>
        <v>0</v>
      </c>
      <c r="J491">
        <f t="array" ref="J491">FREQUENCY(IF('Data Transformation'!$B$4:$B$404=D483,'Data Transformation'!$G$4:$G$404),'Bin Analysis and Plots'!$D491)</f>
        <v>0</v>
      </c>
      <c r="K491">
        <f t="shared" si="61"/>
        <v>0</v>
      </c>
      <c r="L491">
        <f t="shared" si="62"/>
        <v>0</v>
      </c>
      <c r="M491">
        <f>L491*Weighting!$V$11</f>
        <v>0</v>
      </c>
    </row>
    <row r="492" spans="1:27">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t="str">
        <f>IF(Weighting!$O$12&gt;0,D492,"")</f>
        <v/>
      </c>
      <c r="D492" t="e">
        <f>Weighting!$C$12</f>
        <v>#DIV/0!</v>
      </c>
      <c r="E492" t="e">
        <f>Weighting!$E$12</f>
        <v>#NUM!</v>
      </c>
      <c r="F492" t="e">
        <f>IF(E492=1,'Data Transformation'!$G$3+0.5*'Data Transformation'!$U$25,IF(E493=1,F493-'Data Transformation'!$U$25,FALSE))</f>
        <v>#NUM!</v>
      </c>
      <c r="G492">
        <f t="array" ref="G492">IF(ISLOGICAL(F492),"",FREQUENCY(IF('Data Transformation'!$B$24:$B$404='Bin Analysis and Plots'!$D$483,'Data Transformation'!$G$24:$G$404),'Bin Analysis and Plots'!F492))</f>
        <v>0</v>
      </c>
      <c r="H492">
        <f t="shared" si="60"/>
        <v>0</v>
      </c>
      <c r="I492">
        <f>Weighting!$G$12</f>
        <v>0</v>
      </c>
      <c r="J492">
        <f t="array" ref="J492">FREQUENCY(IF('Data Transformation'!$B$4:$B$404=D483,'Data Transformation'!$G$4:$G$404),'Bin Analysis and Plots'!$D492)</f>
        <v>0</v>
      </c>
      <c r="K492">
        <f t="shared" si="61"/>
        <v>0</v>
      </c>
      <c r="L492">
        <f t="shared" si="62"/>
        <v>0</v>
      </c>
      <c r="M492">
        <f>L492*Weighting!$V$12</f>
        <v>0</v>
      </c>
    </row>
    <row r="493" spans="1:27">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t="str">
        <f>IF(Weighting!$O$13&gt;0,D493,"")</f>
        <v/>
      </c>
      <c r="D493" t="e">
        <f>Weighting!$C$13</f>
        <v>#DIV/0!</v>
      </c>
      <c r="E493" t="e">
        <f>Weighting!$E$13</f>
        <v>#NUM!</v>
      </c>
      <c r="F493" t="e">
        <f>IF(E493=1,'Data Transformation'!$G$3+0.5*'Data Transformation'!$U$25,IF(E494=1,F494-'Data Transformation'!$U$25,FALSE))</f>
        <v>#NUM!</v>
      </c>
      <c r="G493">
        <f t="array" ref="G493">IF(ISLOGICAL(F493),"",FREQUENCY(IF('Data Transformation'!$B$24:$B$404='Bin Analysis and Plots'!$D$483,'Data Transformation'!$G$24:$G$404),'Bin Analysis and Plots'!F493))</f>
        <v>0</v>
      </c>
      <c r="H493">
        <f t="shared" si="60"/>
        <v>0</v>
      </c>
      <c r="I493">
        <f>Weighting!$G$13</f>
        <v>0</v>
      </c>
      <c r="J493">
        <f t="array" ref="J493">FREQUENCY(IF('Data Transformation'!$B$4:$B$404=D483,'Data Transformation'!$G$4:$G$404),'Bin Analysis and Plots'!$D493)</f>
        <v>0</v>
      </c>
      <c r="K493">
        <f t="shared" si="61"/>
        <v>0</v>
      </c>
      <c r="L493">
        <f t="shared" si="62"/>
        <v>0</v>
      </c>
      <c r="M493">
        <f>L493*Weighting!$V$13</f>
        <v>0</v>
      </c>
    </row>
    <row r="494" spans="1:27">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t="str">
        <f>IF(Weighting!$O$14&gt;0,D494,"")</f>
        <v/>
      </c>
      <c r="D494" t="e">
        <f>Weighting!$C$14</f>
        <v>#DIV/0!</v>
      </c>
      <c r="E494" t="e">
        <f>Weighting!$E$14</f>
        <v>#NUM!</v>
      </c>
      <c r="F494" t="e">
        <f>IF(E494=1,'Data Transformation'!$G$3+0.5*'Data Transformation'!$U$25,IF(E495=1,F495-'Data Transformation'!$U$25,FALSE))</f>
        <v>#NUM!</v>
      </c>
      <c r="G494">
        <f t="array" ref="G494">IF(ISLOGICAL(F494),"",FREQUENCY(IF('Data Transformation'!$B$24:$B$404='Bin Analysis and Plots'!$D$483,'Data Transformation'!$G$24:$G$404),'Bin Analysis and Plots'!F494))</f>
        <v>0</v>
      </c>
      <c r="H494">
        <f t="shared" si="60"/>
        <v>0</v>
      </c>
      <c r="I494">
        <f>Weighting!$G$14</f>
        <v>0</v>
      </c>
      <c r="J494">
        <f t="array" ref="J494">FREQUENCY(IF('Data Transformation'!$B$4:$B$404=D483,'Data Transformation'!$G$4:$G$404),'Bin Analysis and Plots'!$D494)</f>
        <v>0</v>
      </c>
      <c r="K494">
        <f t="shared" si="61"/>
        <v>0</v>
      </c>
      <c r="L494">
        <f t="shared" si="62"/>
        <v>0</v>
      </c>
      <c r="M494">
        <f>L494*Weighting!$V$14</f>
        <v>0</v>
      </c>
    </row>
    <row r="495" spans="1:27">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t="str">
        <f>IF(Weighting!$O$15&gt;0,D495,"")</f>
        <v/>
      </c>
      <c r="D495" t="e">
        <f>Weighting!$C$15</f>
        <v>#DIV/0!</v>
      </c>
      <c r="E495" t="e">
        <f>Weighting!$E$15</f>
        <v>#NUM!</v>
      </c>
      <c r="F495" t="e">
        <f>IF(E495=1,'Data Transformation'!$G$3+0.5*'Data Transformation'!$U$25,IF(E496=1,F496-'Data Transformation'!$U$25,FALSE))</f>
        <v>#NUM!</v>
      </c>
      <c r="G495">
        <f t="array" ref="G495">IF(ISLOGICAL(F495),"",FREQUENCY(IF('Data Transformation'!$B$24:$B$404='Bin Analysis and Plots'!$D$483,'Data Transformation'!$G$24:$G$404),'Bin Analysis and Plots'!F495))</f>
        <v>0</v>
      </c>
      <c r="H495">
        <f t="shared" si="60"/>
        <v>0</v>
      </c>
      <c r="I495">
        <f>Weighting!$G$15</f>
        <v>0</v>
      </c>
      <c r="J495">
        <f t="array" ref="J495">FREQUENCY(IF('Data Transformation'!$B$4:$B$404=D483,'Data Transformation'!$G$4:$G$404),'Bin Analysis and Plots'!$D495)</f>
        <v>0</v>
      </c>
      <c r="K495">
        <f t="shared" si="61"/>
        <v>0</v>
      </c>
      <c r="L495">
        <f t="shared" si="62"/>
        <v>0</v>
      </c>
      <c r="M495">
        <f>L495*Weighting!$V$15</f>
        <v>0</v>
      </c>
    </row>
    <row r="496" spans="1:27">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t="e">
        <f>Weighting!$C$16</f>
        <v>#DIV/0!</v>
      </c>
      <c r="E496" t="e">
        <f>Weighting!$E$16</f>
        <v>#NUM!</v>
      </c>
      <c r="F496" t="e">
        <f>IF(E496=1,'Data Transformation'!$G$3+0.5*'Data Transformation'!$U$25,IF(E497=1,F497-'Data Transformation'!$U$25,FALSE))</f>
        <v>#NUM!</v>
      </c>
      <c r="G496">
        <f t="array" ref="G496">IF(ISLOGICAL(F496),"",FREQUENCY(IF('Data Transformation'!$B$24:$B$404='Bin Analysis and Plots'!$D$483,'Data Transformation'!$G$24:$G$404),'Bin Analysis and Plots'!F496))</f>
        <v>0</v>
      </c>
      <c r="H496">
        <f t="shared" si="60"/>
        <v>0</v>
      </c>
      <c r="I496">
        <f>Weighting!$G$16</f>
        <v>0</v>
      </c>
      <c r="J496">
        <f t="array" ref="J496">FREQUENCY(IF('Data Transformation'!$B$4:$B$404=D483,'Data Transformation'!$G$4:$G$404),'Bin Analysis and Plots'!$D496)</f>
        <v>0</v>
      </c>
      <c r="K496">
        <f t="shared" si="61"/>
        <v>0</v>
      </c>
      <c r="L496">
        <f t="shared" si="62"/>
        <v>0</v>
      </c>
      <c r="M496">
        <f>L496*Weighting!$V$16</f>
        <v>0</v>
      </c>
    </row>
    <row r="497" spans="1:27">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t="e">
        <f>Weighting!$C$17</f>
        <v>#DIV/0!</v>
      </c>
      <c r="E497" t="e">
        <f>Weighting!$E$17</f>
        <v>#NUM!</v>
      </c>
      <c r="F497" t="e">
        <f>IF(E497=1,'Data Transformation'!$G$3+0.5*'Data Transformation'!$U$25,IF(E498=1,F498-'Data Transformation'!$U$25,FALSE))</f>
        <v>#NUM!</v>
      </c>
      <c r="G497">
        <f t="array" ref="G497">IF(ISLOGICAL(F497),"",FREQUENCY(IF('Data Transformation'!$B$24:$B$404='Bin Analysis and Plots'!$D$483,'Data Transformation'!$G$24:$G$404),'Bin Analysis and Plots'!F497))</f>
        <v>0</v>
      </c>
      <c r="H497">
        <f t="shared" si="60"/>
        <v>0</v>
      </c>
      <c r="I497">
        <f>Weighting!$G$17</f>
        <v>0</v>
      </c>
      <c r="J497">
        <f t="array" ref="J497">FREQUENCY(IF('Data Transformation'!$B$4:$B$404=D483,'Data Transformation'!$G$4:$G$404),'Bin Analysis and Plots'!$D497)</f>
        <v>0</v>
      </c>
      <c r="K497">
        <f t="shared" si="61"/>
        <v>0</v>
      </c>
      <c r="L497">
        <f t="shared" si="62"/>
        <v>0</v>
      </c>
      <c r="M497">
        <f>L497*Weighting!$V$17</f>
        <v>0</v>
      </c>
    </row>
    <row r="498" spans="1:27">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t="e">
        <f>Weighting!$C$18</f>
        <v>#DIV/0!</v>
      </c>
      <c r="E498" t="e">
        <f>Weighting!$E$18</f>
        <v>#NUM!</v>
      </c>
      <c r="F498" t="e">
        <f>IF(E498=1,'Data Transformation'!$G$3+0.5*'Data Transformation'!$U$25,IF(E499=1,F499-'Data Transformation'!$U$25,FALSE))</f>
        <v>#NUM!</v>
      </c>
      <c r="G498">
        <f t="array" ref="G498">IF(ISLOGICAL(F498),"",FREQUENCY(IF('Data Transformation'!$B$24:$B$404='Bin Analysis and Plots'!$D$483,'Data Transformation'!$G$24:$G$404),'Bin Analysis and Plots'!F498))</f>
        <v>0</v>
      </c>
      <c r="H498">
        <f t="shared" si="60"/>
        <v>0</v>
      </c>
      <c r="I498">
        <f>Weighting!$G$18</f>
        <v>0</v>
      </c>
      <c r="J498">
        <f t="array" ref="J498">FREQUENCY(IF('Data Transformation'!$B$4:$B$404=D483,'Data Transformation'!$G$4:$G$404),'Bin Analysis and Plots'!$D498)</f>
        <v>0</v>
      </c>
      <c r="K498">
        <f t="shared" si="61"/>
        <v>0</v>
      </c>
      <c r="L498">
        <f t="shared" si="62"/>
        <v>0</v>
      </c>
      <c r="M498">
        <f>L498*Weighting!$V$18</f>
        <v>0</v>
      </c>
    </row>
    <row r="499" spans="1:27">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t="e">
        <f>Weighting!$C$19</f>
        <v>#DIV/0!</v>
      </c>
      <c r="E499" t="e">
        <f>Weighting!$E$19</f>
        <v>#NUM!</v>
      </c>
      <c r="F499" t="e">
        <f>IF(E499=1,'Data Transformation'!$G$3+0.5*'Data Transformation'!$U$25,IF(E500=1,F500-'Data Transformation'!$U$25,FALSE))</f>
        <v>#NUM!</v>
      </c>
      <c r="G499">
        <f t="array" ref="G499">IF(ISLOGICAL(F499),"",FREQUENCY(IF('Data Transformation'!$B$24:$B$404='Bin Analysis and Plots'!$D$483,'Data Transformation'!$G$24:$G$404),'Bin Analysis and Plots'!F499))</f>
        <v>0</v>
      </c>
      <c r="H499">
        <f t="shared" si="60"/>
        <v>0</v>
      </c>
      <c r="I499">
        <f>Weighting!$G$19</f>
        <v>0</v>
      </c>
      <c r="J499">
        <f t="array" ref="J499">FREQUENCY(IF('Data Transformation'!$B$4:$B$404=D483,'Data Transformation'!$G$4:$G$404),'Bin Analysis and Plots'!$D499)</f>
        <v>0</v>
      </c>
      <c r="K499">
        <f t="shared" si="61"/>
        <v>0</v>
      </c>
      <c r="L499">
        <f t="shared" si="62"/>
        <v>0</v>
      </c>
      <c r="M499">
        <f>L499*Weighting!$V$19</f>
        <v>0</v>
      </c>
    </row>
    <row r="500" spans="1:27">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t="e">
        <f>Weighting!$C$20</f>
        <v>#DIV/0!</v>
      </c>
      <c r="E500" t="e">
        <f>Weighting!$E$20</f>
        <v>#NUM!</v>
      </c>
      <c r="F500" t="e">
        <f>IF(E500=1,'Data Transformation'!$G$3+0.5*'Data Transformation'!$U$25,IF(E501=1,F501-'Data Transformation'!$U$25,FALSE))</f>
        <v>#NUM!</v>
      </c>
      <c r="G500">
        <f t="array" ref="G500">IF(ISLOGICAL(F500),"",FREQUENCY(IF('Data Transformation'!$B$24:$B$404='Bin Analysis and Plots'!$D$483,'Data Transformation'!$G$24:$G$404),'Bin Analysis and Plots'!F500))</f>
        <v>0</v>
      </c>
      <c r="H500">
        <f t="shared" si="60"/>
        <v>0</v>
      </c>
      <c r="I500">
        <f>Weighting!$G$20</f>
        <v>0</v>
      </c>
      <c r="J500">
        <f t="array" ref="J500">FREQUENCY(IF('Data Transformation'!$B$4:$B$404=D483,'Data Transformation'!$G$4:$G$404),'Bin Analysis and Plots'!$D500)</f>
        <v>0</v>
      </c>
      <c r="K500">
        <f t="shared" si="61"/>
        <v>0</v>
      </c>
      <c r="L500">
        <f t="shared" si="62"/>
        <v>0</v>
      </c>
      <c r="M500">
        <f>L500*Weighting!$V$20</f>
        <v>0</v>
      </c>
    </row>
    <row r="501" spans="1:27">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t="e">
        <f>Weighting!$C$21</f>
        <v>#DIV/0!</v>
      </c>
      <c r="E501" t="e">
        <f>Weighting!$E$21</f>
        <v>#NUM!</v>
      </c>
      <c r="F501" t="e">
        <f>IF(E501=1,'Data Transformation'!$G$3+0.5*'Data Transformation'!$U$25,IF(E502=1,F502-'Data Transformation'!$U$25,FALSE))</f>
        <v>#NUM!</v>
      </c>
      <c r="G501">
        <f t="array" ref="G501">IF(ISLOGICAL(F501),"",FREQUENCY(IF('Data Transformation'!$B$24:$B$404='Bin Analysis and Plots'!$D$483,'Data Transformation'!$G$24:$G$404),'Bin Analysis and Plots'!F501))</f>
        <v>0</v>
      </c>
      <c r="H501">
        <f t="shared" si="60"/>
        <v>0</v>
      </c>
      <c r="I501">
        <f>Weighting!$G$21</f>
        <v>0</v>
      </c>
      <c r="J501">
        <f t="array" ref="J501">FREQUENCY(IF('Data Transformation'!$B$4:$B$404=D483,'Data Transformation'!$G$4:$G$404),'Bin Analysis and Plots'!$D501)</f>
        <v>0</v>
      </c>
      <c r="K501">
        <f t="shared" si="61"/>
        <v>0</v>
      </c>
      <c r="L501">
        <f t="shared" si="62"/>
        <v>0</v>
      </c>
      <c r="M501">
        <f>L501*Weighting!$V$21</f>
        <v>0</v>
      </c>
    </row>
    <row r="502" spans="1:27">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t="e">
        <f>Weighting!$C$22</f>
        <v>#DIV/0!</v>
      </c>
      <c r="E502" t="e">
        <f>Weighting!$E$22</f>
        <v>#NUM!</v>
      </c>
      <c r="F502" t="e">
        <f>IF(E502=1,'Data Transformation'!$G$3+0.5*'Data Transformation'!$U$25,IF(E503=1,F503-'Data Transformation'!$U$25,FALSE))</f>
        <v>#NUM!</v>
      </c>
      <c r="G502">
        <f t="array" ref="G502">IF(ISLOGICAL(F502),"",FREQUENCY(IF('Data Transformation'!$B$24:$B$404='Bin Analysis and Plots'!$D$483,'Data Transformation'!$G$24:$G$404),'Bin Analysis and Plots'!F502))</f>
        <v>0</v>
      </c>
      <c r="H502">
        <f t="shared" si="60"/>
        <v>0</v>
      </c>
      <c r="I502">
        <f>Weighting!$G$22</f>
        <v>0</v>
      </c>
      <c r="J502">
        <f t="array" ref="J502">FREQUENCY(IF('Data Transformation'!$B$4:$B$404=D483,'Data Transformation'!$G$4:$G$404),'Bin Analysis and Plots'!$D502)</f>
        <v>0</v>
      </c>
      <c r="K502">
        <f t="shared" si="61"/>
        <v>0</v>
      </c>
      <c r="L502">
        <f t="shared" si="62"/>
        <v>0</v>
      </c>
      <c r="M502">
        <f>L502*Weighting!$V$22</f>
        <v>0</v>
      </c>
    </row>
    <row r="503" spans="1:27">
      <c r="A503" s="29" t="b">
        <f t="array" ref="A503">IF(ISERROR(INDEX('Data Transformation'!$B$4:$G$450,SMALL(IF('Data Transformation'!$B$4:$B$450='Bin Analysis and Plots'!D483,ROW('Data Transformation'!$B$4:$B$450)),ROW($18:$18))-3,3)),"",INDEX('Data Transformation'!$B$4:$G$450,SMALL(IF('Data Transformation'!$B$4:$B$450='Bin Analysis and Plots'!D483,ROW('Data Transformation'!$B$4:$B$450)),ROW($18:$18))-3,6))</f>
        <v>0</v>
      </c>
      <c r="B503" s="29" t="str">
        <f>IFERROR(SMALL(A486:A505,'Data Transformation'!$L$23),"")</f>
        <v/>
      </c>
      <c r="C503" s="41" t="str">
        <f>IF(Weighting!$O$23&gt;0,D503,"")</f>
        <v/>
      </c>
      <c r="D503" t="e">
        <f>Weighting!$C$23</f>
        <v>#DIV/0!</v>
      </c>
      <c r="E503" t="e">
        <f>Weighting!$E$23</f>
        <v>#NUM!</v>
      </c>
      <c r="F503" t="e">
        <f>IF(E503=1,'Data Transformation'!$G$3+0.5*'Data Transformation'!$U$25,IF(E504=1,F504-'Data Transformation'!$U$25,FALSE))</f>
        <v>#NUM!</v>
      </c>
      <c r="G503">
        <f t="array" ref="G503">IF(ISLOGICAL(F503),"",FREQUENCY(IF('Data Transformation'!$B$24:$B$404='Bin Analysis and Plots'!$D$483,'Data Transformation'!$G$24:$G$404),'Bin Analysis and Plots'!F503))</f>
        <v>0</v>
      </c>
      <c r="H503">
        <f t="shared" si="60"/>
        <v>0</v>
      </c>
      <c r="I503">
        <f>Weighting!$G$23</f>
        <v>0</v>
      </c>
      <c r="J503">
        <f t="array" ref="J503">FREQUENCY(IF('Data Transformation'!$B$4:$B$404=D483,'Data Transformation'!$G$4:$G$404),'Bin Analysis and Plots'!$D503)</f>
        <v>0</v>
      </c>
      <c r="K503">
        <f t="shared" si="61"/>
        <v>0</v>
      </c>
      <c r="L503">
        <f t="shared" si="62"/>
        <v>0</v>
      </c>
      <c r="M503">
        <f>L503*Weighting!$V$23</f>
        <v>0</v>
      </c>
    </row>
    <row r="504" spans="1:27">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t="e">
        <f>Weighting!$C$24</f>
        <v>#DIV/0!</v>
      </c>
      <c r="E504" t="e">
        <f>Weighting!$E$24</f>
        <v>#NUM!</v>
      </c>
      <c r="F504" t="e">
        <f>IF(E504=1,'Data Transformation'!$G$3+0.5*'Data Transformation'!$U$25,IF(E505=1,F505-'Data Transformation'!$U$25,FALSE))</f>
        <v>#NUM!</v>
      </c>
      <c r="G504">
        <f t="array" ref="G504">IF(ISLOGICAL(F504),"",FREQUENCY(IF('Data Transformation'!$B$24:$B$404='Bin Analysis and Plots'!$D$483,'Data Transformation'!$G$24:$G$404),'Bin Analysis and Plots'!F504))</f>
        <v>0</v>
      </c>
      <c r="H504">
        <f t="shared" si="60"/>
        <v>0</v>
      </c>
      <c r="I504">
        <f>Weighting!$G$24</f>
        <v>0</v>
      </c>
      <c r="J504">
        <f t="array" ref="J504">FREQUENCY(IF('Data Transformation'!$B$4:$B$404=D483,'Data Transformation'!$G$4:$G$404),'Bin Analysis and Plots'!$D504)</f>
        <v>0</v>
      </c>
      <c r="K504">
        <f t="shared" si="61"/>
        <v>0</v>
      </c>
      <c r="L504">
        <f t="shared" si="62"/>
        <v>0</v>
      </c>
      <c r="M504">
        <f>L504*Weighting!$V$24</f>
        <v>0</v>
      </c>
    </row>
    <row r="505" spans="1:27">
      <c r="A505" s="29" t="b">
        <f t="array" ref="A505">IF(ISERROR(INDEX('Data Transformation'!$B$4:$G$450,SMALL(IF('Data Transformation'!$B$4:$B$450='Bin Analysis and Plots'!D483,ROW('Data Transformation'!$B$4:$B$450)),ROW($20:$20))-3,3)),"",INDEX('Data Transformation'!$B$4:$G$450,SMALL(IF('Data Transformation'!$B$4:$B$450='Bin Analysis and Plots'!D483,ROW('Data Transformation'!$B$4:$B$450)),ROW($20:$20))-3,6))</f>
        <v>0</v>
      </c>
      <c r="B505" s="29" t="str">
        <f>IFERROR(SMALL(A486:A505,'Data Transformation'!$L$25),"")</f>
        <v/>
      </c>
      <c r="C505" s="41" t="str">
        <f>IF(Weighting!$O$25&gt;0,D505,"")</f>
        <v/>
      </c>
      <c r="D505" t="e">
        <f>Weighting!$C$25</f>
        <v>#DIV/0!</v>
      </c>
      <c r="E505" t="e">
        <f>Weighting!$E$25</f>
        <v>#NUM!</v>
      </c>
      <c r="F505" t="e">
        <f>IF(E505=1,'Data Transformation'!$G$3+0.5*'Data Transformation'!$U$25,IF(E506=1,F506-'Data Transformation'!$U$25,FALSE))</f>
        <v>#NUM!</v>
      </c>
      <c r="G505">
        <f t="array" ref="G505">IF(ISLOGICAL(F505),"",FREQUENCY(IF('Data Transformation'!$B$24:$B$404='Bin Analysis and Plots'!$D$483,'Data Transformation'!$G$24:$G$404),'Bin Analysis and Plots'!F505))</f>
        <v>0</v>
      </c>
      <c r="H505">
        <f t="shared" si="60"/>
        <v>0</v>
      </c>
      <c r="I505">
        <f>Weighting!$G$25</f>
        <v>0</v>
      </c>
      <c r="J505">
        <f t="array" ref="J505">FREQUENCY(IF('Data Transformation'!$B$4:$B$404=D483,'Data Transformation'!$G$4:$G$404),'Bin Analysis and Plots'!$D505)</f>
        <v>0</v>
      </c>
      <c r="K505">
        <f t="shared" si="61"/>
        <v>0</v>
      </c>
      <c r="L505">
        <f t="shared" si="62"/>
        <v>0</v>
      </c>
      <c r="M505">
        <f>L505*Weighting!$V$25</f>
        <v>0</v>
      </c>
    </row>
    <row r="507" spans="1:27" ht="23.25">
      <c r="P507" s="36"/>
      <c r="Z507" s="78"/>
      <c r="AA507" s="78"/>
    </row>
    <row r="508" spans="1:27" ht="21">
      <c r="Z508" s="78"/>
      <c r="AA508" s="78"/>
    </row>
    <row r="531" spans="16:27" ht="23.25">
      <c r="P531" s="36"/>
      <c r="Z531" s="78"/>
      <c r="AA531" s="78"/>
    </row>
    <row r="532" spans="16:27" ht="21">
      <c r="Z532" s="78"/>
      <c r="AA532" s="78"/>
    </row>
    <row r="555" spans="16:27" ht="23.25">
      <c r="P555" s="36"/>
      <c r="Z555" s="78"/>
      <c r="AA555" s="78"/>
    </row>
    <row r="556" spans="16:27" ht="21">
      <c r="Z556" s="78"/>
      <c r="AA556" s="78"/>
    </row>
    <row r="579" spans="16:27" ht="23.25">
      <c r="P579" s="36"/>
      <c r="Z579" s="78"/>
      <c r="AA579" s="78"/>
    </row>
    <row r="580" spans="16:27" ht="21">
      <c r="Z580" s="78"/>
      <c r="AA580" s="78"/>
    </row>
    <row r="603" spans="16:27" ht="23.25">
      <c r="P603" s="36"/>
      <c r="Z603" s="78"/>
      <c r="AA603" s="78"/>
    </row>
    <row r="604" spans="16:27" ht="21">
      <c r="Z604" s="78"/>
      <c r="AA604" s="78"/>
    </row>
    <row r="627" spans="16:16" ht="23.25">
      <c r="P627" s="36"/>
    </row>
    <row r="651" spans="16:16" ht="23.25">
      <c r="P651" s="36"/>
    </row>
    <row r="675" spans="16:16" ht="23.25">
      <c r="P675" s="36"/>
    </row>
    <row r="699" spans="16:16" ht="23.25">
      <c r="P699" s="36"/>
    </row>
    <row r="723" spans="16:16" ht="23.25">
      <c r="P723" s="36"/>
    </row>
    <row r="747" spans="16:16" ht="23.25">
      <c r="P747" s="36"/>
    </row>
    <row r="771" spans="16:16" ht="23.25">
      <c r="P771" s="36"/>
    </row>
  </sheetData>
  <mergeCells count="21">
    <mergeCell ref="A100:B100"/>
    <mergeCell ref="A124:B124"/>
    <mergeCell ref="A148:B148"/>
    <mergeCell ref="A172:B172"/>
    <mergeCell ref="Q1:T1"/>
    <mergeCell ref="A52:B52"/>
    <mergeCell ref="A28:B28"/>
    <mergeCell ref="A76:B76"/>
    <mergeCell ref="A196:B196"/>
    <mergeCell ref="A220:B220"/>
    <mergeCell ref="A244:B244"/>
    <mergeCell ref="A268:B268"/>
    <mergeCell ref="A292:B292"/>
    <mergeCell ref="A436:B436"/>
    <mergeCell ref="A460:B460"/>
    <mergeCell ref="A484:B484"/>
    <mergeCell ref="A316:B316"/>
    <mergeCell ref="A340:B340"/>
    <mergeCell ref="A364:B364"/>
    <mergeCell ref="A388:B388"/>
    <mergeCell ref="A412:B412"/>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D3" sqref="D3:I3"/>
    </sheetView>
  </sheetViews>
  <sheetFormatPr defaultRowHeight="15.75"/>
  <cols>
    <col min="9" max="9" width="16.25" bestFit="1" customWidth="1"/>
    <col min="10" max="10" width="20.5" bestFit="1" customWidth="1"/>
    <col min="11" max="11" width="8.875" style="14"/>
    <col min="12" max="12" width="16.375" style="14" bestFit="1" customWidth="1"/>
    <col min="13" max="13" width="8.875" style="67"/>
    <col min="19" max="19" width="9.125" bestFit="1" customWidth="1"/>
    <col min="20" max="20" width="10.5" bestFit="1" customWidth="1"/>
    <col min="21" max="21" width="8.875" style="69"/>
    <col min="22" max="22" width="15" bestFit="1" customWidth="1"/>
    <col min="23" max="23" width="16" bestFit="1" customWidth="1"/>
    <col min="25" max="25" width="16.125" bestFit="1" customWidth="1"/>
    <col min="29" max="29" width="14.875" bestFit="1" customWidth="1"/>
    <col min="30" max="30" width="17.75" customWidth="1"/>
  </cols>
  <sheetData>
    <row r="2" spans="2:31">
      <c r="D2" s="93"/>
      <c r="E2" s="93"/>
      <c r="F2" s="93"/>
      <c r="G2" s="93"/>
      <c r="H2" s="93"/>
      <c r="I2" s="93"/>
      <c r="N2" t="s">
        <v>132</v>
      </c>
    </row>
    <row r="3" spans="2:31" ht="16.5" thickBot="1">
      <c r="D3" s="91" t="s">
        <v>52</v>
      </c>
      <c r="E3" s="91"/>
      <c r="F3" s="91"/>
      <c r="G3" s="91"/>
      <c r="H3" s="91"/>
      <c r="I3" s="91"/>
      <c r="N3">
        <v>1</v>
      </c>
      <c r="O3">
        <v>4</v>
      </c>
      <c r="P3">
        <v>2</v>
      </c>
      <c r="Q3">
        <v>4</v>
      </c>
      <c r="R3">
        <v>1</v>
      </c>
      <c r="S3">
        <v>1</v>
      </c>
      <c r="T3">
        <v>3</v>
      </c>
      <c r="X3" s="91"/>
      <c r="Y3" s="91"/>
      <c r="Z3" s="91"/>
      <c r="AA3" s="91"/>
    </row>
    <row r="4" spans="2:31">
      <c r="B4" s="59" t="str" cm="1">
        <f t="array" ref="B4:I25">'Input and Summary Results'!L5:S26</f>
        <v>Position</v>
      </c>
      <c r="C4" s="60" t="str">
        <v># of variants</v>
      </c>
      <c r="D4" s="60" t="str">
        <v>Enhancing</v>
      </c>
      <c r="E4" s="60" t="str">
        <v>Neutral</v>
      </c>
      <c r="F4" s="60" t="str">
        <v>Unweighted rheostat</v>
      </c>
      <c r="G4" s="60" t="str">
        <v>Weighted rheostat</v>
      </c>
      <c r="H4" s="60" t="str">
        <v>Toggle</v>
      </c>
      <c r="I4" s="61" t="str">
        <v>Binary</v>
      </c>
      <c r="K4" s="14" t="s">
        <v>104</v>
      </c>
      <c r="L4" s="14" t="s">
        <v>105</v>
      </c>
      <c r="N4" t="s">
        <v>53</v>
      </c>
      <c r="O4" t="s">
        <v>134</v>
      </c>
      <c r="P4" t="s">
        <v>133</v>
      </c>
      <c r="Q4" t="s">
        <v>106</v>
      </c>
      <c r="R4" t="s">
        <v>56</v>
      </c>
      <c r="S4" t="s">
        <v>103</v>
      </c>
      <c r="T4" t="s">
        <v>135</v>
      </c>
      <c r="W4" t="s">
        <v>116</v>
      </c>
      <c r="X4" t="s">
        <v>115</v>
      </c>
    </row>
    <row r="5" spans="2:31">
      <c r="B5" s="62" t="str">
        <v>all</v>
      </c>
      <c r="C5" s="58" t="b">
        <v>0</v>
      </c>
      <c r="D5" s="58">
        <v>0</v>
      </c>
      <c r="E5" s="58" t="e">
        <v>#N/A</v>
      </c>
      <c r="F5" s="58" t="e">
        <v>#N/A</v>
      </c>
      <c r="G5" s="58" t="e">
        <v>#N/A</v>
      </c>
      <c r="H5" s="58" t="e">
        <v>#N/A</v>
      </c>
      <c r="I5" s="63" t="e">
        <v>#N/A</v>
      </c>
      <c r="K5" s="80" t="str">
        <f>IFERROR(AVERAGEIF('Data Transformation'!$B$24:$B$404,"&gt;=0",IF('Input and Summary Results'!$J$4="no",'Data Transformation'!$C$24:$C$404,'Data Transformation'!$E$24:$E$404)),"")</f>
        <v/>
      </c>
      <c r="L5" s="14" t="str" cm="1">
        <f t="array" ref="L5">IFERROR(_xlfn.STDEV.S(IF('Data Transformation'!$B$24:$B$404&gt;=0,IF('Input and Summary Results'!$J$4="no",'Data Transformation'!$C$24:$C$404,'Data Transformation'!$E$24:$E$404),"")),"")</f>
        <v/>
      </c>
      <c r="Z5" t="s">
        <v>130</v>
      </c>
      <c r="AA5" t="s">
        <v>131</v>
      </c>
      <c r="AC5" t="s">
        <v>136</v>
      </c>
      <c r="AD5" t="s">
        <v>137</v>
      </c>
    </row>
    <row r="6" spans="2:31">
      <c r="B6" s="62" t="str">
        <v xml:space="preserve"> </v>
      </c>
      <c r="C6" s="58" t="str">
        <v xml:space="preserve"> </v>
      </c>
      <c r="D6" s="58" t="str">
        <v xml:space="preserve"> </v>
      </c>
      <c r="E6" s="58" t="str">
        <v xml:space="preserve"> </v>
      </c>
      <c r="F6" s="58" t="str">
        <v xml:space="preserve"> </v>
      </c>
      <c r="G6" s="58" t="str">
        <v xml:space="preserve"> </v>
      </c>
      <c r="H6" s="58" t="str">
        <v xml:space="preserve"> </v>
      </c>
      <c r="I6" s="63" t="str">
        <v xml:space="preserve"> </v>
      </c>
      <c r="K6" s="80" t="str">
        <f>IFERROR(AVERAGEIF('Data Transformation'!$B$24:$B$404,B6,IF('Input and Summary Results'!$J$4="no",'Data Transformation'!$C$24:$C$404,'Data Transformation'!$E$24:$E$404)),"")</f>
        <v/>
      </c>
      <c r="L6" s="14" t="str" cm="1">
        <f t="array" ref="L6">IFERROR(_xlfn.STDEV.S(IF('Data Transformation'!$B$24:$B$404=B6,IF('Input and Summary Results'!$J$4="no",'Data Transformation'!$C$24:$C$404,'Data Transformation'!$E$24:$E$404),"")),"")</f>
        <v/>
      </c>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Transformation'!$R$5),NOT(ISNUMBER(N6)),NOT(ISNUMBER(R6)),NOT(ISNUMBER(P6)),NOT(ISNUMBER(R6)),NOT(ISNUMBER(S6)),NOT(ISNUMBER(T6))),Assignments!B6,""),"")</f>
        <v/>
      </c>
      <c r="R6" t="str">
        <f>IF(H6&gt;='Data Transformation'!$R$30,B6,"")</f>
        <v xml:space="preserve"> </v>
      </c>
      <c r="S6" t="str">
        <f>IF(D6&gt;='Data Transformation'!$R$31,B6,"")</f>
        <v xml:space="preserve"> </v>
      </c>
      <c r="T6" t="str">
        <f>IF(AND(H6&lt;'Data Transformation'!$R$30,E6&lt;'Data Transformation'!$R$29,G6&lt;'Data Transformation'!$R$28,G6&lt;0.3,D6&lt;'Data Transformation'!$R$31,E6&gt;0.4,H6&gt;0.4),B6,"")</f>
        <v/>
      </c>
      <c r="V6" t="str" cm="1">
        <f t="array" ref="V6">IF(C6=FALSE,"",(IF(AND(ISNUMBER(B6),ISBLANK(N6:T6)),"Unclassified",IF(COUNT(N6:T6)=0,"",INDEX($N$4:$T$4,MATCH(TRUE,N6:T6=B6,0))))))</f>
        <v/>
      </c>
      <c r="W6" t="str">
        <f>IF(COUNT(N6:T6)&gt;1,"True","")</f>
        <v/>
      </c>
      <c r="X6" t="str">
        <f>IF(AND(D6&gt;0.8,G6&gt;0.5,ISNUMBER(B6)),"True","")</f>
        <v/>
      </c>
      <c r="Z6" t="s">
        <v>53</v>
      </c>
      <c r="AA6">
        <f>COUNTIF(V:V,Z6)</f>
        <v>0</v>
      </c>
      <c r="AC6" t="b">
        <f>IF(AND(H6&gt;0.35,G6&lt;0.35,E6&gt;0.35,T6="",R6="",P6="",N6="",S6=""),TRUE,FALSE)</f>
        <v>0</v>
      </c>
      <c r="AD6" t="str">
        <f>IFERROR(ABS(ABS(K6-'Data Transformation'!$R$6)-ABS(K6-'Data Transformation'!$R$5)),"")</f>
        <v/>
      </c>
      <c r="AE6" t="e">
        <f>IF(C6=FALSE,"",IF(AND(OR(V6=$Z$7,V6=$Z$9),OR(AC6=TRUE,AD6&lt;=IF(ISNUMBER('Data Transformation'!$R$15),'Data Transformation'!$R$15,'Data Transformation'!$R$25))),TRUE,FALSE))</f>
        <v>#DIV/0!</v>
      </c>
    </row>
    <row r="7" spans="2:31">
      <c r="B7" s="62" t="str">
        <v xml:space="preserve"> </v>
      </c>
      <c r="C7" s="58" t="str">
        <v xml:space="preserve"> </v>
      </c>
      <c r="D7" s="58" t="str">
        <v xml:space="preserve"> </v>
      </c>
      <c r="E7" s="58" t="str">
        <v xml:space="preserve"> </v>
      </c>
      <c r="F7" s="58" t="str">
        <v xml:space="preserve"> </v>
      </c>
      <c r="G7" s="58" t="str">
        <v xml:space="preserve"> </v>
      </c>
      <c r="H7" s="58" t="str">
        <v xml:space="preserve"> </v>
      </c>
      <c r="I7" s="63" t="str">
        <v xml:space="preserve"> </v>
      </c>
      <c r="K7" s="80" t="str">
        <f>IFERROR(AVERAGEIF('Data Transformation'!$B$24:$B$404,B7,IF('Input and Summary Results'!$J$4="no",'Data Transformation'!$C$24:$C$404,'Data Transformation'!$E$24:$E$404)),"")</f>
        <v/>
      </c>
      <c r="L7" s="14" t="str" cm="1">
        <f t="array" ref="L7">IFERROR(_xlfn.STDEV.S(IF('Data Transformation'!$B$24:$B$404=B7,IF('Input and Summary Results'!$J$4="no",'Data Transformation'!$C$24:$C$404,'Data Transformation'!$E$24:$E$404),"")),"")</f>
        <v/>
      </c>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Transformation'!$R$5),NOT(ISNUMBER(N7)),NOT(ISNUMBER(R7)),NOT(ISNUMBER(P7)),NOT(ISNUMBER(R7)),NOT(ISNUMBER(S7)),NOT(ISNUMBER(T7))),Assignments!B7,""),"")</f>
        <v/>
      </c>
      <c r="R7" t="str">
        <f>IF(H7&gt;='Data Transformation'!$R$30,B7,"")</f>
        <v xml:space="preserve"> </v>
      </c>
      <c r="S7" t="str">
        <f>IF(D7&gt;='Data Transformation'!$R$31,B7,"")</f>
        <v xml:space="preserve"> </v>
      </c>
      <c r="T7" t="str">
        <f>IF(AND(H7&lt;'Data Transformation'!$R$30,E7&lt;'Data Transformation'!$R$29,G7&lt;'Data Transformation'!$R$28,G7&lt;0.3,D7&lt;'Data Transformation'!$R$31,E7&gt;0.4,H7&gt;0.4),B7,"")</f>
        <v/>
      </c>
      <c r="V7" t="str" cm="1">
        <f t="array" ref="V7">IF(C7=FALSE,"",(IF(AND(ISNUMBER(B7),ISBLANK(N7:T7)),"Unclassified",IF(COUNT(N7:T7)=0,"",INDEX($N$4:$T$4,MATCH(TRUE,N7:T7=B7,0))))))</f>
        <v/>
      </c>
      <c r="W7" t="str">
        <f t="shared" ref="W7:W34" si="0">IF(COUNT(N7:T7)&gt;1,"True","")</f>
        <v/>
      </c>
      <c r="X7" t="str">
        <f t="shared" ref="X7:X25" si="1">IF(AND(D7&gt;0.8,G7&gt;0.5,ISNUMBER(B7)),"True","")</f>
        <v/>
      </c>
      <c r="Z7" t="s">
        <v>134</v>
      </c>
      <c r="AA7">
        <f>COUNTIF(V:V,Z7)</f>
        <v>0</v>
      </c>
      <c r="AC7" t="b">
        <f t="shared" ref="AC7:AC24" si="2">IF(AND(H7&gt;0.35,G7&lt;0.35,E7&gt;0.35,T7="",R7="",P7="",N7="",S7=""),TRUE,FALSE)</f>
        <v>0</v>
      </c>
      <c r="AD7" t="str">
        <f>IFERROR(ABS(ABS(K7-'Data Transformation'!$R$6)-ABS(K7-'Data Transformation'!$R$5)),"")</f>
        <v/>
      </c>
      <c r="AE7" t="e">
        <f>IF(C7=FALSE,"",IF(AND(OR(V7=$Z$7,V7=$Z$9),OR(AC7=TRUE,AD7&lt;=IF(ISNUMBER('Data Transformation'!$R$15),'Data Transformation'!$R$15,'Data Transformation'!$R$25))),TRUE,FALSE))</f>
        <v>#DIV/0!</v>
      </c>
    </row>
    <row r="8" spans="2:31">
      <c r="B8" s="62" t="str">
        <v xml:space="preserve"> </v>
      </c>
      <c r="C8" s="58" t="str">
        <v xml:space="preserve"> </v>
      </c>
      <c r="D8" s="58" t="str">
        <v xml:space="preserve"> </v>
      </c>
      <c r="E8" s="58" t="str">
        <v xml:space="preserve"> </v>
      </c>
      <c r="F8" s="58" t="str">
        <v xml:space="preserve"> </v>
      </c>
      <c r="G8" s="58" t="str">
        <v xml:space="preserve"> </v>
      </c>
      <c r="H8" s="58" t="str">
        <v xml:space="preserve"> </v>
      </c>
      <c r="I8" s="63" t="str">
        <v xml:space="preserve"> </v>
      </c>
      <c r="K8" s="80" t="str">
        <f>IFERROR(AVERAGEIF('Data Transformation'!$B$24:$B$404,B8,IF('Input and Summary Results'!$J$4="no",'Data Transformation'!$C$24:$C$404,'Data Transformation'!$E$24:$E$404)),"")</f>
        <v/>
      </c>
      <c r="L8" s="14" t="str" cm="1">
        <f t="array" ref="L8">IFERROR(_xlfn.STDEV.S(IF('Data Transformation'!$B$24:$B$404=B8,IF('Input and Summary Results'!$J$4="no",'Data Transformation'!$C$24:$C$404,'Data Transformation'!$E$24:$E$404),"")),"")</f>
        <v/>
      </c>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Transformation'!$R$5),NOT(ISNUMBER(N8)),NOT(ISNUMBER(R8)),NOT(ISNUMBER(P8)),NOT(ISNUMBER(R8)),NOT(ISNUMBER(S8)),NOT(ISNUMBER(T8))),Assignments!B8,""),"")</f>
        <v/>
      </c>
      <c r="R8" t="str">
        <f>IF(H8&gt;='Data Transformation'!$R$30,B8,"")</f>
        <v xml:space="preserve"> </v>
      </c>
      <c r="S8" t="str">
        <f>IF(D8&gt;='Data Transformation'!$R$31,B8,"")</f>
        <v xml:space="preserve"> </v>
      </c>
      <c r="T8" t="str">
        <f>IF(AND(H8&lt;'Data Transformation'!$R$30,E8&lt;'Data Transformation'!$R$29,G8&lt;'Data Transformation'!$R$28,G8&lt;0.3,D8&lt;'Data Transformation'!$R$31,E8&gt;0.4,H8&gt;0.4),B8,"")</f>
        <v/>
      </c>
      <c r="V8" t="str" cm="1">
        <f t="array" ref="V8">IF(C8=FALSE,"",(IF(AND(ISNUMBER(B8),ISBLANK(N8:T8)),"Unclassified",IF(COUNT(N8:T8)=0,"",INDEX($N$4:$T$4,MATCH(TRUE,N8:T8=B8,0))))))</f>
        <v/>
      </c>
      <c r="W8" t="str">
        <f t="shared" si="0"/>
        <v/>
      </c>
      <c r="X8" t="str">
        <f t="shared" si="1"/>
        <v/>
      </c>
      <c r="Z8" t="s">
        <v>133</v>
      </c>
      <c r="AA8">
        <f t="shared" ref="AA8:AA9" si="3">COUNTIF(V:V,Z8)</f>
        <v>0</v>
      </c>
      <c r="AC8" t="b">
        <f t="shared" si="2"/>
        <v>0</v>
      </c>
      <c r="AD8" t="str">
        <f>IFERROR(ABS(ABS(K8-'Data Transformation'!$R$6)-ABS(K8-'Data Transformation'!$R$5)),"")</f>
        <v/>
      </c>
      <c r="AE8" t="e">
        <f>IF(C8=FALSE,"",IF(AND(OR(V8=$Z$7,V8=$Z$9),OR(AC8=TRUE,AD8&lt;=IF(ISNUMBER('Data Transformation'!$R$15),'Data Transformation'!$R$15,'Data Transformation'!$R$25))),TRUE,FALSE))</f>
        <v>#DIV/0!</v>
      </c>
    </row>
    <row r="9" spans="2:31">
      <c r="B9" s="62" t="str">
        <v xml:space="preserve"> </v>
      </c>
      <c r="C9" s="58" t="str">
        <v xml:space="preserve"> </v>
      </c>
      <c r="D9" s="58" t="str">
        <v xml:space="preserve"> </v>
      </c>
      <c r="E9" s="58" t="str">
        <v xml:space="preserve"> </v>
      </c>
      <c r="F9" s="58" t="str">
        <v xml:space="preserve"> </v>
      </c>
      <c r="G9" s="58" t="str">
        <v xml:space="preserve"> </v>
      </c>
      <c r="H9" s="58" t="str">
        <v xml:space="preserve"> </v>
      </c>
      <c r="I9" s="63" t="str">
        <v xml:space="preserve"> </v>
      </c>
      <c r="K9" s="80"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106</v>
      </c>
      <c r="AA9">
        <f t="shared" si="3"/>
        <v>0</v>
      </c>
      <c r="AC9" t="b">
        <f t="shared" si="2"/>
        <v>0</v>
      </c>
      <c r="AD9" t="str">
        <f>IFERROR(ABS(ABS(K9-'Data Transformation'!$R$6)-ABS(K9-'Data Transformation'!$R$5)),"")</f>
        <v/>
      </c>
      <c r="AE9" t="e">
        <f>IF(C9=FALSE,"",IF(AND(OR(V9=$Z$7,V9=$Z$9),OR(AC9=TRUE,AD9&lt;=IF(ISNUMBER('Data Transformation'!$R$15),'Data Transformation'!$R$15,'Data Transformation'!$R$25))),TRUE,FALSE))</f>
        <v>#DIV/0!</v>
      </c>
    </row>
    <row r="10" spans="2:31">
      <c r="B10" s="62" t="str">
        <v xml:space="preserve"> </v>
      </c>
      <c r="C10" s="58" t="str">
        <v xml:space="preserve"> </v>
      </c>
      <c r="D10" s="58" t="str">
        <v xml:space="preserve"> </v>
      </c>
      <c r="E10" s="58" t="str">
        <v xml:space="preserve"> </v>
      </c>
      <c r="F10" s="58" t="str">
        <v xml:space="preserve"> </v>
      </c>
      <c r="G10" s="58" t="str">
        <v xml:space="preserve"> </v>
      </c>
      <c r="H10" s="58" t="str">
        <v xml:space="preserve"> </v>
      </c>
      <c r="I10" s="63" t="str">
        <v xml:space="preserve"> </v>
      </c>
      <c r="K10" s="80"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e">
        <f>IF(C10=FALSE,"",IF(AND(OR(V10=$Z$7,V10=$Z$9),OR(AC10=TRUE,AD10&lt;=IF(ISNUMBER('Data Transformation'!$R$15),'Data Transformation'!$R$15,'Data Transformation'!$R$25))),TRUE,FALSE))</f>
        <v>#DIV/0!</v>
      </c>
    </row>
    <row r="11" spans="2:31">
      <c r="B11" s="62" t="str">
        <v xml:space="preserve"> </v>
      </c>
      <c r="C11" s="58" t="str">
        <v xml:space="preserve"> </v>
      </c>
      <c r="D11" s="58" t="str">
        <v xml:space="preserve"> </v>
      </c>
      <c r="E11" s="58" t="str">
        <v xml:space="preserve"> </v>
      </c>
      <c r="F11" s="58" t="str">
        <v xml:space="preserve"> </v>
      </c>
      <c r="G11" s="58" t="str">
        <v xml:space="preserve"> </v>
      </c>
      <c r="H11" s="58" t="str">
        <v xml:space="preserve"> </v>
      </c>
      <c r="I11" s="63" t="str">
        <v xml:space="preserve"> </v>
      </c>
      <c r="K11" s="80"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135</v>
      </c>
      <c r="AA11">
        <f t="shared" si="4"/>
        <v>0</v>
      </c>
      <c r="AC11" t="b">
        <f t="shared" si="2"/>
        <v>0</v>
      </c>
      <c r="AD11" t="str">
        <f>IFERROR(ABS(ABS(K11-'Data Transformation'!$R$6)-ABS(K11-'Data Transformation'!$R$5)),"")</f>
        <v/>
      </c>
      <c r="AE11" t="e">
        <f>IF(C11=FALSE,"",IF(AND(OR(V11=$Z$7,V11=$Z$9),OR(AC11=TRUE,AD11&lt;=IF(ISNUMBER('Data Transformation'!$R$15),'Data Transformation'!$R$15,'Data Transformation'!$R$25))),TRUE,FALSE))</f>
        <v>#DIV/0!</v>
      </c>
    </row>
    <row r="12" spans="2:31">
      <c r="B12" s="62" t="str">
        <v xml:space="preserve"> </v>
      </c>
      <c r="C12" s="58" t="str">
        <v xml:space="preserve"> </v>
      </c>
      <c r="D12" s="58" t="str">
        <v xml:space="preserve"> </v>
      </c>
      <c r="E12" s="58" t="str">
        <v xml:space="preserve"> </v>
      </c>
      <c r="F12" s="58" t="str">
        <v xml:space="preserve"> </v>
      </c>
      <c r="G12" s="58" t="str">
        <v xml:space="preserve"> </v>
      </c>
      <c r="H12" s="58" t="str">
        <v xml:space="preserve"> </v>
      </c>
      <c r="I12" s="63" t="str">
        <v xml:space="preserve"> </v>
      </c>
      <c r="K12" s="80"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103</v>
      </c>
      <c r="AA12">
        <f t="shared" ref="AA12" si="5">COUNTIF(V:V,Z12)</f>
        <v>0</v>
      </c>
      <c r="AC12" t="b">
        <f t="shared" si="2"/>
        <v>0</v>
      </c>
      <c r="AD12" t="str">
        <f>IFERROR(ABS(ABS(K12-'Data Transformation'!$R$6)-ABS(K12-'Data Transformation'!$R$5)),"")</f>
        <v/>
      </c>
      <c r="AE12" t="e">
        <f>IF(C12=FALSE,"",IF(AND(OR(V12=$Z$7,V12=$Z$9),OR(AC12=TRUE,AD12&lt;=IF(ISNUMBER('Data Transformation'!$R$15),'Data Transformation'!$R$15,'Data Transformation'!$R$25))),TRUE,FALSE))</f>
        <v>#DIV/0!</v>
      </c>
    </row>
    <row r="13" spans="2:31">
      <c r="B13" s="62" t="str">
        <v xml:space="preserve"> </v>
      </c>
      <c r="C13" s="58" t="str">
        <v xml:space="preserve"> </v>
      </c>
      <c r="D13" s="58" t="str">
        <v xml:space="preserve"> </v>
      </c>
      <c r="E13" s="58" t="str">
        <v xml:space="preserve"> </v>
      </c>
      <c r="F13" s="58" t="str">
        <v xml:space="preserve"> </v>
      </c>
      <c r="G13" s="58" t="str">
        <v xml:space="preserve"> </v>
      </c>
      <c r="H13" s="58" t="str">
        <v xml:space="preserve"> </v>
      </c>
      <c r="I13" s="63" t="str">
        <v xml:space="preserve"> </v>
      </c>
      <c r="K13" s="80"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e">
        <f>IF(C13=FALSE,"",IF(AND(OR(V13=$Z$7,V13=$Z$9),OR(AC13=TRUE,AD13&lt;=IF(ISNUMBER('Data Transformation'!$R$15),'Data Transformation'!$R$15,'Data Transformation'!$R$25))),TRUE,FALSE))</f>
        <v>#DIV/0!</v>
      </c>
    </row>
    <row r="14" spans="2:31">
      <c r="B14" s="62" t="str">
        <v xml:space="preserve"> </v>
      </c>
      <c r="C14" s="58" t="str">
        <v xml:space="preserve"> </v>
      </c>
      <c r="D14" s="58" t="str">
        <v xml:space="preserve"> </v>
      </c>
      <c r="E14" s="58" t="str">
        <v xml:space="preserve"> </v>
      </c>
      <c r="F14" s="58" t="str">
        <v xml:space="preserve"> </v>
      </c>
      <c r="G14" s="58" t="str">
        <v xml:space="preserve"> </v>
      </c>
      <c r="H14" s="58" t="str">
        <v xml:space="preserve"> </v>
      </c>
      <c r="I14" s="63" t="str">
        <v xml:space="preserve"> </v>
      </c>
      <c r="K14" s="80"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e">
        <f>IF(C14=FALSE,"",IF(AND(OR(V14=$Z$7,V14=$Z$9),OR(AC14=TRUE,AD14&lt;=IF(ISNUMBER('Data Transformation'!$R$15),'Data Transformation'!$R$15,'Data Transformation'!$R$25))),TRUE,FALSE))</f>
        <v>#DIV/0!</v>
      </c>
    </row>
    <row r="15" spans="2:31">
      <c r="B15" s="62" t="str">
        <v xml:space="preserve"> </v>
      </c>
      <c r="C15" s="58" t="str">
        <v xml:space="preserve"> </v>
      </c>
      <c r="D15" s="58" t="str">
        <v xml:space="preserve"> </v>
      </c>
      <c r="E15" s="58" t="str">
        <v xml:space="preserve"> </v>
      </c>
      <c r="F15" s="58" t="str">
        <v xml:space="preserve"> </v>
      </c>
      <c r="G15" s="58" t="str">
        <v xml:space="preserve"> </v>
      </c>
      <c r="H15" s="58" t="str">
        <v xml:space="preserve"> </v>
      </c>
      <c r="I15" s="63" t="str">
        <v xml:space="preserve"> </v>
      </c>
      <c r="K15" s="80"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e">
        <f>IF(C15=FALSE,"",IF(AND(OR(V15=$Z$7,V15=$Z$9),OR(AC15=TRUE,AD15&lt;=IF(ISNUMBER('Data Transformation'!$R$15),'Data Transformation'!$R$15,'Data Transformation'!$R$25))),TRUE,FALSE))</f>
        <v>#DIV/0!</v>
      </c>
    </row>
    <row r="16" spans="2:31">
      <c r="B16" s="62" t="str">
        <v xml:space="preserve"> </v>
      </c>
      <c r="C16" s="58" t="str">
        <v xml:space="preserve"> </v>
      </c>
      <c r="D16" s="58" t="str">
        <v xml:space="preserve"> </v>
      </c>
      <c r="E16" s="58" t="str">
        <v xml:space="preserve"> </v>
      </c>
      <c r="F16" s="58" t="str">
        <v xml:space="preserve"> </v>
      </c>
      <c r="G16" s="58" t="str">
        <v xml:space="preserve"> </v>
      </c>
      <c r="H16" s="58" t="str">
        <v xml:space="preserve"> </v>
      </c>
      <c r="I16" s="63" t="str">
        <v xml:space="preserve"> </v>
      </c>
      <c r="K16" s="80"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e">
        <f>IF(C16=FALSE,"",IF(AND(OR(V16=$Z$7,V16=$Z$9),OR(AC16=TRUE,AD16&lt;=IF(ISNUMBER('Data Transformation'!$R$15),'Data Transformation'!$R$15,'Data Transformation'!$R$25))),TRUE,FALSE))</f>
        <v>#DIV/0!</v>
      </c>
    </row>
    <row r="17" spans="2:31">
      <c r="B17" s="62" t="str">
        <v xml:space="preserve"> </v>
      </c>
      <c r="C17" s="58" t="str">
        <v xml:space="preserve"> </v>
      </c>
      <c r="D17" s="58" t="str">
        <v xml:space="preserve"> </v>
      </c>
      <c r="E17" s="58" t="str">
        <v xml:space="preserve"> </v>
      </c>
      <c r="F17" s="58" t="str">
        <v xml:space="preserve"> </v>
      </c>
      <c r="G17" s="58" t="str">
        <v xml:space="preserve"> </v>
      </c>
      <c r="H17" s="58" t="str">
        <v xml:space="preserve"> </v>
      </c>
      <c r="I17" s="63" t="str">
        <v xml:space="preserve"> </v>
      </c>
      <c r="K17" s="80"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e">
        <f>IF(C17=FALSE,"",IF(AND(OR(V17=$Z$7,V17=$Z$9),OR(AC17=TRUE,AD17&lt;=IF(ISNUMBER('Data Transformation'!$R$15),'Data Transformation'!$R$15,'Data Transformation'!$R$25))),TRUE,FALSE))</f>
        <v>#DIV/0!</v>
      </c>
    </row>
    <row r="18" spans="2:31">
      <c r="B18" s="62" t="str">
        <v xml:space="preserve"> </v>
      </c>
      <c r="C18" s="58" t="str">
        <v xml:space="preserve"> </v>
      </c>
      <c r="D18" s="58" t="str">
        <v xml:space="preserve"> </v>
      </c>
      <c r="E18" s="58" t="str">
        <v xml:space="preserve"> </v>
      </c>
      <c r="F18" s="58" t="str">
        <v xml:space="preserve"> </v>
      </c>
      <c r="G18" s="58" t="str">
        <v xml:space="preserve"> </v>
      </c>
      <c r="H18" s="58" t="str">
        <v xml:space="preserve"> </v>
      </c>
      <c r="I18" s="63" t="str">
        <v xml:space="preserve"> </v>
      </c>
      <c r="K18" s="80"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e">
        <f>IF(C18=FALSE,"",IF(AND(OR(V18=$Z$7,V18=$Z$9),OR(AC18=TRUE,AD18&lt;=IF(ISNUMBER('Data Transformation'!$R$15),'Data Transformation'!$R$15,'Data Transformation'!$R$25))),TRUE,FALSE))</f>
        <v>#DIV/0!</v>
      </c>
    </row>
    <row r="19" spans="2:31">
      <c r="B19" s="62" t="str">
        <v xml:space="preserve"> </v>
      </c>
      <c r="C19" s="58" t="str">
        <v xml:space="preserve"> </v>
      </c>
      <c r="D19" s="58" t="str">
        <v xml:space="preserve"> </v>
      </c>
      <c r="E19" s="58" t="str">
        <v xml:space="preserve"> </v>
      </c>
      <c r="F19" s="58" t="str">
        <v xml:space="preserve"> </v>
      </c>
      <c r="G19" s="58" t="str">
        <v xml:space="preserve"> </v>
      </c>
      <c r="H19" s="58" t="str">
        <v xml:space="preserve"> </v>
      </c>
      <c r="I19" s="63" t="str">
        <v xml:space="preserve"> </v>
      </c>
      <c r="K19" s="80"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e">
        <f>IF(C19=FALSE,"",IF(AND(OR(V19=$Z$7,V19=$Z$9),OR(AC19=TRUE,AD19&lt;=IF(ISNUMBER('Data Transformation'!$R$15),'Data Transformation'!$R$15,'Data Transformation'!$R$25))),TRUE,FALSE))</f>
        <v>#DIV/0!</v>
      </c>
    </row>
    <row r="20" spans="2:31">
      <c r="B20" s="62" t="str">
        <v xml:space="preserve"> </v>
      </c>
      <c r="C20" s="58" t="str">
        <v xml:space="preserve"> </v>
      </c>
      <c r="D20" s="58" t="str">
        <v xml:space="preserve"> </v>
      </c>
      <c r="E20" s="58" t="str">
        <v xml:space="preserve"> </v>
      </c>
      <c r="F20" s="58" t="str">
        <v xml:space="preserve"> </v>
      </c>
      <c r="G20" s="58" t="str">
        <v xml:space="preserve"> </v>
      </c>
      <c r="H20" s="58" t="str">
        <v xml:space="preserve"> </v>
      </c>
      <c r="I20" s="63" t="str">
        <v xml:space="preserve"> </v>
      </c>
      <c r="K20" s="80"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e">
        <f>IF(C20=FALSE,"",IF(AND(OR(V20=$Z$7,V20=$Z$9),OR(AC20=TRUE,AD20&lt;=IF(ISNUMBER('Data Transformation'!$R$15),'Data Transformation'!$R$15,'Data Transformation'!$R$25))),TRUE,FALSE))</f>
        <v>#DIV/0!</v>
      </c>
    </row>
    <row r="21" spans="2:31">
      <c r="B21" s="62" t="str">
        <v xml:space="preserve"> </v>
      </c>
      <c r="C21" s="58" t="str">
        <v xml:space="preserve"> </v>
      </c>
      <c r="D21" s="58" t="str">
        <v xml:space="preserve"> </v>
      </c>
      <c r="E21" s="58" t="str">
        <v xml:space="preserve"> </v>
      </c>
      <c r="F21" s="58" t="str">
        <v xml:space="preserve"> </v>
      </c>
      <c r="G21" s="58" t="str">
        <v xml:space="preserve"> </v>
      </c>
      <c r="H21" s="58" t="str">
        <v xml:space="preserve"> </v>
      </c>
      <c r="I21" s="63" t="str">
        <v xml:space="preserve"> </v>
      </c>
      <c r="K21" s="80"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e">
        <f>IF(C21=FALSE,"",IF(AND(OR(V21=$Z$7,V21=$Z$9),OR(AC21=TRUE,AD21&lt;=IF(ISNUMBER('Data Transformation'!$R$15),'Data Transformation'!$R$15,'Data Transformation'!$R$25))),TRUE,FALSE))</f>
        <v>#DIV/0!</v>
      </c>
    </row>
    <row r="22" spans="2:31">
      <c r="B22" s="62" t="str">
        <v xml:space="preserve"> </v>
      </c>
      <c r="C22" s="58" t="str">
        <v xml:space="preserve"> </v>
      </c>
      <c r="D22" s="58" t="str">
        <v xml:space="preserve"> </v>
      </c>
      <c r="E22" s="58" t="str">
        <v xml:space="preserve"> </v>
      </c>
      <c r="F22" s="58" t="str">
        <v xml:space="preserve"> </v>
      </c>
      <c r="G22" s="58" t="str">
        <v xml:space="preserve"> </v>
      </c>
      <c r="H22" s="58" t="str">
        <v xml:space="preserve"> </v>
      </c>
      <c r="I22" s="63" t="str">
        <v xml:space="preserve"> </v>
      </c>
      <c r="K22" s="80"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e">
        <f>IF(C22=FALSE,"",IF(AND(OR(V22=$Z$7,V22=$Z$9),OR(AC22=TRUE,AD22&lt;=IF(ISNUMBER('Data Transformation'!$R$15),'Data Transformation'!$R$15,'Data Transformation'!$R$25))),TRUE,FALSE))</f>
        <v>#DIV/0!</v>
      </c>
    </row>
    <row r="23" spans="2:31">
      <c r="B23" s="62" t="str">
        <v xml:space="preserve"> </v>
      </c>
      <c r="C23" s="58" t="str">
        <v xml:space="preserve"> </v>
      </c>
      <c r="D23" s="58" t="str">
        <v xml:space="preserve"> </v>
      </c>
      <c r="E23" s="58" t="str">
        <v xml:space="preserve"> </v>
      </c>
      <c r="F23" s="58" t="str">
        <v xml:space="preserve"> </v>
      </c>
      <c r="G23" s="58" t="str">
        <v xml:space="preserve"> </v>
      </c>
      <c r="H23" s="58" t="str">
        <v xml:space="preserve"> </v>
      </c>
      <c r="I23" s="63" t="str">
        <v xml:space="preserve"> </v>
      </c>
      <c r="K23" s="80"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e">
        <f>IF(C23=FALSE,"",IF(AND(OR(V23=$Z$7,V23=$Z$9),OR(AC23=TRUE,AD23&lt;=IF(ISNUMBER('Data Transformation'!$R$15),'Data Transformation'!$R$15,'Data Transformation'!$R$25))),TRUE,FALSE))</f>
        <v>#DIV/0!</v>
      </c>
    </row>
    <row r="24" spans="2:31">
      <c r="B24" s="62" t="str">
        <v xml:space="preserve"> </v>
      </c>
      <c r="C24" s="58" t="str">
        <v xml:space="preserve"> </v>
      </c>
      <c r="D24" s="58" t="str">
        <v xml:space="preserve"> </v>
      </c>
      <c r="E24" s="58" t="str">
        <v xml:space="preserve"> </v>
      </c>
      <c r="F24" s="58" t="str">
        <v xml:space="preserve"> </v>
      </c>
      <c r="G24" s="58" t="str">
        <v xml:space="preserve"> </v>
      </c>
      <c r="H24" s="58" t="str">
        <v xml:space="preserve"> </v>
      </c>
      <c r="I24" s="63" t="str">
        <v xml:space="preserve"> </v>
      </c>
      <c r="K24" s="80"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e">
        <f>IF(C24=FALSE,"",IF(AND(OR(V24=$Z$7,V24=$Z$9),OR(AC24=TRUE,AD24&lt;=IF(ISNUMBER('Data Transformation'!$R$15),'Data Transformation'!$R$15,'Data Transformation'!$R$25))),TRUE,FALSE))</f>
        <v>#DIV/0!</v>
      </c>
    </row>
    <row r="25" spans="2:31" ht="16.5" thickBot="1">
      <c r="B25" s="64" t="str">
        <v xml:space="preserve"> </v>
      </c>
      <c r="C25" s="65" t="str">
        <v xml:space="preserve"> </v>
      </c>
      <c r="D25" s="65" t="str">
        <v xml:space="preserve"> </v>
      </c>
      <c r="E25" s="65" t="str">
        <v xml:space="preserve"> </v>
      </c>
      <c r="F25" s="65" t="str">
        <v xml:space="preserve"> </v>
      </c>
      <c r="G25" s="65" t="str">
        <v xml:space="preserve"> </v>
      </c>
      <c r="H25" s="65" t="str">
        <v xml:space="preserve"> </v>
      </c>
      <c r="I25" s="66" t="str">
        <v xml:space="preserve"> </v>
      </c>
      <c r="K25" s="80"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e">
        <f>IF(C25=FALSE,"",IF(AND(OR(V25=$Z$7,V25=$Z$9),OR(AC25=TRUE,AD25&lt;=IF(ISNUMBER('Data Transformation'!$R$15),'Data Transformation'!$R$15,'Data Transformation'!$R$25))),TRUE,FALSE))</f>
        <v>#DIV/0!</v>
      </c>
    </row>
    <row r="26" spans="2:31" s="69" customFormat="1">
      <c r="K26" s="81"/>
      <c r="L26" s="81"/>
      <c r="M26" s="67"/>
      <c r="W26" s="69" t="str">
        <f t="shared" si="0"/>
        <v/>
      </c>
    </row>
    <row r="30" spans="2:31">
      <c r="V30" t="str" cm="1">
        <f t="array" ref="V30">IF(COUNT(N30:T30)=0,"",INDEX($N$4:$T$4,MATCH(TRUE,N30:T30=B30,0)))</f>
        <v/>
      </c>
      <c r="W30" t="str">
        <f t="shared" si="0"/>
        <v/>
      </c>
    </row>
    <row r="31" spans="2:31">
      <c r="V31" t="str" cm="1">
        <f t="array" ref="V31">IF(COUNT(N31:T31)=0,"",INDEX($N$4:$T$4,MATCH(TRUE,N31:T31=B31,0)))</f>
        <v/>
      </c>
      <c r="W31" t="str">
        <f t="shared" si="0"/>
        <v/>
      </c>
    </row>
    <row r="32" spans="2:31">
      <c r="V32" t="str" cm="1">
        <f t="array" ref="V32">IF(COUNT(N32:T32)=0,"",INDEX($N$4:$T$4,MATCH(TRUE,N32:T32=B32,0)))</f>
        <v/>
      </c>
      <c r="W32" t="str">
        <f t="shared" si="0"/>
        <v/>
      </c>
    </row>
    <row r="33" spans="23:23">
      <c r="W33" t="str">
        <f t="shared" si="0"/>
        <v/>
      </c>
    </row>
    <row r="34" spans="23:23">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How to use this calculator</vt:lpstr>
      <vt:lpstr>Input and Summary Results</vt:lpstr>
      <vt:lpstr>Analysis working notes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2026-03-12T22:25:42Z</dcterms:modified>
</cp:coreProperties>
</file>