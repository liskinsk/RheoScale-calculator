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132E7F6C-BDC5-4D94-A8E8-2FE3A27175CF}" xr6:coauthVersionLast="47" xr6:coauthVersionMax="47" xr10:uidLastSave="{00000000-0000-0000-0000-000000000000}"/>
  <bookViews>
    <workbookView xWindow="-110" yWindow="-110" windowWidth="19420" windowHeight="10300" tabRatio="695"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 i="17" l="1"/>
  <c r="AE8" i="17"/>
  <c r="AE9" i="17"/>
  <c r="AE10" i="17"/>
  <c r="AE11" i="17"/>
  <c r="AE12" i="17"/>
  <c r="AE13" i="17"/>
  <c r="AE14" i="17"/>
  <c r="AE15" i="17"/>
  <c r="AE16" i="17"/>
  <c r="AE17" i="17"/>
  <c r="AE18" i="17"/>
  <c r="AE19" i="17"/>
  <c r="AE20" i="17"/>
  <c r="AE21" i="17"/>
  <c r="AE22" i="17"/>
  <c r="AE23" i="17"/>
  <c r="AE24" i="17"/>
  <c r="AE25" i="17"/>
  <c r="AE6" i="17"/>
  <c r="I20" i="1" l="1"/>
  <c r="V7" i="17" l="1" a="1"/>
  <c r="V7" i="17" s="1"/>
  <c r="V8" i="17" a="1"/>
  <c r="V8" i="17"/>
  <c r="V9" i="17" a="1"/>
  <c r="V9" i="17" s="1"/>
  <c r="V10" i="17" a="1"/>
  <c r="V10" i="17"/>
  <c r="V11" i="17" a="1"/>
  <c r="V11" i="17" s="1"/>
  <c r="V12" i="17" a="1"/>
  <c r="V12" i="17"/>
  <c r="V13" i="17" a="1"/>
  <c r="V13" i="17" s="1"/>
  <c r="V14" i="17" a="1"/>
  <c r="V14" i="17"/>
  <c r="V15" i="17" a="1"/>
  <c r="V15" i="17" s="1"/>
  <c r="V16" i="17" a="1"/>
  <c r="V16" i="17"/>
  <c r="V17" i="17" a="1"/>
  <c r="V17" i="17" s="1"/>
  <c r="V18" i="17" a="1"/>
  <c r="V18" i="17"/>
  <c r="V19" i="17" a="1"/>
  <c r="V19" i="17" s="1"/>
  <c r="V20" i="17" a="1"/>
  <c r="V20" i="17"/>
  <c r="V21" i="17" a="1"/>
  <c r="V21" i="17" s="1"/>
  <c r="V22" i="17" a="1"/>
  <c r="V22" i="17" s="1"/>
  <c r="V23" i="17" a="1"/>
  <c r="V23" i="17" s="1"/>
  <c r="V24" i="17" a="1"/>
  <c r="V24" i="17" s="1"/>
  <c r="V25" i="17" a="1"/>
  <c r="V25" i="17" s="1"/>
  <c r="V6" i="17" a="1"/>
  <c r="V6" i="17" s="1"/>
  <c r="W25" i="2" l="1"/>
  <c r="U25" i="2"/>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424" i="4" s="1" a="1"/>
  <c r="A424" i="4" s="1"/>
  <c r="M24" i="1"/>
  <c r="M20" i="1"/>
  <c r="M16" i="1"/>
  <c r="M25" i="1"/>
  <c r="M26" i="1"/>
  <c r="M17" i="1"/>
  <c r="A68" i="4" a="1"/>
  <c r="A68" i="4" s="1"/>
  <c r="G14" i="2"/>
  <c r="A64" i="4" s="1" a="1"/>
  <c r="A64" i="4" s="1"/>
  <c r="G13" i="2"/>
  <c r="A63" i="4" s="1" a="1"/>
  <c r="A63" i="4" s="1"/>
  <c r="G15" i="2"/>
  <c r="A45" i="4" a="1"/>
  <c r="A45" i="4" s="1"/>
  <c r="A238" i="4" a="1"/>
  <c r="A238" i="4" s="1"/>
  <c r="A211" i="4" a="1"/>
  <c r="A211" i="4" s="1"/>
  <c r="A404" i="4" a="1"/>
  <c r="A404" i="4" s="1"/>
  <c r="A69" i="4" a="1"/>
  <c r="A69" i="4" s="1"/>
  <c r="A334" i="4" a="1"/>
  <c r="A334" i="4" s="1"/>
  <c r="A406" i="4" a="1"/>
  <c r="A406" i="4" s="1"/>
  <c r="A70" i="4" a="1"/>
  <c r="A70" i="4" s="1"/>
  <c r="A90" i="4" a="1"/>
  <c r="A90" i="4" s="1"/>
  <c r="A502" i="4" a="1"/>
  <c r="A502" i="4" s="1"/>
  <c r="A500" i="4" a="1"/>
  <c r="A500" i="4" s="1"/>
  <c r="A430" i="4" a="1"/>
  <c r="A430" i="4" s="1"/>
  <c r="A382" i="4" a="1"/>
  <c r="A382" i="4" s="1"/>
  <c r="A190" i="4" a="1"/>
  <c r="A190" i="4" s="1"/>
  <c r="A164" i="4" a="1"/>
  <c r="A164" i="4" s="1"/>
  <c r="A166" i="4" a="1"/>
  <c r="A166" i="4" s="1"/>
  <c r="A212" i="4" a="1"/>
  <c r="A212" i="4" s="1"/>
  <c r="A428" i="4" a="1"/>
  <c r="A428" i="4" s="1"/>
  <c r="A142" i="4" a="1"/>
  <c r="A142" i="4" s="1"/>
  <c r="A188" i="4" a="1"/>
  <c r="A188" i="4" s="1"/>
  <c r="A476" i="4" a="1"/>
  <c r="A476" i="4" s="1"/>
  <c r="A118" i="4" a="1"/>
  <c r="A118" i="4" s="1"/>
  <c r="A284" i="4" a="1"/>
  <c r="A284" i="4" s="1"/>
  <c r="A214" i="4" a="1"/>
  <c r="A214" i="4" s="1"/>
  <c r="A478" i="4" a="1"/>
  <c r="A478"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454" i="4" a="1"/>
  <c r="A454" i="4" s="1"/>
  <c r="A358" i="4" a="1"/>
  <c r="A358"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A401" i="4" a="1"/>
  <c r="A401" i="4" s="1"/>
  <c r="F11" i="2"/>
  <c r="H11" i="2" s="1"/>
  <c r="F22" i="2"/>
  <c r="H22" i="2" s="1"/>
  <c r="F8" i="2"/>
  <c r="H8" i="2" s="1"/>
  <c r="F3" i="2"/>
  <c r="H3"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A329" i="4" a="1"/>
  <c r="A329" i="4" s="1"/>
  <c r="A327" i="4" a="1"/>
  <c r="A327" i="4" s="1"/>
  <c r="F19" i="2"/>
  <c r="H19" i="2" s="1"/>
  <c r="M13" i="1"/>
  <c r="F18" i="2"/>
  <c r="H18" i="2" s="1"/>
  <c r="A241" i="4" l="1"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J28" i="1" s="1"/>
  <c r="R26" i="2"/>
  <c r="B6" i="3"/>
  <c r="C5" i="3" l="1"/>
  <c r="B31" i="3" s="1"/>
  <c r="B7" i="3"/>
  <c r="U11" i="2"/>
  <c r="Z387" i="4" l="1"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F371" i="4"/>
  <c r="F491" i="4"/>
  <c r="F347" i="4"/>
  <c r="G347" i="4" s="1" a="1"/>
  <c r="G347" i="4" s="1"/>
  <c r="F275" i="4"/>
  <c r="G275" i="4" s="1" a="1"/>
  <c r="G275" i="4" s="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15" i="3" l="1"/>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I15" i="3"/>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I17" i="3"/>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K24" i="3" s="1"/>
  <c r="O24" i="3" s="1"/>
  <c r="C96" i="4"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I18" i="3"/>
  <c r="G358" i="4" a="1"/>
  <c r="G358" i="4" s="1"/>
  <c r="H358" i="4" s="1"/>
  <c r="G95" i="4" a="1"/>
  <c r="G95" i="4" s="1"/>
  <c r="H95" i="4" s="1"/>
  <c r="G334" i="4" a="1"/>
  <c r="G334" i="4" s="1"/>
  <c r="H334" i="4" s="1"/>
  <c r="G190" i="4" a="1"/>
  <c r="G190" i="4" s="1"/>
  <c r="H190" i="4" s="1"/>
  <c r="F167" i="4"/>
  <c r="G166" i="4" a="1"/>
  <c r="G166" i="4" s="1"/>
  <c r="H166" i="4" s="1"/>
  <c r="F71" i="4"/>
  <c r="F479" i="4"/>
  <c r="F359" i="4"/>
  <c r="F335" i="4"/>
  <c r="H25" i="3" l="1"/>
  <c r="I25" i="3" s="1"/>
  <c r="K25" i="3" s="1"/>
  <c r="O25" i="3" s="1"/>
  <c r="H51" i="3"/>
  <c r="C312" i="4"/>
  <c r="H239" i="4"/>
  <c r="H47" i="4"/>
  <c r="C456" i="4"/>
  <c r="C480" i="4"/>
  <c r="H119" i="4"/>
  <c r="C240" i="4"/>
  <c r="C360" i="4"/>
  <c r="C432" i="4"/>
  <c r="C264" i="4"/>
  <c r="C408" i="4"/>
  <c r="C48" i="4"/>
  <c r="C120" i="4"/>
  <c r="J21" i="3"/>
  <c r="K21" i="3" s="1"/>
  <c r="O21" i="3" s="1"/>
  <c r="C504" i="4"/>
  <c r="F72" i="4"/>
  <c r="G72" i="4" s="1" a="1"/>
  <c r="G72" i="4" s="1"/>
  <c r="C144" i="4"/>
  <c r="C216" i="4"/>
  <c r="C168" i="4"/>
  <c r="C72" i="4"/>
  <c r="C336" i="4"/>
  <c r="C384" i="4"/>
  <c r="C192"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C409" i="4"/>
  <c r="C145" i="4"/>
  <c r="C289" i="4"/>
  <c r="C193" i="4"/>
  <c r="C313" i="4"/>
  <c r="C121" i="4"/>
  <c r="C481" i="4"/>
  <c r="C361" i="4"/>
  <c r="C97" i="4"/>
  <c r="C505" i="4"/>
  <c r="C337" i="4"/>
  <c r="C73" i="4"/>
  <c r="C433" i="4"/>
  <c r="C265" i="4"/>
  <c r="C49" i="4"/>
  <c r="C457" i="4"/>
  <c r="C385" i="4"/>
  <c r="C217" i="4"/>
  <c r="C241" i="4"/>
  <c r="C25" i="4"/>
  <c r="C169"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H72" i="4" l="1"/>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K20" i="3" l="1"/>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Q23" i="17"/>
  <c r="O8" i="17"/>
  <c r="Q6" i="17"/>
  <c r="W6" i="17" s="1"/>
  <c r="O19" i="17"/>
  <c r="Q13" i="17"/>
  <c r="W13" i="17" s="1"/>
  <c r="Q20" i="17"/>
  <c r="O9" i="17"/>
  <c r="O12" i="17"/>
  <c r="Q16" i="17"/>
  <c r="Q10" i="17"/>
  <c r="O21" i="17"/>
  <c r="Q7" i="17"/>
  <c r="W7" i="17" s="1"/>
  <c r="Q14" i="17"/>
  <c r="Q22" i="17"/>
  <c r="O18" i="17"/>
  <c r="O11" i="17"/>
  <c r="O17" i="17"/>
  <c r="O24" i="17"/>
  <c r="Q17" i="17"/>
  <c r="W15" i="17" l="1"/>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<sst xmlns="http://schemas.openxmlformats.org/spreadsheetml/2006/main" count="454" uniqueCount="148">
  <si>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</si>
  <si>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</si>
  <si>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</si>
  <si>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</si>
  <si>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</si>
  <si>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</si>
  <si>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</si>
  <si>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</si>
  <si>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</si>
  <si>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</si>
  <si>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</si>
  <si>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</si>
  <si>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</si>
  <si>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</si>
  <si>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</si>
  <si>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</si>
  <si>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</si>
  <si>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</si>
  <si>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</si>
  <si>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</si>
  <si>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</si>
  <si>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</si>
  <si>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</si>
  <si>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</si>
  <si>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</si>
  <si>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</si>
  <si>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</si>
  <si>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</si>
  <si>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</si>
  <si>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</si>
  <si>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</si>
  <si>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</si>
  <si>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</si>
  <si>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</si>
  <si>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</si>
  <si>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</si>
  <si>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</si>
  <si>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</si>
  <si>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</si>
  <si>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</si>
  <si>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</si>
  <si>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</si>
  <si>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</si>
  <si>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</si>
  <si>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</si>
  <si>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</si>
  <si>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</si>
  <si>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</si>
  <si>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</si>
  <si>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</si>
  <si>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</si>
  <si>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</si>
  <si>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</si>
  <si>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</si>
  <si>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</si>
  <si>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</si>
  <si>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</si>
  <si>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</si>
  <si>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</si>
  <si>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</si>
  <si>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</si>
  <si>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</si>
  <si>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</si>
  <si>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</si>
  <si>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</si>
  <si>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</si>
  <si>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</si>
  <si>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</si>
  <si>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</si>
  <si>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</si>
  <si>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</si>
  <si>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</si>
  <si>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</si>
  <si>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</si>
  <si>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</si>
  <si>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</si>
  <si>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</si>
  <si>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</si>
  <si>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</si>
  <si>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</si>
  <si>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</si>
  <si>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</si>
  <si>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</si>
  <si>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</si>
  <si>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</si>
  <si>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</si>
  <si>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</si>
  <si>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</si>
  <si>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</si>
  <si>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</si>
  <si>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</si>
  <si>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</si>
  <si>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</si>
  <si>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</si>
  <si>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</si>
  <si>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</si>
  <si>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</si>
  <si>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</si>
  <si>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</si>
  <si>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</si>
  <si>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</si>
  <si>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</si>
  <si>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</si>
  <si>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</si>
  <si>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</si>
  <si>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</si>
  <si>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</si>
  <si>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</si>
  <si>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</si>
  <si>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</si>
  <si>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</si>
  <si>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</si>
  <si>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</si>
  <si>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</si>
  <si>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</si>
  <si>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</si>
  <si>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</si>
  <si>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</si>
  <si>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Toggle Score assignment</t>
  </si>
  <si>
    <t>Rheostat Score assignment</t>
  </si>
  <si>
    <t>Enhancing Score assignment</t>
  </si>
  <si>
    <t>Default Enhancing Score assignment</t>
  </si>
  <si>
    <t>Default Toggle Score assignment</t>
  </si>
  <si>
    <t>Default Neutral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</si>
  <si>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</si>
  <si>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</si>
  <si>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</si>
  <si>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</si>
  <si>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</si>
  <si>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</si>
  <si>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</si>
  <si>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</si>
  <si>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</si>
  <si>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</si>
  <si>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</si>
  <si>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</si>
  <si>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</si>
  <si>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Neutral Score assignment</t>
  </si>
  <si>
    <t>This worksheet is a good place to keep track of why and how the values were chosen for WT and "dead", as well as any other analysis parameters.</t>
  </si>
  <si>
    <t>the WT aa</t>
  </si>
  <si>
    <t>for each</t>
  </si>
  <si>
    <t>subsitution</t>
  </si>
  <si>
    <t xml:space="preserve">could go in </t>
  </si>
  <si>
    <t>column A</t>
  </si>
  <si>
    <t>Measured Value</t>
  </si>
  <si>
    <t>Background signal ("Dead" value)</t>
  </si>
  <si>
    <t>Rheostat/toggle bin width</t>
  </si>
  <si>
    <t>Default Rheostat Score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</si>
</sst>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4">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
                <c:pt idx="0">
                  <c:v>#NUM!</c:v>
                </c:pt>
              </c:strCache>
            </c:strRef>
          </c:cat>
          <c:val>
            <c:numRef>
              <c:f>'Bin Analysis and Plots'!$K$6:$K$25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
                <c:pt idx="0">
                  <c:v>#NUM!</c:v>
                </c:pt>
              </c:strCache>
            </c:strRef>
          </c:cat>
          <c:val>
            <c:numRef>
              <c:f>'Bin Analysis and Plots'!$E$6:$E$25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
                <c:pt idx="0">
                  <c:v>#NUM!</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1"/>
                <c:pt idx="0">
                  <c:v>#NUM!</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134</xdr:row>
      <xdr:rowOff>0</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39033" cy="262763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2026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("dead") protein values as well as the adjacent bins.  Using the weighted scores allows those positions with strong and consistent rheostat behavior to be more easily identified compared to those that cluster near wild type or dead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Reference:</a:t>
          </a:r>
          <a:r>
            <a:rPr lang="en-US" sz="1200" baseline="0">
              <a:solidFill>
                <a:schemeClr val="dk1"/>
              </a:solidFill>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a:t>
          </a:r>
          <a:r>
            <a:rPr kumimoji="0" lang="en-US" sz="1200" b="0" i="0" u="none" strike="noStrike" kern="0" cap="none" spc="0" normalizeH="0" baseline="0" noProof="0">
              <a:ln>
                <a:noFill/>
              </a:ln>
              <a:solidFill>
                <a:srgbClr val="FF0000"/>
              </a:solidFill>
              <a:effectLst/>
              <a:uLnTx/>
              <a:uFillTx/>
              <a:latin typeface="+mn-lt"/>
              <a:ea typeface="+mn-ea"/>
              <a:cs typeface="+mn-cs"/>
            </a:rPr>
            <a:t>inspection of the histogram in the "Bin Analysis" worksheet </a:t>
          </a:r>
          <a:r>
            <a:rPr lang="en-US" sz="1200" baseline="0">
              <a:solidFill>
                <a:srgbClr val="FF0000"/>
              </a:solidFill>
              <a:effectLst/>
              <a:latin typeface="+mn-lt"/>
              <a:ea typeface="+mn-ea"/>
              <a:cs typeface="+mn-cs"/>
            </a:rPr>
            <a:t>is needed to determine the best position class.</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2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inspection of the histogram in the "Bin Analysis" worksheet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Sreenivasan, S., Fontes, J. D., and Swint-Kruse, L</a:t>
          </a:r>
          <a:r>
            <a:rPr lang="en-US" sz="1200" b="0">
              <a:solidFill>
                <a:schemeClr val="dk1"/>
              </a:solidFill>
              <a:latin typeface="+mn-lt"/>
              <a:ea typeface="+mn-ea"/>
              <a:cs typeface="+mn-cs"/>
            </a:rPr>
            <a:t>. 2025. 'Dissecting the effects of single amino acid substitutions in SARS-CoV-2 Mpro', </a:t>
          </a:r>
          <a:r>
            <a:rPr lang="en-US" sz="12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tabSelected="1" zoomScaleNormal="100" workbookViewId="0">
      <selection activeCell="H138" sqref="H138"/>
    </sheetView>
  </sheetViews>
  <sheetFormatPr defaultColWidth="11" defaultRowHeight="15.5"/>
  <sheetData>
    <row r="5" spans="16:16">
      <c r="P5" s="11"/>
    </row>
    <row r="43" spans="13:14">
      <c r="M43" t="s">
        <v>94</v>
      </c>
    </row>
    <row r="46" spans="13:14">
      <c r="N46" t="s">
        <v>94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zoomScale="69" zoomScaleNormal="70" workbookViewId="0">
      <selection activeCell="I45" sqref="I45"/>
    </sheetView>
  </sheetViews>
  <sheetFormatPr defaultColWidth="11" defaultRowHeight="15.5"/>
  <cols>
    <col min="1" max="1" width="13.33203125" customWidth="1"/>
    <col min="4" max="4" width="14.58203125" customWidth="1"/>
    <col min="9" max="9" width="37.58203125" customWidth="1"/>
    <col min="10" max="10" width="9.33203125" customWidth="1"/>
    <col min="11" max="11" width="11.83203125" bestFit="1" customWidth="1"/>
    <col min="12" max="12" width="7.5" bestFit="1" customWidth="1"/>
    <col min="13" max="13" width="11.83203125" bestFit="1" customWidth="1"/>
    <col min="14" max="14" width="8.08203125" bestFit="1" customWidth="1"/>
    <col min="15" max="15" width="18.83203125" bestFit="1" customWidth="1"/>
    <col min="16" max="16" width="16.83203125" bestFit="1" customWidth="1"/>
    <col min="17" max="17" width="16.83203125" customWidth="1"/>
    <col min="21" max="21" width="17" bestFit="1" customWidth="1"/>
    <col min="22" max="22" width="16.33203125" bestFit="1" customWidth="1"/>
    <col min="23" max="23" width="14" bestFit="1" customWidth="1"/>
  </cols>
  <sheetData>
    <row r="1" spans="1:23" ht="16" thickBot="1"/>
    <row r="2" spans="1:23" ht="16" thickBot="1">
      <c r="A2" s="49" t="s">
        <v>73</v>
      </c>
      <c r="B2" s="83"/>
      <c r="C2" s="84"/>
      <c r="D2" s="84"/>
      <c r="E2" s="84"/>
      <c r="F2" s="85"/>
    </row>
    <row r="3" spans="1:23" ht="16" thickBot="1"/>
    <row r="4" spans="1:23" ht="21.5" thickBot="1">
      <c r="B4" s="49" t="s">
        <v>0</v>
      </c>
      <c r="C4" s="49" t="s">
        <v>1</v>
      </c>
      <c r="D4" s="49" t="s">
        <v>144</v>
      </c>
      <c r="E4" s="49" t="s">
        <v>3</v>
      </c>
      <c r="G4" s="49" t="s">
        <v>4</v>
      </c>
      <c r="I4" s="50" t="s">
        <v>66</v>
      </c>
      <c r="J4" s="1" t="s">
        <v>61</v>
      </c>
      <c r="L4" s="86" t="s">
        <v>52</v>
      </c>
      <c r="M4" s="87"/>
      <c r="N4" s="87"/>
      <c r="O4" s="87"/>
      <c r="P4" s="87"/>
      <c r="Q4" s="87"/>
      <c r="R4" s="87"/>
      <c r="S4" s="87"/>
      <c r="T4" s="87"/>
      <c r="U4" s="87"/>
      <c r="V4" s="88"/>
    </row>
    <row r="5" spans="1:23" ht="16" thickBot="1">
      <c r="A5" s="11" t="s">
        <v>5</v>
      </c>
      <c r="B5" s="11" t="s">
        <v>6</v>
      </c>
      <c r="C5" s="11" t="s">
        <v>6</v>
      </c>
      <c r="D5" s="48"/>
      <c r="E5" s="51"/>
      <c r="L5" s="74" t="s">
        <v>0</v>
      </c>
      <c r="M5" s="75" t="s">
        <v>65</v>
      </c>
      <c r="N5" s="75" t="s">
        <v>103</v>
      </c>
      <c r="O5" s="75" t="s">
        <v>53</v>
      </c>
      <c r="P5" s="75" t="s">
        <v>54</v>
      </c>
      <c r="Q5" s="75" t="s">
        <v>55</v>
      </c>
      <c r="R5" s="75" t="s">
        <v>56</v>
      </c>
      <c r="S5" s="75" t="s">
        <v>80</v>
      </c>
      <c r="T5" s="76" t="s">
        <v>104</v>
      </c>
      <c r="U5" s="76" t="s">
        <v>105</v>
      </c>
      <c r="V5" s="77" t="s">
        <v>108</v>
      </c>
      <c r="W5" s="79"/>
    </row>
    <row r="6" spans="1:23" ht="16" thickBot="1">
      <c r="A6" s="40" t="s">
        <v>71</v>
      </c>
      <c r="B6" s="17">
        <v>45</v>
      </c>
      <c r="C6" s="17" t="s">
        <v>9</v>
      </c>
      <c r="D6" s="17">
        <v>0.56299999999999994</v>
      </c>
      <c r="E6" s="17">
        <v>3.3999999999999998E-3</v>
      </c>
      <c r="I6" s="49" t="s">
        <v>29</v>
      </c>
      <c r="L6" s="71" t="s">
        <v>28</v>
      </c>
      <c r="M6" s="72" t="b">
        <f>INDEX('Bin Analysis and Plots'!$E$3:$U$505,MATCH($L6,'Bin Analysis and Plots'!$N$3:$N$505,0),MATCH(M$5,'Bin Analysis and Plots'!$E$2:$U$2,0))</f>
        <v>0</v>
      </c>
      <c r="N6" s="70">
        <f>INDEX('Bin Analysis and Plots'!$E$3:$U$505,MATCH($L6,'Bin Analysis and Plots'!$N$3:$N$505,0),MATCH(N$5,'Bin Analysis and Plots'!$E$2:$U$2,0))</f>
        <v>0</v>
      </c>
      <c r="O6" s="70" t="e">
        <f>INDEX('Bin Analysis and Plots'!$E$3:$U$505,MATCH($L6,'Bin Analysis and Plots'!$N$3:$N$505,0),MATCH(O$5,'Bin Analysis and Plots'!$E$2:$U$2,0))</f>
        <v>#N/A</v>
      </c>
      <c r="P6" s="70" t="e">
        <f>INDEX('Bin Analysis and Plots'!$E$3:$U$505,MATCH($L6,'Bin Analysis and Plots'!$N$3:$N$505,0),MATCH(P$5,'Bin Analysis and Plots'!$E$2:$U$2,0))</f>
        <v>#N/A</v>
      </c>
      <c r="Q6" s="70" t="e">
        <f>INDEX('Bin Analysis and Plots'!$E$3:$U$505,MATCH($L6,'Bin Analysis and Plots'!$N$3:$N$505,0),MATCH(Q$5,'Bin Analysis and Plots'!$E$2:$U$2,0))</f>
        <v>#N/A</v>
      </c>
      <c r="R6" s="70" t="e">
        <f>INDEX('Bin Analysis and Plots'!$E$3:$U$505,MATCH($L6,'Bin Analysis and Plots'!$N$3:$N$505,0),MATCH(R$5,'Bin Analysis and Plots'!$E$2:$U$2,0))</f>
        <v>#N/A</v>
      </c>
      <c r="S6" s="70" t="e">
        <f>INDEX('Bin Analysis and Plots'!$E$3:$U$505,MATCH($L6,'Bin Analysis and Plots'!$N$3:$N$505,0),MATCH(S$5,'Bin Analysis and Plots'!$E$2:$U$2,0))</f>
        <v>#N/A</v>
      </c>
      <c r="T6" s="70" t="str" cm="1">
        <f t="array" ref="T6:T26">Assignments!K5:K25</f>
        <v/>
      </c>
      <c r="U6" s="70" t="str" cm="1">
        <f t="array" ref="U6:U26">Assignments!L5:L25</f>
        <v/>
      </c>
      <c r="V6" s="73"/>
    </row>
    <row r="7" spans="1:23">
      <c r="A7" t="s">
        <v>139</v>
      </c>
      <c r="B7" s="82"/>
      <c r="C7" s="4"/>
      <c r="D7" s="4"/>
      <c r="E7" s="53"/>
      <c r="I7" t="s">
        <v>14</v>
      </c>
      <c r="J7">
        <f>IF($J$4="yes",10^('Data Transformation'!R3),'Data Transformation'!R3)</f>
        <v>1</v>
      </c>
      <c r="L7" s="20" t="str">
        <f t="shared" ref="L7:L26" si="0">$G8</f>
        <v xml:space="preserve"> </v>
      </c>
      <c r="M7" s="21" t="str">
        <f>IF(L7=" "," ",(IF($L7&gt;0,INDEX('Bin Analysis and Plots'!$E$3:$U$505,MATCH($L7,'Bin Analysis and Plots'!$N$3:$N$505,0),MATCH(M$5,'Bin Analysis and Plots'!$E$2:$U$2,0))," ")))</f>
        <v xml:space="preserve"> </v>
      </c>
      <c r="N7" s="22" t="str">
        <f>IF($L7=" "," ",(IF($M7=FALSE," ",(IF($M7&gt;0,INDEX('Bin Analysis and Plots'!$E$3:$U$505,MATCH($L7,'Bin Analysis and Plots'!$N$3:$N$505,0),MATCH(N$5,'Bin Analysis and Plots'!$E$2:$U$2,0))," ")))))</f>
        <v xml:space="preserve"> </v>
      </c>
      <c r="O7" s="22" t="str">
        <f>IF($L7=" "," ",(IF($M7=FALSE," ",(IF($M7&gt;0,INDEX('Bin Analysis and Plots'!$E$3:$U$505,MATCH($L7,'Bin Analysis and Plots'!$N$3:$N$505,0),MATCH(O$5,'Bin Analysis and Plots'!$E$2:$U$2,0))," ")))))</f>
        <v xml:space="preserve"> </v>
      </c>
      <c r="P7" s="22" t="str">
        <f>IF($L7=" "," ",(IF($M7=FALSE," ",(IF($M7&gt;0,INDEX('Bin Analysis and Plots'!$E$3:$U$505,MATCH($L7,'Bin Analysis and Plots'!$N$3:$N$505,0),MATCH(P$5,'Bin Analysis and Plots'!$E$2:$U$2,0))," ")))))</f>
        <v xml:space="preserve"> </v>
      </c>
      <c r="Q7" s="22" t="str">
        <f>IF($L7=" "," ",(IF($M7=FALSE," ",(IF($M7&gt;0,INDEX('Bin Analysis and Plots'!$E$3:$U$505,MATCH($L7,'Bin Analysis and Plots'!$N$3:$N$505,0),MATCH(Q$5,'Bin Analysis and Plots'!$E$2:$U$2,0))," ")))))</f>
        <v xml:space="preserve"> </v>
      </c>
      <c r="R7" s="22" t="str">
        <f>IF($L7=" "," ",(IF($M7=FALSE," ",(IF($M7&gt;0,INDEX('Bin Analysis and Plots'!$E$3:$U$505,MATCH($L7,'Bin Analysis and Plots'!$N$3:$N$505,0),MATCH(R$5,'Bin Analysis and Plots'!$E$2:$U$2,0))," ")))))</f>
        <v xml:space="preserve"> </v>
      </c>
      <c r="S7" s="22" t="str">
        <f>IF($L7=" "," ",(IF($M7=FALSE," ",(IF($M7&gt;0,INDEX('Bin Analysis and Plots'!$E$3:$U$505,MATCH($L7,'Bin Analysis and Plots'!$N$3:$N$505,0),MATCH(S$5,'Bin Analysis and Plots'!$E$2:$U$2,0))," ")))))</f>
        <v xml:space="preserve"> </v>
      </c>
      <c r="T7" s="22" t="str">
        <v/>
      </c>
      <c r="U7" s="22" t="str">
        <v/>
      </c>
      <c r="V7" s="63" t="str" cm="1">
        <f t="array" ref="V7:V26">Assignments!V6:V25</f>
        <v/>
      </c>
    </row>
    <row r="8" spans="1:23">
      <c r="A8" t="s">
        <v>140</v>
      </c>
      <c r="B8" s="42"/>
      <c r="E8" s="56"/>
      <c r="G8" s="26" t="str">
        <f>IFERROR('Data Transformation'!M6," ")</f>
        <v xml:space="preserve"> </v>
      </c>
      <c r="I8" t="s">
        <v>15</v>
      </c>
      <c r="J8">
        <f>IF($J$4="yes",10^('Data Transformation'!R4),'Data Transformation'!R4)</f>
        <v>1</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3" t="str">
        <v/>
      </c>
    </row>
    <row r="9" spans="1:23">
      <c r="A9" t="s">
        <v>141</v>
      </c>
      <c r="B9" s="42"/>
      <c r="E9" s="56"/>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3" t="str">
        <v/>
      </c>
    </row>
    <row r="10" spans="1:23" ht="16" thickBot="1">
      <c r="A10" t="s">
        <v>142</v>
      </c>
      <c r="B10" s="42"/>
      <c r="E10" s="56"/>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 thickBot="1">
      <c r="A11" t="s">
        <v>143</v>
      </c>
      <c r="B11" s="42"/>
      <c r="E11" s="56"/>
      <c r="G11" s="27" t="str">
        <f>IFERROR('Data Transformation'!M9," ")</f>
        <v xml:space="preserve"> </v>
      </c>
      <c r="I11" t="s">
        <v>14</v>
      </c>
      <c r="J11" s="1"/>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 thickBot="1">
      <c r="B12" s="42"/>
      <c r="E12" s="56"/>
      <c r="G12" s="27" t="str">
        <f>IFERROR('Data Transformation'!M10," ")</f>
        <v xml:space="preserve"> </v>
      </c>
      <c r="I12" t="s">
        <v>15</v>
      </c>
      <c r="J12" s="1"/>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c r="E13" s="56"/>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c r="E14" s="56"/>
      <c r="G14" s="27" t="str">
        <f>IFERROR('Data Transformation'!M12," ")</f>
        <v xml:space="preserve"> </v>
      </c>
      <c r="I14" t="s">
        <v>95</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 thickBot="1">
      <c r="B15" s="42"/>
      <c r="E15" s="56"/>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 thickBot="1">
      <c r="B16" s="42"/>
      <c r="E16" s="56"/>
      <c r="G16" s="27" t="str">
        <f>IFERROR('Data Transformation'!M14," ")</f>
        <v xml:space="preserve"> </v>
      </c>
      <c r="I16" s="50" t="s">
        <v>145</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c r="E17" s="56"/>
      <c r="G17" s="27" t="str">
        <f>IFERROR('Data Transformation'!M15," ")</f>
        <v xml:space="preserve"> </v>
      </c>
      <c r="J17">
        <f>IF(J16="maximum",'Data Transformation'!U9,'Data Transformation'!U8)</f>
        <v>1</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 thickBot="1">
      <c r="B18" s="42"/>
      <c r="E18" s="56"/>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 thickBot="1">
      <c r="B19" s="42"/>
      <c r="E19" s="56"/>
      <c r="G19" s="27" t="str">
        <f>IFERROR('Data Transformation'!M17," ")</f>
        <v xml:space="preserve"> </v>
      </c>
      <c r="I19" s="49" t="s">
        <v>91</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c r="E20" s="56"/>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c r="E21" s="56"/>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 thickBot="1">
      <c r="B22" s="42"/>
      <c r="E22" s="56"/>
      <c r="G22" s="27" t="str">
        <f>IFERROR('Data Transformation'!M20," ")</f>
        <v xml:space="preserve"> </v>
      </c>
      <c r="I22" s="50" t="s">
        <v>7</v>
      </c>
      <c r="J22" s="12" t="e">
        <f>'Data Transformation'!R23</f>
        <v>#DIV/0!</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 thickBot="1">
      <c r="B23" s="42"/>
      <c r="E23" s="56"/>
      <c r="G23" s="27" t="str">
        <f>IFERROR('Data Transformation'!M21," ")</f>
        <v xml:space="preserve"> </v>
      </c>
      <c r="I23" s="37" t="s">
        <v>31</v>
      </c>
      <c r="J23" s="1"/>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c r="B24" s="42"/>
      <c r="E24" s="56"/>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c r="B25" s="42"/>
      <c r="E25" s="56"/>
      <c r="G25" s="27" t="str">
        <f>IFERROR('Data Transformation'!M23," ")</f>
        <v xml:space="preserve"> </v>
      </c>
      <c r="I25" t="s">
        <v>146</v>
      </c>
      <c r="J25" t="e">
        <f>'Data Transformation'!R25</f>
        <v>#DIV/0!</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 thickBot="1">
      <c r="B26" s="42"/>
      <c r="E26" s="56"/>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 thickBot="1">
      <c r="B27" s="42"/>
      <c r="E27" s="56"/>
      <c r="G27" s="28" t="str">
        <f>IFERROR('Data Transformation'!M25," ")</f>
        <v xml:space="preserve"> </v>
      </c>
      <c r="I27" s="49" t="s">
        <v>113</v>
      </c>
      <c r="J27" s="1"/>
    </row>
    <row r="28" spans="2:22">
      <c r="B28" s="42"/>
      <c r="E28" s="56"/>
      <c r="I28" t="s">
        <v>117</v>
      </c>
      <c r="J28" t="e">
        <f>'Data Transformation'!U25</f>
        <v>#DIV/0!</v>
      </c>
    </row>
    <row r="29" spans="2:22" ht="16" thickBot="1">
      <c r="B29" s="42"/>
      <c r="E29" s="56"/>
    </row>
    <row r="30" spans="2:22" ht="16" thickBot="1">
      <c r="B30" s="42"/>
      <c r="E30" s="56"/>
      <c r="I30" s="49" t="s">
        <v>120</v>
      </c>
      <c r="J30" s="1"/>
    </row>
    <row r="31" spans="2:22">
      <c r="B31" s="42"/>
      <c r="E31" s="56"/>
      <c r="I31" t="s">
        <v>121</v>
      </c>
      <c r="J31">
        <v>0.8</v>
      </c>
    </row>
    <row r="32" spans="2:22" ht="16" thickBot="1">
      <c r="B32" s="42"/>
      <c r="E32" s="56"/>
    </row>
    <row r="33" spans="2:21" ht="16" thickBot="1">
      <c r="B33" s="42"/>
      <c r="E33" s="56"/>
      <c r="I33" s="49" t="s">
        <v>137</v>
      </c>
      <c r="J33" s="1"/>
      <c r="U33" t="s">
        <v>90</v>
      </c>
    </row>
    <row r="34" spans="2:21">
      <c r="B34" s="42"/>
      <c r="E34" s="56"/>
      <c r="I34" t="s">
        <v>123</v>
      </c>
      <c r="J34">
        <v>0.7</v>
      </c>
    </row>
    <row r="35" spans="2:21" ht="16" thickBot="1">
      <c r="B35" s="42"/>
      <c r="E35" s="56"/>
    </row>
    <row r="36" spans="2:21" ht="16" thickBot="1">
      <c r="B36" s="42"/>
      <c r="E36" s="56"/>
      <c r="I36" s="49" t="s">
        <v>119</v>
      </c>
      <c r="J36" s="1"/>
    </row>
    <row r="37" spans="2:21">
      <c r="B37" s="42"/>
      <c r="E37" s="56"/>
      <c r="I37" t="s">
        <v>147</v>
      </c>
      <c r="J37">
        <v>0.5</v>
      </c>
    </row>
    <row r="38" spans="2:21" ht="16" thickBot="1">
      <c r="B38" s="42"/>
      <c r="E38" s="56"/>
    </row>
    <row r="39" spans="2:21" ht="16" thickBot="1">
      <c r="B39" s="42"/>
      <c r="E39" s="56"/>
      <c r="I39" s="49" t="s">
        <v>118</v>
      </c>
      <c r="J39" s="1"/>
    </row>
    <row r="40" spans="2:21">
      <c r="B40" s="42"/>
      <c r="E40" s="56"/>
      <c r="I40" t="s">
        <v>122</v>
      </c>
      <c r="J40">
        <v>0.64</v>
      </c>
    </row>
    <row r="41" spans="2:21">
      <c r="B41" s="42"/>
      <c r="E41" s="56"/>
    </row>
    <row r="42" spans="2:21">
      <c r="B42" s="42"/>
      <c r="E42" s="56"/>
    </row>
    <row r="43" spans="2:21">
      <c r="B43" s="54"/>
      <c r="C43" s="55"/>
      <c r="D43" s="55"/>
      <c r="E43" s="56"/>
    </row>
    <row r="44" spans="2:21">
      <c r="B44" s="54"/>
      <c r="C44" s="55"/>
      <c r="D44" s="55"/>
      <c r="E44" s="56"/>
    </row>
    <row r="45" spans="2:21">
      <c r="B45" s="54"/>
      <c r="C45" s="55"/>
      <c r="D45" s="55"/>
      <c r="E45" s="56"/>
    </row>
    <row r="46" spans="2:21">
      <c r="B46" s="54"/>
      <c r="C46" s="55"/>
      <c r="D46" s="55"/>
      <c r="E46" s="56"/>
    </row>
    <row r="47" spans="2:21">
      <c r="B47" s="54"/>
      <c r="C47" s="55"/>
      <c r="D47" s="55"/>
      <c r="E47" s="56"/>
    </row>
    <row r="48" spans="2:21">
      <c r="B48" s="54"/>
      <c r="C48" s="55"/>
      <c r="D48" s="55"/>
      <c r="E48" s="56"/>
    </row>
    <row r="49" spans="2:5">
      <c r="B49" s="54"/>
      <c r="C49" s="55"/>
      <c r="D49" s="55"/>
      <c r="E49" s="56"/>
    </row>
    <row r="50" spans="2:5">
      <c r="B50" s="42"/>
      <c r="E50" s="56"/>
    </row>
    <row r="51" spans="2:5">
      <c r="B51" s="54"/>
      <c r="C51" s="55"/>
      <c r="D51" s="55"/>
      <c r="E51" s="56"/>
    </row>
    <row r="52" spans="2:5">
      <c r="B52" s="54"/>
      <c r="C52" s="55"/>
      <c r="D52" s="55"/>
      <c r="E52" s="56"/>
    </row>
    <row r="53" spans="2:5">
      <c r="B53" s="42"/>
      <c r="E53" s="56"/>
    </row>
    <row r="54" spans="2:5">
      <c r="B54" s="42"/>
      <c r="E54" s="7"/>
    </row>
    <row r="55" spans="2:5">
      <c r="B55" s="54"/>
      <c r="C55" s="55"/>
      <c r="D55" s="55"/>
      <c r="E55" s="7"/>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Background Signal (Dead Value) " prompt="This cell requires the researcher to determine if the background signal (dead) value for this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measured value and error for wild type should be entered in the boxes to the right." sqref="A5" xr:uid="{00000000-0002-0000-0100-000007000000}"/>
    <dataValidation allowBlank="1" showInputMessage="1" showErrorMessage="1" promptTitle="Data for wild type" prompt="Enter the measured value for the wild type protein here." sqref="D5" xr:uid="{00000000-0002-0000-0100-000008000000}"/>
    <dataValidation allowBlank="1" showInputMessage="1" showErrorMessage="1" promptTitle="Error for wild type" prompt="Enter the error for the wild type measured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measured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measured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election activeCell="G26" sqref="G26"/>
    </sheetView>
  </sheetViews>
  <sheetFormatPr defaultRowHeight="15.5"/>
  <sheetData>
    <row r="1" spans="1:1">
      <c r="A1"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5"/>
  <sheetData>
    <row r="1" spans="1:16">
      <c r="A1" t="s">
        <v>79</v>
      </c>
      <c r="J1" s="2" t="s">
        <v>12</v>
      </c>
      <c r="K1" s="2"/>
      <c r="O1" s="2" t="s">
        <v>78</v>
      </c>
    </row>
    <row r="2" spans="1:16" ht="16" thickBot="1">
      <c r="B2" t="s">
        <v>0</v>
      </c>
      <c r="C2" t="s">
        <v>1</v>
      </c>
      <c r="D2" t="s">
        <v>2</v>
      </c>
      <c r="E2" t="s">
        <v>3</v>
      </c>
      <c r="F2" t="s">
        <v>75</v>
      </c>
      <c r="G2" t="s">
        <v>76</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77</v>
      </c>
      <c r="I4004" t="s">
        <v>77</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404"/>
  <sheetViews>
    <sheetView zoomScale="69" workbookViewId="0">
      <selection activeCell="B1" sqref="B1"/>
    </sheetView>
  </sheetViews>
  <sheetFormatPr defaultColWidth="11" defaultRowHeight="15.5"/>
  <cols>
    <col min="6" max="6" width="15" bestFit="1" customWidth="1"/>
    <col min="7" max="7" width="17.08203125" bestFit="1" customWidth="1"/>
    <col min="17" max="17" width="18.58203125" bestFit="1" customWidth="1"/>
    <col min="20" max="20" width="25.33203125" bestFit="1" customWidth="1"/>
  </cols>
  <sheetData>
    <row r="1" spans="1:21">
      <c r="B1" s="2" t="s">
        <v>2</v>
      </c>
      <c r="J1" s="2" t="s">
        <v>12</v>
      </c>
      <c r="K1" s="2"/>
      <c r="L1" s="2"/>
      <c r="M1" s="2"/>
      <c r="Q1" s="2" t="s">
        <v>13</v>
      </c>
      <c r="T1" s="2" t="s">
        <v>62</v>
      </c>
    </row>
    <row r="2" spans="1:21">
      <c r="B2" t="s">
        <v>0</v>
      </c>
      <c r="C2" t="s">
        <v>2</v>
      </c>
      <c r="D2" t="s">
        <v>3</v>
      </c>
      <c r="E2" t="s">
        <v>10</v>
      </c>
      <c r="F2" t="s">
        <v>11</v>
      </c>
      <c r="G2" t="s">
        <v>24</v>
      </c>
      <c r="H2" t="s">
        <v>25</v>
      </c>
      <c r="O2" t="s">
        <v>58</v>
      </c>
    </row>
    <row r="3" spans="1:21">
      <c r="A3" s="13" t="s">
        <v>27</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60</v>
      </c>
      <c r="M3" t="s">
        <v>59</v>
      </c>
      <c r="N3" t="s">
        <v>57</v>
      </c>
      <c r="O3" t="s">
        <v>65</v>
      </c>
      <c r="Q3" t="s">
        <v>14</v>
      </c>
      <c r="R3">
        <f>MIN(G4:G404)</f>
        <v>0</v>
      </c>
      <c r="T3" t="s">
        <v>69</v>
      </c>
    </row>
    <row r="4" spans="1:21">
      <c r="A4" t="s">
        <v>27</v>
      </c>
      <c r="B4" t="str">
        <f>'Input and Summary Results'!G$8</f>
        <v xml:space="preserve"> </v>
      </c>
      <c r="C4" t="b">
        <f>IF(B4=0,FALSE,IF(ISNUMBER('Input and Summary Results'!$D$5),'Input and Summary Results'!$D$5,FALSE))</f>
        <v>0</v>
      </c>
      <c r="D4">
        <f>IF(B4=0,FALSE,'Input and Summary Results'!$E$5)</f>
        <v>0</v>
      </c>
      <c r="E4" t="b">
        <f t="shared" ref="E4:E67" si="0">IF(C4=FALSE,FALSE,LOG10(C4))</f>
        <v>0</v>
      </c>
      <c r="F4" t="e">
        <f>IF(D4=FALSE, FALSE,0.434*D4/C4)</f>
        <v>#DIV/0!</v>
      </c>
      <c r="G4" t="b">
        <f>IF(B4=" ",FALSE,(IF('Input and Summary Results'!$J$4="yes",'Data Transformation'!E4,'Data Transformation'!C4)))</f>
        <v>0</v>
      </c>
      <c r="H4" t="b">
        <f>IF(B4=" ",FALSE,(IF('Input and Summary Results'!$J$4="yes",'Data Transformation'!F4,'Data Transformation'!D4)))</f>
        <v>0</v>
      </c>
      <c r="J4" t="s">
        <v>28</v>
      </c>
      <c r="M4" t="str">
        <f>J4</f>
        <v>all</v>
      </c>
      <c r="N4">
        <f>COUNTIF(B24:B404,"&gt;0")+COUNTIF(B4,"&gt;0")</f>
        <v>0</v>
      </c>
      <c r="O4" t="b">
        <f t="shared" ref="O4:O25" si="1">IF(N4&gt;4,N4,FALSE)</f>
        <v>0</v>
      </c>
      <c r="Q4" t="s">
        <v>15</v>
      </c>
      <c r="R4">
        <f>IF('Input and Summary Results'!J4="yes",MAX('Data Transformation'!E24:E404),MAX(C24:C404))</f>
        <v>0</v>
      </c>
      <c r="T4" t="s">
        <v>61</v>
      </c>
    </row>
    <row r="5" spans="1:21">
      <c r="A5" t="s">
        <v>27</v>
      </c>
      <c r="B5" t="str">
        <f>'Input and Summary Results'!$G9</f>
        <v xml:space="preserve"> </v>
      </c>
      <c r="C5" t="b">
        <f>IF(B5=0,FALSE,IF(ISNUMBER('Input and Summary Results'!$D$5),'Input and Summary Results'!$D$5,FALSE))</f>
        <v>0</v>
      </c>
      <c r="D5">
        <f>IF(B5=0,FALSE,'Input and Summary Results'!$E$5)</f>
        <v>0</v>
      </c>
      <c r="E5" t="b">
        <f t="shared" si="0"/>
        <v>0</v>
      </c>
      <c r="F5" t="e">
        <f t="shared" ref="F5:F67" si="2">IF(D5=FALSE, FALSE,0.434*D5/C5)</f>
        <v>#DIV/0!</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t="e">
        <f>$G$3</f>
        <v>#NUM!</v>
      </c>
      <c r="T5" t="s">
        <v>63</v>
      </c>
    </row>
    <row r="6" spans="1:21">
      <c r="A6" t="s">
        <v>27</v>
      </c>
      <c r="B6" t="str">
        <f>'Input and Summary Results'!$G10</f>
        <v xml:space="preserve"> </v>
      </c>
      <c r="C6" t="b">
        <f>IF(B6=0,FALSE,IF(ISNUMBER('Input and Summary Results'!$D$5),'Input and Summary Results'!$D$5,FALSE))</f>
        <v>0</v>
      </c>
      <c r="D6">
        <f>IF(B6=0,FALSE,'Input and Summary Results'!$E$5)</f>
        <v>0</v>
      </c>
      <c r="E6" t="b">
        <f t="shared" si="0"/>
        <v>0</v>
      </c>
      <c r="F6" t="e">
        <f t="shared" si="2"/>
        <v>#DIV/0!</v>
      </c>
      <c r="G6" t="b">
        <f>IF(B6=" ",FALSE,(IF('Input and Summary Results'!$J$4="yes",'Data Transformation'!E6,'Data Transformation'!C6)))</f>
        <v>0</v>
      </c>
      <c r="H6" t="b">
        <f>IF(B6=" ",FALSE,(IF('Input and Summary Results'!$J$4="yes",'Data Transformation'!F6,'Data Transformation'!D6)))</f>
        <v>0</v>
      </c>
      <c r="J6" s="18" t="e">
        <f>LOOKUP(2,1/(COUNTIF($J$4:J5,'Input and Summary Results'!$B$7:$B$404)=0),'Input and Summary Results'!$B$7:$B$404)</f>
        <v>#N/A</v>
      </c>
      <c r="K6" s="18" t="str">
        <f t="shared" ref="K6:K25" si="3">IFERROR(J6," ")</f>
        <v xml:space="preserve"> </v>
      </c>
      <c r="L6" s="18">
        <v>1</v>
      </c>
      <c r="M6" t="e">
        <f>SMALL($K$6:$K$25,L6)</f>
        <v>#NUM!</v>
      </c>
      <c r="N6">
        <f>COUNTIF($B$4:$B$404,$M6)</f>
        <v>0</v>
      </c>
      <c r="O6" t="b">
        <f t="shared" si="1"/>
        <v>0</v>
      </c>
      <c r="Q6" t="s">
        <v>16</v>
      </c>
      <c r="R6" s="52">
        <f>IF('Input and Summary Results'!J4="yes",LOG('Input and Summary Results'!J17,10),'Input and Summary Results'!J17)</f>
        <v>0</v>
      </c>
    </row>
    <row r="7" spans="1:21">
      <c r="A7" t="s">
        <v>27</v>
      </c>
      <c r="B7" t="str">
        <f>'Input and Summary Results'!$G11</f>
        <v xml:space="preserve"> </v>
      </c>
      <c r="C7" t="b">
        <f>IF(B7=0,FALSE,IF(ISNUMBER('Input and Summary Results'!$D$5),'Input and Summary Results'!$D$5,FALSE))</f>
        <v>0</v>
      </c>
      <c r="D7">
        <f>IF(B7=0,FALSE,'Input and Summary Results'!$E$5)</f>
        <v>0</v>
      </c>
      <c r="E7" t="b">
        <f t="shared" si="0"/>
        <v>0</v>
      </c>
      <c r="F7" t="e">
        <f t="shared" si="2"/>
        <v>#DIV/0!</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1">
      <c r="A8" t="s">
        <v>27</v>
      </c>
      <c r="B8" t="str">
        <f>'Input and Summary Results'!$G12</f>
        <v xml:space="preserve"> </v>
      </c>
      <c r="C8" t="b">
        <f>IF(B8=0,FALSE,IF(ISNUMBER('Input and Summary Results'!$D$5),'Input and Summary Results'!$D$5,FALSE))</f>
        <v>0</v>
      </c>
      <c r="D8">
        <f>IF(B8=0,FALSE,'Input and Summary Results'!$E$5)</f>
        <v>0</v>
      </c>
      <c r="E8" t="b">
        <f t="shared" si="0"/>
        <v>0</v>
      </c>
      <c r="F8" t="e">
        <f t="shared" si="2"/>
        <v>#DIV/0!</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1</v>
      </c>
    </row>
    <row r="9" spans="1:21">
      <c r="A9" t="s">
        <v>27</v>
      </c>
      <c r="B9" t="str">
        <f>'Input and Summary Results'!$G13</f>
        <v xml:space="preserve"> </v>
      </c>
      <c r="C9" t="b">
        <f>IF(B9=0,FALSE,IF(ISNUMBER('Input and Summary Results'!$D$5),'Input and Summary Results'!$D$5,FALSE))</f>
        <v>0</v>
      </c>
      <c r="D9">
        <f>IF(B9=0,FALSE,'Input and Summary Results'!$E$5)</f>
        <v>0</v>
      </c>
      <c r="E9" t="b">
        <f t="shared" si="0"/>
        <v>0</v>
      </c>
      <c r="F9" t="e">
        <f t="shared" si="2"/>
        <v>#DIV/0!</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v>
      </c>
      <c r="T9" t="s">
        <v>88</v>
      </c>
      <c r="U9">
        <f>IF('Input and Summary Results'!J4="yes",10^R10,R10)</f>
        <v>1</v>
      </c>
    </row>
    <row r="10" spans="1:21">
      <c r="A10" t="s">
        <v>27</v>
      </c>
      <c r="B10" t="str">
        <f>'Input and Summary Results'!$G14</f>
        <v xml:space="preserve"> </v>
      </c>
      <c r="C10" t="b">
        <f>IF(B10=0,FALSE,IF(ISNUMBER('Input and Summary Results'!$D$5),'Input and Summary Results'!$D$5,FALSE))</f>
        <v>0</v>
      </c>
      <c r="D10">
        <f>IF(B10=0,FALSE,'Input and Summary Results'!$E$5)</f>
        <v>0</v>
      </c>
      <c r="E10" t="b">
        <f t="shared" si="0"/>
        <v>0</v>
      </c>
      <c r="F10" t="e">
        <f t="shared" si="2"/>
        <v>#DIV/0!</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0</v>
      </c>
    </row>
    <row r="11" spans="1:21">
      <c r="A11" t="s">
        <v>27</v>
      </c>
      <c r="B11" t="str">
        <f>'Input and Summary Results'!$G15</f>
        <v xml:space="preserve"> </v>
      </c>
      <c r="C11" t="b">
        <f>IF(B11=0,FALSE,IF(ISNUMBER('Input and Summary Results'!$D$5),'Input and Summary Results'!$D$5,FALSE))</f>
        <v>0</v>
      </c>
      <c r="D11">
        <f>IF(B11=0,FALSE,'Input and Summary Results'!$E$5)</f>
        <v>0</v>
      </c>
      <c r="E11" t="b">
        <f t="shared" si="0"/>
        <v>0</v>
      </c>
      <c r="F11" t="e">
        <f t="shared" si="2"/>
        <v>#DIV/0!</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109</v>
      </c>
      <c r="U11" t="e">
        <f>'Data Transformation'!$G$3+0.5*'Data Transformation'!$U$25</f>
        <v>#NUM!</v>
      </c>
    </row>
    <row r="12" spans="1:21">
      <c r="A12" t="s">
        <v>27</v>
      </c>
      <c r="B12" t="str">
        <f>'Input and Summary Results'!$G16</f>
        <v xml:space="preserve"> </v>
      </c>
      <c r="C12" t="b">
        <f>IF(B12=0,FALSE,IF(ISNUMBER('Input and Summary Results'!$D$5),'Input and Summary Results'!$D$5,FALSE))</f>
        <v>0</v>
      </c>
      <c r="D12">
        <f>IF(B12=0,FALSE,'Input and Summary Results'!$E$5)</f>
        <v>0</v>
      </c>
      <c r="E12" t="b">
        <f t="shared" si="0"/>
        <v>0</v>
      </c>
      <c r="F12" t="e">
        <f t="shared" si="2"/>
        <v>#DIV/0!</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112</v>
      </c>
      <c r="U12" t="e">
        <f>U11-U25</f>
        <v>#NUM!</v>
      </c>
    </row>
    <row r="13" spans="1:21">
      <c r="A13" t="s">
        <v>27</v>
      </c>
      <c r="B13" t="str">
        <f>'Input and Summary Results'!$G17</f>
        <v xml:space="preserve"> </v>
      </c>
      <c r="C13" t="b">
        <f>IF(B13=0,FALSE,IF(ISNUMBER('Input and Summary Results'!$D$5),'Input and Summary Results'!$D$5,FALSE))</f>
        <v>0</v>
      </c>
      <c r="D13">
        <f>IF(B13=0,FALSE,'Input and Summary Results'!$E$5)</f>
        <v>0</v>
      </c>
      <c r="E13" t="b">
        <f t="shared" si="0"/>
        <v>0</v>
      </c>
      <c r="F13" t="e">
        <f t="shared" si="2"/>
        <v>#DIV/0!</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1">
      <c r="A14" t="s">
        <v>27</v>
      </c>
      <c r="B14" t="str">
        <f>'Input and Summary Results'!$G18</f>
        <v xml:space="preserve"> </v>
      </c>
      <c r="C14" t="b">
        <f>IF(B14=0,FALSE,IF(ISNUMBER('Input and Summary Results'!$D$5),'Input and Summary Results'!$D$5,FALSE))</f>
        <v>0</v>
      </c>
      <c r="D14">
        <f>IF(B14=0,FALSE,'Input and Summary Results'!$E$5)</f>
        <v>0</v>
      </c>
      <c r="E14" t="b">
        <f t="shared" si="0"/>
        <v>0</v>
      </c>
      <c r="F14" t="e">
        <f t="shared" si="2"/>
        <v>#DIV/0!</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92</v>
      </c>
      <c r="R14" t="e">
        <f>_xlfn.AGGREGATE(1,6,H3,H24:H404)</f>
        <v>#DIV/0!</v>
      </c>
    </row>
    <row r="15" spans="1:21">
      <c r="A15" t="s">
        <v>27</v>
      </c>
      <c r="B15" t="str">
        <f>'Input and Summary Results'!$G19</f>
        <v xml:space="preserve"> </v>
      </c>
      <c r="C15" t="b">
        <f>IF(B15=0,FALSE,IF(ISNUMBER('Input and Summary Results'!$D$5),'Input and Summary Results'!$D$5,FALSE))</f>
        <v>0</v>
      </c>
      <c r="D15">
        <f>IF(B15=0,FALSE,'Input and Summary Results'!$E$5)</f>
        <v>0</v>
      </c>
      <c r="E15" t="b">
        <f t="shared" si="0"/>
        <v>0</v>
      </c>
      <c r="F15" t="e">
        <f t="shared" si="2"/>
        <v>#DIV/0!</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93</v>
      </c>
      <c r="R15" t="e">
        <f>IF('Input and Summary Results'!J19="",'Data Transformation'!R14,(IF('Input and Summary Results'!J4="yes",'Input and Summary Results'!J19*0.434/C3,'Input and Summary Results'!J19)))</f>
        <v>#DIV/0!</v>
      </c>
    </row>
    <row r="16" spans="1:21">
      <c r="A16" t="s">
        <v>27</v>
      </c>
      <c r="B16" t="str">
        <f>'Input and Summary Results'!$G20</f>
        <v xml:space="preserve"> </v>
      </c>
      <c r="C16" t="b">
        <f>IF(B16=0,FALSE,IF(ISNUMBER('Input and Summary Results'!$D$5),'Input and Summary Results'!$D$5,FALSE))</f>
        <v>0</v>
      </c>
      <c r="D16">
        <f>IF(B16=0,FALSE,'Input and Summary Results'!$E$5)</f>
        <v>0</v>
      </c>
      <c r="E16" t="b">
        <f t="shared" si="0"/>
        <v>0</v>
      </c>
      <c r="F16" t="e">
        <f t="shared" si="2"/>
        <v>#DIV/0!</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102</v>
      </c>
      <c r="R16" t="e">
        <f>R15*2</f>
        <v>#DIV/0!</v>
      </c>
    </row>
    <row r="17" spans="1:23">
      <c r="A17" t="s">
        <v>27</v>
      </c>
      <c r="B17" t="str">
        <f>'Input and Summary Results'!$G21</f>
        <v xml:space="preserve"> </v>
      </c>
      <c r="C17" t="b">
        <f>IF(B17=0,FALSE,IF(ISNUMBER('Input and Summary Results'!$D$5),'Input and Summary Results'!$D$5,FALSE))</f>
        <v>0</v>
      </c>
      <c r="D17">
        <f>IF(B17=0,FALSE,'Input and Summary Results'!$E$5)</f>
        <v>0</v>
      </c>
      <c r="E17" t="b">
        <f t="shared" si="0"/>
        <v>0</v>
      </c>
      <c r="F17" t="e">
        <f t="shared" si="2"/>
        <v>#DIV/0!</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t="b">
        <f>IF(B18=0,FALSE,IF(ISNUMBER('Input and Summary Results'!$D$5),'Input and Summary Results'!$D$5,FALSE))</f>
        <v>0</v>
      </c>
      <c r="D18">
        <f>IF(B18=0,FALSE,'Input and Summary Results'!$E$5)</f>
        <v>0</v>
      </c>
      <c r="E18" t="b">
        <f t="shared" si="0"/>
        <v>0</v>
      </c>
      <c r="F18" t="e">
        <f t="shared" si="2"/>
        <v>#DIV/0!</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t="b">
        <f>IF(B19=0,FALSE,IF(ISNUMBER('Input and Summary Results'!$D$5),'Input and Summary Results'!$D$5,FALSE))</f>
        <v>0</v>
      </c>
      <c r="D19">
        <f>IF(B19=0,FALSE,'Input and Summary Results'!$E$5)</f>
        <v>0</v>
      </c>
      <c r="E19" t="b">
        <f t="shared" si="0"/>
        <v>0</v>
      </c>
      <c r="F19" t="e">
        <f t="shared" si="2"/>
        <v>#DIV/0!</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t="e">
        <f>(R10-R9)/R16</f>
        <v>#DIV/0!</v>
      </c>
    </row>
    <row r="20" spans="1:23">
      <c r="A20" t="s">
        <v>27</v>
      </c>
      <c r="B20" t="str">
        <f>'Input and Summary Results'!$G24</f>
        <v xml:space="preserve"> </v>
      </c>
      <c r="C20" t="b">
        <f>IF(B20=0,FALSE,IF(ISNUMBER('Input and Summary Results'!$D$5),'Input and Summary Results'!$D$5,FALSE))</f>
        <v>0</v>
      </c>
      <c r="D20">
        <f>IF(B20=0,FALSE,'Input and Summary Results'!$E$5)</f>
        <v>0</v>
      </c>
      <c r="E20" t="b">
        <f t="shared" si="0"/>
        <v>0</v>
      </c>
      <c r="F20" t="e">
        <f t="shared" si="2"/>
        <v>#DIV/0!</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t="e">
        <f>AVERAGE(O5:O24)</f>
        <v>#DIV/0!</v>
      </c>
    </row>
    <row r="21" spans="1:23">
      <c r="A21" t="s">
        <v>27</v>
      </c>
      <c r="B21" t="str">
        <f>'Input and Summary Results'!$G25</f>
        <v xml:space="preserve"> </v>
      </c>
      <c r="C21" t="b">
        <f>IF(B21=0,FALSE,IF(ISNUMBER('Input and Summary Results'!$D$5),'Input and Summary Results'!$D$5,FALSE))</f>
        <v>0</v>
      </c>
      <c r="D21">
        <f>IF(B21=0,FALSE,'Input and Summary Results'!$E$5)</f>
        <v>0</v>
      </c>
      <c r="E21" t="b">
        <f t="shared" si="0"/>
        <v>0</v>
      </c>
      <c r="F21" t="e">
        <f t="shared" si="2"/>
        <v>#DIV/0!</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t="e">
        <f>MEDIAN(O5:O24)</f>
        <v>#NUM!</v>
      </c>
    </row>
    <row r="22" spans="1:23">
      <c r="A22" t="s">
        <v>27</v>
      </c>
      <c r="B22" t="str">
        <f>'Input and Summary Results'!$G26</f>
        <v xml:space="preserve"> </v>
      </c>
      <c r="C22" t="b">
        <f>IF(B22=0,FALSE,IF(ISNUMBER('Input and Summary Results'!$D$5),'Input and Summary Results'!$D$5,FALSE))</f>
        <v>0</v>
      </c>
      <c r="D22">
        <f>IF(B22=0,FALSE,'Input and Summary Results'!$E$5)</f>
        <v>0</v>
      </c>
      <c r="E22" t="b">
        <f t="shared" si="0"/>
        <v>0</v>
      </c>
      <c r="F22" t="e">
        <f t="shared" si="2"/>
        <v>#DIV/0!</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t="b">
        <f>IF(B23=0,FALSE,IF(ISNUMBER('Input and Summary Results'!$D$5),'Input and Summary Results'!$D$5,FALSE))</f>
        <v>0</v>
      </c>
      <c r="D23">
        <f>IF(B23=0,FALSE,'Input and Summary Results'!$E$5)</f>
        <v>0</v>
      </c>
      <c r="E23" t="b">
        <f t="shared" si="0"/>
        <v>0</v>
      </c>
      <c r="F23" t="e">
        <f t="shared" si="2"/>
        <v>#DIV/0!</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t="e">
        <f>ROUNDDOWN(MIN(R19:R21),0)</f>
        <v>#DIV/0!</v>
      </c>
    </row>
    <row r="24" spans="1:23">
      <c r="B24" t="b">
        <f>IF('Input and Summary Results'!D7="",FALSE,'Input and Summary Results'!$B7)</f>
        <v>0</v>
      </c>
      <c r="C24" t="b">
        <f>IF(OR(B24=0,'Input and Summary Results'!D7=0,'Input and Summary Results'!D7=""),FALSE,'Input and Summary Results'!$D7)</f>
        <v>0</v>
      </c>
      <c r="D24" t="b">
        <f>IF(OR(B24=0,'Input and Summary Results'!E7=0),FALSE,'Input and Summary Results'!$E7)</f>
        <v>0</v>
      </c>
      <c r="E24" t="b">
        <f t="shared" si="0"/>
        <v>0</v>
      </c>
      <c r="F24" t="b">
        <f t="shared" si="2"/>
        <v>0</v>
      </c>
      <c r="G24" t="b">
        <f>IF('Input and Summary Results'!$J$4="yes",IF(C24=FALSE,FALSE,IF(E24&lt;$R$10,'Data Transformation'!E24,$R$10)),IF(C24=FALSE,FALSE,IF('Data Transformation'!C24&lt;$R$10,C24,$R$10)))</f>
        <v>0</v>
      </c>
      <c r="H24" t="b">
        <f>IF('Input and Summary Results'!$J$4="yes",'Data Transformation'!F24,'Data Transformation'!D24)</f>
        <v>0</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t="e">
        <f>IF('Input and Summary Results'!J23&gt;0,(ROUNDDOWN('Input and Summary Results'!J23,0)),'Data Transformation'!R23)</f>
        <v>#DIV/0!</v>
      </c>
    </row>
    <row r="25" spans="1:23">
      <c r="B25" t="b">
        <f>IF('Input and Summary Results'!D8="",FALSE,'Input and Summary Results'!$B8)</f>
        <v>0</v>
      </c>
      <c r="C25" t="b">
        <f>IF(OR(B25=0,'Input and Summary Results'!D8=0,'Input and Summary Results'!D8=""),FALSE,'Input and Summary Results'!$D8)</f>
        <v>0</v>
      </c>
      <c r="D25" t="b">
        <f>IF(OR(B25=0,'Input and Summary Results'!E8=0),FALSE,'Input and Summary Results'!$E8)</f>
        <v>0</v>
      </c>
      <c r="E25" t="b">
        <f t="shared" si="0"/>
        <v>0</v>
      </c>
      <c r="F25" t="b">
        <f t="shared" si="2"/>
        <v>0</v>
      </c>
      <c r="G25" t="b">
        <f>IF('Input and Summary Results'!$J$4="yes",IF(C25=FALSE,FALSE,IF(E25&lt;$R$10,'Data Transformation'!E25,$R$10)),IF(C25=FALSE,FALSE,IF('Data Transformation'!C25&lt;$R$10,C25,$R$10)))</f>
        <v>0</v>
      </c>
      <c r="H25" t="b">
        <f>IF('Input and Summary Results'!$J$4="yes",'Data Transformation'!F25,'Data Transformation'!D25)</f>
        <v>0</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t="e">
        <f>(R10-R9)/R24</f>
        <v>#DIV/0!</v>
      </c>
      <c r="T25" t="s">
        <v>114</v>
      </c>
      <c r="U25" t="e">
        <f>IF(ISNUMBER('Input and Summary Results'!J27),'Input and Summary Results'!J27,IF(OR(ISNUMBER('Input and Summary Results'!E5),ISNUMBER('Input and Summary Results'!J19),),'Data Transformation'!W25*4,'Data Transformation'!U26))</f>
        <v>#DIV/0!</v>
      </c>
      <c r="V25" t="s">
        <v>136</v>
      </c>
      <c r="W25">
        <f>IF(ISNUMBER('Input and Summary Results'!J19),'Data Transformation'!R15,IF(ISNUMBER('Input and Summary Results'!E5),'Data Transformation'!H3,))</f>
        <v>0</v>
      </c>
    </row>
    <row r="26" spans="1:23">
      <c r="B26" t="b">
        <f>IF('Input and Summary Results'!D9="",FALSE,'Input and Summary Results'!$B9)</f>
        <v>0</v>
      </c>
      <c r="C26" t="b">
        <f>IF(OR(B26=0,'Input and Summary Results'!D9=0,'Input and Summary Results'!D9=""),FALSE,'Input and Summary Results'!$D9)</f>
        <v>0</v>
      </c>
      <c r="D26" t="b">
        <f>IF(OR(B26=0,'Input and Summary Results'!E9=0),FALSE,'Input and Summary Results'!$E9)</f>
        <v>0</v>
      </c>
      <c r="E26" t="b">
        <f t="shared" si="0"/>
        <v>0</v>
      </c>
      <c r="F26" t="b">
        <f t="shared" si="2"/>
        <v>0</v>
      </c>
      <c r="G26" t="b">
        <f>IF('Input and Summary Results'!$J$4="yes",IF(C26=FALSE,FALSE,IF(E26&lt;$R$10,'Data Transformation'!E26,$R$10)),IF(C26=FALSE,FALSE,IF('Data Transformation'!C26&lt;$R$10,C26,$R$10)))</f>
        <v>0</v>
      </c>
      <c r="H26" t="b">
        <f>IF('Input and Summary Results'!$J$4="yes",'Data Transformation'!F26,'Data Transformation'!D26)</f>
        <v>0</v>
      </c>
      <c r="J26" t="s">
        <v>30</v>
      </c>
      <c r="N26">
        <f>SUM(N5:N25)</f>
        <v>0</v>
      </c>
      <c r="Q26" t="s">
        <v>89</v>
      </c>
      <c r="R26" t="e">
        <f>10^R25</f>
        <v>#DIV/0!</v>
      </c>
      <c r="T26" t="s">
        <v>107</v>
      </c>
      <c r="U26" t="e">
        <f>R25*2</f>
        <v>#DIV/0!</v>
      </c>
    </row>
    <row r="27" spans="1:23">
      <c r="B27" t="b">
        <f>IF('Input and Summary Results'!D10="",FALSE,'Input and Summary Results'!$B10)</f>
        <v>0</v>
      </c>
      <c r="C27" t="b">
        <f>IF(OR(B27=0,'Input and Summary Results'!D10=0,'Input and Summary Results'!D10=""),FALSE,'Input and Summary Results'!$D10)</f>
        <v>0</v>
      </c>
      <c r="D27" t="b">
        <f>IF(OR(B27=0,'Input and Summary Results'!E10=0),FALSE,'Input and Summary Results'!$E10)</f>
        <v>0</v>
      </c>
      <c r="E27" t="b">
        <f t="shared" si="0"/>
        <v>0</v>
      </c>
      <c r="F27" t="b">
        <f t="shared" si="2"/>
        <v>0</v>
      </c>
      <c r="G27" t="b">
        <f>IF('Input and Summary Results'!$J$4="yes",IF(C27=FALSE,FALSE,IF(E27&lt;$R$10,'Data Transformation'!E27,$R$10)),IF(C27=FALSE,FALSE,IF('Data Transformation'!C27&lt;$R$10,C27,$R$10)))</f>
        <v>0</v>
      </c>
      <c r="H27" t="b">
        <f>IF('Input and Summary Results'!$J$4="yes",'Data Transformation'!F27,'Data Transformation'!D27)</f>
        <v>0</v>
      </c>
    </row>
    <row r="28" spans="1:23">
      <c r="B28" t="b">
        <f>IF('Input and Summary Results'!D11="",FALSE,'Input and Summary Results'!$B11)</f>
        <v>0</v>
      </c>
      <c r="C28" t="b">
        <f>IF(OR(B28=0,'Input and Summary Results'!D11=0,'Input and Summary Results'!D11=""),FALSE,'Input and Summary Results'!$D11)</f>
        <v>0</v>
      </c>
      <c r="D28" t="b">
        <f>IF(OR(B28=0,'Input and Summary Results'!E11=0),FALSE,'Input and Summary Results'!$E11)</f>
        <v>0</v>
      </c>
      <c r="E28" t="b">
        <f t="shared" si="0"/>
        <v>0</v>
      </c>
      <c r="F28" t="b">
        <f t="shared" si="2"/>
        <v>0</v>
      </c>
      <c r="G28" t="b">
        <f>IF('Input and Summary Results'!$J$4="yes",IF(C28=FALSE,FALSE,IF(E28&lt;$R$10,'Data Transformation'!E28,$R$10)),IF(C28=FALSE,FALSE,IF('Data Transformation'!C28&lt;$R$10,C28,$R$10)))</f>
        <v>0</v>
      </c>
      <c r="H28" t="b">
        <f>IF('Input and Summary Results'!$J$4="yes",'Data Transformation'!F28,'Data Transformation'!D28)</f>
        <v>0</v>
      </c>
      <c r="Q28" t="s">
        <v>124</v>
      </c>
      <c r="R28">
        <f>IF(ISNUMBER('Input and Summary Results'!J36),'Input and Summary Results'!J36,'Input and Summary Results'!J37)</f>
        <v>0.5</v>
      </c>
    </row>
    <row r="29" spans="1:23">
      <c r="B29" t="b">
        <f>IF('Input and Summary Results'!D12="",FALSE,'Input and Summary Results'!$B12)</f>
        <v>0</v>
      </c>
      <c r="C29" t="b">
        <f>IF(OR(B29=0,'Input and Summary Results'!D12=0,'Input and Summary Results'!D12=""),FALSE,'Input and Summary Results'!$D12)</f>
        <v>0</v>
      </c>
      <c r="D29" t="b">
        <f>IF(OR(B29=0,'Input and Summary Results'!E12=0),FALSE,'Input and Summary Results'!$E12)</f>
        <v>0</v>
      </c>
      <c r="E29" t="b">
        <f t="shared" si="0"/>
        <v>0</v>
      </c>
      <c r="F29" t="b">
        <f t="shared" si="2"/>
        <v>0</v>
      </c>
      <c r="G29" t="b">
        <f>IF('Input and Summary Results'!$J$4="yes",IF(C29=FALSE,FALSE,IF(E29&lt;$R$10,'Data Transformation'!E29,$R$10)),IF(C29=FALSE,FALSE,IF('Data Transformation'!C29&lt;$R$10,C29,$R$10)))</f>
        <v>0</v>
      </c>
      <c r="H29" t="b">
        <f>IF('Input and Summary Results'!$J$4="yes",'Data Transformation'!F29,'Data Transformation'!D29)</f>
        <v>0</v>
      </c>
      <c r="Q29" t="s">
        <v>125</v>
      </c>
      <c r="R29">
        <f>IF(ISNUMBER('Input and Summary Results'!J33),'Input and Summary Results'!J33,'Input and Summary Results'!J34)</f>
        <v>0.7</v>
      </c>
    </row>
    <row r="30" spans="1:23">
      <c r="B30" t="b">
        <f>IF('Input and Summary Results'!D13="",FALSE,'Input and Summary Results'!$B13)</f>
        <v>0</v>
      </c>
      <c r="C30" t="b">
        <f>IF(OR(B30=0,'Input and Summary Results'!D13=0,'Input and Summary Results'!D13=""),FALSE,'Input and Summary Results'!$D13)</f>
        <v>0</v>
      </c>
      <c r="D30" t="b">
        <f>IF(OR(B30=0,'Input and Summary Results'!E13=0),FALSE,'Input and Summary Results'!$E13)</f>
        <v>0</v>
      </c>
      <c r="E30" t="b">
        <f t="shared" si="0"/>
        <v>0</v>
      </c>
      <c r="F30" t="b">
        <f t="shared" si="2"/>
        <v>0</v>
      </c>
      <c r="G30" t="b">
        <f>IF('Input and Summary Results'!$J$4="yes",IF(C30=FALSE,FALSE,IF(E30&lt;$R$10,'Data Transformation'!E30,$R$10)),IF(C30=FALSE,FALSE,IF('Data Transformation'!C30&lt;$R$10,C30,$R$10)))</f>
        <v>0</v>
      </c>
      <c r="H30" t="b">
        <f>IF('Input and Summary Results'!$J$4="yes",'Data Transformation'!F30,'Data Transformation'!D30)</f>
        <v>0</v>
      </c>
      <c r="Q30" t="s">
        <v>126</v>
      </c>
      <c r="R30">
        <f>IF(ISNUMBER('Input and Summary Results'!J39),'Input and Summary Results'!J39,'Input and Summary Results'!J40)</f>
        <v>0.64</v>
      </c>
    </row>
    <row r="31" spans="1:23">
      <c r="B31" t="b">
        <f>IF('Input and Summary Results'!D14="",FALSE,'Input and Summary Results'!$B14)</f>
        <v>0</v>
      </c>
      <c r="C31" t="b">
        <f>IF(OR(B31=0,'Input and Summary Results'!D14=0,'Input and Summary Results'!D14=""),FALSE,'Input and Summary Results'!$D14)</f>
        <v>0</v>
      </c>
      <c r="D31" t="b">
        <f>IF(OR(B31=0,'Input and Summary Results'!E14=0),FALSE,'Input and Summary Results'!$E14)</f>
        <v>0</v>
      </c>
      <c r="E31" t="b">
        <f t="shared" si="0"/>
        <v>0</v>
      </c>
      <c r="F31" t="b">
        <f t="shared" si="2"/>
        <v>0</v>
      </c>
      <c r="G31" t="b">
        <f>IF('Input and Summary Results'!$J$4="yes",IF(C31=FALSE,FALSE,IF(E31&lt;$R$10,'Data Transformation'!E31,$R$10)),IF(C31=FALSE,FALSE,IF('Data Transformation'!C31&lt;$R$10,C31,$R$10)))</f>
        <v>0</v>
      </c>
      <c r="H31" t="b">
        <f>IF('Input and Summary Results'!$J$4="yes",'Data Transformation'!F31,'Data Transformation'!D31)</f>
        <v>0</v>
      </c>
      <c r="Q31" t="s">
        <v>127</v>
      </c>
      <c r="R31">
        <f>IF(ISNUMBER('Input and Summary Results'!J30),'Input and Summary Results'!J30,'Input and Summary Results'!J31)</f>
        <v>0.8</v>
      </c>
    </row>
    <row r="32" spans="1:23">
      <c r="B32" t="b">
        <f>IF('Input and Summary Results'!D15="",FALSE,'Input and Summary Results'!$B15)</f>
        <v>0</v>
      </c>
      <c r="C32" t="b">
        <f>IF(OR(B32=0,'Input and Summary Results'!D15=0,'Input and Summary Results'!D15=""),FALSE,'Input and Summary Results'!$D15)</f>
        <v>0</v>
      </c>
      <c r="D32" t="b">
        <f>IF(OR(B32=0,'Input and Summary Results'!E15=0),FALSE,'Input and Summary Results'!$E15)</f>
        <v>0</v>
      </c>
      <c r="E32" t="b">
        <f t="shared" si="0"/>
        <v>0</v>
      </c>
      <c r="F32" t="b">
        <f t="shared" si="2"/>
        <v>0</v>
      </c>
      <c r="G32" t="b">
        <f>IF('Input and Summary Results'!$J$4="yes",IF(C32=FALSE,FALSE,IF(E32&lt;$R$10,'Data Transformation'!E32,$R$10)),IF(C32=FALSE,FALSE,IF('Data Transformation'!C32&lt;$R$10,C32,$R$10)))</f>
        <v>0</v>
      </c>
      <c r="H32" t="b">
        <f>IF('Input and Summary Results'!$J$4="yes",'Data Transformation'!F32,'Data Transformation'!D32)</f>
        <v>0</v>
      </c>
    </row>
    <row r="33" spans="2:8">
      <c r="B33" t="b">
        <f>IF('Input and Summary Results'!D16="",FALSE,'Input and Summary Results'!$B16)</f>
        <v>0</v>
      </c>
      <c r="C33" t="b">
        <f>IF(OR(B33=0,'Input and Summary Results'!D16=0,'Input and Summary Results'!D16=""),FALSE,'Input and Summary Results'!$D16)</f>
        <v>0</v>
      </c>
      <c r="D33" t="b">
        <f>IF(OR(B33=0,'Input and Summary Results'!E16=0),FALSE,'Input and Summary Results'!$E16)</f>
        <v>0</v>
      </c>
      <c r="E33" t="b">
        <f t="shared" si="0"/>
        <v>0</v>
      </c>
      <c r="F33" t="b">
        <f t="shared" si="2"/>
        <v>0</v>
      </c>
      <c r="G33" t="b">
        <f>IF('Input and Summary Results'!$J$4="yes",IF(C33=FALSE,FALSE,IF(E33&lt;$R$10,'Data Transformation'!E33,$R$10)),IF(C33=FALSE,FALSE,IF('Data Transformation'!C33&lt;$R$10,C33,$R$10)))</f>
        <v>0</v>
      </c>
      <c r="H33" t="b">
        <f>IF('Input and Summary Results'!$J$4="yes",'Data Transformation'!F33,'Data Transformation'!D33)</f>
        <v>0</v>
      </c>
    </row>
    <row r="34" spans="2:8">
      <c r="B34" t="b">
        <f>IF('Input and Summary Results'!D17="",FALSE,'Input and Summary Results'!$B17)</f>
        <v>0</v>
      </c>
      <c r="C34" t="b">
        <f>IF(OR(B34=0,'Input and Summary Results'!D17=0,'Input and Summary Results'!D17=""),FALSE,'Input and Summary Results'!$D17)</f>
        <v>0</v>
      </c>
      <c r="D34" t="b">
        <f>IF(OR(B34=0,'Input and Summary Results'!E17=0),FALSE,'Input and Summary Results'!$E17)</f>
        <v>0</v>
      </c>
      <c r="E34" t="b">
        <f t="shared" si="0"/>
        <v>0</v>
      </c>
      <c r="F34" t="b">
        <f t="shared" si="2"/>
        <v>0</v>
      </c>
      <c r="G34" t="b">
        <f>IF('Input and Summary Results'!$J$4="yes",IF(C34=FALSE,FALSE,IF(E34&lt;$R$10,'Data Transformation'!E34,$R$10)),IF(C34=FALSE,FALSE,IF('Data Transformation'!C34&lt;$R$10,C34,$R$10)))</f>
        <v>0</v>
      </c>
      <c r="H34" t="b">
        <f>IF('Input and Summary Results'!$J$4="yes",'Data Transformation'!F34,'Data Transformation'!D34)</f>
        <v>0</v>
      </c>
    </row>
    <row r="35" spans="2:8">
      <c r="B35" t="b">
        <f>IF('Input and Summary Results'!D18="",FALSE,'Input and Summary Results'!$B18)</f>
        <v>0</v>
      </c>
      <c r="C35" t="b">
        <f>IF(OR(B35=0,'Input and Summary Results'!D18=0,'Input and Summary Results'!D18=""),FALSE,'Input and Summary Results'!$D18)</f>
        <v>0</v>
      </c>
      <c r="D35" t="b">
        <f>IF(OR(B35=0,'Input and Summary Results'!E18=0),FALSE,'Input and Summary Results'!$E18)</f>
        <v>0</v>
      </c>
      <c r="E35" t="b">
        <f t="shared" si="0"/>
        <v>0</v>
      </c>
      <c r="F35" t="b">
        <f t="shared" si="2"/>
        <v>0</v>
      </c>
      <c r="G35" t="b">
        <f>IF('Input and Summary Results'!$J$4="yes",IF(C35=FALSE,FALSE,IF(E35&lt;$R$10,'Data Transformation'!E35,$R$10)),IF(C35=FALSE,FALSE,IF('Data Transformation'!C35&lt;$R$10,C35,$R$10)))</f>
        <v>0</v>
      </c>
      <c r="H35" t="b">
        <f>IF('Input and Summary Results'!$J$4="yes",'Data Transformation'!F35,'Data Transformation'!D35)</f>
        <v>0</v>
      </c>
    </row>
    <row r="36" spans="2:8">
      <c r="B36" t="b">
        <f>IF('Input and Summary Results'!D19="",FALSE,'Input and Summary Results'!$B19)</f>
        <v>0</v>
      </c>
      <c r="C36" t="b">
        <f>IF(OR(B36=0,'Input and Summary Results'!D19=0,'Input and Summary Results'!D19=""),FALSE,'Input and Summary Results'!$D19)</f>
        <v>0</v>
      </c>
      <c r="D36" t="b">
        <f>IF(OR(B36=0,'Input and Summary Results'!E19=0),FALSE,'Input and Summary Results'!$E19)</f>
        <v>0</v>
      </c>
      <c r="E36" t="b">
        <f t="shared" si="0"/>
        <v>0</v>
      </c>
      <c r="F36" t="b">
        <f t="shared" si="2"/>
        <v>0</v>
      </c>
      <c r="G36" t="b">
        <f>IF('Input and Summary Results'!$J$4="yes",IF(C36=FALSE,FALSE,IF(E36&lt;$R$10,'Data Transformation'!E36,$R$10)),IF(C36=FALSE,FALSE,IF('Data Transformation'!C36&lt;$R$10,C36,$R$10)))</f>
        <v>0</v>
      </c>
      <c r="H36" t="b">
        <f>IF('Input and Summary Results'!$J$4="yes",'Data Transformation'!F36,'Data Transformation'!D36)</f>
        <v>0</v>
      </c>
    </row>
    <row r="37" spans="2:8">
      <c r="B37" t="b">
        <f>IF('Input and Summary Results'!D20="",FALSE,'Input and Summary Results'!$B20)</f>
        <v>0</v>
      </c>
      <c r="C37" t="b">
        <f>IF(OR(B37=0,'Input and Summary Results'!D20=0,'Input and Summary Results'!D20=""),FALSE,'Input and Summary Results'!$D20)</f>
        <v>0</v>
      </c>
      <c r="D37" t="b">
        <f>IF(OR(B37=0,'Input and Summary Results'!E20=0),FALSE,'Input and Summary Results'!$E20)</f>
        <v>0</v>
      </c>
      <c r="E37" t="b">
        <f t="shared" si="0"/>
        <v>0</v>
      </c>
      <c r="F37" t="b">
        <f t="shared" si="2"/>
        <v>0</v>
      </c>
      <c r="G37" t="b">
        <f>IF('Input and Summary Results'!$J$4="yes",IF(C37=FALSE,FALSE,IF(E37&lt;$R$10,'Data Transformation'!E37,$R$10)),IF(C37=FALSE,FALSE,IF('Data Transformation'!C37&lt;$R$10,C37,$R$10)))</f>
        <v>0</v>
      </c>
      <c r="H37" t="b">
        <f>IF('Input and Summary Results'!$J$4="yes",'Data Transformation'!F37,'Data Transformation'!D37)</f>
        <v>0</v>
      </c>
    </row>
    <row r="38" spans="2:8">
      <c r="B38" t="b">
        <f>IF('Input and Summary Results'!D21="",FALSE,'Input and Summary Results'!$B21)</f>
        <v>0</v>
      </c>
      <c r="C38" t="b">
        <f>IF(OR(B38=0,'Input and Summary Results'!D21=0,'Input and Summary Results'!D21=""),FALSE,'Input and Summary Results'!$D21)</f>
        <v>0</v>
      </c>
      <c r="D38" t="b">
        <f>IF(OR(B38=0,'Input and Summary Results'!E21=0),FALSE,'Input and Summary Results'!$E21)</f>
        <v>0</v>
      </c>
      <c r="E38" t="b">
        <f t="shared" si="0"/>
        <v>0</v>
      </c>
      <c r="F38" t="b">
        <f t="shared" si="2"/>
        <v>0</v>
      </c>
      <c r="G38" t="b">
        <f>IF('Input and Summary Results'!$J$4="yes",IF(C38=FALSE,FALSE,IF(E38&lt;$R$10,'Data Transformation'!E38,$R$10)),IF(C38=FALSE,FALSE,IF('Data Transformation'!C38&lt;$R$10,C38,$R$10)))</f>
        <v>0</v>
      </c>
      <c r="H38" t="b">
        <f>IF('Input and Summary Results'!$J$4="yes",'Data Transformation'!F38,'Data Transformation'!D38)</f>
        <v>0</v>
      </c>
    </row>
    <row r="39" spans="2:8">
      <c r="B39" t="b">
        <f>IF('Input and Summary Results'!D22="",FALSE,'Input and Summary Results'!$B22)</f>
        <v>0</v>
      </c>
      <c r="C39" t="b">
        <f>IF(OR(B39=0,'Input and Summary Results'!D22=0,'Input and Summary Results'!D22=""),FALSE,'Input and Summary Results'!$D22)</f>
        <v>0</v>
      </c>
      <c r="D39" t="b">
        <f>IF(OR(B39=0,'Input and Summary Results'!E22=0),FALSE,'Input and Summary Results'!$E22)</f>
        <v>0</v>
      </c>
      <c r="E39" t="b">
        <f t="shared" si="0"/>
        <v>0</v>
      </c>
      <c r="F39" t="b">
        <f t="shared" si="2"/>
        <v>0</v>
      </c>
      <c r="G39" t="b">
        <f>IF('Input and Summary Results'!$J$4="yes",IF(C39=FALSE,FALSE,IF(E39&lt;$R$10,'Data Transformation'!E39,$R$10)),IF(C39=FALSE,FALSE,IF('Data Transformation'!C39&lt;$R$10,C39,$R$10)))</f>
        <v>0</v>
      </c>
      <c r="H39" t="b">
        <f>IF('Input and Summary Results'!$J$4="yes",'Data Transformation'!F39,'Data Transformation'!D39)</f>
        <v>0</v>
      </c>
    </row>
    <row r="40" spans="2:8">
      <c r="B40" t="b">
        <f>IF('Input and Summary Results'!D23="",FALSE,'Input and Summary Results'!$B23)</f>
        <v>0</v>
      </c>
      <c r="C40" t="b">
        <f>IF(OR(B40=0,'Input and Summary Results'!D23=0,'Input and Summary Results'!D23=""),FALSE,'Input and Summary Results'!$D23)</f>
        <v>0</v>
      </c>
      <c r="D40" t="b">
        <f>IF(OR(B40=0,'Input and Summary Results'!E23=0),FALSE,'Input and Summary Results'!$E23)</f>
        <v>0</v>
      </c>
      <c r="E40" t="b">
        <f t="shared" si="0"/>
        <v>0</v>
      </c>
      <c r="F40" t="b">
        <f t="shared" si="2"/>
        <v>0</v>
      </c>
      <c r="G40" t="b">
        <f>IF('Input and Summary Results'!$J$4="yes",IF(C40=FALSE,FALSE,IF(E40&lt;$R$10,'Data Transformation'!E40,$R$10)),IF(C40=FALSE,FALSE,IF('Data Transformation'!C40&lt;$R$10,C40,$R$10)))</f>
        <v>0</v>
      </c>
      <c r="H40" t="b">
        <f>IF('Input and Summary Results'!$J$4="yes",'Data Transformation'!F40,'Data Transformation'!D40)</f>
        <v>0</v>
      </c>
    </row>
    <row r="41" spans="2:8">
      <c r="B41" t="b">
        <f>IF('Input and Summary Results'!D24="",FALSE,'Input and Summary Results'!$B24)</f>
        <v>0</v>
      </c>
      <c r="C41" t="b">
        <f>IF(OR(B41=0,'Input and Summary Results'!D24=0,'Input and Summary Results'!D24=""),FALSE,'Input and Summary Results'!$D24)</f>
        <v>0</v>
      </c>
      <c r="D41" t="b">
        <f>IF(OR(B41=0,'Input and Summary Results'!E24=0),FALSE,'Input and Summary Results'!$E24)</f>
        <v>0</v>
      </c>
      <c r="E41" t="b">
        <f t="shared" si="0"/>
        <v>0</v>
      </c>
      <c r="F41" t="b">
        <f t="shared" si="2"/>
        <v>0</v>
      </c>
      <c r="G41" t="b">
        <f>IF('Input and Summary Results'!$J$4="yes",IF(C41=FALSE,FALSE,IF(E41&lt;$R$10,'Data Transformation'!E41,$R$10)),IF(C41=FALSE,FALSE,IF('Data Transformation'!C41&lt;$R$10,C41,$R$10)))</f>
        <v>0</v>
      </c>
      <c r="H41" t="b">
        <f>IF('Input and Summary Results'!$J$4="yes",'Data Transformation'!F41,'Data Transformation'!D41)</f>
        <v>0</v>
      </c>
    </row>
    <row r="42" spans="2:8">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t="e">
        <f>IF('Input and Summary Results'!$J$4="yes",'Data Transformation'!F178,'Data Transformation'!D178)</f>
        <v>#DIV/0!</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5"/>
  <cols>
    <col min="1" max="1" width="17" customWidth="1"/>
    <col min="2" max="2" width="12.58203125" bestFit="1" customWidth="1"/>
    <col min="3" max="3" width="19.58203125" bestFit="1" customWidth="1"/>
    <col min="4" max="4" width="5" customWidth="1"/>
    <col min="5" max="5" width="5.58203125" customWidth="1"/>
    <col min="6" max="6" width="4.58203125" customWidth="1"/>
    <col min="7" max="7" width="6.83203125" customWidth="1"/>
    <col min="11" max="11" width="13" bestFit="1" customWidth="1"/>
    <col min="12" max="12" width="4.08203125" customWidth="1"/>
    <col min="13" max="13" width="6.83203125" customWidth="1"/>
    <col min="14" max="14" width="9" customWidth="1"/>
    <col min="16" max="16" width="10.83203125" customWidth="1"/>
    <col min="17" max="17" width="22" bestFit="1" customWidth="1"/>
  </cols>
  <sheetData>
    <row r="1" spans="1:22" ht="46.5">
      <c r="A1" s="44" t="s">
        <v>81</v>
      </c>
      <c r="B1" t="str">
        <f>IF('Input and Summary Results'!J17&gt;'Input and Summary Results'!D5,"yes","no")</f>
        <v>yes</v>
      </c>
    </row>
    <row r="2" spans="1:22" ht="21">
      <c r="A2" s="43" t="s">
        <v>83</v>
      </c>
    </row>
    <row r="3" spans="1:22">
      <c r="B3" t="s">
        <v>50</v>
      </c>
      <c r="C3" t="s">
        <v>99</v>
      </c>
      <c r="D3" s="89" t="s">
        <v>41</v>
      </c>
      <c r="E3" s="89"/>
      <c r="F3" s="89" t="s">
        <v>42</v>
      </c>
      <c r="G3" s="89"/>
      <c r="H3" s="90" t="s">
        <v>40</v>
      </c>
      <c r="I3" s="90"/>
      <c r="J3" s="90"/>
      <c r="K3" s="90"/>
      <c r="L3" s="89" t="s">
        <v>46</v>
      </c>
      <c r="M3" s="89"/>
      <c r="N3" s="89"/>
      <c r="O3" s="2" t="s">
        <v>47</v>
      </c>
    </row>
    <row r="4" spans="1:22">
      <c r="A4" s="2" t="s">
        <v>19</v>
      </c>
      <c r="B4" s="16" t="e">
        <f>'Data Transformation'!$R$24</f>
        <v>#DIV/0!</v>
      </c>
      <c r="C4" s="16"/>
      <c r="D4" t="s">
        <v>34</v>
      </c>
      <c r="E4" t="s">
        <v>35</v>
      </c>
      <c r="F4" t="s">
        <v>34</v>
      </c>
      <c r="G4" t="s">
        <v>35</v>
      </c>
      <c r="H4" s="14" t="s">
        <v>37</v>
      </c>
      <c r="I4" s="14" t="s">
        <v>38</v>
      </c>
      <c r="J4" s="14" t="s">
        <v>39</v>
      </c>
      <c r="K4" s="14" t="s">
        <v>45</v>
      </c>
      <c r="L4" t="s">
        <v>34</v>
      </c>
      <c r="M4" t="s">
        <v>35</v>
      </c>
      <c r="N4" t="s">
        <v>36</v>
      </c>
      <c r="T4" s="49" t="s">
        <v>87</v>
      </c>
      <c r="V4" t="s">
        <v>82</v>
      </c>
    </row>
    <row r="5" spans="1:22" ht="16" thickBot="1">
      <c r="A5" t="s">
        <v>33</v>
      </c>
      <c r="B5">
        <f>'Data Transformation'!$R$9</f>
        <v>0</v>
      </c>
      <c r="C5" t="e">
        <f>IF(AND('Data Transformation'!$R$10&gt;=Weighting!B5,'Data Transformation'!$R$10&lt;Weighting!B6),B5+0.00001,B5)</f>
        <v>#DIV/0!</v>
      </c>
      <c r="Q5" s="2" t="s">
        <v>44</v>
      </c>
      <c r="R5" s="15">
        <f>IF(B1="yes",COUNTIF(O6:O25,"&gt;0"),COUNTIF(O32:O51,"&gt;0"))</f>
        <v>0</v>
      </c>
    </row>
    <row r="6" spans="1:22">
      <c r="B6" t="e">
        <f>B5+'Data Transformation'!$R$25</f>
        <v>#DIV/0!</v>
      </c>
      <c r="C6" t="e">
        <f>IF(AND('Data Transformation'!$R$10&gt;=Weighting!B6,'Data Transformation'!$R$10&lt;Weighting!B7),B6+0.00001,B6)</f>
        <v>#DIV/0!</v>
      </c>
      <c r="D6" t="e">
        <f>IF(FREQUENCY('Data Transformation'!$R$5,$C6),1,0)</f>
        <v>#NUM!</v>
      </c>
      <c r="E6" t="e">
        <f>D6-D5</f>
        <v>#NUM!</v>
      </c>
      <c r="F6">
        <f>IF(FREQUENCY('Data Transformation'!$R$6,$C6),1,0)</f>
        <v>1</v>
      </c>
      <c r="G6">
        <f>F6-F5</f>
        <v>1</v>
      </c>
      <c r="H6" t="e">
        <f>IF(D6=1,H5+1,E6)</f>
        <v>#NUM!</v>
      </c>
      <c r="I6" t="e">
        <f>IF(H6=0,I7+1,H6)</f>
        <v>#NUM!</v>
      </c>
      <c r="J6">
        <f t="shared" ref="J6:J24" si="0">IF(F6=1,1,J7+1)</f>
        <v>1</v>
      </c>
      <c r="K6" t="e">
        <f t="shared" ref="K6:K25" si="1">IF(MIN(I6,J6)&gt;3,3,MIN(I6,J6))</f>
        <v>#NUM!</v>
      </c>
      <c r="L6">
        <f>IF(FREQUENCY('Data Transformation'!$R$10,$C6),1,0)</f>
        <v>1</v>
      </c>
      <c r="M6">
        <f>L6-L5</f>
        <v>1</v>
      </c>
      <c r="N6">
        <f>N5+1*M5</f>
        <v>0</v>
      </c>
      <c r="O6" t="e">
        <f>IF(N6=0,K6,0)</f>
        <v>#NUM!</v>
      </c>
      <c r="Q6" s="2" t="s">
        <v>43</v>
      </c>
      <c r="R6" t="e">
        <f>IF(B1="yes",SUM(O6:O25),SUM(O32:O51))</f>
        <v>#NUM!</v>
      </c>
      <c r="T6" s="45"/>
      <c r="V6" t="e">
        <f t="shared" ref="V6:V25" si="2">IF(T6="",IF($B$1="yes",O6,O32),T6)</f>
        <v>#NUM!</v>
      </c>
    </row>
    <row r="7" spans="1:22">
      <c r="B7" t="e">
        <f>B6+'Data Transformation'!$R$25</f>
        <v>#DIV/0!</v>
      </c>
      <c r="C7" t="e">
        <f>IF(AND('Data Transformation'!$R$10&gt;=Weighting!B7,'Data Transformation'!$R$10&lt;Weighting!B8),B7+0.00001,B7)</f>
        <v>#DIV/0!</v>
      </c>
      <c r="D7" t="e">
        <f>IF(FREQUENCY('Data Transformation'!$R$5,$C7),1,0)</f>
        <v>#NUM!</v>
      </c>
      <c r="E7" t="e">
        <f t="shared" ref="E7:E25" si="3">D7-D6</f>
        <v>#NUM!</v>
      </c>
      <c r="F7">
        <f>IF(FREQUENCY('Data Transformation'!$R$6,$C7),1,0)</f>
        <v>1</v>
      </c>
      <c r="G7">
        <f t="shared" ref="G7:G25" si="4">F7-F6</f>
        <v>0</v>
      </c>
      <c r="H7" t="e">
        <f t="shared" ref="H7:H15" si="5">IF(D7=1,H6+1,E7)</f>
        <v>#NUM!</v>
      </c>
      <c r="I7" t="e">
        <f t="shared" ref="I7:I14" si="6">IF(H7=0,I8+1,H7)</f>
        <v>#NUM!</v>
      </c>
      <c r="J7">
        <f t="shared" si="0"/>
        <v>1</v>
      </c>
      <c r="K7" t="e">
        <f t="shared" si="1"/>
        <v>#NUM!</v>
      </c>
      <c r="L7">
        <f>IF(FREQUENCY('Data Transformation'!$R$10,$C7),1,0)</f>
        <v>1</v>
      </c>
      <c r="M7">
        <f t="shared" ref="M7:M25" si="7">L7-L6</f>
        <v>0</v>
      </c>
      <c r="N7">
        <f t="shared" ref="N7:N25" si="8">N6+1*M6</f>
        <v>1</v>
      </c>
      <c r="O7">
        <f t="shared" ref="O7:O25" si="9">IF(N7=0,K7,0)</f>
        <v>0</v>
      </c>
      <c r="T7" s="46"/>
      <c r="V7">
        <f t="shared" si="2"/>
        <v>0</v>
      </c>
    </row>
    <row r="8" spans="1:22">
      <c r="B8" t="e">
        <f>B7+'Data Transformation'!$R$25</f>
        <v>#DIV/0!</v>
      </c>
      <c r="C8" t="e">
        <f>IF(AND('Data Transformation'!$R$10&gt;=Weighting!B8,'Data Transformation'!$R$10&lt;Weighting!B9),B8+0.00001,B8)</f>
        <v>#DIV/0!</v>
      </c>
      <c r="D8" t="e">
        <f>IF(FREQUENCY('Data Transformation'!$R$5,$C8),1,0)</f>
        <v>#NUM!</v>
      </c>
      <c r="E8" t="e">
        <f t="shared" si="3"/>
        <v>#NUM!</v>
      </c>
      <c r="F8">
        <f>IF(FREQUENCY('Data Transformation'!$R$6,$C8),1,0)</f>
        <v>1</v>
      </c>
      <c r="G8">
        <f t="shared" si="4"/>
        <v>0</v>
      </c>
      <c r="H8" t="e">
        <f t="shared" si="5"/>
        <v>#NUM!</v>
      </c>
      <c r="I8" t="e">
        <f t="shared" si="6"/>
        <v>#NUM!</v>
      </c>
      <c r="J8">
        <f t="shared" si="0"/>
        <v>1</v>
      </c>
      <c r="K8" t="e">
        <f t="shared" si="1"/>
        <v>#NUM!</v>
      </c>
      <c r="L8">
        <f>IF(FREQUENCY('Data Transformation'!$R$10,$C8),1,0)</f>
        <v>1</v>
      </c>
      <c r="M8">
        <f t="shared" si="7"/>
        <v>0</v>
      </c>
      <c r="N8">
        <f t="shared" si="8"/>
        <v>1</v>
      </c>
      <c r="O8">
        <f t="shared" si="9"/>
        <v>0</v>
      </c>
      <c r="T8" s="46"/>
      <c r="V8">
        <f t="shared" si="2"/>
        <v>0</v>
      </c>
    </row>
    <row r="9" spans="1:22">
      <c r="B9" t="e">
        <f>B8+'Data Transformation'!$R$25</f>
        <v>#DIV/0!</v>
      </c>
      <c r="C9" t="e">
        <f>IF(AND('Data Transformation'!$R$10&gt;=Weighting!B9,'Data Transformation'!$R$10&lt;Weighting!B10),B9+0.00001,B9)</f>
        <v>#DIV/0!</v>
      </c>
      <c r="D9" t="e">
        <f>IF(FREQUENCY('Data Transformation'!$R$5,$C9),1,0)</f>
        <v>#NUM!</v>
      </c>
      <c r="E9" t="e">
        <f t="shared" si="3"/>
        <v>#NUM!</v>
      </c>
      <c r="F9">
        <f>IF(FREQUENCY('Data Transformation'!$R$6,$C9),1,0)</f>
        <v>1</v>
      </c>
      <c r="G9">
        <f t="shared" si="4"/>
        <v>0</v>
      </c>
      <c r="H9" t="e">
        <f t="shared" si="5"/>
        <v>#NUM!</v>
      </c>
      <c r="I9" t="e">
        <f t="shared" si="6"/>
        <v>#NUM!</v>
      </c>
      <c r="J9">
        <f t="shared" si="0"/>
        <v>1</v>
      </c>
      <c r="K9" t="e">
        <f t="shared" si="1"/>
        <v>#NUM!</v>
      </c>
      <c r="L9">
        <f>IF(FREQUENCY('Data Transformation'!$R$10,$C9),1,0)</f>
        <v>1</v>
      </c>
      <c r="M9">
        <f t="shared" si="7"/>
        <v>0</v>
      </c>
      <c r="N9">
        <f t="shared" si="8"/>
        <v>1</v>
      </c>
      <c r="O9">
        <f t="shared" si="9"/>
        <v>0</v>
      </c>
      <c r="T9" s="46"/>
      <c r="V9">
        <f t="shared" si="2"/>
        <v>0</v>
      </c>
    </row>
    <row r="10" spans="1:22">
      <c r="B10" t="e">
        <f>B9+'Data Transformation'!$R$25</f>
        <v>#DIV/0!</v>
      </c>
      <c r="C10" t="e">
        <f>IF(AND('Data Transformation'!$R$10&gt;=Weighting!B10,'Data Transformation'!$R$10&lt;Weighting!B11),B10+0.00001,B10)</f>
        <v>#DIV/0!</v>
      </c>
      <c r="D10" t="e">
        <f>IF(FREQUENCY('Data Transformation'!$R$5,$C10),1,0)</f>
        <v>#NUM!</v>
      </c>
      <c r="E10" t="e">
        <f t="shared" si="3"/>
        <v>#NUM!</v>
      </c>
      <c r="F10">
        <f>IF(FREQUENCY('Data Transformation'!$R$6,$C10),1,0)</f>
        <v>1</v>
      </c>
      <c r="G10">
        <f t="shared" si="4"/>
        <v>0</v>
      </c>
      <c r="H10" t="e">
        <f t="shared" si="5"/>
        <v>#NUM!</v>
      </c>
      <c r="I10" t="e">
        <f t="shared" si="6"/>
        <v>#NUM!</v>
      </c>
      <c r="J10">
        <f t="shared" si="0"/>
        <v>1</v>
      </c>
      <c r="K10" t="e">
        <f t="shared" si="1"/>
        <v>#NUM!</v>
      </c>
      <c r="L10">
        <f>IF(FREQUENCY('Data Transformation'!$R$10,$C10),1,0)</f>
        <v>1</v>
      </c>
      <c r="M10">
        <f t="shared" si="7"/>
        <v>0</v>
      </c>
      <c r="N10">
        <f t="shared" si="8"/>
        <v>1</v>
      </c>
      <c r="O10">
        <f t="shared" si="9"/>
        <v>0</v>
      </c>
      <c r="T10" s="46"/>
      <c r="V10">
        <f t="shared" si="2"/>
        <v>0</v>
      </c>
    </row>
    <row r="11" spans="1:22" ht="23.5">
      <c r="B11" t="e">
        <f>B10+'Data Transformation'!$R$25</f>
        <v>#DIV/0!</v>
      </c>
      <c r="C11" t="e">
        <f>IF(AND('Data Transformation'!$R$10&gt;=Weighting!B11,'Data Transformation'!$R$10&lt;Weighting!B12),B11+0.00001,B11)</f>
        <v>#DIV/0!</v>
      </c>
      <c r="D11" t="e">
        <f>IF(FREQUENCY('Data Transformation'!$R$5,$C11),1,0)</f>
        <v>#NUM!</v>
      </c>
      <c r="E11" t="e">
        <f t="shared" si="3"/>
        <v>#NUM!</v>
      </c>
      <c r="F11">
        <f>IF(FREQUENCY('Data Transformation'!$R$6,$C11),1,0)</f>
        <v>1</v>
      </c>
      <c r="G11">
        <f t="shared" si="4"/>
        <v>0</v>
      </c>
      <c r="H11" t="e">
        <f t="shared" si="5"/>
        <v>#NUM!</v>
      </c>
      <c r="I11" t="e">
        <f t="shared" si="6"/>
        <v>#NUM!</v>
      </c>
      <c r="J11">
        <f t="shared" si="0"/>
        <v>1</v>
      </c>
      <c r="K11" t="e">
        <f t="shared" si="1"/>
        <v>#NUM!</v>
      </c>
      <c r="L11">
        <f>IF(FREQUENCY('Data Transformation'!$R$10,$C11),1,0)</f>
        <v>1</v>
      </c>
      <c r="M11">
        <f t="shared" si="7"/>
        <v>0</v>
      </c>
      <c r="N11">
        <f t="shared" si="8"/>
        <v>1</v>
      </c>
      <c r="O11">
        <f t="shared" si="9"/>
        <v>0</v>
      </c>
      <c r="Q11" s="38"/>
      <c r="T11" s="46"/>
      <c r="V11">
        <f t="shared" si="2"/>
        <v>0</v>
      </c>
    </row>
    <row r="12" spans="1:22">
      <c r="B12" t="e">
        <f>B11+'Data Transformation'!$R$25</f>
        <v>#DIV/0!</v>
      </c>
      <c r="C12" t="e">
        <f>IF(AND('Data Transformation'!$R$10&gt;=Weighting!B12,'Data Transformation'!$R$10&lt;Weighting!B13),B12+0.00001,B12)</f>
        <v>#DIV/0!</v>
      </c>
      <c r="D12" t="e">
        <f>IF(FREQUENCY('Data Transformation'!$R$5,$C12),1,0)</f>
        <v>#NUM!</v>
      </c>
      <c r="E12" t="e">
        <f t="shared" si="3"/>
        <v>#NUM!</v>
      </c>
      <c r="F12">
        <f>IF(FREQUENCY('Data Transformation'!$R$6,$C12),1,0)</f>
        <v>1</v>
      </c>
      <c r="G12">
        <f t="shared" si="4"/>
        <v>0</v>
      </c>
      <c r="H12" t="e">
        <f t="shared" si="5"/>
        <v>#NUM!</v>
      </c>
      <c r="I12" t="e">
        <f t="shared" si="6"/>
        <v>#NUM!</v>
      </c>
      <c r="J12">
        <f t="shared" si="0"/>
        <v>1</v>
      </c>
      <c r="K12" t="e">
        <f t="shared" si="1"/>
        <v>#NUM!</v>
      </c>
      <c r="L12">
        <f>IF(FREQUENCY('Data Transformation'!$R$10,$C12),1,0)</f>
        <v>1</v>
      </c>
      <c r="M12">
        <f t="shared" si="7"/>
        <v>0</v>
      </c>
      <c r="N12">
        <f t="shared" si="8"/>
        <v>1</v>
      </c>
      <c r="O12">
        <f t="shared" si="9"/>
        <v>0</v>
      </c>
      <c r="T12" s="46"/>
      <c r="V12">
        <f t="shared" si="2"/>
        <v>0</v>
      </c>
    </row>
    <row r="13" spans="1:22">
      <c r="B13" t="e">
        <f>B12+'Data Transformation'!$R$25</f>
        <v>#DIV/0!</v>
      </c>
      <c r="C13" t="e">
        <f>IF(AND('Data Transformation'!$R$10&gt;=Weighting!B13,'Data Transformation'!$R$10&lt;Weighting!B14),B13+0.00001,B13)</f>
        <v>#DIV/0!</v>
      </c>
      <c r="D13" t="e">
        <f>IF(FREQUENCY('Data Transformation'!$R$5,$C13),1,0)</f>
        <v>#NUM!</v>
      </c>
      <c r="E13" t="e">
        <f t="shared" si="3"/>
        <v>#NUM!</v>
      </c>
      <c r="F13">
        <f>IF(FREQUENCY('Data Transformation'!$R$6,$C13),1,0)</f>
        <v>1</v>
      </c>
      <c r="G13">
        <f t="shared" si="4"/>
        <v>0</v>
      </c>
      <c r="H13" t="e">
        <f t="shared" si="5"/>
        <v>#NUM!</v>
      </c>
      <c r="I13" t="e">
        <f t="shared" si="6"/>
        <v>#NUM!</v>
      </c>
      <c r="J13">
        <f t="shared" si="0"/>
        <v>1</v>
      </c>
      <c r="K13" t="e">
        <f t="shared" si="1"/>
        <v>#NUM!</v>
      </c>
      <c r="L13">
        <f>IF(FREQUENCY('Data Transformation'!$R$10,$C13),1,0)</f>
        <v>1</v>
      </c>
      <c r="M13">
        <f t="shared" si="7"/>
        <v>0</v>
      </c>
      <c r="N13">
        <f t="shared" si="8"/>
        <v>1</v>
      </c>
      <c r="O13">
        <f t="shared" si="9"/>
        <v>0</v>
      </c>
      <c r="T13" s="46"/>
      <c r="V13">
        <f t="shared" si="2"/>
        <v>0</v>
      </c>
    </row>
    <row r="14" spans="1:22">
      <c r="B14" t="e">
        <f>B13+'Data Transformation'!$R$25</f>
        <v>#DIV/0!</v>
      </c>
      <c r="C14" t="e">
        <f>IF(AND('Data Transformation'!$R$10&gt;=Weighting!B14,'Data Transformation'!$R$10&lt;Weighting!B15),B14+0.00001,B14)</f>
        <v>#DIV/0!</v>
      </c>
      <c r="D14" t="e">
        <f>IF(FREQUENCY('Data Transformation'!$R$5,$C14),1,0)</f>
        <v>#NUM!</v>
      </c>
      <c r="E14" t="e">
        <f t="shared" si="3"/>
        <v>#NUM!</v>
      </c>
      <c r="F14">
        <f>IF(FREQUENCY('Data Transformation'!$R$6,$C14),1,0)</f>
        <v>1</v>
      </c>
      <c r="G14">
        <f t="shared" si="4"/>
        <v>0</v>
      </c>
      <c r="H14" t="e">
        <f t="shared" si="5"/>
        <v>#NUM!</v>
      </c>
      <c r="I14" t="e">
        <f t="shared" si="6"/>
        <v>#NUM!</v>
      </c>
      <c r="J14">
        <f t="shared" si="0"/>
        <v>1</v>
      </c>
      <c r="K14" t="e">
        <f t="shared" si="1"/>
        <v>#NUM!</v>
      </c>
      <c r="L14">
        <f>IF(FREQUENCY('Data Transformation'!$R$10,$C14),1,0)</f>
        <v>1</v>
      </c>
      <c r="M14">
        <f t="shared" si="7"/>
        <v>0</v>
      </c>
      <c r="N14">
        <f t="shared" si="8"/>
        <v>1</v>
      </c>
      <c r="O14">
        <f t="shared" si="9"/>
        <v>0</v>
      </c>
      <c r="T14" s="46"/>
      <c r="V14">
        <f t="shared" si="2"/>
        <v>0</v>
      </c>
    </row>
    <row r="15" spans="1:22">
      <c r="B15" t="e">
        <f>B14+'Data Transformation'!$R$25</f>
        <v>#DIV/0!</v>
      </c>
      <c r="C15" t="e">
        <f>IF(AND('Data Transformation'!$R$10&gt;=Weighting!B15,'Data Transformation'!$R$10&lt;Weighting!B16),B15+0.00001,B15)</f>
        <v>#DIV/0!</v>
      </c>
      <c r="D15" t="e">
        <f>IF(FREQUENCY('Data Transformation'!$R$5,$C15),1,0)</f>
        <v>#NUM!</v>
      </c>
      <c r="E15" t="e">
        <f t="shared" si="3"/>
        <v>#NUM!</v>
      </c>
      <c r="F15">
        <f>IF(FREQUENCY('Data Transformation'!$R$6,$C15),1,0)</f>
        <v>1</v>
      </c>
      <c r="G15">
        <f t="shared" si="4"/>
        <v>0</v>
      </c>
      <c r="H15" t="e">
        <f t="shared" si="5"/>
        <v>#NUM!</v>
      </c>
      <c r="I15" t="e">
        <f t="shared" ref="I15:I24" si="10">IF(H15=0,I22+1,H15)</f>
        <v>#NUM!</v>
      </c>
      <c r="J15">
        <f t="shared" si="0"/>
        <v>1</v>
      </c>
      <c r="K15" t="e">
        <f t="shared" si="1"/>
        <v>#NUM!</v>
      </c>
      <c r="L15">
        <f>IF(FREQUENCY('Data Transformation'!$R$10,$C15),1,0)</f>
        <v>1</v>
      </c>
      <c r="M15">
        <f t="shared" si="7"/>
        <v>0</v>
      </c>
      <c r="N15">
        <f t="shared" si="8"/>
        <v>1</v>
      </c>
      <c r="O15">
        <f t="shared" si="9"/>
        <v>0</v>
      </c>
      <c r="T15" s="46"/>
      <c r="V15">
        <f t="shared" si="2"/>
        <v>0</v>
      </c>
    </row>
    <row r="16" spans="1:22">
      <c r="B16" t="e">
        <f>B15+'Data Transformation'!$R$25</f>
        <v>#DIV/0!</v>
      </c>
      <c r="C16" t="e">
        <f>IF(AND('Data Transformation'!$R$10&gt;=Weighting!B16,'Data Transformation'!$R$10&lt;Weighting!B17),B16+0.00001,B16)</f>
        <v>#DIV/0!</v>
      </c>
      <c r="D16" t="e">
        <f>IF(FREQUENCY('Data Transformation'!$R$5,$C16),1,0)</f>
        <v>#NUM!</v>
      </c>
      <c r="E16" t="e">
        <f t="shared" si="3"/>
        <v>#NUM!</v>
      </c>
      <c r="F16">
        <f>IF(FREQUENCY('Data Transformation'!$R$6,$C16),1,0)</f>
        <v>1</v>
      </c>
      <c r="G16">
        <f t="shared" si="4"/>
        <v>0</v>
      </c>
      <c r="H16" t="e">
        <f t="shared" ref="H16:H25" si="11">IF(D16=1,H15+1,E16)</f>
        <v>#NUM!</v>
      </c>
      <c r="I16" t="e">
        <f t="shared" si="10"/>
        <v>#NUM!</v>
      </c>
      <c r="J16">
        <f t="shared" si="0"/>
        <v>1</v>
      </c>
      <c r="K16" t="e">
        <f t="shared" si="1"/>
        <v>#NUM!</v>
      </c>
      <c r="L16">
        <f>IF(FREQUENCY('Data Transformation'!$R$10,$C16),1,0)</f>
        <v>1</v>
      </c>
      <c r="M16">
        <f t="shared" si="7"/>
        <v>0</v>
      </c>
      <c r="N16">
        <f t="shared" si="8"/>
        <v>1</v>
      </c>
      <c r="O16">
        <f t="shared" si="9"/>
        <v>0</v>
      </c>
      <c r="T16" s="46"/>
      <c r="V16">
        <f t="shared" si="2"/>
        <v>0</v>
      </c>
    </row>
    <row r="17" spans="1:22">
      <c r="B17" t="e">
        <f>B16+'Data Transformation'!$R$25</f>
        <v>#DIV/0!</v>
      </c>
      <c r="C17" t="e">
        <f>IF(AND('Data Transformation'!$R$10&gt;=Weighting!B17,'Data Transformation'!$R$10&lt;Weighting!B18),B17+0.00001,B17)</f>
        <v>#DIV/0!</v>
      </c>
      <c r="D17" t="e">
        <f>IF(FREQUENCY('Data Transformation'!$R$5,$C17),1,0)</f>
        <v>#NUM!</v>
      </c>
      <c r="E17" t="e">
        <f t="shared" si="3"/>
        <v>#NUM!</v>
      </c>
      <c r="F17">
        <f>IF(FREQUENCY('Data Transformation'!$R$6,$C17),1,0)</f>
        <v>1</v>
      </c>
      <c r="G17">
        <f t="shared" si="4"/>
        <v>0</v>
      </c>
      <c r="H17" t="e">
        <f t="shared" si="11"/>
        <v>#NUM!</v>
      </c>
      <c r="I17" t="e">
        <f t="shared" si="10"/>
        <v>#NUM!</v>
      </c>
      <c r="J17">
        <f t="shared" si="0"/>
        <v>1</v>
      </c>
      <c r="K17" t="e">
        <f t="shared" si="1"/>
        <v>#NUM!</v>
      </c>
      <c r="L17">
        <f>IF(FREQUENCY('Data Transformation'!$R$10,$C17),1,0)</f>
        <v>1</v>
      </c>
      <c r="M17">
        <f t="shared" si="7"/>
        <v>0</v>
      </c>
      <c r="N17">
        <f t="shared" si="8"/>
        <v>1</v>
      </c>
      <c r="O17">
        <f t="shared" si="9"/>
        <v>0</v>
      </c>
      <c r="T17" s="46"/>
      <c r="V17">
        <f t="shared" si="2"/>
        <v>0</v>
      </c>
    </row>
    <row r="18" spans="1:22">
      <c r="B18" t="e">
        <f>B17+'Data Transformation'!$R$25</f>
        <v>#DIV/0!</v>
      </c>
      <c r="C18" t="e">
        <f>IF(AND('Data Transformation'!$R$10&gt;=Weighting!B18,'Data Transformation'!$R$10&lt;Weighting!B19),B18+0.00001,B18)</f>
        <v>#DIV/0!</v>
      </c>
      <c r="D18" t="e">
        <f>IF(FREQUENCY('Data Transformation'!$R$5,$C18),1,0)</f>
        <v>#NUM!</v>
      </c>
      <c r="E18" t="e">
        <f t="shared" si="3"/>
        <v>#NUM!</v>
      </c>
      <c r="F18">
        <f>IF(FREQUENCY('Data Transformation'!$R$6,$C18),1,0)</f>
        <v>1</v>
      </c>
      <c r="G18">
        <f t="shared" si="4"/>
        <v>0</v>
      </c>
      <c r="H18" t="e">
        <f t="shared" si="11"/>
        <v>#NUM!</v>
      </c>
      <c r="I18" t="e">
        <f t="shared" si="10"/>
        <v>#NUM!</v>
      </c>
      <c r="J18">
        <f t="shared" si="0"/>
        <v>1</v>
      </c>
      <c r="K18" t="e">
        <f t="shared" si="1"/>
        <v>#NUM!</v>
      </c>
      <c r="L18">
        <f>IF(FREQUENCY('Data Transformation'!$R$10,$C18),1,0)</f>
        <v>1</v>
      </c>
      <c r="M18">
        <f t="shared" si="7"/>
        <v>0</v>
      </c>
      <c r="N18">
        <f t="shared" si="8"/>
        <v>1</v>
      </c>
      <c r="O18">
        <f t="shared" si="9"/>
        <v>0</v>
      </c>
      <c r="T18" s="46"/>
      <c r="V18">
        <f t="shared" si="2"/>
        <v>0</v>
      </c>
    </row>
    <row r="19" spans="1:22">
      <c r="B19" t="e">
        <f>B18+'Data Transformation'!$R$25</f>
        <v>#DIV/0!</v>
      </c>
      <c r="C19" t="e">
        <f>IF(AND('Data Transformation'!$R$10&gt;=Weighting!B19,'Data Transformation'!$R$10&lt;Weighting!B20),B19+0.00001,B19)</f>
        <v>#DIV/0!</v>
      </c>
      <c r="D19" t="e">
        <f>IF(FREQUENCY('Data Transformation'!$R$5,$C19),1,0)</f>
        <v>#NUM!</v>
      </c>
      <c r="E19" t="e">
        <f t="shared" si="3"/>
        <v>#NUM!</v>
      </c>
      <c r="F19">
        <f>IF(FREQUENCY('Data Transformation'!$R$6,$C19),1,0)</f>
        <v>1</v>
      </c>
      <c r="G19">
        <f t="shared" si="4"/>
        <v>0</v>
      </c>
      <c r="H19" t="e">
        <f t="shared" si="11"/>
        <v>#NUM!</v>
      </c>
      <c r="I19" t="e">
        <f t="shared" si="10"/>
        <v>#NUM!</v>
      </c>
      <c r="J19">
        <f t="shared" si="0"/>
        <v>1</v>
      </c>
      <c r="K19" t="e">
        <f t="shared" si="1"/>
        <v>#NUM!</v>
      </c>
      <c r="L19">
        <f>IF(FREQUENCY('Data Transformation'!$R$10,$C19),1,0)</f>
        <v>1</v>
      </c>
      <c r="M19">
        <f t="shared" si="7"/>
        <v>0</v>
      </c>
      <c r="N19">
        <f t="shared" si="8"/>
        <v>1</v>
      </c>
      <c r="O19">
        <f t="shared" si="9"/>
        <v>0</v>
      </c>
      <c r="T19" s="46"/>
      <c r="V19">
        <f t="shared" si="2"/>
        <v>0</v>
      </c>
    </row>
    <row r="20" spans="1:22">
      <c r="B20" t="e">
        <f>B19+'Data Transformation'!$R$25</f>
        <v>#DIV/0!</v>
      </c>
      <c r="C20" t="e">
        <f>IF(AND('Data Transformation'!$R$10&gt;=Weighting!B20,'Data Transformation'!$R$10&lt;Weighting!B21),B20+0.00001,B20)</f>
        <v>#DIV/0!</v>
      </c>
      <c r="D20" t="e">
        <f>IF(FREQUENCY('Data Transformation'!$R$5,$C20),1,0)</f>
        <v>#NUM!</v>
      </c>
      <c r="E20" t="e">
        <f t="shared" si="3"/>
        <v>#NUM!</v>
      </c>
      <c r="F20">
        <f>IF(FREQUENCY('Data Transformation'!$R$6,$C20),1,0)</f>
        <v>1</v>
      </c>
      <c r="G20">
        <f t="shared" si="4"/>
        <v>0</v>
      </c>
      <c r="H20" t="e">
        <f t="shared" si="11"/>
        <v>#NUM!</v>
      </c>
      <c r="I20" t="e">
        <f t="shared" si="10"/>
        <v>#NUM!</v>
      </c>
      <c r="J20">
        <f t="shared" si="0"/>
        <v>1</v>
      </c>
      <c r="K20" t="e">
        <f t="shared" si="1"/>
        <v>#NUM!</v>
      </c>
      <c r="L20">
        <f>IF(FREQUENCY('Data Transformation'!$R$10,$C20),1,0)</f>
        <v>1</v>
      </c>
      <c r="M20">
        <f t="shared" si="7"/>
        <v>0</v>
      </c>
      <c r="N20">
        <f t="shared" si="8"/>
        <v>1</v>
      </c>
      <c r="O20">
        <f t="shared" si="9"/>
        <v>0</v>
      </c>
      <c r="T20" s="46"/>
      <c r="V20">
        <f t="shared" si="2"/>
        <v>0</v>
      </c>
    </row>
    <row r="21" spans="1:22">
      <c r="B21" t="e">
        <f>B20+'Data Transformation'!$R$25</f>
        <v>#DIV/0!</v>
      </c>
      <c r="C21" t="e">
        <f>IF(AND('Data Transformation'!$R$10&gt;=Weighting!B21,'Data Transformation'!$R$10&lt;Weighting!B22),B21+0.00001,B21)</f>
        <v>#DIV/0!</v>
      </c>
      <c r="D21" t="e">
        <f>IF(FREQUENCY('Data Transformation'!$R$5,$C21),1,0)</f>
        <v>#NUM!</v>
      </c>
      <c r="E21" t="e">
        <f t="shared" si="3"/>
        <v>#NUM!</v>
      </c>
      <c r="F21">
        <f>IF(FREQUENCY('Data Transformation'!$R$6,$C21),1,0)</f>
        <v>1</v>
      </c>
      <c r="G21">
        <f t="shared" si="4"/>
        <v>0</v>
      </c>
      <c r="H21" t="e">
        <f t="shared" si="11"/>
        <v>#NUM!</v>
      </c>
      <c r="I21" t="e">
        <f t="shared" si="10"/>
        <v>#NUM!</v>
      </c>
      <c r="J21">
        <f t="shared" si="0"/>
        <v>1</v>
      </c>
      <c r="K21" t="e">
        <f t="shared" si="1"/>
        <v>#NUM!</v>
      </c>
      <c r="L21">
        <f>IF(FREQUENCY('Data Transformation'!$R$10,$C21),1,0)</f>
        <v>1</v>
      </c>
      <c r="M21">
        <f t="shared" si="7"/>
        <v>0</v>
      </c>
      <c r="N21">
        <f t="shared" si="8"/>
        <v>1</v>
      </c>
      <c r="O21">
        <f t="shared" si="9"/>
        <v>0</v>
      </c>
      <c r="T21" s="46"/>
      <c r="V21">
        <f t="shared" si="2"/>
        <v>0</v>
      </c>
    </row>
    <row r="22" spans="1:22">
      <c r="B22" t="e">
        <f>B21+'Data Transformation'!$R$25</f>
        <v>#DIV/0!</v>
      </c>
      <c r="C22" t="e">
        <f>IF(AND('Data Transformation'!$R$10&gt;=Weighting!B22,'Data Transformation'!$R$10&lt;Weighting!B23),B22+0.00001,B22)</f>
        <v>#DIV/0!</v>
      </c>
      <c r="D22" t="e">
        <f>IF(FREQUENCY('Data Transformation'!$R$5,$C22),1,0)</f>
        <v>#NUM!</v>
      </c>
      <c r="E22" t="e">
        <f t="shared" si="3"/>
        <v>#NUM!</v>
      </c>
      <c r="F22">
        <f>IF(FREQUENCY('Data Transformation'!$R$6,$C22),1,0)</f>
        <v>1</v>
      </c>
      <c r="G22">
        <f t="shared" si="4"/>
        <v>0</v>
      </c>
      <c r="H22" t="e">
        <f t="shared" si="11"/>
        <v>#NUM!</v>
      </c>
      <c r="I22" t="e">
        <f t="shared" si="10"/>
        <v>#NUM!</v>
      </c>
      <c r="J22">
        <f t="shared" si="0"/>
        <v>1</v>
      </c>
      <c r="K22" t="e">
        <f t="shared" si="1"/>
        <v>#NUM!</v>
      </c>
      <c r="L22">
        <f>IF(FREQUENCY('Data Transformation'!$R$10,$C22),1,0)</f>
        <v>1</v>
      </c>
      <c r="M22">
        <f t="shared" si="7"/>
        <v>0</v>
      </c>
      <c r="N22">
        <f t="shared" si="8"/>
        <v>1</v>
      </c>
      <c r="O22">
        <f t="shared" si="9"/>
        <v>0</v>
      </c>
      <c r="T22" s="46"/>
      <c r="V22">
        <f t="shared" si="2"/>
        <v>0</v>
      </c>
    </row>
    <row r="23" spans="1:22">
      <c r="B23" t="e">
        <f>B22+'Data Transformation'!$R$25</f>
        <v>#DIV/0!</v>
      </c>
      <c r="C23" t="e">
        <f>IF(AND('Data Transformation'!$R$10&gt;=Weighting!B23,'Data Transformation'!$R$10&lt;Weighting!B24),B23+0.00001,B23)</f>
        <v>#DIV/0!</v>
      </c>
      <c r="D23" t="e">
        <f>IF(FREQUENCY('Data Transformation'!$R$5,$C23),1,0)</f>
        <v>#NUM!</v>
      </c>
      <c r="E23" t="e">
        <f t="shared" si="3"/>
        <v>#NUM!</v>
      </c>
      <c r="F23">
        <f>IF(FREQUENCY('Data Transformation'!$R$6,$C23),1,0)</f>
        <v>1</v>
      </c>
      <c r="G23">
        <f t="shared" si="4"/>
        <v>0</v>
      </c>
      <c r="H23" t="e">
        <f t="shared" si="11"/>
        <v>#NUM!</v>
      </c>
      <c r="I23" t="e">
        <f t="shared" si="10"/>
        <v>#NUM!</v>
      </c>
      <c r="J23">
        <f t="shared" si="0"/>
        <v>1</v>
      </c>
      <c r="K23" t="e">
        <f t="shared" si="1"/>
        <v>#NUM!</v>
      </c>
      <c r="L23">
        <f>IF(FREQUENCY('Data Transformation'!$R$10,$C23),1,0)</f>
        <v>1</v>
      </c>
      <c r="M23">
        <f t="shared" si="7"/>
        <v>0</v>
      </c>
      <c r="N23">
        <f t="shared" si="8"/>
        <v>1</v>
      </c>
      <c r="O23">
        <f t="shared" si="9"/>
        <v>0</v>
      </c>
      <c r="T23" s="46"/>
      <c r="V23">
        <f t="shared" si="2"/>
        <v>0</v>
      </c>
    </row>
    <row r="24" spans="1:22">
      <c r="B24" t="e">
        <f>B23+'Data Transformation'!$R$25</f>
        <v>#DIV/0!</v>
      </c>
      <c r="C24" t="e">
        <f>IF(AND('Data Transformation'!$R$10&gt;=Weighting!B24,'Data Transformation'!$R$10&lt;Weighting!B25),B24+0.00001,B24)</f>
        <v>#DIV/0!</v>
      </c>
      <c r="D24" t="e">
        <f>IF(FREQUENCY('Data Transformation'!$R$5,$C24),1,0)</f>
        <v>#NUM!</v>
      </c>
      <c r="E24" t="e">
        <f t="shared" si="3"/>
        <v>#NUM!</v>
      </c>
      <c r="F24">
        <f>IF(FREQUENCY('Data Transformation'!$R$6,$C24),1,0)</f>
        <v>1</v>
      </c>
      <c r="G24">
        <f t="shared" si="4"/>
        <v>0</v>
      </c>
      <c r="H24" t="e">
        <f t="shared" si="11"/>
        <v>#NUM!</v>
      </c>
      <c r="I24" t="e">
        <f t="shared" si="10"/>
        <v>#NUM!</v>
      </c>
      <c r="J24">
        <f t="shared" si="0"/>
        <v>1</v>
      </c>
      <c r="K24" t="e">
        <f t="shared" si="1"/>
        <v>#NUM!</v>
      </c>
      <c r="L24">
        <f>IF(FREQUENCY('Data Transformation'!$R$10,$C24),1,0)</f>
        <v>1</v>
      </c>
      <c r="M24">
        <f t="shared" si="7"/>
        <v>0</v>
      </c>
      <c r="N24">
        <f t="shared" si="8"/>
        <v>1</v>
      </c>
      <c r="O24">
        <f t="shared" si="9"/>
        <v>0</v>
      </c>
      <c r="T24" s="46"/>
      <c r="V24">
        <f t="shared" si="2"/>
        <v>0</v>
      </c>
    </row>
    <row r="25" spans="1:22" ht="16" thickBot="1">
      <c r="B25" t="e">
        <f>B24+'Data Transformation'!$R$25</f>
        <v>#DIV/0!</v>
      </c>
      <c r="C25" t="e">
        <f>IF(AND('Data Transformation'!$R$10&gt;=Weighting!B25,'Data Transformation'!$R$10&lt;Weighting!B26),B25+0.00001,B25)</f>
        <v>#DIV/0!</v>
      </c>
      <c r="D25" t="e">
        <f>IF(FREQUENCY('Data Transformation'!$R$5,$C25),1,0)</f>
        <v>#NUM!</v>
      </c>
      <c r="E25" t="e">
        <f t="shared" si="3"/>
        <v>#NUM!</v>
      </c>
      <c r="F25">
        <f>IF(FREQUENCY('Data Transformation'!$R$6,$C25),1,0)</f>
        <v>1</v>
      </c>
      <c r="G25">
        <f t="shared" si="4"/>
        <v>0</v>
      </c>
      <c r="H25" t="e">
        <f t="shared" si="11"/>
        <v>#NUM!</v>
      </c>
      <c r="I25" t="e">
        <f>IF(H25=0,#REF!+1,H25)</f>
        <v>#NUM!</v>
      </c>
      <c r="J25">
        <f>IF(F25=1,1,J26+1)</f>
        <v>1</v>
      </c>
      <c r="K25" t="e">
        <f t="shared" si="1"/>
        <v>#NUM!</v>
      </c>
      <c r="L25">
        <f>IF(FREQUENCY('Data Transformation'!$R$10,$C25),1,0)</f>
        <v>1</v>
      </c>
      <c r="M25">
        <f t="shared" si="7"/>
        <v>0</v>
      </c>
      <c r="N25">
        <f t="shared" si="8"/>
        <v>1</v>
      </c>
      <c r="O25">
        <f t="shared" si="9"/>
        <v>0</v>
      </c>
      <c r="T25" s="47"/>
      <c r="V25">
        <f t="shared" si="2"/>
        <v>0</v>
      </c>
    </row>
    <row r="26" spans="1:22">
      <c r="B26" t="e">
        <f>B25+'Data Transformation'!$R$25</f>
        <v>#DIV/0!</v>
      </c>
      <c r="C26" t="e">
        <f>IF(AND('Data Transformation'!$R$10&gt;=Weighting!B26,'Data Transformation'!$R$10&lt;Weighting!B27),B26+0.00001,B26)</f>
        <v>#DIV/0!</v>
      </c>
    </row>
    <row r="28" spans="1:22" ht="21">
      <c r="A28" s="43" t="s">
        <v>84</v>
      </c>
    </row>
    <row r="29" spans="1:22">
      <c r="D29" s="89" t="s">
        <v>41</v>
      </c>
      <c r="E29" s="89"/>
      <c r="F29" s="89" t="s">
        <v>42</v>
      </c>
      <c r="G29" s="89"/>
      <c r="H29" s="89" t="s">
        <v>40</v>
      </c>
      <c r="I29" s="89"/>
      <c r="J29" s="89"/>
      <c r="K29" s="89"/>
      <c r="L29" s="89" t="s">
        <v>46</v>
      </c>
      <c r="M29" s="89"/>
      <c r="N29" s="89"/>
      <c r="O29" s="2" t="s">
        <v>47</v>
      </c>
    </row>
    <row r="30" spans="1:22">
      <c r="A30" s="2" t="s">
        <v>19</v>
      </c>
      <c r="B30" s="16" t="e">
        <f>'Data Transformation'!$R$24</f>
        <v>#DIV/0!</v>
      </c>
      <c r="C30" s="16"/>
      <c r="D30" t="s">
        <v>34</v>
      </c>
      <c r="E30" t="s">
        <v>35</v>
      </c>
      <c r="F30" t="s">
        <v>34</v>
      </c>
      <c r="G30" t="s">
        <v>35</v>
      </c>
      <c r="H30" s="14" t="s">
        <v>37</v>
      </c>
      <c r="I30" s="14" t="s">
        <v>85</v>
      </c>
      <c r="J30" s="14" t="s">
        <v>86</v>
      </c>
      <c r="K30" s="14" t="s">
        <v>45</v>
      </c>
      <c r="L30" t="s">
        <v>34</v>
      </c>
      <c r="M30" t="s">
        <v>35</v>
      </c>
      <c r="N30" t="s">
        <v>36</v>
      </c>
    </row>
    <row r="31" spans="1:22">
      <c r="A31" t="s">
        <v>33</v>
      </c>
      <c r="B31" t="e">
        <f>C5</f>
        <v>#DIV/0!</v>
      </c>
    </row>
    <row r="32" spans="1:22">
      <c r="B32" t="e">
        <f t="shared" ref="B32:B51" si="12">C6</f>
        <v>#DIV/0!</v>
      </c>
      <c r="D32" t="e">
        <f>IF(FREQUENCY('Data Transformation'!$R$5,$B32),1,0)</f>
        <v>#NUM!</v>
      </c>
      <c r="E32" t="e">
        <f t="shared" ref="E32:E51" si="13">D32-D31</f>
        <v>#NUM!</v>
      </c>
      <c r="F32">
        <f>IF(FREQUENCY('Data Transformation'!$R$6,$B32),1,0)</f>
        <v>1</v>
      </c>
      <c r="G32">
        <f>F32-F31</f>
        <v>1</v>
      </c>
      <c r="H32">
        <f>IF(F32=1,H31+1,G32)</f>
        <v>1</v>
      </c>
      <c r="I32" t="e">
        <f t="shared" ref="I32:I50" si="14">IF(D32=1,1,I33+1)</f>
        <v>#NUM!</v>
      </c>
      <c r="J32" t="e">
        <f>IF(I31=1,J31+1,I32)</f>
        <v>#NUM!</v>
      </c>
      <c r="K32" t="e">
        <f>IF(MIN(J32,H32)&gt;3,3,MIN(J32,H32))</f>
        <v>#NUM!</v>
      </c>
      <c r="L32">
        <f>IF(FREQUENCY('Data Transformation'!$R$10,$B32),1,0)</f>
        <v>1</v>
      </c>
      <c r="M32">
        <f>L32-L31</f>
        <v>1</v>
      </c>
      <c r="N32">
        <f>N31+1*M31</f>
        <v>0</v>
      </c>
      <c r="O32" t="e">
        <f>IF(N32=0,K32,0)</f>
        <v>#NUM!</v>
      </c>
    </row>
    <row r="33" spans="2:15">
      <c r="B33" t="e">
        <f t="shared" si="12"/>
        <v>#DIV/0!</v>
      </c>
      <c r="D33" t="e">
        <f>IF(FREQUENCY('Data Transformation'!$R$5,$B33),1,0)</f>
        <v>#NUM!</v>
      </c>
      <c r="E33" t="e">
        <f t="shared" si="13"/>
        <v>#NUM!</v>
      </c>
      <c r="F33">
        <f>IF(FREQUENCY('Data Transformation'!$R$6,$B33),1,0)</f>
        <v>1</v>
      </c>
      <c r="G33">
        <f t="shared" ref="G33:G51" si="15">F33-F32</f>
        <v>0</v>
      </c>
      <c r="H33">
        <f t="shared" ref="H33:H51" si="16">IF(F33=1,H32+1,G33)</f>
        <v>2</v>
      </c>
      <c r="I33" t="e">
        <f t="shared" si="14"/>
        <v>#NUM!</v>
      </c>
      <c r="J33" t="e">
        <f t="shared" ref="J33:J51" si="17">IF(I32=1,J32+1,I33)</f>
        <v>#NUM!</v>
      </c>
      <c r="K33" t="e">
        <f t="shared" ref="K33:K51" si="18">IF(MIN(J33,H33)&gt;3,3,MIN(J33,H33))</f>
        <v>#NUM!</v>
      </c>
      <c r="L33">
        <f>IF(FREQUENCY('Data Transformation'!$R$10,$B33),1,0)</f>
        <v>1</v>
      </c>
      <c r="M33">
        <f t="shared" ref="M33:M51" si="19">L33-L32</f>
        <v>0</v>
      </c>
      <c r="N33">
        <f t="shared" ref="N33:N51" si="20">N32+1*M32</f>
        <v>1</v>
      </c>
      <c r="O33">
        <f t="shared" ref="O33:O51" si="21">IF(N33=0,K33,0)</f>
        <v>0</v>
      </c>
    </row>
    <row r="34" spans="2:15">
      <c r="B34" t="e">
        <f t="shared" si="12"/>
        <v>#DIV/0!</v>
      </c>
      <c r="D34" t="e">
        <f>IF(FREQUENCY('Data Transformation'!$R$5,$B34),1,0)</f>
        <v>#NUM!</v>
      </c>
      <c r="E34" t="e">
        <f t="shared" si="13"/>
        <v>#NUM!</v>
      </c>
      <c r="F34">
        <f>IF(FREQUENCY('Data Transformation'!$R$6,$B34),1,0)</f>
        <v>1</v>
      </c>
      <c r="G34">
        <f t="shared" si="15"/>
        <v>0</v>
      </c>
      <c r="H34">
        <f t="shared" si="16"/>
        <v>3</v>
      </c>
      <c r="I34" t="e">
        <f t="shared" si="14"/>
        <v>#NUM!</v>
      </c>
      <c r="J34" t="e">
        <f t="shared" si="17"/>
        <v>#NUM!</v>
      </c>
      <c r="K34" t="e">
        <f t="shared" si="18"/>
        <v>#NUM!</v>
      </c>
      <c r="L34">
        <f>IF(FREQUENCY('Data Transformation'!$R$10,$B34),1,0)</f>
        <v>1</v>
      </c>
      <c r="M34">
        <f t="shared" si="19"/>
        <v>0</v>
      </c>
      <c r="N34">
        <f t="shared" si="20"/>
        <v>1</v>
      </c>
      <c r="O34">
        <f t="shared" si="21"/>
        <v>0</v>
      </c>
    </row>
    <row r="35" spans="2:15">
      <c r="B35" t="e">
        <f t="shared" si="12"/>
        <v>#DIV/0!</v>
      </c>
      <c r="D35" t="e">
        <f>IF(FREQUENCY('Data Transformation'!$R$5,$B35),1,0)</f>
        <v>#NUM!</v>
      </c>
      <c r="E35" t="e">
        <f t="shared" si="13"/>
        <v>#NUM!</v>
      </c>
      <c r="F35">
        <f>IF(FREQUENCY('Data Transformation'!$R$6,$B35),1,0)</f>
        <v>1</v>
      </c>
      <c r="G35">
        <f t="shared" si="15"/>
        <v>0</v>
      </c>
      <c r="H35">
        <f t="shared" si="16"/>
        <v>4</v>
      </c>
      <c r="I35" t="e">
        <f t="shared" si="14"/>
        <v>#NUM!</v>
      </c>
      <c r="J35" t="e">
        <f t="shared" si="17"/>
        <v>#NUM!</v>
      </c>
      <c r="K35" t="e">
        <f t="shared" si="18"/>
        <v>#NUM!</v>
      </c>
      <c r="L35">
        <f>IF(FREQUENCY('Data Transformation'!$R$10,$B35),1,0)</f>
        <v>1</v>
      </c>
      <c r="M35">
        <f t="shared" si="19"/>
        <v>0</v>
      </c>
      <c r="N35">
        <f t="shared" si="20"/>
        <v>1</v>
      </c>
      <c r="O35">
        <f t="shared" si="21"/>
        <v>0</v>
      </c>
    </row>
    <row r="36" spans="2:15">
      <c r="B36" t="e">
        <f t="shared" si="12"/>
        <v>#DIV/0!</v>
      </c>
      <c r="D36" t="e">
        <f>IF(FREQUENCY('Data Transformation'!$R$5,$B36),1,0)</f>
        <v>#NUM!</v>
      </c>
      <c r="E36" t="e">
        <f t="shared" si="13"/>
        <v>#NUM!</v>
      </c>
      <c r="F36">
        <f>IF(FREQUENCY('Data Transformation'!$R$6,$B36),1,0)</f>
        <v>1</v>
      </c>
      <c r="G36">
        <f t="shared" si="15"/>
        <v>0</v>
      </c>
      <c r="H36">
        <f t="shared" si="16"/>
        <v>5</v>
      </c>
      <c r="I36" t="e">
        <f t="shared" si="14"/>
        <v>#NUM!</v>
      </c>
      <c r="J36" t="e">
        <f t="shared" si="17"/>
        <v>#NUM!</v>
      </c>
      <c r="K36" t="e">
        <f t="shared" si="18"/>
        <v>#NUM!</v>
      </c>
      <c r="L36">
        <f>IF(FREQUENCY('Data Transformation'!$R$10,$B36),1,0)</f>
        <v>1</v>
      </c>
      <c r="M36">
        <f t="shared" si="19"/>
        <v>0</v>
      </c>
      <c r="N36">
        <f t="shared" si="20"/>
        <v>1</v>
      </c>
      <c r="O36">
        <f t="shared" si="21"/>
        <v>0</v>
      </c>
    </row>
    <row r="37" spans="2:15">
      <c r="B37" t="e">
        <f t="shared" si="12"/>
        <v>#DIV/0!</v>
      </c>
      <c r="D37" t="e">
        <f>IF(FREQUENCY('Data Transformation'!$R$5,$B37),1,0)</f>
        <v>#NUM!</v>
      </c>
      <c r="E37" t="e">
        <f t="shared" si="13"/>
        <v>#NUM!</v>
      </c>
      <c r="F37">
        <f>IF(FREQUENCY('Data Transformation'!$R$6,$B37),1,0)</f>
        <v>1</v>
      </c>
      <c r="G37">
        <f t="shared" si="15"/>
        <v>0</v>
      </c>
      <c r="H37">
        <f t="shared" si="16"/>
        <v>6</v>
      </c>
      <c r="I37" t="e">
        <f t="shared" si="14"/>
        <v>#NUM!</v>
      </c>
      <c r="J37" t="e">
        <f t="shared" si="17"/>
        <v>#NUM!</v>
      </c>
      <c r="K37" t="e">
        <f t="shared" si="18"/>
        <v>#NUM!</v>
      </c>
      <c r="L37">
        <f>IF(FREQUENCY('Data Transformation'!$R$10,$B37),1,0)</f>
        <v>1</v>
      </c>
      <c r="M37">
        <f t="shared" si="19"/>
        <v>0</v>
      </c>
      <c r="N37">
        <f t="shared" si="20"/>
        <v>1</v>
      </c>
      <c r="O37">
        <f t="shared" si="21"/>
        <v>0</v>
      </c>
    </row>
    <row r="38" spans="2:15">
      <c r="B38" t="e">
        <f t="shared" si="12"/>
        <v>#DIV/0!</v>
      </c>
      <c r="D38" t="e">
        <f>IF(FREQUENCY('Data Transformation'!$R$5,$B38),1,0)</f>
        <v>#NUM!</v>
      </c>
      <c r="E38" t="e">
        <f t="shared" si="13"/>
        <v>#NUM!</v>
      </c>
      <c r="F38">
        <f>IF(FREQUENCY('Data Transformation'!$R$6,$B38),1,0)</f>
        <v>1</v>
      </c>
      <c r="G38">
        <f t="shared" si="15"/>
        <v>0</v>
      </c>
      <c r="H38">
        <f t="shared" si="16"/>
        <v>7</v>
      </c>
      <c r="I38" t="e">
        <f t="shared" si="14"/>
        <v>#NUM!</v>
      </c>
      <c r="J38" t="e">
        <f t="shared" si="17"/>
        <v>#NUM!</v>
      </c>
      <c r="K38" t="e">
        <f t="shared" si="18"/>
        <v>#NUM!</v>
      </c>
      <c r="L38">
        <f>IF(FREQUENCY('Data Transformation'!$R$10,$B38),1,0)</f>
        <v>1</v>
      </c>
      <c r="M38">
        <f t="shared" si="19"/>
        <v>0</v>
      </c>
      <c r="N38">
        <f t="shared" si="20"/>
        <v>1</v>
      </c>
      <c r="O38">
        <f t="shared" si="21"/>
        <v>0</v>
      </c>
    </row>
    <row r="39" spans="2:15">
      <c r="B39" t="e">
        <f t="shared" si="12"/>
        <v>#DIV/0!</v>
      </c>
      <c r="D39" t="e">
        <f>IF(FREQUENCY('Data Transformation'!$R$5,$B39),1,0)</f>
        <v>#NUM!</v>
      </c>
      <c r="E39" t="e">
        <f t="shared" si="13"/>
        <v>#NUM!</v>
      </c>
      <c r="F39">
        <f>IF(FREQUENCY('Data Transformation'!$R$6,$B39),1,0)</f>
        <v>1</v>
      </c>
      <c r="G39">
        <f t="shared" si="15"/>
        <v>0</v>
      </c>
      <c r="H39">
        <f t="shared" si="16"/>
        <v>8</v>
      </c>
      <c r="I39" t="e">
        <f t="shared" si="14"/>
        <v>#NUM!</v>
      </c>
      <c r="J39" t="e">
        <f t="shared" si="17"/>
        <v>#NUM!</v>
      </c>
      <c r="K39" t="e">
        <f t="shared" si="18"/>
        <v>#NUM!</v>
      </c>
      <c r="L39">
        <f>IF(FREQUENCY('Data Transformation'!$R$10,$B39),1,0)</f>
        <v>1</v>
      </c>
      <c r="M39">
        <f t="shared" si="19"/>
        <v>0</v>
      </c>
      <c r="N39">
        <f t="shared" si="20"/>
        <v>1</v>
      </c>
      <c r="O39">
        <f t="shared" si="21"/>
        <v>0</v>
      </c>
    </row>
    <row r="40" spans="2:15">
      <c r="B40" t="e">
        <f t="shared" si="12"/>
        <v>#DIV/0!</v>
      </c>
      <c r="D40" t="e">
        <f>IF(FREQUENCY('Data Transformation'!$R$5,$B40),1,0)</f>
        <v>#NUM!</v>
      </c>
      <c r="E40" t="e">
        <f t="shared" si="13"/>
        <v>#NUM!</v>
      </c>
      <c r="F40">
        <f>IF(FREQUENCY('Data Transformation'!$R$6,$B40),1,0)</f>
        <v>1</v>
      </c>
      <c r="G40">
        <f t="shared" si="15"/>
        <v>0</v>
      </c>
      <c r="H40">
        <f t="shared" si="16"/>
        <v>9</v>
      </c>
      <c r="I40" t="e">
        <f t="shared" si="14"/>
        <v>#NUM!</v>
      </c>
      <c r="J40" t="e">
        <f t="shared" si="17"/>
        <v>#NUM!</v>
      </c>
      <c r="K40" t="e">
        <f t="shared" si="18"/>
        <v>#NUM!</v>
      </c>
      <c r="L40">
        <f>IF(FREQUENCY('Data Transformation'!$R$10,$B40),1,0)</f>
        <v>1</v>
      </c>
      <c r="M40">
        <f t="shared" si="19"/>
        <v>0</v>
      </c>
      <c r="N40">
        <f t="shared" si="20"/>
        <v>1</v>
      </c>
      <c r="O40">
        <f t="shared" si="21"/>
        <v>0</v>
      </c>
    </row>
    <row r="41" spans="2:15">
      <c r="B41" t="e">
        <f t="shared" si="12"/>
        <v>#DIV/0!</v>
      </c>
      <c r="D41" t="e">
        <f>IF(FREQUENCY('Data Transformation'!$R$5,$B41),1,0)</f>
        <v>#NUM!</v>
      </c>
      <c r="E41" t="e">
        <f t="shared" si="13"/>
        <v>#NUM!</v>
      </c>
      <c r="F41">
        <f>IF(FREQUENCY('Data Transformation'!$R$6,$B41),1,0)</f>
        <v>1</v>
      </c>
      <c r="G41">
        <f t="shared" si="15"/>
        <v>0</v>
      </c>
      <c r="H41">
        <f t="shared" si="16"/>
        <v>10</v>
      </c>
      <c r="I41" t="e">
        <f t="shared" si="14"/>
        <v>#NUM!</v>
      </c>
      <c r="J41" t="e">
        <f t="shared" si="17"/>
        <v>#NUM!</v>
      </c>
      <c r="K41" t="e">
        <f t="shared" si="18"/>
        <v>#NUM!</v>
      </c>
      <c r="L41">
        <f>IF(FREQUENCY('Data Transformation'!$R$10,$B41),1,0)</f>
        <v>1</v>
      </c>
      <c r="M41">
        <f t="shared" si="19"/>
        <v>0</v>
      </c>
      <c r="N41">
        <f t="shared" si="20"/>
        <v>1</v>
      </c>
      <c r="O41">
        <f t="shared" si="21"/>
        <v>0</v>
      </c>
    </row>
    <row r="42" spans="2:15">
      <c r="B42" t="e">
        <f t="shared" si="12"/>
        <v>#DIV/0!</v>
      </c>
      <c r="D42" t="e">
        <f>IF(FREQUENCY('Data Transformation'!$R$5,$B42),1,0)</f>
        <v>#NUM!</v>
      </c>
      <c r="E42" t="e">
        <f t="shared" si="13"/>
        <v>#NUM!</v>
      </c>
      <c r="F42">
        <f>IF(FREQUENCY('Data Transformation'!$R$6,$B42),1,0)</f>
        <v>1</v>
      </c>
      <c r="G42">
        <f t="shared" si="15"/>
        <v>0</v>
      </c>
      <c r="H42">
        <f t="shared" si="16"/>
        <v>11</v>
      </c>
      <c r="I42" t="e">
        <f t="shared" si="14"/>
        <v>#NUM!</v>
      </c>
      <c r="J42" t="e">
        <f t="shared" si="17"/>
        <v>#NUM!</v>
      </c>
      <c r="K42" t="e">
        <f t="shared" si="18"/>
        <v>#NUM!</v>
      </c>
      <c r="L42">
        <f>IF(FREQUENCY('Data Transformation'!$R$10,$B42),1,0)</f>
        <v>1</v>
      </c>
      <c r="M42">
        <f t="shared" si="19"/>
        <v>0</v>
      </c>
      <c r="N42">
        <f t="shared" si="20"/>
        <v>1</v>
      </c>
      <c r="O42">
        <f t="shared" si="21"/>
        <v>0</v>
      </c>
    </row>
    <row r="43" spans="2:15">
      <c r="B43" t="e">
        <f t="shared" si="12"/>
        <v>#DIV/0!</v>
      </c>
      <c r="D43" t="e">
        <f>IF(FREQUENCY('Data Transformation'!$R$5,$B43),1,0)</f>
        <v>#NUM!</v>
      </c>
      <c r="E43" t="e">
        <f t="shared" si="13"/>
        <v>#NUM!</v>
      </c>
      <c r="F43">
        <f>IF(FREQUENCY('Data Transformation'!$R$6,$B43),1,0)</f>
        <v>1</v>
      </c>
      <c r="G43">
        <f t="shared" si="15"/>
        <v>0</v>
      </c>
      <c r="H43">
        <f t="shared" si="16"/>
        <v>12</v>
      </c>
      <c r="I43" t="e">
        <f t="shared" si="14"/>
        <v>#NUM!</v>
      </c>
      <c r="J43" t="e">
        <f t="shared" si="17"/>
        <v>#NUM!</v>
      </c>
      <c r="K43" t="e">
        <f t="shared" si="18"/>
        <v>#NUM!</v>
      </c>
      <c r="L43">
        <f>IF(FREQUENCY('Data Transformation'!$R$10,$B43),1,0)</f>
        <v>1</v>
      </c>
      <c r="M43">
        <f t="shared" si="19"/>
        <v>0</v>
      </c>
      <c r="N43">
        <f t="shared" si="20"/>
        <v>1</v>
      </c>
      <c r="O43">
        <f t="shared" si="21"/>
        <v>0</v>
      </c>
    </row>
    <row r="44" spans="2:15">
      <c r="B44" t="e">
        <f t="shared" si="12"/>
        <v>#DIV/0!</v>
      </c>
      <c r="D44" t="e">
        <f>IF(FREQUENCY('Data Transformation'!$R$5,$B44),1,0)</f>
        <v>#NUM!</v>
      </c>
      <c r="E44" t="e">
        <f t="shared" si="13"/>
        <v>#NUM!</v>
      </c>
      <c r="F44">
        <f>IF(FREQUENCY('Data Transformation'!$R$6,$B44),1,0)</f>
        <v>1</v>
      </c>
      <c r="G44">
        <f t="shared" si="15"/>
        <v>0</v>
      </c>
      <c r="H44">
        <f t="shared" si="16"/>
        <v>13</v>
      </c>
      <c r="I44" t="e">
        <f t="shared" si="14"/>
        <v>#NUM!</v>
      </c>
      <c r="J44" t="e">
        <f t="shared" si="17"/>
        <v>#NUM!</v>
      </c>
      <c r="K44" t="e">
        <f t="shared" si="18"/>
        <v>#NUM!</v>
      </c>
      <c r="L44">
        <f>IF(FREQUENCY('Data Transformation'!$R$10,$B44),1,0)</f>
        <v>1</v>
      </c>
      <c r="M44">
        <f t="shared" si="19"/>
        <v>0</v>
      </c>
      <c r="N44">
        <f t="shared" si="20"/>
        <v>1</v>
      </c>
      <c r="O44">
        <f t="shared" si="21"/>
        <v>0</v>
      </c>
    </row>
    <row r="45" spans="2:15">
      <c r="B45" t="e">
        <f t="shared" si="12"/>
        <v>#DIV/0!</v>
      </c>
      <c r="D45" t="e">
        <f>IF(FREQUENCY('Data Transformation'!$R$5,$B45),1,0)</f>
        <v>#NUM!</v>
      </c>
      <c r="E45" t="e">
        <f t="shared" si="13"/>
        <v>#NUM!</v>
      </c>
      <c r="F45">
        <f>IF(FREQUENCY('Data Transformation'!$R$6,$B45),1,0)</f>
        <v>1</v>
      </c>
      <c r="G45">
        <f t="shared" si="15"/>
        <v>0</v>
      </c>
      <c r="H45">
        <f t="shared" si="16"/>
        <v>14</v>
      </c>
      <c r="I45" t="e">
        <f t="shared" si="14"/>
        <v>#NUM!</v>
      </c>
      <c r="J45" t="e">
        <f t="shared" si="17"/>
        <v>#NUM!</v>
      </c>
      <c r="K45" t="e">
        <f t="shared" si="18"/>
        <v>#NUM!</v>
      </c>
      <c r="L45">
        <f>IF(FREQUENCY('Data Transformation'!$R$10,$B45),1,0)</f>
        <v>1</v>
      </c>
      <c r="M45">
        <f t="shared" si="19"/>
        <v>0</v>
      </c>
      <c r="N45">
        <f t="shared" si="20"/>
        <v>1</v>
      </c>
      <c r="O45">
        <f t="shared" si="21"/>
        <v>0</v>
      </c>
    </row>
    <row r="46" spans="2:15">
      <c r="B46" t="e">
        <f t="shared" si="12"/>
        <v>#DIV/0!</v>
      </c>
      <c r="D46" t="e">
        <f>IF(FREQUENCY('Data Transformation'!$R$5,$B46),1,0)</f>
        <v>#NUM!</v>
      </c>
      <c r="E46" t="e">
        <f t="shared" si="13"/>
        <v>#NUM!</v>
      </c>
      <c r="F46">
        <f>IF(FREQUENCY('Data Transformation'!$R$6,$B46),1,0)</f>
        <v>1</v>
      </c>
      <c r="G46">
        <f t="shared" si="15"/>
        <v>0</v>
      </c>
      <c r="H46">
        <f t="shared" si="16"/>
        <v>15</v>
      </c>
      <c r="I46" t="e">
        <f t="shared" si="14"/>
        <v>#NUM!</v>
      </c>
      <c r="J46" t="e">
        <f t="shared" si="17"/>
        <v>#NUM!</v>
      </c>
      <c r="K46" t="e">
        <f t="shared" si="18"/>
        <v>#NUM!</v>
      </c>
      <c r="L46">
        <f>IF(FREQUENCY('Data Transformation'!$R$10,$B46),1,0)</f>
        <v>1</v>
      </c>
      <c r="M46">
        <f t="shared" si="19"/>
        <v>0</v>
      </c>
      <c r="N46">
        <f t="shared" si="20"/>
        <v>1</v>
      </c>
      <c r="O46">
        <f t="shared" si="21"/>
        <v>0</v>
      </c>
    </row>
    <row r="47" spans="2:15">
      <c r="B47" t="e">
        <f t="shared" si="12"/>
        <v>#DIV/0!</v>
      </c>
      <c r="D47" t="e">
        <f>IF(FREQUENCY('Data Transformation'!$R$5,$B47),1,0)</f>
        <v>#NUM!</v>
      </c>
      <c r="E47" t="e">
        <f t="shared" si="13"/>
        <v>#NUM!</v>
      </c>
      <c r="F47">
        <f>IF(FREQUENCY('Data Transformation'!$R$6,$B47),1,0)</f>
        <v>1</v>
      </c>
      <c r="G47">
        <f t="shared" si="15"/>
        <v>0</v>
      </c>
      <c r="H47">
        <f t="shared" si="16"/>
        <v>16</v>
      </c>
      <c r="I47" t="e">
        <f t="shared" si="14"/>
        <v>#NUM!</v>
      </c>
      <c r="J47" t="e">
        <f t="shared" si="17"/>
        <v>#NUM!</v>
      </c>
      <c r="K47" t="e">
        <f t="shared" si="18"/>
        <v>#NUM!</v>
      </c>
      <c r="L47">
        <f>IF(FREQUENCY('Data Transformation'!$R$10,$B47),1,0)</f>
        <v>1</v>
      </c>
      <c r="M47">
        <f t="shared" si="19"/>
        <v>0</v>
      </c>
      <c r="N47">
        <f t="shared" si="20"/>
        <v>1</v>
      </c>
      <c r="O47">
        <f t="shared" si="21"/>
        <v>0</v>
      </c>
    </row>
    <row r="48" spans="2:15">
      <c r="B48" t="e">
        <f t="shared" si="12"/>
        <v>#DIV/0!</v>
      </c>
      <c r="D48" t="e">
        <f>IF(FREQUENCY('Data Transformation'!$R$5,$B48),1,0)</f>
        <v>#NUM!</v>
      </c>
      <c r="E48" t="e">
        <f t="shared" si="13"/>
        <v>#NUM!</v>
      </c>
      <c r="F48">
        <f>IF(FREQUENCY('Data Transformation'!$R$6,$B48),1,0)</f>
        <v>1</v>
      </c>
      <c r="G48">
        <f t="shared" si="15"/>
        <v>0</v>
      </c>
      <c r="H48">
        <f t="shared" si="16"/>
        <v>17</v>
      </c>
      <c r="I48" t="e">
        <f t="shared" si="14"/>
        <v>#NUM!</v>
      </c>
      <c r="J48" t="e">
        <f t="shared" si="17"/>
        <v>#NUM!</v>
      </c>
      <c r="K48" t="e">
        <f t="shared" si="18"/>
        <v>#NUM!</v>
      </c>
      <c r="L48">
        <f>IF(FREQUENCY('Data Transformation'!$R$10,$B48),1,0)</f>
        <v>1</v>
      </c>
      <c r="M48">
        <f t="shared" si="19"/>
        <v>0</v>
      </c>
      <c r="N48">
        <f t="shared" si="20"/>
        <v>1</v>
      </c>
      <c r="O48">
        <f t="shared" si="21"/>
        <v>0</v>
      </c>
    </row>
    <row r="49" spans="2:15">
      <c r="B49" t="e">
        <f t="shared" si="12"/>
        <v>#DIV/0!</v>
      </c>
      <c r="D49" t="e">
        <f>IF(FREQUENCY('Data Transformation'!$R$5,$B49),1,0)</f>
        <v>#NUM!</v>
      </c>
      <c r="E49" t="e">
        <f t="shared" si="13"/>
        <v>#NUM!</v>
      </c>
      <c r="F49">
        <f>IF(FREQUENCY('Data Transformation'!$R$6,$B49),1,0)</f>
        <v>1</v>
      </c>
      <c r="G49">
        <f t="shared" si="15"/>
        <v>0</v>
      </c>
      <c r="H49">
        <f t="shared" si="16"/>
        <v>18</v>
      </c>
      <c r="I49" t="e">
        <f t="shared" si="14"/>
        <v>#NUM!</v>
      </c>
      <c r="J49" t="e">
        <f t="shared" si="17"/>
        <v>#NUM!</v>
      </c>
      <c r="K49" t="e">
        <f t="shared" si="18"/>
        <v>#NUM!</v>
      </c>
      <c r="L49">
        <f>IF(FREQUENCY('Data Transformation'!$R$10,$B49),1,0)</f>
        <v>1</v>
      </c>
      <c r="M49">
        <f t="shared" si="19"/>
        <v>0</v>
      </c>
      <c r="N49">
        <f t="shared" si="20"/>
        <v>1</v>
      </c>
      <c r="O49">
        <f t="shared" si="21"/>
        <v>0</v>
      </c>
    </row>
    <row r="50" spans="2:15">
      <c r="B50" t="e">
        <f t="shared" si="12"/>
        <v>#DIV/0!</v>
      </c>
      <c r="D50" t="e">
        <f>IF(FREQUENCY('Data Transformation'!$R$5,$B50),1,0)</f>
        <v>#NUM!</v>
      </c>
      <c r="E50" t="e">
        <f t="shared" si="13"/>
        <v>#NUM!</v>
      </c>
      <c r="F50">
        <f>IF(FREQUENCY('Data Transformation'!$R$6,$B50),1,0)</f>
        <v>1</v>
      </c>
      <c r="G50">
        <f t="shared" si="15"/>
        <v>0</v>
      </c>
      <c r="H50">
        <f t="shared" si="16"/>
        <v>19</v>
      </c>
      <c r="I50" t="e">
        <f t="shared" si="14"/>
        <v>#NUM!</v>
      </c>
      <c r="J50" t="e">
        <f t="shared" si="17"/>
        <v>#NUM!</v>
      </c>
      <c r="K50" t="e">
        <f t="shared" si="18"/>
        <v>#NUM!</v>
      </c>
      <c r="L50">
        <f>IF(FREQUENCY('Data Transformation'!$R$10,$B50),1,0)</f>
        <v>1</v>
      </c>
      <c r="M50">
        <f t="shared" si="19"/>
        <v>0</v>
      </c>
      <c r="N50">
        <f t="shared" si="20"/>
        <v>1</v>
      </c>
      <c r="O50">
        <f t="shared" si="21"/>
        <v>0</v>
      </c>
    </row>
    <row r="51" spans="2:15">
      <c r="B51" t="e">
        <f t="shared" si="12"/>
        <v>#DIV/0!</v>
      </c>
      <c r="D51" t="e">
        <f>IF(FREQUENCY('Data Transformation'!$R$5,$B51),1,0)</f>
        <v>#NUM!</v>
      </c>
      <c r="E51" t="e">
        <f t="shared" si="13"/>
        <v>#NUM!</v>
      </c>
      <c r="F51">
        <f>IF(FREQUENCY('Data Transformation'!$R$6,$B51),1,0)</f>
        <v>1</v>
      </c>
      <c r="G51">
        <f t="shared" si="15"/>
        <v>0</v>
      </c>
      <c r="H51">
        <f t="shared" si="16"/>
        <v>20</v>
      </c>
      <c r="I51" t="e">
        <f>IF(D51=1,1,J52+1)</f>
        <v>#NUM!</v>
      </c>
      <c r="J51" t="e">
        <f t="shared" si="17"/>
        <v>#NUM!</v>
      </c>
      <c r="K51" t="e">
        <f t="shared" si="18"/>
        <v>#NUM!</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zoomScale="55" zoomScaleNormal="55" workbookViewId="0">
      <pane ySplit="2" topLeftCell="A4" activePane="bottomLeft" state="frozen"/>
      <selection pane="bottomLeft" activeCell="A28" sqref="A28:B28"/>
    </sheetView>
  </sheetViews>
  <sheetFormatPr defaultColWidth="11" defaultRowHeight="15.5"/>
  <cols>
    <col min="4" max="4" width="11" bestFit="1" customWidth="1"/>
    <col min="5" max="5" width="4" bestFit="1" customWidth="1"/>
    <col min="6" max="6" width="9" customWidth="1"/>
    <col min="7" max="7" width="6.58203125" customWidth="1"/>
    <col min="8" max="8" width="6.83203125" customWidth="1"/>
    <col min="9" max="9" width="12.08203125" bestFit="1" customWidth="1"/>
    <col min="10" max="10" width="5.58203125" customWidth="1"/>
    <col min="11" max="11" width="6.83203125" customWidth="1"/>
    <col min="12" max="12" width="12.83203125" bestFit="1" customWidth="1"/>
    <col min="13" max="13" width="12.58203125" bestFit="1" customWidth="1"/>
    <col min="15" max="15" width="15.33203125" style="14" bestFit="1" customWidth="1"/>
    <col min="16" max="16" width="15.33203125" style="14" customWidth="1"/>
    <col min="17" max="17" width="12.08203125" style="35" bestFit="1" customWidth="1"/>
    <col min="18" max="18" width="25.08203125" style="35" bestFit="1" customWidth="1"/>
    <col min="19" max="19" width="22.5" style="35" bestFit="1" customWidth="1"/>
    <col min="20" max="20" width="8.5" style="35" bestFit="1" customWidth="1"/>
    <col min="26" max="26" width="29.33203125" bestFit="1" customWidth="1"/>
  </cols>
  <sheetData>
    <row r="1" spans="1:27" ht="21">
      <c r="O1" s="33"/>
      <c r="P1" s="33"/>
      <c r="Q1" s="92" t="s">
        <v>52</v>
      </c>
      <c r="R1" s="92"/>
      <c r="S1" s="92"/>
      <c r="T1" s="92"/>
    </row>
    <row r="2" spans="1:27" ht="21">
      <c r="O2" s="34" t="s">
        <v>65</v>
      </c>
      <c r="P2" s="57" t="s">
        <v>103</v>
      </c>
      <c r="Q2" s="19" t="s">
        <v>53</v>
      </c>
      <c r="R2" s="19" t="s">
        <v>54</v>
      </c>
      <c r="S2" s="19" t="s">
        <v>55</v>
      </c>
      <c r="T2" s="19" t="s">
        <v>56</v>
      </c>
      <c r="U2" s="19" t="s">
        <v>80</v>
      </c>
      <c r="Z2" s="78" t="s">
        <v>110</v>
      </c>
      <c r="AA2" s="78" t="s">
        <v>111</v>
      </c>
    </row>
    <row r="3" spans="1:27" ht="23.5">
      <c r="D3" s="30" t="s">
        <v>51</v>
      </c>
      <c r="E3" s="38"/>
      <c r="F3" s="38"/>
      <c r="G3" s="38"/>
      <c r="H3" s="38"/>
      <c r="I3" s="38"/>
      <c r="J3" s="39"/>
      <c r="K3" s="39"/>
      <c r="L3" s="39"/>
      <c r="N3" s="38" t="str">
        <f>D3</f>
        <v>All</v>
      </c>
      <c r="O3" s="32" t="b">
        <f>INDEX('Data Transformation'!$O$4:$O$25,MATCH($D3,'Data Transformation'!$M$4:$M$25,0),MATCH($O$2,'Data Transformation'!$O$3,0))</f>
        <v>0</v>
      </c>
      <c r="P3" s="36">
        <f>IF('Input and Summary Results'!$J$16="minimum",'Bin Analysis and Plots'!Z4/('Bin Analysis and Plots'!O3-1),'Bin Analysis and Plots'!AA3/('Bin Analysis and Plots'!O3-1))</f>
        <v>0</v>
      </c>
      <c r="Q3" s="36" t="e">
        <f>IF(O3=FALSE,NA(),(VLOOKUP(1,E6:M25,4,FALSE)/(O3-1)))</f>
        <v>#N/A</v>
      </c>
      <c r="R3" s="36" t="e">
        <f>IF(O3=FALSE,NA(),SUM(L6:L25)/Weighting!$R$5)</f>
        <v>#N/A</v>
      </c>
      <c r="S3" s="36" t="e">
        <f>IF(O3=FALSE,NA(),SUM(M6:M25)/Weighting!$R$6)</f>
        <v>#N/A</v>
      </c>
      <c r="T3" s="36" t="e">
        <f>IF(O3=FALSE,NA(),(VLOOKUP(1,I6:M25,3,FALSE))/(O3-1))</f>
        <v>#N/A</v>
      </c>
      <c r="U3" s="31" t="e">
        <f>IF(O3=FALSE,NA(),IF(SUM(L6:L25)=2,"yes","no"))</f>
        <v>#N/A</v>
      </c>
      <c r="Z3" s="78" cm="1">
        <f t="array" ref="Z3:Z4">FREQUENCY('Data Transformation'!$G$24:$G$404,'Data Transformation'!$U$11)</f>
        <v>0</v>
      </c>
      <c r="AA3" s="78" cm="1">
        <f t="array" ref="AA3:AA4">FREQUENCY('Data Transformation'!$G$24:$G$404,'Data Transformation'!$U$12)</f>
        <v>0</v>
      </c>
    </row>
    <row r="4" spans="1:27" ht="21">
      <c r="D4" t="s">
        <v>50</v>
      </c>
      <c r="E4" t="s">
        <v>5</v>
      </c>
      <c r="F4" t="s">
        <v>97</v>
      </c>
      <c r="G4" t="s">
        <v>100</v>
      </c>
      <c r="H4" t="s">
        <v>101</v>
      </c>
      <c r="I4" t="s">
        <v>74</v>
      </c>
      <c r="J4" t="s">
        <v>34</v>
      </c>
      <c r="K4" t="s">
        <v>35</v>
      </c>
      <c r="L4" t="s">
        <v>49</v>
      </c>
      <c r="M4" s="14" t="s">
        <v>48</v>
      </c>
      <c r="Z4" s="78">
        <v>0</v>
      </c>
      <c r="AA4" s="78">
        <v>0</v>
      </c>
    </row>
    <row r="5" spans="1:27">
      <c r="F5" t="e">
        <f>IF(E5=1,'Data Transformation'!$G$3+0.5*'Data Transformation'!$U$25,IF(E6=1,F6-'Data Transformation'!$U$25,FALSE))</f>
        <v>#NUM!</v>
      </c>
      <c r="G5">
        <f>IF(ISLOGICAL(F5),"",FREQUENCY('Data Transformation'!$G$24:$G$404,'Bin Analysis and Plots'!F5))</f>
        <v>0</v>
      </c>
      <c r="H5" t="e">
        <f>IF(ISLOGICAL(F5),"",G5-G4)</f>
        <v>#VALUE!</v>
      </c>
    </row>
    <row r="6" spans="1:27">
      <c r="C6" s="41" t="e">
        <f>IF(Weighting!$O$6&gt;0,D6,"")</f>
        <v>#NUM!</v>
      </c>
      <c r="D6" t="e">
        <f>Weighting!$C$6</f>
        <v>#DIV/0!</v>
      </c>
      <c r="E6" t="e">
        <f>Weighting!$E$6</f>
        <v>#NUM!</v>
      </c>
      <c r="F6" t="e">
        <f>IF(E6=1,'Data Transformation'!$G$3+0.5*'Data Transformation'!$U$25,IF(E7=1,F7-'Data Transformation'!$U$25,FALSE))</f>
        <v>#NUM!</v>
      </c>
      <c r="G6">
        <f>IF(ISLOGICAL(F6),"",FREQUENCY('Data Transformation'!$G$24:$G$404,'Bin Analysis and Plots'!F6))</f>
        <v>0</v>
      </c>
      <c r="H6">
        <f>IF(ISLOGICAL(F6),"",G6-G5)</f>
        <v>0</v>
      </c>
      <c r="I6">
        <f>Weighting!$G$6</f>
        <v>1</v>
      </c>
      <c r="J6">
        <f>FREQUENCY('Data Transformation'!$G$24:$G$404, $D6)</f>
        <v>0</v>
      </c>
      <c r="K6" t="e">
        <f t="shared" ref="K6:K25" si="0">J6-J5+E6</f>
        <v>#NUM!</v>
      </c>
      <c r="L6" t="e">
        <f>IF(K6=0,0,1)</f>
        <v>#NUM!</v>
      </c>
      <c r="M6" t="e">
        <f>L6*Weighting!$V$6</f>
        <v>#NUM!</v>
      </c>
    </row>
    <row r="7" spans="1:27">
      <c r="C7" s="41" t="str">
        <f>IF(Weighting!$O$7&gt;0,D7,"")</f>
        <v/>
      </c>
      <c r="D7" t="e">
        <f>Weighting!$C$7</f>
        <v>#DIV/0!</v>
      </c>
      <c r="E7" t="e">
        <f>Weighting!$E$7</f>
        <v>#NUM!</v>
      </c>
      <c r="F7" t="e">
        <f>IF(E7=1,'Data Transformation'!$G$3+0.5*'Data Transformation'!$U$25,IF(E8=1,F8-'Data Transformation'!$U$25,FALSE))</f>
        <v>#NUM!</v>
      </c>
      <c r="G7">
        <f>IF(ISLOGICAL(F7),"",FREQUENCY('Data Transformation'!$G$24:$G$404,'Bin Analysis and Plots'!F7))</f>
        <v>0</v>
      </c>
      <c r="H7">
        <f t="shared" ref="H7:H25" si="1">IF(ISLOGICAL(F7),"",G7-G6)</f>
        <v>0</v>
      </c>
      <c r="I7">
        <f>Weighting!$G$7</f>
        <v>0</v>
      </c>
      <c r="J7">
        <f>FREQUENCY('Data Transformation'!$G$24:$G$404, $D7)</f>
        <v>0</v>
      </c>
      <c r="K7" t="e">
        <f t="shared" si="0"/>
        <v>#NUM!</v>
      </c>
      <c r="L7" t="e">
        <f>IF(K7=0,0,1)</f>
        <v>#NUM!</v>
      </c>
      <c r="M7" t="e">
        <f>L7*Weighting!$V$7</f>
        <v>#NUM!</v>
      </c>
    </row>
    <row r="8" spans="1:27">
      <c r="C8" s="41" t="str">
        <f>IF(Weighting!$O$8&gt;0,D8,"")</f>
        <v/>
      </c>
      <c r="D8" t="e">
        <f>Weighting!$C$8</f>
        <v>#DIV/0!</v>
      </c>
      <c r="E8" t="e">
        <f>Weighting!$E$8</f>
        <v>#NUM!</v>
      </c>
      <c r="F8" t="e">
        <f>IF(E8=1,'Data Transformation'!$G$3+0.5*'Data Transformation'!$U$25,IF(E9=1,F9-'Data Transformation'!$U$25,FALSE))</f>
        <v>#NUM!</v>
      </c>
      <c r="G8">
        <f>IF(ISLOGICAL(F8),"",FREQUENCY('Data Transformation'!$G$24:$G$404,'Bin Analysis and Plots'!F8))</f>
        <v>0</v>
      </c>
      <c r="H8">
        <f t="shared" si="1"/>
        <v>0</v>
      </c>
      <c r="I8">
        <f>Weighting!$G$8</f>
        <v>0</v>
      </c>
      <c r="J8">
        <f>FREQUENCY('Data Transformation'!$G$24:$G$404, $D8)</f>
        <v>0</v>
      </c>
      <c r="K8" t="e">
        <f t="shared" si="0"/>
        <v>#NUM!</v>
      </c>
      <c r="L8" t="e">
        <f t="shared" ref="L8:L25" si="2">IF(K8=0,0,1)</f>
        <v>#NUM!</v>
      </c>
      <c r="M8" t="e">
        <f>L8*Weighting!$V$8</f>
        <v>#NUM!</v>
      </c>
    </row>
    <row r="9" spans="1:27">
      <c r="C9" s="41" t="str">
        <f>IF(Weighting!$O$9&gt;0,D9,"")</f>
        <v/>
      </c>
      <c r="D9" t="e">
        <f>Weighting!$C$9</f>
        <v>#DIV/0!</v>
      </c>
      <c r="E9" t="e">
        <f>Weighting!$E$9</f>
        <v>#NUM!</v>
      </c>
      <c r="F9" t="e">
        <f>IF(E9=1,'Data Transformation'!$G$3+0.5*'Data Transformation'!$U$25,IF(E10=1,F10-'Data Transformation'!$U$25,FALSE))</f>
        <v>#NUM!</v>
      </c>
      <c r="G9">
        <f>IF(ISLOGICAL(F9),"",FREQUENCY('Data Transformation'!$G$24:$G$404,'Bin Analysis and Plots'!F9))</f>
        <v>0</v>
      </c>
      <c r="H9">
        <f t="shared" si="1"/>
        <v>0</v>
      </c>
      <c r="I9">
        <f>Weighting!$G$9</f>
        <v>0</v>
      </c>
      <c r="J9">
        <f>FREQUENCY('Data Transformation'!$G$24:$G$404, $D9)</f>
        <v>0</v>
      </c>
      <c r="K9" t="e">
        <f t="shared" si="0"/>
        <v>#NUM!</v>
      </c>
      <c r="L9" t="e">
        <f t="shared" si="2"/>
        <v>#NUM!</v>
      </c>
      <c r="M9" t="e">
        <f>L9*Weighting!$V$9</f>
        <v>#NUM!</v>
      </c>
      <c r="Q9" s="35" t="s">
        <v>90</v>
      </c>
    </row>
    <row r="10" spans="1:27">
      <c r="C10" s="41" t="str">
        <f>IF(Weighting!$O$10&gt;0,D10,"")</f>
        <v/>
      </c>
      <c r="D10" t="e">
        <f>Weighting!$C$10</f>
        <v>#DIV/0!</v>
      </c>
      <c r="E10" t="e">
        <f>Weighting!$E$10</f>
        <v>#NUM!</v>
      </c>
      <c r="F10" t="e">
        <f>IF(E10=1,'Data Transformation'!$G$3+0.5*'Data Transformation'!$U$25,IF(E11=1,F11-'Data Transformation'!$U$25,FALSE))</f>
        <v>#NUM!</v>
      </c>
      <c r="G10">
        <f>IF(ISLOGICAL(F10),"",FREQUENCY('Data Transformation'!$G$24:$G$404,'Bin Analysis and Plots'!F10))</f>
        <v>0</v>
      </c>
      <c r="H10">
        <f t="shared" si="1"/>
        <v>0</v>
      </c>
      <c r="I10">
        <f>Weighting!$G$10</f>
        <v>0</v>
      </c>
      <c r="J10">
        <f>FREQUENCY('Data Transformation'!$G$24:$G$404, $D10)</f>
        <v>0</v>
      </c>
      <c r="K10" t="e">
        <f t="shared" si="0"/>
        <v>#NUM!</v>
      </c>
      <c r="L10" t="e">
        <f t="shared" si="2"/>
        <v>#NUM!</v>
      </c>
      <c r="M10" t="e">
        <f>L10*Weighting!$V$10</f>
        <v>#NUM!</v>
      </c>
    </row>
    <row r="11" spans="1:27">
      <c r="C11" s="41" t="str">
        <f>IF(Weighting!$O$11&gt;0,D11,"")</f>
        <v/>
      </c>
      <c r="D11" t="e">
        <f>Weighting!$C$11</f>
        <v>#DIV/0!</v>
      </c>
      <c r="E11" t="e">
        <f>Weighting!$E$11</f>
        <v>#NUM!</v>
      </c>
      <c r="F11" t="e">
        <f>IF(E11=1,'Data Transformation'!$G$3+0.5*'Data Transformation'!$U$25,IF(E12=1,F12-'Data Transformation'!$U$25,FALSE))</f>
        <v>#NUM!</v>
      </c>
      <c r="G11">
        <f>IF(ISLOGICAL(F11),"",FREQUENCY('Data Transformation'!$G$24:$G$404,'Bin Analysis and Plots'!F11))</f>
        <v>0</v>
      </c>
      <c r="H11">
        <f t="shared" si="1"/>
        <v>0</v>
      </c>
      <c r="I11">
        <f>Weighting!$G$11</f>
        <v>0</v>
      </c>
      <c r="J11">
        <f>FREQUENCY('Data Transformation'!$G$24:$G$404, $D11)</f>
        <v>0</v>
      </c>
      <c r="K11" t="e">
        <f t="shared" si="0"/>
        <v>#NUM!</v>
      </c>
      <c r="L11" t="e">
        <f t="shared" si="2"/>
        <v>#NUM!</v>
      </c>
      <c r="M11" t="e">
        <f>L11*Weighting!$V$11</f>
        <v>#NUM!</v>
      </c>
    </row>
    <row r="12" spans="1:27">
      <c r="C12" s="41" t="str">
        <f>IF(Weighting!$O$12&gt;0,D12,"")</f>
        <v/>
      </c>
      <c r="D12" t="e">
        <f>Weighting!$C$12</f>
        <v>#DIV/0!</v>
      </c>
      <c r="E12" t="e">
        <f>Weighting!$E$12</f>
        <v>#NUM!</v>
      </c>
      <c r="F12" t="e">
        <f>IF(E12=1,'Data Transformation'!$G$3+0.5*'Data Transformation'!$U$25,IF(E13=1,F13-'Data Transformation'!$U$25,FALSE))</f>
        <v>#NUM!</v>
      </c>
      <c r="G12">
        <f>IF(ISLOGICAL(F12),"",FREQUENCY('Data Transformation'!$G$24:$G$404,'Bin Analysis and Plots'!F12))</f>
        <v>0</v>
      </c>
      <c r="H12">
        <f t="shared" si="1"/>
        <v>0</v>
      </c>
      <c r="I12">
        <f>Weighting!$G$12</f>
        <v>0</v>
      </c>
      <c r="J12">
        <f>FREQUENCY('Data Transformation'!$G$24:$G$404, $D12)</f>
        <v>0</v>
      </c>
      <c r="K12" t="e">
        <f t="shared" si="0"/>
        <v>#NUM!</v>
      </c>
      <c r="L12" t="e">
        <f t="shared" si="2"/>
        <v>#NUM!</v>
      </c>
      <c r="M12" t="e">
        <f>L12*Weighting!$V$12</f>
        <v>#NUM!</v>
      </c>
    </row>
    <row r="13" spans="1:27">
      <c r="C13" s="41" t="str">
        <f>IF(Weighting!$O$13&gt;0,D13,"")</f>
        <v/>
      </c>
      <c r="D13" t="e">
        <f>Weighting!$C$13</f>
        <v>#DIV/0!</v>
      </c>
      <c r="E13" t="e">
        <f>Weighting!$E$13</f>
        <v>#NUM!</v>
      </c>
      <c r="F13" t="e">
        <f>IF(E13=1,'Data Transformation'!$G$3+0.5*'Data Transformation'!$U$25,IF(E14=1,F14-'Data Transformation'!$U$25,FALSE))</f>
        <v>#NUM!</v>
      </c>
      <c r="G13">
        <f>IF(ISLOGICAL(F13),"",FREQUENCY('Data Transformation'!$G$24:$G$404,'Bin Analysis and Plots'!F13))</f>
        <v>0</v>
      </c>
      <c r="H13">
        <f t="shared" si="1"/>
        <v>0</v>
      </c>
      <c r="I13">
        <f>Weighting!$G$13</f>
        <v>0</v>
      </c>
      <c r="J13">
        <f>FREQUENCY('Data Transformation'!$G$24:$G$404, $D13)</f>
        <v>0</v>
      </c>
      <c r="K13" t="e">
        <f t="shared" si="0"/>
        <v>#NUM!</v>
      </c>
      <c r="L13" t="e">
        <f t="shared" si="2"/>
        <v>#NUM!</v>
      </c>
      <c r="M13" t="e">
        <f>L13*Weighting!$V$13</f>
        <v>#NUM!</v>
      </c>
    </row>
    <row r="14" spans="1:27">
      <c r="C14" s="41" t="str">
        <f>IF(Weighting!$O$14&gt;0,D14,"")</f>
        <v/>
      </c>
      <c r="D14" t="e">
        <f>Weighting!$C$14</f>
        <v>#DIV/0!</v>
      </c>
      <c r="E14" t="e">
        <f>Weighting!$E$14</f>
        <v>#NUM!</v>
      </c>
      <c r="F14" t="e">
        <f>IF(E14=1,'Data Transformation'!$G$3+0.5*'Data Transformation'!$U$25,IF(E15=1,F15-'Data Transformation'!$U$25,FALSE))</f>
        <v>#NUM!</v>
      </c>
      <c r="G14">
        <f>IF(ISLOGICAL(F14),"",FREQUENCY('Data Transformation'!$G$24:$G$404,'Bin Analysis and Plots'!F14))</f>
        <v>0</v>
      </c>
      <c r="H14">
        <f t="shared" si="1"/>
        <v>0</v>
      </c>
      <c r="I14">
        <f>Weighting!$G$14</f>
        <v>0</v>
      </c>
      <c r="J14">
        <f>FREQUENCY('Data Transformation'!$G$24:$G$404, $D14)</f>
        <v>0</v>
      </c>
      <c r="K14" t="e">
        <f t="shared" si="0"/>
        <v>#NUM!</v>
      </c>
      <c r="L14" t="e">
        <f t="shared" si="2"/>
        <v>#NUM!</v>
      </c>
      <c r="M14" t="e">
        <f>L14*Weighting!$V$14</f>
        <v>#NUM!</v>
      </c>
    </row>
    <row r="15" spans="1:27">
      <c r="C15" s="41" t="str">
        <f>IF(Weighting!$O$15&gt;0,D15,"")</f>
        <v/>
      </c>
      <c r="D15" t="e">
        <f>Weighting!$C$15</f>
        <v>#DIV/0!</v>
      </c>
      <c r="E15" t="e">
        <f>Weighting!$E$15</f>
        <v>#NUM!</v>
      </c>
      <c r="F15" t="e">
        <f>IF(E15=1,'Data Transformation'!$G$3+0.5*'Data Transformation'!$U$25,IF(E16=1,F16-'Data Transformation'!$U$25,FALSE))</f>
        <v>#NUM!</v>
      </c>
      <c r="G15">
        <f>IF(ISLOGICAL(F15),"",FREQUENCY('Data Transformation'!$G$24:$G$404,'Bin Analysis and Plots'!F15))</f>
        <v>0</v>
      </c>
      <c r="H15">
        <f t="shared" si="1"/>
        <v>0</v>
      </c>
      <c r="I15">
        <f>Weighting!$G$15</f>
        <v>0</v>
      </c>
      <c r="J15">
        <f>FREQUENCY('Data Transformation'!$G$24:$G$404, $D15)</f>
        <v>0</v>
      </c>
      <c r="K15" t="e">
        <f t="shared" si="0"/>
        <v>#NUM!</v>
      </c>
      <c r="L15" t="e">
        <f t="shared" si="2"/>
        <v>#NUM!</v>
      </c>
      <c r="M15" t="e">
        <f>L15*Weighting!$V$15</f>
        <v>#NUM!</v>
      </c>
    </row>
    <row r="16" spans="1:27">
      <c r="A16" t="str">
        <f>""</f>
        <v/>
      </c>
      <c r="C16" s="41" t="str">
        <f>IF(Weighting!$O$16&gt;0,D16,"")</f>
        <v/>
      </c>
      <c r="D16" t="e">
        <f>Weighting!$C$16</f>
        <v>#DIV/0!</v>
      </c>
      <c r="E16" t="e">
        <f>Weighting!$E$16</f>
        <v>#NUM!</v>
      </c>
      <c r="F16" t="e">
        <f>IF(E16=1,'Data Transformation'!$G$3+0.5*'Data Transformation'!$U$25,IF(E17=1,F17-'Data Transformation'!$U$25,FALSE))</f>
        <v>#NUM!</v>
      </c>
      <c r="G16">
        <f>IF(ISLOGICAL(F16),"",FREQUENCY('Data Transformation'!$G$24:$G$404,'Bin Analysis and Plots'!F16))</f>
        <v>0</v>
      </c>
      <c r="H16">
        <f t="shared" si="1"/>
        <v>0</v>
      </c>
      <c r="I16">
        <f>Weighting!$G$16</f>
        <v>0</v>
      </c>
      <c r="J16">
        <f>FREQUENCY('Data Transformation'!$G$24:$G$404, $D16)</f>
        <v>0</v>
      </c>
      <c r="K16" t="e">
        <f t="shared" si="0"/>
        <v>#NUM!</v>
      </c>
      <c r="L16" t="e">
        <f t="shared" si="2"/>
        <v>#NUM!</v>
      </c>
      <c r="M16" t="e">
        <f>L16*Weighting!$V$16</f>
        <v>#NUM!</v>
      </c>
    </row>
    <row r="17" spans="1:27">
      <c r="C17" s="41" t="str">
        <f>IF(Weighting!$O$17&gt;0,D17,"")</f>
        <v/>
      </c>
      <c r="D17" t="e">
        <f>Weighting!$C$17</f>
        <v>#DIV/0!</v>
      </c>
      <c r="E17" t="e">
        <f>Weighting!$E$17</f>
        <v>#NUM!</v>
      </c>
      <c r="F17" t="e">
        <f>IF(E17=1,'Data Transformation'!$G$3+0.5*'Data Transformation'!$U$25,IF(E18=1,F18-'Data Transformation'!$U$25,FALSE))</f>
        <v>#NUM!</v>
      </c>
      <c r="G17">
        <f>IF(ISLOGICAL(F17),"",FREQUENCY('Data Transformation'!$G$24:$G$404,'Bin Analysis and Plots'!F17))</f>
        <v>0</v>
      </c>
      <c r="H17">
        <f t="shared" si="1"/>
        <v>0</v>
      </c>
      <c r="I17">
        <f>Weighting!$G$17</f>
        <v>0</v>
      </c>
      <c r="J17">
        <f>FREQUENCY('Data Transformation'!$G$24:$G$404, $D17)</f>
        <v>0</v>
      </c>
      <c r="K17" t="e">
        <f t="shared" si="0"/>
        <v>#NUM!</v>
      </c>
      <c r="L17" t="e">
        <f t="shared" si="2"/>
        <v>#NUM!</v>
      </c>
      <c r="M17" t="e">
        <f>L17*Weighting!$V$17</f>
        <v>#NUM!</v>
      </c>
    </row>
    <row r="18" spans="1:27">
      <c r="C18" s="41" t="str">
        <f>IF(Weighting!$O$18&gt;0,D18,"")</f>
        <v/>
      </c>
      <c r="D18" t="e">
        <f>Weighting!$C$18</f>
        <v>#DIV/0!</v>
      </c>
      <c r="E18" t="e">
        <f>Weighting!$E$18</f>
        <v>#NUM!</v>
      </c>
      <c r="F18" t="e">
        <f>IF(E18=1,'Data Transformation'!$G$3+0.5*'Data Transformation'!$U$25,IF(E19=1,F19-'Data Transformation'!$U$25,FALSE))</f>
        <v>#NUM!</v>
      </c>
      <c r="G18">
        <f>IF(ISLOGICAL(F18),"",FREQUENCY('Data Transformation'!$G$24:$G$404,'Bin Analysis and Plots'!F18))</f>
        <v>0</v>
      </c>
      <c r="H18">
        <f t="shared" si="1"/>
        <v>0</v>
      </c>
      <c r="I18">
        <f>Weighting!$G$18</f>
        <v>0</v>
      </c>
      <c r="J18">
        <f>FREQUENCY('Data Transformation'!$G$24:$G$404, $D18)</f>
        <v>0</v>
      </c>
      <c r="K18" t="e">
        <f t="shared" si="0"/>
        <v>#NUM!</v>
      </c>
      <c r="L18" t="e">
        <f t="shared" si="2"/>
        <v>#NUM!</v>
      </c>
      <c r="M18" t="e">
        <f>L18*Weighting!$V$18</f>
        <v>#NUM!</v>
      </c>
    </row>
    <row r="19" spans="1:27">
      <c r="C19" s="41" t="str">
        <f>IF(Weighting!$O$19&gt;0,D19,"")</f>
        <v/>
      </c>
      <c r="D19" t="e">
        <f>Weighting!$C$19</f>
        <v>#DIV/0!</v>
      </c>
      <c r="E19" t="e">
        <f>Weighting!$E$19</f>
        <v>#NUM!</v>
      </c>
      <c r="F19" t="e">
        <f>IF(E19=1,'Data Transformation'!$G$3+0.5*'Data Transformation'!$U$25,IF(E20=1,F20-'Data Transformation'!$U$25,FALSE))</f>
        <v>#NUM!</v>
      </c>
      <c r="G19">
        <f>IF(ISLOGICAL(F19),"",FREQUENCY('Data Transformation'!$G$24:$G$404,'Bin Analysis and Plots'!F19))</f>
        <v>0</v>
      </c>
      <c r="H19">
        <f t="shared" si="1"/>
        <v>0</v>
      </c>
      <c r="I19">
        <f>Weighting!$G$19</f>
        <v>0</v>
      </c>
      <c r="J19">
        <f>FREQUENCY('Data Transformation'!$G$24:$G$404, $D19)</f>
        <v>0</v>
      </c>
      <c r="K19" t="e">
        <f t="shared" si="0"/>
        <v>#NUM!</v>
      </c>
      <c r="L19" t="e">
        <f t="shared" si="2"/>
        <v>#NUM!</v>
      </c>
      <c r="M19" t="e">
        <f>L19*Weighting!$V$19</f>
        <v>#NUM!</v>
      </c>
    </row>
    <row r="20" spans="1:27">
      <c r="C20" s="41" t="str">
        <f>IF(Weighting!$O$20&gt;0,D20,"")</f>
        <v/>
      </c>
      <c r="D20" t="e">
        <f>Weighting!$C$20</f>
        <v>#DIV/0!</v>
      </c>
      <c r="E20" t="e">
        <f>Weighting!$E$20</f>
        <v>#NUM!</v>
      </c>
      <c r="F20" t="e">
        <f>IF(E20=1,'Data Transformation'!$G$3+0.5*'Data Transformation'!$U$25,IF(E21=1,F21-'Data Transformation'!$U$25,FALSE))</f>
        <v>#NUM!</v>
      </c>
      <c r="G20">
        <f>IF(ISLOGICAL(F20),"",FREQUENCY('Data Transformation'!$G$24:$G$404,'Bin Analysis and Plots'!F20))</f>
        <v>0</v>
      </c>
      <c r="H20">
        <f t="shared" si="1"/>
        <v>0</v>
      </c>
      <c r="I20">
        <f>Weighting!$G$20</f>
        <v>0</v>
      </c>
      <c r="J20">
        <f>FREQUENCY('Data Transformation'!$G$24:$G$404, $D20)</f>
        <v>0</v>
      </c>
      <c r="K20" t="e">
        <f t="shared" si="0"/>
        <v>#NUM!</v>
      </c>
      <c r="L20" t="e">
        <f t="shared" si="2"/>
        <v>#NUM!</v>
      </c>
      <c r="M20" t="e">
        <f>L20*Weighting!$V$20</f>
        <v>#NUM!</v>
      </c>
    </row>
    <row r="21" spans="1:27">
      <c r="C21" s="41" t="str">
        <f>IF(Weighting!$O$21&gt;0,D21,"")</f>
        <v/>
      </c>
      <c r="D21" t="e">
        <f>Weighting!$C$21</f>
        <v>#DIV/0!</v>
      </c>
      <c r="E21" t="e">
        <f>Weighting!$E$21</f>
        <v>#NUM!</v>
      </c>
      <c r="F21" t="e">
        <f>IF(E21=1,'Data Transformation'!$G$3+0.5*'Data Transformation'!$U$25,IF(E22=1,F22-'Data Transformation'!$U$25,FALSE))</f>
        <v>#NUM!</v>
      </c>
      <c r="G21">
        <f>IF(ISLOGICAL(F21),"",FREQUENCY('Data Transformation'!$G$24:$G$404,'Bin Analysis and Plots'!F21))</f>
        <v>0</v>
      </c>
      <c r="H21">
        <f t="shared" si="1"/>
        <v>0</v>
      </c>
      <c r="I21">
        <f>Weighting!$G$21</f>
        <v>0</v>
      </c>
      <c r="J21">
        <f>FREQUENCY('Data Transformation'!$G$24:$G$404, $D21)</f>
        <v>0</v>
      </c>
      <c r="K21" t="e">
        <f t="shared" si="0"/>
        <v>#NUM!</v>
      </c>
      <c r="L21" t="e">
        <f t="shared" si="2"/>
        <v>#NUM!</v>
      </c>
      <c r="M21" t="e">
        <f>L21*Weighting!$V$21</f>
        <v>#NUM!</v>
      </c>
    </row>
    <row r="22" spans="1:27">
      <c r="C22" s="41" t="str">
        <f>IF(Weighting!$O$22&gt;0,D22,"")</f>
        <v/>
      </c>
      <c r="D22" t="e">
        <f>Weighting!$C$22</f>
        <v>#DIV/0!</v>
      </c>
      <c r="E22" t="e">
        <f>Weighting!$E$22</f>
        <v>#NUM!</v>
      </c>
      <c r="F22" t="e">
        <f>IF(E22=1,'Data Transformation'!$G$3+0.5*'Data Transformation'!$U$25,IF(E23=1,F23-'Data Transformation'!$U$25,FALSE))</f>
        <v>#NUM!</v>
      </c>
      <c r="G22">
        <f>IF(ISLOGICAL(F22),"",FREQUENCY('Data Transformation'!$G$24:$G$404,'Bin Analysis and Plots'!F22))</f>
        <v>0</v>
      </c>
      <c r="H22">
        <f t="shared" si="1"/>
        <v>0</v>
      </c>
      <c r="I22">
        <f>Weighting!$G$22</f>
        <v>0</v>
      </c>
      <c r="J22">
        <f>FREQUENCY('Data Transformation'!$G$24:$G$404, $D22)</f>
        <v>0</v>
      </c>
      <c r="K22" t="e">
        <f t="shared" si="0"/>
        <v>#NUM!</v>
      </c>
      <c r="L22" t="e">
        <f t="shared" si="2"/>
        <v>#NUM!</v>
      </c>
      <c r="M22" t="e">
        <f>L22*Weighting!$V$22</f>
        <v>#NUM!</v>
      </c>
    </row>
    <row r="23" spans="1:27">
      <c r="C23" s="41" t="str">
        <f>IF(Weighting!$O$23&gt;0,D23,"")</f>
        <v/>
      </c>
      <c r="D23" t="e">
        <f>Weighting!$C$23</f>
        <v>#DIV/0!</v>
      </c>
      <c r="E23" t="e">
        <f>Weighting!$E$23</f>
        <v>#NUM!</v>
      </c>
      <c r="F23" t="e">
        <f>IF(E23=1,'Data Transformation'!$G$3+0.5*'Data Transformation'!$U$25,IF(E24=1,F24-'Data Transformation'!$U$25,FALSE))</f>
        <v>#NUM!</v>
      </c>
      <c r="G23">
        <f>IF(ISLOGICAL(F23),"",FREQUENCY('Data Transformation'!$G$24:$G$404,'Bin Analysis and Plots'!F23))</f>
        <v>0</v>
      </c>
      <c r="H23">
        <f t="shared" si="1"/>
        <v>0</v>
      </c>
      <c r="I23">
        <f>Weighting!$G$23</f>
        <v>0</v>
      </c>
      <c r="J23">
        <f>FREQUENCY('Data Transformation'!$G$24:$G$404, $D23)</f>
        <v>0</v>
      </c>
      <c r="K23" t="e">
        <f t="shared" si="0"/>
        <v>#NUM!</v>
      </c>
      <c r="L23" t="e">
        <f t="shared" si="2"/>
        <v>#NUM!</v>
      </c>
      <c r="M23" t="e">
        <f>L23*Weighting!$V$23</f>
        <v>#NUM!</v>
      </c>
    </row>
    <row r="24" spans="1:27">
      <c r="C24" s="41" t="str">
        <f>IF(Weighting!$O$24&gt;0,D24,"")</f>
        <v/>
      </c>
      <c r="D24" t="e">
        <f>Weighting!$C$24</f>
        <v>#DIV/0!</v>
      </c>
      <c r="E24" t="e">
        <f>Weighting!$E$24</f>
        <v>#NUM!</v>
      </c>
      <c r="F24" t="e">
        <f>IF(E24=1,'Data Transformation'!$G$3+0.5*'Data Transformation'!$U$25,IF(E25=1,F25-'Data Transformation'!$U$25,FALSE))</f>
        <v>#NUM!</v>
      </c>
      <c r="G24">
        <f>IF(ISLOGICAL(F24),"",FREQUENCY('Data Transformation'!$G$24:$G$404,'Bin Analysis and Plots'!F24))</f>
        <v>0</v>
      </c>
      <c r="H24">
        <f t="shared" si="1"/>
        <v>0</v>
      </c>
      <c r="I24">
        <f>Weighting!$G$24</f>
        <v>0</v>
      </c>
      <c r="J24">
        <f>FREQUENCY('Data Transformation'!$G$24:$G$404, $D24)</f>
        <v>0</v>
      </c>
      <c r="K24" t="e">
        <f t="shared" si="0"/>
        <v>#NUM!</v>
      </c>
      <c r="L24" t="e">
        <f t="shared" si="2"/>
        <v>#NUM!</v>
      </c>
      <c r="M24" t="e">
        <f>L24*Weighting!$V$24</f>
        <v>#NUM!</v>
      </c>
    </row>
    <row r="25" spans="1:27">
      <c r="C25" s="41" t="str">
        <f>IF(Weighting!$O$25&gt;0,D25,"")</f>
        <v/>
      </c>
      <c r="D25" t="e">
        <f>Weighting!$C$25</f>
        <v>#DIV/0!</v>
      </c>
      <c r="E25" t="e">
        <f>Weighting!$E$25</f>
        <v>#NUM!</v>
      </c>
      <c r="F25" t="e">
        <f>IF(E25=1,'Data Transformation'!$G$3+0.5*'Data Transformation'!$U$25,IF(E26=1,F26-'Data Transformation'!$U$25,FALSE))</f>
        <v>#NUM!</v>
      </c>
      <c r="G25">
        <f>IF(ISLOGICAL(F25),"",FREQUENCY('Data Transformation'!$G$24:$G$404,'Bin Analysis and Plots'!F25))</f>
        <v>0</v>
      </c>
      <c r="H25">
        <f t="shared" si="1"/>
        <v>0</v>
      </c>
      <c r="I25">
        <f>Weighting!$G$25</f>
        <v>0</v>
      </c>
      <c r="J25">
        <f>FREQUENCY('Data Transformation'!$G$24:$G$404, $D25)</f>
        <v>0</v>
      </c>
      <c r="K25" t="e">
        <f t="shared" si="0"/>
        <v>#NUM!</v>
      </c>
      <c r="L25" t="e">
        <f t="shared" si="2"/>
        <v>#NUM!</v>
      </c>
      <c r="M25" t="e">
        <f>L25*Weighting!$V$25</f>
        <v>#NUM!</v>
      </c>
    </row>
    <row r="27" spans="1:27" ht="23.5">
      <c r="A27" s="30"/>
      <c r="C27" s="30" t="s">
        <v>0</v>
      </c>
      <c r="D27" s="30" t="str">
        <f>'Input and Summary Results'!G8</f>
        <v xml:space="preserve"> </v>
      </c>
      <c r="E27" s="30"/>
      <c r="F27" s="30"/>
      <c r="G27" s="30"/>
      <c r="H27" s="30"/>
      <c r="I27" s="36"/>
      <c r="J27" s="30"/>
      <c r="K27" s="31"/>
      <c r="N27" s="30" t="str">
        <f>D27</f>
        <v xml:space="preserve"> </v>
      </c>
      <c r="O27" s="32" t="e">
        <f>INDEX('Data Transformation'!$O$4:$O$25,MATCH($D27,'Data Transformation'!$M$4:$M$25,0),MATCH($O$2,'Data Transformation'!$O$3,0))</f>
        <v>#N/A</v>
      </c>
      <c r="P27" s="36" t="e">
        <f>IF('Input and Summary Results'!$J$16="minimum",'Bin Analysis and Plots'!Z28/('Bin Analysis and Plots'!O27-1),'Bin Analysis and Plots'!AA27/('Bin Analysis and Plots'!O27-1))</f>
        <v>#N/A</v>
      </c>
      <c r="Q27" s="36" t="e">
        <f>IF(O27=FALSE,NA(),(VLOOKUP(1,E30:M49,4,FALSE))/(O27-1))</f>
        <v>#N/A</v>
      </c>
      <c r="R27" s="36" t="e">
        <f>IF(O27=FALSE,NA(),SUM(L30:L49)/Weighting!$R$5)</f>
        <v>#N/A</v>
      </c>
      <c r="S27" s="36" t="e">
        <f>IF(O27=FALSE,NA(),SUM(M30:M49)/Weighting!$R$6)</f>
        <v>#N/A</v>
      </c>
      <c r="T27" s="36" t="e">
        <f>IF(O27=FALSE,NA(),(VLOOKUP(1,I30:M49,3,FALSE))/(O27-1))</f>
        <v>#N/A</v>
      </c>
      <c r="U27" s="31" t="e">
        <f>IF(O27=FALSE,NA(),IF(SUM(L30:L49)=2,"yes","no"))</f>
        <v>#N/A</v>
      </c>
      <c r="V27" s="30"/>
      <c r="W27" s="30"/>
      <c r="X27" s="30"/>
      <c r="Y27" s="30"/>
      <c r="Z27" s="78" cm="1">
        <f t="array" ref="Z27:Z28">FREQUENCY(IF('Data Transformation'!$B$24:$B$404='Bin Analysis and Plots'!N27,'Data Transformation'!$G$24:$G$404),'Data Transformation'!$U$11)</f>
        <v>0</v>
      </c>
      <c r="AA27" s="78" cm="1">
        <f t="array" ref="AA27:AA28">FREQUENCY(IF('Data Transformation'!$B$24:$B$404='Bin Analysis and Plots'!N27,'Data Transformation'!$G$24:$G$404),'Data Transformation'!$U$12)</f>
        <v>0</v>
      </c>
    </row>
    <row r="28" spans="1:27" ht="21">
      <c r="A28" s="91" t="s">
        <v>64</v>
      </c>
      <c r="B28" s="91"/>
      <c r="C28" s="14" t="s">
        <v>72</v>
      </c>
      <c r="D28" t="s">
        <v>50</v>
      </c>
      <c r="E28" t="s">
        <v>96</v>
      </c>
      <c r="F28" t="s">
        <v>97</v>
      </c>
      <c r="G28" t="s">
        <v>100</v>
      </c>
      <c r="H28" t="s">
        <v>101</v>
      </c>
      <c r="I28" t="s">
        <v>74</v>
      </c>
      <c r="J28" t="s">
        <v>34</v>
      </c>
      <c r="K28" t="s">
        <v>35</v>
      </c>
      <c r="L28" t="s">
        <v>49</v>
      </c>
      <c r="M28" s="14" t="s">
        <v>48</v>
      </c>
      <c r="Z28" s="78">
        <v>0</v>
      </c>
      <c r="AA28" s="78">
        <v>0</v>
      </c>
    </row>
    <row r="29" spans="1:27">
      <c r="F29" t="e">
        <f>IF(E29=1,'Data Transformation'!$G$3+0.5*'Data Transformation'!$U$25,IF(E30=1,F30-'Data Transformation'!$U$25,FALSE))</f>
        <v>#NUM!</v>
      </c>
      <c r="G29">
        <f t="array" ref="G29">IF(ISLOGICAL(F29),"",FREQUENCY(IF('Data Transformation'!$B$24:$B$404='Bin Analysis and Plots'!$D$27,'Data Transformation'!$G$24:$G$404),'Bin Analysis and Plots'!F29))</f>
        <v>0</v>
      </c>
      <c r="H29" t="e">
        <f>IF(ISLOGICAL(F29),"",G29-G28)</f>
        <v>#VALUE!</v>
      </c>
    </row>
    <row r="30" spans="1:27">
      <c r="A30" s="29" t="b">
        <f t="array" ref="A30">IF(ISERROR(INDEX('Data Transformation'!$B$4:$G$450,SMALL(IF('Data Transformation'!$B$4:$B$450='Bin Analysis and Plots'!D27,ROW('Data Transformation'!$B$4:$B$450)),ROW($1:$1))-3,3)),"",INDEX('Data Transformation'!$B$4:$G$450,SMALL(IF('Data Transformation'!$B$4:$B$450='Bin Analysis and Plots'!D27,ROW('Data Transformation'!$B$4:$B$450)),ROW($1:$1))-3,6))</f>
        <v>0</v>
      </c>
      <c r="B30" s="29" t="str">
        <f>IFERROR(SMALL(A30:A49,'Data Transformation'!$L$6),"")</f>
        <v/>
      </c>
      <c r="C30" s="41" t="e">
        <f>IF(Weighting!$O$6&gt;0,D30,"")</f>
        <v>#NUM!</v>
      </c>
      <c r="D30" t="e">
        <f>Weighting!$C$6</f>
        <v>#DIV/0!</v>
      </c>
      <c r="E30" t="e">
        <f>Weighting!$E$6</f>
        <v>#NUM!</v>
      </c>
      <c r="F30" t="e">
        <f>IF(E30=1,'Data Transformation'!$G$3+0.5*'Data Transformation'!$U$25,IF(E31=1,F31-'Data Transformation'!$U$25,FALSE))</f>
        <v>#NUM!</v>
      </c>
      <c r="G30">
        <f t="array" ref="G30">IF(ISLOGICAL(F30),"",FREQUENCY(IF('Data Transformation'!$B$24:$B$404='Bin Analysis and Plots'!$D$27,'Data Transformation'!$G$24:$G$404),'Bin Analysis and Plots'!F30))</f>
        <v>0</v>
      </c>
      <c r="H30">
        <f>IF(ISLOGICAL(F30),"",G30-G29)</f>
        <v>0</v>
      </c>
      <c r="I30">
        <f>Weighting!$G$6</f>
        <v>1</v>
      </c>
      <c r="J30">
        <f t="array" ref="J30">FREQUENCY(IF('Data Transformation'!$B$4:$B$404=D27,'Data Transformation'!$G$4:$G$404),'Bin Analysis and Plots'!$D30)</f>
        <v>0</v>
      </c>
      <c r="K30">
        <f>J30-J29</f>
        <v>0</v>
      </c>
      <c r="L30">
        <f>IF(K30=0,0,1)</f>
        <v>0</v>
      </c>
      <c r="M30" t="e">
        <f>L30*Weighting!$V$6</f>
        <v>#NUM!</v>
      </c>
    </row>
    <row r="31" spans="1:27">
      <c r="A31" s="29" t="b">
        <f t="array" ref="A31">IF(ISERROR(INDEX('Data Transformation'!$B$4:$G$450,SMALL(IF('Data Transformation'!$B$4:$B$450='Bin Analysis and Plots'!D27,ROW('Data Transformation'!$B$4:$B$450)),ROW($2:$2))-3,3)),"",INDEX('Data Transformation'!$B$4:$G$450,SMALL(IF('Data Transformation'!$B$4:$B$450='Bin Analysis and Plots'!D27,ROW('Data Transformation'!$B$4:$B$450)),ROW($2:$2))-3,6))</f>
        <v>0</v>
      </c>
      <c r="B31" s="29" t="str">
        <f>IFERROR(SMALL(A30:A49,'Data Transformation'!$L$7),"")</f>
        <v/>
      </c>
      <c r="C31" s="41" t="str">
        <f>IF(Weighting!$O$7&gt;0,D31,"")</f>
        <v/>
      </c>
      <c r="D31" t="e">
        <f>Weighting!$C$7</f>
        <v>#DIV/0!</v>
      </c>
      <c r="E31" t="e">
        <f>Weighting!$E$7</f>
        <v>#NUM!</v>
      </c>
      <c r="F31" t="e">
        <f>IF(E31=1,'Data Transformation'!$G$3+0.5*'Data Transformation'!$U$25,IF(E32=1,F32-'Data Transformation'!$U$25,FALSE))</f>
        <v>#NUM!</v>
      </c>
      <c r="G31">
        <f t="array" ref="G31">IF(ISLOGICAL(F31),"",FREQUENCY(IF('Data Transformation'!$B$24:$B$404='Bin Analysis and Plots'!$D$27,'Data Transformation'!$G$24:$G$404),'Bin Analysis and Plots'!F31))</f>
        <v>0</v>
      </c>
      <c r="H31">
        <f t="shared" ref="H31:H49" si="3">IF(ISLOGICAL(F31),"",G31-G30)</f>
        <v>0</v>
      </c>
      <c r="I31">
        <f>Weighting!$G$7</f>
        <v>0</v>
      </c>
      <c r="J31">
        <f t="array" ref="J31">FREQUENCY(IF('Data Transformation'!$B$4:$B$404=D27,'Data Transformation'!$G$4:$G$404),'Bin Analysis and Plots'!$D31)</f>
        <v>0</v>
      </c>
      <c r="K31">
        <f t="shared" ref="K31:K49" si="4">J31-J30</f>
        <v>0</v>
      </c>
      <c r="L31">
        <f>IF(K31=0,0,1)</f>
        <v>0</v>
      </c>
      <c r="M31">
        <f>L31*Weighting!$V$7</f>
        <v>0</v>
      </c>
    </row>
    <row r="32" spans="1:27">
      <c r="A32" s="29" t="b">
        <f t="array" ref="A32">IF(ISERROR(INDEX('Data Transformation'!$B$4:$G$450,SMALL(IF('Data Transformation'!$B$4:$B$450='Bin Analysis and Plots'!D27,ROW('Data Transformation'!$B$4:$B$450)),ROW($3:$3))-3,3)),"",INDEX('Data Transformation'!$B$4:$G$450,SMALL(IF('Data Transformation'!$B$4:$B$450='Bin Analysis and Plots'!D27,ROW('Data Transformation'!$B$4:$B$450)),ROW($3:$3))-3,6))</f>
        <v>0</v>
      </c>
      <c r="B32" s="29" t="str">
        <f>IFERROR(SMALL(A30:A49,'Data Transformation'!$L$8),"")</f>
        <v/>
      </c>
      <c r="C32" s="41" t="str">
        <f>IF(Weighting!$O$8&gt;0,D32,"")</f>
        <v/>
      </c>
      <c r="D32" t="e">
        <f>Weighting!$C$8</f>
        <v>#DIV/0!</v>
      </c>
      <c r="E32" t="e">
        <f>Weighting!$E$8</f>
        <v>#NUM!</v>
      </c>
      <c r="F32" t="e">
        <f>IF(E32=1,'Data Transformation'!$G$3+0.5*'Data Transformation'!$U$25,IF(E33=1,F33-'Data Transformation'!$U$25,FALSE))</f>
        <v>#NUM!</v>
      </c>
      <c r="G32">
        <f t="array" ref="G32">IF(ISLOGICAL(F32),"",FREQUENCY(IF('Data Transformation'!$B$24:$B$404='Bin Analysis and Plots'!$D$27,'Data Transformation'!$G$24:$G$404),'Bin Analysis and Plots'!F32))</f>
        <v>0</v>
      </c>
      <c r="H32">
        <f t="shared" si="3"/>
        <v>0</v>
      </c>
      <c r="I32">
        <f>Weighting!$G$8</f>
        <v>0</v>
      </c>
      <c r="J32">
        <f t="array" ref="J32">FREQUENCY(IF('Data Transformation'!$B$4:$B$404=D27,'Data Transformation'!$G$4:$G$404),'Bin Analysis and Plots'!$D32)</f>
        <v>0</v>
      </c>
      <c r="K32">
        <f t="shared" si="4"/>
        <v>0</v>
      </c>
      <c r="L32">
        <f t="shared" ref="L32:L49" si="5">IF(K32=0,0,1)</f>
        <v>0</v>
      </c>
      <c r="M32">
        <f>L32*Weighting!$V$8</f>
        <v>0</v>
      </c>
    </row>
    <row r="33" spans="1:13">
      <c r="A33" s="29" t="b">
        <f t="array" ref="A33">IF(ISERROR(INDEX('Data Transformation'!$B$4:$G$450,SMALL(IF('Data Transformation'!$B$4:$B$450='Bin Analysis and Plots'!D27,ROW('Data Transformation'!$B$4:$B$450)),ROW($4:$4))-3,3)),"",INDEX('Data Transformation'!$B$4:$G$450,SMALL(IF('Data Transformation'!$B$4:$B$450='Bin Analysis and Plots'!D27,ROW('Data Transformation'!$B$4:$B$450)),ROW($4:$4))-3,6))</f>
        <v>0</v>
      </c>
      <c r="B33" s="29" t="str">
        <f>IFERROR(SMALL(A30:A49,'Data Transformation'!$L$9),"")</f>
        <v/>
      </c>
      <c r="C33" s="41" t="str">
        <f>IF(Weighting!$O$9&gt;0,D33,"")</f>
        <v/>
      </c>
      <c r="D33" t="e">
        <f>Weighting!$C$9</f>
        <v>#DIV/0!</v>
      </c>
      <c r="E33" t="e">
        <f>Weighting!$E$9</f>
        <v>#NUM!</v>
      </c>
      <c r="F33" t="e">
        <f>IF(E33=1,'Data Transformation'!$G$3+0.5*'Data Transformation'!$U$25,IF(E34=1,F34-'Data Transformation'!$U$25,FALSE))</f>
        <v>#NUM!</v>
      </c>
      <c r="G33">
        <f t="array" ref="G33">IF(ISLOGICAL(F33),"",FREQUENCY(IF('Data Transformation'!$B$24:$B$404='Bin Analysis and Plots'!$D$27,'Data Transformation'!$G$24:$G$404),'Bin Analysis and Plots'!F33))</f>
        <v>0</v>
      </c>
      <c r="H33">
        <f t="shared" si="3"/>
        <v>0</v>
      </c>
      <c r="I33">
        <f>Weighting!$G$9</f>
        <v>0</v>
      </c>
      <c r="J33">
        <f t="array" ref="J33">FREQUENCY(IF('Data Transformation'!$B$4:$B$404=D27,'Data Transformation'!$G$4:$G$404),'Bin Analysis and Plots'!$D33)</f>
        <v>0</v>
      </c>
      <c r="K33">
        <f t="shared" si="4"/>
        <v>0</v>
      </c>
      <c r="L33">
        <f t="shared" si="5"/>
        <v>0</v>
      </c>
      <c r="M33">
        <f>L33*Weighting!$V$9</f>
        <v>0</v>
      </c>
    </row>
    <row r="34" spans="1:13">
      <c r="A34" s="29" t="b">
        <f t="array" ref="A34">IF(ISERROR(INDEX('Data Transformation'!$B$4:$G$450,SMALL(IF('Data Transformation'!$B$4:$B$450='Bin Analysis and Plots'!D27,ROW('Data Transformation'!$B$4:$B$450)),ROW($5:$5))-3,3)),"",INDEX('Data Transformation'!$B$4:$G$450,SMALL(IF('Data Transformation'!$B$4:$B$450='Bin Analysis and Plots'!D27,ROW('Data Transformation'!$B$4:$B$450)),ROW($5:$5))-3,6))</f>
        <v>0</v>
      </c>
      <c r="B34" s="29" t="str">
        <f>IFERROR(SMALL(A30:A49,'Data Transformation'!$L$10),"")</f>
        <v/>
      </c>
      <c r="C34" s="41" t="str">
        <f>IF(Weighting!$O$10&gt;0,D34,"")</f>
        <v/>
      </c>
      <c r="D34" t="e">
        <f>Weighting!$C$10</f>
        <v>#DIV/0!</v>
      </c>
      <c r="E34" t="e">
        <f>Weighting!$E$10</f>
        <v>#NUM!</v>
      </c>
      <c r="F34" t="e">
        <f>IF(E34=1,'Data Transformation'!$G$3+0.5*'Data Transformation'!$U$25,IF(E35=1,F35-'Data Transformation'!$U$25,FALSE))</f>
        <v>#NUM!</v>
      </c>
      <c r="G34">
        <f t="array" ref="G34">IF(ISLOGICAL(F34),"",FREQUENCY(IF('Data Transformation'!$B$24:$B$404='Bin Analysis and Plots'!$D$27,'Data Transformation'!$G$24:$G$404),'Bin Analysis and Plots'!F34))</f>
        <v>0</v>
      </c>
      <c r="H34">
        <f t="shared" si="3"/>
        <v>0</v>
      </c>
      <c r="I34">
        <f>Weighting!$G$10</f>
        <v>0</v>
      </c>
      <c r="J34">
        <f t="array" ref="J34">FREQUENCY(IF('Data Transformation'!$B$4:$B$404=D27,'Data Transformation'!$G$4:$G$404),'Bin Analysis and Plots'!$D34)</f>
        <v>0</v>
      </c>
      <c r="K34">
        <f t="shared" si="4"/>
        <v>0</v>
      </c>
      <c r="L34">
        <f t="shared" si="5"/>
        <v>0</v>
      </c>
      <c r="M34">
        <f>L34*Weighting!$V$10</f>
        <v>0</v>
      </c>
    </row>
    <row r="35" spans="1:13">
      <c r="A35" s="29" t="b">
        <f t="array" ref="A35">IF(ISERROR(INDEX('Data Transformation'!$B$4:$G$450,SMALL(IF('Data Transformation'!$B$4:$B$450='Bin Analysis and Plots'!D27,ROW('Data Transformation'!$B$4:$B$450)),ROW($6:$6))-3,3)),"",INDEX('Data Transformation'!$B$4:$G$450,SMALL(IF('Data Transformation'!$B$4:$B$450='Bin Analysis and Plots'!D27,ROW('Data Transformation'!$B$4:$B$450)),ROW($6:$6))-3,6))</f>
        <v>0</v>
      </c>
      <c r="B35" s="29" t="str">
        <f>IFERROR(SMALL(A30:A49,'Data Transformation'!$L$11),"")</f>
        <v/>
      </c>
      <c r="C35" s="41" t="str">
        <f>IF(Weighting!$O$11&gt;0,D35,"")</f>
        <v/>
      </c>
      <c r="D35" t="e">
        <f>Weighting!$C$11</f>
        <v>#DIV/0!</v>
      </c>
      <c r="E35" t="e">
        <f>Weighting!$E$11</f>
        <v>#NUM!</v>
      </c>
      <c r="F35" t="e">
        <f>IF(E35=1,'Data Transformation'!$G$3+0.5*'Data Transformation'!$U$25,IF(E36=1,F36-'Data Transformation'!$U$25,FALSE))</f>
        <v>#NUM!</v>
      </c>
      <c r="G35">
        <f t="array" ref="G35">IF(ISLOGICAL(F35),"",FREQUENCY(IF('Data Transformation'!$B$24:$B$404='Bin Analysis and Plots'!$D$27,'Data Transformation'!$G$24:$G$404),'Bin Analysis and Plots'!F35))</f>
        <v>0</v>
      </c>
      <c r="H35">
        <f t="shared" si="3"/>
        <v>0</v>
      </c>
      <c r="I35">
        <f>Weighting!$G$11</f>
        <v>0</v>
      </c>
      <c r="J35">
        <f t="array" ref="J35">FREQUENCY(IF('Data Transformation'!$B$4:$B$404=D27,'Data Transformation'!$G$4:$G$404),'Bin Analysis and Plots'!$D35)</f>
        <v>0</v>
      </c>
      <c r="K35">
        <f t="shared" si="4"/>
        <v>0</v>
      </c>
      <c r="L35">
        <f t="shared" si="5"/>
        <v>0</v>
      </c>
      <c r="M35">
        <f>L35*Weighting!$V$11</f>
        <v>0</v>
      </c>
    </row>
    <row r="36" spans="1:13">
      <c r="A36" s="29" t="b">
        <f t="array" ref="A36">IF(ISERROR(INDEX('Data Transformation'!$B$4:$G$450,SMALL(IF('Data Transformation'!$B$4:$B$450='Bin Analysis and Plots'!D27,ROW('Data Transformation'!$B$4:$B$450)),ROW($7:$7))-3,3)),"",INDEX('Data Transformation'!$B$4:$G$450,SMALL(IF('Data Transformation'!$B$4:$B$450='Bin Analysis and Plots'!D27,ROW('Data Transformation'!$B$4:$B$450)),ROW($7:$7))-3,6))</f>
        <v>0</v>
      </c>
      <c r="B36" s="29" t="str">
        <f>IFERROR(SMALL(A30:A49,'Data Transformation'!$L$12),"")</f>
        <v/>
      </c>
      <c r="C36" s="41" t="str">
        <f>IF(Weighting!$O$12&gt;0,D36,"")</f>
        <v/>
      </c>
      <c r="D36" t="e">
        <f>Weighting!$C$12</f>
        <v>#DIV/0!</v>
      </c>
      <c r="E36" t="e">
        <f>Weighting!$E$12</f>
        <v>#NUM!</v>
      </c>
      <c r="F36" t="e">
        <f>IF(E36=1,'Data Transformation'!$G$3+0.5*'Data Transformation'!$U$25,IF(E37=1,F37-'Data Transformation'!$U$25,FALSE))</f>
        <v>#NUM!</v>
      </c>
      <c r="G36">
        <f t="array" ref="G36">IF(ISLOGICAL(F36),"",FREQUENCY(IF('Data Transformation'!$B$24:$B$404='Bin Analysis and Plots'!$D$27,'Data Transformation'!$G$24:$G$404),'Bin Analysis and Plots'!F36))</f>
        <v>0</v>
      </c>
      <c r="H36">
        <f t="shared" si="3"/>
        <v>0</v>
      </c>
      <c r="I36">
        <f>Weighting!$G$12</f>
        <v>0</v>
      </c>
      <c r="J36">
        <f t="array" ref="J36">FREQUENCY(IF('Data Transformation'!$B$4:$B$404=D27,'Data Transformation'!$G$4:$G$404),'Bin Analysis and Plots'!$D36)</f>
        <v>0</v>
      </c>
      <c r="K36">
        <f t="shared" si="4"/>
        <v>0</v>
      </c>
      <c r="L36">
        <f t="shared" si="5"/>
        <v>0</v>
      </c>
      <c r="M36">
        <f>L36*Weighting!$V$12</f>
        <v>0</v>
      </c>
    </row>
    <row r="37" spans="1:13">
      <c r="A37" s="29" t="b">
        <f t="array" ref="A37">IF(ISERROR(INDEX('Data Transformation'!$B$4:$G$450,SMALL(IF('Data Transformation'!$B$4:$B$450='Bin Analysis and Plots'!D27,ROW('Data Transformation'!$B$4:$B$450)),ROW($8:$8))-3,3)),"",INDEX('Data Transformation'!$B$4:$G$450,SMALL(IF('Data Transformation'!$B$4:$B$450='Bin Analysis and Plots'!D27,ROW('Data Transformation'!$B$4:$B$450)),ROW($8:$8))-3,6))</f>
        <v>0</v>
      </c>
      <c r="B37" s="29" t="str">
        <f>IFERROR(SMALL(A30:A49,'Data Transformation'!$L$13),"")</f>
        <v/>
      </c>
      <c r="C37" s="41" t="str">
        <f>IF(Weighting!$O$13&gt;0,D37,"")</f>
        <v/>
      </c>
      <c r="D37" t="e">
        <f>Weighting!$C$13</f>
        <v>#DIV/0!</v>
      </c>
      <c r="E37" t="e">
        <f>Weighting!$E$13</f>
        <v>#NUM!</v>
      </c>
      <c r="F37" t="e">
        <f>IF(E37=1,'Data Transformation'!$G$3+0.5*'Data Transformation'!$U$25,IF(E38=1,F38-'Data Transformation'!$U$25,FALSE))</f>
        <v>#NUM!</v>
      </c>
      <c r="G37">
        <f t="array" ref="G37">IF(ISLOGICAL(F37),"",FREQUENCY(IF('Data Transformation'!$B$24:$B$404='Bin Analysis and Plots'!$D$27,'Data Transformation'!$G$24:$G$404),'Bin Analysis and Plots'!F37))</f>
        <v>0</v>
      </c>
      <c r="H37">
        <f t="shared" si="3"/>
        <v>0</v>
      </c>
      <c r="I37">
        <f>Weighting!$G$13</f>
        <v>0</v>
      </c>
      <c r="J37">
        <f t="array" ref="J37">FREQUENCY(IF('Data Transformation'!$B$4:$B$404=D27,'Data Transformation'!$G$4:$G$404),'Bin Analysis and Plots'!$D37)</f>
        <v>0</v>
      </c>
      <c r="K37">
        <f t="shared" si="4"/>
        <v>0</v>
      </c>
      <c r="L37">
        <f t="shared" si="5"/>
        <v>0</v>
      </c>
      <c r="M37">
        <f>L37*Weighting!$V$13</f>
        <v>0</v>
      </c>
    </row>
    <row r="38" spans="1:13">
      <c r="A38" s="29" t="b">
        <f t="array" ref="A38">IF(ISERROR(INDEX('Data Transformation'!$B$4:$G$450,SMALL(IF('Data Transformation'!$B$4:$B$450='Bin Analysis and Plots'!D27,ROW('Data Transformation'!$B$4:$B$450)),ROW($9:$9))-3,3)),"",INDEX('Data Transformation'!$B$4:$G$450,SMALL(IF('Data Transformation'!$B$4:$B$450='Bin Analysis and Plots'!D27,ROW('Data Transformation'!$B$4:$B$450)),ROW($9:$9))-3,6))</f>
        <v>0</v>
      </c>
      <c r="B38" s="29" t="str">
        <f>IFERROR(SMALL(A30:A49,'Data Transformation'!$L$14),"")</f>
        <v/>
      </c>
      <c r="C38" s="41" t="str">
        <f>IF(Weighting!$O$14&gt;0,D38,"")</f>
        <v/>
      </c>
      <c r="D38" t="e">
        <f>Weighting!$C$14</f>
        <v>#DIV/0!</v>
      </c>
      <c r="E38" t="e">
        <f>Weighting!$E$14</f>
        <v>#NUM!</v>
      </c>
      <c r="F38" t="e">
        <f>IF(E38=1,'Data Transformation'!$G$3+0.5*'Data Transformation'!$U$25,IF(E39=1,F39-'Data Transformation'!$U$25,FALSE))</f>
        <v>#NUM!</v>
      </c>
      <c r="G38">
        <f t="array" ref="G38">IF(ISLOGICAL(F38),"",FREQUENCY(IF('Data Transformation'!$B$24:$B$404='Bin Analysis and Plots'!$D$27,'Data Transformation'!$G$24:$G$404),'Bin Analysis and Plots'!F38))</f>
        <v>0</v>
      </c>
      <c r="H38">
        <f t="shared" si="3"/>
        <v>0</v>
      </c>
      <c r="I38">
        <f>Weighting!$G$14</f>
        <v>0</v>
      </c>
      <c r="J38">
        <f t="array" ref="J38">FREQUENCY(IF('Data Transformation'!$B$4:$B$404=D27,'Data Transformation'!$G$4:$G$404),'Bin Analysis and Plots'!$D38)</f>
        <v>0</v>
      </c>
      <c r="K38">
        <f t="shared" si="4"/>
        <v>0</v>
      </c>
      <c r="L38">
        <f t="shared" si="5"/>
        <v>0</v>
      </c>
      <c r="M38">
        <f>L38*Weighting!$V$14</f>
        <v>0</v>
      </c>
    </row>
    <row r="39" spans="1:13">
      <c r="A39" s="29" t="b">
        <f t="array" ref="A39">IF(ISERROR(INDEX('Data Transformation'!$B$4:$G$450,SMALL(IF('Data Transformation'!$B$4:$B$450='Bin Analysis and Plots'!D27,ROW('Data Transformation'!$B$4:$B$450)),ROW($10:$10))-3,3)),"",INDEX('Data Transformation'!$B$4:$G$450,SMALL(IF('Data Transformation'!$B$4:$B$450='Bin Analysis and Plots'!D27,ROW('Data Transformation'!$B$4:$B$450)),ROW($10:$10))-3,6))</f>
        <v>0</v>
      </c>
      <c r="B39" s="29" t="str">
        <f>IFERROR(SMALL(A30:A49,'Data Transformation'!$L$15),"")</f>
        <v/>
      </c>
      <c r="C39" s="41" t="str">
        <f>IF(Weighting!$O$15&gt;0,D39,"")</f>
        <v/>
      </c>
      <c r="D39" t="e">
        <f>Weighting!$C$15</f>
        <v>#DIV/0!</v>
      </c>
      <c r="E39" t="e">
        <f>Weighting!$E$15</f>
        <v>#NUM!</v>
      </c>
      <c r="F39" t="e">
        <f>IF(E39=1,'Data Transformation'!$G$3+0.5*'Data Transformation'!$U$25,IF(E40=1,F40-'Data Transformation'!$U$25,FALSE))</f>
        <v>#NUM!</v>
      </c>
      <c r="G39">
        <f t="array" ref="G39">IF(ISLOGICAL(F39),"",FREQUENCY(IF('Data Transformation'!$B$24:$B$404='Bin Analysis and Plots'!$D$27,'Data Transformation'!$G$24:$G$404),'Bin Analysis and Plots'!F39))</f>
        <v>0</v>
      </c>
      <c r="H39">
        <f t="shared" si="3"/>
        <v>0</v>
      </c>
      <c r="I39">
        <f>Weighting!$G$15</f>
        <v>0</v>
      </c>
      <c r="J39">
        <f t="array" ref="J39">FREQUENCY(IF('Data Transformation'!$B$4:$B$404=D27,'Data Transformation'!$G$4:$G$404),'Bin Analysis and Plots'!$D39)</f>
        <v>0</v>
      </c>
      <c r="K39">
        <f t="shared" si="4"/>
        <v>0</v>
      </c>
      <c r="L39">
        <f t="shared" si="5"/>
        <v>0</v>
      </c>
      <c r="M39">
        <f>L39*Weighting!$V$15</f>
        <v>0</v>
      </c>
    </row>
    <row r="40" spans="1:13">
      <c r="A40" s="29" t="b">
        <f t="array" ref="A40">IF(ISERROR(INDEX('Data Transformation'!$B$4:$G$450,SMALL(IF('Data Transformation'!$B$4:$B$450='Bin Analysis and Plots'!D27,ROW('Data Transformation'!$B$4:$B$450)),ROW($11:$11))-3,3)),"",INDEX('Data Transformation'!$B$4:$G$450,SMALL(IF('Data Transformation'!$B$4:$B$450='Bin Analysis and Plots'!D27,ROW('Data Transformation'!$B$4:$B$450)),ROW($11:$11))-3,6))</f>
        <v>0</v>
      </c>
      <c r="B40" s="29" t="str">
        <f>IFERROR(SMALL(A30:A49,'Data Transformation'!$L$16),"")</f>
        <v/>
      </c>
      <c r="C40" s="41" t="str">
        <f>IF(Weighting!$O$16&gt;0,D40,"")</f>
        <v/>
      </c>
      <c r="D40" t="e">
        <f>Weighting!$C$16</f>
        <v>#DIV/0!</v>
      </c>
      <c r="E40" t="e">
        <f>Weighting!$E$16</f>
        <v>#NUM!</v>
      </c>
      <c r="F40" t="e">
        <f>IF(E40=1,'Data Transformation'!$G$3+0.5*'Data Transformation'!$U$25,IF(E41=1,F41-'Data Transformation'!$U$25,FALSE))</f>
        <v>#NUM!</v>
      </c>
      <c r="G40">
        <f t="array" ref="G40">IF(ISLOGICAL(F40),"",FREQUENCY(IF('Data Transformation'!$B$24:$B$404='Bin Analysis and Plots'!$D$27,'Data Transformation'!$G$24:$G$404),'Bin Analysis and Plots'!F40))</f>
        <v>0</v>
      </c>
      <c r="H40">
        <f t="shared" si="3"/>
        <v>0</v>
      </c>
      <c r="I40">
        <f>Weighting!$G$16</f>
        <v>0</v>
      </c>
      <c r="J40">
        <f t="array" ref="J40">FREQUENCY(IF('Data Transformation'!$B$4:$B$404=D27,'Data Transformation'!$G$4:$G$404),'Bin Analysis and Plots'!$D40)</f>
        <v>0</v>
      </c>
      <c r="K40">
        <f t="shared" si="4"/>
        <v>0</v>
      </c>
      <c r="L40">
        <f t="shared" si="5"/>
        <v>0</v>
      </c>
      <c r="M40">
        <f>L40*Weighting!$V$16</f>
        <v>0</v>
      </c>
    </row>
    <row r="41" spans="1:13">
      <c r="A41" s="29" t="b">
        <f t="array" ref="A41">IF(ISERROR(INDEX('Data Transformation'!$B$4:$G$450,SMALL(IF('Data Transformation'!$B$4:$B$450='Bin Analysis and Plots'!D27,ROW('Data Transformation'!$B$4:$B$450)),ROW($12:$12))-3,3)),"",INDEX('Data Transformation'!$B$4:$G$450,SMALL(IF('Data Transformation'!$B$4:$B$450='Bin Analysis and Plots'!D27,ROW('Data Transformation'!$B$4:$B$450)),ROW($12:$12))-3,6))</f>
        <v>0</v>
      </c>
      <c r="B41" s="29" t="str">
        <f>IFERROR(SMALL(A30:A49,'Data Transformation'!$L$17),"")</f>
        <v/>
      </c>
      <c r="C41" s="41" t="str">
        <f>IF(Weighting!$O$17&gt;0,D41,"")</f>
        <v/>
      </c>
      <c r="D41" t="e">
        <f>Weighting!$C$17</f>
        <v>#DIV/0!</v>
      </c>
      <c r="E41" t="e">
        <f>Weighting!$E$17</f>
        <v>#NUM!</v>
      </c>
      <c r="F41" t="e">
        <f>IF(E41=1,'Data Transformation'!$G$3+0.5*'Data Transformation'!$U$25,IF(E42=1,F42-'Data Transformation'!$U$25,FALSE))</f>
        <v>#NUM!</v>
      </c>
      <c r="G41">
        <f t="array" ref="G41">IF(ISLOGICAL(F41),"",FREQUENCY(IF('Data Transformation'!$B$24:$B$404='Bin Analysis and Plots'!$D$27,'Data Transformation'!$G$24:$G$404),'Bin Analysis and Plots'!F41))</f>
        <v>0</v>
      </c>
      <c r="H41">
        <f t="shared" si="3"/>
        <v>0</v>
      </c>
      <c r="I41">
        <f>Weighting!$G$17</f>
        <v>0</v>
      </c>
      <c r="J41">
        <f t="array" ref="J41">FREQUENCY(IF('Data Transformation'!$B$4:$B$404=D27,'Data Transformation'!$G$4:$G$404),'Bin Analysis and Plots'!$D41)</f>
        <v>0</v>
      </c>
      <c r="K41">
        <f t="shared" si="4"/>
        <v>0</v>
      </c>
      <c r="L41">
        <f t="shared" si="5"/>
        <v>0</v>
      </c>
      <c r="M41">
        <f>L41*Weighting!$V$17</f>
        <v>0</v>
      </c>
    </row>
    <row r="42" spans="1:13">
      <c r="A42" s="29" t="b">
        <f t="array" ref="A42">IF(ISERROR(INDEX('Data Transformation'!$B$4:$G$450,SMALL(IF('Data Transformation'!$B$4:$B$450='Bin Analysis and Plots'!D27,ROW('Data Transformation'!$B$4:$B$450)),ROW($13:$13))-3,3)),"",INDEX('Data Transformation'!$B$4:$G$450,SMALL(IF('Data Transformation'!$B$4:$B$450='Bin Analysis and Plots'!D27,ROW('Data Transformation'!$B$4:$B$450)),ROW($13:$13))-3,6))</f>
        <v>0</v>
      </c>
      <c r="B42" s="29" t="str">
        <f>IFERROR(SMALL(A30:A49,'Data Transformation'!$L$18),"")</f>
        <v/>
      </c>
      <c r="C42" s="41" t="str">
        <f>IF(Weighting!$O$18&gt;0,D42,"")</f>
        <v/>
      </c>
      <c r="D42" t="e">
        <f>Weighting!$C$18</f>
        <v>#DIV/0!</v>
      </c>
      <c r="E42" t="e">
        <f>Weighting!$E$18</f>
        <v>#NUM!</v>
      </c>
      <c r="F42" t="e">
        <f>IF(E42=1,'Data Transformation'!$G$3+0.5*'Data Transformation'!$U$25,IF(E43=1,F43-'Data Transformation'!$U$25,FALSE))</f>
        <v>#NUM!</v>
      </c>
      <c r="G42">
        <f t="array" ref="G42">IF(ISLOGICAL(F42),"",FREQUENCY(IF('Data Transformation'!$B$24:$B$404='Bin Analysis and Plots'!$D$27,'Data Transformation'!$G$24:$G$404),'Bin Analysis and Plots'!F42))</f>
        <v>0</v>
      </c>
      <c r="H42">
        <f t="shared" si="3"/>
        <v>0</v>
      </c>
      <c r="I42">
        <f>Weighting!$G$18</f>
        <v>0</v>
      </c>
      <c r="J42">
        <f t="array" ref="J42">FREQUENCY(IF('Data Transformation'!$B$4:$B$404=D27,'Data Transformation'!$G$4:$G$404),'Bin Analysis and Plots'!$D42)</f>
        <v>0</v>
      </c>
      <c r="K42">
        <f t="shared" si="4"/>
        <v>0</v>
      </c>
      <c r="L42">
        <f t="shared" si="5"/>
        <v>0</v>
      </c>
      <c r="M42">
        <f>L42*Weighting!$V$18</f>
        <v>0</v>
      </c>
    </row>
    <row r="43" spans="1:13">
      <c r="A43" s="29" t="b">
        <f t="array" ref="A43">IF(ISERROR(INDEX('Data Transformation'!$B$4:$G$450,SMALL(IF('Data Transformation'!$B$4:$B$450='Bin Analysis and Plots'!D27,ROW('Data Transformation'!$B$4:$B$450)),ROW($14:$14))-3,3)),"",INDEX('Data Transformation'!$B$4:$G$450,SMALL(IF('Data Transformation'!$B$4:$B$450='Bin Analysis and Plots'!D27,ROW('Data Transformation'!$B$4:$B$450)),ROW($14:$14))-3,6))</f>
        <v>0</v>
      </c>
      <c r="B43" s="29" t="str">
        <f>IFERROR(SMALL(A30:A49,'Data Transformation'!$L$19),"")</f>
        <v/>
      </c>
      <c r="C43" s="41" t="str">
        <f>IF(Weighting!$O$19&gt;0,D43,"")</f>
        <v/>
      </c>
      <c r="D43" t="e">
        <f>Weighting!$C$19</f>
        <v>#DIV/0!</v>
      </c>
      <c r="E43" t="e">
        <f>Weighting!$E$19</f>
        <v>#NUM!</v>
      </c>
      <c r="F43" t="e">
        <f>IF(E43=1,'Data Transformation'!$G$3+0.5*'Data Transformation'!$U$25,IF(E44=1,F44-'Data Transformation'!$U$25,FALSE))</f>
        <v>#NUM!</v>
      </c>
      <c r="G43">
        <f t="array" ref="G43">IF(ISLOGICAL(F43),"",FREQUENCY(IF('Data Transformation'!$B$24:$B$404='Bin Analysis and Plots'!$D$27,'Data Transformation'!$G$24:$G$404),'Bin Analysis and Plots'!F43))</f>
        <v>0</v>
      </c>
      <c r="H43">
        <f t="shared" si="3"/>
        <v>0</v>
      </c>
      <c r="I43">
        <f>Weighting!$G$19</f>
        <v>0</v>
      </c>
      <c r="J43">
        <f t="array" ref="J43">FREQUENCY(IF('Data Transformation'!$B$4:$B$404=D27,'Data Transformation'!$G$4:$G$404),'Bin Analysis and Plots'!$D43)</f>
        <v>0</v>
      </c>
      <c r="K43">
        <f t="shared" si="4"/>
        <v>0</v>
      </c>
      <c r="L43">
        <f t="shared" si="5"/>
        <v>0</v>
      </c>
      <c r="M43">
        <f>L43*Weighting!$V$19</f>
        <v>0</v>
      </c>
    </row>
    <row r="44" spans="1:13">
      <c r="A44" s="29" t="b">
        <f t="array" ref="A44">IF(ISERROR(INDEX('Data Transformation'!$B$4:$G$450,SMALL(IF('Data Transformation'!$B$4:$B$450='Bin Analysis and Plots'!D27,ROW('Data Transformation'!$B$4:$B$450)),ROW($15:$15))-3,3)),"",INDEX('Data Transformation'!$B$4:$G$450,SMALL(IF('Data Transformation'!$B$4:$B$450='Bin Analysis and Plots'!D27,ROW('Data Transformation'!$B$4:$B$450)),ROW($15:$15))-3,6))</f>
        <v>0</v>
      </c>
      <c r="B44" s="29" t="str">
        <f>IFERROR(SMALL(A30:A49,'Data Transformation'!$L$20),"")</f>
        <v/>
      </c>
      <c r="C44" s="41" t="str">
        <f>IF(Weighting!$O$20&gt;0,D44,"")</f>
        <v/>
      </c>
      <c r="D44" t="e">
        <f>Weighting!$C$20</f>
        <v>#DIV/0!</v>
      </c>
      <c r="E44" t="e">
        <f>Weighting!$E$20</f>
        <v>#NUM!</v>
      </c>
      <c r="F44" t="e">
        <f>IF(E44=1,'Data Transformation'!$G$3+0.5*'Data Transformation'!$U$25,IF(E45=1,F45-'Data Transformation'!$U$25,FALSE))</f>
        <v>#NUM!</v>
      </c>
      <c r="G44">
        <f t="array" ref="G44">IF(ISLOGICAL(F44),"",FREQUENCY(IF('Data Transformation'!$B$24:$B$404='Bin Analysis and Plots'!$D$27,'Data Transformation'!$G$24:$G$404),'Bin Analysis and Plots'!F44))</f>
        <v>0</v>
      </c>
      <c r="H44">
        <f t="shared" si="3"/>
        <v>0</v>
      </c>
      <c r="I44">
        <f>Weighting!$G$20</f>
        <v>0</v>
      </c>
      <c r="J44">
        <f t="array" ref="J44">FREQUENCY(IF('Data Transformation'!$B$4:$B$404=D27,'Data Transformation'!$G$4:$G$404),'Bin Analysis and Plots'!$D44)</f>
        <v>0</v>
      </c>
      <c r="K44">
        <f t="shared" si="4"/>
        <v>0</v>
      </c>
      <c r="L44">
        <f t="shared" si="5"/>
        <v>0</v>
      </c>
      <c r="M44">
        <f>L44*Weighting!$V$20</f>
        <v>0</v>
      </c>
    </row>
    <row r="45" spans="1:13">
      <c r="A45" s="29" t="b">
        <f t="array" ref="A45">IF(ISERROR(INDEX('Data Transformation'!$B$4:$G$450,SMALL(IF('Data Transformation'!$B$4:$B$450='Bin Analysis and Plots'!D27,ROW('Data Transformation'!$B$4:$B$450)),ROW($16:$16))-3,3)),"",INDEX('Data Transformation'!$B$4:$G$450,SMALL(IF('Data Transformation'!$B$4:$B$450='Bin Analysis and Plots'!D27,ROW('Data Transformation'!$B$4:$B$450)),ROW($16:$16))-3,6))</f>
        <v>0</v>
      </c>
      <c r="B45" s="29" t="str">
        <f>IFERROR(SMALL(A30:A49,'Data Transformation'!$L$21),"")</f>
        <v/>
      </c>
      <c r="C45" s="41" t="str">
        <f>IF(Weighting!$O$21&gt;0,D45,"")</f>
        <v/>
      </c>
      <c r="D45" t="e">
        <f>Weighting!$C$21</f>
        <v>#DIV/0!</v>
      </c>
      <c r="E45" t="e">
        <f>Weighting!$E$21</f>
        <v>#NUM!</v>
      </c>
      <c r="F45" t="e">
        <f>IF(E45=1,'Data Transformation'!$G$3+0.5*'Data Transformation'!$U$25,IF(E46=1,F46-'Data Transformation'!$U$25,FALSE))</f>
        <v>#NUM!</v>
      </c>
      <c r="G45">
        <f t="array" ref="G45">IF(ISLOGICAL(F45),"",FREQUENCY(IF('Data Transformation'!$B$24:$B$404='Bin Analysis and Plots'!$D$27,'Data Transformation'!$G$24:$G$404),'Bin Analysis and Plots'!F45))</f>
        <v>0</v>
      </c>
      <c r="H45">
        <f t="shared" si="3"/>
        <v>0</v>
      </c>
      <c r="I45">
        <f>Weighting!$G$21</f>
        <v>0</v>
      </c>
      <c r="J45">
        <f t="array" ref="J45">FREQUENCY(IF('Data Transformation'!$B$4:$B$404=D27,'Data Transformation'!$G$4:$G$404),'Bin Analysis and Plots'!$D45)</f>
        <v>0</v>
      </c>
      <c r="K45">
        <f t="shared" si="4"/>
        <v>0</v>
      </c>
      <c r="L45">
        <f t="shared" si="5"/>
        <v>0</v>
      </c>
      <c r="M45">
        <f>L45*Weighting!$V$21</f>
        <v>0</v>
      </c>
    </row>
    <row r="46" spans="1:13">
      <c r="A46" s="29" t="b">
        <f t="array" ref="A46">IF(ISERROR(INDEX('Data Transformation'!$B$4:$G$450,SMALL(IF('Data Transformation'!$B$4:$B$450='Bin Analysis and Plots'!D27,ROW('Data Transformation'!$B$4:$B$450)),ROW($17:$17))-3,3)),"",INDEX('Data Transformation'!$B$4:$G$450,SMALL(IF('Data Transformation'!$B$4:$B$450='Bin Analysis and Plots'!D27,ROW('Data Transformation'!$B$4:$B$450)),ROW($17:$17))-3,6))</f>
        <v>0</v>
      </c>
      <c r="B46" s="29" t="str">
        <f>IFERROR(SMALL(A30:A49,'Data Transformation'!$L$22),"")</f>
        <v/>
      </c>
      <c r="C46" s="41" t="str">
        <f>IF(Weighting!$O$22&gt;0,D46,"")</f>
        <v/>
      </c>
      <c r="D46" t="e">
        <f>Weighting!$C$22</f>
        <v>#DIV/0!</v>
      </c>
      <c r="E46" t="e">
        <f>Weighting!$E$22</f>
        <v>#NUM!</v>
      </c>
      <c r="F46" t="e">
        <f>IF(E46=1,'Data Transformation'!$G$3+0.5*'Data Transformation'!$U$25,IF(E47=1,F47-'Data Transformation'!$U$25,FALSE))</f>
        <v>#NUM!</v>
      </c>
      <c r="G46">
        <f t="array" ref="G46">IF(ISLOGICAL(F46),"",FREQUENCY(IF('Data Transformation'!$B$24:$B$404='Bin Analysis and Plots'!$D$27,'Data Transformation'!$G$24:$G$404),'Bin Analysis and Plots'!F46))</f>
        <v>0</v>
      </c>
      <c r="H46">
        <f t="shared" si="3"/>
        <v>0</v>
      </c>
      <c r="I46">
        <f>Weighting!$G$22</f>
        <v>0</v>
      </c>
      <c r="J46">
        <f t="array" ref="J46">FREQUENCY(IF('Data Transformation'!$B$4:$B$404=D27,'Data Transformation'!$G$4:$G$404),'Bin Analysis and Plots'!$D46)</f>
        <v>0</v>
      </c>
      <c r="K46">
        <f t="shared" si="4"/>
        <v>0</v>
      </c>
      <c r="L46">
        <f t="shared" si="5"/>
        <v>0</v>
      </c>
      <c r="M46">
        <f>L46*Weighting!$V$22</f>
        <v>0</v>
      </c>
    </row>
    <row r="47" spans="1:13">
      <c r="A47" s="29" t="b">
        <f t="array" ref="A47">IF(ISERROR(INDEX('Data Transformation'!$B$4:$G$450,SMALL(IF('Data Transformation'!$B$4:$B$450='Bin Analysis and Plots'!D27,ROW('Data Transformation'!$B$4:$B$450)),ROW($18:$18))-3,3)),"",INDEX('Data Transformation'!$B$4:$G$450,SMALL(IF('Data Transformation'!$B$4:$B$450='Bin Analysis and Plots'!D27,ROW('Data Transformation'!$B$4:$B$450)),ROW($18:$18))-3,6))</f>
        <v>0</v>
      </c>
      <c r="B47" s="29" t="str">
        <f>IFERROR(SMALL(A30:A49,'Data Transformation'!$L$23),"")</f>
        <v/>
      </c>
      <c r="C47" s="41" t="str">
        <f>IF(Weighting!$O$23&gt;0,D47,"")</f>
        <v/>
      </c>
      <c r="D47" t="e">
        <f>Weighting!$C$23</f>
        <v>#DIV/0!</v>
      </c>
      <c r="E47" t="e">
        <f>Weighting!$E$23</f>
        <v>#NUM!</v>
      </c>
      <c r="F47" t="e">
        <f>IF(E47=1,'Data Transformation'!$G$3+0.5*'Data Transformation'!$U$25,IF(E48=1,F48-'Data Transformation'!$U$25,FALSE))</f>
        <v>#NUM!</v>
      </c>
      <c r="G47">
        <f t="array" ref="G47">IF(ISLOGICAL(F47),"",FREQUENCY(IF('Data Transformation'!$B$24:$B$404='Bin Analysis and Plots'!$D$27,'Data Transformation'!$G$24:$G$404),'Bin Analysis and Plots'!F47))</f>
        <v>0</v>
      </c>
      <c r="H47">
        <f t="shared" si="3"/>
        <v>0</v>
      </c>
      <c r="I47">
        <f>Weighting!$G$23</f>
        <v>0</v>
      </c>
      <c r="J47">
        <f t="array" ref="J47">FREQUENCY(IF('Data Transformation'!$B$4:$B$404=D27,'Data Transformation'!$G$4:$G$404),'Bin Analysis and Plots'!$D47)</f>
        <v>0</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t="e">
        <f>Weighting!$C$24</f>
        <v>#DIV/0!</v>
      </c>
      <c r="E48" t="e">
        <f>Weighting!$E$24</f>
        <v>#NUM!</v>
      </c>
      <c r="F48" t="e">
        <f>IF(E48=1,'Data Transformation'!$G$3+0.5*'Data Transformation'!$U$25,IF(E49=1,F49-'Data Transformation'!$U$25,FALSE))</f>
        <v>#NUM!</v>
      </c>
      <c r="G48">
        <f t="array" ref="G48">IF(ISLOGICAL(F48),"",FREQUENCY(IF('Data Transformation'!$B$24:$B$404='Bin Analysis and Plots'!$D$27,'Data Transformation'!$G$24:$G$404),'Bin Analysis and Plots'!F48))</f>
        <v>0</v>
      </c>
      <c r="H48">
        <f t="shared" si="3"/>
        <v>0</v>
      </c>
      <c r="I48">
        <f>Weighting!$G$24</f>
        <v>0</v>
      </c>
      <c r="J48">
        <f t="array" ref="J48">FREQUENCY(IF('Data Transformation'!$B$4:$B$404=D27,'Data Transformation'!$G$4:$G$404),'Bin Analysis and Plots'!$D48)</f>
        <v>0</v>
      </c>
      <c r="K48">
        <f t="shared" si="4"/>
        <v>0</v>
      </c>
      <c r="L48">
        <f t="shared" si="5"/>
        <v>0</v>
      </c>
      <c r="M48">
        <f>L48*Weighting!$V$24</f>
        <v>0</v>
      </c>
    </row>
    <row r="49" spans="1:27">
      <c r="A49" s="29" t="b">
        <f t="array" ref="A49">IF(ISERROR(INDEX('Data Transformation'!$B$4:$G$450,SMALL(IF('Data Transformation'!$B$4:$B$450='Bin Analysis and Plots'!D27,ROW('Data Transformation'!$B$4:$B$450)),ROW($20:$20))-3,3)),"",INDEX('Data Transformation'!$B$4:$G$450,SMALL(IF('Data Transformation'!$B$4:$B$450='Bin Analysis and Plots'!D27,ROW('Data Transformation'!$B$4:$B$450)),ROW($20:$20))-3,6))</f>
        <v>0</v>
      </c>
      <c r="B49" s="29" t="str">
        <f>IFERROR(SMALL(A30:A49,'Data Transformation'!$L$25),"")</f>
        <v/>
      </c>
      <c r="C49" s="41" t="str">
        <f>IF(Weighting!$O$25&gt;0,D49,"")</f>
        <v/>
      </c>
      <c r="D49" t="e">
        <f>Weighting!$C$25</f>
        <v>#DIV/0!</v>
      </c>
      <c r="E49" t="e">
        <f>Weighting!$E$25</f>
        <v>#NUM!</v>
      </c>
      <c r="F49" t="e">
        <f>IF(E49=1,'Data Transformation'!$G$3+0.5*'Data Transformation'!$U$25,IF(E50=1,F50-'Data Transformation'!$U$25,FALSE))</f>
        <v>#NUM!</v>
      </c>
      <c r="G49">
        <f t="array" ref="G49">IF(ISLOGICAL(F49),"",FREQUENCY(IF('Data Transformation'!$B$24:$B$404='Bin Analysis and Plots'!$D$27,'Data Transformation'!$G$24:$G$404),'Bin Analysis and Plots'!F49))</f>
        <v>0</v>
      </c>
      <c r="H49">
        <f t="shared" si="3"/>
        <v>0</v>
      </c>
      <c r="I49">
        <f>Weighting!$G$25</f>
        <v>0</v>
      </c>
      <c r="J49">
        <f t="array" ref="J49">FREQUENCY(IF('Data Transformation'!$B$4:$B$404=D27,'Data Transformation'!$G$4:$G$404),'Bin Analysis and Plots'!$D49)</f>
        <v>0</v>
      </c>
      <c r="K49">
        <f t="shared" si="4"/>
        <v>0</v>
      </c>
      <c r="L49">
        <f t="shared" si="5"/>
        <v>0</v>
      </c>
      <c r="M49">
        <f>L49*Weighting!$V$25</f>
        <v>0</v>
      </c>
    </row>
    <row r="50" spans="1:27">
      <c r="C50" s="41" t="str">
        <f>IF(B50="","",D50)</f>
        <v/>
      </c>
    </row>
    <row r="51" spans="1:27" ht="23.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8" cm="1">
        <f t="array" ref="Z51:Z52">FREQUENCY(IF('Data Transformation'!$B$24:$B$404='Bin Analysis and Plots'!N51,'Data Transformation'!$G$24:$G$404),'Data Transformation'!$U$11)</f>
        <v>0</v>
      </c>
      <c r="AA51" s="78" cm="1">
        <f t="array" ref="AA51:AA52">FREQUENCY(IF('Data Transformation'!$B$24:$B$404='Bin Analysis and Plots'!N51,'Data Transformation'!$G$24:$G$404),'Data Transformation'!$U$12)</f>
        <v>0</v>
      </c>
    </row>
    <row r="52" spans="1:27" ht="21">
      <c r="A52" s="91" t="s">
        <v>64</v>
      </c>
      <c r="B52" s="91"/>
      <c r="C52" s="14" t="s">
        <v>72</v>
      </c>
      <c r="D52" t="s">
        <v>50</v>
      </c>
      <c r="E52" t="s">
        <v>5</v>
      </c>
      <c r="F52" t="s">
        <v>97</v>
      </c>
      <c r="G52" t="s">
        <v>98</v>
      </c>
      <c r="I52" t="s">
        <v>74</v>
      </c>
      <c r="J52" t="s">
        <v>34</v>
      </c>
      <c r="K52" t="s">
        <v>35</v>
      </c>
      <c r="L52" t="s">
        <v>49</v>
      </c>
      <c r="M52" s="14" t="s">
        <v>48</v>
      </c>
      <c r="Z52" s="78">
        <v>0</v>
      </c>
      <c r="AA52" s="78">
        <v>0</v>
      </c>
    </row>
    <row r="53" spans="1:27">
      <c r="C53" s="41" t="str">
        <f>IF(B53="","",D53)</f>
        <v/>
      </c>
      <c r="F53" t="e">
        <f>IF(E53=1,'Data Transformation'!$G$3+0.5*'Data Transformation'!$U$25,IF(E54=1,F54-'Data Transformation'!$U$25,FALSE))</f>
        <v>#NUM!</v>
      </c>
      <c r="G53">
        <f t="array" ref="G53">IF(ISLOGICAL(F53),"",FREQUENCY(IF('Data Transformation'!$B$24:$B$404='Bin Analysis and Plots'!$D$51,'Data Transformation'!$G$24:$G$404),'Bin Analysis and Plots'!F53))</f>
        <v>0</v>
      </c>
      <c r="H53" t="e">
        <f>IF(ISLOGICAL(F53),"",G53-G52)</f>
        <v>#VALUE!</v>
      </c>
    </row>
    <row r="54" spans="1:27">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t="e">
        <f>IF(Weighting!$O$6&gt;0,D54,"")</f>
        <v>#NUM!</v>
      </c>
      <c r="D54" t="e">
        <f>Weighting!$C$6</f>
        <v>#DIV/0!</v>
      </c>
      <c r="E54" t="e">
        <f>Weighting!$E$6</f>
        <v>#NUM!</v>
      </c>
      <c r="F54" t="e">
        <f>IF(E54=1,'Data Transformation'!$G$3+0.5*'Data Transformation'!$U$25,IF(E55=1,F55-'Data Transformation'!$U$25,FALSE))</f>
        <v>#NUM!</v>
      </c>
      <c r="G54">
        <f t="array" ref="G54">IF(ISLOGICAL(F54),"",FREQUENCY(IF('Data Transformation'!$B$24:$B$404='Bin Analysis and Plots'!$D$51,'Data Transformation'!$G$24:$G$404),'Bin Analysis and Plots'!F54))</f>
        <v>0</v>
      </c>
      <c r="H54">
        <f>IF(ISLOGICAL(F54),"",G54-G53)</f>
        <v>0</v>
      </c>
      <c r="I54">
        <f>Weighting!$G$6</f>
        <v>1</v>
      </c>
      <c r="J54">
        <f t="array" ref="J54">FREQUENCY(IF('Data Transformation'!$B$4:$B$404=D51,'Data Transformation'!$G$4:$G$404),'Bin Analysis and Plots'!$D54)</f>
        <v>0</v>
      </c>
      <c r="K54">
        <f>J54-J53</f>
        <v>0</v>
      </c>
      <c r="L54">
        <f>IF(K54=0,0,1)</f>
        <v>0</v>
      </c>
      <c r="M54" t="e">
        <f>L54*Weighting!$V$6</f>
        <v>#NUM!</v>
      </c>
    </row>
    <row r="55" spans="1:27">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t="str">
        <f>IF(Weighting!$O$7&gt;0,D55,"")</f>
        <v/>
      </c>
      <c r="D55" t="e">
        <f>Weighting!$C$7</f>
        <v>#DIV/0!</v>
      </c>
      <c r="E55" t="e">
        <f>Weighting!$E$7</f>
        <v>#NUM!</v>
      </c>
      <c r="F55" t="e">
        <f>IF(E55=1,'Data Transformation'!$G$3+0.5*'Data Transformation'!$U$25,IF(E56=1,F56-'Data Transformation'!$U$25,FALSE))</f>
        <v>#NUM!</v>
      </c>
      <c r="G55">
        <f t="array" ref="G55">IF(ISLOGICAL(F55),"",FREQUENCY(IF('Data Transformation'!$B$24:$B$404='Bin Analysis and Plots'!$D$51,'Data Transformation'!$G$24:$G$404),'Bin Analysis and Plots'!F55))</f>
        <v>0</v>
      </c>
      <c r="H55">
        <f t="shared" ref="H55:H73" si="6">IF(ISLOGICAL(F55),"",G55-G54)</f>
        <v>0</v>
      </c>
      <c r="I55">
        <f>Weighting!$G$7</f>
        <v>0</v>
      </c>
      <c r="J55">
        <f t="array" ref="J55">FREQUENCY(IF('Data Transformation'!$B$4:$B$404=D51,'Data Transformation'!$G$4:$G$404),'Bin Analysis and Plots'!$D55)</f>
        <v>0</v>
      </c>
      <c r="K55">
        <f t="shared" ref="K55:K73" si="7">J55-J54</f>
        <v>0</v>
      </c>
      <c r="L55">
        <f>IF(K55=0,0,1)</f>
        <v>0</v>
      </c>
      <c r="M55">
        <f>L55*Weighting!$V$7</f>
        <v>0</v>
      </c>
    </row>
    <row r="56" spans="1:27">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t="str">
        <f>IF(Weighting!$O$8&gt;0,D56,"")</f>
        <v/>
      </c>
      <c r="D56" t="e">
        <f>Weighting!$C$8</f>
        <v>#DIV/0!</v>
      </c>
      <c r="E56" t="e">
        <f>Weighting!$E$8</f>
        <v>#NUM!</v>
      </c>
      <c r="F56" t="e">
        <f>IF(E56=1,'Data Transformation'!$G$3+0.5*'Data Transformation'!$U$25,IF(E57=1,F57-'Data Transformation'!$U$25,FALSE))</f>
        <v>#NUM!</v>
      </c>
      <c r="G56">
        <f t="array" ref="G56">IF(ISLOGICAL(F56),"",FREQUENCY(IF('Data Transformation'!$B$24:$B$404='Bin Analysis and Plots'!$D$51,'Data Transformation'!$G$24:$G$404),'Bin Analysis and Plots'!F56))</f>
        <v>0</v>
      </c>
      <c r="H56">
        <f t="shared" si="6"/>
        <v>0</v>
      </c>
      <c r="I56">
        <f>Weighting!$G$8</f>
        <v>0</v>
      </c>
      <c r="J56">
        <f t="array" ref="J56">FREQUENCY(IF('Data Transformation'!$B$4:$B$404=D51,'Data Transformation'!$G$4:$G$404),'Bin Analysis and Plots'!$D56)</f>
        <v>0</v>
      </c>
      <c r="K56">
        <f t="shared" si="7"/>
        <v>0</v>
      </c>
      <c r="L56">
        <f t="shared" ref="L56:L73" si="8">IF(K56=0,0,1)</f>
        <v>0</v>
      </c>
      <c r="M56">
        <f>L56*Weighting!$V$8</f>
        <v>0</v>
      </c>
    </row>
    <row r="57" spans="1:27">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t="str">
        <f>IF(Weighting!$O$9&gt;0,D57,"")</f>
        <v/>
      </c>
      <c r="D57" t="e">
        <f>Weighting!$C$9</f>
        <v>#DIV/0!</v>
      </c>
      <c r="E57" t="e">
        <f>Weighting!$E$9</f>
        <v>#NUM!</v>
      </c>
      <c r="F57" t="e">
        <f>IF(E57=1,'Data Transformation'!$G$3+0.5*'Data Transformation'!$U$25,IF(E58=1,F58-'Data Transformation'!$U$25,FALSE))</f>
        <v>#NUM!</v>
      </c>
      <c r="G57">
        <f t="array" ref="G57">IF(ISLOGICAL(F57),"",FREQUENCY(IF('Data Transformation'!$B$24:$B$404='Bin Analysis and Plots'!$D$51,'Data Transformation'!$G$24:$G$404),'Bin Analysis and Plots'!F57))</f>
        <v>0</v>
      </c>
      <c r="H57">
        <f t="shared" si="6"/>
        <v>0</v>
      </c>
      <c r="I57">
        <f>Weighting!$G$9</f>
        <v>0</v>
      </c>
      <c r="J57">
        <f t="array" ref="J57">FREQUENCY(IF('Data Transformation'!$B$4:$B$404=D51,'Data Transformation'!$G$4:$G$404),'Bin Analysis and Plots'!$D57)</f>
        <v>0</v>
      </c>
      <c r="K57">
        <f t="shared" si="7"/>
        <v>0</v>
      </c>
      <c r="L57">
        <f t="shared" si="8"/>
        <v>0</v>
      </c>
      <c r="M57">
        <f>L57*Weighting!$V$9</f>
        <v>0</v>
      </c>
    </row>
    <row r="58" spans="1:27">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t="str">
        <f>IF(Weighting!$O$10&gt;0,D58,"")</f>
        <v/>
      </c>
      <c r="D58" t="e">
        <f>Weighting!$C$10</f>
        <v>#DIV/0!</v>
      </c>
      <c r="E58" t="e">
        <f>Weighting!$E$10</f>
        <v>#NUM!</v>
      </c>
      <c r="F58" t="e">
        <f>IF(E58=1,'Data Transformation'!$G$3+0.5*'Data Transformation'!$U$25,IF(E59=1,F59-'Data Transformation'!$U$25,FALSE))</f>
        <v>#NUM!</v>
      </c>
      <c r="G58">
        <f t="array" ref="G58">IF(ISLOGICAL(F58),"",FREQUENCY(IF('Data Transformation'!$B$24:$B$404='Bin Analysis and Plots'!$D$51,'Data Transformation'!$G$24:$G$404),'Bin Analysis and Plots'!F58))</f>
        <v>0</v>
      </c>
      <c r="H58">
        <f t="shared" si="6"/>
        <v>0</v>
      </c>
      <c r="I58">
        <f>Weighting!$G$10</f>
        <v>0</v>
      </c>
      <c r="J58">
        <f t="array" ref="J58">FREQUENCY(IF('Data Transformation'!$B$4:$B$404=D51,'Data Transformation'!$G$4:$G$404),'Bin Analysis and Plots'!$D58)</f>
        <v>0</v>
      </c>
      <c r="K58">
        <f t="shared" si="7"/>
        <v>0</v>
      </c>
      <c r="L58">
        <f t="shared" si="8"/>
        <v>0</v>
      </c>
      <c r="M58">
        <f>L58*Weighting!$V$10</f>
        <v>0</v>
      </c>
    </row>
    <row r="59" spans="1:27">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t="str">
        <f>IF(Weighting!$O$11&gt;0,D59,"")</f>
        <v/>
      </c>
      <c r="D59" t="e">
        <f>Weighting!$C$11</f>
        <v>#DIV/0!</v>
      </c>
      <c r="E59" t="e">
        <f>Weighting!$E$11</f>
        <v>#NUM!</v>
      </c>
      <c r="F59" t="e">
        <f>IF(E59=1,'Data Transformation'!$G$3+0.5*'Data Transformation'!$U$25,IF(E60=1,F60-'Data Transformation'!$U$25,FALSE))</f>
        <v>#NUM!</v>
      </c>
      <c r="G59">
        <f t="array" ref="G59">IF(ISLOGICAL(F59),"",FREQUENCY(IF('Data Transformation'!$B$24:$B$404='Bin Analysis and Plots'!$D$51,'Data Transformation'!$G$24:$G$404),'Bin Analysis and Plots'!F59))</f>
        <v>0</v>
      </c>
      <c r="H59">
        <f t="shared" si="6"/>
        <v>0</v>
      </c>
      <c r="I59">
        <f>Weighting!$G$11</f>
        <v>0</v>
      </c>
      <c r="J59">
        <f t="array" ref="J59">FREQUENCY(IF('Data Transformation'!$B$4:$B$404=D51,'Data Transformation'!$G$4:$G$404),'Bin Analysis and Plots'!$D59)</f>
        <v>0</v>
      </c>
      <c r="K59">
        <f t="shared" si="7"/>
        <v>0</v>
      </c>
      <c r="L59">
        <f t="shared" si="8"/>
        <v>0</v>
      </c>
      <c r="M59">
        <f>L59*Weighting!$V$11</f>
        <v>0</v>
      </c>
    </row>
    <row r="60" spans="1:27">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t="str">
        <f>IF(Weighting!$O$12&gt;0,D60,"")</f>
        <v/>
      </c>
      <c r="D60" t="e">
        <f>Weighting!$C$12</f>
        <v>#DIV/0!</v>
      </c>
      <c r="E60" t="e">
        <f>Weighting!$E$12</f>
        <v>#NUM!</v>
      </c>
      <c r="F60" t="e">
        <f>IF(E60=1,'Data Transformation'!$G$3+0.5*'Data Transformation'!$U$25,IF(E61=1,F61-'Data Transformation'!$U$25,FALSE))</f>
        <v>#NUM!</v>
      </c>
      <c r="G60">
        <f t="array" ref="G60">IF(ISLOGICAL(F60),"",FREQUENCY(IF('Data Transformation'!$B$24:$B$404='Bin Analysis and Plots'!$D$51,'Data Transformation'!$G$24:$G$404),'Bin Analysis and Plots'!F60))</f>
        <v>0</v>
      </c>
      <c r="H60">
        <f t="shared" si="6"/>
        <v>0</v>
      </c>
      <c r="I60">
        <f>Weighting!$G$12</f>
        <v>0</v>
      </c>
      <c r="J60">
        <f t="array" ref="J60">FREQUENCY(IF('Data Transformation'!$B$4:$B$404=D51,'Data Transformation'!$G$4:$G$404),'Bin Analysis and Plots'!$D60)</f>
        <v>0</v>
      </c>
      <c r="K60">
        <f t="shared" si="7"/>
        <v>0</v>
      </c>
      <c r="L60">
        <f t="shared" si="8"/>
        <v>0</v>
      </c>
      <c r="M60">
        <f>L60*Weighting!$V$12</f>
        <v>0</v>
      </c>
    </row>
    <row r="61" spans="1:27">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t="str">
        <f>IF(Weighting!$O$13&gt;0,D61,"")</f>
        <v/>
      </c>
      <c r="D61" t="e">
        <f>Weighting!$C$13</f>
        <v>#DIV/0!</v>
      </c>
      <c r="E61" t="e">
        <f>Weighting!$E$13</f>
        <v>#NUM!</v>
      </c>
      <c r="F61" t="e">
        <f>IF(E61=1,'Data Transformation'!$G$3+0.5*'Data Transformation'!$U$25,IF(E62=1,F62-'Data Transformation'!$U$25,FALSE))</f>
        <v>#NUM!</v>
      </c>
      <c r="G61">
        <f t="array" ref="G61">IF(ISLOGICAL(F61),"",FREQUENCY(IF('Data Transformation'!$B$24:$B$404='Bin Analysis and Plots'!$D$51,'Data Transformation'!$G$24:$G$404),'Bin Analysis and Plots'!F61))</f>
        <v>0</v>
      </c>
      <c r="H61">
        <f t="shared" si="6"/>
        <v>0</v>
      </c>
      <c r="I61">
        <f>Weighting!$G$13</f>
        <v>0</v>
      </c>
      <c r="J61">
        <f t="array" ref="J61">FREQUENCY(IF('Data Transformation'!$B$4:$B$404=D51,'Data Transformation'!$G$4:$G$404),'Bin Analysis and Plots'!$D61)</f>
        <v>0</v>
      </c>
      <c r="K61">
        <f t="shared" si="7"/>
        <v>0</v>
      </c>
      <c r="L61">
        <f t="shared" si="8"/>
        <v>0</v>
      </c>
      <c r="M61">
        <f>L61*Weighting!$V$13</f>
        <v>0</v>
      </c>
    </row>
    <row r="62" spans="1:27">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t="str">
        <f>IF(Weighting!$O$14&gt;0,D62,"")</f>
        <v/>
      </c>
      <c r="D62" t="e">
        <f>Weighting!$C$14</f>
        <v>#DIV/0!</v>
      </c>
      <c r="E62" t="e">
        <f>Weighting!$E$14</f>
        <v>#NUM!</v>
      </c>
      <c r="F62" t="e">
        <f>IF(E62=1,'Data Transformation'!$G$3+0.5*'Data Transformation'!$U$25,IF(E63=1,F63-'Data Transformation'!$U$25,FALSE))</f>
        <v>#NUM!</v>
      </c>
      <c r="G62">
        <f t="array" ref="G62">IF(ISLOGICAL(F62),"",FREQUENCY(IF('Data Transformation'!$B$24:$B$404='Bin Analysis and Plots'!$D$51,'Data Transformation'!$G$24:$G$404),'Bin Analysis and Plots'!F62))</f>
        <v>0</v>
      </c>
      <c r="H62">
        <f t="shared" si="6"/>
        <v>0</v>
      </c>
      <c r="I62">
        <f>Weighting!$G$14</f>
        <v>0</v>
      </c>
      <c r="J62">
        <f t="array" ref="J62">FREQUENCY(IF('Data Transformation'!$B$4:$B$404=D51,'Data Transformation'!$G$4:$G$404),'Bin Analysis and Plots'!$D62)</f>
        <v>0</v>
      </c>
      <c r="K62">
        <f t="shared" si="7"/>
        <v>0</v>
      </c>
      <c r="L62">
        <f t="shared" si="8"/>
        <v>0</v>
      </c>
      <c r="M62">
        <f>L62*Weighting!$V$14</f>
        <v>0</v>
      </c>
    </row>
    <row r="63" spans="1:27">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t="str">
        <f>IF(Weighting!$O$15&gt;0,D63,"")</f>
        <v/>
      </c>
      <c r="D63" t="e">
        <f>Weighting!$C$15</f>
        <v>#DIV/0!</v>
      </c>
      <c r="E63" t="e">
        <f>Weighting!$E$15</f>
        <v>#NUM!</v>
      </c>
      <c r="F63" t="e">
        <f>IF(E63=1,'Data Transformation'!$G$3+0.5*'Data Transformation'!$U$25,IF(E64=1,F64-'Data Transformation'!$U$25,FALSE))</f>
        <v>#NUM!</v>
      </c>
      <c r="G63">
        <f t="array" ref="G63">IF(ISLOGICAL(F63),"",FREQUENCY(IF('Data Transformation'!$B$24:$B$404='Bin Analysis and Plots'!$D$51,'Data Transformation'!$G$24:$G$404),'Bin Analysis and Plots'!F63))</f>
        <v>0</v>
      </c>
      <c r="H63">
        <f t="shared" si="6"/>
        <v>0</v>
      </c>
      <c r="I63">
        <f>Weighting!$G$15</f>
        <v>0</v>
      </c>
      <c r="J63">
        <f t="array" ref="J63">FREQUENCY(IF('Data Transformation'!$B$4:$B$404=D51,'Data Transformation'!$G$4:$G$404),'Bin Analysis and Plots'!$D63)</f>
        <v>0</v>
      </c>
      <c r="K63">
        <f t="shared" si="7"/>
        <v>0</v>
      </c>
      <c r="L63">
        <f t="shared" si="8"/>
        <v>0</v>
      </c>
      <c r="M63">
        <f>L63*Weighting!$V$15</f>
        <v>0</v>
      </c>
    </row>
    <row r="64" spans="1:27">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t="e">
        <f>Weighting!$C$16</f>
        <v>#DIV/0!</v>
      </c>
      <c r="E64" t="e">
        <f>Weighting!$E$16</f>
        <v>#NUM!</v>
      </c>
      <c r="F64" t="e">
        <f>IF(E64=1,'Data Transformation'!$G$3+0.5*'Data Transformation'!$U$25,IF(E65=1,F65-'Data Transformation'!$U$25,FALSE))</f>
        <v>#NUM!</v>
      </c>
      <c r="G64">
        <f t="array" ref="G64">IF(ISLOGICAL(F64),"",FREQUENCY(IF('Data Transformation'!$B$24:$B$404='Bin Analysis and Plots'!$D$51,'Data Transformation'!$G$24:$G$404),'Bin Analysis and Plots'!F64))</f>
        <v>0</v>
      </c>
      <c r="H64">
        <f t="shared" si="6"/>
        <v>0</v>
      </c>
      <c r="I64">
        <f>Weighting!$G$16</f>
        <v>0</v>
      </c>
      <c r="J64">
        <f t="array" ref="J64">FREQUENCY(IF('Data Transformation'!$B$4:$B$404=D51,'Data Transformation'!$G$4:$G$404),'Bin Analysis and Plots'!$D64)</f>
        <v>0</v>
      </c>
      <c r="K64">
        <f t="shared" si="7"/>
        <v>0</v>
      </c>
      <c r="L64">
        <f t="shared" si="8"/>
        <v>0</v>
      </c>
      <c r="M64">
        <f>L64*Weighting!$V$16</f>
        <v>0</v>
      </c>
    </row>
    <row r="65" spans="1:27">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t="e">
        <f>Weighting!$C$17</f>
        <v>#DIV/0!</v>
      </c>
      <c r="E65" t="e">
        <f>Weighting!$E$17</f>
        <v>#NUM!</v>
      </c>
      <c r="F65" t="e">
        <f>IF(E65=1,'Data Transformation'!$G$3+0.5*'Data Transformation'!$U$25,IF(E66=1,F66-'Data Transformation'!$U$25,FALSE))</f>
        <v>#NUM!</v>
      </c>
      <c r="G65">
        <f t="array" ref="G65">IF(ISLOGICAL(F65),"",FREQUENCY(IF('Data Transformation'!$B$24:$B$404='Bin Analysis and Plots'!$D$51,'Data Transformation'!$G$24:$G$404),'Bin Analysis and Plots'!F65))</f>
        <v>0</v>
      </c>
      <c r="H65">
        <f t="shared" si="6"/>
        <v>0</v>
      </c>
      <c r="I65">
        <f>Weighting!$G$17</f>
        <v>0</v>
      </c>
      <c r="J65">
        <f t="array" ref="J65">FREQUENCY(IF('Data Transformation'!$B$4:$B$404=D51,'Data Transformation'!$G$4:$G$404),'Bin Analysis and Plots'!$D65)</f>
        <v>0</v>
      </c>
      <c r="K65">
        <f t="shared" si="7"/>
        <v>0</v>
      </c>
      <c r="L65">
        <f t="shared" si="8"/>
        <v>0</v>
      </c>
      <c r="M65">
        <f>L65*Weighting!$V$17</f>
        <v>0</v>
      </c>
    </row>
    <row r="66" spans="1:27">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t="e">
        <f>Weighting!$C$18</f>
        <v>#DIV/0!</v>
      </c>
      <c r="E66" t="e">
        <f>Weighting!$E$18</f>
        <v>#NUM!</v>
      </c>
      <c r="F66" t="e">
        <f>IF(E66=1,'Data Transformation'!$G$3+0.5*'Data Transformation'!$U$25,IF(E67=1,F67-'Data Transformation'!$U$25,FALSE))</f>
        <v>#NUM!</v>
      </c>
      <c r="G66">
        <f t="array" ref="G66">IF(ISLOGICAL(F66),"",FREQUENCY(IF('Data Transformation'!$B$24:$B$404='Bin Analysis and Plots'!$D$51,'Data Transformation'!$G$24:$G$404),'Bin Analysis and Plots'!F66))</f>
        <v>0</v>
      </c>
      <c r="H66">
        <f t="shared" si="6"/>
        <v>0</v>
      </c>
      <c r="I66">
        <f>Weighting!$G$18</f>
        <v>0</v>
      </c>
      <c r="J66">
        <f t="array" ref="J66">FREQUENCY(IF('Data Transformation'!$B$4:$B$404=D51,'Data Transformation'!$G$4:$G$404),'Bin Analysis and Plots'!$D66)</f>
        <v>0</v>
      </c>
      <c r="K66">
        <f t="shared" si="7"/>
        <v>0</v>
      </c>
      <c r="L66">
        <f t="shared" si="8"/>
        <v>0</v>
      </c>
      <c r="M66">
        <f>L66*Weighting!$V$18</f>
        <v>0</v>
      </c>
    </row>
    <row r="67" spans="1:27">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t="e">
        <f>Weighting!$C$19</f>
        <v>#DIV/0!</v>
      </c>
      <c r="E67" t="e">
        <f>Weighting!$E$19</f>
        <v>#NUM!</v>
      </c>
      <c r="F67" t="e">
        <f>IF(E67=1,'Data Transformation'!$G$3+0.5*'Data Transformation'!$U$25,IF(E68=1,F68-'Data Transformation'!$U$25,FALSE))</f>
        <v>#NUM!</v>
      </c>
      <c r="G67">
        <f t="array" ref="G67">IF(ISLOGICAL(F67),"",FREQUENCY(IF('Data Transformation'!$B$24:$B$404='Bin Analysis and Plots'!$D$51,'Data Transformation'!$G$24:$G$404),'Bin Analysis and Plots'!F67))</f>
        <v>0</v>
      </c>
      <c r="H67">
        <f t="shared" si="6"/>
        <v>0</v>
      </c>
      <c r="I67">
        <f>Weighting!$G$19</f>
        <v>0</v>
      </c>
      <c r="J67">
        <f t="array" ref="J67">FREQUENCY(IF('Data Transformation'!$B$4:$B$404=D51,'Data Transformation'!$G$4:$G$404),'Bin Analysis and Plots'!$D67)</f>
        <v>0</v>
      </c>
      <c r="K67">
        <f t="shared" si="7"/>
        <v>0</v>
      </c>
      <c r="L67">
        <f t="shared" si="8"/>
        <v>0</v>
      </c>
      <c r="M67">
        <f>L67*Weighting!$V$19</f>
        <v>0</v>
      </c>
    </row>
    <row r="68" spans="1:27">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t="e">
        <f>Weighting!$C$20</f>
        <v>#DIV/0!</v>
      </c>
      <c r="E68" t="e">
        <f>Weighting!$E$20</f>
        <v>#NUM!</v>
      </c>
      <c r="F68" t="e">
        <f>IF(E68=1,'Data Transformation'!$G$3+0.5*'Data Transformation'!$U$25,IF(E69=1,F69-'Data Transformation'!$U$25,FALSE))</f>
        <v>#NUM!</v>
      </c>
      <c r="G68">
        <f t="array" ref="G68">IF(ISLOGICAL(F68),"",FREQUENCY(IF('Data Transformation'!$B$24:$B$404='Bin Analysis and Plots'!$D$51,'Data Transformation'!$G$24:$G$404),'Bin Analysis and Plots'!F68))</f>
        <v>0</v>
      </c>
      <c r="H68">
        <f t="shared" si="6"/>
        <v>0</v>
      </c>
      <c r="I68">
        <f>Weighting!$G$20</f>
        <v>0</v>
      </c>
      <c r="J68">
        <f t="array" ref="J68">FREQUENCY(IF('Data Transformation'!$B$4:$B$404=D51,'Data Transformation'!$G$4:$G$404),'Bin Analysis and Plots'!$D68)</f>
        <v>0</v>
      </c>
      <c r="K68">
        <f t="shared" si="7"/>
        <v>0</v>
      </c>
      <c r="L68">
        <f t="shared" si="8"/>
        <v>0</v>
      </c>
      <c r="M68">
        <f>L68*Weighting!$V$20</f>
        <v>0</v>
      </c>
    </row>
    <row r="69" spans="1:27">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t="e">
        <f>Weighting!$C$21</f>
        <v>#DIV/0!</v>
      </c>
      <c r="E69" t="e">
        <f>Weighting!$E$21</f>
        <v>#NUM!</v>
      </c>
      <c r="F69" t="e">
        <f>IF(E69=1,'Data Transformation'!$G$3+0.5*'Data Transformation'!$U$25,IF(E70=1,F70-'Data Transformation'!$U$25,FALSE))</f>
        <v>#NUM!</v>
      </c>
      <c r="G69">
        <f t="array" ref="G69">IF(ISLOGICAL(F69),"",FREQUENCY(IF('Data Transformation'!$B$24:$B$404='Bin Analysis and Plots'!$D$51,'Data Transformation'!$G$24:$G$404),'Bin Analysis and Plots'!F69))</f>
        <v>0</v>
      </c>
      <c r="H69">
        <f t="shared" si="6"/>
        <v>0</v>
      </c>
      <c r="I69">
        <f>Weighting!$G$21</f>
        <v>0</v>
      </c>
      <c r="J69">
        <f t="array" ref="J69">FREQUENCY(IF('Data Transformation'!$B$4:$B$404=D51,'Data Transformation'!$G$4:$G$404),'Bin Analysis and Plots'!$D69)</f>
        <v>0</v>
      </c>
      <c r="K69">
        <f t="shared" si="7"/>
        <v>0</v>
      </c>
      <c r="L69">
        <f t="shared" si="8"/>
        <v>0</v>
      </c>
      <c r="M69">
        <f>L69*Weighting!$V$21</f>
        <v>0</v>
      </c>
    </row>
    <row r="70" spans="1:27">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t="e">
        <f>Weighting!$C$22</f>
        <v>#DIV/0!</v>
      </c>
      <c r="E70" t="e">
        <f>Weighting!$E$22</f>
        <v>#NUM!</v>
      </c>
      <c r="F70" t="e">
        <f>IF(E70=1,'Data Transformation'!$G$3+0.5*'Data Transformation'!$U$25,IF(E71=1,F71-'Data Transformation'!$U$25,FALSE))</f>
        <v>#NUM!</v>
      </c>
      <c r="G70">
        <f t="array" ref="G70">IF(ISLOGICAL(F70),"",FREQUENCY(IF('Data Transformation'!$B$24:$B$404='Bin Analysis and Plots'!$D$51,'Data Transformation'!$G$24:$G$404),'Bin Analysis and Plots'!F70))</f>
        <v>0</v>
      </c>
      <c r="H70">
        <f t="shared" si="6"/>
        <v>0</v>
      </c>
      <c r="I70">
        <f>Weighting!$G$22</f>
        <v>0</v>
      </c>
      <c r="J70">
        <f t="array" ref="J70">FREQUENCY(IF('Data Transformation'!$B$4:$B$404=D51,'Data Transformation'!$G$4:$G$404),'Bin Analysis and Plots'!$D70)</f>
        <v>0</v>
      </c>
      <c r="K70">
        <f t="shared" si="7"/>
        <v>0</v>
      </c>
      <c r="L70">
        <f t="shared" si="8"/>
        <v>0</v>
      </c>
      <c r="M70">
        <f>L70*Weighting!$V$22</f>
        <v>0</v>
      </c>
    </row>
    <row r="71" spans="1:27">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t="e">
        <f>Weighting!$C$23</f>
        <v>#DIV/0!</v>
      </c>
      <c r="E71" t="e">
        <f>Weighting!$E$23</f>
        <v>#NUM!</v>
      </c>
      <c r="F71" t="e">
        <f>IF(E71=1,'Data Transformation'!$G$3+0.5*'Data Transformation'!$U$25,IF(E72=1,F72-'Data Transformation'!$U$25,FALSE))</f>
        <v>#NUM!</v>
      </c>
      <c r="G71">
        <f t="array" ref="G71">IF(ISLOGICAL(F71),"",FREQUENCY(IF('Data Transformation'!$B$24:$B$404='Bin Analysis and Plots'!$D$51,'Data Transformation'!$G$24:$G$404),'Bin Analysis and Plots'!F71))</f>
        <v>0</v>
      </c>
      <c r="H71">
        <f t="shared" si="6"/>
        <v>0</v>
      </c>
      <c r="I71">
        <f>Weighting!$G$23</f>
        <v>0</v>
      </c>
      <c r="J71">
        <f t="array" ref="J71">FREQUENCY(IF('Data Transformation'!$B$4:$B$404=D51,'Data Transformation'!$G$4:$G$404),'Bin Analysis and Plots'!$D71)</f>
        <v>0</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t="e">
        <f>Weighting!$C$24</f>
        <v>#DIV/0!</v>
      </c>
      <c r="E72" t="e">
        <f>Weighting!$E$24</f>
        <v>#NUM!</v>
      </c>
      <c r="F72" t="e">
        <f>IF(E72=1,'Data Transformation'!$G$3+0.5*'Data Transformation'!$U$25,IF(E73=1,F73-'Data Transformation'!$U$25,FALSE))</f>
        <v>#NUM!</v>
      </c>
      <c r="G72">
        <f t="array" ref="G72">IF(ISLOGICAL(F72),"",FREQUENCY(IF('Data Transformation'!$B$24:$B$404='Bin Analysis and Plots'!$D$51,'Data Transformation'!$G$24:$G$404),'Bin Analysis and Plots'!F72))</f>
        <v>0</v>
      </c>
      <c r="H72">
        <f t="shared" si="6"/>
        <v>0</v>
      </c>
      <c r="I72">
        <f>Weighting!$G$24</f>
        <v>0</v>
      </c>
      <c r="J72">
        <f t="array" ref="J72">FREQUENCY(IF('Data Transformation'!$B$4:$B$404=D51,'Data Transformation'!$G$4:$G$404),'Bin Analysis and Plots'!$D72)</f>
        <v>0</v>
      </c>
      <c r="K72">
        <f t="shared" si="7"/>
        <v>0</v>
      </c>
      <c r="L72">
        <f t="shared" si="8"/>
        <v>0</v>
      </c>
      <c r="M72">
        <f>L72*Weighting!$V$24</f>
        <v>0</v>
      </c>
    </row>
    <row r="73" spans="1:27">
      <c r="A73" s="29" t="b">
        <f t="array" ref="A73">IF(ISERROR(INDEX('Data Transformation'!$B$4:$G$450,SMALL(IF('Data Transformation'!$B$4:$B$450='Bin Analysis and Plots'!D51,ROW('Data Transformation'!$B$4:$B$450)),ROW($20:$20))-3,3)),"",INDEX('Data Transformation'!$B$4:$G$450,SMALL(IF('Data Transformation'!$B$4:$B$450='Bin Analysis and Plots'!D51,ROW('Data Transformation'!$B$4:$B$450)),ROW($20:$20))-3,6))</f>
        <v>0</v>
      </c>
      <c r="B73" s="29" t="str">
        <f>IFERROR(SMALL(A54:A73,'Data Transformation'!$L$25),"")</f>
        <v/>
      </c>
      <c r="C73" s="41" t="str">
        <f>IF(Weighting!$O$25&gt;0,D73,"")</f>
        <v/>
      </c>
      <c r="D73" t="e">
        <f>Weighting!$C$25</f>
        <v>#DIV/0!</v>
      </c>
      <c r="E73" t="e">
        <f>Weighting!$E$25</f>
        <v>#NUM!</v>
      </c>
      <c r="F73" t="e">
        <f>IF(E73=1,'Data Transformation'!$G$3+0.5*'Data Transformation'!$U$25,IF(E74=1,F74-'Data Transformation'!$U$25,FALSE))</f>
        <v>#NUM!</v>
      </c>
      <c r="G73">
        <f t="array" ref="G73">IF(ISLOGICAL(F73),"",FREQUENCY(IF('Data Transformation'!$B$24:$B$404='Bin Analysis and Plots'!$D$51,'Data Transformation'!$G$24:$G$404),'Bin Analysis and Plots'!F73))</f>
        <v>0</v>
      </c>
      <c r="H73">
        <f t="shared" si="6"/>
        <v>0</v>
      </c>
      <c r="I73">
        <f>Weighting!$G$25</f>
        <v>0</v>
      </c>
      <c r="J73">
        <f t="array" ref="J73">FREQUENCY(IF('Data Transformation'!$B$4:$B$404=D51,'Data Transformation'!$G$4:$G$404),'Bin Analysis and Plots'!$D73)</f>
        <v>0</v>
      </c>
      <c r="K73">
        <f t="shared" si="7"/>
        <v>0</v>
      </c>
      <c r="L73">
        <f t="shared" si="8"/>
        <v>0</v>
      </c>
      <c r="M73">
        <f>L73*Weighting!$V$25</f>
        <v>0</v>
      </c>
    </row>
    <row r="74" spans="1:27">
      <c r="C74" s="41" t="str">
        <f>IF(B74="","",D74)</f>
        <v/>
      </c>
    </row>
    <row r="75" spans="1:27" ht="23.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8" cm="1">
        <f t="array" ref="Z75:Z76">FREQUENCY(IF('Data Transformation'!$B$24:$B$404='Bin Analysis and Plots'!N75,'Data Transformation'!$G$24:$G$404),'Data Transformation'!$U$11)</f>
        <v>0</v>
      </c>
      <c r="AA75" s="78" cm="1">
        <f t="array" ref="AA75:AA76">FREQUENCY(IF('Data Transformation'!$B$24:$B$404='Bin Analysis and Plots'!N75,'Data Transformation'!$G$24:$G$404),'Data Transformation'!$U$12)</f>
        <v>0</v>
      </c>
    </row>
    <row r="76" spans="1:27" ht="21">
      <c r="A76" s="91" t="s">
        <v>64</v>
      </c>
      <c r="B76" s="91"/>
      <c r="C76" s="14" t="s">
        <v>72</v>
      </c>
      <c r="D76" t="s">
        <v>50</v>
      </c>
      <c r="E76" t="s">
        <v>5</v>
      </c>
      <c r="I76" t="s">
        <v>74</v>
      </c>
      <c r="J76" t="s">
        <v>34</v>
      </c>
      <c r="K76" t="s">
        <v>35</v>
      </c>
      <c r="L76" t="s">
        <v>49</v>
      </c>
      <c r="M76" s="14" t="s">
        <v>48</v>
      </c>
      <c r="Z76" s="78">
        <v>0</v>
      </c>
      <c r="AA76" s="78">
        <v>0</v>
      </c>
    </row>
    <row r="77" spans="1:27">
      <c r="C77" s="41" t="str">
        <f>IF(B77="","",D77)</f>
        <v/>
      </c>
      <c r="F77" t="e">
        <f>IF(E77=1,'Data Transformation'!$G$3+0.5*'Data Transformation'!$U$25,IF(E78=1,F78-'Data Transformation'!$U$25,FALSE))</f>
        <v>#NUM!</v>
      </c>
      <c r="G77">
        <f t="array" ref="G77">IF(ISLOGICAL(F77),"",FREQUENCY(IF('Data Transformation'!$B$24:$B$404='Bin Analysis and Plots'!$D$75,'Data Transformation'!$G$24:$G$404),'Bin Analysis and Plots'!F77))</f>
        <v>0</v>
      </c>
      <c r="H77">
        <f>IF(ISLOGICAL(F77),"",G77-G76)</f>
        <v>0</v>
      </c>
    </row>
    <row r="78" spans="1:27">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t="e">
        <f>IF(Weighting!$O$6&gt;0,D78,"")</f>
        <v>#NUM!</v>
      </c>
      <c r="D78" t="e">
        <f>Weighting!$C$6</f>
        <v>#DIV/0!</v>
      </c>
      <c r="E78" t="e">
        <f>Weighting!$E$6</f>
        <v>#NUM!</v>
      </c>
      <c r="F78" t="e">
        <f>IF(E78=1,'Data Transformation'!$G$3+0.5*'Data Transformation'!$U$25,IF(E79=1,F79-'Data Transformation'!$U$25,FALSE))</f>
        <v>#NUM!</v>
      </c>
      <c r="G78">
        <f t="array" ref="G78">IF(ISLOGICAL(F78),"",FREQUENCY(IF('Data Transformation'!$B$24:$B$404='Bin Analysis and Plots'!$D$75,'Data Transformation'!$G$24:$G$404),'Bin Analysis and Plots'!F78))</f>
        <v>0</v>
      </c>
      <c r="H78">
        <f>IF(ISLOGICAL(F78),"",G78-G77)</f>
        <v>0</v>
      </c>
      <c r="I78">
        <f>Weighting!$G$6</f>
        <v>1</v>
      </c>
      <c r="J78">
        <f t="array" ref="J78">FREQUENCY(IF('Data Transformation'!$B$4:$B$404=D75,'Data Transformation'!$G$4:$G$404),'Bin Analysis and Plots'!$D78)</f>
        <v>0</v>
      </c>
      <c r="K78">
        <f>J78-J77</f>
        <v>0</v>
      </c>
      <c r="L78">
        <f>IF(K78=0,0,1)</f>
        <v>0</v>
      </c>
      <c r="M78" t="e">
        <f>L78*Weighting!$V$6</f>
        <v>#NUM!</v>
      </c>
    </row>
    <row r="79" spans="1:27">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t="str">
        <f>IF(Weighting!$O$7&gt;0,D79,"")</f>
        <v/>
      </c>
      <c r="D79" t="e">
        <f>Weighting!$C$7</f>
        <v>#DIV/0!</v>
      </c>
      <c r="E79" t="e">
        <f>Weighting!$E$7</f>
        <v>#NUM!</v>
      </c>
      <c r="F79" t="e">
        <f>IF(E79=1,'Data Transformation'!$G$3+0.5*'Data Transformation'!$U$25,IF(E80=1,F80-'Data Transformation'!$U$25,FALSE))</f>
        <v>#NUM!</v>
      </c>
      <c r="G79">
        <f t="array" ref="G79">IF(ISLOGICAL(F79),"",FREQUENCY(IF('Data Transformation'!$B$24:$B$404='Bin Analysis and Plots'!$D$75,'Data Transformation'!$G$24:$G$404),'Bin Analysis and Plots'!F79))</f>
        <v>0</v>
      </c>
      <c r="H79">
        <f t="shared" ref="H79:H97" si="9">IF(ISLOGICAL(F79),"",G79-G78)</f>
        <v>0</v>
      </c>
      <c r="I79">
        <f>Weighting!$G$7</f>
        <v>0</v>
      </c>
      <c r="J79">
        <f t="array" ref="J79">FREQUENCY(IF('Data Transformation'!$B$4:$B$404=D75,'Data Transformation'!$G$4:$G$404),'Bin Analysis and Plots'!$D79)</f>
        <v>0</v>
      </c>
      <c r="K79">
        <f t="shared" ref="K79:K97" si="10">J79-J78</f>
        <v>0</v>
      </c>
      <c r="L79">
        <f>IF(K79=0,0,1)</f>
        <v>0</v>
      </c>
      <c r="M79">
        <f>L79*Weighting!$V$7</f>
        <v>0</v>
      </c>
    </row>
    <row r="80" spans="1:27">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t="str">
        <f>IF(Weighting!$O$8&gt;0,D80,"")</f>
        <v/>
      </c>
      <c r="D80" t="e">
        <f>Weighting!$C$8</f>
        <v>#DIV/0!</v>
      </c>
      <c r="E80" t="e">
        <f>Weighting!$E$8</f>
        <v>#NUM!</v>
      </c>
      <c r="F80" t="e">
        <f>IF(E80=1,'Data Transformation'!$G$3+0.5*'Data Transformation'!$U$25,IF(E81=1,F81-'Data Transformation'!$U$25,FALSE))</f>
        <v>#NUM!</v>
      </c>
      <c r="G80">
        <f t="array" ref="G80">IF(ISLOGICAL(F80),"",FREQUENCY(IF('Data Transformation'!$B$24:$B$404='Bin Analysis and Plots'!$D$75,'Data Transformation'!$G$24:$G$404),'Bin Analysis and Plots'!F80))</f>
        <v>0</v>
      </c>
      <c r="H80">
        <f t="shared" si="9"/>
        <v>0</v>
      </c>
      <c r="I80">
        <f>Weighting!$G$8</f>
        <v>0</v>
      </c>
      <c r="J80">
        <f t="array" ref="J80">FREQUENCY(IF('Data Transformation'!$B$4:$B$404=D75,'Data Transformation'!$G$4:$G$404),'Bin Analysis and Plots'!$D80)</f>
        <v>0</v>
      </c>
      <c r="K80">
        <f t="shared" si="10"/>
        <v>0</v>
      </c>
      <c r="L80">
        <f t="shared" ref="L80:L97" si="11">IF(K80=0,0,1)</f>
        <v>0</v>
      </c>
      <c r="M80">
        <f>L80*Weighting!$V$8</f>
        <v>0</v>
      </c>
    </row>
    <row r="81" spans="1:29">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t="str">
        <f>IF(Weighting!$O$9&gt;0,D81,"")</f>
        <v/>
      </c>
      <c r="D81" t="e">
        <f>Weighting!$B$9</f>
        <v>#DIV/0!</v>
      </c>
      <c r="E81" t="e">
        <f>Weighting!$E$9</f>
        <v>#NUM!</v>
      </c>
      <c r="F81" t="e">
        <f>IF(E81=1,'Data Transformation'!$G$3+0.5*'Data Transformation'!$U$25,IF(E82=1,F82-'Data Transformation'!$U$25,FALSE))</f>
        <v>#NUM!</v>
      </c>
      <c r="G81">
        <f t="array" ref="G81">IF(ISLOGICAL(F81),"",FREQUENCY(IF('Data Transformation'!$B$24:$B$404='Bin Analysis and Plots'!$D$75,'Data Transformation'!$G$24:$G$404),'Bin Analysis and Plots'!F81))</f>
        <v>0</v>
      </c>
      <c r="H81">
        <f t="shared" si="9"/>
        <v>0</v>
      </c>
      <c r="I81">
        <f>Weighting!$G$9</f>
        <v>0</v>
      </c>
      <c r="J81">
        <f t="array" ref="J81">FREQUENCY(IF('Data Transformation'!$B$4:$B$404=D75,'Data Transformation'!$G$4:$G$404),'Bin Analysis and Plots'!$D81)</f>
        <v>0</v>
      </c>
      <c r="K81">
        <f t="shared" si="10"/>
        <v>0</v>
      </c>
      <c r="L81">
        <f t="shared" si="11"/>
        <v>0</v>
      </c>
      <c r="M81">
        <f>L81*Weighting!$V$9</f>
        <v>0</v>
      </c>
    </row>
    <row r="82" spans="1:29">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t="str">
        <f>IF(Weighting!$O$10&gt;0,D82,"")</f>
        <v/>
      </c>
      <c r="D82" t="e">
        <f>Weighting!$C$10</f>
        <v>#DIV/0!</v>
      </c>
      <c r="E82" t="e">
        <f>Weighting!$E$10</f>
        <v>#NUM!</v>
      </c>
      <c r="F82" t="e">
        <f>IF(E82=1,'Data Transformation'!$G$3+0.5*'Data Transformation'!$U$25,IF(E83=1,F83-'Data Transformation'!$U$25,FALSE))</f>
        <v>#NUM!</v>
      </c>
      <c r="G82">
        <f t="array" ref="G82">IF(ISLOGICAL(F82),"",FREQUENCY(IF('Data Transformation'!$B$24:$B$404='Bin Analysis and Plots'!$D$75,'Data Transformation'!$G$24:$G$404),'Bin Analysis and Plots'!F82))</f>
        <v>0</v>
      </c>
      <c r="H82">
        <f t="shared" si="9"/>
        <v>0</v>
      </c>
      <c r="I82">
        <f>Weighting!$G$10</f>
        <v>0</v>
      </c>
      <c r="J82">
        <f t="array" ref="J82">FREQUENCY(IF('Data Transformation'!$B$4:$B$404=D75,'Data Transformation'!$G$4:$G$404),'Bin Analysis and Plots'!$D82)</f>
        <v>0</v>
      </c>
      <c r="K82">
        <f t="shared" si="10"/>
        <v>0</v>
      </c>
      <c r="L82">
        <f t="shared" si="11"/>
        <v>0</v>
      </c>
      <c r="M82">
        <f>L82*Weighting!$V$10</f>
        <v>0</v>
      </c>
    </row>
    <row r="83" spans="1:29">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t="str">
        <f>IF(Weighting!$O$11&gt;0,D83,"")</f>
        <v/>
      </c>
      <c r="D83" t="e">
        <f>Weighting!$C$11</f>
        <v>#DIV/0!</v>
      </c>
      <c r="E83" t="e">
        <f>Weighting!$E$11</f>
        <v>#NUM!</v>
      </c>
      <c r="F83" t="e">
        <f>IF(E83=1,'Data Transformation'!$G$3+0.5*'Data Transformation'!$U$25,IF(E84=1,F84-'Data Transformation'!$U$25,FALSE))</f>
        <v>#NUM!</v>
      </c>
      <c r="G83">
        <f t="array" ref="G83">IF(ISLOGICAL(F83),"",FREQUENCY(IF('Data Transformation'!$B$24:$B$404='Bin Analysis and Plots'!$D$75,'Data Transformation'!$G$24:$G$404),'Bin Analysis and Plots'!F83))</f>
        <v>0</v>
      </c>
      <c r="H83">
        <f>IF(ISLOGICAL(F83),"",G83-G82)</f>
        <v>0</v>
      </c>
      <c r="I83">
        <f>Weighting!$G$11</f>
        <v>0</v>
      </c>
      <c r="J83">
        <f t="array" ref="J83">FREQUENCY(IF('Data Transformation'!$B$4:$B$404=D75,'Data Transformation'!$G$4:$G$404),'Bin Analysis and Plots'!$D83)</f>
        <v>0</v>
      </c>
      <c r="K83">
        <f t="shared" si="10"/>
        <v>0</v>
      </c>
      <c r="L83">
        <f t="shared" si="11"/>
        <v>0</v>
      </c>
      <c r="M83">
        <f>L83*Weighting!$V$11</f>
        <v>0</v>
      </c>
    </row>
    <row r="84" spans="1:29">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t="str">
        <f>IF(Weighting!$O$12&gt;0,D84,"")</f>
        <v/>
      </c>
      <c r="D84" t="e">
        <f>Weighting!$C$12</f>
        <v>#DIV/0!</v>
      </c>
      <c r="E84" t="e">
        <f>Weighting!$E$12</f>
        <v>#NUM!</v>
      </c>
      <c r="F84" t="e">
        <f>IF(E84=1,'Data Transformation'!$G$3+0.5*'Data Transformation'!$U$25,IF(E85=1,F85-'Data Transformation'!$U$25,FALSE))</f>
        <v>#NUM!</v>
      </c>
      <c r="G84">
        <f t="array" ref="G84">IF(ISLOGICAL(F84),"",FREQUENCY(IF('Data Transformation'!$B$24:$B$404='Bin Analysis and Plots'!$D$75,'Data Transformation'!$G$24:$G$404),'Bin Analysis and Plots'!F84))</f>
        <v>0</v>
      </c>
      <c r="H84">
        <f t="shared" si="9"/>
        <v>0</v>
      </c>
      <c r="I84">
        <f>Weighting!$G$12</f>
        <v>0</v>
      </c>
      <c r="J84">
        <f t="array" ref="J84">FREQUENCY(IF('Data Transformation'!$B$4:$B$404=D75,'Data Transformation'!$G$4:$G$404),'Bin Analysis and Plots'!$D84)</f>
        <v>0</v>
      </c>
      <c r="K84">
        <f t="shared" si="10"/>
        <v>0</v>
      </c>
      <c r="L84">
        <f t="shared" si="11"/>
        <v>0</v>
      </c>
      <c r="M84">
        <f>L84*Weighting!$V$12</f>
        <v>0</v>
      </c>
    </row>
    <row r="85" spans="1:29">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t="str">
        <f>IF(Weighting!$O$13&gt;0,D85,"")</f>
        <v/>
      </c>
      <c r="D85" t="e">
        <f>Weighting!$C$13</f>
        <v>#DIV/0!</v>
      </c>
      <c r="E85" t="e">
        <f>Weighting!$E$13</f>
        <v>#NUM!</v>
      </c>
      <c r="F85" t="e">
        <f>IF(E85=1,'Data Transformation'!$G$3+0.5*'Data Transformation'!$U$25,IF(E86=1,F86-'Data Transformation'!$U$25,FALSE))</f>
        <v>#NUM!</v>
      </c>
      <c r="G85">
        <f t="array" ref="G85">IF(ISLOGICAL(F85),"",FREQUENCY(IF('Data Transformation'!$B$24:$B$404='Bin Analysis and Plots'!$D$75,'Data Transformation'!$G$24:$G$404),'Bin Analysis and Plots'!F85))</f>
        <v>0</v>
      </c>
      <c r="H85">
        <f t="shared" si="9"/>
        <v>0</v>
      </c>
      <c r="I85">
        <f>Weighting!$G$13</f>
        <v>0</v>
      </c>
      <c r="J85">
        <f t="array" ref="J85">FREQUENCY(IF('Data Transformation'!$B$4:$B$404=D75,'Data Transformation'!$G$4:$G$404),'Bin Analysis and Plots'!$D85)</f>
        <v>0</v>
      </c>
      <c r="K85">
        <f t="shared" si="10"/>
        <v>0</v>
      </c>
      <c r="L85">
        <f t="shared" si="11"/>
        <v>0</v>
      </c>
      <c r="M85">
        <f>L85*Weighting!$V$13</f>
        <v>0</v>
      </c>
    </row>
    <row r="86" spans="1:29">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t="str">
        <f>IF(Weighting!$O$14&gt;0,D86,"")</f>
        <v/>
      </c>
      <c r="D86" t="e">
        <f>Weighting!$C$14</f>
        <v>#DIV/0!</v>
      </c>
      <c r="E86" t="e">
        <f>Weighting!$E$14</f>
        <v>#NUM!</v>
      </c>
      <c r="F86" t="e">
        <f>IF(E86=1,'Data Transformation'!$G$3+0.5*'Data Transformation'!$U$25,IF(E87=1,F87-'Data Transformation'!$U$25,FALSE))</f>
        <v>#NUM!</v>
      </c>
      <c r="G86">
        <f t="array" ref="G86">IF(ISLOGICAL(F86),"",FREQUENCY(IF('Data Transformation'!$B$24:$B$404='Bin Analysis and Plots'!$D$75,'Data Transformation'!$G$24:$G$404),'Bin Analysis and Plots'!F86))</f>
        <v>0</v>
      </c>
      <c r="H86">
        <f t="shared" si="9"/>
        <v>0</v>
      </c>
      <c r="I86">
        <f>Weighting!$G$14</f>
        <v>0</v>
      </c>
      <c r="J86">
        <f t="array" ref="J86">FREQUENCY(IF('Data Transformation'!$B$4:$B$404=D75,'Data Transformation'!$G$4:$G$404),'Bin Analysis and Plots'!$D86)</f>
        <v>0</v>
      </c>
      <c r="K86">
        <f t="shared" si="10"/>
        <v>0</v>
      </c>
      <c r="L86">
        <f t="shared" si="11"/>
        <v>0</v>
      </c>
      <c r="M86">
        <f>L86*Weighting!$V$14</f>
        <v>0</v>
      </c>
    </row>
    <row r="87" spans="1:29">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t="str">
        <f>IF(Weighting!$O$15&gt;0,D87,"")</f>
        <v/>
      </c>
      <c r="D87" t="e">
        <f>Weighting!$C$15</f>
        <v>#DIV/0!</v>
      </c>
      <c r="E87" t="e">
        <f>Weighting!$E$15</f>
        <v>#NUM!</v>
      </c>
      <c r="F87" t="e">
        <f>IF(E87=1,'Data Transformation'!$G$3+0.5*'Data Transformation'!$U$25,IF(E88=1,F88-'Data Transformation'!$U$25,FALSE))</f>
        <v>#NUM!</v>
      </c>
      <c r="G87">
        <f t="array" ref="G87">IF(ISLOGICAL(F87),"",FREQUENCY(IF('Data Transformation'!$B$24:$B$404='Bin Analysis and Plots'!$D$75,'Data Transformation'!$G$24:$G$404),'Bin Analysis and Plots'!F87))</f>
        <v>0</v>
      </c>
      <c r="H87">
        <f t="shared" si="9"/>
        <v>0</v>
      </c>
      <c r="I87">
        <f>Weighting!$G$15</f>
        <v>0</v>
      </c>
      <c r="J87">
        <f t="array" ref="J87">FREQUENCY(IF('Data Transformation'!$B$4:$B$404=D75,'Data Transformation'!$G$4:$G$404),'Bin Analysis and Plots'!$D87)</f>
        <v>0</v>
      </c>
      <c r="K87">
        <f t="shared" si="10"/>
        <v>0</v>
      </c>
      <c r="L87">
        <f t="shared" si="11"/>
        <v>0</v>
      </c>
      <c r="M87">
        <f>L87*Weighting!$V$15</f>
        <v>0</v>
      </c>
    </row>
    <row r="88" spans="1:29">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t="e">
        <f>Weighting!$C$16</f>
        <v>#DIV/0!</v>
      </c>
      <c r="E88" t="e">
        <f>Weighting!$E$16</f>
        <v>#NUM!</v>
      </c>
      <c r="F88" t="e">
        <f>IF(E88=1,'Data Transformation'!$G$3+0.5*'Data Transformation'!$U$25,IF(E89=1,F89-'Data Transformation'!$U$25,FALSE))</f>
        <v>#NUM!</v>
      </c>
      <c r="G88">
        <f t="array" ref="G88">IF(ISLOGICAL(F88),"",FREQUENCY(IF('Data Transformation'!$B$24:$B$404='Bin Analysis and Plots'!$D$75,'Data Transformation'!$G$24:$G$404),'Bin Analysis and Plots'!F88))</f>
        <v>0</v>
      </c>
      <c r="H88">
        <f t="shared" si="9"/>
        <v>0</v>
      </c>
      <c r="I88">
        <f>Weighting!$G$16</f>
        <v>0</v>
      </c>
      <c r="J88">
        <f t="array" ref="J88">FREQUENCY(IF('Data Transformation'!$B$4:$B$404=D75,'Data Transformation'!$G$4:$G$404),'Bin Analysis and Plots'!$D88)</f>
        <v>0</v>
      </c>
      <c r="K88">
        <f t="shared" si="10"/>
        <v>0</v>
      </c>
      <c r="L88">
        <f t="shared" si="11"/>
        <v>0</v>
      </c>
      <c r="M88">
        <f>L88*Weighting!$V$16</f>
        <v>0</v>
      </c>
    </row>
    <row r="89" spans="1:29">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t="e">
        <f>Weighting!$C$17</f>
        <v>#DIV/0!</v>
      </c>
      <c r="E89" t="e">
        <f>Weighting!$E$17</f>
        <v>#NUM!</v>
      </c>
      <c r="F89" t="e">
        <f>IF(E89=1,'Data Transformation'!$G$3+0.5*'Data Transformation'!$U$25,IF(E90=1,F90-'Data Transformation'!$U$25,FALSE))</f>
        <v>#NUM!</v>
      </c>
      <c r="G89">
        <f t="array" ref="G89">IF(ISLOGICAL(F89),"",FREQUENCY(IF('Data Transformation'!$B$24:$B$404='Bin Analysis and Plots'!$D$75,'Data Transformation'!$G$24:$G$404),'Bin Analysis and Plots'!F89))</f>
        <v>0</v>
      </c>
      <c r="H89">
        <f t="shared" si="9"/>
        <v>0</v>
      </c>
      <c r="I89">
        <f>Weighting!$G$17</f>
        <v>0</v>
      </c>
      <c r="J89">
        <f t="array" ref="J89">FREQUENCY(IF('Data Transformation'!$B$4:$B$404=D75,'Data Transformation'!$G$4:$G$404),'Bin Analysis and Plots'!$D89)</f>
        <v>0</v>
      </c>
      <c r="K89">
        <f t="shared" si="10"/>
        <v>0</v>
      </c>
      <c r="L89">
        <f t="shared" si="11"/>
        <v>0</v>
      </c>
      <c r="M89">
        <f>L89*Weighting!$V$17</f>
        <v>0</v>
      </c>
    </row>
    <row r="90" spans="1:29">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t="e">
        <f>Weighting!$C$18</f>
        <v>#DIV/0!</v>
      </c>
      <c r="E90" t="e">
        <f>Weighting!$E$18</f>
        <v>#NUM!</v>
      </c>
      <c r="F90" t="e">
        <f>IF(E90=1,'Data Transformation'!$G$3+0.5*'Data Transformation'!$U$25,IF(E91=1,F91-'Data Transformation'!$U$25,FALSE))</f>
        <v>#NUM!</v>
      </c>
      <c r="G90">
        <f t="array" ref="G90">IF(ISLOGICAL(F90),"",FREQUENCY(IF('Data Transformation'!$B$24:$B$404='Bin Analysis and Plots'!$D$75,'Data Transformation'!$G$24:$G$404),'Bin Analysis and Plots'!F90))</f>
        <v>0</v>
      </c>
      <c r="H90">
        <f t="shared" si="9"/>
        <v>0</v>
      </c>
      <c r="I90">
        <f>Weighting!$G$18</f>
        <v>0</v>
      </c>
      <c r="J90">
        <f t="array" ref="J90">FREQUENCY(IF('Data Transformation'!$B$4:$B$404=D75,'Data Transformation'!$G$4:$G$404),'Bin Analysis and Plots'!$D90)</f>
        <v>0</v>
      </c>
      <c r="K90">
        <f t="shared" si="10"/>
        <v>0</v>
      </c>
      <c r="L90">
        <f t="shared" si="11"/>
        <v>0</v>
      </c>
      <c r="M90">
        <f>L90*Weighting!$V$18</f>
        <v>0</v>
      </c>
    </row>
    <row r="91" spans="1:29">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t="e">
        <f>Weighting!$C$19</f>
        <v>#DIV/0!</v>
      </c>
      <c r="E91" t="e">
        <f>Weighting!$E$19</f>
        <v>#NUM!</v>
      </c>
      <c r="F91" t="e">
        <f>IF(E91=1,'Data Transformation'!$G$3+0.5*'Data Transformation'!$U$25,IF(E92=1,F92-'Data Transformation'!$U$25,FALSE))</f>
        <v>#NUM!</v>
      </c>
      <c r="G91">
        <f t="array" ref="G91">IF(ISLOGICAL(F91),"",FREQUENCY(IF('Data Transformation'!$B$24:$B$404='Bin Analysis and Plots'!$D$75,'Data Transformation'!$G$24:$G$404),'Bin Analysis and Plots'!F91))</f>
        <v>0</v>
      </c>
      <c r="H91">
        <f t="shared" si="9"/>
        <v>0</v>
      </c>
      <c r="I91">
        <f>Weighting!$G$19</f>
        <v>0</v>
      </c>
      <c r="J91">
        <f t="array" ref="J91">FREQUENCY(IF('Data Transformation'!$B$4:$B$404=D75,'Data Transformation'!$G$4:$G$404),'Bin Analysis and Plots'!$D91)</f>
        <v>0</v>
      </c>
      <c r="K91">
        <f t="shared" si="10"/>
        <v>0</v>
      </c>
      <c r="L91">
        <f t="shared" si="11"/>
        <v>0</v>
      </c>
      <c r="M91">
        <f>L91*Weighting!$V$19</f>
        <v>0</v>
      </c>
    </row>
    <row r="92" spans="1:29">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t="e">
        <f>Weighting!$C$20</f>
        <v>#DIV/0!</v>
      </c>
      <c r="E92" t="e">
        <f>Weighting!$E$20</f>
        <v>#NUM!</v>
      </c>
      <c r="F92" t="e">
        <f>IF(E92=1,'Data Transformation'!$G$3+0.5*'Data Transformation'!$U$25,IF(E93=1,F93-'Data Transformation'!$U$25,FALSE))</f>
        <v>#NUM!</v>
      </c>
      <c r="G92">
        <f t="array" ref="G92">IF(ISLOGICAL(F92),"",FREQUENCY(IF('Data Transformation'!$B$24:$B$404='Bin Analysis and Plots'!$D$75,'Data Transformation'!$G$24:$G$404),'Bin Analysis and Plots'!F92))</f>
        <v>0</v>
      </c>
      <c r="H92">
        <f t="shared" si="9"/>
        <v>0</v>
      </c>
      <c r="I92">
        <f>Weighting!$G$20</f>
        <v>0</v>
      </c>
      <c r="J92">
        <f t="array" ref="J92">FREQUENCY(IF('Data Transformation'!$B$4:$B$404=D75,'Data Transformation'!$G$4:$G$404),'Bin Analysis and Plots'!$D92)</f>
        <v>0</v>
      </c>
      <c r="K92">
        <f t="shared" si="10"/>
        <v>0</v>
      </c>
      <c r="L92">
        <f t="shared" si="11"/>
        <v>0</v>
      </c>
      <c r="M92">
        <f>L92*Weighting!$V$20</f>
        <v>0</v>
      </c>
    </row>
    <row r="93" spans="1:29">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t="e">
        <f>Weighting!$C$21</f>
        <v>#DIV/0!</v>
      </c>
      <c r="E93" t="e">
        <f>Weighting!$E$21</f>
        <v>#NUM!</v>
      </c>
      <c r="F93" t="e">
        <f>IF(E93=1,'Data Transformation'!$G$3+0.5*'Data Transformation'!$U$25,IF(E94=1,F94-'Data Transformation'!$U$25,FALSE))</f>
        <v>#NUM!</v>
      </c>
      <c r="G93">
        <f t="array" ref="G93">IF(ISLOGICAL(F93),"",FREQUENCY(IF('Data Transformation'!$B$24:$B$404='Bin Analysis and Plots'!$D$75,'Data Transformation'!$G$24:$G$404),'Bin Analysis and Plots'!F93))</f>
        <v>0</v>
      </c>
      <c r="H93">
        <f t="shared" si="9"/>
        <v>0</v>
      </c>
      <c r="I93">
        <f>Weighting!$G$21</f>
        <v>0</v>
      </c>
      <c r="J93">
        <f t="array" ref="J93">FREQUENCY(IF('Data Transformation'!$B$4:$B$404=D75,'Data Transformation'!$G$4:$G$404),'Bin Analysis and Plots'!$D93)</f>
        <v>0</v>
      </c>
      <c r="K93">
        <f t="shared" si="10"/>
        <v>0</v>
      </c>
      <c r="L93">
        <f t="shared" si="11"/>
        <v>0</v>
      </c>
      <c r="M93">
        <f>L93*Weighting!$V$21</f>
        <v>0</v>
      </c>
      <c r="AC93" s="14"/>
    </row>
    <row r="94" spans="1:29">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t="e">
        <f>Weighting!$C$22</f>
        <v>#DIV/0!</v>
      </c>
      <c r="E94" t="e">
        <f>Weighting!$E$22</f>
        <v>#NUM!</v>
      </c>
      <c r="F94" t="e">
        <f>IF(E94=1,'Data Transformation'!$G$3+0.5*'Data Transformation'!$U$25,IF(E95=1,F95-'Data Transformation'!$U$25,FALSE))</f>
        <v>#NUM!</v>
      </c>
      <c r="G94">
        <f t="array" ref="G94">IF(ISLOGICAL(F94),"",FREQUENCY(IF('Data Transformation'!$B$24:$B$404='Bin Analysis and Plots'!$D$75,'Data Transformation'!$G$24:$G$404),'Bin Analysis and Plots'!F94))</f>
        <v>0</v>
      </c>
      <c r="H94">
        <f t="shared" si="9"/>
        <v>0</v>
      </c>
      <c r="I94">
        <f>Weighting!$G$22</f>
        <v>0</v>
      </c>
      <c r="J94">
        <f t="array" ref="J94">FREQUENCY(IF('Data Transformation'!$B$4:$B$404=D75,'Data Transformation'!$G$4:$G$404),'Bin Analysis and Plots'!$D94)</f>
        <v>0</v>
      </c>
      <c r="K94">
        <f t="shared" si="10"/>
        <v>0</v>
      </c>
      <c r="L94">
        <f t="shared" si="11"/>
        <v>0</v>
      </c>
      <c r="M94">
        <f>L94*Weighting!$V$22</f>
        <v>0</v>
      </c>
    </row>
    <row r="95" spans="1:29">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t="e">
        <f>Weighting!$C$23</f>
        <v>#DIV/0!</v>
      </c>
      <c r="E95" t="e">
        <f>Weighting!$E$23</f>
        <v>#NUM!</v>
      </c>
      <c r="F95" t="e">
        <f>IF(E95=1,'Data Transformation'!$G$3+0.5*'Data Transformation'!$U$25,IF(E96=1,F96-'Data Transformation'!$U$25,FALSE))</f>
        <v>#NUM!</v>
      </c>
      <c r="G95">
        <f t="array" ref="G95">IF(ISLOGICAL(F95),"",FREQUENCY(IF('Data Transformation'!$B$24:$B$404='Bin Analysis and Plots'!$D$75,'Data Transformation'!$G$24:$G$404),'Bin Analysis and Plots'!F95))</f>
        <v>0</v>
      </c>
      <c r="H95">
        <f t="shared" si="9"/>
        <v>0</v>
      </c>
      <c r="I95">
        <f>Weighting!$G$23</f>
        <v>0</v>
      </c>
      <c r="J95">
        <f t="array" ref="J95">FREQUENCY(IF('Data Transformation'!$B$4:$B$404=D75,'Data Transformation'!$G$4:$G$404),'Bin Analysis and Plots'!$D95)</f>
        <v>0</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t="e">
        <f>Weighting!$C$24</f>
        <v>#DIV/0!</v>
      </c>
      <c r="E96" t="e">
        <f>Weighting!$E$24</f>
        <v>#NUM!</v>
      </c>
      <c r="F96" t="e">
        <f>IF(E96=1,'Data Transformation'!$G$3+0.5*'Data Transformation'!$U$25,IF(E97=1,F97-'Data Transformation'!$U$25,FALSE))</f>
        <v>#NUM!</v>
      </c>
      <c r="G96">
        <f t="array" ref="G96">IF(ISLOGICAL(F96),"",FREQUENCY(IF('Data Transformation'!$B$24:$B$404='Bin Analysis and Plots'!$D$75,'Data Transformation'!$G$24:$G$404),'Bin Analysis and Plots'!F96))</f>
        <v>0</v>
      </c>
      <c r="H96">
        <f t="shared" si="9"/>
        <v>0</v>
      </c>
      <c r="I96">
        <f>Weighting!$G$24</f>
        <v>0</v>
      </c>
      <c r="J96">
        <f t="array" ref="J96">FREQUENCY(IF('Data Transformation'!$B$4:$B$404=D75,'Data Transformation'!$G$4:$G$404),'Bin Analysis and Plots'!$D96)</f>
        <v>0</v>
      </c>
      <c r="K96">
        <f t="shared" si="10"/>
        <v>0</v>
      </c>
      <c r="L96">
        <f t="shared" si="11"/>
        <v>0</v>
      </c>
      <c r="M96">
        <f>L96*Weighting!$V$24</f>
        <v>0</v>
      </c>
    </row>
    <row r="97" spans="1:27">
      <c r="A97" s="29" t="b">
        <f t="array" ref="A97">IF(ISERROR(INDEX('Data Transformation'!$B$4:$G$450,SMALL(IF('Data Transformation'!$B$4:$B$450='Bin Analysis and Plots'!D75,ROW('Data Transformation'!$B$4:$B$450)),ROW($20:$20))-3,3)),"",INDEX('Data Transformation'!$B$4:$G$450,SMALL(IF('Data Transformation'!$B$4:$B$450='Bin Analysis and Plots'!D75,ROW('Data Transformation'!$B$4:$B$450)),ROW($20:$20))-3,6))</f>
        <v>0</v>
      </c>
      <c r="B97" s="29" t="str">
        <f>IFERROR(SMALL(A78:A97,'Data Transformation'!$L$25),"")</f>
        <v/>
      </c>
      <c r="C97" s="41" t="str">
        <f>IF(Weighting!$O$25&gt;0,D97,"")</f>
        <v/>
      </c>
      <c r="D97" t="e">
        <f>Weighting!$C$25</f>
        <v>#DIV/0!</v>
      </c>
      <c r="E97" t="e">
        <f>Weighting!$E$25</f>
        <v>#NUM!</v>
      </c>
      <c r="F97" t="e">
        <f>IF(E97=1,'Data Transformation'!$G$3+0.5*'Data Transformation'!$U$25,IF(E98=1,F98-'Data Transformation'!$U$25,FALSE))</f>
        <v>#NUM!</v>
      </c>
      <c r="G97">
        <f t="array" ref="G97">IF(ISLOGICAL(F97),"",FREQUENCY(IF('Data Transformation'!$B$24:$B$404='Bin Analysis and Plots'!$D$75,'Data Transformation'!$G$24:$G$404),'Bin Analysis and Plots'!F97))</f>
        <v>0</v>
      </c>
      <c r="H97">
        <f t="shared" si="9"/>
        <v>0</v>
      </c>
      <c r="I97">
        <f>Weighting!$G$25</f>
        <v>0</v>
      </c>
      <c r="J97">
        <f t="array" ref="J97">FREQUENCY(IF('Data Transformation'!$B$4:$B$404=D75,'Data Transformation'!$G$4:$G$404),'Bin Analysis and Plots'!$D97)</f>
        <v>0</v>
      </c>
      <c r="K97">
        <f t="shared" si="10"/>
        <v>0</v>
      </c>
      <c r="L97">
        <f t="shared" si="11"/>
        <v>0</v>
      </c>
      <c r="M97">
        <f>L97*Weighting!$V$25</f>
        <v>0</v>
      </c>
    </row>
    <row r="98" spans="1:27">
      <c r="C98" s="41" t="str">
        <f>IF(B98="","",D98)</f>
        <v/>
      </c>
    </row>
    <row r="99" spans="1:27" ht="23.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1">
      <c r="A100" s="91" t="s">
        <v>64</v>
      </c>
      <c r="B100" s="91"/>
      <c r="C100" s="14" t="s">
        <v>72</v>
      </c>
      <c r="D100" t="s">
        <v>50</v>
      </c>
      <c r="E100" t="s">
        <v>5</v>
      </c>
      <c r="I100" t="s">
        <v>74</v>
      </c>
      <c r="J100" t="s">
        <v>34</v>
      </c>
      <c r="K100" t="s">
        <v>35</v>
      </c>
      <c r="L100" t="s">
        <v>49</v>
      </c>
      <c r="M100" s="14" t="s">
        <v>48</v>
      </c>
      <c r="Z100" s="78">
        <v>0</v>
      </c>
      <c r="AA100" s="78">
        <v>0</v>
      </c>
    </row>
    <row r="101" spans="1:27">
      <c r="C101" s="41" t="str">
        <f>IF(B101="","",D101)</f>
        <v/>
      </c>
      <c r="F101" t="e">
        <f>IF(E101=1,'Data Transformation'!$G$3+0.5*'Data Transformation'!$U$25,IF(E102=1,F102-'Data Transformation'!$U$25,FALSE))</f>
        <v>#NUM!</v>
      </c>
      <c r="G101">
        <f t="array" ref="G101">IF(ISLOGICAL(F101),"",FREQUENCY(IF('Data Transformation'!$B$24:$B$404='Bin Analysis and Plots'!$D$99,'Data Transformation'!$G$24:$G$404),'Bin Analysis and Plots'!F101))</f>
        <v>0</v>
      </c>
      <c r="H101">
        <f>IF(ISLOGICAL(F101),"",G101-G100)</f>
        <v>0</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t="e">
        <f>IF(Weighting!$O$6&gt;0,D102,"")</f>
        <v>#NUM!</v>
      </c>
      <c r="D102" t="e">
        <f>Weighting!$C$6</f>
        <v>#DIV/0!</v>
      </c>
      <c r="E102" t="e">
        <f>Weighting!$E$6</f>
        <v>#NUM!</v>
      </c>
      <c r="F102" t="e">
        <f>IF(E102=1,'Data Transformation'!$G$3+0.5*'Data Transformation'!$U$25,IF(E103=1,F103-'Data Transformation'!$U$25,FALSE))</f>
        <v>#NUM!</v>
      </c>
      <c r="G102">
        <f t="array" ref="G102">IF(ISLOGICAL(F102),"",FREQUENCY(IF('Data Transformation'!$B$24:$B$404='Bin Analysis and Plots'!$D$99,'Data Transformation'!$G$24:$G$404),'Bin Analysis and Plots'!F102))</f>
        <v>0</v>
      </c>
      <c r="H102">
        <f>IF(ISLOGICAL(F102),"",G102-G101)</f>
        <v>0</v>
      </c>
      <c r="I102">
        <f>Weighting!$G$6</f>
        <v>1</v>
      </c>
      <c r="J102">
        <f t="array" ref="J102">FREQUENCY(IF('Data Transformation'!$B$4:$B$404=D99,'Data Transformation'!$G$4:$G$404),'Bin Analysis and Plots'!$D102)</f>
        <v>0</v>
      </c>
      <c r="K102">
        <f>J102-J101</f>
        <v>0</v>
      </c>
      <c r="L102">
        <f>IF(K102=0,0,1)</f>
        <v>0</v>
      </c>
      <c r="M102" t="e">
        <f>L102*Weighting!$V$6</f>
        <v>#NUM!</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t="str">
        <f>IF(Weighting!$O$7&gt;0,D103,"")</f>
        <v/>
      </c>
      <c r="D103" t="e">
        <f>Weighting!$C$7</f>
        <v>#DIV/0!</v>
      </c>
      <c r="E103" t="e">
        <f>Weighting!$E$7</f>
        <v>#NUM!</v>
      </c>
      <c r="F103" t="e">
        <f>IF(E103=1,'Data Transformation'!$G$3+0.5*'Data Transformation'!$U$25,IF(E104=1,F104-'Data Transformation'!$U$25,FALSE))</f>
        <v>#NUM!</v>
      </c>
      <c r="G103">
        <f t="array" ref="G103">IF(ISLOGICAL(F103),"",FREQUENCY(IF('Data Transformation'!$B$24:$B$404='Bin Analysis and Plots'!$D$99,'Data Transformation'!$G$24:$G$404),'Bin Analysis and Plots'!F103))</f>
        <v>0</v>
      </c>
      <c r="H103">
        <f t="shared" ref="H103:H121" si="12">IF(ISLOGICAL(F103),"",G103-G102)</f>
        <v>0</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t="str">
        <f>IF(Weighting!$O$8&gt;0,D104,"")</f>
        <v/>
      </c>
      <c r="D104" t="e">
        <f>Weighting!$C$8</f>
        <v>#DIV/0!</v>
      </c>
      <c r="E104" t="e">
        <f>Weighting!$E$8</f>
        <v>#NUM!</v>
      </c>
      <c r="F104" t="e">
        <f>IF(E104=1,'Data Transformation'!$G$3+0.5*'Data Transformation'!$U$25,IF(E105=1,F105-'Data Transformation'!$U$25,FALSE))</f>
        <v>#NUM!</v>
      </c>
      <c r="G104">
        <f t="array" ref="G104">IF(ISLOGICAL(F104),"",FREQUENCY(IF('Data Transformation'!$B$24:$B$404='Bin Analysis and Plots'!$D$99,'Data Transformation'!$G$24:$G$404),'Bin Analysis and Plots'!F104))</f>
        <v>0</v>
      </c>
      <c r="H104">
        <f t="shared" si="12"/>
        <v>0</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t="str">
        <f>IF(Weighting!$O$9&gt;0,D105,"")</f>
        <v/>
      </c>
      <c r="D105" t="e">
        <f>Weighting!$B$9</f>
        <v>#DIV/0!</v>
      </c>
      <c r="E105" t="e">
        <f>Weighting!$E$9</f>
        <v>#NUM!</v>
      </c>
      <c r="F105" t="e">
        <f>IF(E105=1,'Data Transformation'!$G$3+0.5*'Data Transformation'!$U$25,IF(E106=1,F106-'Data Transformation'!$U$25,FALSE))</f>
        <v>#NUM!</v>
      </c>
      <c r="G105">
        <f t="array" ref="G105">IF(ISLOGICAL(F105),"",FREQUENCY(IF('Data Transformation'!$B$24:$B$404='Bin Analysis and Plots'!$D$99,'Data Transformation'!$G$24:$G$404),'Bin Analysis and Plots'!F105))</f>
        <v>0</v>
      </c>
      <c r="H105">
        <f t="shared" si="12"/>
        <v>0</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t="str">
        <f>IF(Weighting!$O$10&gt;0,D106,"")</f>
        <v/>
      </c>
      <c r="D106" t="e">
        <f>Weighting!$C$10</f>
        <v>#DIV/0!</v>
      </c>
      <c r="E106" t="e">
        <f>Weighting!$E$10</f>
        <v>#NUM!</v>
      </c>
      <c r="F106" t="e">
        <f>IF(E106=1,'Data Transformation'!$G$3+0.5*'Data Transformation'!$U$25,IF(E107=1,F107-'Data Transformation'!$U$25,FALSE))</f>
        <v>#NUM!</v>
      </c>
      <c r="G106">
        <f t="array" ref="G106">IF(ISLOGICAL(F106),"",FREQUENCY(IF('Data Transformation'!$B$24:$B$404='Bin Analysis and Plots'!$D$99,'Data Transformation'!$G$24:$G$404),'Bin Analysis and Plots'!F106))</f>
        <v>0</v>
      </c>
      <c r="H106">
        <f t="shared" si="12"/>
        <v>0</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t="str">
        <f>IF(Weighting!$O$11&gt;0,D107,"")</f>
        <v/>
      </c>
      <c r="D107" t="e">
        <f>Weighting!$C$11</f>
        <v>#DIV/0!</v>
      </c>
      <c r="E107" t="e">
        <f>Weighting!$E$11</f>
        <v>#NUM!</v>
      </c>
      <c r="F107" t="e">
        <f>IF(E107=1,'Data Transformation'!$G$3+0.5*'Data Transformation'!$U$25,IF(E108=1,F108-'Data Transformation'!$U$25,FALSE))</f>
        <v>#NUM!</v>
      </c>
      <c r="G107">
        <f t="array" ref="G107">IF(ISLOGICAL(F107),"",FREQUENCY(IF('Data Transformation'!$B$24:$B$404='Bin Analysis and Plots'!$D$99,'Data Transformation'!$G$24:$G$404),'Bin Analysis and Plots'!F107))</f>
        <v>0</v>
      </c>
      <c r="H107">
        <f t="shared" si="12"/>
        <v>0</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t="str">
        <f>IF(Weighting!$O$12&gt;0,D108,"")</f>
        <v/>
      </c>
      <c r="D108" t="e">
        <f>Weighting!$C$12</f>
        <v>#DIV/0!</v>
      </c>
      <c r="E108" t="e">
        <f>Weighting!$E$12</f>
        <v>#NUM!</v>
      </c>
      <c r="F108" t="e">
        <f>IF(E108=1,'Data Transformation'!$G$3+0.5*'Data Transformation'!$U$25,IF(E109=1,F109-'Data Transformation'!$U$25,FALSE))</f>
        <v>#NUM!</v>
      </c>
      <c r="G108">
        <f t="array" ref="G108">IF(ISLOGICAL(F108),"",FREQUENCY(IF('Data Transformation'!$B$24:$B$404='Bin Analysis and Plots'!$D$99,'Data Transformation'!$G$24:$G$404),'Bin Analysis and Plots'!F108))</f>
        <v>0</v>
      </c>
      <c r="H108">
        <f t="shared" si="12"/>
        <v>0</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t="str">
        <f>IF(Weighting!$O$13&gt;0,D109,"")</f>
        <v/>
      </c>
      <c r="D109" t="e">
        <f>Weighting!$C$13</f>
        <v>#DIV/0!</v>
      </c>
      <c r="E109" t="e">
        <f>Weighting!$E$13</f>
        <v>#NUM!</v>
      </c>
      <c r="F109" t="e">
        <f>IF(E109=1,'Data Transformation'!$G$3+0.5*'Data Transformation'!$U$25,IF(E110=1,F110-'Data Transformation'!$U$25,FALSE))</f>
        <v>#NUM!</v>
      </c>
      <c r="G109">
        <f t="array" ref="G109">IF(ISLOGICAL(F109),"",FREQUENCY(IF('Data Transformation'!$B$24:$B$404='Bin Analysis and Plots'!$D$99,'Data Transformation'!$G$24:$G$404),'Bin Analysis and Plots'!F109))</f>
        <v>0</v>
      </c>
      <c r="H109">
        <f t="shared" si="12"/>
        <v>0</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t="str">
        <f>IF(Weighting!$O$14&gt;0,D110,"")</f>
        <v/>
      </c>
      <c r="D110" t="e">
        <f>Weighting!$C$14</f>
        <v>#DIV/0!</v>
      </c>
      <c r="E110" t="e">
        <f>Weighting!$E$14</f>
        <v>#NUM!</v>
      </c>
      <c r="F110" t="e">
        <f>IF(E110=1,'Data Transformation'!$G$3+0.5*'Data Transformation'!$U$25,IF(E111=1,F111-'Data Transformation'!$U$25,FALSE))</f>
        <v>#NUM!</v>
      </c>
      <c r="G110">
        <f t="array" ref="G110">IF(ISLOGICAL(F110),"",FREQUENCY(IF('Data Transformation'!$B$24:$B$404='Bin Analysis and Plots'!$D$99,'Data Transformation'!$G$24:$G$404),'Bin Analysis and Plots'!F110))</f>
        <v>0</v>
      </c>
      <c r="H110">
        <f t="shared" si="12"/>
        <v>0</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t="str">
        <f>IF(Weighting!$O$15&gt;0,D111,"")</f>
        <v/>
      </c>
      <c r="D111" t="e">
        <f>Weighting!$C$15</f>
        <v>#DIV/0!</v>
      </c>
      <c r="E111" t="e">
        <f>Weighting!$E$15</f>
        <v>#NUM!</v>
      </c>
      <c r="F111" t="e">
        <f>IF(E111=1,'Data Transformation'!$G$3+0.5*'Data Transformation'!$U$25,IF(E112=1,F112-'Data Transformation'!$U$25,FALSE))</f>
        <v>#NUM!</v>
      </c>
      <c r="G111">
        <f t="array" ref="G111">IF(ISLOGICAL(F111),"",FREQUENCY(IF('Data Transformation'!$B$24:$B$404='Bin Analysis and Plots'!$D$99,'Data Transformation'!$G$24:$G$404),'Bin Analysis and Plots'!F111))</f>
        <v>0</v>
      </c>
      <c r="H111">
        <f t="shared" si="12"/>
        <v>0</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t="e">
        <f>Weighting!$C$16</f>
        <v>#DIV/0!</v>
      </c>
      <c r="E112" t="e">
        <f>Weighting!$E$16</f>
        <v>#NUM!</v>
      </c>
      <c r="F112" t="e">
        <f>IF(E112=1,'Data Transformation'!$G$3+0.5*'Data Transformation'!$U$25,IF(E113=1,F113-'Data Transformation'!$U$25,FALSE))</f>
        <v>#NUM!</v>
      </c>
      <c r="G112">
        <f t="array" ref="G112">IF(ISLOGICAL(F112),"",FREQUENCY(IF('Data Transformation'!$B$24:$B$404='Bin Analysis and Plots'!$D$99,'Data Transformation'!$G$24:$G$404),'Bin Analysis and Plots'!F112))</f>
        <v>0</v>
      </c>
      <c r="H112">
        <f t="shared" si="12"/>
        <v>0</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t="e">
        <f>Weighting!$C$17</f>
        <v>#DIV/0!</v>
      </c>
      <c r="E113" t="e">
        <f>Weighting!$E$17</f>
        <v>#NUM!</v>
      </c>
      <c r="F113" t="e">
        <f>IF(E113=1,'Data Transformation'!$G$3+0.5*'Data Transformation'!$U$25,IF(E114=1,F114-'Data Transformation'!$U$25,FALSE))</f>
        <v>#NUM!</v>
      </c>
      <c r="G113">
        <f t="array" ref="G113">IF(ISLOGICAL(F113),"",FREQUENCY(IF('Data Transformation'!$B$24:$B$404='Bin Analysis and Plots'!$D$99,'Data Transformation'!$G$24:$G$404),'Bin Analysis and Plots'!F113))</f>
        <v>0</v>
      </c>
      <c r="H113">
        <f t="shared" si="12"/>
        <v>0</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t="e">
        <f>Weighting!$C$18</f>
        <v>#DIV/0!</v>
      </c>
      <c r="E114" t="e">
        <f>Weighting!$E$18</f>
        <v>#NUM!</v>
      </c>
      <c r="F114" t="e">
        <f>IF(E114=1,'Data Transformation'!$G$3+0.5*'Data Transformation'!$U$25,IF(E115=1,F115-'Data Transformation'!$U$25,FALSE))</f>
        <v>#NUM!</v>
      </c>
      <c r="G114">
        <f t="array" ref="G114">IF(ISLOGICAL(F114),"",FREQUENCY(IF('Data Transformation'!$B$24:$B$404='Bin Analysis and Plots'!$D$99,'Data Transformation'!$G$24:$G$404),'Bin Analysis and Plots'!F114))</f>
        <v>0</v>
      </c>
      <c r="H114">
        <f t="shared" si="12"/>
        <v>0</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t="e">
        <f>Weighting!$C$19</f>
        <v>#DIV/0!</v>
      </c>
      <c r="E115" t="e">
        <f>Weighting!$E$19</f>
        <v>#NUM!</v>
      </c>
      <c r="F115" t="e">
        <f>IF(E115=1,'Data Transformation'!$G$3+0.5*'Data Transformation'!$U$25,IF(E116=1,F116-'Data Transformation'!$U$25,FALSE))</f>
        <v>#NUM!</v>
      </c>
      <c r="G115">
        <f t="array" ref="G115">IF(ISLOGICAL(F115),"",FREQUENCY(IF('Data Transformation'!$B$24:$B$404='Bin Analysis and Plots'!$D$99,'Data Transformation'!$G$24:$G$404),'Bin Analysis and Plots'!F115))</f>
        <v>0</v>
      </c>
      <c r="H115">
        <f t="shared" si="12"/>
        <v>0</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t="e">
        <f>Weighting!$C$20</f>
        <v>#DIV/0!</v>
      </c>
      <c r="E116" t="e">
        <f>Weighting!$E$20</f>
        <v>#NUM!</v>
      </c>
      <c r="F116" t="e">
        <f>IF(E116=1,'Data Transformation'!$G$3+0.5*'Data Transformation'!$U$25,IF(E117=1,F117-'Data Transformation'!$U$25,FALSE))</f>
        <v>#NUM!</v>
      </c>
      <c r="G116">
        <f t="array" ref="G116">IF(ISLOGICAL(F116),"",FREQUENCY(IF('Data Transformation'!$B$24:$B$404='Bin Analysis and Plots'!$D$99,'Data Transformation'!$G$24:$G$404),'Bin Analysis and Plots'!F116))</f>
        <v>0</v>
      </c>
      <c r="H116">
        <f t="shared" si="12"/>
        <v>0</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t="e">
        <f>Weighting!$C$21</f>
        <v>#DIV/0!</v>
      </c>
      <c r="E117" t="e">
        <f>Weighting!$E$21</f>
        <v>#NUM!</v>
      </c>
      <c r="F117" t="e">
        <f>IF(E117=1,'Data Transformation'!$G$3+0.5*'Data Transformation'!$U$25,IF(E118=1,F118-'Data Transformation'!$U$25,FALSE))</f>
        <v>#NUM!</v>
      </c>
      <c r="G117">
        <f t="array" ref="G117">IF(ISLOGICAL(F117),"",FREQUENCY(IF('Data Transformation'!$B$24:$B$404='Bin Analysis and Plots'!$D$99,'Data Transformation'!$G$24:$G$404),'Bin Analysis and Plots'!F117))</f>
        <v>0</v>
      </c>
      <c r="H117">
        <f t="shared" si="12"/>
        <v>0</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t="e">
        <f>Weighting!$C$22</f>
        <v>#DIV/0!</v>
      </c>
      <c r="E118" t="e">
        <f>Weighting!$E$22</f>
        <v>#NUM!</v>
      </c>
      <c r="F118" t="e">
        <f>IF(E118=1,'Data Transformation'!$G$3+0.5*'Data Transformation'!$U$25,IF(E119=1,F119-'Data Transformation'!$U$25,FALSE))</f>
        <v>#NUM!</v>
      </c>
      <c r="G118">
        <f t="array" ref="G118">IF(ISLOGICAL(F118),"",FREQUENCY(IF('Data Transformation'!$B$24:$B$404='Bin Analysis and Plots'!$D$99,'Data Transformation'!$G$24:$G$404),'Bin Analysis and Plots'!F118))</f>
        <v>0</v>
      </c>
      <c r="H118">
        <f t="shared" si="12"/>
        <v>0</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t="e">
        <f>Weighting!$C$23</f>
        <v>#DIV/0!</v>
      </c>
      <c r="E119" t="e">
        <f>Weighting!$E$23</f>
        <v>#NUM!</v>
      </c>
      <c r="F119" t="e">
        <f>IF(E119=1,'Data Transformation'!$G$3+0.5*'Data Transformation'!$U$25,IF(E120=1,F120-'Data Transformation'!$U$25,FALSE))</f>
        <v>#NUM!</v>
      </c>
      <c r="G119">
        <f t="array" ref="G119">IF(ISLOGICAL(F119),"",FREQUENCY(IF('Data Transformation'!$B$24:$B$404='Bin Analysis and Plots'!$D$99,'Data Transformation'!$G$24:$G$404),'Bin Analysis and Plots'!F119))</f>
        <v>0</v>
      </c>
      <c r="H119">
        <f t="shared" si="12"/>
        <v>0</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t="e">
        <f>Weighting!$C$24</f>
        <v>#DIV/0!</v>
      </c>
      <c r="E120" t="e">
        <f>Weighting!$E$24</f>
        <v>#NUM!</v>
      </c>
      <c r="F120" t="e">
        <f>IF(E120=1,'Data Transformation'!$G$3+0.5*'Data Transformation'!$U$25,IF(E121=1,F121-'Data Transformation'!$U$25,FALSE))</f>
        <v>#NUM!</v>
      </c>
      <c r="G120">
        <f t="array" ref="G120">IF(ISLOGICAL(F120),"",FREQUENCY(IF('Data Transformation'!$B$24:$B$404='Bin Analysis and Plots'!$D$99,'Data Transformation'!$G$24:$G$404),'Bin Analysis and Plots'!F120))</f>
        <v>0</v>
      </c>
      <c r="H120">
        <f t="shared" si="12"/>
        <v>0</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b">
        <f t="array" ref="A121">IF(ISERROR(INDEX('Data Transformation'!$B$4:$G$450,SMALL(IF('Data Transformation'!$B$4:$B$450='Bin Analysis and Plots'!D99,ROW('Data Transformation'!$B$4:$B$450)),ROW($20:$20))-3,3)),"",INDEX('Data Transformation'!$B$4:$G$450,SMALL(IF('Data Transformation'!$B$4:$B$450='Bin Analysis and Plots'!D99,ROW('Data Transformation'!$B$4:$B$450)),ROW($20:$20))-3,6))</f>
        <v>0</v>
      </c>
      <c r="B121" s="29" t="str">
        <f>IFERROR(SMALL(A102:A121,'Data Transformation'!$L$25),"")</f>
        <v/>
      </c>
      <c r="C121" s="41" t="str">
        <f>IF(Weighting!$O$25&gt;0,D121,"")</f>
        <v/>
      </c>
      <c r="D121" t="e">
        <f>Weighting!$C$25</f>
        <v>#DIV/0!</v>
      </c>
      <c r="E121" t="e">
        <f>Weighting!$E$25</f>
        <v>#NUM!</v>
      </c>
      <c r="F121" t="e">
        <f>IF(E121=1,'Data Transformation'!$G$3+0.5*'Data Transformation'!$U$25,IF(E122=1,F122-'Data Transformation'!$U$25,FALSE))</f>
        <v>#NUM!</v>
      </c>
      <c r="G121">
        <f t="array" ref="G121">IF(ISLOGICAL(F121),"",FREQUENCY(IF('Data Transformation'!$B$24:$B$404='Bin Analysis and Plots'!$D$99,'Data Transformation'!$G$24:$G$404),'Bin Analysis and Plots'!F121))</f>
        <v>0</v>
      </c>
      <c r="H121">
        <f t="shared" si="12"/>
        <v>0</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1">
      <c r="A124" s="91" t="s">
        <v>64</v>
      </c>
      <c r="B124" s="91"/>
      <c r="C124" s="14" t="s">
        <v>72</v>
      </c>
      <c r="D124" t="s">
        <v>50</v>
      </c>
      <c r="E124" t="s">
        <v>5</v>
      </c>
      <c r="I124" t="s">
        <v>74</v>
      </c>
      <c r="J124" t="s">
        <v>34</v>
      </c>
      <c r="K124" t="s">
        <v>35</v>
      </c>
      <c r="L124" t="s">
        <v>49</v>
      </c>
      <c r="M124" s="14" t="s">
        <v>48</v>
      </c>
      <c r="Z124" s="78">
        <v>0</v>
      </c>
      <c r="AA124" s="78">
        <v>0</v>
      </c>
    </row>
    <row r="125" spans="1:27">
      <c r="C125" s="41" t="str">
        <f>IF(B125="","",D125)</f>
        <v/>
      </c>
      <c r="F125" t="e">
        <f>IF(E125=1,'Data Transformation'!$G$3+0.5*'Data Transformation'!$U$25,IF(E126=1,F126-'Data Transformation'!$U$25,FALSE))</f>
        <v>#NUM!</v>
      </c>
      <c r="G125">
        <f t="array" ref="G125">IF(ISLOGICAL(F125),"",FREQUENCY(IF('Data Transformation'!$B$24:$B$404='Bin Analysis and Plots'!$D$123,'Data Transformation'!$G$24:$G$404),'Bin Analysis and Plots'!F125))</f>
        <v>0</v>
      </c>
      <c r="H125">
        <f>IF(ISLOGICAL(F125),"",G125-G124)</f>
        <v>0</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t="e">
        <f>IF(Weighting!$O$6&gt;0,D126,"")</f>
        <v>#NUM!</v>
      </c>
      <c r="D126" t="e">
        <f>Weighting!$C$6</f>
        <v>#DIV/0!</v>
      </c>
      <c r="E126" t="e">
        <f>Weighting!$E$6</f>
        <v>#NUM!</v>
      </c>
      <c r="F126" t="e">
        <f>IF(E126=1,'Data Transformation'!$G$3+0.5*'Data Transformation'!$U$25,IF(E127=1,F127-'Data Transformation'!$U$25,FALSE))</f>
        <v>#NUM!</v>
      </c>
      <c r="G126">
        <f t="array" ref="G126">IF(ISLOGICAL(F126),"",FREQUENCY(IF('Data Transformation'!$B$24:$B$404='Bin Analysis and Plots'!$D$123,'Data Transformation'!$G$24:$G$404),'Bin Analysis and Plots'!F126))</f>
        <v>0</v>
      </c>
      <c r="H126">
        <f>IF(ISLOGICAL(F126),"",G126-G125)</f>
        <v>0</v>
      </c>
      <c r="I126">
        <f>Weighting!$G$6</f>
        <v>1</v>
      </c>
      <c r="J126">
        <f t="array" ref="J126">FREQUENCY(IF('Data Transformation'!$B$4:$B$404=D123,'Data Transformation'!$G$4:$G$404),'Bin Analysis and Plots'!$D126)</f>
        <v>0</v>
      </c>
      <c r="K126">
        <f>J126-J125</f>
        <v>0</v>
      </c>
      <c r="L126">
        <f>IF(K126=0,0,1)</f>
        <v>0</v>
      </c>
      <c r="M126" t="e">
        <f>L126*Weighting!$V$6</f>
        <v>#NUM!</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t="str">
        <f>IF(Weighting!$O$7&gt;0,D127,"")</f>
        <v/>
      </c>
      <c r="D127" t="e">
        <f>Weighting!$C$7</f>
        <v>#DIV/0!</v>
      </c>
      <c r="E127" t="e">
        <f>Weighting!$E$7</f>
        <v>#NUM!</v>
      </c>
      <c r="F127" t="e">
        <f>IF(E127=1,'Data Transformation'!$G$3+0.5*'Data Transformation'!$U$25,IF(E128=1,F128-'Data Transformation'!$U$25,FALSE))</f>
        <v>#NUM!</v>
      </c>
      <c r="G127">
        <f t="array" ref="G127">IF(ISLOGICAL(F127),"",FREQUENCY(IF('Data Transformation'!$B$24:$B$404='Bin Analysis and Plots'!$D$123,'Data Transformation'!$G$24:$G$404),'Bin Analysis and Plots'!F127))</f>
        <v>0</v>
      </c>
      <c r="H127">
        <f t="shared" ref="H127:H145" si="15">IF(ISLOGICAL(F127),"",G127-G126)</f>
        <v>0</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t="str">
        <f>IF(Weighting!$O$8&gt;0,D128,"")</f>
        <v/>
      </c>
      <c r="D128" t="e">
        <f>Weighting!$C$8</f>
        <v>#DIV/0!</v>
      </c>
      <c r="E128" t="e">
        <f>Weighting!$E$8</f>
        <v>#NUM!</v>
      </c>
      <c r="F128" t="e">
        <f>IF(E128=1,'Data Transformation'!$G$3+0.5*'Data Transformation'!$U$25,IF(E129=1,F129-'Data Transformation'!$U$25,FALSE))</f>
        <v>#NUM!</v>
      </c>
      <c r="G128">
        <f t="array" ref="G128">IF(ISLOGICAL(F128),"",FREQUENCY(IF('Data Transformation'!$B$24:$B$404='Bin Analysis and Plots'!$D$123,'Data Transformation'!$G$24:$G$404),'Bin Analysis and Plots'!F128))</f>
        <v>0</v>
      </c>
      <c r="H128">
        <f t="shared" si="15"/>
        <v>0</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t="str">
        <f>IF(Weighting!$O$9&gt;0,D129,"")</f>
        <v/>
      </c>
      <c r="D129" t="e">
        <f>Weighting!$B$9</f>
        <v>#DIV/0!</v>
      </c>
      <c r="E129" t="e">
        <f>Weighting!$E$9</f>
        <v>#NUM!</v>
      </c>
      <c r="F129" t="e">
        <f>IF(E129=1,'Data Transformation'!$G$3+0.5*'Data Transformation'!$U$25,IF(E130=1,F130-'Data Transformation'!$U$25,FALSE))</f>
        <v>#NUM!</v>
      </c>
      <c r="G129">
        <f t="array" ref="G129">IF(ISLOGICAL(F129),"",FREQUENCY(IF('Data Transformation'!$B$24:$B$404='Bin Analysis and Plots'!$D$123,'Data Transformation'!$G$24:$G$404),'Bin Analysis and Plots'!F129))</f>
        <v>0</v>
      </c>
      <c r="H129">
        <f t="shared" si="15"/>
        <v>0</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t="str">
        <f>IF(Weighting!$O$10&gt;0,D130,"")</f>
        <v/>
      </c>
      <c r="D130" t="e">
        <f>Weighting!$C$10</f>
        <v>#DIV/0!</v>
      </c>
      <c r="E130" t="e">
        <f>Weighting!$E$10</f>
        <v>#NUM!</v>
      </c>
      <c r="F130" t="e">
        <f>IF(E130=1,'Data Transformation'!$G$3+0.5*'Data Transformation'!$U$25,IF(E131=1,F131-'Data Transformation'!$U$25,FALSE))</f>
        <v>#NUM!</v>
      </c>
      <c r="G130">
        <f t="array" ref="G130">IF(ISLOGICAL(F130),"",FREQUENCY(IF('Data Transformation'!$B$24:$B$404='Bin Analysis and Plots'!$D$123,'Data Transformation'!$G$24:$G$404),'Bin Analysis and Plots'!F130))</f>
        <v>0</v>
      </c>
      <c r="H130">
        <f t="shared" si="15"/>
        <v>0</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t="str">
        <f>IF(Weighting!$O$11&gt;0,D131,"")</f>
        <v/>
      </c>
      <c r="D131" t="e">
        <f>Weighting!$C$11</f>
        <v>#DIV/0!</v>
      </c>
      <c r="E131" t="e">
        <f>Weighting!$E$11</f>
        <v>#NUM!</v>
      </c>
      <c r="F131" t="e">
        <f>IF(E131=1,'Data Transformation'!$G$3+0.5*'Data Transformation'!$U$25,IF(E132=1,F132-'Data Transformation'!$U$25,FALSE))</f>
        <v>#NUM!</v>
      </c>
      <c r="G131">
        <f t="array" ref="G131">IF(ISLOGICAL(F131),"",FREQUENCY(IF('Data Transformation'!$B$24:$B$404='Bin Analysis and Plots'!$D$123,'Data Transformation'!$G$24:$G$404),'Bin Analysis and Plots'!F131))</f>
        <v>0</v>
      </c>
      <c r="H131">
        <f t="shared" si="15"/>
        <v>0</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t="str">
        <f>IF(Weighting!$O$12&gt;0,D132,"")</f>
        <v/>
      </c>
      <c r="D132" t="e">
        <f>Weighting!$C$12</f>
        <v>#DIV/0!</v>
      </c>
      <c r="E132" t="e">
        <f>Weighting!$E$12</f>
        <v>#NUM!</v>
      </c>
      <c r="F132" t="e">
        <f>IF(E132=1,'Data Transformation'!$G$3+0.5*'Data Transformation'!$U$25,IF(E133=1,F133-'Data Transformation'!$U$25,FALSE))</f>
        <v>#NUM!</v>
      </c>
      <c r="G132">
        <f t="array" ref="G132">IF(ISLOGICAL(F132),"",FREQUENCY(IF('Data Transformation'!$B$24:$B$404='Bin Analysis and Plots'!$D$123,'Data Transformation'!$G$24:$G$404),'Bin Analysis and Plots'!F132))</f>
        <v>0</v>
      </c>
      <c r="H132">
        <f t="shared" si="15"/>
        <v>0</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t="str">
        <f>IF(Weighting!$O$13&gt;0,D133,"")</f>
        <v/>
      </c>
      <c r="D133" t="e">
        <f>Weighting!$C$13</f>
        <v>#DIV/0!</v>
      </c>
      <c r="E133" t="e">
        <f>Weighting!$E$13</f>
        <v>#NUM!</v>
      </c>
      <c r="F133" t="e">
        <f>IF(E133=1,'Data Transformation'!$G$3+0.5*'Data Transformation'!$U$25,IF(E134=1,F134-'Data Transformation'!$U$25,FALSE))</f>
        <v>#NUM!</v>
      </c>
      <c r="G133">
        <f t="array" ref="G133">IF(ISLOGICAL(F133),"",FREQUENCY(IF('Data Transformation'!$B$24:$B$404='Bin Analysis and Plots'!$D$123,'Data Transformation'!$G$24:$G$404),'Bin Analysis and Plots'!F133))</f>
        <v>0</v>
      </c>
      <c r="H133">
        <f t="shared" si="15"/>
        <v>0</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t="str">
        <f>IF(Weighting!$O$14&gt;0,D134,"")</f>
        <v/>
      </c>
      <c r="D134" t="e">
        <f>Weighting!$C$14</f>
        <v>#DIV/0!</v>
      </c>
      <c r="E134" t="e">
        <f>Weighting!$E$14</f>
        <v>#NUM!</v>
      </c>
      <c r="F134" t="e">
        <f>IF(E134=1,'Data Transformation'!$G$3+0.5*'Data Transformation'!$U$25,IF(E135=1,F135-'Data Transformation'!$U$25,FALSE))</f>
        <v>#NUM!</v>
      </c>
      <c r="G134">
        <f t="array" ref="G134">IF(ISLOGICAL(F134),"",FREQUENCY(IF('Data Transformation'!$B$24:$B$404='Bin Analysis and Plots'!$D$123,'Data Transformation'!$G$24:$G$404),'Bin Analysis and Plots'!F134))</f>
        <v>0</v>
      </c>
      <c r="H134">
        <f t="shared" si="15"/>
        <v>0</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t="str">
        <f>IF(Weighting!$O$15&gt;0,D135,"")</f>
        <v/>
      </c>
      <c r="D135" t="e">
        <f>Weighting!$C$15</f>
        <v>#DIV/0!</v>
      </c>
      <c r="E135" t="e">
        <f>Weighting!$E$15</f>
        <v>#NUM!</v>
      </c>
      <c r="F135" t="e">
        <f>IF(E135=1,'Data Transformation'!$G$3+0.5*'Data Transformation'!$U$25,IF(E136=1,F136-'Data Transformation'!$U$25,FALSE))</f>
        <v>#NUM!</v>
      </c>
      <c r="G135">
        <f t="array" ref="G135">IF(ISLOGICAL(F135),"",FREQUENCY(IF('Data Transformation'!$B$24:$B$404='Bin Analysis and Plots'!$D$123,'Data Transformation'!$G$24:$G$404),'Bin Analysis and Plots'!F135))</f>
        <v>0</v>
      </c>
      <c r="H135">
        <f t="shared" si="15"/>
        <v>0</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t="e">
        <f>Weighting!$C$16</f>
        <v>#DIV/0!</v>
      </c>
      <c r="E136" t="e">
        <f>Weighting!$E$16</f>
        <v>#NUM!</v>
      </c>
      <c r="F136" t="e">
        <f>IF(E136=1,'Data Transformation'!$G$3+0.5*'Data Transformation'!$U$25,IF(E137=1,F137-'Data Transformation'!$U$25,FALSE))</f>
        <v>#NUM!</v>
      </c>
      <c r="G136">
        <f t="array" ref="G136">IF(ISLOGICAL(F136),"",FREQUENCY(IF('Data Transformation'!$B$24:$B$404='Bin Analysis and Plots'!$D$123,'Data Transformation'!$G$24:$G$404),'Bin Analysis and Plots'!F136))</f>
        <v>0</v>
      </c>
      <c r="H136">
        <f t="shared" si="15"/>
        <v>0</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t="e">
        <f>Weighting!$C$17</f>
        <v>#DIV/0!</v>
      </c>
      <c r="E137" t="e">
        <f>Weighting!$E$17</f>
        <v>#NUM!</v>
      </c>
      <c r="F137" t="e">
        <f>IF(E137=1,'Data Transformation'!$G$3+0.5*'Data Transformation'!$U$25,IF(E138=1,F138-'Data Transformation'!$U$25,FALSE))</f>
        <v>#NUM!</v>
      </c>
      <c r="G137">
        <f t="array" ref="G137">IF(ISLOGICAL(F137),"",FREQUENCY(IF('Data Transformation'!$B$24:$B$404='Bin Analysis and Plots'!$D$123,'Data Transformation'!$G$24:$G$404),'Bin Analysis and Plots'!F137))</f>
        <v>0</v>
      </c>
      <c r="H137">
        <f t="shared" si="15"/>
        <v>0</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t="e">
        <f>Weighting!$C$18</f>
        <v>#DIV/0!</v>
      </c>
      <c r="E138" t="e">
        <f>Weighting!$E$18</f>
        <v>#NUM!</v>
      </c>
      <c r="F138" t="e">
        <f>IF(E138=1,'Data Transformation'!$G$3+0.5*'Data Transformation'!$U$25,IF(E139=1,F139-'Data Transformation'!$U$25,FALSE))</f>
        <v>#NUM!</v>
      </c>
      <c r="G138">
        <f t="array" ref="G138">IF(ISLOGICAL(F138),"",FREQUENCY(IF('Data Transformation'!$B$24:$B$404='Bin Analysis and Plots'!$D$123,'Data Transformation'!$G$24:$G$404),'Bin Analysis and Plots'!F138))</f>
        <v>0</v>
      </c>
      <c r="H138">
        <f t="shared" si="15"/>
        <v>0</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t="e">
        <f>Weighting!$C$19</f>
        <v>#DIV/0!</v>
      </c>
      <c r="E139" t="e">
        <f>Weighting!$E$19</f>
        <v>#NUM!</v>
      </c>
      <c r="F139" t="e">
        <f>IF(E139=1,'Data Transformation'!$G$3+0.5*'Data Transformation'!$U$25,IF(E140=1,F140-'Data Transformation'!$U$25,FALSE))</f>
        <v>#NUM!</v>
      </c>
      <c r="G139">
        <f t="array" ref="G139">IF(ISLOGICAL(F139),"",FREQUENCY(IF('Data Transformation'!$B$24:$B$404='Bin Analysis and Plots'!$D$123,'Data Transformation'!$G$24:$G$404),'Bin Analysis and Plots'!F139))</f>
        <v>0</v>
      </c>
      <c r="H139">
        <f t="shared" si="15"/>
        <v>0</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t="e">
        <f>Weighting!$C$20</f>
        <v>#DIV/0!</v>
      </c>
      <c r="E140" t="e">
        <f>Weighting!$E$20</f>
        <v>#NUM!</v>
      </c>
      <c r="F140" t="e">
        <f>IF(E140=1,'Data Transformation'!$G$3+0.5*'Data Transformation'!$U$25,IF(E141=1,F141-'Data Transformation'!$U$25,FALSE))</f>
        <v>#NUM!</v>
      </c>
      <c r="G140">
        <f t="array" ref="G140">IF(ISLOGICAL(F140),"",FREQUENCY(IF('Data Transformation'!$B$24:$B$404='Bin Analysis and Plots'!$D$123,'Data Transformation'!$G$24:$G$404),'Bin Analysis and Plots'!F140))</f>
        <v>0</v>
      </c>
      <c r="H140">
        <f t="shared" si="15"/>
        <v>0</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t="e">
        <f>Weighting!$C$21</f>
        <v>#DIV/0!</v>
      </c>
      <c r="E141" t="e">
        <f>Weighting!$E$21</f>
        <v>#NUM!</v>
      </c>
      <c r="F141" t="e">
        <f>IF(E141=1,'Data Transformation'!$G$3+0.5*'Data Transformation'!$U$25,IF(E142=1,F142-'Data Transformation'!$U$25,FALSE))</f>
        <v>#NUM!</v>
      </c>
      <c r="G141">
        <f t="array" ref="G141">IF(ISLOGICAL(F141),"",FREQUENCY(IF('Data Transformation'!$B$24:$B$404='Bin Analysis and Plots'!$D$123,'Data Transformation'!$G$24:$G$404),'Bin Analysis and Plots'!F141))</f>
        <v>0</v>
      </c>
      <c r="H141">
        <f t="shared" si="15"/>
        <v>0</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t="e">
        <f>Weighting!$C$22</f>
        <v>#DIV/0!</v>
      </c>
      <c r="E142" t="e">
        <f>Weighting!$E$22</f>
        <v>#NUM!</v>
      </c>
      <c r="F142" t="e">
        <f>IF(E142=1,'Data Transformation'!$G$3+0.5*'Data Transformation'!$U$25,IF(E143=1,F143-'Data Transformation'!$U$25,FALSE))</f>
        <v>#NUM!</v>
      </c>
      <c r="G142">
        <f t="array" ref="G142">IF(ISLOGICAL(F142),"",FREQUENCY(IF('Data Transformation'!$B$24:$B$404='Bin Analysis and Plots'!$D$123,'Data Transformation'!$G$24:$G$404),'Bin Analysis and Plots'!F142))</f>
        <v>0</v>
      </c>
      <c r="H142">
        <f t="shared" si="15"/>
        <v>0</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t="e">
        <f>Weighting!$C$23</f>
        <v>#DIV/0!</v>
      </c>
      <c r="E143" t="e">
        <f>Weighting!$E$23</f>
        <v>#NUM!</v>
      </c>
      <c r="F143" t="e">
        <f>IF(E143=1,'Data Transformation'!$G$3+0.5*'Data Transformation'!$U$25,IF(E144=1,F144-'Data Transformation'!$U$25,FALSE))</f>
        <v>#NUM!</v>
      </c>
      <c r="G143">
        <f t="array" ref="G143">IF(ISLOGICAL(F143),"",FREQUENCY(IF('Data Transformation'!$B$24:$B$404='Bin Analysis and Plots'!$D$123,'Data Transformation'!$G$24:$G$404),'Bin Analysis and Plots'!F143))</f>
        <v>0</v>
      </c>
      <c r="H143">
        <f t="shared" si="15"/>
        <v>0</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t="e">
        <f>Weighting!$C$24</f>
        <v>#DIV/0!</v>
      </c>
      <c r="E144" t="e">
        <f>Weighting!$E$24</f>
        <v>#NUM!</v>
      </c>
      <c r="F144" t="e">
        <f>IF(E144=1,'Data Transformation'!$G$3+0.5*'Data Transformation'!$U$25,IF(E145=1,F145-'Data Transformation'!$U$25,FALSE))</f>
        <v>#NUM!</v>
      </c>
      <c r="G144">
        <f t="array" ref="G144">IF(ISLOGICAL(F144),"",FREQUENCY(IF('Data Transformation'!$B$24:$B$404='Bin Analysis and Plots'!$D$123,'Data Transformation'!$G$24:$G$404),'Bin Analysis and Plots'!F144))</f>
        <v>0</v>
      </c>
      <c r="H144">
        <f t="shared" si="15"/>
        <v>0</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b">
        <f t="array" ref="A145">IF(ISERROR(INDEX('Data Transformation'!$B$4:$G$450,SMALL(IF('Data Transformation'!$B$4:$B$450='Bin Analysis and Plots'!D123,ROW('Data Transformation'!$B$4:$B$450)),ROW($20:$20))-3,3)),"",INDEX('Data Transformation'!$B$4:$G$450,SMALL(IF('Data Transformation'!$B$4:$B$450='Bin Analysis and Plots'!D123,ROW('Data Transformation'!$B$4:$B$450)),ROW($20:$20))-3,6))</f>
        <v>0</v>
      </c>
      <c r="B145" s="29" t="str">
        <f>IFERROR(SMALL(A126:A145,'Data Transformation'!$L$25),"")</f>
        <v/>
      </c>
      <c r="C145" s="41" t="str">
        <f>IF(Weighting!$O$25&gt;0,D145,"")</f>
        <v/>
      </c>
      <c r="D145" t="e">
        <f>Weighting!$C$25</f>
        <v>#DIV/0!</v>
      </c>
      <c r="E145" t="e">
        <f>Weighting!$E$25</f>
        <v>#NUM!</v>
      </c>
      <c r="F145" t="e">
        <f>IF(E145=1,'Data Transformation'!$G$3+0.5*'Data Transformation'!$U$25,IF(E146=1,F146-'Data Transformation'!$U$25,FALSE))</f>
        <v>#NUM!</v>
      </c>
      <c r="G145">
        <f t="array" ref="G145">IF(ISLOGICAL(F145),"",FREQUENCY(IF('Data Transformation'!$B$24:$B$404='Bin Analysis and Plots'!$D$123,'Data Transformation'!$G$24:$G$404),'Bin Analysis and Plots'!F145))</f>
        <v>0</v>
      </c>
      <c r="H145">
        <f t="shared" si="15"/>
        <v>0</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1">
      <c r="A148" s="91" t="s">
        <v>64</v>
      </c>
      <c r="B148" s="91"/>
      <c r="C148" s="14" t="s">
        <v>72</v>
      </c>
      <c r="D148" t="s">
        <v>50</v>
      </c>
      <c r="E148" t="s">
        <v>5</v>
      </c>
      <c r="I148" t="s">
        <v>74</v>
      </c>
      <c r="J148" t="s">
        <v>34</v>
      </c>
      <c r="K148" t="s">
        <v>35</v>
      </c>
      <c r="L148" t="s">
        <v>49</v>
      </c>
      <c r="M148" s="14" t="s">
        <v>48</v>
      </c>
      <c r="Z148" s="78">
        <v>0</v>
      </c>
      <c r="AA148" s="78">
        <v>0</v>
      </c>
    </row>
    <row r="149" spans="1:27">
      <c r="C149" s="41" t="str">
        <f>IF(B149="","",D149)</f>
        <v/>
      </c>
      <c r="F149" t="e">
        <f>IF(E149=1,'Data Transformation'!$G$3+0.5*'Data Transformation'!$U$25,IF(E150=1,F150-'Data Transformation'!$U$25,FALSE))</f>
        <v>#NUM!</v>
      </c>
      <c r="G149">
        <f t="array" ref="G149">IF(ISLOGICAL(F149),"",FREQUENCY(IF('Data Transformation'!$B$24:$B$404='Bin Analysis and Plots'!$D$147,'Data Transformation'!$G$24:$G$404),'Bin Analysis and Plots'!F149))</f>
        <v>0</v>
      </c>
      <c r="H149">
        <f>IF(ISLOGICAL(F149),"",G149-G148)</f>
        <v>0</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t="e">
        <f>IF(Weighting!$O$6&gt;0,D150,"")</f>
        <v>#NUM!</v>
      </c>
      <c r="D150" t="e">
        <f>Weighting!$C$6</f>
        <v>#DIV/0!</v>
      </c>
      <c r="E150" t="e">
        <f>Weighting!$E$6</f>
        <v>#NUM!</v>
      </c>
      <c r="F150" t="e">
        <f>IF(E150=1,'Data Transformation'!$G$3+0.5*'Data Transformation'!$U$25,IF(E151=1,F151-'Data Transformation'!$U$25,FALSE))</f>
        <v>#NUM!</v>
      </c>
      <c r="G150">
        <f t="array" ref="G150">IF(ISLOGICAL(F150),"",FREQUENCY(IF('Data Transformation'!$B$24:$B$404='Bin Analysis and Plots'!$D$147,'Data Transformation'!$G$24:$G$404),'Bin Analysis and Plots'!F150))</f>
        <v>0</v>
      </c>
      <c r="H150">
        <f>IF(ISLOGICAL(F150),"",G150-G149)</f>
        <v>0</v>
      </c>
      <c r="I150">
        <f>Weighting!$G$6</f>
        <v>1</v>
      </c>
      <c r="J150">
        <f t="array" ref="J150">FREQUENCY(IF('Data Transformation'!$B$4:$B$404=D147,'Data Transformation'!$G$4:$G$404),'Bin Analysis and Plots'!$D150)</f>
        <v>0</v>
      </c>
      <c r="K150">
        <f>J150-J149</f>
        <v>0</v>
      </c>
      <c r="L150">
        <f>IF(K150=0,0,1)</f>
        <v>0</v>
      </c>
      <c r="M150" t="e">
        <f>L150*Weighting!$V$6</f>
        <v>#NUM!</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t="str">
        <f>IF(Weighting!$O$7&gt;0,D151,"")</f>
        <v/>
      </c>
      <c r="D151" t="e">
        <f>Weighting!$C$7</f>
        <v>#DIV/0!</v>
      </c>
      <c r="E151" t="e">
        <f>Weighting!$E$7</f>
        <v>#NUM!</v>
      </c>
      <c r="F151" t="e">
        <f>IF(E151=1,'Data Transformation'!$G$3+0.5*'Data Transformation'!$U$25,IF(E152=1,F152-'Data Transformation'!$U$25,FALSE))</f>
        <v>#NUM!</v>
      </c>
      <c r="G151">
        <f t="array" ref="G151">IF(ISLOGICAL(F151),"",FREQUENCY(IF('Data Transformation'!$B$24:$B$404='Bin Analysis and Plots'!$D$147,'Data Transformation'!$G$24:$G$404),'Bin Analysis and Plots'!F151))</f>
        <v>0</v>
      </c>
      <c r="H151">
        <f t="shared" ref="H151:H169" si="18">IF(ISLOGICAL(F151),"",G151-G150)</f>
        <v>0</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t="str">
        <f>IF(Weighting!$O$8&gt;0,D152,"")</f>
        <v/>
      </c>
      <c r="D152" t="e">
        <f>Weighting!$C$8</f>
        <v>#DIV/0!</v>
      </c>
      <c r="E152" t="e">
        <f>Weighting!$E$8</f>
        <v>#NUM!</v>
      </c>
      <c r="F152" t="e">
        <f>IF(E152=1,'Data Transformation'!$G$3+0.5*'Data Transformation'!$U$25,IF(E153=1,F153-'Data Transformation'!$U$25,FALSE))</f>
        <v>#NUM!</v>
      </c>
      <c r="G152">
        <f t="array" ref="G152">IF(ISLOGICAL(F152),"",FREQUENCY(IF('Data Transformation'!$B$24:$B$404='Bin Analysis and Plots'!$D$147,'Data Transformation'!$G$24:$G$404),'Bin Analysis and Plots'!F152))</f>
        <v>0</v>
      </c>
      <c r="H152">
        <f t="shared" si="18"/>
        <v>0</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t="str">
        <f>IF(Weighting!$O$9&gt;0,D153,"")</f>
        <v/>
      </c>
      <c r="D153" t="e">
        <f>Weighting!$B$9</f>
        <v>#DIV/0!</v>
      </c>
      <c r="E153" t="e">
        <f>Weighting!$E$9</f>
        <v>#NUM!</v>
      </c>
      <c r="F153" t="e">
        <f>IF(E153=1,'Data Transformation'!$G$3+0.5*'Data Transformation'!$U$25,IF(E154=1,F154-'Data Transformation'!$U$25,FALSE))</f>
        <v>#NUM!</v>
      </c>
      <c r="G153">
        <f t="array" ref="G153">IF(ISLOGICAL(F153),"",FREQUENCY(IF('Data Transformation'!$B$24:$B$404='Bin Analysis and Plots'!$D$147,'Data Transformation'!$G$24:$G$404),'Bin Analysis and Plots'!F153))</f>
        <v>0</v>
      </c>
      <c r="H153">
        <f t="shared" si="18"/>
        <v>0</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t="str">
        <f>IF(Weighting!$O$10&gt;0,D154,"")</f>
        <v/>
      </c>
      <c r="D154" t="e">
        <f>Weighting!$C$10</f>
        <v>#DIV/0!</v>
      </c>
      <c r="E154" t="e">
        <f>Weighting!$E$10</f>
        <v>#NUM!</v>
      </c>
      <c r="F154" t="e">
        <f>IF(E154=1,'Data Transformation'!$G$3+0.5*'Data Transformation'!$U$25,IF(E155=1,F155-'Data Transformation'!$U$25,FALSE))</f>
        <v>#NUM!</v>
      </c>
      <c r="G154">
        <f t="array" ref="G154">IF(ISLOGICAL(F154),"",FREQUENCY(IF('Data Transformation'!$B$24:$B$404='Bin Analysis and Plots'!$D$147,'Data Transformation'!$G$24:$G$404),'Bin Analysis and Plots'!F154))</f>
        <v>0</v>
      </c>
      <c r="H154">
        <f t="shared" si="18"/>
        <v>0</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t="str">
        <f>IF(Weighting!$O$11&gt;0,D155,"")</f>
        <v/>
      </c>
      <c r="D155" t="e">
        <f>Weighting!$C$11</f>
        <v>#DIV/0!</v>
      </c>
      <c r="E155" t="e">
        <f>Weighting!$E$11</f>
        <v>#NUM!</v>
      </c>
      <c r="F155" t="e">
        <f>IF(E155=1,'Data Transformation'!$G$3+0.5*'Data Transformation'!$U$25,IF(E156=1,F156-'Data Transformation'!$U$25,FALSE))</f>
        <v>#NUM!</v>
      </c>
      <c r="G155">
        <f t="array" ref="G155">IF(ISLOGICAL(F155),"",FREQUENCY(IF('Data Transformation'!$B$24:$B$404='Bin Analysis and Plots'!$D$147,'Data Transformation'!$G$24:$G$404),'Bin Analysis and Plots'!F155))</f>
        <v>0</v>
      </c>
      <c r="H155">
        <f t="shared" si="18"/>
        <v>0</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t="str">
        <f>IF(Weighting!$O$12&gt;0,D156,"")</f>
        <v/>
      </c>
      <c r="D156" t="e">
        <f>Weighting!$C$12</f>
        <v>#DIV/0!</v>
      </c>
      <c r="E156" t="e">
        <f>Weighting!$E$12</f>
        <v>#NUM!</v>
      </c>
      <c r="F156" t="e">
        <f>IF(E156=1,'Data Transformation'!$G$3+0.5*'Data Transformation'!$U$25,IF(E157=1,F157-'Data Transformation'!$U$25,FALSE))</f>
        <v>#NUM!</v>
      </c>
      <c r="G156">
        <f t="array" ref="G156">IF(ISLOGICAL(F156),"",FREQUENCY(IF('Data Transformation'!$B$24:$B$404='Bin Analysis and Plots'!$D$147,'Data Transformation'!$G$24:$G$404),'Bin Analysis and Plots'!F156))</f>
        <v>0</v>
      </c>
      <c r="H156">
        <f t="shared" si="18"/>
        <v>0</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t="str">
        <f>IF(Weighting!$O$13&gt;0,D157,"")</f>
        <v/>
      </c>
      <c r="D157" t="e">
        <f>Weighting!$C$13</f>
        <v>#DIV/0!</v>
      </c>
      <c r="E157" t="e">
        <f>Weighting!$E$13</f>
        <v>#NUM!</v>
      </c>
      <c r="F157" t="e">
        <f>IF(E157=1,'Data Transformation'!$G$3+0.5*'Data Transformation'!$U$25,IF(E158=1,F158-'Data Transformation'!$U$25,FALSE))</f>
        <v>#NUM!</v>
      </c>
      <c r="G157">
        <f t="array" ref="G157">IF(ISLOGICAL(F157),"",FREQUENCY(IF('Data Transformation'!$B$24:$B$404='Bin Analysis and Plots'!$D$147,'Data Transformation'!$G$24:$G$404),'Bin Analysis and Plots'!F157))</f>
        <v>0</v>
      </c>
      <c r="H157">
        <f t="shared" si="18"/>
        <v>0</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t="str">
        <f>IF(Weighting!$O$14&gt;0,D158,"")</f>
        <v/>
      </c>
      <c r="D158" t="e">
        <f>Weighting!$C$14</f>
        <v>#DIV/0!</v>
      </c>
      <c r="E158" t="e">
        <f>Weighting!$E$14</f>
        <v>#NUM!</v>
      </c>
      <c r="F158" t="e">
        <f>IF(E158=1,'Data Transformation'!$G$3+0.5*'Data Transformation'!$U$25,IF(E159=1,F159-'Data Transformation'!$U$25,FALSE))</f>
        <v>#NUM!</v>
      </c>
      <c r="G158">
        <f t="array" ref="G158">IF(ISLOGICAL(F158),"",FREQUENCY(IF('Data Transformation'!$B$24:$B$404='Bin Analysis and Plots'!$D$147,'Data Transformation'!$G$24:$G$404),'Bin Analysis and Plots'!F158))</f>
        <v>0</v>
      </c>
      <c r="H158">
        <f t="shared" si="18"/>
        <v>0</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t="str">
        <f>IF(Weighting!$O$15&gt;0,D159,"")</f>
        <v/>
      </c>
      <c r="D159" t="e">
        <f>Weighting!$C$15</f>
        <v>#DIV/0!</v>
      </c>
      <c r="E159" t="e">
        <f>Weighting!$E$15</f>
        <v>#NUM!</v>
      </c>
      <c r="F159" t="e">
        <f>IF(E159=1,'Data Transformation'!$G$3+0.5*'Data Transformation'!$U$25,IF(E160=1,F160-'Data Transformation'!$U$25,FALSE))</f>
        <v>#NUM!</v>
      </c>
      <c r="G159">
        <f t="array" ref="G159">IF(ISLOGICAL(F159),"",FREQUENCY(IF('Data Transformation'!$B$24:$B$404='Bin Analysis and Plots'!$D$147,'Data Transformation'!$G$24:$G$404),'Bin Analysis and Plots'!F159))</f>
        <v>0</v>
      </c>
      <c r="H159">
        <f t="shared" si="18"/>
        <v>0</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t="e">
        <f>Weighting!$C$16</f>
        <v>#DIV/0!</v>
      </c>
      <c r="E160" t="e">
        <f>Weighting!$E$16</f>
        <v>#NUM!</v>
      </c>
      <c r="F160" t="e">
        <f>IF(E160=1,'Data Transformation'!$G$3+0.5*'Data Transformation'!$U$25,IF(E161=1,F161-'Data Transformation'!$U$25,FALSE))</f>
        <v>#NUM!</v>
      </c>
      <c r="G160">
        <f t="array" ref="G160">IF(ISLOGICAL(F160),"",FREQUENCY(IF('Data Transformation'!$B$24:$B$404='Bin Analysis and Plots'!$D$147,'Data Transformation'!$G$24:$G$404),'Bin Analysis and Plots'!F160))</f>
        <v>0</v>
      </c>
      <c r="H160">
        <f t="shared" si="18"/>
        <v>0</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t="e">
        <f>Weighting!$C$17</f>
        <v>#DIV/0!</v>
      </c>
      <c r="E161" t="e">
        <f>Weighting!$E$17</f>
        <v>#NUM!</v>
      </c>
      <c r="F161" t="e">
        <f>IF(E161=1,'Data Transformation'!$G$3+0.5*'Data Transformation'!$U$25,IF(E162=1,F162-'Data Transformation'!$U$25,FALSE))</f>
        <v>#NUM!</v>
      </c>
      <c r="G161">
        <f t="array" ref="G161">IF(ISLOGICAL(F161),"",FREQUENCY(IF('Data Transformation'!$B$24:$B$404='Bin Analysis and Plots'!$D$147,'Data Transformation'!$G$24:$G$404),'Bin Analysis and Plots'!F161))</f>
        <v>0</v>
      </c>
      <c r="H161">
        <f t="shared" si="18"/>
        <v>0</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t="e">
        <f>Weighting!$C$18</f>
        <v>#DIV/0!</v>
      </c>
      <c r="E162" t="e">
        <f>Weighting!$E$18</f>
        <v>#NUM!</v>
      </c>
      <c r="F162" t="e">
        <f>IF(E162=1,'Data Transformation'!$G$3+0.5*'Data Transformation'!$U$25,IF(E163=1,F163-'Data Transformation'!$U$25,FALSE))</f>
        <v>#NUM!</v>
      </c>
      <c r="G162">
        <f t="array" ref="G162">IF(ISLOGICAL(F162),"",FREQUENCY(IF('Data Transformation'!$B$24:$B$404='Bin Analysis and Plots'!$D$147,'Data Transformation'!$G$24:$G$404),'Bin Analysis and Plots'!F162))</f>
        <v>0</v>
      </c>
      <c r="H162">
        <f t="shared" si="18"/>
        <v>0</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t="e">
        <f>Weighting!$C$19</f>
        <v>#DIV/0!</v>
      </c>
      <c r="E163" t="e">
        <f>Weighting!$E$19</f>
        <v>#NUM!</v>
      </c>
      <c r="F163" t="e">
        <f>IF(E163=1,'Data Transformation'!$G$3+0.5*'Data Transformation'!$U$25,IF(E164=1,F164-'Data Transformation'!$U$25,FALSE))</f>
        <v>#NUM!</v>
      </c>
      <c r="G163">
        <f t="array" ref="G163">IF(ISLOGICAL(F163),"",FREQUENCY(IF('Data Transformation'!$B$24:$B$404='Bin Analysis and Plots'!$D$147,'Data Transformation'!$G$24:$G$404),'Bin Analysis and Plots'!F163))</f>
        <v>0</v>
      </c>
      <c r="H163">
        <f t="shared" si="18"/>
        <v>0</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t="e">
        <f>Weighting!$C$20</f>
        <v>#DIV/0!</v>
      </c>
      <c r="E164" t="e">
        <f>Weighting!$E$20</f>
        <v>#NUM!</v>
      </c>
      <c r="F164" t="e">
        <f>IF(E164=1,'Data Transformation'!$G$3+0.5*'Data Transformation'!$U$25,IF(E165=1,F165-'Data Transformation'!$U$25,FALSE))</f>
        <v>#NUM!</v>
      </c>
      <c r="G164">
        <f t="array" ref="G164">IF(ISLOGICAL(F164),"",FREQUENCY(IF('Data Transformation'!$B$24:$B$404='Bin Analysis and Plots'!$D$147,'Data Transformation'!$G$24:$G$404),'Bin Analysis and Plots'!F164))</f>
        <v>0</v>
      </c>
      <c r="H164">
        <f t="shared" si="18"/>
        <v>0</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t="e">
        <f>Weighting!$C$21</f>
        <v>#DIV/0!</v>
      </c>
      <c r="E165" t="e">
        <f>Weighting!$E$21</f>
        <v>#NUM!</v>
      </c>
      <c r="F165" t="e">
        <f>IF(E165=1,'Data Transformation'!$G$3+0.5*'Data Transformation'!$U$25,IF(E166=1,F166-'Data Transformation'!$U$25,FALSE))</f>
        <v>#NUM!</v>
      </c>
      <c r="G165">
        <f t="array" ref="G165">IF(ISLOGICAL(F165),"",FREQUENCY(IF('Data Transformation'!$B$24:$B$404='Bin Analysis and Plots'!$D$147,'Data Transformation'!$G$24:$G$404),'Bin Analysis and Plots'!F165))</f>
        <v>0</v>
      </c>
      <c r="H165">
        <f t="shared" si="18"/>
        <v>0</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t="e">
        <f>Weighting!$C$22</f>
        <v>#DIV/0!</v>
      </c>
      <c r="E166" t="e">
        <f>Weighting!$E$22</f>
        <v>#NUM!</v>
      </c>
      <c r="F166" t="e">
        <f>IF(E166=1,'Data Transformation'!$G$3+0.5*'Data Transformation'!$U$25,IF(E167=1,F167-'Data Transformation'!$U$25,FALSE))</f>
        <v>#NUM!</v>
      </c>
      <c r="G166">
        <f t="array" ref="G166">IF(ISLOGICAL(F166),"",FREQUENCY(IF('Data Transformation'!$B$24:$B$404='Bin Analysis and Plots'!$D$147,'Data Transformation'!$G$24:$G$404),'Bin Analysis and Plots'!F166))</f>
        <v>0</v>
      </c>
      <c r="H166">
        <f t="shared" si="18"/>
        <v>0</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t="e">
        <f>Weighting!$C$23</f>
        <v>#DIV/0!</v>
      </c>
      <c r="E167" t="e">
        <f>Weighting!$E$23</f>
        <v>#NUM!</v>
      </c>
      <c r="F167" t="e">
        <f>IF(E167=1,'Data Transformation'!$G$3+0.5*'Data Transformation'!$U$25,IF(E168=1,F168-'Data Transformation'!$U$25,FALSE))</f>
        <v>#NUM!</v>
      </c>
      <c r="G167">
        <f t="array" ref="G167">IF(ISLOGICAL(F167),"",FREQUENCY(IF('Data Transformation'!$B$24:$B$404='Bin Analysis and Plots'!$D$147,'Data Transformation'!$G$24:$G$404),'Bin Analysis and Plots'!F167))</f>
        <v>0</v>
      </c>
      <c r="H167">
        <f t="shared" si="18"/>
        <v>0</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t="e">
        <f>Weighting!$C$24</f>
        <v>#DIV/0!</v>
      </c>
      <c r="E168" t="e">
        <f>Weighting!$E$24</f>
        <v>#NUM!</v>
      </c>
      <c r="F168" t="e">
        <f>IF(E168=1,'Data Transformation'!$G$3+0.5*'Data Transformation'!$U$25,IF(E169=1,F169-'Data Transformation'!$U$25,FALSE))</f>
        <v>#NUM!</v>
      </c>
      <c r="G168">
        <f t="array" ref="G168">IF(ISLOGICAL(F168),"",FREQUENCY(IF('Data Transformation'!$B$24:$B$404='Bin Analysis and Plots'!$D$147,'Data Transformation'!$G$24:$G$404),'Bin Analysis and Plots'!F168))</f>
        <v>0</v>
      </c>
      <c r="H168">
        <f t="shared" si="18"/>
        <v>0</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b">
        <f t="array" ref="A169">IF(ISERROR(INDEX('Data Transformation'!$B$4:$G$450,SMALL(IF('Data Transformation'!$B$4:$B$450='Bin Analysis and Plots'!D147,ROW('Data Transformation'!$B$4:$B$450)),ROW($20:$20))-3,3)),"",INDEX('Data Transformation'!$B$4:$G$450,SMALL(IF('Data Transformation'!$B$4:$B$450='Bin Analysis and Plots'!D147,ROW('Data Transformation'!$B$4:$B$450)),ROW($20:$20))-3,6))</f>
        <v>0</v>
      </c>
      <c r="B169" s="29" t="str">
        <f>IFERROR(SMALL(A150:A169,'Data Transformation'!$L$25),"")</f>
        <v/>
      </c>
      <c r="C169" s="41" t="str">
        <f>IF(Weighting!$O$25&gt;0,D169,"")</f>
        <v/>
      </c>
      <c r="D169" t="e">
        <f>Weighting!$C$25</f>
        <v>#DIV/0!</v>
      </c>
      <c r="E169" t="e">
        <f>Weighting!$E$25</f>
        <v>#NUM!</v>
      </c>
      <c r="F169" t="e">
        <f>IF(E169=1,'Data Transformation'!$G$3+0.5*'Data Transformation'!$U$25,IF(E170=1,F170-'Data Transformation'!$U$25,FALSE))</f>
        <v>#NUM!</v>
      </c>
      <c r="G169">
        <f t="array" ref="G169">IF(ISLOGICAL(F169),"",FREQUENCY(IF('Data Transformation'!$B$24:$B$404='Bin Analysis and Plots'!$D$147,'Data Transformation'!$G$24:$G$404),'Bin Analysis and Plots'!F169))</f>
        <v>0</v>
      </c>
      <c r="H169">
        <f t="shared" si="18"/>
        <v>0</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1">
      <c r="A172" s="91" t="s">
        <v>64</v>
      </c>
      <c r="B172" s="91"/>
      <c r="C172" s="14" t="s">
        <v>72</v>
      </c>
      <c r="D172" t="s">
        <v>50</v>
      </c>
      <c r="E172" t="s">
        <v>5</v>
      </c>
      <c r="I172" t="s">
        <v>74</v>
      </c>
      <c r="J172" t="s">
        <v>34</v>
      </c>
      <c r="K172" t="s">
        <v>35</v>
      </c>
      <c r="L172" t="s">
        <v>49</v>
      </c>
      <c r="M172" s="14" t="s">
        <v>48</v>
      </c>
      <c r="Z172" s="78">
        <v>0</v>
      </c>
      <c r="AA172" s="78">
        <v>0</v>
      </c>
    </row>
    <row r="173" spans="1:27">
      <c r="C173" s="41" t="str">
        <f>IF(B173="","",D173)</f>
        <v/>
      </c>
      <c r="F173" t="e">
        <f>IF(E173=1,'Data Transformation'!$G$3+0.5*'Data Transformation'!$U$25,IF(E174=1,F174-'Data Transformation'!$U$25,FALSE))</f>
        <v>#NUM!</v>
      </c>
      <c r="G173">
        <f t="array" ref="G173">IF(ISLOGICAL(F173),"",FREQUENCY(IF('Data Transformation'!$B$24:$B$404='Bin Analysis and Plots'!$D$171,'Data Transformation'!$G$24:$G$404),'Bin Analysis and Plots'!F173))</f>
        <v>0</v>
      </c>
      <c r="H173">
        <f>IF(ISLOGICAL(F173),"",G173-G172)</f>
        <v>0</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t="e">
        <f>IF(Weighting!$O$6&gt;0,D174,"")</f>
        <v>#NUM!</v>
      </c>
      <c r="D174" t="e">
        <f>Weighting!$C$6</f>
        <v>#DIV/0!</v>
      </c>
      <c r="E174" t="e">
        <f>Weighting!$E$6</f>
        <v>#NUM!</v>
      </c>
      <c r="F174" t="e">
        <f>IF(E174=1,'Data Transformation'!$G$3+0.5*'Data Transformation'!$U$25,IF(E175=1,F175-'Data Transformation'!$U$25,FALSE))</f>
        <v>#NUM!</v>
      </c>
      <c r="G174">
        <f t="array" ref="G174">IF(ISLOGICAL(F174),"",FREQUENCY(IF('Data Transformation'!$B$24:$B$404='Bin Analysis and Plots'!$D$171,'Data Transformation'!$G$24:$G$404),'Bin Analysis and Plots'!F174))</f>
        <v>0</v>
      </c>
      <c r="H174">
        <f>IF(ISLOGICAL(F174),"",G174-G173)</f>
        <v>0</v>
      </c>
      <c r="I174">
        <f>Weighting!$G$6</f>
        <v>1</v>
      </c>
      <c r="J174">
        <f t="array" ref="J174">FREQUENCY(IF('Data Transformation'!$B$4:$B$404=D171,'Data Transformation'!$G$4:$G$404),'Bin Analysis and Plots'!$D174)</f>
        <v>0</v>
      </c>
      <c r="K174">
        <f>J174-J173</f>
        <v>0</v>
      </c>
      <c r="L174">
        <f>IF(K174=0,0,1)</f>
        <v>0</v>
      </c>
      <c r="M174" t="e">
        <f>L174*Weighting!$V$6</f>
        <v>#NUM!</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t="str">
        <f>IF(Weighting!$O$7&gt;0,D175,"")</f>
        <v/>
      </c>
      <c r="D175" t="e">
        <f>Weighting!$C$7</f>
        <v>#DIV/0!</v>
      </c>
      <c r="E175" t="e">
        <f>Weighting!$E$7</f>
        <v>#NUM!</v>
      </c>
      <c r="F175" t="e">
        <f>IF(E175=1,'Data Transformation'!$G$3+0.5*'Data Transformation'!$U$25,IF(E176=1,F176-'Data Transformation'!$U$25,FALSE))</f>
        <v>#NUM!</v>
      </c>
      <c r="G175">
        <f t="array" ref="G175">IF(ISLOGICAL(F175),"",FREQUENCY(IF('Data Transformation'!$B$24:$B$404='Bin Analysis and Plots'!$D$171,'Data Transformation'!$G$24:$G$404),'Bin Analysis and Plots'!F175))</f>
        <v>0</v>
      </c>
      <c r="H175">
        <f t="shared" ref="H175:H193" si="21">IF(ISLOGICAL(F175),"",G175-G174)</f>
        <v>0</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t="str">
        <f>IF(Weighting!$O$8&gt;0,D176,"")</f>
        <v/>
      </c>
      <c r="D176" t="e">
        <f>Weighting!$C$8</f>
        <v>#DIV/0!</v>
      </c>
      <c r="E176" t="e">
        <f>Weighting!$E$8</f>
        <v>#NUM!</v>
      </c>
      <c r="F176" t="e">
        <f>IF(E176=1,'Data Transformation'!$G$3+0.5*'Data Transformation'!$U$25,IF(E177=1,F177-'Data Transformation'!$U$25,FALSE))</f>
        <v>#NUM!</v>
      </c>
      <c r="G176">
        <f t="array" ref="G176">IF(ISLOGICAL(F176),"",FREQUENCY(IF('Data Transformation'!$B$24:$B$404='Bin Analysis and Plots'!$D$171,'Data Transformation'!$G$24:$G$404),'Bin Analysis and Plots'!F176))</f>
        <v>0</v>
      </c>
      <c r="H176">
        <f t="shared" si="21"/>
        <v>0</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t="str">
        <f>IF(Weighting!$O$9&gt;0,D177,"")</f>
        <v/>
      </c>
      <c r="D177" t="e">
        <f>Weighting!$B$9</f>
        <v>#DIV/0!</v>
      </c>
      <c r="E177" t="e">
        <f>Weighting!$E$9</f>
        <v>#NUM!</v>
      </c>
      <c r="F177" t="e">
        <f>IF(E177=1,'Data Transformation'!$G$3+0.5*'Data Transformation'!$U$25,IF(E178=1,F178-'Data Transformation'!$U$25,FALSE))</f>
        <v>#NUM!</v>
      </c>
      <c r="G177">
        <f t="array" ref="G177">IF(ISLOGICAL(F177),"",FREQUENCY(IF('Data Transformation'!$B$24:$B$404='Bin Analysis and Plots'!$D$171,'Data Transformation'!$G$24:$G$404),'Bin Analysis and Plots'!F177))</f>
        <v>0</v>
      </c>
      <c r="H177">
        <f t="shared" si="21"/>
        <v>0</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t="str">
        <f>IF(Weighting!$O$10&gt;0,D178,"")</f>
        <v/>
      </c>
      <c r="D178" t="e">
        <f>Weighting!$C$10</f>
        <v>#DIV/0!</v>
      </c>
      <c r="E178" t="e">
        <f>Weighting!$E$10</f>
        <v>#NUM!</v>
      </c>
      <c r="F178" t="e">
        <f>IF(E178=1,'Data Transformation'!$G$3+0.5*'Data Transformation'!$U$25,IF(E179=1,F179-'Data Transformation'!$U$25,FALSE))</f>
        <v>#NUM!</v>
      </c>
      <c r="G178">
        <f t="array" ref="G178">IF(ISLOGICAL(F178),"",FREQUENCY(IF('Data Transformation'!$B$24:$B$404='Bin Analysis and Plots'!$D$171,'Data Transformation'!$G$24:$G$404),'Bin Analysis and Plots'!F178))</f>
        <v>0</v>
      </c>
      <c r="H178">
        <f t="shared" si="21"/>
        <v>0</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t="str">
        <f>IF(Weighting!$O$11&gt;0,D179,"")</f>
        <v/>
      </c>
      <c r="D179" t="e">
        <f>Weighting!$C$11</f>
        <v>#DIV/0!</v>
      </c>
      <c r="E179" t="e">
        <f>Weighting!$E$11</f>
        <v>#NUM!</v>
      </c>
      <c r="F179" t="e">
        <f>IF(E179=1,'Data Transformation'!$G$3+0.5*'Data Transformation'!$U$25,IF(E180=1,F180-'Data Transformation'!$U$25,FALSE))</f>
        <v>#NUM!</v>
      </c>
      <c r="G179">
        <f t="array" ref="G179">IF(ISLOGICAL(F179),"",FREQUENCY(IF('Data Transformation'!$B$24:$B$404='Bin Analysis and Plots'!$D$171,'Data Transformation'!$G$24:$G$404),'Bin Analysis and Plots'!F179))</f>
        <v>0</v>
      </c>
      <c r="H179">
        <f t="shared" si="21"/>
        <v>0</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t="str">
        <f>IF(Weighting!$O$12&gt;0,D180,"")</f>
        <v/>
      </c>
      <c r="D180" t="e">
        <f>Weighting!$C$12</f>
        <v>#DIV/0!</v>
      </c>
      <c r="E180" t="e">
        <f>Weighting!$E$12</f>
        <v>#NUM!</v>
      </c>
      <c r="F180" t="e">
        <f>IF(E180=1,'Data Transformation'!$G$3+0.5*'Data Transformation'!$U$25,IF(E181=1,F181-'Data Transformation'!$U$25,FALSE))</f>
        <v>#NUM!</v>
      </c>
      <c r="G180">
        <f t="array" ref="G180">IF(ISLOGICAL(F180),"",FREQUENCY(IF('Data Transformation'!$B$24:$B$404='Bin Analysis and Plots'!$D$171,'Data Transformation'!$G$24:$G$404),'Bin Analysis and Plots'!F180))</f>
        <v>0</v>
      </c>
      <c r="H180">
        <f t="shared" si="21"/>
        <v>0</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t="str">
        <f>IF(Weighting!$O$13&gt;0,D181,"")</f>
        <v/>
      </c>
      <c r="D181" t="e">
        <f>Weighting!$C$13</f>
        <v>#DIV/0!</v>
      </c>
      <c r="E181" t="e">
        <f>Weighting!$E$13</f>
        <v>#NUM!</v>
      </c>
      <c r="F181" t="e">
        <f>IF(E181=1,'Data Transformation'!$G$3+0.5*'Data Transformation'!$U$25,IF(E182=1,F182-'Data Transformation'!$U$25,FALSE))</f>
        <v>#NUM!</v>
      </c>
      <c r="G181">
        <f t="array" ref="G181">IF(ISLOGICAL(F181),"",FREQUENCY(IF('Data Transformation'!$B$24:$B$404='Bin Analysis and Plots'!$D$171,'Data Transformation'!$G$24:$G$404),'Bin Analysis and Plots'!F181))</f>
        <v>0</v>
      </c>
      <c r="H181">
        <f t="shared" si="21"/>
        <v>0</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t="str">
        <f>IF(Weighting!$O$14&gt;0,D182,"")</f>
        <v/>
      </c>
      <c r="D182" t="e">
        <f>Weighting!$C$14</f>
        <v>#DIV/0!</v>
      </c>
      <c r="E182" t="e">
        <f>Weighting!$E$14</f>
        <v>#NUM!</v>
      </c>
      <c r="F182" t="e">
        <f>IF(E182=1,'Data Transformation'!$G$3+0.5*'Data Transformation'!$U$25,IF(E183=1,F183-'Data Transformation'!$U$25,FALSE))</f>
        <v>#NUM!</v>
      </c>
      <c r="G182">
        <f t="array" ref="G182">IF(ISLOGICAL(F182),"",FREQUENCY(IF('Data Transformation'!$B$24:$B$404='Bin Analysis and Plots'!$D$171,'Data Transformation'!$G$24:$G$404),'Bin Analysis and Plots'!F182))</f>
        <v>0</v>
      </c>
      <c r="H182">
        <f t="shared" si="21"/>
        <v>0</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t="str">
        <f>IF(Weighting!$O$15&gt;0,D183,"")</f>
        <v/>
      </c>
      <c r="D183" t="e">
        <f>Weighting!$C$15</f>
        <v>#DIV/0!</v>
      </c>
      <c r="E183" t="e">
        <f>Weighting!$E$15</f>
        <v>#NUM!</v>
      </c>
      <c r="F183" t="e">
        <f>IF(E183=1,'Data Transformation'!$G$3+0.5*'Data Transformation'!$U$25,IF(E184=1,F184-'Data Transformation'!$U$25,FALSE))</f>
        <v>#NUM!</v>
      </c>
      <c r="G183">
        <f t="array" ref="G183">IF(ISLOGICAL(F183),"",FREQUENCY(IF('Data Transformation'!$B$24:$B$404='Bin Analysis and Plots'!$D$171,'Data Transformation'!$G$24:$G$404),'Bin Analysis and Plots'!F183))</f>
        <v>0</v>
      </c>
      <c r="H183">
        <f t="shared" si="21"/>
        <v>0</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t="e">
        <f>Weighting!$C$16</f>
        <v>#DIV/0!</v>
      </c>
      <c r="E184" t="e">
        <f>Weighting!$E$16</f>
        <v>#NUM!</v>
      </c>
      <c r="F184" t="e">
        <f>IF(E184=1,'Data Transformation'!$G$3+0.5*'Data Transformation'!$U$25,IF(E185=1,F185-'Data Transformation'!$U$25,FALSE))</f>
        <v>#NUM!</v>
      </c>
      <c r="G184">
        <f t="array" ref="G184">IF(ISLOGICAL(F184),"",FREQUENCY(IF('Data Transformation'!$B$24:$B$404='Bin Analysis and Plots'!$D$171,'Data Transformation'!$G$24:$G$404),'Bin Analysis and Plots'!F184))</f>
        <v>0</v>
      </c>
      <c r="H184">
        <f t="shared" si="21"/>
        <v>0</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t="e">
        <f>Weighting!$C$17</f>
        <v>#DIV/0!</v>
      </c>
      <c r="E185" t="e">
        <f>Weighting!$E$17</f>
        <v>#NUM!</v>
      </c>
      <c r="F185" t="e">
        <f>IF(E185=1,'Data Transformation'!$G$3+0.5*'Data Transformation'!$U$25,IF(E186=1,F186-'Data Transformation'!$U$25,FALSE))</f>
        <v>#NUM!</v>
      </c>
      <c r="G185">
        <f t="array" ref="G185">IF(ISLOGICAL(F185),"",FREQUENCY(IF('Data Transformation'!$B$24:$B$404='Bin Analysis and Plots'!$D$171,'Data Transformation'!$G$24:$G$404),'Bin Analysis and Plots'!F185))</f>
        <v>0</v>
      </c>
      <c r="H185">
        <f t="shared" si="21"/>
        <v>0</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t="e">
        <f>Weighting!$C$18</f>
        <v>#DIV/0!</v>
      </c>
      <c r="E186" t="e">
        <f>Weighting!$E$18</f>
        <v>#NUM!</v>
      </c>
      <c r="F186" t="e">
        <f>IF(E186=1,'Data Transformation'!$G$3+0.5*'Data Transformation'!$U$25,IF(E187=1,F187-'Data Transformation'!$U$25,FALSE))</f>
        <v>#NUM!</v>
      </c>
      <c r="G186">
        <f t="array" ref="G186">IF(ISLOGICAL(F186),"",FREQUENCY(IF('Data Transformation'!$B$24:$B$404='Bin Analysis and Plots'!$D$171,'Data Transformation'!$G$24:$G$404),'Bin Analysis and Plots'!F186))</f>
        <v>0</v>
      </c>
      <c r="H186">
        <f t="shared" si="21"/>
        <v>0</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t="e">
        <f>Weighting!$C$19</f>
        <v>#DIV/0!</v>
      </c>
      <c r="E187" t="e">
        <f>Weighting!$E$19</f>
        <v>#NUM!</v>
      </c>
      <c r="F187" t="e">
        <f>IF(E187=1,'Data Transformation'!$G$3+0.5*'Data Transformation'!$U$25,IF(E188=1,F188-'Data Transformation'!$U$25,FALSE))</f>
        <v>#NUM!</v>
      </c>
      <c r="G187">
        <f t="array" ref="G187">IF(ISLOGICAL(F187),"",FREQUENCY(IF('Data Transformation'!$B$24:$B$404='Bin Analysis and Plots'!$D$171,'Data Transformation'!$G$24:$G$404),'Bin Analysis and Plots'!F187))</f>
        <v>0</v>
      </c>
      <c r="H187">
        <f t="shared" si="21"/>
        <v>0</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t="e">
        <f>Weighting!$C$20</f>
        <v>#DIV/0!</v>
      </c>
      <c r="E188" t="e">
        <f>Weighting!$E$20</f>
        <v>#NUM!</v>
      </c>
      <c r="F188" t="e">
        <f>IF(E188=1,'Data Transformation'!$G$3+0.5*'Data Transformation'!$U$25,IF(E189=1,F189-'Data Transformation'!$U$25,FALSE))</f>
        <v>#NUM!</v>
      </c>
      <c r="G188">
        <f t="array" ref="G188">IF(ISLOGICAL(F188),"",FREQUENCY(IF('Data Transformation'!$B$24:$B$404='Bin Analysis and Plots'!$D$171,'Data Transformation'!$G$24:$G$404),'Bin Analysis and Plots'!F188))</f>
        <v>0</v>
      </c>
      <c r="H188">
        <f t="shared" si="21"/>
        <v>0</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t="e">
        <f>Weighting!$C$21</f>
        <v>#DIV/0!</v>
      </c>
      <c r="E189" t="e">
        <f>Weighting!$E$21</f>
        <v>#NUM!</v>
      </c>
      <c r="F189" t="e">
        <f>IF(E189=1,'Data Transformation'!$G$3+0.5*'Data Transformation'!$U$25,IF(E190=1,F190-'Data Transformation'!$U$25,FALSE))</f>
        <v>#NUM!</v>
      </c>
      <c r="G189">
        <f t="array" ref="G189">IF(ISLOGICAL(F189),"",FREQUENCY(IF('Data Transformation'!$B$24:$B$404='Bin Analysis and Plots'!$D$171,'Data Transformation'!$G$24:$G$404),'Bin Analysis and Plots'!F189))</f>
        <v>0</v>
      </c>
      <c r="H189">
        <f t="shared" si="21"/>
        <v>0</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t="e">
        <f>Weighting!$C$22</f>
        <v>#DIV/0!</v>
      </c>
      <c r="E190" t="e">
        <f>Weighting!$E$22</f>
        <v>#NUM!</v>
      </c>
      <c r="F190" t="e">
        <f>IF(E190=1,'Data Transformation'!$G$3+0.5*'Data Transformation'!$U$25,IF(E191=1,F191-'Data Transformation'!$U$25,FALSE))</f>
        <v>#NUM!</v>
      </c>
      <c r="G190">
        <f t="array" ref="G190">IF(ISLOGICAL(F190),"",FREQUENCY(IF('Data Transformation'!$B$24:$B$404='Bin Analysis and Plots'!$D$171,'Data Transformation'!$G$24:$G$404),'Bin Analysis and Plots'!F190))</f>
        <v>0</v>
      </c>
      <c r="H190">
        <f t="shared" si="21"/>
        <v>0</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t="e">
        <f>Weighting!$C$23</f>
        <v>#DIV/0!</v>
      </c>
      <c r="E191" t="e">
        <f>Weighting!$E$23</f>
        <v>#NUM!</v>
      </c>
      <c r="F191" t="e">
        <f>IF(E191=1,'Data Transformation'!$G$3+0.5*'Data Transformation'!$U$25,IF(E192=1,F192-'Data Transformation'!$U$25,FALSE))</f>
        <v>#NUM!</v>
      </c>
      <c r="G191">
        <f t="array" ref="G191">IF(ISLOGICAL(F191),"",FREQUENCY(IF('Data Transformation'!$B$24:$B$404='Bin Analysis and Plots'!$D$171,'Data Transformation'!$G$24:$G$404),'Bin Analysis and Plots'!F191))</f>
        <v>0</v>
      </c>
      <c r="H191">
        <f t="shared" si="21"/>
        <v>0</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t="e">
        <f>Weighting!$C$24</f>
        <v>#DIV/0!</v>
      </c>
      <c r="E192" t="e">
        <f>Weighting!$E$24</f>
        <v>#NUM!</v>
      </c>
      <c r="F192" t="e">
        <f>IF(E192=1,'Data Transformation'!$G$3+0.5*'Data Transformation'!$U$25,IF(E193=1,F193-'Data Transformation'!$U$25,FALSE))</f>
        <v>#NUM!</v>
      </c>
      <c r="G192">
        <f t="array" ref="G192">IF(ISLOGICAL(F192),"",FREQUENCY(IF('Data Transformation'!$B$24:$B$404='Bin Analysis and Plots'!$D$171,'Data Transformation'!$G$24:$G$404),'Bin Analysis and Plots'!F192))</f>
        <v>0</v>
      </c>
      <c r="H192">
        <f t="shared" si="21"/>
        <v>0</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b">
        <f t="array" ref="A193">IF(ISERROR(INDEX('Data Transformation'!$B$4:$G$450,SMALL(IF('Data Transformation'!$B$4:$B$450='Bin Analysis and Plots'!D171,ROW('Data Transformation'!$B$4:$B$450)),ROW($20:$20))-3,3)),"",INDEX('Data Transformation'!$B$4:$G$450,SMALL(IF('Data Transformation'!$B$4:$B$450='Bin Analysis and Plots'!D171,ROW('Data Transformation'!$B$4:$B$450)),ROW($20:$20))-3,6))</f>
        <v>0</v>
      </c>
      <c r="B193" s="29" t="str">
        <f>IFERROR(SMALL(A174:A193,'Data Transformation'!$L$25),"")</f>
        <v/>
      </c>
      <c r="C193" s="41" t="str">
        <f>IF(Weighting!$O$25&gt;0,D193,"")</f>
        <v/>
      </c>
      <c r="D193" t="e">
        <f>Weighting!$C$25</f>
        <v>#DIV/0!</v>
      </c>
      <c r="E193" t="e">
        <f>Weighting!$E$25</f>
        <v>#NUM!</v>
      </c>
      <c r="F193" t="e">
        <f>IF(E193=1,'Data Transformation'!$G$3+0.5*'Data Transformation'!$U$25,IF(E194=1,F194-'Data Transformation'!$U$25,FALSE))</f>
        <v>#NUM!</v>
      </c>
      <c r="G193">
        <f t="array" ref="G193">IF(ISLOGICAL(F193),"",FREQUENCY(IF('Data Transformation'!$B$24:$B$404='Bin Analysis and Plots'!$D$171,'Data Transformation'!$G$24:$G$404),'Bin Analysis and Plots'!F193))</f>
        <v>0</v>
      </c>
      <c r="H193">
        <f t="shared" si="21"/>
        <v>0</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1">
      <c r="A196" s="91" t="s">
        <v>64</v>
      </c>
      <c r="B196" s="91"/>
      <c r="C196" s="14" t="s">
        <v>72</v>
      </c>
      <c r="D196" t="s">
        <v>50</v>
      </c>
      <c r="E196" t="s">
        <v>5</v>
      </c>
      <c r="I196" t="s">
        <v>74</v>
      </c>
      <c r="J196" t="s">
        <v>34</v>
      </c>
      <c r="K196" t="s">
        <v>35</v>
      </c>
      <c r="L196" t="s">
        <v>49</v>
      </c>
      <c r="M196" s="14" t="s">
        <v>48</v>
      </c>
      <c r="Z196" s="78">
        <v>0</v>
      </c>
      <c r="AA196" s="78">
        <v>0</v>
      </c>
    </row>
    <row r="197" spans="1:27">
      <c r="C197" s="41" t="str">
        <f>IF(B197="","",D197)</f>
        <v/>
      </c>
      <c r="F197" t="e">
        <f>IF(E197=1,'Data Transformation'!$G$3+0.5*'Data Transformation'!$U$25,IF(E198=1,F198-'Data Transformation'!$U$25,FALSE))</f>
        <v>#NUM!</v>
      </c>
      <c r="G197">
        <f t="array" ref="G197">IF(ISLOGICAL(F197),"",FREQUENCY(IF('Data Transformation'!$B$24:$B$404='Bin Analysis and Plots'!$D$195,'Data Transformation'!$G$24:$G$404),'Bin Analysis and Plots'!F197))</f>
        <v>0</v>
      </c>
      <c r="H197">
        <f>IF(ISLOGICAL(F197),"",G197-G196)</f>
        <v>0</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t="e">
        <f>IF(Weighting!$O$6&gt;0,D198,"")</f>
        <v>#NUM!</v>
      </c>
      <c r="D198" t="e">
        <f>Weighting!$C$6</f>
        <v>#DIV/0!</v>
      </c>
      <c r="E198" t="e">
        <f>Weighting!$E$6</f>
        <v>#NUM!</v>
      </c>
      <c r="F198" t="e">
        <f>IF(E198=1,'Data Transformation'!$G$3+0.5*'Data Transformation'!$U$25,IF(E199=1,F199-'Data Transformation'!$U$25,FALSE))</f>
        <v>#NUM!</v>
      </c>
      <c r="G198">
        <f t="array" ref="G198">IF(ISLOGICAL(F198),"",FREQUENCY(IF('Data Transformation'!$B$24:$B$404='Bin Analysis and Plots'!$D$195,'Data Transformation'!$G$24:$G$404),'Bin Analysis and Plots'!F198))</f>
        <v>0</v>
      </c>
      <c r="H198">
        <f>IF(ISLOGICAL(F198),"",G198-G197)</f>
        <v>0</v>
      </c>
      <c r="I198">
        <f>Weighting!$G$6</f>
        <v>1</v>
      </c>
      <c r="J198">
        <f t="array" ref="J198">FREQUENCY(IF('Data Transformation'!$B$4:$B$404=D195,'Data Transformation'!$G$4:$G$404),'Bin Analysis and Plots'!$D198)</f>
        <v>0</v>
      </c>
      <c r="K198">
        <f>J198-J197</f>
        <v>0</v>
      </c>
      <c r="L198">
        <f>IF(K198=0,0,1)</f>
        <v>0</v>
      </c>
      <c r="M198" t="e">
        <f>L198*Weighting!$V$6</f>
        <v>#NUM!</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t="str">
        <f>IF(Weighting!$O$7&gt;0,D199,"")</f>
        <v/>
      </c>
      <c r="D199" t="e">
        <f>Weighting!$C$7</f>
        <v>#DIV/0!</v>
      </c>
      <c r="E199" t="e">
        <f>Weighting!$E$7</f>
        <v>#NUM!</v>
      </c>
      <c r="F199" t="e">
        <f>IF(E199=1,'Data Transformation'!$G$3+0.5*'Data Transformation'!$U$25,IF(E200=1,F200-'Data Transformation'!$U$25,FALSE))</f>
        <v>#NUM!</v>
      </c>
      <c r="G199">
        <f t="array" ref="G199">IF(ISLOGICAL(F199),"",FREQUENCY(IF('Data Transformation'!$B$24:$B$404='Bin Analysis and Plots'!$D$195,'Data Transformation'!$G$24:$G$404),'Bin Analysis and Plots'!F199))</f>
        <v>0</v>
      </c>
      <c r="H199">
        <f t="shared" ref="H199:H217" si="24">IF(ISLOGICAL(F199),"",G199-G198)</f>
        <v>0</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t="str">
        <f>IF(Weighting!$O$8&gt;0,D200,"")</f>
        <v/>
      </c>
      <c r="D200" t="e">
        <f>Weighting!$C$8</f>
        <v>#DIV/0!</v>
      </c>
      <c r="E200" t="e">
        <f>Weighting!$E$8</f>
        <v>#NUM!</v>
      </c>
      <c r="F200" t="e">
        <f>IF(E200=1,'Data Transformation'!$G$3+0.5*'Data Transformation'!$U$25,IF(E201=1,F201-'Data Transformation'!$U$25,FALSE))</f>
        <v>#NUM!</v>
      </c>
      <c r="G200">
        <f t="array" ref="G200">IF(ISLOGICAL(F200),"",FREQUENCY(IF('Data Transformation'!$B$24:$B$404='Bin Analysis and Plots'!$D$195,'Data Transformation'!$G$24:$G$404),'Bin Analysis and Plots'!F200))</f>
        <v>0</v>
      </c>
      <c r="H200">
        <f t="shared" si="24"/>
        <v>0</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t="str">
        <f>IF(Weighting!$O$9&gt;0,D201,"")</f>
        <v/>
      </c>
      <c r="D201" t="e">
        <f>Weighting!$B$9</f>
        <v>#DIV/0!</v>
      </c>
      <c r="E201" t="e">
        <f>Weighting!$E$9</f>
        <v>#NUM!</v>
      </c>
      <c r="F201" t="e">
        <f>IF(E201=1,'Data Transformation'!$G$3+0.5*'Data Transformation'!$U$25,IF(E202=1,F202-'Data Transformation'!$U$25,FALSE))</f>
        <v>#NUM!</v>
      </c>
      <c r="G201">
        <f t="array" ref="G201">IF(ISLOGICAL(F201),"",FREQUENCY(IF('Data Transformation'!$B$24:$B$404='Bin Analysis and Plots'!$D$195,'Data Transformation'!$G$24:$G$404),'Bin Analysis and Plots'!F201))</f>
        <v>0</v>
      </c>
      <c r="H201">
        <f t="shared" si="24"/>
        <v>0</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t="str">
        <f>IF(Weighting!$O$10&gt;0,D202,"")</f>
        <v/>
      </c>
      <c r="D202" t="e">
        <f>Weighting!$C$10</f>
        <v>#DIV/0!</v>
      </c>
      <c r="E202" t="e">
        <f>Weighting!$E$10</f>
        <v>#NUM!</v>
      </c>
      <c r="F202" t="e">
        <f>IF(E202=1,'Data Transformation'!$G$3+0.5*'Data Transformation'!$U$25,IF(E203=1,F203-'Data Transformation'!$U$25,FALSE))</f>
        <v>#NUM!</v>
      </c>
      <c r="G202">
        <f t="array" ref="G202">IF(ISLOGICAL(F202),"",FREQUENCY(IF('Data Transformation'!$B$24:$B$404='Bin Analysis and Plots'!$D$195,'Data Transformation'!$G$24:$G$404),'Bin Analysis and Plots'!F202))</f>
        <v>0</v>
      </c>
      <c r="H202">
        <f t="shared" si="24"/>
        <v>0</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t="str">
        <f>IF(Weighting!$O$11&gt;0,D203,"")</f>
        <v/>
      </c>
      <c r="D203" t="e">
        <f>Weighting!$C$11</f>
        <v>#DIV/0!</v>
      </c>
      <c r="E203" t="e">
        <f>Weighting!$E$11</f>
        <v>#NUM!</v>
      </c>
      <c r="F203" t="e">
        <f>IF(E203=1,'Data Transformation'!$G$3+0.5*'Data Transformation'!$U$25,IF(E204=1,F204-'Data Transformation'!$U$25,FALSE))</f>
        <v>#NUM!</v>
      </c>
      <c r="G203">
        <f t="array" ref="G203">IF(ISLOGICAL(F203),"",FREQUENCY(IF('Data Transformation'!$B$24:$B$404='Bin Analysis and Plots'!$D$195,'Data Transformation'!$G$24:$G$404),'Bin Analysis and Plots'!F203))</f>
        <v>0</v>
      </c>
      <c r="H203">
        <f t="shared" si="24"/>
        <v>0</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t="str">
        <f>IF(Weighting!$O$12&gt;0,D204,"")</f>
        <v/>
      </c>
      <c r="D204" t="e">
        <f>Weighting!$C$12</f>
        <v>#DIV/0!</v>
      </c>
      <c r="E204" t="e">
        <f>Weighting!$E$12</f>
        <v>#NUM!</v>
      </c>
      <c r="F204" t="e">
        <f>IF(E204=1,'Data Transformation'!$G$3+0.5*'Data Transformation'!$U$25,IF(E205=1,F205-'Data Transformation'!$U$25,FALSE))</f>
        <v>#NUM!</v>
      </c>
      <c r="G204">
        <f t="array" ref="G204">IF(ISLOGICAL(F204),"",FREQUENCY(IF('Data Transformation'!$B$24:$B$404='Bin Analysis and Plots'!$D$195,'Data Transformation'!$G$24:$G$404),'Bin Analysis and Plots'!F204))</f>
        <v>0</v>
      </c>
      <c r="H204">
        <f t="shared" si="24"/>
        <v>0</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t="str">
        <f>IF(Weighting!$O$13&gt;0,D205,"")</f>
        <v/>
      </c>
      <c r="D205" t="e">
        <f>Weighting!$C$13</f>
        <v>#DIV/0!</v>
      </c>
      <c r="E205" t="e">
        <f>Weighting!$E$13</f>
        <v>#NUM!</v>
      </c>
      <c r="F205" t="e">
        <f>IF(E205=1,'Data Transformation'!$G$3+0.5*'Data Transformation'!$U$25,IF(E206=1,F206-'Data Transformation'!$U$25,FALSE))</f>
        <v>#NUM!</v>
      </c>
      <c r="G205">
        <f t="array" ref="G205">IF(ISLOGICAL(F205),"",FREQUENCY(IF('Data Transformation'!$B$24:$B$404='Bin Analysis and Plots'!$D$195,'Data Transformation'!$G$24:$G$404),'Bin Analysis and Plots'!F205))</f>
        <v>0</v>
      </c>
      <c r="H205">
        <f t="shared" si="24"/>
        <v>0</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t="str">
        <f>IF(Weighting!$O$14&gt;0,D206,"")</f>
        <v/>
      </c>
      <c r="D206" t="e">
        <f>Weighting!$C$14</f>
        <v>#DIV/0!</v>
      </c>
      <c r="E206" t="e">
        <f>Weighting!$E$14</f>
        <v>#NUM!</v>
      </c>
      <c r="F206" t="e">
        <f>IF(E206=1,'Data Transformation'!$G$3+0.5*'Data Transformation'!$U$25,IF(E207=1,F207-'Data Transformation'!$U$25,FALSE))</f>
        <v>#NUM!</v>
      </c>
      <c r="G206">
        <f t="array" ref="G206">IF(ISLOGICAL(F206),"",FREQUENCY(IF('Data Transformation'!$B$24:$B$404='Bin Analysis and Plots'!$D$195,'Data Transformation'!$G$24:$G$404),'Bin Analysis and Plots'!F206))</f>
        <v>0</v>
      </c>
      <c r="H206">
        <f t="shared" si="24"/>
        <v>0</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t="str">
        <f>IF(Weighting!$O$15&gt;0,D207,"")</f>
        <v/>
      </c>
      <c r="D207" t="e">
        <f>Weighting!$C$15</f>
        <v>#DIV/0!</v>
      </c>
      <c r="E207" t="e">
        <f>Weighting!$E$15</f>
        <v>#NUM!</v>
      </c>
      <c r="F207" t="e">
        <f>IF(E207=1,'Data Transformation'!$G$3+0.5*'Data Transformation'!$U$25,IF(E208=1,F208-'Data Transformation'!$U$25,FALSE))</f>
        <v>#NUM!</v>
      </c>
      <c r="G207">
        <f t="array" ref="G207">IF(ISLOGICAL(F207),"",FREQUENCY(IF('Data Transformation'!$B$24:$B$404='Bin Analysis and Plots'!$D$195,'Data Transformation'!$G$24:$G$404),'Bin Analysis and Plots'!F207))</f>
        <v>0</v>
      </c>
      <c r="H207">
        <f t="shared" si="24"/>
        <v>0</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t="e">
        <f>Weighting!$C$16</f>
        <v>#DIV/0!</v>
      </c>
      <c r="E208" t="e">
        <f>Weighting!$E$16</f>
        <v>#NUM!</v>
      </c>
      <c r="F208" t="e">
        <f>IF(E208=1,'Data Transformation'!$G$3+0.5*'Data Transformation'!$U$25,IF(E209=1,F209-'Data Transformation'!$U$25,FALSE))</f>
        <v>#NUM!</v>
      </c>
      <c r="G208">
        <f t="array" ref="G208">IF(ISLOGICAL(F208),"",FREQUENCY(IF('Data Transformation'!$B$24:$B$404='Bin Analysis and Plots'!$D$195,'Data Transformation'!$G$24:$G$404),'Bin Analysis and Plots'!F208))</f>
        <v>0</v>
      </c>
      <c r="H208">
        <f t="shared" si="24"/>
        <v>0</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t="e">
        <f>Weighting!$C$17</f>
        <v>#DIV/0!</v>
      </c>
      <c r="E209" t="e">
        <f>Weighting!$E$17</f>
        <v>#NUM!</v>
      </c>
      <c r="F209" t="e">
        <f>IF(E209=1,'Data Transformation'!$G$3+0.5*'Data Transformation'!$U$25,IF(E210=1,F210-'Data Transformation'!$U$25,FALSE))</f>
        <v>#NUM!</v>
      </c>
      <c r="G209">
        <f t="array" ref="G209">IF(ISLOGICAL(F209),"",FREQUENCY(IF('Data Transformation'!$B$24:$B$404='Bin Analysis and Plots'!$D$195,'Data Transformation'!$G$24:$G$404),'Bin Analysis and Plots'!F209))</f>
        <v>0</v>
      </c>
      <c r="H209">
        <f t="shared" si="24"/>
        <v>0</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t="e">
        <f>Weighting!$C$18</f>
        <v>#DIV/0!</v>
      </c>
      <c r="E210" t="e">
        <f>Weighting!$E$18</f>
        <v>#NUM!</v>
      </c>
      <c r="F210" t="e">
        <f>IF(E210=1,'Data Transformation'!$G$3+0.5*'Data Transformation'!$U$25,IF(E211=1,F211-'Data Transformation'!$U$25,FALSE))</f>
        <v>#NUM!</v>
      </c>
      <c r="G210">
        <f t="array" ref="G210">IF(ISLOGICAL(F210),"",FREQUENCY(IF('Data Transformation'!$B$24:$B$404='Bin Analysis and Plots'!$D$195,'Data Transformation'!$G$24:$G$404),'Bin Analysis and Plots'!F210))</f>
        <v>0</v>
      </c>
      <c r="H210">
        <f t="shared" si="24"/>
        <v>0</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t="e">
        <f>Weighting!$C$19</f>
        <v>#DIV/0!</v>
      </c>
      <c r="E211" t="e">
        <f>Weighting!$E$19</f>
        <v>#NUM!</v>
      </c>
      <c r="F211" t="e">
        <f>IF(E211=1,'Data Transformation'!$G$3+0.5*'Data Transformation'!$U$25,IF(E212=1,F212-'Data Transformation'!$U$25,FALSE))</f>
        <v>#NUM!</v>
      </c>
      <c r="G211">
        <f t="array" ref="G211">IF(ISLOGICAL(F211),"",FREQUENCY(IF('Data Transformation'!$B$24:$B$404='Bin Analysis and Plots'!$D$195,'Data Transformation'!$G$24:$G$404),'Bin Analysis and Plots'!F211))</f>
        <v>0</v>
      </c>
      <c r="H211">
        <f t="shared" si="24"/>
        <v>0</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t="e">
        <f>Weighting!$C$20</f>
        <v>#DIV/0!</v>
      </c>
      <c r="E212" t="e">
        <f>Weighting!$E$20</f>
        <v>#NUM!</v>
      </c>
      <c r="F212" t="e">
        <f>IF(E212=1,'Data Transformation'!$G$3+0.5*'Data Transformation'!$U$25,IF(E213=1,F213-'Data Transformation'!$U$25,FALSE))</f>
        <v>#NUM!</v>
      </c>
      <c r="G212">
        <f t="array" ref="G212">IF(ISLOGICAL(F212),"",FREQUENCY(IF('Data Transformation'!$B$24:$B$404='Bin Analysis and Plots'!$D$195,'Data Transformation'!$G$24:$G$404),'Bin Analysis and Plots'!F212))</f>
        <v>0</v>
      </c>
      <c r="H212">
        <f t="shared" si="24"/>
        <v>0</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t="e">
        <f>Weighting!$C$21</f>
        <v>#DIV/0!</v>
      </c>
      <c r="E213" t="e">
        <f>Weighting!$E$21</f>
        <v>#NUM!</v>
      </c>
      <c r="F213" t="e">
        <f>IF(E213=1,'Data Transformation'!$G$3+0.5*'Data Transformation'!$U$25,IF(E214=1,F214-'Data Transformation'!$U$25,FALSE))</f>
        <v>#NUM!</v>
      </c>
      <c r="G213">
        <f t="array" ref="G213">IF(ISLOGICAL(F213),"",FREQUENCY(IF('Data Transformation'!$B$24:$B$404='Bin Analysis and Plots'!$D$195,'Data Transformation'!$G$24:$G$404),'Bin Analysis and Plots'!F213))</f>
        <v>0</v>
      </c>
      <c r="H213">
        <f t="shared" si="24"/>
        <v>0</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t="e">
        <f>Weighting!$C$22</f>
        <v>#DIV/0!</v>
      </c>
      <c r="E214" t="e">
        <f>Weighting!$E$22</f>
        <v>#NUM!</v>
      </c>
      <c r="F214" t="e">
        <f>IF(E214=1,'Data Transformation'!$G$3+0.5*'Data Transformation'!$U$25,IF(E215=1,F215-'Data Transformation'!$U$25,FALSE))</f>
        <v>#NUM!</v>
      </c>
      <c r="G214">
        <f t="array" ref="G214">IF(ISLOGICAL(F214),"",FREQUENCY(IF('Data Transformation'!$B$24:$B$404='Bin Analysis and Plots'!$D$195,'Data Transformation'!$G$24:$G$404),'Bin Analysis and Plots'!F214))</f>
        <v>0</v>
      </c>
      <c r="H214">
        <f t="shared" si="24"/>
        <v>0</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t="e">
        <f>Weighting!$C$23</f>
        <v>#DIV/0!</v>
      </c>
      <c r="E215" t="e">
        <f>Weighting!$E$23</f>
        <v>#NUM!</v>
      </c>
      <c r="F215" t="e">
        <f>IF(E215=1,'Data Transformation'!$G$3+0.5*'Data Transformation'!$U$25,IF(E216=1,F216-'Data Transformation'!$U$25,FALSE))</f>
        <v>#NUM!</v>
      </c>
      <c r="G215">
        <f t="array" ref="G215">IF(ISLOGICAL(F215),"",FREQUENCY(IF('Data Transformation'!$B$24:$B$404='Bin Analysis and Plots'!$D$195,'Data Transformation'!$G$24:$G$404),'Bin Analysis and Plots'!F215))</f>
        <v>0</v>
      </c>
      <c r="H215">
        <f t="shared" si="24"/>
        <v>0</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t="e">
        <f>Weighting!$C$24</f>
        <v>#DIV/0!</v>
      </c>
      <c r="E216" t="e">
        <f>Weighting!$E$24</f>
        <v>#NUM!</v>
      </c>
      <c r="F216" t="e">
        <f>IF(E216=1,'Data Transformation'!$G$3+0.5*'Data Transformation'!$U$25,IF(E217=1,F217-'Data Transformation'!$U$25,FALSE))</f>
        <v>#NUM!</v>
      </c>
      <c r="G216">
        <f t="array" ref="G216">IF(ISLOGICAL(F216),"",FREQUENCY(IF('Data Transformation'!$B$24:$B$404='Bin Analysis and Plots'!$D$195,'Data Transformation'!$G$24:$G$404),'Bin Analysis and Plots'!F216))</f>
        <v>0</v>
      </c>
      <c r="H216">
        <f t="shared" si="24"/>
        <v>0</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b">
        <f t="array" ref="A217">IF(ISERROR(INDEX('Data Transformation'!$B$4:$G$450,SMALL(IF('Data Transformation'!$B$4:$B$450='Bin Analysis and Plots'!D195,ROW('Data Transformation'!$B$4:$B$450)),ROW($20:$20))-3,3)),"",INDEX('Data Transformation'!$B$4:$G$450,SMALL(IF('Data Transformation'!$B$4:$B$450='Bin Analysis and Plots'!D195,ROW('Data Transformation'!$B$4:$B$450)),ROW($20:$20))-3,6))</f>
        <v>0</v>
      </c>
      <c r="B217" s="29" t="str">
        <f>IFERROR(SMALL(A198:A217,'Data Transformation'!$L$25),"")</f>
        <v/>
      </c>
      <c r="C217" s="41" t="str">
        <f>IF(Weighting!$O$25&gt;0,D217,"")</f>
        <v/>
      </c>
      <c r="D217" t="e">
        <f>Weighting!$C$25</f>
        <v>#DIV/0!</v>
      </c>
      <c r="E217" t="e">
        <f>Weighting!$E$25</f>
        <v>#NUM!</v>
      </c>
      <c r="F217" t="e">
        <f>IF(E217=1,'Data Transformation'!$G$3+0.5*'Data Transformation'!$U$25,IF(E218=1,F218-'Data Transformation'!$U$25,FALSE))</f>
        <v>#NUM!</v>
      </c>
      <c r="G217">
        <f t="array" ref="G217">IF(ISLOGICAL(F217),"",FREQUENCY(IF('Data Transformation'!$B$24:$B$404='Bin Analysis and Plots'!$D$195,'Data Transformation'!$G$24:$G$404),'Bin Analysis and Plots'!F217))</f>
        <v>0</v>
      </c>
      <c r="H217">
        <f t="shared" si="24"/>
        <v>0</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1">
      <c r="A220" s="91" t="s">
        <v>64</v>
      </c>
      <c r="B220" s="91"/>
      <c r="C220" s="14" t="s">
        <v>72</v>
      </c>
      <c r="D220" t="s">
        <v>50</v>
      </c>
      <c r="E220" t="s">
        <v>5</v>
      </c>
      <c r="I220" t="s">
        <v>74</v>
      </c>
      <c r="J220" t="s">
        <v>34</v>
      </c>
      <c r="K220" t="s">
        <v>35</v>
      </c>
      <c r="L220" t="s">
        <v>49</v>
      </c>
      <c r="M220" s="14" t="s">
        <v>48</v>
      </c>
      <c r="Z220" s="78">
        <v>0</v>
      </c>
      <c r="AA220" s="78">
        <v>0</v>
      </c>
    </row>
    <row r="221" spans="1:27">
      <c r="C221" s="41" t="str">
        <f>IF(B221="","",D221)</f>
        <v/>
      </c>
      <c r="F221" t="e">
        <f>IF(E221=1,'Data Transformation'!$G$3+0.5*'Data Transformation'!$U$25,IF(E222=1,F222-'Data Transformation'!$U$25,FALSE))</f>
        <v>#NUM!</v>
      </c>
      <c r="G221">
        <f t="array" ref="G221">IF(ISLOGICAL(F221),"",FREQUENCY(IF('Data Transformation'!$B$24:$B$404='Bin Analysis and Plots'!$D$219,'Data Transformation'!$G$24:$G$404),'Bin Analysis and Plots'!F221))</f>
        <v>0</v>
      </c>
      <c r="H221">
        <f>IF(ISLOGICAL(F221),"",G221-G220)</f>
        <v>0</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t="e">
        <f>IF(Weighting!$O$6&gt;0,D222,"")</f>
        <v>#NUM!</v>
      </c>
      <c r="D222" t="e">
        <f>Weighting!$C$6</f>
        <v>#DIV/0!</v>
      </c>
      <c r="E222" t="e">
        <f>Weighting!$E$6</f>
        <v>#NUM!</v>
      </c>
      <c r="F222" t="e">
        <f>IF(E222=1,'Data Transformation'!$G$3+0.5*'Data Transformation'!$U$25,IF(E223=1,F223-'Data Transformation'!$U$25,FALSE))</f>
        <v>#NUM!</v>
      </c>
      <c r="G222">
        <f t="array" ref="G222">IF(ISLOGICAL(F222),"",FREQUENCY(IF('Data Transformation'!$B$24:$B$404='Bin Analysis and Plots'!$D$219,'Data Transformation'!$G$24:$G$404),'Bin Analysis and Plots'!F222))</f>
        <v>0</v>
      </c>
      <c r="H222">
        <f>IF(ISLOGICAL(F222),"",G222-G221)</f>
        <v>0</v>
      </c>
      <c r="I222">
        <f>Weighting!$G$6</f>
        <v>1</v>
      </c>
      <c r="J222">
        <f t="array" ref="J222">FREQUENCY(IF('Data Transformation'!$B$4:$B$404=D219,'Data Transformation'!$G$4:$G$404),'Bin Analysis and Plots'!$D222)</f>
        <v>0</v>
      </c>
      <c r="K222">
        <f>J222-J221</f>
        <v>0</v>
      </c>
      <c r="L222">
        <f>IF(K222=0,0,1)</f>
        <v>0</v>
      </c>
      <c r="M222" t="e">
        <f>L222*Weighting!$V$6</f>
        <v>#NUM!</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t="str">
        <f>IF(Weighting!$O$7&gt;0,D223,"")</f>
        <v/>
      </c>
      <c r="D223" t="e">
        <f>Weighting!$C$7</f>
        <v>#DIV/0!</v>
      </c>
      <c r="E223" t="e">
        <f>Weighting!$E$7</f>
        <v>#NUM!</v>
      </c>
      <c r="F223" t="e">
        <f>IF(E223=1,'Data Transformation'!$G$3+0.5*'Data Transformation'!$U$25,IF(E224=1,F224-'Data Transformation'!$U$25,FALSE))</f>
        <v>#NUM!</v>
      </c>
      <c r="G223">
        <f t="array" ref="G223">IF(ISLOGICAL(F223),"",FREQUENCY(IF('Data Transformation'!$B$24:$B$404='Bin Analysis and Plots'!$D$219,'Data Transformation'!$G$24:$G$404),'Bin Analysis and Plots'!F223))</f>
        <v>0</v>
      </c>
      <c r="H223">
        <f t="shared" ref="H223:H241" si="27">IF(ISLOGICAL(F223),"",G223-G222)</f>
        <v>0</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t="str">
        <f>IF(Weighting!$O$8&gt;0,D224,"")</f>
        <v/>
      </c>
      <c r="D224" t="e">
        <f>Weighting!$C$8</f>
        <v>#DIV/0!</v>
      </c>
      <c r="E224" t="e">
        <f>Weighting!$E$8</f>
        <v>#NUM!</v>
      </c>
      <c r="F224" t="e">
        <f>IF(E224=1,'Data Transformation'!$G$3+0.5*'Data Transformation'!$U$25,IF(E225=1,F225-'Data Transformation'!$U$25,FALSE))</f>
        <v>#NUM!</v>
      </c>
      <c r="G224">
        <f t="array" ref="G224">IF(ISLOGICAL(F224),"",FREQUENCY(IF('Data Transformation'!$B$24:$B$404='Bin Analysis and Plots'!$D$219,'Data Transformation'!$G$24:$G$404),'Bin Analysis and Plots'!F224))</f>
        <v>0</v>
      </c>
      <c r="H224">
        <f t="shared" si="27"/>
        <v>0</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t="str">
        <f>IF(Weighting!$O$9&gt;0,D225,"")</f>
        <v/>
      </c>
      <c r="D225" t="e">
        <f>Weighting!$B$9</f>
        <v>#DIV/0!</v>
      </c>
      <c r="E225" t="e">
        <f>Weighting!$E$9</f>
        <v>#NUM!</v>
      </c>
      <c r="F225" t="e">
        <f>IF(E225=1,'Data Transformation'!$G$3+0.5*'Data Transformation'!$U$25,IF(E226=1,F226-'Data Transformation'!$U$25,FALSE))</f>
        <v>#NUM!</v>
      </c>
      <c r="G225">
        <f t="array" ref="G225">IF(ISLOGICAL(F225),"",FREQUENCY(IF('Data Transformation'!$B$24:$B$404='Bin Analysis and Plots'!$D$219,'Data Transformation'!$G$24:$G$404),'Bin Analysis and Plots'!F225))</f>
        <v>0</v>
      </c>
      <c r="H225">
        <f t="shared" si="27"/>
        <v>0</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t="str">
        <f>IF(Weighting!$O$10&gt;0,D226,"")</f>
        <v/>
      </c>
      <c r="D226" t="e">
        <f>Weighting!$C$10</f>
        <v>#DIV/0!</v>
      </c>
      <c r="E226" t="e">
        <f>Weighting!$E$10</f>
        <v>#NUM!</v>
      </c>
      <c r="F226" t="e">
        <f>IF(E226=1,'Data Transformation'!$G$3+0.5*'Data Transformation'!$U$25,IF(E227=1,F227-'Data Transformation'!$U$25,FALSE))</f>
        <v>#NUM!</v>
      </c>
      <c r="G226">
        <f t="array" ref="G226">IF(ISLOGICAL(F226),"",FREQUENCY(IF('Data Transformation'!$B$24:$B$404='Bin Analysis and Plots'!$D$219,'Data Transformation'!$G$24:$G$404),'Bin Analysis and Plots'!F226))</f>
        <v>0</v>
      </c>
      <c r="H226">
        <f t="shared" si="27"/>
        <v>0</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t="str">
        <f>IF(Weighting!$O$11&gt;0,D227,"")</f>
        <v/>
      </c>
      <c r="D227" t="e">
        <f>Weighting!$C$11</f>
        <v>#DIV/0!</v>
      </c>
      <c r="E227" t="e">
        <f>Weighting!$E$11</f>
        <v>#NUM!</v>
      </c>
      <c r="F227" t="e">
        <f>IF(E227=1,'Data Transformation'!$G$3+0.5*'Data Transformation'!$U$25,IF(E228=1,F228-'Data Transformation'!$U$25,FALSE))</f>
        <v>#NUM!</v>
      </c>
      <c r="G227">
        <f t="array" ref="G227">IF(ISLOGICAL(F227),"",FREQUENCY(IF('Data Transformation'!$B$24:$B$404='Bin Analysis and Plots'!$D$219,'Data Transformation'!$G$24:$G$404),'Bin Analysis and Plots'!F227))</f>
        <v>0</v>
      </c>
      <c r="H227">
        <f t="shared" si="27"/>
        <v>0</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t="str">
        <f>IF(Weighting!$O$12&gt;0,D228,"")</f>
        <v/>
      </c>
      <c r="D228" t="e">
        <f>Weighting!$C$12</f>
        <v>#DIV/0!</v>
      </c>
      <c r="E228" t="e">
        <f>Weighting!$E$12</f>
        <v>#NUM!</v>
      </c>
      <c r="F228" t="e">
        <f>IF(E228=1,'Data Transformation'!$G$3+0.5*'Data Transformation'!$U$25,IF(E229=1,F229-'Data Transformation'!$U$25,FALSE))</f>
        <v>#NUM!</v>
      </c>
      <c r="G228">
        <f t="array" ref="G228">IF(ISLOGICAL(F228),"",FREQUENCY(IF('Data Transformation'!$B$24:$B$404='Bin Analysis and Plots'!$D$219,'Data Transformation'!$G$24:$G$404),'Bin Analysis and Plots'!F228))</f>
        <v>0</v>
      </c>
      <c r="H228">
        <f t="shared" si="27"/>
        <v>0</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t="str">
        <f>IF(Weighting!$O$13&gt;0,D229,"")</f>
        <v/>
      </c>
      <c r="D229" t="e">
        <f>Weighting!$C$13</f>
        <v>#DIV/0!</v>
      </c>
      <c r="E229" t="e">
        <f>Weighting!$E$13</f>
        <v>#NUM!</v>
      </c>
      <c r="F229" t="e">
        <f>IF(E229=1,'Data Transformation'!$G$3+0.5*'Data Transformation'!$U$25,IF(E230=1,F230-'Data Transformation'!$U$25,FALSE))</f>
        <v>#NUM!</v>
      </c>
      <c r="G229">
        <f t="array" ref="G229">IF(ISLOGICAL(F229),"",FREQUENCY(IF('Data Transformation'!$B$24:$B$404='Bin Analysis and Plots'!$D$219,'Data Transformation'!$G$24:$G$404),'Bin Analysis and Plots'!F229))</f>
        <v>0</v>
      </c>
      <c r="H229">
        <f t="shared" si="27"/>
        <v>0</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t="str">
        <f>IF(Weighting!$O$14&gt;0,D230,"")</f>
        <v/>
      </c>
      <c r="D230" t="e">
        <f>Weighting!$C$14</f>
        <v>#DIV/0!</v>
      </c>
      <c r="E230" t="e">
        <f>Weighting!$E$14</f>
        <v>#NUM!</v>
      </c>
      <c r="F230" t="e">
        <f>IF(E230=1,'Data Transformation'!$G$3+0.5*'Data Transformation'!$U$25,IF(E231=1,F231-'Data Transformation'!$U$25,FALSE))</f>
        <v>#NUM!</v>
      </c>
      <c r="G230">
        <f t="array" ref="G230">IF(ISLOGICAL(F230),"",FREQUENCY(IF('Data Transformation'!$B$24:$B$404='Bin Analysis and Plots'!$D$219,'Data Transformation'!$G$24:$G$404),'Bin Analysis and Plots'!F230))</f>
        <v>0</v>
      </c>
      <c r="H230">
        <f t="shared" si="27"/>
        <v>0</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t="str">
        <f>IF(Weighting!$O$15&gt;0,D231,"")</f>
        <v/>
      </c>
      <c r="D231" t="e">
        <f>Weighting!$C$15</f>
        <v>#DIV/0!</v>
      </c>
      <c r="E231" t="e">
        <f>Weighting!$E$15</f>
        <v>#NUM!</v>
      </c>
      <c r="F231" t="e">
        <f>IF(E231=1,'Data Transformation'!$G$3+0.5*'Data Transformation'!$U$25,IF(E232=1,F232-'Data Transformation'!$U$25,FALSE))</f>
        <v>#NUM!</v>
      </c>
      <c r="G231">
        <f t="array" ref="G231">IF(ISLOGICAL(F231),"",FREQUENCY(IF('Data Transformation'!$B$24:$B$404='Bin Analysis and Plots'!$D$219,'Data Transformation'!$G$24:$G$404),'Bin Analysis and Plots'!F231))</f>
        <v>0</v>
      </c>
      <c r="H231">
        <f t="shared" si="27"/>
        <v>0</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t="e">
        <f>Weighting!$C$16</f>
        <v>#DIV/0!</v>
      </c>
      <c r="E232" t="e">
        <f>Weighting!$E$16</f>
        <v>#NUM!</v>
      </c>
      <c r="F232" t="e">
        <f>IF(E232=1,'Data Transformation'!$G$3+0.5*'Data Transformation'!$U$25,IF(E233=1,F233-'Data Transformation'!$U$25,FALSE))</f>
        <v>#NUM!</v>
      </c>
      <c r="G232">
        <f t="array" ref="G232">IF(ISLOGICAL(F232),"",FREQUENCY(IF('Data Transformation'!$B$24:$B$404='Bin Analysis and Plots'!$D$219,'Data Transformation'!$G$24:$G$404),'Bin Analysis and Plots'!F232))</f>
        <v>0</v>
      </c>
      <c r="H232">
        <f t="shared" si="27"/>
        <v>0</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t="e">
        <f>Weighting!$C$17</f>
        <v>#DIV/0!</v>
      </c>
      <c r="E233" t="e">
        <f>Weighting!$E$17</f>
        <v>#NUM!</v>
      </c>
      <c r="F233" t="e">
        <f>IF(E233=1,'Data Transformation'!$G$3+0.5*'Data Transformation'!$U$25,IF(E234=1,F234-'Data Transformation'!$U$25,FALSE))</f>
        <v>#NUM!</v>
      </c>
      <c r="G233">
        <f t="array" ref="G233">IF(ISLOGICAL(F233),"",FREQUENCY(IF('Data Transformation'!$B$24:$B$404='Bin Analysis and Plots'!$D$219,'Data Transformation'!$G$24:$G$404),'Bin Analysis and Plots'!F233))</f>
        <v>0</v>
      </c>
      <c r="H233">
        <f t="shared" si="27"/>
        <v>0</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t="e">
        <f>Weighting!$C$18</f>
        <v>#DIV/0!</v>
      </c>
      <c r="E234" t="e">
        <f>Weighting!$E$18</f>
        <v>#NUM!</v>
      </c>
      <c r="F234" t="e">
        <f>IF(E234=1,'Data Transformation'!$G$3+0.5*'Data Transformation'!$U$25,IF(E235=1,F235-'Data Transformation'!$U$25,FALSE))</f>
        <v>#NUM!</v>
      </c>
      <c r="G234">
        <f t="array" ref="G234">IF(ISLOGICAL(F234),"",FREQUENCY(IF('Data Transformation'!$B$24:$B$404='Bin Analysis and Plots'!$D$219,'Data Transformation'!$G$24:$G$404),'Bin Analysis and Plots'!F234))</f>
        <v>0</v>
      </c>
      <c r="H234">
        <f t="shared" si="27"/>
        <v>0</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t="e">
        <f>Weighting!$C$19</f>
        <v>#DIV/0!</v>
      </c>
      <c r="E235" t="e">
        <f>Weighting!$E$19</f>
        <v>#NUM!</v>
      </c>
      <c r="F235" t="e">
        <f>IF(E235=1,'Data Transformation'!$G$3+0.5*'Data Transformation'!$U$25,IF(E236=1,F236-'Data Transformation'!$U$25,FALSE))</f>
        <v>#NUM!</v>
      </c>
      <c r="G235">
        <f t="array" ref="G235">IF(ISLOGICAL(F235),"",FREQUENCY(IF('Data Transformation'!$B$24:$B$404='Bin Analysis and Plots'!$D$219,'Data Transformation'!$G$24:$G$404),'Bin Analysis and Plots'!F235))</f>
        <v>0</v>
      </c>
      <c r="H235">
        <f t="shared" si="27"/>
        <v>0</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t="e">
        <f>Weighting!$C$20</f>
        <v>#DIV/0!</v>
      </c>
      <c r="E236" t="e">
        <f>Weighting!$E$20</f>
        <v>#NUM!</v>
      </c>
      <c r="F236" t="e">
        <f>IF(E236=1,'Data Transformation'!$G$3+0.5*'Data Transformation'!$U$25,IF(E237=1,F237-'Data Transformation'!$U$25,FALSE))</f>
        <v>#NUM!</v>
      </c>
      <c r="G236">
        <f t="array" ref="G236">IF(ISLOGICAL(F236),"",FREQUENCY(IF('Data Transformation'!$B$24:$B$404='Bin Analysis and Plots'!$D$219,'Data Transformation'!$G$24:$G$404),'Bin Analysis and Plots'!F236))</f>
        <v>0</v>
      </c>
      <c r="H236">
        <f t="shared" si="27"/>
        <v>0</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t="e">
        <f>Weighting!$C$21</f>
        <v>#DIV/0!</v>
      </c>
      <c r="E237" t="e">
        <f>Weighting!$E$21</f>
        <v>#NUM!</v>
      </c>
      <c r="F237" t="e">
        <f>IF(E237=1,'Data Transformation'!$G$3+0.5*'Data Transformation'!$U$25,IF(E238=1,F238-'Data Transformation'!$U$25,FALSE))</f>
        <v>#NUM!</v>
      </c>
      <c r="G237">
        <f t="array" ref="G237">IF(ISLOGICAL(F237),"",FREQUENCY(IF('Data Transformation'!$B$24:$B$404='Bin Analysis and Plots'!$D$219,'Data Transformation'!$G$24:$G$404),'Bin Analysis and Plots'!F237))</f>
        <v>0</v>
      </c>
      <c r="H237">
        <f t="shared" si="27"/>
        <v>0</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t="e">
        <f>Weighting!$C$22</f>
        <v>#DIV/0!</v>
      </c>
      <c r="E238" t="e">
        <f>Weighting!$E$22</f>
        <v>#NUM!</v>
      </c>
      <c r="F238" t="e">
        <f>IF(E238=1,'Data Transformation'!$G$3+0.5*'Data Transformation'!$U$25,IF(E239=1,F239-'Data Transformation'!$U$25,FALSE))</f>
        <v>#NUM!</v>
      </c>
      <c r="G238">
        <f t="array" ref="G238">IF(ISLOGICAL(F238),"",FREQUENCY(IF('Data Transformation'!$B$24:$B$404='Bin Analysis and Plots'!$D$219,'Data Transformation'!$G$24:$G$404),'Bin Analysis and Plots'!F238))</f>
        <v>0</v>
      </c>
      <c r="H238">
        <f t="shared" si="27"/>
        <v>0</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t="e">
        <f>Weighting!$C$23</f>
        <v>#DIV/0!</v>
      </c>
      <c r="E239" t="e">
        <f>Weighting!$E$23</f>
        <v>#NUM!</v>
      </c>
      <c r="F239" t="e">
        <f>IF(E239=1,'Data Transformation'!$G$3+0.5*'Data Transformation'!$U$25,IF(E240=1,F240-'Data Transformation'!$U$25,FALSE))</f>
        <v>#NUM!</v>
      </c>
      <c r="G239">
        <f t="array" ref="G239">IF(ISLOGICAL(F239),"",FREQUENCY(IF('Data Transformation'!$B$24:$B$404='Bin Analysis and Plots'!$D$219,'Data Transformation'!$G$24:$G$404),'Bin Analysis and Plots'!F239))</f>
        <v>0</v>
      </c>
      <c r="H239">
        <f t="shared" si="27"/>
        <v>0</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t="e">
        <f>Weighting!$C$24</f>
        <v>#DIV/0!</v>
      </c>
      <c r="E240" t="e">
        <f>Weighting!$E$24</f>
        <v>#NUM!</v>
      </c>
      <c r="F240" t="e">
        <f>IF(E240=1,'Data Transformation'!$G$3+0.5*'Data Transformation'!$U$25,IF(E241=1,F241-'Data Transformation'!$U$25,FALSE))</f>
        <v>#NUM!</v>
      </c>
      <c r="G240">
        <f t="array" ref="G240">IF(ISLOGICAL(F240),"",FREQUENCY(IF('Data Transformation'!$B$24:$B$404='Bin Analysis and Plots'!$D$219,'Data Transformation'!$G$24:$G$404),'Bin Analysis and Plots'!F240))</f>
        <v>0</v>
      </c>
      <c r="H240">
        <f t="shared" si="27"/>
        <v>0</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b">
        <f t="array" ref="A241">IF(ISERROR(INDEX('Data Transformation'!$B$4:$G$450,SMALL(IF('Data Transformation'!$B$4:$B$450='Bin Analysis and Plots'!D219,ROW('Data Transformation'!$B$4:$B$450)),ROW($20:$20))-3,3)),"",INDEX('Data Transformation'!$B$4:$G$450,SMALL(IF('Data Transformation'!$B$4:$B$450='Bin Analysis and Plots'!D219,ROW('Data Transformation'!$B$4:$B$450)),ROW($20:$20))-3,6))</f>
        <v>0</v>
      </c>
      <c r="B241" s="29" t="str">
        <f>IFERROR(SMALL(A222:A241,'Data Transformation'!$L$25),"")</f>
        <v/>
      </c>
      <c r="C241" s="41" t="str">
        <f>IF(Weighting!$O$25&gt;0,D241,"")</f>
        <v/>
      </c>
      <c r="D241" t="e">
        <f>Weighting!$C$25</f>
        <v>#DIV/0!</v>
      </c>
      <c r="E241" t="e">
        <f>Weighting!$E$25</f>
        <v>#NUM!</v>
      </c>
      <c r="F241" t="e">
        <f>IF(E241=1,'Data Transformation'!$G$3+0.5*'Data Transformation'!$U$25,IF(E242=1,F242-'Data Transformation'!$U$25,FALSE))</f>
        <v>#NUM!</v>
      </c>
      <c r="G241">
        <f t="array" ref="G241">IF(ISLOGICAL(F241),"",FREQUENCY(IF('Data Transformation'!$B$24:$B$404='Bin Analysis and Plots'!$D$219,'Data Transformation'!$G$24:$G$404),'Bin Analysis and Plots'!F241))</f>
        <v>0</v>
      </c>
      <c r="H241">
        <f t="shared" si="27"/>
        <v>0</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1">
      <c r="A244" s="91" t="s">
        <v>64</v>
      </c>
      <c r="B244" s="91"/>
      <c r="C244" s="14" t="s">
        <v>72</v>
      </c>
      <c r="D244" t="s">
        <v>50</v>
      </c>
      <c r="E244" t="s">
        <v>5</v>
      </c>
      <c r="I244" t="s">
        <v>74</v>
      </c>
      <c r="J244" t="s">
        <v>34</v>
      </c>
      <c r="K244" t="s">
        <v>35</v>
      </c>
      <c r="L244" t="s">
        <v>49</v>
      </c>
      <c r="M244" s="14" t="s">
        <v>48</v>
      </c>
      <c r="Z244" s="78">
        <v>0</v>
      </c>
      <c r="AA244" s="78">
        <v>0</v>
      </c>
    </row>
    <row r="245" spans="1:27">
      <c r="C245" s="41" t="str">
        <f>IF(B245="","",D245)</f>
        <v/>
      </c>
      <c r="F245" t="e">
        <f>IF(E245=1,'Data Transformation'!$G$3+0.5*'Data Transformation'!$U$25,IF(E246=1,F246-'Data Transformation'!$U$25,FALSE))</f>
        <v>#NUM!</v>
      </c>
      <c r="G245">
        <f t="array" ref="G245">IF(ISLOGICAL(F245),"",FREQUENCY(IF('Data Transformation'!$B$24:$B$404='Bin Analysis and Plots'!$D$243,'Data Transformation'!$G$24:$G$404),'Bin Analysis and Plots'!F245))</f>
        <v>0</v>
      </c>
      <c r="H245">
        <f>IF(ISLOGICAL(F245),"",G245-G244)</f>
        <v>0</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t="e">
        <f>IF(Weighting!$O$6&gt;0,D246,"")</f>
        <v>#NUM!</v>
      </c>
      <c r="D246" t="e">
        <f>Weighting!$C$6</f>
        <v>#DIV/0!</v>
      </c>
      <c r="E246" t="e">
        <f>Weighting!$E$6</f>
        <v>#NUM!</v>
      </c>
      <c r="F246" t="e">
        <f>IF(E246=1,'Data Transformation'!$G$3+0.5*'Data Transformation'!$U$25,IF(E247=1,F247-'Data Transformation'!$U$25,FALSE))</f>
        <v>#NUM!</v>
      </c>
      <c r="G246">
        <f t="array" ref="G246">IF(ISLOGICAL(F246),"",FREQUENCY(IF('Data Transformation'!$B$24:$B$404='Bin Analysis and Plots'!$D$243,'Data Transformation'!$G$24:$G$404),'Bin Analysis and Plots'!F246))</f>
        <v>0</v>
      </c>
      <c r="H246">
        <f>IF(ISLOGICAL(F246),"",G246-G245)</f>
        <v>0</v>
      </c>
      <c r="I246">
        <f>Weighting!$G$6</f>
        <v>1</v>
      </c>
      <c r="J246">
        <f t="array" ref="J246">FREQUENCY(IF('Data Transformation'!$B$4:$B$404=D243,'Data Transformation'!$G$4:$G$404),'Bin Analysis and Plots'!$D246)</f>
        <v>0</v>
      </c>
      <c r="K246">
        <f>J246-J245</f>
        <v>0</v>
      </c>
      <c r="L246">
        <f>IF(K246=0,0,1)</f>
        <v>0</v>
      </c>
      <c r="M246" t="e">
        <f>L246*Weighting!$V$6</f>
        <v>#NUM!</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t="str">
        <f>IF(Weighting!$O$7&gt;0,D247,"")</f>
        <v/>
      </c>
      <c r="D247" t="e">
        <f>Weighting!$C$7</f>
        <v>#DIV/0!</v>
      </c>
      <c r="E247" t="e">
        <f>Weighting!$E$7</f>
        <v>#NUM!</v>
      </c>
      <c r="F247" t="e">
        <f>IF(E247=1,'Data Transformation'!$G$3+0.5*'Data Transformation'!$U$25,IF(E248=1,F248-'Data Transformation'!$U$25,FALSE))</f>
        <v>#NUM!</v>
      </c>
      <c r="G247">
        <f t="array" ref="G247">IF(ISLOGICAL(F247),"",FREQUENCY(IF('Data Transformation'!$B$24:$B$404='Bin Analysis and Plots'!$D$243,'Data Transformation'!$G$24:$G$404),'Bin Analysis and Plots'!F247))</f>
        <v>0</v>
      </c>
      <c r="H247">
        <f t="shared" ref="H247:H265" si="30">IF(ISLOGICAL(F247),"",G247-G246)</f>
        <v>0</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t="str">
        <f>IF(Weighting!$O$8&gt;0,D248,"")</f>
        <v/>
      </c>
      <c r="D248" t="e">
        <f>Weighting!$C$8</f>
        <v>#DIV/0!</v>
      </c>
      <c r="E248" t="e">
        <f>Weighting!$E$8</f>
        <v>#NUM!</v>
      </c>
      <c r="F248" t="e">
        <f>IF(E248=1,'Data Transformation'!$G$3+0.5*'Data Transformation'!$U$25,IF(E249=1,F249-'Data Transformation'!$U$25,FALSE))</f>
        <v>#NUM!</v>
      </c>
      <c r="G248">
        <f t="array" ref="G248">IF(ISLOGICAL(F248),"",FREQUENCY(IF('Data Transformation'!$B$24:$B$404='Bin Analysis and Plots'!$D$243,'Data Transformation'!$G$24:$G$404),'Bin Analysis and Plots'!F248))</f>
        <v>0</v>
      </c>
      <c r="H248">
        <f t="shared" si="30"/>
        <v>0</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t="str">
        <f>IF(Weighting!$O$9&gt;0,D249,"")</f>
        <v/>
      </c>
      <c r="D249" t="e">
        <f>Weighting!$B$9</f>
        <v>#DIV/0!</v>
      </c>
      <c r="E249" t="e">
        <f>Weighting!$E$9</f>
        <v>#NUM!</v>
      </c>
      <c r="F249" t="e">
        <f>IF(E249=1,'Data Transformation'!$G$3+0.5*'Data Transformation'!$U$25,IF(E250=1,F250-'Data Transformation'!$U$25,FALSE))</f>
        <v>#NUM!</v>
      </c>
      <c r="G249">
        <f t="array" ref="G249">IF(ISLOGICAL(F249),"",FREQUENCY(IF('Data Transformation'!$B$24:$B$404='Bin Analysis and Plots'!$D$243,'Data Transformation'!$G$24:$G$404),'Bin Analysis and Plots'!F249))</f>
        <v>0</v>
      </c>
      <c r="H249">
        <f t="shared" si="30"/>
        <v>0</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t="str">
        <f>IF(Weighting!$O$10&gt;0,D250,"")</f>
        <v/>
      </c>
      <c r="D250" t="e">
        <f>Weighting!$C$10</f>
        <v>#DIV/0!</v>
      </c>
      <c r="E250" t="e">
        <f>Weighting!$E$10</f>
        <v>#NUM!</v>
      </c>
      <c r="F250" t="e">
        <f>IF(E250=1,'Data Transformation'!$G$3+0.5*'Data Transformation'!$U$25,IF(E251=1,F251-'Data Transformation'!$U$25,FALSE))</f>
        <v>#NUM!</v>
      </c>
      <c r="G250">
        <f t="array" ref="G250">IF(ISLOGICAL(F250),"",FREQUENCY(IF('Data Transformation'!$B$24:$B$404='Bin Analysis and Plots'!$D$243,'Data Transformation'!$G$24:$G$404),'Bin Analysis and Plots'!F250))</f>
        <v>0</v>
      </c>
      <c r="H250">
        <f t="shared" si="30"/>
        <v>0</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t="str">
        <f>IF(Weighting!$O$11&gt;0,D251,"")</f>
        <v/>
      </c>
      <c r="D251" t="e">
        <f>Weighting!$C$11</f>
        <v>#DIV/0!</v>
      </c>
      <c r="E251" t="e">
        <f>Weighting!$E$11</f>
        <v>#NUM!</v>
      </c>
      <c r="F251" t="e">
        <f>IF(E251=1,'Data Transformation'!$G$3+0.5*'Data Transformation'!$U$25,IF(E252=1,F252-'Data Transformation'!$U$25,FALSE))</f>
        <v>#NUM!</v>
      </c>
      <c r="G251">
        <f t="array" ref="G251">IF(ISLOGICAL(F251),"",FREQUENCY(IF('Data Transformation'!$B$24:$B$404='Bin Analysis and Plots'!$D$243,'Data Transformation'!$G$24:$G$404),'Bin Analysis and Plots'!F251))</f>
        <v>0</v>
      </c>
      <c r="H251">
        <f t="shared" si="30"/>
        <v>0</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t="str">
        <f>IF(Weighting!$O$12&gt;0,D252,"")</f>
        <v/>
      </c>
      <c r="D252" t="e">
        <f>Weighting!$C$12</f>
        <v>#DIV/0!</v>
      </c>
      <c r="E252" t="e">
        <f>Weighting!$E$12</f>
        <v>#NUM!</v>
      </c>
      <c r="F252" t="e">
        <f>IF(E252=1,'Data Transformation'!$G$3+0.5*'Data Transformation'!$U$25,IF(E253=1,F253-'Data Transformation'!$U$25,FALSE))</f>
        <v>#NUM!</v>
      </c>
      <c r="G252">
        <f t="array" ref="G252">IF(ISLOGICAL(F252),"",FREQUENCY(IF('Data Transformation'!$B$24:$B$404='Bin Analysis and Plots'!$D$243,'Data Transformation'!$G$24:$G$404),'Bin Analysis and Plots'!F252))</f>
        <v>0</v>
      </c>
      <c r="H252">
        <f t="shared" si="30"/>
        <v>0</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t="str">
        <f>IF(Weighting!$O$13&gt;0,D253,"")</f>
        <v/>
      </c>
      <c r="D253" t="e">
        <f>Weighting!$C$13</f>
        <v>#DIV/0!</v>
      </c>
      <c r="E253" t="e">
        <f>Weighting!$E$13</f>
        <v>#NUM!</v>
      </c>
      <c r="F253" t="e">
        <f>IF(E253=1,'Data Transformation'!$G$3+0.5*'Data Transformation'!$U$25,IF(E254=1,F254-'Data Transformation'!$U$25,FALSE))</f>
        <v>#NUM!</v>
      </c>
      <c r="G253">
        <f t="array" ref="G253">IF(ISLOGICAL(F253),"",FREQUENCY(IF('Data Transformation'!$B$24:$B$404='Bin Analysis and Plots'!$D$243,'Data Transformation'!$G$24:$G$404),'Bin Analysis and Plots'!F253))</f>
        <v>0</v>
      </c>
      <c r="H253">
        <f t="shared" si="30"/>
        <v>0</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t="str">
        <f>IF(Weighting!$O$14&gt;0,D254,"")</f>
        <v/>
      </c>
      <c r="D254" t="e">
        <f>Weighting!$C$14</f>
        <v>#DIV/0!</v>
      </c>
      <c r="E254" t="e">
        <f>Weighting!$E$14</f>
        <v>#NUM!</v>
      </c>
      <c r="F254" t="e">
        <f>IF(E254=1,'Data Transformation'!$G$3+0.5*'Data Transformation'!$U$25,IF(E255=1,F255-'Data Transformation'!$U$25,FALSE))</f>
        <v>#NUM!</v>
      </c>
      <c r="G254">
        <f t="array" ref="G254">IF(ISLOGICAL(F254),"",FREQUENCY(IF('Data Transformation'!$B$24:$B$404='Bin Analysis and Plots'!$D$243,'Data Transformation'!$G$24:$G$404),'Bin Analysis and Plots'!F254))</f>
        <v>0</v>
      </c>
      <c r="H254">
        <f t="shared" si="30"/>
        <v>0</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t="str">
        <f>IF(Weighting!$O$15&gt;0,D255,"")</f>
        <v/>
      </c>
      <c r="D255" t="e">
        <f>Weighting!$C$15</f>
        <v>#DIV/0!</v>
      </c>
      <c r="E255" t="e">
        <f>Weighting!$E$15</f>
        <v>#NUM!</v>
      </c>
      <c r="F255" t="e">
        <f>IF(E255=1,'Data Transformation'!$G$3+0.5*'Data Transformation'!$U$25,IF(E256=1,F256-'Data Transformation'!$U$25,FALSE))</f>
        <v>#NUM!</v>
      </c>
      <c r="G255">
        <f t="array" ref="G255">IF(ISLOGICAL(F255),"",FREQUENCY(IF('Data Transformation'!$B$24:$B$404='Bin Analysis and Plots'!$D$243,'Data Transformation'!$G$24:$G$404),'Bin Analysis and Plots'!F255))</f>
        <v>0</v>
      </c>
      <c r="H255">
        <f t="shared" si="30"/>
        <v>0</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t="e">
        <f>Weighting!$C$16</f>
        <v>#DIV/0!</v>
      </c>
      <c r="E256" t="e">
        <f>Weighting!$E$16</f>
        <v>#NUM!</v>
      </c>
      <c r="F256" t="e">
        <f>IF(E256=1,'Data Transformation'!$G$3+0.5*'Data Transformation'!$U$25,IF(E257=1,F257-'Data Transformation'!$U$25,FALSE))</f>
        <v>#NUM!</v>
      </c>
      <c r="G256">
        <f t="array" ref="G256">IF(ISLOGICAL(F256),"",FREQUENCY(IF('Data Transformation'!$B$24:$B$404='Bin Analysis and Plots'!$D$243,'Data Transformation'!$G$24:$G$404),'Bin Analysis and Plots'!F256))</f>
        <v>0</v>
      </c>
      <c r="H256">
        <f t="shared" si="30"/>
        <v>0</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t="e">
        <f>Weighting!$C$17</f>
        <v>#DIV/0!</v>
      </c>
      <c r="E257" t="e">
        <f>Weighting!$E$17</f>
        <v>#NUM!</v>
      </c>
      <c r="F257" t="e">
        <f>IF(E257=1,'Data Transformation'!$G$3+0.5*'Data Transformation'!$U$25,IF(E258=1,F258-'Data Transformation'!$U$25,FALSE))</f>
        <v>#NUM!</v>
      </c>
      <c r="G257">
        <f t="array" ref="G257">IF(ISLOGICAL(F257),"",FREQUENCY(IF('Data Transformation'!$B$24:$B$404='Bin Analysis and Plots'!$D$243,'Data Transformation'!$G$24:$G$404),'Bin Analysis and Plots'!F257))</f>
        <v>0</v>
      </c>
      <c r="H257">
        <f t="shared" si="30"/>
        <v>0</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t="e">
        <f>Weighting!$C$18</f>
        <v>#DIV/0!</v>
      </c>
      <c r="E258" t="e">
        <f>Weighting!$E$18</f>
        <v>#NUM!</v>
      </c>
      <c r="F258" t="e">
        <f>IF(E258=1,'Data Transformation'!$G$3+0.5*'Data Transformation'!$U$25,IF(E259=1,F259-'Data Transformation'!$U$25,FALSE))</f>
        <v>#NUM!</v>
      </c>
      <c r="G258">
        <f t="array" ref="G258">IF(ISLOGICAL(F258),"",FREQUENCY(IF('Data Transformation'!$B$24:$B$404='Bin Analysis and Plots'!$D$243,'Data Transformation'!$G$24:$G$404),'Bin Analysis and Plots'!F258))</f>
        <v>0</v>
      </c>
      <c r="H258">
        <f t="shared" si="30"/>
        <v>0</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t="e">
        <f>Weighting!$C$19</f>
        <v>#DIV/0!</v>
      </c>
      <c r="E259" t="e">
        <f>Weighting!$E$19</f>
        <v>#NUM!</v>
      </c>
      <c r="F259" t="e">
        <f>IF(E259=1,'Data Transformation'!$G$3+0.5*'Data Transformation'!$U$25,IF(E260=1,F260-'Data Transformation'!$U$25,FALSE))</f>
        <v>#NUM!</v>
      </c>
      <c r="G259">
        <f t="array" ref="G259">IF(ISLOGICAL(F259),"",FREQUENCY(IF('Data Transformation'!$B$24:$B$404='Bin Analysis and Plots'!$D$243,'Data Transformation'!$G$24:$G$404),'Bin Analysis and Plots'!F259))</f>
        <v>0</v>
      </c>
      <c r="H259">
        <f t="shared" si="30"/>
        <v>0</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t="e">
        <f>Weighting!$C$20</f>
        <v>#DIV/0!</v>
      </c>
      <c r="E260" t="e">
        <f>Weighting!$E$20</f>
        <v>#NUM!</v>
      </c>
      <c r="F260" t="e">
        <f>IF(E260=1,'Data Transformation'!$G$3+0.5*'Data Transformation'!$U$25,IF(E261=1,F261-'Data Transformation'!$U$25,FALSE))</f>
        <v>#NUM!</v>
      </c>
      <c r="G260">
        <f t="array" ref="G260">IF(ISLOGICAL(F260),"",FREQUENCY(IF('Data Transformation'!$B$24:$B$404='Bin Analysis and Plots'!$D$243,'Data Transformation'!$G$24:$G$404),'Bin Analysis and Plots'!F260))</f>
        <v>0</v>
      </c>
      <c r="H260">
        <f t="shared" si="30"/>
        <v>0</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t="e">
        <f>Weighting!$C$21</f>
        <v>#DIV/0!</v>
      </c>
      <c r="E261" t="e">
        <f>Weighting!$E$21</f>
        <v>#NUM!</v>
      </c>
      <c r="F261" t="e">
        <f>IF(E261=1,'Data Transformation'!$G$3+0.5*'Data Transformation'!$U$25,IF(E262=1,F262-'Data Transformation'!$U$25,FALSE))</f>
        <v>#NUM!</v>
      </c>
      <c r="G261">
        <f t="array" ref="G261">IF(ISLOGICAL(F261),"",FREQUENCY(IF('Data Transformation'!$B$24:$B$404='Bin Analysis and Plots'!$D$243,'Data Transformation'!$G$24:$G$404),'Bin Analysis and Plots'!F261))</f>
        <v>0</v>
      </c>
      <c r="H261">
        <f t="shared" si="30"/>
        <v>0</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t="e">
        <f>Weighting!$C$22</f>
        <v>#DIV/0!</v>
      </c>
      <c r="E262" t="e">
        <f>Weighting!$E$22</f>
        <v>#NUM!</v>
      </c>
      <c r="F262" t="e">
        <f>IF(E262=1,'Data Transformation'!$G$3+0.5*'Data Transformation'!$U$25,IF(E263=1,F263-'Data Transformation'!$U$25,FALSE))</f>
        <v>#NUM!</v>
      </c>
      <c r="G262">
        <f t="array" ref="G262">IF(ISLOGICAL(F262),"",FREQUENCY(IF('Data Transformation'!$B$24:$B$404='Bin Analysis and Plots'!$D$243,'Data Transformation'!$G$24:$G$404),'Bin Analysis and Plots'!F262))</f>
        <v>0</v>
      </c>
      <c r="H262">
        <f t="shared" si="30"/>
        <v>0</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t="e">
        <f>Weighting!$C$23</f>
        <v>#DIV/0!</v>
      </c>
      <c r="E263" t="e">
        <f>Weighting!$E$23</f>
        <v>#NUM!</v>
      </c>
      <c r="F263" t="e">
        <f>IF(E263=1,'Data Transformation'!$G$3+0.5*'Data Transformation'!$U$25,IF(E264=1,F264-'Data Transformation'!$U$25,FALSE))</f>
        <v>#NUM!</v>
      </c>
      <c r="G263">
        <f t="array" ref="G263">IF(ISLOGICAL(F263),"",FREQUENCY(IF('Data Transformation'!$B$24:$B$404='Bin Analysis and Plots'!$D$243,'Data Transformation'!$G$24:$G$404),'Bin Analysis and Plots'!F263))</f>
        <v>0</v>
      </c>
      <c r="H263">
        <f t="shared" si="30"/>
        <v>0</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t="e">
        <f>Weighting!$C$24</f>
        <v>#DIV/0!</v>
      </c>
      <c r="E264" t="e">
        <f>Weighting!$E$24</f>
        <v>#NUM!</v>
      </c>
      <c r="F264" t="e">
        <f>IF(E264=1,'Data Transformation'!$G$3+0.5*'Data Transformation'!$U$25,IF(E265=1,F265-'Data Transformation'!$U$25,FALSE))</f>
        <v>#NUM!</v>
      </c>
      <c r="G264">
        <f t="array" ref="G264">IF(ISLOGICAL(F264),"",FREQUENCY(IF('Data Transformation'!$B$24:$B$404='Bin Analysis and Plots'!$D$243,'Data Transformation'!$G$24:$G$404),'Bin Analysis and Plots'!F264))</f>
        <v>0</v>
      </c>
      <c r="H264">
        <f t="shared" si="30"/>
        <v>0</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b">
        <f t="array" ref="A265">IF(ISERROR(INDEX('Data Transformation'!$B$4:$G$450,SMALL(IF('Data Transformation'!$B$4:$B$450='Bin Analysis and Plots'!D243,ROW('Data Transformation'!$B$4:$B$450)),ROW($20:$20))-3,3)),"",INDEX('Data Transformation'!$B$4:$G$450,SMALL(IF('Data Transformation'!$B$4:$B$450='Bin Analysis and Plots'!D243,ROW('Data Transformation'!$B$4:$B$450)),ROW($20:$20))-3,6))</f>
        <v>0</v>
      </c>
      <c r="B265" s="29" t="str">
        <f>IFERROR(SMALL(A246:A265,'Data Transformation'!$L$25),"")</f>
        <v/>
      </c>
      <c r="C265" s="41" t="str">
        <f>IF(Weighting!$O$25&gt;0,D265,"")</f>
        <v/>
      </c>
      <c r="D265" t="e">
        <f>Weighting!$C$25</f>
        <v>#DIV/0!</v>
      </c>
      <c r="E265" t="e">
        <f>Weighting!$E$25</f>
        <v>#NUM!</v>
      </c>
      <c r="F265" t="e">
        <f>IF(E265=1,'Data Transformation'!$G$3+0.5*'Data Transformation'!$U$25,IF(E266=1,F266-'Data Transformation'!$U$25,FALSE))</f>
        <v>#NUM!</v>
      </c>
      <c r="G265">
        <f t="array" ref="G265">IF(ISLOGICAL(F265),"",FREQUENCY(IF('Data Transformation'!$B$24:$B$404='Bin Analysis and Plots'!$D$243,'Data Transformation'!$G$24:$G$404),'Bin Analysis and Plots'!F265))</f>
        <v>0</v>
      </c>
      <c r="H265">
        <f t="shared" si="30"/>
        <v>0</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1">
      <c r="A268" s="91" t="s">
        <v>64</v>
      </c>
      <c r="B268" s="91"/>
      <c r="C268" s="14" t="s">
        <v>72</v>
      </c>
      <c r="D268" t="s">
        <v>50</v>
      </c>
      <c r="E268" t="s">
        <v>5</v>
      </c>
      <c r="I268" t="s">
        <v>74</v>
      </c>
      <c r="J268" t="s">
        <v>34</v>
      </c>
      <c r="K268" t="s">
        <v>35</v>
      </c>
      <c r="L268" t="s">
        <v>49</v>
      </c>
      <c r="M268" s="14" t="s">
        <v>48</v>
      </c>
      <c r="Z268" s="78">
        <v>0</v>
      </c>
      <c r="AA268" s="78">
        <v>0</v>
      </c>
    </row>
    <row r="269" spans="1:27">
      <c r="C269" s="41" t="str">
        <f>IF(B269="","",D269)</f>
        <v/>
      </c>
      <c r="F269" t="e">
        <f>IF(E269=1,'Data Transformation'!$G$3+0.5*'Data Transformation'!$U$25,IF(E270=1,F270-'Data Transformation'!$U$25,FALSE))</f>
        <v>#NUM!</v>
      </c>
      <c r="G269">
        <f t="array" ref="G269">IF(ISLOGICAL(F269),"",FREQUENCY(IF('Data Transformation'!$B$24:$B$404='Bin Analysis and Plots'!$D$267,'Data Transformation'!$G$24:$G$404),'Bin Analysis and Plots'!F269))</f>
        <v>0</v>
      </c>
      <c r="H269">
        <f>IF(ISLOGICAL(F269),"",G269-G268)</f>
        <v>0</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t="e">
        <f>IF(Weighting!$O$6&gt;0,D270,"")</f>
        <v>#NUM!</v>
      </c>
      <c r="D270" t="e">
        <f>Weighting!$C$6</f>
        <v>#DIV/0!</v>
      </c>
      <c r="E270" t="e">
        <f>Weighting!$E$6</f>
        <v>#NUM!</v>
      </c>
      <c r="F270" t="e">
        <f>IF(E270=1,'Data Transformation'!$G$3+0.5*'Data Transformation'!$U$25,IF(E271=1,F271-'Data Transformation'!$U$25,FALSE))</f>
        <v>#NUM!</v>
      </c>
      <c r="G270">
        <f t="array" ref="G270">IF(ISLOGICAL(F270),"",FREQUENCY(IF('Data Transformation'!$B$24:$B$404='Bin Analysis and Plots'!$D$267,'Data Transformation'!$G$24:$G$404),'Bin Analysis and Plots'!F270))</f>
        <v>0</v>
      </c>
      <c r="H270">
        <f>IF(ISLOGICAL(F270),"",G270-G269)</f>
        <v>0</v>
      </c>
      <c r="I270">
        <f>Weighting!$G$6</f>
        <v>1</v>
      </c>
      <c r="J270">
        <f t="array" ref="J270">FREQUENCY(IF('Data Transformation'!$B$4:$B$404=D267,'Data Transformation'!$G$4:$G$404),'Bin Analysis and Plots'!$D270)</f>
        <v>0</v>
      </c>
      <c r="K270">
        <f>J270-J269</f>
        <v>0</v>
      </c>
      <c r="L270">
        <f>IF(K270=0,0,1)</f>
        <v>0</v>
      </c>
      <c r="M270" t="e">
        <f>L270*Weighting!$V$6</f>
        <v>#NUM!</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t="str">
        <f>IF(Weighting!$O$7&gt;0,D271,"")</f>
        <v/>
      </c>
      <c r="D271" t="e">
        <f>Weighting!$C$7</f>
        <v>#DIV/0!</v>
      </c>
      <c r="E271" t="e">
        <f>Weighting!$E$7</f>
        <v>#NUM!</v>
      </c>
      <c r="F271" t="e">
        <f>IF(E271=1,'Data Transformation'!$G$3+0.5*'Data Transformation'!$U$25,IF(E272=1,F272-'Data Transformation'!$U$25,FALSE))</f>
        <v>#NUM!</v>
      </c>
      <c r="G271">
        <f t="array" ref="G271">IF(ISLOGICAL(F271),"",FREQUENCY(IF('Data Transformation'!$B$24:$B$404='Bin Analysis and Plots'!$D$267,'Data Transformation'!$G$24:$G$404),'Bin Analysis and Plots'!F271))</f>
        <v>0</v>
      </c>
      <c r="H271">
        <f t="shared" ref="H271:H289" si="33">IF(ISLOGICAL(F271),"",G271-G270)</f>
        <v>0</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t="str">
        <f>IF(Weighting!$O$8&gt;0,D272,"")</f>
        <v/>
      </c>
      <c r="D272" t="e">
        <f>Weighting!$C$8</f>
        <v>#DIV/0!</v>
      </c>
      <c r="E272" t="e">
        <f>Weighting!$E$8</f>
        <v>#NUM!</v>
      </c>
      <c r="F272" t="e">
        <f>IF(E272=1,'Data Transformation'!$G$3+0.5*'Data Transformation'!$U$25,IF(E273=1,F273-'Data Transformation'!$U$25,FALSE))</f>
        <v>#NUM!</v>
      </c>
      <c r="G272">
        <f t="array" ref="G272">IF(ISLOGICAL(F272),"",FREQUENCY(IF('Data Transformation'!$B$24:$B$404='Bin Analysis and Plots'!$D$267,'Data Transformation'!$G$24:$G$404),'Bin Analysis and Plots'!F272))</f>
        <v>0</v>
      </c>
      <c r="H272">
        <f t="shared" si="33"/>
        <v>0</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t="str">
        <f>IF(Weighting!$O$9&gt;0,D273,"")</f>
        <v/>
      </c>
      <c r="D273" t="e">
        <f>Weighting!$B$9</f>
        <v>#DIV/0!</v>
      </c>
      <c r="E273" t="e">
        <f>Weighting!$E$9</f>
        <v>#NUM!</v>
      </c>
      <c r="F273" t="e">
        <f>IF(E273=1,'Data Transformation'!$G$3+0.5*'Data Transformation'!$U$25,IF(E274=1,F274-'Data Transformation'!$U$25,FALSE))</f>
        <v>#NUM!</v>
      </c>
      <c r="G273">
        <f t="array" ref="G273">IF(ISLOGICAL(F273),"",FREQUENCY(IF('Data Transformation'!$B$24:$B$404='Bin Analysis and Plots'!$D$267,'Data Transformation'!$G$24:$G$404),'Bin Analysis and Plots'!F273))</f>
        <v>0</v>
      </c>
      <c r="H273">
        <f t="shared" si="33"/>
        <v>0</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t="str">
        <f>IF(Weighting!$O$10&gt;0,D274,"")</f>
        <v/>
      </c>
      <c r="D274" t="e">
        <f>Weighting!$C$10</f>
        <v>#DIV/0!</v>
      </c>
      <c r="E274" t="e">
        <f>Weighting!$E$10</f>
        <v>#NUM!</v>
      </c>
      <c r="F274" t="e">
        <f>IF(E274=1,'Data Transformation'!$G$3+0.5*'Data Transformation'!$U$25,IF(E275=1,F275-'Data Transformation'!$U$25,FALSE))</f>
        <v>#NUM!</v>
      </c>
      <c r="G274">
        <f t="array" ref="G274">IF(ISLOGICAL(F274),"",FREQUENCY(IF('Data Transformation'!$B$24:$B$404='Bin Analysis and Plots'!$D$267,'Data Transformation'!$G$24:$G$404),'Bin Analysis and Plots'!F274))</f>
        <v>0</v>
      </c>
      <c r="H274">
        <f t="shared" si="33"/>
        <v>0</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t="str">
        <f>IF(Weighting!$O$11&gt;0,D275,"")</f>
        <v/>
      </c>
      <c r="D275" t="e">
        <f>Weighting!$C$11</f>
        <v>#DIV/0!</v>
      </c>
      <c r="E275" t="e">
        <f>Weighting!$E$11</f>
        <v>#NUM!</v>
      </c>
      <c r="F275" t="e">
        <f>IF(E275=1,'Data Transformation'!$G$3+0.5*'Data Transformation'!$U$25,IF(E276=1,F276-'Data Transformation'!$U$25,FALSE))</f>
        <v>#NUM!</v>
      </c>
      <c r="G275">
        <f t="array" ref="G275">IF(ISLOGICAL(F275),"",FREQUENCY(IF('Data Transformation'!$B$24:$B$404='Bin Analysis and Plots'!$D$267,'Data Transformation'!$G$24:$G$404),'Bin Analysis and Plots'!F275))</f>
        <v>0</v>
      </c>
      <c r="H275">
        <f t="shared" si="33"/>
        <v>0</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t="str">
        <f>IF(Weighting!$O$12&gt;0,D276,"")</f>
        <v/>
      </c>
      <c r="D276" t="e">
        <f>Weighting!$C$12</f>
        <v>#DIV/0!</v>
      </c>
      <c r="E276" t="e">
        <f>Weighting!$E$12</f>
        <v>#NUM!</v>
      </c>
      <c r="F276" t="e">
        <f>IF(E276=1,'Data Transformation'!$G$3+0.5*'Data Transformation'!$U$25,IF(E277=1,F277-'Data Transformation'!$U$25,FALSE))</f>
        <v>#NUM!</v>
      </c>
      <c r="G276">
        <f t="array" ref="G276">IF(ISLOGICAL(F276),"",FREQUENCY(IF('Data Transformation'!$B$24:$B$404='Bin Analysis and Plots'!$D$267,'Data Transformation'!$G$24:$G$404),'Bin Analysis and Plots'!F276))</f>
        <v>0</v>
      </c>
      <c r="H276">
        <f t="shared" si="33"/>
        <v>0</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t="str">
        <f>IF(Weighting!$O$13&gt;0,D277,"")</f>
        <v/>
      </c>
      <c r="D277" t="e">
        <f>Weighting!$C$13</f>
        <v>#DIV/0!</v>
      </c>
      <c r="E277" t="e">
        <f>Weighting!$E$13</f>
        <v>#NUM!</v>
      </c>
      <c r="F277" t="e">
        <f>IF(E277=1,'Data Transformation'!$G$3+0.5*'Data Transformation'!$U$25,IF(E278=1,F278-'Data Transformation'!$U$25,FALSE))</f>
        <v>#NUM!</v>
      </c>
      <c r="G277">
        <f t="array" ref="G277">IF(ISLOGICAL(F277),"",FREQUENCY(IF('Data Transformation'!$B$24:$B$404='Bin Analysis and Plots'!$D$267,'Data Transformation'!$G$24:$G$404),'Bin Analysis and Plots'!F277))</f>
        <v>0</v>
      </c>
      <c r="H277">
        <f t="shared" si="33"/>
        <v>0</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t="str">
        <f>IF(Weighting!$O$14&gt;0,D278,"")</f>
        <v/>
      </c>
      <c r="D278" t="e">
        <f>Weighting!$C$14</f>
        <v>#DIV/0!</v>
      </c>
      <c r="E278" t="e">
        <f>Weighting!$E$14</f>
        <v>#NUM!</v>
      </c>
      <c r="F278" t="e">
        <f>IF(E278=1,'Data Transformation'!$G$3+0.5*'Data Transformation'!$U$25,IF(E279=1,F279-'Data Transformation'!$U$25,FALSE))</f>
        <v>#NUM!</v>
      </c>
      <c r="G278">
        <f t="array" ref="G278">IF(ISLOGICAL(F278),"",FREQUENCY(IF('Data Transformation'!$B$24:$B$404='Bin Analysis and Plots'!$D$267,'Data Transformation'!$G$24:$G$404),'Bin Analysis and Plots'!F278))</f>
        <v>0</v>
      </c>
      <c r="H278">
        <f t="shared" si="33"/>
        <v>0</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t="str">
        <f>IF(Weighting!$O$15&gt;0,D279,"")</f>
        <v/>
      </c>
      <c r="D279" t="e">
        <f>Weighting!$C$15</f>
        <v>#DIV/0!</v>
      </c>
      <c r="E279" t="e">
        <f>Weighting!$E$15</f>
        <v>#NUM!</v>
      </c>
      <c r="F279" t="e">
        <f>IF(E279=1,'Data Transformation'!$G$3+0.5*'Data Transformation'!$U$25,IF(E280=1,F280-'Data Transformation'!$U$25,FALSE))</f>
        <v>#NUM!</v>
      </c>
      <c r="G279">
        <f t="array" ref="G279">IF(ISLOGICAL(F279),"",FREQUENCY(IF('Data Transformation'!$B$24:$B$404='Bin Analysis and Plots'!$D$267,'Data Transformation'!$G$24:$G$404),'Bin Analysis and Plots'!F279))</f>
        <v>0</v>
      </c>
      <c r="H279">
        <f t="shared" si="33"/>
        <v>0</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t="e">
        <f>Weighting!$C$16</f>
        <v>#DIV/0!</v>
      </c>
      <c r="E280" t="e">
        <f>Weighting!$E$16</f>
        <v>#NUM!</v>
      </c>
      <c r="F280" t="e">
        <f>IF(E280=1,'Data Transformation'!$G$3+0.5*'Data Transformation'!$U$25,IF(E281=1,F281-'Data Transformation'!$U$25,FALSE))</f>
        <v>#NUM!</v>
      </c>
      <c r="G280">
        <f t="array" ref="G280">IF(ISLOGICAL(F280),"",FREQUENCY(IF('Data Transformation'!$B$24:$B$404='Bin Analysis and Plots'!$D$267,'Data Transformation'!$G$24:$G$404),'Bin Analysis and Plots'!F280))</f>
        <v>0</v>
      </c>
      <c r="H280">
        <f t="shared" si="33"/>
        <v>0</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t="e">
        <f>Weighting!$C$17</f>
        <v>#DIV/0!</v>
      </c>
      <c r="E281" t="e">
        <f>Weighting!$E$17</f>
        <v>#NUM!</v>
      </c>
      <c r="F281" t="e">
        <f>IF(E281=1,'Data Transformation'!$G$3+0.5*'Data Transformation'!$U$25,IF(E282=1,F282-'Data Transformation'!$U$25,FALSE))</f>
        <v>#NUM!</v>
      </c>
      <c r="G281">
        <f t="array" ref="G281">IF(ISLOGICAL(F281),"",FREQUENCY(IF('Data Transformation'!$B$24:$B$404='Bin Analysis and Plots'!$D$267,'Data Transformation'!$G$24:$G$404),'Bin Analysis and Plots'!F281))</f>
        <v>0</v>
      </c>
      <c r="H281">
        <f t="shared" si="33"/>
        <v>0</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t="e">
        <f>Weighting!$C$18</f>
        <v>#DIV/0!</v>
      </c>
      <c r="E282" t="e">
        <f>Weighting!$E$18</f>
        <v>#NUM!</v>
      </c>
      <c r="F282" t="e">
        <f>IF(E282=1,'Data Transformation'!$G$3+0.5*'Data Transformation'!$U$25,IF(E283=1,F283-'Data Transformation'!$U$25,FALSE))</f>
        <v>#NUM!</v>
      </c>
      <c r="G282">
        <f t="array" ref="G282">IF(ISLOGICAL(F282),"",FREQUENCY(IF('Data Transformation'!$B$24:$B$404='Bin Analysis and Plots'!$D$267,'Data Transformation'!$G$24:$G$404),'Bin Analysis and Plots'!F282))</f>
        <v>0</v>
      </c>
      <c r="H282">
        <f t="shared" si="33"/>
        <v>0</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t="e">
        <f>Weighting!$C$19</f>
        <v>#DIV/0!</v>
      </c>
      <c r="E283" t="e">
        <f>Weighting!$E$19</f>
        <v>#NUM!</v>
      </c>
      <c r="F283" t="e">
        <f>IF(E283=1,'Data Transformation'!$G$3+0.5*'Data Transformation'!$U$25,IF(E284=1,F284-'Data Transformation'!$U$25,FALSE))</f>
        <v>#NUM!</v>
      </c>
      <c r="G283">
        <f t="array" ref="G283">IF(ISLOGICAL(F283),"",FREQUENCY(IF('Data Transformation'!$B$24:$B$404='Bin Analysis and Plots'!$D$267,'Data Transformation'!$G$24:$G$404),'Bin Analysis and Plots'!F283))</f>
        <v>0</v>
      </c>
      <c r="H283">
        <f t="shared" si="33"/>
        <v>0</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t="e">
        <f>Weighting!$C$20</f>
        <v>#DIV/0!</v>
      </c>
      <c r="E284" t="e">
        <f>Weighting!$E$20</f>
        <v>#NUM!</v>
      </c>
      <c r="F284" t="e">
        <f>IF(E284=1,'Data Transformation'!$G$3+0.5*'Data Transformation'!$U$25,IF(E285=1,F285-'Data Transformation'!$U$25,FALSE))</f>
        <v>#NUM!</v>
      </c>
      <c r="G284">
        <f t="array" ref="G284">IF(ISLOGICAL(F284),"",FREQUENCY(IF('Data Transformation'!$B$24:$B$404='Bin Analysis and Plots'!$D$267,'Data Transformation'!$G$24:$G$404),'Bin Analysis and Plots'!F284))</f>
        <v>0</v>
      </c>
      <c r="H284">
        <f t="shared" si="33"/>
        <v>0</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t="e">
        <f>Weighting!$C$21</f>
        <v>#DIV/0!</v>
      </c>
      <c r="E285" t="e">
        <f>Weighting!$E$21</f>
        <v>#NUM!</v>
      </c>
      <c r="F285" t="e">
        <f>IF(E285=1,'Data Transformation'!$G$3+0.5*'Data Transformation'!$U$25,IF(E286=1,F286-'Data Transformation'!$U$25,FALSE))</f>
        <v>#NUM!</v>
      </c>
      <c r="G285">
        <f t="array" ref="G285">IF(ISLOGICAL(F285),"",FREQUENCY(IF('Data Transformation'!$B$24:$B$404='Bin Analysis and Plots'!$D$267,'Data Transformation'!$G$24:$G$404),'Bin Analysis and Plots'!F285))</f>
        <v>0</v>
      </c>
      <c r="H285">
        <f t="shared" si="33"/>
        <v>0</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t="e">
        <f>Weighting!$C$22</f>
        <v>#DIV/0!</v>
      </c>
      <c r="E286" t="e">
        <f>Weighting!$E$22</f>
        <v>#NUM!</v>
      </c>
      <c r="F286" t="e">
        <f>IF(E286=1,'Data Transformation'!$G$3+0.5*'Data Transformation'!$U$25,IF(E287=1,F287-'Data Transformation'!$U$25,FALSE))</f>
        <v>#NUM!</v>
      </c>
      <c r="G286">
        <f t="array" ref="G286">IF(ISLOGICAL(F286),"",FREQUENCY(IF('Data Transformation'!$B$24:$B$404='Bin Analysis and Plots'!$D$267,'Data Transformation'!$G$24:$G$404),'Bin Analysis and Plots'!F286))</f>
        <v>0</v>
      </c>
      <c r="H286">
        <f t="shared" si="33"/>
        <v>0</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t="e">
        <f>Weighting!$C$23</f>
        <v>#DIV/0!</v>
      </c>
      <c r="E287" t="e">
        <f>Weighting!$E$23</f>
        <v>#NUM!</v>
      </c>
      <c r="F287" t="e">
        <f>IF(E287=1,'Data Transformation'!$G$3+0.5*'Data Transformation'!$U$25,IF(E288=1,F288-'Data Transformation'!$U$25,FALSE))</f>
        <v>#NUM!</v>
      </c>
      <c r="G287">
        <f t="array" ref="G287">IF(ISLOGICAL(F287),"",FREQUENCY(IF('Data Transformation'!$B$24:$B$404='Bin Analysis and Plots'!$D$267,'Data Transformation'!$G$24:$G$404),'Bin Analysis and Plots'!F287))</f>
        <v>0</v>
      </c>
      <c r="H287">
        <f t="shared" si="33"/>
        <v>0</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t="e">
        <f>Weighting!$C$24</f>
        <v>#DIV/0!</v>
      </c>
      <c r="E288" t="e">
        <f>Weighting!$E$24</f>
        <v>#NUM!</v>
      </c>
      <c r="F288" t="e">
        <f>IF(E288=1,'Data Transformation'!$G$3+0.5*'Data Transformation'!$U$25,IF(E289=1,F289-'Data Transformation'!$U$25,FALSE))</f>
        <v>#NUM!</v>
      </c>
      <c r="G288">
        <f t="array" ref="G288">IF(ISLOGICAL(F288),"",FREQUENCY(IF('Data Transformation'!$B$24:$B$404='Bin Analysis and Plots'!$D$267,'Data Transformation'!$G$24:$G$404),'Bin Analysis and Plots'!F288))</f>
        <v>0</v>
      </c>
      <c r="H288">
        <f t="shared" si="33"/>
        <v>0</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b">
        <f t="array" ref="A289">IF(ISERROR(INDEX('Data Transformation'!$B$4:$G$450,SMALL(IF('Data Transformation'!$B$4:$B$450='Bin Analysis and Plots'!D267,ROW('Data Transformation'!$B$4:$B$450)),ROW($20:$20))-3,3)),"",INDEX('Data Transformation'!$B$4:$G$450,SMALL(IF('Data Transformation'!$B$4:$B$450='Bin Analysis and Plots'!D267,ROW('Data Transformation'!$B$4:$B$450)),ROW($20:$20))-3,6))</f>
        <v>0</v>
      </c>
      <c r="B289" s="29" t="str">
        <f>IFERROR(SMALL(A270:A289,'Data Transformation'!$L$25),"")</f>
        <v/>
      </c>
      <c r="C289" s="41" t="str">
        <f>IF(Weighting!$O$25&gt;0,D289,"")</f>
        <v/>
      </c>
      <c r="D289" t="e">
        <f>Weighting!$C$25</f>
        <v>#DIV/0!</v>
      </c>
      <c r="E289" t="e">
        <f>Weighting!$E$25</f>
        <v>#NUM!</v>
      </c>
      <c r="F289" t="e">
        <f>IF(E289=1,'Data Transformation'!$G$3+0.5*'Data Transformation'!$U$25,IF(E290=1,F290-'Data Transformation'!$U$25,FALSE))</f>
        <v>#NUM!</v>
      </c>
      <c r="G289">
        <f t="array" ref="G289">IF(ISLOGICAL(F289),"",FREQUENCY(IF('Data Transformation'!$B$24:$B$404='Bin Analysis and Plots'!$D$267,'Data Transformation'!$G$24:$G$404),'Bin Analysis and Plots'!F289))</f>
        <v>0</v>
      </c>
      <c r="H289">
        <f t="shared" si="33"/>
        <v>0</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1">
      <c r="A292" s="91" t="s">
        <v>64</v>
      </c>
      <c r="B292" s="91"/>
      <c r="C292" s="14" t="s">
        <v>72</v>
      </c>
      <c r="D292" t="s">
        <v>50</v>
      </c>
      <c r="E292" t="s">
        <v>5</v>
      </c>
      <c r="I292" t="s">
        <v>74</v>
      </c>
      <c r="J292" t="s">
        <v>34</v>
      </c>
      <c r="K292" t="s">
        <v>35</v>
      </c>
      <c r="L292" t="s">
        <v>49</v>
      </c>
      <c r="M292" s="14" t="s">
        <v>48</v>
      </c>
      <c r="Z292" s="78">
        <v>0</v>
      </c>
      <c r="AA292" s="78">
        <v>0</v>
      </c>
    </row>
    <row r="293" spans="1:27">
      <c r="C293" s="41" t="str">
        <f>IF(B293="","",D293)</f>
        <v/>
      </c>
      <c r="F293" t="e">
        <f>IF(E293=1,'Data Transformation'!$G$3+0.5*'Data Transformation'!$U$25,IF(E294=1,F294-'Data Transformation'!$U$25,FALSE))</f>
        <v>#NUM!</v>
      </c>
      <c r="G293">
        <f t="array" ref="G293">IF(ISLOGICAL(F293),"",FREQUENCY(IF('Data Transformation'!$B$24:$B$404='Bin Analysis and Plots'!$D$291,'Data Transformation'!$G$24:$G$404),'Bin Analysis and Plots'!F293))</f>
        <v>0</v>
      </c>
      <c r="H293">
        <f>IF(ISLOGICAL(F293),"",G293-G292)</f>
        <v>0</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t="e">
        <f>IF(Weighting!$O$6&gt;0,D294,"")</f>
        <v>#NUM!</v>
      </c>
      <c r="D294" t="e">
        <f>Weighting!$C$6</f>
        <v>#DIV/0!</v>
      </c>
      <c r="E294" t="e">
        <f>Weighting!$E$6</f>
        <v>#NUM!</v>
      </c>
      <c r="F294" t="e">
        <f>IF(E294=1,'Data Transformation'!$G$3+0.5*'Data Transformation'!$U$25,IF(E295=1,F295-'Data Transformation'!$U$25,FALSE))</f>
        <v>#NUM!</v>
      </c>
      <c r="G294">
        <f t="array" ref="G294">IF(ISLOGICAL(F294),"",FREQUENCY(IF('Data Transformation'!$B$24:$B$404='Bin Analysis and Plots'!$D$291,'Data Transformation'!$G$24:$G$404),'Bin Analysis and Plots'!F294))</f>
        <v>0</v>
      </c>
      <c r="H294">
        <f>IF(ISLOGICAL(F294),"",G294-G293)</f>
        <v>0</v>
      </c>
      <c r="I294">
        <f>Weighting!$G$6</f>
        <v>1</v>
      </c>
      <c r="J294">
        <f t="array" ref="J294">FREQUENCY(IF('Data Transformation'!$B$4:$B$404=D291,'Data Transformation'!$G$4:$G$404),'Bin Analysis and Plots'!$D294)</f>
        <v>0</v>
      </c>
      <c r="K294">
        <f>J294-J293</f>
        <v>0</v>
      </c>
      <c r="L294">
        <f>IF(K294=0,0,1)</f>
        <v>0</v>
      </c>
      <c r="M294" t="e">
        <f>L294*Weighting!$V$6</f>
        <v>#NUM!</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t="str">
        <f>IF(Weighting!$O$7&gt;0,D295,"")</f>
        <v/>
      </c>
      <c r="D295" t="e">
        <f>Weighting!$C$7</f>
        <v>#DIV/0!</v>
      </c>
      <c r="E295" t="e">
        <f>Weighting!$E$7</f>
        <v>#NUM!</v>
      </c>
      <c r="F295" t="e">
        <f>IF(E295=1,'Data Transformation'!$G$3+0.5*'Data Transformation'!$U$25,IF(E296=1,F296-'Data Transformation'!$U$25,FALSE))</f>
        <v>#NUM!</v>
      </c>
      <c r="G295">
        <f t="array" ref="G295">IF(ISLOGICAL(F295),"",FREQUENCY(IF('Data Transformation'!$B$24:$B$404='Bin Analysis and Plots'!$D$291,'Data Transformation'!$G$24:$G$404),'Bin Analysis and Plots'!F295))</f>
        <v>0</v>
      </c>
      <c r="H295">
        <f t="shared" ref="H295:H313" si="36">IF(ISLOGICAL(F295),"",G295-G294)</f>
        <v>0</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t="str">
        <f>IF(Weighting!$O$8&gt;0,D296,"")</f>
        <v/>
      </c>
      <c r="D296" t="e">
        <f>Weighting!$C$8</f>
        <v>#DIV/0!</v>
      </c>
      <c r="E296" t="e">
        <f>Weighting!$E$8</f>
        <v>#NUM!</v>
      </c>
      <c r="F296" t="e">
        <f>IF(E296=1,'Data Transformation'!$G$3+0.5*'Data Transformation'!$U$25,IF(E297=1,F297-'Data Transformation'!$U$25,FALSE))</f>
        <v>#NUM!</v>
      </c>
      <c r="G296">
        <f t="array" ref="G296">IF(ISLOGICAL(F296),"",FREQUENCY(IF('Data Transformation'!$B$24:$B$404='Bin Analysis and Plots'!$D$291,'Data Transformation'!$G$24:$G$404),'Bin Analysis and Plots'!F296))</f>
        <v>0</v>
      </c>
      <c r="H296">
        <f t="shared" si="36"/>
        <v>0</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t="str">
        <f>IF(Weighting!$O$9&gt;0,D297,"")</f>
        <v/>
      </c>
      <c r="D297" t="e">
        <f>Weighting!$B$9</f>
        <v>#DIV/0!</v>
      </c>
      <c r="E297" t="e">
        <f>Weighting!$E$9</f>
        <v>#NUM!</v>
      </c>
      <c r="F297" t="e">
        <f>IF(E297=1,'Data Transformation'!$G$3+0.5*'Data Transformation'!$U$25,IF(E298=1,F298-'Data Transformation'!$U$25,FALSE))</f>
        <v>#NUM!</v>
      </c>
      <c r="G297">
        <f t="array" ref="G297">IF(ISLOGICAL(F297),"",FREQUENCY(IF('Data Transformation'!$B$24:$B$404='Bin Analysis and Plots'!$D$291,'Data Transformation'!$G$24:$G$404),'Bin Analysis and Plots'!F297))</f>
        <v>0</v>
      </c>
      <c r="H297">
        <f t="shared" si="36"/>
        <v>0</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t="str">
        <f>IF(Weighting!$O$10&gt;0,D298,"")</f>
        <v/>
      </c>
      <c r="D298" t="e">
        <f>Weighting!$C$10</f>
        <v>#DIV/0!</v>
      </c>
      <c r="E298" t="e">
        <f>Weighting!$E$10</f>
        <v>#NUM!</v>
      </c>
      <c r="F298" t="e">
        <f>IF(E298=1,'Data Transformation'!$G$3+0.5*'Data Transformation'!$U$25,IF(E299=1,F299-'Data Transformation'!$U$25,FALSE))</f>
        <v>#NUM!</v>
      </c>
      <c r="G298">
        <f t="array" ref="G298">IF(ISLOGICAL(F298),"",FREQUENCY(IF('Data Transformation'!$B$24:$B$404='Bin Analysis and Plots'!$D$291,'Data Transformation'!$G$24:$G$404),'Bin Analysis and Plots'!F298))</f>
        <v>0</v>
      </c>
      <c r="H298">
        <f t="shared" si="36"/>
        <v>0</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t="str">
        <f>IF(Weighting!$O$11&gt;0,D299,"")</f>
        <v/>
      </c>
      <c r="D299" t="e">
        <f>Weighting!$C$11</f>
        <v>#DIV/0!</v>
      </c>
      <c r="E299" t="e">
        <f>Weighting!$E$11</f>
        <v>#NUM!</v>
      </c>
      <c r="F299" t="e">
        <f>IF(E299=1,'Data Transformation'!$G$3+0.5*'Data Transformation'!$U$25,IF(E300=1,F300-'Data Transformation'!$U$25,FALSE))</f>
        <v>#NUM!</v>
      </c>
      <c r="G299">
        <f t="array" ref="G299">IF(ISLOGICAL(F299),"",FREQUENCY(IF('Data Transformation'!$B$24:$B$404='Bin Analysis and Plots'!$D$291,'Data Transformation'!$G$24:$G$404),'Bin Analysis and Plots'!F299))</f>
        <v>0</v>
      </c>
      <c r="H299">
        <f t="shared" si="36"/>
        <v>0</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t="str">
        <f>IF(Weighting!$O$12&gt;0,D300,"")</f>
        <v/>
      </c>
      <c r="D300" t="e">
        <f>Weighting!$C$12</f>
        <v>#DIV/0!</v>
      </c>
      <c r="E300" t="e">
        <f>Weighting!$E$12</f>
        <v>#NUM!</v>
      </c>
      <c r="F300" t="e">
        <f>IF(E300=1,'Data Transformation'!$G$3+0.5*'Data Transformation'!$U$25,IF(E301=1,F301-'Data Transformation'!$U$25,FALSE))</f>
        <v>#NUM!</v>
      </c>
      <c r="G300">
        <f t="array" ref="G300">IF(ISLOGICAL(F300),"",FREQUENCY(IF('Data Transformation'!$B$24:$B$404='Bin Analysis and Plots'!$D$291,'Data Transformation'!$G$24:$G$404),'Bin Analysis and Plots'!F300))</f>
        <v>0</v>
      </c>
      <c r="H300">
        <f t="shared" si="36"/>
        <v>0</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t="str">
        <f>IF(Weighting!$O$13&gt;0,D301,"")</f>
        <v/>
      </c>
      <c r="D301" t="e">
        <f>Weighting!$C$13</f>
        <v>#DIV/0!</v>
      </c>
      <c r="E301" t="e">
        <f>Weighting!$E$13</f>
        <v>#NUM!</v>
      </c>
      <c r="F301" t="e">
        <f>IF(E301=1,'Data Transformation'!$G$3+0.5*'Data Transformation'!$U$25,IF(E302=1,F302-'Data Transformation'!$U$25,FALSE))</f>
        <v>#NUM!</v>
      </c>
      <c r="G301">
        <f t="array" ref="G301">IF(ISLOGICAL(F301),"",FREQUENCY(IF('Data Transformation'!$B$24:$B$404='Bin Analysis and Plots'!$D$291,'Data Transformation'!$G$24:$G$404),'Bin Analysis and Plots'!F301))</f>
        <v>0</v>
      </c>
      <c r="H301">
        <f t="shared" si="36"/>
        <v>0</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t="str">
        <f>IF(Weighting!$O$14&gt;0,D302,"")</f>
        <v/>
      </c>
      <c r="D302" t="e">
        <f>Weighting!$C$14</f>
        <v>#DIV/0!</v>
      </c>
      <c r="E302" t="e">
        <f>Weighting!$E$14</f>
        <v>#NUM!</v>
      </c>
      <c r="F302" t="e">
        <f>IF(E302=1,'Data Transformation'!$G$3+0.5*'Data Transformation'!$U$25,IF(E303=1,F303-'Data Transformation'!$U$25,FALSE))</f>
        <v>#NUM!</v>
      </c>
      <c r="G302">
        <f t="array" ref="G302">IF(ISLOGICAL(F302),"",FREQUENCY(IF('Data Transformation'!$B$24:$B$404='Bin Analysis and Plots'!$D$291,'Data Transformation'!$G$24:$G$404),'Bin Analysis and Plots'!F302))</f>
        <v>0</v>
      </c>
      <c r="H302">
        <f t="shared" si="36"/>
        <v>0</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t="str">
        <f>IF(Weighting!$O$15&gt;0,D303,"")</f>
        <v/>
      </c>
      <c r="D303" t="e">
        <f>Weighting!$C$15</f>
        <v>#DIV/0!</v>
      </c>
      <c r="E303" t="e">
        <f>Weighting!$E$15</f>
        <v>#NUM!</v>
      </c>
      <c r="F303" t="e">
        <f>IF(E303=1,'Data Transformation'!$G$3+0.5*'Data Transformation'!$U$25,IF(E304=1,F304-'Data Transformation'!$U$25,FALSE))</f>
        <v>#NUM!</v>
      </c>
      <c r="G303">
        <f t="array" ref="G303">IF(ISLOGICAL(F303),"",FREQUENCY(IF('Data Transformation'!$B$24:$B$404='Bin Analysis and Plots'!$D$291,'Data Transformation'!$G$24:$G$404),'Bin Analysis and Plots'!F303))</f>
        <v>0</v>
      </c>
      <c r="H303">
        <f t="shared" si="36"/>
        <v>0</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t="e">
        <f>Weighting!$C$16</f>
        <v>#DIV/0!</v>
      </c>
      <c r="E304" t="e">
        <f>Weighting!$E$16</f>
        <v>#NUM!</v>
      </c>
      <c r="F304" t="e">
        <f>IF(E304=1,'Data Transformation'!$G$3+0.5*'Data Transformation'!$U$25,IF(E305=1,F305-'Data Transformation'!$U$25,FALSE))</f>
        <v>#NUM!</v>
      </c>
      <c r="G304">
        <f t="array" ref="G304">IF(ISLOGICAL(F304),"",FREQUENCY(IF('Data Transformation'!$B$24:$B$404='Bin Analysis and Plots'!$D$291,'Data Transformation'!$G$24:$G$404),'Bin Analysis and Plots'!F304))</f>
        <v>0</v>
      </c>
      <c r="H304">
        <f t="shared" si="36"/>
        <v>0</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t="e">
        <f>Weighting!$C$17</f>
        <v>#DIV/0!</v>
      </c>
      <c r="E305" t="e">
        <f>Weighting!$E$17</f>
        <v>#NUM!</v>
      </c>
      <c r="F305" t="e">
        <f>IF(E305=1,'Data Transformation'!$G$3+0.5*'Data Transformation'!$U$25,IF(E306=1,F306-'Data Transformation'!$U$25,FALSE))</f>
        <v>#NUM!</v>
      </c>
      <c r="G305">
        <f t="array" ref="G305">IF(ISLOGICAL(F305),"",FREQUENCY(IF('Data Transformation'!$B$24:$B$404='Bin Analysis and Plots'!$D$291,'Data Transformation'!$G$24:$G$404),'Bin Analysis and Plots'!F305))</f>
        <v>0</v>
      </c>
      <c r="H305">
        <f t="shared" si="36"/>
        <v>0</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t="e">
        <f>Weighting!$C$18</f>
        <v>#DIV/0!</v>
      </c>
      <c r="E306" t="e">
        <f>Weighting!$E$18</f>
        <v>#NUM!</v>
      </c>
      <c r="F306" t="e">
        <f>IF(E306=1,'Data Transformation'!$G$3+0.5*'Data Transformation'!$U$25,IF(E307=1,F307-'Data Transformation'!$U$25,FALSE))</f>
        <v>#NUM!</v>
      </c>
      <c r="G306">
        <f t="array" ref="G306">IF(ISLOGICAL(F306),"",FREQUENCY(IF('Data Transformation'!$B$24:$B$404='Bin Analysis and Plots'!$D$291,'Data Transformation'!$G$24:$G$404),'Bin Analysis and Plots'!F306))</f>
        <v>0</v>
      </c>
      <c r="H306">
        <f t="shared" si="36"/>
        <v>0</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t="e">
        <f>Weighting!$C$19</f>
        <v>#DIV/0!</v>
      </c>
      <c r="E307" t="e">
        <f>Weighting!$E$19</f>
        <v>#NUM!</v>
      </c>
      <c r="F307" t="e">
        <f>IF(E307=1,'Data Transformation'!$G$3+0.5*'Data Transformation'!$U$25,IF(E308=1,F308-'Data Transformation'!$U$25,FALSE))</f>
        <v>#NUM!</v>
      </c>
      <c r="G307">
        <f t="array" ref="G307">IF(ISLOGICAL(F307),"",FREQUENCY(IF('Data Transformation'!$B$24:$B$404='Bin Analysis and Plots'!$D$291,'Data Transformation'!$G$24:$G$404),'Bin Analysis and Plots'!F307))</f>
        <v>0</v>
      </c>
      <c r="H307">
        <f t="shared" si="36"/>
        <v>0</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t="e">
        <f>Weighting!$C$20</f>
        <v>#DIV/0!</v>
      </c>
      <c r="E308" t="e">
        <f>Weighting!$E$20</f>
        <v>#NUM!</v>
      </c>
      <c r="F308" t="e">
        <f>IF(E308=1,'Data Transformation'!$G$3+0.5*'Data Transformation'!$U$25,IF(E309=1,F309-'Data Transformation'!$U$25,FALSE))</f>
        <v>#NUM!</v>
      </c>
      <c r="G308">
        <f t="array" ref="G308">IF(ISLOGICAL(F308),"",FREQUENCY(IF('Data Transformation'!$B$24:$B$404='Bin Analysis and Plots'!$D$291,'Data Transformation'!$G$24:$G$404),'Bin Analysis and Plots'!F308))</f>
        <v>0</v>
      </c>
      <c r="H308">
        <f t="shared" si="36"/>
        <v>0</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t="e">
        <f>Weighting!$C$21</f>
        <v>#DIV/0!</v>
      </c>
      <c r="E309" t="e">
        <f>Weighting!$E$21</f>
        <v>#NUM!</v>
      </c>
      <c r="F309" t="e">
        <f>IF(E309=1,'Data Transformation'!$G$3+0.5*'Data Transformation'!$U$25,IF(E310=1,F310-'Data Transformation'!$U$25,FALSE))</f>
        <v>#NUM!</v>
      </c>
      <c r="G309">
        <f t="array" ref="G309">IF(ISLOGICAL(F309),"",FREQUENCY(IF('Data Transformation'!$B$24:$B$404='Bin Analysis and Plots'!$D$291,'Data Transformation'!$G$24:$G$404),'Bin Analysis and Plots'!F309))</f>
        <v>0</v>
      </c>
      <c r="H309">
        <f t="shared" si="36"/>
        <v>0</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t="e">
        <f>Weighting!$C$22</f>
        <v>#DIV/0!</v>
      </c>
      <c r="E310" t="e">
        <f>Weighting!$E$22</f>
        <v>#NUM!</v>
      </c>
      <c r="F310" t="e">
        <f>IF(E310=1,'Data Transformation'!$G$3+0.5*'Data Transformation'!$U$25,IF(E311=1,F311-'Data Transformation'!$U$25,FALSE))</f>
        <v>#NUM!</v>
      </c>
      <c r="G310">
        <f t="array" ref="G310">IF(ISLOGICAL(F310),"",FREQUENCY(IF('Data Transformation'!$B$24:$B$404='Bin Analysis and Plots'!$D$291,'Data Transformation'!$G$24:$G$404),'Bin Analysis and Plots'!F310))</f>
        <v>0</v>
      </c>
      <c r="H310">
        <f t="shared" si="36"/>
        <v>0</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t="e">
        <f>Weighting!$C$23</f>
        <v>#DIV/0!</v>
      </c>
      <c r="E311" t="e">
        <f>Weighting!$E$23</f>
        <v>#NUM!</v>
      </c>
      <c r="F311" t="e">
        <f>IF(E311=1,'Data Transformation'!$G$3+0.5*'Data Transformation'!$U$25,IF(E312=1,F312-'Data Transformation'!$U$25,FALSE))</f>
        <v>#NUM!</v>
      </c>
      <c r="G311">
        <f t="array" ref="G311">IF(ISLOGICAL(F311),"",FREQUENCY(IF('Data Transformation'!$B$24:$B$404='Bin Analysis and Plots'!$D$291,'Data Transformation'!$G$24:$G$404),'Bin Analysis and Plots'!F311))</f>
        <v>0</v>
      </c>
      <c r="H311">
        <f t="shared" si="36"/>
        <v>0</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t="e">
        <f>Weighting!$C$24</f>
        <v>#DIV/0!</v>
      </c>
      <c r="E312" t="e">
        <f>Weighting!$E$24</f>
        <v>#NUM!</v>
      </c>
      <c r="F312" t="e">
        <f>IF(E312=1,'Data Transformation'!$G$3+0.5*'Data Transformation'!$U$25,IF(E313=1,F313-'Data Transformation'!$U$25,FALSE))</f>
        <v>#NUM!</v>
      </c>
      <c r="G312">
        <f t="array" ref="G312">IF(ISLOGICAL(F312),"",FREQUENCY(IF('Data Transformation'!$B$24:$B$404='Bin Analysis and Plots'!$D$291,'Data Transformation'!$G$24:$G$404),'Bin Analysis and Plots'!F312))</f>
        <v>0</v>
      </c>
      <c r="H312">
        <f t="shared" si="36"/>
        <v>0</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b">
        <f t="array" ref="A313">IF(ISERROR(INDEX('Data Transformation'!$B$4:$G$450,SMALL(IF('Data Transformation'!$B$4:$B$450='Bin Analysis and Plots'!D291,ROW('Data Transformation'!$B$4:$B$450)),ROW($20:$20))-3,3)),"",INDEX('Data Transformation'!$B$4:$G$450,SMALL(IF('Data Transformation'!$B$4:$B$450='Bin Analysis and Plots'!D291,ROW('Data Transformation'!$B$4:$B$450)),ROW($20:$20))-3,6))</f>
        <v>0</v>
      </c>
      <c r="B313" s="29" t="str">
        <f>IFERROR(SMALL(A294:A313,'Data Transformation'!$L$25),"")</f>
        <v/>
      </c>
      <c r="C313" s="41" t="str">
        <f>IF(Weighting!$O$25&gt;0,D313,"")</f>
        <v/>
      </c>
      <c r="D313" t="e">
        <f>Weighting!$C$25</f>
        <v>#DIV/0!</v>
      </c>
      <c r="E313" t="e">
        <f>Weighting!$E$25</f>
        <v>#NUM!</v>
      </c>
      <c r="F313" t="e">
        <f>IF(E313=1,'Data Transformation'!$G$3+0.5*'Data Transformation'!$U$25,IF(E314=1,F314-'Data Transformation'!$U$25,FALSE))</f>
        <v>#NUM!</v>
      </c>
      <c r="G313">
        <f t="array" ref="G313">IF(ISLOGICAL(F313),"",FREQUENCY(IF('Data Transformation'!$B$24:$B$404='Bin Analysis and Plots'!$D$291,'Data Transformation'!$G$24:$G$404),'Bin Analysis and Plots'!F313))</f>
        <v>0</v>
      </c>
      <c r="H313">
        <f t="shared" si="36"/>
        <v>0</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1">
      <c r="A316" s="91" t="s">
        <v>64</v>
      </c>
      <c r="B316" s="91"/>
      <c r="C316" s="14" t="s">
        <v>72</v>
      </c>
      <c r="D316" t="s">
        <v>50</v>
      </c>
      <c r="E316" t="s">
        <v>5</v>
      </c>
      <c r="I316" t="s">
        <v>74</v>
      </c>
      <c r="J316" t="s">
        <v>34</v>
      </c>
      <c r="K316" t="s">
        <v>35</v>
      </c>
      <c r="L316" t="s">
        <v>49</v>
      </c>
      <c r="M316" s="14" t="s">
        <v>48</v>
      </c>
      <c r="Z316" s="78">
        <v>0</v>
      </c>
      <c r="AA316" s="78">
        <v>0</v>
      </c>
    </row>
    <row r="317" spans="1:27">
      <c r="C317" s="41" t="str">
        <f>IF(B317="","",D317)</f>
        <v/>
      </c>
      <c r="F317" t="e">
        <f>IF(E317=1,'Data Transformation'!$G$3+0.5*'Data Transformation'!$U$25,IF(E318=1,F318-'Data Transformation'!$U$25,FALSE))</f>
        <v>#NUM!</v>
      </c>
      <c r="G317">
        <f t="array" ref="G317">IF(ISLOGICAL(F317),"",FREQUENCY(IF('Data Transformation'!$B$24:$B$404='Bin Analysis and Plots'!$D$315,'Data Transformation'!$G$24:$G$404),'Bin Analysis and Plots'!F317))</f>
        <v>0</v>
      </c>
      <c r="H317">
        <f>IF(ISLOGICAL(F317),"",G317-G316)</f>
        <v>0</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t="e">
        <f>IF(Weighting!$O$6&gt;0,D318,"")</f>
        <v>#NUM!</v>
      </c>
      <c r="D318" t="e">
        <f>Weighting!$C$6</f>
        <v>#DIV/0!</v>
      </c>
      <c r="E318" t="e">
        <f>Weighting!$E$6</f>
        <v>#NUM!</v>
      </c>
      <c r="F318" t="e">
        <f>IF(E318=1,'Data Transformation'!$G$3+0.5*'Data Transformation'!$U$25,IF(E319=1,F319-'Data Transformation'!$U$25,FALSE))</f>
        <v>#NUM!</v>
      </c>
      <c r="G318">
        <f t="array" ref="G318">IF(ISLOGICAL(F318),"",FREQUENCY(IF('Data Transformation'!$B$24:$B$404='Bin Analysis and Plots'!$D$315,'Data Transformation'!$G$24:$G$404),'Bin Analysis and Plots'!F318))</f>
        <v>0</v>
      </c>
      <c r="H318">
        <f>IF(ISLOGICAL(F318),"",G318-G317)</f>
        <v>0</v>
      </c>
      <c r="I318">
        <f>Weighting!$G$6</f>
        <v>1</v>
      </c>
      <c r="J318">
        <f t="array" ref="J318">FREQUENCY(IF('Data Transformation'!$B$4:$B$404=D315,'Data Transformation'!$G$4:$G$404),'Bin Analysis and Plots'!$D318)</f>
        <v>0</v>
      </c>
      <c r="K318">
        <f>J318-J317</f>
        <v>0</v>
      </c>
      <c r="L318">
        <f>IF(K318=0,0,1)</f>
        <v>0</v>
      </c>
      <c r="M318" t="e">
        <f>L318*Weighting!$V$6</f>
        <v>#NUM!</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t="str">
        <f>IF(Weighting!$O$7&gt;0,D319,"")</f>
        <v/>
      </c>
      <c r="D319" t="e">
        <f>Weighting!$C$7</f>
        <v>#DIV/0!</v>
      </c>
      <c r="E319" t="e">
        <f>Weighting!$E$7</f>
        <v>#NUM!</v>
      </c>
      <c r="F319" t="e">
        <f>IF(E319=1,'Data Transformation'!$G$3+0.5*'Data Transformation'!$U$25,IF(E320=1,F320-'Data Transformation'!$U$25,FALSE))</f>
        <v>#NUM!</v>
      </c>
      <c r="G319">
        <f t="array" ref="G319">IF(ISLOGICAL(F319),"",FREQUENCY(IF('Data Transformation'!$B$24:$B$404='Bin Analysis and Plots'!$D$315,'Data Transformation'!$G$24:$G$404),'Bin Analysis and Plots'!F319))</f>
        <v>0</v>
      </c>
      <c r="H319">
        <f t="shared" ref="H319:H337" si="39">IF(ISLOGICAL(F319),"",G319-G318)</f>
        <v>0</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t="str">
        <f>IF(Weighting!$O$8&gt;0,D320,"")</f>
        <v/>
      </c>
      <c r="D320" t="e">
        <f>Weighting!$C$8</f>
        <v>#DIV/0!</v>
      </c>
      <c r="E320" t="e">
        <f>Weighting!$E$8</f>
        <v>#NUM!</v>
      </c>
      <c r="F320" t="e">
        <f>IF(E320=1,'Data Transformation'!$G$3+0.5*'Data Transformation'!$U$25,IF(E321=1,F321-'Data Transformation'!$U$25,FALSE))</f>
        <v>#NUM!</v>
      </c>
      <c r="G320">
        <f t="array" ref="G320">IF(ISLOGICAL(F320),"",FREQUENCY(IF('Data Transformation'!$B$24:$B$404='Bin Analysis and Plots'!$D$315,'Data Transformation'!$G$24:$G$404),'Bin Analysis and Plots'!F320))</f>
        <v>0</v>
      </c>
      <c r="H320">
        <f t="shared" si="39"/>
        <v>0</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t="str">
        <f>IF(Weighting!$O$9&gt;0,D321,"")</f>
        <v/>
      </c>
      <c r="D321" t="e">
        <f>Weighting!$B$9</f>
        <v>#DIV/0!</v>
      </c>
      <c r="E321" t="e">
        <f>Weighting!$E$9</f>
        <v>#NUM!</v>
      </c>
      <c r="F321" t="e">
        <f>IF(E321=1,'Data Transformation'!$G$3+0.5*'Data Transformation'!$U$25,IF(E322=1,F322-'Data Transformation'!$U$25,FALSE))</f>
        <v>#NUM!</v>
      </c>
      <c r="G321">
        <f t="array" ref="G321">IF(ISLOGICAL(F321),"",FREQUENCY(IF('Data Transformation'!$B$24:$B$404='Bin Analysis and Plots'!$D$315,'Data Transformation'!$G$24:$G$404),'Bin Analysis and Plots'!F321))</f>
        <v>0</v>
      </c>
      <c r="H321">
        <f t="shared" si="39"/>
        <v>0</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t="str">
        <f>IF(Weighting!$O$10&gt;0,D322,"")</f>
        <v/>
      </c>
      <c r="D322" t="e">
        <f>Weighting!$C$10</f>
        <v>#DIV/0!</v>
      </c>
      <c r="E322" t="e">
        <f>Weighting!$E$10</f>
        <v>#NUM!</v>
      </c>
      <c r="F322" t="e">
        <f>IF(E322=1,'Data Transformation'!$G$3+0.5*'Data Transformation'!$U$25,IF(E323=1,F323-'Data Transformation'!$U$25,FALSE))</f>
        <v>#NUM!</v>
      </c>
      <c r="G322">
        <f t="array" ref="G322">IF(ISLOGICAL(F322),"",FREQUENCY(IF('Data Transformation'!$B$24:$B$404='Bin Analysis and Plots'!$D$315,'Data Transformation'!$G$24:$G$404),'Bin Analysis and Plots'!F322))</f>
        <v>0</v>
      </c>
      <c r="H322">
        <f t="shared" si="39"/>
        <v>0</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t="str">
        <f>IF(Weighting!$O$11&gt;0,D323,"")</f>
        <v/>
      </c>
      <c r="D323" t="e">
        <f>Weighting!$C$11</f>
        <v>#DIV/0!</v>
      </c>
      <c r="E323" t="e">
        <f>Weighting!$E$11</f>
        <v>#NUM!</v>
      </c>
      <c r="F323" t="e">
        <f>IF(E323=1,'Data Transformation'!$G$3+0.5*'Data Transformation'!$U$25,IF(E324=1,F324-'Data Transformation'!$U$25,FALSE))</f>
        <v>#NUM!</v>
      </c>
      <c r="G323">
        <f t="array" ref="G323">IF(ISLOGICAL(F323),"",FREQUENCY(IF('Data Transformation'!$B$24:$B$404='Bin Analysis and Plots'!$D$315,'Data Transformation'!$G$24:$G$404),'Bin Analysis and Plots'!F323))</f>
        <v>0</v>
      </c>
      <c r="H323">
        <f t="shared" si="39"/>
        <v>0</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t="str">
        <f>IF(Weighting!$O$12&gt;0,D324,"")</f>
        <v/>
      </c>
      <c r="D324" t="e">
        <f>Weighting!$C$12</f>
        <v>#DIV/0!</v>
      </c>
      <c r="E324" t="e">
        <f>Weighting!$E$12</f>
        <v>#NUM!</v>
      </c>
      <c r="F324" t="e">
        <f>IF(E324=1,'Data Transformation'!$G$3+0.5*'Data Transformation'!$U$25,IF(E325=1,F325-'Data Transformation'!$U$25,FALSE))</f>
        <v>#NUM!</v>
      </c>
      <c r="G324">
        <f t="array" ref="G324">IF(ISLOGICAL(F324),"",FREQUENCY(IF('Data Transformation'!$B$24:$B$404='Bin Analysis and Plots'!$D$315,'Data Transformation'!$G$24:$G$404),'Bin Analysis and Plots'!F324))</f>
        <v>0</v>
      </c>
      <c r="H324">
        <f t="shared" si="39"/>
        <v>0</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t="str">
        <f>IF(Weighting!$O$13&gt;0,D325,"")</f>
        <v/>
      </c>
      <c r="D325" t="e">
        <f>Weighting!$C$13</f>
        <v>#DIV/0!</v>
      </c>
      <c r="E325" t="e">
        <f>Weighting!$E$13</f>
        <v>#NUM!</v>
      </c>
      <c r="F325" t="e">
        <f>IF(E325=1,'Data Transformation'!$G$3+0.5*'Data Transformation'!$U$25,IF(E326=1,F326-'Data Transformation'!$U$25,FALSE))</f>
        <v>#NUM!</v>
      </c>
      <c r="G325">
        <f t="array" ref="G325">IF(ISLOGICAL(F325),"",FREQUENCY(IF('Data Transformation'!$B$24:$B$404='Bin Analysis and Plots'!$D$315,'Data Transformation'!$G$24:$G$404),'Bin Analysis and Plots'!F325))</f>
        <v>0</v>
      </c>
      <c r="H325">
        <f t="shared" si="39"/>
        <v>0</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t="str">
        <f>IF(Weighting!$O$14&gt;0,D326,"")</f>
        <v/>
      </c>
      <c r="D326" t="e">
        <f>Weighting!$C$14</f>
        <v>#DIV/0!</v>
      </c>
      <c r="E326" t="e">
        <f>Weighting!$E$14</f>
        <v>#NUM!</v>
      </c>
      <c r="F326" t="e">
        <f>IF(E326=1,'Data Transformation'!$G$3+0.5*'Data Transformation'!$U$25,IF(E327=1,F327-'Data Transformation'!$U$25,FALSE))</f>
        <v>#NUM!</v>
      </c>
      <c r="G326">
        <f t="array" ref="G326">IF(ISLOGICAL(F326),"",FREQUENCY(IF('Data Transformation'!$B$24:$B$404='Bin Analysis and Plots'!$D$315,'Data Transformation'!$G$24:$G$404),'Bin Analysis and Plots'!F326))</f>
        <v>0</v>
      </c>
      <c r="H326">
        <f t="shared" si="39"/>
        <v>0</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t="str">
        <f>IF(Weighting!$O$15&gt;0,D327,"")</f>
        <v/>
      </c>
      <c r="D327" t="e">
        <f>Weighting!$C$15</f>
        <v>#DIV/0!</v>
      </c>
      <c r="E327" t="e">
        <f>Weighting!$E$15</f>
        <v>#NUM!</v>
      </c>
      <c r="F327" t="e">
        <f>IF(E327=1,'Data Transformation'!$G$3+0.5*'Data Transformation'!$U$25,IF(E328=1,F328-'Data Transformation'!$U$25,FALSE))</f>
        <v>#NUM!</v>
      </c>
      <c r="G327">
        <f t="array" ref="G327">IF(ISLOGICAL(F327),"",FREQUENCY(IF('Data Transformation'!$B$24:$B$404='Bin Analysis and Plots'!$D$315,'Data Transformation'!$G$24:$G$404),'Bin Analysis and Plots'!F327))</f>
        <v>0</v>
      </c>
      <c r="H327">
        <f t="shared" si="39"/>
        <v>0</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t="e">
        <f>Weighting!$C$16</f>
        <v>#DIV/0!</v>
      </c>
      <c r="E328" t="e">
        <f>Weighting!$E$16</f>
        <v>#NUM!</v>
      </c>
      <c r="F328" t="e">
        <f>IF(E328=1,'Data Transformation'!$G$3+0.5*'Data Transformation'!$U$25,IF(E329=1,F329-'Data Transformation'!$U$25,FALSE))</f>
        <v>#NUM!</v>
      </c>
      <c r="G328">
        <f t="array" ref="G328">IF(ISLOGICAL(F328),"",FREQUENCY(IF('Data Transformation'!$B$24:$B$404='Bin Analysis and Plots'!$D$315,'Data Transformation'!$G$24:$G$404),'Bin Analysis and Plots'!F328))</f>
        <v>0</v>
      </c>
      <c r="H328">
        <f t="shared" si="39"/>
        <v>0</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t="e">
        <f>Weighting!$C$17</f>
        <v>#DIV/0!</v>
      </c>
      <c r="E329" t="e">
        <f>Weighting!$E$17</f>
        <v>#NUM!</v>
      </c>
      <c r="F329" t="e">
        <f>IF(E329=1,'Data Transformation'!$G$3+0.5*'Data Transformation'!$U$25,IF(E330=1,F330-'Data Transformation'!$U$25,FALSE))</f>
        <v>#NUM!</v>
      </c>
      <c r="G329">
        <f t="array" ref="G329">IF(ISLOGICAL(F329),"",FREQUENCY(IF('Data Transformation'!$B$24:$B$404='Bin Analysis and Plots'!$D$315,'Data Transformation'!$G$24:$G$404),'Bin Analysis and Plots'!F329))</f>
        <v>0</v>
      </c>
      <c r="H329">
        <f t="shared" si="39"/>
        <v>0</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t="e">
        <f>Weighting!$C$18</f>
        <v>#DIV/0!</v>
      </c>
      <c r="E330" t="e">
        <f>Weighting!$E$18</f>
        <v>#NUM!</v>
      </c>
      <c r="F330" t="e">
        <f>IF(E330=1,'Data Transformation'!$G$3+0.5*'Data Transformation'!$U$25,IF(E331=1,F331-'Data Transformation'!$U$25,FALSE))</f>
        <v>#NUM!</v>
      </c>
      <c r="G330">
        <f t="array" ref="G330">IF(ISLOGICAL(F330),"",FREQUENCY(IF('Data Transformation'!$B$24:$B$404='Bin Analysis and Plots'!$D$315,'Data Transformation'!$G$24:$G$404),'Bin Analysis and Plots'!F330))</f>
        <v>0</v>
      </c>
      <c r="H330">
        <f t="shared" si="39"/>
        <v>0</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t="e">
        <f>Weighting!$C$19</f>
        <v>#DIV/0!</v>
      </c>
      <c r="E331" t="e">
        <f>Weighting!$E$19</f>
        <v>#NUM!</v>
      </c>
      <c r="F331" t="e">
        <f>IF(E331=1,'Data Transformation'!$G$3+0.5*'Data Transformation'!$U$25,IF(E332=1,F332-'Data Transformation'!$U$25,FALSE))</f>
        <v>#NUM!</v>
      </c>
      <c r="G331">
        <f t="array" ref="G331">IF(ISLOGICAL(F331),"",FREQUENCY(IF('Data Transformation'!$B$24:$B$404='Bin Analysis and Plots'!$D$315,'Data Transformation'!$G$24:$G$404),'Bin Analysis and Plots'!F331))</f>
        <v>0</v>
      </c>
      <c r="H331">
        <f t="shared" si="39"/>
        <v>0</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t="e">
        <f>Weighting!$C$20</f>
        <v>#DIV/0!</v>
      </c>
      <c r="E332" t="e">
        <f>Weighting!$E$20</f>
        <v>#NUM!</v>
      </c>
      <c r="F332" t="e">
        <f>IF(E332=1,'Data Transformation'!$G$3+0.5*'Data Transformation'!$U$25,IF(E333=1,F333-'Data Transformation'!$U$25,FALSE))</f>
        <v>#NUM!</v>
      </c>
      <c r="G332">
        <f t="array" ref="G332">IF(ISLOGICAL(F332),"",FREQUENCY(IF('Data Transformation'!$B$24:$B$404='Bin Analysis and Plots'!$D$315,'Data Transformation'!$G$24:$G$404),'Bin Analysis and Plots'!F332))</f>
        <v>0</v>
      </c>
      <c r="H332">
        <f t="shared" si="39"/>
        <v>0</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t="e">
        <f>Weighting!$C$21</f>
        <v>#DIV/0!</v>
      </c>
      <c r="E333" t="e">
        <f>Weighting!$E$21</f>
        <v>#NUM!</v>
      </c>
      <c r="F333" t="e">
        <f>IF(E333=1,'Data Transformation'!$G$3+0.5*'Data Transformation'!$U$25,IF(E334=1,F334-'Data Transformation'!$U$25,FALSE))</f>
        <v>#NUM!</v>
      </c>
      <c r="G333">
        <f t="array" ref="G333">IF(ISLOGICAL(F333),"",FREQUENCY(IF('Data Transformation'!$B$24:$B$404='Bin Analysis and Plots'!$D$315,'Data Transformation'!$G$24:$G$404),'Bin Analysis and Plots'!F333))</f>
        <v>0</v>
      </c>
      <c r="H333">
        <f t="shared" si="39"/>
        <v>0</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t="e">
        <f>Weighting!$C$22</f>
        <v>#DIV/0!</v>
      </c>
      <c r="E334" t="e">
        <f>Weighting!$E$22</f>
        <v>#NUM!</v>
      </c>
      <c r="F334" t="e">
        <f>IF(E334=1,'Data Transformation'!$G$3+0.5*'Data Transformation'!$U$25,IF(E335=1,F335-'Data Transformation'!$U$25,FALSE))</f>
        <v>#NUM!</v>
      </c>
      <c r="G334">
        <f t="array" ref="G334">IF(ISLOGICAL(F334),"",FREQUENCY(IF('Data Transformation'!$B$24:$B$404='Bin Analysis and Plots'!$D$315,'Data Transformation'!$G$24:$G$404),'Bin Analysis and Plots'!F334))</f>
        <v>0</v>
      </c>
      <c r="H334">
        <f t="shared" si="39"/>
        <v>0</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t="e">
        <f>Weighting!$C$23</f>
        <v>#DIV/0!</v>
      </c>
      <c r="E335" t="e">
        <f>Weighting!$E$23</f>
        <v>#NUM!</v>
      </c>
      <c r="F335" t="e">
        <f>IF(E335=1,'Data Transformation'!$G$3+0.5*'Data Transformation'!$U$25,IF(E336=1,F336-'Data Transformation'!$U$25,FALSE))</f>
        <v>#NUM!</v>
      </c>
      <c r="G335">
        <f t="array" ref="G335">IF(ISLOGICAL(F335),"",FREQUENCY(IF('Data Transformation'!$B$24:$B$404='Bin Analysis and Plots'!$D$315,'Data Transformation'!$G$24:$G$404),'Bin Analysis and Plots'!F335))</f>
        <v>0</v>
      </c>
      <c r="H335">
        <f t="shared" si="39"/>
        <v>0</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t="e">
        <f>Weighting!$C$24</f>
        <v>#DIV/0!</v>
      </c>
      <c r="E336" t="e">
        <f>Weighting!$E$24</f>
        <v>#NUM!</v>
      </c>
      <c r="F336" t="e">
        <f>IF(E336=1,'Data Transformation'!$G$3+0.5*'Data Transformation'!$U$25,IF(E337=1,F337-'Data Transformation'!$U$25,FALSE))</f>
        <v>#NUM!</v>
      </c>
      <c r="G336">
        <f t="array" ref="G336">IF(ISLOGICAL(F336),"",FREQUENCY(IF('Data Transformation'!$B$24:$B$404='Bin Analysis and Plots'!$D$315,'Data Transformation'!$G$24:$G$404),'Bin Analysis and Plots'!F336))</f>
        <v>0</v>
      </c>
      <c r="H336">
        <f t="shared" si="39"/>
        <v>0</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b">
        <f t="array" ref="A337">IF(ISERROR(INDEX('Data Transformation'!$B$4:$G$450,SMALL(IF('Data Transformation'!$B$4:$B$450='Bin Analysis and Plots'!D315,ROW('Data Transformation'!$B$4:$B$450)),ROW($20:$20))-3,3)),"",INDEX('Data Transformation'!$B$4:$G$450,SMALL(IF('Data Transformation'!$B$4:$B$450='Bin Analysis and Plots'!D315,ROW('Data Transformation'!$B$4:$B$450)),ROW($20:$20))-3,6))</f>
        <v>0</v>
      </c>
      <c r="B337" s="29" t="str">
        <f>IFERROR(SMALL(A318:A337,'Data Transformation'!$L$25),"")</f>
        <v/>
      </c>
      <c r="C337" s="41" t="str">
        <f>IF(Weighting!$O$25&gt;0,D337,"")</f>
        <v/>
      </c>
      <c r="D337" t="e">
        <f>Weighting!$C$25</f>
        <v>#DIV/0!</v>
      </c>
      <c r="E337" t="e">
        <f>Weighting!$E$25</f>
        <v>#NUM!</v>
      </c>
      <c r="F337" t="e">
        <f>IF(E337=1,'Data Transformation'!$G$3+0.5*'Data Transformation'!$U$25,IF(E338=1,F338-'Data Transformation'!$U$25,FALSE))</f>
        <v>#NUM!</v>
      </c>
      <c r="G337">
        <f t="array" ref="G337">IF(ISLOGICAL(F337),"",FREQUENCY(IF('Data Transformation'!$B$24:$B$404='Bin Analysis and Plots'!$D$315,'Data Transformation'!$G$24:$G$404),'Bin Analysis and Plots'!F337))</f>
        <v>0</v>
      </c>
      <c r="H337">
        <f t="shared" si="39"/>
        <v>0</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1">
      <c r="A340" s="91" t="s">
        <v>64</v>
      </c>
      <c r="B340" s="91"/>
      <c r="C340" s="14" t="s">
        <v>72</v>
      </c>
      <c r="D340" t="s">
        <v>50</v>
      </c>
      <c r="E340" t="s">
        <v>5</v>
      </c>
      <c r="I340" t="s">
        <v>74</v>
      </c>
      <c r="J340" t="s">
        <v>34</v>
      </c>
      <c r="K340" t="s">
        <v>35</v>
      </c>
      <c r="L340" t="s">
        <v>49</v>
      </c>
      <c r="M340" s="14" t="s">
        <v>48</v>
      </c>
      <c r="Z340" s="78">
        <v>0</v>
      </c>
      <c r="AA340" s="78">
        <v>0</v>
      </c>
    </row>
    <row r="341" spans="1:27">
      <c r="C341" s="41" t="str">
        <f>IF(B341="","",D341)</f>
        <v/>
      </c>
      <c r="F341" t="e">
        <f>IF(E341=1,'Data Transformation'!$G$3+0.5*'Data Transformation'!$U$25,IF(E342=1,F342-'Data Transformation'!$U$25,FALSE))</f>
        <v>#NUM!</v>
      </c>
      <c r="G341">
        <f t="array" ref="G341">IF(ISLOGICAL(F341),"",FREQUENCY(IF('Data Transformation'!$B$24:$B$404='Bin Analysis and Plots'!$D$339,'Data Transformation'!$G$24:$G$404),'Bin Analysis and Plots'!F341))</f>
        <v>0</v>
      </c>
      <c r="H341">
        <f>IF(ISLOGICAL(F341),"",G341-G340)</f>
        <v>0</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t="e">
        <f>IF(Weighting!$O$6&gt;0,D342,"")</f>
        <v>#NUM!</v>
      </c>
      <c r="D342" t="e">
        <f>Weighting!$C$6</f>
        <v>#DIV/0!</v>
      </c>
      <c r="E342" t="e">
        <f>Weighting!$E$6</f>
        <v>#NUM!</v>
      </c>
      <c r="F342" t="e">
        <f>IF(E342=1,'Data Transformation'!$G$3+0.5*'Data Transformation'!$U$25,IF(E343=1,F343-'Data Transformation'!$U$25,FALSE))</f>
        <v>#NUM!</v>
      </c>
      <c r="G342">
        <f t="array" ref="G342">IF(ISLOGICAL(F342),"",FREQUENCY(IF('Data Transformation'!$B$24:$B$404='Bin Analysis and Plots'!$D$339,'Data Transformation'!$G$24:$G$404),'Bin Analysis and Plots'!F342))</f>
        <v>0</v>
      </c>
      <c r="H342">
        <f>IF(ISLOGICAL(F342),"",G342-G341)</f>
        <v>0</v>
      </c>
      <c r="I342">
        <f>Weighting!$G$6</f>
        <v>1</v>
      </c>
      <c r="J342">
        <f t="array" ref="J342">FREQUENCY(IF('Data Transformation'!$B$4:$B$404=D339,'Data Transformation'!$G$4:$G$404),'Bin Analysis and Plots'!$D342)</f>
        <v>0</v>
      </c>
      <c r="K342">
        <f>J342-J341</f>
        <v>0</v>
      </c>
      <c r="L342">
        <f>IF(K342=0,0,1)</f>
        <v>0</v>
      </c>
      <c r="M342" t="e">
        <f>L342*Weighting!$V$6</f>
        <v>#NUM!</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t="str">
        <f>IF(Weighting!$O$7&gt;0,D343,"")</f>
        <v/>
      </c>
      <c r="D343" t="e">
        <f>Weighting!$C$7</f>
        <v>#DIV/0!</v>
      </c>
      <c r="E343" t="e">
        <f>Weighting!$E$7</f>
        <v>#NUM!</v>
      </c>
      <c r="F343" t="e">
        <f>IF(E343=1,'Data Transformation'!$G$3+0.5*'Data Transformation'!$U$25,IF(E344=1,F344-'Data Transformation'!$U$25,FALSE))</f>
        <v>#NUM!</v>
      </c>
      <c r="G343">
        <f t="array" ref="G343">IF(ISLOGICAL(F343),"",FREQUENCY(IF('Data Transformation'!$B$24:$B$404='Bin Analysis and Plots'!$D$339,'Data Transformation'!$G$24:$G$404),'Bin Analysis and Plots'!F343))</f>
        <v>0</v>
      </c>
      <c r="H343">
        <f t="shared" ref="H343:H361" si="42">IF(ISLOGICAL(F343),"",G343-G342)</f>
        <v>0</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t="str">
        <f>IF(Weighting!$O$8&gt;0,D344,"")</f>
        <v/>
      </c>
      <c r="D344" t="e">
        <f>Weighting!$C$8</f>
        <v>#DIV/0!</v>
      </c>
      <c r="E344" t="e">
        <f>Weighting!$E$8</f>
        <v>#NUM!</v>
      </c>
      <c r="F344" t="e">
        <f>IF(E344=1,'Data Transformation'!$G$3+0.5*'Data Transformation'!$U$25,IF(E345=1,F345-'Data Transformation'!$U$25,FALSE))</f>
        <v>#NUM!</v>
      </c>
      <c r="G344">
        <f t="array" ref="G344">IF(ISLOGICAL(F344),"",FREQUENCY(IF('Data Transformation'!$B$24:$B$404='Bin Analysis and Plots'!$D$339,'Data Transformation'!$G$24:$G$404),'Bin Analysis and Plots'!F344))</f>
        <v>0</v>
      </c>
      <c r="H344">
        <f t="shared" si="42"/>
        <v>0</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t="str">
        <f>IF(Weighting!$O$9&gt;0,D345,"")</f>
        <v/>
      </c>
      <c r="D345" t="e">
        <f>Weighting!$B$9</f>
        <v>#DIV/0!</v>
      </c>
      <c r="E345" t="e">
        <f>Weighting!$E$9</f>
        <v>#NUM!</v>
      </c>
      <c r="F345" t="e">
        <f>IF(E345=1,'Data Transformation'!$G$3+0.5*'Data Transformation'!$U$25,IF(E346=1,F346-'Data Transformation'!$U$25,FALSE))</f>
        <v>#NUM!</v>
      </c>
      <c r="G345">
        <f t="array" ref="G345">IF(ISLOGICAL(F345),"",FREQUENCY(IF('Data Transformation'!$B$24:$B$404='Bin Analysis and Plots'!$D$339,'Data Transformation'!$G$24:$G$404),'Bin Analysis and Plots'!F345))</f>
        <v>0</v>
      </c>
      <c r="H345">
        <f t="shared" si="42"/>
        <v>0</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t="str">
        <f>IF(Weighting!$O$10&gt;0,D346,"")</f>
        <v/>
      </c>
      <c r="D346" t="e">
        <f>Weighting!$C$10</f>
        <v>#DIV/0!</v>
      </c>
      <c r="E346" t="e">
        <f>Weighting!$E$10</f>
        <v>#NUM!</v>
      </c>
      <c r="F346" t="e">
        <f>IF(E346=1,'Data Transformation'!$G$3+0.5*'Data Transformation'!$U$25,IF(E347=1,F347-'Data Transformation'!$U$25,FALSE))</f>
        <v>#NUM!</v>
      </c>
      <c r="G346">
        <f t="array" ref="G346">IF(ISLOGICAL(F346),"",FREQUENCY(IF('Data Transformation'!$B$24:$B$404='Bin Analysis and Plots'!$D$339,'Data Transformation'!$G$24:$G$404),'Bin Analysis and Plots'!F346))</f>
        <v>0</v>
      </c>
      <c r="H346">
        <f t="shared" si="42"/>
        <v>0</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t="str">
        <f>IF(Weighting!$O$11&gt;0,D347,"")</f>
        <v/>
      </c>
      <c r="D347" t="e">
        <f>Weighting!$C$11</f>
        <v>#DIV/0!</v>
      </c>
      <c r="E347" t="e">
        <f>Weighting!$E$11</f>
        <v>#NUM!</v>
      </c>
      <c r="F347" t="e">
        <f>IF(E347=1,'Data Transformation'!$G$3+0.5*'Data Transformation'!$U$25,IF(E348=1,F348-'Data Transformation'!$U$25,FALSE))</f>
        <v>#NUM!</v>
      </c>
      <c r="G347">
        <f t="array" ref="G347">IF(ISLOGICAL(F347),"",FREQUENCY(IF('Data Transformation'!$B$24:$B$404='Bin Analysis and Plots'!$D$339,'Data Transformation'!$G$24:$G$404),'Bin Analysis and Plots'!F347))</f>
        <v>0</v>
      </c>
      <c r="H347">
        <f t="shared" si="42"/>
        <v>0</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t="str">
        <f>IF(Weighting!$O$12&gt;0,D348,"")</f>
        <v/>
      </c>
      <c r="D348" t="e">
        <f>Weighting!$C$12</f>
        <v>#DIV/0!</v>
      </c>
      <c r="E348" t="e">
        <f>Weighting!$E$12</f>
        <v>#NUM!</v>
      </c>
      <c r="F348" t="e">
        <f>IF(E348=1,'Data Transformation'!$G$3+0.5*'Data Transformation'!$U$25,IF(E349=1,F349-'Data Transformation'!$U$25,FALSE))</f>
        <v>#NUM!</v>
      </c>
      <c r="G348">
        <f t="array" ref="G348">IF(ISLOGICAL(F348),"",FREQUENCY(IF('Data Transformation'!$B$24:$B$404='Bin Analysis and Plots'!$D$339,'Data Transformation'!$G$24:$G$404),'Bin Analysis and Plots'!F348))</f>
        <v>0</v>
      </c>
      <c r="H348">
        <f t="shared" si="42"/>
        <v>0</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t="str">
        <f>IF(Weighting!$O$13&gt;0,D349,"")</f>
        <v/>
      </c>
      <c r="D349" t="e">
        <f>Weighting!$C$13</f>
        <v>#DIV/0!</v>
      </c>
      <c r="E349" t="e">
        <f>Weighting!$E$13</f>
        <v>#NUM!</v>
      </c>
      <c r="F349" t="e">
        <f>IF(E349=1,'Data Transformation'!$G$3+0.5*'Data Transformation'!$U$25,IF(E350=1,F350-'Data Transformation'!$U$25,FALSE))</f>
        <v>#NUM!</v>
      </c>
      <c r="G349">
        <f t="array" ref="G349">IF(ISLOGICAL(F349),"",FREQUENCY(IF('Data Transformation'!$B$24:$B$404='Bin Analysis and Plots'!$D$339,'Data Transformation'!$G$24:$G$404),'Bin Analysis and Plots'!F349))</f>
        <v>0</v>
      </c>
      <c r="H349">
        <f t="shared" si="42"/>
        <v>0</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t="str">
        <f>IF(Weighting!$O$14&gt;0,D350,"")</f>
        <v/>
      </c>
      <c r="D350" t="e">
        <f>Weighting!$C$14</f>
        <v>#DIV/0!</v>
      </c>
      <c r="E350" t="e">
        <f>Weighting!$E$14</f>
        <v>#NUM!</v>
      </c>
      <c r="F350" t="e">
        <f>IF(E350=1,'Data Transformation'!$G$3+0.5*'Data Transformation'!$U$25,IF(E351=1,F351-'Data Transformation'!$U$25,FALSE))</f>
        <v>#NUM!</v>
      </c>
      <c r="G350">
        <f t="array" ref="G350">IF(ISLOGICAL(F350),"",FREQUENCY(IF('Data Transformation'!$B$24:$B$404='Bin Analysis and Plots'!$D$339,'Data Transformation'!$G$24:$G$404),'Bin Analysis and Plots'!F350))</f>
        <v>0</v>
      </c>
      <c r="H350">
        <f t="shared" si="42"/>
        <v>0</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t="str">
        <f>IF(Weighting!$O$15&gt;0,D351,"")</f>
        <v/>
      </c>
      <c r="D351" t="e">
        <f>Weighting!$C$15</f>
        <v>#DIV/0!</v>
      </c>
      <c r="E351" t="e">
        <f>Weighting!$E$15</f>
        <v>#NUM!</v>
      </c>
      <c r="F351" t="e">
        <f>IF(E351=1,'Data Transformation'!$G$3+0.5*'Data Transformation'!$U$25,IF(E352=1,F352-'Data Transformation'!$U$25,FALSE))</f>
        <v>#NUM!</v>
      </c>
      <c r="G351">
        <f t="array" ref="G351">IF(ISLOGICAL(F351),"",FREQUENCY(IF('Data Transformation'!$B$24:$B$404='Bin Analysis and Plots'!$D$339,'Data Transformation'!$G$24:$G$404),'Bin Analysis and Plots'!F351))</f>
        <v>0</v>
      </c>
      <c r="H351">
        <f t="shared" si="42"/>
        <v>0</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t="e">
        <f>Weighting!$C$16</f>
        <v>#DIV/0!</v>
      </c>
      <c r="E352" t="e">
        <f>Weighting!$E$16</f>
        <v>#NUM!</v>
      </c>
      <c r="F352" t="e">
        <f>IF(E352=1,'Data Transformation'!$G$3+0.5*'Data Transformation'!$U$25,IF(E353=1,F353-'Data Transformation'!$U$25,FALSE))</f>
        <v>#NUM!</v>
      </c>
      <c r="G352">
        <f t="array" ref="G352">IF(ISLOGICAL(F352),"",FREQUENCY(IF('Data Transformation'!$B$24:$B$404='Bin Analysis and Plots'!$D$339,'Data Transformation'!$G$24:$G$404),'Bin Analysis and Plots'!F352))</f>
        <v>0</v>
      </c>
      <c r="H352">
        <f t="shared" si="42"/>
        <v>0</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t="e">
        <f>Weighting!$C$17</f>
        <v>#DIV/0!</v>
      </c>
      <c r="E353" t="e">
        <f>Weighting!$E$17</f>
        <v>#NUM!</v>
      </c>
      <c r="F353" t="e">
        <f>IF(E353=1,'Data Transformation'!$G$3+0.5*'Data Transformation'!$U$25,IF(E354=1,F354-'Data Transformation'!$U$25,FALSE))</f>
        <v>#NUM!</v>
      </c>
      <c r="G353">
        <f t="array" ref="G353">IF(ISLOGICAL(F353),"",FREQUENCY(IF('Data Transformation'!$B$24:$B$404='Bin Analysis and Plots'!$D$339,'Data Transformation'!$G$24:$G$404),'Bin Analysis and Plots'!F353))</f>
        <v>0</v>
      </c>
      <c r="H353">
        <f t="shared" si="42"/>
        <v>0</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t="e">
        <f>Weighting!$C$18</f>
        <v>#DIV/0!</v>
      </c>
      <c r="E354" t="e">
        <f>Weighting!$E$18</f>
        <v>#NUM!</v>
      </c>
      <c r="F354" t="e">
        <f>IF(E354=1,'Data Transformation'!$G$3+0.5*'Data Transformation'!$U$25,IF(E355=1,F355-'Data Transformation'!$U$25,FALSE))</f>
        <v>#NUM!</v>
      </c>
      <c r="G354">
        <f t="array" ref="G354">IF(ISLOGICAL(F354),"",FREQUENCY(IF('Data Transformation'!$B$24:$B$404='Bin Analysis and Plots'!$D$339,'Data Transformation'!$G$24:$G$404),'Bin Analysis and Plots'!F354))</f>
        <v>0</v>
      </c>
      <c r="H354">
        <f t="shared" si="42"/>
        <v>0</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t="e">
        <f>Weighting!$C$19</f>
        <v>#DIV/0!</v>
      </c>
      <c r="E355" t="e">
        <f>Weighting!$E$19</f>
        <v>#NUM!</v>
      </c>
      <c r="F355" t="e">
        <f>IF(E355=1,'Data Transformation'!$G$3+0.5*'Data Transformation'!$U$25,IF(E356=1,F356-'Data Transformation'!$U$25,FALSE))</f>
        <v>#NUM!</v>
      </c>
      <c r="G355">
        <f t="array" ref="G355">IF(ISLOGICAL(F355),"",FREQUENCY(IF('Data Transformation'!$B$24:$B$404='Bin Analysis and Plots'!$D$339,'Data Transformation'!$G$24:$G$404),'Bin Analysis and Plots'!F355))</f>
        <v>0</v>
      </c>
      <c r="H355">
        <f t="shared" si="42"/>
        <v>0</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t="e">
        <f>Weighting!$C$20</f>
        <v>#DIV/0!</v>
      </c>
      <c r="E356" t="e">
        <f>Weighting!$E$20</f>
        <v>#NUM!</v>
      </c>
      <c r="F356" t="e">
        <f>IF(E356=1,'Data Transformation'!$G$3+0.5*'Data Transformation'!$U$25,IF(E357=1,F357-'Data Transformation'!$U$25,FALSE))</f>
        <v>#NUM!</v>
      </c>
      <c r="G356">
        <f t="array" ref="G356">IF(ISLOGICAL(F356),"",FREQUENCY(IF('Data Transformation'!$B$24:$B$404='Bin Analysis and Plots'!$D$339,'Data Transformation'!$G$24:$G$404),'Bin Analysis and Plots'!F356))</f>
        <v>0</v>
      </c>
      <c r="H356">
        <f t="shared" si="42"/>
        <v>0</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t="e">
        <f>Weighting!$C$21</f>
        <v>#DIV/0!</v>
      </c>
      <c r="E357" t="e">
        <f>Weighting!$E$21</f>
        <v>#NUM!</v>
      </c>
      <c r="F357" t="e">
        <f>IF(E357=1,'Data Transformation'!$G$3+0.5*'Data Transformation'!$U$25,IF(E358=1,F358-'Data Transformation'!$U$25,FALSE))</f>
        <v>#NUM!</v>
      </c>
      <c r="G357">
        <f t="array" ref="G357">IF(ISLOGICAL(F357),"",FREQUENCY(IF('Data Transformation'!$B$24:$B$404='Bin Analysis and Plots'!$D$339,'Data Transformation'!$G$24:$G$404),'Bin Analysis and Plots'!F357))</f>
        <v>0</v>
      </c>
      <c r="H357">
        <f t="shared" si="42"/>
        <v>0</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t="e">
        <f>Weighting!$C$22</f>
        <v>#DIV/0!</v>
      </c>
      <c r="E358" t="e">
        <f>Weighting!$E$22</f>
        <v>#NUM!</v>
      </c>
      <c r="F358" t="e">
        <f>IF(E358=1,'Data Transformation'!$G$3+0.5*'Data Transformation'!$U$25,IF(E359=1,F359-'Data Transformation'!$U$25,FALSE))</f>
        <v>#NUM!</v>
      </c>
      <c r="G358">
        <f t="array" ref="G358">IF(ISLOGICAL(F358),"",FREQUENCY(IF('Data Transformation'!$B$24:$B$404='Bin Analysis and Plots'!$D$339,'Data Transformation'!$G$24:$G$404),'Bin Analysis and Plots'!F358))</f>
        <v>0</v>
      </c>
      <c r="H358">
        <f t="shared" si="42"/>
        <v>0</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t="e">
        <f>Weighting!$C$23</f>
        <v>#DIV/0!</v>
      </c>
      <c r="E359" t="e">
        <f>Weighting!$E$23</f>
        <v>#NUM!</v>
      </c>
      <c r="F359" t="e">
        <f>IF(E359=1,'Data Transformation'!$G$3+0.5*'Data Transformation'!$U$25,IF(E360=1,F360-'Data Transformation'!$U$25,FALSE))</f>
        <v>#NUM!</v>
      </c>
      <c r="G359">
        <f t="array" ref="G359">IF(ISLOGICAL(F359),"",FREQUENCY(IF('Data Transformation'!$B$24:$B$404='Bin Analysis and Plots'!$D$339,'Data Transformation'!$G$24:$G$404),'Bin Analysis and Plots'!F359))</f>
        <v>0</v>
      </c>
      <c r="H359">
        <f t="shared" si="42"/>
        <v>0</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t="e">
        <f>Weighting!$C$24</f>
        <v>#DIV/0!</v>
      </c>
      <c r="E360" t="e">
        <f>Weighting!$E$24</f>
        <v>#NUM!</v>
      </c>
      <c r="F360" t="e">
        <f>IF(E360=1,'Data Transformation'!$G$3+0.5*'Data Transformation'!$U$25,IF(E361=1,F361-'Data Transformation'!$U$25,FALSE))</f>
        <v>#NUM!</v>
      </c>
      <c r="G360">
        <f t="array" ref="G360">IF(ISLOGICAL(F360),"",FREQUENCY(IF('Data Transformation'!$B$24:$B$404='Bin Analysis and Plots'!$D$339,'Data Transformation'!$G$24:$G$404),'Bin Analysis and Plots'!F360))</f>
        <v>0</v>
      </c>
      <c r="H360">
        <f t="shared" si="42"/>
        <v>0</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b">
        <f t="array" ref="A361">IF(ISERROR(INDEX('Data Transformation'!$B$4:$G$450,SMALL(IF('Data Transformation'!$B$4:$B$450='Bin Analysis and Plots'!D339,ROW('Data Transformation'!$B$4:$B$450)),ROW($20:$20))-3,3)),"",INDEX('Data Transformation'!$B$4:$G$450,SMALL(IF('Data Transformation'!$B$4:$B$450='Bin Analysis and Plots'!D339,ROW('Data Transformation'!$B$4:$B$450)),ROW($20:$20))-3,6))</f>
        <v>0</v>
      </c>
      <c r="B361" s="29" t="str">
        <f>IFERROR(SMALL(A342:A361,'Data Transformation'!$L$25),"")</f>
        <v/>
      </c>
      <c r="C361" s="41" t="str">
        <f>IF(Weighting!$O$25&gt;0,D361,"")</f>
        <v/>
      </c>
      <c r="D361" t="e">
        <f>Weighting!$C$25</f>
        <v>#DIV/0!</v>
      </c>
      <c r="E361" t="e">
        <f>Weighting!$E$25</f>
        <v>#NUM!</v>
      </c>
      <c r="F361" t="e">
        <f>IF(E361=1,'Data Transformation'!$G$3+0.5*'Data Transformation'!$U$25,IF(E362=1,F362-'Data Transformation'!$U$25,FALSE))</f>
        <v>#NUM!</v>
      </c>
      <c r="G361">
        <f t="array" ref="G361">IF(ISLOGICAL(F361),"",FREQUENCY(IF('Data Transformation'!$B$24:$B$404='Bin Analysis and Plots'!$D$339,'Data Transformation'!$G$24:$G$404),'Bin Analysis and Plots'!F361))</f>
        <v>0</v>
      </c>
      <c r="H361">
        <f t="shared" si="42"/>
        <v>0</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1">
      <c r="A364" s="91" t="s">
        <v>64</v>
      </c>
      <c r="B364" s="91"/>
      <c r="C364" s="14" t="s">
        <v>72</v>
      </c>
      <c r="D364" t="s">
        <v>50</v>
      </c>
      <c r="E364" t="s">
        <v>5</v>
      </c>
      <c r="I364" t="s">
        <v>74</v>
      </c>
      <c r="J364" t="s">
        <v>34</v>
      </c>
      <c r="K364" t="s">
        <v>35</v>
      </c>
      <c r="L364" t="s">
        <v>49</v>
      </c>
      <c r="M364" s="14" t="s">
        <v>48</v>
      </c>
      <c r="Z364" s="78">
        <v>0</v>
      </c>
      <c r="AA364" s="78">
        <v>0</v>
      </c>
    </row>
    <row r="365" spans="1:27">
      <c r="C365" s="41" t="str">
        <f>IF(B365="","",D365)</f>
        <v/>
      </c>
      <c r="F365" t="e">
        <f>IF(E365=1,'Data Transformation'!$G$3+0.5*'Data Transformation'!$U$25,IF(E366=1,F366-'Data Transformation'!$U$25,FALSE))</f>
        <v>#NUM!</v>
      </c>
      <c r="G365">
        <f t="array" ref="G365">IF(ISLOGICAL(F365),"",FREQUENCY(IF('Data Transformation'!$B$24:$B$404='Bin Analysis and Plots'!$D$363,'Data Transformation'!$G$24:$G$404),'Bin Analysis and Plots'!F365))</f>
        <v>0</v>
      </c>
      <c r="H365">
        <f>IF(ISLOGICAL(F365),"",G365-G364)</f>
        <v>0</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t="e">
        <f>IF(Weighting!$O$6&gt;0,D366,"")</f>
        <v>#NUM!</v>
      </c>
      <c r="D366" t="e">
        <f>Weighting!$C$6</f>
        <v>#DIV/0!</v>
      </c>
      <c r="E366" t="e">
        <f>Weighting!$E$6</f>
        <v>#NUM!</v>
      </c>
      <c r="F366" t="e">
        <f>IF(E366=1,'Data Transformation'!$G$3+0.5*'Data Transformation'!$U$25,IF(E367=1,F367-'Data Transformation'!$U$25,FALSE))</f>
        <v>#NUM!</v>
      </c>
      <c r="G366">
        <f t="array" ref="G366">IF(ISLOGICAL(F366),"",FREQUENCY(IF('Data Transformation'!$B$24:$B$404='Bin Analysis and Plots'!$D$363,'Data Transformation'!$G$24:$G$404),'Bin Analysis and Plots'!F366))</f>
        <v>0</v>
      </c>
      <c r="H366">
        <f>IF(ISLOGICAL(F366),"",G366-G365)</f>
        <v>0</v>
      </c>
      <c r="I366">
        <f>Weighting!$G$6</f>
        <v>1</v>
      </c>
      <c r="J366">
        <f t="array" ref="J366">FREQUENCY(IF('Data Transformation'!$B$4:$B$404=D363,'Data Transformation'!$G$4:$G$404),'Bin Analysis and Plots'!$D366)</f>
        <v>0</v>
      </c>
      <c r="K366">
        <f>J366-J365</f>
        <v>0</v>
      </c>
      <c r="L366">
        <f>IF(K366=0,0,1)</f>
        <v>0</v>
      </c>
      <c r="M366" t="e">
        <f>L366*Weighting!$V$6</f>
        <v>#NUM!</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t="str">
        <f>IF(Weighting!$O$7&gt;0,D367,"")</f>
        <v/>
      </c>
      <c r="D367" t="e">
        <f>Weighting!$C$7</f>
        <v>#DIV/0!</v>
      </c>
      <c r="E367" t="e">
        <f>Weighting!$E$7</f>
        <v>#NUM!</v>
      </c>
      <c r="F367" t="e">
        <f>IF(E367=1,'Data Transformation'!$G$3+0.5*'Data Transformation'!$U$25,IF(E368=1,F368-'Data Transformation'!$U$25,FALSE))</f>
        <v>#NUM!</v>
      </c>
      <c r="G367">
        <f t="array" ref="G367">IF(ISLOGICAL(F367),"",FREQUENCY(IF('Data Transformation'!$B$24:$B$404='Bin Analysis and Plots'!$D$363,'Data Transformation'!$G$24:$G$404),'Bin Analysis and Plots'!F367))</f>
        <v>0</v>
      </c>
      <c r="H367">
        <f t="shared" ref="H367:H385" si="45">IF(ISLOGICAL(F367),"",G367-G366)</f>
        <v>0</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t="str">
        <f>IF(Weighting!$O$8&gt;0,D368,"")</f>
        <v/>
      </c>
      <c r="D368" t="e">
        <f>Weighting!$C$8</f>
        <v>#DIV/0!</v>
      </c>
      <c r="E368" t="e">
        <f>Weighting!$E$8</f>
        <v>#NUM!</v>
      </c>
      <c r="F368" t="e">
        <f>IF(E368=1,'Data Transformation'!$G$3+0.5*'Data Transformation'!$U$25,IF(E369=1,F369-'Data Transformation'!$U$25,FALSE))</f>
        <v>#NUM!</v>
      </c>
      <c r="G368">
        <f t="array" ref="G368">IF(ISLOGICAL(F368),"",FREQUENCY(IF('Data Transformation'!$B$24:$B$404='Bin Analysis and Plots'!$D$363,'Data Transformation'!$G$24:$G$404),'Bin Analysis and Plots'!F368))</f>
        <v>0</v>
      </c>
      <c r="H368">
        <f t="shared" si="45"/>
        <v>0</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t="str">
        <f>IF(Weighting!$O$9&gt;0,D369,"")</f>
        <v/>
      </c>
      <c r="D369" t="e">
        <f>Weighting!$B$9</f>
        <v>#DIV/0!</v>
      </c>
      <c r="E369" t="e">
        <f>Weighting!$E$9</f>
        <v>#NUM!</v>
      </c>
      <c r="F369" t="e">
        <f>IF(E369=1,'Data Transformation'!$G$3+0.5*'Data Transformation'!$U$25,IF(E370=1,F370-'Data Transformation'!$U$25,FALSE))</f>
        <v>#NUM!</v>
      </c>
      <c r="G369">
        <f t="array" ref="G369">IF(ISLOGICAL(F369),"",FREQUENCY(IF('Data Transformation'!$B$24:$B$404='Bin Analysis and Plots'!$D$363,'Data Transformation'!$G$24:$G$404),'Bin Analysis and Plots'!F369))</f>
        <v>0</v>
      </c>
      <c r="H369">
        <f t="shared" si="45"/>
        <v>0</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t="str">
        <f>IF(Weighting!$O$10&gt;0,D370,"")</f>
        <v/>
      </c>
      <c r="D370" t="e">
        <f>Weighting!$C$10</f>
        <v>#DIV/0!</v>
      </c>
      <c r="E370" t="e">
        <f>Weighting!$E$10</f>
        <v>#NUM!</v>
      </c>
      <c r="F370" t="e">
        <f>IF(E370=1,'Data Transformation'!$G$3+0.5*'Data Transformation'!$U$25,IF(E371=1,F371-'Data Transformation'!$U$25,FALSE))</f>
        <v>#NUM!</v>
      </c>
      <c r="G370">
        <f t="array" ref="G370">IF(ISLOGICAL(F370),"",FREQUENCY(IF('Data Transformation'!$B$24:$B$404='Bin Analysis and Plots'!$D$363,'Data Transformation'!$G$24:$G$404),'Bin Analysis and Plots'!F370))</f>
        <v>0</v>
      </c>
      <c r="H370">
        <f t="shared" si="45"/>
        <v>0</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t="str">
        <f>IF(Weighting!$O$11&gt;0,D371,"")</f>
        <v/>
      </c>
      <c r="D371" t="e">
        <f>Weighting!$C$11</f>
        <v>#DIV/0!</v>
      </c>
      <c r="E371" t="e">
        <f>Weighting!$E$11</f>
        <v>#NUM!</v>
      </c>
      <c r="F371" t="e">
        <f>IF(E371=1,'Data Transformation'!$G$3+0.5*'Data Transformation'!$U$25,IF(E372=1,F372-'Data Transformation'!$U$25,FALSE))</f>
        <v>#NUM!</v>
      </c>
      <c r="G371">
        <f t="array" ref="G371">IF(ISLOGICAL(F371),"",FREQUENCY(IF('Data Transformation'!$B$24:$B$404='Bin Analysis and Plots'!$D$363,'Data Transformation'!$G$24:$G$404),'Bin Analysis and Plots'!F371))</f>
        <v>0</v>
      </c>
      <c r="H371">
        <f t="shared" si="45"/>
        <v>0</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t="str">
        <f>IF(Weighting!$O$12&gt;0,D372,"")</f>
        <v/>
      </c>
      <c r="D372" t="e">
        <f>Weighting!$C$12</f>
        <v>#DIV/0!</v>
      </c>
      <c r="E372" t="e">
        <f>Weighting!$E$12</f>
        <v>#NUM!</v>
      </c>
      <c r="F372" t="e">
        <f>IF(E372=1,'Data Transformation'!$G$3+0.5*'Data Transformation'!$U$25,IF(E373=1,F373-'Data Transformation'!$U$25,FALSE))</f>
        <v>#NUM!</v>
      </c>
      <c r="G372">
        <f t="array" ref="G372">IF(ISLOGICAL(F372),"",FREQUENCY(IF('Data Transformation'!$B$24:$B$404='Bin Analysis and Plots'!$D$363,'Data Transformation'!$G$24:$G$404),'Bin Analysis and Plots'!F372))</f>
        <v>0</v>
      </c>
      <c r="H372">
        <f t="shared" si="45"/>
        <v>0</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t="str">
        <f>IF(Weighting!$O$13&gt;0,D373,"")</f>
        <v/>
      </c>
      <c r="D373" t="e">
        <f>Weighting!$C$13</f>
        <v>#DIV/0!</v>
      </c>
      <c r="E373" t="e">
        <f>Weighting!$E$13</f>
        <v>#NUM!</v>
      </c>
      <c r="F373" t="e">
        <f>IF(E373=1,'Data Transformation'!$G$3+0.5*'Data Transformation'!$U$25,IF(E374=1,F374-'Data Transformation'!$U$25,FALSE))</f>
        <v>#NUM!</v>
      </c>
      <c r="G373">
        <f t="array" ref="G373">IF(ISLOGICAL(F373),"",FREQUENCY(IF('Data Transformation'!$B$24:$B$404='Bin Analysis and Plots'!$D$363,'Data Transformation'!$G$24:$G$404),'Bin Analysis and Plots'!F373))</f>
        <v>0</v>
      </c>
      <c r="H373">
        <f t="shared" si="45"/>
        <v>0</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t="str">
        <f>IF(Weighting!$O$14&gt;0,D374,"")</f>
        <v/>
      </c>
      <c r="D374" t="e">
        <f>Weighting!$C$14</f>
        <v>#DIV/0!</v>
      </c>
      <c r="E374" t="e">
        <f>Weighting!$E$14</f>
        <v>#NUM!</v>
      </c>
      <c r="F374" t="e">
        <f>IF(E374=1,'Data Transformation'!$G$3+0.5*'Data Transformation'!$U$25,IF(E375=1,F375-'Data Transformation'!$U$25,FALSE))</f>
        <v>#NUM!</v>
      </c>
      <c r="G374">
        <f t="array" ref="G374">IF(ISLOGICAL(F374),"",FREQUENCY(IF('Data Transformation'!$B$24:$B$404='Bin Analysis and Plots'!$D$363,'Data Transformation'!$G$24:$G$404),'Bin Analysis and Plots'!F374))</f>
        <v>0</v>
      </c>
      <c r="H374">
        <f t="shared" si="45"/>
        <v>0</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t="str">
        <f>IF(Weighting!$O$15&gt;0,D375,"")</f>
        <v/>
      </c>
      <c r="D375" t="e">
        <f>Weighting!$C$15</f>
        <v>#DIV/0!</v>
      </c>
      <c r="E375" t="e">
        <f>Weighting!$E$15</f>
        <v>#NUM!</v>
      </c>
      <c r="F375" t="e">
        <f>IF(E375=1,'Data Transformation'!$G$3+0.5*'Data Transformation'!$U$25,IF(E376=1,F376-'Data Transformation'!$U$25,FALSE))</f>
        <v>#NUM!</v>
      </c>
      <c r="G375">
        <f t="array" ref="G375">IF(ISLOGICAL(F375),"",FREQUENCY(IF('Data Transformation'!$B$24:$B$404='Bin Analysis and Plots'!$D$363,'Data Transformation'!$G$24:$G$404),'Bin Analysis and Plots'!F375))</f>
        <v>0</v>
      </c>
      <c r="H375">
        <f t="shared" si="45"/>
        <v>0</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t="e">
        <f>Weighting!$C$16</f>
        <v>#DIV/0!</v>
      </c>
      <c r="E376" t="e">
        <f>Weighting!$E$16</f>
        <v>#NUM!</v>
      </c>
      <c r="F376" t="e">
        <f>IF(E376=1,'Data Transformation'!$G$3+0.5*'Data Transformation'!$U$25,IF(E377=1,F377-'Data Transformation'!$U$25,FALSE))</f>
        <v>#NUM!</v>
      </c>
      <c r="G376">
        <f t="array" ref="G376">IF(ISLOGICAL(F376),"",FREQUENCY(IF('Data Transformation'!$B$24:$B$404='Bin Analysis and Plots'!$D$363,'Data Transformation'!$G$24:$G$404),'Bin Analysis and Plots'!F376))</f>
        <v>0</v>
      </c>
      <c r="H376">
        <f t="shared" si="45"/>
        <v>0</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t="e">
        <f>Weighting!$C$17</f>
        <v>#DIV/0!</v>
      </c>
      <c r="E377" t="e">
        <f>Weighting!$E$17</f>
        <v>#NUM!</v>
      </c>
      <c r="F377" t="e">
        <f>IF(E377=1,'Data Transformation'!$G$3+0.5*'Data Transformation'!$U$25,IF(E378=1,F378-'Data Transformation'!$U$25,FALSE))</f>
        <v>#NUM!</v>
      </c>
      <c r="G377">
        <f t="array" ref="G377">IF(ISLOGICAL(F377),"",FREQUENCY(IF('Data Transformation'!$B$24:$B$404='Bin Analysis and Plots'!$D$363,'Data Transformation'!$G$24:$G$404),'Bin Analysis and Plots'!F377))</f>
        <v>0</v>
      </c>
      <c r="H377">
        <f t="shared" si="45"/>
        <v>0</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t="e">
        <f>Weighting!$C$18</f>
        <v>#DIV/0!</v>
      </c>
      <c r="E378" t="e">
        <f>Weighting!$E$18</f>
        <v>#NUM!</v>
      </c>
      <c r="F378" t="e">
        <f>IF(E378=1,'Data Transformation'!$G$3+0.5*'Data Transformation'!$U$25,IF(E379=1,F379-'Data Transformation'!$U$25,FALSE))</f>
        <v>#NUM!</v>
      </c>
      <c r="G378">
        <f t="array" ref="G378">IF(ISLOGICAL(F378),"",FREQUENCY(IF('Data Transformation'!$B$24:$B$404='Bin Analysis and Plots'!$D$363,'Data Transformation'!$G$24:$G$404),'Bin Analysis and Plots'!F378))</f>
        <v>0</v>
      </c>
      <c r="H378">
        <f t="shared" si="45"/>
        <v>0</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t="e">
        <f>Weighting!$C$19</f>
        <v>#DIV/0!</v>
      </c>
      <c r="E379" t="e">
        <f>Weighting!$E$19</f>
        <v>#NUM!</v>
      </c>
      <c r="F379" t="e">
        <f>IF(E379=1,'Data Transformation'!$G$3+0.5*'Data Transformation'!$U$25,IF(E380=1,F380-'Data Transformation'!$U$25,FALSE))</f>
        <v>#NUM!</v>
      </c>
      <c r="G379">
        <f t="array" ref="G379">IF(ISLOGICAL(F379),"",FREQUENCY(IF('Data Transformation'!$B$24:$B$404='Bin Analysis and Plots'!$D$363,'Data Transformation'!$G$24:$G$404),'Bin Analysis and Plots'!F379))</f>
        <v>0</v>
      </c>
      <c r="H379">
        <f t="shared" si="45"/>
        <v>0</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t="e">
        <f>Weighting!$C$20</f>
        <v>#DIV/0!</v>
      </c>
      <c r="E380" t="e">
        <f>Weighting!$E$20</f>
        <v>#NUM!</v>
      </c>
      <c r="F380" t="e">
        <f>IF(E380=1,'Data Transformation'!$G$3+0.5*'Data Transformation'!$U$25,IF(E381=1,F381-'Data Transformation'!$U$25,FALSE))</f>
        <v>#NUM!</v>
      </c>
      <c r="G380">
        <f t="array" ref="G380">IF(ISLOGICAL(F380),"",FREQUENCY(IF('Data Transformation'!$B$24:$B$404='Bin Analysis and Plots'!$D$363,'Data Transformation'!$G$24:$G$404),'Bin Analysis and Plots'!F380))</f>
        <v>0</v>
      </c>
      <c r="H380">
        <f t="shared" si="45"/>
        <v>0</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t="e">
        <f>Weighting!$C$21</f>
        <v>#DIV/0!</v>
      </c>
      <c r="E381" t="e">
        <f>Weighting!$E$21</f>
        <v>#NUM!</v>
      </c>
      <c r="F381" t="e">
        <f>IF(E381=1,'Data Transformation'!$G$3+0.5*'Data Transformation'!$U$25,IF(E382=1,F382-'Data Transformation'!$U$25,FALSE))</f>
        <v>#NUM!</v>
      </c>
      <c r="G381">
        <f t="array" ref="G381">IF(ISLOGICAL(F381),"",FREQUENCY(IF('Data Transformation'!$B$24:$B$404='Bin Analysis and Plots'!$D$363,'Data Transformation'!$G$24:$G$404),'Bin Analysis and Plots'!F381))</f>
        <v>0</v>
      </c>
      <c r="H381">
        <f t="shared" si="45"/>
        <v>0</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t="e">
        <f>Weighting!$C$22</f>
        <v>#DIV/0!</v>
      </c>
      <c r="E382" t="e">
        <f>Weighting!$E$22</f>
        <v>#NUM!</v>
      </c>
      <c r="F382" t="e">
        <f>IF(E382=1,'Data Transformation'!$G$3+0.5*'Data Transformation'!$U$25,IF(E383=1,F383-'Data Transformation'!$U$25,FALSE))</f>
        <v>#NUM!</v>
      </c>
      <c r="G382">
        <f t="array" ref="G382">IF(ISLOGICAL(F382),"",FREQUENCY(IF('Data Transformation'!$B$24:$B$404='Bin Analysis and Plots'!$D$363,'Data Transformation'!$G$24:$G$404),'Bin Analysis and Plots'!F382))</f>
        <v>0</v>
      </c>
      <c r="H382">
        <f t="shared" si="45"/>
        <v>0</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t="e">
        <f>Weighting!$C$23</f>
        <v>#DIV/0!</v>
      </c>
      <c r="E383" t="e">
        <f>Weighting!$E$23</f>
        <v>#NUM!</v>
      </c>
      <c r="F383" t="e">
        <f>IF(E383=1,'Data Transformation'!$G$3+0.5*'Data Transformation'!$U$25,IF(E384=1,F384-'Data Transformation'!$U$25,FALSE))</f>
        <v>#NUM!</v>
      </c>
      <c r="G383">
        <f t="array" ref="G383">IF(ISLOGICAL(F383),"",FREQUENCY(IF('Data Transformation'!$B$24:$B$404='Bin Analysis and Plots'!$D$363,'Data Transformation'!$G$24:$G$404),'Bin Analysis and Plots'!F383))</f>
        <v>0</v>
      </c>
      <c r="H383">
        <f t="shared" si="45"/>
        <v>0</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t="e">
        <f>Weighting!$C$24</f>
        <v>#DIV/0!</v>
      </c>
      <c r="E384" t="e">
        <f>Weighting!$E$24</f>
        <v>#NUM!</v>
      </c>
      <c r="F384" t="e">
        <f>IF(E384=1,'Data Transformation'!$G$3+0.5*'Data Transformation'!$U$25,IF(E385=1,F385-'Data Transformation'!$U$25,FALSE))</f>
        <v>#NUM!</v>
      </c>
      <c r="G384">
        <f t="array" ref="G384">IF(ISLOGICAL(F384),"",FREQUENCY(IF('Data Transformation'!$B$24:$B$404='Bin Analysis and Plots'!$D$363,'Data Transformation'!$G$24:$G$404),'Bin Analysis and Plots'!F384))</f>
        <v>0</v>
      </c>
      <c r="H384">
        <f t="shared" si="45"/>
        <v>0</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b">
        <f t="array" ref="A385">IF(ISERROR(INDEX('Data Transformation'!$B$4:$G$450,SMALL(IF('Data Transformation'!$B$4:$B$450='Bin Analysis and Plots'!D363,ROW('Data Transformation'!$B$4:$B$450)),ROW($20:$20))-3,3)),"",INDEX('Data Transformation'!$B$4:$G$450,SMALL(IF('Data Transformation'!$B$4:$B$450='Bin Analysis and Plots'!D363,ROW('Data Transformation'!$B$4:$B$450)),ROW($20:$20))-3,6))</f>
        <v>0</v>
      </c>
      <c r="B385" s="29" t="str">
        <f>IFERROR(SMALL(A366:A385,'Data Transformation'!$L$25),"")</f>
        <v/>
      </c>
      <c r="C385" s="41" t="str">
        <f>IF(Weighting!$O$25&gt;0,D385,"")</f>
        <v/>
      </c>
      <c r="D385" t="e">
        <f>Weighting!$C$25</f>
        <v>#DIV/0!</v>
      </c>
      <c r="E385" t="e">
        <f>Weighting!$E$25</f>
        <v>#NUM!</v>
      </c>
      <c r="F385" t="e">
        <f>IF(E385=1,'Data Transformation'!$G$3+0.5*'Data Transformation'!$U$25,IF(E386=1,F386-'Data Transformation'!$U$25,FALSE))</f>
        <v>#NUM!</v>
      </c>
      <c r="G385">
        <f t="array" ref="G385">IF(ISLOGICAL(F385),"",FREQUENCY(IF('Data Transformation'!$B$24:$B$404='Bin Analysis and Plots'!$D$363,'Data Transformation'!$G$24:$G$404),'Bin Analysis and Plots'!F385))</f>
        <v>0</v>
      </c>
      <c r="H385">
        <f t="shared" si="45"/>
        <v>0</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1">
      <c r="A388" s="91" t="s">
        <v>64</v>
      </c>
      <c r="B388" s="91"/>
      <c r="C388" s="14" t="s">
        <v>72</v>
      </c>
      <c r="D388" t="s">
        <v>50</v>
      </c>
      <c r="E388" t="s">
        <v>5</v>
      </c>
      <c r="I388" t="s">
        <v>74</v>
      </c>
      <c r="J388" t="s">
        <v>34</v>
      </c>
      <c r="K388" t="s">
        <v>35</v>
      </c>
      <c r="L388" t="s">
        <v>49</v>
      </c>
      <c r="M388" s="14" t="s">
        <v>48</v>
      </c>
      <c r="Z388" s="78">
        <v>0</v>
      </c>
      <c r="AA388" s="78">
        <v>0</v>
      </c>
    </row>
    <row r="389" spans="1:27">
      <c r="C389" s="41" t="str">
        <f>IF(B389="","",D389)</f>
        <v/>
      </c>
      <c r="F389" t="e">
        <f>IF(E389=1,'Data Transformation'!$G$3+0.5*'Data Transformation'!$U$25,IF(E390=1,F390-'Data Transformation'!$U$25,FALSE))</f>
        <v>#NUM!</v>
      </c>
      <c r="G389">
        <f t="array" ref="G389">IF(ISLOGICAL(F389),"",FREQUENCY(IF('Data Transformation'!$B$24:$B$404='Bin Analysis and Plots'!$D$387,'Data Transformation'!$G$24:$G$404),'Bin Analysis and Plots'!F389))</f>
        <v>0</v>
      </c>
      <c r="H389">
        <f>IF(ISLOGICAL(F389),"",G389-G388)</f>
        <v>0</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t="e">
        <f>IF(Weighting!$O$6&gt;0,D390,"")</f>
        <v>#NUM!</v>
      </c>
      <c r="D390" t="e">
        <f>Weighting!$C$6</f>
        <v>#DIV/0!</v>
      </c>
      <c r="E390" t="e">
        <f>Weighting!$E$6</f>
        <v>#NUM!</v>
      </c>
      <c r="F390" t="e">
        <f>IF(E390=1,'Data Transformation'!$G$3+0.5*'Data Transformation'!$U$25,IF(E391=1,F391-'Data Transformation'!$U$25,FALSE))</f>
        <v>#NUM!</v>
      </c>
      <c r="G390">
        <f t="array" ref="G390">IF(ISLOGICAL(F390),"",FREQUENCY(IF('Data Transformation'!$B$24:$B$404='Bin Analysis and Plots'!$D$387,'Data Transformation'!$G$24:$G$404),'Bin Analysis and Plots'!F390))</f>
        <v>0</v>
      </c>
      <c r="H390">
        <f>IF(ISLOGICAL(F390),"",G390-G389)</f>
        <v>0</v>
      </c>
      <c r="I390">
        <f>Weighting!$G$6</f>
        <v>1</v>
      </c>
      <c r="J390">
        <f t="array" ref="J390">FREQUENCY(IF('Data Transformation'!$B$4:$B$404=D387,'Data Transformation'!$G$4:$G$404),'Bin Analysis and Plots'!$D390)</f>
        <v>0</v>
      </c>
      <c r="K390">
        <f>J390-J389</f>
        <v>0</v>
      </c>
      <c r="L390">
        <f>IF(K390=0,0,1)</f>
        <v>0</v>
      </c>
      <c r="M390" t="e">
        <f>L390*Weighting!$V$6</f>
        <v>#NUM!</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t="str">
        <f>IF(Weighting!$O$7&gt;0,D391,"")</f>
        <v/>
      </c>
      <c r="D391" t="e">
        <f>Weighting!$C$7</f>
        <v>#DIV/0!</v>
      </c>
      <c r="E391" t="e">
        <f>Weighting!$E$7</f>
        <v>#NUM!</v>
      </c>
      <c r="F391" t="e">
        <f>IF(E391=1,'Data Transformation'!$G$3+0.5*'Data Transformation'!$U$25,IF(E392=1,F392-'Data Transformation'!$U$25,FALSE))</f>
        <v>#NUM!</v>
      </c>
      <c r="G391">
        <f t="array" ref="G391">IF(ISLOGICAL(F391),"",FREQUENCY(IF('Data Transformation'!$B$24:$B$404='Bin Analysis and Plots'!$D$387,'Data Transformation'!$G$24:$G$404),'Bin Analysis and Plots'!F391))</f>
        <v>0</v>
      </c>
      <c r="H391">
        <f t="shared" ref="H391:H409" si="48">IF(ISLOGICAL(F391),"",G391-G390)</f>
        <v>0</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t="str">
        <f>IF(Weighting!$O$8&gt;0,D392,"")</f>
        <v/>
      </c>
      <c r="D392" t="e">
        <f>Weighting!$C$8</f>
        <v>#DIV/0!</v>
      </c>
      <c r="E392" t="e">
        <f>Weighting!$E$8</f>
        <v>#NUM!</v>
      </c>
      <c r="F392" t="e">
        <f>IF(E392=1,'Data Transformation'!$G$3+0.5*'Data Transformation'!$U$25,IF(E393=1,F393-'Data Transformation'!$U$25,FALSE))</f>
        <v>#NUM!</v>
      </c>
      <c r="G392">
        <f t="array" ref="G392">IF(ISLOGICAL(F392),"",FREQUENCY(IF('Data Transformation'!$B$24:$B$404='Bin Analysis and Plots'!$D$387,'Data Transformation'!$G$24:$G$404),'Bin Analysis and Plots'!F392))</f>
        <v>0</v>
      </c>
      <c r="H392">
        <f t="shared" si="48"/>
        <v>0</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t="str">
        <f>IF(Weighting!$O$9&gt;0,D393,"")</f>
        <v/>
      </c>
      <c r="D393" t="e">
        <f>Weighting!$B$9</f>
        <v>#DIV/0!</v>
      </c>
      <c r="E393" t="e">
        <f>Weighting!$E$9</f>
        <v>#NUM!</v>
      </c>
      <c r="F393" t="e">
        <f>IF(E393=1,'Data Transformation'!$G$3+0.5*'Data Transformation'!$U$25,IF(E394=1,F394-'Data Transformation'!$U$25,FALSE))</f>
        <v>#NUM!</v>
      </c>
      <c r="G393">
        <f t="array" ref="G393">IF(ISLOGICAL(F393),"",FREQUENCY(IF('Data Transformation'!$B$24:$B$404='Bin Analysis and Plots'!$D$387,'Data Transformation'!$G$24:$G$404),'Bin Analysis and Plots'!F393))</f>
        <v>0</v>
      </c>
      <c r="H393">
        <f t="shared" si="48"/>
        <v>0</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t="str">
        <f>IF(Weighting!$O$10&gt;0,D394,"")</f>
        <v/>
      </c>
      <c r="D394" t="e">
        <f>Weighting!$C$10</f>
        <v>#DIV/0!</v>
      </c>
      <c r="E394" t="e">
        <f>Weighting!$E$10</f>
        <v>#NUM!</v>
      </c>
      <c r="F394" t="e">
        <f>IF(E394=1,'Data Transformation'!$G$3+0.5*'Data Transformation'!$U$25,IF(E395=1,F395-'Data Transformation'!$U$25,FALSE))</f>
        <v>#NUM!</v>
      </c>
      <c r="G394">
        <f t="array" ref="G394">IF(ISLOGICAL(F394),"",FREQUENCY(IF('Data Transformation'!$B$24:$B$404='Bin Analysis and Plots'!$D$387,'Data Transformation'!$G$24:$G$404),'Bin Analysis and Plots'!F394))</f>
        <v>0</v>
      </c>
      <c r="H394">
        <f t="shared" si="48"/>
        <v>0</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t="str">
        <f>IF(Weighting!$O$11&gt;0,D395,"")</f>
        <v/>
      </c>
      <c r="D395" t="e">
        <f>Weighting!$C$11</f>
        <v>#DIV/0!</v>
      </c>
      <c r="E395" t="e">
        <f>Weighting!$E$11</f>
        <v>#NUM!</v>
      </c>
      <c r="F395" t="e">
        <f>IF(E395=1,'Data Transformation'!$G$3+0.5*'Data Transformation'!$U$25,IF(E396=1,F396-'Data Transformation'!$U$25,FALSE))</f>
        <v>#NUM!</v>
      </c>
      <c r="G395">
        <f t="array" ref="G395">IF(ISLOGICAL(F395),"",FREQUENCY(IF('Data Transformation'!$B$24:$B$404='Bin Analysis and Plots'!$D$387,'Data Transformation'!$G$24:$G$404),'Bin Analysis and Plots'!F395))</f>
        <v>0</v>
      </c>
      <c r="H395">
        <f t="shared" si="48"/>
        <v>0</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t="str">
        <f>IF(Weighting!$O$12&gt;0,D396,"")</f>
        <v/>
      </c>
      <c r="D396" t="e">
        <f>Weighting!$C$12</f>
        <v>#DIV/0!</v>
      </c>
      <c r="E396" t="e">
        <f>Weighting!$E$12</f>
        <v>#NUM!</v>
      </c>
      <c r="F396" t="e">
        <f>IF(E396=1,'Data Transformation'!$G$3+0.5*'Data Transformation'!$U$25,IF(E397=1,F397-'Data Transformation'!$U$25,FALSE))</f>
        <v>#NUM!</v>
      </c>
      <c r="G396">
        <f t="array" ref="G396">IF(ISLOGICAL(F396),"",FREQUENCY(IF('Data Transformation'!$B$24:$B$404='Bin Analysis and Plots'!$D$387,'Data Transformation'!$G$24:$G$404),'Bin Analysis and Plots'!F396))</f>
        <v>0</v>
      </c>
      <c r="H396">
        <f t="shared" si="48"/>
        <v>0</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t="str">
        <f>IF(Weighting!$O$13&gt;0,D397,"")</f>
        <v/>
      </c>
      <c r="D397" t="e">
        <f>Weighting!$C$13</f>
        <v>#DIV/0!</v>
      </c>
      <c r="E397" t="e">
        <f>Weighting!$E$13</f>
        <v>#NUM!</v>
      </c>
      <c r="F397" t="e">
        <f>IF(E397=1,'Data Transformation'!$G$3+0.5*'Data Transformation'!$U$25,IF(E398=1,F398-'Data Transformation'!$U$25,FALSE))</f>
        <v>#NUM!</v>
      </c>
      <c r="G397">
        <f t="array" ref="G397">IF(ISLOGICAL(F397),"",FREQUENCY(IF('Data Transformation'!$B$24:$B$404='Bin Analysis and Plots'!$D$387,'Data Transformation'!$G$24:$G$404),'Bin Analysis and Plots'!F397))</f>
        <v>0</v>
      </c>
      <c r="H397">
        <f t="shared" si="48"/>
        <v>0</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t="str">
        <f>IF(Weighting!$O$14&gt;0,D398,"")</f>
        <v/>
      </c>
      <c r="D398" t="e">
        <f>Weighting!$C$14</f>
        <v>#DIV/0!</v>
      </c>
      <c r="E398" t="e">
        <f>Weighting!$E$14</f>
        <v>#NUM!</v>
      </c>
      <c r="F398" t="e">
        <f>IF(E398=1,'Data Transformation'!$G$3+0.5*'Data Transformation'!$U$25,IF(E399=1,F399-'Data Transformation'!$U$25,FALSE))</f>
        <v>#NUM!</v>
      </c>
      <c r="G398">
        <f t="array" ref="G398">IF(ISLOGICAL(F398),"",FREQUENCY(IF('Data Transformation'!$B$24:$B$404='Bin Analysis and Plots'!$D$387,'Data Transformation'!$G$24:$G$404),'Bin Analysis and Plots'!F398))</f>
        <v>0</v>
      </c>
      <c r="H398">
        <f t="shared" si="48"/>
        <v>0</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t="str">
        <f>IF(Weighting!$O$15&gt;0,D399,"")</f>
        <v/>
      </c>
      <c r="D399" t="e">
        <f>Weighting!$C$15</f>
        <v>#DIV/0!</v>
      </c>
      <c r="E399" t="e">
        <f>Weighting!$E$15</f>
        <v>#NUM!</v>
      </c>
      <c r="F399" t="e">
        <f>IF(E399=1,'Data Transformation'!$G$3+0.5*'Data Transformation'!$U$25,IF(E400=1,F400-'Data Transformation'!$U$25,FALSE))</f>
        <v>#NUM!</v>
      </c>
      <c r="G399">
        <f t="array" ref="G399">IF(ISLOGICAL(F399),"",FREQUENCY(IF('Data Transformation'!$B$24:$B$404='Bin Analysis and Plots'!$D$387,'Data Transformation'!$G$24:$G$404),'Bin Analysis and Plots'!F399))</f>
        <v>0</v>
      </c>
      <c r="H399">
        <f t="shared" si="48"/>
        <v>0</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t="e">
        <f>Weighting!$C$16</f>
        <v>#DIV/0!</v>
      </c>
      <c r="E400" t="e">
        <f>Weighting!$E$16</f>
        <v>#NUM!</v>
      </c>
      <c r="F400" t="e">
        <f>IF(E400=1,'Data Transformation'!$G$3+0.5*'Data Transformation'!$U$25,IF(E401=1,F401-'Data Transformation'!$U$25,FALSE))</f>
        <v>#NUM!</v>
      </c>
      <c r="G400">
        <f t="array" ref="G400">IF(ISLOGICAL(F400),"",FREQUENCY(IF('Data Transformation'!$B$24:$B$404='Bin Analysis and Plots'!$D$387,'Data Transformation'!$G$24:$G$404),'Bin Analysis and Plots'!F400))</f>
        <v>0</v>
      </c>
      <c r="H400">
        <f t="shared" si="48"/>
        <v>0</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t="e">
        <f>Weighting!$C$17</f>
        <v>#DIV/0!</v>
      </c>
      <c r="E401" t="e">
        <f>Weighting!$E$17</f>
        <v>#NUM!</v>
      </c>
      <c r="F401" t="e">
        <f>IF(E401=1,'Data Transformation'!$G$3+0.5*'Data Transformation'!$U$25,IF(E402=1,F402-'Data Transformation'!$U$25,FALSE))</f>
        <v>#NUM!</v>
      </c>
      <c r="G401">
        <f t="array" ref="G401">IF(ISLOGICAL(F401),"",FREQUENCY(IF('Data Transformation'!$B$24:$B$404='Bin Analysis and Plots'!$D$387,'Data Transformation'!$G$24:$G$404),'Bin Analysis and Plots'!F401))</f>
        <v>0</v>
      </c>
      <c r="H401">
        <f t="shared" si="48"/>
        <v>0</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t="e">
        <f>Weighting!$C$18</f>
        <v>#DIV/0!</v>
      </c>
      <c r="E402" t="e">
        <f>Weighting!$E$18</f>
        <v>#NUM!</v>
      </c>
      <c r="F402" t="e">
        <f>IF(E402=1,'Data Transformation'!$G$3+0.5*'Data Transformation'!$U$25,IF(E403=1,F403-'Data Transformation'!$U$25,FALSE))</f>
        <v>#NUM!</v>
      </c>
      <c r="G402">
        <f t="array" ref="G402">IF(ISLOGICAL(F402),"",FREQUENCY(IF('Data Transformation'!$B$24:$B$404='Bin Analysis and Plots'!$D$387,'Data Transformation'!$G$24:$G$404),'Bin Analysis and Plots'!F402))</f>
        <v>0</v>
      </c>
      <c r="H402">
        <f t="shared" si="48"/>
        <v>0</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t="e">
        <f>Weighting!$C$19</f>
        <v>#DIV/0!</v>
      </c>
      <c r="E403" t="e">
        <f>Weighting!$E$19</f>
        <v>#NUM!</v>
      </c>
      <c r="F403" t="e">
        <f>IF(E403=1,'Data Transformation'!$G$3+0.5*'Data Transformation'!$U$25,IF(E404=1,F404-'Data Transformation'!$U$25,FALSE))</f>
        <v>#NUM!</v>
      </c>
      <c r="G403">
        <f t="array" ref="G403">IF(ISLOGICAL(F403),"",FREQUENCY(IF('Data Transformation'!$B$24:$B$404='Bin Analysis and Plots'!$D$387,'Data Transformation'!$G$24:$G$404),'Bin Analysis and Plots'!F403))</f>
        <v>0</v>
      </c>
      <c r="H403">
        <f t="shared" si="48"/>
        <v>0</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t="e">
        <f>Weighting!$C$20</f>
        <v>#DIV/0!</v>
      </c>
      <c r="E404" t="e">
        <f>Weighting!$E$20</f>
        <v>#NUM!</v>
      </c>
      <c r="F404" t="e">
        <f>IF(E404=1,'Data Transformation'!$G$3+0.5*'Data Transformation'!$U$25,IF(E405=1,F405-'Data Transformation'!$U$25,FALSE))</f>
        <v>#NUM!</v>
      </c>
      <c r="G404">
        <f t="array" ref="G404">IF(ISLOGICAL(F404),"",FREQUENCY(IF('Data Transformation'!$B$24:$B$404='Bin Analysis and Plots'!$D$387,'Data Transformation'!$G$24:$G$404),'Bin Analysis and Plots'!F404))</f>
        <v>0</v>
      </c>
      <c r="H404">
        <f t="shared" si="48"/>
        <v>0</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t="e">
        <f>Weighting!$C$21</f>
        <v>#DIV/0!</v>
      </c>
      <c r="E405" t="e">
        <f>Weighting!$E$21</f>
        <v>#NUM!</v>
      </c>
      <c r="F405" t="e">
        <f>IF(E405=1,'Data Transformation'!$G$3+0.5*'Data Transformation'!$U$25,IF(E406=1,F406-'Data Transformation'!$U$25,FALSE))</f>
        <v>#NUM!</v>
      </c>
      <c r="G405">
        <f t="array" ref="G405">IF(ISLOGICAL(F405),"",FREQUENCY(IF('Data Transformation'!$B$24:$B$404='Bin Analysis and Plots'!$D$387,'Data Transformation'!$G$24:$G$404),'Bin Analysis and Plots'!F405))</f>
        <v>0</v>
      </c>
      <c r="H405">
        <f t="shared" si="48"/>
        <v>0</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t="e">
        <f>Weighting!$C$22</f>
        <v>#DIV/0!</v>
      </c>
      <c r="E406" t="e">
        <f>Weighting!$E$22</f>
        <v>#NUM!</v>
      </c>
      <c r="F406" t="e">
        <f>IF(E406=1,'Data Transformation'!$G$3+0.5*'Data Transformation'!$U$25,IF(E407=1,F407-'Data Transformation'!$U$25,FALSE))</f>
        <v>#NUM!</v>
      </c>
      <c r="G406">
        <f t="array" ref="G406">IF(ISLOGICAL(F406),"",FREQUENCY(IF('Data Transformation'!$B$24:$B$404='Bin Analysis and Plots'!$D$387,'Data Transformation'!$G$24:$G$404),'Bin Analysis and Plots'!F406))</f>
        <v>0</v>
      </c>
      <c r="H406">
        <f t="shared" si="48"/>
        <v>0</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t="e">
        <f>Weighting!$C$23</f>
        <v>#DIV/0!</v>
      </c>
      <c r="E407" t="e">
        <f>Weighting!$E$23</f>
        <v>#NUM!</v>
      </c>
      <c r="F407" t="e">
        <f>IF(E407=1,'Data Transformation'!$G$3+0.5*'Data Transformation'!$U$25,IF(E408=1,F408-'Data Transformation'!$U$25,FALSE))</f>
        <v>#NUM!</v>
      </c>
      <c r="G407">
        <f t="array" ref="G407">IF(ISLOGICAL(F407),"",FREQUENCY(IF('Data Transformation'!$B$24:$B$404='Bin Analysis and Plots'!$D$387,'Data Transformation'!$G$24:$G$404),'Bin Analysis and Plots'!F407))</f>
        <v>0</v>
      </c>
      <c r="H407">
        <f t="shared" si="48"/>
        <v>0</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t="e">
        <f>Weighting!$C$24</f>
        <v>#DIV/0!</v>
      </c>
      <c r="E408" t="e">
        <f>Weighting!$E$24</f>
        <v>#NUM!</v>
      </c>
      <c r="F408" t="e">
        <f>IF(E408=1,'Data Transformation'!$G$3+0.5*'Data Transformation'!$U$25,IF(E409=1,F409-'Data Transformation'!$U$25,FALSE))</f>
        <v>#NUM!</v>
      </c>
      <c r="G408">
        <f t="array" ref="G408">IF(ISLOGICAL(F408),"",FREQUENCY(IF('Data Transformation'!$B$24:$B$404='Bin Analysis and Plots'!$D$387,'Data Transformation'!$G$24:$G$404),'Bin Analysis and Plots'!F408))</f>
        <v>0</v>
      </c>
      <c r="H408">
        <f t="shared" si="48"/>
        <v>0</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b">
        <f t="array" ref="A409">IF(ISERROR(INDEX('Data Transformation'!$B$4:$G$450,SMALL(IF('Data Transformation'!$B$4:$B$450='Bin Analysis and Plots'!D387,ROW('Data Transformation'!$B$4:$B$450)),ROW($20:$20))-3,3)),"",INDEX('Data Transformation'!$B$4:$G$450,SMALL(IF('Data Transformation'!$B$4:$B$450='Bin Analysis and Plots'!D387,ROW('Data Transformation'!$B$4:$B$450)),ROW($20:$20))-3,6))</f>
        <v>0</v>
      </c>
      <c r="B409" s="29" t="str">
        <f>IFERROR(SMALL(A390:A409,'Data Transformation'!$L$25),"")</f>
        <v/>
      </c>
      <c r="C409" s="41" t="str">
        <f>IF(Weighting!$O$25&gt;0,D409,"")</f>
        <v/>
      </c>
      <c r="D409" t="e">
        <f>Weighting!$C$25</f>
        <v>#DIV/0!</v>
      </c>
      <c r="E409" t="e">
        <f>Weighting!$E$25</f>
        <v>#NUM!</v>
      </c>
      <c r="F409" t="e">
        <f>IF(E409=1,'Data Transformation'!$G$3+0.5*'Data Transformation'!$U$25,IF(E410=1,F410-'Data Transformation'!$U$25,FALSE))</f>
        <v>#NUM!</v>
      </c>
      <c r="G409">
        <f t="array" ref="G409">IF(ISLOGICAL(F409),"",FREQUENCY(IF('Data Transformation'!$B$24:$B$404='Bin Analysis and Plots'!$D$387,'Data Transformation'!$G$24:$G$404),'Bin Analysis and Plots'!F409))</f>
        <v>0</v>
      </c>
      <c r="H409">
        <f t="shared" si="48"/>
        <v>0</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1">
      <c r="A412" s="91" t="s">
        <v>64</v>
      </c>
      <c r="B412" s="91"/>
      <c r="C412" s="14" t="s">
        <v>72</v>
      </c>
      <c r="D412" t="s">
        <v>50</v>
      </c>
      <c r="E412" t="s">
        <v>5</v>
      </c>
      <c r="I412" t="s">
        <v>74</v>
      </c>
      <c r="J412" t="s">
        <v>34</v>
      </c>
      <c r="K412" t="s">
        <v>35</v>
      </c>
      <c r="L412" t="s">
        <v>49</v>
      </c>
      <c r="M412" s="14" t="s">
        <v>48</v>
      </c>
      <c r="Z412" s="78">
        <v>0</v>
      </c>
      <c r="AA412" s="78">
        <v>0</v>
      </c>
    </row>
    <row r="413" spans="1:27">
      <c r="C413" s="41" t="str">
        <f>IF(B413="","",D413)</f>
        <v/>
      </c>
      <c r="F413" t="e">
        <f>IF(E413=1,'Data Transformation'!$G$3+0.5*'Data Transformation'!$U$25,IF(E414=1,F414-'Data Transformation'!$U$25,FALSE))</f>
        <v>#NUM!</v>
      </c>
      <c r="G413">
        <f t="array" ref="G413">IF(ISLOGICAL(F413),"",FREQUENCY(IF('Data Transformation'!$B$24:$B$404='Bin Analysis and Plots'!$D$411,'Data Transformation'!$G$24:$G$404),'Bin Analysis and Plots'!F413))</f>
        <v>0</v>
      </c>
      <c r="H413">
        <f>IF(ISLOGICAL(F413),"",G413-G412)</f>
        <v>0</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t="e">
        <f>IF(Weighting!$O$6&gt;0,D414,"")</f>
        <v>#NUM!</v>
      </c>
      <c r="D414" t="e">
        <f>Weighting!$C$6</f>
        <v>#DIV/0!</v>
      </c>
      <c r="E414" t="e">
        <f>Weighting!$E$6</f>
        <v>#NUM!</v>
      </c>
      <c r="F414" t="e">
        <f>IF(E414=1,'Data Transformation'!$G$3+0.5*'Data Transformation'!$U$25,IF(E415=1,F415-'Data Transformation'!$U$25,FALSE))</f>
        <v>#NUM!</v>
      </c>
      <c r="G414">
        <f t="array" ref="G414">IF(ISLOGICAL(F414),"",FREQUENCY(IF('Data Transformation'!$B$24:$B$404='Bin Analysis and Plots'!$D$411,'Data Transformation'!$G$24:$G$404),'Bin Analysis and Plots'!F414))</f>
        <v>0</v>
      </c>
      <c r="H414">
        <f>IF(ISLOGICAL(F414),"",G414-G413)</f>
        <v>0</v>
      </c>
      <c r="I414">
        <f>Weighting!$G$6</f>
        <v>1</v>
      </c>
      <c r="J414">
        <f t="array" ref="J414">FREQUENCY(IF('Data Transformation'!$B$4:$B$404=D411,'Data Transformation'!$G$4:$G$404),'Bin Analysis and Plots'!$D414)</f>
        <v>0</v>
      </c>
      <c r="K414">
        <f>J414-J413</f>
        <v>0</v>
      </c>
      <c r="L414">
        <f>IF(K414=0,0,1)</f>
        <v>0</v>
      </c>
      <c r="M414" t="e">
        <f>L414*Weighting!$V$6</f>
        <v>#NUM!</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t="str">
        <f>IF(Weighting!$O$7&gt;0,D415,"")</f>
        <v/>
      </c>
      <c r="D415" t="e">
        <f>Weighting!$C$7</f>
        <v>#DIV/0!</v>
      </c>
      <c r="E415" t="e">
        <f>Weighting!$E$7</f>
        <v>#NUM!</v>
      </c>
      <c r="F415" t="e">
        <f>IF(E415=1,'Data Transformation'!$G$3+0.5*'Data Transformation'!$U$25,IF(E416=1,F416-'Data Transformation'!$U$25,FALSE))</f>
        <v>#NUM!</v>
      </c>
      <c r="G415">
        <f t="array" ref="G415">IF(ISLOGICAL(F415),"",FREQUENCY(IF('Data Transformation'!$B$24:$B$404='Bin Analysis and Plots'!$D$411,'Data Transformation'!$G$24:$G$404),'Bin Analysis and Plots'!F415))</f>
        <v>0</v>
      </c>
      <c r="H415">
        <f t="shared" ref="H415:H433" si="51">IF(ISLOGICAL(F415),"",G415-G414)</f>
        <v>0</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t="str">
        <f>IF(Weighting!$O$8&gt;0,D416,"")</f>
        <v/>
      </c>
      <c r="D416" t="e">
        <f>Weighting!$C$8</f>
        <v>#DIV/0!</v>
      </c>
      <c r="E416" t="e">
        <f>Weighting!$E$8</f>
        <v>#NUM!</v>
      </c>
      <c r="F416" t="e">
        <f>IF(E416=1,'Data Transformation'!$G$3+0.5*'Data Transformation'!$U$25,IF(E417=1,F417-'Data Transformation'!$U$25,FALSE))</f>
        <v>#NUM!</v>
      </c>
      <c r="G416">
        <f t="array" ref="G416">IF(ISLOGICAL(F416),"",FREQUENCY(IF('Data Transformation'!$B$24:$B$404='Bin Analysis and Plots'!$D$411,'Data Transformation'!$G$24:$G$404),'Bin Analysis and Plots'!F416))</f>
        <v>0</v>
      </c>
      <c r="H416">
        <f t="shared" si="51"/>
        <v>0</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t="str">
        <f>IF(Weighting!$O$9&gt;0,D417,"")</f>
        <v/>
      </c>
      <c r="D417" t="e">
        <f>Weighting!$B$9</f>
        <v>#DIV/0!</v>
      </c>
      <c r="E417" t="e">
        <f>Weighting!$E$9</f>
        <v>#NUM!</v>
      </c>
      <c r="F417" t="e">
        <f>IF(E417=1,'Data Transformation'!$G$3+0.5*'Data Transformation'!$U$25,IF(E418=1,F418-'Data Transformation'!$U$25,FALSE))</f>
        <v>#NUM!</v>
      </c>
      <c r="G417">
        <f t="array" ref="G417">IF(ISLOGICAL(F417),"",FREQUENCY(IF('Data Transformation'!$B$24:$B$404='Bin Analysis and Plots'!$D$411,'Data Transformation'!$G$24:$G$404),'Bin Analysis and Plots'!F417))</f>
        <v>0</v>
      </c>
      <c r="H417">
        <f t="shared" si="51"/>
        <v>0</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t="str">
        <f>IF(Weighting!$O$10&gt;0,D418,"")</f>
        <v/>
      </c>
      <c r="D418" t="e">
        <f>Weighting!$C$10</f>
        <v>#DIV/0!</v>
      </c>
      <c r="E418" t="e">
        <f>Weighting!$E$10</f>
        <v>#NUM!</v>
      </c>
      <c r="F418" t="e">
        <f>IF(E418=1,'Data Transformation'!$G$3+0.5*'Data Transformation'!$U$25,IF(E419=1,F419-'Data Transformation'!$U$25,FALSE))</f>
        <v>#NUM!</v>
      </c>
      <c r="G418">
        <f t="array" ref="G418">IF(ISLOGICAL(F418),"",FREQUENCY(IF('Data Transformation'!$B$24:$B$404='Bin Analysis and Plots'!$D$411,'Data Transformation'!$G$24:$G$404),'Bin Analysis and Plots'!F418))</f>
        <v>0</v>
      </c>
      <c r="H418">
        <f t="shared" si="51"/>
        <v>0</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t="str">
        <f>IF(Weighting!$O$11&gt;0,D419,"")</f>
        <v/>
      </c>
      <c r="D419" t="e">
        <f>Weighting!$C$11</f>
        <v>#DIV/0!</v>
      </c>
      <c r="E419" t="e">
        <f>Weighting!$E$11</f>
        <v>#NUM!</v>
      </c>
      <c r="F419" t="e">
        <f>IF(E419=1,'Data Transformation'!$G$3+0.5*'Data Transformation'!$U$25,IF(E420=1,F420-'Data Transformation'!$U$25,FALSE))</f>
        <v>#NUM!</v>
      </c>
      <c r="G419">
        <f t="array" ref="G419">IF(ISLOGICAL(F419),"",FREQUENCY(IF('Data Transformation'!$B$24:$B$404='Bin Analysis and Plots'!$D$411,'Data Transformation'!$G$24:$G$404),'Bin Analysis and Plots'!F419))</f>
        <v>0</v>
      </c>
      <c r="H419">
        <f t="shared" si="51"/>
        <v>0</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t="str">
        <f>IF(Weighting!$O$12&gt;0,D420,"")</f>
        <v/>
      </c>
      <c r="D420" t="e">
        <f>Weighting!$C$12</f>
        <v>#DIV/0!</v>
      </c>
      <c r="E420" t="e">
        <f>Weighting!$E$12</f>
        <v>#NUM!</v>
      </c>
      <c r="F420" t="e">
        <f>IF(E420=1,'Data Transformation'!$G$3+0.5*'Data Transformation'!$U$25,IF(E421=1,F421-'Data Transformation'!$U$25,FALSE))</f>
        <v>#NUM!</v>
      </c>
      <c r="G420">
        <f t="array" ref="G420">IF(ISLOGICAL(F420),"",FREQUENCY(IF('Data Transformation'!$B$24:$B$404='Bin Analysis and Plots'!$D$411,'Data Transformation'!$G$24:$G$404),'Bin Analysis and Plots'!F420))</f>
        <v>0</v>
      </c>
      <c r="H420">
        <f t="shared" si="51"/>
        <v>0</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t="str">
        <f>IF(Weighting!$O$13&gt;0,D421,"")</f>
        <v/>
      </c>
      <c r="D421" t="e">
        <f>Weighting!$C$13</f>
        <v>#DIV/0!</v>
      </c>
      <c r="E421" t="e">
        <f>Weighting!$E$13</f>
        <v>#NUM!</v>
      </c>
      <c r="F421" t="e">
        <f>IF(E421=1,'Data Transformation'!$G$3+0.5*'Data Transformation'!$U$25,IF(E422=1,F422-'Data Transformation'!$U$25,FALSE))</f>
        <v>#NUM!</v>
      </c>
      <c r="G421">
        <f t="array" ref="G421">IF(ISLOGICAL(F421),"",FREQUENCY(IF('Data Transformation'!$B$24:$B$404='Bin Analysis and Plots'!$D$411,'Data Transformation'!$G$24:$G$404),'Bin Analysis and Plots'!F421))</f>
        <v>0</v>
      </c>
      <c r="H421">
        <f t="shared" si="51"/>
        <v>0</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t="str">
        <f>IF(Weighting!$O$14&gt;0,D422,"")</f>
        <v/>
      </c>
      <c r="D422" t="e">
        <f>Weighting!$C$14</f>
        <v>#DIV/0!</v>
      </c>
      <c r="E422" t="e">
        <f>Weighting!$E$14</f>
        <v>#NUM!</v>
      </c>
      <c r="F422" t="e">
        <f>IF(E422=1,'Data Transformation'!$G$3+0.5*'Data Transformation'!$U$25,IF(E423=1,F423-'Data Transformation'!$U$25,FALSE))</f>
        <v>#NUM!</v>
      </c>
      <c r="G422">
        <f t="array" ref="G422">IF(ISLOGICAL(F422),"",FREQUENCY(IF('Data Transformation'!$B$24:$B$404='Bin Analysis and Plots'!$D$411,'Data Transformation'!$G$24:$G$404),'Bin Analysis and Plots'!F422))</f>
        <v>0</v>
      </c>
      <c r="H422">
        <f t="shared" si="51"/>
        <v>0</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t="str">
        <f>IF(Weighting!$O$15&gt;0,D423,"")</f>
        <v/>
      </c>
      <c r="D423" t="e">
        <f>Weighting!$C$15</f>
        <v>#DIV/0!</v>
      </c>
      <c r="E423" t="e">
        <f>Weighting!$E$15</f>
        <v>#NUM!</v>
      </c>
      <c r="F423" t="e">
        <f>IF(E423=1,'Data Transformation'!$G$3+0.5*'Data Transformation'!$U$25,IF(E424=1,F424-'Data Transformation'!$U$25,FALSE))</f>
        <v>#NUM!</v>
      </c>
      <c r="G423">
        <f t="array" ref="G423">IF(ISLOGICAL(F423),"",FREQUENCY(IF('Data Transformation'!$B$24:$B$404='Bin Analysis and Plots'!$D$411,'Data Transformation'!$G$24:$G$404),'Bin Analysis and Plots'!F423))</f>
        <v>0</v>
      </c>
      <c r="H423">
        <f t="shared" si="51"/>
        <v>0</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t="e">
        <f>Weighting!$C$16</f>
        <v>#DIV/0!</v>
      </c>
      <c r="E424" t="e">
        <f>Weighting!$E$16</f>
        <v>#NUM!</v>
      </c>
      <c r="F424" t="e">
        <f>IF(E424=1,'Data Transformation'!$G$3+0.5*'Data Transformation'!$U$25,IF(E425=1,F425-'Data Transformation'!$U$25,FALSE))</f>
        <v>#NUM!</v>
      </c>
      <c r="G424">
        <f t="array" ref="G424">IF(ISLOGICAL(F424),"",FREQUENCY(IF('Data Transformation'!$B$24:$B$404='Bin Analysis and Plots'!$D$411,'Data Transformation'!$G$24:$G$404),'Bin Analysis and Plots'!F424))</f>
        <v>0</v>
      </c>
      <c r="H424">
        <f t="shared" si="51"/>
        <v>0</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t="e">
        <f>Weighting!$C$17</f>
        <v>#DIV/0!</v>
      </c>
      <c r="E425" t="e">
        <f>Weighting!$E$17</f>
        <v>#NUM!</v>
      </c>
      <c r="F425" t="e">
        <f>IF(E425=1,'Data Transformation'!$G$3+0.5*'Data Transformation'!$U$25,IF(E426=1,F426-'Data Transformation'!$U$25,FALSE))</f>
        <v>#NUM!</v>
      </c>
      <c r="G425">
        <f t="array" ref="G425">IF(ISLOGICAL(F425),"",FREQUENCY(IF('Data Transformation'!$B$24:$B$404='Bin Analysis and Plots'!$D$411,'Data Transformation'!$G$24:$G$404),'Bin Analysis and Plots'!F425))</f>
        <v>0</v>
      </c>
      <c r="H425">
        <f t="shared" si="51"/>
        <v>0</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t="e">
        <f>Weighting!$C$18</f>
        <v>#DIV/0!</v>
      </c>
      <c r="E426" t="e">
        <f>Weighting!$E$18</f>
        <v>#NUM!</v>
      </c>
      <c r="F426" t="e">
        <f>IF(E426=1,'Data Transformation'!$G$3+0.5*'Data Transformation'!$U$25,IF(E427=1,F427-'Data Transformation'!$U$25,FALSE))</f>
        <v>#NUM!</v>
      </c>
      <c r="G426">
        <f t="array" ref="G426">IF(ISLOGICAL(F426),"",FREQUENCY(IF('Data Transformation'!$B$24:$B$404='Bin Analysis and Plots'!$D$411,'Data Transformation'!$G$24:$G$404),'Bin Analysis and Plots'!F426))</f>
        <v>0</v>
      </c>
      <c r="H426">
        <f t="shared" si="51"/>
        <v>0</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t="e">
        <f>Weighting!$C$19</f>
        <v>#DIV/0!</v>
      </c>
      <c r="E427" t="e">
        <f>Weighting!$E$19</f>
        <v>#NUM!</v>
      </c>
      <c r="F427" t="e">
        <f>IF(E427=1,'Data Transformation'!$G$3+0.5*'Data Transformation'!$U$25,IF(E428=1,F428-'Data Transformation'!$U$25,FALSE))</f>
        <v>#NUM!</v>
      </c>
      <c r="G427">
        <f t="array" ref="G427">IF(ISLOGICAL(F427),"",FREQUENCY(IF('Data Transformation'!$B$24:$B$404='Bin Analysis and Plots'!$D$411,'Data Transformation'!$G$24:$G$404),'Bin Analysis and Plots'!F427))</f>
        <v>0</v>
      </c>
      <c r="H427">
        <f t="shared" si="51"/>
        <v>0</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t="e">
        <f>Weighting!$C$20</f>
        <v>#DIV/0!</v>
      </c>
      <c r="E428" t="e">
        <f>Weighting!$E$20</f>
        <v>#NUM!</v>
      </c>
      <c r="F428" t="e">
        <f>IF(E428=1,'Data Transformation'!$G$3+0.5*'Data Transformation'!$U$25,IF(E429=1,F429-'Data Transformation'!$U$25,FALSE))</f>
        <v>#NUM!</v>
      </c>
      <c r="G428">
        <f t="array" ref="G428">IF(ISLOGICAL(F428),"",FREQUENCY(IF('Data Transformation'!$B$24:$B$404='Bin Analysis and Plots'!$D$411,'Data Transformation'!$G$24:$G$404),'Bin Analysis and Plots'!F428))</f>
        <v>0</v>
      </c>
      <c r="H428">
        <f t="shared" si="51"/>
        <v>0</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t="e">
        <f>Weighting!$C$21</f>
        <v>#DIV/0!</v>
      </c>
      <c r="E429" t="e">
        <f>Weighting!$E$21</f>
        <v>#NUM!</v>
      </c>
      <c r="F429" t="e">
        <f>IF(E429=1,'Data Transformation'!$G$3+0.5*'Data Transformation'!$U$25,IF(E430=1,F430-'Data Transformation'!$U$25,FALSE))</f>
        <v>#NUM!</v>
      </c>
      <c r="G429">
        <f t="array" ref="G429">IF(ISLOGICAL(F429),"",FREQUENCY(IF('Data Transformation'!$B$24:$B$404='Bin Analysis and Plots'!$D$411,'Data Transformation'!$G$24:$G$404),'Bin Analysis and Plots'!F429))</f>
        <v>0</v>
      </c>
      <c r="H429">
        <f t="shared" si="51"/>
        <v>0</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t="e">
        <f>Weighting!$C$22</f>
        <v>#DIV/0!</v>
      </c>
      <c r="E430" t="e">
        <f>Weighting!$E$22</f>
        <v>#NUM!</v>
      </c>
      <c r="F430" t="e">
        <f>IF(E430=1,'Data Transformation'!$G$3+0.5*'Data Transformation'!$U$25,IF(E431=1,F431-'Data Transformation'!$U$25,FALSE))</f>
        <v>#NUM!</v>
      </c>
      <c r="G430">
        <f t="array" ref="G430">IF(ISLOGICAL(F430),"",FREQUENCY(IF('Data Transformation'!$B$24:$B$404='Bin Analysis and Plots'!$D$411,'Data Transformation'!$G$24:$G$404),'Bin Analysis and Plots'!F430))</f>
        <v>0</v>
      </c>
      <c r="H430">
        <f t="shared" si="51"/>
        <v>0</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t="e">
        <f>Weighting!$C$23</f>
        <v>#DIV/0!</v>
      </c>
      <c r="E431" t="e">
        <f>Weighting!$E$23</f>
        <v>#NUM!</v>
      </c>
      <c r="F431" t="e">
        <f>IF(E431=1,'Data Transformation'!$G$3+0.5*'Data Transformation'!$U$25,IF(E432=1,F432-'Data Transformation'!$U$25,FALSE))</f>
        <v>#NUM!</v>
      </c>
      <c r="G431">
        <f t="array" ref="G431">IF(ISLOGICAL(F431),"",FREQUENCY(IF('Data Transformation'!$B$24:$B$404='Bin Analysis and Plots'!$D$411,'Data Transformation'!$G$24:$G$404),'Bin Analysis and Plots'!F431))</f>
        <v>0</v>
      </c>
      <c r="H431">
        <f t="shared" si="51"/>
        <v>0</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t="e">
        <f>Weighting!$C$24</f>
        <v>#DIV/0!</v>
      </c>
      <c r="E432" t="e">
        <f>Weighting!$E$24</f>
        <v>#NUM!</v>
      </c>
      <c r="F432" t="e">
        <f>IF(E432=1,'Data Transformation'!$G$3+0.5*'Data Transformation'!$U$25,IF(E433=1,F433-'Data Transformation'!$U$25,FALSE))</f>
        <v>#NUM!</v>
      </c>
      <c r="G432">
        <f t="array" ref="G432">IF(ISLOGICAL(F432),"",FREQUENCY(IF('Data Transformation'!$B$24:$B$404='Bin Analysis and Plots'!$D$411,'Data Transformation'!$G$24:$G$404),'Bin Analysis and Plots'!F432))</f>
        <v>0</v>
      </c>
      <c r="H432">
        <f t="shared" si="51"/>
        <v>0</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b">
        <f t="array" ref="A433">IF(ISERROR(INDEX('Data Transformation'!$B$4:$G$450,SMALL(IF('Data Transformation'!$B$4:$B$450='Bin Analysis and Plots'!D411,ROW('Data Transformation'!$B$4:$B$450)),ROW($20:$20))-3,3)),"",INDEX('Data Transformation'!$B$4:$G$450,SMALL(IF('Data Transformation'!$B$4:$B$450='Bin Analysis and Plots'!D411,ROW('Data Transformation'!$B$4:$B$450)),ROW($20:$20))-3,6))</f>
        <v>0</v>
      </c>
      <c r="B433" s="29" t="str">
        <f>IFERROR(SMALL(A414:A433,'Data Transformation'!$L$25),"")</f>
        <v/>
      </c>
      <c r="C433" s="41" t="str">
        <f>IF(Weighting!$O$25&gt;0,D433,"")</f>
        <v/>
      </c>
      <c r="D433" t="e">
        <f>Weighting!$C$25</f>
        <v>#DIV/0!</v>
      </c>
      <c r="E433" t="e">
        <f>Weighting!$E$25</f>
        <v>#NUM!</v>
      </c>
      <c r="F433" t="e">
        <f>IF(E433=1,'Data Transformation'!$G$3+0.5*'Data Transformation'!$U$25,IF(E434=1,F434-'Data Transformation'!$U$25,FALSE))</f>
        <v>#NUM!</v>
      </c>
      <c r="G433">
        <f t="array" ref="G433">IF(ISLOGICAL(F433),"",FREQUENCY(IF('Data Transformation'!$B$24:$B$404='Bin Analysis and Plots'!$D$411,'Data Transformation'!$G$24:$G$404),'Bin Analysis and Plots'!F433))</f>
        <v>0</v>
      </c>
      <c r="H433">
        <f t="shared" si="51"/>
        <v>0</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1">
      <c r="A436" s="91" t="s">
        <v>64</v>
      </c>
      <c r="B436" s="91"/>
      <c r="C436" s="14" t="s">
        <v>72</v>
      </c>
      <c r="D436" t="s">
        <v>50</v>
      </c>
      <c r="E436" t="s">
        <v>5</v>
      </c>
      <c r="I436" t="s">
        <v>74</v>
      </c>
      <c r="J436" t="s">
        <v>34</v>
      </c>
      <c r="K436" t="s">
        <v>35</v>
      </c>
      <c r="L436" t="s">
        <v>49</v>
      </c>
      <c r="M436" s="14" t="s">
        <v>48</v>
      </c>
      <c r="Z436" s="78">
        <v>0</v>
      </c>
      <c r="AA436" s="78">
        <v>0</v>
      </c>
    </row>
    <row r="437" spans="1:27">
      <c r="C437" s="41" t="str">
        <f>IF(B437="","",D437)</f>
        <v/>
      </c>
      <c r="F437" t="e">
        <f>IF(E437=1,'Data Transformation'!$G$3+0.5*'Data Transformation'!$U$25,IF(E438=1,F438-'Data Transformation'!$U$25,FALSE))</f>
        <v>#NUM!</v>
      </c>
      <c r="G437">
        <f t="array" ref="G437">IF(ISLOGICAL(F437),"",FREQUENCY(IF('Data Transformation'!$B$24:$B$404='Bin Analysis and Plots'!$D$435,'Data Transformation'!$G$24:$G$404),'Bin Analysis and Plots'!F437))</f>
        <v>0</v>
      </c>
      <c r="H437">
        <f>IF(ISLOGICAL(F437),"",G437-G436)</f>
        <v>0</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t="e">
        <f>IF(Weighting!$O$6&gt;0,D438,"")</f>
        <v>#NUM!</v>
      </c>
      <c r="D438" t="e">
        <f>Weighting!$C$6</f>
        <v>#DIV/0!</v>
      </c>
      <c r="E438" t="e">
        <f>Weighting!$E$6</f>
        <v>#NUM!</v>
      </c>
      <c r="F438" t="e">
        <f>IF(E438=1,'Data Transformation'!$G$3+0.5*'Data Transformation'!$U$25,IF(E439=1,F439-'Data Transformation'!$U$25,FALSE))</f>
        <v>#NUM!</v>
      </c>
      <c r="G438">
        <f t="array" ref="G438">IF(ISLOGICAL(F438),"",FREQUENCY(IF('Data Transformation'!$B$24:$B$404='Bin Analysis and Plots'!$D$435,'Data Transformation'!$G$24:$G$404),'Bin Analysis and Plots'!F438))</f>
        <v>0</v>
      </c>
      <c r="H438">
        <f>IF(ISLOGICAL(F438),"",G438-G437)</f>
        <v>0</v>
      </c>
      <c r="I438">
        <f>Weighting!$G$6</f>
        <v>1</v>
      </c>
      <c r="J438">
        <f t="array" ref="J438">FREQUENCY(IF('Data Transformation'!$B$4:$B$404=D435,'Data Transformation'!$G$4:$G$404),'Bin Analysis and Plots'!$D438)</f>
        <v>0</v>
      </c>
      <c r="K438">
        <f>J438-J437</f>
        <v>0</v>
      </c>
      <c r="L438">
        <f>IF(K438=0,0,1)</f>
        <v>0</v>
      </c>
      <c r="M438" t="e">
        <f>L438*Weighting!$V$6</f>
        <v>#NUM!</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t="str">
        <f>IF(Weighting!$O$7&gt;0,D439,"")</f>
        <v/>
      </c>
      <c r="D439" t="e">
        <f>Weighting!$C$7</f>
        <v>#DIV/0!</v>
      </c>
      <c r="E439" t="e">
        <f>Weighting!$E$7</f>
        <v>#NUM!</v>
      </c>
      <c r="F439" t="e">
        <f>IF(E439=1,'Data Transformation'!$G$3+0.5*'Data Transformation'!$U$25,IF(E440=1,F440-'Data Transformation'!$U$25,FALSE))</f>
        <v>#NUM!</v>
      </c>
      <c r="G439">
        <f t="array" ref="G439">IF(ISLOGICAL(F439),"",FREQUENCY(IF('Data Transformation'!$B$24:$B$404='Bin Analysis and Plots'!$D$435,'Data Transformation'!$G$24:$G$404),'Bin Analysis and Plots'!F439))</f>
        <v>0</v>
      </c>
      <c r="H439">
        <f t="shared" ref="H439:H457" si="54">IF(ISLOGICAL(F439),"",G439-G438)</f>
        <v>0</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t="str">
        <f>IF(Weighting!$O$8&gt;0,D440,"")</f>
        <v/>
      </c>
      <c r="D440" t="e">
        <f>Weighting!$C$8</f>
        <v>#DIV/0!</v>
      </c>
      <c r="E440" t="e">
        <f>Weighting!$E$8</f>
        <v>#NUM!</v>
      </c>
      <c r="F440" t="e">
        <f>IF(E440=1,'Data Transformation'!$G$3+0.5*'Data Transformation'!$U$25,IF(E441=1,F441-'Data Transformation'!$U$25,FALSE))</f>
        <v>#NUM!</v>
      </c>
      <c r="G440">
        <f t="array" ref="G440">IF(ISLOGICAL(F440),"",FREQUENCY(IF('Data Transformation'!$B$24:$B$404='Bin Analysis and Plots'!$D$435,'Data Transformation'!$G$24:$G$404),'Bin Analysis and Plots'!F440))</f>
        <v>0</v>
      </c>
      <c r="H440">
        <f t="shared" si="54"/>
        <v>0</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t="str">
        <f>IF(Weighting!$O$9&gt;0,D441,"")</f>
        <v/>
      </c>
      <c r="D441" t="e">
        <f>Weighting!$B$9</f>
        <v>#DIV/0!</v>
      </c>
      <c r="E441" t="e">
        <f>Weighting!$E$9</f>
        <v>#NUM!</v>
      </c>
      <c r="F441" t="e">
        <f>IF(E441=1,'Data Transformation'!$G$3+0.5*'Data Transformation'!$U$25,IF(E442=1,F442-'Data Transformation'!$U$25,FALSE))</f>
        <v>#NUM!</v>
      </c>
      <c r="G441">
        <f t="array" ref="G441">IF(ISLOGICAL(F441),"",FREQUENCY(IF('Data Transformation'!$B$24:$B$404='Bin Analysis and Plots'!$D$435,'Data Transformation'!$G$24:$G$404),'Bin Analysis and Plots'!F441))</f>
        <v>0</v>
      </c>
      <c r="H441">
        <f t="shared" si="54"/>
        <v>0</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t="str">
        <f>IF(Weighting!$O$10&gt;0,D442,"")</f>
        <v/>
      </c>
      <c r="D442" t="e">
        <f>Weighting!$C$10</f>
        <v>#DIV/0!</v>
      </c>
      <c r="E442" t="e">
        <f>Weighting!$E$10</f>
        <v>#NUM!</v>
      </c>
      <c r="F442" t="e">
        <f>IF(E442=1,'Data Transformation'!$G$3+0.5*'Data Transformation'!$U$25,IF(E443=1,F443-'Data Transformation'!$U$25,FALSE))</f>
        <v>#NUM!</v>
      </c>
      <c r="G442">
        <f t="array" ref="G442">IF(ISLOGICAL(F442),"",FREQUENCY(IF('Data Transformation'!$B$24:$B$404='Bin Analysis and Plots'!$D$435,'Data Transformation'!$G$24:$G$404),'Bin Analysis and Plots'!F442))</f>
        <v>0</v>
      </c>
      <c r="H442">
        <f t="shared" si="54"/>
        <v>0</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t="str">
        <f>IF(Weighting!$O$11&gt;0,D443,"")</f>
        <v/>
      </c>
      <c r="D443" t="e">
        <f>Weighting!$C$11</f>
        <v>#DIV/0!</v>
      </c>
      <c r="E443" t="e">
        <f>Weighting!$E$11</f>
        <v>#NUM!</v>
      </c>
      <c r="F443" t="e">
        <f>IF(E443=1,'Data Transformation'!$G$3+0.5*'Data Transformation'!$U$25,IF(E444=1,F444-'Data Transformation'!$U$25,FALSE))</f>
        <v>#NUM!</v>
      </c>
      <c r="G443">
        <f t="array" ref="G443">IF(ISLOGICAL(F443),"",FREQUENCY(IF('Data Transformation'!$B$24:$B$404='Bin Analysis and Plots'!$D$435,'Data Transformation'!$G$24:$G$404),'Bin Analysis and Plots'!F443))</f>
        <v>0</v>
      </c>
      <c r="H443">
        <f t="shared" si="54"/>
        <v>0</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t="str">
        <f>IF(Weighting!$O$12&gt;0,D444,"")</f>
        <v/>
      </c>
      <c r="D444" t="e">
        <f>Weighting!$C$12</f>
        <v>#DIV/0!</v>
      </c>
      <c r="E444" t="e">
        <f>Weighting!$E$12</f>
        <v>#NUM!</v>
      </c>
      <c r="F444" t="e">
        <f>IF(E444=1,'Data Transformation'!$G$3+0.5*'Data Transformation'!$U$25,IF(E445=1,F445-'Data Transformation'!$U$25,FALSE))</f>
        <v>#NUM!</v>
      </c>
      <c r="G444">
        <f t="array" ref="G444">IF(ISLOGICAL(F444),"",FREQUENCY(IF('Data Transformation'!$B$24:$B$404='Bin Analysis and Plots'!$D$435,'Data Transformation'!$G$24:$G$404),'Bin Analysis and Plots'!F444))</f>
        <v>0</v>
      </c>
      <c r="H444">
        <f t="shared" si="54"/>
        <v>0</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t="str">
        <f>IF(Weighting!$O$13&gt;0,D445,"")</f>
        <v/>
      </c>
      <c r="D445" t="e">
        <f>Weighting!$C$13</f>
        <v>#DIV/0!</v>
      </c>
      <c r="E445" t="e">
        <f>Weighting!$E$13</f>
        <v>#NUM!</v>
      </c>
      <c r="F445" t="e">
        <f>IF(E445=1,'Data Transformation'!$G$3+0.5*'Data Transformation'!$U$25,IF(E446=1,F446-'Data Transformation'!$U$25,FALSE))</f>
        <v>#NUM!</v>
      </c>
      <c r="G445">
        <f t="array" ref="G445">IF(ISLOGICAL(F445),"",FREQUENCY(IF('Data Transformation'!$B$24:$B$404='Bin Analysis and Plots'!$D$435,'Data Transformation'!$G$24:$G$404),'Bin Analysis and Plots'!F445))</f>
        <v>0</v>
      </c>
      <c r="H445">
        <f t="shared" si="54"/>
        <v>0</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t="str">
        <f>IF(Weighting!$O$14&gt;0,D446,"")</f>
        <v/>
      </c>
      <c r="D446" t="e">
        <f>Weighting!$C$14</f>
        <v>#DIV/0!</v>
      </c>
      <c r="E446" t="e">
        <f>Weighting!$E$14</f>
        <v>#NUM!</v>
      </c>
      <c r="F446" t="e">
        <f>IF(E446=1,'Data Transformation'!$G$3+0.5*'Data Transformation'!$U$25,IF(E447=1,F447-'Data Transformation'!$U$25,FALSE))</f>
        <v>#NUM!</v>
      </c>
      <c r="G446">
        <f t="array" ref="G446">IF(ISLOGICAL(F446),"",FREQUENCY(IF('Data Transformation'!$B$24:$B$404='Bin Analysis and Plots'!$D$435,'Data Transformation'!$G$24:$G$404),'Bin Analysis and Plots'!F446))</f>
        <v>0</v>
      </c>
      <c r="H446">
        <f t="shared" si="54"/>
        <v>0</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t="str">
        <f>IF(Weighting!$O$15&gt;0,D447,"")</f>
        <v/>
      </c>
      <c r="D447" t="e">
        <f>Weighting!$C$15</f>
        <v>#DIV/0!</v>
      </c>
      <c r="E447" t="e">
        <f>Weighting!$E$15</f>
        <v>#NUM!</v>
      </c>
      <c r="F447" t="e">
        <f>IF(E447=1,'Data Transformation'!$G$3+0.5*'Data Transformation'!$U$25,IF(E448=1,F448-'Data Transformation'!$U$25,FALSE))</f>
        <v>#NUM!</v>
      </c>
      <c r="G447">
        <f t="array" ref="G447">IF(ISLOGICAL(F447),"",FREQUENCY(IF('Data Transformation'!$B$24:$B$404='Bin Analysis and Plots'!$D$435,'Data Transformation'!$G$24:$G$404),'Bin Analysis and Plots'!F447))</f>
        <v>0</v>
      </c>
      <c r="H447">
        <f t="shared" si="54"/>
        <v>0</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t="e">
        <f>Weighting!$C$16</f>
        <v>#DIV/0!</v>
      </c>
      <c r="E448" t="e">
        <f>Weighting!$E$16</f>
        <v>#NUM!</v>
      </c>
      <c r="F448" t="e">
        <f>IF(E448=1,'Data Transformation'!$G$3+0.5*'Data Transformation'!$U$25,IF(E449=1,F449-'Data Transformation'!$U$25,FALSE))</f>
        <v>#NUM!</v>
      </c>
      <c r="G448">
        <f t="array" ref="G448">IF(ISLOGICAL(F448),"",FREQUENCY(IF('Data Transformation'!$B$24:$B$404='Bin Analysis and Plots'!$D$435,'Data Transformation'!$G$24:$G$404),'Bin Analysis and Plots'!F448))</f>
        <v>0</v>
      </c>
      <c r="H448">
        <f t="shared" si="54"/>
        <v>0</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t="e">
        <f>Weighting!$C$17</f>
        <v>#DIV/0!</v>
      </c>
      <c r="E449" t="e">
        <f>Weighting!$E$17</f>
        <v>#NUM!</v>
      </c>
      <c r="F449" t="e">
        <f>IF(E449=1,'Data Transformation'!$G$3+0.5*'Data Transformation'!$U$25,IF(E450=1,F450-'Data Transformation'!$U$25,FALSE))</f>
        <v>#NUM!</v>
      </c>
      <c r="G449">
        <f t="array" ref="G449">IF(ISLOGICAL(F449),"",FREQUENCY(IF('Data Transformation'!$B$24:$B$404='Bin Analysis and Plots'!$D$435,'Data Transformation'!$G$24:$G$404),'Bin Analysis and Plots'!F449))</f>
        <v>0</v>
      </c>
      <c r="H449">
        <f t="shared" si="54"/>
        <v>0</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t="e">
        <f>Weighting!$C$18</f>
        <v>#DIV/0!</v>
      </c>
      <c r="E450" t="e">
        <f>Weighting!$E$18</f>
        <v>#NUM!</v>
      </c>
      <c r="F450" t="e">
        <f>IF(E450=1,'Data Transformation'!$G$3+0.5*'Data Transformation'!$U$25,IF(E451=1,F451-'Data Transformation'!$U$25,FALSE))</f>
        <v>#NUM!</v>
      </c>
      <c r="G450">
        <f t="array" ref="G450">IF(ISLOGICAL(F450),"",FREQUENCY(IF('Data Transformation'!$B$24:$B$404='Bin Analysis and Plots'!$D$435,'Data Transformation'!$G$24:$G$404),'Bin Analysis and Plots'!F450))</f>
        <v>0</v>
      </c>
      <c r="H450">
        <f t="shared" si="54"/>
        <v>0</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t="e">
        <f>Weighting!$C$19</f>
        <v>#DIV/0!</v>
      </c>
      <c r="E451" t="e">
        <f>Weighting!$E$19</f>
        <v>#NUM!</v>
      </c>
      <c r="F451" t="e">
        <f>IF(E451=1,'Data Transformation'!$G$3+0.5*'Data Transformation'!$U$25,IF(E452=1,F452-'Data Transformation'!$U$25,FALSE))</f>
        <v>#NUM!</v>
      </c>
      <c r="G451">
        <f t="array" ref="G451">IF(ISLOGICAL(F451),"",FREQUENCY(IF('Data Transformation'!$B$24:$B$404='Bin Analysis and Plots'!$D$435,'Data Transformation'!$G$24:$G$404),'Bin Analysis and Plots'!F451))</f>
        <v>0</v>
      </c>
      <c r="H451">
        <f t="shared" si="54"/>
        <v>0</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t="e">
        <f>Weighting!$C$20</f>
        <v>#DIV/0!</v>
      </c>
      <c r="E452" t="e">
        <f>Weighting!$E$20</f>
        <v>#NUM!</v>
      </c>
      <c r="F452" t="e">
        <f>IF(E452=1,'Data Transformation'!$G$3+0.5*'Data Transformation'!$U$25,IF(E453=1,F453-'Data Transformation'!$U$25,FALSE))</f>
        <v>#NUM!</v>
      </c>
      <c r="G452">
        <f t="array" ref="G452">IF(ISLOGICAL(F452),"",FREQUENCY(IF('Data Transformation'!$B$24:$B$404='Bin Analysis and Plots'!$D$435,'Data Transformation'!$G$24:$G$404),'Bin Analysis and Plots'!F452))</f>
        <v>0</v>
      </c>
      <c r="H452">
        <f t="shared" si="54"/>
        <v>0</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t="e">
        <f>Weighting!$C$21</f>
        <v>#DIV/0!</v>
      </c>
      <c r="E453" t="e">
        <f>Weighting!$E$21</f>
        <v>#NUM!</v>
      </c>
      <c r="F453" t="e">
        <f>IF(E453=1,'Data Transformation'!$G$3+0.5*'Data Transformation'!$U$25,IF(E454=1,F454-'Data Transformation'!$U$25,FALSE))</f>
        <v>#NUM!</v>
      </c>
      <c r="G453">
        <f t="array" ref="G453">IF(ISLOGICAL(F453),"",FREQUENCY(IF('Data Transformation'!$B$24:$B$404='Bin Analysis and Plots'!$D$435,'Data Transformation'!$G$24:$G$404),'Bin Analysis and Plots'!F453))</f>
        <v>0</v>
      </c>
      <c r="H453">
        <f t="shared" si="54"/>
        <v>0</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t="e">
        <f>Weighting!$C$22</f>
        <v>#DIV/0!</v>
      </c>
      <c r="E454" t="e">
        <f>Weighting!$E$22</f>
        <v>#NUM!</v>
      </c>
      <c r="F454" t="e">
        <f>IF(E454=1,'Data Transformation'!$G$3+0.5*'Data Transformation'!$U$25,IF(E455=1,F455-'Data Transformation'!$U$25,FALSE))</f>
        <v>#NUM!</v>
      </c>
      <c r="G454">
        <f t="array" ref="G454">IF(ISLOGICAL(F454),"",FREQUENCY(IF('Data Transformation'!$B$24:$B$404='Bin Analysis and Plots'!$D$435,'Data Transformation'!$G$24:$G$404),'Bin Analysis and Plots'!F454))</f>
        <v>0</v>
      </c>
      <c r="H454">
        <f t="shared" si="54"/>
        <v>0</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t="e">
        <f>Weighting!$C$23</f>
        <v>#DIV/0!</v>
      </c>
      <c r="E455" t="e">
        <f>Weighting!$E$23</f>
        <v>#NUM!</v>
      </c>
      <c r="F455" t="e">
        <f>IF(E455=1,'Data Transformation'!$G$3+0.5*'Data Transformation'!$U$25,IF(E456=1,F456-'Data Transformation'!$U$25,FALSE))</f>
        <v>#NUM!</v>
      </c>
      <c r="G455">
        <f t="array" ref="G455">IF(ISLOGICAL(F455),"",FREQUENCY(IF('Data Transformation'!$B$24:$B$404='Bin Analysis and Plots'!$D$435,'Data Transformation'!$G$24:$G$404),'Bin Analysis and Plots'!F455))</f>
        <v>0</v>
      </c>
      <c r="H455">
        <f t="shared" si="54"/>
        <v>0</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t="e">
        <f>Weighting!$C$24</f>
        <v>#DIV/0!</v>
      </c>
      <c r="E456" t="e">
        <f>Weighting!$E$24</f>
        <v>#NUM!</v>
      </c>
      <c r="F456" t="e">
        <f>IF(E456=1,'Data Transformation'!$G$3+0.5*'Data Transformation'!$U$25,IF(E457=1,F457-'Data Transformation'!$U$25,FALSE))</f>
        <v>#NUM!</v>
      </c>
      <c r="G456">
        <f t="array" ref="G456">IF(ISLOGICAL(F456),"",FREQUENCY(IF('Data Transformation'!$B$24:$B$404='Bin Analysis and Plots'!$D$435,'Data Transformation'!$G$24:$G$404),'Bin Analysis and Plots'!F456))</f>
        <v>0</v>
      </c>
      <c r="H456">
        <f t="shared" si="54"/>
        <v>0</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b">
        <f t="array" ref="A457">IF(ISERROR(INDEX('Data Transformation'!$B$4:$G$450,SMALL(IF('Data Transformation'!$B$4:$B$450='Bin Analysis and Plots'!D435,ROW('Data Transformation'!$B$4:$B$450)),ROW($20:$20))-3,3)),"",INDEX('Data Transformation'!$B$4:$G$450,SMALL(IF('Data Transformation'!$B$4:$B$450='Bin Analysis and Plots'!D435,ROW('Data Transformation'!$B$4:$B$450)),ROW($20:$20))-3,6))</f>
        <v>0</v>
      </c>
      <c r="B457" s="29" t="str">
        <f>IFERROR(SMALL(A438:A457,'Data Transformation'!$L$25),"")</f>
        <v/>
      </c>
      <c r="C457" s="41" t="str">
        <f>IF(Weighting!$O$25&gt;0,D457,"")</f>
        <v/>
      </c>
      <c r="D457" t="e">
        <f>Weighting!$C$25</f>
        <v>#DIV/0!</v>
      </c>
      <c r="E457" t="e">
        <f>Weighting!$E$25</f>
        <v>#NUM!</v>
      </c>
      <c r="F457" t="e">
        <f>IF(E457=1,'Data Transformation'!$G$3+0.5*'Data Transformation'!$U$25,IF(E458=1,F458-'Data Transformation'!$U$25,FALSE))</f>
        <v>#NUM!</v>
      </c>
      <c r="G457">
        <f t="array" ref="G457">IF(ISLOGICAL(F457),"",FREQUENCY(IF('Data Transformation'!$B$24:$B$404='Bin Analysis and Plots'!$D$435,'Data Transformation'!$G$24:$G$404),'Bin Analysis and Plots'!F457))</f>
        <v>0</v>
      </c>
      <c r="H457">
        <f t="shared" si="54"/>
        <v>0</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1">
      <c r="A460" s="91" t="s">
        <v>64</v>
      </c>
      <c r="B460" s="91"/>
      <c r="C460" s="14" t="s">
        <v>72</v>
      </c>
      <c r="D460" t="s">
        <v>50</v>
      </c>
      <c r="E460" t="s">
        <v>5</v>
      </c>
      <c r="I460" t="s">
        <v>74</v>
      </c>
      <c r="J460" t="s">
        <v>34</v>
      </c>
      <c r="K460" t="s">
        <v>35</v>
      </c>
      <c r="L460" t="s">
        <v>49</v>
      </c>
      <c r="M460" s="14" t="s">
        <v>48</v>
      </c>
      <c r="Z460" s="78">
        <v>0</v>
      </c>
      <c r="AA460" s="78">
        <v>0</v>
      </c>
    </row>
    <row r="461" spans="1:27">
      <c r="C461" s="41" t="str">
        <f>IF(B461="","",D461)</f>
        <v/>
      </c>
      <c r="F461" t="e">
        <f>IF(E461=1,'Data Transformation'!$G$3+0.5*'Data Transformation'!$U$25,IF(E462=1,F462-'Data Transformation'!$U$25,FALSE))</f>
        <v>#NUM!</v>
      </c>
      <c r="G461">
        <f t="array" ref="G461">IF(ISLOGICAL(F461),"",FREQUENCY(IF('Data Transformation'!$B$24:$B$404='Bin Analysis and Plots'!$D$459,'Data Transformation'!$G$24:$G$404),'Bin Analysis and Plots'!F461))</f>
        <v>0</v>
      </c>
      <c r="H461">
        <f>IF(ISLOGICAL(F461),"",G461-G460)</f>
        <v>0</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t="e">
        <f>IF(Weighting!$O$6&gt;0,D462,"")</f>
        <v>#NUM!</v>
      </c>
      <c r="D462" t="e">
        <f>Weighting!$C$6</f>
        <v>#DIV/0!</v>
      </c>
      <c r="E462" t="e">
        <f>Weighting!$E$6</f>
        <v>#NUM!</v>
      </c>
      <c r="F462" t="e">
        <f>IF(E462=1,'Data Transformation'!$G$3+0.5*'Data Transformation'!$U$25,IF(E463=1,F463-'Data Transformation'!$U$25,FALSE))</f>
        <v>#NUM!</v>
      </c>
      <c r="G462">
        <f t="array" ref="G462">IF(ISLOGICAL(F462),"",FREQUENCY(IF('Data Transformation'!$B$24:$B$404='Bin Analysis and Plots'!$D$459,'Data Transformation'!$G$24:$G$404),'Bin Analysis and Plots'!F462))</f>
        <v>0</v>
      </c>
      <c r="H462">
        <f>IF(ISLOGICAL(F462),"",G462-G461)</f>
        <v>0</v>
      </c>
      <c r="I462">
        <f>Weighting!$G$6</f>
        <v>1</v>
      </c>
      <c r="J462">
        <f t="array" ref="J462">FREQUENCY(IF('Data Transformation'!$B$4:$B$404=D459,'Data Transformation'!$G$4:$G$404),'Bin Analysis and Plots'!$D462)</f>
        <v>0</v>
      </c>
      <c r="K462">
        <f>J462-J461</f>
        <v>0</v>
      </c>
      <c r="L462">
        <f>IF(K462=0,0,1)</f>
        <v>0</v>
      </c>
      <c r="M462" t="e">
        <f>L462*Weighting!$V$6</f>
        <v>#NUM!</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t="str">
        <f>IF(Weighting!$O$7&gt;0,D463,"")</f>
        <v/>
      </c>
      <c r="D463" t="e">
        <f>Weighting!$C$7</f>
        <v>#DIV/0!</v>
      </c>
      <c r="E463" t="e">
        <f>Weighting!$E$7</f>
        <v>#NUM!</v>
      </c>
      <c r="F463" t="e">
        <f>IF(E463=1,'Data Transformation'!$G$3+0.5*'Data Transformation'!$U$25,IF(E464=1,F464-'Data Transformation'!$U$25,FALSE))</f>
        <v>#NUM!</v>
      </c>
      <c r="G463">
        <f t="array" ref="G463">IF(ISLOGICAL(F463),"",FREQUENCY(IF('Data Transformation'!$B$24:$B$404='Bin Analysis and Plots'!$D$459,'Data Transformation'!$G$24:$G$404),'Bin Analysis and Plots'!F463))</f>
        <v>0</v>
      </c>
      <c r="H463">
        <f t="shared" ref="H463:H481" si="57">IF(ISLOGICAL(F463),"",G463-G462)</f>
        <v>0</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t="str">
        <f>IF(Weighting!$O$8&gt;0,D464,"")</f>
        <v/>
      </c>
      <c r="D464" t="e">
        <f>Weighting!$C$8</f>
        <v>#DIV/0!</v>
      </c>
      <c r="E464" t="e">
        <f>Weighting!$E$8</f>
        <v>#NUM!</v>
      </c>
      <c r="F464" t="e">
        <f>IF(E464=1,'Data Transformation'!$G$3+0.5*'Data Transformation'!$U$25,IF(E465=1,F465-'Data Transformation'!$U$25,FALSE))</f>
        <v>#NUM!</v>
      </c>
      <c r="G464">
        <f t="array" ref="G464">IF(ISLOGICAL(F464),"",FREQUENCY(IF('Data Transformation'!$B$24:$B$404='Bin Analysis and Plots'!$D$459,'Data Transformation'!$G$24:$G$404),'Bin Analysis and Plots'!F464))</f>
        <v>0</v>
      </c>
      <c r="H464">
        <f t="shared" si="57"/>
        <v>0</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t="str">
        <f>IF(Weighting!$O$9&gt;0,D465,"")</f>
        <v/>
      </c>
      <c r="D465" t="e">
        <f>Weighting!$B$9</f>
        <v>#DIV/0!</v>
      </c>
      <c r="E465" t="e">
        <f>Weighting!$E$9</f>
        <v>#NUM!</v>
      </c>
      <c r="F465" t="e">
        <f>IF(E465=1,'Data Transformation'!$G$3+0.5*'Data Transformation'!$U$25,IF(E466=1,F466-'Data Transformation'!$U$25,FALSE))</f>
        <v>#NUM!</v>
      </c>
      <c r="G465">
        <f t="array" ref="G465">IF(ISLOGICAL(F465),"",FREQUENCY(IF('Data Transformation'!$B$24:$B$404='Bin Analysis and Plots'!$D$459,'Data Transformation'!$G$24:$G$404),'Bin Analysis and Plots'!F465))</f>
        <v>0</v>
      </c>
      <c r="H465">
        <f t="shared" si="57"/>
        <v>0</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t="str">
        <f>IF(Weighting!$O$10&gt;0,D466,"")</f>
        <v/>
      </c>
      <c r="D466" t="e">
        <f>Weighting!$C$10</f>
        <v>#DIV/0!</v>
      </c>
      <c r="E466" t="e">
        <f>Weighting!$E$10</f>
        <v>#NUM!</v>
      </c>
      <c r="F466" t="e">
        <f>IF(E466=1,'Data Transformation'!$G$3+0.5*'Data Transformation'!$U$25,IF(E467=1,F467-'Data Transformation'!$U$25,FALSE))</f>
        <v>#NUM!</v>
      </c>
      <c r="G466">
        <f t="array" ref="G466">IF(ISLOGICAL(F466),"",FREQUENCY(IF('Data Transformation'!$B$24:$B$404='Bin Analysis and Plots'!$D$459,'Data Transformation'!$G$24:$G$404),'Bin Analysis and Plots'!F466))</f>
        <v>0</v>
      </c>
      <c r="H466">
        <f t="shared" si="57"/>
        <v>0</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t="str">
        <f>IF(Weighting!$O$11&gt;0,D467,"")</f>
        <v/>
      </c>
      <c r="D467" t="e">
        <f>Weighting!$C$11</f>
        <v>#DIV/0!</v>
      </c>
      <c r="E467" t="e">
        <f>Weighting!$E$11</f>
        <v>#NUM!</v>
      </c>
      <c r="F467" t="e">
        <f>IF(E467=1,'Data Transformation'!$G$3+0.5*'Data Transformation'!$U$25,IF(E468=1,F468-'Data Transformation'!$U$25,FALSE))</f>
        <v>#NUM!</v>
      </c>
      <c r="G467">
        <f t="array" ref="G467">IF(ISLOGICAL(F467),"",FREQUENCY(IF('Data Transformation'!$B$24:$B$404='Bin Analysis and Plots'!$D$459,'Data Transformation'!$G$24:$G$404),'Bin Analysis and Plots'!F467))</f>
        <v>0</v>
      </c>
      <c r="H467">
        <f t="shared" si="57"/>
        <v>0</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t="str">
        <f>IF(Weighting!$O$12&gt;0,D468,"")</f>
        <v/>
      </c>
      <c r="D468" t="e">
        <f>Weighting!$C$12</f>
        <v>#DIV/0!</v>
      </c>
      <c r="E468" t="e">
        <f>Weighting!$E$12</f>
        <v>#NUM!</v>
      </c>
      <c r="F468" t="e">
        <f>IF(E468=1,'Data Transformation'!$G$3+0.5*'Data Transformation'!$U$25,IF(E469=1,F469-'Data Transformation'!$U$25,FALSE))</f>
        <v>#NUM!</v>
      </c>
      <c r="G468">
        <f t="array" ref="G468">IF(ISLOGICAL(F468),"",FREQUENCY(IF('Data Transformation'!$B$24:$B$404='Bin Analysis and Plots'!$D$459,'Data Transformation'!$G$24:$G$404),'Bin Analysis and Plots'!F468))</f>
        <v>0</v>
      </c>
      <c r="H468">
        <f t="shared" si="57"/>
        <v>0</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t="str">
        <f>IF(Weighting!$O$13&gt;0,D469,"")</f>
        <v/>
      </c>
      <c r="D469" t="e">
        <f>Weighting!$C$13</f>
        <v>#DIV/0!</v>
      </c>
      <c r="E469" t="e">
        <f>Weighting!$E$13</f>
        <v>#NUM!</v>
      </c>
      <c r="F469" t="e">
        <f>IF(E469=1,'Data Transformation'!$G$3+0.5*'Data Transformation'!$U$25,IF(E470=1,F470-'Data Transformation'!$U$25,FALSE))</f>
        <v>#NUM!</v>
      </c>
      <c r="G469">
        <f t="array" ref="G469">IF(ISLOGICAL(F469),"",FREQUENCY(IF('Data Transformation'!$B$24:$B$404='Bin Analysis and Plots'!$D$459,'Data Transformation'!$G$24:$G$404),'Bin Analysis and Plots'!F469))</f>
        <v>0</v>
      </c>
      <c r="H469">
        <f t="shared" si="57"/>
        <v>0</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t="str">
        <f>IF(Weighting!$O$14&gt;0,D470,"")</f>
        <v/>
      </c>
      <c r="D470" t="e">
        <f>Weighting!$C$14</f>
        <v>#DIV/0!</v>
      </c>
      <c r="E470" t="e">
        <f>Weighting!$E$14</f>
        <v>#NUM!</v>
      </c>
      <c r="F470" t="e">
        <f>IF(E470=1,'Data Transformation'!$G$3+0.5*'Data Transformation'!$U$25,IF(E471=1,F471-'Data Transformation'!$U$25,FALSE))</f>
        <v>#NUM!</v>
      </c>
      <c r="G470">
        <f t="array" ref="G470">IF(ISLOGICAL(F470),"",FREQUENCY(IF('Data Transformation'!$B$24:$B$404='Bin Analysis and Plots'!$D$459,'Data Transformation'!$G$24:$G$404),'Bin Analysis and Plots'!F470))</f>
        <v>0</v>
      </c>
      <c r="H470">
        <f t="shared" si="57"/>
        <v>0</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t="str">
        <f>IF(Weighting!$O$15&gt;0,D471,"")</f>
        <v/>
      </c>
      <c r="D471" t="e">
        <f>Weighting!$C$15</f>
        <v>#DIV/0!</v>
      </c>
      <c r="E471" t="e">
        <f>Weighting!$E$15</f>
        <v>#NUM!</v>
      </c>
      <c r="F471" t="e">
        <f>IF(E471=1,'Data Transformation'!$G$3+0.5*'Data Transformation'!$U$25,IF(E472=1,F472-'Data Transformation'!$U$25,FALSE))</f>
        <v>#NUM!</v>
      </c>
      <c r="G471">
        <f t="array" ref="G471">IF(ISLOGICAL(F471),"",FREQUENCY(IF('Data Transformation'!$B$24:$B$404='Bin Analysis and Plots'!$D$459,'Data Transformation'!$G$24:$G$404),'Bin Analysis and Plots'!F471))</f>
        <v>0</v>
      </c>
      <c r="H471">
        <f t="shared" si="57"/>
        <v>0</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t="e">
        <f>Weighting!$C$16</f>
        <v>#DIV/0!</v>
      </c>
      <c r="E472" t="e">
        <f>Weighting!$E$16</f>
        <v>#NUM!</v>
      </c>
      <c r="F472" t="e">
        <f>IF(E472=1,'Data Transformation'!$G$3+0.5*'Data Transformation'!$U$25,IF(E473=1,F473-'Data Transformation'!$U$25,FALSE))</f>
        <v>#NUM!</v>
      </c>
      <c r="G472">
        <f t="array" ref="G472">IF(ISLOGICAL(F472),"",FREQUENCY(IF('Data Transformation'!$B$24:$B$404='Bin Analysis and Plots'!$D$459,'Data Transformation'!$G$24:$G$404),'Bin Analysis and Plots'!F472))</f>
        <v>0</v>
      </c>
      <c r="H472">
        <f t="shared" si="57"/>
        <v>0</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t="e">
        <f>Weighting!$C$17</f>
        <v>#DIV/0!</v>
      </c>
      <c r="E473" t="e">
        <f>Weighting!$E$17</f>
        <v>#NUM!</v>
      </c>
      <c r="F473" t="e">
        <f>IF(E473=1,'Data Transformation'!$G$3+0.5*'Data Transformation'!$U$25,IF(E474=1,F474-'Data Transformation'!$U$25,FALSE))</f>
        <v>#NUM!</v>
      </c>
      <c r="G473">
        <f t="array" ref="G473">IF(ISLOGICAL(F473),"",FREQUENCY(IF('Data Transformation'!$B$24:$B$404='Bin Analysis and Plots'!$D$459,'Data Transformation'!$G$24:$G$404),'Bin Analysis and Plots'!F473))</f>
        <v>0</v>
      </c>
      <c r="H473">
        <f t="shared" si="57"/>
        <v>0</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t="e">
        <f>Weighting!$C$18</f>
        <v>#DIV/0!</v>
      </c>
      <c r="E474" t="e">
        <f>Weighting!$E$18</f>
        <v>#NUM!</v>
      </c>
      <c r="F474" t="e">
        <f>IF(E474=1,'Data Transformation'!$G$3+0.5*'Data Transformation'!$U$25,IF(E475=1,F475-'Data Transformation'!$U$25,FALSE))</f>
        <v>#NUM!</v>
      </c>
      <c r="G474">
        <f t="array" ref="G474">IF(ISLOGICAL(F474),"",FREQUENCY(IF('Data Transformation'!$B$24:$B$404='Bin Analysis and Plots'!$D$459,'Data Transformation'!$G$24:$G$404),'Bin Analysis and Plots'!F474))</f>
        <v>0</v>
      </c>
      <c r="H474">
        <f t="shared" si="57"/>
        <v>0</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t="e">
        <f>Weighting!$C$19</f>
        <v>#DIV/0!</v>
      </c>
      <c r="E475" t="e">
        <f>Weighting!$E$19</f>
        <v>#NUM!</v>
      </c>
      <c r="F475" t="e">
        <f>IF(E475=1,'Data Transformation'!$G$3+0.5*'Data Transformation'!$U$25,IF(E476=1,F476-'Data Transformation'!$U$25,FALSE))</f>
        <v>#NUM!</v>
      </c>
      <c r="G475">
        <f t="array" ref="G475">IF(ISLOGICAL(F475),"",FREQUENCY(IF('Data Transformation'!$B$24:$B$404='Bin Analysis and Plots'!$D$459,'Data Transformation'!$G$24:$G$404),'Bin Analysis and Plots'!F475))</f>
        <v>0</v>
      </c>
      <c r="H475">
        <f t="shared" si="57"/>
        <v>0</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t="e">
        <f>Weighting!$C$20</f>
        <v>#DIV/0!</v>
      </c>
      <c r="E476" t="e">
        <f>Weighting!$E$20</f>
        <v>#NUM!</v>
      </c>
      <c r="F476" t="e">
        <f>IF(E476=1,'Data Transformation'!$G$3+0.5*'Data Transformation'!$U$25,IF(E477=1,F477-'Data Transformation'!$U$25,FALSE))</f>
        <v>#NUM!</v>
      </c>
      <c r="G476">
        <f t="array" ref="G476">IF(ISLOGICAL(F476),"",FREQUENCY(IF('Data Transformation'!$B$24:$B$404='Bin Analysis and Plots'!$D$459,'Data Transformation'!$G$24:$G$404),'Bin Analysis and Plots'!F476))</f>
        <v>0</v>
      </c>
      <c r="H476">
        <f t="shared" si="57"/>
        <v>0</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t="e">
        <f>Weighting!$C$21</f>
        <v>#DIV/0!</v>
      </c>
      <c r="E477" t="e">
        <f>Weighting!$E$21</f>
        <v>#NUM!</v>
      </c>
      <c r="F477" t="e">
        <f>IF(E477=1,'Data Transformation'!$G$3+0.5*'Data Transformation'!$U$25,IF(E478=1,F478-'Data Transformation'!$U$25,FALSE))</f>
        <v>#NUM!</v>
      </c>
      <c r="G477">
        <f t="array" ref="G477">IF(ISLOGICAL(F477),"",FREQUENCY(IF('Data Transformation'!$B$24:$B$404='Bin Analysis and Plots'!$D$459,'Data Transformation'!$G$24:$G$404),'Bin Analysis and Plots'!F477))</f>
        <v>0</v>
      </c>
      <c r="H477">
        <f t="shared" si="57"/>
        <v>0</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t="e">
        <f>Weighting!$C$22</f>
        <v>#DIV/0!</v>
      </c>
      <c r="E478" t="e">
        <f>Weighting!$E$22</f>
        <v>#NUM!</v>
      </c>
      <c r="F478" t="e">
        <f>IF(E478=1,'Data Transformation'!$G$3+0.5*'Data Transformation'!$U$25,IF(E479=1,F479-'Data Transformation'!$U$25,FALSE))</f>
        <v>#NUM!</v>
      </c>
      <c r="G478">
        <f t="array" ref="G478">IF(ISLOGICAL(F478),"",FREQUENCY(IF('Data Transformation'!$B$24:$B$404='Bin Analysis and Plots'!$D$459,'Data Transformation'!$G$24:$G$404),'Bin Analysis and Plots'!F478))</f>
        <v>0</v>
      </c>
      <c r="H478">
        <f t="shared" si="57"/>
        <v>0</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t="e">
        <f>Weighting!$C$23</f>
        <v>#DIV/0!</v>
      </c>
      <c r="E479" t="e">
        <f>Weighting!$E$23</f>
        <v>#NUM!</v>
      </c>
      <c r="F479" t="e">
        <f>IF(E479=1,'Data Transformation'!$G$3+0.5*'Data Transformation'!$U$25,IF(E480=1,F480-'Data Transformation'!$U$25,FALSE))</f>
        <v>#NUM!</v>
      </c>
      <c r="G479">
        <f t="array" ref="G479">IF(ISLOGICAL(F479),"",FREQUENCY(IF('Data Transformation'!$B$24:$B$404='Bin Analysis and Plots'!$D$459,'Data Transformation'!$G$24:$G$404),'Bin Analysis and Plots'!F479))</f>
        <v>0</v>
      </c>
      <c r="H479">
        <f t="shared" si="57"/>
        <v>0</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t="e">
        <f>Weighting!$C$24</f>
        <v>#DIV/0!</v>
      </c>
      <c r="E480" t="e">
        <f>Weighting!$E$24</f>
        <v>#NUM!</v>
      </c>
      <c r="F480" t="e">
        <f>IF(E480=1,'Data Transformation'!$G$3+0.5*'Data Transformation'!$U$25,IF(E481=1,F481-'Data Transformation'!$U$25,FALSE))</f>
        <v>#NUM!</v>
      </c>
      <c r="G480">
        <f t="array" ref="G480">IF(ISLOGICAL(F480),"",FREQUENCY(IF('Data Transformation'!$B$24:$B$404='Bin Analysis and Plots'!$D$459,'Data Transformation'!$G$24:$G$404),'Bin Analysis and Plots'!F480))</f>
        <v>0</v>
      </c>
      <c r="H480">
        <f t="shared" si="57"/>
        <v>0</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b">
        <f t="array" ref="A481">IF(ISERROR(INDEX('Data Transformation'!$B$4:$G$450,SMALL(IF('Data Transformation'!$B$4:$B$450='Bin Analysis and Plots'!D459,ROW('Data Transformation'!$B$4:$B$450)),ROW($20:$20))-3,3)),"",INDEX('Data Transformation'!$B$4:$G$450,SMALL(IF('Data Transformation'!$B$4:$B$450='Bin Analysis and Plots'!D459,ROW('Data Transformation'!$B$4:$B$450)),ROW($20:$20))-3,6))</f>
        <v>0</v>
      </c>
      <c r="B481" s="29" t="str">
        <f>IFERROR(SMALL(A462:A481,'Data Transformation'!$L$25),"")</f>
        <v/>
      </c>
      <c r="C481" s="41" t="str">
        <f>IF(Weighting!$O$25&gt;0,D481,"")</f>
        <v/>
      </c>
      <c r="D481" t="e">
        <f>Weighting!$C$25</f>
        <v>#DIV/0!</v>
      </c>
      <c r="E481" t="e">
        <f>Weighting!$E$25</f>
        <v>#NUM!</v>
      </c>
      <c r="F481" t="e">
        <f>IF(E481=1,'Data Transformation'!$G$3+0.5*'Data Transformation'!$U$25,IF(E482=1,F482-'Data Transformation'!$U$25,FALSE))</f>
        <v>#NUM!</v>
      </c>
      <c r="G481">
        <f t="array" ref="G481">IF(ISLOGICAL(F481),"",FREQUENCY(IF('Data Transformation'!$B$24:$B$404='Bin Analysis and Plots'!$D$459,'Data Transformation'!$G$24:$G$404),'Bin Analysis and Plots'!F481))</f>
        <v>0</v>
      </c>
      <c r="H481">
        <f t="shared" si="57"/>
        <v>0</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1">
      <c r="A484" s="91" t="s">
        <v>64</v>
      </c>
      <c r="B484" s="91"/>
      <c r="C484" s="14" t="s">
        <v>72</v>
      </c>
      <c r="D484" t="s">
        <v>50</v>
      </c>
      <c r="E484" t="s">
        <v>5</v>
      </c>
      <c r="I484" t="s">
        <v>74</v>
      </c>
      <c r="J484" t="s">
        <v>34</v>
      </c>
      <c r="K484" t="s">
        <v>35</v>
      </c>
      <c r="L484" t="s">
        <v>49</v>
      </c>
      <c r="M484" s="14" t="s">
        <v>48</v>
      </c>
      <c r="Z484" s="78">
        <v>0</v>
      </c>
      <c r="AA484" s="78">
        <v>0</v>
      </c>
    </row>
    <row r="485" spans="1:27">
      <c r="C485" s="41" t="str">
        <f>IF(B485="","",D485)</f>
        <v/>
      </c>
      <c r="F485" t="e">
        <f>IF(E485=1,'Data Transformation'!$G$3+0.5*'Data Transformation'!$U$25,IF(E486=1,F486-'Data Transformation'!$U$25,FALSE))</f>
        <v>#NUM!</v>
      </c>
      <c r="G485">
        <f t="array" ref="G485">IF(ISLOGICAL(F485),"",FREQUENCY(IF('Data Transformation'!$B$24:$B$404='Bin Analysis and Plots'!$D$483,'Data Transformation'!$G$24:$G$404),'Bin Analysis and Plots'!F485))</f>
        <v>0</v>
      </c>
      <c r="H485">
        <f>IF(ISLOGICAL(F485),"",G485-G484)</f>
        <v>0</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t="e">
        <f>IF(Weighting!$O$6&gt;0,D486,"")</f>
        <v>#NUM!</v>
      </c>
      <c r="D486" t="e">
        <f>Weighting!$C$6</f>
        <v>#DIV/0!</v>
      </c>
      <c r="E486" t="e">
        <f>Weighting!$E$6</f>
        <v>#NUM!</v>
      </c>
      <c r="F486" t="e">
        <f>IF(E486=1,'Data Transformation'!$G$3+0.5*'Data Transformation'!$U$25,IF(E487=1,F487-'Data Transformation'!$U$25,FALSE))</f>
        <v>#NUM!</v>
      </c>
      <c r="G486">
        <f t="array" ref="G486">IF(ISLOGICAL(F486),"",FREQUENCY(IF('Data Transformation'!$B$24:$B$404='Bin Analysis and Plots'!$D$483,'Data Transformation'!$G$24:$G$404),'Bin Analysis and Plots'!F486))</f>
        <v>0</v>
      </c>
      <c r="H486">
        <f>IF(ISLOGICAL(F486),"",G486-G485)</f>
        <v>0</v>
      </c>
      <c r="I486">
        <f>Weighting!$G$6</f>
        <v>1</v>
      </c>
      <c r="J486">
        <f t="array" ref="J486">FREQUENCY(IF('Data Transformation'!$B$4:$B$404=D483,'Data Transformation'!$G$4:$G$404),'Bin Analysis and Plots'!$D486)</f>
        <v>0</v>
      </c>
      <c r="K486">
        <f>J486-J485</f>
        <v>0</v>
      </c>
      <c r="L486">
        <f>IF(K486=0,0,1)</f>
        <v>0</v>
      </c>
      <c r="M486" t="e">
        <f>L486*Weighting!$V$6</f>
        <v>#NUM!</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t="str">
        <f>IF(Weighting!$O$7&gt;0,D487,"")</f>
        <v/>
      </c>
      <c r="D487" t="e">
        <f>Weighting!$C$7</f>
        <v>#DIV/0!</v>
      </c>
      <c r="E487" t="e">
        <f>Weighting!$E$7</f>
        <v>#NUM!</v>
      </c>
      <c r="F487" t="e">
        <f>IF(E487=1,'Data Transformation'!$G$3+0.5*'Data Transformation'!$U$25,IF(E488=1,F488-'Data Transformation'!$U$25,FALSE))</f>
        <v>#NUM!</v>
      </c>
      <c r="G487">
        <f t="array" ref="G487">IF(ISLOGICAL(F487),"",FREQUENCY(IF('Data Transformation'!$B$24:$B$404='Bin Analysis and Plots'!$D$483,'Data Transformation'!$G$24:$G$404),'Bin Analysis and Plots'!F487))</f>
        <v>0</v>
      </c>
      <c r="H487">
        <f t="shared" ref="H487:H505" si="60">IF(ISLOGICAL(F487),"",G487-G486)</f>
        <v>0</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t="str">
        <f>IF(Weighting!$O$8&gt;0,D488,"")</f>
        <v/>
      </c>
      <c r="D488" t="e">
        <f>Weighting!$C$8</f>
        <v>#DIV/0!</v>
      </c>
      <c r="E488" t="e">
        <f>Weighting!$E$8</f>
        <v>#NUM!</v>
      </c>
      <c r="F488" t="e">
        <f>IF(E488=1,'Data Transformation'!$G$3+0.5*'Data Transformation'!$U$25,IF(E489=1,F489-'Data Transformation'!$U$25,FALSE))</f>
        <v>#NUM!</v>
      </c>
      <c r="G488">
        <f t="array" ref="G488">IF(ISLOGICAL(F488),"",FREQUENCY(IF('Data Transformation'!$B$24:$B$404='Bin Analysis and Plots'!$D$483,'Data Transformation'!$G$24:$G$404),'Bin Analysis and Plots'!F488))</f>
        <v>0</v>
      </c>
      <c r="H488">
        <f t="shared" si="60"/>
        <v>0</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t="str">
        <f>IF(Weighting!$O$9&gt;0,D489,"")</f>
        <v/>
      </c>
      <c r="D489" t="e">
        <f>Weighting!$B$9</f>
        <v>#DIV/0!</v>
      </c>
      <c r="E489" t="e">
        <f>Weighting!$E$9</f>
        <v>#NUM!</v>
      </c>
      <c r="F489" t="e">
        <f>IF(E489=1,'Data Transformation'!$G$3+0.5*'Data Transformation'!$U$25,IF(E490=1,F490-'Data Transformation'!$U$25,FALSE))</f>
        <v>#NUM!</v>
      </c>
      <c r="G489">
        <f t="array" ref="G489">IF(ISLOGICAL(F489),"",FREQUENCY(IF('Data Transformation'!$B$24:$B$404='Bin Analysis and Plots'!$D$483,'Data Transformation'!$G$24:$G$404),'Bin Analysis and Plots'!F489))</f>
        <v>0</v>
      </c>
      <c r="H489">
        <f t="shared" si="60"/>
        <v>0</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t="str">
        <f>IF(Weighting!$O$10&gt;0,D490,"")</f>
        <v/>
      </c>
      <c r="D490" t="e">
        <f>Weighting!$C$10</f>
        <v>#DIV/0!</v>
      </c>
      <c r="E490" t="e">
        <f>Weighting!$E$10</f>
        <v>#NUM!</v>
      </c>
      <c r="F490" t="e">
        <f>IF(E490=1,'Data Transformation'!$G$3+0.5*'Data Transformation'!$U$25,IF(E491=1,F491-'Data Transformation'!$U$25,FALSE))</f>
        <v>#NUM!</v>
      </c>
      <c r="G490">
        <f t="array" ref="G490">IF(ISLOGICAL(F490),"",FREQUENCY(IF('Data Transformation'!$B$24:$B$404='Bin Analysis and Plots'!$D$483,'Data Transformation'!$G$24:$G$404),'Bin Analysis and Plots'!F490))</f>
        <v>0</v>
      </c>
      <c r="H490">
        <f t="shared" si="60"/>
        <v>0</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t="str">
        <f>IF(Weighting!$O$11&gt;0,D491,"")</f>
        <v/>
      </c>
      <c r="D491" t="e">
        <f>Weighting!$C$11</f>
        <v>#DIV/0!</v>
      </c>
      <c r="E491" t="e">
        <f>Weighting!$E$11</f>
        <v>#NUM!</v>
      </c>
      <c r="F491" t="e">
        <f>IF(E491=1,'Data Transformation'!$G$3+0.5*'Data Transformation'!$U$25,IF(E492=1,F492-'Data Transformation'!$U$25,FALSE))</f>
        <v>#NUM!</v>
      </c>
      <c r="G491">
        <f t="array" ref="G491">IF(ISLOGICAL(F491),"",FREQUENCY(IF('Data Transformation'!$B$24:$B$404='Bin Analysis and Plots'!$D$483,'Data Transformation'!$G$24:$G$404),'Bin Analysis and Plots'!F491))</f>
        <v>0</v>
      </c>
      <c r="H491">
        <f t="shared" si="60"/>
        <v>0</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t="str">
        <f>IF(Weighting!$O$12&gt;0,D492,"")</f>
        <v/>
      </c>
      <c r="D492" t="e">
        <f>Weighting!$C$12</f>
        <v>#DIV/0!</v>
      </c>
      <c r="E492" t="e">
        <f>Weighting!$E$12</f>
        <v>#NUM!</v>
      </c>
      <c r="F492" t="e">
        <f>IF(E492=1,'Data Transformation'!$G$3+0.5*'Data Transformation'!$U$25,IF(E493=1,F493-'Data Transformation'!$U$25,FALSE))</f>
        <v>#NUM!</v>
      </c>
      <c r="G492">
        <f t="array" ref="G492">IF(ISLOGICAL(F492),"",FREQUENCY(IF('Data Transformation'!$B$24:$B$404='Bin Analysis and Plots'!$D$483,'Data Transformation'!$G$24:$G$404),'Bin Analysis and Plots'!F492))</f>
        <v>0</v>
      </c>
      <c r="H492">
        <f t="shared" si="60"/>
        <v>0</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t="str">
        <f>IF(Weighting!$O$13&gt;0,D493,"")</f>
        <v/>
      </c>
      <c r="D493" t="e">
        <f>Weighting!$C$13</f>
        <v>#DIV/0!</v>
      </c>
      <c r="E493" t="e">
        <f>Weighting!$E$13</f>
        <v>#NUM!</v>
      </c>
      <c r="F493" t="e">
        <f>IF(E493=1,'Data Transformation'!$G$3+0.5*'Data Transformation'!$U$25,IF(E494=1,F494-'Data Transformation'!$U$25,FALSE))</f>
        <v>#NUM!</v>
      </c>
      <c r="G493">
        <f t="array" ref="G493">IF(ISLOGICAL(F493),"",FREQUENCY(IF('Data Transformation'!$B$24:$B$404='Bin Analysis and Plots'!$D$483,'Data Transformation'!$G$24:$G$404),'Bin Analysis and Plots'!F493))</f>
        <v>0</v>
      </c>
      <c r="H493">
        <f t="shared" si="60"/>
        <v>0</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t="str">
        <f>IF(Weighting!$O$14&gt;0,D494,"")</f>
        <v/>
      </c>
      <c r="D494" t="e">
        <f>Weighting!$C$14</f>
        <v>#DIV/0!</v>
      </c>
      <c r="E494" t="e">
        <f>Weighting!$E$14</f>
        <v>#NUM!</v>
      </c>
      <c r="F494" t="e">
        <f>IF(E494=1,'Data Transformation'!$G$3+0.5*'Data Transformation'!$U$25,IF(E495=1,F495-'Data Transformation'!$U$25,FALSE))</f>
        <v>#NUM!</v>
      </c>
      <c r="G494">
        <f t="array" ref="G494">IF(ISLOGICAL(F494),"",FREQUENCY(IF('Data Transformation'!$B$24:$B$404='Bin Analysis and Plots'!$D$483,'Data Transformation'!$G$24:$G$404),'Bin Analysis and Plots'!F494))</f>
        <v>0</v>
      </c>
      <c r="H494">
        <f t="shared" si="60"/>
        <v>0</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t="str">
        <f>IF(Weighting!$O$15&gt;0,D495,"")</f>
        <v/>
      </c>
      <c r="D495" t="e">
        <f>Weighting!$C$15</f>
        <v>#DIV/0!</v>
      </c>
      <c r="E495" t="e">
        <f>Weighting!$E$15</f>
        <v>#NUM!</v>
      </c>
      <c r="F495" t="e">
        <f>IF(E495=1,'Data Transformation'!$G$3+0.5*'Data Transformation'!$U$25,IF(E496=1,F496-'Data Transformation'!$U$25,FALSE))</f>
        <v>#NUM!</v>
      </c>
      <c r="G495">
        <f t="array" ref="G495">IF(ISLOGICAL(F495),"",FREQUENCY(IF('Data Transformation'!$B$24:$B$404='Bin Analysis and Plots'!$D$483,'Data Transformation'!$G$24:$G$404),'Bin Analysis and Plots'!F495))</f>
        <v>0</v>
      </c>
      <c r="H495">
        <f t="shared" si="60"/>
        <v>0</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t="e">
        <f>Weighting!$C$16</f>
        <v>#DIV/0!</v>
      </c>
      <c r="E496" t="e">
        <f>Weighting!$E$16</f>
        <v>#NUM!</v>
      </c>
      <c r="F496" t="e">
        <f>IF(E496=1,'Data Transformation'!$G$3+0.5*'Data Transformation'!$U$25,IF(E497=1,F497-'Data Transformation'!$U$25,FALSE))</f>
        <v>#NUM!</v>
      </c>
      <c r="G496">
        <f t="array" ref="G496">IF(ISLOGICAL(F496),"",FREQUENCY(IF('Data Transformation'!$B$24:$B$404='Bin Analysis and Plots'!$D$483,'Data Transformation'!$G$24:$G$404),'Bin Analysis and Plots'!F496))</f>
        <v>0</v>
      </c>
      <c r="H496">
        <f t="shared" si="60"/>
        <v>0</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t="e">
        <f>Weighting!$C$17</f>
        <v>#DIV/0!</v>
      </c>
      <c r="E497" t="e">
        <f>Weighting!$E$17</f>
        <v>#NUM!</v>
      </c>
      <c r="F497" t="e">
        <f>IF(E497=1,'Data Transformation'!$G$3+0.5*'Data Transformation'!$U$25,IF(E498=1,F498-'Data Transformation'!$U$25,FALSE))</f>
        <v>#NUM!</v>
      </c>
      <c r="G497">
        <f t="array" ref="G497">IF(ISLOGICAL(F497),"",FREQUENCY(IF('Data Transformation'!$B$24:$B$404='Bin Analysis and Plots'!$D$483,'Data Transformation'!$G$24:$G$404),'Bin Analysis and Plots'!F497))</f>
        <v>0</v>
      </c>
      <c r="H497">
        <f t="shared" si="60"/>
        <v>0</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t="e">
        <f>Weighting!$C$18</f>
        <v>#DIV/0!</v>
      </c>
      <c r="E498" t="e">
        <f>Weighting!$E$18</f>
        <v>#NUM!</v>
      </c>
      <c r="F498" t="e">
        <f>IF(E498=1,'Data Transformation'!$G$3+0.5*'Data Transformation'!$U$25,IF(E499=1,F499-'Data Transformation'!$U$25,FALSE))</f>
        <v>#NUM!</v>
      </c>
      <c r="G498">
        <f t="array" ref="G498">IF(ISLOGICAL(F498),"",FREQUENCY(IF('Data Transformation'!$B$24:$B$404='Bin Analysis and Plots'!$D$483,'Data Transformation'!$G$24:$G$404),'Bin Analysis and Plots'!F498))</f>
        <v>0</v>
      </c>
      <c r="H498">
        <f t="shared" si="60"/>
        <v>0</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t="e">
        <f>Weighting!$C$19</f>
        <v>#DIV/0!</v>
      </c>
      <c r="E499" t="e">
        <f>Weighting!$E$19</f>
        <v>#NUM!</v>
      </c>
      <c r="F499" t="e">
        <f>IF(E499=1,'Data Transformation'!$G$3+0.5*'Data Transformation'!$U$25,IF(E500=1,F500-'Data Transformation'!$U$25,FALSE))</f>
        <v>#NUM!</v>
      </c>
      <c r="G499">
        <f t="array" ref="G499">IF(ISLOGICAL(F499),"",FREQUENCY(IF('Data Transformation'!$B$24:$B$404='Bin Analysis and Plots'!$D$483,'Data Transformation'!$G$24:$G$404),'Bin Analysis and Plots'!F499))</f>
        <v>0</v>
      </c>
      <c r="H499">
        <f t="shared" si="60"/>
        <v>0</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t="e">
        <f>Weighting!$C$20</f>
        <v>#DIV/0!</v>
      </c>
      <c r="E500" t="e">
        <f>Weighting!$E$20</f>
        <v>#NUM!</v>
      </c>
      <c r="F500" t="e">
        <f>IF(E500=1,'Data Transformation'!$G$3+0.5*'Data Transformation'!$U$25,IF(E501=1,F501-'Data Transformation'!$U$25,FALSE))</f>
        <v>#NUM!</v>
      </c>
      <c r="G500">
        <f t="array" ref="G500">IF(ISLOGICAL(F500),"",FREQUENCY(IF('Data Transformation'!$B$24:$B$404='Bin Analysis and Plots'!$D$483,'Data Transformation'!$G$24:$G$404),'Bin Analysis and Plots'!F500))</f>
        <v>0</v>
      </c>
      <c r="H500">
        <f t="shared" si="60"/>
        <v>0</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t="e">
        <f>Weighting!$C$21</f>
        <v>#DIV/0!</v>
      </c>
      <c r="E501" t="e">
        <f>Weighting!$E$21</f>
        <v>#NUM!</v>
      </c>
      <c r="F501" t="e">
        <f>IF(E501=1,'Data Transformation'!$G$3+0.5*'Data Transformation'!$U$25,IF(E502=1,F502-'Data Transformation'!$U$25,FALSE))</f>
        <v>#NUM!</v>
      </c>
      <c r="G501">
        <f t="array" ref="G501">IF(ISLOGICAL(F501),"",FREQUENCY(IF('Data Transformation'!$B$24:$B$404='Bin Analysis and Plots'!$D$483,'Data Transformation'!$G$24:$G$404),'Bin Analysis and Plots'!F501))</f>
        <v>0</v>
      </c>
      <c r="H501">
        <f t="shared" si="60"/>
        <v>0</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t="e">
        <f>Weighting!$C$22</f>
        <v>#DIV/0!</v>
      </c>
      <c r="E502" t="e">
        <f>Weighting!$E$22</f>
        <v>#NUM!</v>
      </c>
      <c r="F502" t="e">
        <f>IF(E502=1,'Data Transformation'!$G$3+0.5*'Data Transformation'!$U$25,IF(E503=1,F503-'Data Transformation'!$U$25,FALSE))</f>
        <v>#NUM!</v>
      </c>
      <c r="G502">
        <f t="array" ref="G502">IF(ISLOGICAL(F502),"",FREQUENCY(IF('Data Transformation'!$B$24:$B$404='Bin Analysis and Plots'!$D$483,'Data Transformation'!$G$24:$G$404),'Bin Analysis and Plots'!F502))</f>
        <v>0</v>
      </c>
      <c r="H502">
        <f t="shared" si="60"/>
        <v>0</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t="e">
        <f>Weighting!$C$23</f>
        <v>#DIV/0!</v>
      </c>
      <c r="E503" t="e">
        <f>Weighting!$E$23</f>
        <v>#NUM!</v>
      </c>
      <c r="F503" t="e">
        <f>IF(E503=1,'Data Transformation'!$G$3+0.5*'Data Transformation'!$U$25,IF(E504=1,F504-'Data Transformation'!$U$25,FALSE))</f>
        <v>#NUM!</v>
      </c>
      <c r="G503">
        <f t="array" ref="G503">IF(ISLOGICAL(F503),"",FREQUENCY(IF('Data Transformation'!$B$24:$B$404='Bin Analysis and Plots'!$D$483,'Data Transformation'!$G$24:$G$404),'Bin Analysis and Plots'!F503))</f>
        <v>0</v>
      </c>
      <c r="H503">
        <f t="shared" si="60"/>
        <v>0</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t="e">
        <f>Weighting!$C$24</f>
        <v>#DIV/0!</v>
      </c>
      <c r="E504" t="e">
        <f>Weighting!$E$24</f>
        <v>#NUM!</v>
      </c>
      <c r="F504" t="e">
        <f>IF(E504=1,'Data Transformation'!$G$3+0.5*'Data Transformation'!$U$25,IF(E505=1,F505-'Data Transformation'!$U$25,FALSE))</f>
        <v>#NUM!</v>
      </c>
      <c r="G504">
        <f t="array" ref="G504">IF(ISLOGICAL(F504),"",FREQUENCY(IF('Data Transformation'!$B$24:$B$404='Bin Analysis and Plots'!$D$483,'Data Transformation'!$G$24:$G$404),'Bin Analysis and Plots'!F504))</f>
        <v>0</v>
      </c>
      <c r="H504">
        <f t="shared" si="60"/>
        <v>0</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b">
        <f t="array" ref="A505">IF(ISERROR(INDEX('Data Transformation'!$B$4:$G$450,SMALL(IF('Data Transformation'!$B$4:$B$450='Bin Analysis and Plots'!D483,ROW('Data Transformation'!$B$4:$B$450)),ROW($20:$20))-3,3)),"",INDEX('Data Transformation'!$B$4:$G$450,SMALL(IF('Data Transformation'!$B$4:$B$450='Bin Analysis and Plots'!D483,ROW('Data Transformation'!$B$4:$B$450)),ROW($20:$20))-3,6))</f>
        <v>0</v>
      </c>
      <c r="B505" s="29" t="str">
        <f>IFERROR(SMALL(A486:A505,'Data Transformation'!$L$25),"")</f>
        <v/>
      </c>
      <c r="C505" s="41" t="str">
        <f>IF(Weighting!$O$25&gt;0,D505,"")</f>
        <v/>
      </c>
      <c r="D505" t="e">
        <f>Weighting!$C$25</f>
        <v>#DIV/0!</v>
      </c>
      <c r="E505" t="e">
        <f>Weighting!$E$25</f>
        <v>#NUM!</v>
      </c>
      <c r="F505" t="e">
        <f>IF(E505=1,'Data Transformation'!$G$3+0.5*'Data Transformation'!$U$25,IF(E506=1,F506-'Data Transformation'!$U$25,FALSE))</f>
        <v>#NUM!</v>
      </c>
      <c r="G505">
        <f t="array" ref="G505">IF(ISLOGICAL(F505),"",FREQUENCY(IF('Data Transformation'!$B$24:$B$404='Bin Analysis and Plots'!$D$483,'Data Transformation'!$G$24:$G$404),'Bin Analysis and Plots'!F505))</f>
        <v>0</v>
      </c>
      <c r="H505">
        <f t="shared" si="60"/>
        <v>0</v>
      </c>
      <c r="I505">
        <f>Weighting!$G$25</f>
        <v>0</v>
      </c>
      <c r="J505">
        <f t="array" ref="J505">FREQUENCY(IF('Data Transformation'!$B$4:$B$404=D483,'Data Transformation'!$G$4:$G$404),'Bin Analysis and Plots'!$D505)</f>
        <v>0</v>
      </c>
      <c r="K505">
        <f t="shared" si="61"/>
        <v>0</v>
      </c>
      <c r="L505">
        <f t="shared" si="62"/>
        <v>0</v>
      </c>
      <c r="M505">
        <f>L505*Weighting!$V$25</f>
        <v>0</v>
      </c>
    </row>
    <row r="507" spans="1:27" ht="23.5">
      <c r="P507" s="36"/>
      <c r="Z507" s="78"/>
      <c r="AA507" s="78"/>
    </row>
    <row r="508" spans="1:27" ht="21">
      <c r="Z508" s="78"/>
      <c r="AA508" s="78"/>
    </row>
    <row r="531" spans="16:27" ht="23.5">
      <c r="P531" s="36"/>
      <c r="Z531" s="78"/>
      <c r="AA531" s="78"/>
    </row>
    <row r="532" spans="16:27" ht="21">
      <c r="Z532" s="78"/>
      <c r="AA532" s="78"/>
    </row>
    <row r="555" spans="16:27" ht="23.5">
      <c r="P555" s="36"/>
      <c r="Z555" s="78"/>
      <c r="AA555" s="78"/>
    </row>
    <row r="556" spans="16:27" ht="21">
      <c r="Z556" s="78"/>
      <c r="AA556" s="78"/>
    </row>
    <row r="579" spans="16:27" ht="23.5">
      <c r="P579" s="36"/>
      <c r="Z579" s="78"/>
      <c r="AA579" s="78"/>
    </row>
    <row r="580" spans="16:27" ht="21">
      <c r="Z580" s="78"/>
      <c r="AA580" s="78"/>
    </row>
    <row r="603" spans="16:27" ht="23.5">
      <c r="P603" s="36"/>
      <c r="Z603" s="78"/>
      <c r="AA603" s="78"/>
    </row>
    <row r="604" spans="16:27" ht="21">
      <c r="Z604" s="78"/>
      <c r="AA604" s="78"/>
    </row>
    <row r="627" spans="16:16" ht="23.5">
      <c r="P627" s="36"/>
    </row>
    <row r="651" spans="16:16" ht="23.5">
      <c r="P651" s="36"/>
    </row>
    <row r="675" spans="16:16" ht="23.5">
      <c r="P675" s="36"/>
    </row>
    <row r="699" spans="16:16" ht="23.5">
      <c r="P699" s="36"/>
    </row>
    <row r="723" spans="16:16" ht="23.5">
      <c r="P723" s="36"/>
    </row>
    <row r="747" spans="16:16" ht="23.5">
      <c r="P747" s="36"/>
    </row>
    <row r="771" spans="16:16" ht="23.5">
      <c r="P771" s="36"/>
    </row>
  </sheetData>
  <mergeCells count="21">
    <mergeCell ref="A436:B436"/>
    <mergeCell ref="A460:B460"/>
    <mergeCell ref="A484:B484"/>
    <mergeCell ref="A316:B316"/>
    <mergeCell ref="A340:B340"/>
    <mergeCell ref="A364:B364"/>
    <mergeCell ref="A388:B388"/>
    <mergeCell ref="A412:B412"/>
    <mergeCell ref="A196:B196"/>
    <mergeCell ref="A220:B220"/>
    <mergeCell ref="A244:B244"/>
    <mergeCell ref="A268:B268"/>
    <mergeCell ref="A292:B292"/>
    <mergeCell ref="A100:B100"/>
    <mergeCell ref="A124:B124"/>
    <mergeCell ref="A148:B148"/>
    <mergeCell ref="A172:B172"/>
    <mergeCell ref="Q1:T1"/>
    <mergeCell ref="A52:B52"/>
    <mergeCell ref="A28:B28"/>
    <mergeCell ref="A76:B76"/>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5"/>
  <cols>
    <col min="9" max="9" width="16.25" bestFit="1" customWidth="1"/>
    <col min="10" max="10" width="20.5" bestFit="1" customWidth="1"/>
    <col min="11" max="11" width="8.83203125" style="14"/>
    <col min="12" max="12" width="16.33203125" style="14" bestFit="1" customWidth="1"/>
    <col min="13" max="13" width="8.83203125" style="67"/>
    <col min="19" max="19" width="9.08203125" bestFit="1" customWidth="1"/>
    <col min="20" max="20" width="10.5" bestFit="1" customWidth="1"/>
    <col min="21" max="21" width="8.83203125" style="69"/>
    <col min="22" max="22" width="15" bestFit="1" customWidth="1"/>
    <col min="23" max="23" width="16" bestFit="1" customWidth="1"/>
    <col min="25" max="25" width="16.08203125" bestFit="1" customWidth="1"/>
    <col min="29" max="29" width="14.83203125" bestFit="1" customWidth="1"/>
    <col min="30" max="30" width="17.75" customWidth="1"/>
  </cols>
  <sheetData>
    <row r="2" spans="2:31">
      <c r="D2" s="93"/>
      <c r="E2" s="93"/>
      <c r="F2" s="93"/>
      <c r="G2" s="93"/>
      <c r="H2" s="93"/>
      <c r="I2" s="93"/>
      <c r="N2" t="s">
        <v>130</v>
      </c>
    </row>
    <row r="3" spans="2:31" ht="16" thickBot="1">
      <c r="D3" s="91" t="s">
        <v>52</v>
      </c>
      <c r="E3" s="91"/>
      <c r="F3" s="91"/>
      <c r="G3" s="91"/>
      <c r="H3" s="91"/>
      <c r="I3" s="91"/>
      <c r="N3">
        <v>1</v>
      </c>
      <c r="O3">
        <v>4</v>
      </c>
      <c r="P3">
        <v>2</v>
      </c>
      <c r="Q3">
        <v>4</v>
      </c>
      <c r="R3">
        <v>1</v>
      </c>
      <c r="S3">
        <v>1</v>
      </c>
      <c r="T3">
        <v>3</v>
      </c>
      <c r="X3" s="91"/>
      <c r="Y3" s="91"/>
      <c r="Z3" s="91"/>
      <c r="AA3" s="91"/>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104</v>
      </c>
      <c r="L4" s="14" t="s">
        <v>105</v>
      </c>
      <c r="N4" t="s">
        <v>53</v>
      </c>
      <c r="O4" t="s">
        <v>132</v>
      </c>
      <c r="P4" t="s">
        <v>131</v>
      </c>
      <c r="Q4" t="s">
        <v>106</v>
      </c>
      <c r="R4" t="s">
        <v>56</v>
      </c>
      <c r="S4" t="s">
        <v>103</v>
      </c>
      <c r="T4" t="s">
        <v>133</v>
      </c>
      <c r="W4" t="s">
        <v>116</v>
      </c>
      <c r="X4" t="s">
        <v>115</v>
      </c>
    </row>
    <row r="5" spans="2:31">
      <c r="B5" s="62" t="str">
        <v>all</v>
      </c>
      <c r="C5" s="58" t="b">
        <v>0</v>
      </c>
      <c r="D5" s="58">
        <v>0</v>
      </c>
      <c r="E5" s="58" t="e">
        <v>#N/A</v>
      </c>
      <c r="F5" s="58" t="e">
        <v>#N/A</v>
      </c>
      <c r="G5" s="58" t="e">
        <v>#N/A</v>
      </c>
      <c r="H5" s="58" t="e">
        <v>#N/A</v>
      </c>
      <c r="I5" s="63" t="e">
        <v>#N/A</v>
      </c>
      <c r="K5" s="80" t="str">
        <f>IFERROR(AVERAGEIF('Data Transformation'!$B$24:$B$404,"&gt;=0",IF('Input and Summary Results'!$J$4="no",'Data Transformation'!$C$24:$C$404,'Data Transformation'!$E$24:$E$404)),"")</f>
        <v/>
      </c>
      <c r="L5" s="14" t="str" cm="1">
        <f t="array" ref="L5">IFERROR(_xlfn.STDEV.S(IF('Data Transformation'!$B$24:$B$404&gt;=0,IF('Input and Summary Results'!$J$4="no",'Data Transformation'!$C$24:$C$404,'Data Transformation'!$E$24:$E$404),"")),"")</f>
        <v/>
      </c>
      <c r="Z5" t="s">
        <v>128</v>
      </c>
      <c r="AA5" t="s">
        <v>129</v>
      </c>
      <c r="AC5" t="s">
        <v>134</v>
      </c>
      <c r="AD5" t="s">
        <v>135</v>
      </c>
    </row>
    <row r="6" spans="2:31">
      <c r="B6" s="62" t="str">
        <v xml:space="preserve"> </v>
      </c>
      <c r="C6" s="58" t="str">
        <v xml:space="preserve"> </v>
      </c>
      <c r="D6" s="58" t="str">
        <v xml:space="preserve"> </v>
      </c>
      <c r="E6" s="58" t="str">
        <v xml:space="preserve"> </v>
      </c>
      <c r="F6" s="58" t="str">
        <v xml:space="preserve"> </v>
      </c>
      <c r="G6" s="58" t="str">
        <v xml:space="preserve"> </v>
      </c>
      <c r="H6" s="58" t="str">
        <v xml:space="preserve"> </v>
      </c>
      <c r="I6" s="63" t="str">
        <v xml:space="preserve"> </v>
      </c>
      <c r="K6" s="80" t="str">
        <f>IFERROR(AVERAGEIF('Data Transformation'!$B$24:$B$404,B6,IF('Input and Summary Results'!$J$4="no",'Data Transformation'!$C$24:$C$404,'Data Transformation'!$E$24:$E$404)),"")</f>
        <v/>
      </c>
      <c r="L6" s="14" t="str" cm="1">
        <f t="array" ref="L6">IFERROR(_xlfn.STDEV.S(IF('Data Transformation'!$B$24:$B$404=B6,IF('Input and Summary Results'!$J$4="no",'Data Transformation'!$C$24:$C$404,'Data Transformation'!$E$24:$E$404),"")),"")</f>
        <v/>
      </c>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Transformation'!$R$5),NOT(ISNUMBER(N6)),NOT(ISNUMBER(R6)),NOT(ISNUMBER(P6)),NOT(ISNUMBER(R6)),NOT(ISNUMBER(S6)),NOT(ISNUMBER(T6))),Assignments!B6,""),"")</f>
        <v/>
      </c>
      <c r="R6" t="str">
        <f>IF(H6&gt;='Data Transformation'!$R$30,B6,"")</f>
        <v xml:space="preserve"> </v>
      </c>
      <c r="S6" t="str">
        <f>IF(D6&gt;='Data Transformation'!$R$31,B6,"")</f>
        <v xml:space="preserve"> </v>
      </c>
      <c r="T6" t="str">
        <f>IF(AND(H6&lt;'Data Transformation'!$R$30,E6&lt;'Data Transformation'!$R$29,G6&lt;'Data Transformation'!$R$28,G6&lt;0.3,D6&lt;'Data Transformation'!$R$31,E6&gt;0.4,H6&gt;0.4),B6,"")</f>
        <v/>
      </c>
      <c r="V6" t="str" cm="1">
        <f t="array" ref="V6">IF(C6=FALSE,"",(IF(AND(ISNUMBER(B6),ISBLANK(N6:T6)),"Unclassified",IF(COUNT(N6:T6)=0,"",INDEX($N$4:$T$4,MATCH(TRUE,N6:T6=B6,0))))))</f>
        <v/>
      </c>
      <c r="W6" t="str">
        <f>IF(COUNT(N6:T6)&gt;1,"True","")</f>
        <v/>
      </c>
      <c r="X6" t="str">
        <f>IF(AND(D6&gt;0.8,G6&gt;0.5,ISNUMBER(B6)),"True","")</f>
        <v/>
      </c>
      <c r="Z6" t="s">
        <v>53</v>
      </c>
      <c r="AA6">
        <f>COUNTIF(V:V,Z6)</f>
        <v>0</v>
      </c>
      <c r="AC6" t="b">
        <f>IF(AND(H6&gt;0.35,G6&lt;0.35,E6&gt;0.35,T6="",R6="",P6="",N6="",S6=""),TRUE,FALSE)</f>
        <v>0</v>
      </c>
      <c r="AD6" t="str">
        <f>IFERROR(ABS(ABS(K6-'Data Transformation'!$R$6)-ABS(K6-'Data Transformation'!$R$5)),"")</f>
        <v/>
      </c>
      <c r="AE6" t="e">
        <f>IF(C6=FALSE,"",IF(AND(OR(V6=$Z$7,V6=$Z$9),OR(AC6=TRUE,AD6&lt;=IF(ISNUMBER('Data Transformation'!$R$15),'Data Transformation'!$R$15,'Data Transformation'!$R$25))),TRUE,FALSE))</f>
        <v>#DIV/0!</v>
      </c>
    </row>
    <row r="7" spans="2:31">
      <c r="B7" s="62" t="str">
        <v xml:space="preserve"> </v>
      </c>
      <c r="C7" s="58" t="str">
        <v xml:space="preserve"> </v>
      </c>
      <c r="D7" s="58" t="str">
        <v xml:space="preserve"> </v>
      </c>
      <c r="E7" s="58" t="str">
        <v xml:space="preserve"> </v>
      </c>
      <c r="F7" s="58" t="str">
        <v xml:space="preserve"> </v>
      </c>
      <c r="G7" s="58" t="str">
        <v xml:space="preserve"> </v>
      </c>
      <c r="H7" s="58" t="str">
        <v xml:space="preserve"> </v>
      </c>
      <c r="I7" s="63" t="str">
        <v xml:space="preserve"> </v>
      </c>
      <c r="K7" s="80"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132</v>
      </c>
      <c r="AA7">
        <f>COUNTIF(V:V,Z7)</f>
        <v>0</v>
      </c>
      <c r="AC7" t="b">
        <f t="shared" ref="AC7:AC24" si="2">IF(AND(H7&gt;0.35,G7&lt;0.35,E7&gt;0.35,T7="",R7="",P7="",N7="",S7=""),TRUE,FALSE)</f>
        <v>0</v>
      </c>
      <c r="AD7" t="str">
        <f>IFERROR(ABS(ABS(K7-'Data Transformation'!$R$6)-ABS(K7-'Data Transformation'!$R$5)),"")</f>
        <v/>
      </c>
      <c r="AE7" t="e">
        <f>IF(C7=FALSE,"",IF(AND(OR(V7=$Z$7,V7=$Z$9),OR(AC7=TRUE,AD7&lt;=IF(ISNUMBER('Data Transformation'!$R$15),'Data Transformation'!$R$15,'Data Transformation'!$R$25))),TRUE,FALSE))</f>
        <v>#DIV/0!</v>
      </c>
    </row>
    <row r="8" spans="2:31">
      <c r="B8" s="62" t="str">
        <v xml:space="preserve"> </v>
      </c>
      <c r="C8" s="58" t="str">
        <v xml:space="preserve"> </v>
      </c>
      <c r="D8" s="58" t="str">
        <v xml:space="preserve"> </v>
      </c>
      <c r="E8" s="58" t="str">
        <v xml:space="preserve"> </v>
      </c>
      <c r="F8" s="58" t="str">
        <v xml:space="preserve"> </v>
      </c>
      <c r="G8" s="58" t="str">
        <v xml:space="preserve"> </v>
      </c>
      <c r="H8" s="58" t="str">
        <v xml:space="preserve"> </v>
      </c>
      <c r="I8" s="63" t="str">
        <v xml:space="preserve"> </v>
      </c>
      <c r="K8" s="80"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131</v>
      </c>
      <c r="AA8">
        <f t="shared" ref="AA8:AA9" si="3">COUNTIF(V:V,Z8)</f>
        <v>0</v>
      </c>
      <c r="AC8" t="b">
        <f t="shared" si="2"/>
        <v>0</v>
      </c>
      <c r="AD8" t="str">
        <f>IFERROR(ABS(ABS(K8-'Data Transformation'!$R$6)-ABS(K8-'Data Transformation'!$R$5)),"")</f>
        <v/>
      </c>
      <c r="AE8" t="e">
        <f>IF(C8=FALSE,"",IF(AND(OR(V8=$Z$7,V8=$Z$9),OR(AC8=TRUE,AD8&lt;=IF(ISNUMBER('Data Transformation'!$R$15),'Data Transformation'!$R$15,'Data Transformation'!$R$25))),TRUE,FALSE))</f>
        <v>#DIV/0!</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106</v>
      </c>
      <c r="AA9">
        <f t="shared" si="3"/>
        <v>0</v>
      </c>
      <c r="AC9" t="b">
        <f t="shared" si="2"/>
        <v>0</v>
      </c>
      <c r="AD9" t="str">
        <f>IFERROR(ABS(ABS(K9-'Data Transformation'!$R$6)-ABS(K9-'Data Transformation'!$R$5)),"")</f>
        <v/>
      </c>
      <c r="AE9" t="e">
        <f>IF(C9=FALSE,"",IF(AND(OR(V9=$Z$7,V9=$Z$9),OR(AC9=TRUE,AD9&lt;=IF(ISNUMBER('Data Transformation'!$R$15),'Data Transformation'!$R$15,'Data Transformation'!$R$25))),TRUE,FALSE))</f>
        <v>#DIV/0!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e">
        <f>IF(C10=FALSE,"",IF(AND(OR(V10=$Z$7,V10=$Z$9),OR(AC10=TRUE,AD10&lt;=IF(ISNUMBER('Data Transformation'!$R$15),'Data Transformation'!$R$15,'Data Transformation'!$R$25))),TRUE,FALSE))</f>
        <v>#DIV/0!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133</v>
      </c>
      <c r="AA11">
        <f t="shared" si="4"/>
        <v>0</v>
      </c>
      <c r="AC11" t="b">
        <f t="shared" si="2"/>
        <v>0</v>
      </c>
      <c r="AD11" t="str">
        <f>IFERROR(ABS(ABS(K11-'Data Transformation'!$R$6)-ABS(K11-'Data Transformation'!$R$5)),"")</f>
        <v/>
      </c>
      <c r="AE11" t="e">
        <f>IF(C11=FALSE,"",IF(AND(OR(V11=$Z$7,V11=$Z$9),OR(AC11=TRUE,AD11&lt;=IF(ISNUMBER('Data Transformation'!$R$15),'Data Transformation'!$R$15,'Data Transformation'!$R$25))),TRUE,FALSE))</f>
        <v>#DIV/0!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103</v>
      </c>
      <c r="AA12">
        <f t="shared" ref="AA12" si="5">COUNTIF(V:V,Z12)</f>
        <v>0</v>
      </c>
      <c r="AC12" t="b">
        <f t="shared" si="2"/>
        <v>0</v>
      </c>
      <c r="AD12" t="str">
        <f>IFERROR(ABS(ABS(K12-'Data Transformation'!$R$6)-ABS(K12-'Data Transformation'!$R$5)),"")</f>
        <v/>
      </c>
      <c r="AE12" t="e">
        <f>IF(C12=FALSE,"",IF(AND(OR(V12=$Z$7,V12=$Z$9),OR(AC12=TRUE,AD12&lt;=IF(ISNUMBER('Data Transformation'!$R$15),'Data Transformation'!$R$15,'Data Transformation'!$R$25))),TRUE,FALSE))</f>
        <v>#DIV/0!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e">
        <f>IF(C13=FALSE,"",IF(AND(OR(V13=$Z$7,V13=$Z$9),OR(AC13=TRUE,AD13&lt;=IF(ISNUMBER('Data Transformation'!$R$15),'Data Transformation'!$R$15,'Data Transformation'!$R$25))),TRUE,FALSE))</f>
        <v>#DIV/0!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e">
        <f>IF(C14=FALSE,"",IF(AND(OR(V14=$Z$7,V14=$Z$9),OR(AC14=TRUE,AD14&lt;=IF(ISNUMBER('Data Transformation'!$R$15),'Data Transformation'!$R$15,'Data Transformation'!$R$25))),TRUE,FALSE))</f>
        <v>#DIV/0!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e">
        <f>IF(C15=FALSE,"",IF(AND(OR(V15=$Z$7,V15=$Z$9),OR(AC15=TRUE,AD15&lt;=IF(ISNUMBER('Data Transformation'!$R$15),'Data Transformation'!$R$15,'Data Transformation'!$R$25))),TRUE,FALSE))</f>
        <v>#DIV/0!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e">
        <f>IF(C16=FALSE,"",IF(AND(OR(V16=$Z$7,V16=$Z$9),OR(AC16=TRUE,AD16&lt;=IF(ISNUMBER('Data Transformation'!$R$15),'Data Transformation'!$R$15,'Data Transformation'!$R$25))),TRUE,FALSE))</f>
        <v>#DIV/0!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e">
        <f>IF(C17=FALSE,"",IF(AND(OR(V17=$Z$7,V17=$Z$9),OR(AC17=TRUE,AD17&lt;=IF(ISNUMBER('Data Transformation'!$R$15),'Data Transformation'!$R$15,'Data Transformation'!$R$25))),TRUE,FALSE))</f>
        <v>#DIV/0!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e">
        <f>IF(C18=FALSE,"",IF(AND(OR(V18=$Z$7,V18=$Z$9),OR(AC18=TRUE,AD18&lt;=IF(ISNUMBER('Data Transformation'!$R$15),'Data Transformation'!$R$15,'Data Transformation'!$R$25))),TRUE,FALSE))</f>
        <v>#DIV/0!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e">
        <f>IF(C19=FALSE,"",IF(AND(OR(V19=$Z$7,V19=$Z$9),OR(AC19=TRUE,AD19&lt;=IF(ISNUMBER('Data Transformation'!$R$15),'Data Transformation'!$R$15,'Data Transformation'!$R$25))),TRUE,FALSE))</f>
        <v>#DIV/0!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e">
        <f>IF(C20=FALSE,"",IF(AND(OR(V20=$Z$7,V20=$Z$9),OR(AC20=TRUE,AD20&lt;=IF(ISNUMBER('Data Transformation'!$R$15),'Data Transformation'!$R$15,'Data Transformation'!$R$25))),TRUE,FALSE))</f>
        <v>#DIV/0!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e">
        <f>IF(C21=FALSE,"",IF(AND(OR(V21=$Z$7,V21=$Z$9),OR(AC21=TRUE,AD21&lt;=IF(ISNUMBER('Data Transformation'!$R$15),'Data Transformation'!$R$15,'Data Transformation'!$R$25))),TRUE,FALSE))</f>
        <v>#DIV/0!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e">
        <f>IF(C22=FALSE,"",IF(AND(OR(V22=$Z$7,V22=$Z$9),OR(AC22=TRUE,AD22&lt;=IF(ISNUMBER('Data Transformation'!$R$15),'Data Transformation'!$R$15,'Data Transformation'!$R$25))),TRUE,FALSE))</f>
        <v>#DIV/0!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e">
        <f>IF(C23=FALSE,"",IF(AND(OR(V23=$Z$7,V23=$Z$9),OR(AC23=TRUE,AD23&lt;=IF(ISNUMBER('Data Transformation'!$R$15),'Data Transformation'!$R$15,'Data Transformation'!$R$25))),TRUE,FALSE))</f>
        <v>#DIV/0!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e">
        <f>IF(C24=FALSE,"",IF(AND(OR(V24=$Z$7,V24=$Z$9),OR(AC24=TRUE,AD24&lt;=IF(ISNUMBER('Data Transformation'!$R$15),'Data Transformation'!$R$15,'Data Transformation'!$R$25))),TRUE,FALSE))</f>
        <v>#DIV/0!</v>
      </c>
    </row>
    <row r="25" spans="2:31" ht="16"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e">
        <f>IF(C25=FALSE,"",IF(AND(OR(V25=$Z$7,V25=$Z$9),OR(AC25=TRUE,AD25&lt;=IF(ISNUMBER('Data Transformation'!$R$15),'Data Transformation'!$R$15,'Data Transformation'!$R$25))),TRUE,FALSE))</f>
        <v>#DIV/0!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cp:lastModifiedBy>
  <dcterms:created xsi:type="dcterms:W3CDTF">2017-09-12T15:29:51Z</dcterms:created>
  <dcterms:modified xsi:type="dcterms:W3CDTF">2026-06-25T21:12:11Z</dcterms:modified>
</cp:coreProperties>
</file>